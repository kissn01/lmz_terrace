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E:\svn\Doc\Dev\DataConfig\China\"/>
    </mc:Choice>
  </mc:AlternateContent>
  <bookViews>
    <workbookView xWindow="136050" yWindow="-120" windowWidth="29040" windowHeight="15840" tabRatio="732" activeTab="6"/>
  </bookViews>
  <sheets>
    <sheet name="INDEX" sheetId="1" r:id="rId1"/>
    <sheet name="InforUpgrade" sheetId="13" r:id="rId2"/>
    <sheet name="InforStarAward" sheetId="18" r:id="rId3"/>
    <sheet name="InforTrust" sheetId="3" r:id="rId4"/>
    <sheet name="InforLevel" sheetId="12" r:id="rId5"/>
    <sheet name="LevelDialogue" sheetId="14" r:id="rId6"/>
    <sheet name="FightInfo" sheetId="15" r:id="rId7"/>
    <sheet name="FightDialog" sheetId="17" r:id="rId8"/>
    <sheet name="InforProp" sheetId="19" r:id="rId9"/>
    <sheet name="StageNPC" sheetId="20" r:id="rId10"/>
    <sheet name="StageGuide" sheetId="21" r:id="rId11"/>
  </sheets>
  <functionGroups builtInGroupCount="18"/>
  <definedNames>
    <definedName name="_xlnm._FilterDatabase" localSheetId="6" hidden="1">FightInfo!$A$9:$U$505</definedName>
    <definedName name="_xlnm._FilterDatabase" localSheetId="0" hidden="1">INDEX!$A$2:$F$4</definedName>
  </definedNames>
  <calcPr calcId="162913" calcMode="manual"/>
</workbook>
</file>

<file path=xl/calcChain.xml><?xml version="1.0" encoding="utf-8"?>
<calcChain xmlns="http://schemas.openxmlformats.org/spreadsheetml/2006/main">
  <c r="I95" i="3" l="1"/>
  <c r="I94" i="3"/>
  <c r="I93" i="3"/>
  <c r="I92" i="3"/>
  <c r="I91" i="3"/>
  <c r="I122" i="3"/>
  <c r="I123" i="3"/>
  <c r="I124" i="3"/>
  <c r="I125" i="3"/>
  <c r="I121" i="3"/>
  <c r="I105" i="3"/>
  <c r="I106" i="3"/>
  <c r="I107" i="3"/>
  <c r="I99" i="3"/>
  <c r="I100" i="3"/>
  <c r="I101" i="3"/>
  <c r="I87" i="3"/>
  <c r="I88" i="3"/>
  <c r="I89" i="3"/>
  <c r="I75" i="3"/>
  <c r="I76" i="3"/>
  <c r="I77" i="3"/>
  <c r="I69" i="3"/>
  <c r="I70" i="3"/>
  <c r="I71" i="3"/>
  <c r="B518" i="15" l="1"/>
  <c r="B519" i="15"/>
  <c r="L518" i="15" s="1"/>
  <c r="B520" i="15"/>
  <c r="L519" i="15" s="1"/>
  <c r="B521" i="15"/>
  <c r="B522" i="15"/>
  <c r="L521" i="15" s="1"/>
  <c r="B523" i="15"/>
  <c r="L522" i="15" s="1"/>
  <c r="H5" i="14" l="1"/>
  <c r="U6" i="15" l="1"/>
  <c r="S6" i="15" l="1"/>
  <c r="T5" i="15"/>
  <c r="T6" i="15" s="1"/>
  <c r="M5" i="15"/>
  <c r="M6" i="15" s="1"/>
  <c r="K6" i="15"/>
  <c r="R5" i="15" l="1"/>
  <c r="R6" i="15" s="1"/>
  <c r="O6" i="15" l="1"/>
  <c r="N6" i="15"/>
  <c r="L6" i="15"/>
  <c r="J6" i="15"/>
  <c r="E6" i="15"/>
  <c r="D6" i="15"/>
  <c r="C6" i="15"/>
  <c r="B6" i="15"/>
  <c r="Q5" i="15"/>
  <c r="Q6" i="15" s="1"/>
  <c r="P5" i="15"/>
  <c r="P6" i="15" s="1"/>
  <c r="I5" i="15"/>
  <c r="I6" i="15" s="1"/>
  <c r="H5" i="15"/>
  <c r="H6" i="15" s="1"/>
  <c r="G5" i="15"/>
  <c r="G6" i="15" s="1"/>
  <c r="F5" i="15"/>
  <c r="F6" i="15" s="1"/>
  <c r="I116" i="3" l="1"/>
  <c r="I117" i="3"/>
  <c r="I118" i="3"/>
  <c r="I119" i="3"/>
  <c r="I115" i="3"/>
  <c r="I110" i="3"/>
  <c r="I111" i="3"/>
  <c r="I112" i="3"/>
  <c r="I113" i="3"/>
  <c r="I109" i="3"/>
  <c r="I104" i="3"/>
  <c r="I103" i="3"/>
  <c r="I98" i="3"/>
  <c r="I97" i="3"/>
  <c r="I86" i="3"/>
  <c r="I85" i="3"/>
  <c r="I80" i="3"/>
  <c r="I81" i="3"/>
  <c r="I82" i="3"/>
  <c r="I83" i="3"/>
  <c r="I79" i="3"/>
  <c r="I68" i="3"/>
  <c r="I67" i="3"/>
  <c r="I74" i="3"/>
  <c r="I73" i="3"/>
  <c r="G119" i="3" l="1"/>
  <c r="G118" i="3"/>
  <c r="G117" i="3"/>
  <c r="G116" i="3"/>
  <c r="G115" i="3"/>
  <c r="G113" i="3"/>
  <c r="G112" i="3"/>
  <c r="G111" i="3"/>
  <c r="G110" i="3"/>
  <c r="G109" i="3"/>
  <c r="G83" i="3"/>
  <c r="G82" i="3"/>
  <c r="G81" i="3"/>
  <c r="G79" i="3"/>
  <c r="Q5" i="3" l="1"/>
  <c r="Q6" i="3" s="1"/>
  <c r="B8" i="21" l="1"/>
  <c r="G5" i="21"/>
  <c r="G6" i="21" s="1"/>
  <c r="F5" i="21"/>
  <c r="F6" i="21" s="1"/>
  <c r="E5" i="21"/>
  <c r="E6" i="21" s="1"/>
  <c r="D5" i="21"/>
  <c r="D6" i="21" s="1"/>
  <c r="C5" i="21"/>
  <c r="C6" i="21" s="1"/>
  <c r="B5" i="21"/>
  <c r="B6" i="21" s="1"/>
  <c r="B8" i="20"/>
  <c r="D5" i="20"/>
  <c r="D6" i="20" s="1"/>
  <c r="C5" i="20"/>
  <c r="C6" i="20" s="1"/>
  <c r="B5" i="20"/>
  <c r="B6" i="20" s="1"/>
  <c r="B8" i="19"/>
  <c r="E5" i="19"/>
  <c r="E6" i="19" s="1"/>
  <c r="D5" i="19"/>
  <c r="D6" i="19" s="1"/>
  <c r="C5" i="19"/>
  <c r="C6" i="19" s="1"/>
  <c r="B5" i="19"/>
  <c r="B6" i="19" s="1"/>
  <c r="B8" i="17"/>
  <c r="C5" i="17"/>
  <c r="C6" i="17" s="1"/>
  <c r="B5" i="17"/>
  <c r="B6" i="17" s="1"/>
  <c r="B8" i="14"/>
  <c r="AP5" i="14"/>
  <c r="AP6" i="14" s="1"/>
  <c r="AM5" i="14"/>
  <c r="AM6" i="14" s="1"/>
  <c r="AL5" i="14"/>
  <c r="AL6" i="14" s="1"/>
  <c r="AK5" i="14"/>
  <c r="AK6" i="14" s="1"/>
  <c r="AJ5" i="14"/>
  <c r="AJ6" i="14" s="1"/>
  <c r="AI5" i="14"/>
  <c r="AI6" i="14" s="1"/>
  <c r="AH5" i="14"/>
  <c r="AH6" i="14" s="1"/>
  <c r="AG5" i="14"/>
  <c r="AG6" i="14" s="1"/>
  <c r="AF5" i="14"/>
  <c r="AF6" i="14" s="1"/>
  <c r="AE5" i="14"/>
  <c r="AE6" i="14" s="1"/>
  <c r="AD5" i="14"/>
  <c r="AD6" i="14" s="1"/>
  <c r="Y5" i="14"/>
  <c r="X5" i="14"/>
  <c r="X6" i="14" s="1"/>
  <c r="W5" i="14"/>
  <c r="V5" i="14"/>
  <c r="U5" i="14"/>
  <c r="T5" i="14"/>
  <c r="S5" i="14"/>
  <c r="R5" i="14"/>
  <c r="R6" i="14" s="1"/>
  <c r="Q5" i="14"/>
  <c r="Q6" i="14" s="1"/>
  <c r="P5" i="14"/>
  <c r="O5" i="14"/>
  <c r="O6" i="14" s="1"/>
  <c r="N5" i="14"/>
  <c r="N6" i="14" s="1"/>
  <c r="M5" i="14"/>
  <c r="L5" i="14"/>
  <c r="L6" i="14" s="1"/>
  <c r="K5" i="14"/>
  <c r="K6" i="14" s="1"/>
  <c r="J5" i="14"/>
  <c r="J6" i="14" s="1"/>
  <c r="I5" i="14"/>
  <c r="I6" i="14" s="1"/>
  <c r="H6" i="14"/>
  <c r="G5" i="14"/>
  <c r="G6" i="14" s="1"/>
  <c r="F5" i="14"/>
  <c r="F6" i="14" s="1"/>
  <c r="E5" i="14"/>
  <c r="E6" i="14" s="1"/>
  <c r="D5" i="14"/>
  <c r="D6" i="14" s="1"/>
  <c r="C5" i="14"/>
  <c r="C6" i="14" s="1"/>
  <c r="B5" i="14"/>
  <c r="B6" i="14" s="1"/>
  <c r="B8" i="12"/>
  <c r="F6" i="12"/>
  <c r="D6" i="12"/>
  <c r="I5" i="12"/>
  <c r="I6" i="12" s="1"/>
  <c r="H5" i="12"/>
  <c r="H6" i="12" s="1"/>
  <c r="G5" i="12"/>
  <c r="G6" i="12" s="1"/>
  <c r="E5" i="12"/>
  <c r="E6" i="12" s="1"/>
  <c r="C5" i="12"/>
  <c r="C6" i="12" s="1"/>
  <c r="B5" i="12"/>
  <c r="B6" i="12" s="1"/>
  <c r="B8" i="3"/>
  <c r="P6" i="3"/>
  <c r="L6" i="3"/>
  <c r="K6" i="3"/>
  <c r="J6" i="3"/>
  <c r="I6" i="3"/>
  <c r="F6" i="3"/>
  <c r="E6" i="3"/>
  <c r="D6" i="3"/>
  <c r="C6" i="3"/>
  <c r="O5" i="3"/>
  <c r="O6" i="3" s="1"/>
  <c r="N5" i="3"/>
  <c r="N6" i="3" s="1"/>
  <c r="M5" i="3"/>
  <c r="M6" i="3" s="1"/>
  <c r="H5" i="3"/>
  <c r="H6" i="3" s="1"/>
  <c r="G5" i="3"/>
  <c r="G6" i="3" s="1"/>
  <c r="B5" i="3"/>
  <c r="B6" i="3" s="1"/>
  <c r="B8" i="18"/>
  <c r="E5" i="18"/>
  <c r="E6" i="18" s="1"/>
  <c r="D5" i="18"/>
  <c r="D6" i="18" s="1"/>
  <c r="C5" i="18"/>
  <c r="C6" i="18" s="1"/>
  <c r="B5" i="18"/>
  <c r="B6" i="18" s="1"/>
  <c r="B8" i="13"/>
  <c r="F5" i="13"/>
  <c r="F6" i="13" s="1"/>
  <c r="E5" i="13"/>
  <c r="E6" i="13" s="1"/>
  <c r="D5" i="13"/>
  <c r="D6" i="13" s="1"/>
  <c r="C5" i="13"/>
  <c r="C6" i="13" s="1"/>
  <c r="B5" i="13"/>
  <c r="B6" i="13" s="1"/>
</calcChain>
</file>

<file path=xl/comments1.xml><?xml version="1.0" encoding="utf-8"?>
<comments xmlns="http://schemas.openxmlformats.org/spreadsheetml/2006/main">
  <authors>
    <author>admin</author>
  </authors>
  <commentList>
    <comment ref="I8" authorId="0" shapeId="0">
      <text>
        <r>
          <rPr>
            <b/>
            <sz val="9"/>
            <color indexed="81"/>
            <rFont val="宋体"/>
            <family val="3"/>
            <charset val="134"/>
          </rPr>
          <t xml:space="preserve">0支线 1主线
</t>
        </r>
      </text>
    </comment>
  </commentList>
</comments>
</file>

<file path=xl/comments2.xml><?xml version="1.0" encoding="utf-8"?>
<comments xmlns="http://schemas.openxmlformats.org/spreadsheetml/2006/main">
  <authors>
    <author>China</author>
    <author>admin</author>
  </authors>
  <commentList>
    <comment ref="J8" authorId="0" shapeId="0">
      <text>
        <r>
          <rPr>
            <b/>
            <sz val="9"/>
            <color indexed="81"/>
            <rFont val="宋体"/>
            <family val="3"/>
            <charset val="134"/>
          </rPr>
          <t>China:</t>
        </r>
        <r>
          <rPr>
            <sz val="9"/>
            <color indexed="81"/>
            <rFont val="宋体"/>
            <family val="3"/>
            <charset val="134"/>
          </rPr>
          <t xml:space="preserve">
0 不是
1 是</t>
        </r>
      </text>
    </comment>
    <comment ref="K8" authorId="0" shapeId="0">
      <text>
        <r>
          <rPr>
            <b/>
            <sz val="9"/>
            <color indexed="81"/>
            <rFont val="宋体"/>
            <family val="3"/>
            <charset val="134"/>
          </rPr>
          <t>China:</t>
        </r>
        <r>
          <rPr>
            <sz val="9"/>
            <color indexed="81"/>
            <rFont val="宋体"/>
            <family val="3"/>
            <charset val="134"/>
          </rPr>
          <t xml:space="preserve">
0 不是
1 是</t>
        </r>
      </text>
    </comment>
    <comment ref="O8" authorId="0" shapeId="0">
      <text>
        <r>
          <rPr>
            <b/>
            <sz val="9"/>
            <color indexed="81"/>
            <rFont val="宋体"/>
            <family val="3"/>
            <charset val="134"/>
          </rPr>
          <t>China:</t>
        </r>
        <r>
          <rPr>
            <sz val="9"/>
            <color indexed="81"/>
            <rFont val="宋体"/>
            <family val="3"/>
            <charset val="134"/>
          </rPr>
          <t xml:space="preserve">
0 不是
1 是</t>
        </r>
      </text>
    </comment>
    <comment ref="T8" authorId="0" shapeId="0">
      <text>
        <r>
          <rPr>
            <b/>
            <sz val="9"/>
            <color indexed="81"/>
            <rFont val="宋体"/>
            <family val="3"/>
            <charset val="134"/>
          </rPr>
          <t>China:</t>
        </r>
        <r>
          <rPr>
            <sz val="9"/>
            <color indexed="81"/>
            <rFont val="宋体"/>
            <family val="3"/>
            <charset val="134"/>
          </rPr>
          <t xml:space="preserve">
0 不是
1 是</t>
        </r>
      </text>
    </comment>
    <comment ref="Y8" authorId="0" shapeId="0">
      <text>
        <r>
          <rPr>
            <b/>
            <sz val="9"/>
            <color indexed="81"/>
            <rFont val="宋体"/>
            <family val="3"/>
            <charset val="134"/>
          </rPr>
          <t>China:</t>
        </r>
        <r>
          <rPr>
            <sz val="9"/>
            <color indexed="81"/>
            <rFont val="宋体"/>
            <family val="3"/>
            <charset val="134"/>
          </rPr>
          <t xml:space="preserve">
0 不是
1 是</t>
        </r>
      </text>
    </comment>
    <comment ref="AJ8" authorId="1" shapeId="0">
      <text>
        <r>
          <rPr>
            <b/>
            <sz val="9"/>
            <color indexed="81"/>
            <rFont val="宋体"/>
            <family val="3"/>
            <charset val="134"/>
          </rPr>
          <t xml:space="preserve">1 好感度
2 属性
格式 1;1;100|2;1;200
</t>
        </r>
        <r>
          <rPr>
            <sz val="9"/>
            <color indexed="81"/>
            <rFont val="宋体"/>
            <family val="3"/>
            <charset val="134"/>
          </rPr>
          <t xml:space="preserve">
</t>
        </r>
      </text>
    </comment>
    <comment ref="AL8" authorId="1" shapeId="0">
      <text>
        <r>
          <rPr>
            <sz val="9"/>
            <color indexed="81"/>
            <rFont val="宋体"/>
            <family val="3"/>
            <charset val="134"/>
          </rPr>
          <t xml:space="preserve">默认空 无语音
</t>
        </r>
      </text>
    </comment>
  </commentList>
</comments>
</file>

<file path=xl/comments3.xml><?xml version="1.0" encoding="utf-8"?>
<comments xmlns="http://schemas.openxmlformats.org/spreadsheetml/2006/main">
  <authors>
    <author>admin</author>
  </authors>
  <commentList>
    <comment ref="H8" authorId="0" shapeId="0">
      <text>
        <r>
          <rPr>
            <b/>
            <sz val="9"/>
            <color indexed="81"/>
            <rFont val="宋体"/>
            <family val="3"/>
            <charset val="134"/>
          </rPr>
          <t>1 亲善 2洞察 3决断</t>
        </r>
        <r>
          <rPr>
            <sz val="9"/>
            <color indexed="81"/>
            <rFont val="宋体"/>
            <family val="3"/>
            <charset val="134"/>
          </rPr>
          <t xml:space="preserve">
</t>
        </r>
      </text>
    </comment>
  </commentList>
</comments>
</file>

<file path=xl/sharedStrings.xml><?xml version="1.0" encoding="utf-8"?>
<sst xmlns="http://schemas.openxmlformats.org/spreadsheetml/2006/main" count="73449" uniqueCount="7544">
  <si>
    <t>导出/server</t>
  </si>
  <si>
    <t>*</t>
  </si>
  <si>
    <t>client</t>
  </si>
  <si>
    <t>INT</t>
  </si>
  <si>
    <t>ID</t>
  </si>
  <si>
    <t>i</t>
  </si>
  <si>
    <t>默认值</t>
  </si>
  <si>
    <t>STRING</t>
  </si>
  <si>
    <t>s</t>
  </si>
  <si>
    <t>1至100之和：</t>
  </si>
  <si>
    <t>导出者</t>
  </si>
  <si>
    <t>Count</t>
  </si>
  <si>
    <t>SheetName</t>
  </si>
  <si>
    <t>TargetDIR</t>
  </si>
  <si>
    <t>StringDIR</t>
  </si>
  <si>
    <t>注释</t>
  </si>
  <si>
    <r>
      <rPr>
        <sz val="11"/>
        <color indexed="8"/>
        <rFont val="微软雅黑"/>
        <family val="2"/>
        <charset val="134"/>
      </rPr>
      <t>D</t>
    </r>
    <r>
      <rPr>
        <sz val="11"/>
        <color indexed="8"/>
        <rFont val="微软雅黑"/>
        <family val="2"/>
        <charset val="134"/>
      </rPr>
      <t>efault</t>
    </r>
  </si>
  <si>
    <t>..\..\DataServer\China\</t>
  </si>
  <si>
    <t>导出/server</t>
    <phoneticPr fontId="27" type="noConversion"/>
  </si>
  <si>
    <t>STRING</t>
    <phoneticPr fontId="32" type="noConversion"/>
  </si>
  <si>
    <t>LevelDialogue</t>
  </si>
  <si>
    <t>FightInfo</t>
  </si>
  <si>
    <t>Dialog</t>
    <phoneticPr fontId="32" type="noConversion"/>
  </si>
  <si>
    <t>对应对白</t>
    <phoneticPr fontId="32" type="noConversion"/>
  </si>
  <si>
    <t>End</t>
  </si>
  <si>
    <t>是否为结束点</t>
  </si>
  <si>
    <t>MainPos</t>
  </si>
  <si>
    <t>是否为关键节点</t>
  </si>
  <si>
    <t>InforStarAward</t>
  </si>
  <si>
    <t>SectionID</t>
  </si>
  <si>
    <t>ChapterID</t>
  </si>
  <si>
    <t>Music</t>
  </si>
  <si>
    <t>RoleName</t>
  </si>
  <si>
    <t>PlayerPhoto</t>
  </si>
  <si>
    <t>Content</t>
  </si>
  <si>
    <t>DialogType</t>
  </si>
  <si>
    <t>Start</t>
  </si>
  <si>
    <t>AwardInfo</t>
  </si>
  <si>
    <t>Effect</t>
  </si>
  <si>
    <t>CostItem</t>
  </si>
  <si>
    <t>DialogDelay</t>
  </si>
  <si>
    <t>BagImage</t>
  </si>
  <si>
    <t>LiHui</t>
  </si>
  <si>
    <t>Ntexture</t>
  </si>
  <si>
    <t>BagShake</t>
  </si>
  <si>
    <t>DialogShake</t>
  </si>
  <si>
    <t>GoodsShake</t>
  </si>
  <si>
    <t>LiHuiShake</t>
  </si>
  <si>
    <t>Next</t>
  </si>
  <si>
    <t>ChildIsOption</t>
  </si>
  <si>
    <t>PreMainPos</t>
  </si>
  <si>
    <t>NeceUnlock</t>
  </si>
  <si>
    <t>SelectUnlock</t>
  </si>
  <si>
    <t>MiniGame</t>
  </si>
  <si>
    <t>ProtagonistID</t>
  </si>
  <si>
    <t>BgClip</t>
  </si>
  <si>
    <t>ParentJoinID</t>
  </si>
  <si>
    <t>ChildJoinID</t>
  </si>
  <si>
    <t>EffectParams</t>
  </si>
  <si>
    <t>SpineData</t>
  </si>
  <si>
    <t>AwardLove</t>
  </si>
  <si>
    <t>CatAttributeLock</t>
  </si>
  <si>
    <t>VoiceName</t>
  </si>
  <si>
    <t>ExtendParam</t>
  </si>
  <si>
    <t>NeceMainPos</t>
  </si>
  <si>
    <t>SelectMainPos</t>
  </si>
  <si>
    <t>S</t>
  </si>
  <si>
    <t>sEffect</t>
  </si>
  <si>
    <t>iDialogDelay</t>
  </si>
  <si>
    <t>sNtexture</t>
  </si>
  <si>
    <t>sBagShake</t>
  </si>
  <si>
    <t>sDialogShake</t>
  </si>
  <si>
    <t>sGoodsShake</t>
  </si>
  <si>
    <t>sLiHuiShake</t>
  </si>
  <si>
    <t>iChildIsOption</t>
  </si>
  <si>
    <t>sPreMainPos</t>
  </si>
  <si>
    <t>sNeceUnlock</t>
  </si>
  <si>
    <t>sSelectUnlock</t>
  </si>
  <si>
    <t>sMiniGame</t>
  </si>
  <si>
    <t>sNeceMainPos</t>
  </si>
  <si>
    <t>sSelectMainPos</t>
  </si>
  <si>
    <t>对白索引</t>
  </si>
  <si>
    <t>背景音乐</t>
  </si>
  <si>
    <t>名字</t>
  </si>
  <si>
    <t>头像编号</t>
  </si>
  <si>
    <t>文字内容</t>
  </si>
  <si>
    <t>对话框类型</t>
  </si>
  <si>
    <t>是否为起点</t>
  </si>
  <si>
    <t>奖励(ID;数量|)</t>
  </si>
  <si>
    <t>特效</t>
  </si>
  <si>
    <t>消耗物品</t>
  </si>
  <si>
    <t>对话框延迟播放时间</t>
  </si>
  <si>
    <t>背景图信息</t>
  </si>
  <si>
    <t>立绘信息</t>
  </si>
  <si>
    <t>其他图片地址</t>
  </si>
  <si>
    <t>背景抖动</t>
  </si>
  <si>
    <t>对话框抖动</t>
  </si>
  <si>
    <t>物品抖动</t>
  </si>
  <si>
    <t>立绘抖动</t>
  </si>
  <si>
    <t>子节点ID</t>
  </si>
  <si>
    <t>子对象是否为选项</t>
  </si>
  <si>
    <t>解锁当前必要条件</t>
  </si>
  <si>
    <t>解锁当前对白条件</t>
  </si>
  <si>
    <t>迷你小游戏</t>
  </si>
  <si>
    <t>男主ID</t>
  </si>
  <si>
    <t>背景音效</t>
  </si>
  <si>
    <t>衔接起点</t>
  </si>
  <si>
    <t>跟随衔接</t>
  </si>
  <si>
    <t>特效参数</t>
  </si>
  <si>
    <t>spine动画数据</t>
  </si>
  <si>
    <t>废弃</t>
  </si>
  <si>
    <t>猫属性通关</t>
  </si>
  <si>
    <t>语音</t>
  </si>
  <si>
    <t>必须跑的关键节点</t>
  </si>
  <si>
    <t>可选择的关键节点</t>
  </si>
  <si>
    <t/>
  </si>
  <si>
    <t>我</t>
  </si>
  <si>
    <t>宁北委托31</t>
  </si>
  <si>
    <t>宁北委托32</t>
  </si>
  <si>
    <t>宁北委托33</t>
  </si>
  <si>
    <t>宁北委托34</t>
  </si>
  <si>
    <t>宁北委托35</t>
  </si>
  <si>
    <t>宁北委托36</t>
  </si>
  <si>
    <t>宁北委托37</t>
  </si>
  <si>
    <t>宁北委托38</t>
  </si>
  <si>
    <t>宁北委托39</t>
  </si>
  <si>
    <t>事关重大31</t>
  </si>
  <si>
    <t>事关重大32</t>
  </si>
  <si>
    <t>事关重大33</t>
  </si>
  <si>
    <t>事关重大34</t>
  </si>
  <si>
    <t>事关重大35</t>
  </si>
  <si>
    <t>事关重大36</t>
  </si>
  <si>
    <t>事关重大37</t>
  </si>
  <si>
    <t>事关重大38</t>
  </si>
  <si>
    <t>事关重大39</t>
  </si>
  <si>
    <t>Title</t>
    <phoneticPr fontId="27" type="noConversion"/>
  </si>
  <si>
    <t>导出/server</t>
    <phoneticPr fontId="27" type="noConversion"/>
  </si>
  <si>
    <t>STRING</t>
    <phoneticPr fontId="32" type="noConversion"/>
  </si>
  <si>
    <t>Name</t>
    <phoneticPr fontId="32" type="noConversion"/>
  </si>
  <si>
    <t>Desc</t>
    <phoneticPr fontId="32" type="noConversion"/>
  </si>
  <si>
    <t>证据名</t>
    <phoneticPr fontId="32" type="noConversion"/>
  </si>
  <si>
    <t>证据描述</t>
    <phoneticPr fontId="32" type="noConversion"/>
  </si>
  <si>
    <t>情报道具</t>
    <phoneticPr fontId="32" type="noConversion"/>
  </si>
  <si>
    <t>*</t>
    <phoneticPr fontId="32" type="noConversion"/>
  </si>
  <si>
    <t>InforTrust</t>
    <phoneticPr fontId="27" type="noConversion"/>
  </si>
  <si>
    <t>情报委托</t>
    <phoneticPr fontId="27" type="noConversion"/>
  </si>
  <si>
    <t>InforLevel</t>
    <phoneticPr fontId="27" type="noConversion"/>
  </si>
  <si>
    <t>情报子任务</t>
    <phoneticPr fontId="27" type="noConversion"/>
  </si>
  <si>
    <t>InforUpgrade</t>
    <phoneticPr fontId="27" type="noConversion"/>
  </si>
  <si>
    <t>情报等级</t>
    <phoneticPr fontId="27" type="noConversion"/>
  </si>
  <si>
    <t>关卡对白</t>
    <phoneticPr fontId="27" type="noConversion"/>
  </si>
  <si>
    <t>战斗信息</t>
    <phoneticPr fontId="27" type="noConversion"/>
  </si>
  <si>
    <t>FightDialog</t>
    <phoneticPr fontId="27" type="noConversion"/>
  </si>
  <si>
    <t>战斗对白</t>
    <phoneticPr fontId="27" type="noConversion"/>
  </si>
  <si>
    <t>等级内星星数奖励</t>
    <phoneticPr fontId="27" type="noConversion"/>
  </si>
  <si>
    <t>证据</t>
    <phoneticPr fontId="27" type="noConversion"/>
  </si>
  <si>
    <t>StageNPC</t>
    <phoneticPr fontId="27" type="noConversion"/>
  </si>
  <si>
    <t>关卡NPC</t>
    <phoneticPr fontId="27" type="noConversion"/>
  </si>
  <si>
    <t>STRING</t>
    <phoneticPr fontId="32" type="noConversion"/>
  </si>
  <si>
    <t>Name</t>
    <phoneticPr fontId="32" type="noConversion"/>
  </si>
  <si>
    <t>Star</t>
    <phoneticPr fontId="32" type="noConversion"/>
  </si>
  <si>
    <t>UpInforCount</t>
    <phoneticPr fontId="32" type="noConversion"/>
  </si>
  <si>
    <t>等级</t>
    <phoneticPr fontId="32" type="noConversion"/>
  </si>
  <si>
    <t>等级对应名字</t>
    <phoneticPr fontId="32" type="noConversion"/>
  </si>
  <si>
    <t>升级需要的星数</t>
    <phoneticPr fontId="32" type="noConversion"/>
  </si>
  <si>
    <t>情报点存储上限</t>
    <phoneticPr fontId="32" type="noConversion"/>
  </si>
  <si>
    <t>InforLvl</t>
    <phoneticPr fontId="32" type="noConversion"/>
  </si>
  <si>
    <t>Star</t>
    <phoneticPr fontId="32" type="noConversion"/>
  </si>
  <si>
    <t>Award</t>
    <phoneticPr fontId="32" type="noConversion"/>
  </si>
  <si>
    <t>情报等级</t>
    <phoneticPr fontId="32" type="noConversion"/>
  </si>
  <si>
    <t>星星数</t>
    <phoneticPr fontId="32" type="noConversion"/>
  </si>
  <si>
    <t>奖励</t>
    <phoneticPr fontId="32" type="noConversion"/>
  </si>
  <si>
    <t>*</t>
    <phoneticPr fontId="27" type="noConversion"/>
  </si>
  <si>
    <t>*</t>
    <phoneticPr fontId="27" type="noConversion"/>
  </si>
  <si>
    <t>*</t>
    <phoneticPr fontId="27" type="noConversion"/>
  </si>
  <si>
    <t>INT</t>
    <phoneticPr fontId="27" type="noConversion"/>
  </si>
  <si>
    <t>INT</t>
    <phoneticPr fontId="27" type="noConversion"/>
  </si>
  <si>
    <t>Lvl</t>
    <phoneticPr fontId="27" type="noConversion"/>
  </si>
  <si>
    <t>Type</t>
    <phoneticPr fontId="27" type="noConversion"/>
  </si>
  <si>
    <t>Cost</t>
    <phoneticPr fontId="27" type="noConversion"/>
  </si>
  <si>
    <t>Award</t>
    <phoneticPr fontId="27" type="noConversion"/>
  </si>
  <si>
    <t>StartLevel</t>
    <phoneticPr fontId="27" type="noConversion"/>
  </si>
  <si>
    <t>StarCondition</t>
    <phoneticPr fontId="27" type="noConversion"/>
  </si>
  <si>
    <t>StarConditionDes</t>
    <phoneticPr fontId="27" type="noConversion"/>
  </si>
  <si>
    <t>TrustIcon</t>
    <phoneticPr fontId="27" type="noConversion"/>
  </si>
  <si>
    <t>Desc</t>
    <phoneticPr fontId="27" type="noConversion"/>
  </si>
  <si>
    <t>ProductTag</t>
    <phoneticPr fontId="27" type="noConversion"/>
  </si>
  <si>
    <t>ExtAward</t>
    <phoneticPr fontId="27" type="noConversion"/>
  </si>
  <si>
    <t>任务ID</t>
    <phoneticPr fontId="27" type="noConversion"/>
  </si>
  <si>
    <t>任务等级</t>
    <phoneticPr fontId="27" type="noConversion"/>
  </si>
  <si>
    <t>任务类型</t>
    <phoneticPr fontId="27" type="noConversion"/>
  </si>
  <si>
    <t>接取时消耗</t>
    <phoneticPr fontId="27" type="noConversion"/>
  </si>
  <si>
    <t>接取时奖励(必掉)</t>
    <phoneticPr fontId="27" type="noConversion"/>
  </si>
  <si>
    <t>起始关卡</t>
    <phoneticPr fontId="27" type="noConversion"/>
  </si>
  <si>
    <t>获得星的条件</t>
    <phoneticPr fontId="27" type="noConversion"/>
  </si>
  <si>
    <t>获得星的条件描述</t>
    <phoneticPr fontId="27" type="noConversion"/>
  </si>
  <si>
    <t>委托人图标</t>
    <phoneticPr fontId="27" type="noConversion"/>
  </si>
  <si>
    <t>标题</t>
    <phoneticPr fontId="27" type="noConversion"/>
  </si>
  <si>
    <t>内容</t>
    <phoneticPr fontId="27" type="noConversion"/>
  </si>
  <si>
    <t>产物标签</t>
    <phoneticPr fontId="27" type="noConversion"/>
  </si>
  <si>
    <t>额外奖励</t>
    <phoneticPr fontId="27" type="noConversion"/>
  </si>
  <si>
    <t>*</t>
    <phoneticPr fontId="27" type="noConversion"/>
  </si>
  <si>
    <t>AddrName</t>
    <phoneticPr fontId="27" type="noConversion"/>
  </si>
  <si>
    <t>NpcName</t>
    <phoneticPr fontId="27" type="noConversion"/>
  </si>
  <si>
    <t>StartDialogueID</t>
    <phoneticPr fontId="27" type="noConversion"/>
  </si>
  <si>
    <t>Award</t>
    <phoneticPr fontId="27" type="noConversion"/>
  </si>
  <si>
    <t>TaskID</t>
    <phoneticPr fontId="27" type="noConversion"/>
  </si>
  <si>
    <t>s</t>
    <phoneticPr fontId="27" type="noConversion"/>
  </si>
  <si>
    <t>关卡ID</t>
    <phoneticPr fontId="27" type="noConversion"/>
  </si>
  <si>
    <t>关联地名</t>
    <phoneticPr fontId="27" type="noConversion"/>
  </si>
  <si>
    <t>关联npc</t>
    <phoneticPr fontId="27" type="noConversion"/>
  </si>
  <si>
    <t>起始对话id</t>
    <phoneticPr fontId="27" type="noConversion"/>
  </si>
  <si>
    <t>奖励</t>
    <phoneticPr fontId="27" type="noConversion"/>
  </si>
  <si>
    <t>属于那个任务ID</t>
    <phoneticPr fontId="27" type="noConversion"/>
  </si>
  <si>
    <t>1;1</t>
    <phoneticPr fontId="27" type="noConversion"/>
  </si>
  <si>
    <t>UnlockLevel</t>
    <phoneticPr fontId="32" type="noConversion"/>
  </si>
  <si>
    <t>关卡id</t>
    <phoneticPr fontId="32" type="noConversion"/>
  </si>
  <si>
    <t>任务id</t>
    <phoneticPr fontId="32" type="noConversion"/>
  </si>
  <si>
    <t>前置主对白组</t>
    <phoneticPr fontId="32" type="noConversion"/>
  </si>
  <si>
    <t>解锁关卡</t>
    <phoneticPr fontId="32" type="noConversion"/>
  </si>
  <si>
    <t>0.女主
1.男主带名字
2.女主内心戏
3.NPC带名字
4.旁白不带名字
5.特殊</t>
    <phoneticPr fontId="32" type="noConversion"/>
  </si>
  <si>
    <t>minigame类型;id;概率(10000)</t>
    <phoneticPr fontId="32" type="noConversion"/>
  </si>
  <si>
    <t>男主spineid</t>
    <phoneticPr fontId="32" type="noConversion"/>
  </si>
  <si>
    <t>InforProp</t>
  </si>
  <si>
    <t>导出/server</t>
    <phoneticPr fontId="27" type="noConversion"/>
  </si>
  <si>
    <t>STRING</t>
    <phoneticPr fontId="32" type="noConversion"/>
  </si>
  <si>
    <t>Name</t>
    <phoneticPr fontId="32" type="noConversion"/>
  </si>
  <si>
    <t>Desc</t>
    <phoneticPr fontId="32" type="noConversion"/>
  </si>
  <si>
    <t>证据id</t>
    <phoneticPr fontId="32" type="noConversion"/>
  </si>
  <si>
    <t>NPC名</t>
    <phoneticPr fontId="32" type="noConversion"/>
  </si>
  <si>
    <t>立绘</t>
    <phoneticPr fontId="32" type="noConversion"/>
  </si>
  <si>
    <t>负一为任务结束点</t>
    <phoneticPr fontId="32" type="noConversion"/>
  </si>
  <si>
    <t>DayPlayCount</t>
    <phoneticPr fontId="27" type="noConversion"/>
  </si>
  <si>
    <t>每日可玩次数</t>
    <phoneticPr fontId="27" type="noConversion"/>
  </si>
  <si>
    <t>SweepCost</t>
    <phoneticPr fontId="27" type="noConversion"/>
  </si>
  <si>
    <t>扫荡消耗</t>
    <phoneticPr fontId="27" type="noConversion"/>
  </si>
  <si>
    <t>完成度</t>
    <phoneticPr fontId="27" type="noConversion"/>
  </si>
  <si>
    <t>Completion</t>
    <phoneticPr fontId="27" type="noConversion"/>
  </si>
  <si>
    <t>*</t>
    <phoneticPr fontId="27" type="noConversion"/>
  </si>
  <si>
    <t>id</t>
    <phoneticPr fontId="32" type="noConversion"/>
  </si>
  <si>
    <t>问题</t>
    <phoneticPr fontId="32" type="noConversion"/>
  </si>
  <si>
    <t>回答</t>
    <phoneticPr fontId="32" type="noConversion"/>
  </si>
  <si>
    <t>InforTrustID</t>
    <phoneticPr fontId="32" type="noConversion"/>
  </si>
  <si>
    <t>InforLevelID</t>
    <phoneticPr fontId="32" type="noConversion"/>
  </si>
  <si>
    <t>Answer</t>
    <phoneticPr fontId="32" type="noConversion"/>
  </si>
  <si>
    <t>Question</t>
    <phoneticPr fontId="32" type="noConversion"/>
  </si>
  <si>
    <t>StageGuide</t>
  </si>
  <si>
    <t>*</t>
    <phoneticPr fontId="32" type="noConversion"/>
  </si>
  <si>
    <t>2;40051</t>
    <phoneticPr fontId="27" type="noConversion"/>
  </si>
  <si>
    <t>3;1</t>
    <phoneticPr fontId="27" type="noConversion"/>
  </si>
  <si>
    <t>主子的口味</t>
  </si>
  <si>
    <t>斑斑</t>
  </si>
  <si>
    <t>id</t>
    <phoneticPr fontId="32" type="noConversion"/>
  </si>
  <si>
    <t>全部导出</t>
    <phoneticPr fontId="27" type="noConversion"/>
  </si>
  <si>
    <t>1.男主
2.npc
3.势力</t>
    <phoneticPr fontId="27" type="noConversion"/>
  </si>
  <si>
    <t>1.猫
2.卡</t>
    <phoneticPr fontId="27" type="noConversion"/>
  </si>
  <si>
    <t>公子歇</t>
  </si>
  <si>
    <t>花朝会疑云</t>
  </si>
  <si>
    <t>杜公公打醋湿布，飞鹰走兔的事不胫而走，谁能帮他查查清楚究竟是谁在传他坏话呢？</t>
  </si>
  <si>
    <t>*</t>
    <phoneticPr fontId="27" type="noConversion"/>
  </si>
  <si>
    <t>MainLevel</t>
    <phoneticPr fontId="27" type="noConversion"/>
  </si>
  <si>
    <t>主线</t>
    <phoneticPr fontId="27" type="noConversion"/>
  </si>
  <si>
    <t>*</t>
    <phoneticPr fontId="27" type="noConversion"/>
  </si>
  <si>
    <t>2;40069</t>
  </si>
  <si>
    <t>准备新流行上一批花语茶，请代为调查上京少女的喜好。</t>
  </si>
  <si>
    <t>0;40069</t>
  </si>
  <si>
    <t>90070101</t>
  </si>
  <si>
    <t>7</t>
  </si>
  <si>
    <t>90070201</t>
  </si>
  <si>
    <t>90070301</t>
  </si>
  <si>
    <t>90070401</t>
  </si>
  <si>
    <t>花婆婆</t>
  </si>
  <si>
    <t>你们这些小姑娘啊，没有休息好，火旺可是要长痘的哦。</t>
  </si>
  <si>
    <t>赵家三小姐</t>
  </si>
  <si>
    <t>要我说啊，今年流行的还是粉色，而且啊还得是蜜桃粉。</t>
  </si>
  <si>
    <t>赵三小姐今天穿了一身一头的桃粉色，各种花饰挂得琳琅满目，乍一看小脸几乎全被粉色淹没了。</t>
  </si>
  <si>
    <t>钱家三小姐</t>
  </si>
  <si>
    <t>周家四小姐</t>
  </si>
  <si>
    <t>不过，在给你之前，我可以摸摸你的猫儿嘛？</t>
  </si>
  <si>
    <t>应该是我谢谢你，真的帮了大忙。姑娘得空，可来南湖湖畔花店“人间慢”尝尝鲜儿。</t>
  </si>
  <si>
    <t>婆婆~我回来啦~~</t>
  </si>
  <si>
    <t>29;105001;1</t>
  </si>
  <si>
    <t>手绢</t>
  </si>
  <si>
    <t>写着尚京姑娘们花茶喜好的手绢</t>
  </si>
  <si>
    <t>7;105001;1</t>
  </si>
  <si>
    <t>姑娘们</t>
  </si>
  <si>
    <t>周四小姐</t>
  </si>
  <si>
    <t>婆婆好~我接了您的暮春花语茶的委托，来找您了解一下详细的委托需求。</t>
  </si>
  <si>
    <t>30;711;10000</t>
  </si>
  <si>
    <t>30;721;10000</t>
  </si>
  <si>
    <t>30;731;10000</t>
  </si>
  <si>
    <t>711</t>
  </si>
  <si>
    <t>721</t>
  </si>
  <si>
    <t>731</t>
  </si>
  <si>
    <t>默认战斗背景图片</t>
  </si>
  <si>
    <t>201</t>
  </si>
  <si>
    <t>2;40073</t>
  </si>
  <si>
    <t>路尤在调配新的猫饭，实验多次总是被猫儿嫌弃，发布委托调查猫儿的口味倾向。</t>
  </si>
  <si>
    <t>301</t>
  </si>
  <si>
    <t>401</t>
  </si>
  <si>
    <t>帮助斑斑得到尚京一霸的庇护|查明尚京一霸的身份|查清此事全貌</t>
  </si>
  <si>
    <t>0;40073</t>
  </si>
  <si>
    <t>90020101</t>
  </si>
  <si>
    <t>2</t>
  </si>
  <si>
    <t>90020201</t>
  </si>
  <si>
    <t>90020301</t>
  </si>
  <si>
    <t>90020401</t>
  </si>
  <si>
    <t>90020501</t>
  </si>
  <si>
    <t>90030101</t>
  </si>
  <si>
    <t>3</t>
  </si>
  <si>
    <t>90030201</t>
  </si>
  <si>
    <t>90030301</t>
  </si>
  <si>
    <t>90030401</t>
  </si>
  <si>
    <t>90030501</t>
  </si>
  <si>
    <t>90030601</t>
  </si>
  <si>
    <t>90040101</t>
  </si>
  <si>
    <t>4</t>
  </si>
  <si>
    <t>90040201</t>
  </si>
  <si>
    <t>90040301</t>
  </si>
  <si>
    <t>90040401</t>
  </si>
  <si>
    <t>90040501</t>
  </si>
  <si>
    <t>路掌柜，猫饭的事，可否细说？</t>
  </si>
  <si>
    <t>路尤</t>
  </si>
  <si>
    <t>在下日日与猫相伴，也为此事头疼…</t>
  </si>
  <si>
    <t>路掌柜既然发布了委托，自然就有人能完成。</t>
  </si>
  <si>
    <t>路尤在一旁翻书卷，我决定先对二狸的物品调查一番。</t>
  </si>
  <si>
    <t>90020204|90020205</t>
  </si>
  <si>
    <t>8;40073;1</t>
  </si>
  <si>
    <t>30;211;10000</t>
  </si>
  <si>
    <t>我在二狸窝里的毯子下，发现散落着一些&lt;c=#db3e63ff&gt;鱼干碎屑&lt;/c&gt;。</t>
  </si>
  <si>
    <t>我拿着鱼干碎屑，询问路尤是否知道此事。</t>
  </si>
  <si>
    <t>我跟路尤的了个招呼，便向店外走去。</t>
  </si>
  <si>
    <t>咦，街角的树丛好像有什么动了一下！</t>
  </si>
  <si>
    <t>我轻手轻脚的靠近，结果发现——</t>
  </si>
  <si>
    <t>凶狠的母猫卷卷在那盯着我。</t>
  </si>
  <si>
    <t>卷卷</t>
  </si>
  <si>
    <t>缓缓地靠近，让它放松戒备</t>
  </si>
  <si>
    <t>30;221;10000</t>
  </si>
  <si>
    <t>……</t>
  </si>
  <si>
    <t>赶紧派猫儿追上去吧</t>
  </si>
  <si>
    <t>30;231;10000</t>
  </si>
  <si>
    <t>尚京城的寻常百姓多居住在&lt;c=#db3e63ff&gt;南街&lt;/c&gt;，也致使这个区域有大量野猫。</t>
  </si>
  <si>
    <t>确认一下鱼干的来源</t>
  </si>
  <si>
    <t>我循着味道找到卖鱼干的摊子，老板娘和善的招呼我。</t>
  </si>
  <si>
    <t>大娘</t>
  </si>
  <si>
    <t>湖畔？到湖畔或许能找到这鱼干的线索。</t>
  </si>
  <si>
    <t>大叔，打扰一下，这鱼干的味道，和街上这阵一样吗？</t>
  </si>
  <si>
    <t>大叔</t>
  </si>
  <si>
    <t>【嗅了嗅】这不就是老余家婆娘在卖的啰。</t>
  </si>
  <si>
    <t>老余？</t>
  </si>
  <si>
    <t>西街皆是富贵人家，草木繁多，白日里也并不喧哗。</t>
  </si>
  <si>
    <t>105</t>
  </si>
  <si>
    <t>我在周边寻找了一会儿，然而，并没有野猫见过二狸。</t>
  </si>
  <si>
    <t>没想到竟然在湖边的&lt;c=#db3e63ff&gt;渔夫家&lt;/c&gt;外找到了刚睡醒的二狸。</t>
  </si>
  <si>
    <t>二狸</t>
  </si>
  <si>
    <t>你身上有路尤的味道喵~</t>
  </si>
  <si>
    <t>原来你在这啊，我是替路掌柜出来寻你的。</t>
  </si>
  <si>
    <t>询问不吃饭的事</t>
  </si>
  <si>
    <t>询问小鱼干的事</t>
  </si>
  <si>
    <t>你不吃饭是为何？路尤为此事可发愁了。</t>
  </si>
  <si>
    <t>你的小鱼干是打这偷的？</t>
  </si>
  <si>
    <t>胡说！猫的事怎么叫偷呢喵！</t>
  </si>
  <si>
    <t>这是晒鱼的大叔&lt;c=#db3e63ff&gt;特意给我备的&lt;/c&gt;！</t>
  </si>
  <si>
    <t>所以说，这就是你不吃饭的理由咯……</t>
  </si>
  <si>
    <t>二狸犹豫了一会儿，尾巴一甩，选择不接话。</t>
  </si>
  <si>
    <t>看来二狸有秘密</t>
  </si>
  <si>
    <t>想办法问清楚</t>
  </si>
  <si>
    <t>喵嗷——❤</t>
  </si>
  <si>
    <t>告知路尤梅子汁的事</t>
  </si>
  <si>
    <t>你竟然知道……？</t>
  </si>
  <si>
    <t>喵嗷~喵嗷~喵嗷~</t>
  </si>
  <si>
    <t>这是二狸你的想法？</t>
  </si>
  <si>
    <t>30;311;10000</t>
  </si>
  <si>
    <t>小二</t>
  </si>
  <si>
    <t>30;331;10000</t>
  </si>
  <si>
    <t>30;341;10000</t>
  </si>
  <si>
    <t>30;321;10000</t>
  </si>
  <si>
    <t>30;351;10000</t>
  </si>
  <si>
    <t>101</t>
  </si>
  <si>
    <t>（没想到还会接到猫的委托，真是新奇）</t>
  </si>
  <si>
    <t>您……您是来帮我调查的大人吗？</t>
  </si>
  <si>
    <t>（这只小猫看起来十分胆小，别把它吓坏了。）</t>
  </si>
  <si>
    <t>据说&lt;c=#db3e63ff&gt;尚京一霸&lt;/c&gt;对城中&lt;c=#db3e63ff&gt;小狸奴的那位掌柜&lt;/c&gt;分外特别…</t>
  </si>
  <si>
    <t>斑斑说着就哭了起来，怪可怜的。</t>
  </si>
  <si>
    <t>30;411;10000</t>
  </si>
  <si>
    <t>斑斑瘦骨嶙峋的身上还能看到被抓掉毛露出的皮肤。</t>
  </si>
  <si>
    <t>别害怕，我一定帮你找到它。</t>
  </si>
  <si>
    <t>既然斑斑提到了小狸奴，不妨到&lt;c=#db3e63ff&gt;湖景街&lt;/c&gt;找&lt;c=#db3e63ff&gt;路尤&lt;/c&gt;问问。</t>
  </si>
  <si>
    <t>路掌柜，给我家猫来二两鲜肉干。</t>
  </si>
  <si>
    <t>我乔装成买猫粮的客人，不知道路掌柜会不会认出我。</t>
  </si>
  <si>
    <t>路掌柜，尚京诚里就数您最了解猫了，您听说过&lt;c=#db3e63ff&gt;尚京一霸&lt;/c&gt;吗？</t>
  </si>
  <si>
    <t>您知道它？</t>
  </si>
  <si>
    <t>大概是知道一点儿，但你又为何要寻它？</t>
  </si>
  <si>
    <t>要不要告诉他我的目的呢？</t>
  </si>
  <si>
    <t>告诉他真实目的</t>
  </si>
  <si>
    <t>编造一个理由</t>
  </si>
  <si>
    <t>30;421;10000</t>
  </si>
  <si>
    <t>我摘掉了乔装的道具，路尤一见是我，便放下了戒心。</t>
  </si>
  <si>
    <t>原来是你，那我便放心了，你是万万不会伤害它的。</t>
  </si>
  <si>
    <t>看你并不像为非作歹之徒，我便相信你吧。</t>
  </si>
  <si>
    <t>这个时间兴许在阳光好的地方，可以到&lt;c=#db3e63ff&gt;湖畔&lt;/c&gt;周边看看。</t>
  </si>
  <si>
    <t>对了，尽管它对生人有些凶，但却&lt;c=#db3e63ff&gt;从不主动攻击人&lt;/c&gt;，你且多担待。</t>
  </si>
  <si>
    <t>我来到湖畔旁的一条景致极佳的街道上，迎面飘来一阵诱人的&lt;c=#db3e63ff&gt;鱼香&lt;/c&gt;。</t>
  </si>
  <si>
    <t>我见几只野猫从&lt;c=#db3e63ff&gt;凉亭&lt;/c&gt;附近窜了出来，便朝着凉亭走去。</t>
  </si>
  <si>
    <t>这个地方，倒是挺适合猫儿休息。</t>
  </si>
  <si>
    <t>凉亭面对着湖面，湖面的风吹来实在是十分惬意。</t>
  </si>
  <si>
    <t>它们这会儿大概是见有人来了，便躲起来了吧。</t>
  </si>
  <si>
    <t>到哪里去找尚京一霸呢？</t>
  </si>
  <si>
    <t>派些猫儿帮忙打探</t>
  </si>
  <si>
    <t>30;431;10000</t>
  </si>
  <si>
    <t>派出去的猫儿不到一会儿，便跌跌撞撞地回来了，身上竟然带了伤。</t>
  </si>
  <si>
    <t>这是怎么回事？？？</t>
  </si>
  <si>
    <t>猫儿</t>
  </si>
  <si>
    <t>我安抚了猫儿，思考起此事的蹊跷来。</t>
  </si>
  <si>
    <t>不知不觉中，我便循着湖边飘来的香味，走到了&lt;c=#db3e63ff&gt;宋嫂鱼羹铺&lt;/c&gt;。</t>
  </si>
  <si>
    <t>此时摊子前并没有人，宋嫂在铺子旁的草丛旁蹲着。</t>
  </si>
  <si>
    <t>我走上前去，才发现，宋嫂的面前是一只巨大的长毛猫&lt;c=#db3e63ff&gt;卷卷&lt;/c&gt;。</t>
  </si>
  <si>
    <t>嘶——呼——</t>
  </si>
  <si>
    <t>&lt;c=#db3e63ff&gt;卷卷&lt;/c&gt;一见到我便警惕地“嘶呼”起来，宋嫂也回过头来。</t>
  </si>
  <si>
    <t>宋嫂</t>
  </si>
  <si>
    <t>客官不好意思，您请坐，鱼羹马上就来。</t>
  </si>
  <si>
    <t>莫非……路尤说的是它？</t>
  </si>
  <si>
    <t>看样子，还是不要走上去了。</t>
  </si>
  <si>
    <t>让猫儿去与它沟通比较好……</t>
  </si>
  <si>
    <t>你说的斑斑在哪里？我要看看是谁竟敢在我的地盘凌弱？</t>
  </si>
  <si>
    <t>它在&lt;c=#db3e63ff&gt;南街&lt;/c&gt;，我随你一起去吧。</t>
  </si>
  <si>
    <t>心里有点担心&lt;c=#db3e63ff&gt;斑斑&lt;/c&gt;，不知道它现在还在不在那个巷子里。</t>
  </si>
  <si>
    <t>才走到小巷口，就远远听到了一阵哀叫。</t>
  </si>
  <si>
    <t>小猫</t>
  </si>
  <si>
    <t>喵呜——</t>
  </si>
  <si>
    <t>派遣猫儿去协助</t>
  </si>
  <si>
    <t>？？？</t>
  </si>
  <si>
    <t>喵嗷！嘶嗷——！</t>
  </si>
  <si>
    <t>屋顶上突然跳下来一只巨大的长毛猫，直冲入那群野猫中，是&lt;c=#db3e63ff&gt;卷卷&lt;/c&gt;。</t>
  </si>
  <si>
    <t>一阵撕扯过后，卷卷利落的手法将那群野猫治得服服帖帖。</t>
  </si>
  <si>
    <t>在我的眼皮底下霸凌，胆子可真肥哼！</t>
  </si>
  <si>
    <t>那群&lt;c=#db3e63ff&gt;恶霸猫&lt;/c&gt;纷纷求饶并保证不作恶之后，&lt;c=#db3e63ff&gt;卷卷&lt;/c&gt;一跃跳上房檐，潇洒的离开了。</t>
  </si>
  <si>
    <t>我和卷卷一同来到&lt;c=#db3e63ff&gt;南街&lt;/c&gt;，&lt;c=#db3e63ff&gt;斑斑&lt;/c&gt;却离开了原来的地方。</t>
  </si>
  <si>
    <t>唔，我好像闻到了不妙的气味，我们分头找找看。</t>
  </si>
  <si>
    <t>卷卷留下一句话，便窜到屋顶上去搜查。</t>
  </si>
  <si>
    <t>被留在此的我该做什么呢？</t>
  </si>
  <si>
    <t>和猫儿一起将街道找一遍</t>
  </si>
  <si>
    <t>猫儿急匆匆地咬着我的衣裙，将我带到了一个昏暗的巷口。</t>
  </si>
  <si>
    <t>野猫们</t>
  </si>
  <si>
    <t>霸，霸霸饶命，再也不敢了喵嗷嗷嗷啊——</t>
  </si>
  <si>
    <t>那不是&lt;c=#db3e63ff&gt;斑斑&lt;/c&gt;吗？！</t>
  </si>
  <si>
    <t>谢，谢谢……&lt;c=#db3e63ff&gt;卷卷&lt;/c&gt;大人……</t>
  </si>
  <si>
    <t>以后，我罩着你，他们不敢动你。</t>
  </si>
  <si>
    <t>喂，那边的人，你在这看着它，我去给它弄些鱼羹。</t>
  </si>
  <si>
    <t>说完，&lt;c=#db3e63ff&gt;卷卷&lt;/c&gt;一跃跳上房檐，潇洒的离开了。</t>
  </si>
  <si>
    <t>211</t>
  </si>
  <si>
    <t>231</t>
  </si>
  <si>
    <t>311</t>
  </si>
  <si>
    <t>321</t>
  </si>
  <si>
    <t>331</t>
  </si>
  <si>
    <t>341</t>
  </si>
  <si>
    <t>351</t>
  </si>
  <si>
    <t>411</t>
  </si>
  <si>
    <t>421</t>
  </si>
  <si>
    <t>431</t>
  </si>
  <si>
    <t>鱼干碎屑</t>
  </si>
  <si>
    <t>路尤并未喂过小鱼干，二狸的小鱼干来源，或许与此事有关。</t>
  </si>
  <si>
    <t>鱼干小贩</t>
  </si>
  <si>
    <t>南街上的鱼干小贩，是湖畔边渔夫的妇人。</t>
  </si>
  <si>
    <t>小鱼干</t>
  </si>
  <si>
    <t>梅子汁</t>
  </si>
  <si>
    <t>猫饭里有梅子汁，猫咪味觉敏感，觉得太酸。</t>
  </si>
  <si>
    <t>斑斑的伤口</t>
  </si>
  <si>
    <t>斑斑身上有被欺负留下的伤口，不知道是谁欺负它。</t>
  </si>
  <si>
    <t>路尤的提醒</t>
  </si>
  <si>
    <t>上京一霸嫌疑猫虽然待人凶狠，但从不主动攻击人。</t>
  </si>
  <si>
    <t>尚京扛把子</t>
  </si>
  <si>
    <t>卷卷就是传说中的尚京一霸。</t>
  </si>
  <si>
    <t>恶霸猫</t>
  </si>
  <si>
    <t>打着卷卷护卫的名号，专门恃强凌弱的野猫团伙。</t>
  </si>
  <si>
    <t>卷卷的庇护</t>
  </si>
  <si>
    <t>卷卷对斑斑许下承诺，斑斑在尚京一日，便罩它一日。</t>
  </si>
  <si>
    <t>凉亭一隅</t>
  </si>
  <si>
    <t>宋嫂鱼羹</t>
  </si>
  <si>
    <t>0.默认NPC 1.关卡npc 2.男主</t>
    <phoneticPr fontId="27" type="noConversion"/>
  </si>
  <si>
    <t>2;40058</t>
  </si>
  <si>
    <t>1001</t>
  </si>
  <si>
    <t>3;3;小杜公公</t>
  </si>
  <si>
    <t>烦恼的小杜（上）</t>
  </si>
  <si>
    <t>90010101</t>
  </si>
  <si>
    <t>1</t>
  </si>
  <si>
    <t>0;40058</t>
  </si>
  <si>
    <t>90010201</t>
  </si>
  <si>
    <t>90010301</t>
  </si>
  <si>
    <t>90010401</t>
  </si>
  <si>
    <t>90010501</t>
  </si>
  <si>
    <t>90100101</t>
  </si>
  <si>
    <t>10</t>
  </si>
  <si>
    <t>90100201</t>
  </si>
  <si>
    <t>90100301</t>
  </si>
  <si>
    <t>90100401</t>
  </si>
  <si>
    <t>90100501</t>
  </si>
  <si>
    <t>90100601</t>
  </si>
  <si>
    <t>慢着，你就打算这样去？</t>
  </si>
  <si>
    <t>我这样有什么不对吗？</t>
  </si>
  <si>
    <t>什么三大铁律？</t>
  </si>
  <si>
    <t>跳崖遇水不会死，洞窟禁地有绝学，还有……</t>
  </si>
  <si>
    <t>102</t>
  </si>
  <si>
    <t>艳归月</t>
  </si>
  <si>
    <t>硬气反驳</t>
  </si>
  <si>
    <t>诚意恳求</t>
  </si>
  <si>
    <t>艳街长为何这般小瞧我凡星阁，据我所知，艳街长的单子，我凡星阁从未失手。</t>
  </si>
  <si>
    <t>凡星阁虽已降级，可公子歇还是把这个单派给了我，足以证明现在我的能力可以完成艳街长您的订单。</t>
  </si>
  <si>
    <t>哦？本街长已易容，你竟还能认出来，公子歇果然没有看错人。</t>
  </si>
  <si>
    <t>你们主子看起来不过是个小姑娘，手下们却当真有些手段。</t>
  </si>
  <si>
    <t>哪……哪里易容了？</t>
  </si>
  <si>
    <t>本街长新换了个异域风情款的妆，你没看出来吗？</t>
  </si>
  <si>
    <t>本街长也知道绝不是烟花燃放失误的缘故，毕竟烟火是本街长亲自负责的。</t>
  </si>
  <si>
    <t>（……那位大人？）</t>
  </si>
  <si>
    <t>咳……那我可以为艳街长做些什么呢？</t>
  </si>
  <si>
    <t>我不需要帮你捉拿贼人吗？</t>
  </si>
  <si>
    <t>103</t>
  </si>
  <si>
    <t>这位小姐，我们出了整匹的凡星绢，您要来一匹吗？</t>
  </si>
  <si>
    <t>啊！小姐！你怎么这副打扮呀？今天出门来不及化妆吗？</t>
  </si>
  <si>
    <t>后堂的事我不太清楚，自从走水后，后堂还有些地方要等官府取证呢。</t>
  </si>
  <si>
    <t>那我去后面看看。</t>
  </si>
  <si>
    <t>后堂虽已修整，但有些疑似起火点的地方被官府用朱红色的绸子围起来，作为证据保护。</t>
  </si>
  <si>
    <t>不知道要怎么找呢……伤脑筋……</t>
  </si>
  <si>
    <t>90010309|90010310</t>
  </si>
  <si>
    <t>自己动手翻翻找找</t>
  </si>
  <si>
    <t>找猫儿帮忙</t>
  </si>
  <si>
    <t>30;111;10000</t>
  </si>
  <si>
    <t>狸嗷嗷</t>
  </si>
  <si>
    <t>哇！狸嗷嗷真是帮大忙了！谢谢你啦！</t>
  </si>
  <si>
    <t>橘又又</t>
  </si>
  <si>
    <t>又又今天也特别努力！也谢谢你！</t>
  </si>
  <si>
    <t>李记烟花的伙计们都很忙，你一个人逛到店铺一处角落，觉得这里有些不对劲。</t>
  </si>
  <si>
    <t>90010402|90010403|90010404</t>
  </si>
  <si>
    <t>窗户</t>
  </si>
  <si>
    <t>烟花</t>
  </si>
  <si>
    <t>人影</t>
  </si>
  <si>
    <t>30;121;10000</t>
  </si>
  <si>
    <t>张管事</t>
  </si>
  <si>
    <t>我们商广会馆从这李记烟花订购三百箱烟花供府内私用……</t>
  </si>
  <si>
    <t>三……三百！？祁公子要这么多烟花做什么！？</t>
  </si>
  <si>
    <t>多？我们府里每年最少都是要五百箱的，可是今年少东家没在府里过节，我们就只要了三百箱。</t>
  </si>
  <si>
    <t>谁成想这区区三百箱烟花，也能短缺二十箱，你说这李记烟花做的什么生意……啧……</t>
  </si>
  <si>
    <t>这二十箱是做少了，还是……？</t>
  </si>
  <si>
    <t>玄门！！</t>
  </si>
  <si>
    <t>商贸行里店铺繁多，我要怎么知道，哪一家是玄门的据点呢？</t>
  </si>
  <si>
    <t>90010502|90010503</t>
  </si>
  <si>
    <t>有隐隐兰花味的蜜饯铺子</t>
  </si>
  <si>
    <t>有麦芽香气的糖饼铺子</t>
  </si>
  <si>
    <t>这蜜饯铺子白日里不开张，竟然还有看门人？我要怎么引开他呢？</t>
  </si>
  <si>
    <t>大喊“失火了”</t>
  </si>
  <si>
    <t>向看门人打探</t>
  </si>
  <si>
    <t>抛出一只奇萌无比的小猫咪</t>
  </si>
  <si>
    <t>30;131;10000</t>
  </si>
  <si>
    <t>明明没有着火啊，怎么骗人呢？</t>
  </si>
  <si>
    <t>看门人</t>
  </si>
  <si>
    <t>东主有事，今日不开张</t>
  </si>
  <si>
    <t>（趁他沉迷撸猫，我得赶紧溜进去才行）</t>
  </si>
  <si>
    <t>终于摸进玄门了，这就是主事的房间吗……咦？这是什么？</t>
  </si>
  <si>
    <t>唐仁</t>
  </si>
  <si>
    <t>客官买糖饼吗？</t>
  </si>
  <si>
    <t>获得玄门密信</t>
  </si>
  <si>
    <t>小杜公公</t>
  </si>
  <si>
    <t>你就是来帮我的探子吗？哎哟……</t>
  </si>
  <si>
    <t>小杜公公你怎么了？</t>
  </si>
  <si>
    <t>为什么会被打呢？</t>
  </si>
  <si>
    <t>哎……这事太丢脸了，还被人笑话，总之你快想想办法帮我看看到底是谁在&lt;c=#db3e63ff&gt;传儿歌&lt;/c&gt;笑话我……</t>
  </si>
  <si>
    <t>管家</t>
  </si>
  <si>
    <t>套套近乎</t>
  </si>
  <si>
    <t>30;1011;10000</t>
  </si>
  <si>
    <t>搬出宁北的名头吓吓他</t>
  </si>
  <si>
    <t>2;3;1</t>
  </si>
  <si>
    <t>原来是绣坊的掌柜的，我们公主非常喜欢你的布料。你真是个布匹奇商啊。</t>
  </si>
  <si>
    <t>管家夸奖了，您才是恪尽职守，听说您前些日子正家法，还惩治了一个小太监是吗？</t>
  </si>
  <si>
    <t>原来是靖远侯的客卿，失敬失敬。</t>
  </si>
  <si>
    <t>管家抬举了，我就是来问问，近来你是不是惩罚了一个小太监？</t>
  </si>
  <si>
    <t>那是，他弄脏了公主要的最新款布料，公主当然要责罚他。</t>
  </si>
  <si>
    <t>布料？</t>
  </si>
  <si>
    <t>就是你们&lt;c=#db3e63ff&gt;云绣坊&lt;/c&gt;卖的凡星绢，刚开业的时候安公子就亲自推荐过，公主一定不会错过的。</t>
  </si>
  <si>
    <t>小姐你怎么来了？</t>
  </si>
  <si>
    <t>我来查查，开业那天是不是有位公公来买过凡星绢？</t>
  </si>
  <si>
    <t>开业的时候来的公公也不止一位，小姐说的是哪位呢？</t>
  </si>
  <si>
    <t>这就不好办了……小杜公公也没什么特征呀……</t>
  </si>
  <si>
    <t>让见过杜公公的猫儿比划比划</t>
  </si>
  <si>
    <t>尝试描述</t>
  </si>
  <si>
    <t>嗯……就是……一个男的……</t>
  </si>
  <si>
    <t>是个公公……大概这么高……</t>
  </si>
  <si>
    <t>叫小杜……</t>
  </si>
  <si>
    <t>……哈？</t>
  </si>
  <si>
    <t>你怎么知道的呢？</t>
  </si>
  <si>
    <t>那天绣坊开业，布匹有折扣嘛，小杜公公说公主府给的采买钱可以省下些买酒的。</t>
  </si>
  <si>
    <t>就是去买那个有名的“两生花”，这个酒还是安歌公子带起来的风潮呢，只有&lt;c=#db3e63ff&gt;天香楼&lt;/c&gt;有卖。</t>
  </si>
  <si>
    <t>后来听说他把酒洒在公主府要的凡星绢上，不知道要受怎样的罚呢……</t>
  </si>
  <si>
    <t>这后面的事我也知道了，可是你怎么独独记住他了呢？</t>
  </si>
  <si>
    <t>他最近在街头巷尾被小童传唱呢！可好玩了。</t>
  </si>
  <si>
    <t>传唱些什么呢？</t>
  </si>
  <si>
    <t>不过就是那位姓任的说书先生改编的顺口溜，我也记不太清了。</t>
  </si>
  <si>
    <t>任先生？</t>
  </si>
  <si>
    <t>是一个说书的先生，叫&lt;c=#db3e63ff&gt;任言道&lt;/c&gt;。任先生他一般不固定在一家茶坊。</t>
  </si>
  <si>
    <t>最近他似乎是在&lt;c=#db3e63ff&gt;商贸行&lt;/c&gt;的&lt;c=#db3e63ff&gt;清谷茶坊&lt;/c&gt;。</t>
  </si>
  <si>
    <t>任言道</t>
  </si>
  <si>
    <t>售票处不在这边，门口请好。</t>
  </si>
  <si>
    <t>我是来找你的，任先生。</t>
  </si>
  <si>
    <t>哎——先甭管问什么，我任言道吃的是嘴皮子饭，任何让我开口的事儿都得交些误工费。</t>
  </si>
  <si>
    <t>用猫咪求求他</t>
  </si>
  <si>
    <t>30;1031;10000</t>
  </si>
  <si>
    <t>想个法子逗逗他</t>
  </si>
  <si>
    <t>30;1041;10000</t>
  </si>
  <si>
    <t>嘘，不要告诉别人，我喜欢橘猫这件事……你要问什么就问吧。</t>
  </si>
  <si>
    <t>噗哈哈，你竟然是这么有趣的人，行吧，你要问什么就问吧。</t>
  </si>
  <si>
    <t>街头关于小杜公公的儿歌是你写的吗？</t>
  </si>
  <si>
    <t>哎小意思小意思。</t>
  </si>
  <si>
    <t>怎么唱的呢？</t>
  </si>
  <si>
    <t>你且听我说来……</t>
  </si>
  <si>
    <t>获得线索【传唱的儿歌】</t>
  </si>
  <si>
    <t>飞了鹰，跑了兔，倒了醋，湿了布。</t>
  </si>
  <si>
    <t>真的有鹰吗？</t>
  </si>
  <si>
    <t>鹰？我是没见什么鹰，被吓得软了脚的虾就见了一只！巷口的小童亲眼看他爬出来的。</t>
  </si>
  <si>
    <t>你不如去问问&lt;c=#db3e63ff&gt;胖头余&lt;/c&gt;那小子，他就在&lt;c=#db3e63ff&gt;湖畔&lt;/c&gt;陪他爹打渔呢。</t>
  </si>
  <si>
    <t>客官是吃饭还是沽酒？今儿“两生花”可还剩三坛咯！</t>
  </si>
  <si>
    <t>都不是，我是想来问问……</t>
  </si>
  <si>
    <t>客官既然没有做生意的意思，就请往后稍稍，还有别的客人买酒呢。</t>
  </si>
  <si>
    <t>我要怎么问出小杜公公的事呢……</t>
  </si>
  <si>
    <t>与小二周旋</t>
  </si>
  <si>
    <t>30;1051;10000</t>
  </si>
  <si>
    <t>还是去找任先生吧</t>
  </si>
  <si>
    <t>打扰了，我想想再说……</t>
  </si>
  <si>
    <t>那您再想想，下一位~</t>
  </si>
  <si>
    <t>客官真是豪爽，不瞒您说，这每天买酒的人这么多，小的也记不住有谁来买过。</t>
  </si>
  <si>
    <t>但小的不让您白跑一趟，这是一点小&lt;c=#db3e63ff&gt;赠品&lt;/c&gt;，您下次常来，小的还招呼您~</t>
  </si>
  <si>
    <t>胖头余</t>
  </si>
  <si>
    <t>阿姨你找我呀？</t>
  </si>
  <si>
    <t>（啧…有点生气是怎么回事……）</t>
  </si>
  <si>
    <t>姐姐也不算很大的，你要叫我姐姐哦。对了，听说是你在传小杜公公的儿歌是吗？</t>
  </si>
  <si>
    <t>阿姨，你让我不唱总得有点表示吧。</t>
  </si>
  <si>
    <t>找猫儿吓唬他</t>
  </si>
  <si>
    <t>30;1061;10000</t>
  </si>
  <si>
    <t>用道理说服他</t>
  </si>
  <si>
    <t>30;1071;10000</t>
  </si>
  <si>
    <t>我……我下次再也不敢了，你让它们走吧……</t>
  </si>
  <si>
    <t>你以后还敢不敢传别人笑话了？</t>
  </si>
  <si>
    <t>不了不了不敢了，谁传小杜公公笑话，谁被猫儿叼走。</t>
  </si>
  <si>
    <t>111</t>
  </si>
  <si>
    <t>121</t>
  </si>
  <si>
    <t>131</t>
  </si>
  <si>
    <t>1011</t>
  </si>
  <si>
    <t>1021</t>
  </si>
  <si>
    <t>1031</t>
  </si>
  <si>
    <t>1041</t>
  </si>
  <si>
    <t>1051</t>
  </si>
  <si>
    <t>1061</t>
  </si>
  <si>
    <t>1071</t>
  </si>
  <si>
    <t>烟花碎屑</t>
  </si>
  <si>
    <t>有烧焦痕迹的烟花碎屑，细闻有淡淡的兰花味</t>
  </si>
  <si>
    <t>大块烟花碎屑</t>
  </si>
  <si>
    <t>是烟花包裹料的一部分，"李记烟花“几个字隐约可见。</t>
  </si>
  <si>
    <t>窗纸</t>
  </si>
  <si>
    <t>破旧的窗纸，似乎没有什么线索</t>
  </si>
  <si>
    <t>成品烟花</t>
  </si>
  <si>
    <t>烟花没什么特别的，只是闻起来比平常烟花多了一些兰花味</t>
  </si>
  <si>
    <t>密信</t>
  </si>
  <si>
    <t>玄门纵火的罪证。</t>
  </si>
  <si>
    <t>买货行踪1</t>
  </si>
  <si>
    <t>小杜公公那天去云绣坊买过凡星绢</t>
  </si>
  <si>
    <t>买货行踪2</t>
  </si>
  <si>
    <t>杜公公买过布料后，去买了名酒“两生花”</t>
  </si>
  <si>
    <t>传唱的儿歌</t>
  </si>
  <si>
    <t>“有个公公叫小杜，上街打醋又买布……”</t>
  </si>
  <si>
    <t>调查</t>
  </si>
  <si>
    <t>探事轩</t>
  </si>
  <si>
    <t>云绣坊</t>
  </si>
  <si>
    <t>李记烟花</t>
  </si>
  <si>
    <t>查探</t>
  </si>
  <si>
    <t>公主府</t>
  </si>
  <si>
    <t>清谷茶坊</t>
  </si>
  <si>
    <t>天香楼</t>
  </si>
  <si>
    <t>婆婆转身打开货架，琳琅满目地放了各色的干花和茶叶。</t>
  </si>
  <si>
    <t>啊，烫烫烫。</t>
  </si>
  <si>
    <t>老身这就去给姑娘拿冰块。</t>
  </si>
  <si>
    <t>702</t>
  </si>
  <si>
    <t>（这周家四小姐是会说话的，身份又贵重，在场的姑娘都会给她些面子，有她在想是吵不起来了。）</t>
  </si>
  <si>
    <t>1;123</t>
  </si>
  <si>
    <t>1;124</t>
  </si>
  <si>
    <t>1;125</t>
  </si>
  <si>
    <t>1;126</t>
  </si>
  <si>
    <t>1;114</t>
  </si>
  <si>
    <t>1;102</t>
  </si>
  <si>
    <t>1;103</t>
  </si>
  <si>
    <t>1;115</t>
  </si>
  <si>
    <t>1;116</t>
  </si>
  <si>
    <t>1;117</t>
  </si>
  <si>
    <t>1;119</t>
  </si>
  <si>
    <t>1;120</t>
  </si>
  <si>
    <t>1;104</t>
  </si>
  <si>
    <t>1;121</t>
  </si>
  <si>
    <t>1;122</t>
  </si>
  <si>
    <t>1;112</t>
  </si>
  <si>
    <t>1;113</t>
  </si>
  <si>
    <t>1;127</t>
  </si>
  <si>
    <t>1;128</t>
  </si>
  <si>
    <t>1;129</t>
  </si>
  <si>
    <t>1;130</t>
  </si>
  <si>
    <t>3;1;斑斑</t>
  </si>
  <si>
    <t>我已经接下了这个委托，请带我去见那位&lt;c=#db3e63ff&gt;雇主&lt;/c&gt;吧。</t>
  </si>
  <si>
    <t>好了，这样就万无一失了，快去见见你的雇主吧，他现下就在&lt;c=#db3e63ff&gt;花街&lt;/c&gt;，你说不定知道他。</t>
  </si>
  <si>
    <t>你要找出关键线索，但不可打草惊蛇，发现&lt;c=#db3e63ff&gt;密信，印章，账簿&lt;/c&gt;之类的呈堂证供，交予本街长便是。</t>
  </si>
  <si>
    <t>官府也不是吃干饭的，你们做探子的，只管找到&lt;c=#db3e63ff&gt;线索&lt;/c&gt;就是。</t>
  </si>
  <si>
    <t>呼……这也太累了吧，好多地方又黑又窄，我根本看不清楚，还是&lt;c=#db3e63ff&gt;找猫儿帮帮忙&lt;/c&gt;吧。</t>
  </si>
  <si>
    <t>（看来这&lt;c=#db3e63ff&gt;商贸行&lt;/c&gt;的&lt;c=#db3e63ff&gt;李记烟花&lt;/c&gt;，一定有我想要的线索！）</t>
  </si>
  <si>
    <t>（直接问可能已经不太合适了，看来我还是去&lt;c=#db3e63ff&gt;商贸行&lt;/c&gt;碰碰运气看吧……）</t>
  </si>
  <si>
    <t>看这盖章……这是一封玄门的&lt;c=#db3e63ff&gt;密信&lt;/c&gt;啊！</t>
  </si>
  <si>
    <t>我得赶紧&lt;c=#db3e63ff&gt;提交委托&lt;/c&gt;，千万不能耽误艳街长捉拿贼人。</t>
  </si>
  <si>
    <t>（调查猫儿的口味……可不简单得很嘛。）</t>
  </si>
  <si>
    <t>202</t>
  </si>
  <si>
    <t>302</t>
  </si>
  <si>
    <t>306</t>
  </si>
  <si>
    <t>402</t>
  </si>
  <si>
    <t>1301</t>
  </si>
  <si>
    <t>1;131</t>
  </si>
  <si>
    <t>1;132</t>
  </si>
  <si>
    <t>1;133</t>
  </si>
  <si>
    <t>203|204</t>
  </si>
  <si>
    <t>29;105002;1</t>
  </si>
  <si>
    <t>29;105003;1</t>
  </si>
  <si>
    <t>29;105004;1</t>
  </si>
  <si>
    <t>29;105005;1</t>
  </si>
  <si>
    <t>29;105006;1</t>
  </si>
  <si>
    <t>29;105007;1</t>
  </si>
  <si>
    <t>29;105008;1</t>
  </si>
  <si>
    <t>29;105010;1</t>
  </si>
  <si>
    <t>29;105011;1</t>
  </si>
  <si>
    <t>29;105012;1</t>
  </si>
  <si>
    <t>29;105013;1</t>
  </si>
  <si>
    <t>29;105014;1</t>
  </si>
  <si>
    <t>29;105016;1</t>
  </si>
  <si>
    <t>29;105017;1</t>
  </si>
  <si>
    <t>29;105018;1</t>
  </si>
  <si>
    <t>29;105028;1</t>
  </si>
  <si>
    <t>29;105029;1</t>
  </si>
  <si>
    <t>29;105030;1</t>
  </si>
  <si>
    <t>酸味</t>
  </si>
  <si>
    <t>吃剩的猫饭里有一丝微弱的酸味。</t>
  </si>
  <si>
    <t>501</t>
  </si>
  <si>
    <t>查清玄门门徒行踪|帮许二仙鸿雁传情|查清此事全貌</t>
  </si>
  <si>
    <t>1;3</t>
  </si>
  <si>
    <t>玄门疑踪</t>
  </si>
  <si>
    <t>目前已有玄门行踪的蛛丝马迹，需要派人查探玄门意欲何为</t>
  </si>
  <si>
    <t>2;3</t>
  </si>
  <si>
    <t>90050101</t>
  </si>
  <si>
    <t>5</t>
  </si>
  <si>
    <t>90050201</t>
  </si>
  <si>
    <t>90050301</t>
  </si>
  <si>
    <t>90050401</t>
  </si>
  <si>
    <t>情报任务，危机重重。若是接了玩命的委托，你就不怕小命不保？</t>
  </si>
  <si>
    <t>公子歇轻笑一声，俯身为我覆上一张精致的面纱。</t>
  </si>
  <si>
    <t>&lt;c=#db3e63ff&gt;蒙面&lt;/c&gt;相逢应不识。</t>
  </si>
  <si>
    <t>烟花？不对呀，明明是有人……</t>
  </si>
  <si>
    <t>无奈那家店似乎是受到“上头”的特殊关照，而“那位大人”对此事又的确非常看重……</t>
  </si>
  <si>
    <t>29;105019;1</t>
  </si>
  <si>
    <t>……我现在没空解释，你快看看我们店后堂里有没有这东西。&lt;c=#db3e63ff&gt;【烟花碎屑】&lt;/c&gt;</t>
  </si>
  <si>
    <t>29;105020;1</t>
  </si>
  <si>
    <t>104</t>
  </si>
  <si>
    <t>29;105021;1</t>
  </si>
  <si>
    <t>29;105022;1</t>
  </si>
  <si>
    <t>29;105023;1</t>
  </si>
  <si>
    <t>29;105024;1</t>
  </si>
  <si>
    <t>29;105025;1</t>
  </si>
  <si>
    <t>29;105026;1</t>
  </si>
  <si>
    <t>宁北</t>
  </si>
  <si>
    <t>公子歇派凡星阁来接这个案子？</t>
  </si>
  <si>
    <t>（神龙若是说的皇权，那么就是说的皇城以北！应该就是&lt;c=#db3e63ff&gt;北山&lt;/c&gt;了！）</t>
  </si>
  <si>
    <t>502</t>
  </si>
  <si>
    <t>呼……这山好难爬呀……哎？那里有个山民耶！</t>
  </si>
  <si>
    <t>大叔！大叔！</t>
  </si>
  <si>
    <t>山民</t>
  </si>
  <si>
    <t>你叫我吗？</t>
  </si>
  <si>
    <t>大叔……呼……你有没有看到有奇怪的人在这附近啊……</t>
  </si>
  <si>
    <t>这里你比较奇怪。</t>
  </si>
  <si>
    <t>……我是说除了我，有没有什么看起来鬼鬼祟祟的人出没呀？可能佩着剑，也可能穿黑衣服之类的。</t>
  </si>
  <si>
    <t>是有几个穿着黑衣服的人，不过他们应该是过来玩的，放了好一会烟花的。</t>
  </si>
  <si>
    <t>喏，就在那边，那烟花还有点好看咧，可惜是白天，晚上一定更加好看。</t>
  </si>
  <si>
    <t>谢谢大叔！</t>
  </si>
  <si>
    <t>我前往烟火燃放地查看，发现这里的确有翻过烟花的痕迹。</t>
  </si>
  <si>
    <t>燃尽的烟花纸箱</t>
  </si>
  <si>
    <t>烧坏的碎布料</t>
  </si>
  <si>
    <t>这里有一些燃尽的烟花纸箱，仔细闻的话可以闻出来一些淡淡的兰花味。</t>
  </si>
  <si>
    <t>（看来他们是没有用完，准备在这边销毁。）</t>
  </si>
  <si>
    <t>这几块烧黑的衣物……凭我这些日子经营绣坊的经验，我看出这是一件夜行衣的一部分。</t>
  </si>
  <si>
    <t>碎布撕得极大，看起来这个人撕得极匆忙。</t>
  </si>
  <si>
    <t>503</t>
  </si>
  <si>
    <t>过路茶摊</t>
  </si>
  <si>
    <t>30;511;10000</t>
  </si>
  <si>
    <t>城门卫兵</t>
  </si>
  <si>
    <t>老板，有没有看到几个奇怪的人过去呀，看起来受了伤的那种。</t>
  </si>
  <si>
    <t>茶摊老板</t>
  </si>
  <si>
    <t>是有几个黑衣人，一开始我以为他们整个人都是黑的，没想到他们的脸居然是熏黑的。</t>
  </si>
  <si>
    <t>504</t>
  </si>
  <si>
    <t>卫兵</t>
  </si>
  <si>
    <t>原来是靖远侯的客卿，你要问什么，我职责范围内必定知无不言。</t>
  </si>
  <si>
    <t>差爷，请问你有没有看到奇怪的人呀，穿黑色的那种。</t>
  </si>
  <si>
    <t>是有几个穿黑衣服的人过去了。他们早上上的山，刚刚烧得一脸漆黑下来的。</t>
  </si>
  <si>
    <t>我猜可能是上山烧烤吧，穿黑色不怕脏。</t>
  </si>
  <si>
    <t>估计是带的那几箱木炭爆骨了，炸伤了他们中的人，我看到他们进城以后就奔医馆去了。</t>
  </si>
  <si>
    <t>最近的就是许医师的&lt;c=#db3e63ff&gt;宝安堂&lt;/c&gt;了。</t>
  </si>
  <si>
    <t>许二仙</t>
  </si>
  <si>
    <t>咦？看起来像但是却不是呢。</t>
  </si>
  <si>
    <t>哎，我还以为你是云绣坊那位掌柜呢……刚刚乍眼看还觉得有些相似。</t>
  </si>
  <si>
    <t>问问云绣坊掌柜的事</t>
  </si>
  <si>
    <t>30;521;10000</t>
  </si>
  <si>
    <t>直接问黑衣人的事</t>
  </si>
  <si>
    <t>30;531;10000</t>
  </si>
  <si>
    <t>你送去云绣坊的拜帖是什么事呀？</t>
  </si>
  <si>
    <t>云绣坊掌柜那样仙子一般的姑娘，一笑倾城，二笑倾国，三笑倾我心……</t>
  </si>
  <si>
    <t>哎你这种凡夫俗子不会懂的，不过你要是能帮我给云绣坊掌柜鸿雁&lt;c=#db3e63ff&gt;传情&lt;/c&gt;……</t>
  </si>
  <si>
    <t>看起来他们还可以坚持一下，似乎是转去&lt;c=#db3e63ff&gt;南街三佛田&lt;/c&gt;了。三佛田毕竟便宜嘛。</t>
  </si>
  <si>
    <t>小姐！有什么吩咐吗？</t>
  </si>
  <si>
    <t>收着就是了。他反正付钱的。</t>
  </si>
  <si>
    <t>三佛田是官府资助的医馆，一般的街坊看病都是来这边的。</t>
  </si>
  <si>
    <t>&lt;c=#db3e63ff&gt;钱医师&lt;/c&gt;是这里最好的医师，我找他问问准没错的。</t>
  </si>
  <si>
    <t>钱医师！</t>
  </si>
  <si>
    <t>钱仲阳</t>
  </si>
  <si>
    <t>小姑娘不要急哦，旁边乖乖坐一下，我看完这个病叔叔就来给你看病病哦！</t>
  </si>
  <si>
    <t>（我不是小孩子啦……）</t>
  </si>
  <si>
    <t>钱医师看起来特别忙，我怎么才能找到机会问他呢？</t>
  </si>
  <si>
    <t>找机会插缝问</t>
  </si>
  <si>
    <t>用猫猫帮钱医师拿药</t>
  </si>
  <si>
    <t>小姑娘不要急哦，我实在太忙了。</t>
  </si>
  <si>
    <t>这些药在药柜上，我老人家&lt;c=#db3e63ff&gt;爬上爬下&lt;/c&gt;很是吃不消的。</t>
  </si>
  <si>
    <t>你若是没病病要看，就出去吧，我没有时间来跟你讲话话哦。</t>
  </si>
  <si>
    <t>你说的黑衣叔叔在的哦，有一个伤情严重，正在那边躺着。</t>
  </si>
  <si>
    <t>其他的看起来不像是付得起药费的样子，在后堂帮我煮药药，也都是些好孩子。</t>
  </si>
  <si>
    <t>冲出去打晕他们</t>
  </si>
  <si>
    <t>找药童给他们加活儿</t>
  </si>
  <si>
    <t>（咦？那边有几个&lt;c=#db3e63ff&gt;药童&lt;/c&gt;……）</t>
  </si>
  <si>
    <t>我将其他药童要煎的药全部加码在他们这儿，一时半会他们是煎不完了。</t>
  </si>
  <si>
    <t>511</t>
  </si>
  <si>
    <t>521</t>
  </si>
  <si>
    <t>531</t>
  </si>
  <si>
    <t>烟花纸箱</t>
  </si>
  <si>
    <t>燃尽的烟花纸箱，带有淡淡的兰花味</t>
  </si>
  <si>
    <t>碎布料</t>
  </si>
  <si>
    <t>烧毁的碎布料，看起来是黑色的夜行衣</t>
  </si>
  <si>
    <t>探索</t>
  </si>
  <si>
    <t>宝安堂</t>
  </si>
  <si>
    <t>三佛田</t>
  </si>
  <si>
    <t>三佛田后堂</t>
  </si>
  <si>
    <t>801</t>
  </si>
  <si>
    <t>2;40072</t>
  </si>
  <si>
    <t>请代为打探花婆婆心意，以及“人间慢”花店名所谓何意</t>
  </si>
  <si>
    <t>2001</t>
  </si>
  <si>
    <t>0;40072</t>
  </si>
  <si>
    <t>90080101</t>
  </si>
  <si>
    <t>8</t>
  </si>
  <si>
    <t>90080201</t>
  </si>
  <si>
    <t>90080301</t>
  </si>
  <si>
    <t>90080401</t>
  </si>
  <si>
    <t>90080501</t>
  </si>
  <si>
    <t>周四小姐，能借一步说话吗？</t>
  </si>
  <si>
    <t>想麻烦你帮个小忙，不知可否方便呢？</t>
  </si>
  <si>
    <t>您好，请问您是白沧吗？</t>
  </si>
  <si>
    <t>白沧</t>
  </si>
  <si>
    <t>婆婆就是花月白？您在婆婆年轻的时候就认识她了？</t>
  </si>
  <si>
    <t>将白沧拉回现实</t>
  </si>
  <si>
    <t>30;811;10000</t>
  </si>
  <si>
    <t>见谅。</t>
  </si>
  <si>
    <t>好嘞，那先告辞了~</t>
  </si>
  <si>
    <t>姑娘来啦，上次多亏了姑娘帮老身了解时兴的花语茶。</t>
  </si>
  <si>
    <t>新的方子我已经拟好了，刚好麻烦姑娘帮老身尝尝，看看取个什么样的名字好呢。</t>
  </si>
  <si>
    <t>来尝尝吧，这两杯分别是基于&lt;c=#db3e63ff&gt;乌龙和茉莉茶&lt;/c&gt;调配而成，茶培和花叶已尽数滤去。</t>
  </si>
  <si>
    <t>乌龙桂梦</t>
  </si>
  <si>
    <t>桂花的乌龙事件</t>
  </si>
  <si>
    <t>老身很喜欢姑娘给茶取的名字。</t>
  </si>
  <si>
    <t>29;105027;1</t>
  </si>
  <si>
    <t>哈哈哈，姑娘真是有趣。</t>
  </si>
  <si>
    <t>茉莉茶中脱俗的香气萦绕在茶茗道语之间。</t>
  </si>
  <si>
    <t>这么美的茶得好好想想</t>
  </si>
  <si>
    <t>30;821;10000</t>
  </si>
  <si>
    <t>没想到婆婆对这些花儿有这么深切的感情。</t>
  </si>
  <si>
    <t>说来话长了，今日索性无事，姑娘若是不忙，可愿意陪老身湖边走走？</t>
  </si>
  <si>
    <t>探事轩今日格外冷清，前堂也不见公子歇的人影。</t>
  </si>
  <si>
    <t>姑娘可是来问歇借阅花婆婆的过往档案？</t>
  </si>
  <si>
    <t>公子怎么知道？</t>
  </si>
  <si>
    <t>探事轩若是连姑娘所需都不能准备得当，那还怎么经营这情报生意？</t>
  </si>
  <si>
    <t>传言因为年少偶遇的一白发男子，爱而不得因此终生未嫁，也是因为这个男人甘愿留在尚京卖花为生。</t>
  </si>
  <si>
    <t>多谢公子，不知还有没有花店名称或是这个白发男子的详细资料？</t>
  </si>
  <si>
    <t>查询有用信息</t>
  </si>
  <si>
    <t>人间慢开店的时候，是家妆品店？推出过红极一时的驻颜琼贵护肤套装？</t>
  </si>
  <si>
    <t>&lt;c=#db3e63ff&gt;白沧&lt;/c&gt;……尚京户籍没有任何记录，真是神秘啊，不管了，先去回复委托吧。</t>
  </si>
  <si>
    <t>805</t>
  </si>
  <si>
    <t>湖畔的风轻轻拂面，有花草的清香味道。</t>
  </si>
  <si>
    <t>这时候似乎可以问问婆婆的心意以及花店名称的含义。</t>
  </si>
  <si>
    <t>请教婆婆花店名</t>
  </si>
  <si>
    <t>7;105027;1</t>
  </si>
  <si>
    <t>追问婆婆花店名</t>
  </si>
  <si>
    <t>30;831;10000</t>
  </si>
  <si>
    <t>当年幼稚，以为取个名字便可拖住人间时光的流逝。</t>
  </si>
  <si>
    <t>（糟糕，提到婆婆的伤心事了，得想办法逗婆婆开心才好。）</t>
  </si>
  <si>
    <t>90080411</t>
  </si>
  <si>
    <t>宽慰花婆婆</t>
  </si>
  <si>
    <t>让姑娘担心了，只是提及这个店名让老身想起了年少时倾慕的那个人。</t>
  </si>
  <si>
    <t>咦，白公子不在？</t>
  </si>
  <si>
    <t>大小姐小心，这里的气味不正常，可能会有危险。</t>
  </si>
  <si>
    <t>是很奇怪，按理说情报委托人如果地址有变是会向探事轩报备以防不能及时收到情报信息。</t>
  </si>
  <si>
    <t>嗷嗷帮忙&lt;c=#db3e63ff&gt;叫猫儿&lt;/c&gt;来一起找找，看看有没有什么线索能关联上&lt;c=#db3e63ff&gt;白公子&lt;/c&gt;。</t>
  </si>
  <si>
    <t>狸嗷嗷出击</t>
  </si>
  <si>
    <t>老大，我们要不不管了，反正是白公子自己跑掉不关我们的事。</t>
  </si>
  <si>
    <t>那怎么行，凡星阁刚刚起步，放弃委托是会影响声誉的。况且特殊情况可以直接跟探事轩交付委托。</t>
  </si>
  <si>
    <t>喵呜，那又怎么样，你怕她我可不怕。大小姐我保护你。</t>
  </si>
  <si>
    <t>李大小姐</t>
  </si>
  <si>
    <t>811</t>
  </si>
  <si>
    <t>821</t>
  </si>
  <si>
    <t>831</t>
  </si>
  <si>
    <t>询问路尤</t>
  </si>
  <si>
    <t>自己调查</t>
  </si>
  <si>
    <t>沿着气味寻找</t>
  </si>
  <si>
    <t>向街坊询问</t>
  </si>
  <si>
    <t>我寻到了老余家的鱼摊，却没见二狸，看来得去&lt;c=#db3e63ff&gt;湖畔&lt;/c&gt;找找。</t>
  </si>
  <si>
    <t>我抱着二狸，带它回到了小狸奴。</t>
  </si>
  <si>
    <t>一见路尤，二狸便挣脱我的怀抱，“噌”的一下就跑到了路尤身边。</t>
  </si>
  <si>
    <t>没想到…阁下果真对猫了如指掌，先前实在冒犯了，此番多谢阁下相助。</t>
  </si>
  <si>
    <t>哎呀，我见这猫在这望了许久，就给它喂了点儿鱼羹。</t>
  </si>
  <si>
    <t>宋嫂转身去忙碌了，&lt;c=#db3e63ff&gt;卷卷&lt;/c&gt;还凶狠很的警惕着，却没有别的动作。</t>
  </si>
  <si>
    <t>得将被欺负的小猫救出来。</t>
  </si>
  <si>
    <t>猫儿们好不容易从混战中将橘色小猫救出，可怜的小猫已经奄奄一息了。</t>
  </si>
  <si>
    <t>看账目，这二十箱是给了&lt;c=#db3e63ff&gt;商贸行&lt;/c&gt;的&lt;c=#db3e63ff&gt;一个玄门据点&lt;/c&gt;，可是这也不能成为糊弄我们商广会馆的理由！</t>
  </si>
  <si>
    <t>（这香气……是那烟花的味道！）</t>
  </si>
  <si>
    <t>（看来就是这里没错了！）</t>
  </si>
  <si>
    <t>90010508|90010509|90010510</t>
  </si>
  <si>
    <t>哇小姑娘养得一手好猫猫啊！</t>
  </si>
  <si>
    <t>*</t>
    <phoneticPr fontId="27" type="noConversion"/>
  </si>
  <si>
    <t>现在该怎么办？</t>
  </si>
  <si>
    <t>丫鬟</t>
  </si>
  <si>
    <t>伙计</t>
  </si>
  <si>
    <t>陆沉</t>
  </si>
  <si>
    <t>1601</t>
  </si>
  <si>
    <t>1701</t>
  </si>
  <si>
    <t>601</t>
  </si>
  <si>
    <t>90060101</t>
  </si>
  <si>
    <t>6</t>
  </si>
  <si>
    <t>90060201</t>
  </si>
  <si>
    <t>90060301</t>
  </si>
  <si>
    <t>90060401</t>
  </si>
  <si>
    <t>90060501</t>
  </si>
  <si>
    <t>碧树</t>
  </si>
  <si>
    <t>30;611;10000</t>
  </si>
  <si>
    <t>30;621;10000</t>
  </si>
  <si>
    <t>30;631;10000</t>
  </si>
  <si>
    <t>30;641;10000</t>
  </si>
  <si>
    <t>611</t>
  </si>
  <si>
    <t>621</t>
  </si>
  <si>
    <t>631</t>
  </si>
  <si>
    <t>641</t>
  </si>
  <si>
    <t>651</t>
  </si>
  <si>
    <t>街角</t>
  </si>
  <si>
    <t>店外</t>
  </si>
  <si>
    <t>90060601</t>
  </si>
  <si>
    <t>30;651;10000</t>
  </si>
  <si>
    <t>你！</t>
  </si>
  <si>
    <t>艳街长！</t>
  </si>
  <si>
    <t>啊？</t>
  </si>
  <si>
    <t>天下第一楼</t>
  </si>
  <si>
    <t>404_403</t>
  </si>
  <si>
    <t>这蜜桃粉的确是个好颜色，但是妹妹这样满满穿了一身，却是不美了。</t>
  </si>
  <si>
    <t>【挑起柳眉】你说什么，难不成都得像你一身的缟素才好看吗？</t>
  </si>
  <si>
    <t>我这可是云绣坊独家极光缎的料子，尚京最贵的张裁缝亲手缝制的。</t>
  </si>
  <si>
    <t>有几个臭钱了不起啊，也不知道是谁到现在连个提亲的人都没有，怕不是都看不起你们家的铜臭吧。</t>
  </si>
  <si>
    <t>【怒目圆睁】你说什么呢，那是我心已有所属拒绝了他们。</t>
  </si>
  <si>
    <t>心有所属？难道是传言中那个见不得人的盗墓贼？</t>
  </si>
  <si>
    <t>（花月白？！儿歌传唱中那个&lt;c=#db3e63ff&gt;一笑倾尽英雄胆，三笑倾尽富人财&lt;/c&gt;的绝世美人？）</t>
  </si>
  <si>
    <t>当然啦~ 我扶婆婆去吧。</t>
  </si>
  <si>
    <t>剧情回顾</t>
  </si>
  <si>
    <t>花婆婆在南湖湖畔开了一家名为“人间慢”的花店，委托我代为了解尚京姑娘们时兴的花茶喜好。</t>
  </si>
  <si>
    <t>南湖的湖心亭中姑娘们正在争执流行的颜色，周四小姐不动声色地平息了争端，看样子拜托她帮忙了解花茶喜好更为合适。</t>
  </si>
  <si>
    <t>花婆婆家附近似乎有神秘人影，不知道为什么要偷偷观察婆婆的店。有机会定要调查清楚。</t>
  </si>
  <si>
    <t>乱葬岗中一名蒙面男子白沧似乎对话婆婆很感兴趣，并透露花婆婆可能曾名为花月白</t>
  </si>
  <si>
    <t>花婆婆让我帮她今年新出的两款新茶命名</t>
  </si>
  <si>
    <t>公子歇拿出探事轩的记载档案给我，可以查看到花婆婆以及人间慢花店的由来，原来这家店曾是一家红极一时的妆品店。</t>
  </si>
  <si>
    <t>花婆婆年轻时真的是哪倾国美人花月白，她钟情之人似乎正是白沧公子。</t>
  </si>
  <si>
    <t>白公子似乎已经不在乱葬岗，带走他的应是一位身轻如燕有着浓香的女子。现在只能先回探事轩交掉任务以免超时，再另想办法寻找白沧。</t>
  </si>
  <si>
    <t>阿姐你瞧！我找到了这个！</t>
  </si>
  <si>
    <t>我……我下次……会……会跑快点的……呼……</t>
  </si>
  <si>
    <t>嘿嘿……</t>
  </si>
  <si>
    <t>嘶——是管家公公……就是我们&lt;c=#db3e63ff&gt;公主府&lt;/c&gt;里管事的，我挨了他一顿好打。</t>
  </si>
  <si>
    <t>602</t>
  </si>
  <si>
    <t>603</t>
  </si>
  <si>
    <t>90060607|90060608</t>
  </si>
  <si>
    <t>303_302</t>
  </si>
  <si>
    <t>是我……我们凡星阁……</t>
  </si>
  <si>
    <t>（哇他不会看出我来了吧……不会不会！我都蒙面了的！）</t>
  </si>
  <si>
    <t>宁北面上看不出表情，只是一直看着我，似乎在思考什么。</t>
  </si>
  <si>
    <t>……侯爷？</t>
  </si>
  <si>
    <t>罢了，由你来办此事也好。</t>
  </si>
  <si>
    <t>305_304</t>
  </si>
  <si>
    <t>谢侯爷信任，定不负侯爷所托。</t>
  </si>
  <si>
    <t>委托并不危险，你有消息了上报即可。</t>
  </si>
  <si>
    <t>（什么能力的人干什么层次的事，侯爷调兵遣将还挺厉害的耶……）</t>
  </si>
  <si>
    <t>这是上次誊抄的&lt;c=#db3e63ff&gt;密信&lt;/c&gt;，你可以走了。</t>
  </si>
  <si>
    <t>（这不就是上次我找到的密信？这最后一句……）</t>
  </si>
  <si>
    <t xml:space="preserve">（哇完全想不出玄门的人有什么特征呀！） </t>
  </si>
  <si>
    <t>（周围没有水流可以降温， 按这衣物烧毁的程度上来看……）</t>
  </si>
  <si>
    <t>（对了！是医馆！他们接下来一定是去了医馆！）</t>
  </si>
  <si>
    <t>他们下山找医馆来着，喏，就去了前面那个&lt;c=#db3e63ff&gt;宝安堂&lt;/c&gt;，你去问问里面的许医师就行了 。</t>
  </si>
  <si>
    <t>后堂药味扑鼻，几个黑衣人正在同时给好几个炉子扇风，看起来手忙脚乱的。</t>
  </si>
  <si>
    <t>公子歇略教了我一些探子的基本手段，便让我去找花街的艳归月。</t>
  </si>
  <si>
    <t>艳街长让我自行去找线索，目前唯一的线索就是我在湖景街的云绣坊了！</t>
  </si>
  <si>
    <t>我用猫猫帮忙找到了引燃用的烟花的碎屑，看样子去李记烟花应该可以有收获。</t>
  </si>
  <si>
    <t>玄门密信指引的方向是……北山！</t>
  </si>
  <si>
    <t>玄门门徒去的是宝安堂，就在北桥弄！</t>
  </si>
  <si>
    <t>许二仙告诉我，玄门门徒去了南街三佛田</t>
  </si>
  <si>
    <t>帮许二仙鸿雁传书</t>
  </si>
  <si>
    <t>钱医师告诉我玄门门徒在后堂</t>
  </si>
  <si>
    <t>想办法困住这些笨蛋玄门人，找机会去通知宁北。</t>
  </si>
  <si>
    <t>街头巷尾流传开一首儿歌，儿童念着有趣，妇人听着也上口。可是儿歌的主人翁却苦不堪言。</t>
  </si>
  <si>
    <t>原来小杜公公那日去过我云绣坊，难道是我云绣坊害他被责罚吗？</t>
  </si>
  <si>
    <t>小杜公公原来只是在我这里买过布匹，具体的事情看来还得问问这位说书先生了。</t>
  </si>
  <si>
    <t>这儿歌的确是任先生编的，现在必须得找到胖头余那小子，让他不要再传唱了。</t>
  </si>
  <si>
    <t>小二好像不知道小杜公公的事呢……</t>
  </si>
  <si>
    <t>事情总算解决了，快提交委托，让小杜公公安心吧。</t>
  </si>
  <si>
    <t>901</t>
  </si>
  <si>
    <t>90090101</t>
  </si>
  <si>
    <t>9</t>
  </si>
  <si>
    <t>90090201</t>
  </si>
  <si>
    <t>90090301</t>
  </si>
  <si>
    <t>90090401</t>
  </si>
  <si>
    <t>90090501</t>
  </si>
  <si>
    <t>这是为何？</t>
  </si>
  <si>
    <t>30;911;10000</t>
  </si>
  <si>
    <t>小厮</t>
  </si>
  <si>
    <t>30;921;10000</t>
  </si>
  <si>
    <t>905</t>
  </si>
  <si>
    <t>30;931;10000</t>
  </si>
  <si>
    <t>30;941;10000</t>
  </si>
  <si>
    <t>30;951;10000</t>
  </si>
  <si>
    <t>30;961;10000</t>
  </si>
  <si>
    <t>921</t>
  </si>
  <si>
    <t>931</t>
  </si>
  <si>
    <t>941</t>
  </si>
  <si>
    <t>951</t>
  </si>
  <si>
    <t>961</t>
  </si>
  <si>
    <t>救援</t>
  </si>
  <si>
    <t>找斑斑</t>
  </si>
  <si>
    <t>赵府</t>
  </si>
  <si>
    <t>路尤让我证实自己的能力，在半炷香时间内找到二狸。</t>
  </si>
  <si>
    <t>简单搜查了店内，二狸不在店内。</t>
  </si>
  <si>
    <t>从周围的野猫口中问得二狸行踪的线索。</t>
  </si>
  <si>
    <t>猫儿称二狸兴许在湖畔边。</t>
  </si>
  <si>
    <t>在南街得知了鱼干碎屑很可能来自湖畔边的渔夫家。</t>
  </si>
  <si>
    <t>二狸不在西街。</t>
  </si>
  <si>
    <t>湖畔的渔夫家门外找到了二狸，并得知二狸不愿吃饭是因为梅子的酸味。</t>
  </si>
  <si>
    <t>送二狸回去，并告知路尤梅子汁的事情，得到路尤的钦佩。</t>
  </si>
  <si>
    <t>小猫斑斑希望寻求传说中的尚京一霸的庇护，让我帮忙寻找。</t>
  </si>
  <si>
    <t>从路尤口中得知很像尚京一霸的猫的消息，准备前往湖畔寻找。</t>
  </si>
  <si>
    <t>遇到了宋嫂鱼羹铺旁的卷卷，发现它便是尚京一霸，与它一同去南街找斑斑。</t>
  </si>
  <si>
    <t>在宋嫂鱼羹铺遇到了卷卷，它果真是传说中的尚京一霸。</t>
  </si>
  <si>
    <t>一只小野猫被恶霸猫欺负，卷卷出手教训野猫。</t>
  </si>
  <si>
    <t>斑斑被野猫欺负，卷卷出手教训野猫，并决定以后要罩着斑斑。</t>
  </si>
  <si>
    <t>904</t>
  </si>
  <si>
    <t>关卡指导</t>
    <phoneticPr fontId="27" type="noConversion"/>
  </si>
  <si>
    <t>1901</t>
  </si>
  <si>
    <t>2;1</t>
  </si>
  <si>
    <t>祁清和</t>
  </si>
  <si>
    <t>105_104</t>
  </si>
  <si>
    <t>瑶琴</t>
  </si>
  <si>
    <t>111_110</t>
  </si>
  <si>
    <t>哦？</t>
  </si>
  <si>
    <t>钱三小姐</t>
  </si>
  <si>
    <t>1101</t>
  </si>
  <si>
    <t>2;4</t>
  </si>
  <si>
    <t>侯大羿</t>
  </si>
  <si>
    <t>1201</t>
  </si>
  <si>
    <t>2;40056</t>
  </si>
  <si>
    <t>1;185</t>
  </si>
  <si>
    <t>胡泊</t>
  </si>
  <si>
    <t>安歌</t>
  </si>
  <si>
    <t>203_202</t>
  </si>
  <si>
    <t>1501</t>
  </si>
  <si>
    <t>1;191</t>
  </si>
  <si>
    <t>楚二</t>
  </si>
  <si>
    <t>1:每日委托
2:人脉委托
3.升级委托</t>
    <phoneticPr fontId="27" type="noConversion"/>
  </si>
  <si>
    <t>TaskID</t>
    <phoneticPr fontId="32" type="noConversion"/>
  </si>
  <si>
    <t>任务ID</t>
    <phoneticPr fontId="32" type="noConversion"/>
  </si>
  <si>
    <t>1401</t>
  </si>
  <si>
    <t>jiaoxiadexin</t>
    <phoneticPr fontId="32" type="noConversion"/>
  </si>
  <si>
    <t>道具图标</t>
    <phoneticPr fontId="32" type="noConversion"/>
  </si>
  <si>
    <t>ItemIcon</t>
    <phoneticPr fontId="32" type="noConversion"/>
  </si>
  <si>
    <t>1:1;通关关卡id;1
2:2;对白关卡id;选择某个对白关键点
3.3;需要某个道具id;数量
4.4;任务完成度;0</t>
    <phoneticPr fontId="27" type="noConversion"/>
  </si>
  <si>
    <t xml:space="preserve">1~1000每日委托
1001~2000等级委托
10511~20000人脉委托
</t>
    <phoneticPr fontId="27" type="noConversion"/>
  </si>
  <si>
    <t>2;40079</t>
  </si>
  <si>
    <t>101_100</t>
  </si>
  <si>
    <t>恭喜姑娘，凡星阁已经是&lt;c=#db3e63ff&gt;一张机中品&lt;/c&gt;了。</t>
  </si>
  <si>
    <t>凡星阁成功晋级到&lt;c=#db3e63ff&gt;一张机中品&lt;/c&gt;了。</t>
  </si>
  <si>
    <t>client</t>
    <phoneticPr fontId="32" type="noConversion"/>
  </si>
  <si>
    <t>9010311</t>
  </si>
  <si>
    <t>9010321</t>
  </si>
  <si>
    <t>9010611</t>
  </si>
  <si>
    <t>9010621</t>
  </si>
  <si>
    <t>9020111</t>
  </si>
  <si>
    <t>9020121</t>
  </si>
  <si>
    <t>9020211</t>
  </si>
  <si>
    <t>9020311</t>
  </si>
  <si>
    <t>9020321</t>
  </si>
  <si>
    <t>9020611</t>
  </si>
  <si>
    <t>9020711</t>
  </si>
  <si>
    <t>9020721</t>
  </si>
  <si>
    <t>9020911</t>
  </si>
  <si>
    <t>9021211</t>
  </si>
  <si>
    <t>9021311</t>
  </si>
  <si>
    <t>尽管人很多，但挤挤或许还是能过去的。</t>
  </si>
  <si>
    <t>被挤成人肉摊饼之前，我总算是挤到了人群里面。</t>
  </si>
  <si>
    <t>前面的人把路围得死死的，我又被挤了出来。</t>
  </si>
  <si>
    <t>算了，只要站得高一些就能看到里面的情况了。</t>
  </si>
  <si>
    <t>我退到路的对面，找了个台阶站上去，看得十分清晰。</t>
  </si>
  <si>
    <t>早已有人想到了这个办法，高处的台阶都站满了人。</t>
  </si>
  <si>
    <t>我委婉的转告他，那边不方便客人进出。</t>
  </si>
  <si>
    <t>让猫儿帮我将他引出来。</t>
  </si>
  <si>
    <t>他轻车熟路的替我分类布匹，我打消了阻止的念头。</t>
  </si>
  <si>
    <t>猫儿太过鲁莽，不小心伤了这位公子。</t>
  </si>
  <si>
    <t>我见他十分熟练，便向他请教生意经来。</t>
  </si>
  <si>
    <t>我让猫儿也在一旁观察他的技巧。</t>
  </si>
  <si>
    <t>从他的口中，我得知了许多开店的技巧。</t>
  </si>
  <si>
    <t>他说的太过深奥，我不太能听懂。</t>
  </si>
  <si>
    <t>我朝周围的街坊求助，让他们帮我打水。</t>
  </si>
  <si>
    <t>再派遣猫儿去寻找这附近能够灭火的水源。</t>
  </si>
  <si>
    <t>我的号召很快得到了响应，大家都过来帮忙了。</t>
  </si>
  <si>
    <t>火势太大了，街坊们打来了水却不敢轻举妄动。</t>
  </si>
  <si>
    <t>不行，我要想办法将火扑灭。</t>
  </si>
  <si>
    <t>让猫儿去替我寻找附近能够用于灭火的水源。</t>
  </si>
  <si>
    <t>我的行动起了带头作用，周围的人开始过来帮忙。</t>
  </si>
  <si>
    <t>火势太大了，我微弱的力量根本不起作用。</t>
  </si>
  <si>
    <t>越是这种时候越是不能慌张，爹爹不会有事的。</t>
  </si>
  <si>
    <t>我有无数羁绊在支持自己，不能轻易被打倒。</t>
  </si>
  <si>
    <t>闭上眼睛深呼吸数次，我的心开始慢慢平静下来。</t>
  </si>
  <si>
    <t>越是想要冷静，我的心就越是往坏处想……</t>
  </si>
  <si>
    <t>爹爹现在有要事在身，是故意如此安排的。</t>
  </si>
  <si>
    <t>我要再想想办法，让他相信我说的话。</t>
  </si>
  <si>
    <t>公子歇见我说得诚恳，便没有再咄咄逼人。</t>
  </si>
  <si>
    <t>我的话漏洞百出，公子歇直接戳破了我的伪装。</t>
  </si>
  <si>
    <t>凡星阁作为顶尖情报阁，岂能如此草率的被除名？</t>
  </si>
  <si>
    <t>要再拿出一些重要信息，才能与他进行谈判。</t>
  </si>
  <si>
    <t>我的理由说得头头是道，公子歇不由得有些赞赏。</t>
  </si>
  <si>
    <t>我经验浅薄，说出的话都经不起推敲。</t>
  </si>
  <si>
    <t>赶紧收拾其花瓶的碎片，查看能否补救。</t>
  </si>
  <si>
    <t>找几只细心的猫儿找找有没有遗漏的碎片。</t>
  </si>
  <si>
    <t>幸好花瓶并没有太碎，一会儿便将碎片都收集起来了。</t>
  </si>
  <si>
    <t>大概是我粗心大意，好些碎片不知道落在了哪里。</t>
  </si>
  <si>
    <t>或许可以尝试询问先前签订订单的具体情况。</t>
  </si>
  <si>
    <t>态度温和的询问，兴许对方能告诉我些有用信息。</t>
  </si>
  <si>
    <t>和对方聊的十分愉快，但是对方似乎掌握的信息不多。</t>
  </si>
  <si>
    <t>对方知道了我不是主事的人，什么也不愿向我透漏。</t>
  </si>
  <si>
    <t>先观察一下这个人好了，看能够从他身上了解什么。</t>
  </si>
  <si>
    <t>这个人看起来并不是下定之人，或许问不出太多。</t>
  </si>
  <si>
    <t>我表现得太明显，对方露出了不悦的神情。</t>
  </si>
  <si>
    <t>不能被他的态度激怒，我要冷静。</t>
  </si>
  <si>
    <t>找个对方关心的切入点，与他平静的交谈吧。</t>
  </si>
  <si>
    <t>我思来想去，还是觉得得先为延期的事情道歉。</t>
  </si>
  <si>
    <t>就在我思考期间，这人对我的态度更加不好了。</t>
  </si>
  <si>
    <t>只能从水流和风向上想办法甩开他们了。</t>
  </si>
  <si>
    <t>争取利用优势在下一个转弯处与他们拉开距离。</t>
  </si>
  <si>
    <t>我的协助恰到好处，后面的船终于开始离我们远去。</t>
  </si>
  <si>
    <t>我判断失误，对方眼看着就要追上来了。</t>
  </si>
  <si>
    <t>所幸离岸边不是太远，尽力游过去。</t>
  </si>
  <si>
    <t>快要体力不支了，我需要坚持下去的动力。</t>
  </si>
  <si>
    <t>踉踉跄跄地，总算是摸上了岸。</t>
  </si>
  <si>
    <t>我的体力逐渐不支，河水淹没了我。</t>
  </si>
  <si>
    <t>尚京最靓猫猫团帮我一把。</t>
  </si>
  <si>
    <t>楼上的猫猫帮我看看哪里是最合适的地方呢。</t>
  </si>
  <si>
    <t>尚京最靓猫猫团帮帮忙。</t>
  </si>
  <si>
    <t>猫儿都来帮我一起观察吧。</t>
  </si>
  <si>
    <t>尚京最靓猫猫团也来助阵了。</t>
  </si>
  <si>
    <t>猫儿软萌的模样也在鼓励我。</t>
  </si>
  <si>
    <t>猫儿软萌的模样也在为我打气。</t>
  </si>
  <si>
    <t>猫儿也来努力帮我想办法。</t>
  </si>
  <si>
    <t>最心细的猫儿也来帮忙了。</t>
  </si>
  <si>
    <t>猫儿软萌的模样也在努力帮我。</t>
  </si>
  <si>
    <t>尚京最靓猫猫团也一起来帮忙了。</t>
  </si>
  <si>
    <t>猫儿软萌的模样也在安抚我。</t>
  </si>
  <si>
    <t>快到岸边了，求助一下岸上的猫儿吧。</t>
  </si>
  <si>
    <t>1801</t>
  </si>
  <si>
    <t>五味</t>
  </si>
  <si>
    <t>莫非……</t>
  </si>
  <si>
    <t>交易</t>
  </si>
  <si>
    <t>扩展参数</t>
    <phoneticPr fontId="32" type="noConversion"/>
  </si>
  <si>
    <t>先拖住他，悄悄观察与他一同前来的人。</t>
    <phoneticPr fontId="32" type="noConversion"/>
  </si>
  <si>
    <t>小莲</t>
  </si>
  <si>
    <t>【使眼色】噗呲噗呲——小莲，是我啦！</t>
  </si>
  <si>
    <t>哦！原来是小杜公公呀，小莲知道的！</t>
  </si>
  <si>
    <t>脑海里似乎还残留有一些模糊的记忆……</t>
  </si>
  <si>
    <t>仔细想想，这个人是什么时候出现的呢？</t>
  </si>
  <si>
    <t>猫儿是怎么认为的呢</t>
  </si>
  <si>
    <t>记忆中，一身紫衣的男人在我失去意识之前来到我面前。</t>
  </si>
  <si>
    <t>我努力去回想，脑袋却越发的疼了。</t>
  </si>
  <si>
    <t>对方冲过来之前，我要想好对策。</t>
  </si>
  <si>
    <t>要冷静，现在不能出一丝差错。</t>
  </si>
  <si>
    <t>问问猫儿的意见吧。</t>
  </si>
  <si>
    <t>等等，那群人好像并不能看到这里……</t>
  </si>
  <si>
    <t>我做好了逃跑的准备，却被沈既明伸手拦住了。</t>
  </si>
  <si>
    <t>他如此冷静，想必是有了对策。</t>
  </si>
  <si>
    <t>先让自己冷静下来……</t>
  </si>
  <si>
    <t>沈既明看起来不是坏人，先静观其变吧。</t>
  </si>
  <si>
    <t>我越想越不对劲，拔腿撤退却发现路没了。</t>
  </si>
  <si>
    <t>仔细想想，关于玉蛟龙有几种不同的记载。</t>
  </si>
  <si>
    <t>从这些信息中提取写最有用的吧。</t>
  </si>
  <si>
    <t>找猫儿们寻求一些灵感。</t>
  </si>
  <si>
    <t>我发现爹爹与定国公兴许都与三洛川有关。</t>
  </si>
  <si>
    <t>信息多且杂乱，我看晕了头脑。</t>
  </si>
  <si>
    <t>让我想想，该从哪些地方着手调查……</t>
  </si>
  <si>
    <t>推测一下可能得到线索的方向。</t>
  </si>
  <si>
    <t>让猫儿帮我前去打探吧。</t>
  </si>
  <si>
    <t>猫儿蹭的蹿了出去，希望尽快有消息吧。</t>
  </si>
  <si>
    <t>猫儿觉得我异想天开，不想听话。</t>
  </si>
  <si>
    <t>我努力凭借自己的意志力弄醒神志。</t>
  </si>
  <si>
    <t>想想那些关心我的人，我不能认输……</t>
  </si>
  <si>
    <t>向猫儿求助一下吧。</t>
  </si>
  <si>
    <t>我想起来，自己是被人弄晕了，不知被带到何处。</t>
  </si>
  <si>
    <t>脑袋越发昏涨，不知道如何才能清醒过来……</t>
  </si>
  <si>
    <t>让我想想……陆沉好像是这么说的……</t>
  </si>
  <si>
    <t>陆沉肯定还说过什么细节……</t>
  </si>
  <si>
    <t>猫儿来给我出出主意吧。</t>
  </si>
  <si>
    <t>簪子顺利的挑动了几个部位，似乎成功了。</t>
  </si>
  <si>
    <t>我胡乱的戳了半天，簪子被戳断了……</t>
  </si>
  <si>
    <t>事发突然，街坊们一定都是怀疑的。</t>
  </si>
  <si>
    <t>只要够坚定，一定能让人相信我。</t>
  </si>
  <si>
    <t>让猫儿也来协助我吧。</t>
  </si>
  <si>
    <t>我整理好自己的思路，准备好求助。</t>
  </si>
  <si>
    <t>街坊们一副凑热闹看好戏的样子，我迟迟不敢开口。</t>
  </si>
  <si>
    <t>只要我的态度足够可信，他们会帮助我的。</t>
  </si>
  <si>
    <t>让猫儿们也来协助我吧。</t>
  </si>
  <si>
    <t>我真诚的望着街坊们，他们看起来也十分担心我。</t>
  </si>
  <si>
    <t>INT</t>
    <phoneticPr fontId="27" type="noConversion"/>
  </si>
  <si>
    <t>UnLockID</t>
    <phoneticPr fontId="27" type="noConversion"/>
  </si>
  <si>
    <t>导出/server</t>
    <phoneticPr fontId="27" type="noConversion"/>
  </si>
  <si>
    <t>解锁任务ID</t>
    <phoneticPr fontId="27" type="noConversion"/>
  </si>
  <si>
    <t>client</t>
    <phoneticPr fontId="27" type="noConversion"/>
  </si>
  <si>
    <t>猫儿不通人话，在下若是被你忽悠了怎么办？</t>
  </si>
  <si>
    <t>二狸喜欢躲猫猫，阁下能在半炷香内，&lt;c=#db3e63ff&gt;寻得二狸&lt;/c&gt;，在下便信你的调查结果。</t>
  </si>
  <si>
    <t>二狸几乎没吃过的猫饭饭里有鱼肉、鸡肉、玉米，闻着还有一丝&lt;c=#db3e63ff&gt;微弱的酸&lt;/c&gt;……</t>
  </si>
  <si>
    <t>要不要问问路尤有什么线索？</t>
  </si>
  <si>
    <t>路掌柜，二狸最近有什么奇怪的地方吗？</t>
  </si>
  <si>
    <t>那个，你知道二狸在何处吗？</t>
  </si>
  <si>
    <t>——嘶！走开！我罩的猫，你可少动歪脑筋！</t>
  </si>
  <si>
    <t>你身上有&lt;c=#db3e63ff&gt;南街&lt;/c&gt;的鱼干味，你偷鱼干了对不对！</t>
  </si>
  <si>
    <t>瞎说，我在调查正经事呢。</t>
  </si>
  <si>
    <t>（鱼干？莫非是二狸的鱼干…去&lt;c=#db3e63ff&gt;南街&lt;/c&gt;看看吧。）</t>
  </si>
  <si>
    <t>窗台外有一群路过的花猫，不妨问问它们。</t>
  </si>
  <si>
    <t>你们知道二狸在何处吗？</t>
  </si>
  <si>
    <t>它们似乎怕人，看了我一眼后，“喵”一声窜走了。</t>
  </si>
  <si>
    <t>不能让它们就这么离开了。</t>
  </si>
  <si>
    <t>……怎么有一股咸鱼的味道？似乎和二狸的小鱼干有些相似。</t>
  </si>
  <si>
    <t>大娘，您家卖鱼干吗？</t>
  </si>
  <si>
    <t>路尤在饭里拌&lt;c=#db3e63ff&gt;酸梅汤&lt;/c&gt;，太难吃啦！</t>
  </si>
  <si>
    <t>猫生太难了，还不如一条咸鱼。</t>
  </si>
  <si>
    <t>路掌柜，猫饭里的梅子汁太酸，二狸吃不惯欸。</t>
  </si>
  <si>
    <t>乖，我是好人，来帮你找&lt;c=#db3e63ff&gt;尚京一霸&lt;/c&gt;的……</t>
  </si>
  <si>
    <t>能先告诉我&lt;c=#db3e63ff&gt;尚京一霸&lt;/c&gt;是什么吗？</t>
  </si>
  <si>
    <t>其，其实，我也只知道…受到他庇护，就，就不会再……被欺负了。</t>
  </si>
  <si>
    <t>我，我没有小鱼干交保护费……它们就……就会打我QAQ。</t>
  </si>
  <si>
    <t>若是今日寻不到它，傍晚我可能又要挨打了，喵嘤嘤……</t>
  </si>
  <si>
    <t>上前哄哄它</t>
  </si>
  <si>
    <t>尚京一霸？噗嗤，怎么给人家姑娘取这样的名字。</t>
  </si>
  <si>
    <t>如果你要找的是那孩子的话……</t>
  </si>
  <si>
    <t>喵喵喵，我们遇到流氓了！没猜错的话它们就是&lt;c=#db3e63ff&gt;欺负斑斑&lt;/c&gt;的野猫。</t>
  </si>
  <si>
    <t>它们听见我们在打听尚京一霸，二话不说便拿爪子挠我，你看我须须都掉了两根，眼睛还睁不开了。</t>
  </si>
  <si>
    <t>（这群流氓猫很可能就是欺负斑斑的猫，今天傍晚前，它们一定会去找斑斑收保护费。）</t>
  </si>
  <si>
    <t>有点担心斑斑，先回&lt;c=#db3e63ff&gt;南街&lt;/c&gt;去找它吧。</t>
  </si>
  <si>
    <t>流氓野猫</t>
  </si>
  <si>
    <t>有一群专门欺凌弱小的野猫，出手凶狠，毫无猫性。</t>
  </si>
  <si>
    <t>&lt;c=#db3e63ff&gt;尚京一霸&lt;/c&gt;哼？说的就是本卷。</t>
  </si>
  <si>
    <t>还没替斑斑找到&lt;c=#db3e63ff&gt;尚京一霸&lt;/c&gt;，又遇到那样一群&lt;c=#db3e63ff&gt;流氓野猫&lt;/c&gt;。</t>
  </si>
  <si>
    <t>不好！是那群&lt;c=#db3e63ff&gt;流氓野猫&lt;/c&gt;！它们在欺负一只橘色的小猫。</t>
  </si>
  <si>
    <t>早就听说有群流氓野猫，打着什么&lt;c=#db3e63ff&gt;收保护费&lt;/c&gt;的名号到处撒野，原来就是你们。</t>
  </si>
  <si>
    <t>城南城北一条街，也不知道打听打听谁是爹。</t>
  </si>
  <si>
    <t>一群猫围着&lt;c=#db3e63ff&gt;卷卷&lt;/c&gt;，&lt;c=#db3e63ff&gt;卷卷&lt;/c&gt;一个巴掌就扇飞一只蛮横的黑猫。</t>
  </si>
  <si>
    <t>猫群被逐个打趴下，我看见&lt;c=#db3e63ff&gt;卷卷&lt;/c&gt;身后，护着一只瘦小的猫咪。</t>
  </si>
  <si>
    <t>*</t>
    <phoneticPr fontId="27" type="noConversion"/>
  </si>
  <si>
    <t>3;1;某人</t>
  </si>
  <si>
    <t>容貌</t>
  </si>
  <si>
    <t>这位街长尽态极妍，形容瑰丽，原以为是一位女子，谁成想，他一开口竟是个男子！</t>
  </si>
  <si>
    <t>1;205</t>
  </si>
  <si>
    <t>1;206</t>
  </si>
  <si>
    <t>在花街这样丹楹刻桷的地界，关于艳无归的传说，却一直如这条街一般荣华。</t>
  </si>
  <si>
    <t>虽然是花街的街长，艳无归在行事作风上却我行我素。他的的燕居服从不拘泥于男子样式，分外鲜艳。</t>
  </si>
  <si>
    <t>初见他时，我也误将他认作女子，幸亏彼时他心情甚好，没有怪罪。</t>
  </si>
  <si>
    <t>不知道他这样花街的风云人物，究竟为何穿衣打扮如此另类呢？</t>
  </si>
  <si>
    <t>酒客</t>
  </si>
  <si>
    <t>这花满楼的酒可真不错啊！</t>
  </si>
  <si>
    <t>周二少爷</t>
  </si>
  <si>
    <t>那是那是，甭说京城，就是出了这花街，也再喝不到这么好的酒了。</t>
  </si>
  <si>
    <t>也多亏艳街长治理有方，才能为花街争取到如此好的酒曲！</t>
  </si>
  <si>
    <t>话说回来这艳街长么……</t>
  </si>
  <si>
    <t>（咦？他们在说艳街长?）</t>
  </si>
  <si>
    <t>这艳街长长得也忒美了！比老子的十八房小妾都好看！</t>
  </si>
  <si>
    <t>曾经有人醉酒在花街，扬言要包下艳街长。那下场，啧啧啧，醉月楼的说书人足足说了一月。</t>
  </si>
  <si>
    <t>可不么！要说这艳街长，在花街可是大名鼎鼎的人物，就连京兆尹进了他的地界，也得让他三分呢！</t>
  </si>
  <si>
    <t>周二少爷果然长目飞耳，比我们江湖粗人懂的多多了！</t>
  </si>
  <si>
    <t>（艳街长竟然还因为好看，有过这样的事？）</t>
  </si>
  <si>
    <t>又转了几桌，听到的都是大同小异，零零碎碎谈论着艳归月的艳名与手腕。</t>
  </si>
  <si>
    <t>咦？角落里这位优伶，想必知道更多艳街长的事。</t>
  </si>
  <si>
    <t>这位姐姐，你听到他们说的了？艳街长真的好看成这样吗？</t>
  </si>
  <si>
    <t>艳街长极懂钗环粉黛，穿衣打扮，虽说是个男人，奴却不觉得有什么不好的。</t>
  </si>
  <si>
    <t>奴只愿本本分分在此奏乐，以报答艳街长的恩情。</t>
  </si>
  <si>
    <t>（恩情？看来我需要亲自去问问艳街长了）</t>
  </si>
  <si>
    <t>你要找艳街长？可不是什么人都能见我们艳街长的。</t>
  </si>
  <si>
    <t>艳街长正烦着呢，把他惹生气了，天王老子来了也赔不起。</t>
  </si>
  <si>
    <t>（哎呀……）</t>
  </si>
  <si>
    <t>你来说说，你都听到了些什么？</t>
  </si>
  <si>
    <t>他们……他们说你拿云握雾，行事雷厉风行。</t>
  </si>
  <si>
    <t>花街被你管理得井井有条。</t>
  </si>
  <si>
    <t>不止这些吧？</t>
  </si>
  <si>
    <t>他们……他们说你样子太美，像……像女子。</t>
  </si>
  <si>
    <t>艳街长朗笑几声，眼睛亮晶晶地看着我。</t>
  </si>
  <si>
    <t>像女子又如何，像男子又如何。像女子难道就平白矮了他们三分去？</t>
  </si>
  <si>
    <t>食君禄，便忠君事。若是人人的期望本街长都要顾着，不如下楼去做个优伶，时时令人评论样貌罢了。</t>
  </si>
  <si>
    <t>本街长从不在意衣服制式是否符合身份性别，就算本街长真穿女装又如何？</t>
  </si>
  <si>
    <t>本街长不仅可以穿女装，也可以化妆簪珠，也可以游泳健身。碍不着旁人半点。</t>
  </si>
  <si>
    <t>但若有人因我女装，便要肆意讥讽我，便觉得我软弱可欺，便妄想近我的身，却是绝不可能的。</t>
  </si>
  <si>
    <t>哇……</t>
  </si>
  <si>
    <t>你不也是么？</t>
  </si>
  <si>
    <t>我？</t>
  </si>
  <si>
    <t>本街长这般信不过你，你还是敢一次次地接我的委托。</t>
  </si>
  <si>
    <t>哈哈，因为我也想要成为一个厉害的人嘛！</t>
  </si>
  <si>
    <t>5;10</t>
  </si>
  <si>
    <t>1000~50000 情报委托
50000~60000 挑战委托</t>
    <phoneticPr fontId="32" type="noConversion"/>
  </si>
  <si>
    <t>1;10;100</t>
    <phoneticPr fontId="27" type="noConversion"/>
  </si>
  <si>
    <t>以下为人脉委托</t>
    <phoneticPr fontId="32" type="noConversion"/>
  </si>
  <si>
    <t>以下为升级挑战委托</t>
    <phoneticPr fontId="32" type="noConversion"/>
  </si>
  <si>
    <t>以下为升级挑战关卡</t>
    <phoneticPr fontId="27" type="noConversion"/>
  </si>
  <si>
    <t>以下为人脉委托</t>
    <phoneticPr fontId="27" type="noConversion"/>
  </si>
  <si>
    <t>以下为升级挑战</t>
    <phoneticPr fontId="27" type="noConversion"/>
  </si>
  <si>
    <t>以下为人脉委托</t>
    <phoneticPr fontId="27" type="noConversion"/>
  </si>
  <si>
    <t>毛毡</t>
  </si>
  <si>
    <t>口脂</t>
  </si>
  <si>
    <t>心事</t>
  </si>
  <si>
    <t>雷厉手腕</t>
  </si>
  <si>
    <t>往事</t>
  </si>
  <si>
    <t>特立独行</t>
  </si>
  <si>
    <t>艳街长看起来醉心脂粉钗环，在某些事情上竟意外地认真负责。</t>
  </si>
  <si>
    <t>花街向来繁华，无人知道艳街长这样一个行为出格的人，如何能混得一个食君禄的官职；也无人知道，他是如何在任上一手兴旺起这条花街的。</t>
  </si>
  <si>
    <t>京城无人知道艳街长的过去，只有那些行走在人世边缘的人，隐隐知道，艳街长是在那时之后……</t>
  </si>
  <si>
    <t>有些人生来便不一样。而敢于坚持不一样，则是他与世人最不一样的地方。</t>
  </si>
  <si>
    <t>花婆婆自种了一种花，名叫“长生狐”，尚京无人知道这花是甚模样。传说长佩此花，可得长生。</t>
  </si>
  <si>
    <t>花婆婆每月总有一日会孤身前往郊外的无人谷。虽不曾真正进谷，长途跋涉，却也让花婆婆日渐吃力。</t>
  </si>
  <si>
    <t>据传花婆婆乃江南富户独女，却缘何孤身长留尚京？</t>
  </si>
  <si>
    <t>花婆婆独居尚京数十载，确有传闻说，她年轻时候明艳动人，不乏有流言蜚语……</t>
  </si>
  <si>
    <t>远郊有一位神出鬼没的老者没有人知道他的来历，只知道他满头白发，行为妖异。</t>
  </si>
  <si>
    <t>为何白沧的头发是白色的呢？他年纪真的很大了吗？</t>
  </si>
  <si>
    <t>白沧看起来并不像失明的样子，那么他为什么要覆一条黑丝在眼上呢？</t>
  </si>
  <si>
    <t>白沧的商店甚是诡异，与他交易，不一定付的是钱财。有的时候是一片树叶，有的时候…是一个秘密。</t>
  </si>
  <si>
    <t>白沧看起来破破烂烂的，为什么这么喜欢让人找花给他呢？</t>
  </si>
  <si>
    <t>卫安从未想到，有一天能在他的眼皮子底下，在侯爷浴室里平白出现一个女子，一向将府守卫得铁桶一般的卫安对自己的能力产生了深深的怀疑</t>
  </si>
  <si>
    <t>卫安升任侍卫总管的第一天，一直将宁北视为生命重心的卫安，并没有收到宁北任何情绪上的表示，这让卫安感到有些茫然，毕竟为了爬上这个位子，自己受了无数的伤痛，也经历了许多诡谲的挑战。直到那一天，自己将一条密信带给宁北。那是一条关于老国公的消息，宁北当场脸色大变，口中喊出“小安”。卫安终于明白，自己不是什么侍卫总管，永远是宁北童年，在黑暗时刻可以深深依赖的“小安”</t>
  </si>
  <si>
    <t>有个话唠小侍卫“卫范”，伙同宁北的堂兄“宁戈”，带着宁北下河上树，调皮捣蛋。两位少年陪着少年宁北干过许多违背国公府规定的事，那时的卫安虚长他们几岁，已然是个武艺高强的少年了，多次从流匪手下游刃有余地保护宁北，所以宁北对卫安极其信任。宁北也曾与卫安卫范一起躺在房顶，畅谈星象和抱负。有一天，四人在郊外的书庐中读书，支开教书先生后，宁北与卫范换了衣衫，卫安扮演刺客与宁北打闹，这时真正的刺客却来了。卫范虽奋力抵挡，却仍被一剑毙命，卫安只来得及捂住宁北的眼睛。这件事在宁北和卫安心中无法抹去。自此之后宁北再也不做出有违自己身份的事，在后来的日子里，宁北的口中再也没有“小安”和“小范”了</t>
  </si>
  <si>
    <t>国公府内仆人众多，宁北手段凌厉，说一不二， 仆人们都对他又敬又怕。侍卫们在卫安的调教下，也各个都冷酷话少。却不知为何，意外地受城中小家碧玉的欢迎。宁北府的侍卫走在街上，都有不少姑娘掩嘴偷看。宁北曾问卫安何时考虑成家，卫安却说不必考虑成家。卫母也多次从媒人处拿了些姑娘画像，卫安都置之不理。直到有一天卫母拿来了一位姑娘的生辰八字，卫安却久久说不出话来。虽然卫安小心翼翼收藏起来那份女方的草帖，却也让母亲不必再去这家问名。</t>
  </si>
  <si>
    <t>卫安在宁北遇刺后，在京城校场里与精兵良将们一起磨炼过数年的武艺，在其中遇到了好兄弟王季常。季常为人仗义，生性豁达，被他的气质感染，卫范的事故阴影终于在卫安心中淡去了许多。多年来在兵营里的操练，让卫安的武艺拔高了许多，也与王季常一起认识了那个让他一辈子忘不掉的“胡姑娘”。卫安知道胡姑娘与季常两情相悦，自从认识她那天起，就知道与她绝无可能。直到王季常随军出征，卫安都没有刻意问来胡姑娘的名字。</t>
  </si>
  <si>
    <t>安歌初见女主，让五味跑来跑去为题字准备</t>
  </si>
  <si>
    <t>安歌眠花宿柳，五味发现安歌很守礼</t>
  </si>
  <si>
    <t>烦人的瑶琴姑娘</t>
  </si>
  <si>
    <t>小时候被拍花子的拐卖的经历</t>
  </si>
  <si>
    <t>初次见到安歌，被安歌温暖的经历</t>
  </si>
  <si>
    <t>总管的责任</t>
  </si>
  <si>
    <t>小安</t>
  </si>
  <si>
    <t>卫范</t>
  </si>
  <si>
    <t>八字</t>
  </si>
  <si>
    <t>胡姑娘</t>
  </si>
  <si>
    <t>题字</t>
  </si>
  <si>
    <t>绯闻</t>
  </si>
  <si>
    <t>童年</t>
  </si>
  <si>
    <t>恩人</t>
  </si>
  <si>
    <t>药店</t>
  </si>
  <si>
    <t>血液中逐渐凝聚起一股力量，思维开始清晰起来了。</t>
  </si>
  <si>
    <t>选择合适的花笺，将因缘际遇凝练成为实力。</t>
  </si>
  <si>
    <t>灵猫血脉的力量越来越强大了，我轻松达成了目标。</t>
  </si>
  <si>
    <t>即便有来自血脉的能力，也没能助我突破眼下的境况。</t>
  </si>
  <si>
    <t>一张机·下品</t>
    <phoneticPr fontId="32" type="noConversion"/>
  </si>
  <si>
    <t>一张机·中品</t>
    <phoneticPr fontId="32" type="noConversion"/>
  </si>
  <si>
    <t>一张机·上品</t>
    <phoneticPr fontId="32" type="noConversion"/>
  </si>
  <si>
    <t>二张机·下品</t>
    <phoneticPr fontId="32" type="noConversion"/>
  </si>
  <si>
    <t>二张机·中品</t>
    <phoneticPr fontId="32" type="noConversion"/>
  </si>
  <si>
    <t>二张机·上品</t>
    <phoneticPr fontId="32" type="noConversion"/>
  </si>
  <si>
    <t>三张机·下品</t>
    <phoneticPr fontId="32" type="noConversion"/>
  </si>
  <si>
    <t>三张机·中品</t>
    <phoneticPr fontId="32" type="noConversion"/>
  </si>
  <si>
    <t>三张机·上品</t>
    <phoneticPr fontId="32" type="noConversion"/>
  </si>
  <si>
    <t>四张机·下品</t>
    <phoneticPr fontId="32" type="noConversion"/>
  </si>
  <si>
    <t>四张机·中品</t>
    <phoneticPr fontId="32" type="noConversion"/>
  </si>
  <si>
    <t>四张机·上品</t>
    <phoneticPr fontId="32" type="noConversion"/>
  </si>
  <si>
    <t>1;10;100</t>
  </si>
  <si>
    <t>2201</t>
  </si>
  <si>
    <t>95020101</t>
  </si>
  <si>
    <t>30;50211;10000</t>
  </si>
  <si>
    <t>30;50221;10000</t>
  </si>
  <si>
    <t>50211</t>
  </si>
  <si>
    <t>30;50111;10000</t>
  </si>
  <si>
    <t>2301</t>
  </si>
  <si>
    <t>406_405</t>
  </si>
  <si>
    <t>艳归月档案-容貌</t>
  </si>
  <si>
    <t>路尤档案-秋雨微凉</t>
  </si>
  <si>
    <t>路公子爱猫成痴，是何缘由呢？</t>
  </si>
  <si>
    <t>花婆婆档案-昙花</t>
  </si>
  <si>
    <t>昙花若是能长留，是不是可以奢望留住岁月里的惊鸿一瞥？</t>
  </si>
  <si>
    <t>胡泊档案-闺秀</t>
  </si>
  <si>
    <t>别人家的姑娘，胡泊。</t>
  </si>
  <si>
    <t>白沧档案-远郊异人</t>
  </si>
  <si>
    <t>白沧档案-白发</t>
  </si>
  <si>
    <t>艳归月档案-街长</t>
  </si>
  <si>
    <t>路尤档案-离家出走</t>
  </si>
  <si>
    <t>路尤为何来尚京，似乎另有隐情。</t>
  </si>
  <si>
    <t>花婆婆档案-长生狐</t>
  </si>
  <si>
    <t>胡泊档案-猫</t>
  </si>
  <si>
    <t>大家闺秀的小小抗争。</t>
  </si>
  <si>
    <t>5601</t>
  </si>
  <si>
    <t>1;215</t>
  </si>
  <si>
    <t>1;216</t>
  </si>
  <si>
    <t>5602</t>
  </si>
  <si>
    <t>5801</t>
  </si>
  <si>
    <t>5802</t>
  </si>
  <si>
    <t>6901</t>
  </si>
  <si>
    <t>1;217</t>
  </si>
  <si>
    <t>6902</t>
  </si>
  <si>
    <t>1;218</t>
  </si>
  <si>
    <t>7201</t>
  </si>
  <si>
    <t>1;219</t>
  </si>
  <si>
    <t>7202</t>
  </si>
  <si>
    <t>7301</t>
  </si>
  <si>
    <t>1;220</t>
  </si>
  <si>
    <t>7302</t>
  </si>
  <si>
    <t>艳街长</t>
  </si>
  <si>
    <t>让她进来吧。</t>
  </si>
  <si>
    <t>【喊】好嘞！</t>
  </si>
  <si>
    <t>【谄媚】小的有眼不识金镶玉，您多担待，请进请进。</t>
  </si>
  <si>
    <t>本街长在楼上已看到了，你在满街打听转着听墙角，是也不是？</t>
  </si>
  <si>
    <t>阿强</t>
  </si>
  <si>
    <t>也不知道这人怎么这么喜欢猫……</t>
  </si>
  <si>
    <t>哈哈，大家当然都喜欢小猫咪啦~</t>
  </si>
  <si>
    <t>（不过路尤这么爱猫，想必有些缘由？倒是值得串门查查……）</t>
  </si>
  <si>
    <t>借着调查情报的幌子，跟步步打了个招呼，这才出门去路尤的店里。</t>
  </si>
  <si>
    <t>乞丐</t>
  </si>
  <si>
    <t>这位金贵的小姐，行行好打发点吧！</t>
  </si>
  <si>
    <t>咦？你是城南的……你叫……</t>
  </si>
  <si>
    <t>乞丐狗腿</t>
  </si>
  <si>
    <t>小人叫狗腿，平常就在城南讨生活的。</t>
  </si>
  <si>
    <t>听说湖景街这边的老爷们大方些，便来这边……嘿嘿……</t>
  </si>
  <si>
    <t>你倒是机灵。</t>
  </si>
  <si>
    <t>不过小人也是开了眼，这湖景街的官人们果真大方。</t>
  </si>
  <si>
    <t>我刚刚瞧见小狸奴的路掌柜竟用银鱼羹喂猫！</t>
  </si>
  <si>
    <t>那羹汤我闻着都香，怎么净喂猫了呢……</t>
  </si>
  <si>
    <t>你在此处做什么？</t>
  </si>
  <si>
    <t>正巧说到路公子呢。</t>
  </si>
  <si>
    <t>路公子对猫如此好，是有什么缘故吗？</t>
  </si>
  <si>
    <t>哈哈，这有什么可问询的……</t>
  </si>
  <si>
    <t>可是你对猫真的不是一般的好耶！</t>
  </si>
  <si>
    <t>让我想想……那应该是我小时候的事了……</t>
  </si>
  <si>
    <t>三岁的路尤尚不认得狸奴。</t>
  </si>
  <si>
    <t>初秋的午后，窗外是嗒嗒的小雨，窗内是飘香的银鱼羹。</t>
  </si>
  <si>
    <t>野猫</t>
  </si>
  <si>
    <t>喵呜。</t>
  </si>
  <si>
    <t>淋了雨的小家伙好奇的扒上窗台，溜圆的大眼睛无畏所畏惧的探向屋中，勇敢地与桌前的路三岁对视。</t>
  </si>
  <si>
    <t>路家乳母</t>
  </si>
  <si>
    <t>哪里来的狸奴，赶紧赶出去。</t>
  </si>
  <si>
    <t>小路尤听出了乳母语气中的不悦，眉毛耷拉了下来。</t>
  </si>
  <si>
    <t>哎呀——</t>
  </si>
  <si>
    <t>乓铛——</t>
  </si>
  <si>
    <t>一阵狼狈的哐当声过去了，狸奴却不见了。</t>
  </si>
  <si>
    <t>小路尤被摔碎的银鱼羹溅了一身，大胆的小家伙贪婪的舔着洒在地上的残羹。</t>
  </si>
  <si>
    <t>稚嫩的小手犹豫着伸过去，在毛茸茸的后背上轻轻抚过，路三岁的眼睛里泛起了星星。</t>
  </si>
  <si>
    <t>尼…奴…？嘻嘻…</t>
  </si>
  <si>
    <t>喵嗷——</t>
  </si>
  <si>
    <t>屋檐下的一童一狸正欢悦，留的背后愤愤然的妇人不知如何是好。</t>
  </si>
  <si>
    <t>小姐，这块绸子放哪好呀？</t>
  </si>
  <si>
    <t>小姐？</t>
  </si>
  <si>
    <t>啊？哦……刚刚没有听到……</t>
  </si>
  <si>
    <t>小姐在想什么呀？好出神的样子。</t>
  </si>
  <si>
    <t>前段时间探事轩的公子歇与我说了个烦恼。</t>
  </si>
  <si>
    <t>听他说，近来收药时，有人用假昙花偷换优昙婆罗花，以次充好。</t>
  </si>
  <si>
    <t>这个优什么坛子是药材吗？小莲听着像花呢！</t>
  </si>
  <si>
    <t>昙花呀？昙花好看的！</t>
  </si>
  <si>
    <t>正在看布料的周家小姐听到这边的动静，竟放下手中的料子前来搭话。</t>
  </si>
  <si>
    <t>周家小姐</t>
  </si>
  <si>
    <t>你家也弄些优昙纹的来卖卖嘛，听说花婆婆种出了常开的昙花，现在正时兴呢！</t>
  </si>
  <si>
    <t>诶？优昙纹样吗？</t>
  </si>
  <si>
    <t>周小姐眼光的确不错，昙花在姑娘身上，的确端庄优雅。</t>
  </si>
  <si>
    <t>安公子！！</t>
  </si>
  <si>
    <t>你怎么来了？</t>
  </si>
  <si>
    <t>开门做生意，我又怎的不能来？</t>
  </si>
  <si>
    <t>或者说，姑娘是要……避嫌？安某倒是可以与姑娘避这一避~</t>
  </si>
  <si>
    <t>又说浑话……</t>
  </si>
  <si>
    <t>不过方才周小姐说的花婆婆，却不见得种的是这样稀罕的“昙花”。</t>
  </si>
  <si>
    <t>MMM若是想看，上好的优昙婆罗花，在下也不是不可以专程为你带来一盆。</t>
  </si>
  <si>
    <t>看着安歌调笑的脸，我无奈地笑了笑。</t>
  </si>
  <si>
    <t>（我若寻得到昙花，这一品的情报阁等级，兴许公子歇能放放水也说不一定……）</t>
  </si>
  <si>
    <t>（这花婆婆若是真的有昙花，那可帮了大忙了……）</t>
  </si>
  <si>
    <t>花婆婆的店铺紧凑又雅致，各式的花草参差罗列，花香似是精心计算过，奇异不混杂。</t>
  </si>
  <si>
    <t>昙花……哪个是昙花呢……</t>
  </si>
  <si>
    <t>买花女客</t>
  </si>
  <si>
    <t>你这样瞧着花瓣，可寻不着昙花的。</t>
  </si>
  <si>
    <t>这位姑娘，你说昙花？</t>
  </si>
  <si>
    <t>你不是正找昙花么？这昙花又叫“韦陀花”，是朵浪漫的花呢。</t>
  </si>
  <si>
    <t>相传昙花的花神为了博韦陀青睐，将一年的美貌集在一夜开放。</t>
  </si>
  <si>
    <t>这株形优美，花朵丰满的优昙，的确也不常开放，一年有一个时辰能见到就不错了。</t>
  </si>
  <si>
    <t>买花男客</t>
  </si>
  <si>
    <t>哎你听说了吗？花婆婆啊，她其实已经培育出了一年能开半载的昙花呢！</t>
  </si>
  <si>
    <t>啊？真的吗？可是怎么没见她卖呢？</t>
  </si>
  <si>
    <t>兴许是供给达官贵人吧……</t>
  </si>
  <si>
    <t>孙二小姐</t>
  </si>
  <si>
    <t>噗……你们怕是只在画上见过昙花吧？</t>
  </si>
  <si>
    <t>一位穿着华贵的女子，在一旁轻蔑地拨弄着花草。</t>
  </si>
  <si>
    <t>昙花本身就极其难养，不要说培育新种了，就算是稍微延长花期已经很难了。</t>
  </si>
  <si>
    <t>何况是这样的小小花店……</t>
  </si>
  <si>
    <t>即使是花婆婆，我也不信她能种出一年开半载的昙花。</t>
  </si>
  <si>
    <t>（看来关于花婆婆种出特别的昙花这件事，大家说法不一呢……）</t>
  </si>
  <si>
    <t>我只得自己去里间寻花婆婆，希望能从她口中探出一二。</t>
  </si>
  <si>
    <t>昙花？</t>
  </si>
  <si>
    <t>呵呵呵，小姑娘说的莫不是这种？</t>
  </si>
  <si>
    <t>我看到地上摆着数盆已经全部开放的花朵，看起来与画上的昙花别无二致。</t>
  </si>
  <si>
    <t>这是！？……昙花吗？竟白天也开得这样好？完全看不出正要败落的样子！</t>
  </si>
  <si>
    <t>小姑娘兴许看不出来，这不是昙花，这是令箭荷花。</t>
  </si>
  <si>
    <t>看起来虽像，却不是那昙花呢。</t>
  </si>
  <si>
    <t>那婆婆这里有昙花吗？</t>
  </si>
  <si>
    <t>老身这花虽多，却极少种那昙花。前两年一并清卖了最后的几盆。</t>
  </si>
  <si>
    <t>老身年纪大了，是看不得这苦情的花在我眼前咯。</t>
  </si>
  <si>
    <t>苦情？怎么说呢？</t>
  </si>
  <si>
    <t>老身着实羡慕她的福分，有千百年的岁月来等韦陀的一面佛缘。</t>
  </si>
  <si>
    <t>有的人，等了一辈子，也无这缘分呢。</t>
  </si>
  <si>
    <t>婆婆……您……是在等什么人吗？</t>
  </si>
  <si>
    <t>花婆婆笑了笑，没有答话，只是看着北方。</t>
  </si>
  <si>
    <t>北方除了层叠的屋檐，什么也没有。</t>
  </si>
  <si>
    <t>我无奈，只得退出里间。</t>
  </si>
  <si>
    <t>却在门口隐约见到了一个身影，倏而闪过，一瞬间我以为我是看错了。</t>
  </si>
  <si>
    <t>本来无物的案几上，却多了几朵开得正好的昙花，它们被冰封住，在桌上散着袅袅寒气。</t>
  </si>
  <si>
    <t>究竟……是谁呢？</t>
  </si>
  <si>
    <t>哦呼~~</t>
  </si>
  <si>
    <t>哦呼？</t>
  </si>
  <si>
    <t>【陶醉】那位姐姐真好看呀……</t>
  </si>
  <si>
    <t>哦？还有比你家老大更好看的女孩子吗？</t>
  </si>
  <si>
    <t>哎我们老大……诶诶！？老大？</t>
  </si>
  <si>
    <t>你家老大怎么样呀。</t>
  </si>
  <si>
    <t>老大最好看！老大尚京第一好看！比那个胡泊姑娘更好看！</t>
  </si>
  <si>
    <t>胡泊？</t>
  </si>
  <si>
    <t>橘又又正准备逃跑，被我一把又揪了回来。</t>
  </si>
  <si>
    <t>你说胡泊？是在商业街开毛毡毡店的那个吗？</t>
  </si>
  <si>
    <t>对、对呀喵……老大不记得她了吗？</t>
  </si>
  <si>
    <t>怎么会不记得，我家的猫毛就是拿去给她做手工的。</t>
  </si>
  <si>
    <t>呼……看来老大果然不记得了……</t>
  </si>
  <si>
    <t>记得什么啊？</t>
  </si>
  <si>
    <t>步步大哥说不要提，又又不会讲的。</t>
  </si>
  <si>
    <t>橘又又利用毛皮的柔顺，从我手中滑脱，迅速跑没了影。</t>
  </si>
  <si>
    <t>胡泊……我要记得什么吗？</t>
  </si>
  <si>
    <t>既然想不起来，不如直接去毛毡毡店问一下胡泊吧。</t>
  </si>
  <si>
    <t>小姑娘，出来逛街呀？买盆花吗？放店里可好看了。</t>
  </si>
  <si>
    <t>不了花婆婆，我今天去找胡泊姑娘的。</t>
  </si>
  <si>
    <t>哦，胡泊呀！</t>
  </si>
  <si>
    <t>胡泊这姑娘我很喜欢，赏花的品位很好的。</t>
  </si>
  <si>
    <t>哈哈是嘛~</t>
  </si>
  <si>
    <t>（看来胡泊很是受老人家喜欢嘛……）</t>
  </si>
  <si>
    <t>胡姑娘的确品位很好的，她穿的衣服，啧啧，总是尚京最新款呢！</t>
  </si>
  <si>
    <t>胡泊不仅衣品好，说话做事也很有大家风范。</t>
  </si>
  <si>
    <t>听说她家高门大户的，难怪气质这么好。</t>
  </si>
  <si>
    <t>孙家表小姐</t>
  </si>
  <si>
    <t>人的气质与她是否光鲜亮丽并没有什么关系，但难得的是胡泊又好看又有气质。</t>
  </si>
  <si>
    <t>花婆婆的门口聚集聊天的人越来越多，甚至卖菜大娘也加入了猛夸胡泊的阵营。</t>
  </si>
  <si>
    <t>呃……我先走了……</t>
  </si>
  <si>
    <t>在去往毛毡毡的路上，我脑海中仿佛有一些记忆的片段闪过，但是又不太明了。</t>
  </si>
  <si>
    <t>究竟是什么呢……</t>
  </si>
  <si>
    <t>是云绣坊的掌柜姑娘啊，今天也是来做猫毛玩具的吗？</t>
  </si>
  <si>
    <t>啊……不是。</t>
  </si>
  <si>
    <t>（糟糕，这怎么开口呢？）</t>
  </si>
  <si>
    <t>没关系，来喝杯茶慢慢说。</t>
  </si>
  <si>
    <t>今儿个有新到的果子蜜，姑娘可以尝尝。</t>
  </si>
  <si>
    <t>你每天这样帮人家做玩具，又要经营店面，看起来并不赚钱，真的值吗？</t>
  </si>
  <si>
    <t>胡泊掩嘴一笑，手里继续调着果子蜜。</t>
  </si>
  <si>
    <t>有什么值不值的，自己开心不就好了。</t>
  </si>
  <si>
    <t>就像姑娘，原先不是成日闷在家里看书，也挺开心的么。</t>
  </si>
  <si>
    <t>你怎么知……</t>
  </si>
  <si>
    <t>话没说完，我突然回想起了被“别人家的姑娘”支配的恐惧……</t>
  </si>
  <si>
    <t>那时候……</t>
  </si>
  <si>
    <t>爹时不时就数落我，说我不如胡泊姑娘温婉知书。</t>
  </si>
  <si>
    <t>胡泊姑娘今儿个又绣了什么花样，明儿个又填了什么词牌。</t>
  </si>
  <si>
    <t>我几乎要对她的日程表了如指掌。</t>
  </si>
  <si>
    <t>姑娘？</t>
  </si>
  <si>
    <t>姑娘还好吗？</t>
  </si>
  <si>
    <t>姑娘想什么呢？</t>
  </si>
  <si>
    <t>啊……就回想起了一些往事。</t>
  </si>
  <si>
    <t>来，果子蜜。</t>
  </si>
  <si>
    <t>你先喝着，我最近新作了一首《西江月》，还需要调调韵脚。</t>
  </si>
  <si>
    <t>噗——！！</t>
  </si>
  <si>
    <t>我一口茶喷了出来。</t>
  </si>
  <si>
    <t>我怎么，好像在闺秀这条路上……越走越远啊……</t>
  </si>
  <si>
    <t>这日进货回来，正听到王婶和侯大羿聊天。</t>
  </si>
  <si>
    <t>哎呀……实在是吓死我了。</t>
  </si>
  <si>
    <t>王婶</t>
  </si>
  <si>
    <t>你不是号称最勇猛的猎户吗？什么东西把你吓成这样？</t>
  </si>
  <si>
    <t>还不是那个白沧……你不是不知道城郊是他的底盘。</t>
  </si>
  <si>
    <t>这个人古怪的很，先前我用捕兽夹抓住一只红毛狐狸。</t>
  </si>
  <si>
    <t>结果白沧一出现，这、这狐狸跑了！我却被夹住了！</t>
  </si>
  <si>
    <t>……你满嘴胡沁什么呢？远郊是荒地，根本没住人！</t>
  </si>
  <si>
    <t>哎哟我的王婶，我骗你作甚，真的有人——</t>
  </si>
  <si>
    <t>就那个满头白发的人，还会妖术！</t>
  </si>
  <si>
    <t>（白沧？说起来，先前到店里来的那位白公子，似乎就叫白沧？）</t>
  </si>
  <si>
    <t>（此事有异，我还是去找人问问好了。）</t>
  </si>
  <si>
    <t>我在店中询问了几位客人，要么不识得白沧，要么避而不答。</t>
  </si>
  <si>
    <t>询问无果，我正准备去找步步帮忙调查，却发现卷卷甩着大尾巴款步走来。</t>
  </si>
  <si>
    <t>你刚刚在问白沧？</t>
  </si>
  <si>
    <t>是啊，卷卷知道么？</t>
  </si>
  <si>
    <t>哼哼，这个尚京城有什么小道消息我是不知道的？你算是问对人了。</t>
  </si>
  <si>
    <t>不过找我要情报，不拿东西换可不行，猫饼三块，不能再少了。</t>
  </si>
  <si>
    <t>我只得回去后厨蒸了新鲜的猫饼送来给卷卷。</t>
  </si>
  <si>
    <t>好香好香，看你如此诚意的份上，我就告诉你好了。</t>
  </si>
  <si>
    <t>这白沧啊，是个住在城郊的老人家。</t>
  </si>
  <si>
    <t>老人家？可我记得那是位年轻公子……</t>
  </si>
  <si>
    <t>这就是你以貌取人了，他的年纪可不是一般人能猜到的……</t>
  </si>
  <si>
    <t>言尽于此，他不太喜欢与人来往，你若有胆量，可以去城郊找他——有缘的话许能遇上。</t>
  </si>
  <si>
    <t>心中一直记挂着白沧的事，我犹豫再三，还是决定去城郊跑一趟。</t>
  </si>
  <si>
    <t>（虽到了城郊，但具体怎么找人，我还真没什么头绪……）</t>
  </si>
  <si>
    <t>尔为何而至。</t>
  </si>
  <si>
    <t>哇啊啊啊啊！！</t>
  </si>
  <si>
    <t>全然没料到白沧忽然出现在我背后，我一时不察，尖叫冲口而出。</t>
  </si>
  <si>
    <t>白沧也不催促，只皱眉等着我平复心情。</t>
  </si>
  <si>
    <t>对不起……刚刚实在是吓了一跳……</t>
  </si>
  <si>
    <t>尔尚未回答，为何至此。</t>
  </si>
  <si>
    <t>我是来找公子的，先前公子曾到过店中，言明住在城郊，可还记得？</t>
  </si>
  <si>
    <t>找吾？多少年了，竟还有寻吾之人……</t>
  </si>
  <si>
    <t>他喃喃自语了一会，视线复又看向我。</t>
  </si>
  <si>
    <t>尔也算有缘人，日后若要寻吾，来此便可。</t>
  </si>
  <si>
    <t>姐姐，五味想问你一个问题~</t>
  </si>
  <si>
    <t>是不是只要年纪很大的人，都会有白发呀~？</t>
  </si>
  <si>
    <t>这也不一定吧？不过白发确实多长者。怎么突然想起问这个问题？</t>
  </si>
  <si>
    <t>因为隔壁左乜要和五味打赌！他说他见过一个头发全白的年轻人。</t>
  </si>
  <si>
    <t>五味不信~因为五味一根白头发都没有，所以有白发的一定是因为年纪很大了！</t>
  </si>
  <si>
    <t>不过姐姐也这么说，是不是五味打赌要输了……？</t>
  </si>
  <si>
    <t>唔，五味许是要输了，算是吃一堑长一智，日后对待事物可不能这么武断了哦。</t>
  </si>
  <si>
    <t>呜，五味知道了，姐姐可不许告诉公子，不然公子又要笑五味了。</t>
  </si>
  <si>
    <t>不过到底哪里有白发的年轻人呢？为什么五味从来没见过……？</t>
  </si>
  <si>
    <t>当然有啊，只是五味还小，没遇上而已。</t>
  </si>
  <si>
    <t>（说起来，白公子似乎就是一头白发，卷卷也说他是位老人家。）</t>
  </si>
  <si>
    <t>（难道他真的很大年纪了？）</t>
  </si>
  <si>
    <t>收拾完店铺准备打烊时，竟见白沧站在门口，被一个醉汉拦下。</t>
  </si>
  <si>
    <t>酒鬼</t>
  </si>
  <si>
    <t>嗝……鬓丝日日添白头，榴锦年年照眼明。千载贤愚同瞬息，几人湮没几垂名。</t>
  </si>
  <si>
    <t>你……是不是也……壮志难酬，少年白头？嗝……</t>
  </si>
  <si>
    <t>白沧没有搭理他，只绕开了对方，径直走到店内。</t>
  </si>
  <si>
    <t>白公子来得倒是巧，再晚片刻，这云绣坊可就要打烊了……</t>
  </si>
  <si>
    <t>白沧没说话，只缓缓在店内打量了会。</t>
  </si>
  <si>
    <t>尔……你与她熟识？</t>
  </si>
  <si>
    <t>她？</t>
  </si>
  <si>
    <t>这店中，有那个人的味道。</t>
  </si>
  <si>
    <t>数十年过去，她身上的味道竟还一如从前。</t>
  </si>
  <si>
    <t>他的语气中带着些沧桑，尽管面容年轻，但给人一种垂垂老矣的感觉。</t>
  </si>
  <si>
    <t>（数十年？！）</t>
  </si>
  <si>
    <t>（说起来，白沧说话的语气确实有种年代感，经常自称吾。）</t>
  </si>
  <si>
    <t>按捺不住心中的好奇，我到底还是问了出来</t>
  </si>
  <si>
    <t>冒昧问一句……白公子今年贵庚？</t>
  </si>
  <si>
    <t>白沧视线转向我，蒙着黑丝的眼看不出神情。</t>
  </si>
  <si>
    <t>已有许久无人关过问吾之事，尔……你是个例外。</t>
  </si>
  <si>
    <t>不过还是奉劝你一句，有些事，还是莫要过于关心为好。</t>
  </si>
  <si>
    <t>这日一位顾客怒气冲冲地来云绣坊退货。</t>
  </si>
  <si>
    <t>李二</t>
  </si>
  <si>
    <t>退货退货，这些绸缎老子都不要了！</t>
  </si>
  <si>
    <t>我上前检查了布料，没有瑕疵，仍是全新的模样。</t>
  </si>
  <si>
    <t>无缘无故便退货，此事于理不合，不知公子可有缘由？</t>
  </si>
  <si>
    <t>缘由？你还敢问我缘由？</t>
  </si>
  <si>
    <t>还不是听说那艳街长喜欢粉黛罗裙，尤其喜欢你这云绣坊的料子，我才买了两匹新绸。</t>
  </si>
  <si>
    <t>谁成想他竟一匹都不收，全给挡了回来！</t>
  </si>
  <si>
    <t>挡了回来？公子送布料，莫不是有所求？</t>
  </si>
  <si>
    <t>李二面上一阵难堪愤然。</t>
  </si>
  <si>
    <t>不过是要买他一个歌女，他竟然还给拒了。</t>
  </si>
  <si>
    <t>呵，哪来那么多卖艺不卖身的？我看就是艳归月不识好歹！</t>
  </si>
  <si>
    <t>话说到气头上，声音不免大了些，一旁正在挑选布料的客人便比了个噤声的手势。</t>
  </si>
  <si>
    <t>吴三</t>
  </si>
  <si>
    <t>嘘，你可小声着点。</t>
  </si>
  <si>
    <t>一看便是你这后生没见过世面，这艳街长啊，可不是好得罪的。</t>
  </si>
  <si>
    <t>区区一个花街街长，我送东西，那是抬举他！有何得罪不得？</t>
  </si>
  <si>
    <t>哎，这你就不晓得了，我这样的七品官，在礼部的待遇还不如艳街长呢！</t>
  </si>
  <si>
    <t>仔细隔墙有耳，日后有你吃亏的日子。</t>
  </si>
  <si>
    <t>算我倒霉！快退钱！</t>
  </si>
  <si>
    <t>不好意思，这货物没有问题，恕不退换。</t>
  </si>
  <si>
    <t>你什么意思？你也瞧不起我？</t>
  </si>
  <si>
    <t>不敢，只是这契纸白纸黑字，钱货两讫。公子若有问题，不妨寻官府处理？</t>
  </si>
  <si>
    <t>李二面上变了变，又不敢无理取闹，最终只得离开。</t>
  </si>
  <si>
    <t>只不过今日倒是让我知道了一件新鲜事。</t>
  </si>
  <si>
    <t>（倒是没想到，艳街长在这尚京，还算是小有头脸的人物。）</t>
  </si>
  <si>
    <t>不错不错，还是云绣坊的料子合本街长心意，这次的布料拿来做新衣，想来也是华美无匹。</t>
  </si>
  <si>
    <t>今儿来，还有件事想问问艳街长。</t>
  </si>
  <si>
    <t>你说，美人儿的要求，本街长从来不舍得拒绝的。</t>
  </si>
  <si>
    <t>我将上回从李二那听到的事情说与艳归月。</t>
  </si>
  <si>
    <t>哼，无知纨绔，仗着一点臭权，也敢打这花街姑娘的主意。</t>
  </si>
  <si>
    <t>若是两厢情愿倒也罢了，偏这位还是个喜新厌旧的主，姑娘家不愿意，本街长还把她往火坑里推不成？</t>
  </si>
  <si>
    <t>街长便不怕那些人仗势欺人吗？</t>
  </si>
  <si>
    <t>【冷笑】仗势？那也得有势才成。</t>
  </si>
  <si>
    <t>这些有权的有钱的，谁没几个不想为外人所知的秘密？偏生啊，这花街里头，最不缺的就是秘密。</t>
  </si>
  <si>
    <t>原来是被人拿捏了短处，才这般客气。</t>
  </si>
  <si>
    <t>哼哼，小丫头你身上的秘密也不少。</t>
  </si>
  <si>
    <t>就本街长所知，你这身后若没人护着，云绣坊早就被拆了好几遍了，如何能毫发无损地存活至今？</t>
  </si>
  <si>
    <t>啊哈哈，街长说笑了。</t>
  </si>
  <si>
    <t>铺中稍稍空闲了些，我去为步步烹煮它喜欢的猫饭。</t>
  </si>
  <si>
    <t>刚将猫饭端出来，张妈便上了门，看着我手里的猫饭啧啧称奇。</t>
  </si>
  <si>
    <t>媒婆张妈</t>
  </si>
  <si>
    <t>噢哟，姑娘这猫饭的配方，可是向路尤公子学的？</t>
  </si>
  <si>
    <t>是的，张妈知道路公子？</t>
  </si>
  <si>
    <t>怎么不知道？这路公子生得俊俏，被不少姑娘惦记着，嘱托老身多问问呢。</t>
  </si>
  <si>
    <t>就那城东李千金，可没少给老身礼钱，想搭路公子的红线……姑娘既与路公子相熟，能否帮忙问问？</t>
  </si>
  <si>
    <t>谈不上相熟，只是萍水之交，怕是帮不上张妈了。</t>
  </si>
  <si>
    <t>【失望】这样啊，还以为能从姑娘这问出些什么呢。</t>
  </si>
  <si>
    <t>张妈为何如此为难？</t>
  </si>
  <si>
    <t>可不是为难吗？我记着路尤他不是尚京人，就近一两年才来的吧，不知道他家乡在哪，父母尚在否。</t>
  </si>
  <si>
    <t>这一问三不知的，对方也不说，哪家千金敢许嫁？</t>
  </si>
  <si>
    <t>偏这路公子自己也不上心，都二十七岁了，换旁人这年纪只怕孩子都有三五个咯。</t>
  </si>
  <si>
    <t>旁人的私事，我不好插嘴，但心中确实有些好奇。</t>
  </si>
  <si>
    <t>（确实，从来不曾听路公子提起过自己的家庭。）</t>
  </si>
  <si>
    <t>安某今日来，不打扰姑娘吧？</t>
  </si>
  <si>
    <t>怎会？安公子请坐，今儿什么风把你吹来了？</t>
  </si>
  <si>
    <t>探望姑娘何须理由？姑娘在哪，安某自然也会在哪。</t>
  </si>
  <si>
    <t>与安歌相识一段时间，倒也知晓他是个怎样的人，因而只有些赧然。</t>
  </si>
  <si>
    <t>不过今日倒是听说了一件趣事。</t>
  </si>
  <si>
    <t>趣事？</t>
  </si>
  <si>
    <t>不错，前日转运副使府的老奴上京寻自家的三公子，说是自家老爷病重，定要他回去看看。</t>
  </si>
  <si>
    <t>这位三公子才学过人，当年也曾小有名气，只是不知为何与家人决裂，后不知所踪。</t>
  </si>
  <si>
    <t>因此老奴入京，还惹了不少人关注。</t>
  </si>
  <si>
    <t>我一面打点着布匹，方要提笔记账，便被安歌用扇柄轻轻压住手腕。</t>
  </si>
  <si>
    <t>姑娘这心不在焉的，可是叫安某好生伤心。</t>
  </si>
  <si>
    <t>姑娘莫非不想知道对方是谁？许还是姑娘认识的人。</t>
  </si>
  <si>
    <t>这尚京的官宦子弟，我熟悉的也就宁北一人，因此还真没联想到谁身上。</t>
  </si>
  <si>
    <t>安公子这话，莫非已知对方身份？</t>
  </si>
  <si>
    <t>姑娘这样喜欢猫儿，镇日里与那位三公子也颇为投缘。</t>
  </si>
  <si>
    <t>不错，那位转运副使正是姓路。</t>
  </si>
  <si>
    <t>在那之后，小狸奴果真关张可好一段时间。</t>
  </si>
  <si>
    <t>等小狸奴再度开张，我正好上门去给步步买些日常用品。</t>
  </si>
  <si>
    <t>路公子，许久不见了。</t>
  </si>
  <si>
    <t>路尤微笑着向我致意，只是神色恹恹，似乎很是疲惫。</t>
  </si>
  <si>
    <t>公子这些日子可是太过操劳？看着似乎不太好……</t>
  </si>
  <si>
    <t>无妨，只是家中有些事情罢了……姑娘，在下想冒昧问你一个问题。</t>
  </si>
  <si>
    <t>公子但说无妨。</t>
  </si>
  <si>
    <t>人到了年纪，便一定要成家吗？哪怕自己已有心仪之人，哪怕自己即将共同生活的，是一个陌生人？</t>
  </si>
  <si>
    <t>许大部分人确实是如此，只是换作是我，应是不太愿意的。</t>
  </si>
  <si>
    <t>是啊……不愿意，但他们依旧逼迫在下定亲。</t>
  </si>
  <si>
    <t>当年为了拒婚，在下已与家中断绝关系；现如今却换了个手段，不惜装病也要骗在下回去。</t>
  </si>
  <si>
    <t>公子可是有了意中人？</t>
  </si>
  <si>
    <t>是的，在下曾立誓，此生非琬儿姑娘不娶。可惜……我至今仍未知她身在何方……</t>
  </si>
  <si>
    <t>抱歉，今日在下情绪有些失控，姑娘只当听了一个笑话吧。</t>
  </si>
  <si>
    <t>今儿新上了一批料子，引得店内来了不少姑娘争相购买。</t>
  </si>
  <si>
    <t>我一时没忙过来，几位小姐已经拿着选好的布料前来结账，钱三小姐看着布料上的花纹，忽然开口。</t>
  </si>
  <si>
    <t>掌柜的，你认识花婆婆吧？不知你是否知道她培育的“长生狐”呢？</t>
  </si>
  <si>
    <t>长生狐？这我倒不曾听闻……</t>
  </si>
  <si>
    <t>相传常佩此花，可得长生，因此不少人求花婆婆割爱，只是花婆婆都不肯。</t>
  </si>
  <si>
    <t>不过我觉得那些人脑子都不好使，若果真能长生，花婆婆如何还会是这般垂垂老矣的模样？</t>
  </si>
  <si>
    <t>这……寿命长和会不会老好像是两个概念吧？</t>
  </si>
  <si>
    <t>嗐，都一个样，反正哪有这么神乎其神？只是本小姐倒是很想要那花儿的。</t>
  </si>
  <si>
    <t>那花儿如一缕白发一般，想来定是十分合适白沧公子~对！就这么办！本小姐这就去找花婆婆！</t>
  </si>
  <si>
    <t>钱三小姐兴冲冲地离开云绣坊，钱四小姐冷眼瞧着，嘲笑了一声。</t>
  </si>
  <si>
    <t>钱四小姐</t>
  </si>
  <si>
    <t>钱三那个一根筋的，还将那“长生狐”送给白公子，那明明是喻着无人谷的那位而种的。</t>
  </si>
  <si>
    <t>既是为心上人所种，又怎会轻易让出？</t>
  </si>
  <si>
    <t>（无人谷……沈既明？！）</t>
  </si>
  <si>
    <t>钱四小姐说着，也悠然踱步出去，追上了钱三小姐的步伐。</t>
  </si>
  <si>
    <t>我还有些没反应过来，孙家二小姐看着二人的背影直摇头。</t>
  </si>
  <si>
    <t>都说花婆婆的“长生狐”是因着无人谷的那位种的，我看不然。</t>
  </si>
  <si>
    <t>终究只是道听途说，谁知道花婆婆是个什么意思呢？</t>
  </si>
  <si>
    <t>孙二小姐也紧接着离开。</t>
  </si>
  <si>
    <t>所以说来说去，到底哪个原因才是真的？</t>
  </si>
  <si>
    <t>关于长生狐的传闻依旧沸沸扬扬，只是花婆婆不为所动，旁人也无可奈何。</t>
  </si>
  <si>
    <t>我将花婆婆下订的布匹送往人间慢，正好瞧见花婆婆在打理一株从未见过的植物。</t>
  </si>
  <si>
    <t>（咦？这如同白发一般的植株，莫非……）</t>
  </si>
  <si>
    <t>是你啊小姑娘，来帮婆婆瞧瞧这花儿修剪得如何？</t>
  </si>
  <si>
    <t>婆婆，冒昧问一句，这便是那传说中的“长生狐”？</t>
  </si>
  <si>
    <t>呵呵呵，不错，小姑娘莫不是也同外头的人一般，以为此花有长生效用吧？</t>
  </si>
  <si>
    <t>不会不会，只是从未见过，有些好奇罢了。</t>
  </si>
  <si>
    <t>此花名为狐尾天冬，因形似狐尾而得名。至于这长须的品种，确实是婆婆我自个培育出来的。</t>
  </si>
  <si>
    <t>你瞧瞧，这可人的模样，是不是很讨喜？</t>
  </si>
  <si>
    <t>婆婆培育这花儿，只因为它好看？</t>
  </si>
  <si>
    <t>那是啊，婆婆年轻那会，就喜欢毛茸茸的小狐狸，可惜家教颇严，连只猫儿都养不得，更别说狐狸了。</t>
  </si>
  <si>
    <t>现下年纪大了，精力不济，也只能侍弄侍弄花草。这株“长生狐”，也算是圆我一个念想。</t>
  </si>
  <si>
    <t>但花婆婆为何不愿卖出呢？</t>
  </si>
  <si>
    <t>那些冲着传闻来的人，怎可能善待花儿，将它们卖出去遭罪么？这婆婆可做不出来。</t>
  </si>
  <si>
    <t>若是有缘，便是不卖，这花我也不会霸着的。</t>
  </si>
  <si>
    <t>花婆婆说着，眼中又露出了先前见到过的追忆神色。</t>
  </si>
  <si>
    <t>我不好多问，只得告辞。</t>
  </si>
  <si>
    <t>离开之际，却发现方才的“长生狐”不知为何少了一盆。</t>
  </si>
  <si>
    <t>取而代之，一枚晶莹剔透的玉佩挂在旁边的花枝上，闪烁着润泽的光芒。</t>
  </si>
  <si>
    <t>喵呜呜……</t>
  </si>
  <si>
    <t>诶？卷卷？你怎么在门口唉声叹气的？</t>
  </si>
  <si>
    <t>还不是因为那个姑娘……</t>
  </si>
  <si>
    <t>姑娘？还能有姑娘让你头疼？她能打得过你？</t>
  </si>
  <si>
    <t>啥？啥啥啥？这怎么可能？你可别瞎猜！</t>
  </si>
  <si>
    <t>还不是那个毛毡店的胡泊？她也太喜欢猫了！我的那些小弟总过来抱怨说被这位姑娘耽误了一天呢！</t>
  </si>
  <si>
    <t>耽误？怎么就耽误了？</t>
  </si>
  <si>
    <t>又抱又撸又给吃，身上还香香的，哪只猫受得住哟……咳咳，本喵例外，你这啥眼神？我可不给撸的！</t>
  </si>
  <si>
    <t>不过……那位姑娘也不惹人讨厌就是了。</t>
  </si>
  <si>
    <t>（没想到胡姑娘这么喜欢猫儿，只是为何从不曾见到她养呢？）</t>
  </si>
  <si>
    <t>近几日正好闲来无事，我便到商贸行去逛逛。</t>
  </si>
  <si>
    <t>路过海货楚记时，就见一个小姐抱着一堆东西出来。</t>
  </si>
  <si>
    <t>仔细瞧着，除了鱼虾，竟还有些不知从哪弄来的养猫用品。</t>
  </si>
  <si>
    <t>心中正奇怪着，又听里头楚二公子在同楚记的掌柜楚寒梅说话。</t>
  </si>
  <si>
    <t>大姐，这周家四小姐怎么买了这么多海货回去啊？这是要开海货店？</t>
  </si>
  <si>
    <t>楚寒梅</t>
  </si>
  <si>
    <t>不是，是她用来养猫的。</t>
  </si>
  <si>
    <t>养猫？我记得周家老爷不是不许养猫么？怎的这是开窍了？</t>
  </si>
  <si>
    <t>倒也不是，只是她似乎准备和胡泊姑娘一同开一家猫馆，因此才想着来筹备。</t>
  </si>
  <si>
    <t>不过我瞧着，这猫馆多半开不起来。</t>
  </si>
  <si>
    <t>怎么说？</t>
  </si>
  <si>
    <t>先不说这周小姐向来就是三分钟热度，现在热情，赶明儿便有将这事抛之脑后。</t>
  </si>
  <si>
    <t>就说那胡家吧，胡老爷是不会同意养猫的。他受过惊吓，一直觉得猫儿不祥，憎恶的很。</t>
  </si>
  <si>
    <t>倒是苦了胡姑娘，这样喜欢猫儿……</t>
  </si>
  <si>
    <t>这有什么？人间百苦，这点儿算得什么？若她将来嫁了个疼爱她的夫君，她爹还能阻拦她养猫不成？</t>
  </si>
  <si>
    <t>只可惜，我是没有这样的机会了。</t>
  </si>
  <si>
    <t>大姐……</t>
  </si>
  <si>
    <t>（后面的话题，我再听好像不太合适，还是先走吧。）</t>
  </si>
  <si>
    <t>刚给步步梳完毛，我将猫毛收集起来，准备去一趟毛毡店。</t>
  </si>
  <si>
    <t>才到门口，便发现胡泊蹲在地上，逗一只猫儿逗得开心。</t>
  </si>
  <si>
    <t>橘又又……我就说最近怎么老看不到你的影子，原来是找胡泊来了。</t>
  </si>
  <si>
    <t>橘又又肥胖的身子一抖，随即又在胡泊手下发出安然的呼噜声。</t>
  </si>
  <si>
    <t>姑娘来了？今儿可是来做毛毡的？</t>
  </si>
  <si>
    <t>嗯，但不着急……胡姑娘真的很喜欢猫儿啊。</t>
  </si>
  <si>
    <t>是啊，很喜欢，喜欢得不得了。它们可是我的福星兼媒人呢！</t>
  </si>
  <si>
    <t>福星……媒人？</t>
  </si>
  <si>
    <t>啊，我还没和姑娘说过吧？我与心上人能够相遇，都是托了这些猫儿的福。</t>
  </si>
  <si>
    <t>当年我救下一只受伤的猫儿，可惜爹爹无论如何都不允许我养，就连只是短暂养伤都不行。</t>
  </si>
  <si>
    <t>所以……胡姑娘是那时遇到的那位公子？</t>
  </si>
  <si>
    <t>【甜蜜】是啊，我抱着猫儿不知所措，他便出现了，还答应一起照顾这只猫儿，直到它伤愈为止……</t>
  </si>
  <si>
    <t>那胡姑娘后来为何又不养猫了呢？虽不能养在家中，但在铺子里还是可以的吧？</t>
  </si>
  <si>
    <t>嘻嘻，养自然是要养的，但不是现在。</t>
  </si>
  <si>
    <t>我想好了，等我嫁给他之后，我们再一起养一只软软胖胖的猫儿，是他的，也是我的，岂不更好？</t>
  </si>
  <si>
    <t>胡泊真有名。</t>
  </si>
  <si>
    <t>胡泊的口碑很好。</t>
  </si>
  <si>
    <t>我终于回想起了胡泊。</t>
  </si>
  <si>
    <t>蹲在门口的卷卷，似乎很是苦恼的样子。</t>
  </si>
  <si>
    <t>胡泊要开猫馆？这是真的吗？</t>
  </si>
  <si>
    <t>猫儿与情郎的二三事。</t>
  </si>
  <si>
    <t>艳归月的墙角也可以听听嘛！</t>
  </si>
  <si>
    <t>不如问问艳无归本人吧！</t>
  </si>
  <si>
    <t>艳归月身为街长，背景似乎并不简单……</t>
  </si>
  <si>
    <t>再遇艳归月，要不要问问先前的事情呢？</t>
  </si>
  <si>
    <t>花婆婆种昙花吗？</t>
  </si>
  <si>
    <t>花婆婆与昙花</t>
  </si>
  <si>
    <t>关于长生狐的传闻，在京中闹得沸沸扬扬。</t>
  </si>
  <si>
    <t>传闻到底哪个是真，不如问问花婆婆本人吧。</t>
  </si>
  <si>
    <t>远郊出现古怪的人？</t>
  </si>
  <si>
    <t>找人打听一下白沧的事吧。</t>
  </si>
  <si>
    <t>不如亲自去城郊找找？</t>
  </si>
  <si>
    <t>五味的提问，让我想起一个人。</t>
  </si>
  <si>
    <t>白沧真的很大年纪了吗？不妨问问当事人吧。</t>
  </si>
  <si>
    <t>路人讨论路尤。</t>
  </si>
  <si>
    <t>路遇路尤。</t>
  </si>
  <si>
    <t>路尤的童年往事。</t>
  </si>
  <si>
    <t>俊俏的路尤公子似乎格外受姑娘们青睐。</t>
  </si>
  <si>
    <t>路尤的身份似乎并不简单。</t>
  </si>
  <si>
    <t>适龄当婚？这个问题似乎困扰路尤许久……</t>
  </si>
  <si>
    <t>以为为人脉委托</t>
    <phoneticPr fontId="32" type="noConversion"/>
  </si>
  <si>
    <t>以下为升级挑战委托</t>
    <phoneticPr fontId="32" type="noConversion"/>
  </si>
  <si>
    <t>街长</t>
    <phoneticPr fontId="27" type="noConversion"/>
  </si>
  <si>
    <t>2;208;1|2;207;10</t>
    <phoneticPr fontId="27" type="noConversion"/>
  </si>
  <si>
    <t>还会有这样的事吗！</t>
  </si>
  <si>
    <t>噗……竟这样不禁吓。</t>
  </si>
  <si>
    <t>哈哈……没事，你不知道江湖三大铁律吗？</t>
  </si>
  <si>
    <t>（哇！太近了吧！）</t>
  </si>
  <si>
    <t>从前爹爹不让我来这样的地方，虽然听过花街繁华的盛名，却从未踏足过这里。</t>
  </si>
  <si>
    <t>想不到这里竟是这样的夸张，满天的红绸将天空破成小块，整条街都是张扬的红色。</t>
  </si>
  <si>
    <t>不知道哪里来的花瓣，不断地从天空中飘下，细密地落在整洁的石板路上。</t>
  </si>
  <si>
    <t>你就是新来的小探子？</t>
  </si>
  <si>
    <t>来人突然出声，我被吓了一跳。</t>
  </si>
  <si>
    <t>定睛看去，却是一位妆容极艳的男子，若不是早有出声，简直难辨雌雄。</t>
  </si>
  <si>
    <t>看他张扬的外貌，这人想必就是我的雇主，艳归月。</t>
  </si>
  <si>
    <t>公子歇看来是懈怠起来了，竟派这样的新人来接本街长的委托……</t>
  </si>
  <si>
    <t>你们这种小门小派，还是趁早打道回府，免得白白丢了性命。</t>
  </si>
  <si>
    <t>略一定神我才惊觉他刚才是在小看我。</t>
  </si>
  <si>
    <t>我要怎么应对呢？</t>
  </si>
  <si>
    <t>90010212|90010213</t>
  </si>
  <si>
    <t>获得&lt;c=#db3e63ff&gt;窗纸&lt;/c&gt;线索</t>
  </si>
  <si>
    <t>获得&lt;c=#db3e63ff&gt;成品烟花&lt;/c&gt;线索</t>
  </si>
  <si>
    <t>玄门怎么了？江湖门派在商业规矩前面，也得按规矩来！不行！我还是得去找李掌柜理论去……</t>
  </si>
  <si>
    <t>过路女子</t>
  </si>
  <si>
    <t>哪里来的刁民，敢在公主府前打转！</t>
  </si>
  <si>
    <t>本侯已擒获这封密信相关的主使门徒，剩下的便交由你们来处理。</t>
  </si>
  <si>
    <t>啊！步步小姐！</t>
  </si>
  <si>
    <t>步步……小姐？</t>
  </si>
  <si>
    <t>云绣坊的掌柜……是……步步吗？</t>
  </si>
  <si>
    <t>哎，你是不知道我与她的缘分。那日我与她命定一瞥，她身后的红衣男子就是叫她作步步。</t>
  </si>
  <si>
    <t>啊，步步若生莲，翩翩水中央~</t>
  </si>
  <si>
    <t>等等……你是说，有人叫我步步？</t>
  </si>
  <si>
    <t>呵，你这人好不滑稽，谁说你了？我说的是云绣坊的步步小姐！</t>
  </si>
  <si>
    <t>我娘给我求了姻缘签，说我命里的姻缘啊，今年可就要见了呢！</t>
  </si>
  <si>
    <t>真真巧也！那日出门就见着了她！</t>
  </si>
  <si>
    <t>自从她开了店后，我日日去送拜帖，请她赏花作诗，可总是一波三折。</t>
  </si>
  <si>
    <t>不行，我要去写首诗伤怀伤怀，你走吧。</t>
  </si>
  <si>
    <t>（什么跟什么啊……不对，我还是问问玄门的事吧）</t>
  </si>
  <si>
    <t>29;105015;1</t>
  </si>
  <si>
    <t>205</t>
  </si>
  <si>
    <t>29;105009;1</t>
  </si>
  <si>
    <t>2101</t>
  </si>
  <si>
    <t>象征幸运的小灵猫出现了，祈愿得到它的祝福。</t>
  </si>
  <si>
    <t>导出/server</t>
    <phoneticPr fontId="32" type="noConversion"/>
  </si>
  <si>
    <t>*</t>
    <phoneticPr fontId="32" type="noConversion"/>
  </si>
  <si>
    <t>*</t>
    <phoneticPr fontId="32" type="noConversion"/>
  </si>
  <si>
    <t>*</t>
    <phoneticPr fontId="32" type="noConversion"/>
  </si>
  <si>
    <t>client</t>
    <phoneticPr fontId="32" type="noConversion"/>
  </si>
  <si>
    <t>INT</t>
    <phoneticPr fontId="32" type="noConversion"/>
  </si>
  <si>
    <t>STRING</t>
    <phoneticPr fontId="32" type="noConversion"/>
  </si>
  <si>
    <t>STRING</t>
    <phoneticPr fontId="32" type="noConversion"/>
  </si>
  <si>
    <t>ID</t>
    <phoneticPr fontId="32" type="noConversion"/>
  </si>
  <si>
    <t>NpcID</t>
    <phoneticPr fontId="32" type="noConversion"/>
  </si>
  <si>
    <t>NpcType</t>
    <phoneticPr fontId="32" type="noConversion"/>
  </si>
  <si>
    <t>Type</t>
    <phoneticPr fontId="32" type="noConversion"/>
  </si>
  <si>
    <t>MemberNum</t>
    <phoneticPr fontId="32" type="noConversion"/>
  </si>
  <si>
    <t>Tag</t>
    <phoneticPr fontId="32" type="noConversion"/>
  </si>
  <si>
    <t>FightProp</t>
    <phoneticPr fontId="32" type="noConversion"/>
  </si>
  <si>
    <t>PlayCute</t>
    <phoneticPr fontId="32" type="noConversion"/>
  </si>
  <si>
    <t>SameAdd</t>
    <phoneticPr fontId="32" type="noConversion"/>
  </si>
  <si>
    <t>SuccessScore</t>
    <phoneticPr fontId="32" type="noConversion"/>
  </si>
  <si>
    <t>NextFightID</t>
    <phoneticPr fontId="32" type="noConversion"/>
  </si>
  <si>
    <t>Award</t>
    <phoneticPr fontId="32" type="noConversion"/>
  </si>
  <si>
    <t>SuccessDocID</t>
    <phoneticPr fontId="32" type="noConversion"/>
  </si>
  <si>
    <t>FailDocID</t>
    <phoneticPr fontId="32" type="noConversion"/>
  </si>
  <si>
    <t>Dialog</t>
    <phoneticPr fontId="32" type="noConversion"/>
  </si>
  <si>
    <t>BgImg</t>
    <phoneticPr fontId="32" type="noConversion"/>
  </si>
  <si>
    <t>i</t>
    <phoneticPr fontId="32" type="noConversion"/>
  </si>
  <si>
    <t>id</t>
    <phoneticPr fontId="32" type="noConversion"/>
  </si>
  <si>
    <t>npcid</t>
    <phoneticPr fontId="32" type="noConversion"/>
  </si>
  <si>
    <t>npc类型</t>
    <phoneticPr fontId="32" type="noConversion"/>
  </si>
  <si>
    <t>战斗成员类型</t>
    <phoneticPr fontId="32" type="noConversion"/>
  </si>
  <si>
    <t>成员数量</t>
    <phoneticPr fontId="32" type="noConversion"/>
  </si>
  <si>
    <t>标签</t>
    <phoneticPr fontId="32" type="noConversion"/>
  </si>
  <si>
    <t>战斗属性</t>
    <phoneticPr fontId="32" type="noConversion"/>
  </si>
  <si>
    <t>猫卖萌概率与加成</t>
    <phoneticPr fontId="32" type="noConversion"/>
  </si>
  <si>
    <t>是同一男主加成</t>
    <phoneticPr fontId="32" type="noConversion"/>
  </si>
  <si>
    <t>成功的分数</t>
    <phoneticPr fontId="32" type="noConversion"/>
  </si>
  <si>
    <t>下一个战斗ID</t>
    <phoneticPr fontId="32" type="noConversion"/>
  </si>
  <si>
    <t>奖励</t>
    <phoneticPr fontId="32" type="noConversion"/>
  </si>
  <si>
    <t>成功文案id</t>
    <phoneticPr fontId="32" type="noConversion"/>
  </si>
  <si>
    <t>失败文案id</t>
    <phoneticPr fontId="32" type="noConversion"/>
  </si>
  <si>
    <t>对白</t>
    <phoneticPr fontId="32" type="noConversion"/>
  </si>
  <si>
    <t>推荐属性</t>
    <phoneticPr fontId="32" type="noConversion"/>
  </si>
  <si>
    <t>1:男主;
2:npc
3:女主</t>
    <phoneticPr fontId="32" type="noConversion"/>
  </si>
  <si>
    <t>1:猫;
2:男主卡 
3.揪尾巴</t>
    <phoneticPr fontId="32" type="noConversion"/>
  </si>
  <si>
    <t>若type为1，有X%概率加成Y%，X;Y
若type为3,加成范围X%%~Y%%，x;y</t>
    <phoneticPr fontId="32" type="noConversion"/>
  </si>
  <si>
    <t>以下为升级挑战</t>
    <phoneticPr fontId="32" type="noConversion"/>
  </si>
  <si>
    <t>以下为关卡战斗</t>
    <phoneticPr fontId="32" type="noConversion"/>
  </si>
  <si>
    <t>云绣坊在街市已经营了一段日子，开业的种种仍历历在目。</t>
  </si>
  <si>
    <t>比起波澜诡谲的情报斗争，更令我有触动的，却是街坊们的关怀。</t>
  </si>
  <si>
    <t>想起来，初初在街市开店，第一个前来关照我生意的，便是路公子了。</t>
  </si>
  <si>
    <t>阿珍</t>
  </si>
  <si>
    <t>老板，想什么呢？生意还做不做啦？</t>
  </si>
  <si>
    <t>不好意思，刚刚在想事情，你要买什么？</t>
  </si>
  <si>
    <t>新买条裙子啦！都怪路尤，他要是早点开门，我买到指甲剪，就不会被猫儿抓破裙子了！</t>
  </si>
  <si>
    <t>路公子？</t>
  </si>
  <si>
    <t>路尤这个人，整日与些阿猫阿狗为伴，开的铺子也不打理，真搞不懂这人怎么能开门做生意的。</t>
  </si>
  <si>
    <t>诶？路公子之前还来指点过我的生意呢，想不到竟然如此懈怠自家生意呢。</t>
  </si>
  <si>
    <t>可不么，他就算想管也管不过来呀。</t>
  </si>
  <si>
    <t>阿强哥？此话怎讲？</t>
  </si>
  <si>
    <t>路尤他啊，大概养了有二三十只野猫吧，这条街上的猫都跟他亲。</t>
  </si>
  <si>
    <t>从清早开始他就要打理那些个猫儿的吃食，半午都没办法开店的。</t>
  </si>
  <si>
    <t>*</t>
    <phoneticPr fontId="27" type="noConversion"/>
  </si>
  <si>
    <t>RecommendProp</t>
    <phoneticPr fontId="32" type="noConversion"/>
  </si>
  <si>
    <t>提示</t>
    <phoneticPr fontId="32" type="noConversion"/>
  </si>
  <si>
    <t>TipID</t>
    <phoneticPr fontId="32" type="noConversion"/>
  </si>
  <si>
    <t>FightType</t>
    <phoneticPr fontId="32" type="noConversion"/>
  </si>
  <si>
    <t>战斗Npc</t>
    <phoneticPr fontId="32" type="noConversion"/>
  </si>
  <si>
    <t>战斗开始提示</t>
    <phoneticPr fontId="32" type="noConversion"/>
  </si>
  <si>
    <t>BeginDialogID</t>
    <phoneticPr fontId="32" type="noConversion"/>
  </si>
  <si>
    <t>开始对白</t>
    <phoneticPr fontId="32" type="noConversion"/>
  </si>
  <si>
    <t>男主时:属性;百分比
其他:属性;0</t>
    <phoneticPr fontId="32" type="noConversion"/>
  </si>
  <si>
    <t>INT</t>
    <phoneticPr fontId="32" type="noConversion"/>
  </si>
  <si>
    <t>对内0和对外1</t>
    <phoneticPr fontId="32" type="noConversion"/>
  </si>
  <si>
    <t>标签;比值
标签与战斗属性只读一个，优先读战斗属性</t>
    <phoneticPr fontId="42" type="noConversion"/>
  </si>
  <si>
    <t>花朝会后发生的纵火事件十分蹊跷，官府追查易燃物品，发现烟花数目有异……</t>
  </si>
  <si>
    <t>3;1;魏薇薇</t>
  </si>
  <si>
    <t>闺中密友与未婚夫</t>
  </si>
  <si>
    <t>魏家小姐与赵二少爷不日将完婚，怎知赵二少爷竟公然调戏未婚妻的闺中蜜友？！</t>
  </si>
  <si>
    <t>3;105011;1|3;105009;1|4;100;0</t>
  </si>
  <si>
    <t>尚京一霸生辰</t>
  </si>
  <si>
    <t>野猫斑斑听说猫霸王生辰快到了，想要给它准备一份礼物，得到它的庇护，没想到……</t>
  </si>
  <si>
    <t>1;4</t>
  </si>
  <si>
    <t>盗圣爱美人</t>
  </si>
  <si>
    <t>盗圣恋一美人而不得，怒下奇药，使之……肥胖？</t>
  </si>
  <si>
    <t>暮春花语茶</t>
  </si>
  <si>
    <t>701</t>
  </si>
  <si>
    <t>1;802;1|1;804;1|4;100;0</t>
  </si>
  <si>
    <t>1;1</t>
  </si>
  <si>
    <t>假账事件</t>
  </si>
  <si>
    <t>商广会馆账目造假，务必查清相关事宜</t>
  </si>
  <si>
    <t>花婆婆的往事（上）</t>
  </si>
  <si>
    <t>罢了，你且听来，本街长收到消息，你可知道上次街市的&lt;c=#db3e63ff&gt;纵火案&lt;/c&gt;？官府正在彻查，在调查是否与花朝节的烟花有关。</t>
  </si>
  <si>
    <t>你看，这是望火队在云绣坊附近发现的&lt;c=#db3e63ff&gt;烟花碎屑&lt;/c&gt;，这虽然看起来不起眼，但也算重要的&lt;c=#db3e63ff&gt;线索&lt;/c&gt;。</t>
  </si>
  <si>
    <t>话尽于此，烟花的事，你赶紧去查吧，不要让“那位大人”久等了。</t>
  </si>
  <si>
    <t>既然同为生意人，也不妨跟你说说，这做生意最重要还是诚信。</t>
  </si>
  <si>
    <t>我来到委托人魏府上寻魏大小姐，等候了一炷香的时间，却仍未见人。</t>
  </si>
  <si>
    <t>府中人皆在忙碌地准备着什么，我便和这丫鬟闲聊了几句。</t>
  </si>
  <si>
    <t>小姐下月就要出嫁了，正在试刚那凤冠霞帔呢。</t>
  </si>
  <si>
    <t>只是，明明应该是开心的日子的，昨日晚上却见小姐在哭，不知是怎么了……</t>
  </si>
  <si>
    <t>正聊着，魏大小姐吩咐一位仆人过来，引我至偏厅密谈。</t>
  </si>
  <si>
    <t>魏薇薇</t>
  </si>
  <si>
    <t>太好了，我正是要求探事轩派与我年级相仿的姑娘来处理此事……</t>
  </si>
  <si>
    <t>我见委托内容语焉不详，只说调查一位公子——魏姑娘是要查什么？</t>
  </si>
  <si>
    <t>【迟疑】是想查我的未婚夫……&lt;c=#db3e63ff&gt;赵家二公子&lt;/c&gt;。</t>
  </si>
  <si>
    <t>我与赵二公子于去年踏青之时便相识，情投意合。</t>
  </si>
  <si>
    <t>前两日，&lt;c=#db3e63ff&gt;天下第一楼&lt;/c&gt;举办诗会，我原本与赵公子约了一同前往，却临时有事未去。</t>
  </si>
  <si>
    <t>哪知当天诗会结束后，便听了些不好的传闻说……赵公子当众调戏吕姑娘，还惹她哭了。</t>
  </si>
  <si>
    <t>赵公子平日甚是自持，对我也是以礼相待，我实在想不通……他为何会做出那等事？</t>
  </si>
  <si>
    <t>吕姑娘是我的&lt;c=#db3e63ff&gt;闺中密友&lt;/c&gt;，我昨日特地找她，问赵公子如何轻薄于她，她哭个不停……</t>
  </si>
  <si>
    <t>这等事情，吕姑娘不愿张扬，也是可以理解。</t>
  </si>
  <si>
    <t>吕姑娘说不希望我因为她和赵公子有间隙，都是她的错，让我大度点，莫要怪赵公子。</t>
  </si>
  <si>
    <t>（嗯？！这时候不是应该劝闺中密友认清浪子本质，赶紧退婚吗？！）</t>
  </si>
  <si>
    <t>她还说，她一直把赵公子当兄长，没有想到事情会到现在这一步……</t>
  </si>
  <si>
    <t>（咦，这吕姑娘不像什么心思单纯的正经大家闺秀……）</t>
  </si>
  <si>
    <t>大婚在即，闹出这等事……我心里实在难过又不知如何是好……</t>
  </si>
  <si>
    <t>这事恐怕没那么简单，你莫要先自乱阵脚，我去帮你调查清楚。</t>
  </si>
  <si>
    <t>我来到了赵府门前，递了拜帖，静候了片刻。不多时，一位家仆上前，向我作揖。</t>
  </si>
  <si>
    <t>家仆</t>
  </si>
  <si>
    <t>抱歉，我家公子近期在筹备婚事，不便见女客，还请姑娘改日拜访。</t>
  </si>
  <si>
    <t>家仆转身回府。情急之下，我拦住了他。</t>
  </si>
  <si>
    <t>自称带信</t>
  </si>
  <si>
    <t>报上身份</t>
  </si>
  <si>
    <t>其实我是替魏大小姐传口信的！</t>
  </si>
  <si>
    <t>啊！原来是替未来少夫人传信的！你稍等片刻，我这就叫我们公子出来。</t>
  </si>
  <si>
    <t>我是魏大小姐的闺中密友！</t>
  </si>
  <si>
    <t>呵！又是闺中密友？带面纱这般鬼祟，传出去只说我家公子不守夫道！</t>
  </si>
  <si>
    <t>姑娘还是请回吧！莫要再玷污我家公子的名声！</t>
  </si>
  <si>
    <t>我等了片刻，家仆出来，塞给我一个纸条。</t>
  </si>
  <si>
    <t>姑娘见谅，最近城中在传我家公子调戏了吕姑娘，风头正紧，因此公子不便让姑娘入府相见。</t>
  </si>
  <si>
    <t>你可知那日诗会究竟发生了何事？为何会有这等传闻出现？</t>
  </si>
  <si>
    <t>不知啊！也不知那等传闻是何人放出来的。</t>
  </si>
  <si>
    <t>要说公子轻薄浪荡，小的可是万分不信。公子待魏姑娘那叫一片真心，天地可鉴！</t>
  </si>
  <si>
    <t>更何况公子向来自矜，要不是她是未来少夫人的密友，我家公子是万万不会正眼瞧她的。</t>
  </si>
  <si>
    <t>公子邀你一个时辰后前往纸条上的地址相见，望姑娘切莫声张！</t>
  </si>
  <si>
    <t>我展开他塞给我的纸条，上写着赵二公子约定的地址&lt;c=#db3e63ff&gt;南街二坊&lt;/c&gt;。</t>
  </si>
  <si>
    <t>（还有一个时辰，不如先&lt;c=#db3e63ff&gt;到别处转转&lt;/c&gt;吧。）</t>
  </si>
  <si>
    <t>到了约定时辰，我准时到了南街二坊僻静的巷子里。</t>
  </si>
  <si>
    <t>不多时，一位穿着夜行衣的鬼鬼祟祟的公子出现了。</t>
  </si>
  <si>
    <t>赵公子……你这打扮……</t>
  </si>
  <si>
    <t>赵公子</t>
  </si>
  <si>
    <t>哎呀，不要在意这些细节，我大婚在即，见姑娘实在不妥，故隐秘着装……</t>
  </si>
  <si>
    <t>可这是大白天，你这夜行衣……更惹人注目啊！！</t>
  </si>
  <si>
    <t>【大惊失色】哈？竟会如此？不是行隐秘之事都要穿夜行衣吗？那不行，我得脱了！</t>
  </si>
  <si>
    <t>赵公子边说，边准备脱衣服。</t>
  </si>
  <si>
    <t>你你你你快住手！</t>
  </si>
  <si>
    <t>90020309|90020310</t>
  </si>
  <si>
    <t>武力制止</t>
  </si>
  <si>
    <t>喝止</t>
  </si>
  <si>
    <t>我一记扫堂腿，将赵公子扫翻在地。他哀嚎片刻，这才好好听我说话。</t>
  </si>
  <si>
    <t>喂！住手！</t>
  </si>
  <si>
    <t>声音有些大，已经有人朝这边看过来了。</t>
  </si>
  <si>
    <t>（不行……看来只能武力制止这个憨批了！）</t>
  </si>
  <si>
    <t>天下第一楼的诗会上，听说你轻薄吕姑娘，还引得魏大小姐气急要退婚？</t>
  </si>
  <si>
    <t>我冤枉啊！我就正常说几句话她就哭起来了，这才引发传闻，薇薇还因此不理我了！</t>
  </si>
  <si>
    <t>（想不到这憨批的回复还意外有些解气……）</t>
  </si>
  <si>
    <t>…………噗！</t>
  </si>
  <si>
    <t>你笑什么啊？！就是我说完这句，她立马哭了，还惹了一大群人跑过来围观。</t>
  </si>
  <si>
    <t>不不不，大兄弟，你做的很好。我会帮你解开误会的。放心吧！</t>
  </si>
  <si>
    <t>（看来是魏大小姐误会赵公子了。我这便&lt;c=#db3e63ff&gt;提交委托&lt;/c&gt;，告诉她实情。）</t>
  </si>
  <si>
    <t>我来到天下第一楼，想打听当日的情况。</t>
  </si>
  <si>
    <t>哎，这位姑娘，要烧鸡还是烧酒？</t>
  </si>
  <si>
    <t>哎~这位小哥，我想打听一下前几日你们这举办的诗会，不知是否方便？</t>
  </si>
  <si>
    <t>嘿，我记得，那诗会上，一位叫&lt;c=#db3e63ff&gt;绿茶&lt;/c&gt;的姑娘被一位姓赵的公子调戏了！</t>
  </si>
  <si>
    <t>绿茶？</t>
  </si>
  <si>
    <t>对啊，我记得可清楚了。诗会结束后一日，那姑娘与一位公子一起来用膳。</t>
  </si>
  <si>
    <t>绿茶姑娘点了一壶碧螺春，而后说，碧螺春是绿茶，她也叫绿茶。</t>
  </si>
  <si>
    <t>当时同行的一位公子还赞她人如其名，绿茶般清雅芬芳，入口有回甘。</t>
  </si>
  <si>
    <t>哟，还入口有回甘，入口就绿还差不多。</t>
  </si>
  <si>
    <t>【托腮】嗯，我非常怀疑当时他们在打情骂俏，也怀疑现在你在讲荤段子，可我没有证据。</t>
  </si>
  <si>
    <t>咳……你说的姑娘我知道，姓吕。双口吕。那姑娘应当是叫吕茶。</t>
  </si>
  <si>
    <t>【恍然大悟】哦！她说话细声细气的，我听错也是正常。姓吕，那就说得通了。</t>
  </si>
  <si>
    <t>她当时就将自己被轻薄一事与那位公子说了。</t>
  </si>
  <si>
    <t>那位公子还说要帮她报仇雪恨，帮她将此事宣扬出去，让那赵公子身败名裂……</t>
  </si>
  <si>
    <t>与吕茶同行的公子你可认得？</t>
  </si>
  <si>
    <t>不认得，不过我听绿姑娘唤那他&lt;c=#db3e63ff&gt;洪公子&lt;/c&gt;。</t>
  </si>
  <si>
    <t>我当时还说，红配绿，赛狗屁，可登对了！然后洪公子还给了我一颗碎银子打赏叫我闭嘴呢。</t>
  </si>
  <si>
    <t>（事情已经水落石出了！不如最后——找洪公子和吕姑娘对峙！）</t>
  </si>
  <si>
    <t>（只是，怎么找他们好呢？）</t>
  </si>
  <si>
    <t>90020503|90020504</t>
  </si>
  <si>
    <t>询问猫儿</t>
  </si>
  <si>
    <t>询问路人</t>
  </si>
  <si>
    <t>我唤住一只野猫，很快，它便带来了消息。</t>
  </si>
  <si>
    <t>你要找的两个人，刚从&lt;c=#db3e63ff&gt;福来客栈&lt;/c&gt;出来喵。</t>
  </si>
  <si>
    <t>我向路人打听，一无所获。</t>
  </si>
  <si>
    <t>（不如去问问猫儿吧。）</t>
  </si>
  <si>
    <t>顺着猫儿的指引，我很快在客栈附近找到了吕茶和洪公子。</t>
  </si>
  <si>
    <t>吕茶姑娘。</t>
  </si>
  <si>
    <t>吕茶</t>
  </si>
  <si>
    <t>这位姐姐，你是……？</t>
  </si>
  <si>
    <t>（哇气死我了，你看着比我大多了竟然叫我姐，瞎么！！）</t>
  </si>
  <si>
    <t>别这么唤我，我家室清白，可没有你这种便宜的野生妹妹。</t>
  </si>
  <si>
    <t>……你说什么？</t>
  </si>
  <si>
    <t>我问你，你纠缠赵二公子而不得就算了，为何反要谣传赵二公子轻薄你？</t>
  </si>
  <si>
    <t>吕茶愣了愣，揪住了一旁洪公子的袖子，开始啜泣。</t>
  </si>
  <si>
    <t>我不知道她在说什么。田苟，她，她好凶哟，我，我好怕……</t>
  </si>
  <si>
    <t>洪田苟</t>
  </si>
  <si>
    <t>你胡说八道什么，这世间哪有女子会拿自己的清誉开玩笑！</t>
  </si>
  <si>
    <t>清誉？我没听错吧？你俩刚从客栈出来，你跟我说清誉？</t>
  </si>
  <si>
    <t>我，我们是研究画作的……</t>
  </si>
  <si>
    <t>嗤，去客栈研究画作？研究啥？推拿十八式？道心双修四十九招？</t>
  </si>
  <si>
    <t>总之，如果你不去澄清，明儿大家知道了啥，我可不能保证了。</t>
  </si>
  <si>
    <t>造谣一张嘴，辟谣跑断腿。今日我跑了一天已经很累了，但动动嘴皮子倒也不麻烦。</t>
  </si>
  <si>
    <t>我！洪田苟！就是一无所有，也不会让你得逞的！你有证据吗！</t>
  </si>
  <si>
    <t>我虽只是个小探子，可论找情报，你们可不是我的对手。</t>
  </si>
  <si>
    <t>当日诗会人那么多，我一一问去总能有端倪。只是这般大张旗鼓，吕姑娘这“清誉”只怕……</t>
  </si>
  <si>
    <t>吕姑娘狠狠地剜了我一眼，最终不甘心的咬了咬唇。</t>
  </si>
  <si>
    <t>好……我去澄清，我去道歉。</t>
  </si>
  <si>
    <t>洪田苟和吕茶对视一眼，不情愿地点点头，恨恨地离开了。</t>
  </si>
  <si>
    <t>90030111</t>
  </si>
  <si>
    <t>90030208|90030209</t>
  </si>
  <si>
    <t>303|304</t>
  </si>
  <si>
    <t>90030307</t>
  </si>
  <si>
    <t>305</t>
  </si>
  <si>
    <t>90030411</t>
  </si>
  <si>
    <t>90030507</t>
  </si>
  <si>
    <t>90030605</t>
  </si>
  <si>
    <t>30;361;10000</t>
  </si>
  <si>
    <t>我来到约定的茶楼，刚进门，便见到一抹熟悉红色的身影。</t>
  </si>
  <si>
    <t>小师妹，我可等你许久了。</t>
  </si>
  <si>
    <t>十六，是你下的单……？等等，不对呀。</t>
  </si>
  <si>
    <t>陆沉将我拉至身边，凑近我发丝间闻了闻。</t>
  </si>
  <si>
    <t>我家小师妹的味道，我大老远就闻到啦！你裹成粽子我也认错不了！</t>
  </si>
  <si>
    <t>罢了罢了，你这狗鼻子！莫要张扬我的身份就行……不对，说正事！</t>
  </si>
  <si>
    <t>这写的是&lt;c=#db3e63ff&gt;盗圣&lt;/c&gt;恋一美人而不得，怒下奇药，使之……肥胖？刘家的单子呀，你怎么过来了？</t>
  </si>
  <si>
    <t>哎呀，这事儿说着也麻烦，原本我作为一个正经门派的正经少主，是不该管这事儿的！</t>
  </si>
  <si>
    <t>但受人之托，没办法嘛。你可不许笑话我。这有个地址，你去&lt;c=#db3e63ff&gt;西街&lt;/c&gt;看看，或许可以知道一些真相。</t>
  </si>
  <si>
    <t>据刘家委托所写，刘家小姐是在几月前的某日，被&lt;c=#db3e63ff&gt;盗圣苏少白&lt;/c&gt;看上。</t>
  </si>
  <si>
    <t>“因久求而不得，盗圣苏少白在一个雨夜，怒下奇药，使刘家小姐从一个扶风弱柳的女子，变得……”</t>
  </si>
  <si>
    <t>（&lt;c=#db3e63ff&gt;肥胖&lt;/c&gt;？我可没听过有这种毒……）</t>
  </si>
  <si>
    <t>跟着地址，来到一家猪肉铺子前，看了看眼前人高马大满身横肉的屠夫。</t>
  </si>
  <si>
    <t>屠夫</t>
  </si>
  <si>
    <t>买不买肉？</t>
  </si>
  <si>
    <t>90040206|90040207</t>
  </si>
  <si>
    <t>打听事情</t>
  </si>
  <si>
    <t>打听肉价</t>
  </si>
  <si>
    <t>我报上了陆沉的名字，屠夫上下打量着我。</t>
  </si>
  <si>
    <t>牌牌上都写着肉价呢，你这小姑娘不识字？</t>
  </si>
  <si>
    <t>（还是问正事吧……）</t>
  </si>
  <si>
    <t>抱歉，请问您认识……苏少白吗？</t>
  </si>
  <si>
    <t>噫，恁就是小陆兄弟的师妹吧，可来了，俺就是&lt;c=#db3e63ff&gt;苏少白&lt;/c&gt;啊。</t>
  </si>
  <si>
    <t>盗圣苏少白？</t>
  </si>
  <si>
    <t>可不就是我，咋滴，不像呀？</t>
  </si>
  <si>
    <t>啊……像，像像像。不知您让十六找我，是为了……刘家小姐那事儿？</t>
  </si>
  <si>
    <t>一说这事儿，俺就脑壳疼，明明俺不认得那刘家小姐，只去过一次刘宅，还是……</t>
  </si>
  <si>
    <t>还是什么？</t>
  </si>
  <si>
    <t>恁也知道，俺，可是个盗圣，有个为非作歹的贪官，俺偷了他的官印，顺手堵在了刘家狗洞上而已。</t>
  </si>
  <si>
    <t>官印堵狗洞？这可是死……算了算了，你只干了这个？那刘家为何要说你给那刘家小姐下药？</t>
  </si>
  <si>
    <t>噫，这俺哪晓得嘛，恁说俺自个儿胖了俺知道为啥，她胖了咋关俺的事儿呢，俺还没说她把俺名声搞臭了呢。</t>
  </si>
  <si>
    <t>你那日去刘宅，可有遇到其他奇怪的事情？</t>
  </si>
  <si>
    <t>大晚上的，惩恶扬善完了，俺也是急着回家睡觉的。</t>
  </si>
  <si>
    <t>要说有啥奇怪咧，那应该是，大半夜咧，我听到那刘小姐屋里，有声尖锐的……&lt;c=#db3e63ff&gt;鸡叫&lt;/c&gt;！</t>
  </si>
  <si>
    <t>鸡叫？</t>
  </si>
  <si>
    <t>是咧，俺每次过去都有。</t>
  </si>
  <si>
    <t>刘小姐还待字闺中，你没事儿老过去干嘛？</t>
  </si>
  <si>
    <t>这不那刘府狗洞多嘛。</t>
  </si>
  <si>
    <t>小姑娘，恁可得给我好好查，俺在江湖上受人景仰，可不能背这种黑锅。</t>
  </si>
  <si>
    <t>（瞧着苏少白的样子，倒不像是说谎，那此次事件确实就疑点良多，还是去刘府看看情况吧。）</t>
  </si>
  <si>
    <t>403</t>
  </si>
  <si>
    <t>（那苏少白说鸡叫声是从刘小姐屋内传来，趁着深夜，看能否偷偷翻墙潜入刘府。）</t>
  </si>
  <si>
    <t>我……可是正经门派的正经少主，江湖十佳少侠啊，你怎么成日里就爱喊我跟你一块儿干这种事儿呢。</t>
  </si>
  <si>
    <t>这还不是你给我找来的委托。</t>
  </si>
  <si>
    <t>还不是因为你成日里都跑得不见人影，想见都见不着，我可不得给你找点事儿，为我忙一忙嘛。</t>
  </si>
  <si>
    <t>突然一声尖锐的&lt;c=#db3e63ff&gt;鸡叫&lt;/c&gt;，打破了深夜的寂静，陆沉探头往小厨房的方向看了看。</t>
  </si>
  <si>
    <t>我赌五个铜板是只母鸡！如果不是苏少白下的毒，那就是像话本子里写的那样——鬼上身了！</t>
  </si>
  <si>
    <t>我默了默，实在没忍住，一掌拍上了陆沉后脑勺。</t>
  </si>
  <si>
    <t>（隔得如此之远，实在看不清，看来还是需要离近些。）</t>
  </si>
  <si>
    <t>90040309|90040310</t>
  </si>
  <si>
    <t>翻墙而过</t>
  </si>
  <si>
    <t>向陆沉求助</t>
  </si>
  <si>
    <t>2;4;1</t>
  </si>
  <si>
    <t>这墙看着也不是很高，自己跳下去好了。</t>
  </si>
  <si>
    <t>别说了，先下去吧。</t>
  </si>
  <si>
    <t>我撑着墙往下一跃，险些崴到脚，所幸最后稳住了身形。</t>
  </si>
  <si>
    <t>这围墙也太高了……</t>
  </si>
  <si>
    <t>怕什么，有我在呢。</t>
  </si>
  <si>
    <t>小心凑到房门前，才戳出一个洞准备往里望，我却感觉衣袖被扯了扯。</t>
  </si>
  <si>
    <t>十六，别闹。</t>
  </si>
  <si>
    <t>你，嗯，看一眼。</t>
  </si>
  <si>
    <t>他声音有异，我只得转头，不想正对上刚打开门，一脸错愕的刘家小姐，而她嘴里还咬着&lt;c=#db3e63ff&gt;半截鸡腿&lt;/c&gt;。</t>
  </si>
  <si>
    <t>刘小姐</t>
  </si>
  <si>
    <t>你们……什么人！！！</t>
  </si>
  <si>
    <t>……看来，我们似乎找到了真相。</t>
  </si>
  <si>
    <t>404|405</t>
  </si>
  <si>
    <t>回到西街，刘老爷已经在探事轩附近等候了。</t>
  </si>
  <si>
    <t>刘老爷</t>
  </si>
  <si>
    <t>哟，姑娘你可来了，听说你全部查清啦，那我女儿这毒是不是就能解啦？</t>
  </si>
  <si>
    <t>我将收集的证据一一告之他。</t>
  </si>
  <si>
    <t>90040404|90040405</t>
  </si>
  <si>
    <t>说起刘家小姐半夜吃鸡</t>
  </si>
  <si>
    <t>7;105013;1</t>
  </si>
  <si>
    <t>说起刘家小姐一床食物</t>
  </si>
  <si>
    <t>7;105014;1</t>
  </si>
  <si>
    <t>什么！！！每晚杀一只鸡吃了？这怎么会？</t>
  </si>
  <si>
    <t>什么！！！这怎么会？</t>
  </si>
  <si>
    <t>跟&lt;c=#db3e63ff&gt;江湖盗圣&lt;/c&gt;确是无甚关联，小姐应该只是借了这个名头出来，想让事情更逼真些吧。</t>
  </si>
  <si>
    <t>这家伙，平日里也没亏了她的嘴啊……怎会突然暴饮暴食？</t>
  </si>
  <si>
    <t>按您委托所写，她是于几月前慢慢出现此种情况的，想来那时便已暗暗做谋划了。</t>
  </si>
  <si>
    <t>小姐那时候可曾定下婚约？</t>
  </si>
  <si>
    <t>大致便是半年前定的婚约。</t>
  </si>
  <si>
    <t>那便是了，女子出嫁，心情难免会紧张，刘小姐大概是通过吃东西来缓解了。</t>
  </si>
  <si>
    <t>前阵子尚京城内婚配过的女子参加茶会，还给这心情取了个名为&lt;c=#db3e63ff&gt;“恐婚心疾”&lt;/c&gt;。</t>
  </si>
  <si>
    <t>这，这么多女子都出嫁啊，如何会有此等心疾？</t>
  </si>
  <si>
    <t>女子出嫁前是家里的掌上明珠，出嫁后要相夫教子，三从四德，婆媳关系更让人头痛，自然会害怕了。</t>
  </si>
  <si>
    <t>这傻丫头，即便出嫁了，我刘家也是她坚实后盾啊！作甚要这般闷在心里，导致暴食呢咳咳咳咳咳……</t>
  </si>
  <si>
    <t>老爷子别激动，我相信您把这话转述给她，她这心疾一定会很快缓解的！</t>
  </si>
  <si>
    <t>刘府内，传说中弱柳扶风的刘小姐此刻正躺在床上，脸庞有些丰盈，&lt;c=#db3e63ff&gt;被子下&lt;/c&gt;也鼓鼓囊囊的。</t>
  </si>
  <si>
    <t>哎哟喂，我的女儿呀，这可如何是好啊，那柳家公子家世良好，才品兼得，这婚事可不能黄咯啊。</t>
  </si>
  <si>
    <t>床上的刘小姐看了看哭天喊地的刘老爷，在他看不到的角度小心而又缓慢的翻了个白眼。</t>
  </si>
  <si>
    <t>（这事儿倒是有趣。）</t>
  </si>
  <si>
    <t>好说歹说，终于劝走了刘老爷，我在屋中审视一圈，觉得有些奇怪。</t>
  </si>
  <si>
    <t>刘小姐眼下感觉怎么样？</t>
  </si>
  <si>
    <t>人家觉得有些难受，婚期将近，但因为那奇毒……人家、人家恐怕是没法穿上婚服出嫁啦。</t>
  </si>
  <si>
    <t>说话间，我注意到刘小姐嘴边发间的&lt;c=#db3e63ff&gt;白色粉末&lt;/c&gt;，心中隐隐有个猜想。</t>
  </si>
  <si>
    <t>90040509|90040510</t>
  </si>
  <si>
    <t>上前查看</t>
  </si>
  <si>
    <t>求助猫儿</t>
  </si>
  <si>
    <t>才要凑近，刘小姐便警惕的拉起被子往后退，我只得作罢。</t>
  </si>
  <si>
    <t>（还是向猫儿求助吧。）</t>
  </si>
  <si>
    <t>阿橘</t>
  </si>
  <si>
    <t>我的主人，只是想看这种东西而已，又何须您动手，让在下为您效劳吧。</t>
  </si>
  <si>
    <t>冷着一张脸的阿橘，身姿轻盈的跳入房内，极速向刘小姐冲去，在离她不远的地方一跃而起，亮出爪子。</t>
  </si>
  <si>
    <t>哇呀呀呀。</t>
  </si>
  <si>
    <t>突如其来的变故，让刘小姐扯着被子猛地坐了起来，梨子、桃子、李子咚咚咚的滚出来，各类&lt;c=#db3e63ff&gt;食物&lt;/c&gt;散落四周</t>
  </si>
  <si>
    <t>你这……？</t>
  </si>
  <si>
    <t>刘小姐看着满地狼藉，眨巴眨巴眼。</t>
  </si>
  <si>
    <t>我觉得……我能解释。</t>
  </si>
  <si>
    <t>不了，我看我这委托，也到时候该交了。</t>
  </si>
  <si>
    <t>辛苦你啦，看你跑的这一身汗。来来来，快坐下。婆婆给你沏一杯皇菊茶去去火。</t>
  </si>
  <si>
    <t>婆婆太客气了~</t>
  </si>
  <si>
    <t>我不由摸了摸额上今早刚刚有点发红的小痘包。</t>
  </si>
  <si>
    <t>老身配出了许多花茶方子，如今想是老了，没有什么新奇的好主意了。</t>
  </si>
  <si>
    <t>这次便是想调查一下&lt;c=#db3e63ff&gt;年轻人的喜好&lt;/c&gt;，看看能不能研究出新的好喝的暮春花茶呢。</t>
  </si>
  <si>
    <t>婆婆这里有好多花茶啊，都是今年新的方子吗?</t>
  </si>
  <si>
    <t>我笑着道谢。婆婆将沏好的茶盏放在桌上的锦布上。</t>
  </si>
  <si>
    <t>稍等茶凉些后再饮，切莫烫了嘴。</t>
  </si>
  <si>
    <t>球状的金黄花朵在杯中摇曳，甚是漂亮。我看得入神，探手碰了一下。</t>
  </si>
  <si>
    <t>婆婆赶紧接过了我手中的茶，放在桌案，而后检查我的手。</t>
  </si>
  <si>
    <t>没事没事，哎呀，这花像婆婆一样，太好看了，我没忍住！</t>
  </si>
  <si>
    <t>真的不必啦，我这就去帮婆婆打听情报，等我回来像婆婆复命的时候再来喝这杯菊茶吧。</t>
  </si>
  <si>
    <t>好了好了，大家伙儿只是兴起讨论一下时兴的花色罢了，何必闹得不愉快呢。</t>
  </si>
  <si>
    <t>（我自己出面去问花茶喜好很难一呼百应，我和她又不相熟，不如请&lt;c=#db3e63ff&gt;周家四小姐&lt;/c&gt;帮忙吧。）</t>
  </si>
  <si>
    <t>90050216</t>
  </si>
  <si>
    <t>放心！调研就交给我啦~</t>
  </si>
  <si>
    <t>那就先谢过四小姐了~</t>
  </si>
  <si>
    <t>时正暮春，当以&lt;c=#db3e63ff&gt;茉莉花茶，乌龙茶&lt;/c&gt;为上，不过也都是些老方子了，姑娘们&lt;c=#db3e63ff&gt;喜甜&lt;/c&gt;，而花茶大多微苦。</t>
  </si>
  <si>
    <t>当然可以了。</t>
  </si>
  <si>
    <t>90050305</t>
  </si>
  <si>
    <t>唤出可爱的猫儿</t>
  </si>
  <si>
    <t>猫儿太可爱了，只可惜家父不喜，因而我也只能路边玩玩，不敢带回家。</t>
  </si>
  <si>
    <t>真的吗？好多说不喜猫，不让儿女养的老人家，真见到猫儿后，不出两天就抱着猫儿不撒手呢。</t>
  </si>
  <si>
    <t>真的？！</t>
  </si>
  <si>
    <t>实不相瞒，这样的老人家我见多了~口里嫌弃，行为却喜欢得很~</t>
  </si>
  <si>
    <t>细细想想，爹爹去到别人家，见到猫总会扔点饭食逗弄，被我撞见又一副很嫌弃的样子赶紧走开……</t>
  </si>
  <si>
    <t>7;105015;1</t>
  </si>
  <si>
    <t>诶，婆婆，这……茶怎么是甜的？</t>
  </si>
  <si>
    <t>婆婆不用这么客气啦，完成委托是应该的。天色不早了，下次再来看婆婆。</t>
  </si>
  <si>
    <t>（婆婆的眼睛真好看啊~又那么温柔。年轻的时候得是多出名的美人啊……）</t>
  </si>
  <si>
    <t>前脚刚出门，突然看到一道鬼鬼祟祟的人影闪过。</t>
  </si>
  <si>
    <t>什么人？！</t>
  </si>
  <si>
    <t>追了几步，却再不见那人——人间慢地处南湖繁华街道，这人却能来去无影。</t>
  </si>
  <si>
    <t>（先去探事轩&lt;c=#db3e63ff&gt;提交委托&lt;/c&gt;，下次再调查此事好了。）</t>
  </si>
  <si>
    <t>获得【玄门密信】</t>
  </si>
  <si>
    <t>（神龙以北……将至……少了两个字，什么意思呢……）</t>
  </si>
  <si>
    <t>90060212|90060213</t>
  </si>
  <si>
    <t>（果然！这就是上次在院子里发现的&lt;c=#db3e63ff&gt;烟花&lt;/c&gt;。）</t>
  </si>
  <si>
    <t>（说明这个人被烟花炸伤，并且伤得还不轻！）</t>
  </si>
  <si>
    <t>（玄门的人……智商真不咋样，那日云绣坊的大火真是他们放的？！）</t>
  </si>
  <si>
    <t>大叔！你有没有看见他们去哪了呀？</t>
  </si>
  <si>
    <t>我听到一声巨响，然后后来看到他们慌慌张张下山去了，这火星子还是我给他们踩的。</t>
  </si>
  <si>
    <t>（看起来……他们是在这里烧毁证据，但是……却炸了自己？）</t>
  </si>
  <si>
    <t>（下山不可能去皇城，往东去无人谷是自寻死路……是&lt;c=#db3e63ff&gt;北桥弄&lt;/c&gt;！）</t>
  </si>
  <si>
    <t>进了北桥弄的城门，我想起这处&lt;c=#db3e63ff&gt;医馆&lt;/c&gt;众多，不知道从何处找起。不如找人问问吧。</t>
  </si>
  <si>
    <t>90060302|90060303</t>
  </si>
  <si>
    <t>604</t>
  </si>
  <si>
    <t>（大概那时候是陆沉在叫步步吧……怎么被他听了一耳朵就变成我的名字……叫步步了……）</t>
  </si>
  <si>
    <t>90060416|90060417</t>
  </si>
  <si>
    <t>黑衣人？哦，那些人被烧伤了，不严重，还能喘气。在我这里用药他们可用不起。</t>
  </si>
  <si>
    <t>605|606</t>
  </si>
  <si>
    <t>哦，我替一个人送情书给我自己。</t>
  </si>
  <si>
    <t>……哎？好，好的吧……</t>
  </si>
  <si>
    <t>607</t>
  </si>
  <si>
    <t>90060701</t>
  </si>
  <si>
    <t>（不如想个办法拖住他们，我去&lt;c=#db3e63ff&gt;提交委托&lt;/c&gt;，通报靖远侯。）</t>
  </si>
  <si>
    <t>90060703|90060704</t>
  </si>
  <si>
    <t>（唔……只怕我一人无法将他们全部擒住，反而走漏了风声，还是想想其他办法好了……）</t>
  </si>
  <si>
    <t>（这样就行了，我赶紧去&lt;c=#db3e63ff&gt;提交委托&lt;/c&gt;吧！）</t>
  </si>
  <si>
    <t>只是……唉。这城中还会有比在下懂猫的人吗？</t>
  </si>
  <si>
    <t>那路掌柜要如何才能信我？</t>
  </si>
  <si>
    <t>90070204|90070205</t>
  </si>
  <si>
    <t>倒是有一点，我时常从它的窝中翻出些&lt;c=#db3e63ff&gt;鱼干碎屑&lt;/c&gt;，不知它……是不是在外面有别人了。</t>
  </si>
  <si>
    <t>噗……我看八成是在外头有人了，不如到外面看查查吧。</t>
  </si>
  <si>
    <t>703|704</t>
  </si>
  <si>
    <t>在下喂的都是鲜鱼肉，它莫不是在外头……有别人了？</t>
  </si>
  <si>
    <t>90070307</t>
  </si>
  <si>
    <t>705</t>
  </si>
  <si>
    <t>90070405</t>
  </si>
  <si>
    <t>猫儿传信回来了。</t>
  </si>
  <si>
    <t>（往&lt;c=#db3e63ff&gt;湖畔&lt;/c&gt;……还是&lt;c=#db3e63ff&gt;西街&lt;/c&gt;？还太不确定。）</t>
  </si>
  <si>
    <t>（既然如此，&lt;c=#db3e63ff&gt;湖畔&lt;/c&gt;和&lt;c=#db3e63ff&gt;西街&lt;/c&gt;都去找找看。）</t>
  </si>
  <si>
    <t>706|707</t>
  </si>
  <si>
    <t>90070501</t>
  </si>
  <si>
    <t>90070504|90070505</t>
  </si>
  <si>
    <t>30;741;10000</t>
  </si>
  <si>
    <t>7;105020;1</t>
  </si>
  <si>
    <t>对呀，我家是&lt;c=#db3e63ff&gt;湖畔&lt;/c&gt;边上卖鱼的，我家相公负责捕鱼，我负责带到街上卖。</t>
  </si>
  <si>
    <t>嗨呀，就是&lt;c=#db3e63ff&gt;湖畔&lt;/c&gt;的渔夫，他家的鱼干，喏，他婆娘就在前头。</t>
  </si>
  <si>
    <t>90070601</t>
  </si>
  <si>
    <t>90070701</t>
  </si>
  <si>
    <t>90070704|90070705</t>
  </si>
  <si>
    <t>7;105021;1</t>
  </si>
  <si>
    <t>90070713</t>
  </si>
  <si>
    <t>30;751;10000</t>
  </si>
  <si>
    <t>708</t>
  </si>
  <si>
    <t>90070801</t>
  </si>
  <si>
    <t>90070804</t>
  </si>
  <si>
    <t>7;105023;1</t>
  </si>
  <si>
    <t>坐在商广会馆中捧着清茶，我仍在想刚才接下的委托。</t>
  </si>
  <si>
    <t>（来自商广会馆……莫非这委托是祁公子下的？）</t>
  </si>
  <si>
    <t>（也不知道这一身会不会被认出来。）</t>
  </si>
  <si>
    <t>姑娘是探事轩派来的人？</t>
  </si>
  <si>
    <t>是，听闻公子是发现店铺下有人&lt;c=#db3e63ff&gt;做假账&lt;/c&gt;，此事——公子？</t>
  </si>
  <si>
    <t>祁清和的视线仍落在我身上，带着些微的困惑。</t>
  </si>
  <si>
    <t>（哇……不会是认出来了吧？）</t>
  </si>
  <si>
    <t>心下一阵紧张，对方却已经移开视线，唇边仍是和煦的笑容。</t>
  </si>
  <si>
    <t>抱歉，总觉得姑娘有些熟悉，是在下唐突了。</t>
  </si>
  <si>
    <t>关于委托，在下确实发现下面有人在做假账。</t>
  </si>
  <si>
    <t>只是此事不便让会馆中人插手，因此想请姑娘帮忙调查，姑娘随我来。</t>
  </si>
  <si>
    <t>802</t>
  </si>
  <si>
    <t>跟着祁清和一路到了商贸行前的一处妆品铺子，我看到门前正在忙着打算盘的男子。</t>
  </si>
  <si>
    <t>祁公子说的便是他？</t>
  </si>
  <si>
    <t>是，他姓卢，是这铺子的掌柜，此次在下需姑娘调查的，是他&lt;c=#db3e63ff&gt;做假账的原因&lt;/c&gt;。</t>
  </si>
  <si>
    <t>（这样的小事，何至于不便让会馆的人出手？难道背后另有隐情？）</t>
  </si>
  <si>
    <t>我明白了，一定会给公子一个满意的答案。</t>
  </si>
  <si>
    <t>等等。</t>
  </si>
  <si>
    <t>没等我明白他为何突然叫住我，就觉得耳畔微热，祁清和伸手帮我理了理面纱。</t>
  </si>
  <si>
    <t>姑娘这边的耳挂松了，若是不慎落了面纱，让人瞧见面容便不好了。</t>
  </si>
  <si>
    <t>未料到祁清和这样的性子会亲自上手，我正想说话，却看到他眸中凝着认真和担心。</t>
  </si>
  <si>
    <t>我明白了……谢谢公子……</t>
  </si>
  <si>
    <t>送走祁清和，我盯着卢掌柜观察一阵，发现忽然有个&lt;c=#db3e63ff&gt;年轻人&lt;/c&gt;神色匆匆走进铺子。</t>
  </si>
  <si>
    <t>没说两句话，卢掌柜也面带惊慌之色，仓促地跟着年轻人离开。</t>
  </si>
  <si>
    <t>90080215|90080216</t>
  </si>
  <si>
    <t>偷偷进铺子里翻看账本</t>
  </si>
  <si>
    <t>派猫儿跟着他们</t>
  </si>
  <si>
    <t>想趁机溜进去翻开他做假账的账册，但店里头还有别的伙计，让我无从下手。</t>
  </si>
  <si>
    <t>（罢了，还是先去看看他们做什么了吧。）</t>
  </si>
  <si>
    <t>老大老大，我们找到他们所在的地方了！</t>
  </si>
  <si>
    <t>我看见他们跑到&lt;c=#db3e63ff&gt;西街&lt;/c&gt;的一家到&lt;c=#db3e63ff&gt;民宅&lt;/c&gt;去了！</t>
  </si>
  <si>
    <t>橘又又真棒，那我们快过去吧！</t>
  </si>
  <si>
    <t>803</t>
  </si>
  <si>
    <t>来到民宅门口，我正巧看见卢掌柜端了一碗乌黑的药渣边叹气边倒在门口。</t>
  </si>
  <si>
    <t>（奇怪，这是什么药物？）</t>
  </si>
  <si>
    <t>小心翼翼收集了部分药渣，我躲在门口偷听里面的人对话。</t>
  </si>
  <si>
    <t>年轻人</t>
  </si>
  <si>
    <t>阿爹，娘的药又不够了……还有那&lt;c=#db3e63ff&gt;药引子&lt;/c&gt;也……</t>
  </si>
  <si>
    <t>怎么办？这样下去阿娘会——</t>
  </si>
  <si>
    <t>卢掌柜</t>
  </si>
  <si>
    <t>你回去照顾你阿娘，其他的我来想办法。</t>
  </si>
  <si>
    <t>可是那李记药铺的&lt;c=#db3e63ff&gt;药引子&lt;/c&gt;那么贵，阿爹你……</t>
  </si>
  <si>
    <t>放心吧，阿爹自有办法，你别担心，也别让你阿娘太担心。</t>
  </si>
  <si>
    <t>交代完事情，卢掌柜又很快离开了民宅。</t>
  </si>
  <si>
    <t>我正想跟出去，不料正好踩到脚下的枯枝，发出声响。</t>
  </si>
  <si>
    <t>什么人在那！</t>
  </si>
  <si>
    <t>被发现了，要怎么办？</t>
  </si>
  <si>
    <t>90080313|90080314</t>
  </si>
  <si>
    <t>糊弄过关</t>
  </si>
  <si>
    <t>诚恳深聊</t>
  </si>
  <si>
    <t>试图糊弄过关，但年轻人气鼓鼓地瞪着我，一脸的不相信。</t>
  </si>
  <si>
    <t>（看来只能开诚布公地聊聊了。）</t>
  </si>
  <si>
    <t>和年轻人说明情况，对方满面不可置信。</t>
  </si>
  <si>
    <t xml:space="preserve">年轻人 </t>
  </si>
  <si>
    <t>我不骗你！你看这是阿娘用药的方子，阿娘真的病得很重！</t>
  </si>
  <si>
    <t>我亲自去给祁东家道歉，求他别赶阿爹走，不然我娘真的就没救了！</t>
  </si>
  <si>
    <t>你先别急，祁公子也没说一定会赶你爹离开，事情也许还有转机。</t>
  </si>
  <si>
    <t>真、真的吗？</t>
  </si>
  <si>
    <t>嗯，你先安心照顾好你娘，别让她操心，这些事也先别和她说。</t>
  </si>
  <si>
    <t>（看来是时候回去见见祁公子了。）</t>
  </si>
  <si>
    <t>804</t>
  </si>
  <si>
    <t>（说起来，他们刚刚对话里还提到了&lt;c=#db3e63ff&gt;药引子&lt;/c&gt;，贵到足以拖垮整个家庭。）</t>
  </si>
  <si>
    <t>（稍微去调查看看好了。）</t>
  </si>
  <si>
    <t>找到李记药铺，就看到药铺掌柜打着算盘，懒洋洋地靠在座椅上。</t>
  </si>
  <si>
    <t>能麻烦掌柜帮忙看看这个是什么药么？</t>
  </si>
  <si>
    <t>取出药渣，对方瞅一眼，再闻了闻。</t>
  </si>
  <si>
    <t>李掌柜</t>
  </si>
  <si>
    <t>哟，这不是咱家独门的&lt;c=#db3e63ff&gt;药引&lt;/c&gt;么？怎么，姑娘要来一点么？</t>
  </si>
  <si>
    <t>你都没问过患者的症状，怎么就笃定你家药引有用？</t>
  </si>
  <si>
    <t>嗐，咱们家的药引包治百病，哪用得着问呐？姑娘你要的话，我算便宜点，五两银子一钱。</t>
  </si>
  <si>
    <t>（五两？！你怎么不去抢呢！）</t>
  </si>
  <si>
    <t>这人存心讹诈还满口胡言，我得让他吐出实情。</t>
  </si>
  <si>
    <t>让猫儿们动手</t>
  </si>
  <si>
    <t>哎呀哪来的猫？啊嚏——！我、我过敏！快让它们走！</t>
  </si>
  <si>
    <t>你那药引子不是包治百病么？怎得治不得敏症了？</t>
  </si>
  <si>
    <t>啊嚏！那就是&lt;c=#db3e63ff&gt;苦参的须子磨成的粉末&lt;/c&gt;，哪能治——你套我话！</t>
  </si>
  <si>
    <t>臭丫头你有本事别走！啊嚏、你等等！</t>
  </si>
  <si>
    <t>（鬼才等你呢。）</t>
  </si>
  <si>
    <t>一溜烟跑走，手上的证据也差不多了，我该回去&lt;c=#db3e63ff&gt;交差&lt;/c&gt;了。</t>
  </si>
  <si>
    <t>回到商贸行，祁清和已经等了我有一会了。</t>
  </si>
  <si>
    <t>姑娘回来了，可有什么收获吗？</t>
  </si>
  <si>
    <t>我点点头，将查证的东西告知他。</t>
  </si>
  <si>
    <t>90080504|90080505</t>
  </si>
  <si>
    <t>说起李记药铺的骗局</t>
  </si>
  <si>
    <t>7;105026;1</t>
  </si>
  <si>
    <t>说起卢掌柜家的困境</t>
  </si>
  <si>
    <t>7;105025;1</t>
  </si>
  <si>
    <t>李记啊……用苦参须做万能药引高价出售，实为谋财害命之举。</t>
  </si>
  <si>
    <t>在下知晓了，多谢姑娘。</t>
  </si>
  <si>
    <t>果然……</t>
  </si>
  <si>
    <t>公子莫非早已知道了？</t>
  </si>
  <si>
    <t>算是吧，在下只是猜测他有苦衷罢了。</t>
  </si>
  <si>
    <t>冒昧问一句，祁公子预备如何处置卢掌柜呢？</t>
  </si>
  <si>
    <t>让人去为他的妻子看诊。</t>
  </si>
  <si>
    <t>这……算是处置？</t>
  </si>
  <si>
    <t>卢掌柜素日为人勤恳正直，若非到了绝境，不会做这样的事情，在下愿意再给他一次机会。</t>
  </si>
  <si>
    <t>只是此事不能让会馆的人知道，否则即便在下想留人，他也难以自处了。</t>
  </si>
  <si>
    <t>（所以才会找上探事轩啊……）</t>
  </si>
  <si>
    <t>总之今日多谢姑娘了，你果然……</t>
  </si>
  <si>
    <t>公子说什么？</t>
  </si>
  <si>
    <t>没什么，在下送姑娘出去吧。</t>
  </si>
  <si>
    <t>对面这人没有回答，只一动不动低头面对着我。</t>
  </si>
  <si>
    <t>见他不回答，我又看了看委托人的画像。这一头白发又蒙着眼睛，又丧又傲……总不可能认错的。</t>
  </si>
  <si>
    <t>正是老叟。</t>
  </si>
  <si>
    <t>老叟？小哥哥看起来挺年轻的啊。</t>
  </si>
  <si>
    <t>凡人愚昧，不知眼见可不为实。</t>
  </si>
  <si>
    <t>说完这句，我只觉得身边似乎有股阴风刮过，激起了一阵寒栗。</t>
  </si>
  <si>
    <t>咦？好像有风……</t>
  </si>
  <si>
    <t>白沧似有察觉，叹了口气，口唇翁动。我只觉得这股渗人的感觉便消散了不少。</t>
  </si>
  <si>
    <t>……老叟身染的死气太重，你不便久留。</t>
  </si>
  <si>
    <t>可是接了委托而来？既已接，去做便是。</t>
  </si>
  <si>
    <t>是这样……您的委托给的信息不太明白，我来找您了解清楚，具体是打探花婆婆的什么心意？</t>
  </si>
  <si>
    <t>花婆婆？吾只记得&lt;c=#db3e63ff&gt;花月白&lt;/c&gt;。月皎花明……皆抵不上她嫣然浅笑动人心魄。</t>
  </si>
  <si>
    <t>（这人怎么陷入回忆就听不到人叫他呢，我的好奇心刚被吊起来啊！）</t>
  </si>
  <si>
    <t>90090118</t>
  </si>
  <si>
    <t>白公子，那花婆婆的心意是关于？</t>
  </si>
  <si>
    <t>有无&lt;c=#db3e63ff&gt;属意之人&lt;/c&gt;。</t>
  </si>
  <si>
    <t>……这么言简意赅？</t>
  </si>
  <si>
    <t>吾许久不曾说这么多话了。</t>
  </si>
  <si>
    <t>（……这地方阴恻恻，还是去找&lt;c=#db3e63ff&gt;花婆婆&lt;/c&gt;或者&lt;c=#db3e63ff&gt;公子歇&lt;/c&gt;了解一下吧。）</t>
  </si>
  <si>
    <t>902|903</t>
  </si>
  <si>
    <t>婆婆~我来看您啦！</t>
  </si>
  <si>
    <t>好呀，取名字什么的我最在行了，我家后院猫儿的名字就都是我取得呢~</t>
  </si>
  <si>
    <t>上次喝了婆婆的茶还一直惦记着，沁甜清冽，喝完嘴里都是香的~</t>
  </si>
  <si>
    <t>你这孩子，嘴甜得跟抹了蜜似的。</t>
  </si>
  <si>
    <t>婆婆说着将两杯花茶放在桌上，左侧深红棕色，右侧浅琥珀色。清澈剔透，缓缓地漾着阳光的颜色。</t>
  </si>
  <si>
    <t>我先端起乌龙茶，细细品了。</t>
  </si>
  <si>
    <t>这乌龙茶中桂花香气清甜馥郁，与此茶特有的兰花香气相得益彰。不如叫……</t>
  </si>
  <si>
    <t>90090211|90090212</t>
  </si>
  <si>
    <t>姑娘来，先喝口白水清清口，再品品这第二杯。</t>
  </si>
  <si>
    <t>90090217</t>
  </si>
  <si>
    <t>“窨得茉莉无上味，列作人间第一香”，不如名为“碧雪茉香”吧。</t>
  </si>
  <si>
    <t>好名字。老身替这些花儿些过姑娘了。它们向着阳光饱含希望地生长，最终要是能留香唇齿，倒也是一桩美事。</t>
  </si>
  <si>
    <t>曾有人告诉我，他年轻的时候游历山河，得见那许多精妙绝伦的造物。</t>
  </si>
  <si>
    <t>但人自恃能造鬼斧神工，却终无法创造哪怕最简单的生命……</t>
  </si>
  <si>
    <t>婆婆可是思念故人了?</t>
  </si>
  <si>
    <t>花婆婆名为&lt;c=#db3e63ff&gt;花月白&lt;/c&gt;，约三十年前名动启国的美人，身世神秘至今没有档案记载，但应&lt;c=#db3e63ff&gt;不是启国人&lt;/c&gt;。</t>
  </si>
  <si>
    <t>公子歇挑眉一笑，从案下取出一摞册子搁在我手上，只压得我胳膊一沉。</t>
  </si>
  <si>
    <t>这些是尚京30年来所有店铺和户簿等级的资料，你可自行翻看。</t>
  </si>
  <si>
    <t xml:space="preserve">好、好多！……多谢！ </t>
  </si>
  <si>
    <t>这么多……看来只能慢慢查了。</t>
  </si>
  <si>
    <t>90090312</t>
  </si>
  <si>
    <t>90090403|90090404</t>
  </si>
  <si>
    <t>“人间慢”啊……</t>
  </si>
  <si>
    <t>“人间慢”么？</t>
  </si>
  <si>
    <t>可如今我这一头的青丝已成霜雪，不知……还能不能有时间再见见错过的人。</t>
  </si>
  <si>
    <t>90090411</t>
  </si>
  <si>
    <t>（银发，蒙眼……莫非是&lt;c=#db3e63ff&gt;白沧&lt;/c&gt;？！）</t>
  </si>
  <si>
    <t>（白沧公子真的是婆婆的意中人？那为何白公子仍是年少的样子？又为何还需要借情报阁探问？）</t>
  </si>
  <si>
    <t>90090505</t>
  </si>
  <si>
    <t>大小姐，这里的味道除了白公子，还有明显的香粉气味。</t>
  </si>
  <si>
    <t>嗯嗯，白公子可能跟女人跑了，这里没有挣扎的痕迹，明显是自愿的。</t>
  </si>
  <si>
    <t>……现场留下的脚印与我的差不多大，深度较浅且整齐。想来是个&lt;c=#db3e63ff&gt;体型娇小的女子&lt;/c&gt;。咦，等等，这梅花脚印是……</t>
  </si>
  <si>
    <t>大小姐你别听又又那个胖子的，它就是懒，想回去橘猫瘫了，依我看，白沧公子定是被人迷惑了！</t>
  </si>
  <si>
    <t>【气得跳脚】你才懒，我是担心老大！这哪里只有香粉的味道了，分明还有……</t>
  </si>
  <si>
    <t>还有一只猫的味道对吗？</t>
  </si>
  <si>
    <t>不不不，不仅是猫啊，是凶悍母猫才对！！！</t>
  </si>
  <si>
    <t>走吧，既然是委托人出现意外，我们先&lt;c=#db3e63ff&gt;去探事轩了结这个委托&lt;/c&gt;。我知道应该上哪里去找白公子了。</t>
  </si>
  <si>
    <t>1002</t>
  </si>
  <si>
    <t>90100202|90100203</t>
  </si>
  <si>
    <t>1003</t>
  </si>
  <si>
    <t>90100305|90100306</t>
  </si>
  <si>
    <t>30;1021;10000</t>
  </si>
  <si>
    <t>1004|1005</t>
  </si>
  <si>
    <t>90100404|90100405</t>
  </si>
  <si>
    <t>这就是杜小公公那天的经历，你说好不好笑。只不过为了押韵，我把他的酒换成了醋。</t>
  </si>
  <si>
    <t>1006</t>
  </si>
  <si>
    <t>90100505|90100506</t>
  </si>
  <si>
    <t>阿姨你有点老土了，这首我都唱腻了。</t>
  </si>
  <si>
    <t>不是阿姨，是姐姐……那正好，请你以后不要再唱了吧，小杜公公会难过的呢。</t>
  </si>
  <si>
    <t>90100607|90100608</t>
  </si>
  <si>
    <t>221</t>
  </si>
  <si>
    <t>361</t>
  </si>
  <si>
    <t>741</t>
  </si>
  <si>
    <t>751</t>
  </si>
  <si>
    <t>盗圣的证词</t>
  </si>
  <si>
    <t>大半夜，屠夫听到刘小姐屋里有声尖锐的鸡叫</t>
  </si>
  <si>
    <t>偷吃证据1</t>
  </si>
  <si>
    <t>刘家小姐半夜偷吃鸡腿</t>
  </si>
  <si>
    <t>偷吃证据2</t>
  </si>
  <si>
    <t>刘家小姐床上藏满食物</t>
  </si>
  <si>
    <t>玄门密信</t>
  </si>
  <si>
    <t>“神水盈池，神光永炽，神龙以北，……将至！”有两个字模糊了看不清。</t>
  </si>
  <si>
    <t>药渣</t>
  </si>
  <si>
    <t>乌黑的药渣，有股苦涩的味道。</t>
  </si>
  <si>
    <t>卢夫人的药方</t>
  </si>
  <si>
    <t>似乎是颇为严重的肺疾。</t>
  </si>
  <si>
    <t>药引子</t>
  </si>
  <si>
    <t>苦参须磨成的药粉。</t>
  </si>
  <si>
    <t>花婆婆的赞赏</t>
  </si>
  <si>
    <t>花婆婆非常认可我为茶叶取的名字。</t>
  </si>
  <si>
    <t>魏府</t>
  </si>
  <si>
    <t>对峙</t>
  </si>
  <si>
    <t>刘府</t>
  </si>
  <si>
    <t>民宅</t>
  </si>
  <si>
    <t>吕茶穿帮大快人心，田苟终将一无所有。</t>
  </si>
  <si>
    <t>调查盗圣下药美人一事，竟是陆沉下的委托</t>
  </si>
  <si>
    <t>与屠夫沟通后得知，刘家小姐屋里半夜有鸡叫，颇为蹊跷</t>
  </si>
  <si>
    <t>翻墙来到刘府厨房，正好遇上偷吃鸡腿的刘家小姐</t>
  </si>
  <si>
    <t>刘小姐是因恐婚心疾，这才导致暴饮暴食。</t>
  </si>
  <si>
    <t>来到刘家小姐闺房，发现小姐床上满是藏好的食物！</t>
  </si>
  <si>
    <t>来自商广会馆的委托</t>
  </si>
  <si>
    <t>妆品铺子的假账掌柜</t>
  </si>
  <si>
    <t>如此名贵的药引到底是什么？</t>
  </si>
  <si>
    <t>收集完了证据，回复祁清和。</t>
  </si>
  <si>
    <t>1;101</t>
  </si>
  <si>
    <t>1;105</t>
  </si>
  <si>
    <t>1;106</t>
  </si>
  <si>
    <t>1;107</t>
  </si>
  <si>
    <t>1;108</t>
  </si>
  <si>
    <t>1;109</t>
  </si>
  <si>
    <t>1;110</t>
  </si>
  <si>
    <t>1;111</t>
  </si>
  <si>
    <t>我从怀中掏出册子和炭笔，开始记录。</t>
  </si>
  <si>
    <t>你说，我记。注意，你有权沉默，可你说的一切都将成为证供，由我转达给魏家小姐！</t>
  </si>
  <si>
    <t>我身正不怕影子斜，怕个甚！那日那吕家小姐来找我搭话，开口就唤我好哥哥。</t>
  </si>
  <si>
    <t>我客气了几句说我不需要便宜妹妹，她便转了口风，恭喜我和薇薇定下婚约。</t>
  </si>
  <si>
    <t>……噫~她为何要跟闺中密友的未婚夫说这等话……你如何回的？</t>
  </si>
  <si>
    <t>我便安慰她，至少她还挺有自知之明的。不会梳妆打扮没事，多读点书也成啊。</t>
  </si>
  <si>
    <t>姑娘家哭了，我也不好不理，就递了帕子给她，还问了句她不是素颜吗，怎么脸花了？</t>
  </si>
  <si>
    <t>可能不喜欢我那帕子吧，她哭更大声了。我赶紧劝她，哭了更丑，她就扭头跑了。</t>
  </si>
  <si>
    <t>你一定要帮我多写几句好话啊，虽然惹了她的好友哭，是我不对……</t>
  </si>
  <si>
    <t>29;105031;1</t>
  </si>
  <si>
    <t>29;105032;1</t>
  </si>
  <si>
    <t>便宜妹妹，乖。限三天之内。我会盯着你们的！</t>
  </si>
  <si>
    <t>还有半块梨花糕滚到我脚边，我捡起它，再看看刘家小姐嘴边的白色粉末，心下了然。</t>
  </si>
  <si>
    <t>是啊，姑娘可以试试，看喜欢那种，老身给你打包些带着。</t>
  </si>
  <si>
    <t>唉，你这孩子，怎么还跟小孩似的，直接去碰热水呢，没事吧？</t>
  </si>
  <si>
    <t>花婆婆看着我笑了起来。她的眼睛像一湾湖泊，清亮温柔。笑的时候眼角皱纹如被吹皱的湖面，温柔地漾开。</t>
  </si>
  <si>
    <t>【惊讶】小姑娘一天之内就能给老身答复么，千万别勉强。</t>
  </si>
  <si>
    <t>婆婆可别小瞧我！我先去尚京的名门闺秀们最爱的&lt;c=#db3e63ff&gt;湖畔&lt;/c&gt;。等我好消息吧！</t>
  </si>
  <si>
    <t>（这会儿阳光有点大，应该都在长亭中乘凉吧。）</t>
  </si>
  <si>
    <t>大老远就看到一群莺莺燕燕坐在亭中激烈地讨论着什么，好不热闹。</t>
  </si>
  <si>
    <t>时兴的花茶调研？人间慢花婆婆家的吗？还有赠送试饮？！</t>
  </si>
  <si>
    <t>夏季更喜冰镇了再喝。我已经将姑娘需要的口味、花品和茶培信息逐一记录在这&lt;c=#db3e63ff&gt;手绢&lt;/c&gt;上了。</t>
  </si>
  <si>
    <t>不如……你找人借一只猫，只说那人临时有事，不便照顾，让你爹爹养几日。</t>
  </si>
  <si>
    <t>接下来的事情……就交给猫吧！</t>
  </si>
  <si>
    <t>噗……好主意……谢谢你！</t>
  </si>
  <si>
    <t>婆婆放下手中的茶壶，抬头笑眯眯地看着我。</t>
  </si>
  <si>
    <t>看你又跑得满头大汗的，快坐下，老身给你取些冰镇好的茶。</t>
  </si>
  <si>
    <t>婆婆你别替我忙啦，快来看看，您要的情报在这里！！</t>
  </si>
  <si>
    <t>我从怀中抽出&lt;c=#db3e63ff&gt;手绢&lt;/c&gt;，得意地冲花婆婆摇了摇。</t>
  </si>
  <si>
    <t>花婆婆面带笑意接过手绢，而后将微冰的茶递给我。</t>
  </si>
  <si>
    <t>哇，正好有些渴呢，多谢婆婆~</t>
  </si>
  <si>
    <t>我在烹茶的水里加了些红枣桂圆和山楂，姑娘可还吃得惯?</t>
  </si>
  <si>
    <t>酸甜生津，红枣桂圆益气，冰镇后更是祛暑。婆婆真厉害！</t>
  </si>
  <si>
    <t>姑娘们多喜甜，天气也渐热了，大家肯定会非常喜欢婆婆改良的花茶方子的。</t>
  </si>
  <si>
    <t>喜欢就好，姑娘今儿也算帮了老身大忙了。姑娘喜欢这茶，老身给姑娘打包送到府上去。</t>
  </si>
  <si>
    <t>90050417</t>
  </si>
  <si>
    <t>追上去看看</t>
  </si>
  <si>
    <t>姑娘日后外出，若要隐瞒身份，需更注意才是。</t>
  </si>
  <si>
    <t>你是说阿爹他偷、偷东家的银子，&lt;c=#db3e63ff&gt;做假账&lt;/c&gt;才——</t>
  </si>
  <si>
    <t>对不起，阿爹平时真的不是这样的人，实在是阿娘的病不好治，这才逼得阿爹去做这样的事。</t>
  </si>
  <si>
    <t>哇！婆婆年轻时倾国倾城，那人是个木桩子还是铁秤砣啊，竟然不马上冲过来娶婆婆？！</t>
  </si>
  <si>
    <t>噗哧……你这孩子~人啊，都是两只眼睛一张嘴，老身也是皮囊一具罢了，哪有倾国倾城那般夸张。</t>
  </si>
  <si>
    <t>想是回想起了当年的他，婆婆的眼角眉梢都是遮掩不住的笑意。</t>
  </si>
  <si>
    <t>更何况，他眼睛坏了，一直以&lt;c=#db3e63ff&gt;黑布蒙眼&lt;/c&gt;，也不知我容貌如何。</t>
  </si>
  <si>
    <t>口供笔录</t>
  </si>
  <si>
    <t>赵公子口述，当日与吕姑娘的所有对话</t>
  </si>
  <si>
    <t>传闻的出处</t>
  </si>
  <si>
    <t>经查明得知，是吕茶姑娘怂恿洪少爷将此谣言宣传出去的。</t>
  </si>
  <si>
    <t>调查卢掌柜|调查天价药引子|查清此事全貌</t>
  </si>
  <si>
    <t>icon_prop_zhengju</t>
  </si>
  <si>
    <t>事情与玄门有关？我一定要在商贸行找到玄门的据点！</t>
  </si>
  <si>
    <t>终于找到密信了，趁他们发现前我快去交任务吧！</t>
  </si>
  <si>
    <t>魏大小姐的未婚夫竟然轻薄了她的闺中密友？</t>
  </si>
  <si>
    <t>赵家公子筹备大婚，恪守夫道，大门不出二门不迈，只约我在南街二坊见面。</t>
  </si>
  <si>
    <t>找赵公子了解实情后……深觉赵公子如此会说话就多说点吧。</t>
  </si>
  <si>
    <t>店小二告知，是一位姓洪的公子帮吕茶姑娘散播谣言的。</t>
  </si>
  <si>
    <t>原来周四小姐喜欢猫儿，但是因为其父不喜，因此只能望猫止渴。</t>
  </si>
  <si>
    <t>玄门试图在此处销毁烟花，却似乎被烟花炸伤……？令人迷惑的操作……</t>
  </si>
  <si>
    <t>1;102;1|1;104;1|4;100;0</t>
  </si>
  <si>
    <t>1;202;1|1;204;1|4;100;0</t>
  </si>
  <si>
    <t>3;105012;1|1;403;1|4;100;0</t>
  </si>
  <si>
    <t>1;502;1|3;105015;1|4;100;0</t>
  </si>
  <si>
    <t>1;606;1|1;605;1|4;100;0</t>
  </si>
  <si>
    <t>3;105020;1|3;105023;1|4;100;0</t>
  </si>
  <si>
    <t>1;902;1|1;904;1|4;100;0</t>
  </si>
  <si>
    <t>1;1002;1|3;105030;1|4;100;0</t>
  </si>
  <si>
    <t>找艳街长了解情况|调查烟花作坊|查清此事全貌</t>
  </si>
  <si>
    <t>约出赵公子询问真相|查清传闻的来源|查清此事全貌</t>
  </si>
  <si>
    <t>拿到盗圣的证词|查出半夜鸡叫的原因|查清此事全貌</t>
  </si>
  <si>
    <t>说服周四小姐替我调研|拿到流行花茶手绢|查清此事全貌</t>
  </si>
  <si>
    <t>找到证据：鱼干碎屑|找到猫饭被嫌弃的原因|查清此事全貌</t>
  </si>
  <si>
    <t>替花婆婆给花草茶取名|人间慢花店名称的含义|查清此事全貌</t>
  </si>
  <si>
    <t>了解儿歌的起因|为杜公公找出编撰儿歌的人|查清此事全貌</t>
  </si>
  <si>
    <t>我当时急着去打马球来着，她却又拉着我说羡慕薇薇爱慕者众，自己只求一人心，却奈何无良缘……</t>
  </si>
  <si>
    <t>我说提亲人众多，是因为薇薇貌美贤淑，才情兼备。至于姻缘这等事，人各有命，她羡慕不来的。</t>
  </si>
  <si>
    <t>然后她说，薇薇貌美是因为很会化妆，不像她每天素颜，还问我是不是嫌她丑。</t>
  </si>
  <si>
    <t>行吧，不传还是好孩子，快回家去吧。</t>
  </si>
  <si>
    <t>阿姨说得好有道理，那我下次不传小杜公公的儿歌了。</t>
  </si>
  <si>
    <t>叫姐姐！</t>
  </si>
  <si>
    <t>好的阿姨，没问题阿姨。</t>
  </si>
  <si>
    <t>胖头鱼慎重其事地鞠了个躬，跑开了。</t>
  </si>
  <si>
    <t>（这下小杜公公该放心了吧，我赶紧去探事轩提交吧。）</t>
  </si>
  <si>
    <t>10;10</t>
  </si>
  <si>
    <t>以下为探险战斗</t>
  </si>
  <si>
    <t>以下为男主副本</t>
  </si>
  <si>
    <t>以下为精英关卡战斗</t>
  </si>
  <si>
    <t>95010101</t>
  </si>
  <si>
    <t>等了良久，姑娘可算是来了。</t>
  </si>
  <si>
    <t>今日找我，可是有什么指定的委托任务要办？</t>
  </si>
  <si>
    <t>公子歇微笑摇了摇头，而后递给我一本绣着金边的红色函柬。</t>
  </si>
  <si>
    <t>非也。歇是给姑娘带好消息来的。</t>
  </si>
  <si>
    <t>我接过这封红色的函柬，心中惊讶。</t>
  </si>
  <si>
    <t>恭、恭喜了，我，我竟不知道公子竟然已经婚配了，我一定……</t>
  </si>
  <si>
    <t>话音未落，却见公子歇微微张大眼，错愕地笑出声。</t>
  </si>
  <si>
    <t>唉？！不是吗？！</t>
  </si>
  <si>
    <t>我翻来覆去看着那册子，这才发现那红皮右下方印了一方浅金色的莲花标记。</t>
  </si>
  <si>
    <t>探事轩的标记……莫非这是……考核召函？！</t>
  </si>
  <si>
    <t>正是。姑娘的凡星阁成长很快，已经可以申请等级挑战了。</t>
  </si>
  <si>
    <t>太好了，这段时间的努力总算没有白费！我一定要让凡星阁重回情报阁之首！</t>
  </si>
  <si>
    <t>姑娘整理好近阶段所完成委托的相关资料，选出比较特别的案例，总结调查过程中的经验。</t>
  </si>
  <si>
    <t>（啊，竟然要作文论述委托案例……真不知道能不能搞定呢。）</t>
  </si>
  <si>
    <t>我明白了！我会好好准备的！</t>
  </si>
  <si>
    <t>我将召函珍之重之地揣入怀中。公子歇微微眯了眯眼，忍不住又笑出声。</t>
  </si>
  <si>
    <t>笑什么嘛！</t>
  </si>
  <si>
    <t>大约是看我气急败坏，公子歇咳了咳，而后正色。</t>
  </si>
  <si>
    <t>歇没有婚约在身。</t>
  </si>
  <si>
    <t>关、关我什么事！</t>
  </si>
  <si>
    <t>公子歇眨眨眼。嘴边的笑却是遮掩不住。</t>
  </si>
  <si>
    <t>50102</t>
  </si>
  <si>
    <t>95010201</t>
  </si>
  <si>
    <t>我离开探事轩，回到了凡星阁。</t>
  </si>
  <si>
    <t>（记录各大委托事件的资料都存放在档案阁，去那边看看吧。）</t>
  </si>
  <si>
    <t>来到档案阁。只见书架上摆了满满的册子。深处的册子已经积满尘土。</t>
  </si>
  <si>
    <t>（爹爹当年，不知多辛苦才让凡星阁成为第一大情报阁……）</t>
  </si>
  <si>
    <t>（我也要努力才是！）</t>
  </si>
  <si>
    <t>95010206|95010207</t>
  </si>
  <si>
    <t>整理资料</t>
  </si>
  <si>
    <t>撰写论文</t>
  </si>
  <si>
    <t>7;105999;1</t>
  </si>
  <si>
    <t>我将书架上记录最近凡星阁所处理的委托事件一一翻看了一遍。</t>
  </si>
  <si>
    <t>很快，我便在厚厚的一叠资料中找到了可以作文的新奇案例。</t>
  </si>
  <si>
    <t>29;105999;1</t>
  </si>
  <si>
    <t>我摊开纸，开始奋笔疾书，很快便作好了&lt;c=#db3e63ff&gt;考核论文&lt;/c&gt;。</t>
  </si>
  <si>
    <t>50103</t>
  </si>
  <si>
    <t>95010301</t>
  </si>
  <si>
    <t>距我提交论文至探事轩已经过了三日。清晨我方醒，便听下人通报公子歇求见。</t>
  </si>
  <si>
    <t>我慌忙迎出去，却见公子歇已经站在大厅门口等我了。</t>
  </si>
  <si>
    <t>阳光在他身下拖出纤长的人影，更衬得那身红衣夺目摄神。</t>
  </si>
  <si>
    <t>公子歇笑而不语，眼神却揶揄地扫过我散乱的发髻，我不禁挠了挠头。</t>
  </si>
  <si>
    <t>啊……公子还有其他事情么？</t>
  </si>
  <si>
    <t>啊？没、没有，你问这个作甚……</t>
  </si>
  <si>
    <t>公子歇眨了眨眼，笑意在唇边绽开。</t>
  </si>
  <si>
    <t>知道了。</t>
  </si>
  <si>
    <t>言毕，他展眉一笑，行了个礼，转身离开了。</t>
  </si>
  <si>
    <t>0;40079</t>
  </si>
  <si>
    <t>50111</t>
  </si>
  <si>
    <t>这么多书架，要从哪里开始找呢？</t>
  </si>
  <si>
    <t>不如让猫猫们帮忙一起看吧！</t>
  </si>
  <si>
    <t>这些册子里会不会有有用的资料呢？</t>
  </si>
  <si>
    <t>找到了！有思路了！</t>
  </si>
  <si>
    <t>还是一无所获……再找找吧。</t>
  </si>
  <si>
    <t>委托资料</t>
  </si>
  <si>
    <t>凡星阁近期所接的较为特别的案例资料</t>
  </si>
  <si>
    <t>1;134</t>
  </si>
  <si>
    <t>凡星阁</t>
  </si>
  <si>
    <t>公子歇通知我参加情报阁考核，需要找过往案例作文论述委托案例。</t>
  </si>
  <si>
    <t>回到凡星阁找委托资料，撰些论文交给探事轩。</t>
  </si>
  <si>
    <t>1;50103;1</t>
    <phoneticPr fontId="27" type="noConversion"/>
  </si>
  <si>
    <t>1;50201;1</t>
    <phoneticPr fontId="27" type="noConversion"/>
  </si>
  <si>
    <t>1;50301;1</t>
    <phoneticPr fontId="27" type="noConversion"/>
  </si>
  <si>
    <t>1;50401;1</t>
    <phoneticPr fontId="27" type="noConversion"/>
  </si>
  <si>
    <t>1;50501;1</t>
  </si>
  <si>
    <t>1;50601;1</t>
  </si>
  <si>
    <t>1;50701;1</t>
  </si>
  <si>
    <t>1;50801;1</t>
  </si>
  <si>
    <t>1;50901;1</t>
  </si>
  <si>
    <t>1;51001;1</t>
  </si>
  <si>
    <t>1;50101;1</t>
  </si>
  <si>
    <t>1;51201;1</t>
  </si>
  <si>
    <t>505</t>
  </si>
  <si>
    <t>506</t>
  </si>
  <si>
    <t>第一天过去了，我的心情有些焦灼。</t>
  </si>
  <si>
    <t>第二天过去了，猫猫们也在门口张望等消息</t>
  </si>
  <si>
    <t>第三天过去了……</t>
  </si>
  <si>
    <t>公子歇传了信息说会登门拜访。</t>
  </si>
  <si>
    <t>还是没有等来消息……</t>
  </si>
  <si>
    <t>通用</t>
    <phoneticPr fontId="32" type="noConversion"/>
  </si>
  <si>
    <t>升阶委托通用</t>
    <phoneticPr fontId="32" type="noConversion"/>
  </si>
  <si>
    <t>凡星阁参与&lt;c=#db3e63ff&gt;一张机上品&lt;/c&gt;评审。</t>
  </si>
  <si>
    <t>凡星阁参与&lt;c=#db3e63ff&gt;二张机下品&lt;/c&gt;评审。</t>
  </si>
  <si>
    <t>凡星阁参与&lt;c=#db3e63ff&gt;二张机中品&lt;/c&gt;评审。</t>
  </si>
  <si>
    <t>507</t>
  </si>
  <si>
    <t>508</t>
  </si>
  <si>
    <t>509</t>
  </si>
  <si>
    <t>510</t>
  </si>
  <si>
    <t>512</t>
  </si>
  <si>
    <t>凡星阁参与&lt;c=#db3e63ff&gt;二张机上品&lt;/c&gt;评审。</t>
    <phoneticPr fontId="32" type="noConversion"/>
  </si>
  <si>
    <t>凡星阁参与&lt;c=#db3e63ff&gt;三张机中品&lt;/c&gt;评审。</t>
  </si>
  <si>
    <t>凡星阁参与&lt;c=#db3e63ff&gt;三张机上品&lt;/c&gt;评审。</t>
    <phoneticPr fontId="32" type="noConversion"/>
  </si>
  <si>
    <t>凡星阁参与&lt;c=#db3e63ff&gt;三张机下品&lt;/c&gt;评审。</t>
  </si>
  <si>
    <t>凡星阁参与&lt;c=#db3e63ff&gt;四张机下品&lt;/c&gt;评审。</t>
  </si>
  <si>
    <t>凡星阁参与&lt;c=#db3e63ff&gt;四张机中品&lt;/c&gt;评审。</t>
  </si>
  <si>
    <t>凡星阁参与&lt;c=#db3e63ff&gt;五张机上品&lt;/c&gt;评审。</t>
  </si>
  <si>
    <t>凡星阁参与&lt;c=#db3e63ff&gt;五张机下品&lt;/c&gt;评审。</t>
  </si>
  <si>
    <t>凡星阁参与&lt;c=#db3e63ff&gt;四张机上品&lt;/c&gt;评审。</t>
    <phoneticPr fontId="32" type="noConversion"/>
  </si>
  <si>
    <t>凡星阁参与&lt;c=#db3e63ff&gt;五张机中品&lt;/c&gt;评审。</t>
  </si>
  <si>
    <t>凡星阁参与&lt;c=#db3e63ff&gt;六张机下品&lt;/c&gt;评审。</t>
  </si>
  <si>
    <t>凡星阁参与&lt;c=#db3e63ff&gt;六张机中品&lt;/c&gt;评审。</t>
  </si>
  <si>
    <t>凡星阁参与&lt;c=#db3e63ff&gt;六张机上品&lt;/c&gt;评审。</t>
  </si>
  <si>
    <t>凡星阁参与&lt;c=#db3e63ff&gt;七张机下品&lt;/c&gt;评审。</t>
  </si>
  <si>
    <t>凡星阁参与&lt;c=#db3e63ff&gt;七张机中品&lt;/c&gt;评审。</t>
  </si>
  <si>
    <t>凡星阁参与&lt;c=#db3e63ff&gt;七张机上品&lt;/c&gt;评审。</t>
  </si>
  <si>
    <t>凡星阁参与&lt;c=#db3e63ff&gt;八张机下品&lt;/c&gt;评审。</t>
  </si>
  <si>
    <t>凡星阁参与&lt;c=#db3e63ff&gt;八张机中品&lt;/c&gt;评审。</t>
  </si>
  <si>
    <t>凡星阁参与&lt;c=#db3e63ff&gt;八张机上品&lt;/c&gt;评审。</t>
  </si>
  <si>
    <t>凡星阁参与&lt;c=#db3e63ff&gt;九张机下品&lt;/c&gt;评审。</t>
  </si>
  <si>
    <t>凡星阁参与&lt;c=#db3e63ff&gt;九张机中品&lt;/c&gt;评审。</t>
  </si>
  <si>
    <t>凡星阁参与&lt;c=#db3e63ff&gt;九张机上品&lt;/c&gt;评审。</t>
  </si>
  <si>
    <t>513</t>
  </si>
  <si>
    <t>514</t>
  </si>
  <si>
    <t>515</t>
  </si>
  <si>
    <t>516</t>
  </si>
  <si>
    <t>517</t>
  </si>
  <si>
    <t>518</t>
  </si>
  <si>
    <t>519</t>
  </si>
  <si>
    <t>520</t>
  </si>
  <si>
    <t>522</t>
  </si>
  <si>
    <t>523</t>
  </si>
  <si>
    <t>524</t>
  </si>
  <si>
    <t>525</t>
  </si>
  <si>
    <t>526</t>
  </si>
  <si>
    <t>接到公子歇的传信，我来到了探事轩。公子歇将情报阁考核召函递给了我。</t>
  </si>
  <si>
    <t>姑娘的凡星阁已经可以参与&lt;c=#db3e63ff&gt;一张机上品&lt;/c&gt;的评审了。</t>
  </si>
  <si>
    <t>自接手情报阁以来，姑娘成长了许多。歇看在眼里，实在赞叹。</t>
  </si>
  <si>
    <t>此次考核，相信姑娘也一定会成功的。</t>
  </si>
  <si>
    <t>多谢公子！</t>
  </si>
  <si>
    <t>盖好凡星阁的印章后，我将情报个考核论文送去了探事轩。</t>
  </si>
  <si>
    <t>接下来便是等待探事轩审核结果了。</t>
  </si>
  <si>
    <t>等待结果</t>
  </si>
  <si>
    <t>三日后，公子歇前来凡星阁找我。</t>
  </si>
  <si>
    <t>恭喜姑娘，凡星阁已经是&lt;c=#db3e63ff&gt;一张机上品&lt;/c&gt;了。</t>
  </si>
  <si>
    <t>太好了~</t>
  </si>
  <si>
    <t>姑娘的论文写的不错，评审部都争相传阅呢。</t>
  </si>
  <si>
    <t>啊！真的吗？</t>
  </si>
  <si>
    <t>情报阁阁主多数已年过半百，行文古板。</t>
  </si>
  <si>
    <t>姑娘写的却是灵动有趣，案件剖析精炼，自然会得评审部的青睐。</t>
  </si>
  <si>
    <t>不过，越往后，想升级可越不简单。姑娘可要继续努力，切莫骄躁。</t>
  </si>
  <si>
    <t>我会的！谢谢公子！</t>
  </si>
  <si>
    <t>凡星阁升至&lt;c=#db3e63ff&gt;一张机上品&lt;/c&gt;</t>
  </si>
  <si>
    <t>95030101</t>
  </si>
  <si>
    <t>姑娘的凡星阁已经可以参与&lt;c=#db3e63ff&gt;二张机下品&lt;/c&gt;的评审了。</t>
  </si>
  <si>
    <t>来到档案阁，只见书架上摆了满满的册子。</t>
  </si>
  <si>
    <t>30;50311;10000</t>
  </si>
  <si>
    <t>30;50321;10000</t>
  </si>
  <si>
    <t>恭喜姑娘，凡星阁已经是&lt;c=#db3e63ff&gt;二张机下品&lt;/c&gt;了。</t>
  </si>
  <si>
    <t>不过，参与评审的情报阁这般多，公子都这样一家家亲自通报么？太辛苦了吧！</t>
  </si>
  <si>
    <t>公子歇笑着眨眨眼。</t>
  </si>
  <si>
    <t>非也，往常都是更新排名，阁主们自然会派人来探事轩查询评审结果。</t>
  </si>
  <si>
    <t>那公子，还特地登门告知，公子莫非是……</t>
  </si>
  <si>
    <t>【挑眉】莫非是如何？</t>
  </si>
  <si>
    <t>莫非……是最近探事轩受理的委托太少，公子太闲了？</t>
  </si>
  <si>
    <t>不了不了，哪敢哪敢，打扰了打扰了。</t>
  </si>
  <si>
    <t>是歇打扰了姑娘才是。消息带到，这便告辞了。</t>
  </si>
  <si>
    <t>凡星阁升至&lt;c=#db3e63ff&gt;二张机下品&lt;/c&gt;</t>
  </si>
  <si>
    <t>95040101</t>
  </si>
  <si>
    <t>姑娘的凡星阁已经可以参与&lt;c=#db3e63ff&gt;二张机中品&lt;/c&gt;的评审了。</t>
  </si>
  <si>
    <t>30;50411;10000</t>
  </si>
  <si>
    <t>30;50421;10000</t>
  </si>
  <si>
    <t>恭喜姑娘，凡星阁已经是&lt;c=#db3e63ff&gt;二张机中品&lt;/c&gt;了。</t>
  </si>
  <si>
    <t>等等，若是评审没通过，你还来不来通知我的？</t>
  </si>
  <si>
    <t>若凡星阁晋级失败，那更是要来了。</t>
  </si>
  <si>
    <t>为什么？</t>
  </si>
  <si>
    <t>总不会是担心姑娘伤心——大概……是来看姑娘笑话？</t>
  </si>
  <si>
    <t>哼，我不会让你得逞的！</t>
  </si>
  <si>
    <t>那最好不过。歇也不想看姑娘失望的样子。</t>
  </si>
  <si>
    <t>消息带到，歇告辞了。</t>
  </si>
  <si>
    <t>凡星阁升至&lt;c=#db3e63ff&gt;二张机中品&lt;/c&gt;</t>
  </si>
  <si>
    <t>情报阁等级考核</t>
    <phoneticPr fontId="27" type="noConversion"/>
  </si>
  <si>
    <t>查出真相|在雁山堂搜索一番|查清此事全貌</t>
  </si>
  <si>
    <t>3;1;钱家五小姐</t>
  </si>
  <si>
    <t>黑甲灭门惨案</t>
  </si>
  <si>
    <t>钱小五要为黑甲一家报仇，请调查清楚是谁灭了黑甲满门。</t>
  </si>
  <si>
    <t>调查神秘玉蛟龙</t>
  </si>
  <si>
    <t>麻烦调查姚主事和玉蛟龙的故事，以及玉现在的下落。</t>
  </si>
  <si>
    <t>收集一段猫妖传闻|收集传闻痴情的猫妖|查清此事全貌</t>
  </si>
  <si>
    <t>3;1;孙三少</t>
  </si>
  <si>
    <t>猫儿成精了</t>
  </si>
  <si>
    <t>城中近日流传有猫成精的流言，爱好奇闻的孙三少很在意，特意委托寻找流言出处。</t>
  </si>
  <si>
    <t>黑甲的信息</t>
  </si>
  <si>
    <t>钱小五描述的黑甲信息：身材矮小，深藏不露，轻功极佳，不拘小节……</t>
  </si>
  <si>
    <t>雁山堂的搜索</t>
  </si>
  <si>
    <t>在雁山堂搜索了黑甲的信息，一无所获。</t>
  </si>
  <si>
    <t>胖头余的信息</t>
  </si>
  <si>
    <t>在胖头余处并没有得到有用的信息</t>
  </si>
  <si>
    <t>凶手的信息</t>
  </si>
  <si>
    <t>灭门案的犯人，竟然是钱大小姐。</t>
  </si>
  <si>
    <t>渡灵符</t>
  </si>
  <si>
    <t>孙三少的口信</t>
  </si>
  <si>
    <t>猫妖之事，流于闹市，众口不一，但求始终。</t>
  </si>
  <si>
    <t>书童的话</t>
  </si>
  <si>
    <t>书童说传闻是从中央街市听来的，说的是猫妖吸食精气修炼成精。</t>
  </si>
  <si>
    <t>小二的说辞</t>
  </si>
  <si>
    <t>小二不知从哪听来的猫精爱上主子，为修成人形吸食精气。</t>
  </si>
  <si>
    <t>大娘的话</t>
  </si>
  <si>
    <t>大娘在湖景街听刘姐儿说，花街有猫妖化作女子竞选花魁的事儿。</t>
  </si>
  <si>
    <t>诡异的猫叫</t>
  </si>
  <si>
    <t>酒肆雅间有男人学猫叫，那男人叫“钱二少”</t>
  </si>
  <si>
    <t>妙妙姑娘</t>
  </si>
  <si>
    <t>醉月楼里有一名姑娘，名为妙妙，或许被误听为猫叫声。</t>
  </si>
  <si>
    <t>痴情的猫妖</t>
  </si>
  <si>
    <t>猫妖化作女子现身花街，为向昔日的恩公报恩。</t>
  </si>
  <si>
    <t>1;135</t>
  </si>
  <si>
    <t>90110101</t>
  </si>
  <si>
    <t>11</t>
  </si>
  <si>
    <t>1;136</t>
  </si>
  <si>
    <t>90110201</t>
  </si>
  <si>
    <t>90110301</t>
  </si>
  <si>
    <t>90110401</t>
  </si>
  <si>
    <t>1;137</t>
  </si>
  <si>
    <t>90110501</t>
  </si>
  <si>
    <t>1;138</t>
  </si>
  <si>
    <t>90110601</t>
  </si>
  <si>
    <t>90110701</t>
  </si>
  <si>
    <t>90120101</t>
  </si>
  <si>
    <t>12</t>
  </si>
  <si>
    <t>0;40056</t>
  </si>
  <si>
    <t>90120201</t>
  </si>
  <si>
    <t>90120301</t>
  </si>
  <si>
    <t>90120401</t>
  </si>
  <si>
    <t>1;141</t>
  </si>
  <si>
    <t>90120501</t>
  </si>
  <si>
    <t>1;142</t>
  </si>
  <si>
    <t>90120601</t>
  </si>
  <si>
    <t>0;40070</t>
  </si>
  <si>
    <t>90120701</t>
  </si>
  <si>
    <t>90120801</t>
  </si>
  <si>
    <t>1;144</t>
  </si>
  <si>
    <t>90130101</t>
  </si>
  <si>
    <t>13</t>
  </si>
  <si>
    <t>1;145</t>
  </si>
  <si>
    <t>90130201</t>
  </si>
  <si>
    <t>1;146</t>
  </si>
  <si>
    <t>90130301</t>
  </si>
  <si>
    <t>1;147</t>
  </si>
  <si>
    <t>90130401</t>
  </si>
  <si>
    <t>1;148</t>
  </si>
  <si>
    <t>90130501</t>
  </si>
  <si>
    <t>1;149</t>
  </si>
  <si>
    <t>90130601</t>
  </si>
  <si>
    <t>1;150</t>
  </si>
  <si>
    <t>90130701</t>
  </si>
  <si>
    <t>90130801</t>
  </si>
  <si>
    <t>我顺着地址到了钱府，刚准备进去，却被一个奇怪的声音吓了一跳——</t>
  </si>
  <si>
    <t>噗呲——</t>
  </si>
  <si>
    <t>诶？</t>
  </si>
  <si>
    <t>【口型】过、来、这、边！</t>
  </si>
  <si>
    <t>这个小女孩在边门对我使眼色，我只好快步过去。</t>
  </si>
  <si>
    <t>你是……？</t>
  </si>
  <si>
    <t>钱小五</t>
  </si>
  <si>
    <t>我就是你尊贵的雇主！</t>
  </si>
  <si>
    <t>啊？你……</t>
  </si>
  <si>
    <t>你不要小瞧我了！我的案子还不想给你这个黄毛丫头接呢！</t>
  </si>
  <si>
    <t>快进来！</t>
  </si>
  <si>
    <t>跟着钱小五七拐八拐进了房间，她这才开口。</t>
  </si>
  <si>
    <t>黑甲死了。</t>
  </si>
  <si>
    <t>什么？？</t>
  </si>
  <si>
    <t>我万万没有想到这样小的孩子，竟然有这样的人命官司要托付。</t>
  </si>
  <si>
    <t>那……那你怎么不去报官呢？</t>
  </si>
  <si>
    <t>官府不会管的……&lt;c=#db3e63ff&gt;黑甲&lt;/c&gt;他……只有我了……</t>
  </si>
  <si>
    <t>说着说着，刚刚气焰嚣张的钱小五，忽然簌簌地落下泪来。</t>
  </si>
  <si>
    <t>别哭别哭，虽然这事听起来凶险了些，但我会帮你的！</t>
  </si>
  <si>
    <t>真的吗？</t>
  </si>
  <si>
    <t>真的真的，你别哭了。</t>
  </si>
  <si>
    <t>呜……嗝！</t>
  </si>
  <si>
    <t>钱小五打了个哭嗝，断断续续地说起来。</t>
  </si>
  <si>
    <t>黑甲家里人很多，而且他前阵子刚当了爹……</t>
  </si>
  <si>
    <t>他是我的好朋友，我是看着他长大的……</t>
  </si>
  <si>
    <t>是他看着你长大吧……那黑甲这个人有什么特点呢？</t>
  </si>
  <si>
    <t>他虽然小小的，但其实很厉害！跑起来很快！而且他从来不抱怨！</t>
  </si>
  <si>
    <t>哦……身材矮小，深藏不露，轻功极佳，不拘小节……</t>
  </si>
  <si>
    <t>29;105033;1</t>
  </si>
  <si>
    <t>听着钱小五对黑甲的描述，我不禁想到前段时间看的话本子……</t>
  </si>
  <si>
    <t>有位郭巨侠家的二小姐，就曾是这样，在二小姐生日当天，江湖各路英雄皆来贺寿，甚是威风。</t>
  </si>
  <si>
    <t>想不到这钱小五哭得鼻涕满面，竟然也是这样有机缘的人。</t>
  </si>
  <si>
    <t>跟他交朋友的事，我从不敢告诉大姐，你知道我大姐很严厉的！</t>
  </si>
  <si>
    <t>嗯嗯，我这件事会避着她的，你要我帮你查出凶手吗？</t>
  </si>
  <si>
    <t>对！而且我已经有怀疑的人了！</t>
  </si>
  <si>
    <t>是谁呢？</t>
  </si>
  <si>
    <t>就是那个可恶的&lt;c=#db3e63ff&gt;胖头余&lt;/c&gt;！他曾经在我面前骂过黑甲！一定是他！</t>
  </si>
  <si>
    <t>啊？胖头余我倒是认识，他能对付得了黑甲吗？</t>
  </si>
  <si>
    <t>钱小五又抽抽搭搭哭了起来，看来是无法交流了，我只能自己去想想办法。</t>
  </si>
  <si>
    <t>既然这黑甲是江湖人物，那么先去问问&lt;c=#db3e63ff&gt;陆沉&lt;/c&gt;应该是没错的。</t>
  </si>
  <si>
    <t>1102|1105|1106|1107</t>
  </si>
  <si>
    <t>雁山堂不在城内，过来倒费了我好一番功夫。</t>
  </si>
  <si>
    <t>看门师兄</t>
  </si>
  <si>
    <t>大胆，雁山堂也是你这黄毛丫头可以随便乱闯的？</t>
  </si>
  <si>
    <t>哇你怎么这么凶啊！</t>
  </si>
  <si>
    <t>他再不多说，腾身就要打将开来。</t>
  </si>
  <si>
    <t>我要怎么办呢？</t>
  </si>
  <si>
    <t>90110206|90110207</t>
  </si>
  <si>
    <t>接招</t>
  </si>
  <si>
    <t>30;1111;10000</t>
  </si>
  <si>
    <t>逃跑</t>
  </si>
  <si>
    <t>你如何会使我们雁山堂的功夫！</t>
  </si>
  <si>
    <t>（呃……我蒙着面呢，怪不得这位同门师兄不认识我。）</t>
  </si>
  <si>
    <t>师兄，我是MMM啦！</t>
  </si>
  <si>
    <t>原来是小师妹，你怎么这副打扮。</t>
  </si>
  <si>
    <t>哎呀说来话长，你怎么话都不说清就动手呀？</t>
  </si>
  <si>
    <t>哦，听陆师兄说这段时间他在清理一个江湖门派，让我们看门的要警醒些来着。</t>
  </si>
  <si>
    <t>你这也太……算了，十六在吗？</t>
  </si>
  <si>
    <t>陆师兄在里面，你进去就好。</t>
  </si>
  <si>
    <t>小师妹找我呀？</t>
  </si>
  <si>
    <t>诶？你怎么又认出来了呀？我明明这次还换了香薰！</t>
  </si>
  <si>
    <t>嘿嘿，小师妹的味儿香薰哪儿盖得住啊，我闻得出来嘛！啊，啊，啊嚏……</t>
  </si>
  <si>
    <t>小师妹，这香薰有点重了，熏着我了……</t>
  </si>
  <si>
    <t>411_407</t>
  </si>
  <si>
    <t>（……算了，还是问正事吧。）</t>
  </si>
  <si>
    <t>有一个江湖人物叫黑甲，不知道你听说过没？</t>
  </si>
  <si>
    <t>这名字听起来就是喽啰的样子，江湖上叫黑甲的，没有一百也有五十了。</t>
  </si>
  <si>
    <t>轻功很好，身材矮小的黑甲，你想得出几位？</t>
  </si>
  <si>
    <t>玉门关有一位……潼川有一位，京城么……倒是没有。</t>
  </si>
  <si>
    <t>这样啊……他这样一死，可就真的算销声匿迹了……</t>
  </si>
  <si>
    <t>什么？你竟然在调查这样凶险的事吗？</t>
  </si>
  <si>
    <t>倒也不……</t>
  </si>
  <si>
    <t>不行，我一定要跟着你！</t>
  </si>
  <si>
    <t>401_400</t>
  </si>
  <si>
    <t>啊？我觉得不……</t>
  </si>
  <si>
    <t>我不要你觉得，我要我觉得。拜托啦，我不会吵的，就默默跟着你嘛，好不好？</t>
  </si>
  <si>
    <t>呃……行吧……</t>
  </si>
  <si>
    <t>接下来去哪呢？</t>
  </si>
  <si>
    <t>我们想办法去查查，有谁知道这黑甲吧！</t>
  </si>
  <si>
    <t>1103|1104</t>
  </si>
  <si>
    <t>不行不行，我怎么能败在自己门派的看门师兄手上！</t>
  </si>
  <si>
    <t>不如就在雁山堂查吧，我记得我爹书房里有许多江湖月报，可能可以翻到一些信息。</t>
  </si>
  <si>
    <t>是耶！</t>
  </si>
  <si>
    <t>书房的江湖月报积累得有些多，略一翻动便扬起一阵灰尘。</t>
  </si>
  <si>
    <t>咳咳咳，这么多，今天我们两个不吃饭都看不完吧……</t>
  </si>
  <si>
    <t>我去找几个师弟来帮你！</t>
  </si>
  <si>
    <t>不不不，不用了，我这活儿越少人知道越好，我自己想想办法吧。</t>
  </si>
  <si>
    <t>怎么办呢？</t>
  </si>
  <si>
    <t>90110308|90110309</t>
  </si>
  <si>
    <t>仔细想想</t>
  </si>
  <si>
    <t>请识字的猫猫帮忙</t>
  </si>
  <si>
    <t>30;1121;10000</t>
  </si>
  <si>
    <t>对了，我不是有一群猫猫吗！</t>
  </si>
  <si>
    <t>或许他们当中有&lt;c=#db3e63ff&gt;识字&lt;/c&gt;的也说不一定呢！</t>
  </si>
  <si>
    <t>哈哈！没想到还真的有识字的猫咪呢！你说奇怪吧~</t>
  </si>
  <si>
    <t>喂？</t>
  </si>
  <si>
    <t>你怎么啦？</t>
  </si>
  <si>
    <t>……我……我没想到竟然真的有猫识字……</t>
  </si>
  <si>
    <t>那岂不是……</t>
  </si>
  <si>
    <t>陆沉的脸猛地涨红，倏地站起。</t>
  </si>
  <si>
    <t>我……我有点东西回房收拾一下！！</t>
  </si>
  <si>
    <t>陆沉说着就冲出了书房。</t>
  </si>
  <si>
    <t>陆沉再回来的时候已经有一会了，我和猫猫们已经将剩下的江湖月报看完了。</t>
  </si>
  <si>
    <t>你来啦？我们已经看完全部的月报了。</t>
  </si>
  <si>
    <t>【轻声】诶，他在房间干嘛去啦？</t>
  </si>
  <si>
    <t>好像是去藏什么写了字的纸。</t>
  </si>
  <si>
    <t>什么纸？写了什么呀？</t>
  </si>
  <si>
    <t>它们好像已经被买通了，不肯告诉嗷嗷呢。</t>
  </si>
  <si>
    <t>这么神秘啊……</t>
  </si>
  <si>
    <t>怎么样？有什么结果吗？</t>
  </si>
  <si>
    <t>倒没什么收获呢……</t>
  </si>
  <si>
    <t>这叫黑甲的，倒是真有几位，但是用轻功的寥寥无几，在京城一带活动就一个也没有了。</t>
  </si>
  <si>
    <t>或许已经退隐，从不在江湖行走呢？</t>
  </si>
  <si>
    <t>刚刚猫儿们已经告诉我，京城里叫黑甲的，只有城郊的黑老八部下。</t>
  </si>
  <si>
    <t>他的几个手下，黑甲，黑乙，黑丙之类的，都活得好好的，并没有听说被人灭门。</t>
  </si>
  <si>
    <t>29;105034;1</t>
  </si>
  <si>
    <t>那就奇怪了，这钱五姑娘莫非捏造了一个人物戏耍我们不成？</t>
  </si>
  <si>
    <t>这倒不像。</t>
  </si>
  <si>
    <t>究竟是怎么回事呢？</t>
  </si>
  <si>
    <t>胖头余的父亲卖鱼胜一般就在湖畔打渔，胖头余多半也离得不远。</t>
  </si>
  <si>
    <t>耶？阿姨在谈恋爱吗？</t>
  </si>
  <si>
    <t>你你你你胡胡胡胡说什什么！</t>
  </si>
  <si>
    <t>我今天是来问问你，你是不是认识一位叫黑甲的叔叔？</t>
  </si>
  <si>
    <t>黑甲算什么叔叔？我一拳可以打十个黑甲呢！</t>
  </si>
  <si>
    <t>胖头余这小子嘴里没一句正经的。</t>
  </si>
  <si>
    <t>90110408|90110409</t>
  </si>
  <si>
    <t>武力威慑</t>
  </si>
  <si>
    <t>30;1131;10000</t>
  </si>
  <si>
    <t>先去别处打探</t>
  </si>
  <si>
    <t>你现在可要老实说哦，关于黑甲究竟发生什么了？</t>
  </si>
  <si>
    <t>姐姐好，黑甲的事不是我干的！</t>
  </si>
  <si>
    <t>你知道黑甲的事？</t>
  </si>
  <si>
    <t>其实……我一向很怕黑甲……</t>
  </si>
  <si>
    <t>小五女魔头才是经常仗着黑甲欺负我呢……</t>
  </si>
  <si>
    <t>我听得越发一头雾水，正待要仔细问清，却听得卖鱼胜遥遥呼喊胖头余。</t>
  </si>
  <si>
    <t>卖鱼胜</t>
  </si>
  <si>
    <t>你妈喊你吃饭！</t>
  </si>
  <si>
    <t>哎！爹！我就来！</t>
  </si>
  <si>
    <t>胖头余一溜烟便跑没了。</t>
  </si>
  <si>
    <t>29;105035;1</t>
  </si>
  <si>
    <t>这……这下怎么办？</t>
  </si>
  <si>
    <t>哈哈……</t>
  </si>
  <si>
    <t>不要萌混过关！</t>
  </si>
  <si>
    <t>放他一马，一会再来仔细问他！</t>
  </si>
  <si>
    <t>接下来我们去哪里呢？</t>
  </si>
  <si>
    <t>查了这么久，我和十六都没什么头绪，只得返回钱府再问清楚点。</t>
  </si>
  <si>
    <t>糟了！</t>
  </si>
  <si>
    <t>怎么？</t>
  </si>
  <si>
    <t>忘记钱小五叫我们走偏门了！这下要撞上了……</t>
  </si>
  <si>
    <t>撞上谁？</t>
  </si>
  <si>
    <t>钱大小姐</t>
  </si>
  <si>
    <t>又是你？</t>
  </si>
  <si>
    <t>哈哈哈钱……钱大小姐你好。</t>
  </si>
  <si>
    <t>你在我家门口打什么转？</t>
  </si>
  <si>
    <t>我……</t>
  </si>
  <si>
    <t>怎么解释呢？</t>
  </si>
  <si>
    <t>90110511|90110512</t>
  </si>
  <si>
    <t>如实相告</t>
  </si>
  <si>
    <t>7;105035;1|7;105034;1</t>
  </si>
  <si>
    <t>看！有飞蝶！</t>
  </si>
  <si>
    <t>是这样的，我们受五小姐所托，前来查她朋友的事……</t>
  </si>
  <si>
    <t>哼，朋友？小五她能有什么&lt;c=#db3e63ff&gt;朋友&lt;/c&gt;。</t>
  </si>
  <si>
    <t>你！你这样说小五听了会伤心的！</t>
  </si>
  <si>
    <t>我自家的妹妹，有何说不得。</t>
  </si>
  <si>
    <t>倒是你这小探子，为了点报酬，做这样无聊的事，会不会太闲了？</t>
  </si>
  <si>
    <t>无聊？黑甲一家那么多条都是性命啊！</t>
  </si>
  <si>
    <t>钱大小姐轻蔑一笑，转身走进门。</t>
  </si>
  <si>
    <t>再交这种“朋友”，我就再灭一次。</t>
  </si>
  <si>
    <t>29;105036;1</t>
  </si>
  <si>
    <t>这个季节，有两个扑棱蛾子又有什么奇怪。</t>
  </si>
  <si>
    <t>你究竟想说什么？</t>
  </si>
  <si>
    <t>这么快！查到了吗？</t>
  </si>
  <si>
    <t>给她看看线索</t>
  </si>
  <si>
    <t>90110603|90110604</t>
  </si>
  <si>
    <t>我还没有找到线索</t>
  </si>
  <si>
    <t>7;105036;1</t>
  </si>
  <si>
    <t>我还没什么头绪。</t>
  </si>
  <si>
    <t>那你快去查查嘛！</t>
  </si>
  <si>
    <t>快去快去！</t>
  </si>
  <si>
    <t>钱五小姐，刚才我们碰到你的姐姐了。</t>
  </si>
  <si>
    <t>先不管这个了，你们……哇这位哥哥真好看！</t>
  </si>
  <si>
    <t>哈！小朋友真乖，会说话就多说几句！</t>
  </si>
  <si>
    <t>不对不对，我是要问，你们帮我收拾了胖头余吗？</t>
  </si>
  <si>
    <t>胖头余好像跟黑甲的事情无关诶……</t>
  </si>
  <si>
    <t>你们竟然帮胖头余说话！</t>
  </si>
  <si>
    <t>其实我们刚刚在门口碰到了&lt;c=#db3e63ff&gt;你家大姐&lt;/c&gt;，她亲口承认是她……</t>
  </si>
  <si>
    <t>钱小五一愣，霎时说不出话来。</t>
  </si>
  <si>
    <t>好一会终于憋红了脸，闭着眼睛吵闹起来。</t>
  </si>
  <si>
    <t>我再也不相信你们了！！</t>
  </si>
  <si>
    <t>你们大人都是坏人！！！</t>
  </si>
  <si>
    <t>钱小五嚎啕大哭起来，一时间我们俩都手足无措。</t>
  </si>
  <si>
    <t>90110621|90110622</t>
  </si>
  <si>
    <t>掏出白沧给的盒子</t>
  </si>
  <si>
    <t>7;105037;1</t>
  </si>
  <si>
    <t>想办法安慰她</t>
  </si>
  <si>
    <t>30;1141;10000</t>
  </si>
  <si>
    <t>这是我一个朋友给的，虽然我也不知道里面装了什么，但是他说你看了就懂了。</t>
  </si>
  <si>
    <t>钱小五迟疑了一会，还是接过了盒子。</t>
  </si>
  <si>
    <t>她小心翼翼地打开了盒子，趴到桌子上慢慢地打开。</t>
  </si>
  <si>
    <t>我们只看到盒子里发出了微微的光，却看不清里面到底是什么。</t>
  </si>
  <si>
    <t>钱小五沉默了好久，抽抽搭搭从抽屉里拿出一块手帕。手帕包着一团东西。</t>
  </si>
  <si>
    <t>她将手帕连同包着的东西一道放入盒子，再郑重交给我。</t>
  </si>
  <si>
    <t>你也不用太伤心，虽然你这位朋友不在了，但是我们都可以成为你的好朋友。</t>
  </si>
  <si>
    <t>而且你陆哥哥我，可是超强的！完全不用担心会死掉！</t>
  </si>
  <si>
    <t>小五，你别太伤心了。</t>
  </si>
  <si>
    <t>钱小五抽抽搭搭地跑去桌前，从抽屉里掏出一个手帕小包，再放进一个小巧的木盒中。</t>
  </si>
  <si>
    <t>做完这些，她啪嗒啪嗒跑过来，郑重地交托给我。</t>
  </si>
  <si>
    <t>你……呜……&lt;c=#db3e63ff&gt;你把黑甲葬了吧&lt;/c&gt;……我……我以后会好好的……</t>
  </si>
  <si>
    <t>我与陆沉皆是一惊，这个盒子里是断放不下什么大物件的，怎会……</t>
  </si>
  <si>
    <t>从钱府出来，我们俩在墙根下终于打开了这个盒子。</t>
  </si>
  <si>
    <t>几只油光水亮的&lt;c=#db3e63ff&gt;死蟑螂&lt;/c&gt;赫然躺在盒子里的手帕上。</t>
  </si>
  <si>
    <t>最黑最大那只&lt;c=#db3e63ff&gt;死蟑螂&lt;/c&gt;，想必就是黑甲了。</t>
  </si>
  <si>
    <t>城郊的树林略显清冷，几只寒鸦在树梢静静看着我。</t>
  </si>
  <si>
    <t>白……白公子？</t>
  </si>
  <si>
    <t>何事？</t>
  </si>
  <si>
    <t>呜哇！！你怎么在我后面？</t>
  </si>
  <si>
    <t>【无奈】吾总要在一个地方吧。</t>
  </si>
  <si>
    <t>咳咳，不说这个了，我今天是来……</t>
  </si>
  <si>
    <t>找白沧做什么呢？</t>
  </si>
  <si>
    <t>90110708|90110709|90110710</t>
  </si>
  <si>
    <t>交谈</t>
  </si>
  <si>
    <t>30;1151;10000</t>
  </si>
  <si>
    <t>离开</t>
  </si>
  <si>
    <t>我想问问你是怎么瞬移的？</t>
  </si>
  <si>
    <t>无聊……</t>
  </si>
  <si>
    <t>今天有什么东西卖吗？</t>
  </si>
  <si>
    <t>&lt;c=#db3e63ff&gt;渡灵符&lt;/c&gt;，心受过伤的人，打开看看就知道用法了。</t>
  </si>
  <si>
    <t>29;105037;1</t>
  </si>
  <si>
    <t>没什么事啦，有事再找你。</t>
  </si>
  <si>
    <t xml:space="preserve"> 狸嗷嗷</t>
  </si>
  <si>
    <t>大小姐别多想啦，那个小姑娘可能就是自己喜欢这个玉啥的吧。</t>
  </si>
  <si>
    <t>1202</t>
  </si>
  <si>
    <t>胡泊总是在街市卖一些手工做的小玩意儿，其实她家境殷实，这仅仅只是出于爱好而已。</t>
  </si>
  <si>
    <t>取得胡泊的信任</t>
  </si>
  <si>
    <t>30;1211;10000</t>
  </si>
  <si>
    <t>1203|1204|1206</t>
  </si>
  <si>
    <t>姑娘如此舍不得这茶，难道安某在姑娘心里，还不如这一杯茶？</t>
  </si>
  <si>
    <t>点茶</t>
  </si>
  <si>
    <t>30;1221;10000</t>
  </si>
  <si>
    <t>安歌饶有兴趣地看着我细细研磨茶粉，倾入少量沸水调膏，再用茶筅轻轻击打出猫纹的汤花。</t>
  </si>
  <si>
    <t>1205</t>
  </si>
  <si>
    <t>这是……三七？</t>
  </si>
  <si>
    <t>29;105038;1</t>
  </si>
  <si>
    <t>30;1231;10000</t>
  </si>
  <si>
    <t>西街，兆府。果然盛开着一树灿烂的杏花。</t>
  </si>
  <si>
    <t>？？</t>
  </si>
  <si>
    <t>门吱呀一声开了，一名老仆开了门。门内的小园内树下坐着个盘着凌云髻，抱着把马头琴的姑娘。</t>
  </si>
  <si>
    <t>素素</t>
  </si>
  <si>
    <t>追问素素</t>
  </si>
  <si>
    <t>30;1241;10000</t>
  </si>
  <si>
    <t>老仆</t>
  </si>
  <si>
    <t>29;105039;1</t>
  </si>
  <si>
    <t>1208</t>
  </si>
  <si>
    <t>还没走到&lt;c=#db3e63ff&gt;天下第一楼&lt;/c&gt;就闻到了&lt;c=#db3e63ff&gt;烧鸡&lt;/c&gt;的味道。那甘脆甜香，外酥里嫩的烧鸡可是掌厨的拿手招牌。</t>
  </si>
  <si>
    <t>好香好香，小二给打包一只&lt;c=#db3e63ff&gt;烧鸡&lt;/c&gt;吧。</t>
  </si>
  <si>
    <t>姑娘有所不知，这&lt;c=#db3e63ff&gt;烧鸡&lt;/c&gt;每日是限量的，早上发号，这会儿号早没了。</t>
  </si>
  <si>
    <t>今天又买不到了啊？</t>
  </si>
  <si>
    <t>不好意思啊姑娘，明儿请早吧。</t>
  </si>
  <si>
    <t>30;1251;10000</t>
  </si>
  <si>
    <t>30;1261;10000</t>
  </si>
  <si>
    <t>我马上去把&lt;c=#db3e63ff&gt;烧鸡&lt;/c&gt;给你。</t>
  </si>
  <si>
    <t>谢谢你啦！</t>
  </si>
  <si>
    <t>1207</t>
  </si>
  <si>
    <t>我闻到烧鸡的味道了。说吧，又有什么事情来找本喵？</t>
  </si>
  <si>
    <t>那块劳什子玉啊，就听说可以活死人肉白骨。不过这些都不可信。</t>
  </si>
  <si>
    <t>90120705</t>
  </si>
  <si>
    <t>7;105039;1</t>
  </si>
  <si>
    <t>世事不如意者十之八九，又岂是一块玉可以圆满的。</t>
  </si>
  <si>
    <t>我乔装成书生前来孙府拜访三少。</t>
  </si>
  <si>
    <t>想借机了解这传言从何听得，具体如何。</t>
  </si>
  <si>
    <t>书童</t>
  </si>
  <si>
    <t>公子来的不凑巧，少爷此刻并不在府上。</t>
  </si>
  <si>
    <t>（书童看起来与三少关系亲近，或许知道些细节。）</t>
  </si>
  <si>
    <t>唉，还想与孙三少细聊这猫妖的传言…不知是否…</t>
  </si>
  <si>
    <t>噢猫妖啊，我家少爷倒是留了口信。</t>
  </si>
  <si>
    <t>如何？</t>
  </si>
  <si>
    <t>少爷只留了一句话——</t>
  </si>
  <si>
    <t>无限收&lt;c=#db3e63ff&gt;猫妖之恋&lt;/c&gt;传闻，版本越多越好，来者不拒。</t>
  </si>
  <si>
    <t>29;105040;1</t>
  </si>
  <si>
    <t>……就这样？</t>
  </si>
  <si>
    <t>不然咧？</t>
  </si>
  <si>
    <t>90130112</t>
  </si>
  <si>
    <t>旁敲侧击询问更多</t>
  </si>
  <si>
    <t>30;1311;10000</t>
  </si>
  <si>
    <t>噫你这人吓小孩好过分的，你去找&lt;c=#db3e63ff&gt;中央街市&lt;/c&gt;的人吧，别找我了。</t>
  </si>
  <si>
    <t>我家公子就是在那边听的书，说城中有猫妖吸食精气修炼成精。</t>
  </si>
  <si>
    <t>说的好听是好奇心旺盛，其实嘛就是八卦。</t>
  </si>
  <si>
    <t>29;105041;1</t>
  </si>
  <si>
    <t>我装作听不见的样子，头也不回潇洒的离去。</t>
  </si>
  <si>
    <t>1302</t>
  </si>
  <si>
    <t>说起听书的地方……果然，&lt;c=#db3e63ff&gt;天下第一楼&lt;/c&gt;大堂里挤满了听书的人。</t>
  </si>
  <si>
    <t>哟客官~听书品茗赛神仙，来碗茶呗？</t>
  </si>
  <si>
    <t>小二，最近有猫妖的段子吗？</t>
  </si>
  <si>
    <t>哎哟，您识货，这可是只有小二我才知道的天大秘密！</t>
  </si>
  <si>
    <t>只是物以稀为贵嘛，您得先意思意思。</t>
  </si>
  <si>
    <t>90130206|90130207</t>
  </si>
  <si>
    <t>软磨硬泡</t>
  </si>
  <si>
    <t>8;40053;1</t>
  </si>
  <si>
    <t>出言威胁</t>
  </si>
  <si>
    <t>30;1331;10000</t>
  </si>
  <si>
    <t>得得得，我就破例告诉您吧。</t>
  </si>
  <si>
    <t>我跟您说啊，听说城里有只猫精，能号令了城里的猫。</t>
  </si>
  <si>
    <t>更邪门儿的是，这猫还有个活人主子。</t>
  </si>
  <si>
    <t>那主子不得了，他听得懂猫说话！</t>
  </si>
  <si>
    <t>而那猫精为了他的主子，想修成人形！</t>
  </si>
  <si>
    <t>到了夜里，猫精就会趁咱睡着的时候，吸走咱的阳气！</t>
  </si>
  <si>
    <t>29;105042;1</t>
  </si>
  <si>
    <t>这……怎么听着好像……</t>
  </si>
  <si>
    <t>我脑海里不禁浮现出步步的样子。噫惹，幸好都是谣言，真是不得了。</t>
  </si>
  <si>
    <t>中央街市似乎没有什么新线索了，不妨到临近的&lt;c=#db3e63ff&gt;商贸行&lt;/c&gt;看看。</t>
  </si>
  <si>
    <t>1303|1304|1305</t>
  </si>
  <si>
    <t>商贸行人来人往络绎不绝，商会大堂是最为热闹之处。</t>
  </si>
  <si>
    <t>该如何获得消息呢？</t>
  </si>
  <si>
    <t>90130303</t>
  </si>
  <si>
    <t>在大堂各处闲逛打听</t>
  </si>
  <si>
    <t>30;1341;10000</t>
  </si>
  <si>
    <t>商人甲</t>
  </si>
  <si>
    <t>朱老板，再加一千件，您肯定不亏，如何？</t>
  </si>
  <si>
    <t>商人乙</t>
  </si>
  <si>
    <t>李叔，咱们这么多年伙伴了，就透漏我点儿消息吧……</t>
  </si>
  <si>
    <t>商人丙</t>
  </si>
  <si>
    <t>续约？！上回欠的货款还没结清你们倒也好意思？！</t>
  </si>
  <si>
    <t>商会大堂里都是些谈生意的商人，并&lt;c=#db3e63ff&gt;不见闲聊的&lt;/c&gt;。</t>
  </si>
  <si>
    <t>市场上皆是些小商贩，吆喝声此起彼伏。</t>
  </si>
  <si>
    <t>瞧一瞧看一看，过了这村没这店咯。</t>
  </si>
  <si>
    <t>90130404|90130405</t>
  </si>
  <si>
    <t>买下猫咪摆件</t>
  </si>
  <si>
    <t>算了</t>
  </si>
  <si>
    <t>大娘，我喜欢这对猫猫瓷器~给我装起来吧！</t>
  </si>
  <si>
    <t>好嘞~这就给您装好~</t>
  </si>
  <si>
    <t>（看着是情侣之间互赠的，我……还是不买了吧。）</t>
  </si>
  <si>
    <t>大娘见我无意购买，便招呼别的路人去了。</t>
  </si>
  <si>
    <t>姑娘喜欢猫啊？最近猫妖传闻很多，我这猫摆件还因此卖了不少，只剩这最后一对了呢。</t>
  </si>
  <si>
    <t>咦，猫妖的传闻？大娘能否给我讲讲呢？</t>
  </si>
  <si>
    <t>当然可以啦。我昨个儿在&lt;c=#db3e63ff&gt;湖景街&lt;/c&gt;摆摊时，听&lt;c=#db3e63ff&gt;刘姐儿&lt;/c&gt;说的。</t>
  </si>
  <si>
    <t>就在花街，有猫妖化作妖娆妩媚的女子模样，大跳艳舞，竞选花魁咧。</t>
  </si>
  <si>
    <t>传得神乎其神，只说那猫妖所化的女子极其美丽妖娆，别说男人了，我都想去瞧一眼呢。</t>
  </si>
  <si>
    <t>29;105043;1</t>
  </si>
  <si>
    <t>大娘说完便继续招呼顾客了。我决定前往&lt;c=#db3e63ff&gt;湖景街&lt;/c&gt;找那位&lt;c=#db3e63ff&gt;刘姐儿&lt;/c&gt;问问。</t>
  </si>
  <si>
    <t>1307</t>
  </si>
  <si>
    <t>商贸行的茶楼酒肆雅间居多，大堂里的人稀稀落落的。</t>
  </si>
  <si>
    <t>如何不引起怀疑的调查雅间呢？</t>
  </si>
  <si>
    <t>90130503</t>
  </si>
  <si>
    <t>派遣猫儿去打探</t>
  </si>
  <si>
    <t>30;1321;10000</t>
  </si>
  <si>
    <t>没想到，猫儿收集来了令人匪夷所思的消息。</t>
  </si>
  <si>
    <t>酒肆顶楼的雅间内，竟有&lt;c=#db3e63ff&gt;男人学着猫叫声&lt;/c&gt;。</t>
  </si>
  <si>
    <t>只听那女人叫了声&lt;c=#db3e63ff&gt;“钱二少”&lt;/c&gt;，别的信息再没听到。</t>
  </si>
  <si>
    <t>29;105044;1</t>
  </si>
  <si>
    <t>……会不会是&lt;c=#db3e63ff&gt;花街&lt;/c&gt;的女子呢？不如去隔壁的&lt;c=#db3e63ff&gt;花街&lt;/c&gt;看看吧。</t>
  </si>
  <si>
    <t>1306</t>
  </si>
  <si>
    <t>一入&lt;c=#db3e63ff&gt;花街&lt;/c&gt;，一阵脂粉熏香的香气扑鼻而来。</t>
  </si>
  <si>
    <t>（幸亏自己乔装成书生的样子，倒是方便了行动。）</t>
  </si>
  <si>
    <t>偌大的&lt;c=#db3e63ff&gt;花街&lt;/c&gt;，各家舞乐坊逐一查过去，就太费劲儿了。</t>
  </si>
  <si>
    <t>90130604</t>
  </si>
  <si>
    <t>指挥猫儿们先去打听一番</t>
  </si>
  <si>
    <t>30;1351;10000</t>
  </si>
  <si>
    <t>我随着猫儿的步伐来到了喧闹的&lt;c=#db3e63ff&gt;醉月楼&lt;/c&gt;前。</t>
  </si>
  <si>
    <t>把那个叫&lt;c=#db3e63ff&gt;妙妙&lt;/c&gt;的小妖精给我交出来！</t>
  </si>
  <si>
    <t>老鸨</t>
  </si>
  <si>
    <t>&lt;c=#db3e63ff&gt;妙妙&lt;/c&gt;她真的不在这，钱夫人您消气儿，别气坏了身子。</t>
  </si>
  <si>
    <t>钱夫人</t>
  </si>
  <si>
    <t>滚开，狐媚子也敢和我钱家少爷来往！</t>
  </si>
  <si>
    <t>来人，给我打进去，把那小贱人揪出来！</t>
  </si>
  <si>
    <t>（妙妙？这个名字……）</t>
  </si>
  <si>
    <t>放任不管的话肯定会出现伤亡的，得赶紧阻止闹事。</t>
  </si>
  <si>
    <t>90130612</t>
  </si>
  <si>
    <t>告诉她&lt;c=#db3e63ff&gt;钱二少爷&lt;/c&gt;不在花街</t>
  </si>
  <si>
    <t>7;105044;1</t>
  </si>
  <si>
    <t>钱夫人盯着我片刻，确认我的话可信后，才让下人收了手。</t>
  </si>
  <si>
    <t>&lt;c=#db3e63ff&gt;妙妙&lt;/c&gt;……喵喵……？难道是这名字传出来的传闻？</t>
  </si>
  <si>
    <t>29;105045;1</t>
  </si>
  <si>
    <t>这条线索，到这里似乎已经没有更多可挖掘的信息了，先离开吧。</t>
  </si>
  <si>
    <t>湖景街远不及中央街市热闹，我正寻思从何处着手调查。</t>
  </si>
  <si>
    <t>此时，有个名字传入了我耳中，唤的正是&lt;c=#db3e63ff&gt;“刘姐”&lt;/c&gt;，我不由得将视线转过去。</t>
  </si>
  <si>
    <t>不远处，被叫做&lt;c=#db3e63ff&gt;“刘姐”&lt;/c&gt;的大姐，正挑着担的走来。</t>
  </si>
  <si>
    <t>90130704</t>
  </si>
  <si>
    <t>上前询问</t>
  </si>
  <si>
    <t>7;105043;1</t>
  </si>
  <si>
    <t>&lt;c=#db3e63ff&gt;刘姐&lt;/c&gt;你还记得&lt;c=#db3e63ff&gt;猫妖&lt;/c&gt;的传闻吗？</t>
  </si>
  <si>
    <t>刘姐</t>
  </si>
  <si>
    <t>嗨，我也是在街上听来的，说&lt;c=#db3e63ff&gt;花街&lt;/c&gt;一姑娘是猫妖变的。</t>
  </si>
  <si>
    <t>听说就为了一救过她的男人，化成人形来报恩的。</t>
  </si>
  <si>
    <t>可惜她得不停的杀生，才能在心上人面前维持人形，真是不知道谁苦命咯。</t>
  </si>
  <si>
    <t>29;105046;1</t>
  </si>
  <si>
    <t>我拿着炭笔记录着刘姐所说的故事，倒是极其有趣，听得我津津有味。</t>
  </si>
  <si>
    <t>传闻收集的差不多后，我动身前去&lt;c=#db3e63ff&gt;西街的孙府&lt;/c&gt;汇报情况。</t>
  </si>
  <si>
    <t>1308</t>
  </si>
  <si>
    <t>再次走到&lt;c=#db3e63ff&gt;西街的孙府&lt;/c&gt;时，没想到正好遇见了孙三少。</t>
  </si>
  <si>
    <t>孙三少爷，您要的传闻已经收集的差不多了。</t>
  </si>
  <si>
    <t>孙三少</t>
  </si>
  <si>
    <t>当真？随我入府细细说与我听。</t>
  </si>
  <si>
    <t>三少请我进府，开始向我询问每一个传闻的细节。</t>
  </si>
  <si>
    <t>我掏出记录下来的所有传闻。</t>
  </si>
  <si>
    <t>90130806</t>
  </si>
  <si>
    <t>将故事讲给他听</t>
  </si>
  <si>
    <t>1|7;105042;1|7;105046;1|7;105045;1</t>
  </si>
  <si>
    <t>不过一日竟能收集如此全面，是个搞情报的好苗子。</t>
  </si>
  <si>
    <t>我也不瞒您了，其实我是天师府第六十六代外门弟子。</t>
  </si>
  <si>
    <t>收集猫妖信息，就是为了想要除魔的，如今时机已到，今晚便动手！</t>
  </si>
  <si>
    <t>你若有兴趣，你我今晚一同上花街降妖！</t>
  </si>
  <si>
    <t>咦？哪有什么妖怪，不过是街头巷尾的传闻罢了……</t>
  </si>
  <si>
    <t>你不懂！是真的有灵猫的！你……哎。真相掌握在少数人的手中，我说了你也不懂。</t>
  </si>
  <si>
    <t>（罢了，不知道有朝一日若灵猫的存在公诸于世，会引起什么波澜呢。）</t>
  </si>
  <si>
    <t>（这件事也算告一段落了，赶紧去&lt;c=#db3e63ff&gt;提交委托&lt;/c&gt;任务好了。）</t>
  </si>
  <si>
    <t>1111</t>
  </si>
  <si>
    <t>1121</t>
  </si>
  <si>
    <t>1131</t>
  </si>
  <si>
    <t>1141</t>
  </si>
  <si>
    <t>1151</t>
  </si>
  <si>
    <t>1211</t>
  </si>
  <si>
    <t>1221</t>
  </si>
  <si>
    <t>1231</t>
  </si>
  <si>
    <t>1241</t>
  </si>
  <si>
    <t>1251</t>
  </si>
  <si>
    <t>1261</t>
  </si>
  <si>
    <t>1311</t>
  </si>
  <si>
    <t>1321</t>
  </si>
  <si>
    <t>1331</t>
  </si>
  <si>
    <t>1341</t>
  </si>
  <si>
    <t>1351</t>
  </si>
  <si>
    <t>钱府</t>
  </si>
  <si>
    <t>雁山堂</t>
  </si>
  <si>
    <t>钱府正门</t>
  </si>
  <si>
    <t>钱府侧门</t>
  </si>
  <si>
    <t>兆府</t>
  </si>
  <si>
    <t>烧鸡</t>
  </si>
  <si>
    <t>打听</t>
  </si>
  <si>
    <t>商会大堂</t>
  </si>
  <si>
    <t>露天集市</t>
  </si>
  <si>
    <t>茶楼酒肆</t>
  </si>
  <si>
    <t>醉月楼</t>
  </si>
  <si>
    <t>钱家幺女托密案，江湖儿女闹风波。</t>
  </si>
  <si>
    <t>蒙面相逢应不识，自家门前打金枝。</t>
  </si>
  <si>
    <t>通灵猫儿识翰墨，面薄陆沉忙藏羞。</t>
  </si>
  <si>
    <t>知错能改小余头，委托细节又擦肩。</t>
  </si>
  <si>
    <t>钱府巧遇钱当家，不忿探子莫奈何。</t>
  </si>
  <si>
    <t>钱家幺女终释怀，渡灵神符葬黑甲。</t>
  </si>
  <si>
    <t>神秘白沧隐深林，渡灵神符怎渡灵？</t>
  </si>
  <si>
    <t>从书童口中得到了一些线索，到中央街市去看看。</t>
  </si>
  <si>
    <t>调查完中央街市，到商贸行看看。</t>
  </si>
  <si>
    <t>商会大堂都是些谈生意的商人。</t>
  </si>
  <si>
    <t>大娘告知湖景街听来的传闻。</t>
  </si>
  <si>
    <t>猫儿打探到雅间里诡异的学猫叫声。</t>
  </si>
  <si>
    <t>在醉月楼里，得知钱二少与妙妙姑娘的事。</t>
  </si>
  <si>
    <t>在湖景街的刘姐处听到了痴情猫妖的传闻。</t>
  </si>
  <si>
    <t>向孙三少讲述了一番调查所获，孙三少甚是满意。</t>
  </si>
  <si>
    <t>1;1208;1|3;105038;1|4;100;0</t>
  </si>
  <si>
    <t>将玉蛟龙的信息回复给胡泊|得知王季常的真相|查清此事全貌</t>
  </si>
  <si>
    <t>胡泊姑娘的委托……她为何会对&lt;c=#db3e63ff&gt;玉蛟龙&lt;/c&gt;感兴趣呢？</t>
  </si>
  <si>
    <t>唱卖会之前，市面上几乎没有&lt;c=#db3e63ff&gt;玉蛟龙&lt;/c&gt;的信息，如今怎么引得这么多人关注。</t>
  </si>
  <si>
    <t>最近有人放出了谣言喔。我都听街头的花布说，有了&lt;c=#db3e63ff&gt;玉蛟龙&lt;/c&gt;，就可以让所有母猫尽折腰。</t>
  </si>
  <si>
    <t>哪里传出来的谣言？</t>
  </si>
  <si>
    <t>还不是玉蛟龙的天价闹的，城里多少人都以为这是个宝贝呢。</t>
  </si>
  <si>
    <t>呵呵……谁买谁知道。</t>
  </si>
  <si>
    <t>我先去&lt;c=#db3e63ff&gt;胡泊姑娘的店&lt;/c&gt;里打听打听吧。</t>
  </si>
  <si>
    <t>你好呀，新上架的猫毛小玩意儿，姑娘看看吗？</t>
  </si>
  <si>
    <t>胡姑娘的手艺一如既往的好，今日出门没带猫毛，下回来帮衬～</t>
  </si>
  <si>
    <t>好呀，我给你留一个新的样式。</t>
  </si>
  <si>
    <t>听闻姑娘在打听&lt;c=#db3e63ff&gt;玉蛟龙&lt;/c&gt;，可否向您了解一下？</t>
  </si>
  <si>
    <t>她似乎对我的话有些警惕……</t>
  </si>
  <si>
    <t>90120207</t>
  </si>
  <si>
    <t>我听说呀，这个玉可以帮人实现一个愿望呢。</t>
  </si>
  <si>
    <t>我……我想要王家的&lt;c=#db3e63ff&gt;王季常&lt;/c&gt;哥哥平安回来。</t>
  </si>
  <si>
    <t>（玉蛟龙还有这种功能么？要真是有用，当时我又怎会被玄门追至跳崖。）</t>
  </si>
  <si>
    <t>我与季常哥哥打小一起长大，他参军前，我们两家便已定下婚约。</t>
  </si>
  <si>
    <t>只是眼下边境战乱凶险，不知何时才能结束归来，唉……</t>
  </si>
  <si>
    <t>原来是姑娘的心上人，那你可知他在前线的消息？</t>
  </si>
  <si>
    <t>这……我只知道他在西北大将军麾下……</t>
  </si>
  <si>
    <t>不过他一直有给我传家信，我下回一定问问他！</t>
  </si>
  <si>
    <t>胡泊这里没有更多关于谣言的消息了，同她说完，我便准备寻找谣言的源头。</t>
  </si>
  <si>
    <t>玉蛟龙在邯城出现，这谣言的源头兴许也在那，先&lt;c=#db3e63ff&gt;回家&lt;/c&gt;再做打算吧。</t>
  </si>
  <si>
    <t>（至于胡泊姑娘的&lt;c=#db3e63ff&gt;心愿&lt;/c&gt;，不如我来帮她完成吧。）</t>
  </si>
  <si>
    <t>下人说安歌前来拜访，我一入前厅便瞧见他把玩着桌上茶盏，伸手过去打算夺下来。</t>
  </si>
  <si>
    <t>这茶今早步步在里面洗脚，我看到了。</t>
  </si>
  <si>
    <t>可怜安某走了那么远的路来看姑娘，却是一碗茶都喝不上。</t>
  </si>
  <si>
    <t>我准备去趟&lt;c=#db3e63ff&gt;邯城&lt;/c&gt;，晚了只怕赶不到客栈了，回来再给安府乐赔罪。</t>
  </si>
  <si>
    <t>邯城么？姑娘可是去查玉蛟龙？</t>
  </si>
  <si>
    <t>欸？你怎么知道？</t>
  </si>
  <si>
    <t>自玉蛟龙卖出天价的消息从邯城传来，城里便各方热议，谣言四起，安某不过是也听到一些。</t>
  </si>
  <si>
    <t>不知姑娘有什么愿望，安某直接帮姑娘实现可好？</t>
  </si>
  <si>
    <t>安歌的凤眼轻轻挑起，嘴角噙着一抹意味不明的暧昧，我顿时忍不住有些脸红，心虚地别过脸。</t>
  </si>
  <si>
    <t>我的愿望，不需要依靠这些来实现。不过是有桩委托，需要去邯城调查一些消息。</t>
  </si>
  <si>
    <t>如若是这样，姑娘大可不必出这趟远门，安某碰巧知道谣言起于何处。</t>
  </si>
  <si>
    <t>城中有一小娘子，知道的可是比邯城的人更多。可惜安某有些渴了，姑娘可愿为安某点一盏茶？</t>
  </si>
  <si>
    <t>安府乐今日上门，只是为了这一盏茶？</t>
  </si>
  <si>
    <t>他笑而不语，只是自顾自的地在茶几旁落座，摆出一副认真欣赏墙上字画的模样。</t>
  </si>
  <si>
    <t>不过一杯茶，有何不可？</t>
  </si>
  <si>
    <t>90120317</t>
  </si>
  <si>
    <t>姑娘这一手汤花绘画的手艺倒是特别。</t>
  </si>
  <si>
    <t>茶已品过，安府乐可还满意？</t>
  </si>
  <si>
    <t>西街，杏花红墙，&lt;c=#db3e63ff&gt;兆府&lt;/c&gt;，小娘子名唤&lt;c=#db3e63ff&gt;素素&lt;/c&gt;。</t>
  </si>
  <si>
    <t>一进门就看到公子歇一袭红衣俯身埋在一堆晒干的药前细细地挑选着。</t>
  </si>
  <si>
    <t>今年这一批的三七分量格外足，我准备选一些，给花婆婆送去。</t>
  </si>
  <si>
    <t>有劳你照顾着花婆婆了，对了，我来是想找你了解一下王家的三公子&lt;c=#db3e63ff&gt;王季常&lt;/c&gt;。</t>
  </si>
  <si>
    <t>公子歇停下手中的动作，有些阴冷地望着我。</t>
  </si>
  <si>
    <t>小阁主为何想要查此人？</t>
  </si>
  <si>
    <t>怎么了？我在替胡泊姑娘查东西，就替她打听打听她这位情郎的事。</t>
  </si>
  <si>
    <t>提醒小阁主一句，此人的事情，眼下你最好是不要碰。</t>
  </si>
  <si>
    <t>公子歇说完，便将注意力回到桌案上的药材里了。</t>
  </si>
  <si>
    <t>此事另有隐情，我得问出来。</t>
  </si>
  <si>
    <t>90120411</t>
  </si>
  <si>
    <t>旁敲侧击</t>
  </si>
  <si>
    <t>行了，你的那些套话伎俩在我这里行不通。</t>
  </si>
  <si>
    <t>你错了，我不是在套话，我是在用一颗虔诚的耐心打动你！</t>
  </si>
  <si>
    <t>王季常归属西北吕家军，又是王家人，早就被搅进这场纷争里了。</t>
  </si>
  <si>
    <t>大将军吕山要入京了，尚京城很快就该变天了，凭你的实力，不主动掺和，还能避开这场祸乱。</t>
  </si>
  <si>
    <t>这是什么意思？王季常背后有这么多牵扯吗？</t>
  </si>
  <si>
    <t>公子歇与我说这些，说到底是想让我知道此中凶险，但此事……我迟早会去查的。</t>
  </si>
  <si>
    <t>我再问不出什么来，只好满怀心事离开。</t>
  </si>
  <si>
    <t>安府乐已告知我你要来，我就是素素，曾经在大乐府和安府乐学过琴。</t>
  </si>
  <si>
    <t>素素姑娘，冒昧打扰实在不好意思，我此番前来的目的，安府乐可有告知？</t>
  </si>
  <si>
    <t>姑娘指的可是玉蛟龙？我不过与乐坊的小姐妹们感慨此玉能卖出天价，指不定是，是件能通灵神玉，哪知竟传成了这般。</t>
  </si>
  <si>
    <t>素素姑娘的眼神有些闪烁，话一说完便埋头拨弄琴弦。</t>
  </si>
  <si>
    <t>有蹊跷，她没有说实话……</t>
  </si>
  <si>
    <t>90120508|90120509</t>
  </si>
  <si>
    <t>找老仆套话</t>
  </si>
  <si>
    <t>乐坊的姑娘家聊天，本就容易口口相传，随口一句被添油加醋传了出去，有什么奇怪的。</t>
  </si>
  <si>
    <t>我说的就是实话，信不信由你。</t>
  </si>
  <si>
    <t>嗨呀，还不是那邯城来的公子，弄了块龙形玉配赠予我们家主子，说是邯城唱卖会得的宝物。</t>
  </si>
  <si>
    <t>我们主子高兴，就给乐坊的姑娘们夸耀了一番称是神器，话里说得夸张了些。</t>
  </si>
  <si>
    <t>谁知没过几日，就传来祁家天价拍下玉的消息，咱们主子那块，不过是个毫无关系的摆件。</t>
  </si>
  <si>
    <t>可是话已经说出去了，咱们主子也不好受，还要硬着头皮编造自己也得了一块，最后便发展成如今这样了。</t>
  </si>
  <si>
    <t>原来是这样，谢谢你告诉我这些~</t>
  </si>
  <si>
    <t>城里的传言&lt;c=#db3e63ff&gt;卷卷&lt;/c&gt;知道得最灵通了，老大，我们不如去找她问问。</t>
  </si>
  <si>
    <t>那又得去买&lt;c=#db3e63ff&gt;烧鸡&lt;/c&gt;讨好她了……</t>
  </si>
  <si>
    <t>没有烧鸡，铁定哄不好卷卷……</t>
  </si>
  <si>
    <t>90120609|90120610</t>
  </si>
  <si>
    <t>拜托小二</t>
  </si>
  <si>
    <t>放猫撒娇</t>
  </si>
  <si>
    <t>其实我今天有给自己排号，留了一个&lt;c=#db3e63ff&gt;烧鸡&lt;/c&gt;。</t>
  </si>
  <si>
    <t>算了，给你吧，下回请我吃烧烤啊！</t>
  </si>
  <si>
    <t>他们好可爱啊！</t>
  </si>
  <si>
    <t>想请问一下关于&lt;c=#db3e63ff&gt;玉蛟龙&lt;/c&gt;的谣言。</t>
  </si>
  <si>
    <t>不如你给我一个帮忙的理由？</t>
  </si>
  <si>
    <t>拿出&lt;c=#db3e63ff&gt;烧鸡&lt;/c&gt;</t>
  </si>
  <si>
    <t>那谣言啊，都是从西街乐坊一带传出来的，听说有个乐姬得了一枚，吹嘘得神乎其神。</t>
  </si>
  <si>
    <t>呃……</t>
  </si>
  <si>
    <t>我就寻思着，那玉不是祁家拍下了么，祁家公子天天围着你转，乐坊那姑娘凑个啥热闹。</t>
  </si>
  <si>
    <t>我去打听，啧，那姑娘早前被坑了，又拉不下脸承认自己得了假玉，便要说自己那玉有多玄乎。</t>
  </si>
  <si>
    <t>呵，女人。</t>
  </si>
  <si>
    <t>你回来了？可有寻到什么消息？</t>
  </si>
  <si>
    <t>一个乌龙的谣言，要怎么说，她才不会伤心？</t>
  </si>
  <si>
    <t>90120803</t>
  </si>
  <si>
    <t>照顾她的心思</t>
  </si>
  <si>
    <t>胡姑娘，我没能为你寻来这块玉，不过却查清了所谓实现愿望，是个谣言。</t>
  </si>
  <si>
    <t>谣言？怎么会呢，就连官家的小姐都这么说的……</t>
  </si>
  <si>
    <t>此事说来话长，其实是个乌龙……</t>
  </si>
  <si>
    <t>告知她谣言的来源</t>
  </si>
  <si>
    <t>90120808</t>
  </si>
  <si>
    <t>交出证据</t>
  </si>
  <si>
    <t>7;105038;1</t>
  </si>
  <si>
    <t>是这样啊……多谢你了。</t>
  </si>
  <si>
    <t>胡泊眼神黯淡了些，我知道，她真正在意的并非玉蛟龙，而是王季常。</t>
  </si>
  <si>
    <t>是呢，我给季常哥哥的信已经送去了，我问了他在军中的消息啦，下次我便能知道他在哪一军了。</t>
  </si>
  <si>
    <t>我看着胡泊眼中的思慕，犹豫再三，为了不讲她卷入祸端，放弃了将王季常在西北吕家军一事告知她。</t>
  </si>
  <si>
    <t>玉的谣言</t>
  </si>
  <si>
    <t>素素姑娘被假玉蒙骗，编造出自己也得到神玉的谎言，传成谣言。</t>
  </si>
  <si>
    <t>天下第一楼的招牌烧鸡。</t>
  </si>
  <si>
    <t>icon_prop_shaoji</t>
  </si>
  <si>
    <t>接到了胡波姑娘的委托。</t>
  </si>
  <si>
    <t>从胡泊处得知城中有关玉蛟龙的谣言。</t>
  </si>
  <si>
    <t>安歌透漏谣言的来源，是西街的姚府。</t>
  </si>
  <si>
    <t>得知有关胡泊情郎的消息。</t>
  </si>
  <si>
    <t>从素素口中得知她散布玉蛟龙谣言是个乌龙。</t>
  </si>
  <si>
    <t>为了讨好卷卷，前往天下第一楼卖烧鸡。</t>
  </si>
  <si>
    <t>卷卷告知谣言来源于乐坊女子，为了掩盖一个被骗的事实。</t>
  </si>
  <si>
    <t>向胡泊说明谣言一事，隐瞒了王季常的信息。</t>
  </si>
  <si>
    <t>1;1402;1|1;1405;1|4;100;0</t>
  </si>
  <si>
    <t>找瑶琴姑娘了解委托|查清幕后黑手|查清此事全貌</t>
  </si>
  <si>
    <t>3;1;瑶琴</t>
  </si>
  <si>
    <t>小玉失踪案</t>
  </si>
  <si>
    <t>瑶琴姑娘的小玉失踪，委托查清幕后原因</t>
  </si>
  <si>
    <t>1;1507;1|1;1504;1|4;100;0</t>
  </si>
  <si>
    <t>告诉钱大小姐真相|向吴大小姐求证绯闻的真实性|查清此事全貌</t>
  </si>
  <si>
    <t>3;1;钱大小姐</t>
  </si>
  <si>
    <t>阮公子的红颜</t>
  </si>
  <si>
    <t>与钱大小姐有婚约的阮公子，竟然公然拈花惹草？</t>
  </si>
  <si>
    <t>2;2</t>
  </si>
  <si>
    <t>90140101</t>
  </si>
  <si>
    <t>14</t>
  </si>
  <si>
    <t>0;40064</t>
  </si>
  <si>
    <t>90140201</t>
  </si>
  <si>
    <t>1;152</t>
  </si>
  <si>
    <t>90140301</t>
  </si>
  <si>
    <t>1;153</t>
  </si>
  <si>
    <t>90140401</t>
  </si>
  <si>
    <t>90140501</t>
  </si>
  <si>
    <t>90140601</t>
  </si>
  <si>
    <t>90150101</t>
  </si>
  <si>
    <t>15</t>
  </si>
  <si>
    <t>1;154</t>
  </si>
  <si>
    <t>90150201</t>
  </si>
  <si>
    <t>90150301</t>
  </si>
  <si>
    <t>1;155</t>
  </si>
  <si>
    <t>90150401</t>
  </si>
  <si>
    <t>1;156</t>
  </si>
  <si>
    <t>90150501</t>
  </si>
  <si>
    <t>1;157</t>
  </si>
  <si>
    <t>90150601</t>
  </si>
  <si>
    <t>90150701</t>
  </si>
  <si>
    <t>0;40077</t>
  </si>
  <si>
    <t>90160101</t>
  </si>
  <si>
    <t>16</t>
  </si>
  <si>
    <t>90160201</t>
  </si>
  <si>
    <t>1;159</t>
  </si>
  <si>
    <t>90160301</t>
  </si>
  <si>
    <t>90160401</t>
  </si>
  <si>
    <t>1;160</t>
  </si>
  <si>
    <t>90160501</t>
  </si>
  <si>
    <t>1;161</t>
  </si>
  <si>
    <t>90160601</t>
  </si>
  <si>
    <t>1;162</t>
  </si>
  <si>
    <t>90160701</t>
  </si>
  <si>
    <t>1;163</t>
  </si>
  <si>
    <t>90160801</t>
  </si>
  <si>
    <t>90160901</t>
  </si>
  <si>
    <t>受邀调查花街中万花楼的小玉失踪案，正要进楼里找花魁瑶琴。</t>
  </si>
  <si>
    <t>却不想……偶然遇到了看上去很虚弱的安歌。</t>
  </si>
  <si>
    <t>安府乐？你怎么会在这里……喂，你还好吧？</t>
  </si>
  <si>
    <t>少阁主不必担心，安某还能撑得住……</t>
  </si>
  <si>
    <t>他抬袖掩住口鼻，微微皱眉，我看他难受，把他带进了一个茶馆。</t>
  </si>
  <si>
    <t>（他怎么会在这里？）</t>
  </si>
  <si>
    <t>90140107|90140108</t>
  </si>
  <si>
    <t>询问为何在这里</t>
  </si>
  <si>
    <t>询问小玉的信息</t>
  </si>
  <si>
    <t>安某本来也不想来，可是有一味珍惜的香料在万花楼的瑶琴姑娘手里，定要安某赠诗才肯换。</t>
  </si>
  <si>
    <t>这花街的气味太驳杂了……少阁主又是因何而来？</t>
  </si>
  <si>
    <t>好巧，我也是来找瑶琴姑娘的。你香拿了没？要不你把诗给我，我帮你去取？</t>
  </si>
  <si>
    <t>安歌微微摇头，深沉地看着我。</t>
  </si>
  <si>
    <t>安某不常来此地，没有听过。</t>
  </si>
  <si>
    <t>他好像有点呼吸困难的样子，咳嗽了起来。</t>
  </si>
  <si>
    <t>那算了那算了，你喝茶缓缓。</t>
  </si>
  <si>
    <t>咳咳咳……不过，倒是听过瑶琴姑娘养着一只鹦鹉，前几日不见了。</t>
  </si>
  <si>
    <t>（鹦鹉？委托说小玉失踪，莫非小玉非玉，而是鹦鹉的名字？）</t>
  </si>
  <si>
    <t>少阁主不妨与安某一同去找瑶琴姑娘、</t>
  </si>
  <si>
    <t>我点头应允。</t>
  </si>
  <si>
    <t>1402</t>
  </si>
  <si>
    <t>见到瑶琴时，她正坐在轩窗下，的确是个姝色美人。只是……</t>
  </si>
  <si>
    <t>我下意识看了一眼安歌。</t>
  </si>
  <si>
    <t>（不过论容貌……安府乐居然，略胜一筹？？？）</t>
  </si>
  <si>
    <t>安府乐请坐，这位是……？</t>
  </si>
  <si>
    <t>我是接了您委托的人，听说您……</t>
  </si>
  <si>
    <t>90140206|90140207</t>
  </si>
  <si>
    <t>丢了玉</t>
  </si>
  <si>
    <t>30;1411;10000</t>
  </si>
  <si>
    <t>丢了鸟</t>
  </si>
  <si>
    <t>正要问她是否丢了玉，我不经意间扫了一眼空掉的架子，于是试探着改口。</t>
  </si>
  <si>
    <t>听说您丢的是“小玉”，请问您丢的是人还是物呢？</t>
  </si>
  <si>
    <t>总算派来一个靠谱的了，先前来的那些都是废物，上来就问我丢的是不是玉佩，小玉是我的鹦鹉。</t>
  </si>
  <si>
    <t>听说您前几日丢了一只鹦鹉，莫非这鹦鹉就是您丢的“小玉”？</t>
  </si>
  <si>
    <t>正是，你看上去还算有几分本事，如此我也就安心了，这事当交给你。</t>
  </si>
  <si>
    <t>我正要询问详情，瑶琴却看向安歌。</t>
  </si>
  <si>
    <t>安府乐为何不坐？这样站着您会累的罢？</t>
  </si>
  <si>
    <t>不必，本也就是来取香，瑶琴姑娘不妨先处理了自己的事。</t>
  </si>
  <si>
    <t>碰了个软钉子的瑶琴看向我，神色慵懒。</t>
  </si>
  <si>
    <t>小玉是三天前不见的，三天前的早上，我去喂食，它忽然就消失了。</t>
  </si>
  <si>
    <t>这答得太轻描淡写了，得问清楚才行。</t>
  </si>
  <si>
    <t>90140219|90140220</t>
  </si>
  <si>
    <t>笼子可有关上</t>
  </si>
  <si>
    <t>有无可疑之人</t>
  </si>
  <si>
    <t>笼子自然是关上了，不然呢？</t>
  </si>
  <si>
    <t>（鸟不可能自己打开笼子，这件事看来是人为的。）</t>
  </si>
  <si>
    <t>那日只有我与我的奴婢小春，还有……安府乐。</t>
  </si>
  <si>
    <t>我下意识看了一眼安歌，却见他神色漠然。</t>
  </si>
  <si>
    <t>只是来问香而已。</t>
  </si>
  <si>
    <t>我点头记下。</t>
  </si>
  <si>
    <t>临走时，安歌拿走了瑶琴送给他的香料。</t>
  </si>
  <si>
    <t>1403</t>
  </si>
  <si>
    <t>送走安歌以后，我了解了一下万花楼的人员构成。</t>
  </si>
  <si>
    <t>（瑶琴的居所里有两个丫鬟，一个小春，一个小冬。）</t>
  </si>
  <si>
    <t>（小冬请假回家看母亲去了，安歌虽来过，却只是问香而已。据瑶琴说，他连茶都没喝就走了。）</t>
  </si>
  <si>
    <t>看来要问问小春了</t>
  </si>
  <si>
    <t>90140305|90140306</t>
  </si>
  <si>
    <t>诈她一下</t>
  </si>
  <si>
    <t>30;1421;10000</t>
  </si>
  <si>
    <t>询问当日行踪</t>
  </si>
  <si>
    <t>那天瑶琴姑娘看到是你放的鸟，她已经打算把你移交鸨母处理了，你有什么话说？！</t>
  </si>
  <si>
    <t>小春</t>
  </si>
  <si>
    <t>啊？冤，冤枉啊，我对瑶琴姑娘忠心耿耿，那只鸟的事情我实在不知道哇！</t>
  </si>
  <si>
    <t>哦？那你那天进入房间怎么说？！</t>
  </si>
  <si>
    <t>与我无关，黄龟公也去过！</t>
  </si>
  <si>
    <t>你说一下你那日的行踪，告诉我有没有什么可疑的人进过瑶琴姑娘的房间。</t>
  </si>
  <si>
    <t>那日我先伺候姑娘洗漱，没多久安府乐便来问香了。</t>
  </si>
  <si>
    <t>姑娘让我去泡茶，我泡好进去，安府乐已经走了。</t>
  </si>
  <si>
    <t>之后姑娘说头疼去休息，黄龟公便让我去打水。</t>
  </si>
  <si>
    <t>我打水回来就发现小玉不见了，笼子还大开着……</t>
  </si>
  <si>
    <t>黄龟公？黄龟公可曾进过瑶琴姑娘的房间？</t>
  </si>
  <si>
    <t>啊？这……我也不太清楚，因为那时我不在，或许他进过？</t>
  </si>
  <si>
    <t>我记下了这些线索，挥手遣退了小春。</t>
  </si>
  <si>
    <t>（让我看看那个黄龟公是何许人也。）</t>
  </si>
  <si>
    <t>1404</t>
  </si>
  <si>
    <t>黄龟公不在，环视房间，有个地方莫名吸引了我的注意力……</t>
  </si>
  <si>
    <t>90140402|90140403</t>
  </si>
  <si>
    <t>梳妆台</t>
  </si>
  <si>
    <t>书桌</t>
  </si>
  <si>
    <t>（这个梳妆台上，怎么会有女人用的胭脂……？）</t>
  </si>
  <si>
    <t>（这个书桌上，怎么会有女人花样的手帕……？）</t>
  </si>
  <si>
    <t>除此之外，我还在这件物品上发现了一个隐秘的“冬”字。</t>
  </si>
  <si>
    <t>（奇了怪了。）</t>
  </si>
  <si>
    <t>（这家伙，该不会是跟瑶琴姑娘房间里的小冬有一腿吧？！）</t>
  </si>
  <si>
    <t>我在周围打听了一圈，得知黄龟公正在湖畔赏景。</t>
  </si>
  <si>
    <t>（我这便过去湖畔会会他！）</t>
  </si>
  <si>
    <t>1405</t>
  </si>
  <si>
    <t>黄龟公听闻我的来意，瞬间脸色一变，色厉内荏地向我呵斥。</t>
  </si>
  <si>
    <t>黄龟公</t>
  </si>
  <si>
    <t>你说什么？你竟进了我的房间？！</t>
  </si>
  <si>
    <t>哪里来的狗东西！敢闯我万花楼的房，我要叫护院把你抓起来！</t>
  </si>
  <si>
    <t>嘴巴放干净点，我是受了瑶琴姑娘的委托来查你，现在人赃俱获，你还有什么要抵赖的！</t>
  </si>
  <si>
    <t>他呆了一下，忽然噗通一下跪下了。</t>
  </si>
  <si>
    <t>是小人有眼不识泰山，姑娘饶命啊！但小人不知道自己做错了什么，还请姑娘明示！</t>
  </si>
  <si>
    <t>（这黄龟公看起来油滑得很，显然是个不见棺材不落泪的主。）</t>
  </si>
  <si>
    <t>90140509|90140510</t>
  </si>
  <si>
    <t>指证他的行踪</t>
  </si>
  <si>
    <t>指证他和小冬的关系</t>
  </si>
  <si>
    <t>那天你是不是故意支开了小春，潜入了瑶琴姑娘的房间，放走了她的鹦鹉小玉？！</t>
  </si>
  <si>
    <t>我没有……</t>
  </si>
  <si>
    <t>人证俱在，还敢狡辩？！</t>
  </si>
  <si>
    <t>你是不是和小冬有私情？！说，究竟为什么要放走瑶琴姑娘房间里的鹦鹉小玉，是不是和小冬有关？！</t>
  </si>
  <si>
    <t>我和小冬是清白的……</t>
  </si>
  <si>
    <t>物证俱在，还敢狡辩？！</t>
  </si>
  <si>
    <t>我要拉你去瑶琴姑娘面前对质！</t>
  </si>
  <si>
    <t>姑娘不要啊，认，我认！</t>
  </si>
  <si>
    <t>有一次我在瑶琴姑娘房里和小冬……唉，那鹦鹉看到了。</t>
  </si>
  <si>
    <t>那鹦鹉学着开口闭口骂我”下流东西“，我怕它说出更多不该说的……</t>
  </si>
  <si>
    <t>所以，就找了个机会，把那鹦鹉放走了……</t>
  </si>
  <si>
    <t>（看来，这就是这件事情的真相了，只是不知道瑶琴姑娘会怎么处置……）</t>
  </si>
  <si>
    <t>1406</t>
  </si>
  <si>
    <t>向瑶琴姑娘交付了委托，这位美人慵懒倚靠在上位，看着跪在下面的小冬和黄龟公。</t>
  </si>
  <si>
    <t>原来是这样啊……真是辛苦您了。</t>
  </si>
  <si>
    <t>至于这两个，我也判断不好，就拖下去给鸨母发配吧。</t>
  </si>
  <si>
    <t>黄龟公和小冬立刻哭成一气，惨叫着被护院拖了下去。</t>
  </si>
  <si>
    <t>没想到是内贼作祟，只是可怜我的小玉，到底是回不来了。</t>
  </si>
  <si>
    <t>虽然嘴上这么说，但这位瑶琴姑娘的眼底，却没有半分哀伤之意。</t>
  </si>
  <si>
    <t>（总觉得瑶琴姑娘……不太简单……）</t>
  </si>
  <si>
    <t>（快到期限了，还是先去提交委托吧。）</t>
  </si>
  <si>
    <t>进到钱府时，一位看着颇为富贵的小姐上下打量我。</t>
  </si>
  <si>
    <t>你便是探事轩的人？看着也不过尔尔。</t>
  </si>
  <si>
    <t>钱大小姐可否细说一下情况？</t>
  </si>
  <si>
    <t>钱大小姐看着我摇头，一副信不过我的模样。</t>
  </si>
  <si>
    <t>探事轩是觉得本小姐给不起钱吗？让他们换个靠谱的人来。</t>
  </si>
  <si>
    <t>90150107|90150108</t>
  </si>
  <si>
    <t>说服对方</t>
  </si>
  <si>
    <t>30;1511;10000</t>
  </si>
  <si>
    <t>借助商广会馆的名头</t>
  </si>
  <si>
    <t>2;1;1</t>
  </si>
  <si>
    <t>似乎还是有些本事，那行，就你吧。</t>
  </si>
  <si>
    <t>是……祁家公子的朋友？那就信你一回好了。</t>
  </si>
  <si>
    <t>我听&lt;c=#db3e63ff&gt;西街&lt;/c&gt;吴大小姐说，阮宪似乎和一位姑娘走得很近。</t>
  </si>
  <si>
    <t>这几日被其他人指指点点的，害本小姐脸都丢光了，若是查明了，一定退婚！</t>
  </si>
  <si>
    <t>1502</t>
  </si>
  <si>
    <t>来到西街吴府，没见着吴大小姐，反倒是一个丫鬟蹲在门口，看起来鬼鬼祟祟。</t>
  </si>
  <si>
    <t>你在这干什么？</t>
  </si>
  <si>
    <t>哇！啊啊啊啊！</t>
  </si>
  <si>
    <t>吓死我了，你是什么人啊！</t>
  </si>
  <si>
    <t>我是钱大小姐的朋友，想来找一下吴大小姐。</t>
  </si>
  <si>
    <t>哦，你找小姐，小姐她在……不对，我不知道小姐在哪，知道也不会告诉你！</t>
  </si>
  <si>
    <t>（这丫鬟看起来不太聪明的样子……）</t>
  </si>
  <si>
    <t>90150208|90150209</t>
  </si>
  <si>
    <t>30;1521;10000</t>
  </si>
  <si>
    <t>威逼利诱</t>
  </si>
  <si>
    <t>30;1531;10000</t>
  </si>
  <si>
    <t>大小姐在&lt;c=#db3e63ff&gt;商贸行&lt;/c&gt;应该不会出什么事……不对，你诈我！</t>
  </si>
  <si>
    <t>随便你怎么说，我才不会告诉你大小姐在&lt;c=#db3e63ff&gt;商贸行&lt;/c&gt;呢！</t>
  </si>
  <si>
    <t>丢下还在抱头碎碎念的丫鬟，我抬脚就往&lt;c=#db3e63ff&gt;商贸行&lt;/c&gt;走去。</t>
  </si>
  <si>
    <t>1503</t>
  </si>
  <si>
    <t>商贸行人头涌涌，一时之间也找不到吴大小姐在什么地方。</t>
  </si>
  <si>
    <t>（乱找一通也不太好，先打听一下消息吧）</t>
  </si>
  <si>
    <t>90150303</t>
  </si>
  <si>
    <t>30;1541;10000</t>
  </si>
  <si>
    <t>猫儿收集的情报让我颇为意外。</t>
  </si>
  <si>
    <t>阮公子和那个不知名的小姐就在&lt;c=#db3e63ff&gt;西街&lt;/c&gt;？</t>
  </si>
  <si>
    <t>不过吴小姐跑到&lt;c=#db3e63ff&gt;中央街市&lt;/c&gt;去做什么？</t>
  </si>
  <si>
    <t>两边离这都不是很远，要不过去看看好了。</t>
  </si>
  <si>
    <t>1504|1505</t>
  </si>
  <si>
    <t>走到中央街市时，吴家大小姐正着急地四处张望。</t>
  </si>
  <si>
    <t>吴大小姐</t>
  </si>
  <si>
    <t>怎么就丢了呢？奇怪……</t>
  </si>
  <si>
    <t>吴小姐看起来似乎有什么难处，有我能帮上忙的地方吗？</t>
  </si>
  <si>
    <t>关你什么事？你又是什么人？别又是看上本姑娘美貌的登徒子！</t>
  </si>
  <si>
    <t>90150405|90150406</t>
  </si>
  <si>
    <t>直接询问阮公子之事</t>
  </si>
  <si>
    <t>30;1551;10000</t>
  </si>
  <si>
    <t>奉承她的美貌，套话</t>
  </si>
  <si>
    <t>2;2;1</t>
  </si>
  <si>
    <t>呵，原来是钱家那位派你来的……我就知道她不知足……</t>
  </si>
  <si>
    <t>（借安歌来打个掩护好了）</t>
  </si>
  <si>
    <t>我记得安歌公子提过，吴大小姐这样的美貌女子，着实不应该皱眉。</t>
  </si>
  <si>
    <t>哼哼，我就知道没人能拒绝我的容貌。</t>
  </si>
  <si>
    <t>也罢，这件事告诉你也无妨。</t>
  </si>
  <si>
    <t>阮公子的红颜什么的，我根本不关心，只要能让钱家那位难堪，这算点&lt;c=#db3e63ff&gt;谣言&lt;/c&gt;什么呢？</t>
  </si>
  <si>
    <t>谁叫她明明处处不如我，却还是占尽风头呢？不就仗着自家有钱，还是嫡出么？</t>
  </si>
  <si>
    <t>（这种没来头的嫉妒还真是可怕……）</t>
  </si>
  <si>
    <t>根据情报来到西街，果然看到阮公子刚与一位姑娘分开。</t>
  </si>
  <si>
    <t>（没想到传闻还是真的……这个阮宪果真外面有人了？）</t>
  </si>
  <si>
    <t>不能打草惊蛇，还是先查清楚女方的身份吧。</t>
  </si>
  <si>
    <t>猫儿很快回来，并告知我那个少女去了&lt;c=#db3e63ff&gt;商贸行&lt;/c&gt;的&lt;c=#db3e63ff&gt;海货楚家&lt;/c&gt;。</t>
  </si>
  <si>
    <t>楚家……？我印象中楚家只有一位当家小姐，但楚小姐看着不像是这种人啊。</t>
  </si>
  <si>
    <t>算了，先去楚家看看再说吧。</t>
  </si>
  <si>
    <t>1506</t>
  </si>
  <si>
    <t>这位小哥，请问一下……你家大小姐回来了吗？</t>
  </si>
  <si>
    <t>大小姐？大小姐前几日就外出谈生意了，至今未归京，您怕是来得不巧了。</t>
  </si>
  <si>
    <t>这怎么可能？刚刚明明有人看到有位小姐回了你们楚家后堂！</t>
  </si>
  <si>
    <t>伙计闻言，面上带着些躲闪，支支吾吾的说不出话来，一定有问题！</t>
  </si>
  <si>
    <t>90150605|90150606</t>
  </si>
  <si>
    <t>耐心询问</t>
  </si>
  <si>
    <t>30;1561;10000</t>
  </si>
  <si>
    <t>扬言威胁</t>
  </si>
  <si>
    <t>30;1571;10000</t>
  </si>
  <si>
    <t>这事吧，唉……</t>
  </si>
  <si>
    <t>这……这这这……</t>
  </si>
  <si>
    <t>楚三公子</t>
  </si>
  <si>
    <t>你别为难他了，那个人其实是我。</t>
  </si>
  <si>
    <t>你？那明明是个……</t>
  </si>
  <si>
    <t>那其实&lt;c=#db3e63ff&gt;就是我&lt;/c&gt;……我自幼胆小，若不&lt;c=#db3e63ff&gt;扮作女子的模样&lt;/c&gt;，便不敢外出……</t>
  </si>
  <si>
    <t>（扮成女子的模样外出，可看不出来胆小啊……）</t>
  </si>
  <si>
    <t>阮公子是我的好友，也是少数不会介意我如此装扮的人，没想到反而惹出是非……抱歉。</t>
  </si>
  <si>
    <t>这件事好像到这也没什么好挖掘的了，还是回湖畔钱家找钱大小姐吧。</t>
  </si>
  <si>
    <t>1507</t>
  </si>
  <si>
    <t>钱大小姐此时已经等候多时。</t>
  </si>
  <si>
    <t>如何？可找到证据了？足够让我退婚么？</t>
  </si>
  <si>
    <t>我将收集到的情报一一告知钱大小姐。</t>
  </si>
  <si>
    <t>钱大小姐先是愕然，然后面露失望。</t>
  </si>
  <si>
    <t>我还以为能捏住对方的把柄……算了，下次我一定能找到他的弱点。</t>
  </si>
  <si>
    <t>大小姐好像很不喜欢阮公子？</t>
  </si>
  <si>
    <t>肩不能扛手不能提，又不懂经商的书呆子，我上回不过回敬了一个针对我的小姐，他便觉得我太刻薄。</t>
  </si>
  <si>
    <t>哼……明明嫌弃我是从商人家，却还指着钱家的富贵……</t>
  </si>
  <si>
    <t>这等人，将来便是得了青云路，怕也是个不知感恩的白眼狼。</t>
  </si>
  <si>
    <t>不管怎么说，今天的事总归是辛苦你了，先回去吧。</t>
  </si>
  <si>
    <t>那么，我就先走了。</t>
  </si>
  <si>
    <t>我走出几步，还是忍不住回头看了看她。</t>
  </si>
  <si>
    <t>见到钱大小姐仍旧坐在那，手中握着庚帖，面上看不出悲喜。</t>
  </si>
  <si>
    <t>我蒙面走进定国公府，曾经见过的婢女们都不认识我了。</t>
  </si>
  <si>
    <t>就连眼前给我派任务的卫大总管，也一副公事公办的样子</t>
  </si>
  <si>
    <t>卫安</t>
  </si>
  <si>
    <t>你有没有在听我说？</t>
  </si>
  <si>
    <t>啊？有、有……你说要去查追踪玉蛟龙的&lt;c=#db3e63ff&gt;抢拍者&lt;/c&gt;嘛。</t>
  </si>
  <si>
    <t>鉴于有人在邯城调查玉蛟龙，我们便详细调查了他。</t>
  </si>
  <si>
    <t>根据线报，此人与一个名为&lt;c=#db3e63ff&gt;品夕夕&lt;/c&gt;的商人有来往，在唱卖会前，品夕夕曾偷偷描摹过玉蛟龙的图样。</t>
  </si>
  <si>
    <t>什么？难道在拍卖会出售的玉蛟龙是假的？</t>
  </si>
  <si>
    <t>我家侯爷倒不认为玉蛟龙是假的……</t>
  </si>
  <si>
    <t>你问太多了！</t>
  </si>
  <si>
    <t>追查拍玉者就得从品夕夕入手，速去将&lt;c=#db3e63ff&gt;品夕夕&lt;/c&gt;的行踪查来便是，休得多言！</t>
  </si>
  <si>
    <t>哦……</t>
  </si>
  <si>
    <t>（这个卫安，凶死了……）</t>
  </si>
  <si>
    <t>侍从</t>
  </si>
  <si>
    <t>卫总管。</t>
  </si>
  <si>
    <t>什么事？</t>
  </si>
  <si>
    <t>叽里呱啦叽里呱啦……</t>
  </si>
  <si>
    <t>小侍卫对卫安一阵耳语，便被卫安摇手拂退。</t>
  </si>
  <si>
    <t>刚刚得到线报，品夕夕正在&lt;c=#db3e63ff&gt;东郊张氏茶水铺&lt;/c&gt;打尖。</t>
  </si>
  <si>
    <t>你即刻便动身吧，切莫耽搁。</t>
  </si>
  <si>
    <t>1602|1603</t>
  </si>
  <si>
    <t>卫安为难你了？</t>
  </si>
  <si>
    <t>没有……</t>
  </si>
  <si>
    <t>卫安职责所在，语句强硬在所难免。</t>
  </si>
  <si>
    <t>若还有不明之处，直接来问本侯便是。</t>
  </si>
  <si>
    <t>我要问宁北什么呢？</t>
  </si>
  <si>
    <t>90160206|90160207</t>
  </si>
  <si>
    <t>有个东西请你辨认</t>
  </si>
  <si>
    <t>没什么可问的</t>
  </si>
  <si>
    <t>这个是我在跟踪品夕夕的时候找到的，看起来是一些琐碎的收据。</t>
  </si>
  <si>
    <t>我仔细辨认过，这人在云绣坊也曾下过订，字迹是一样的。</t>
  </si>
  <si>
    <t>但是这里盖章的鼻钮我分辨不出……</t>
  </si>
  <si>
    <t>印章是&lt;c=#db3e63ff&gt;马六甲&lt;/c&gt;文。</t>
  </si>
  <si>
    <t>哦哦，我想起来了，商贸行的确有一家马六甲商铺，这印章是洋文。是那家叫&lt;c=#db3e63ff&gt;苏丹莎&lt;/c&gt;的铺子。</t>
  </si>
  <si>
    <t>既然你有头绪了，便去查吧。</t>
  </si>
  <si>
    <t>我现在没什么要问的，谢谢侯爷。</t>
  </si>
  <si>
    <t>1605</t>
  </si>
  <si>
    <t>找弼马司雇了一匹最快的马，半个多时辰便到了张氏茶水铺。</t>
  </si>
  <si>
    <t>可惜与品夕夕还是堪堪错过，张氏茶水铺只剩老张头在打扫卫生。</t>
  </si>
  <si>
    <t>我不好前去翻垃圾，会被当成奇怪的人的。</t>
  </si>
  <si>
    <t>就靠你们了！</t>
  </si>
  <si>
    <t>90160305</t>
  </si>
  <si>
    <t>猫猫，去帮我找找线索吧。</t>
  </si>
  <si>
    <t>30;1611;10000</t>
  </si>
  <si>
    <t>大小姐，刚刚问过这片山头的巡山小猫，他们说那个口口多去&lt;c=#db3e63ff&gt;湖景街&lt;/c&gt;了</t>
  </si>
  <si>
    <t>是品夕夕啦……</t>
  </si>
  <si>
    <t>老大，在垃圾堆里发现了这个……</t>
  </si>
  <si>
    <t>这是什么……看起来是张&lt;c=#db3e63ff&gt;收据&lt;/c&gt;……</t>
  </si>
  <si>
    <t>这个字迹我认得！他曾在云绣坊也订过一批布料，是叫品夕夕的主顾！</t>
  </si>
  <si>
    <t>是品夕夕没错了！</t>
  </si>
  <si>
    <t>不能再跟丢了，我们赶紧去&lt;c=#db3e63ff&gt;湖景街&lt;/c&gt;吧！</t>
  </si>
  <si>
    <t>老张头</t>
  </si>
  <si>
    <t>小小年纪就得了癔症，跟猫都能谈半天，也是可怜……</t>
  </si>
  <si>
    <t>1604|1609</t>
  </si>
  <si>
    <t>赶到湖景街，这里车水马龙，一时也找不到品夕夕的马车停在哪。</t>
  </si>
  <si>
    <t>瞥见一个熟悉的官差正在巡街，他说不定可以帮我查到呢。</t>
  </si>
  <si>
    <t>钟都头！今日当您巡检吗？</t>
  </si>
  <si>
    <t>钟都头</t>
  </si>
  <si>
    <t>我认识你？</t>
  </si>
  <si>
    <t>（啊，差点忘了自己蒙了面！）</t>
  </si>
  <si>
    <t>您的威名十里八乡都有耳闻！草民知道您又有什么奇怪呢~</t>
  </si>
  <si>
    <t>有话快说。</t>
  </si>
  <si>
    <t>不知道您有没有看到一辆马车，入关登记应该是姓品的雇佣的。</t>
  </si>
  <si>
    <t>我要跟你汇报做什么？</t>
  </si>
  <si>
    <t>呃……怎么回答好呢？</t>
  </si>
  <si>
    <t>90160411</t>
  </si>
  <si>
    <t>想个办法</t>
  </si>
  <si>
    <t>30;1621;10000</t>
  </si>
  <si>
    <t>我是靖远侯派来查案的，还请行个方便。</t>
  </si>
  <si>
    <t>说着，我便在手里微微一亮定国公府的令牌。</t>
  </si>
  <si>
    <t>既是查案，下次应穿戴齐整，这无官无品的，我们也很为难。</t>
  </si>
  <si>
    <t>今天路上马车虽多，进城的却不多，品氏的马车登记是去了&lt;c=#db3e63ff&gt;商贸行&lt;/c&gt;。</t>
  </si>
  <si>
    <t>但是如果你要抓人，必须得来巡防营登记，且不可擅自行动。</t>
  </si>
  <si>
    <t>我不会闹事的，钟都头放心吧。</t>
  </si>
  <si>
    <t>1606|1607|1608</t>
  </si>
  <si>
    <t>苏丹莎这家店，是京城里有名的南洋商铺。有许多南洋的商品在这里都能找到。</t>
  </si>
  <si>
    <t>店长是个马六甲商贾，名叫苏拉，是个颇有手段的生意人。</t>
  </si>
  <si>
    <t>老板，请问有没有一位姓品的先生来找过你呀？</t>
  </si>
  <si>
    <t>苏拉</t>
  </si>
  <si>
    <t>可以有，也可以没有~</t>
  </si>
  <si>
    <t>这是什么意思呀？</t>
  </si>
  <si>
    <t>你有多少意思，我就多有意思咯~</t>
  </si>
  <si>
    <t>（这人……学的汉话都用来绕弯子了……）</t>
  </si>
  <si>
    <t>我怎么回应呢？</t>
  </si>
  <si>
    <t>90160509|90160510</t>
  </si>
  <si>
    <t>搬出宁北的名头</t>
  </si>
  <si>
    <t>努力周旋</t>
  </si>
  <si>
    <t>30;1631;10000</t>
  </si>
  <si>
    <t>原来是侯爷的贵客，您早说呀~</t>
  </si>
  <si>
    <t>姑娘既然这么上道，那我也不好再瞒你了。</t>
  </si>
  <si>
    <t>（苏老板讲话真的不像蕃人……）</t>
  </si>
  <si>
    <t>这位品夕夕在我这里寄售了一块玉佩，但是刚刚已经被人买走了。</t>
  </si>
  <si>
    <t>是什么样的玉佩呢？</t>
  </si>
  <si>
    <t>样式也是满奇特的，这是&lt;c=#db3e63ff&gt;玉佩的画像&lt;/c&gt;。</t>
  </si>
  <si>
    <t>这是……&lt;c=#db3e63ff&gt;大闸蟹&lt;/c&gt;？</t>
  </si>
  <si>
    <t>可爱吧，我也没卖过这样可爱的玩意儿，刚上架就被买走了。</t>
  </si>
  <si>
    <t>什么人买走的呢？</t>
  </si>
  <si>
    <t>是&lt;c=#db3e63ff&gt;海货楚记&lt;/c&gt;家的二公子，您若想要，可以找他匀匀。</t>
  </si>
  <si>
    <t>（明显假货啊……楚二买这玩意干什么……）</t>
  </si>
  <si>
    <t>这家玉器店在商贸行算是家大店。里面门道众多，要卖一些来路不明的东西，这里是不二选择。</t>
  </si>
  <si>
    <t>掌柜的在吗？</t>
  </si>
  <si>
    <t>不在。</t>
  </si>
  <si>
    <t>呃……那你有没有看到……</t>
  </si>
  <si>
    <t>没有看到。</t>
  </si>
  <si>
    <t>（好难聊啊这个小二！）</t>
  </si>
  <si>
    <t>90160608</t>
  </si>
  <si>
    <t>吸引他的注意</t>
  </si>
  <si>
    <t>30;1641;10000</t>
  </si>
  <si>
    <t>那个姓品的来找我们代售了块玉佩，我还没接到手，就被买走了。</t>
  </si>
  <si>
    <t>这就是那玩意的&lt;c=#db3e63ff&gt;画像&lt;/c&gt;，也没多少有意思，怎么就这么招人喜欢呢？</t>
  </si>
  <si>
    <t>这是……玉质的&lt;c=#db3e63ff&gt;海蛤蜊&lt;/c&gt;？</t>
  </si>
  <si>
    <t>管他海什么……一文钱佣金都没赚到，晦气。</t>
  </si>
  <si>
    <t>是什么人买走的呢？</t>
  </si>
  <si>
    <t>楚二公子嘛，兴许是放家里应景吧，他家不是卖海货的么。</t>
  </si>
  <si>
    <t>最近这里新办了个古董鉴赏会，比较小型，虽不算特别大型的鉴宝会，也算有不少人围观。</t>
  </si>
  <si>
    <t>要想卖个好价钱，想必这里也是个好去处。</t>
  </si>
  <si>
    <t>门口的队伍有些长，再排下去可能就要耽误事了……</t>
  </si>
  <si>
    <t>我该怎么办呢？</t>
  </si>
  <si>
    <t>90160705|90160706</t>
  </si>
  <si>
    <t>伪装成找猫溜进去</t>
  </si>
  <si>
    <t>30;1651;10000</t>
  </si>
  <si>
    <t>找管事的商量商量</t>
  </si>
  <si>
    <t>30;1661;10000</t>
  </si>
  <si>
    <t>呼，托猫猫的福，总算是进来了。</t>
  </si>
  <si>
    <t>太好了，终于放我进来了。</t>
  </si>
  <si>
    <t>前面就是登记处了吧。</t>
  </si>
  <si>
    <t>小哥，请问有没有个姓品的客人在您这里登记……</t>
  </si>
  <si>
    <t>登记官</t>
  </si>
  <si>
    <t>客官您来晚了，那个&lt;c=#db3e63ff&gt;玉海带&lt;/c&gt;已经被人买走了。</t>
  </si>
  <si>
    <t>玉海带！？</t>
  </si>
  <si>
    <t>您问的不是这个？</t>
  </si>
  <si>
    <t>今天来登记的姓姚的客人就这么一位，如果不是他，那可就没别人了。</t>
  </si>
  <si>
    <t>请问一下是谁买走的呢？</t>
  </si>
  <si>
    <t>就是&lt;c=#db3e63ff&gt;楚记的二公子&lt;/c&gt;，家里有钱，当然想买什么买什么了。</t>
  </si>
  <si>
    <t>不过您没买到也不用遗憾，今天新到了一袋战国的银瓜子您不掌掌眼？</t>
  </si>
  <si>
    <t>楚二公子，听说你最近在收些玉器玩意？</t>
  </si>
  <si>
    <t>哪……哪有……你听谁说的，有什么证据！</t>
  </si>
  <si>
    <t>楚二公子要证据，我不妨给他些证据？</t>
  </si>
  <si>
    <t>90160804|90160805</t>
  </si>
  <si>
    <t>拿出2张以上的玉佩画像</t>
  </si>
  <si>
    <t>我找找再来</t>
  </si>
  <si>
    <t>楚公子，你瞧瞧这是不是你买的玉佩画像？</t>
  </si>
  <si>
    <t>哎，这事你可不能告诉别人。</t>
  </si>
  <si>
    <t>我就是好奇而已，不会告诉别人的啦。</t>
  </si>
  <si>
    <t>之前我在邯城参加了一场鉴宝会，好家伙那阵仗！</t>
  </si>
  <si>
    <t>五万两拍了一块玉泥鳅呢！什么玉佩能值五万两！</t>
  </si>
  <si>
    <t>一开始还想拼一把，可这价越加越高，我后来竟再没叫上价！</t>
  </si>
  <si>
    <t>有个神秘人啊，一把五万两就拍走了呢！</t>
  </si>
  <si>
    <t>（都想来跟我抬价，害我最后要付五万两……）</t>
  </si>
  <si>
    <t>不过拦不住本公子的神机妙算，会后我立刻就找了品夕夕，问了细节。</t>
  </si>
  <si>
    <t>他告诉本公子，这玉泥鳅跟其他玉佩，一共四件是一套，若是集齐四个，便可以卖出更高的价格！</t>
  </si>
  <si>
    <t>（不见得吧……）</t>
  </si>
  <si>
    <t>家姐一直掌着家里的生意不放，我这次低价买入这么一批玉器。</t>
  </si>
  <si>
    <t>我只消在下次将那块玉泥鳅买回来，就能凑齐一套，高价卖出！</t>
  </si>
  <si>
    <t>这便是大大地给我楚家长脸了呀！</t>
  </si>
  <si>
    <t>家姐定再也不敢小瞧我了！</t>
  </si>
  <si>
    <t>（原来品夕夕竟是这样骗人！）</t>
  </si>
  <si>
    <t>（这些玉佩手艺拙劣，明显是最近新造的……）</t>
  </si>
  <si>
    <t>（这事应该可以结束了，我这就提交委托吧。）</t>
  </si>
  <si>
    <t>2张以上的&lt;c=#db3e63ff&gt;玉佩画像&lt;/c&gt;才有说服力，我找找再来吧。</t>
  </si>
  <si>
    <t>又又，嗷嗷，今天辛苦你们啦~</t>
  </si>
  <si>
    <t>大小姐，我还很有精神呢！完全不会辛苦！</t>
  </si>
  <si>
    <t>老大……我好累哦……</t>
  </si>
  <si>
    <t>哈哈你们今天都很乖，帮我找到了线索。</t>
  </si>
  <si>
    <t>就请你们去吃……</t>
  </si>
  <si>
    <t>什么什么？</t>
  </si>
  <si>
    <t>吃……</t>
  </si>
  <si>
    <t>吃烧鸡怎么样？</t>
  </si>
  <si>
    <t>耶！</t>
  </si>
  <si>
    <t>老大最好了……</t>
  </si>
  <si>
    <t>小二小二，请问今天有烧鸡卖吗？</t>
  </si>
  <si>
    <t>姑娘，您来得不巧，这烧鸡又没了</t>
  </si>
  <si>
    <t>这可怎么办呀……</t>
  </si>
  <si>
    <t>90160914|90160915</t>
  </si>
  <si>
    <t>请小二帮忙想办法</t>
  </si>
  <si>
    <t>30;1671;10000</t>
  </si>
  <si>
    <t>用猫讨好小二</t>
  </si>
  <si>
    <t>30;1681;10000</t>
  </si>
  <si>
    <t>也不难也不难，我从员工餐里搞一只给你就行了。</t>
  </si>
  <si>
    <t>他们好可爱啊，天哪，这只橘猫口水都流出来了。</t>
  </si>
  <si>
    <t>我这就帮你打包！</t>
  </si>
  <si>
    <t>谢谢小二哥了~</t>
  </si>
  <si>
    <t>1411</t>
  </si>
  <si>
    <t>1421</t>
  </si>
  <si>
    <t>1511</t>
  </si>
  <si>
    <t>1521</t>
  </si>
  <si>
    <t>1531</t>
  </si>
  <si>
    <t>1541</t>
  </si>
  <si>
    <t>1551</t>
  </si>
  <si>
    <t>1561</t>
  </si>
  <si>
    <t>1571</t>
  </si>
  <si>
    <t>1611</t>
  </si>
  <si>
    <t>1621</t>
  </si>
  <si>
    <t>1631</t>
  </si>
  <si>
    <t>1641</t>
  </si>
  <si>
    <t>1651</t>
  </si>
  <si>
    <t>1661</t>
  </si>
  <si>
    <t>1671</t>
  </si>
  <si>
    <t>1681</t>
  </si>
  <si>
    <t>集中精神，应对挑战</t>
    <phoneticPr fontId="32" type="noConversion"/>
  </si>
  <si>
    <t>鹦鹉小玉</t>
  </si>
  <si>
    <t>丢鹦鹉一事与失窃案似乎有关</t>
  </si>
  <si>
    <t>人员出入</t>
  </si>
  <si>
    <t>那天出入房子的只有瑶琴和小春，还有安歌</t>
  </si>
  <si>
    <t>小春的证词</t>
  </si>
  <si>
    <t>她指证黄龟公也进过瑶琴的房间</t>
  </si>
  <si>
    <t>“冬”的痕迹</t>
  </si>
  <si>
    <t>我在黄龟公房间的女人物品上发现了一个隐秘的“冬”字。</t>
  </si>
  <si>
    <t>宁北的指点</t>
  </si>
  <si>
    <t>宁北指点我去苏丹莎查探</t>
  </si>
  <si>
    <t>品夕夕的收据</t>
  </si>
  <si>
    <t>品夕夕托人打造了一些玉器的收据凭证</t>
  </si>
  <si>
    <t>大闸蟹玉佩画像</t>
  </si>
  <si>
    <t>大闸蟹形状的玉佩的画像</t>
  </si>
  <si>
    <t>海蛤蜊玉佩画像</t>
  </si>
  <si>
    <t>海蛤蜊形状的玉佩的画像</t>
  </si>
  <si>
    <t>海带玉佩画像</t>
  </si>
  <si>
    <t>海带形状的玉佩的画像</t>
  </si>
  <si>
    <t>吴府</t>
  </si>
  <si>
    <t>阮公子</t>
  </si>
  <si>
    <t>海货楚家</t>
  </si>
  <si>
    <t>茶水铺</t>
  </si>
  <si>
    <t>苏丹莎</t>
  </si>
  <si>
    <t>玉器店</t>
  </si>
  <si>
    <t>鉴宝会</t>
  </si>
  <si>
    <t>海货楚记</t>
  </si>
  <si>
    <t>花街巧遇安歌</t>
  </si>
  <si>
    <t>瑶琴姑娘向我讲述了案发经过</t>
  </si>
  <si>
    <t>调查可疑人员行踪，发现黄龟公也有嫌疑</t>
  </si>
  <si>
    <t>黄龟公的房间发现了奇怪的证据</t>
  </si>
  <si>
    <t>水落石出</t>
  </si>
  <si>
    <t>瑶琴姑娘高拿重放，处置嫌疑人</t>
  </si>
  <si>
    <t>钱大小姐因吴大小姐的传言，疑心未婚夫与其他女子有染</t>
  </si>
  <si>
    <t>吴府的丫鬟闪烁其词，询问得知吴大小姐现下在商贸行</t>
  </si>
  <si>
    <t>派出猫儿在商贸行打听消息</t>
  </si>
  <si>
    <t>吴大小姐承认传言之事为打击钱大小姐，但红颜之事尚未解决……</t>
  </si>
  <si>
    <t>阮公子与未知名姑娘果真有染？</t>
  </si>
  <si>
    <t>楚家三公子竟是阮公子的绯闻红颜！</t>
  </si>
  <si>
    <t>钱大小姐得知真相，百味杂陈。</t>
  </si>
  <si>
    <t>从卫安处接到委托，探索品夕夕的行踪</t>
  </si>
  <si>
    <t>多亏宁北的帮忙，去苏丹莎的打探想必能轻松许多。</t>
  </si>
  <si>
    <t>老张头的茶水摊让我找到了重要线索，看来品夕夕是去湖景街了。</t>
  </si>
  <si>
    <t>钟都头的帮忙非常有用，看来品夕夕的生意周转就在这商贸行。</t>
  </si>
  <si>
    <t>苏拉给我的玉器画像，看起来指引了它的买家。</t>
  </si>
  <si>
    <t>玉器店给的画像指引了它的买家</t>
  </si>
  <si>
    <t>鉴宝会给的画像指引了它的买家。</t>
  </si>
  <si>
    <t>看来品夕夕并没什么大阴谋，不过是针对性地骗了个卖海货的败家子罢了。</t>
  </si>
  <si>
    <t>嗷嗷和又又这次探索有功，请他们吃个烧鸡~</t>
  </si>
  <si>
    <t>查明品夕夕的最终目的|与马六甲商人周旋|查清此事全貌</t>
  </si>
  <si>
    <t>2;40077</t>
  </si>
  <si>
    <t>跟踪品夕夕</t>
  </si>
  <si>
    <t>宁北查到品夕夕其人行事诡秘，需要了解他秘密留下玉蛟龙画像所为何事。</t>
  </si>
  <si>
    <t>了解花婆婆与白沧初识往事|替斑斑拿到渡灵草|查清此事全貌</t>
  </si>
  <si>
    <t>花婆婆的往事（中）</t>
  </si>
  <si>
    <t>花婆婆店铺昨夜有人闯入，花婆婆不欲声张。请协助查明真相。</t>
  </si>
  <si>
    <t>查清三小姐对猫的态度|找大夫了解三小姐的病|查清此事全貌</t>
  </si>
  <si>
    <t>3;1;李大小姐</t>
  </si>
  <si>
    <t>三小姐与猫</t>
  </si>
  <si>
    <t>周家三小姐从不亲近猫，也不得猫咪喜欢，但却总说喜欢猫，李家大小姐希望得知其中秘密</t>
  </si>
  <si>
    <t>查出孙二少爷昏迷真相|查出泼油的人|查清此事全貌</t>
  </si>
  <si>
    <t>3;1;孙府</t>
  </si>
  <si>
    <t>孙二少爷昏迷了</t>
  </si>
  <si>
    <t>孙二少爷在墙头下，被不明之物砸至昏厥，请求查明真相。</t>
  </si>
  <si>
    <t>查出望火队的调查信息|调查胡椒走私真相|查清此事全貌</t>
  </si>
  <si>
    <t>3;1;匿名顾客</t>
  </si>
  <si>
    <t>海面捞失火事件</t>
  </si>
  <si>
    <t>匿名顾客调查海面捞失火背后的真相</t>
  </si>
  <si>
    <t>90170101</t>
  </si>
  <si>
    <t>17</t>
  </si>
  <si>
    <t>90170201</t>
  </si>
  <si>
    <t>90170301</t>
  </si>
  <si>
    <t>90170401</t>
  </si>
  <si>
    <t>1;165</t>
  </si>
  <si>
    <t>90170501</t>
  </si>
  <si>
    <t>90170601</t>
  </si>
  <si>
    <t>90180101</t>
  </si>
  <si>
    <t>18</t>
  </si>
  <si>
    <t>1;166</t>
  </si>
  <si>
    <t>90180201</t>
  </si>
  <si>
    <t>1;167</t>
  </si>
  <si>
    <t>90180301</t>
  </si>
  <si>
    <t>1;168</t>
  </si>
  <si>
    <t>90180401</t>
  </si>
  <si>
    <t>1;169</t>
  </si>
  <si>
    <t>90180501</t>
  </si>
  <si>
    <t>1;170</t>
  </si>
  <si>
    <t>90180601</t>
  </si>
  <si>
    <t>1;171</t>
  </si>
  <si>
    <t>90180701</t>
  </si>
  <si>
    <t>90180801</t>
  </si>
  <si>
    <t>1;172</t>
  </si>
  <si>
    <t>90190101</t>
  </si>
  <si>
    <t>19</t>
  </si>
  <si>
    <t>1;173</t>
  </si>
  <si>
    <t>90190201</t>
  </si>
  <si>
    <t>2;5</t>
  </si>
  <si>
    <t>90190301</t>
  </si>
  <si>
    <t>90190401</t>
  </si>
  <si>
    <t>90190501</t>
  </si>
  <si>
    <t>90190601</t>
  </si>
  <si>
    <t>90190701</t>
  </si>
  <si>
    <t>1;174</t>
  </si>
  <si>
    <t>90200101</t>
  </si>
  <si>
    <t>20</t>
  </si>
  <si>
    <t>1;175</t>
  </si>
  <si>
    <t>90200201</t>
  </si>
  <si>
    <t>1;176</t>
  </si>
  <si>
    <t>90200301</t>
  </si>
  <si>
    <t>1;177</t>
  </si>
  <si>
    <t>90200401</t>
  </si>
  <si>
    <t>90200501</t>
  </si>
  <si>
    <t>90200601</t>
  </si>
  <si>
    <t>拿到委托，我便心下一惊。</t>
  </si>
  <si>
    <t>“近日连续有不明人士潜入人间慢花店，特此发布委托，请求查明此人身份。”</t>
  </si>
  <si>
    <t>（第一次接花婆婆的花语茶委托时，就发现有奇怪的黑衣人在店附近徘徊。）</t>
  </si>
  <si>
    <t>（莫非……正是那人？）</t>
  </si>
  <si>
    <t>我收拾好任务资料，走进人间慢。婆婆正在整理一盆草，见到我露出和蔼的笑容。</t>
  </si>
  <si>
    <t>小姑娘，又是你啊。还真是有缘分呢。</t>
  </si>
  <si>
    <t>只是……这任务只怕太棘手，累着你不说，还让你白跑一趟就不好了……</t>
  </si>
  <si>
    <t>婆婆露出担心的神色。</t>
  </si>
  <si>
    <t>哎呀，婆婆还不相信我吗？之前的委托不都帮你好好的完成了嘛。</t>
  </si>
  <si>
    <t>婆婆有什么线索，不妨先说给我听听。其他的事情，交给我就好啦。</t>
  </si>
  <si>
    <t>你这孩子，真是努力啊……行罢，你坐下，我好好跟你说。</t>
  </si>
  <si>
    <t>其实，店里夜间有人偷偷溜进来，已经不是第一次啦。</t>
  </si>
  <si>
    <t>什么？太危险了婆婆！那你怎么没有报官呢？把那人抓起来啊！</t>
  </si>
  <si>
    <t>花婆婆笑了。</t>
  </si>
  <si>
    <t>我店内只有花花草草，又不值钱，若真是坏人，还不如去隔壁的金器店呢。</t>
  </si>
  <si>
    <t>那人第一次来碰倒了几盆花。老身以为是猫儿或流浪的人，便在店里留了食物和碎银子。</t>
  </si>
  <si>
    <t>后来那人的确再来过几次，可银子和食物都没有动，老身也就随他去了。</t>
  </si>
  <si>
    <t>那这次，婆婆为何又想查了？</t>
  </si>
  <si>
    <t>是因为……我总觉得，那人和我一位故人有关。</t>
  </si>
  <si>
    <t>花婆婆望向她捧着的那盆草。草叶微微透明，如剔透的玉石一般，甚是好看。</t>
  </si>
  <si>
    <t>这草已经快死了，但昨晚那人来过后，又活了。</t>
  </si>
  <si>
    <t>婆婆，这是什么草啊？</t>
  </si>
  <si>
    <t>老身也不知道名字，只知道故人告诉我，此草可安抚逝者的灵魂。</t>
  </si>
  <si>
    <t>婆婆叹了口气，眼神疲惫。似乎昨晚发现有人后便一夜没睡。</t>
  </si>
  <si>
    <t>我眼角余光却瞥见地面有一撮红色的泥土。</t>
  </si>
  <si>
    <t>（婆婆店里花土都是黑色啊……一定是闯的人留下的！取一些先带着好了！）</t>
  </si>
  <si>
    <t>29;105056;1</t>
  </si>
  <si>
    <t>1702</t>
  </si>
  <si>
    <t>离开了人间慢，我捏紧了装有红色泥土的手帕。</t>
  </si>
  <si>
    <t>（婆婆看上去一晚没睡，有什么问题还是晚点问她好了。）</t>
  </si>
  <si>
    <t>不如先调查一下店里的泥土吧。</t>
  </si>
  <si>
    <t>90170204|90170205</t>
  </si>
  <si>
    <t>30;1711;10000</t>
  </si>
  <si>
    <t>仔细思索</t>
  </si>
  <si>
    <t>我左右寻找着，终于发现角落有一只小猫正怯怯地看着我。</t>
  </si>
  <si>
    <t>咦，这不是斑斑么！你能帮我查查这泥土吗？</t>
  </si>
  <si>
    <t>是，是你呀。当，当然没问题，我帮你闻闻吧。</t>
  </si>
  <si>
    <t>（尚京城内的土质多干燥松软，这泥土却色朱而黏。）</t>
  </si>
  <si>
    <t>（看来是郊外……可郊外实在太大了啊。）</t>
  </si>
  <si>
    <t>（还是问问猫儿知不知道泥土的出处吧。）</t>
  </si>
  <si>
    <t>斑斑闻了闻红色泥土，抖了抖耳朵尖尖。</t>
  </si>
  <si>
    <t>我知道了喵！我闻过这个味道！这是&lt;c=#db3e63ff&gt;渡灵草&lt;/c&gt;！</t>
  </si>
  <si>
    <t>叶子像玉一样可好看了！死去的猫儿带着，便能去一个叫喵星的美好地方。</t>
  </si>
  <si>
    <t>（&lt;c=#db3e63ff&gt;渡灵草&lt;/c&gt;？有些耳熟……）喵星是什么？</t>
  </si>
  <si>
    <t>传说喵星是死去的好猫儿会去的地方，那里有好多好吃的，一年四季暖暖的。</t>
  </si>
  <si>
    <t>我一直想找一根&lt;c=#db3e63ff&gt;渡灵草&lt;/c&gt;给……给我的麻麻，让她能去喵星。</t>
  </si>
  <si>
    <t>大猫们都笑话我，说没有喵星，我的麻麻是冻死了。你说有没有喵星啊？</t>
  </si>
  <si>
    <t>斑斑抬头看着我，眼泪盈满眼眶。</t>
  </si>
  <si>
    <t>当然有了。你看，猫儿的眼睛，就像天上的星星一样明亮。</t>
  </si>
  <si>
    <t>我猜，那一定是来自喵星的光吧！</t>
  </si>
  <si>
    <t>嘿嘿！真、真的吗？我就知道！</t>
  </si>
  <si>
    <t>斑斑看上去开心起来了。它凑近泥土再嗅了嗅。</t>
  </si>
  <si>
    <t>这土似乎是城外的土！在&lt;c=#db3e63ff&gt;远郊&lt;/c&gt;那边就有呢。</t>
  </si>
  <si>
    <t>多谢斑斑！你帮了大忙啦。</t>
  </si>
  <si>
    <t>1703|1705</t>
  </si>
  <si>
    <t>姑娘来了，可是有什么事情找老身？</t>
  </si>
  <si>
    <t>花婆婆一脸慈祥地看着我。</t>
  </si>
  <si>
    <t>90170303|90170304|90170305</t>
  </si>
  <si>
    <t>询问渡灵草</t>
  </si>
  <si>
    <t>拿出旧香囊</t>
  </si>
  <si>
    <t>7;105059;1</t>
  </si>
  <si>
    <t>询问旧事</t>
  </si>
  <si>
    <t>婆婆，我问到啦，这盆草是叫&lt;c=#db3e63ff&gt;渡灵草&lt;/c&gt;呢。婆婆是从哪里弄到的？</t>
  </si>
  <si>
    <t>这是那故人送的草种。他说，如果这草发芽了，便是他回来了。</t>
  </si>
  <si>
    <t>这三十年来，草种都没有动静，老身都不抱希望了，却没想到还真能发芽。</t>
  </si>
  <si>
    <t>姑娘喜欢的话，便送一束给姑娘吧。</t>
  </si>
  <si>
    <t>29;105057;1</t>
  </si>
  <si>
    <t>……当真是……</t>
  </si>
  <si>
    <t>给你香囊的人，是什么样子？</t>
  </si>
  <si>
    <t>婆婆，他名为白沧，一头银发，以黑布覆眼……</t>
  </si>
  <si>
    <t>婆婆，闯入你店内的人名为白沧，一头银发，以黑布覆眼……</t>
  </si>
  <si>
    <t>我向婆婆细细描述了白沧的样子。</t>
  </si>
  <si>
    <t>二十多岁的年轻男子……姓白，一头银发。是了，定然是我那故人之子。</t>
  </si>
  <si>
    <t>可是婆婆，白沧说他就是那位故人，而且他说你有恩于他……</t>
  </si>
  <si>
    <t>傻孩子，我认识的那位故人与我年龄相仿，怎会是个二十多岁的男子呢。</t>
  </si>
  <si>
    <t>老身猜，是故人托后辈来照应我，这才来店里替我照看花草。</t>
  </si>
  <si>
    <t>（看来婆婆是不会信了……长生不老之人，只怕真没有人会信吧。）</t>
  </si>
  <si>
    <t>那……婆婆能否跟我讲讲那位故人的事情吗？</t>
  </si>
  <si>
    <t>婆婆笑了，眼中似亮起了光。</t>
  </si>
  <si>
    <t>与白君初见那日，老身正在踏青。却见不远处，竟起了一场诡异的山火。</t>
  </si>
  <si>
    <t>山火似悄声而起，却也不扩散，远远地烧得诡异，老身便前去查看。</t>
  </si>
  <si>
    <t>赶到时，却正见到白君一头银发，如九天神祗一般，浴火而出……</t>
  </si>
  <si>
    <t>那火燃得奇怪，熄得也奇怪。</t>
  </si>
  <si>
    <t>白君倒在我面前的时候，那么大的火，竟瞬间无声息地便没了。</t>
  </si>
  <si>
    <t>姑娘可是不信？若当时不是焦土和热气，老身也只当自己在做梦呢。</t>
  </si>
  <si>
    <t>白君那时候身受重伤，眼睛也坏了。老身便将他搬到山内竹屋照顾了些日子。</t>
  </si>
  <si>
    <t>再然后呢？</t>
  </si>
  <si>
    <t>再然后，有一天我回到竹屋，发现他不告而别，走啦。</t>
  </si>
  <si>
    <t>这一别……便再没见过了。</t>
  </si>
  <si>
    <t>1704|1706</t>
  </si>
  <si>
    <t>我来到探事轩，公子歇正好在。</t>
  </si>
  <si>
    <t>姑娘可是来提交委托的？</t>
  </si>
  <si>
    <t>要与公子歇聊什么呢？</t>
  </si>
  <si>
    <t>90170404</t>
  </si>
  <si>
    <t>说起白沧与花婆婆的往事</t>
  </si>
  <si>
    <t>7;105058;1</t>
  </si>
  <si>
    <t>委托的内容我查清了，闯入花婆婆店里的人正是白沧。</t>
  </si>
  <si>
    <t>哦？查明了委托不是好事吗，为何姑娘还闷闷不乐呢？</t>
  </si>
  <si>
    <t>我告诉花婆婆，白沧正是她那故人，可她不信……</t>
  </si>
  <si>
    <t>你只管提交正确的信息，至于委托人信不信，不影响委托评分。</t>
  </si>
  <si>
    <t>我不是在意这个，我是不忍心看花婆婆不知心上人就在身边……</t>
  </si>
  <si>
    <t>那你也不信我了？</t>
  </si>
  <si>
    <t>你在探事轩这么久，可曾知道一些相关的传闻？</t>
  </si>
  <si>
    <t>自然是有的。比如说……传说中的上古即墨一族。</t>
  </si>
  <si>
    <t>传闻这个族群起源于世界形成之初，寿命倒是极长，三百年？五百年？</t>
  </si>
  <si>
    <t>只是都是些找不到起源的碎片情报，无法证实，便只能当传闻听听。</t>
  </si>
  <si>
    <t>可白沧他确实存在啊！三十年来容貌没有变化，那不就是证据么？</t>
  </si>
  <si>
    <t>皆为他口述，可并没有真凭实据哦。</t>
  </si>
  <si>
    <t>歇便等着那一天。</t>
  </si>
  <si>
    <t>我赶到远郊时，已经接近傍晚时分。周遭一片阴森森。</t>
  </si>
  <si>
    <t>我曾说过，你不该来此处。</t>
  </si>
  <si>
    <t>我正拿着手帕细细比对脚下泥土，这声音来的突兀，只吓得我差点倒栽葱插进地里。</t>
  </si>
  <si>
    <t>哇啊啊啊啊啊啊！白沧你吓死我了！</t>
  </si>
  <si>
    <t>白沧却面带无奈地叹了口气，我深呼吸好几次，好不容易才冷静下来，</t>
  </si>
  <si>
    <t>我决定直接开口问白沧</t>
  </si>
  <si>
    <t>90170507|90170508|90170509</t>
  </si>
  <si>
    <t>潜入店铺之事</t>
  </si>
  <si>
    <t>30;1721;10000</t>
  </si>
  <si>
    <t>花婆婆的往事</t>
  </si>
  <si>
    <t>30;1731;10000</t>
  </si>
  <si>
    <t>渡灵草</t>
  </si>
  <si>
    <t>30;1741;10000</t>
  </si>
  <si>
    <t>白沧显然不愿回答，可还是说了。</t>
  </si>
  <si>
    <t>我去照顾花草。</t>
  </si>
  <si>
    <t>29;105058;1</t>
  </si>
  <si>
    <t>没别的了？</t>
  </si>
  <si>
    <t>她是故人。有恩于我。</t>
  </si>
  <si>
    <t>然后呢？</t>
  </si>
  <si>
    <t>白沧抿了抿嘴，不再说话。</t>
  </si>
  <si>
    <t>听说那&lt;c=#db3e63ff&gt;渡灵草&lt;/c&gt;能超度亡魂，和你的渡灵符是一个功效？</t>
  </si>
  <si>
    <t>渡灵符乃用渡灵草汁液所画。</t>
  </si>
  <si>
    <t>那……渡灵草究竟为何物？</t>
  </si>
  <si>
    <t>……不该存于现世之物。只是我没想到，她竟能种出来。</t>
  </si>
  <si>
    <t>你问太多了。</t>
  </si>
  <si>
    <t>若是麻烦，我不再去她店内便是。</t>
  </si>
  <si>
    <t>此物，替我还她。</t>
  </si>
  <si>
    <t>29;105059;1</t>
  </si>
  <si>
    <t>白沧递给了我一个极旧的&lt;c=#db3e63ff&gt;香囊&lt;/c&gt;，上面的丝线都开始发黄了。</t>
  </si>
  <si>
    <t>西街人来人往，我找了半天，终于看到了斑斑。</t>
  </si>
  <si>
    <t>斑斑，看这里看这里！</t>
  </si>
  <si>
    <t>90170603</t>
  </si>
  <si>
    <t>拿出渡灵草</t>
  </si>
  <si>
    <t>7;105057;1</t>
  </si>
  <si>
    <t>啊，啊，这是……渡灵草！</t>
  </si>
  <si>
    <t>给你带来啦，你的麻麻可以去喵星了！</t>
  </si>
  <si>
    <t>太，太好了，谢谢你……</t>
  </si>
  <si>
    <t>只是我不知道，这个要怎么用？</t>
  </si>
  <si>
    <t>我用给你看！</t>
  </si>
  <si>
    <t>斑斑将猫爪按住渡灵草的叶子，然后闭上眼睛开始发出咕噜咕噜的声音。</t>
  </si>
  <si>
    <t>不多时，渡灵草的叶子开始发亮，而后慢慢变暗，最终变成了普通的草叶子。</t>
  </si>
  <si>
    <t>麻麻……我好想你……</t>
  </si>
  <si>
    <t>斑斑仍然闭着眼，但却抽着鼻子。</t>
  </si>
  <si>
    <t>嗯嗯……麻麻再见，我会吃各种好吃的，遇到各种好玩的事情……</t>
  </si>
  <si>
    <t>我会当好猫咪，然后去喵星找你！</t>
  </si>
  <si>
    <t>斑斑睁开眼，蹭了蹭我的手。</t>
  </si>
  <si>
    <t>谢谢你！</t>
  </si>
  <si>
    <t>原来是你接了&lt;c=#db3e63ff&gt;李家&lt;/c&gt;的委托。</t>
  </si>
  <si>
    <t>见人之前先摸清底细倒是能理解，可是为什么要调查周家三小姐究竟喜不喜欢猫这么奇怪的事……</t>
  </si>
  <si>
    <t>现在临近&lt;c=#db3e63ff&gt;贵女茶会&lt;/c&gt;了，各府千金之间这种明里暗里的竞争总是免不了。</t>
  </si>
  <si>
    <t>你切记，调查过程中，&lt;c=#db3e63ff&gt;不可向他人透漏所查之事&lt;/c&gt;，否则我也帮不了你。</t>
  </si>
  <si>
    <t>放心好了，去年走漏风声的情报阁怎么倒闭的，我还记着呢。</t>
  </si>
  <si>
    <t>记得便好，趁天色尚早，你且去&lt;c=#db3e63ff&gt;北桥弄&lt;/c&gt;的&lt;c=#db3e63ff&gt;周家&lt;/c&gt;探一探吧。</t>
  </si>
  <si>
    <t>1802</t>
  </si>
  <si>
    <t>&lt;c=#db3e63ff&gt;北桥弄&lt;/c&gt;一带居住的净是些王侯贵戚，门户森严难以进入。</t>
  </si>
  <si>
    <t>守卫</t>
  </si>
  <si>
    <t>什么人？周府可不是平民随意来往的地方。</t>
  </si>
  <si>
    <t>得想个办法混进去：</t>
  </si>
  <si>
    <t>90180204|90180205</t>
  </si>
  <si>
    <t>翻墙进去</t>
  </si>
  <si>
    <t>30;1811;10000</t>
  </si>
  <si>
    <t>引开侍卫</t>
  </si>
  <si>
    <t>30;1821;10000</t>
  </si>
  <si>
    <t>看着守卫森严，还不是轻易就让我给钻了空子。</t>
  </si>
  <si>
    <t>府内的巡视不能小觑，万一被抓到，麻烦就大了。</t>
  </si>
  <si>
    <t>三小姐的&lt;c=#db3e63ff&gt;闺房&lt;/c&gt;在周府的&lt;c=#db3e63ff&gt;南面&lt;/c&gt;，猫咪喜欢出没的&lt;c=#db3e63ff&gt;花园&lt;/c&gt;在&lt;c=#db3e63ff&gt;东面&lt;/c&gt;，只能分别进行调查了。</t>
  </si>
  <si>
    <t>赶紧想想清楚调查府里的什么地方吧。</t>
  </si>
  <si>
    <t>1803|1804</t>
  </si>
  <si>
    <t>我一路躲闪着府内的下人，好不容易才得以溜进&lt;c=#db3e63ff&gt;东边的花园&lt;/c&gt;。</t>
  </si>
  <si>
    <t>咦，那个鬼鬼祟祟的人影……怎么好像是周家三小姐？</t>
  </si>
  <si>
    <t>自家花园还躲躲藏藏，有猫腻……</t>
  </si>
  <si>
    <t>距离太远了，如果可以凑近一些就好了</t>
  </si>
  <si>
    <t>90180305</t>
  </si>
  <si>
    <t>1805</t>
  </si>
  <si>
    <t>从旁侧悄悄靠近</t>
  </si>
  <si>
    <t>30;1831;10000</t>
  </si>
  <si>
    <t>我从另一侧悄悄靠近，耳边传来一阵不易察觉的花草摩擦声。</t>
  </si>
  <si>
    <t>家猫</t>
  </si>
  <si>
    <t>喵——~</t>
  </si>
  <si>
    <t>堂堂三小姐是躲在自家走廊后偷窥猫……是道德的沦丧还是人性的扭曲？</t>
  </si>
  <si>
    <t>不过看她的神情，确是&lt;c=#db3e63ff&gt;喜猫之人&lt;/c&gt;才会流露的神态。</t>
  </si>
  <si>
    <t>三小姐朝猫儿走近了些，结果，那小猫一见她，竟蹭的一下便跑走了。</t>
  </si>
  <si>
    <t>看来&lt;c=#db3e63ff&gt;猫儿不喜欢三小姐&lt;/c&gt;也是真的……</t>
  </si>
  <si>
    <t>29;105060;1</t>
  </si>
  <si>
    <t>那只小猫跑出去了，或许可以&lt;c=#db3e63ff&gt;找它&lt;/c&gt;问问原因。</t>
  </si>
  <si>
    <t>我在周三小姐的闺房附近绕了一圈，发现三小姐似乎并不在房中。</t>
  </si>
  <si>
    <t>这时，前方两名丫鬟正走向这边，我赶紧躲了起来。</t>
  </si>
  <si>
    <t>90180403</t>
  </si>
  <si>
    <t>躲起来</t>
  </si>
  <si>
    <t>30;1841;10000</t>
  </si>
  <si>
    <t>丫鬟甲</t>
  </si>
  <si>
    <t>三小姐好些了吗？</t>
  </si>
  <si>
    <t>丫鬟乙</t>
  </si>
  <si>
    <t>吃了大夫的药，可算是没再打喷嚏了，只是疹子还没消退下去……</t>
  </si>
  <si>
    <t>真是奇怪，为什么三小姐每次一碰猫儿就&lt;c=#db3e63ff&gt;浑身起疹子&lt;/c&gt;呢？</t>
  </si>
  <si>
    <t>丫环乙</t>
  </si>
  <si>
    <t>求小祖宗可别再去逗猫了，每回起疹子，遭罪的都是咱们，我的肩还疼呢……</t>
  </si>
  <si>
    <t>眼看两位丫鬟走远了，我才走出来。</t>
  </si>
  <si>
    <t>29;105061;1</t>
  </si>
  <si>
    <t>三小姐这个症状……看起来是病症吧？</t>
  </si>
  <si>
    <t>如果可以到城里问问负责周家的&lt;c=#db3e63ff&gt;大夫&lt;/c&gt;就好了。</t>
  </si>
  <si>
    <t>1806</t>
  </si>
  <si>
    <t>小猫，等等！</t>
  </si>
  <si>
    <t>那只小猫逃得很快，我一路躲藏，一路追踪，多亏了猫语才不至于跟丢。</t>
  </si>
  <si>
    <t>你站住！鬼鬼祟祟，你是哪房的？！</t>
  </si>
  <si>
    <t>被巡查的守卫发现了，怎么办？</t>
  </si>
  <si>
    <t>90180505|90180506</t>
  </si>
  <si>
    <t>假扮成侍女</t>
  </si>
  <si>
    <t>转移他的注意</t>
  </si>
  <si>
    <t>30;1851;10000</t>
  </si>
  <si>
    <t>该说自己是什么身份呢？</t>
  </si>
  <si>
    <t>90180508|90180509</t>
  </si>
  <si>
    <t>三小姐的侍女</t>
  </si>
  <si>
    <t>7;105061;1</t>
  </si>
  <si>
    <t>打扫花园的侍女</t>
  </si>
  <si>
    <t>我是三小姐房中新来的侍女，三小姐方才在花园里被猫惊着了，命我去请人。</t>
  </si>
  <si>
    <t>什么？！这么大的事，你赶紧的，别耽误！</t>
  </si>
  <si>
    <t>放肆！花园是我巡视的，何时有你这号人！</t>
  </si>
  <si>
    <t>侍卫二话不说，便将我抓起来。</t>
  </si>
  <si>
    <t>（身份暴露了，这事得让我头疼好一会儿了。）</t>
  </si>
  <si>
    <t>幸好没被发现……不过，看来府中人都知道三小姐和猫的事。</t>
  </si>
  <si>
    <t>多亏了猫儿替我引走守卫的注意力。</t>
  </si>
  <si>
    <t>那只小猫远远的瞧着我，也不继续逃了，我便跟了上去。</t>
  </si>
  <si>
    <t>你刚才就偷偷瞧着我们三小姐，你想干嘛？</t>
  </si>
  <si>
    <t>原来你都瞧见了，那你为何躲着她呀？</t>
  </si>
  <si>
    <t>不躲着她，回头我就该秃了。</t>
  </si>
  <si>
    <t>三小姐这人有毒，她总想和我们玩，但是她一靠近我们，就不对劲。</t>
  </si>
  <si>
    <t>我们被她碰过之后，&lt;c=#db3e63ff&gt;掉毛&lt;/c&gt;掉的厉害。</t>
  </si>
  <si>
    <t>29;105062;1</t>
  </si>
  <si>
    <t>这……确实有些奇怪，能给我一些你的毛发吗？</t>
  </si>
  <si>
    <t>你要帮我接毛吗？</t>
  </si>
  <si>
    <t>这你就难为我了，我可以帮你想想其他办法。</t>
  </si>
  <si>
    <t>小猫给了我一小撮毛发，我拿着毛发，准备到别的地方问问吧。</t>
  </si>
  <si>
    <t>1806|1807</t>
  </si>
  <si>
    <t>济世医馆被称为离太医院最近的地方，来问诊的也多是权贵家族。</t>
  </si>
  <si>
    <t>兴许是见我衣着普通，进了医馆许久，也无人招呼。</t>
  </si>
  <si>
    <t>常年替周家看诊的张大夫正巧在诊间，我寻了个由头便去了。</t>
  </si>
  <si>
    <t>如何询问三小姐的情况？</t>
  </si>
  <si>
    <t>90180605|90180606</t>
  </si>
  <si>
    <t>提起周三小姐的症状</t>
  </si>
  <si>
    <t>旁敲侧击打听情况</t>
  </si>
  <si>
    <t>张大夫，我们家小姐的红疹至今还未消除，小姐托我来问问何时才能根除。</t>
  </si>
  <si>
    <t>张大夫误以为我是周家派来问话的，便开始对我说起三小姐的病症来。</t>
  </si>
  <si>
    <t>大夫</t>
  </si>
  <si>
    <t>三小姐的怪症，乍一看，像是猫毛过敏，实则不然。</t>
  </si>
  <si>
    <t>老夫也是想了各种办法，均是治标不治本，恐怕病只是表象，怕是还有心结……</t>
  </si>
  <si>
    <t>29;105063;1</t>
  </si>
  <si>
    <t>大夫是说……找出三小姐的心结才是根本？</t>
  </si>
  <si>
    <t>多谢张大夫，我这就回府禀告。</t>
  </si>
  <si>
    <t>拿着小猫的毛发，想找路尤问问情况，不巧路尤出门办事了。</t>
  </si>
  <si>
    <t>路尤不在，城中还有谁像他一样了解猫呢……</t>
  </si>
  <si>
    <t>丫头，你脸色不大对劲咯。</t>
  </si>
  <si>
    <t>凌半仙，是你？</t>
  </si>
  <si>
    <t>凌半仙</t>
  </si>
  <si>
    <t>怎么，一脸丧样，小仙给你卜一卦？不贵，就二两。</t>
  </si>
  <si>
    <t>要不要卜一卦呢？</t>
  </si>
  <si>
    <t>90180707|90180708</t>
  </si>
  <si>
    <t>要</t>
  </si>
  <si>
    <t>7;105062;1</t>
  </si>
  <si>
    <t>不要</t>
  </si>
  <si>
    <t>那便卜一卦吧。</t>
  </si>
  <si>
    <t>我递给他那撮猫毛，半仙盯着我半晌，伸出手指似是推演的样子。</t>
  </si>
  <si>
    <t>丫头，不是我说你，没事碰这破事干啥。</t>
  </si>
  <si>
    <t>你想查的事，我看一时半会儿也不会有进展，赶紧放手吧。</t>
  </si>
  <si>
    <t>你知道？</t>
  </si>
  <si>
    <t>我虽算不出天下，但这等小事，还是绰绰有余的。</t>
  </si>
  <si>
    <t>这二两银子我可取走了，买酒去喽~</t>
  </si>
  <si>
    <t>不用了，多谢半仙。</t>
  </si>
  <si>
    <t>这么大姑娘了，还这么小气，啧啧啧……难怪这事你没头绪……</t>
  </si>
  <si>
    <t>半仙好像看出了什么，如何让他说出口？</t>
  </si>
  <si>
    <t>90180719|90180720</t>
  </si>
  <si>
    <t>说点好话套近乎</t>
  </si>
  <si>
    <t>8;40065;1</t>
  </si>
  <si>
    <t>二两银子卜一卦</t>
  </si>
  <si>
    <t>丫头，你想查的这事，现在还不是时候，这城里是不会有更多线索的。</t>
  </si>
  <si>
    <t>半仙不知如何从我身上顺走二两银子，悠哉游哉的离开了。</t>
  </si>
  <si>
    <t>半仙一副抱怨的模样，故意说着迷惑的话，向后走去。</t>
  </si>
  <si>
    <t>1808</t>
  </si>
  <si>
    <t>这件事至此便断了线索，我一时间也没有更多头绪，只好先回探事轩。</t>
  </si>
  <si>
    <t>我将调查报告递上去，公子歇见我若有所思的样子，询问起调查情况来。</t>
  </si>
  <si>
    <t>你心里觉得三小姐对猫，是什么态度？</t>
  </si>
  <si>
    <t>90180804|90180805</t>
  </si>
  <si>
    <t>喜欢</t>
  </si>
  <si>
    <t>不喜欢</t>
  </si>
  <si>
    <t>我确实无法证实另一种可能，除了“喜欢”，我别无他选。</t>
  </si>
  <si>
    <t>既然如此，为何报告上还要写喜猫呢？</t>
  </si>
  <si>
    <t>我总觉得这其中有些别的秘密，只是还没找到答案。</t>
  </si>
  <si>
    <t>劝你一句，做这门生意，你最好能认同证据所指的方向，否则只会左右两难。</t>
  </si>
  <si>
    <t>那三小姐的症状，你怎么看？</t>
  </si>
  <si>
    <t>90180811|90180812</t>
  </si>
  <si>
    <t>病理原因</t>
  </si>
  <si>
    <t>未知原因</t>
  </si>
  <si>
    <t>眼下的调查结果，也就只能判断是病理原因了。</t>
  </si>
  <si>
    <t>一定有其他原因，只是我没能找到证据而已。</t>
  </si>
  <si>
    <t>空口无凭，既然证据只能证实病理，那便是病理，不要多想。</t>
  </si>
  <si>
    <t>你若想要追寻真相的话，日后有一丝一毫的线索，可再来调查后续。</t>
  </si>
  <si>
    <t>这个报告，虽不像你行事风格，不过这个调查结果可以接受。</t>
  </si>
  <si>
    <t>嗯，我知道，多谢公子了。</t>
  </si>
  <si>
    <t>我看着探事轩给我的卷宗。</t>
  </si>
  <si>
    <t>“孙二少爷在墙头下，被不明之物砸至昏厥，请求查明真相。”</t>
  </si>
  <si>
    <t>（语焉不详，倒不如先去&lt;c=#db3e63ff&gt;孙府&lt;/c&gt;问问，那墙头具体位置在哪里。）</t>
  </si>
  <si>
    <t>我来到孙府，跟看门仆人说明来意。</t>
  </si>
  <si>
    <t>哎，别提了，少爷被砸晕了，现在还昏迷着呢。</t>
  </si>
  <si>
    <t>当日的真实情形实在无人知晓。不过老奴倒是可以告诉姑娘那墙头在什么位置。</t>
  </si>
  <si>
    <t>家仆告诉我，孙二少爷是在&lt;c=#db3e63ff&gt;南街&lt;/c&gt;四坊后院被发现的。</t>
  </si>
  <si>
    <t>想想还有什么可以询问的</t>
  </si>
  <si>
    <t>90190109</t>
  </si>
  <si>
    <t>询问孙二少爷情况</t>
  </si>
  <si>
    <t>30;1911;10000</t>
  </si>
  <si>
    <t>那日老奴接到消息，只听人说少爷趴地上一动不动，地面一滩血。可吓煞孙府上下了。</t>
  </si>
  <si>
    <t>少爷一直昏迷，今日倒是好些，醒来几次，虽不清醒，可还能说两句话。</t>
  </si>
  <si>
    <t>说，什么人长久，什么&lt;c=#db3e63ff&gt;婵娟、手帕&lt;/c&gt;的。实在有头无尾。</t>
  </si>
  <si>
    <t>只能麻烦姑娘查清真相了。</t>
  </si>
  <si>
    <t>1902</t>
  </si>
  <si>
    <t>南街本就偏远，坊间后院却是更显得寂静。</t>
  </si>
  <si>
    <t>我在孙二少爷被发现的那堵墙下站定，开始观察四周。</t>
  </si>
  <si>
    <t>查探哪里好呢？</t>
  </si>
  <si>
    <t>90190204|90190205|90190206</t>
  </si>
  <si>
    <t>墙面</t>
  </si>
  <si>
    <t>地面</t>
  </si>
  <si>
    <t>墙边树</t>
  </si>
  <si>
    <t>7;105064;1</t>
  </si>
  <si>
    <t>我打量这墙面，竟然发现了一串血迹！</t>
  </si>
  <si>
    <t>血迹的形状酷似几片&lt;c=#db3e63ff&gt;梅花瓣似的足迹&lt;/c&gt;，看上去，好像是小动物的。</t>
  </si>
  <si>
    <t>29;105064;1</t>
  </si>
  <si>
    <t>墙面这个足迹，好像是猫的……？</t>
  </si>
  <si>
    <t>我在地面细细搜寻着，发现了一滩稀疏的血迹。</t>
  </si>
  <si>
    <t>（看这痕迹，似乎是孙二少爷留下，没清洗干净的。）</t>
  </si>
  <si>
    <t>我费劲九牛二虎之力爬上了墙边的一棵桃树，还来不及打量周遭，便听到一道清冷地声音。</t>
  </si>
  <si>
    <t>你为何在此处。</t>
  </si>
  <si>
    <t>语气淡的不像问句，且极为耳熟……</t>
  </si>
  <si>
    <t>哎？沈仙人？！你在这里做……哇啊啊啊啊啊！</t>
  </si>
  <si>
    <t>话音未落，我脚下一滑，便从树上掉了下来。慌乱间我闭上眼，只等着落地的一刻。</t>
  </si>
  <si>
    <t>（哇！哪个龟孙在树上抹了&lt;c=#db3e63ff&gt;茶油&lt;/c&gt;……替姑奶奶问候你祖宗！！！）</t>
  </si>
  <si>
    <t>29;105065;1</t>
  </si>
  <si>
    <t>下一刻我只觉腰间一紧，下坠力道一轻。回神之后，我发现自己稳稳地站在了地上。</t>
  </si>
  <si>
    <t>沈既明</t>
  </si>
  <si>
    <t>……松手。</t>
  </si>
  <si>
    <t>我这才发现自己正紧紧攥着沈既明的袖子，连忙放开。</t>
  </si>
  <si>
    <t>多谢仙人相救！</t>
  </si>
  <si>
    <t>我，我在查一个案子。你看墙上，有带血的猫爪印，所以我爬上树，树上有油……</t>
  </si>
  <si>
    <t>（……我在语无伦次说什么啊！）</t>
  </si>
  <si>
    <t>却没想到沈既明点了点头，眼神沉沉地望向墙头，似乎在思索什么。</t>
  </si>
  <si>
    <t>（仙人就是仙人，我说什么他竟都能如此淡定。）</t>
  </si>
  <si>
    <t>熟悉的气息。</t>
  </si>
  <si>
    <t>找到了。</t>
  </si>
  <si>
    <t>腰间又是一紧，我被沈既明带离了地面。</t>
  </si>
  <si>
    <t>1903</t>
  </si>
  <si>
    <t>沈既明带我来到了湖景街一处偏僻的巷子里。</t>
  </si>
  <si>
    <t>我定睛一看，一群野猫嗷呜嗷呜地挤在巷子里。</t>
  </si>
  <si>
    <t>一见沈既明，猫群登时如进了头狼的羊群，瞬间沸腾了起来。喵呜声大作，似乎又敬畏又害怕。</t>
  </si>
  <si>
    <t>（既然是爬上了墙头，那应该是脚上踩了血的猫咪。）</t>
  </si>
  <si>
    <t>90190305</t>
  </si>
  <si>
    <t>检查猫咪脚</t>
  </si>
  <si>
    <t>30;1921;10000</t>
  </si>
  <si>
    <t>我立刻安抚了压低嗓子发出威胁声音的猫咪们。</t>
  </si>
  <si>
    <t>没有恶意，只是想看一下你们的小爪爪，看一下下就好了哟。</t>
  </si>
  <si>
    <t>一个个检查过去，却有一只小白猫矜傲地扬起脑袋，不许我碰。</t>
  </si>
  <si>
    <t>在它抬脚走到一边的刹那，我看到了它足上的&lt;c=#db3e63ff&gt;血迹&lt;/c&gt;。</t>
  </si>
  <si>
    <t>是它！是它！就是它！</t>
  </si>
  <si>
    <t>我刚要追那只白猫，沈既明已经走进了猫群里，蹲下来探手捏住了猫的后颈。</t>
  </si>
  <si>
    <t>猫儿挣扎起来，扭了几次，忽然嗷地一声哭了出来。</t>
  </si>
  <si>
    <t>小白猫</t>
  </si>
  <si>
    <t>喵喵喵，我就是觉得太闷了想跑出来玩！</t>
  </si>
  <si>
    <t>擅自从寒山跑出来，不可饶恕。</t>
  </si>
  <si>
    <t>猫儿，你脚上沾的血是怎么回事？</t>
  </si>
  <si>
    <t>不关我的事，我没有吃人啊！！</t>
  </si>
  <si>
    <t>那人自己摔下去的，我只是不小心踩到了他的脸，喵嗷……</t>
  </si>
  <si>
    <t>话音未落，沈既明便带着猫儿转身离去了。</t>
  </si>
  <si>
    <t>哎！仙人，我还没问完……！！</t>
  </si>
  <si>
    <t>（竟然就这么走了？！哎，只能多跑一趟了……）</t>
  </si>
  <si>
    <t>1904|1906</t>
  </si>
  <si>
    <t>无人谷路途遥远，我走出一身汗，只觉得很是气愤。</t>
  </si>
  <si>
    <t>（仙人真是的，走那么快。我话还没有问完！）</t>
  </si>
  <si>
    <t>要怎么找到那只小白猫呢？</t>
  </si>
  <si>
    <t>90190404|90190405</t>
  </si>
  <si>
    <t>学猫叫喵喵喵</t>
  </si>
  <si>
    <t>30;1931;10000</t>
  </si>
  <si>
    <t>引出沈既明</t>
  </si>
  <si>
    <t>2;5;1</t>
  </si>
  <si>
    <t>我喵了几声，一个浑身冒着寒气的熟悉身影出现在我面前。</t>
  </si>
  <si>
    <t>咦，沈、沈仙人，这，这么巧？你看这月亮，多么圆……</t>
  </si>
  <si>
    <t>现在是白天。</t>
  </si>
  <si>
    <t>哇，仙人果真非凡夫俗子，要不是仙人提点，我还以为这野果子竟是月亮呢！</t>
  </si>
  <si>
    <t>实在不知道如何引出仙人，我叹了口气，顺手探上一根梅枝，下意识想折。</t>
  </si>
  <si>
    <t>一股寒意涌上我指尖，下一刻，我的手上结了一层薄霜。</t>
  </si>
  <si>
    <t>啊啊啊仙人饶命，我不是故意的……</t>
  </si>
  <si>
    <t>我手忙脚乱地将手上的霜雪拍落，回过神，正迎上一双冷漠的冰蓝色眸子。</t>
  </si>
  <si>
    <t>有什么话快问。莫要再靠近寒山。</t>
  </si>
  <si>
    <t>沈既明挥了挥手，那只小白猫站在了我面前。</t>
  </si>
  <si>
    <t>说吧，你是要问什么。</t>
  </si>
  <si>
    <t>就那个受伤昏迷的孙二少爷，我听你说他是摔下去的？不是被什么砸到了吗？</t>
  </si>
  <si>
    <t>哎呀，不是。是从那桃花树上摔下去的。还挂了个&lt;c=#db3e63ff&gt;帕子&lt;/c&gt;在枝头没取呢。</t>
  </si>
  <si>
    <t>29;105066;1</t>
  </si>
  <si>
    <t>哎？像我一样摔下树了？</t>
  </si>
  <si>
    <t>你也摔了么？正常，最近好多男人从那树上掉下来。不过女的，你倒是第一个。</t>
  </si>
  <si>
    <t>之前见到一个娃娃往树上泼油来着。叫啥来着……哦，&lt;c=#db3e63ff&gt;胖头余&lt;/c&gt;。</t>
  </si>
  <si>
    <t>那孙二少爷是第一个。比较倒霉，落地时刚巧头磕在胖头余垫脚的石头上。这才晕过去。</t>
  </si>
  <si>
    <t>那些从树上摔下来的人……莫非是小偷？</t>
  </si>
  <si>
    <t>我不知道。不要问我。毕竟，我只是一只人畜无害的小猫咪呢！</t>
  </si>
  <si>
    <t>白猫弹了弹爪子，傲娇地走了。</t>
  </si>
  <si>
    <t>1905</t>
  </si>
  <si>
    <t>我在湖边找到了胖头余。</t>
  </si>
  <si>
    <t>喂，你为什么要在南街那户人家的树上泼油啊？</t>
  </si>
  <si>
    <t>阿姨，今天天气真好啊！</t>
  </si>
  <si>
    <t>这孩子不肯说实话，怎么办？</t>
  </si>
  <si>
    <t>90190505</t>
  </si>
  <si>
    <t>拿出证据</t>
  </si>
  <si>
    <t>7;105066;1</t>
  </si>
  <si>
    <t>虽然很想打你一顿，但姐姐我有证据的哦。</t>
  </si>
  <si>
    <t>哎呀，你有证据，那我就坦白从宽了。</t>
  </si>
  <si>
    <t>&lt;c=#db3e63ff&gt;婵娟姐姐&lt;/c&gt;家里总有奇奇怪怪的人爬树。我担心是贼人，就做好事涂了点油。</t>
  </si>
  <si>
    <t>阿姨，我是不是很乖！</t>
  </si>
  <si>
    <t>……你口中的婵娟姐姐今年多大了？</t>
  </si>
  <si>
    <t>三十六？四十八？不知道呢。</t>
  </si>
  <si>
    <t>……为何你叫她姐姐，叫我阿姨？</t>
  </si>
  <si>
    <t>阿姨你为何要纠结这种细节？</t>
  </si>
  <si>
    <t>该注意的难道不是我又做了好事吗？</t>
  </si>
  <si>
    <t>咦，阿姨，你的衣服上好像有我抹的油，莫非你也去爬树了？阿姨别走啊……</t>
  </si>
  <si>
    <t>（下次还是直接揍他好了。）</t>
  </si>
  <si>
    <t>所有线索，都指向南街那户人家了。我决定登门拜访查清真相。</t>
  </si>
  <si>
    <t>回到了案发地，我竟然惊恐地发现又一个青衣男子趴在了树下，神志不清地正在呻吟。</t>
  </si>
  <si>
    <t>我把他翻了过来，忽然他胸口露出一角什么。</t>
  </si>
  <si>
    <t>扯出来，那里面居然是一张&lt;c=#db3e63ff&gt;罗帕&lt;/c&gt;。</t>
  </si>
  <si>
    <t>（我天，这家伙到底是来干什么的？！）</t>
  </si>
  <si>
    <t>（该不会是什么采花大盗吧？绝了。）</t>
  </si>
  <si>
    <t>接下来该怎么办？</t>
  </si>
  <si>
    <t>90190608|90190609</t>
  </si>
  <si>
    <t>等他缓过来问话</t>
  </si>
  <si>
    <t>30;1941;10000</t>
  </si>
  <si>
    <t>敲这户人家的大门</t>
  </si>
  <si>
    <t>男人悠悠转醒，看到我的瞬间怕得打起了哆嗦。</t>
  </si>
  <si>
    <t>青衣男子</t>
  </si>
  <si>
    <t>不要抓我，我对婵娟小姐是认真的！</t>
  </si>
  <si>
    <t>等等，我的手帕，还给我！</t>
  </si>
  <si>
    <t>他出手就要抢，我险些给他扑到，正准备反击，便见他忽然愣在了原地。</t>
  </si>
  <si>
    <t>我绕至前门敲了门，只听屋内一阵哄乱声起，却没人应。</t>
  </si>
  <si>
    <t>（算了，还是去看看那个摔了的男人有没有醒吧。）</t>
  </si>
  <si>
    <t>我抬头，却见另一个白衣男子正从墙头翻到那桃花树上。</t>
  </si>
  <si>
    <t>哎！小心，那树枝上有……</t>
  </si>
  <si>
    <t>白衣男子</t>
  </si>
  <si>
    <t>啊啊啊啊……</t>
  </si>
  <si>
    <t>砰！白衣男子从树上滑落，摔在了地上。青衣男子目瞪口呆地看着他。</t>
  </si>
  <si>
    <t>……有油。挺滑的。不好意思，说太晚了。</t>
  </si>
  <si>
    <t>白衣男子正龇牙咧嘴，墙里传来一个娇滴滴的女声。</t>
  </si>
  <si>
    <t>婵娟</t>
  </si>
  <si>
    <t>好郎君，没事罢？</t>
  </si>
  <si>
    <t>婵娟，不用担心我，我没事，我这就走！</t>
  </si>
  <si>
    <t>青衣男子嘴唇开始哆嗦起来。他看着白衣公子，又看了看我，而后抖抖索索地指着我。</t>
  </si>
  <si>
    <t>若是男子也就罢了，婵娟莫非连姑娘家都……</t>
  </si>
  <si>
    <t>……我不是，我没有，你别瞎说！我只是路人……喏，这帕子还你！</t>
  </si>
  <si>
    <t>我顺手将从青衣男子身上搜出来的帕子扔了回去。这下白衣男子张了张嘴，也陷入了沉默。</t>
  </si>
  <si>
    <t>诡异地过了片刻，两个男人不由分说地忽然打了起来。</t>
  </si>
  <si>
    <t>嚯，这个左勾拳生猛。咦，原来这个体式下还能扣鼻孔，厉害！</t>
  </si>
  <si>
    <t>看着倒是打挺激烈……</t>
  </si>
  <si>
    <t>90190632|90190633</t>
  </si>
  <si>
    <t>阻止他们</t>
  </si>
  <si>
    <t>30;1951;10000</t>
  </si>
  <si>
    <t>静观其变</t>
  </si>
  <si>
    <t>30;1961;10000</t>
  </si>
  <si>
    <t>我阻止了他们，两个人终于停止了打架。</t>
  </si>
  <si>
    <t>我任由他们打，男人们自己打了一会儿之后居然停下来了。</t>
  </si>
  <si>
    <t>正在这时，桃树上悠悠地飘下来一方罗帕。我捡起来一看，上面还隐隐绣了一个&lt;c=#db3e63ff&gt;“孙”&lt;/c&gt;字。</t>
  </si>
  <si>
    <t>啊……看来是&lt;c=#db3e63ff&gt;孙二少爷&lt;/c&gt;掉下来时不慎挂在那桃树上的。</t>
  </si>
  <si>
    <t>29;105067;1</t>
  </si>
  <si>
    <t>二人望着我手中的帕子，沉默片刻，青衣男人忽然把手里的手绢绑了个结丢回了墙头。</t>
  </si>
  <si>
    <t>诶？郎君，怎么把手绢还回来了呢？</t>
  </si>
  <si>
    <t>然后白衣男子也把手里的手绢绑了个结丢回了墙头。</t>
  </si>
  <si>
    <t>墙头后就没声了。</t>
  </si>
  <si>
    <t>（哦豁。大型翻车现场。）</t>
  </si>
  <si>
    <t>1907</t>
  </si>
  <si>
    <t>我回到了孙府，跟孙家老爷见了面。</t>
  </si>
  <si>
    <t>孙老爷</t>
  </si>
  <si>
    <t>所以，究竟是哪个混蛋暗算犬子！</t>
  </si>
  <si>
    <t>……实在有些难以启齿。</t>
  </si>
  <si>
    <t>90190704|90190705</t>
  </si>
  <si>
    <t>委婉暗示</t>
  </si>
  <si>
    <t>30;1971;10000</t>
  </si>
  <si>
    <t>开门见山</t>
  </si>
  <si>
    <t>30;1981;10000</t>
  </si>
  <si>
    <t>内个，令郎最近……可有心上人？</t>
  </si>
  <si>
    <t>莫非姑娘对犬子芳心暗许？</t>
  </si>
  <si>
    <t>……我换个方式问，令郎最近是否喜欢登高，比如说……爬树？</t>
  </si>
  <si>
    <t>姑娘在说什么？</t>
  </si>
  <si>
    <t>……其实孙二少爷是自己从树上摔下来的。</t>
  </si>
  <si>
    <t>正在这时，家仆前来通知。</t>
  </si>
  <si>
    <t>少爷醒了！</t>
  </si>
  <si>
    <t>一行人去了孙二少爷的房间。孙老爷嘘寒问暖许久我才劝他离开。</t>
  </si>
  <si>
    <t>我这才将青衣男子与白衣男子的事情一一与孙二少爷道出。</t>
  </si>
  <si>
    <t>孙二少爷</t>
  </si>
  <si>
    <t>竟、竟会如此！我对她一心一意！她竟然当我是狗屁！</t>
  </si>
  <si>
    <t>嗯嗯，节哀顺变。</t>
  </si>
  <si>
    <t>枉费我在昏迷中还惦记着她送我的帕子！！</t>
  </si>
  <si>
    <t>嗯嗯，此情真是感天动地。</t>
  </si>
  <si>
    <t>我，我真是气死了！我那挂树上的帕子呢？！我……</t>
  </si>
  <si>
    <t>我取了下来，也替你打了个结，扔回去她院子里了。</t>
  </si>
  <si>
    <t>孙二少爷沉默了片刻。</t>
  </si>
  <si>
    <t>……多谢。</t>
  </si>
  <si>
    <t>应该的。应该的。</t>
  </si>
  <si>
    <t>我觉得我眼前还有点发绿，都是那桃树的影子。姑娘，你看，我有点惨。</t>
  </si>
  <si>
    <t>那么多男的，就我一个摔晕了过去。这说明我是不是比较特别？</t>
  </si>
  <si>
    <t>是挺特别的。特别倒霉。</t>
  </si>
  <si>
    <t>孙二少爷瘪了瘪嘴，而后哀怨地看着我。</t>
  </si>
  <si>
    <t>这委托能不能不交？</t>
  </si>
  <si>
    <t>不能。</t>
  </si>
  <si>
    <t>孙二少爷转身，背对着我不再说话。我告辞离开，出门时听到了屋内传来几声隐隐地啜泣声。</t>
  </si>
  <si>
    <t>（这都什么事儿啊……赶紧提交了委托吧……）</t>
  </si>
  <si>
    <t>海面捞源起于北方。半年前在尚京城内新开了家分店，主营火锅，口碑极佳。</t>
  </si>
  <si>
    <t>（哇，前阵才吃过，服务态度极好，也很好吃，没想到三日前竟然&lt;c=#db3e63ff&gt;走了水&lt;/c&gt;……）</t>
  </si>
  <si>
    <t>我来到海面捞，只见店被封锁了起来。与之前门庭若市相比，显得极为冷清。</t>
  </si>
  <si>
    <t>我正张望着，一位伙计打扮的小哥从旁侧走了过来。</t>
  </si>
  <si>
    <t>海面捞小哥</t>
  </si>
  <si>
    <t>姑娘可是来用膳的？实在抱歉，店里走水，正待修缮，暂时不能接客了。</t>
  </si>
  <si>
    <t>他顺手便从身后背着的食盒中掏出一把点心递给我，还附上一张盖着海面捞店家印章的纸笺。</t>
  </si>
  <si>
    <t>小店给跑空的客人准备了点心致歉。</t>
  </si>
  <si>
    <t>这折扣笺姑娘拿好。等小店修缮完毕后，姑娘下次来店内出示可六折用膳。</t>
  </si>
  <si>
    <t>（哇，店家果然贴心！）</t>
  </si>
  <si>
    <t>海面捞小哥有点帅，不如……</t>
  </si>
  <si>
    <t>90200111|90200112|90200113</t>
  </si>
  <si>
    <t>和他聊聊火锅</t>
  </si>
  <si>
    <t>要求他扯个面</t>
  </si>
  <si>
    <t>打听走水事件</t>
  </si>
  <si>
    <t>咱家火锅，最受欢迎的就是那麻辣锅和番茄锅。菌菇汤点的客人也是不少。</t>
  </si>
  <si>
    <t>尚京城内火锅多为清水涮，但因咱家汤底火了后，近期模仿的人也不少。</t>
  </si>
  <si>
    <t>只是，汤底乃小店独门秘方，别家自然是学不到精髓的。</t>
  </si>
  <si>
    <t>听说海面捞的小哥都会扯面，我都没见过扯面呢，好想看看啊。</t>
  </si>
  <si>
    <t>海面捞小哥微微一笑，从身后的食盒掏出了一个面团，拉成三尺长。</t>
  </si>
  <si>
    <t>哈？！你是在变戏法么……店都烧了还备了面团？！</t>
  </si>
  <si>
    <t>今日姑娘是第三十二个想看扯面的客人了。我们厨子特地准备了好多面团呢。姑娘看好了！</t>
  </si>
  <si>
    <t>海面捞小哥开始扯面，旋转，跳跃，面条翻飞不停歇，令人眼花缭乱。</t>
  </si>
  <si>
    <t>周围聚过来不少路人纷纷喝彩。</t>
  </si>
  <si>
    <t>（虽然不知道发生了什么，但好像海面捞又做了次宣传呢……）</t>
  </si>
  <si>
    <t>不多时，面条扯好了。小哥拿了简易食盒装了扯好的面给我。</t>
  </si>
  <si>
    <t>这面也送给姑娘了。下锅之后数180下就能吃啦。今日请务必要吃掉哦！</t>
  </si>
  <si>
    <t>好、好的吧……还真是意外解决了晚饭问题呢……</t>
  </si>
  <si>
    <t>我是来调查走水事件的探子，小哥有什么线索可以跟我讲一讲吗？</t>
  </si>
  <si>
    <t>说起来，我倒是认为是竞争对手所为。</t>
  </si>
  <si>
    <t>平日不少&lt;c=#db3e63ff&gt;别家火锅店&lt;/c&gt;的伙计乔装过来用膳，打听我们锅底配方。我们自然婉拒。</t>
  </si>
  <si>
    <t>可没想到竟会有歹人放火。不过没事，海面捞会度过这一劫的。</t>
  </si>
  <si>
    <t>我想起了云绣房失火一事，只觉感同身受，便点了点头。</t>
  </si>
  <si>
    <t>对了，还有一件事……三日后，便是&lt;c=#db3e63ff&gt;尚京美食榜&lt;/c&gt;发布排名的时刻了。</t>
  </si>
  <si>
    <t>若是能排到前三，店家便会被列为推荐店，客人也会多起来。</t>
  </si>
  <si>
    <t>我猜想，纵火的时机选在此刻，或许也与此事有关。</t>
  </si>
  <si>
    <t>2002</t>
  </si>
  <si>
    <t>我打听得知，蔡将均原为一名厨子，在点评吃食方面颇有造诣。</t>
  </si>
  <si>
    <t>他每尝过一家店，便会根据店家的菜系、口味撰写点评，作为食客参考，且广受好评。</t>
  </si>
  <si>
    <t>久而久之，店家便称他为食神，主动邀约他来用膳，只为求他一篇点评文章……</t>
  </si>
  <si>
    <t>（哇，这倒是个好活计，美食排队送到嘴边任吃……）</t>
  </si>
  <si>
    <t>（也太棒了吧！我觉得我可以！开什么情报阁！跑来跑去累成狗！）</t>
  </si>
  <si>
    <t>（算了，若吃成这样，委实都移动困难。也不知他是怎么挤进马车的？）</t>
  </si>
  <si>
    <t>我面前的蔡将均是个大胖子。他困难地一屁股在茶桌边坐了下来，几乎淹没了整个凳子。</t>
  </si>
  <si>
    <t>而后他从满脸的肥肉中挤出一双眼睛，上下打量着我，努力了露出一个不屑的表情。</t>
  </si>
  <si>
    <t>蔡将均</t>
  </si>
  <si>
    <t>你这小丫头片子这么瘦，还要跟我聊美食？</t>
  </si>
  <si>
    <t>要怎样向他证明我的美食品味？</t>
  </si>
  <si>
    <t>90200212|90200213</t>
  </si>
  <si>
    <t>据理力争</t>
  </si>
  <si>
    <t>30;2011;10000</t>
  </si>
  <si>
    <t>证明食量</t>
  </si>
  <si>
    <t>我想到家里有本传世菜谱，便引用当中论据，与蔡将均好好辩论了一番。</t>
  </si>
  <si>
    <t>哟，小姑娘看着肉不多，倒是有两把刷子。</t>
  </si>
  <si>
    <t>我吩咐伙计端出十个大肉包子，开始鼓足气吃了起来。</t>
  </si>
  <si>
    <t>塞到第六个时我便开始噎到翻白眼。蔡将均轻蔑地嗤笑了一声。</t>
  </si>
  <si>
    <t>说吧，姑娘是找我打听最新的尚京美食榜么？</t>
  </si>
  <si>
    <t>对呀，火锅有专门的榜单么？前十名能否大致告诉我呢？</t>
  </si>
  <si>
    <t>蔡将均将排名前十的火锅店一一告知了我，我记了下来。</t>
  </si>
  <si>
    <t>不过说起来，这第五名倒是新近入榜的。他家菌汤这两天风头正旺，好评不少。</t>
  </si>
  <si>
    <t>据说与海面捞家的菌汤比不相上下，还便宜不少。那店叫&lt;c=#db3e63ff&gt;请菌入瓮&lt;/c&gt;，就开在湖景街呢。</t>
  </si>
  <si>
    <t>2003</t>
  </si>
  <si>
    <t>我来到“请菌入瓮”，只见门前排起了长队。</t>
  </si>
  <si>
    <t>（店内伙计都忙得脱不开身了。要怎么找老板呢？）</t>
  </si>
  <si>
    <t>得想个办法让老板出面</t>
  </si>
  <si>
    <t>90200304|90200305|90200306</t>
  </si>
  <si>
    <t>搬出蔡食神的名头</t>
  </si>
  <si>
    <t>30;2021;10000</t>
  </si>
  <si>
    <t>声称调查海面捞走水事件</t>
  </si>
  <si>
    <t>去店内用餐</t>
  </si>
  <si>
    <t>30;2031;10000</t>
  </si>
  <si>
    <t>我声称是蔡将均手下的食客，前来找老板做调查的。</t>
  </si>
  <si>
    <t>【谄媚】啊，稍等，小的这就把老板叫来！</t>
  </si>
  <si>
    <t>我声称是来调查海面捞走水事件的，伙计却一脸警惕地拦在了门口。</t>
  </si>
  <si>
    <t>只怕是海面捞派来的探子，想偷师的吧？回去回去！</t>
  </si>
  <si>
    <t>伙计开始赶人。</t>
  </si>
  <si>
    <t>（这态度比海面捞小哥差太远了吧！！！好气啊！！我倒要看你们能火几日！）</t>
  </si>
  <si>
    <t>我在店门前开始排队。</t>
  </si>
  <si>
    <t>半个时辰过去了，还没排到我。</t>
  </si>
  <si>
    <t>（……站得腿都麻了。还是想个其他办法找老板吧。）</t>
  </si>
  <si>
    <t>排队的食客见我要走，连忙劝住了我。</t>
  </si>
  <si>
    <t>排队的食客</t>
  </si>
  <si>
    <t>姑娘别走啊，这请菌入瓮可是物有所值的，排个队当真不亏！</t>
  </si>
  <si>
    <t>众人只说好吃，可我却尝得出来。他家汤底中可是放了&lt;c=#db3e63ff&gt;胡椒&lt;/c&gt;的。</t>
  </si>
  <si>
    <t>尚京的火锅底料加了&lt;c=#db3e63ff&gt;胡椒&lt;/c&gt;的，原先可只有海面捞一家。而海面捞可比这家贵多了。</t>
  </si>
  <si>
    <t>29;105068;1</t>
  </si>
  <si>
    <t>（什么？&lt;c=#db3e63ff&gt;胡椒&lt;/c&gt;？&lt;c=#db3e63ff&gt;胡椒&lt;/c&gt;可贵得要命！那他家价格为何还如此便宜？）</t>
  </si>
  <si>
    <t>不多时，老板出来将我引到了一处雅间。</t>
  </si>
  <si>
    <t>朱老板</t>
  </si>
  <si>
    <t>不知蔡食神有何话带到？</t>
  </si>
  <si>
    <t>（只能胡诳他了……）</t>
  </si>
  <si>
    <t>这个，三日后便是美食榜更新之日了，近来请菌入瓮风头大盛，三日后有望进入前三。</t>
  </si>
  <si>
    <t>哇，真是好消息，多谢姑娘带话。</t>
  </si>
  <si>
    <t>只是，有一事不知当不当讲。最近有传闻，海面捞的火，是你放的。</t>
  </si>
  <si>
    <t>若此事属实，请菌入瓮的排名将会被视为恶意打榜，从美食榜除名！</t>
  </si>
  <si>
    <t>哎呀，姑娘这是从哪儿听的这等传闻？</t>
  </si>
  <si>
    <t>明明是海面捞自己放的火——这事&lt;c=#db3e63ff&gt;望火队&lt;/c&gt;不是已经下了定论了么？</t>
  </si>
  <si>
    <t>什么？！</t>
  </si>
  <si>
    <t>望火队说查出纵火原因了，姑娘可去问，只是蔡食神那边，姑娘可得替我解释清楚。</t>
  </si>
  <si>
    <t>（竟会如此？看来得去问问望火队了。）</t>
  </si>
  <si>
    <t>2004|2006</t>
  </si>
  <si>
    <t>（望火队的内部信息，只怕也不会给我一个探子看。）</t>
  </si>
  <si>
    <t>要怎么得到望火队的资料呢？</t>
  </si>
  <si>
    <t>90200403</t>
  </si>
  <si>
    <t>求助猫猫</t>
  </si>
  <si>
    <t>30;2041;10000</t>
  </si>
  <si>
    <t>我吩咐识字的猫咪潜入了望火队的资料阁，成功找到了案件记录。</t>
  </si>
  <si>
    <t>大小姐，那家海面捞为什么要烧自己的店啊？</t>
  </si>
  <si>
    <t>我正在看呢。……“海面捞被举报&lt;c=#db3e63ff&gt;走私胡椒&lt;/c&gt;，为逃避检查，故纵火烧店……”</t>
  </si>
  <si>
    <t>“同时造谣嫁祸其他店家。”</t>
  </si>
  <si>
    <t>胡椒？那玩意儿可呛人了。也不知道你们人类为何那么喜欢。</t>
  </si>
  <si>
    <t>啊，胡椒。早该想到的。我就说海面捞的锅底涮肉不膻反鲜，还暖体生津……</t>
  </si>
  <si>
    <t>只是想了想，我的口水便差点又流了下来。</t>
  </si>
  <si>
    <t>（不行……又陷入僵局了，不如回海面捞查一下纵火现场吧。）</t>
  </si>
  <si>
    <t>2005</t>
  </si>
  <si>
    <t>我回到了海面捞，只见海面捞小哥守在门前，只怕无法溜到着火的后院。</t>
  </si>
  <si>
    <t>如何溜进去纵火现场？</t>
  </si>
  <si>
    <t>90200503|90200504</t>
  </si>
  <si>
    <t>鼓动小哥扯面</t>
  </si>
  <si>
    <t>30;2051;10000</t>
  </si>
  <si>
    <t>说服小哥放行</t>
  </si>
  <si>
    <t>30;2061;10000</t>
  </si>
  <si>
    <t>我拉过一个路人，说海面捞送扯面，路人成功的缠住了小哥。</t>
  </si>
  <si>
    <t>我的店也被烧过！当时找到不少蛛丝马迹呢。</t>
  </si>
  <si>
    <t>放我进去，我一定可以发现一些有用的线索的。</t>
  </si>
  <si>
    <t>那你不要呆太久哦，毕竟望火队已经封了现场说不允许闲杂人等入内呢。</t>
  </si>
  <si>
    <t>我进了后院起火的厢房，唤了阿橘一起来调查。</t>
  </si>
  <si>
    <t>喂，大小姐，你看这个盒子~</t>
  </si>
  <si>
    <t>里面好像有胡椒的味道。啊，啊，啊嚏！</t>
  </si>
  <si>
    <t>阿橘正在一个烧糊的盒子前打喷嚏。那盒子锁被翘过，我一拔便打了开来。</t>
  </si>
  <si>
    <t>咦，盒子内部倒是没有烧毁，可也&lt;c=#db3e63ff&gt;不见胡椒&lt;/c&gt;。</t>
  </si>
  <si>
    <t>我将盒子放回了原处，心中已有定数。</t>
  </si>
  <si>
    <t>走到海面捞店前，海面捞小哥刚扯完一根面。</t>
  </si>
  <si>
    <t>我趁人不备，凑过去将小哥拉至偏僻处。</t>
  </si>
  <si>
    <t>【悄声】你们店是不是用了胡椒！不会是走私来的吧！</t>
  </si>
  <si>
    <t>哎？你竟知道我们店用了胡椒？姑娘莫非是食神门下的食客？</t>
  </si>
  <si>
    <t>走私一事可是莫须有的罪名。我们的胡椒皆是北方的总店从外邦收了货，按需发到各个分店的。</t>
  </si>
  <si>
    <t>每一批都有向官府报备，只是备文被一把火烧了……但官府定有存据的。</t>
  </si>
  <si>
    <t>（的确……若是走私的胡椒，何不一把撒了即是？放火岂不是损失更惨重？）</t>
  </si>
  <si>
    <t>（倒是那&lt;c=#db3e63ff&gt;请菌入瓮&lt;/c&gt;的胡椒，来路更为可疑。）</t>
  </si>
  <si>
    <t>是时候整理收集的信息，回探事轩提交委托了。</t>
  </si>
  <si>
    <t>我再次来到请菌入瓮。</t>
  </si>
  <si>
    <t>偷偷溜了进去，趁着四下无人</t>
  </si>
  <si>
    <t>90200603</t>
  </si>
  <si>
    <t>先去后厨调查吧</t>
  </si>
  <si>
    <t>30;2071;10000</t>
  </si>
  <si>
    <t>我让阿橘帮忙，很快便找到了一罐胡椒。</t>
  </si>
  <si>
    <t>（咦？这是……）</t>
  </si>
  <si>
    <t>我在装胡椒罐口封条上看到了胡椒购买备文号，上面还有海面捞和官府的印章。</t>
  </si>
  <si>
    <t>（找到了！果然是请菌入瓮盗了海面捞的胡椒！）</t>
  </si>
  <si>
    <t>29;105069;1</t>
  </si>
  <si>
    <t>接下来，我应该……</t>
  </si>
  <si>
    <t>90200609</t>
  </si>
  <si>
    <t>找老板对峙</t>
  </si>
  <si>
    <t>7;105069;1</t>
  </si>
  <si>
    <t>我找到了朱老板。</t>
  </si>
  <si>
    <t>朱老板，我已经查到你纵火的证据了！</t>
  </si>
  <si>
    <t>看着我手中的胡椒罐，朱老板的脸色忽青忽白。</t>
  </si>
  <si>
    <t>你听食客们讨论说海面捞有胡椒，便想方设法将胡椒偷了。</t>
  </si>
  <si>
    <t>29;105070;1</t>
  </si>
  <si>
    <t>可胡椒太过贵重，丢失后海面捞一定会察觉。</t>
  </si>
  <si>
    <t>于是你便一不做二不休将店烧了！还顺手举报海面捞走私，是不是这样？</t>
  </si>
  <si>
    <t>是又如何？除了你手中的罐子，你可还有其他证据？</t>
  </si>
  <si>
    <t>我还可以说你这罐子是自己偷的，跟我有什么关系？</t>
  </si>
  <si>
    <t>证据嘛，其实还挺好找的。</t>
  </si>
  <si>
    <t>让食神尝尝你们店的汤底中是否有胡椒，若有的话，查查你们店可有胡椒购买备文便可知了。</t>
  </si>
  <si>
    <t>更何况，我还有人证呢。</t>
  </si>
  <si>
    <t>我打了个响指，望火队队长便从门外走了进来，朱老板登时脸色煞白。</t>
  </si>
  <si>
    <t>望火队队长</t>
  </si>
  <si>
    <t>好嘞，口供和赃物都有了。至于其他证据嘛。</t>
  </si>
  <si>
    <t>多谢姑娘提供的线索，接下来的事情就交给我们罢了。</t>
  </si>
  <si>
    <t>朱老板，跟我们走一趟吧。</t>
  </si>
  <si>
    <t>1711</t>
  </si>
  <si>
    <t>1721</t>
  </si>
  <si>
    <t>1731</t>
  </si>
  <si>
    <t>1741</t>
  </si>
  <si>
    <t>1811</t>
  </si>
  <si>
    <t>1821</t>
  </si>
  <si>
    <t>1831</t>
  </si>
  <si>
    <t>1841</t>
  </si>
  <si>
    <t>1851</t>
  </si>
  <si>
    <t>1861</t>
  </si>
  <si>
    <t>1911</t>
  </si>
  <si>
    <t>1921</t>
  </si>
  <si>
    <t>1931</t>
  </si>
  <si>
    <t>1941</t>
  </si>
  <si>
    <t>1951</t>
  </si>
  <si>
    <t>1961</t>
  </si>
  <si>
    <t>1971</t>
  </si>
  <si>
    <t>1981</t>
  </si>
  <si>
    <t>2011</t>
  </si>
  <si>
    <t>2021</t>
  </si>
  <si>
    <t>2031</t>
  </si>
  <si>
    <t>2041</t>
  </si>
  <si>
    <t>2051</t>
  </si>
  <si>
    <t>2061</t>
  </si>
  <si>
    <t>2071</t>
  </si>
  <si>
    <t>店里的泥土</t>
  </si>
  <si>
    <t>婆婆店内有一些红色泥土，取了一些。</t>
  </si>
  <si>
    <t>花婆婆给了我一束渡灵草。</t>
  </si>
  <si>
    <t>闯店者的身份</t>
  </si>
  <si>
    <t>原来夜间闯入花婆婆店铺的人是白沧！</t>
  </si>
  <si>
    <t>旧香囊</t>
  </si>
  <si>
    <t>白沧递给了我一个极旧的香囊让我带给花婆婆。</t>
  </si>
  <si>
    <t>小姐与猫</t>
  </si>
  <si>
    <t>周三小姐确实喜欢猫，但是猫却不喜欢周三小姐。</t>
  </si>
  <si>
    <t>小姐的红疹</t>
  </si>
  <si>
    <t>周三小姐每次接触猫，便会打喷嚏，出红疹子。</t>
  </si>
  <si>
    <t>掉毛之症</t>
  </si>
  <si>
    <t>小猫说，三小姐每次碰完它们，都会掉毛掉的厉害。</t>
  </si>
  <si>
    <t>治标不治本</t>
  </si>
  <si>
    <t>三小姐不能碰猫，可能不是病，而是别的原因。</t>
  </si>
  <si>
    <t>梅花脚印</t>
  </si>
  <si>
    <t>墙上似乎留下了浅色的小动物脚印，我觉得是猫的</t>
  </si>
  <si>
    <t>抹油的树枝</t>
  </si>
  <si>
    <t>墙边树枝上被抹了油</t>
  </si>
  <si>
    <t>黑猫的口供</t>
  </si>
  <si>
    <t>黑猫说，是胖头余往树上抹油的。</t>
  </si>
  <si>
    <t>孙二少爷的罗帕</t>
  </si>
  <si>
    <t>罗帕上题了个“孙”字，还有一首诗：“婵娟知我意，春风送相思”</t>
  </si>
  <si>
    <t>汤底秘方</t>
  </si>
  <si>
    <t>据食客所言，请菌入瓮的汤底内是加了胡椒的</t>
  </si>
  <si>
    <t>被盗的胡椒</t>
  </si>
  <si>
    <t>海面捞被盗的胡椒在请菌入瓮的后厨找到了。</t>
  </si>
  <si>
    <t>朱老板的口供</t>
  </si>
  <si>
    <t>朱老板终于承认自家的胡椒是偷了海面捞的。火也是他放的</t>
  </si>
  <si>
    <t>城外破庙</t>
  </si>
  <si>
    <t>周府</t>
  </si>
  <si>
    <t>周府花园</t>
  </si>
  <si>
    <t>周府闺房</t>
  </si>
  <si>
    <t>济世医馆</t>
  </si>
  <si>
    <t>小狸奴</t>
  </si>
  <si>
    <t>孙府</t>
  </si>
  <si>
    <t>案发现场</t>
  </si>
  <si>
    <t>海面捞</t>
  </si>
  <si>
    <t>请菌入瓮</t>
  </si>
  <si>
    <t>望火队</t>
  </si>
  <si>
    <t>花婆婆委托，说店里有贼人入侵，留下了泥土脚印，但却没做坏事</t>
  </si>
  <si>
    <t>一筹莫展，找到猫咪调查，得知泥土源于远郊。</t>
  </si>
  <si>
    <t>找花婆婆了解了更多细节。</t>
  </si>
  <si>
    <t>从公子歇处得知一些关于长生不老的传闻。</t>
  </si>
  <si>
    <t>询问白沧与花婆婆的往事。</t>
  </si>
  <si>
    <t>给斑斑带渡灵草。</t>
  </si>
  <si>
    <t>公子歇嘱托我此任务注意保密后，我便出发了。</t>
  </si>
  <si>
    <t>我被周府森严的门禁拦住，想办法混进府中。</t>
  </si>
  <si>
    <t>在花园发现对猫儿充满期待的三小姐，但猫儿避开了她。</t>
  </si>
  <si>
    <t>听路过的丫鬟说，三小姐碰猫后，又长了红疹子。</t>
  </si>
  <si>
    <t>追上小猫，问得它们与三小姐接触后，掉毛异常厉害</t>
  </si>
  <si>
    <t>周家的大夫告诉我，三小姐的症状兴许不是病理所致。</t>
  </si>
  <si>
    <t>偶遇凌半仙，替我算了一卦，暗示我不要再追查。</t>
  </si>
  <si>
    <t>回探事轩提交此番调查的结果，心中有些不甘。</t>
  </si>
  <si>
    <t>前往孙府与家仆聊了聊，得知了案发地点</t>
  </si>
  <si>
    <t>来的案发现场，竟然遇到了来寻猫的仙人沈既明。</t>
  </si>
  <si>
    <t>找到了目睹案发经过的小黑猫，还未来得及发问，黑猫便被沈既明带走</t>
  </si>
  <si>
    <t>来到无人谷找目击黑猫询问了事情的经过。</t>
  </si>
  <si>
    <t>我来湖畔找胖头余，得知的确是他往婵娟的桃树上抹油的。</t>
  </si>
  <si>
    <t>重回案发现场调查，撞见了修罗场</t>
  </si>
  <si>
    <t>回到孙府，探望兵安慰了醒过来的孙二少爷。</t>
  </si>
  <si>
    <t>海面捞火锅店走水，店家小哥称竞争对手为争夺美食排行榜所为。</t>
  </si>
  <si>
    <t>美食点评家称，最近请菌入瓮排名快速上升，有些可疑。</t>
  </si>
  <si>
    <t>请菌入瓮老板否认纵火，反说望火队怀疑海面捞是自己放火。</t>
  </si>
  <si>
    <t>望火队的内部消息称海面捞被举报走私胡椒，因此纵火掩盖证据。</t>
  </si>
  <si>
    <t>调查案发现场，发现海面捞遗失了一罐昂贵的胡椒。</t>
  </si>
  <si>
    <t>在请菌入瓮的后厨发现了海面捞遗失的胡椒，真相水落石出。</t>
  </si>
  <si>
    <t>1;1904;1|1;1905;1|4;100;0</t>
    <phoneticPr fontId="27" type="noConversion"/>
  </si>
  <si>
    <t>1;1808;1|3;105063;1|4;100;0</t>
    <phoneticPr fontId="27" type="noConversion"/>
  </si>
  <si>
    <t>1;1703;1|3;105057;1|4;100;0</t>
    <phoneticPr fontId="27" type="noConversion"/>
  </si>
  <si>
    <t>1;1608;1|1;1605;1|4;100;0</t>
    <phoneticPr fontId="27" type="noConversion"/>
  </si>
  <si>
    <t>……莫非，你以为这召函是喜帖？</t>
  </si>
  <si>
    <t>&lt;c=#db3e63ff&gt;九张机&lt;/c&gt;可不是那么容易达到的，不过姑娘的话，一定可以。</t>
  </si>
  <si>
    <t>姑娘莫担心，考核召函已经将文章标准以及所需资料一一标注清楚了，姑娘有不懂的可随时来找我。</t>
  </si>
  <si>
    <t>快去写论文罢。预祝姑娘考核成功。</t>
  </si>
  <si>
    <t>29;105998;1</t>
  </si>
  <si>
    <t>（大功告成！去探事轩提交论文吧！）</t>
  </si>
  <si>
    <t>我来到了探事轩。</t>
  </si>
  <si>
    <t>接下来是提交考核论文，等待审核了。</t>
  </si>
  <si>
    <t>95010303</t>
  </si>
  <si>
    <t>提交论文</t>
  </si>
  <si>
    <t>7;105998;1</t>
  </si>
  <si>
    <t>太好了！</t>
  </si>
  <si>
    <t>没有了。只是突然好奇，姑娘可有婚配？</t>
  </si>
  <si>
    <t>没有其他事了。我先告辞。再次恭贺姑娘凡星阁晋级。</t>
  </si>
  <si>
    <t>考核论文</t>
  </si>
  <si>
    <t>凡星阁晋级考核论文</t>
  </si>
  <si>
    <t>95020111|95020112|95020113</t>
  </si>
  <si>
    <t>95020119</t>
  </si>
  <si>
    <t>你若好奇，不妨查查看？</t>
  </si>
  <si>
    <t>1;5;100</t>
    <phoneticPr fontId="27" type="noConversion"/>
  </si>
  <si>
    <t>以下为茶楼关卡战斗</t>
    <phoneticPr fontId="32" type="noConversion"/>
  </si>
  <si>
    <t>32;10011;3</t>
  </si>
  <si>
    <t>32;10021;3</t>
  </si>
  <si>
    <t>28;230020;5</t>
  </si>
  <si>
    <t>32;10011;5</t>
  </si>
  <si>
    <t>32;10021;5</t>
  </si>
  <si>
    <t>28;230030;5</t>
  </si>
  <si>
    <t>0;10</t>
    <phoneticPr fontId="32" type="noConversion"/>
  </si>
  <si>
    <t>29;105047;1</t>
  </si>
  <si>
    <t>7;105047;1</t>
  </si>
  <si>
    <t>29;105048;1</t>
  </si>
  <si>
    <t>7;105048;1</t>
  </si>
  <si>
    <t>29;105049;1</t>
  </si>
  <si>
    <t>29;105050;1</t>
  </si>
  <si>
    <t>打听了一圈，我终于找到了黄龟公。</t>
  </si>
  <si>
    <t>7;105049;1</t>
  </si>
  <si>
    <t>7;105050;1</t>
  </si>
  <si>
    <t>7;105052;1</t>
  </si>
  <si>
    <t>29;105051;1</t>
  </si>
  <si>
    <t>29;105052;1</t>
  </si>
  <si>
    <t>7;105051;1</t>
  </si>
  <si>
    <t>29;105053;1</t>
  </si>
  <si>
    <t>29;105054;1</t>
  </si>
  <si>
    <t>29;105055;1</t>
  </si>
  <si>
    <t>2|7;105053;1|7;105054;1|7;105055;1</t>
  </si>
  <si>
    <t>8;40069;1</t>
  </si>
  <si>
    <t>斑斑，看，这是什么！铛铛铛铛！</t>
  </si>
  <si>
    <t>负责美食榜的，是&lt;c=#db3e63ff&gt;蔡将均&lt;/c&gt;，姑娘可以去问问他。</t>
  </si>
  <si>
    <t>等到蔡将均的那一瞬间，我便打消了这个念头。</t>
  </si>
  <si>
    <t>3;105033;1|3;105034;1|4;100;0</t>
    <phoneticPr fontId="27" type="noConversion"/>
  </si>
  <si>
    <t>90210101</t>
  </si>
  <si>
    <t>21</t>
  </si>
  <si>
    <t>1;178</t>
  </si>
  <si>
    <t>90210201</t>
  </si>
  <si>
    <t>90210301</t>
  </si>
  <si>
    <t>1;179</t>
  </si>
  <si>
    <t>90210401</t>
  </si>
  <si>
    <t>1;180</t>
  </si>
  <si>
    <t>90210501</t>
  </si>
  <si>
    <t>90210601</t>
  </si>
  <si>
    <t>1;181</t>
  </si>
  <si>
    <t>90210701</t>
  </si>
  <si>
    <t>1;182</t>
  </si>
  <si>
    <t>90210801</t>
  </si>
  <si>
    <t>0;40074</t>
  </si>
  <si>
    <t>90220101</t>
  </si>
  <si>
    <t>22</t>
  </si>
  <si>
    <t>90220201</t>
  </si>
  <si>
    <t>90220301</t>
  </si>
  <si>
    <t>90220401</t>
  </si>
  <si>
    <t>1;184</t>
  </si>
  <si>
    <t>90220501</t>
  </si>
  <si>
    <t>90220601</t>
  </si>
  <si>
    <t>90220701</t>
  </si>
  <si>
    <t>90230101</t>
  </si>
  <si>
    <t>23</t>
  </si>
  <si>
    <t>90230201</t>
  </si>
  <si>
    <t>1;188</t>
  </si>
  <si>
    <t>90230301</t>
  </si>
  <si>
    <t>1;189</t>
  </si>
  <si>
    <t>90230401</t>
  </si>
  <si>
    <t>1;190</t>
  </si>
  <si>
    <t>90230501</t>
  </si>
  <si>
    <t>90230601</t>
  </si>
  <si>
    <t>90230701</t>
  </si>
  <si>
    <t>90230801</t>
  </si>
  <si>
    <t>90230901</t>
  </si>
  <si>
    <t>90231001</t>
  </si>
  <si>
    <t>1;192</t>
  </si>
  <si>
    <t>90240101</t>
  </si>
  <si>
    <t>24</t>
  </si>
  <si>
    <t>1;193</t>
  </si>
  <si>
    <t>90240201</t>
  </si>
  <si>
    <t>90240301</t>
  </si>
  <si>
    <t>90240401</t>
  </si>
  <si>
    <t>0;40060</t>
  </si>
  <si>
    <t>90240501</t>
  </si>
  <si>
    <t>1;195</t>
  </si>
  <si>
    <t>90240601</t>
  </si>
  <si>
    <t>1;196</t>
  </si>
  <si>
    <t>90240701</t>
  </si>
  <si>
    <t>90250101</t>
  </si>
  <si>
    <t>25</t>
  </si>
  <si>
    <t>1;198</t>
  </si>
  <si>
    <t>90250201</t>
  </si>
  <si>
    <t>1;199</t>
  </si>
  <si>
    <t>90250301</t>
  </si>
  <si>
    <t>90250401</t>
  </si>
  <si>
    <t>1;200</t>
  </si>
  <si>
    <t>90250501</t>
  </si>
  <si>
    <t>1;201</t>
  </si>
  <si>
    <t>90250601</t>
  </si>
  <si>
    <t>1;202</t>
  </si>
  <si>
    <t>90250701</t>
  </si>
  <si>
    <t>1;203</t>
  </si>
  <si>
    <t>90260101</t>
  </si>
  <si>
    <t>26</t>
  </si>
  <si>
    <t>1;204</t>
  </si>
  <si>
    <t>90260201</t>
  </si>
  <si>
    <t>90260301</t>
  </si>
  <si>
    <t>90260401</t>
  </si>
  <si>
    <t>90260501</t>
  </si>
  <si>
    <t>90260601</t>
  </si>
  <si>
    <t>90260701</t>
  </si>
  <si>
    <t>90260801</t>
  </si>
  <si>
    <t>90260901</t>
  </si>
  <si>
    <t>90261001</t>
  </si>
  <si>
    <t>1;207</t>
  </si>
  <si>
    <t>90270101</t>
  </si>
  <si>
    <t>27</t>
  </si>
  <si>
    <t>1;208</t>
  </si>
  <si>
    <t>90270201</t>
  </si>
  <si>
    <t>1;209</t>
  </si>
  <si>
    <t>90270301</t>
  </si>
  <si>
    <t>1;210</t>
  </si>
  <si>
    <t>90270401</t>
  </si>
  <si>
    <t>1;211</t>
  </si>
  <si>
    <t>90270501</t>
  </si>
  <si>
    <t>90270601</t>
  </si>
  <si>
    <t>90270701</t>
  </si>
  <si>
    <t>90280101</t>
  </si>
  <si>
    <t>28</t>
  </si>
  <si>
    <t>90280201</t>
  </si>
  <si>
    <t>90280301</t>
  </si>
  <si>
    <t>90280401</t>
  </si>
  <si>
    <t>90280501</t>
  </si>
  <si>
    <t>90280601</t>
  </si>
  <si>
    <t>90280701</t>
  </si>
  <si>
    <t>90280801</t>
  </si>
  <si>
    <t>90280901</t>
  </si>
  <si>
    <t>90281001</t>
  </si>
  <si>
    <t>90290101</t>
  </si>
  <si>
    <t>29</t>
  </si>
  <si>
    <t>90290201</t>
  </si>
  <si>
    <t>90290301</t>
  </si>
  <si>
    <t>90290401</t>
  </si>
  <si>
    <t>90290501</t>
  </si>
  <si>
    <t>90290601</t>
  </si>
  <si>
    <t>90290701</t>
  </si>
  <si>
    <t>90290801</t>
  </si>
  <si>
    <t>1;221</t>
  </si>
  <si>
    <t>90290901</t>
  </si>
  <si>
    <t>1;222</t>
  </si>
  <si>
    <t>90291001</t>
  </si>
  <si>
    <t>1;223</t>
  </si>
  <si>
    <t>90300101</t>
  </si>
  <si>
    <t>30</t>
  </si>
  <si>
    <t>1;224</t>
  </si>
  <si>
    <t>90300201</t>
  </si>
  <si>
    <t>90300301</t>
  </si>
  <si>
    <t>1;225</t>
  </si>
  <si>
    <t>90300401</t>
  </si>
  <si>
    <t>1;226</t>
  </si>
  <si>
    <t>90300501</t>
  </si>
  <si>
    <t>1;227</t>
  </si>
  <si>
    <t>90300601</t>
  </si>
  <si>
    <t>90300701</t>
  </si>
  <si>
    <t>我来到花街，找到了艳归月。</t>
  </si>
  <si>
    <t>哟，小探子，是你。</t>
  </si>
  <si>
    <t>我是来替你寻人的。听说你这边走丢了一个女子？</t>
  </si>
  <si>
    <t>可近日来花满楼的姑娘们开始抱怨她们的衣物要么没人洗，要么是洗不干净。</t>
  </si>
  <si>
    <t>我派人去查，这才发现，有个浆洗妇人已经几日未见了。</t>
  </si>
  <si>
    <t>几日了才发现员工不见了？街长你这上司当的有些渎职啊。</t>
  </si>
  <si>
    <t>艳归月眨了眨眼，笑得如同吐信子的毒蛇。</t>
  </si>
  <si>
    <t>姑娘说的没错，本街长也深刻反省了自己，于是差了人来好好问话。</t>
  </si>
  <si>
    <t>你说奇怪不奇怪，那么大个活人，竟然没有一个人能准确记得她的全名。</t>
  </si>
  <si>
    <t>29;105071;1</t>
  </si>
  <si>
    <t>艳归月眯着眼，缓缓吐出一个烟圈。</t>
  </si>
  <si>
    <t>我差人去查查她的信息，这才发现，她留下的姓名、住址以及家属竟皆为伪造。</t>
  </si>
  <si>
    <t>（这事有意思……莫非是什么暗探？）</t>
  </si>
  <si>
    <t>若能查清此人背后目的，以及她的真实身份，本街长一定不会亏待你。</t>
  </si>
  <si>
    <t>只是那浆洗活计一下少了个人，还真是令本街长头疼。</t>
  </si>
  <si>
    <t>那妇人虽奇怪，可干活却是极一丝不苟，平日里姑娘们仍在凳子上的干净衣物她也都会收得极为整齐。</t>
  </si>
  <si>
    <t>你别看花街的姑娘们个个如花似玉，实则出个门得换十多套衣物，丫鬟们都收不过来。</t>
  </si>
  <si>
    <t>这两日，我一进她们房间，触目便是堆得到处都是的衣物。</t>
  </si>
  <si>
    <t>姑娘，你在家可也有这般毛病？</t>
  </si>
  <si>
    <t>咳……这你就不懂了，姑娘们永远都缺一套衣服——出门那套。</t>
  </si>
  <si>
    <t>至于椅子嘛……放久了自然就会长衣服的。这都是玄学。</t>
  </si>
  <si>
    <t>艳归月嫌弃地看着我摇了摇头。</t>
  </si>
  <si>
    <t>总之，一时半会要想找着能代替她干活的人，只怕不可能了。</t>
  </si>
  <si>
    <t>此人身份目的不详，若是她回来了，艳街长可还愿用她？</t>
  </si>
  <si>
    <t>艳归月只是似笑非笑地看着我，没有回答，只转身离去了。</t>
  </si>
  <si>
    <t>2102</t>
  </si>
  <si>
    <t>我决定在花满楼打探一下，看有无线索。</t>
  </si>
  <si>
    <t>该如何调查呢？</t>
  </si>
  <si>
    <t>90210203|90210204</t>
  </si>
  <si>
    <t>问人</t>
  </si>
  <si>
    <t>问猫</t>
  </si>
  <si>
    <t>30;2111;10000</t>
  </si>
  <si>
    <t>我决定问问花满楼的姑娘薛姐的信息。</t>
  </si>
  <si>
    <t>柳姑娘</t>
  </si>
  <si>
    <t>……你这么一问，我倒是有印象的。</t>
  </si>
  <si>
    <t>她话很少，送衣服来时也不抬头，不说话。</t>
  </si>
  <si>
    <t>除了身形瘦之外，我的确连她的容貌都没有仔细瞧过。</t>
  </si>
  <si>
    <t>我连拦住几位姑娘和伙计细细问了，皆是这般回答。</t>
  </si>
  <si>
    <t>（哇，还真有存在感这么低的人！竟没人记得她的样貌……）</t>
  </si>
  <si>
    <t>（看来问不出什么结果了，不如问问猫儿吧。）</t>
  </si>
  <si>
    <t>我在庭院内找到了一只犯困的小野猫。</t>
  </si>
  <si>
    <t>小野猫</t>
  </si>
  <si>
    <t>向我打听人？可算是问对人了。</t>
  </si>
  <si>
    <t>说吧，什么特征？</t>
  </si>
  <si>
    <t>……倒是没有什么人记得她的特征……</t>
  </si>
  <si>
    <t>那你问个球球，打扰人家睡觉。边儿去。</t>
  </si>
  <si>
    <t>而且她最近应当是没有来过花满楼的。</t>
  </si>
  <si>
    <t>小野猫原本还在打呵欠，听到这里眼前一亮。</t>
  </si>
  <si>
    <t>我知道她！整个花满楼的人，闻着不是男人臭就是脂粉香，只有她最特别啦。</t>
  </si>
  <si>
    <t>我不喜欢那个毯子，所以找机会想报复她。我超级注意她的，平时经常跟踪她，还偷偷去过她家呢。</t>
  </si>
  <si>
    <t>……呃，听着有点奇怪的样子。</t>
  </si>
  <si>
    <t>我还在她喝水的茶杯里洗脚。</t>
  </si>
  <si>
    <t>……嗯嗯， 也不止你一只猫有这个怪癖啦。</t>
  </si>
  <si>
    <t>我还躺在她床下的箱子里睡觉。</t>
  </si>
  <si>
    <t>……我知道了。</t>
  </si>
  <si>
    <t>我还半夜去她的枕头边查看她有没有死掉！</t>
  </si>
  <si>
    <t>那么，她家住哪里呢？</t>
  </si>
  <si>
    <t>你也要去躺她家床底下睡觉么？</t>
  </si>
  <si>
    <t>你是一只可爱的小猫咪，做这等事是没有什么关系的。可人类这么做的话可能会被人打死呢。</t>
  </si>
  <si>
    <t>我只是想找到她而已。</t>
  </si>
  <si>
    <t>我也已经找她好久了。可你去了她家，也未必找得到她呢。最近几日，她的屋子里都没有她的味道啦。</t>
  </si>
  <si>
    <t>即便如此，也总要过去看看有没有其他线索的。</t>
  </si>
  <si>
    <t>小野猫打了个呵欠，告诉了我详细地址便眯着眼开始甩尾巴。</t>
  </si>
  <si>
    <t>我拿到小野猫给的地址，决意先周边找人打听些其他信息。</t>
  </si>
  <si>
    <t>找一下有没有人可以打听</t>
  </si>
  <si>
    <t>90210303</t>
  </si>
  <si>
    <t>搜寻</t>
  </si>
  <si>
    <t>30;2121;10000</t>
  </si>
  <si>
    <t>我找到一位女子。听了我描述，思索了片刻。</t>
  </si>
  <si>
    <t>邻居乙</t>
  </si>
  <si>
    <t>这户人家呀，我有点印象。是一位独居女子独居在此处。</t>
  </si>
  <si>
    <t>平日里沉默寡言，总是心事重重的样子。</t>
  </si>
  <si>
    <t>那走商虽不算大富大贵，却也真心实意，她若同意了，也不失是个安身之处。</t>
  </si>
  <si>
    <t>29;105072;1</t>
  </si>
  <si>
    <t>你知道那走商在哪里么？</t>
  </si>
  <si>
    <t>2104</t>
  </si>
  <si>
    <t>我来到邻居口中的这家茶叶铺子，却见这家伙计正准备关门。</t>
  </si>
  <si>
    <t>哎，你好，请问一下，这家店为何要关？</t>
  </si>
  <si>
    <t>你是什么人？</t>
  </si>
  <si>
    <t>怎么回答他呢？</t>
  </si>
  <si>
    <t>90210405|90210406</t>
  </si>
  <si>
    <t>假装顾客</t>
  </si>
  <si>
    <t>30;2131;10000</t>
  </si>
  <si>
    <t>利用八卦套话</t>
  </si>
  <si>
    <t>7;105072;1</t>
  </si>
  <si>
    <t>我是来买茶叶的。</t>
  </si>
  <si>
    <t>姑娘，今日实在是不方便，老板已经决定将铺子变卖掉了。</t>
  </si>
  <si>
    <t>这店怎么今日就关门了呢？</t>
  </si>
  <si>
    <t>老板已经决定将铺子变卖掉啦。</t>
  </si>
  <si>
    <t>（薛兰失踪，这个老板也要变卖铺子……总觉的有蹊跷！）</t>
  </si>
  <si>
    <t>怎么会如此突然？你可知其中缘故？</t>
  </si>
  <si>
    <t>这两日便要启程了。</t>
  </si>
  <si>
    <t>（新夫人……莫非是薛兰，薛姐？）</t>
  </si>
  <si>
    <t>我追问下去，伙计却说没有见过薛兰。</t>
  </si>
  <si>
    <t>那时候路上有劫匪盯上她这笔钱，还差点将她卖去当苦力。老板瞧着她可怜，便给了点银子救了她下来。</t>
  </si>
  <si>
    <t>后面还时时照顾，可她始终没有答应嫁给老板。这次也不知为何，竟终于想开了。</t>
  </si>
  <si>
    <t>你们老板倒是个好人。</t>
  </si>
  <si>
    <t>啊，是这样，薛姐在花满楼做浆洗活计，最近没有去，所以……</t>
  </si>
  <si>
    <t>话还未说完，却见伙计神色奇异地上下打量着我。</t>
  </si>
  <si>
    <t>不不不，我只是个扫地的！</t>
  </si>
  <si>
    <t>哇！花满楼的扫地姑娘都似仙女一般，真是太让人向往了。</t>
  </si>
  <si>
    <t>……我们街长艳归月那才是美人呢！哎，你知道哪里能找到薛姐或者你家老板么？</t>
  </si>
  <si>
    <t>2105</t>
  </si>
  <si>
    <t>来到伙计所说的客栈，我打听了一圈，终于见知道了那位走商的房间号。</t>
  </si>
  <si>
    <t>我敲开房门，走商开了门，客房内却只见他一人。</t>
  </si>
  <si>
    <t>请问，薛兰薛姐和你在一起么？</t>
  </si>
  <si>
    <t>走商的脸色一变，便要关门。</t>
  </si>
  <si>
    <t>90210505</t>
  </si>
  <si>
    <t>30;2141;10000</t>
  </si>
  <si>
    <t>哎，等等，我们聊一下……</t>
  </si>
  <si>
    <t>劝了好半天，走商这才脸色极差地把我放了进来。</t>
  </si>
  <si>
    <t>走商</t>
  </si>
  <si>
    <t>啊？什么？</t>
  </si>
  <si>
    <t>我早知道，她应该惹了什么事情上身。</t>
  </si>
  <si>
    <t>说完，走商用双手抹了把脸，深深叹了口气。</t>
  </si>
  <si>
    <t>29;105073;1</t>
  </si>
  <si>
    <t>可没想到她就在我眼皮底下被带走了。</t>
  </si>
  <si>
    <t>我护不住她，哎……我真没用。</t>
  </si>
  <si>
    <t>可我真的……不相信她会做坏事。若真做了，想必也是走投无路……她已经，已经没有什么好失去的了……</t>
  </si>
  <si>
    <t>我一时不知道该说什么好。只安慰了他几句后，便离开了客栈。</t>
  </si>
  <si>
    <t>2106</t>
  </si>
  <si>
    <t>我匆匆赶到定国公府，很快便见到了卫安。</t>
  </si>
  <si>
    <t>不知姑娘问的是那一位？</t>
  </si>
  <si>
    <t>该怎么向卫安描述薛兰？</t>
  </si>
  <si>
    <t>90210604</t>
  </si>
  <si>
    <t>7;105074;1</t>
  </si>
  <si>
    <t>拿出户籍文书</t>
  </si>
  <si>
    <t>对方还是不信你爹爹并非三洛川水灾的罪魁祸首。</t>
  </si>
  <si>
    <t>她在尚京还算安分，主要是盯梢传信，倒是没有参与那些杀人放火之事。</t>
  </si>
  <si>
    <t>（为了过去的仇恨，放弃自己将来，真的值得么……）</t>
  </si>
  <si>
    <t>见我情绪低落，卫安安慰了我几句。</t>
  </si>
  <si>
    <t>姑娘放心，侯爷一定会妥善处理的。她没有重罪，入狱不多久也就出来了。</t>
  </si>
  <si>
    <t>我追了几步，却是追不上。小野猫蹲在巷子里，叼着一块破旧的毛毯，远远地看着我。</t>
  </si>
  <si>
    <t>你再等等，一定很快就能见到她的！</t>
  </si>
  <si>
    <t>小野猫只是甩了一下尾巴，叼着那块毛毯，头也不回的跑开了。</t>
  </si>
  <si>
    <t>我来到南街，顺着小野猫给的地址来到一户民房前。</t>
  </si>
  <si>
    <t>我敲了几下大门，却无人应答。</t>
  </si>
  <si>
    <t>邻居甲</t>
  </si>
  <si>
    <t>你找这户人家？</t>
  </si>
  <si>
    <t>几日没见了，不知道去哪了。</t>
  </si>
  <si>
    <t>你是这户人家的邻居吗？之前居住在这里的女子是什么人？</t>
  </si>
  <si>
    <t>她沉默寡言的，平日里都不跟我们街坊交流的。</t>
  </si>
  <si>
    <t>那时我见她孤苦伶仃的，我便介绍她去花街做些浆洗的活计过日子。</t>
  </si>
  <si>
    <t>想是感激我吧，便跟我多说了几句话，但要问更多，她却是不说了。</t>
  </si>
  <si>
    <t>邻居跟我闲聊了一会，也没有更多有用信息。</t>
  </si>
  <si>
    <t>我绕至后院，而后趁着行人不注意，翻墙跳入了民房内。</t>
  </si>
  <si>
    <t>屋内虽已经因几日没有人居住而起了些尘土，但也可以看出来曾被收拾得非常干净。</t>
  </si>
  <si>
    <t>哟，你果然来了。</t>
  </si>
  <si>
    <t>刚刚踏入房内，我便见桌上蹲着花满楼的那只小野猫正好奇地瞧着我。</t>
  </si>
  <si>
    <t>要用爪子喝水吗？不过这茶壶里的水都空了。</t>
  </si>
  <si>
    <t>没事，我不渴。</t>
  </si>
  <si>
    <t>要不你跟我在她床下躺一会？</t>
  </si>
  <si>
    <t>小野猫盛情邀请我去床底钻一钻</t>
  </si>
  <si>
    <t>30;2151;10000</t>
  </si>
  <si>
    <t>30;2161;10000</t>
  </si>
  <si>
    <t>接受</t>
  </si>
  <si>
    <t>不了，不了。</t>
  </si>
  <si>
    <t>小野猫面露遗憾，往床底下钻了进去。</t>
  </si>
  <si>
    <t>那可是我第一次见她生我的气。</t>
  </si>
  <si>
    <t>（屋内空旷，没有什么东西了，不如看看床底。）</t>
  </si>
  <si>
    <t>和小野猫合力将箱子拖出来后，我掏出簪子撬开了木箱上的锁。</t>
  </si>
  <si>
    <t>29;105074;1</t>
  </si>
  <si>
    <t>薛氏薛兰……这人……莫非和玄门有关？！上面还说……家人全去世了？</t>
  </si>
  <si>
    <t>胡说八道。什么全都去世了，我还活着呢。</t>
  </si>
  <si>
    <t>小野猫一甩尾巴，钻进了床上的被窝里，</t>
  </si>
  <si>
    <t>真讨厌皂角味。哼。被子也是皂角味。</t>
  </si>
  <si>
    <t>小野猫踩了踩被子，打了个呵欠迷迷糊糊的闭上了眼。</t>
  </si>
  <si>
    <t>烦人。不闻还……睡不着。</t>
  </si>
  <si>
    <t>（这小猫虽然看着傲娇，却很亲近那姓薛的女子啊。）</t>
  </si>
  <si>
    <t>（最近找人的委托倒是越来越常见了。）</t>
  </si>
  <si>
    <t>（古德？这名字似乎不像大启的人。）</t>
  </si>
  <si>
    <t>古德</t>
  </si>
  <si>
    <t>……哎？可我蒙着脸。</t>
  </si>
  <si>
    <t>呃~我们说正事吧，古公子，你……</t>
  </si>
  <si>
    <t>我不姓古，我叫古德，姓外瑞。你阔以叫我外瑞古德。</t>
  </si>
  <si>
    <t>外……外瑞公子……</t>
  </si>
  <si>
    <t>你要找你的房东……是最近联系不到他了么？</t>
  </si>
  <si>
    <t>是的。我已经三个月没有交租金了。很是担忧。</t>
  </si>
  <si>
    <t>你说，万一房东递了诉状说我拖欠房租，那我的信誉可就有污点了，以后征信受影响怎么办？</t>
  </si>
  <si>
    <t>我以后可是想在尚京娶妻生子买房的。</t>
  </si>
  <si>
    <t>这事也奇怪，我只听说租客跑路的，头一次听说房东跑路……</t>
  </si>
  <si>
    <t>可不是嘛。欠债还钱，天经地义，姑娘麻烦你帮我查清楚，否则我娘心不安啊。</t>
  </si>
  <si>
    <t>良。是良心。</t>
  </si>
  <si>
    <t>2202</t>
  </si>
  <si>
    <t>我找到了他平日里交租的宅子门前，却发现那宅子前画了个巨大的“拆”字，里面早人去楼空。</t>
  </si>
  <si>
    <t>哇，竟然这么偏僻……</t>
  </si>
  <si>
    <t>宅子看上去没有人，要如何调查？</t>
  </si>
  <si>
    <t>90220205</t>
  </si>
  <si>
    <t>向周围人打听</t>
  </si>
  <si>
    <t>30;2211;10000</t>
  </si>
  <si>
    <t>我敲开邻居家门，打听这户被画了“拆”字的人的信息。</t>
  </si>
  <si>
    <t>邻居</t>
  </si>
  <si>
    <t>29;105075;1</t>
  </si>
  <si>
    <t>近日他住的这屋子被一户商人看中了，说是这地方风水好，要盘下来开个店。</t>
  </si>
  <si>
    <t>那商人看着不好惹，后头也是有些官府背景的，也不知杨老头吃亏没有。哎。</t>
  </si>
  <si>
    <t>那他现在住哪儿啊？</t>
  </si>
  <si>
    <t>咦，那他为何不收回古德的房子自己住呢……</t>
  </si>
  <si>
    <t>什么古德？</t>
  </si>
  <si>
    <t>没什么。那你知道是什么商人收购了他的房子吗？</t>
  </si>
  <si>
    <t>反正那日杨老头签了地契，一直唉声叹气的，还破天荒的买了两壶酒。</t>
  </si>
  <si>
    <t>十有八九是这笔买卖把他坑了。</t>
  </si>
  <si>
    <t>（看来杨老头可能是发生了什么事，这才没空去催古德的房租。）</t>
  </si>
  <si>
    <t>2203|2204</t>
  </si>
  <si>
    <t>商贸行管理地契买卖的，最有名的当属中原会馆。</t>
  </si>
  <si>
    <t>刚刚登门，我便被人热情的迎了住。</t>
  </si>
  <si>
    <t>姑娘是来买房，还是租房的？湖景街有一处二手湖景宅，一盏茶的功夫便可抵达南湖，距中央街市……</t>
  </si>
  <si>
    <t>多少钱？</t>
  </si>
  <si>
    <t>哇，我方才便觉姑娘面相便觉不俗，果真是个豪爽之人！</t>
  </si>
  <si>
    <t>哎姑娘，不行的话你可以看看远郊的民宅，虽然通勤是久了点，但空气新鲜……</t>
  </si>
  <si>
    <t>伙计一听我不是买房的，笑容立刻淡了下来。</t>
  </si>
  <si>
    <t>伙计作势就要离去。要如何套话？</t>
  </si>
  <si>
    <t>90220314</t>
  </si>
  <si>
    <t>假装买房</t>
  </si>
  <si>
    <t>30;2221;10000</t>
  </si>
  <si>
    <t>伙计立即挂上了笑容。</t>
  </si>
  <si>
    <t>你说什么？！七巷都是一进的院子，还那么破旧，六千五……</t>
  </si>
  <si>
    <t>伙计面色立即不善起来。我勉强收住了声。</t>
  </si>
  <si>
    <t>……六千五……也太便宜了吧。</t>
  </si>
  <si>
    <t>姑娘可要知道，尚京城可是一地难求，富贵人家多了去了，宅子却是有限的。南街已经算是很便宜了。</t>
  </si>
  <si>
    <t>29;105076;1</t>
  </si>
  <si>
    <t>谁知拆迁遥遥无望，那商户便毁约不买了，卖家便降价在售。</t>
  </si>
  <si>
    <t>姑娘若有兴趣，我这便安排卖家跟你见面。</t>
  </si>
  <si>
    <t>太好了！你安排吧！我就在这等他！</t>
  </si>
  <si>
    <t>我起身走出了中原会馆，身后传来了伙计的冷哼声。</t>
  </si>
  <si>
    <t>（我的妈，冷汗都湿透我背了……房地产还真是玩不起！）</t>
  </si>
  <si>
    <t>要如何查探消息？</t>
  </si>
  <si>
    <t>90220403</t>
  </si>
  <si>
    <t>30;2231;10000</t>
  </si>
  <si>
    <t>我唤来一只懒洋洋的猫咪。</t>
  </si>
  <si>
    <t>小猫儿，我想问你找个人。</t>
  </si>
  <si>
    <t>白猫</t>
  </si>
  <si>
    <t>说罢。</t>
  </si>
  <si>
    <t>你怕不是在逗我？这种线索也让我来找人？你找个试试？</t>
  </si>
  <si>
    <t>我知道他之前住的地方在哪里，你去他南街的宅子里找找，看有没有什么特殊的味道信息。</t>
  </si>
  <si>
    <t>白猫翻了个白眼。</t>
  </si>
  <si>
    <t>拜托，我是一只小猫咪，又不是狗。</t>
  </si>
  <si>
    <t>南街闻了味道，然后湖景街一家家替你查？要跑死我的。</t>
  </si>
  <si>
    <t>给你提供五两银子的预算买猫零食。</t>
  </si>
  <si>
    <t>白猫蓝眼一亮。</t>
  </si>
  <si>
    <t>得嘞！您吃好喝好，等我好消息！</t>
  </si>
  <si>
    <t>……你住两万两白银的房子，怎么这么轻易就被五两银子的猫零食收买了？</t>
  </si>
  <si>
    <t>不多时，白猫气喘吁吁的跑了过来找到我。</t>
  </si>
  <si>
    <t>我不是让你去找吃的，你这样我可没法给你兑零食啊！</t>
  </si>
  <si>
    <t>哪里？</t>
  </si>
  <si>
    <t>29;105077;1</t>
  </si>
  <si>
    <t>（杨记？莫非是杨老头的店？）</t>
  </si>
  <si>
    <t>我这就去查。多谢！你带上这个，去西街找步步支零食吧。</t>
  </si>
  <si>
    <t>你，你家还缺猫吗？</t>
  </si>
  <si>
    <t>本，本来觉得步步都养不起了。</t>
  </si>
  <si>
    <t>现，现在我有点膨胀，你先让我冷静一下……</t>
  </si>
  <si>
    <t>2205|2206</t>
  </si>
  <si>
    <t>我缓步走到湖畔，只觉得头昏脑胀，眼前似有银钱万两，白花花晃眼得厉害。</t>
  </si>
  <si>
    <t>（五十万两……五十万两……）</t>
  </si>
  <si>
    <t>一切都显得虚无缥缈且无意义了起来。可能这就是有钱人的烦恼吧。</t>
  </si>
  <si>
    <t>路人</t>
  </si>
  <si>
    <t>喂！长没长眼睛！狗娘养的！</t>
  </si>
  <si>
    <t>嘿嘿。您的声音真是如同天籁。</t>
  </si>
  <si>
    <t>……这人怕不是有病？</t>
  </si>
  <si>
    <t>……神经病。</t>
  </si>
  <si>
    <t>不能再这样了，需要集中精神！</t>
  </si>
  <si>
    <t>90220513</t>
  </si>
  <si>
    <t>冷静下来</t>
  </si>
  <si>
    <t>30;2241;10000</t>
  </si>
  <si>
    <t>我深吸了一口气。</t>
  </si>
  <si>
    <t>（……不然连扫洗佣人的佣金都付不起。）</t>
  </si>
  <si>
    <t>只是选址颇为偏僻，即便有人指路，我仍是问了七八个人，七拐八绕，才抵达目的地。</t>
  </si>
  <si>
    <t>（这店……有些破旧啊。）</t>
  </si>
  <si>
    <t>店内黑乎乎的，似是多年没有修缮过。只是那桌椅都擦得极为干净。</t>
  </si>
  <si>
    <t>此时不是饭点，倒是没几个客人。一个干瘦的老头迎了出来。</t>
  </si>
  <si>
    <t>杨老头</t>
  </si>
  <si>
    <t>姑娘，是来吃烧鸭饭的么？现不是饭点，需要久等一会儿哦。</t>
  </si>
  <si>
    <t>没关系，我也不是很饿~</t>
  </si>
  <si>
    <t>杨老头吩咐厨子去备菜，自己则扛出一框青菜坐在门口对光仔细摘着。</t>
  </si>
  <si>
    <t>烧鸭饭多少钱一例呀？我先付账吧爷爷。</t>
  </si>
  <si>
    <t>不着急，不着急。五文钱一例。</t>
  </si>
  <si>
    <t>怎么这般便宜……</t>
  </si>
  <si>
    <t>薄利多销嘛。</t>
  </si>
  <si>
    <t>杨爷爷……这，这肉有点多吧！五文钱这么多肉？！</t>
  </si>
  <si>
    <t>杨老头笑着点点头。</t>
  </si>
  <si>
    <t>这你要亏本的啊爷爷！</t>
  </si>
  <si>
    <t>还好，还好，勉强维持生计啦。</t>
  </si>
  <si>
    <t>我定睛一看，杨老头的衣服上补丁都有数十个，当即心里便难过了起来。</t>
  </si>
  <si>
    <t>我准备问问杨老头……</t>
  </si>
  <si>
    <t>90220620|90220621|90220622</t>
  </si>
  <si>
    <t>为何不收租金</t>
  </si>
  <si>
    <t>7;105075;1</t>
  </si>
  <si>
    <t>为何降价卖房</t>
  </si>
  <si>
    <t>7;105076;1</t>
  </si>
  <si>
    <t>为何烧鸭定价这么低</t>
  </si>
  <si>
    <t>7;105077;1</t>
  </si>
  <si>
    <t>啊。姑娘说的是哪套？</t>
  </si>
  <si>
    <t>就那个外国人，古德租的那套。</t>
  </si>
  <si>
    <t>等等……哪套……是什么意思？</t>
  </si>
  <si>
    <t>杨老头没有回答我的话，只是恍然大悟状。</t>
  </si>
  <si>
    <t>租户……们？</t>
  </si>
  <si>
    <t>是遇到什么事情，急需用钱吗？</t>
  </si>
  <si>
    <t>等等，哪套……是什么意思？</t>
  </si>
  <si>
    <t>杨爷爷，这烧鸭店很难赚钱啊……您这样太辛苦了吧？</t>
  </si>
  <si>
    <t>不辛苦，不辛苦……开店是我一直以来最开心的事情。</t>
  </si>
  <si>
    <t>每次看到别人吃的饱饱的，说我家烧鸭好吃，我就很开心了。</t>
  </si>
  <si>
    <t>卖掉就卖掉吧，我老啦，总要换个安身之所的。</t>
  </si>
  <si>
    <t>不过，既然我乔迁新居，那三个月租金就免了吧。</t>
  </si>
  <si>
    <t>好的吧……</t>
  </si>
  <si>
    <t>手里的烧鸭饭突然就不香了。</t>
  </si>
  <si>
    <t>杨爷爷您剩下的房子每月收租都能赚不少吧，为何还这么辛苦的开店呢？</t>
  </si>
  <si>
    <t>哎，日日收租数钱，太枯燥无趣。姑娘你不会懂的。</t>
  </si>
  <si>
    <t>2207</t>
  </si>
  <si>
    <t>我找到了古德，他一脸期冀地看着我。</t>
  </si>
  <si>
    <t>怎样？找到房东了吗？他收不到租是不是很着急？</t>
  </si>
  <si>
    <t>呃……他忘了你没有交租了。</t>
  </si>
  <si>
    <t>古德有些担心地看着我。</t>
  </si>
  <si>
    <t>那位爷爷年龄有些大了，莫不是健忘了？他有没有缺钱？我可以补一点的！</t>
  </si>
  <si>
    <t>……不用了，他说免你三个月租金。</t>
  </si>
  <si>
    <t>那怎么行！房东跟我说过，他靠这个讨生活的。</t>
  </si>
  <si>
    <t>说他做其他生意都赔钱，就靠房租补贴家用的！</t>
  </si>
  <si>
    <t>……他这么说倒也没错啦。</t>
  </si>
  <si>
    <t>看来得跟古德讲清楚才行</t>
  </si>
  <si>
    <t>90220712</t>
  </si>
  <si>
    <t>讲事情经过道出</t>
  </si>
  <si>
    <t>30;2251;10000</t>
  </si>
  <si>
    <t>你四缩，我房东有两百户房子。他根本就忘了我。</t>
  </si>
  <si>
    <t>我点点头。</t>
  </si>
  <si>
    <t>古德不再说话，默默地缩了一缩。</t>
  </si>
  <si>
    <t>太可怕了。为什么他有辣么多房子？他会不会有日如厕拿错地契擦了屁股？</t>
  </si>
  <si>
    <t>你知道大启，什么字最值钱吗？</t>
  </si>
  <si>
    <t>银？不对，是金！</t>
  </si>
  <si>
    <t>我不明白。</t>
  </si>
  <si>
    <t>你不需要明白。这是你房东的新地址，你以后交租的时候，可以去他宅子里看看南湖湖景。</t>
  </si>
  <si>
    <t>你一定要好好看清楚那湖面的粼粼波光。</t>
  </si>
  <si>
    <t>离开古德的家，我尚在反思自己。尚京藏龙卧虎，我小小的凡星阁的确需要低调。</t>
  </si>
  <si>
    <t>（房地产……我真的玩不起啊！！！）</t>
  </si>
  <si>
    <t>又一次接到小杜公公的委托，不知道这次小杜公公又遇到什么麻烦了呢？</t>
  </si>
  <si>
    <t>正琢磨着，不觉已到了公主府门前。</t>
  </si>
  <si>
    <t>你总算来了，等你老半天了！</t>
  </si>
  <si>
    <t>小杜公公好~</t>
  </si>
  <si>
    <t>上次的委托你做得又好又快，本来以为这次的事情我提高了难度，你这样的末位情报阁肯定接不到……</t>
  </si>
  <si>
    <t>没想到短短几天，你竟然就升上“一张机中品”。</t>
  </si>
  <si>
    <t>公公到底是想要我接还是不想嘛……</t>
  </si>
  <si>
    <t>你们情报阁自然是我的首选，但是这次兴许有些危险。</t>
  </si>
  <si>
    <t>上次儿歌虽然不再传了，可是我们总管还是罚了我半年俸。</t>
  </si>
  <si>
    <t>这可不成啊！我听说街市那家云绣坊要出新料子了，还打算给公主寿辰送礼的！</t>
  </si>
  <si>
    <t>如果是这事，其实……</t>
  </si>
  <si>
    <t>快别啰嗦了，你快帮我去找找，上次在街口吓到我的鹰！</t>
  </si>
  <si>
    <t>只要大管家相信了我，想必这惩罚还是可以减轻些的。</t>
  </si>
  <si>
    <t>哦……那那只鹰到底长什么样啊？</t>
  </si>
  <si>
    <t>那只鹰的颜色是……</t>
  </si>
  <si>
    <t>婢女</t>
  </si>
  <si>
    <t>小杜！大管家叫你！</t>
  </si>
  <si>
    <t>哎！来了来了！</t>
  </si>
  <si>
    <t>杜公公没说完就闪身进了门。</t>
  </si>
  <si>
    <t>（看来我要自己去找线索了……）</t>
  </si>
  <si>
    <t>2302|2303|2307</t>
  </si>
  <si>
    <t>你怎么又这副打扮跑过来了……</t>
  </si>
  <si>
    <t>我也有活儿要干的嘛！</t>
  </si>
  <si>
    <t>别人又认不出你……其他师弟会说我红杏出墙的呀……</t>
  </si>
  <si>
    <t>去你的。</t>
  </si>
  <si>
    <t>讲个正事，你知不知道京城里有谁养了鹰的？</t>
  </si>
  <si>
    <t>我呀。</t>
  </si>
  <si>
    <t>你？？是你放出鹰，吓到小杜公公的吗？</t>
  </si>
  <si>
    <t>哪有，我的鹰因为太凶，入关以后都是锁起来的。</t>
  </si>
  <si>
    <t>这两天送去欧铁匠那里加固爪套了，就是南街的欧氏铁匠铺。</t>
  </si>
  <si>
    <t>你拿着这支哨子，吹响这支哨子的时候，黑鸢不会攻击你的。</t>
  </si>
  <si>
    <t>29;105078;1</t>
  </si>
  <si>
    <t>什么时候你还会以音律驯兽了？</t>
  </si>
  <si>
    <t>也不是，就是这个哨子吹起来太难听，黑鸢会懵逼。</t>
  </si>
  <si>
    <t>2304</t>
  </si>
  <si>
    <t>瞧一瞧看一看咧，新鲜蹦跶的兔子！</t>
  </si>
  <si>
    <t>雌兔脚扑朔，雄兔有嚼劲咧~</t>
  </si>
  <si>
    <t>侯大叔！</t>
  </si>
  <si>
    <t>哎？小姑娘买兔子吗？我早上刚捕的兔子！这皮毛都特别齐呼！你拿回去还能做个手袋！</t>
  </si>
  <si>
    <t>我要怎么回答呢？</t>
  </si>
  <si>
    <t>90230306|90230307</t>
  </si>
  <si>
    <t>打断大叔，问鹰的事</t>
  </si>
  <si>
    <t>30;2311;10000</t>
  </si>
  <si>
    <t>怎么可以吃兔兔！</t>
  </si>
  <si>
    <t>哦，侯大叔我不买兔子，我就来问问，你捕兔子是不是用鹰捕的呢？</t>
  </si>
  <si>
    <t>鹰？我哪养得起什么鹰？我一天卖出的兔子还不够给鹰买吃食的呢。</t>
  </si>
  <si>
    <t>这样啊……那侯大叔您知道这城里还有哪有鹰吗？</t>
  </si>
  <si>
    <t>能养得起鹰的也不多……</t>
  </si>
  <si>
    <t>湖畔的卖鱼胜养了头黄皮刮瘦的&lt;c=#db3e63ff&gt;渔鹰&lt;/c&gt;。</t>
  </si>
  <si>
    <t>北桥弄的周二少爷养了头油光水滑的&lt;c=#db3e63ff&gt;赤鹰&lt;/c&gt;。</t>
  </si>
  <si>
    <t>我知道的就这些了。</t>
  </si>
  <si>
    <t>2305|2306</t>
  </si>
  <si>
    <t>你这姑娘好生奇怪，你不吃兔兔就别挡着我摆摊摊。</t>
  </si>
  <si>
    <t>欧铁匠在吗？</t>
  </si>
  <si>
    <t>欧耶子</t>
  </si>
  <si>
    <t>是什么风，把你这样娇弱的姑娘吹到这儿来的呢？</t>
  </si>
  <si>
    <t>我……我是来看看黑鸢的爪套做得如何了。</t>
  </si>
  <si>
    <t>&lt;c=#db3e63ff&gt;黑鸢&lt;/c&gt;有什么要紧的，我欧耶子可以为姑娘您来做双爪套先……</t>
  </si>
  <si>
    <t>我？！</t>
  </si>
  <si>
    <t>失礼失礼，我说岔了。</t>
  </si>
  <si>
    <t>姑娘这边坐，我这就为你把&lt;c=#db3e63ff&gt;黑鸢&lt;/c&gt;拎过来。</t>
  </si>
  <si>
    <t>（真是个热情的人啊……）</t>
  </si>
  <si>
    <t>姑娘，这就是黑鸢。</t>
  </si>
  <si>
    <t>我看着笼子里扑腾的黑色大鹰，有点害怕。</t>
  </si>
  <si>
    <t>我要怎么给小杜公公辨认呢？</t>
  </si>
  <si>
    <t>90230412|90230413</t>
  </si>
  <si>
    <t>拔一根羽毛</t>
  </si>
  <si>
    <t>7;105078;1</t>
  </si>
  <si>
    <t>打晕这只鹰</t>
  </si>
  <si>
    <t>（拿一根羽毛，想必杜公公也差不多可以辨认了吧。）</t>
  </si>
  <si>
    <t>29;105079;1</t>
  </si>
  <si>
    <t>有两三只鹰的羽毛，给杜公公选选就差不多知道了吧。</t>
  </si>
  <si>
    <t>哇好难缠啊这只鹰！根本近不了它的身！</t>
  </si>
  <si>
    <t>陆沉平时居然养这样凶猛的东西吗？</t>
  </si>
  <si>
    <t>陆沉……对了！他给了我一根哨子来着！</t>
  </si>
  <si>
    <t>哎……总觉得有点心虚，上次在湖边吓唬了胖头余，不知道他爹卖鱼胜会不会刁难我……</t>
  </si>
  <si>
    <t>找到了！卖鱼胜正打渔呢！</t>
  </si>
  <si>
    <t>余叔叔！你好！</t>
  </si>
  <si>
    <t>余胜</t>
  </si>
  <si>
    <t>这位姑娘，有什么事吗？</t>
  </si>
  <si>
    <t>我……我想问一下，你们家是不是有只&lt;c=#db3e63ff&gt;渔鹰&lt;/c&gt;呀？</t>
  </si>
  <si>
    <t>有的，天上飞的就是。</t>
  </si>
  <si>
    <t>平静的湖面上有一道鹰的影子掠过。那鹰的身型甚是瘦削，果然是工作用的鹰呀。</t>
  </si>
  <si>
    <t>它飞得这么快，我要怎么让它下来呢？</t>
  </si>
  <si>
    <t>90230509</t>
  </si>
  <si>
    <t>问问猫猫</t>
  </si>
  <si>
    <t>30;2321;10000</t>
  </si>
  <si>
    <t>太好了，幸好猫猫们带了小鱼干，总算是哄它下来了。</t>
  </si>
  <si>
    <t>这地上的羽毛我捡一根带花色的就行了！</t>
  </si>
  <si>
    <t>29;105080;1</t>
  </si>
  <si>
    <t>北桥弄这边虽然高门大户多，但是也冷清些。</t>
  </si>
  <si>
    <t>有了，这里就是周府了！</t>
  </si>
  <si>
    <t>你好，我想找一下周二少爷，能劳烦你通报一下吗？</t>
  </si>
  <si>
    <t>你是哪里来的平头百姓，我们少爷哪有时间见你。</t>
  </si>
  <si>
    <t>为什么天下的看门小厮都这么凶……</t>
  </si>
  <si>
    <t>90230606|90230607</t>
  </si>
  <si>
    <t>说明来意</t>
  </si>
  <si>
    <t>30;2331;10000</t>
  </si>
  <si>
    <t>用宁北的名头吓他</t>
  </si>
  <si>
    <t>您也是个体面人，我也不瞒您了，周二少爷不会轻易见您的。</t>
  </si>
  <si>
    <t>但是如果您问的是这鹰的事，那就好说了。</t>
  </si>
  <si>
    <t>要一根羽毛而已，倒也不难，我找府里的洒扫丫环给你找几根来便是。</t>
  </si>
  <si>
    <t>谢谢这位小哥了。</t>
  </si>
  <si>
    <t>原来是靖远侯的客人！小的刚才不是故意那样的！这不是来周家攀亲戚的人太多了嘛！</t>
  </si>
  <si>
    <t>您要什么您说，小的能办到的一定给您办齐活了！</t>
  </si>
  <si>
    <t>我只需要你们府上那只赤鹰的一根羽毛。</t>
  </si>
  <si>
    <t>嗨！那还不是一句话，小的这就给您弄去。</t>
  </si>
  <si>
    <t>好啦！这样就获得了这只&lt;c=#db3e63ff&gt;赤鹰的羽毛&lt;/c&gt;了！</t>
  </si>
  <si>
    <t>29;105081;1</t>
  </si>
  <si>
    <t>小杜公公就在里面，我有鹰的消息就赶紧告诉他吧。</t>
  </si>
  <si>
    <t>你好，能不能帮我找一下杜公公，就说鹰的事有着落了。</t>
  </si>
  <si>
    <t>什么鹰？</t>
  </si>
  <si>
    <t>我拿出不同的几根羽毛给她看，她应该就明白了。</t>
  </si>
  <si>
    <t>90230705|90230706</t>
  </si>
  <si>
    <t>拿出2根以上的羽毛</t>
  </si>
  <si>
    <t>2|7;105079;1|7;105080;1|7;105081;1</t>
  </si>
  <si>
    <t>再去找找羽毛</t>
  </si>
  <si>
    <t>我刚拿出找到的几根羽毛，就被一个小孩跳起来抢了过去。</t>
  </si>
  <si>
    <t>这几根羽毛真好看，我要拿去做毽子~</t>
  </si>
  <si>
    <t>胖头余！！你！！</t>
  </si>
  <si>
    <t>诶？是啰嗦的阿姨诶。</t>
  </si>
  <si>
    <t>你快还给我，我这个要给小杜公公去认鹰的！</t>
  </si>
  <si>
    <t>吓到那个太监的鹰吗？不是这样子的呀，那个鹰是&lt;c=#db3e63ff&gt;白色&lt;/c&gt;的诶。</t>
  </si>
  <si>
    <t>&lt;c=#db3e63ff&gt;白色&lt;/c&gt;的鹰？！你见过那只鹰吗？</t>
  </si>
  <si>
    <t>有啊，就在这边，是玉王爷门口呢……还是公主府墙根呢……</t>
  </si>
  <si>
    <t>（那我都去问问就知道了）</t>
  </si>
  <si>
    <t>2308|2309</t>
  </si>
  <si>
    <t>羽毛不够我很难跟小杜公公解释，还是去找找再来吧。</t>
  </si>
  <si>
    <t>玉王爷深入简出，门口连个通报的仆人都见不着，我该怎么找他呢？</t>
  </si>
  <si>
    <t>我注意到墙角有个豁口，突然灵机一动。</t>
  </si>
  <si>
    <t>对了！让猫猫进去找到玉王爷，再带他出来不就行了？</t>
  </si>
  <si>
    <t>90230804</t>
  </si>
  <si>
    <t>事不宜迟，快派猫儿去吧！</t>
  </si>
  <si>
    <t>30;2341;10000</t>
  </si>
  <si>
    <t>玉王爷</t>
  </si>
  <si>
    <t>走开啦！哎呀怎么回事啊！！</t>
  </si>
  <si>
    <t>只见玉王爷从门口被猫猫们撵出来，甚是狼狈的样子。</t>
  </si>
  <si>
    <t>哎呀夭寿辣！这猫成精了不成？赶本王做什么啊！！</t>
  </si>
  <si>
    <t>你还能叫猫帮你做事？</t>
  </si>
  <si>
    <t>玉王爷眼睛发亮，饶有兴趣的样子。</t>
  </si>
  <si>
    <t>你给我说说你怎么办到的？</t>
  </si>
  <si>
    <t>诶……这个不是重点，草民想问问您府上是不是有只&lt;c=#db3e63ff&gt;白色&lt;/c&gt;的鹰呀？</t>
  </si>
  <si>
    <t>本王要鹰做什么？本王根本不需要鹰！</t>
  </si>
  <si>
    <t>跟你说，本王的机械翅膀已经快要完成了！</t>
  </si>
  <si>
    <t>到时候别说是鹰，就算是大鹏金翅鸟，都追不上本王！</t>
  </si>
  <si>
    <t>啊哈哈哈哈哈哈哈哈！！！！</t>
  </si>
  <si>
    <t>（看起来玉王爷没有养鹰啊……）</t>
  </si>
  <si>
    <t>绕了公主府一圈，也没有看到什么鹰的影子……</t>
  </si>
  <si>
    <t>你在这里做什么？</t>
  </si>
  <si>
    <t>啊啊啊啊啊啊！</t>
  </si>
  <si>
    <t>90230904</t>
  </si>
  <si>
    <t>冷静下来！</t>
  </si>
  <si>
    <t>30;2351;10000</t>
  </si>
  <si>
    <t>哦哦哦原来是公主府的大管家！</t>
  </si>
  <si>
    <t>吓死我了！！</t>
  </si>
  <si>
    <t>杂家只是例行巡检，也不是故意要吓你的。</t>
  </si>
  <si>
    <t>绣坊掌柜的，你来我们公主府墙根晃什么呢？</t>
  </si>
  <si>
    <t>哦哦大管家，我想看看，你们公主府是不是有一只&lt;c=#db3e63ff&gt;白色的老鹰&lt;/c&gt;呀？</t>
  </si>
  <si>
    <t>你说的大概是公主府的&lt;c=#db3e63ff&gt;海东青&lt;/c&gt;，那可是一只玉爪，海东青里最稀罕的。</t>
  </si>
  <si>
    <t>前段时间不是丢了嘛，我这段时间也是在烦这事呢，再找不着公主必定饶不了我……</t>
  </si>
  <si>
    <t>（如果我能找到这只玉爪……）</t>
  </si>
  <si>
    <t>（想必小杜公公的事也能一笔勾销了吧……）</t>
  </si>
  <si>
    <t>2310</t>
  </si>
  <si>
    <t>耶？你又来啦？要买兔子吗？</t>
  </si>
  <si>
    <t>侯大叔我不买兔子啦~我是来问你有没有办法抓到……</t>
  </si>
  <si>
    <t>哎鹰有什么好吃的嘛！跟鸡又没有区别！还只有俩翅膀肉多。</t>
  </si>
  <si>
    <t>这兔子就不一样了，成天在野地里跑啊！后腿有劲！</t>
  </si>
  <si>
    <t>兔子天天打洞，这前腿也有肉！</t>
  </si>
  <si>
    <t>这兔头微微一卤，随便撒点辣椒一煸，这香味啊，能飘十里远呢！</t>
  </si>
  <si>
    <t>这兔肉切丁，随便一炒，就连鹰都能招来呢！</t>
  </si>
  <si>
    <t>嗯？鹰？</t>
  </si>
  <si>
    <t>诶！！？</t>
  </si>
  <si>
    <t>怎么有只鹰在吃我的兔子！！走开走开！</t>
  </si>
  <si>
    <t>不知何时已经有一只通体雪白的老鹰在侯大羿的摊子上大快朵颐，看样子是饿了很久了。</t>
  </si>
  <si>
    <t>鹰的脚踝处还绑着&lt;c=#db3e63ff&gt;纯金的链条&lt;/c&gt;，想必就是这个链条让它无法顺畅捕猎，才沦落到偷吃别人的猎物吧。</t>
  </si>
  <si>
    <t>不过从这个纯金链条看，这只鹰一定就是公主府的&lt;c=#db3e63ff&gt;海东青&lt;/c&gt;了。</t>
  </si>
  <si>
    <t>29;105082;1</t>
  </si>
  <si>
    <t>（行了，我请侯大叔帮我抓住它，再交给公主府就好了）</t>
  </si>
  <si>
    <t>（想不到这次的委托也这么简单呢）</t>
  </si>
  <si>
    <t>-1</t>
  </si>
  <si>
    <t>接到这宗委托的时候，我还没回过神来，这地点怎么会是&lt;c=#db3e63ff&gt;定国公府&lt;/c&gt;？</t>
  </si>
  <si>
    <t>（而且这单子也太诡异了些，调查&lt;c=#db3e63ff&gt;靖远侯强抢民女&lt;/c&gt;一事？宁北？这怎么可能？）</t>
  </si>
  <si>
    <t>于叔</t>
  </si>
  <si>
    <t>姑娘，这边这边！我才是下单的人！</t>
  </si>
  <si>
    <t>（这……好像是定国公府的采办吧？）</t>
  </si>
  <si>
    <t>你好……</t>
  </si>
  <si>
    <t>让探事轩给我找个靠谱点的探子，就让你这么个小丫头来？得不得行哦！</t>
  </si>
  <si>
    <t>要怎么让此人信服？</t>
  </si>
  <si>
    <t>90240108|90240109</t>
  </si>
  <si>
    <t>诚恳说服</t>
  </si>
  <si>
    <t>直奔主题</t>
  </si>
  <si>
    <t>30;2411;10000</t>
  </si>
  <si>
    <t>嗨呀你和我说这些有的没的没用！</t>
  </si>
  <si>
    <t>（也是，还是直接说事情好了。）</t>
  </si>
  <si>
    <t>可否直接跟我讲明事情经过？</t>
  </si>
  <si>
    <t>前几日我外出，听到外头沸沸扬扬的，都说那个&lt;c=#db3e63ff&gt;周家女儿&lt;/c&gt;险遭靖远侯强掳。</t>
  </si>
  <si>
    <t>嗨呀我这个气得，咱们侯爷什么人，怎么可能瞧得上这等庸脂俗粉。</t>
  </si>
  <si>
    <t>（啊哈哈……依宁北的性子，也不可能做这种事。）</t>
  </si>
  <si>
    <t>只是咱们侯爷忙碌，指定不管这事。我也不能让这种小事扰了侯爷，就麻烦你去查查了。</t>
  </si>
  <si>
    <t>那个周家姑娘就住在&lt;c=#db3e63ff&gt;南街&lt;/c&gt;，我先去干活了，等你的消息。</t>
  </si>
  <si>
    <t>2402</t>
  </si>
  <si>
    <t>跟着地址一路走，总算是找到了那周姑娘的家。</t>
  </si>
  <si>
    <t>只是一家人看起来十分难过，尤其是一个三十上下的妇人，更是哭得两眼红肿。</t>
  </si>
  <si>
    <t>请问……哪位是周家小姐？</t>
  </si>
  <si>
    <t>少妇</t>
  </si>
  <si>
    <t>你……你找我？你是什么人？不会也是觊觎我美貌要对我不轨的吧？！</t>
  </si>
  <si>
    <t>（原来这位就是周小姐？这年纪看着也不小了吧？）</t>
  </si>
  <si>
    <t>您误会了，我只是——</t>
  </si>
  <si>
    <t>90240207|90240208</t>
  </si>
  <si>
    <t>慕名而来</t>
  </si>
  <si>
    <t>30;2421;10000</t>
  </si>
  <si>
    <t>我听说此地有位美人惹人心动，所以——</t>
  </si>
  <si>
    <t>周小姐</t>
  </si>
  <si>
    <t>别以为你学那些臭男人夸我我就能让你靠近！</t>
  </si>
  <si>
    <t>（此路不通，还得找别的方法啊。）</t>
  </si>
  <si>
    <t>猫儿很快围着周小姐满地打滚，萌得她忘记了哭泣。</t>
  </si>
  <si>
    <t>这、这是你的猫儿？好可爱……能被猫儿喜欢的，一定不会是坏人。</t>
  </si>
  <si>
    <t>既然不是歹人，你想问什么便问吧。</t>
  </si>
  <si>
    <t>听闻五日前姑娘差点被靖远侯——</t>
  </si>
  <si>
    <t>不提此事还好，一提周家姑娘便扁了扁嘴，差点又哭出来。</t>
  </si>
  <si>
    <t>那靖远侯好可恶，路上见了本姑娘花容月貌，便要强掳我回去——</t>
  </si>
  <si>
    <t>若不是那&lt;c=#db3e63ff&gt;玉王爷&lt;/c&gt;正好在附近折腾什么机关，炸伤了靖远侯，我只怕……呜呜呜……</t>
  </si>
  <si>
    <t>可怜我好好一个姑娘家，差点被那个&lt;c=#db3e63ff&gt;肥头大耳的权贵&lt;/c&gt;糟蹋……</t>
  </si>
  <si>
    <t>（肥头大耳？？好了，已经确定那人一定不会是宁北了。）</t>
  </si>
  <si>
    <t>敢问姑娘，你还记得这事是在什么地方发生的吗？</t>
  </si>
  <si>
    <t>地方？我想想……应该是在&lt;c=#db3e63ff&gt;天下第一楼&lt;/c&gt;！没错，就那个倒霉地方！我以后再也不去那吃饭了……</t>
  </si>
  <si>
    <t>（看来有必要去&lt;c=#db3e63ff&gt;天下第一楼&lt;/c&gt;调查调查情况。）</t>
  </si>
  <si>
    <t>2403|2405</t>
  </si>
  <si>
    <t>走到天下第一楼，里面人声鼎沸，热闹非凡。</t>
  </si>
  <si>
    <t>（想问情报，自然是找店小二问最便捷了。）</t>
  </si>
  <si>
    <t>逮着一个店小二，刚开口问他，不料刚提了个“五日前”，对方立刻就变了脸色。</t>
  </si>
  <si>
    <t>不知道，我什么都不知道，我还有事先走了！</t>
  </si>
  <si>
    <t>眼看对方就要跑掉——</t>
  </si>
  <si>
    <t>90240306|90240307</t>
  </si>
  <si>
    <t>拉住袖子</t>
  </si>
  <si>
    <t>快步追上</t>
  </si>
  <si>
    <t>30;2431;10000</t>
  </si>
  <si>
    <t>伸手想拉住对方的袖子，结果没对方速度快，被他溜掉了。</t>
  </si>
  <si>
    <t>（再不追上可就糟了。）</t>
  </si>
  <si>
    <t>疾步追上小二，对方满脸无奈，只一味推脱。</t>
  </si>
  <si>
    <t>哎哟姑娘你别问了，我真不知道什么靖远侯……</t>
  </si>
  <si>
    <t>本侯怎么了？还有，你怎么在这里？</t>
  </si>
  <si>
    <t>额……侯爷认错人了。</t>
  </si>
  <si>
    <t>你这点伎俩瞒不住本侯，说吧，到底怎么回事？</t>
  </si>
  <si>
    <t>没有没有，就是普通出个任务而已，侯爷您忙，我也去调查别的。</t>
  </si>
  <si>
    <t>（这事可不能让宁北知道，不然于叔那边不好交代。）</t>
  </si>
  <si>
    <t>宁北若有所思地看了我一眼，倒是不再追问。</t>
  </si>
  <si>
    <t>今日是本侯这半月来第一次到此处。</t>
  </si>
  <si>
    <t>（宁北这是特地告诉我他的时间么？）</t>
  </si>
  <si>
    <t>看到宁北离开，那小二才战战兢兢凑过来。</t>
  </si>
  <si>
    <t>姑娘你、你是靖远侯的熟人啊……</t>
  </si>
  <si>
    <t>是又如何？你刚刚为何要跑？还有你知道此事与靖远侯有关，是不是知道发生了什么？</t>
  </si>
  <si>
    <t>哎哟姑奶奶您早说呀，要知道您是靖远侯的人，打死我我也不敢瞒着啊。</t>
  </si>
  <si>
    <t>五日前……靖远侯确实没来，来的是&lt;c=#db3e63ff&gt;楚家三公子&lt;/c&gt;和&lt;c=#db3e63ff&gt;薛家二公子&lt;/c&gt;……</t>
  </si>
  <si>
    <t>当时我没近前伺候，只听说他们有人打着靖远侯的名义轻薄了一个姑娘，再多的，我也不知道了……</t>
  </si>
  <si>
    <t>（楚家和薛家啊……）</t>
  </si>
  <si>
    <t>2404|2406|2407</t>
  </si>
  <si>
    <t>回到定国公府，于叔已经等得有些不耐。</t>
  </si>
  <si>
    <t>如何？可有眉目？</t>
  </si>
  <si>
    <t>90240403|90240404</t>
  </si>
  <si>
    <t>说起楚公子的摔伤</t>
  </si>
  <si>
    <t>7;105084;1</t>
  </si>
  <si>
    <t>说起薛公子的十字伤</t>
  </si>
  <si>
    <t>7;105085;1</t>
  </si>
  <si>
    <t>不是楚公子，这么说就是姓薛的干的？</t>
  </si>
  <si>
    <t>这个薛家小子居然敢如此诬陷！</t>
  </si>
  <si>
    <t>我就知道薛家不是个好东西，表面和个什么似的，背地里竟在做这等勾当！</t>
  </si>
  <si>
    <t>多谢姑娘！我这就回去！</t>
  </si>
  <si>
    <t>眼看于叔飞快跑走，我正想离开，不料一回头就看到了宁北。</t>
  </si>
  <si>
    <t>你今日满尚京跑，原来是为这件事。</t>
  </si>
  <si>
    <t>……于叔也只是看不惯罢了，侯爷你就真的一点想法都没有？</t>
  </si>
  <si>
    <t>本侯身上也不缺这点脏水。</t>
  </si>
  <si>
    <t>再说了，薛二做的这等蠢事，单纯就是授人以柄，谁吃亏还不好说。</t>
  </si>
  <si>
    <t>宁北说得平静，但我就是觉得背后有一股恶寒。</t>
  </si>
  <si>
    <t>那，我就先回去了？</t>
  </si>
  <si>
    <t>嗯，自己小心。</t>
  </si>
  <si>
    <t>由于周家小姐提到过玉王爷，我便到这位王爷喜欢的试验地点等候。</t>
  </si>
  <si>
    <t>玉王爷你好，我这边有些事想问一问……</t>
  </si>
  <si>
    <t>走开走开，别打扰本王组装机关。</t>
  </si>
  <si>
    <t>他不是很想搭理人，我要怎么办？</t>
  </si>
  <si>
    <t>90240505|90240506</t>
  </si>
  <si>
    <t>和他比机关</t>
  </si>
  <si>
    <t>30;2441;10000</t>
  </si>
  <si>
    <t>以宁北的名义搭话</t>
  </si>
  <si>
    <t>没看出来你一个小丫头还有不错的机关造诣，本王欣赏你，你有话就问吧。</t>
  </si>
  <si>
    <t>我是靖远侯的朋友，能否行个方便？</t>
  </si>
  <si>
    <t>宁北的朋友？那你说吧。</t>
  </si>
  <si>
    <t>听闻王爷五日前曾发明了新的机关，还在天下第一楼附近炸伤了人……</t>
  </si>
  <si>
    <t>你是伤者？来要赔偿的？早说呀，你那日跑什么跑？</t>
  </si>
  <si>
    <t>跑？</t>
  </si>
  <si>
    <t>是啊，本王就奇了怪了，弄伤了人，本王又不是不负责，你至于看到本王掉头就跑吗？</t>
  </si>
  <si>
    <t>说吧多少钱，直接开个价，本王——</t>
  </si>
  <si>
    <t>不不不王爷您误会了……</t>
  </si>
  <si>
    <t>好不容易说明情况，玉王爷才不继续围着这个话题转。</t>
  </si>
  <si>
    <t>我来这只是想问问王爷认不认识那个人，不过看来王爷也不知那人的身份。</t>
  </si>
  <si>
    <t>本王确实没看清，不过有件事本王可以告诉你，本王的机关伤了他的手臂。</t>
  </si>
  <si>
    <t>且机关留下的是&lt;c=#db3e63ff&gt;十字伤口&lt;/c&gt;，这点一定不会有错。</t>
  </si>
  <si>
    <t>29;105083;1</t>
  </si>
  <si>
    <t>（十字伤口，可以从这方面看看了。）</t>
  </si>
  <si>
    <t>到了楚府门口，就听到两个丫鬟边说话边往外走。</t>
  </si>
  <si>
    <t>你说好端端的，三公子怎么就伤了手呢？</t>
  </si>
  <si>
    <t>（手受伤？难不成是他？）</t>
  </si>
  <si>
    <t>想凑近听得更清楚一些，却没注意踩到脚下的枯枝。</t>
  </si>
  <si>
    <t>（这样下去会被发现的！）</t>
  </si>
  <si>
    <t>90240607|90240608</t>
  </si>
  <si>
    <t>屏息等待</t>
  </si>
  <si>
    <t>派出猫儿</t>
  </si>
  <si>
    <t>我不敢动，心里祈祷着她们快点离开，她们却越走越近。</t>
  </si>
  <si>
    <t>（不行，还是得找别的法子引开她们。）</t>
  </si>
  <si>
    <t>吓死我了，原来只是猫儿啊。</t>
  </si>
  <si>
    <t>快走快走，三公子&lt;c=#db3e63ff&gt;摔跤&lt;/c&gt;跌断了手腕，要再买不到药膏，他可是要发怒的！</t>
  </si>
  <si>
    <t>29;105084;1</t>
  </si>
  <si>
    <t>你说得对，我们还是快走吧。</t>
  </si>
  <si>
    <t>（楚三只是摔断了手腕？不是外伤？）</t>
  </si>
  <si>
    <t>（看来需要再做调查了。）</t>
  </si>
  <si>
    <t>来到薛府，没等进门，就看到一个大夫气冲冲地出来。</t>
  </si>
  <si>
    <t>身上有外伤还喝酒玩闹，这伤情不恶化才奇怪！</t>
  </si>
  <si>
    <t>你等着！不出三日，这伤口肯定得肿胀化脓！</t>
  </si>
  <si>
    <t>薛府下人</t>
  </si>
  <si>
    <t>哪来的狗胆让你在此编排公子，活腻歪了不成？！</t>
  </si>
  <si>
    <t>再不出手，这位大夫就要遭难了。</t>
  </si>
  <si>
    <t>90240706|90240707</t>
  </si>
  <si>
    <t>出言劝阻</t>
  </si>
  <si>
    <t>猫猫相助</t>
  </si>
  <si>
    <t>有话好说，别动手啊！</t>
  </si>
  <si>
    <t>敢多管闲事，老子连你一块揍！</t>
  </si>
  <si>
    <t>哇、哇啊哪来的猫？别挠！！！</t>
  </si>
  <si>
    <t>带着大夫仓皇逃离，对方气喘吁吁向我道谢。</t>
  </si>
  <si>
    <t>多谢小姑娘，若不是你，我这把老骨头怕是就交代在那了……</t>
  </si>
  <si>
    <t>先生不必客气，只是为何会惹得薛家生气？</t>
  </si>
  <si>
    <t>还不是那薛二公子不听劝，手臂上先去不知怎得弄了个奇怪的&lt;c=#db3e63ff&gt;十字伤口&lt;/c&gt;，便让老夫前去包扎。</t>
  </si>
  <si>
    <t>29;105085;1</t>
  </si>
  <si>
    <t>本来也不是什么重伤，但他一意孤行不遵医嘱，如今倒好，人发了热便一气怪在老夫身上。</t>
  </si>
  <si>
    <t>权贵压人，就是这样，不说了，不说了。</t>
  </si>
  <si>
    <t>（&lt;c=#db3e63ff&gt;十字伤口&lt;/c&gt;……?这倒是对上了。）</t>
  </si>
  <si>
    <t>今日这委托，看着着实有些棘手……</t>
  </si>
  <si>
    <t>案卷目录上的“&lt;c=#db3e63ff&gt;邪教组织&lt;/c&gt;、&lt;c=#db3e63ff&gt;黑店据点&lt;/c&gt;、&lt;c=#db3e63ff&gt;地下交易&lt;/c&gt;“被朱笔圈了，分外惹人注目。</t>
  </si>
  <si>
    <t>姑娘可是害怕了?</t>
  </si>
  <si>
    <t>倒也没有，我好歹经历过大风大浪了。</t>
  </si>
  <si>
    <t>我看这卷宗上所写，邪教有二，且这一个月内便已经被发现了，为何现在才查？</t>
  </si>
  <si>
    <t>公子歇将案宗翻至后三页，指了指当中一行。</t>
  </si>
  <si>
    <t>是因为近来发生了一起&lt;c=#db3e63ff&gt;斗殴事件&lt;/c&gt;，有人因此受伤。</t>
  </si>
  <si>
    <t>虽没证据表明是邪教组织所为，但种种迹象表明那场斗殴与邪教相关。</t>
  </si>
  <si>
    <t>可他不报官，官府便没有理由查。所以姑娘，你懂的。</t>
  </si>
  <si>
    <t>我明白了。我便从&lt;c=#db3e63ff&gt;斗殴事件&lt;/c&gt;开始查起吧。</t>
  </si>
  <si>
    <t>查找卷宗内关于这场斗殴事件的来龙去脉</t>
  </si>
  <si>
    <t>90250112</t>
  </si>
  <si>
    <t>仔细阅读卷宗</t>
  </si>
  <si>
    <t>30;2511;10000</t>
  </si>
  <si>
    <t>很快我便找到了信息。</t>
  </si>
  <si>
    <t>受伤者是在&lt;c=#db3e63ff&gt;南街&lt;/c&gt;的&lt;c=#db3e63ff&gt;天下第一包子铺&lt;/c&gt;被发现，而后拒绝透露姓名，匆匆离去。</t>
  </si>
  <si>
    <t>这等于没有信息嘛！</t>
  </si>
  <si>
    <t>正因为信息少，才让姑娘接这个案子啊。</t>
  </si>
  <si>
    <t>我觉得你在忽悠我。不过我向来喜欢挑战。交给我吧。</t>
  </si>
  <si>
    <t>那歇便等姑娘的好消息了。</t>
  </si>
  <si>
    <t>2502</t>
  </si>
  <si>
    <t>来到了天下第一包子铺，却见店门关着。</t>
  </si>
  <si>
    <t>门口贴了个封条，上写“整改中，闲杂人等禁止入内”。</t>
  </si>
  <si>
    <t>（什么情况？这家店怎么会突然被官府查封？)</t>
  </si>
  <si>
    <t>下面该怎么办？</t>
  </si>
  <si>
    <t>90250205|90250206</t>
  </si>
  <si>
    <t>找路人打听</t>
  </si>
  <si>
    <t>偷偷溜进店</t>
  </si>
  <si>
    <t>30;2521;10000</t>
  </si>
  <si>
    <t>我拉住了一位路人，问起这包子铺的情况。</t>
  </si>
  <si>
    <t>哦，这店是刚刚被查封的。说来也诡异，这几日这包子铺火得很，前几日似乎还有人因买包子&lt;c=#db3e63ff&gt;大打出手&lt;/c&gt;。</t>
  </si>
  <si>
    <t>然后方才又出事了，有人买了包子，刚吃完，便&lt;c=#db3e63ff&gt;中毒&lt;/c&gt;倒在了店门口。</t>
  </si>
  <si>
    <t>我翻窗溜进了店内。</t>
  </si>
  <si>
    <t>包子铺老板</t>
  </si>
  <si>
    <t>什么人？！我就知道，你跟那碰瓷的人是一伙儿的是不是！</t>
  </si>
  <si>
    <t>什么情况，这店不是被查封了么，怎会还有人在？</t>
  </si>
  <si>
    <t>包子铺老板举着两个包子瞪着我，我慌忙解释。</t>
  </si>
  <si>
    <t>你别慌，我是个探子，我……</t>
  </si>
  <si>
    <t>探子都不是什么好人！说，你，是来做什么的？！我要报官了！</t>
  </si>
  <si>
    <t>得让包子铺老板冷静下来</t>
  </si>
  <si>
    <t>90250218</t>
  </si>
  <si>
    <t>安抚老板情绪</t>
  </si>
  <si>
    <t>说明来意后，老板终于放松了下来，跟我讲了事情经过。</t>
  </si>
  <si>
    <t>就是这样。前阵子突然生意极好，好多人来买&lt;c=#db3e63ff&gt;咸馅儿包子&lt;/c&gt;，还给我提了好些建议。</t>
  </si>
  <si>
    <t>比如说，近来新推出的酸豆角菜包、香菇鸡肉包、梅菜扣肉包等……</t>
  </si>
  <si>
    <t>姑娘，你别装了，虽然你放的银钱是够的，可你袖口也实在装不下了。</t>
  </si>
  <si>
    <t>我悻悻地放下了手中的梅菜肉包，包子铺老板继续说道。</t>
  </si>
  <si>
    <t>但好些顾客说很讨厌店内的甜豆沙包、奶黄包甚至叉烧包，还让我不要再卖&lt;c=#db3e63ff&gt;甜包&lt;/c&gt;，否则便不再关顾。</t>
  </si>
  <si>
    <t>这就是你最近不卖甜包的原因，唔就缩坠近都买不到甜包纸……</t>
  </si>
  <si>
    <t>姑娘，你拿的这个豆沙包放了两日了，你要吃就吃这个，新鲜的。</t>
  </si>
  <si>
    <t>我放下手中的豆沙包，接过了老板递给我的热乎乎的豆沙包，道了谢。</t>
  </si>
  <si>
    <t>29;105086;1</t>
  </si>
  <si>
    <t>我也不明白，往日我家肉包甜包都卖的尚好。怎么突然间甜包就无人问津了？</t>
  </si>
  <si>
    <t>可我总归是个生意人，还是要迎合市场喜好，便撤了甜包不卖。</t>
  </si>
  <si>
    <t>然后有一位公子来买甜包，没买到发了脾气，还被那群顾客群殴了。</t>
  </si>
  <si>
    <t>（咦，莫非正是我在查的那起&lt;c=#db3e63ff&gt;斗殴事件&lt;/c&gt;？可卷宗上不是说和邪教有关吗？）</t>
  </si>
  <si>
    <t>29;105087;1</t>
  </si>
  <si>
    <t>那事儿已经引起了官府注意，警告了我，谁知道今儿一个顾客买了包子吃了，就躺地上装中毒。</t>
  </si>
  <si>
    <t>虽然官府澄清那人是碰瓷的，可其他顾客还是被吓跑了。</t>
  </si>
  <si>
    <t>姑娘若能帮我查清真相，恢复生意，咱家这包子就任姑娘来吃了！</t>
  </si>
  <si>
    <t>此事听着，倒是有些蹊跷。我去查查。</t>
  </si>
  <si>
    <t>2503|2505</t>
  </si>
  <si>
    <t>（既然说官府抓了那装中毒的顾客，不妨就直接去问问那人好了。）</t>
  </si>
  <si>
    <t>我来到衙门，却被官差拦住了。</t>
  </si>
  <si>
    <t>90250303</t>
  </si>
  <si>
    <t>官差</t>
  </si>
  <si>
    <t>我亮出了定国公府的腰牌。</t>
  </si>
  <si>
    <t>30;2531;10000</t>
  </si>
  <si>
    <t>【神秘】嘘，定国公府办案，小声一点。你们刚抓的那个假装中毒的碰瓷的人在哪？</t>
  </si>
  <si>
    <t>官差一见这腰牌，登时激动了起来，环绕了四周一圈，冲我神神秘秘滴地悄声说道。</t>
  </si>
  <si>
    <t>小的当差五年，从未遇过大案。今日可算是出头了！</t>
  </si>
  <si>
    <t>一个碰瓷的人，竟能出动定国公府？！</t>
  </si>
  <si>
    <t>姑娘，那人是不是佯装碰瓷，其实是个重犯？我就知道！我就知道！</t>
  </si>
  <si>
    <t>呃，我有充分证据怀疑他与一个邪教组织有关。你替我悄悄把人带来，我需要审问他！</t>
  </si>
  <si>
    <t>官差一脸坚毅地冲我点点头，而后威严地进了衙门。</t>
  </si>
  <si>
    <t>不多时，官差便把那假装中毒的造谣者带来了僻静的后院处。</t>
  </si>
  <si>
    <t>你为何要造谣那天下第一包子铺的包子有毒？</t>
  </si>
  <si>
    <t>造谣者</t>
  </si>
  <si>
    <t>哼，那包子铺和&lt;c=#db3e63ff&gt;咸党&lt;/c&gt;有勾结，我等&lt;c=#db3e63ff&gt;甜派&lt;/c&gt;被逼得退无可退，自然是需要有人身先士卒！</t>
  </si>
  <si>
    <t>（贤党？田派？咦，莫非是我在查的……邪教？）</t>
  </si>
  <si>
    <t>那包子铺老板看着憨傻可爱，竟会与邪教勾结？！</t>
  </si>
  <si>
    <t>就是！咸党那些人，都是邪教！</t>
  </si>
  <si>
    <t>你可知，咸党是干嘛的？</t>
  </si>
  <si>
    <t>自然是拥护&lt;c=#db3e63ff&gt;食物必须是咸口&lt;/c&gt;的那些人！</t>
  </si>
  <si>
    <t>……我好像没听明白。</t>
  </si>
  <si>
    <t>他们雇人去包子店买咸包，同时诋毁甜包子。上次甜派有人去争论，还被他们的人打了。</t>
  </si>
  <si>
    <t>咸党的人让包子铺老板撤了甜包，我也不能让咸党得逞，这才假装中毒让包子铺关门。</t>
  </si>
  <si>
    <t>咸党的人还搞事，把&lt;c=#db3e63ff&gt;西施豆腐花店&lt;/c&gt;和&lt;c=#db3e63ff&gt;赵家碱水粽&lt;/c&gt;给堵了，逼他们出咸口产品呢！</t>
  </si>
  <si>
    <t>有点心累。</t>
  </si>
  <si>
    <t>为什么好好的邪教案子会是这么无聊的争执！！</t>
  </si>
  <si>
    <t>29;105088;1</t>
  </si>
  <si>
    <t>哪里无聊了？！你懂什么？咸甜不共戴天！！</t>
  </si>
  <si>
    <t>你开心就好。再见。</t>
  </si>
  <si>
    <t>我将造谣者交给了两眼发亮的官差。</t>
  </si>
  <si>
    <t>大人可查出邪教的端倪了？</t>
  </si>
  <si>
    <t>实在不忍心让这位想办大案的官差失望，我便点了点头。</t>
  </si>
  <si>
    <t>没错，你做的很好。组织会记住你的功劳的。</t>
  </si>
  <si>
    <t>（&lt;c=#db3e63ff&gt;西施豆腐花店&lt;/c&gt;和&lt;c=#db3e63ff&gt;赵家碱水粽&lt;/c&gt;……去看一眼吧。）</t>
  </si>
  <si>
    <t>2504|2506|2507</t>
  </si>
  <si>
    <t>我来到了探事轩找到了公子歇。</t>
  </si>
  <si>
    <t>姑娘查到什么了？</t>
  </si>
  <si>
    <t>我将查到的事情一一告诉了他</t>
  </si>
  <si>
    <t>90250404|90250405|90250406</t>
  </si>
  <si>
    <t>咸甜党争详情</t>
  </si>
  <si>
    <t>7;105088;1</t>
  </si>
  <si>
    <t>斗殴事件真相</t>
  </si>
  <si>
    <t>7;105087;1</t>
  </si>
  <si>
    <t>中毒事件真相</t>
  </si>
  <si>
    <t>7;105089;1</t>
  </si>
  <si>
    <t>我递上咸甜党争的证据。</t>
  </si>
  <si>
    <t>我将斗殴事件的真相告诉了公子歇。</t>
  </si>
  <si>
    <t>我将中毒事件的真相真相告诉了公子歇。</t>
  </si>
  <si>
    <t>什么嘛，本以为是个邪教蛊惑人心的大案，没想到是这么个破事。</t>
  </si>
  <si>
    <t>那么姑娘是咸党还是甜派？</t>
  </si>
  <si>
    <t>我当然是……</t>
  </si>
  <si>
    <t>90250413|90250414|90250415</t>
  </si>
  <si>
    <t>咸党</t>
  </si>
  <si>
    <t>甜派</t>
  </si>
  <si>
    <t>成年人</t>
  </si>
  <si>
    <t>我当然是咸党了！</t>
  </si>
  <si>
    <t>我当然是甜派了！</t>
  </si>
  <si>
    <t>呵，小孩子才做选择，成年人我全都要！</t>
  </si>
  <si>
    <t>这事虽起因可笑，但也多少造成了店家的困扰。不知姑娘可有办法解决？</t>
  </si>
  <si>
    <t>嗯，首先跟官府的人说一说，不许再&lt;c=#db3e63ff&gt;聚众刷单&lt;/c&gt;以及&lt;c=#db3e63ff&gt;造谣&lt;/c&gt;，影响正常市场。</t>
  </si>
  <si>
    <t>至于店家的损失嘛……我倒是的确有个主意。</t>
  </si>
  <si>
    <t>我已经让几家被逼关门的铺子挂上了&lt;c=#db3e63ff&gt;咸甜竞争榜&lt;/c&gt;，明日起重新开业。</t>
  </si>
  <si>
    <t>购买咸口的顾客赠红色绸缎一根，购买甜口的顾客附赠蓝色绸缎一根，那缎子可挂到咸甜竞争榜上。</t>
  </si>
  <si>
    <t>一月一结，月末时数那缎子数量，公布咸甜党谁获胜。</t>
  </si>
  <si>
    <t>这样一来咸甜党必然会因为刷榜而大量购买店家的吃食，店家生意肯定很好！</t>
  </si>
  <si>
    <t>这事我已有耳闻，毕竟尚京已经四处传开了。原来是姑娘的主意。</t>
  </si>
  <si>
    <t>怪不得最近那天下第一包子铺、西施豆腐花和赵家碱水粽在云绣房下了好一批绸缎订单呢。</t>
  </si>
  <si>
    <t>……不对，你竟然查我店铺订单！</t>
  </si>
  <si>
    <t>歇做情报生意的，总要关注关注市场异常情况吧。做吃食店跑去买绸缎，歇当然得查一查。</t>
  </si>
  <si>
    <t>反正，四方得利，事情完美解决，我是不是很棒？</t>
  </si>
  <si>
    <t>【笑】当真令歇刮目相看。</t>
  </si>
  <si>
    <t>从天下第一包子铺出来后，我找猫儿查来了那日被打的买甜包的人的地址。</t>
  </si>
  <si>
    <t>我到了他家，见他正趴着养伤。</t>
  </si>
  <si>
    <t>我是来调查上次包子铺门口的&lt;c=#db3e63ff&gt;斗殴事件&lt;/c&gt;的。</t>
  </si>
  <si>
    <t>被打的公子</t>
  </si>
  <si>
    <t>你是咸党的人还是甜派的人？！</t>
  </si>
  <si>
    <t>90250505|90250506</t>
  </si>
  <si>
    <t>7;105086;1</t>
  </si>
  <si>
    <t>我还是比较喜欢吃咸的。</t>
  </si>
  <si>
    <t>你走吧，我不想理你！</t>
  </si>
  <si>
    <t>我拿出包子铺的&lt;c=#db3e63ff&gt;甜豆沙包&lt;/c&gt;。被打的人接了过去，掰开查看了馅儿，一口下去，老泪纵横。</t>
  </si>
  <si>
    <t>啊，洒家这辈子值了。</t>
  </si>
  <si>
    <t>咸党真是！颇为可恶！一直以来，咸甜党都私下有些友好交流。</t>
  </si>
  <si>
    <t>可前阵子，天下第一包子铺的奶黄甜包突然风靡，咸党便起了记恨之心！</t>
  </si>
  <si>
    <t>他们雇了大批民众去买咸包，并且威胁包子铺老板不要卖甜包。</t>
  </si>
  <si>
    <t>那日他们聚众刷单时，我正好路过，气不过便跟他们辩论了几句，没想到被打了。</t>
  </si>
  <si>
    <t>那日你跟他们说啥了，都打你一个？</t>
  </si>
  <si>
    <t>我说馒头沾血也是咸的，为何不吃人血馒头！</t>
  </si>
  <si>
    <t>唔，这话说的有些过了，就是吃个肉包子，实在不至于如此苦大仇深。</t>
  </si>
  <si>
    <t>这不是重点。重点是，我们甜派不能让他们风光得意，于是组织便安排了人去揭发包子铺老板的咸包有毒。</t>
  </si>
  <si>
    <t>（啊，原来包子铺被封是甜派的报复。）</t>
  </si>
  <si>
    <t>29;105089;1</t>
  </si>
  <si>
    <t>姑娘是甜派组织派人来探望我的么？</t>
  </si>
  <si>
    <t>我从袖口拿出包子铺带来的梅菜肉包，递了一个给这公子。</t>
  </si>
  <si>
    <t>对啊。组织让我给你带了新研发的梅菜肉包，尝尝？</t>
  </si>
  <si>
    <t>叛徒！我甜派就是死在这里！从这里跳下去！也不会吃一口咸的！</t>
  </si>
  <si>
    <t>我一把把包子塞进了他嘴里，他愣了愣，嚼了起来。</t>
  </si>
  <si>
    <t>……真香。</t>
  </si>
  <si>
    <t>我来到了&lt;c=#db3e63ff&gt;西施豆腐花店&lt;/c&gt;门口，只见店门关闭，两拨人正在门口静坐。</t>
  </si>
  <si>
    <t>（……哇。这静坐真热闹。）</t>
  </si>
  <si>
    <t>咸党甲</t>
  </si>
  <si>
    <t>要我说，这豆腐脑也得做成咸的。</t>
  </si>
  <si>
    <t>甜派甲</t>
  </si>
  <si>
    <t>道德沦丧！豆腐脑就该是甜的！你这种邪教，有违伦理纲纪！</t>
  </si>
  <si>
    <t>咸党乙</t>
  </si>
  <si>
    <t>万物皆可咸，这豆腐花不试试加个蟹黄卤汁葱花辣子啥的，你怎地就知道它不香呢！</t>
  </si>
  <si>
    <t>【咆哮】异端！大逆不道！</t>
  </si>
  <si>
    <t>【嘶吼】痴愚！食古不化！</t>
  </si>
  <si>
    <t>甜派和咸党当即吼成一团，颇为混乱。</t>
  </si>
  <si>
    <t>（趁这个机会，赶紧去店内找找老板。）</t>
  </si>
  <si>
    <t>找机会溜进店铺</t>
  </si>
  <si>
    <t>90250611</t>
  </si>
  <si>
    <t>寻觅良机</t>
  </si>
  <si>
    <t>30;2541;10000</t>
  </si>
  <si>
    <t>我进了店铺，见到了唉声叹气的老板。</t>
  </si>
  <si>
    <t>呃，我以为，西施豆腐花的老板应该是西施一样的美人？</t>
  </si>
  <si>
    <t>施老板</t>
  </si>
  <si>
    <t>我叫施西。</t>
  </si>
  <si>
    <t>也行吧……</t>
  </si>
  <si>
    <t>别讨论我的名字。姑娘，不，姑奶奶啊，我小店已经两天没有开门了。</t>
  </si>
  <si>
    <t>求求你们咸甜党放过我们这些小本生意好么？</t>
  </si>
  <si>
    <t>施老板误会了，我是探子，是来替你们解决问题的。</t>
  </si>
  <si>
    <t>要如何解决？</t>
  </si>
  <si>
    <t>他们这般争执，无非也是对你们店太过喜爱。若是能好好引导，倒不失为一个商机……</t>
  </si>
  <si>
    <t>我将我的计划一一向施老板托出。</t>
  </si>
  <si>
    <t>姑娘真是好手段，行，我加入！</t>
  </si>
  <si>
    <t>&lt;c=#db3e63ff&gt;赵家碱水粽&lt;/c&gt;门口搬出了两张桌子，两位书生正口若悬河的辩论，周围人群时不时发出叫好声。</t>
  </si>
  <si>
    <t>咸党辩论者</t>
  </si>
  <si>
    <t>对咸的崇尚是深深植入到我们的文化传承里的！</t>
  </si>
  <si>
    <t>甜派辩论者</t>
  </si>
  <si>
    <t>对甜的渴望是牢牢印刻在我们的血脉根骨中的！</t>
  </si>
  <si>
    <t>你们这么爱吃甜的，活得一定很苦吧！</t>
  </si>
  <si>
    <t>这可是人身攻击了，难道你们这么爱吃咸的，是闲出来的不成！</t>
  </si>
  <si>
    <t>甜狗终将一无所有！</t>
  </si>
  <si>
    <t>咸鱼尔辈休想翻身！</t>
  </si>
  <si>
    <t>二人气呼呼地对视一眼，皆怒哼一声转过了头。</t>
  </si>
  <si>
    <t>主持人</t>
  </si>
  <si>
    <t>下面请双方总结最终发言，时长一炷香！</t>
  </si>
  <si>
    <t>（趁他们在埋头讨论，我得赶紧溜进店内找老板！）</t>
  </si>
  <si>
    <t>可惜后院的门锁上了</t>
  </si>
  <si>
    <t>90250712</t>
  </si>
  <si>
    <t>撬门</t>
  </si>
  <si>
    <t>30;2551;10000</t>
  </si>
  <si>
    <t>我刚撬开门，便见到了碱水粽的赵大姐。</t>
  </si>
  <si>
    <t>赵大姐</t>
  </si>
  <si>
    <t>所以辩论赛出结果没有？我要卖甜棕还是肉粽？</t>
  </si>
  <si>
    <t>非也非也，赵大姐，我是来替你解决问题的探子。</t>
  </si>
  <si>
    <t>求姑娘救救我们吧，我都三日没开业了，这铺子租金那么贵，我真是心里焦急得很啊！</t>
  </si>
  <si>
    <t>赵大姐莫慌，我倒是有个主意，准备得当后，明日你便可正常营业了。</t>
  </si>
  <si>
    <t>我将我的计划一一向赵大姐说出。</t>
  </si>
  <si>
    <t>虽然这事闻所未闻，但似乎也的确有点意思……好，我会准备好的。</t>
  </si>
  <si>
    <t>西街的贺先生是位温文尔雅的读书人，父亲曾赞赏他的字颜筋柳骨，颇有大家风范。</t>
  </si>
  <si>
    <t>这位贺先生承蒙祖上荫庇，家中颇有积累，故贺家倒也不是非要博一个功名。</t>
  </si>
  <si>
    <t>在街头接些字画生意，在一些个书画社零零碎碎投两篇文章，是贺先生平时常做的事。</t>
  </si>
  <si>
    <t>贺先生</t>
  </si>
  <si>
    <t>你就是探事轩派来帮我的人吗？</t>
  </si>
  <si>
    <t>是的，贺先生能否向我说明事情原委？</t>
  </si>
  <si>
    <t>是这样的，我有位谬托知己的朋友，想要查查看是否已抵京，我也好为她准备些接风洗尘的事宜。</t>
  </si>
  <si>
    <t>这事怎么会托探事轩来查呢？问问邻县的驿丞就行了呀。</t>
  </si>
  <si>
    <t>就是这事有些怪，才找你来调查的。</t>
  </si>
  <si>
    <t>我这位笔友名叫&lt;c=#db3e63ff&gt;朱真真&lt;/c&gt;，钱塘人，我与她书信往来已有两三年之久。</t>
  </si>
  <si>
    <t>她虽是个女子，却文采了得，斐然成章。那一首好词，贺某虽是男子，也自叹不如……</t>
  </si>
  <si>
    <t>贺先生的委托莫非与此女子有关？</t>
  </si>
  <si>
    <t>正是。她以往与我交流信件，都是半月有余才得一封信，可最近一年，几乎二三日便能有回音。</t>
  </si>
  <si>
    <t>我一开始惊叹急递铺的速度，可细细想来却说不通。现在想来，约莫是她已抵京城了吧。</t>
  </si>
  <si>
    <t>后来我听安歌府上的&lt;c=#db3e63ff&gt;五味&lt;/c&gt;说，朱真真在邻县等我，我便动身前往，谁知行走多个县，却没有任何音讯。</t>
  </si>
  <si>
    <t>我……我的确对她有落月屋梁之思，她却这样戏耍于我，我想知道她到底怎么想的……</t>
  </si>
  <si>
    <t>的确奇怪。</t>
  </si>
  <si>
    <t>如果你有什么要查的，这是我的&lt;c=#db3e63ff&gt;手帖&lt;/c&gt;，我授权你可以查查信件信息。希望你能给我带来些许消息吧。</t>
  </si>
  <si>
    <t>29;105090;1</t>
  </si>
  <si>
    <t>2602|2603|2610</t>
  </si>
  <si>
    <t>刚刚踏上大乐府宅的楼梯，就被一个叉腰的小童风风火火地赶得退了几步。</t>
  </si>
  <si>
    <t>哎呀你走吧你走吧，我家公子不会见你的！蒙了面也不能进来！</t>
  </si>
  <si>
    <t>五味？你怎么了？为什么我不能见安公子？</t>
  </si>
  <si>
    <t>不要叫我的名字啦！我们公子不是什么女孩子都见的！</t>
  </si>
  <si>
    <t>【忍笑】是我啦，五味，你不认识我了吗？</t>
  </si>
  <si>
    <t>耶？是云绣坊的姐姐！你来找我家公子吗？公子！</t>
  </si>
  <si>
    <t>别叫别叫！我是来找你的。</t>
  </si>
  <si>
    <t>姐姐来找五味吗？五味有什么可以帮你的吗？</t>
  </si>
  <si>
    <t>我听说你之前找过贺先生，你是否知道……</t>
  </si>
  <si>
    <t>五……五味不知道……</t>
  </si>
  <si>
    <t>【脸红】五味没有，五味什么都不知道……</t>
  </si>
  <si>
    <t>（哇这个小孩这个样子……一定在撒谎。）</t>
  </si>
  <si>
    <t>我要怎么问出消息才好呢？</t>
  </si>
  <si>
    <t>90260215|90260216</t>
  </si>
  <si>
    <t>想个法子套话</t>
  </si>
  <si>
    <t>30;2611;10000</t>
  </si>
  <si>
    <t>用安歌吓他</t>
  </si>
  <si>
    <t>那贺先生怎么说你是让他去醉月楼呀？</t>
  </si>
  <si>
    <t>五味明明是让他去阳城县……</t>
  </si>
  <si>
    <t>哦？这么说还是你让他去的咯？</t>
  </si>
  <si>
    <t>诶？安公子你出来啦？五味说你让他……</t>
  </si>
  <si>
    <t>【着急】公子！五味没有说出去！</t>
  </si>
  <si>
    <t>五味回头看，发现根本没有安公子的影子，才惊觉受了骗。</t>
  </si>
  <si>
    <t>行了行了，有我在，你家公子不会怪罪你的。</t>
  </si>
  <si>
    <t>给我说说怎么回事吧？</t>
  </si>
  <si>
    <t>五味懊恼地叹了口气，慢吞吞地开了口。</t>
  </si>
  <si>
    <t>是这样的……我家公子之前说，让我邀请贺先生去阳城县，可后面公子有其他事情未赴约。</t>
  </si>
  <si>
    <t>是……是我忘了通知贺先生啦！</t>
  </si>
  <si>
    <t>不过阳城有很多信鸽，贺先生就算一个人呆那喂鸽子应该也不会无聊吧！</t>
  </si>
  <si>
    <t>那你为何以朱真真的名义约出贺先生呢？</t>
  </si>
  <si>
    <t>什么朱真真？五味只说一位&lt;c=#db3e63ff&gt;旧友有约&lt;/c&gt;，在阳城县等，他就很高兴地去收拾行李了……</t>
  </si>
  <si>
    <t>2604</t>
  </si>
  <si>
    <t>南街急递铺的铺兵在铺内忙忙碌碌，看起来不是很好打扰的样子。</t>
  </si>
  <si>
    <t>你好……请问可以帮我……</t>
  </si>
  <si>
    <t>铺兵</t>
  </si>
  <si>
    <t>现在没空，今天要整理分拨，你明天再来吧。</t>
  </si>
  <si>
    <t>（探事轩的任务隔夜就要清交了，可等不到明天……）</t>
  </si>
  <si>
    <t>90260306|90260307</t>
  </si>
  <si>
    <t>问问猫咪</t>
  </si>
  <si>
    <t>30;2621;10000</t>
  </si>
  <si>
    <t>还是算了。</t>
  </si>
  <si>
    <t>嗷嗷，你有什么办法吗？</t>
  </si>
  <si>
    <t>这个简单，这些铺兵的待遇听说不是很好，被长官们克扣了些粮饷，所以服务态度会不好些……</t>
  </si>
  <si>
    <t>这才不是态度不好的理由呢！</t>
  </si>
  <si>
    <t>如果大小姐想要他们打起精神来做事，那么只要……</t>
  </si>
  <si>
    <t>嗷嗷的小爪子试图努力搓动，但是尝试了几次还是失败了。</t>
  </si>
  <si>
    <t>只要给一点点辛苦钱就行啦。</t>
  </si>
  <si>
    <t>真的行吗……</t>
  </si>
  <si>
    <t>我将信将疑地给铺兵递上了几两碎银子。</t>
  </si>
  <si>
    <t>姑娘不必这样，若真的很急，我帮你就是了。</t>
  </si>
  <si>
    <t>你要查些什么？</t>
  </si>
  <si>
    <t>是这样的……我想来查一下，贺先生之前从钱塘来的&lt;c=#db3e63ff&gt;收信记录&lt;/c&gt;，这是贺先生的手帖。</t>
  </si>
  <si>
    <t>好我看看……嗯？贺先生的记录下，这一年都没有收到任何钱塘来的信件。</t>
  </si>
  <si>
    <t>29;105091;1</t>
  </si>
  <si>
    <t>什么？</t>
  </si>
  <si>
    <t>（贺先生难道在骗我？）</t>
  </si>
  <si>
    <t>2607</t>
  </si>
  <si>
    <t>这事我还没想好……</t>
  </si>
  <si>
    <t>贺先生，我有话想跟你说。</t>
  </si>
  <si>
    <t>你有线索了吗？</t>
  </si>
  <si>
    <t>90260404</t>
  </si>
  <si>
    <t>我在急递铺查到点东西……</t>
  </si>
  <si>
    <t>7;105091;1</t>
  </si>
  <si>
    <t>贺先生，急递铺的人说，你这一年来都没有钱塘的收信记录诶……</t>
  </si>
  <si>
    <t>胡说，怎么可能呢……</t>
  </si>
  <si>
    <t>莫非？</t>
  </si>
  <si>
    <t>莫非是那画中仙子……？</t>
  </si>
  <si>
    <t>贺先生请不要看太多话本子。</t>
  </si>
  <si>
    <t>贺先生，能不能让我看看你的&lt;c=#db3e63ff&gt;书信&lt;/c&gt;是否有问题呢？</t>
  </si>
  <si>
    <t>这……</t>
  </si>
  <si>
    <t>贺先生转过身，开始自己纠结犹豫，似乎听不进任何话。</t>
  </si>
  <si>
    <t>还有没有什么办法能确认书信的问题？</t>
  </si>
  <si>
    <t>90260415|90260416</t>
  </si>
  <si>
    <t>好言相劝</t>
  </si>
  <si>
    <t>30;2631;10000</t>
  </si>
  <si>
    <t>使用&lt;c=#db3e63ff&gt;不吃符&lt;/c&gt;</t>
  </si>
  <si>
    <t>7;105096;1</t>
  </si>
  <si>
    <t>贺先生你看，你若对我有所隐瞒，我帮你查东西肯定也不准确，你看能不能通融一下？</t>
  </si>
  <si>
    <t>我将白公子的不吃符，趁贺先生不注意，拍在他背上。并迅速开始催动咒语。</t>
  </si>
  <si>
    <t>“不听老人言，吃亏在眼前，不听老人言，吃亏在眼前……”</t>
  </si>
  <si>
    <t>我一边念动咒语，一边观察着贺先生的变化。</t>
  </si>
  <si>
    <t>只见贺先生缓缓转过身子，直愣愣地看着我。</t>
  </si>
  <si>
    <t>（成功了吗……？）</t>
  </si>
  <si>
    <t>你干什么打我？</t>
  </si>
  <si>
    <t>（臭白沧！这样骗我！）</t>
  </si>
  <si>
    <t>我给你看就是了，你不可再打我了，我可是你的雇主。</t>
  </si>
  <si>
    <t>贺先生委委屈屈地进房里拿了好厚一沓信件出来。</t>
  </si>
  <si>
    <t>倒也没什么不能看的……只不过朱真真的文采比我好太多，我的就有些羞于见人……</t>
  </si>
  <si>
    <t>你看吧。</t>
  </si>
  <si>
    <t>我拿起信封，只见这信封的纸张坚韧平整，用无泥&lt;c=#db3e63ff&gt;钢印&lt;/c&gt;在角落里打了一个浅浅的标志。</t>
  </si>
  <si>
    <t>以我逢年过节跟父亲打麻将的经验，我细细摩挲着信封上的钢印。</t>
  </si>
  <si>
    <t>有了！是&lt;c=#db3e63ff&gt;翰轩书画社&lt;/c&gt;！</t>
  </si>
  <si>
    <t>29;105092;1</t>
  </si>
  <si>
    <t>啊，对啊，我的信就是托他们寄的，怎么了？</t>
  </si>
  <si>
    <t>你能不能早点说？</t>
  </si>
  <si>
    <t>2605|2606</t>
  </si>
  <si>
    <t>翰轩书画社，是湖景街还算有名的书画社，偶尔有些名家会受邀来压压场子。</t>
  </si>
  <si>
    <t>但大多数时候还是像贺先生这样的富家子弟，常驻在书画社里顾影自怜。</t>
  </si>
  <si>
    <t>才子</t>
  </si>
  <si>
    <t>姑娘有礼，请问是找哪位才子呢？</t>
  </si>
  <si>
    <t>公子有礼，我是想来看看关于贺先生的朋友的事，有没有什么可以了解的。</t>
  </si>
  <si>
    <t>姑娘说的贺先生我认识，但是他么……</t>
  </si>
  <si>
    <t>他怎么了？</t>
  </si>
  <si>
    <t>他的朋友可不是你这样轻车简从的姑娘好打听的。</t>
  </si>
  <si>
    <t>我要怎么说服他呢？</t>
  </si>
  <si>
    <t>90260509|90260510</t>
  </si>
  <si>
    <t>你看，我坐拥名猫无数</t>
  </si>
  <si>
    <t>30;2641;10000</t>
  </si>
  <si>
    <t>你看，我认识祁清和</t>
  </si>
  <si>
    <t>天哪！你竟然有这么高贵的小猫咪！</t>
  </si>
  <si>
    <t>姑娘定是个地位卓然的贵家小姐！是在下有眼无珠了！</t>
  </si>
  <si>
    <t>天哪！你竟然认识商广会馆的少东家！</t>
  </si>
  <si>
    <t>失礼失礼！在下实在是有眼不识金镶玉！</t>
  </si>
  <si>
    <t>既然这样，在下就不瞒你了，贺先生的朋友有两位。</t>
  </si>
  <si>
    <t>一位么，是钱塘有名的才女，朱真真。</t>
  </si>
  <si>
    <t>她很有名吗？</t>
  </si>
  <si>
    <t>也许名号你没听过，但近来她的诗词却飘遍了楼台瓦舍。只要在楼边，就能听到她的&lt;c=#db3e63ff&gt;《减字木兰花》&lt;/c&gt;。</t>
  </si>
  <si>
    <t>近来？她以前不出名吗？</t>
  </si>
  <si>
    <t>她以前虽有名气，诗词也出得快又多，但无人修整归辑。</t>
  </si>
  <si>
    <t>直到一年前，她的诗词被她的父母尽数&lt;c=#db3e63ff&gt;焚毁&lt;/c&gt;，这流传在外的诗词本，就越发显得珍贵。</t>
  </si>
  <si>
    <t>焚毁？！她父母为什么要这样对她呢？</t>
  </si>
  <si>
    <t>旁人家的事儿我读书人就不好议论了，在下所知就只到诗词为止。</t>
  </si>
  <si>
    <t>但你可知贺先生的另一位&lt;c=#db3e63ff&gt;狂朋怪侣&lt;/c&gt;是谁？</t>
  </si>
  <si>
    <t>【轻笑】你一定认识，这城里的姑娘，没有不认识他的。</t>
  </si>
  <si>
    <t>哪有这样的人？</t>
  </si>
  <si>
    <t>大乐府家的天上石麟——&lt;c=#db3e63ff&gt;安歌&lt;/c&gt;公子。</t>
  </si>
  <si>
    <t>安歌？</t>
  </si>
  <si>
    <t>所以我一开始就觉得你知道了也没用，安歌公子虽风流，却也不是什么人都可以见的。</t>
  </si>
  <si>
    <t>【忍笑】谢谢这位公子，我去会会这位“不可高攀”的&lt;c=#db3e63ff&gt;安歌&lt;/c&gt;公子。</t>
  </si>
  <si>
    <t>2608</t>
  </si>
  <si>
    <t>湖景街的风景雅致，翰轩书画社在湖边亭亭而立，虽场地不大，却甚是风雅。</t>
  </si>
  <si>
    <t>这位小哥，我是受贺先生所托，前来了解一下信件的事的。</t>
  </si>
  <si>
    <t>门童</t>
  </si>
  <si>
    <t>信件是各位才子们的私密之物，怎好随便让你知道。</t>
  </si>
  <si>
    <t>但是……你看后面那个人，他就可以随便进出放信的地方啊……</t>
  </si>
  <si>
    <t>他可是才子，姑娘若是才子，在翰轩书画社也可以随意进出。</t>
  </si>
  <si>
    <t>你又怎知我不是才子……才女？</t>
  </si>
  <si>
    <t>那我出几道题，你若是能答上来，我便放你进去。</t>
  </si>
  <si>
    <t>尽管出题！</t>
  </si>
  <si>
    <t>这第一道题，我们来对对子，我出上联，姑娘对下联。</t>
  </si>
  <si>
    <t>走马灯，灯走马，灯熄马停步。</t>
  </si>
  <si>
    <t>90260611|90260612|90260613</t>
  </si>
  <si>
    <t>五味鸡，鸡五味，鸡熟味道美</t>
  </si>
  <si>
    <t>竖子刁，刁竖子，刁蛮子何如</t>
  </si>
  <si>
    <t>飞虎旗，旗飞虎，旗卷虎藏身。</t>
  </si>
  <si>
    <t>姑娘文采尚不足，还是想清楚再对吧。</t>
  </si>
  <si>
    <t>其实这道题，并不一定是考姑娘的对联功力……</t>
  </si>
  <si>
    <t>答题便答题，姑娘何苦骂人？</t>
  </si>
  <si>
    <t>姑娘答对了，其实这道题考的是典故，是前朝王文公的经典故事。</t>
  </si>
  <si>
    <t>下道题，我们考字谜，请听题。</t>
  </si>
  <si>
    <t>湖光水月人留恋 （打一字）</t>
  </si>
  <si>
    <t>90260621|90260622|90260623</t>
  </si>
  <si>
    <t>爱</t>
  </si>
  <si>
    <t>美</t>
  </si>
  <si>
    <t>估</t>
  </si>
  <si>
    <t>姑娘的想法挺旖旎，但是不对。</t>
  </si>
  <si>
    <t>不妨再想想。</t>
  </si>
  <si>
    <t>姑娘的想法真是天真烂漫，但是不对。</t>
  </si>
  <si>
    <t>姑娘真是冰雪聪明！</t>
  </si>
  <si>
    <t>这最后一题么……可不是这么简单的。</t>
  </si>
  <si>
    <t>限你一炷香内，速画一幅画。绢扇画面也可，写意大山水也可。</t>
  </si>
  <si>
    <t>我拿起笔，准备开始画一幅岁寒三友图。</t>
  </si>
  <si>
    <t>可我平时有些疏于练习，刚在角落里画好梅树枝，抬头一看，时间便几近结束。</t>
  </si>
  <si>
    <t>这可怎么办呢……</t>
  </si>
  <si>
    <t>我瞥见又又在一旁懵懵地舔脚。</t>
  </si>
  <si>
    <t>就是你了！</t>
  </si>
  <si>
    <t>猫猫们，委屈你们了！</t>
  </si>
  <si>
    <t>90260638</t>
  </si>
  <si>
    <t>来帮我画画吧！</t>
  </si>
  <si>
    <t>30;2651;10000</t>
  </si>
  <si>
    <t>线香燃尽，我的画也完工了。</t>
  </si>
  <si>
    <t>周围的人一阵阵倒吸冷气。</t>
  </si>
  <si>
    <t>才子甲</t>
  </si>
  <si>
    <t>天哪，从未想到猫爪竟可以入画！</t>
  </si>
  <si>
    <t>才子乙</t>
  </si>
  <si>
    <t>这朵朵寒梅！真是不能再可爱了！</t>
  </si>
  <si>
    <t>才子丙</t>
  </si>
  <si>
    <t>姑娘真是别出心裁，兰质蕙心！</t>
  </si>
  <si>
    <t>想不到区区一副偷懒的画竟受到这样的夸奖，我也是一脸懵逼。</t>
  </si>
  <si>
    <t>姑娘这样的好文采，不如加入我们翰轩书画社吧？</t>
  </si>
  <si>
    <t>呃……不用了不用了……让我去看看贺先生的信件记录就好，这是贺先生的手帖。</t>
  </si>
  <si>
    <t>姑娘说的是贺先生么？贺先生的信件一向是安公子家的五味送去给&lt;c=#db3e63ff&gt;急递铺&lt;/c&gt;的。</t>
  </si>
  <si>
    <t>怎么又是急递铺……</t>
  </si>
  <si>
    <t>对了，我只查了收信记录，去查查&lt;c=#db3e63ff&gt;发信记录&lt;/c&gt;，也许会有些眉目！</t>
  </si>
  <si>
    <t>29;105093;1</t>
  </si>
  <si>
    <t>姑娘还有什么事吗？</t>
  </si>
  <si>
    <t>90260703|90260704</t>
  </si>
  <si>
    <t>没什么了</t>
  </si>
  <si>
    <t>我想查查其他的</t>
  </si>
  <si>
    <t>7;105093;1</t>
  </si>
  <si>
    <t>姑娘想清楚再来吧，我们也很忙的。</t>
  </si>
  <si>
    <t>我想查查看贺先生的&lt;c=#db3e63ff&gt;发信记录&lt;/c&gt;。</t>
  </si>
  <si>
    <t>贺先生啊……喏，没有收信，也没有发信，这一年根本没有贺先生发往钱塘的任何记录。</t>
  </si>
  <si>
    <t>但是……</t>
  </si>
  <si>
    <t>但是？</t>
  </si>
  <si>
    <t>这里显示，大乐府宅的&lt;c=#db3e63ff&gt;安歌&lt;/c&gt;公子倒是常往贺府发信。</t>
  </si>
  <si>
    <t>29;105094;1</t>
  </si>
  <si>
    <t>来到大乐府宅，我心里有些复杂。</t>
  </si>
  <si>
    <t>种种迹象显示，安歌兴许……</t>
  </si>
  <si>
    <t>安公子。</t>
  </si>
  <si>
    <t>何必如此见外，叫我安歌就行。</t>
  </si>
  <si>
    <t>看安歌这副亲和的样子，我心里有种难言的复杂。</t>
  </si>
  <si>
    <t>安公子……那个……我这次来是想问问……</t>
  </si>
  <si>
    <t>尽管问来，安某必定知无不言。</t>
  </si>
  <si>
    <t>我有点不知如何开口，不如给他看看我收集到的东西吧。</t>
  </si>
  <si>
    <t>90260809</t>
  </si>
  <si>
    <t>急递铺的记录</t>
  </si>
  <si>
    <t>7;105094;1</t>
  </si>
  <si>
    <t>安公子……我听说贺先生一直在与一位少女鸿雁传书……</t>
  </si>
  <si>
    <t>安某知道。</t>
  </si>
  <si>
    <t>这贺先生好友不多，朱姓才女算一个，你……算一个。</t>
  </si>
  <si>
    <t>贺先生的确是安某的好友。</t>
  </si>
  <si>
    <t>但是我在急递铺查到的记录……其实这位贺先生都没有跟朱才女传过信的……那么……</t>
  </si>
  <si>
    <t>姑娘到底要说什么？</t>
  </si>
  <si>
    <t>【鼓起勇气】安公子！你是不是喜欢贺先生！</t>
  </si>
  <si>
    <t>噗！——</t>
  </si>
  <si>
    <t>安歌背过身去，虽看不到表情，看得出来是在笑。</t>
  </si>
  <si>
    <t>我有点生气了。</t>
  </si>
  <si>
    <t>你笑什么！贺先生高人雅士！你竟然瞧不起他的感情？！</t>
  </si>
  <si>
    <t>非也非也……</t>
  </si>
  <si>
    <t>说完安歌以扇掩面，继续背过身去，耳朵尖都有些红。</t>
  </si>
  <si>
    <t>我愈发地生气了。</t>
  </si>
  <si>
    <t>安歌笑个不停，怎么才能让他停下来呢？</t>
  </si>
  <si>
    <t>90260825|90260826</t>
  </si>
  <si>
    <t>大吼一声吓他</t>
  </si>
  <si>
    <t>安静许久，让他笑到尴尬</t>
  </si>
  <si>
    <t>30;2661;10000</t>
  </si>
  <si>
    <t>我大吼一声。没想到安歌竟然摆摆手，去椅子上坐下继续笑去了。</t>
  </si>
  <si>
    <t>气煞我也。</t>
  </si>
  <si>
    <t>我一声不吭，气氛渐渐凝固，安歌讪笑两声，便再笑不下去了。</t>
  </si>
  <si>
    <t>好吧好吧，我跟你说，你别生气。</t>
  </si>
  <si>
    <t>这贺先生是我的好友，几年前与这位朱真真开始以文会友。书信往来不断。</t>
  </si>
  <si>
    <t>这位朱真真的词我看过，的确才华横溢。</t>
  </si>
  <si>
    <t>但一年前，朱真真拗不过父母之命，&lt;c=#db3e63ff&gt;嫁给了一位官绅&lt;/c&gt;。</t>
  </si>
  <si>
    <t>什么！她一年前嫁人了？！</t>
  </si>
  <si>
    <t>她的确反抗过，但纵使是她这样大才的女子，却也抵不过世俗礼教，父母规矩。</t>
  </si>
  <si>
    <t>她的诗集被尽数焚毁，父母囚她良久，她亦不肯嫁人。</t>
  </si>
  <si>
    <t>后来她辗转找到我，说知深情不易，交给我一首&lt;c=#db3e63ff&gt;《减字木兰花》&lt;/c&gt;让我转交，便放弃抵抗，出了嫁。</t>
  </si>
  <si>
    <t>安某知道我这位好友不是个容易走出来的人，故在这一年内循序渐进地在暗示他。</t>
  </si>
  <si>
    <t>可谁知我这位好友是个榆木脑袋，我发些伤情的诗文给他，他竟工工整整给我对仗了回来。</t>
  </si>
  <si>
    <t>我本想着再过些时日，再发一次朱真真的《减字木兰花》给他，然后告诉他真相。</t>
  </si>
  <si>
    <t>但先找上门的竟是你这机灵鬼。</t>
  </si>
  <si>
    <t>什……什么机灵鬼啊……</t>
  </si>
  <si>
    <t>你若不是打听八卦，何苦带这面纱？</t>
  </si>
  <si>
    <t>我……我这是正事……</t>
  </si>
  <si>
    <t>不过这样也好，你帮我把这伤情的词给他吧，这是朱真真写的最后一首词了。</t>
  </si>
  <si>
    <t>29;105095;1</t>
  </si>
  <si>
    <t>不过……安公子。</t>
  </si>
  <si>
    <t>嗯？还有什么要问安某吗？</t>
  </si>
  <si>
    <t>若……若你喜欢的人成了亲， 你又当如何？</t>
  </si>
  <si>
    <t>安歌轻笑，屋外的花瓣被风扬起，有些许飘入屋内。春风融融，他的白衣飘飘，仿佛初见时一样和煦。</t>
  </si>
  <si>
    <t>安某万幸，她尚未成亲。</t>
  </si>
  <si>
    <t>2609</t>
  </si>
  <si>
    <t>贺先生，有句话不知当讲不当讲。</t>
  </si>
  <si>
    <t>但说无妨。</t>
  </si>
  <si>
    <t>其实你也不必执着于朱才女，你们原本就没见过面，若是此生再无机会相见，也与现在无甚分别吧？</t>
  </si>
  <si>
    <t>姑娘到底要说什么？贺某听不懂。</t>
  </si>
  <si>
    <t>把这首词给他看吧。</t>
  </si>
  <si>
    <t>90260906</t>
  </si>
  <si>
    <t>7;105095;1</t>
  </si>
  <si>
    <t>拿出《减字木兰花》</t>
  </si>
  <si>
    <t>这是朱真真最后给你的词，这里有安公子写的原委，希望你不要太难过。</t>
  </si>
  <si>
    <t>贺先生站在树下，看着手里的信，动也未动。</t>
  </si>
  <si>
    <t>暮春的风，不知为何却有些冰凉，远不带暑气的模样。</t>
  </si>
  <si>
    <t>远远听见临街的歌女在唱这首&lt;c=#db3e63ff&gt;《减字木兰花·春怨》&lt;/c&gt;。</t>
  </si>
  <si>
    <t>“独行独坐，独唱独酬还独卧。伫立伤神，无奈轻寒著摸人。”</t>
  </si>
  <si>
    <t>“此情谁见，泪洗残妆无一半。愁病相仍，剔尽寒灯梦不成。”</t>
  </si>
  <si>
    <t>咿咿呀呀，好不凄凉。</t>
  </si>
  <si>
    <t>远郊依旧杳无人烟，但是我却已不再害怕进入这里。</t>
  </si>
  <si>
    <t>白沧。</t>
  </si>
  <si>
    <t>我找白沧干些什么呢？</t>
  </si>
  <si>
    <t>90261005|90261006|90261007</t>
  </si>
  <si>
    <t>30;2671;10000</t>
  </si>
  <si>
    <t>你在这里干嘛呢？</t>
  </si>
  <si>
    <t>不买东西就别过来。</t>
  </si>
  <si>
    <t>这张不吃符，若是需要别人听你的话，可以用这个。</t>
  </si>
  <si>
    <t>这个怎么卖呢？</t>
  </si>
  <si>
    <t>刚刚让吾摸的猫，已经足够。</t>
  </si>
  <si>
    <t>29;105096;1</t>
  </si>
  <si>
    <t>这个怎么用呢？</t>
  </si>
  <si>
    <t>有咒语。</t>
  </si>
  <si>
    <t>白沧念了句咒语。</t>
  </si>
  <si>
    <t>说完咒语，他便不见了，就好像他刚刚突然出现在林中一样。</t>
  </si>
  <si>
    <t>接到委托，我便赶来了近来声名鹊起的酒楼。</t>
  </si>
  <si>
    <t>酒楼老板</t>
  </si>
  <si>
    <t>实在抱歉，这几日店里生意太好，我走不开，只能把你约来店里了。</t>
  </si>
  <si>
    <t>啊……是您下的委托——肌肉小哥夜卧长安街……</t>
  </si>
  <si>
    <t>接委托时我未曾细看，如今下意识念出来才觉古怪。</t>
  </si>
  <si>
    <t>肌肉小哥夜卧长安街，究竟是道德的沦丧，还是人性的扭曲？</t>
  </si>
  <si>
    <t>嘿嘿嘿，没错没错，是我下的委托，我想着这么写比较吸引人接单嘛。</t>
  </si>
  <si>
    <t>那您是想调查道德的沦丧，还是想调查人性的扭曲啊？</t>
  </si>
  <si>
    <t>说话间，小二端上一盘荷塘月色，里面雕花精美，菜品诱人。</t>
  </si>
  <si>
    <t>我想调查的呢，就是我们酒楼这新招的&lt;c=#db3e63ff&gt;厨子的身份&lt;/c&gt;！</t>
  </si>
  <si>
    <t>那这和肌肉小哥夜卧长安街又有什么关系啊？</t>
  </si>
  <si>
    <t>嗨，我这酒楼啊，全靠着这新招的厨子才有眼下光景。</t>
  </si>
  <si>
    <t>可这人吧，其实……其实是我早前从长安街捡回来的。</t>
  </si>
  <si>
    <t>当时他受着伤，醒来后又不知姓名，我这才留下他在酒楼做工。</t>
  </si>
  <si>
    <t>不知姓名？是他不愿说？</t>
  </si>
  <si>
    <t>请大夫来看过了，说是&lt;c=#db3e63ff&gt;脑部受到重击&lt;/c&gt;，已经什么都不记得了。</t>
  </si>
  <si>
    <t>眼看着佳节将至，人人都能团聚，他却连自己是谁都不知道。</t>
  </si>
  <si>
    <t>我于心不忍，所以才下了委托，想查清他身份。</t>
  </si>
  <si>
    <t>原是如此……</t>
  </si>
  <si>
    <t>酒楼老板实在太忙，还没问两句，又因其他事被喊去。</t>
  </si>
  <si>
    <t>（还是先去&lt;c=#db3e63ff&gt;后厨&lt;/c&gt;找&lt;c=#db3e63ff&gt;厨子&lt;/c&gt;问问情况吧。）</t>
  </si>
  <si>
    <t>2702</t>
  </si>
  <si>
    <t>等了许久，客人们酒足饭饱离去。厨子盖锅收刀熄了灶，这才有空理我。</t>
  </si>
  <si>
    <t>你就是掌柜说的那个新招来的厨子？我方才在前厅吃过你做的菜了，十分可口。</t>
  </si>
  <si>
    <t>厨子上下打量我，询问我的身份。</t>
  </si>
  <si>
    <t>90270204|90270205</t>
  </si>
  <si>
    <t>30;2711;10000</t>
  </si>
  <si>
    <t>说是崇拜者</t>
  </si>
  <si>
    <t>我乃凡星阁的探子，受掌柜所托，来帮你查清你的身份。</t>
  </si>
  <si>
    <t>厨子</t>
  </si>
  <si>
    <t>不接私活不卖身，未有婚配但也娶不起媳妇儿。</t>
  </si>
  <si>
    <t>若只是崇拜我，那就该知道，离厨子的生活远一点，离他的菜肴近一点。</t>
  </si>
  <si>
    <t>跟这些都无关，我是有些其他事儿想问你。</t>
  </si>
  <si>
    <t>厨子认真的看了我许久，似乎确认了我所言非虚，便点了点头。</t>
  </si>
  <si>
    <t>关于你自己的事儿，你一点都没记忆了吗？</t>
  </si>
  <si>
    <t>嗯，不记得，但我似乎刀法还不错，掌柜说，刀法不错，那应该以前是个厨子。</t>
  </si>
  <si>
    <t>我也没地方去，就顺势在他这干下了，掌柜这人啊，面冷心热，是个好人……</t>
  </si>
  <si>
    <t>这厨子看着秀秀气气，没想到一张嘴却是个话唠，说起来便没完。</t>
  </si>
  <si>
    <t>好的好的，就是说，他那日救下你的事，你基本上也不知道什么？</t>
  </si>
  <si>
    <t>那不是，我听别人讲了，掌柜那日正在&lt;c=#db3e63ff&gt;南街&lt;/c&gt;消食遛弯，却见地上躺了个肌肉……</t>
  </si>
  <si>
    <t>等等，你说南街？可掌柜明明说是肌肉小哥夜卧长安街呀。</t>
  </si>
  <si>
    <t>29;105097;1</t>
  </si>
  <si>
    <t>哦，这个我也知道，因为我们掌柜觉得南街没有长安街好听，他这个人吧有时候……</t>
  </si>
  <si>
    <t>那除此以外呢，你还知道什么？</t>
  </si>
  <si>
    <t>我们掌柜见到我的时候我都晕了，我能记得什么呢，你是不是看我长得帅，就觉得……</t>
  </si>
  <si>
    <t>厨子说起来又没完了，看来在这是问不出什么。</t>
  </si>
  <si>
    <t>（还是去&lt;c=#db3e63ff&gt;南街&lt;/c&gt;找猫儿问问吧。）</t>
  </si>
  <si>
    <t>我顺手抓了一把小鱼干，在厨子的絮叨中离开了酒楼。</t>
  </si>
  <si>
    <t>2703</t>
  </si>
  <si>
    <t>掌柜捡到厨子的地方，是南街的一个巷口，但这巷子偏僻，少有来人。</t>
  </si>
  <si>
    <t>嘤嘤嘤，发生了这么大的事儿，你咋还吃的下去呢？</t>
  </si>
  <si>
    <t>灰猫</t>
  </si>
  <si>
    <t>我这小鱼干才拿到手，一口没咬呢，你是不是又想编故事把它骗走？！</t>
  </si>
  <si>
    <t>嘤嘤嘤，你怎么可以这么想人家，人家只是不想看你如阿橘一般，做出那种事啊！</t>
  </si>
  <si>
    <t>那种事是哪种事？</t>
  </si>
  <si>
    <t>嘤嘤嘤，我某日夜里来这时，阿橘在这里砸死了个&lt;c=#db3e63ff&gt;肌肉小哥&lt;/c&gt;了啦。</t>
  </si>
  <si>
    <t>天助我也，竟然这么快就找到了线索。</t>
  </si>
  <si>
    <t>不过，该怎么跟猫儿们套话呢？</t>
  </si>
  <si>
    <t>90270309|90270310</t>
  </si>
  <si>
    <t>献上小鱼干咨询。</t>
  </si>
  <si>
    <t>7;105022;1</t>
  </si>
  <si>
    <t>靠墙角偷听。</t>
  </si>
  <si>
    <t>30;2721;10000</t>
  </si>
  <si>
    <t>那日发生了什么，能否也说给我听听看？</t>
  </si>
  <si>
    <t>我将一条小鱼干摆在白猫面前，白猫看了看，有些为难。</t>
  </si>
  <si>
    <t>嘤嘤嘤，一条呀……？</t>
  </si>
  <si>
    <t>我会意的又放了两条。</t>
  </si>
  <si>
    <t>阿橘砸死了个两脚兽？它已经胖成这样了？</t>
  </si>
  <si>
    <t>嘤嘤嘤，你果然不爱我，你都不问人家，晚上这么危险为什么要来这！</t>
  </si>
  <si>
    <t>好在白猫没有纠结多久，讲起了那日具体情形。</t>
  </si>
  <si>
    <t>嘤嘤嘤，那日人家刚临幸完一户人家出来，就看到一个男人从这个墙里翻出来。</t>
  </si>
  <si>
    <t>脸上都是血，好不容易翻出去了，不知道阿橘从哪飞出来，一下就砸晕了男人。</t>
  </si>
  <si>
    <t>我顺着白猫指的方向一看，那似乎是&lt;c=#db3e63ff&gt;肖府的宅子&lt;/c&gt;。</t>
  </si>
  <si>
    <t>难道是肖府的人？</t>
  </si>
  <si>
    <t>思索期间，灰猫已将小鱼干吃完。白猫怒吼一声，两只瞬间混战在一团。</t>
  </si>
  <si>
    <t>（猫咪打架凡人遭殃，还是赶紧离开，先去肖府探查一下吧。）</t>
  </si>
  <si>
    <t>2704</t>
  </si>
  <si>
    <t>来到肖府，正值肖府大小姐回府，手里还拿着一个绣球。</t>
  </si>
  <si>
    <t>肖大小姐</t>
  </si>
  <si>
    <t>哎哟，这不是陆少主挂在心尖尖上的小师妹吗，快里面请。</t>
  </si>
  <si>
    <t>肖大小姐认得我？</t>
  </si>
  <si>
    <t>肖家商铺是由我来打理的，常需托雁山堂走镖，一来二去的就认识了陆少主。</t>
  </si>
  <si>
    <t>他念叨的多了，也就知道你啦。</t>
  </si>
  <si>
    <t>让您见笑了。</t>
  </si>
  <si>
    <t>这姑娘举止豪放，模样也生的英气，让人很难不生好感。</t>
  </si>
  <si>
    <t>小师妹此番来我府上，所谓何事啊？</t>
  </si>
  <si>
    <t>90270409|90270410</t>
  </si>
  <si>
    <t>寒暄一二</t>
  </si>
  <si>
    <t>30;2731;10000</t>
  </si>
  <si>
    <t>坦诚相告</t>
  </si>
  <si>
    <t>30;2741;10000</t>
  </si>
  <si>
    <t>方才在路上远远就瞧见肖小姐，英姿飒爽，让人忍不住想结交。</t>
  </si>
  <si>
    <t>有眼光！我也是刚扔完绣球回来，唉……隔壁曲家那个小妖精，又在跟我作对。</t>
  </si>
  <si>
    <t>我在这扔绣球招亲呢，她非要在对面摆个比武招亲，烦人。</t>
  </si>
  <si>
    <t>上次就派个手下过来，被我收拾了一顿，原以为消停了，哪知道现在亲自来给我添堵。</t>
  </si>
  <si>
    <t>派个手下过来？什么时候的事儿啊？</t>
  </si>
  <si>
    <t>我近来在调查一个委托，而据知情猫……啊不，知情人说。</t>
  </si>
  <si>
    <t>看到前段时间从您府里，逃出个人，所以想来问问。</t>
  </si>
  <si>
    <t>确有此事。</t>
  </si>
  <si>
    <t>那是一个月黑风高，适合杀人放火的晚上，我刚回府，手上还提着要炖的冻豆腐。</t>
  </si>
  <si>
    <t>哪知道突然从草丛里冲出了一个&lt;c=#db3e63ff&gt;肌肉小哥&lt;/c&gt;，直愣愣的就要拿刀刺我，宛如一个憨憨。</t>
  </si>
  <si>
    <t>然后呢。</t>
  </si>
  <si>
    <t>我当时手里不还拿着冻豆腐嘛，情急之下，一个冻豆腐就拍过去了，然后砸出血了。</t>
  </si>
  <si>
    <t>他也是个弱鸡，一个冻豆腐就拍的摇摇晃晃，逃了，我看他那么弱，也懒得追。</t>
  </si>
  <si>
    <t>29;105098;1</t>
  </si>
  <si>
    <t>您刚才说，他是曲家派来的？</t>
  </si>
  <si>
    <t>当然了，全尚京也就曲家那个小妖精跟我水火不容了，哦对，从他身上还掉了俩东西。</t>
  </si>
  <si>
    <t>肖小姐掏出一块绣着&lt;c=#db3e63ff&gt;曲&lt;/c&gt;字的手帕，以及一把&lt;c=#db3e63ff&gt;匕首&lt;/c&gt;，交给了我。</t>
  </si>
  <si>
    <t>29;105099;1</t>
  </si>
  <si>
    <t>（拿到贴身物品，那就好查多了。）</t>
  </si>
  <si>
    <t>2705|2706</t>
  </si>
  <si>
    <t>手帕被保存的很好，拿起时还能闻到幽幽的香味。</t>
  </si>
  <si>
    <t>（根据之前的线索，基本可以确定，闯入肖家的就是那个厨子。）</t>
  </si>
  <si>
    <t>（但是他怎么会有曲小姐的帕子，难道他和曲小姐……）</t>
  </si>
  <si>
    <t>我还在瞎想，却有猫儿冲过来说，在酒楼旁边发现了曲小姐。</t>
  </si>
  <si>
    <t>曲小姐</t>
  </si>
  <si>
    <t>你确定他在这个地方？</t>
  </si>
  <si>
    <t>奴婢查了好几日，但实在没法混进去，也不敢肯定。</t>
  </si>
  <si>
    <t>曲小姐听了丫鬟的话，不住往酒楼内张望，却迟迟不进。</t>
  </si>
  <si>
    <t>（看来确实有点旖旎的关系呀。）</t>
  </si>
  <si>
    <t>想办法与曲小姐搭上话。</t>
  </si>
  <si>
    <t>90270510|90270511</t>
  </si>
  <si>
    <t>扮成算命巫女。</t>
  </si>
  <si>
    <t>30;2751;10000</t>
  </si>
  <si>
    <t>假装成捡到她帕子的好心人。</t>
  </si>
  <si>
    <t>7;105099;1</t>
  </si>
  <si>
    <t>小姐留步，我观姑娘眉眼间有煞，要不要为你算上一卦？</t>
  </si>
  <si>
    <t>你？你算个什么东西？</t>
  </si>
  <si>
    <t>我是巫女，巫字，上一横通天，下一横彻地，中间一竖统人和，莫要小瞧。</t>
  </si>
  <si>
    <t>呵，说的邪乎，要真有能耐，那你便算算我现在心里在想什么吧。</t>
  </si>
  <si>
    <t>我装模作样的掐掐指，也不知道巫女该不该掐指，毕竟刚才是我胡诌的。</t>
  </si>
  <si>
    <t>小姐丢了一个很重要的人，现在想找到他。</t>
  </si>
  <si>
    <t>小姐留步，您帕子掉了。</t>
  </si>
  <si>
    <t>这个怎么会在你这！</t>
  </si>
  <si>
    <t>这是您方才掉的啊。</t>
  </si>
  <si>
    <t>不可能，这明明是早前我亲手送给他的，是不是他让你来还给我的！</t>
  </si>
  <si>
    <t>你是不是知道他在哪，快告诉我！</t>
  </si>
  <si>
    <t>告诉你倒是没问题，就看你配不配合了。</t>
  </si>
  <si>
    <t>你想干嘛？</t>
  </si>
  <si>
    <t>只是问几个问题而已，别紧张。</t>
  </si>
  <si>
    <t>那个肌肉小哥，是你什么人？</t>
  </si>
  <si>
    <t>他……他是我喜欢的人……也是个&lt;c=#db3e63ff&gt;杀手&lt;/c&gt;，叫伍陆七！</t>
  </si>
  <si>
    <t>杀手？！</t>
  </si>
  <si>
    <t>嗯，我跟肖家那小贱人斗了许久，有一回吵得狠了，便想收拾她一下。</t>
  </si>
  <si>
    <t>我就特地去杀手组织，找了名杀手，可我也不是真的想要她的命，就挑了个最末等的。</t>
  </si>
  <si>
    <t>哪知道那人光了膀子一出来，就深深的打动了我的心，毕竟，没有谁能抵抗的住肌肉啊。</t>
  </si>
  <si>
    <t>之后呢？</t>
  </si>
  <si>
    <t>都找到真命天子了，我自然就不想跟肖家小贱人斗啦，可杀手组织不给销单。</t>
  </si>
  <si>
    <t>我便只能将贴身&lt;c=#db3e63ff&gt;手帕&lt;/c&gt;赠予他，作为我们的定情信物，可谁知他这一去，就再也没回来了。</t>
  </si>
  <si>
    <t>（原来如此，那这所有事，如今都很是明了了。）</t>
  </si>
  <si>
    <t>29;105100;1</t>
  </si>
  <si>
    <t>2707</t>
  </si>
  <si>
    <t>赶到雁山堂时，陆沉叼着一根草，在指导弟子们练功。</t>
  </si>
  <si>
    <t>小师妹~过来是因为想我了吗~</t>
  </si>
  <si>
    <t>不是。</t>
  </si>
  <si>
    <t>那我想你了~见到你真好~</t>
  </si>
  <si>
    <t>旁边弟子顿时响起一阵起哄声，我只得把他拉走。</t>
  </si>
  <si>
    <t>我今日来，是找你看样东西的。</t>
  </si>
  <si>
    <t>其实匕首一拿到手里，我便知道是出自谁的手笔了。</t>
  </si>
  <si>
    <t>如同陆沉熟悉我的一切一般，我也熟悉他的一切。</t>
  </si>
  <si>
    <t>这是你做的吧？</t>
  </si>
  <si>
    <t>小师妹怎么这么小气，别人问话之前都有所表示的。</t>
  </si>
  <si>
    <t>得想办法把陆沉糊弄过去</t>
  </si>
  <si>
    <t>90270612|90270613</t>
  </si>
  <si>
    <t>撒撒娇</t>
  </si>
  <si>
    <t>给他看个我的大宝贝</t>
  </si>
  <si>
    <t>（撒娇……？该怎么撒娇啊？）</t>
  </si>
  <si>
    <t>师兄兄，人家家真的很苦恼呢，快告诉人家家嘛……？</t>
  </si>
  <si>
    <t>虽然是我自己说出来的话，但是感觉有被冒犯到，而陆沉看着却很受用。</t>
  </si>
  <si>
    <t>好的呀，小师妹想知道什么，湿胸胸都嗦给你听~</t>
  </si>
  <si>
    <t>（怎么办，感觉他像个傻子……）</t>
  </si>
  <si>
    <t>早知道你会这么说，我特地为你准备了一根大宝贝。</t>
  </si>
  <si>
    <t>我迎着陆沉期待的目光掏出一根粗大的——冰糖葫芦。</t>
  </si>
  <si>
    <t>哇哦，可是……</t>
  </si>
  <si>
    <t>敢有意见，我就打爆你的狗头。</t>
  </si>
  <si>
    <t>可以说了吧。</t>
  </si>
  <si>
    <t>这是我出去历练期间做的东西，当时碰到一个&lt;c=#db3e63ff&gt;杀手&lt;/c&gt;，人还不错，但实在过于弱了。</t>
  </si>
  <si>
    <t>承他照顾了好长一段时间，临走时就送了他这个&lt;c=#db3e63ff&gt;匕首&lt;/c&gt;，不能杀人好歹能防身。</t>
  </si>
  <si>
    <t>你说的弱鸡杀手，长什么样啊？</t>
  </si>
  <si>
    <t>长得还行？但你别看他这样啊，实际上面瘫又话唠，而且厨艺绝佳呢。</t>
  </si>
  <si>
    <t>（我想，我已经知道是怎么回事儿了。）</t>
  </si>
  <si>
    <t>我带着所有证据回到酒楼时，酒楼掌柜也正好得了闲。</t>
  </si>
  <si>
    <t>姑娘，之前我太忙了，实在有些怠慢。</t>
  </si>
  <si>
    <t>你看看上次还有哪些没问的，我眼下得了空，可以与你细说。</t>
  </si>
  <si>
    <t>无碍，我已经将一切调查清楚了。</t>
  </si>
  <si>
    <t>我将一应证据全部摆在桌上。</t>
  </si>
  <si>
    <t>90270706|90270707</t>
  </si>
  <si>
    <t>说起冻豆腐佚事</t>
  </si>
  <si>
    <t>7;105098;1</t>
  </si>
  <si>
    <t>说起厨子的真实身份</t>
  </si>
  <si>
    <t>7;105100;1</t>
  </si>
  <si>
    <t>他竟有着如此背景啊……</t>
  </si>
  <si>
    <t>说话间，杀手……哦不，现在的厨子伍陆七也来到了堂前。</t>
  </si>
  <si>
    <t>伍陆七</t>
  </si>
  <si>
    <t>原来，我竟是杀手啊，不过这个杀手干得也太失败了，一个单都没接过，想来赚的也不多……</t>
  </si>
  <si>
    <t>（得，又开始了。）</t>
  </si>
  <si>
    <t>你如果不介意的话，仍可以在我这做厨子。</t>
  </si>
  <si>
    <t>掌柜……您不介意我是杀手吗，虽然我以前在杀手组织也是厨子，可……</t>
  </si>
  <si>
    <t>没关系，浪子回头金不换嘛，何况你也没杀过人。</t>
  </si>
  <si>
    <t>我以前对员工要求很多，可现在年纪大了，只想当一个善良的有钱人。</t>
  </si>
  <si>
    <t>酒楼掌柜与伍陆七执手相看泪眼时，我深感自己的多余，默默离开了。</t>
  </si>
  <si>
    <t>（奇怪，这个委托竟然是猫下的？？）</t>
  </si>
  <si>
    <t>我一路问着猫儿，在湖畔找到了卷卷。</t>
  </si>
  <si>
    <t>光天化日的！在我的眼皮底下竟然发生这等&lt;c=#db3e63ff&gt;抢劫案&lt;/c&gt;，太气猫了！</t>
  </si>
  <si>
    <t>别急，别急，是什么情况，你说清楚。</t>
  </si>
  <si>
    <t>我给尚京的猫儿定了规矩。只要在我管辖的地段内，若是猫儿没能力捕食，可以来申报领猫饼子救济。</t>
  </si>
  <si>
    <t>前阵子一只&lt;c=#db3e63ff&gt;小瘸子猫&lt;/c&gt;说家里主人没给吃的，便来领了两天猫饼子。</t>
  </si>
  <si>
    <t>可它领了两天就不来了。我留了个心打听，这才知道它的猫饼子被其他猫给抢了！</t>
  </si>
  <si>
    <t>更气的是，我派了其他猫儿去找恶霸猫，谁知他们贪玩，关顾着扑蝶，啥都没查到！</t>
  </si>
  <si>
    <t>猫儿注意力易分散，实属常事。</t>
  </si>
  <si>
    <t>还是太年轻了！不稳重！我这才不得不求助人类的。</t>
  </si>
  <si>
    <t>这两日听其他猫儿说，那只小瘸子似乎是常去&lt;c=#db3e63ff&gt;花婆婆&lt;/c&gt;的&lt;c=#db3e63ff&gt;人间慢&lt;/c&gt;。估计是花婆婆给了它吃的吧。</t>
  </si>
  <si>
    <t>你去帮我找到它，查清到底是谁抢了它的猫饼子！</t>
  </si>
  <si>
    <t>好的~</t>
  </si>
  <si>
    <t>2802</t>
  </si>
  <si>
    <t>最近天气有些干燥，来壶降火的花茶吧。</t>
  </si>
  <si>
    <t>我喝着花茶，向花婆婆说明了来意。</t>
  </si>
  <si>
    <t>花婆婆，你最近有没有见到一只瘸的猫？</t>
  </si>
  <si>
    <t>你说的是小茄子啊？别看它瘸了条腿，可通人性了。</t>
  </si>
  <si>
    <t>平日它常趁主人摆摊忙碌时，过来陪陪老身。</t>
  </si>
  <si>
    <t>说起来，它其实也是有主人的，一直将它照顾得挺好，它那般出现，总让我有些担心它家里是不是出什么事情了。</t>
  </si>
  <si>
    <t>养它那家的主人是&lt;c=#db3e63ff&gt;西街一户商贩&lt;/c&gt;。</t>
  </si>
  <si>
    <t>老身这几日腿脚风湿又犯了，实在疼得厉害，正好，姑娘能否帮我去看看发生了什么？</t>
  </si>
  <si>
    <t>好的婆婆。婆婆腿疼的话，我也顺便帮你去药店拿点&lt;c=#db3e63ff&gt;膏药&lt;/c&gt;吧！</t>
  </si>
  <si>
    <t>哎，太麻烦姑娘啦！</t>
  </si>
  <si>
    <t>没事的婆婆~顺路的事情。您稍等等我~</t>
  </si>
  <si>
    <t>我应下，花婆婆给了我小茄子的主人家地址。</t>
  </si>
  <si>
    <t>2803|2804|2805</t>
  </si>
  <si>
    <t>我来到了花婆婆所说的店铺，店门却紧闭。</t>
  </si>
  <si>
    <t>我敲了敲门，虽然没有人开门，但屋内传来一阵轻微的咳嗽声。</t>
  </si>
  <si>
    <t>有人吗？</t>
  </si>
  <si>
    <t>里面没有人回答，要继续问吗？</t>
  </si>
  <si>
    <t>90280305|90280306</t>
  </si>
  <si>
    <t>去四周打探一下</t>
  </si>
  <si>
    <t>30;2811;10000</t>
  </si>
  <si>
    <t>声称送药</t>
  </si>
  <si>
    <t>7;105104;1</t>
  </si>
  <si>
    <t>我正踟蹰时，见到了另一个摊贩老板。</t>
  </si>
  <si>
    <t>老板</t>
  </si>
  <si>
    <t>姑娘可是来这家铺子买东西的？</t>
  </si>
  <si>
    <t>不巧啦，这家主人生病了，不见外人。</t>
  </si>
  <si>
    <t>主人家生了什么病？</t>
  </si>
  <si>
    <t>29;105101;1</t>
  </si>
  <si>
    <t>他家还有只瘸猫。现今主人家生病，也不知有无人照顾。</t>
  </si>
  <si>
    <t>29;105102;1</t>
  </si>
  <si>
    <t>我是替钱大夫替你送药的。</t>
  </si>
  <si>
    <t>商贩</t>
  </si>
  <si>
    <t>咳咳……</t>
  </si>
  <si>
    <t>我将药递了过去。</t>
  </si>
  <si>
    <t>多谢姑娘。</t>
  </si>
  <si>
    <t>他说着便要关门，我唤住了他。</t>
  </si>
  <si>
    <t>请等等，我听钱大夫说，你有养一只猫？</t>
  </si>
  <si>
    <t>你是替他劝我送走小茄子的么？我不会送的。</t>
  </si>
  <si>
    <t>可是你的病……</t>
  </si>
  <si>
    <t>小茄子历来只信我一个，其他人照顾不来的。</t>
  </si>
  <si>
    <t>这几日竟是怕我再把它送走，竟只跟着我，我要抱都躲我了。</t>
  </si>
  <si>
    <t>不妨让我试试？要是你的病一直不好，也没法好好照顾小茄子啊。</t>
  </si>
  <si>
    <t>商贩犹豫了一下。</t>
  </si>
  <si>
    <t>好吧。</t>
  </si>
  <si>
    <t>2806</t>
  </si>
  <si>
    <t>我赶到三佛田，钱大夫正忙得不可开交。</t>
  </si>
  <si>
    <t>钱大夫</t>
  </si>
  <si>
    <t>咳嗽久治不愈？咳得一定很难受吧！给你开点秋梨膏吧。</t>
  </si>
  <si>
    <t>先喝一勺，来，张大嘴，啊……</t>
  </si>
  <si>
    <t>病人喝下了一勺秋梨膏。</t>
  </si>
  <si>
    <t>病人</t>
  </si>
  <si>
    <t>咳咳……大夫，太甜了点。</t>
  </si>
  <si>
    <t>咦？小朋友不都喜甜吗？</t>
  </si>
  <si>
    <t>可老夫已经四十八了。</t>
  </si>
  <si>
    <t>这样啊，那你拿回去，加水冲淡。</t>
  </si>
  <si>
    <t>病人拿了秋梨膏，连连道谢走了。</t>
  </si>
  <si>
    <t>钱大夫似乎很忙……</t>
  </si>
  <si>
    <t>90280411|90280412</t>
  </si>
  <si>
    <t>说花婆婆膝盖疼</t>
  </si>
  <si>
    <t>30;2821;10000</t>
  </si>
  <si>
    <t>打听商贩的事情</t>
  </si>
  <si>
    <t>7;105101;1</t>
  </si>
  <si>
    <t>钱大夫，我是来找你拿膏药的。我家里一位婆婆现在膝盖风湿犯了。</t>
  </si>
  <si>
    <t>钱大夫闻言，立即抬头看向我。</t>
  </si>
  <si>
    <t>老人家的膝盖疼可耽搁不得，膏药就在门边那个柜子的第二格，我去帮你拿……</t>
  </si>
  <si>
    <t>不用啦，钱大夫你忙，我自己可以拿的。</t>
  </si>
  <si>
    <t>29;105103;1</t>
  </si>
  <si>
    <t>钱大夫……</t>
  </si>
  <si>
    <t>这位小姑娘，你那里不舒服呢？别怕别怕。</t>
  </si>
  <si>
    <t>钱大夫，我是来打听一下，你最近有没有接诊过一位病人？</t>
  </si>
  <si>
    <t>我向钱大夫描述了商贩的信息。</t>
  </si>
  <si>
    <t>其实也不是什么大事，只是彻底治愈前，猫咪的毛发恐会加重病情。</t>
  </si>
  <si>
    <t>我告知他需要将猫咪托付给别人看护几天，等好了再接回来，他非说不放心。</t>
  </si>
  <si>
    <t>拖了这么久，只怕他病情会愈发严重了。</t>
  </si>
  <si>
    <t>说起来，他这几日也没来拿药，姑娘能替我将药送过去么？</t>
  </si>
  <si>
    <t>29;105104;1</t>
  </si>
  <si>
    <t>2810</t>
  </si>
  <si>
    <t>姑娘要买东西吗？</t>
  </si>
  <si>
    <t>90280502</t>
  </si>
  <si>
    <t>购买小鱼干</t>
  </si>
  <si>
    <t>7;105102;1</t>
  </si>
  <si>
    <t>要二两小鱼干。</t>
  </si>
  <si>
    <t>姑娘又要去喂路边的野猫了吗？</t>
  </si>
  <si>
    <t>姑娘说的可是小茄子？</t>
  </si>
  <si>
    <t>咦？你知道它的吗？</t>
  </si>
  <si>
    <t>这般看来，小茄子一定还在陪着主人了。</t>
  </si>
  <si>
    <t>好的，听路掌柜的准没错！</t>
  </si>
  <si>
    <t>29;105105;1</t>
  </si>
  <si>
    <t>商贩将我带到了后院，一只小猫正卧在草丛中打盹。</t>
  </si>
  <si>
    <t>见到我，它立刻警惕地跳了起来。</t>
  </si>
  <si>
    <t>我这才发现它的后脚的确有些不灵敏。</t>
  </si>
  <si>
    <t>我朝着小茄子走去。</t>
  </si>
  <si>
    <t>90280605|90280606</t>
  </si>
  <si>
    <t>直接跟小茄子沟通</t>
  </si>
  <si>
    <t>拿出鸡肉糕</t>
  </si>
  <si>
    <t>7;105105;1</t>
  </si>
  <si>
    <t>小茄子。</t>
  </si>
  <si>
    <t>小茄子</t>
  </si>
  <si>
    <t>喵！你是什么人？！</t>
  </si>
  <si>
    <t>主人要把我送走么？想都别想！</t>
  </si>
  <si>
    <t>说着，小茄子便往草丛内钻去。</t>
  </si>
  <si>
    <t>你看，它历来怕生人。多谢姑娘好意，不过还是请回罢。</t>
  </si>
  <si>
    <t>（……看来得想点别的办法。）</t>
  </si>
  <si>
    <t>小茄子！</t>
  </si>
  <si>
    <t>你知道你主人生病了吧？我刚刚给你主人送了药。</t>
  </si>
  <si>
    <t>啊？……是我害主人好不了喵？</t>
  </si>
  <si>
    <t>主人是因为我瘸，还害他生病好不了，所以不要我了吗？</t>
  </si>
  <si>
    <t>瞎说什么呢！</t>
  </si>
  <si>
    <t>你主人若是不要你，怎会宁愿自己生病好不了，也把你留在身边呢？</t>
  </si>
  <si>
    <t>喵……姑娘是第一个可以和我说话的人。</t>
  </si>
  <si>
    <t>我，我信姑娘喵。</t>
  </si>
  <si>
    <t>说着，小茄子叼了一块鸡肉糕，乖巧的窝在了我脚边。</t>
  </si>
  <si>
    <t>商贩很惊奇。</t>
  </si>
  <si>
    <t>小茄子？咳咳……你不怕人了？</t>
  </si>
  <si>
    <t>你看，小茄子也同意了，你就安心养病吧。</t>
  </si>
  <si>
    <t>我将它带到小狸奴那边去。若是小茄子还害怕，你再接它回来。</t>
  </si>
  <si>
    <t>如此……咳咳，也好。多谢姑娘。</t>
  </si>
  <si>
    <t>2807</t>
  </si>
  <si>
    <t>我抱着小茄子到了街边一处安静的地方。</t>
  </si>
  <si>
    <t>小茄子，其实我还有问题要问你。</t>
  </si>
  <si>
    <t>喵？</t>
  </si>
  <si>
    <t>你之前是不是找卷卷领过救济的猫饼子，还被其他猫抢了？</t>
  </si>
  <si>
    <t>……嗯。其实不是被抢了，是我扔了……</t>
  </si>
  <si>
    <t>是这样……其实主人一直有给我准备食物。</t>
  </si>
  <si>
    <t>……嗯……你别看我们萌萌哒，其实我们骨子里还是捕猎者。</t>
  </si>
  <si>
    <t>就算有了主人，猫咪身为猎食者的骄傲和尊严也还是在的。</t>
  </si>
  <si>
    <t>若是弱到需要别的猫救济，自然是猫的耻辱了。我瘸了腿，但也还是能抓点虫子吃。</t>
  </si>
  <si>
    <t>……可是我没时间，我要照顾主人，家里也没有虫子给我抓了，我这才去领了猫饼子。</t>
  </si>
  <si>
    <t>那日我领了猫饼子回去，被那几只猫耻笑了一番，我才一气之下拿猫饼子扔了他们……</t>
  </si>
  <si>
    <t>原来是这样啊……</t>
  </si>
  <si>
    <t>结果那天我被他们打的一身灰，好不容易回到家……</t>
  </si>
  <si>
    <t>不会的，你主人很喜欢你啊。</t>
  </si>
  <si>
    <t>我也很喜欢主人喵。</t>
  </si>
  <si>
    <t>你的主人很温柔呢。</t>
  </si>
  <si>
    <t>2808|2809</t>
  </si>
  <si>
    <t>我带着小茄子来到了小狸奴，将小茄子交给了路尤。</t>
  </si>
  <si>
    <t>咦？小茄子？怎么突然愿意让我抱了？</t>
  </si>
  <si>
    <t>小茄子虽有些紧张，但也并未像以前一样，见到生人便逃开。</t>
  </si>
  <si>
    <t>我向路尤说了些缘由。路尤叹了口气。</t>
  </si>
  <si>
    <t>姑娘当真懂猫的心思。</t>
  </si>
  <si>
    <t>放心吧，我定替那商贩好好照顾小茄子。</t>
  </si>
  <si>
    <t>我来到湖畔，找到了卷卷，将事情经过一一讲了清楚。</t>
  </si>
  <si>
    <t>我其实知道领猫饼子会被耻笑。</t>
  </si>
  <si>
    <t>可……喵生在世，怎么可能永远一帆风顺。</t>
  </si>
  <si>
    <t>谁都可能流落街头，谁都可能有无法一只喵解决的艰难时刻。</t>
  </si>
  <si>
    <t>那些家伙之所以还能嘲笑，也不过是因为灾祸没有到他们头上罢了。</t>
  </si>
  <si>
    <t>人类，我很看好你。你是真心帮小茄子的。谢谢你。</t>
  </si>
  <si>
    <t>喵的悲欢本就无法相通，我只希望他们善良一点。既然他们不善良……</t>
  </si>
  <si>
    <t>……那我也便用些不善良的手段让他们感受一下苦难。那几只嘲笑小茄子的猫，就交给我吧。哼。</t>
  </si>
  <si>
    <t>卷卷舔了舔利爪，一甩如蒲苇般蓬松的漂亮尾巴，转身离去了。</t>
  </si>
  <si>
    <t>（哇，卷卷真是太帅气了！）</t>
  </si>
  <si>
    <t>我再次来到了人间慢。</t>
  </si>
  <si>
    <t>婆婆的膝盖风湿疼，需要膏药</t>
  </si>
  <si>
    <t>90281003</t>
  </si>
  <si>
    <t>拿出膏药</t>
  </si>
  <si>
    <t>7;105103;1</t>
  </si>
  <si>
    <t>真是太谢谢姑娘了。</t>
  </si>
  <si>
    <t>婆婆客气了~</t>
  </si>
  <si>
    <t>公子歇，近日有指定凡星阁的委托吗？</t>
  </si>
  <si>
    <t>确是有，发布者选择了匿名，你可是招惹了什么势力？</t>
  </si>
  <si>
    <t>嗯……大概不会吧。</t>
  </si>
  <si>
    <t>出发邯城前，来店里的那位神秘黑衣公子，确实没有透漏姓名，之说委托凡星阁。</t>
  </si>
  <si>
    <t>也是，凡星阁现在这小门的样子，也没必要费心思对付。</t>
  </si>
  <si>
    <t>这份委托以你现在的能力，也算绰绰有余，拿去吧。</t>
  </si>
  <si>
    <t>我接过公子歇递来的委托，展开一看，竟是一份口脂滞销原因调查的委托。</t>
  </si>
  <si>
    <t>&lt;c=#db3e63ff&gt;烂番茄色&lt;/c&gt;……这不是先前城中女眷争相使用的口脂色号吗？怎会全面滞销？</t>
  </si>
  <si>
    <t>这是你的事情，我还要忙，你办好了再来。</t>
  </si>
  <si>
    <t>这件事……先到&lt;c=#db3e63ff&gt;中央街市&lt;/c&gt;或是&lt;c=#db3e63ff&gt;湖景街&lt;/c&gt;售卖口脂的铺子去问问看。</t>
  </si>
  <si>
    <t>2902|2907|2908|2909</t>
  </si>
  <si>
    <t>一家昔日热闹非凡的妆品铺子，如今门可罗雀，偌大的铺子里，竟只有二三客人。</t>
  </si>
  <si>
    <t>佳人妆品铺……当初推出烂番茄色口脂，名声大噪的妆品铺子。</t>
  </si>
  <si>
    <t>老板娘</t>
  </si>
  <si>
    <t>姑娘，可有看上的妆品呀，任意妆品搭配，满减还返现，不买血亏哦。</t>
  </si>
  <si>
    <t>老板娘热情的拉着我介绍起妆品，我在口脂货架上寻了寻，竟已不见&lt;c=#db3e63ff&gt;烂番茄色&lt;/c&gt;的踪影。</t>
  </si>
  <si>
    <t>&lt;c=#db3e63ff&gt;烂番茄色&lt;/c&gt;的口脂还有货吗？</t>
  </si>
  <si>
    <t>货倒是有，姑娘您不是来碰瓷的吧？</t>
  </si>
  <si>
    <t>老板娘的脸色变了变，看来其中有蹊跷，先问问看。</t>
  </si>
  <si>
    <t>该如何开口呢？</t>
  </si>
  <si>
    <t>90290209|90290210</t>
  </si>
  <si>
    <t>打听口脂有毒的问题</t>
  </si>
  <si>
    <t>7;105111;1</t>
  </si>
  <si>
    <t>委婉的询问有何异常</t>
  </si>
  <si>
    <t>30;2911;10000</t>
  </si>
  <si>
    <t>半个月前，就不知从哪里传出谣言，说烂番茄色的口脂，是用腐烂的番茄毒素做的染料。</t>
  </si>
  <si>
    <t>29;105106;1</t>
  </si>
  <si>
    <t>2903</t>
  </si>
  <si>
    <t>醉月楼这样的风月场所，我一身女子衣装，果然就被拦在了门外。</t>
  </si>
  <si>
    <t>早知如此，该在中央街市的成衣铺提前买套&lt;c=#db3e63ff&gt;男装&lt;/c&gt;的。</t>
  </si>
  <si>
    <t>现在该怎么办呢？</t>
  </si>
  <si>
    <t>90290304|90290305</t>
  </si>
  <si>
    <t>换男装进去</t>
  </si>
  <si>
    <t>7;105113;1</t>
  </si>
  <si>
    <t>用猫儿引开门生</t>
  </si>
  <si>
    <t>30;2921;10000</t>
  </si>
  <si>
    <t>换上男装，果然轻易的就进了醉月楼，引路人将我带到&lt;c=#db3e63ff&gt; 如意&lt;/c&gt;姑娘的香间。</t>
  </si>
  <si>
    <t>没想到如意姑娘一眼便认出了我是女子。</t>
  </si>
  <si>
    <t>趁门童不注意，我便溜进了醉月楼，一路躲躲藏藏，总算是找到了如意姑娘的香间。</t>
  </si>
  <si>
    <t>如意</t>
  </si>
  <si>
    <t>我……我不接女客，姑娘可以去隔壁百合苑。</t>
  </si>
  <si>
    <t>姑娘别误会，我是医馆的学徒，听闻姑娘口唇损伤，特意前来问询的。</t>
  </si>
  <si>
    <t>我假托医馆学徒前来问疾之名，也不知她信不信。</t>
  </si>
  <si>
    <t>为何隔了三日才来，那日大夫只说是&lt;c=#db3e63ff&gt; 中毒&lt;/c&gt;，也不知道给我开个休假证明！</t>
  </si>
  <si>
    <t>（&lt;c=#db3e63ff&gt; 中毒&lt;/c&gt;？没想到歪打正着问出了重要信息，得顺着她的话问下去才行。）</t>
  </si>
  <si>
    <t>姑娘莫急，大夫还有些疑问，特意差我来询问姑娘一些细节。</t>
  </si>
  <si>
    <t>姑娘的嘴唇最近都碰过什么？分别来自何处？</t>
  </si>
  <si>
    <t>讨厌！人家的唇碰过什么，干你什么事！</t>
  </si>
  <si>
    <t>待我解释清楚，如意姑娘才将手指向一盒口脂、一瓶晶莹剔透的凝露。</t>
  </si>
  <si>
    <t>这是周家大少爷赠的&lt;c=#db3e63ff&gt; 香唇露&lt;/c&gt;，可保持水润修复唇纹，亲吻时更……</t>
  </si>
  <si>
    <t>如意姑娘用在唇上的，就只有&lt;c=#db3e63ff&gt;烂番茄色&lt;/c&gt;口脂，以及&lt;c=#db3e63ff&gt; 香唇露&lt;/c&gt;了。</t>
  </si>
  <si>
    <t>（假若烂番茄口脂没问题的话，问题便出在&lt;c=#db3e63ff&gt; 香唇露&lt;/c&gt;上了。）</t>
  </si>
  <si>
    <t>&lt;c=#db3e63ff&gt; 香唇露&lt;/c&gt;是姑娘何时开始使用的？使用前有可有唇部开裂的症状？</t>
  </si>
  <si>
    <t>你！你是怀疑周大少爷对我的情意吗？你这个绿茶本茶不安好心！</t>
  </si>
  <si>
    <t>姑娘莫急，我只是怀疑两物性质相冲导致病症，可否将此物暂交于我，带给家师研究？</t>
  </si>
  <si>
    <t>如意姑娘思考片刻，十分不满地将&lt;c=#db3e63ff&gt; 香唇露&lt;/c&gt;交给了我。</t>
  </si>
  <si>
    <t>29;105107;1</t>
  </si>
  <si>
    <t>将香唇露拿到了解&lt;c=#db3e63ff&gt;妆品或药理&lt;/c&gt;的人那里去问问看吧。</t>
  </si>
  <si>
    <t>2904|2910</t>
  </si>
  <si>
    <t>这么快就回来了，查完了？</t>
  </si>
  <si>
    <t>我拿出香唇露，递到公子歇面前。</t>
  </si>
  <si>
    <t>有事拜托公子，此物可有毒性？</t>
  </si>
  <si>
    <t>他拿过香唇膏，嗅了嗅，微微皱起了眉。</t>
  </si>
  <si>
    <t>是个好东西，你打算用什么与我交换它的信息？</t>
  </si>
  <si>
    <t>如何与他交换情报呢？</t>
  </si>
  <si>
    <t>90290407|90290408</t>
  </si>
  <si>
    <t>请他吃饭</t>
  </si>
  <si>
    <t>8;40079;1</t>
  </si>
  <si>
    <t>替他捣药</t>
  </si>
  <si>
    <t>30;2931;10000</t>
  </si>
  <si>
    <t>你倒是像你父亲，用人情通货。</t>
  </si>
  <si>
    <t>我将捣细的药粉端到公子歇面前，满脸期待的望着他。</t>
  </si>
  <si>
    <t>这香唇露里头有天南星的成分，药是好的，用错了方法，便是毒，因此使用者久创不愈是必然的。</t>
  </si>
  <si>
    <t>29;105108;1</t>
  </si>
  <si>
    <t>这么说……周大少爷送此物，就是有意为之了？</t>
  </si>
  <si>
    <t>那是你的事，我不可干涉。</t>
  </si>
  <si>
    <t>周大少爷为何要加害如意，还是说他的目的本就是&lt;c=#db3e63ff&gt;佳人妆品铺&lt;/c&gt;？</t>
  </si>
  <si>
    <t>这事只能从&lt;c=#db3e63ff&gt;周府&lt;/c&gt;入手了，想办法潜入&lt;c=#db3e63ff&gt;北桥弄的周府&lt;/c&gt;打探吧。</t>
  </si>
  <si>
    <t>2905</t>
  </si>
  <si>
    <t>我轻车熟路的潜入了周府的宅院，可是一时间却不知道该从何入手。</t>
  </si>
  <si>
    <t>先调查什么呢？</t>
  </si>
  <si>
    <t>90290503|90290504</t>
  </si>
  <si>
    <t>府上的书房</t>
  </si>
  <si>
    <t>7;105114;1</t>
  </si>
  <si>
    <t>周大少爷的贴身侍从</t>
  </si>
  <si>
    <t>7;105112;1</t>
  </si>
  <si>
    <t>2906</t>
  </si>
  <si>
    <t>啊！真的有！</t>
  </si>
  <si>
    <t>我在内院书房的夹层中发现了几份极其简单的书信。</t>
  </si>
  <si>
    <t>信上&lt;c=#db3e63ff&gt;扳倒佳人妆品铺&lt;/c&gt;的字样印证了我的猜测。</t>
  </si>
  <si>
    <t>29;105109;1</t>
  </si>
  <si>
    <t>信上还提到，佳人妆品铺的背后，似乎也有什么势力。</t>
  </si>
  <si>
    <t>这次的商业打击，为的是打压背后势力的情报渠道。</t>
  </si>
  <si>
    <t>那名神秘的黑衣公子…就是佳人妆品铺背后的人吗？</t>
  </si>
  <si>
    <t>下次再遇见他要好好问问他了。</t>
  </si>
  <si>
    <t>侍从喝了酒，不一会儿便醉得不知所谓。</t>
  </si>
  <si>
    <t>如意姑娘算什么东西，真以为攀上高枝了么。</t>
  </si>
  <si>
    <t>大少爷不是十分喜欢她吗？</t>
  </si>
  <si>
    <t>喜欢个啥子玩意，不过是个棋子，替大少爷除掉些碍眼的东西。</t>
  </si>
  <si>
    <t>那您可知道……佳人妆品铺？</t>
  </si>
  <si>
    <t>净是些骗妇人钱的玩意，也就姑娘家的爱吹捧。</t>
  </si>
  <si>
    <t>这铺子背后的人，以为做着贵族女眷的生意，就妄想打听宫里的事儿，真是不知天高地厚。</t>
  </si>
  <si>
    <t>29;105110;1</t>
  </si>
  <si>
    <t>（宫里的事？？？）</t>
  </si>
  <si>
    <t>这么说来……那神秘的黑衣公子……</t>
  </si>
  <si>
    <t>又回来了？这回事情查完了？</t>
  </si>
  <si>
    <t>喏，这些是调查到的线索。</t>
  </si>
  <si>
    <t>导致口脂滞销的原因是什么？</t>
  </si>
  <si>
    <t>90290604|90290605|90290606</t>
  </si>
  <si>
    <t>烂番茄毒素</t>
  </si>
  <si>
    <t>7;105106;1</t>
  </si>
  <si>
    <t>有毒的香唇露</t>
  </si>
  <si>
    <t>7;105107;1|7;105108;1</t>
  </si>
  <si>
    <t>周家的商业打压</t>
  </si>
  <si>
    <t>7;105109;1</t>
  </si>
  <si>
    <t>如此浅显的错误，不像你的作风。</t>
  </si>
  <si>
    <t>这委托报告我没法接收。</t>
  </si>
  <si>
    <t>虽然有些勉强，可以接收，你确定这就是最终调查结果吗？</t>
  </si>
  <si>
    <t>确定不需要更改吗？</t>
  </si>
  <si>
    <t>90290611|90290612</t>
  </si>
  <si>
    <t>需要</t>
  </si>
  <si>
    <t>不需要</t>
  </si>
  <si>
    <t>要不……让我再想想吧。</t>
  </si>
  <si>
    <t>正有此意。</t>
  </si>
  <si>
    <t>行吧，那我便接收了。</t>
  </si>
  <si>
    <t>说实话，你这次委托完成的不太完满。</t>
  </si>
  <si>
    <t>没想到你还能找到这样精准的证据，这段日子进步了不少。</t>
  </si>
  <si>
    <t>没想到公子歇竟会夸赞我，似是近日的劳累都有了收获，我的心情也愉快不少。</t>
  </si>
  <si>
    <t>但是想到此次委托背后的人，我不免有些担忧。</t>
  </si>
  <si>
    <t>既然你能查到这一层，那有些事情也有必要提前知会你。</t>
  </si>
  <si>
    <t>这城里的势力错综复杂，你若不想牵连其中，便只管完成委托，不要多想。</t>
  </si>
  <si>
    <t>你若是有意深入，我也不拦你，但这条路风险极大，一招不慎便会万劫不复。</t>
  </si>
  <si>
    <t>谢过他的忠告，我便离开了探事轩。</t>
  </si>
  <si>
    <t>爹爹过去，也是独自活在这样的纷争漩涡之中吧。</t>
  </si>
  <si>
    <t>希望有朝一日，我也能够在凡星阁独当一面，待爹爹回来以后为他分忧。</t>
  </si>
  <si>
    <t>在去往妆品铺集中的街市路上，我遇到了胡泊。</t>
  </si>
  <si>
    <t>胡姑娘，你最近可有听说过烂番茄色口脂的传闻？</t>
  </si>
  <si>
    <t>嗯……倒是有听到一些。</t>
  </si>
  <si>
    <t>胡泊看了看周围的人群，似乎有些为难。</t>
  </si>
  <si>
    <t>90290706</t>
  </si>
  <si>
    <t>拉她到一旁说悄悄话</t>
  </si>
  <si>
    <t>8;40056;1</t>
  </si>
  <si>
    <t>你是说&lt;c=#db3e63ff&gt;佳人妆品铺&lt;/c&gt;的烂番茄色吗？哎呀你可千万不能买呢！</t>
  </si>
  <si>
    <t>我听说了，那款口脂有毒，抹了它嘴唇便会像烂番茄一样腐坏的，太吓人了！</t>
  </si>
  <si>
    <t>29;105111;1</t>
  </si>
  <si>
    <t>胡泊惊恐又关切的拉着我，仿佛我上赶着要去试毒一般。</t>
  </si>
  <si>
    <t>一款口脂也能说的如此渗人，快到&lt;c=#db3e63ff&gt;中央街市&lt;/c&gt;去看看吧。</t>
  </si>
  <si>
    <t>&lt;c=#db3e63ff&gt;烧鸡&lt;/c&gt;配&lt;c=#db3e63ff&gt;水晶烧酒&lt;/c&gt;，是天下第一楼的招牌搭配。</t>
  </si>
  <si>
    <t>还没走到&lt;c=#db3e63ff&gt;天下第一楼&lt;/c&gt;，就闻到了烧鸡混着酒香的人间烟火气。</t>
  </si>
  <si>
    <t>姑娘好啊，今日想来点啥？</t>
  </si>
  <si>
    <t>要买什么呢？</t>
  </si>
  <si>
    <t>90290805</t>
  </si>
  <si>
    <t>水晶烧酒</t>
  </si>
  <si>
    <t>30;2941;10000</t>
  </si>
  <si>
    <t>好嘞，您的烧酒拿好，谢谢惠顾~</t>
  </si>
  <si>
    <t>29;105112;1</t>
  </si>
  <si>
    <t>我接过小二递来的东西，被后面的顾客挤出了人群。</t>
  </si>
  <si>
    <t>接下来该去办正事了。</t>
  </si>
  <si>
    <t>想到花街净是风月场所，女子身份不好出入，我便在中央街市寻了一间成衣铺子。</t>
  </si>
  <si>
    <t>掌柜</t>
  </si>
  <si>
    <t>姑娘，想要买些什么？</t>
  </si>
  <si>
    <t>请给我一套简单的男装。</t>
  </si>
  <si>
    <t>嘿嘿嘿，小妹妹，想换装去逛花街吧，啧。</t>
  </si>
  <si>
    <t>如何回答他呢？</t>
  </si>
  <si>
    <t>90290906</t>
  </si>
  <si>
    <t>找个理由搪塞</t>
  </si>
  <si>
    <t>30;2951;10000</t>
  </si>
  <si>
    <t>拿好咯，你要的衣服，看你眉清目秀竟也好这口。</t>
  </si>
  <si>
    <t>29;105113;1</t>
  </si>
  <si>
    <t>我尴尬地接过掌柜递过来的衣服，赶紧离开。</t>
  </si>
  <si>
    <t>我才从醉月楼出来，没曾想竟遇见了安歌，一身男装的我只一眼便被他认了出来。</t>
  </si>
  <si>
    <t>姑娘好雅致，安某还没想过会在花街遇上你。</t>
  </si>
  <si>
    <t>呃，我只是来找个人，变装图个方便，呵呵……</t>
  </si>
  <si>
    <t>姑娘从醉月楼出来，可是听说了如意姑娘的事情？</t>
  </si>
  <si>
    <t>你怎会知道？</t>
  </si>
  <si>
    <t>姑娘可是吃醋了，嗯？</t>
  </si>
  <si>
    <t>不，我不是……</t>
  </si>
  <si>
    <t>别急，安某见你紧张，说个玩笑罢了。</t>
  </si>
  <si>
    <t>若是安某猜得不错，那么姑娘或许需要一件东西。</t>
  </si>
  <si>
    <t>什么东西？</t>
  </si>
  <si>
    <t>安歌“啪”的展开扇子，眼神若由所示得看着我。</t>
  </si>
  <si>
    <t>90291013|90291014</t>
  </si>
  <si>
    <t>从他手中抢过</t>
  </si>
  <si>
    <t>言语与他周旋</t>
  </si>
  <si>
    <t>30;2961;10000</t>
  </si>
  <si>
    <t>我方才将手伸出去，一份图卷便不偏不倚地落在了我的手掌心。</t>
  </si>
  <si>
    <t>安歌让我伸出手，我才张开手掌，一份图卷便不偏不倚地落在了我的手掌心。</t>
  </si>
  <si>
    <t>安某也是方才从酒席中意外获得，若能帮上姑娘的忙，也是件好事。</t>
  </si>
  <si>
    <t>29;105114;1</t>
  </si>
  <si>
    <t>只不过，安某期待，下回姑娘能坦诚一些。</t>
  </si>
  <si>
    <t>待我回过神来，安歌已经离开了。</t>
  </si>
  <si>
    <t>我展开手中的图卷，没想到竟是&lt;c=#db3e63ff&gt;周府的地图&lt;/c&gt;  ？</t>
  </si>
  <si>
    <t>收集少女失踪案的消息时，有桩委托引起了我的注意，委托人徐大娘就住在此处。</t>
  </si>
  <si>
    <t>徐大娘，您说您的女儿在南湖附近丢了，可还有其他线索吗？</t>
  </si>
  <si>
    <t>徐大娘</t>
  </si>
  <si>
    <t>她走了，走了……都怪那个人，他不是个好人啊……</t>
  </si>
  <si>
    <t>徐大娘，那个人你见过？</t>
  </si>
  <si>
    <t>见过，当然见过，真是知人知面不知心呐，嗨呀！</t>
  </si>
  <si>
    <t>那他可有什么特征，我替您追查他的下落。</t>
  </si>
  <si>
    <t>徐大娘看看我，呜的一声就嚎了起来。</t>
  </si>
  <si>
    <t>我的大妞命苦哟，那个人，穿着一身粗布衣服，长得浓眉大眼的的挺精神，心咋这么黑呢……</t>
  </si>
  <si>
    <t>（粗布衣，浓眉大眼的人……尚京城里满街都是啊……）</t>
  </si>
  <si>
    <t>呃……大娘，您可记得他有什么标志性的特征吗？</t>
  </si>
  <si>
    <t>哎你这一提我倒是想到一个，他巴掌上可多老茧了，手还肥，啧，一看就不是本地人。</t>
  </si>
  <si>
    <t>那人身上还老有一股海腥味，我大妞就是被他带到水里，就再没回来过了，嗨呀！</t>
  </si>
  <si>
    <t>（在湖边失踪，确实与失踪的少女们特征一致，看来我得找到那个人。）</t>
  </si>
  <si>
    <t>根据徐大娘提供的线索，我推测那个男人也常出没在&lt;c=#db3e63ff&gt;湖景街&lt;/c&gt; 旁的&lt;c=#db3e63ff&gt;码头&lt;/c&gt; 周边。</t>
  </si>
  <si>
    <t>先到&lt;c=#db3e63ff&gt;湖景街&lt;/c&gt; 去吧。</t>
  </si>
  <si>
    <t>3002</t>
  </si>
  <si>
    <t>南湖周边人来人往的，想要找个人都不容易，更何况这是个绑架嫌疑犯。</t>
  </si>
  <si>
    <t>我朝路边的橘猫打听，它用尾巴指了指码头边的一艘货船，舔着爪子回应我。</t>
  </si>
  <si>
    <t>橘猫</t>
  </si>
  <si>
    <t>这么大个精神小伙在你面前，你说你咋就见不着呢？</t>
  </si>
  <si>
    <t>我抬眼望去，没想到在不远处，与线索完全一致的年轻人，就站在湖边——抠脚？？？</t>
  </si>
  <si>
    <t>然而，怎么确认他的身份呢？</t>
  </si>
  <si>
    <t>90300207|90300208</t>
  </si>
  <si>
    <t>伪装成商人搭讪</t>
  </si>
  <si>
    <t>30;3011;10000</t>
  </si>
  <si>
    <t>躲藏在周围观察</t>
  </si>
  <si>
    <t>精神小伙</t>
  </si>
  <si>
    <t>大妹子，俺发现你们尚京人就是不一样哈，脑子转得快，说话又好听。</t>
  </si>
  <si>
    <t>让人意外的是，这年轻人话语中透漏着耿直与粗犷，丝毫没有绑架犯的阴暗。</t>
  </si>
  <si>
    <t>（如此轻易就找到了，看他这张脸，总觉得有些眼熟。）</t>
  </si>
  <si>
    <t>在码头旁逛了一圈，我吃了甜饼，豆花，糖葫芦，冰糕，烧鸡……</t>
  </si>
  <si>
    <t>嗝，好撑——</t>
  </si>
  <si>
    <t>诶不对！我要观察那个年轻人！！！</t>
  </si>
  <si>
    <t>小哥，你认得南街的徐大娘吗？</t>
  </si>
  <si>
    <t>开玩笑呢吧大妹子，我今天才&lt;c=#db3e63ff&gt;第一次&lt;/c&gt; 来尚京，除了我们镖队的，也就和你说过话。</t>
  </si>
  <si>
    <t>我们老大特意带我跑这趟镖！你瞧我这身板，能挑能扛又能打的，在镖队里我活儿可好了！</t>
  </si>
  <si>
    <t>说着话，他干脆拉着我跟码头的一个镖队打了招呼，从其他人口中证实了年轻人的话。</t>
  </si>
  <si>
    <t>徐大娘说的人，难道不是他？先回去问问徐大娘吧。</t>
  </si>
  <si>
    <t>3003|3006</t>
  </si>
  <si>
    <t>一进门，徐大娘坐在门边，望着远处发愣。</t>
  </si>
  <si>
    <t>好苦啊……我怎么这么苦……</t>
  </si>
  <si>
    <t>这………徐大娘？您还好吗？您说的人我找到了，有些事情想向您——</t>
  </si>
  <si>
    <t>找到了？你找到了？我的大妞呢？她还好不好？</t>
  </si>
  <si>
    <t>先将情况告诉徐大娘</t>
  </si>
  <si>
    <t>90300306|90300307</t>
  </si>
  <si>
    <t>将镖队的记录取出</t>
  </si>
  <si>
    <t>30;3021;10000</t>
  </si>
  <si>
    <t>告诉她自己查到的</t>
  </si>
  <si>
    <t>7;105115;1</t>
  </si>
  <si>
    <t>大娘，镖队的人都证明过了，他确实是第一次入京，也不认识您的女儿……</t>
  </si>
  <si>
    <t>不可能！他撒谎！！！</t>
  </si>
  <si>
    <t>大娘，那个年轻人，他今日才第一次出现在尚京，不太可能绑架了您的女儿……</t>
  </si>
  <si>
    <t>&lt;c=#db3e63ff&gt;官府&lt;/c&gt; 都通缉了！还有&lt;c=#db3e63ff&gt;画像&lt;/c&gt; ！官差大人说过，一定是他带走了我的大妞！</t>
  </si>
  <si>
    <t>画像？？？</t>
  </si>
  <si>
    <t>徐大娘又陷入自己的情绪中了，看来无法继续与她沟通了。</t>
  </si>
  <si>
    <t>既然官府参与其中，不妨到&lt;c=#db3e63ff&gt;中央街市&lt;/c&gt; 的&lt;c=#db3e63ff&gt;官府&lt;/c&gt; 去找找案件的详细情报。</t>
  </si>
  <si>
    <t>总觉得徐大娘和那个年轻人的事情，没有那么简单……</t>
  </si>
  <si>
    <t>3004</t>
  </si>
  <si>
    <t>官府外有两名官差守着，寻常人是无法随意进出的。</t>
  </si>
  <si>
    <t>想要了解案情，必须得从官府问出更多线索，想想办法吧。</t>
  </si>
  <si>
    <t>如何让他们告诉自己呢？</t>
  </si>
  <si>
    <t>90300404|90300405</t>
  </si>
  <si>
    <t>装成定国公府的人</t>
  </si>
  <si>
    <t>30;3031;10000</t>
  </si>
  <si>
    <t>向官差套话</t>
  </si>
  <si>
    <t>（果然还是宁北的腰牌好使，直接就将我请进来喝茶了。）</t>
  </si>
  <si>
    <t>这是桩&lt;c=#db3e63ff&gt;十多年前&lt;/c&gt; 的案子了，不知侯爷为何突然提起，还请姑娘提点提点。</t>
  </si>
  <si>
    <t>十多年前？？怎么回事？</t>
  </si>
  <si>
    <t>我才说了两句，官差就将我推了出去。</t>
  </si>
  <si>
    <t>去去去，这些案子是你一个普通人能打听的么？</t>
  </si>
  <si>
    <t>生气……早知道就借个假身份去套话了。</t>
  </si>
  <si>
    <t>是、是啊，&lt;c=#db3e63ff&gt;十六年前&lt;/c&gt; ，徐大娘的女儿为了逃婚，与一名水路跑镖的年轻人&lt;c=#db3e63ff&gt;私奔&lt;/c&gt; ，就再没回来过了。</t>
  </si>
  <si>
    <t>自那以后，徐大娘生了一场大病，后来就&lt;c=#db3e63ff&gt;糊涂&lt;/c&gt; 了，记忆一直停在那一年……</t>
  </si>
  <si>
    <t>当年我们也想了不少办法，甚至发了通缉，可那人后来就再没出现过，这桩案子就……</t>
  </si>
  <si>
    <t>从官府了解清楚案情，我脑中的线索越发清晰。</t>
  </si>
  <si>
    <t>如果说那是十六年前的事，那码头边上的那个人……我得回去找他！</t>
  </si>
  <si>
    <t>3005|3007</t>
  </si>
  <si>
    <t>再回到南湖边，那年轻人正拿着几串烤肉，吃得开心。</t>
  </si>
  <si>
    <t>哟，大妹子，又来找我啦。</t>
  </si>
  <si>
    <t>那个，虽然有点突然，能告诉我你父母的事情吗？</t>
  </si>
  <si>
    <t>咋滴，真看上我了？你要我人咋还要带上我爹妈呢，我就够了。</t>
  </si>
  <si>
    <t>（他好像并没有意识到事情的严重性啊……）</t>
  </si>
  <si>
    <t>怎么让他相信自己呢？</t>
  </si>
  <si>
    <t>90300507|90300508</t>
  </si>
  <si>
    <t>拿出官府的画像</t>
  </si>
  <si>
    <t>7;105116;1</t>
  </si>
  <si>
    <t>告诉他徐大娘的事</t>
  </si>
  <si>
    <t>你、你这画像是哪来的？！为何与我如此相像！</t>
  </si>
  <si>
    <t>若我推算得不错，这人便是你爹。</t>
  </si>
  <si>
    <t>你娘十六年前与他私奔，留下你外婆在城中苦等，这便是我此番前来找你的原因。</t>
  </si>
  <si>
    <t>你骗谁呢，你们城里疯婆子嚷嚷两声，我爹娘就不清不白了啊。</t>
  </si>
  <si>
    <t>你听我说啊——</t>
  </si>
  <si>
    <t>不听不听王八念经，我要撸串你别烦我！</t>
  </si>
  <si>
    <t>他不搭理我了，看来还得找到实证才行。</t>
  </si>
  <si>
    <t>怎么可能呢……我娘明明是为了不被嫁给别人当小妾才逃的……</t>
  </si>
  <si>
    <t>他们现在在哪？</t>
  </si>
  <si>
    <t>我爹他十五年前遭了&lt;c=#db3e63ff&gt;海难&lt;/c&gt; ，我还没出生，也没见过他。</t>
  </si>
  <si>
    <t>我娘她……这趟本是随我&lt;c=#db3e63ff&gt;一同进京&lt;/c&gt; 的，路上生了病，没熬过来，&lt;c=#db3e63ff&gt;已经去了&lt;/c&gt; ……</t>
  </si>
  <si>
    <t>你说我的亲外婆还在城里吗？可以带我去见见她么？</t>
  </si>
  <si>
    <t>事不宜迟，我们现在就出发。</t>
  </si>
  <si>
    <t>失踪少女的事情还没有下落，这桩案子圆满解决了也是件好事。</t>
  </si>
  <si>
    <t>年轻人招呼着我在他们镖队晃了一圈，突然被另一人叫走。</t>
  </si>
  <si>
    <t>我心中想着他说的话，为了得到证实，便向镖队的老大走去。</t>
  </si>
  <si>
    <t>大哥，方才领着我过来的小伙子，他——</t>
  </si>
  <si>
    <t>镖队头头</t>
  </si>
  <si>
    <t>诶嘿，长得俊吧？你想跟着他？</t>
  </si>
  <si>
    <t>不是，我想问问，他真的是&lt;c=#db3e63ff&gt;第一次&lt;/c&gt; 来京城吗？</t>
  </si>
  <si>
    <t>大哥的眼神突然警惕起来，盯着我不说话。</t>
  </si>
  <si>
    <t>想个办法让对方卸下防备</t>
  </si>
  <si>
    <t>90300608|90300609</t>
  </si>
  <si>
    <t>给自己找一个合理的理由</t>
  </si>
  <si>
    <t>打马虎眼蒙混过去</t>
  </si>
  <si>
    <t>大丫头你这嘴可真是巧啊，我不告诉你，到还成了我的不是了，哈哈哈。</t>
  </si>
  <si>
    <t>大哥从裤裆里掏出一卷东西，展开来给我看了看。</t>
  </si>
  <si>
    <t>呐，你看，那小子先前都不跑京城这条线的，也就这次才刚把他调到这一组，确实&lt;c=#db3e63ff&gt;第一次&lt;/c&gt; 进京。</t>
  </si>
  <si>
    <t>我顺着他的话，假装自己仰慕那个年轻人，却没想到大哥直接变了脸。</t>
  </si>
  <si>
    <t>大丫头，你是不是当我江湖混得少，就你这个谎话说得，我都替你尴尬。</t>
  </si>
  <si>
    <t>别瞎打听了，我们也是要恰饭的，就不陪你闹了。</t>
  </si>
  <si>
    <t>虽然有些味道，我还是认真看完了，记下上边的内容，准备待会儿复刻一份。</t>
  </si>
  <si>
    <t>29;105115;1</t>
  </si>
  <si>
    <t>谢谢大哥，您可真是帮了我大忙了，回头有生意我一定介绍给您！</t>
  </si>
  <si>
    <t>得了得了，你这小嘴甜的，办你的事儿去。</t>
  </si>
  <si>
    <t>离开码头，复刻好&lt;c=#db3e63ff&gt;镖队记录&lt;/c&gt; ，我便准备再去找徐大娘问清楚。</t>
  </si>
  <si>
    <t>徐大娘说过，官府曾经发过通缉，还留有那个人的&lt;c=#db3e63ff&gt;画像&lt;/c&gt; ，能找到画像就好了。</t>
  </si>
  <si>
    <t>官差大人，能带我找找当年的通缉画像吗？</t>
  </si>
  <si>
    <t>当然当然，不过时隔已久，恐怕无法很快找给姑娘……</t>
  </si>
  <si>
    <t>没关系，我自有办法。</t>
  </si>
  <si>
    <t>来到档案室，对着一屋子的卷宗，我有点傻了眼，没想到竟有如此多。</t>
  </si>
  <si>
    <t>得找个办法快速寻找到画像</t>
  </si>
  <si>
    <t>90300707|90300708</t>
  </si>
  <si>
    <t>发动猫儿一起寻找</t>
  </si>
  <si>
    <t>30;3041;10000</t>
  </si>
  <si>
    <t>先自己翻翻看</t>
  </si>
  <si>
    <t>这是十六年前的卷宗！就是这卷！</t>
  </si>
  <si>
    <t>我展开徐家独女失踪的卷宗，果然看到了一副画像，眉眼与码头那年轻人有&lt;c=#db3e63ff&gt;八分像&lt;/c&gt; 。</t>
  </si>
  <si>
    <t>果然是这么回事！那个年轻人就是当年两人私奔后生下的孩子！</t>
  </si>
  <si>
    <t>诶？这个是三年前隔壁老王在外面偷人的案子？</t>
  </si>
  <si>
    <t>没想到竟然是王夫人故意请花街姑娘设的套……啧啧啧。</t>
  </si>
  <si>
    <t>天呐一个时辰了才翻了十卷不到，这要找到何年何月……</t>
  </si>
  <si>
    <t>我向官差寻了个由头，借走了画像。</t>
  </si>
  <si>
    <t>29;105116;1</t>
  </si>
  <si>
    <t>回想起年轻人那张脸，我突然意识到一件事——</t>
  </si>
  <si>
    <t>难怪我觉得他眼熟！他的相貌和&lt;c=#db3e63ff&gt;徐大娘&lt;/c&gt; 也有几分&lt;c=#db3e63ff&gt;相像&lt;/c&gt; 啊！</t>
  </si>
  <si>
    <t>我得赶紧去码头找他说这件事！</t>
  </si>
  <si>
    <t>2111</t>
  </si>
  <si>
    <t>2121</t>
  </si>
  <si>
    <t>2131</t>
  </si>
  <si>
    <t>2141</t>
  </si>
  <si>
    <t>2151</t>
  </si>
  <si>
    <t>2161</t>
  </si>
  <si>
    <t>2211</t>
  </si>
  <si>
    <t>2221</t>
  </si>
  <si>
    <t>2231</t>
  </si>
  <si>
    <t>2241</t>
  </si>
  <si>
    <t>2251</t>
  </si>
  <si>
    <t>2311</t>
  </si>
  <si>
    <t>2321</t>
  </si>
  <si>
    <t>2331</t>
  </si>
  <si>
    <t>2341</t>
  </si>
  <si>
    <t>2351</t>
  </si>
  <si>
    <t>2411</t>
  </si>
  <si>
    <t>2421</t>
  </si>
  <si>
    <t>2431</t>
  </si>
  <si>
    <t>2441</t>
  </si>
  <si>
    <t>2511</t>
  </si>
  <si>
    <t>2521</t>
  </si>
  <si>
    <t>2531</t>
  </si>
  <si>
    <t>2541</t>
  </si>
  <si>
    <t>2551</t>
  </si>
  <si>
    <t>2611</t>
  </si>
  <si>
    <t>2621</t>
  </si>
  <si>
    <t>2631</t>
  </si>
  <si>
    <t>2641</t>
  </si>
  <si>
    <t>2651</t>
  </si>
  <si>
    <t>2661</t>
  </si>
  <si>
    <t>2671</t>
  </si>
  <si>
    <t>2711</t>
  </si>
  <si>
    <t>2721</t>
  </si>
  <si>
    <t>2731</t>
  </si>
  <si>
    <t>2741</t>
  </si>
  <si>
    <t>2751</t>
  </si>
  <si>
    <t>2811</t>
  </si>
  <si>
    <t>2821</t>
  </si>
  <si>
    <t>2911</t>
  </si>
  <si>
    <t>2921</t>
  </si>
  <si>
    <t>2931</t>
  </si>
  <si>
    <t>2941</t>
  </si>
  <si>
    <t>2951</t>
  </si>
  <si>
    <t>2961</t>
  </si>
  <si>
    <t>3011</t>
  </si>
  <si>
    <t>3021</t>
  </si>
  <si>
    <t>3031</t>
  </si>
  <si>
    <t>3041</t>
  </si>
  <si>
    <t>浆洗妇人的信息</t>
  </si>
  <si>
    <t>只知道她姓薛，似乎住在南街，其他信息一概不详。</t>
  </si>
  <si>
    <t>花边消息</t>
  </si>
  <si>
    <t>从邻居那边打探，得知了曾有一位走商与这妇人有过交往。</t>
  </si>
  <si>
    <t>户籍文书</t>
  </si>
  <si>
    <t>文书不全，但也记载着女子的户籍、姓名等基本信息。</t>
  </si>
  <si>
    <t>杨老头生活清苦</t>
  </si>
  <si>
    <t>根据邻居的证词，杨老头生活节俭，颇为清苦。</t>
  </si>
  <si>
    <t>杨老头降价卖房</t>
  </si>
  <si>
    <t>中原会馆的伙计说，杨老头的南街房屋降价在售。</t>
  </si>
  <si>
    <t>杨记烧鸭饭</t>
  </si>
  <si>
    <t>杨记烧鸭饭价廉物美</t>
  </si>
  <si>
    <t>鹰哨</t>
  </si>
  <si>
    <t>一只简单的鹰哨，吹起来甚是难听。</t>
  </si>
  <si>
    <t>黑鸢的羽毛，是一根黑色的老鹰羽毛</t>
  </si>
  <si>
    <t>渔鹰的羽毛，看起来与麻雀的花纹有点像。</t>
  </si>
  <si>
    <t>赤鹰的羽毛，非常艳丽。</t>
  </si>
  <si>
    <t>公主府的海东青</t>
  </si>
  <si>
    <t>终于有公主府的海东青的下落了！</t>
  </si>
  <si>
    <t>伪装者的伤口</t>
  </si>
  <si>
    <t>伪装者手臂上有十字形外伤</t>
  </si>
  <si>
    <t>楚三骨折伤</t>
  </si>
  <si>
    <t>楚家三少爷所受伤为骨折伤</t>
  </si>
  <si>
    <t>薛二十字伤</t>
  </si>
  <si>
    <t>薛家二少爷的伤口为十字伤</t>
  </si>
  <si>
    <t>甜豆沙包</t>
  </si>
  <si>
    <t>包子铺老板给了我几个新鲜热乎的甜豆沙包。</t>
  </si>
  <si>
    <t>原来是有公子因为来包子铺买甜馅儿的包子，而被咸包子的簇拥者围攻了。</t>
  </si>
  <si>
    <t>邪教信息</t>
  </si>
  <si>
    <t>邪教乃咸党和甜派，且水火不容。</t>
  </si>
  <si>
    <t>甜派为报复咸党，于是组织便安排了人去揭发包子铺老板的咸包有毒。</t>
  </si>
  <si>
    <t>贺先生的手帖</t>
  </si>
  <si>
    <t>查些末节信息可以出示</t>
  </si>
  <si>
    <t>收信记录</t>
  </si>
  <si>
    <t>贺先生的收信记录，没有来自钱塘的信件。</t>
  </si>
  <si>
    <t>信件媒介</t>
  </si>
  <si>
    <t>通过钢印得知，信件的媒介是翰轩书画社。</t>
  </si>
  <si>
    <t>调查方向</t>
  </si>
  <si>
    <t>调查方向可以转成去急递铺查发信记录</t>
  </si>
  <si>
    <t>安歌的发信记录</t>
  </si>
  <si>
    <t>在急递铺查到，安歌常常往贺先生处发信件。</t>
  </si>
  <si>
    <t>《减字木兰花》</t>
  </si>
  <si>
    <t>朱真真的词，附上了安歌的说明信。</t>
  </si>
  <si>
    <t>不吃符</t>
  </si>
  <si>
    <t>可以令人听话的符咒。</t>
  </si>
  <si>
    <t>厨子的供词</t>
  </si>
  <si>
    <t>掌柜的说厨子捡回来时刀法不错，且他倒于南街。</t>
  </si>
  <si>
    <t>冻豆腐佚事</t>
  </si>
  <si>
    <t>那厨子是被肖大小姐用冻豆腐砸至失忆的。</t>
  </si>
  <si>
    <t>厨子的遗失物品</t>
  </si>
  <si>
    <t>一块绣有“曲”字的手帕和一柄匕首。</t>
  </si>
  <si>
    <t>厨子的真实身份</t>
  </si>
  <si>
    <t>厨子名为伍陆七，曾是一名杀手。</t>
  </si>
  <si>
    <t>商贩生病了</t>
  </si>
  <si>
    <t>商贩似乎生病了，还去过三佛田看病。</t>
  </si>
  <si>
    <t>商贩家的瘸猫</t>
  </si>
  <si>
    <t>商贩家有只瘸猫，因为商贩生病无人照看。</t>
  </si>
  <si>
    <t>花婆婆的膏药</t>
  </si>
  <si>
    <t>到三佛堂替花婆婆拿了膏药</t>
  </si>
  <si>
    <t>商贩的药</t>
  </si>
  <si>
    <t>生病的商贩几日没有来拿药，钱大夫托我给他带药。</t>
  </si>
  <si>
    <t>鸡肉糕</t>
  </si>
  <si>
    <t>小茄子最喜欢吃的鸡肉糕。</t>
  </si>
  <si>
    <t>烂番茄色谣言</t>
  </si>
  <si>
    <t>烂番茄色口脂中含有腐烂番茄的毒素。</t>
  </si>
  <si>
    <t>香唇露</t>
  </si>
  <si>
    <t>周大少爷赠与如意姑娘的润唇露。</t>
  </si>
  <si>
    <t>天南星</t>
  </si>
  <si>
    <t>香唇膏内添加了天南星。</t>
  </si>
  <si>
    <t>密函</t>
  </si>
  <si>
    <t>记载了商业打压情报的密函。</t>
  </si>
  <si>
    <t>侍从的话</t>
  </si>
  <si>
    <t>佳人妆品铺背后的势力与宫中有关联。</t>
  </si>
  <si>
    <t>口脂传闻</t>
  </si>
  <si>
    <t>烂番茄色口脂涂抹后嘴唇会腐烂。</t>
  </si>
  <si>
    <t>天下第一楼自酿的招牌烧酒，酒香醇厚，后劲十足。</t>
  </si>
  <si>
    <t>男装</t>
  </si>
  <si>
    <t>简单的男式套装。</t>
  </si>
  <si>
    <t>周府地图</t>
  </si>
  <si>
    <t>北桥弄周府的布局图。</t>
  </si>
  <si>
    <t>镖队记录</t>
  </si>
  <si>
    <t>镖队的跑镖记录，证明了年轻人第一次入京</t>
  </si>
  <si>
    <t>画像</t>
  </si>
  <si>
    <t>一副男子的画像，眉眼与年轻人八分像</t>
  </si>
  <si>
    <t>花满楼</t>
  </si>
  <si>
    <t>茶叶铺子</t>
  </si>
  <si>
    <t>客栈</t>
  </si>
  <si>
    <t>民房</t>
  </si>
  <si>
    <t>民房后院</t>
  </si>
  <si>
    <t>冷静</t>
  </si>
  <si>
    <t>猎户</t>
  </si>
  <si>
    <t>铁匠铺</t>
  </si>
  <si>
    <t>玉王爷府</t>
  </si>
  <si>
    <t>定国公府</t>
  </si>
  <si>
    <t>楚府</t>
  </si>
  <si>
    <t>薛府</t>
  </si>
  <si>
    <t>衙门</t>
  </si>
  <si>
    <t>贺府</t>
  </si>
  <si>
    <t>大乐府宅</t>
  </si>
  <si>
    <t>急递铺</t>
  </si>
  <si>
    <t>书画社</t>
  </si>
  <si>
    <t>酒楼</t>
  </si>
  <si>
    <t>酒楼后厨</t>
  </si>
  <si>
    <t>猫</t>
  </si>
  <si>
    <t>肖府</t>
  </si>
  <si>
    <t>寻人</t>
  </si>
  <si>
    <t>问话</t>
  </si>
  <si>
    <t>妆品铺</t>
  </si>
  <si>
    <t>购买烧酒</t>
  </si>
  <si>
    <t>买男装</t>
  </si>
  <si>
    <t>闲逛</t>
  </si>
  <si>
    <t>调查码头</t>
  </si>
  <si>
    <t>官府</t>
  </si>
  <si>
    <t>镖队</t>
  </si>
  <si>
    <t>找到艳归月了解委托详情。</t>
  </si>
  <si>
    <t>我在花满楼询问了一番，在一只小野猫处得到了薛姐的居住地址。</t>
  </si>
  <si>
    <t>我来到薛姐家附近，找她的邻居打探了一下消息。</t>
  </si>
  <si>
    <t>来到与薛姐有关的走商所开的茶叶铺子进行了调查。</t>
  </si>
  <si>
    <t>找走商了解了薛兰的信息。</t>
  </si>
  <si>
    <t>找到卫安，确认了女子乃玄门人士，现已被捕的信息。</t>
  </si>
  <si>
    <t>薛姐的家人是遇了水灾没了的。经邻居介绍，在花街做浆洗的活计。</t>
  </si>
  <si>
    <t>在薛兰的家里找到了她的户籍资料以及玄门的空信封。</t>
  </si>
  <si>
    <t>古德联系不到他的房东已三月有余，托我找房东。</t>
  </si>
  <si>
    <t>在南街调查杨老头，只知他生活节俭且清苦</t>
  </si>
  <si>
    <t>来商贸行调查，得知杨老头在低价卖房</t>
  </si>
  <si>
    <t>找了猫儿调查，得知杨老头开了一家杨记烧鸭店</t>
  </si>
  <si>
    <t>突如其来的暴富，我需要冷静一下</t>
  </si>
  <si>
    <t>收租大爷还是你大爷</t>
  </si>
  <si>
    <t>向古德说明情况。</t>
  </si>
  <si>
    <t>再接小杜公公的委托，竟是要帮忙找鹰？</t>
  </si>
  <si>
    <t>陆沉居然有一只鹰？我去南街铁匠铺找找看吧。</t>
  </si>
  <si>
    <t>猎户告诉了我重要的线索，就去这两处找鹰吧。</t>
  </si>
  <si>
    <t>收集到了铁匠铺的黑鹰羽毛</t>
  </si>
  <si>
    <t>收集到了渔鹰的羽毛</t>
  </si>
  <si>
    <t>收集到了赤鹰的羽毛</t>
  </si>
  <si>
    <t>意外得到胖头余的线索，白鹰竟然属于北桥弄</t>
  </si>
  <si>
    <t>玉王爷看来没有养鹰</t>
  </si>
  <si>
    <t>原来那只吓到小杜的鹰竟是公主府的海东青</t>
  </si>
  <si>
    <t>海东青竟然送上门了，看来这个委托可以结束了。</t>
  </si>
  <si>
    <t>调查靖远侯谣言</t>
  </si>
  <si>
    <t>询问周家姑娘</t>
  </si>
  <si>
    <t>去天下第一楼调查情况</t>
  </si>
  <si>
    <t>找于叔说明情况</t>
  </si>
  <si>
    <t>询问玉王爷对方特征</t>
  </si>
  <si>
    <t>调查楚三公子的伤口</t>
  </si>
  <si>
    <t>调查薛二公子的伤口</t>
  </si>
  <si>
    <t>在探事轩阅读了卷宗，得知邪教组织曾引发了一场斗殴事件。</t>
  </si>
  <si>
    <t>来到天下第一包子铺，恰遇有人佯装中毒诬陷包子铺的咸包子有毒</t>
  </si>
  <si>
    <t>来到衙门，找造谣者对质得知邪教乃咸党和甜派，且水火不容。</t>
  </si>
  <si>
    <t>找公子歇提交委托，告知公子歇如何挽救老板们损失。</t>
  </si>
  <si>
    <t>调查斗殴事件受害者，得知了当日的事发经过。</t>
  </si>
  <si>
    <t>查探西施豆腐花店的情况</t>
  </si>
  <si>
    <t>查探赵家碱水粽的情况</t>
  </si>
  <si>
    <t>贺先生笔友有蹊跷，急递铺，安歌府，去哪边？</t>
  </si>
  <si>
    <t>书童五味不打自招，支开贺先生原是为我题匾。</t>
  </si>
  <si>
    <t>急递铺代查收信记录，贺先生竟未收到钱塘信件？</t>
  </si>
  <si>
    <t>贺府对质，贺先生书信线索竟在翰轩书画社</t>
  </si>
  <si>
    <t>偶遇才子传要讯，安歌原是贺先生高朋。</t>
  </si>
  <si>
    <t>翰轩书画社惹风波，决意再探急递铺。</t>
  </si>
  <si>
    <t>急递铺调查再遇困境，异处直指安歌。</t>
  </si>
  <si>
    <t>安歌道破玄机，苦命才女空留诀别书。</t>
  </si>
  <si>
    <t>多情自古空余恨，贺先生终知真相独怅然。</t>
  </si>
  <si>
    <t>白沧卖了我一张“不吃符”，据说可以让人乖乖听话。</t>
  </si>
  <si>
    <t>找委托人酒店老板了解详细的委托内容。</t>
  </si>
  <si>
    <t>厨子说，他是被老板从南街捡回来的。</t>
  </si>
  <si>
    <t>前往南街找猫调查，得知肖府或与厨子失忆有关。</t>
  </si>
  <si>
    <t>肖小姐承认用冻豆腐将厨子砸至重伤。</t>
  </si>
  <si>
    <t>曲小姐道出厨子的真实身份</t>
  </si>
  <si>
    <t>找到陆沉，询问厨子掉的匕首的来路</t>
  </si>
  <si>
    <t>我告知了酒楼老板厨子的真实身份</t>
  </si>
  <si>
    <t>卷卷提到，有只名为小茄子的猫最近领的猫饼子被别的猫儿抢了。去查清情况。</t>
  </si>
  <si>
    <t>花婆婆告诉我，小茄子是西街一户商贩家养的猫。</t>
  </si>
  <si>
    <t>小茄子的主人因为小茄子，病一直好不了。可主人也不愿意送走小茄子。</t>
  </si>
  <si>
    <t>小茄子的主人生病了，我前往三佛田打探消息，钱大夫托我带药。</t>
  </si>
  <si>
    <t>我担心小茄子没有好好吃饭，来小狸奴看看买些猫食，顺便探听消息。</t>
  </si>
  <si>
    <t>我尝试说服小茄子去小狸奴暂住几天，等主人病养好。</t>
  </si>
  <si>
    <t>我向小茄子探听恶霸喵信息。</t>
  </si>
  <si>
    <t>我带小茄子去小狸奴，向路尤解释前因后果。</t>
  </si>
  <si>
    <t>我向卷卷说明了事情经过。</t>
  </si>
  <si>
    <t>拿药给花婆婆</t>
  </si>
  <si>
    <t>从探事轩接取了调查口脂滞销原因的委托。</t>
  </si>
  <si>
    <t>从老板娘口中得知口脂的问题。</t>
  </si>
  <si>
    <t>探访花街的如意姑娘。</t>
  </si>
  <si>
    <t>找公子歇调查香唇露。</t>
  </si>
  <si>
    <t>潜入周府进行调查。</t>
  </si>
  <si>
    <t>前往探事轩提交委托的调查结果。</t>
  </si>
  <si>
    <t>遇偶遇胡泊，得知烂番茄色口脂的传闻。</t>
  </si>
  <si>
    <t>前往天下第一楼购买东西。</t>
  </si>
  <si>
    <t>在成衣铺买了一套男装。</t>
  </si>
  <si>
    <t>偶遇安歌，得到了周府的地图。</t>
  </si>
  <si>
    <t>从徐大娘处得知她的女儿也在南湖周边失踪。</t>
  </si>
  <si>
    <t>在码头轻易找到了徐大娘说的人，却发现对方今日第一次来京城。</t>
  </si>
  <si>
    <t>徐大娘坚持自己的说法，透漏出大妞失踪的案子官府有查过。</t>
  </si>
  <si>
    <t>在官府得知徐大娘的案子发生在十六年前，大妞为逃婚与人私奔。</t>
  </si>
  <si>
    <t>得知年轻人父母的下落，确认他的身份，带他去见徐大娘。</t>
  </si>
  <si>
    <t>从镖队大哥手中的镖队记录，证实年轻人第一次进京。</t>
  </si>
  <si>
    <t>从官府的到与年轻人八分相似的画像，推断出他的身份。</t>
  </si>
  <si>
    <t>2401</t>
  </si>
  <si>
    <t>2501</t>
  </si>
  <si>
    <t>2601</t>
  </si>
  <si>
    <t>2701</t>
  </si>
  <si>
    <t>2801</t>
  </si>
  <si>
    <t>2901</t>
  </si>
  <si>
    <t>3001</t>
  </si>
  <si>
    <t>靖远侯强抢民女</t>
  </si>
  <si>
    <t>近来有传闻曰靖远侯宁北仗着权势滔天，强抢民女，请求查明真相。</t>
  </si>
  <si>
    <t>邪教斗殴事件</t>
  </si>
  <si>
    <t>尚京城两波邪教组织浮出水面，教义冲突导致民众受伤，商铺停业</t>
  </si>
  <si>
    <t>贺先生的笔友</t>
  </si>
  <si>
    <t>贺先生的笔友有些蹊跷，请帮忙查探一番。</t>
  </si>
  <si>
    <t>打劫：谁有猫饼</t>
  </si>
  <si>
    <t>卷卷给残疾小猫派发的猫饼竟在光天化日之下被抢走！</t>
  </si>
  <si>
    <t>热门色号滞销</t>
  </si>
  <si>
    <t>城中有家妆品铺遭打压，背后似乎是共宫廷势力。</t>
  </si>
  <si>
    <t>3;3;定国公府</t>
  </si>
  <si>
    <t>3;3;匿名</t>
  </si>
  <si>
    <t>3;1;贺先生</t>
  </si>
  <si>
    <t>3;1;酒楼老板</t>
  </si>
  <si>
    <t>3;1;卷卷</t>
  </si>
  <si>
    <t>3;1;神秘公子</t>
  </si>
  <si>
    <t>少女失踪秘案</t>
  </si>
  <si>
    <t>少女神秘失踪，半老徐娘一夜急白头</t>
  </si>
  <si>
    <t>3;1;徐大娘</t>
    <phoneticPr fontId="27" type="noConversion"/>
  </si>
  <si>
    <t>告诉贺先生真相|获得一张符咒|查清此事全貌</t>
  </si>
  <si>
    <t>找到口脂滞销的原因|得到周府的地图|查清此事全貌</t>
  </si>
  <si>
    <t>外国友人寻房东</t>
  </si>
  <si>
    <t>外国租客找不到房东交租，担心信誉受损，急寻失踪房东</t>
  </si>
  <si>
    <t>烦恼的小杜（下）</t>
  </si>
  <si>
    <t>杜公公的儿歌事件虽已平息，罚俸却无可避免。能不能帮他查清事情的真相呢？</t>
  </si>
  <si>
    <t>3;1;古德</t>
  </si>
  <si>
    <t>旷工的浆洗妇人</t>
  </si>
  <si>
    <t>花满楼的一位浆洗妇人突然旷工，导致姑娘们衣物堆积成灾</t>
  </si>
  <si>
    <t>使杜公公免于罚俸|获得鹰哨|查清此事全貌</t>
  </si>
  <si>
    <t>3;105082;1|3;105078;1|4;100;0</t>
    <phoneticPr fontId="27" type="noConversion"/>
  </si>
  <si>
    <t>1;2906;1|3;105114;1|4;100;0</t>
    <phoneticPr fontId="27" type="noConversion"/>
  </si>
  <si>
    <t>1;2609;1|3;105096;1|4;100;0</t>
    <phoneticPr fontId="27" type="noConversion"/>
  </si>
  <si>
    <t>去商贸行调查地契|找到房东|查清此事全貌</t>
    <phoneticPr fontId="27" type="noConversion"/>
  </si>
  <si>
    <t>1;2203;1|1;2206;1|4;100;0</t>
    <phoneticPr fontId="27" type="noConversion"/>
  </si>
  <si>
    <t>去天下第一楼调查|调查伪装者的伤口|查清此事全貌</t>
    <phoneticPr fontId="27" type="noConversion"/>
  </si>
  <si>
    <t>1;2403;1|3;105083;1|4;100;0</t>
    <phoneticPr fontId="27" type="noConversion"/>
  </si>
  <si>
    <t>查明斗殴事件真相|查明邪教的信息|查清此事全貌</t>
    <phoneticPr fontId="27" type="noConversion"/>
  </si>
  <si>
    <t>3;105087;1|3;105088;1|4;100;0</t>
    <phoneticPr fontId="27" type="noConversion"/>
  </si>
  <si>
    <t>找猫打听|查清厨子的真实身份|查清此事全貌</t>
    <phoneticPr fontId="27" type="noConversion"/>
  </si>
  <si>
    <t>1;2703;1|3;105100;1|4;100;0</t>
    <phoneticPr fontId="27" type="noConversion"/>
  </si>
  <si>
    <t>1;2806;1|1;2810;1|4;100;0</t>
    <phoneticPr fontId="27" type="noConversion"/>
  </si>
  <si>
    <t>和小茄子沟通|给花婆婆送膏药|查清此事全貌</t>
    <phoneticPr fontId="27" type="noConversion"/>
  </si>
  <si>
    <t>调查精神小伙|拿到镖队记录|查清此事全貌</t>
    <phoneticPr fontId="27" type="noConversion"/>
  </si>
  <si>
    <t>1;3002;1|3;105115;1|4;100;0</t>
    <phoneticPr fontId="27" type="noConversion"/>
  </si>
  <si>
    <t>猫儿最喜欢吃的小鱼干。</t>
    <phoneticPr fontId="32" type="noConversion"/>
  </si>
  <si>
    <t>95030109|95030110|95030111</t>
  </si>
  <si>
    <t>95030117</t>
  </si>
  <si>
    <t>95040109|95040110|95040111</t>
  </si>
  <si>
    <t>95040117</t>
  </si>
  <si>
    <t>拿到浆洗妇人的户籍文书|打听妇人的过去|查清此事全貌</t>
    <phoneticPr fontId="27" type="noConversion"/>
  </si>
  <si>
    <t>1;2005;1|1;2006;1|4;100;0</t>
    <phoneticPr fontId="27" type="noConversion"/>
  </si>
  <si>
    <t>3;105074;1|1;2105;1|4;100;0</t>
    <phoneticPr fontId="27" type="noConversion"/>
  </si>
  <si>
    <t>是个做&lt;c=#db3e63ff&gt;浆洗活计&lt;/c&gt;的女子。平日里我倒是从没见过她，名字嘛也是不记得的。</t>
  </si>
  <si>
    <t>只知道她姓薛，似乎住在&lt;c=#db3e63ff&gt;南街&lt;/c&gt;，可其他信息一概不详。</t>
  </si>
  <si>
    <t>哎，对了。她是做浆洗活计的。我猜她身上应当有&lt;c=#db3e63ff&gt;皂角味道&lt;/c&gt;。</t>
  </si>
  <si>
    <t>最早，天冷时，她缝了个旧毯子给我，上面就是这恼人的&lt;c=#db3e63ff&gt;皂角味道&lt;/c&gt;。</t>
  </si>
  <si>
    <t>她似乎也&lt;c=#db3e63ff&gt;没有家人&lt;/c&gt;，不知是遭了什么事。</t>
  </si>
  <si>
    <t>之前有个丧妻的&lt;c=#db3e63ff&gt;走商&lt;/c&gt;看上了她，想娶了她，她也不同意。</t>
  </si>
  <si>
    <t>倒是知道他在&lt;c=#db3e63ff&gt;湖景街&lt;/c&gt;经营一家&lt;c=#db3e63ff&gt;茶叶铺子&lt;/c&gt;。</t>
  </si>
  <si>
    <t>哈哈，这是喜事啦。老板决定&lt;c=#db3e63ff&gt;续弦&lt;/c&gt;，新夫人身体不太好，便准备回阳城县定居。那边四季如春，倒是个好地方。</t>
  </si>
  <si>
    <t>见是没有见过，但曾经听老板说过，&lt;c=#db3e63ff&gt;薛姐&lt;/c&gt;曾是&lt;c=#db3e63ff&gt;三洛川&lt;/c&gt;的人。</t>
  </si>
  <si>
    <t>&lt;c=#db3e63ff&gt;三洛川水难&lt;/c&gt;后，官府给了她一笔钱，她便来尚京讨个营生。</t>
  </si>
  <si>
    <t>（&lt;c=#db3e63ff&gt;三洛川水难&lt;/c&gt;……薛兰果然和&lt;c=#db3e63ff&gt;玄门&lt;/c&gt;有关！）</t>
  </si>
  <si>
    <t>姑娘是薛姐的故人么？为何要找她？</t>
  </si>
  <si>
    <t>花满楼？姑娘是那里的头牌吗？</t>
  </si>
  <si>
    <t>老板在尚京置办的房子也在变卖，这两日应该歇在&lt;c=#db3e63ff&gt;客栈&lt;/c&gt;。我将地址写给姑娘。</t>
  </si>
  <si>
    <t>阿兰被&lt;c=#db3e63ff&gt;官府&lt;/c&gt;的人抓走了。</t>
  </si>
  <si>
    <t>她是好人。她只是不想拖累我。</t>
  </si>
  <si>
    <t>他情绪极其不稳定，我只耐心听着。</t>
  </si>
  <si>
    <t>三洛川水难之后，她的家人都遇难了。逃难途中又被流寇劫匪欺负……我也是那时候遇见她的。</t>
  </si>
  <si>
    <t>后来阿兰似乎加入了一个&lt;c=#db3e63ff&gt;门派&lt;/c&gt;，一直都在为他们暗中做事情。这么些年，好不容易才在尚京落脚。</t>
  </si>
  <si>
    <t>前几日她突然找到我，说出事了，她的门派被端了，官府也查到了她头上……我便决定带她离开尚京……</t>
  </si>
  <si>
    <t>（……看来薛兰真的是&lt;c=#db3e63ff&gt;玄门&lt;/c&gt;的人了。）</t>
  </si>
  <si>
    <t>（&lt;c=#db3e63ff&gt;玄门&lt;/c&gt;之事是&lt;c=#db3e63ff&gt;定国公府&lt;/c&gt;在查，我去一趟好了。）</t>
  </si>
  <si>
    <t>姑娘放心，那位女子是&lt;c=#db3e63ff&gt;玄门&lt;/c&gt;人士，已经被我们抓了，正在审讯。</t>
  </si>
  <si>
    <t>我点点头，离开了定国公府。远远却看到一只灰色的身影从定国公府门前跑过。</t>
  </si>
  <si>
    <t>（啊！是&lt;c=#db3e63ff&gt;花满楼&lt;/c&gt;的那只小野猫！……它一直在跟着我？）</t>
  </si>
  <si>
    <t>不过呀，我知道她家人是&lt;c=#db3e63ff&gt;遇水&lt;/c&gt;没的。</t>
  </si>
  <si>
    <t>真可惜啊，她床底有个&lt;c=#db3e63ff&gt;箱子&lt;/c&gt;，窝着可舒服了。</t>
  </si>
  <si>
    <t>平日里宝贝得紧，有次看到我玩那&lt;c=#db3e63ff&gt;箱子&lt;/c&gt;，还生气了呢。</t>
  </si>
  <si>
    <t>（咦？说不定那个&lt;c=#db3e63ff&gt;箱子&lt;/c&gt;里有什么线索！）</t>
  </si>
  <si>
    <t>我探头往床底看去，果真看到了一个&lt;c=#db3e63ff&gt;旧木箱&lt;/c&gt;。</t>
  </si>
  <si>
    <t>箱子里放着一叠陈旧不全的&lt;c=#db3e63ff&gt;户籍文书&lt;/c&gt;。我翻了翻，还找到了一个空白的信封，上有“玄”字标致。</t>
  </si>
  <si>
    <t>小野猫沉沉睡了过去，发出轻微地呼噜声。我收齐&lt;c=#db3e63ff&gt;户籍文书&lt;/c&gt;残件离开了。</t>
  </si>
  <si>
    <t>我的猜测果然没错——眼前的雇主一头棕色卷发，眉骨高耸，身高也较寻常启国男子高一截。</t>
  </si>
  <si>
    <t>好漂酿的菇凉！你便是接了我的单的小探子吗！</t>
  </si>
  <si>
    <t>可你的双眸啊~像春日卵阳下的贝加尔湖面上，那粼粼的波光！</t>
  </si>
  <si>
    <t>……卵，暖阳？……呃，你们外国小哥哥嘴都这么甜么？</t>
  </si>
  <si>
    <t>古德困惑地舔了舔嘴巴。</t>
  </si>
  <si>
    <t>我早上次的大葱卷饼子，怎么会甜呢。莫非是甜面酱？</t>
  </si>
  <si>
    <t>我努力的捋直了舌头，古德开心地点点头，眨了眨他那双浅棕色的大眼睛。</t>
  </si>
  <si>
    <t>（还是先去古德之前交租的&lt;c=#db3e63ff&gt;南街宅子&lt;/c&gt;查查好了。）</t>
  </si>
  <si>
    <t>据古德所言，他的房屋租在&lt;c=#db3e63ff&gt;南街七巷&lt;/c&gt;，平日里交租就隔了一条街——在&lt;c=#db3e63ff&gt;南街八巷&lt;/c&gt;。</t>
  </si>
  <si>
    <t>啊，你说住这里的&lt;c=#db3e63ff&gt;杨老头&lt;/c&gt;啊。他早搬走啦，走了三月有余了。</t>
  </si>
  <si>
    <t>他平日里一个人住，说是老婆死的早，两个儿子在外地。身子骨倒是硬朗，就是一个人&lt;c=#db3e63ff&gt;孤苦伶仃&lt;/c&gt;的。</t>
  </si>
  <si>
    <t>平日里他也是&lt;c=#db3e63ff&gt;极为节俭&lt;/c&gt;，我们不要的破衣服旧裤子，都是全送给他的。</t>
  </si>
  <si>
    <t>似乎是搬去&lt;c=#db3e63ff&gt;湖景街&lt;/c&gt;了，可能是什么亲戚家吧。挺可怜一老头儿。</t>
  </si>
  <si>
    <t>&lt;c=#db3e63ff&gt;商贸行&lt;/c&gt;那边应该能查到交易记录吧，具体是谁我自然是不清楚了。</t>
  </si>
  <si>
    <t>（&lt;c=#db3e63ff&gt;商贸行&lt;/c&gt;和&lt;c=#db3e63ff&gt;湖景街&lt;/c&gt;……两处都要去查查了。）</t>
  </si>
  <si>
    <t>这可是个笋盘！三进的宅子，家装齐全，自带后花园，一口价，&lt;c=#db3e63ff&gt;二万两&lt;/c&gt;白银。</t>
  </si>
  <si>
    <t>我走错地方了，打扰了。</t>
  </si>
  <si>
    <t>不是，我是想问问，你们最近有卖过&lt;c=#db3e63ff&gt;南街的宅子&lt;/c&gt;？可否帮我查查卖家信息？</t>
  </si>
  <si>
    <t>姑娘问这个作甚？我们是专业的。才不会透露买卖双方信息。</t>
  </si>
  <si>
    <t>我听闻你们宅子定的估值价格都还算公道，想着也置一处南街的宅子，好安置一个远房亲戚呢。</t>
  </si>
  <si>
    <t>姑娘的远房亲戚可真是幸运啊！&lt;c=#db3e63ff&gt;南街七巷&lt;/c&gt;恰剩一处宅子，才六千五百两银子呢。</t>
  </si>
  <si>
    <t>伙计又立即挂上了笑容。变脸之快让我瞠目结舌。</t>
  </si>
  <si>
    <t>姑娘说说你的要求，我给姑娘去查查资料？</t>
  </si>
  <si>
    <t>我告诉伙计我看上了&lt;c=#db3e63ff&gt;南街八巷&lt;/c&gt;杨老头的那套画着“拆”字的房子。</t>
  </si>
  <si>
    <t>实不相瞒，那套我之前听说户主在售卖，便看过周围环境了。能否帮我查查？</t>
  </si>
  <si>
    <t>姑娘果真诚心，这是有备而来啊！这房刚刚重新售卖，现价五千八百两，足足低了市面价七百两呢。</t>
  </si>
  <si>
    <t>咦？邻居好像说，那套房卖给了一个商户？</t>
  </si>
  <si>
    <t>姑娘消息真灵！的确，这套房原本传言可能会被官府征了，有商户想赚那拆迁费，便定了下来。</t>
  </si>
  <si>
    <t>好的姑娘，不过麻烦先交&lt;c=#db3e63ff&gt;五百两白银&lt;/c&gt;意向定金呢。</t>
  </si>
  <si>
    <t>啊！我突然想起来我那远房亲戚似乎已经过世了，打扰了。</t>
  </si>
  <si>
    <t>我来到湖景街调查杨老头的信息。可这&lt;c=#db3e63ff&gt;湖景街&lt;/c&gt;这么多户人家，我实在一筹莫展。</t>
  </si>
  <si>
    <t>有一个杨老头，他之前住那南街，现在似乎搬来&lt;c=#db3e63ff&gt;湖景街&lt;/c&gt;的一处亲戚家来住了。</t>
  </si>
  <si>
    <t>更何况，我&lt;c=#db3e63ff&gt;湖景街&lt;/c&gt;的猫，住着&lt;c=#db3e63ff&gt;二万两&lt;/c&gt;白银的房子，怎么能屈尊降贵去南街那种关外去找人。哼。</t>
  </si>
  <si>
    <t>那房子地契又没写我名！您就在这等着我吧！我去也！</t>
  </si>
  <si>
    <t>我，我有消息啦。那屋子里有，有&lt;c=#db3e63ff&gt;烧鸭&lt;/c&gt;。</t>
  </si>
  <si>
    <t>哎呀祖宗你听我说完，那屋子里，有&lt;c=#db3e63ff&gt;烧鸭&lt;/c&gt;，我尝，尝过了，有那等味道的，只有一处地方！</t>
  </si>
  <si>
    <t>花街的&lt;c=#db3e63ff&gt;杨记烧鸭饭&lt;/c&gt;！那店卖得便宜，份量又多，去的人可不少。</t>
  </si>
  <si>
    <t>我将随身的猫薄荷香囊给了白猫。</t>
  </si>
  <si>
    <t>你，你竟……竟然认识住西街&lt;c=#db3e63ff&gt;五十万两&lt;/c&gt;白银且&lt;c=#db3e63ff&gt;有价无市&lt;/c&gt;的房子步步大爷吗！</t>
  </si>
  <si>
    <t>我突然觉得有点窒息。</t>
  </si>
  <si>
    <t>&lt;c=#db3e63ff&gt;五……五十万两&lt;/c&gt;？我天，我房子都这个价了？？</t>
  </si>
  <si>
    <t>（做什么情报阁，当什么卖布织女！！！那可是&lt;c=#db3e63ff&gt;五十万两&lt;/c&gt;啊！！！）</t>
  </si>
  <si>
    <t>（做梦都想用钱砸死别人，竟然就这样成真了么？！我来算算五十万两能买多少衣服包包口脂……）</t>
  </si>
  <si>
    <t>由于神思恍惚，我不小心就撞到了一个路人。</t>
  </si>
  <si>
    <t>我可是拥有价值&lt;c=#db3e63ff&gt;五十万两&lt;/c&gt;白银的宅子富贵人家。尘世间的一切嘈杂，都如此生动有趣呢。</t>
  </si>
  <si>
    <t>（家宅也不能变卖……变卖也未必有人一下能买。）</t>
  </si>
  <si>
    <t>（白猫说&lt;c=#db3e63ff&gt;有价无市&lt;/c&gt;，这无市也就意味着这价没啥意义嘛。我还是得好好赚钱才是。）</t>
  </si>
  <si>
    <t>湖风习习，万籁俱寂。我想着宅子的&lt;c=#db3e63ff&gt;支出费用&lt;/c&gt;，打了个寒颤，终于冷静了下来。</t>
  </si>
  <si>
    <t>没想到&lt;c=#db3e63ff&gt;杨记烧鸭饭&lt;/c&gt;还颇为有名。我随便拦了人一问，都知晓这店。</t>
  </si>
  <si>
    <t>我点点头，不多时，一盆热腾腾的&lt;c=#db3e63ff&gt;烧鸭饭&lt;/c&gt;烧鸭饭便端至我眼前。我登时瞪大了眼。</t>
  </si>
  <si>
    <t>杨爷爷，你在&lt;c=#db3e63ff&gt;南街七巷&lt;/c&gt;不是有处宅子在出租么？为何已经三月未收租了？</t>
  </si>
  <si>
    <t>我记起来了，那个外国人……近来我新置了个宅子，竟是忘了通知七巷的&lt;c=#db3e63ff&gt;租户们&lt;/c&gt;了。</t>
  </si>
  <si>
    <t>……等等，您不是住&lt;c=#db3e63ff&gt;湖景街&lt;/c&gt;的亲戚家么？新置了个宅子……？</t>
  </si>
  <si>
    <t>杨爷爷，你在&lt;c=#db3e63ff&gt;南街八巷&lt;/c&gt;的那套房，为何突然降价出售？</t>
  </si>
  <si>
    <t>啊。的确有急事要用钱卖了房子，不过姑娘说的是哪套？</t>
  </si>
  <si>
    <t>我卖了多套房，买下了&lt;c=#db3e63ff&gt;湖景街&lt;/c&gt;一套宅子。</t>
  </si>
  <si>
    <t>……&lt;c=#db3e63ff&gt;湖景街&lt;/c&gt;？那不是你亲戚的宅子么？</t>
  </si>
  <si>
    <t>可是您生活清苦……都……要把您的房子卖掉了……</t>
  </si>
  <si>
    <t>那，您现在是住在&lt;c=#db3e63ff&gt;湖景街&lt;/c&gt;的亲戚家么？</t>
  </si>
  <si>
    <t>不是，不是。是远方亲戚住我家。那是我新置办的宅子。</t>
  </si>
  <si>
    <t>有点贵，&lt;c=#db3e63ff&gt;八十八万两&lt;/c&gt;呢。不过那宅子出门见南湖，后花园圈山而建，还是顶顶划算的。</t>
  </si>
  <si>
    <t>……您还缺远房亲戚吗？</t>
  </si>
  <si>
    <t>南街七巷和八巷两百坊，都是我的房子。这次为了买新房，七八巷的房子我挑了好些在卖呢。</t>
  </si>
  <si>
    <t>所以古德三个月没找着你交租……莫非是因为……你忘了……</t>
  </si>
  <si>
    <t>啊，古德，那个外国租户！七巷在售的，就他那房子最破旧，没得卖出去。我都差点忘了他还要交租了。</t>
  </si>
  <si>
    <t>姑娘和他认识？那小伙子不错，交租可积极了。有空带他来尝尝我的烧鸭饭，我请客。</t>
  </si>
  <si>
    <t>我木然点点头，咬了一口手里的鸭腿，却如同嚼蜡。</t>
  </si>
  <si>
    <t>那你先替我交给他！这些银子是这三个月的房租钱……</t>
  </si>
  <si>
    <t>不，是&lt;c=#db3e63ff&gt;“拆”&lt;/c&gt;。</t>
  </si>
  <si>
    <t>我拿出来杨老头&lt;c=#db3e63ff&gt;湖景街&lt;/c&gt;的&lt;c=#db3e63ff&gt;新宅地址&lt;/c&gt;给了古德。</t>
  </si>
  <si>
    <t>是因为那波光就像姑娘你美腻的双眼么？</t>
  </si>
  <si>
    <t>不，是因为地处城中又依山靠水的湖景房很贵。非常贵。那湖面波光闪耀的，可都是白银的光芒。</t>
  </si>
  <si>
    <t>王爷得罪了，我家猫猫不懂事，冲撞了王爷，民女在这里替他们赔个不是。</t>
  </si>
  <si>
    <t>前两日它的确来过我的店，似&lt;c=#db3e63ff&gt;饿极了&lt;/c&gt;的样子，毛发也有点脏乱。</t>
  </si>
  <si>
    <t>不甚清楚，他似乎去&lt;c=#db3e63ff&gt;三佛田&lt;/c&gt;瞧过病，却一直没好。</t>
  </si>
  <si>
    <t>（要不……去&lt;c=#db3e63ff&gt;小狸奴&lt;/c&gt;买一点猫食带过来吧。）</t>
  </si>
  <si>
    <t>门内的&lt;c=#db3e63ff&gt;咳嗽&lt;/c&gt;又响了几声，片刻后，门被打开了。一位男子打开了门。</t>
  </si>
  <si>
    <t>我也曾想把它在&lt;c=#db3e63ff&gt;小狸奴&lt;/c&gt;放上几日，可是它害怕得厉害。</t>
  </si>
  <si>
    <t>哦，他啊，他也是最近&lt;c=#db3e63ff&gt;咳嗽&lt;/c&gt;得厉害，还发了风疹。</t>
  </si>
  <si>
    <t>最近刚知道西街一家商贩家养了只瘸猫，主人似乎生病了。我担心猫饿着，便买点猫食探访。</t>
  </si>
  <si>
    <t>当然知道了，它主人待它挺好，经常来我这边买新鲜&lt;c=#db3e63ff&gt;鸡肉糕&lt;/c&gt;给它吃。</t>
  </si>
  <si>
    <t>小茄子也认主，主人外出摆摊，它都寸步不离。</t>
  </si>
  <si>
    <t>哎……说起来，那商贩曾想将小茄子放在我这边替他养几日的。</t>
  </si>
  <si>
    <t>只是小茄子太认主，怕生得厉害，不愿意让我抱。</t>
  </si>
  <si>
    <t>我想着，平日主人对那小瘸猫照顾得很好，一定是有苦衷才会考虑寄养的吧……</t>
  </si>
  <si>
    <t>姑娘若是买猫食给小茄子，买&lt;c=#db3e63ff&gt;鸡肉糕&lt;/c&gt;，它一定更喜欢。</t>
  </si>
  <si>
    <t>我从怀中拿出小狸奴买的&lt;c=#db3e63ff&gt;鸡肉糕&lt;/c&gt;，冲小茄子招了招手。</t>
  </si>
  <si>
    <t>小茄子警惕地看向我，见到&lt;c=#db3e63ff&gt;鸡肉糕&lt;/c&gt;后，有些怯怯地问了我一句。</t>
  </si>
  <si>
    <t>喵！那是主人经常买给我吃的……你是什么人？</t>
  </si>
  <si>
    <t>嗯……那谢谢你了喵。主人咳嗽很久了，我很是担心主人，喵。</t>
  </si>
  <si>
    <t>小茄子，你的毛发可能会让主人的病情更严重呢。</t>
  </si>
  <si>
    <t>小茄子脑袋耷拉了下来，很是可怜。</t>
  </si>
  <si>
    <t>别急别急，你主人的病吃药就能好了。只是你在的话，病程会拖得反复了些。</t>
  </si>
  <si>
    <t>如果希望你主人好得快点，你先随我去&lt;c=#db3e63ff&gt;小狸奴&lt;/c&gt;待几天，你主人好了，我便立刻送你回来行不行？</t>
  </si>
  <si>
    <t>呜呜……你，你莫要骗我。</t>
  </si>
  <si>
    <t>你放心，小狸奴的掌柜人也超级好的。看在鸡肉糕的份上，你信我们好吗？</t>
  </si>
  <si>
    <t>但是他越来越虚弱了。虽然领猫饼子会被其他猫耻笑，我还是去领了。</t>
  </si>
  <si>
    <t>会被其他猫耻笑？你是因为被耻笑，所以把猫饼子扔了么？</t>
  </si>
  <si>
    <t>主人便抱着我去了小狸奴……我还以为主人嫌弃我脏，不要我，要送走我。</t>
  </si>
  <si>
    <t>我见小茄子甚是恋主，不由地摸了摸它的头。</t>
  </si>
  <si>
    <t>我的后腿天生残疾。其他人说我没法捉老鼠，都不要我的。我出生的那户人家也嫌我晦气把我扔了。</t>
  </si>
  <si>
    <t>还是主人从垃圾里捡了我回去养大的。主人还常被嘲笑说养了只不能捉老鼠的瘸猫。</t>
  </si>
  <si>
    <t>所以，虽然捉不到老鼠，但我也努力赶走了它们！我一定要守护好主人喵！</t>
  </si>
  <si>
    <t>不是我不卖，三天两头举报我，说口脂入口有毒，有毒你个仙人板板！你们口脂当番茄吃的？</t>
  </si>
  <si>
    <t>抛开剂量谈毒性那都是流氓。真拿口脂当番茄吃，吃坏肚子那不是口脂有毒，是脑子有洞。</t>
  </si>
  <si>
    <t>&lt;c=#db3e63ff&gt;烂番茄色&lt;/c&gt;就是烂番茄做的，姨妈色是不是得用大姨妈做？你们咋那么能呢？</t>
  </si>
  <si>
    <t>就是嘛！照这逻辑，斩男色涂了莫非就真会斩自家男人不成！</t>
  </si>
  <si>
    <t>就是嘛！还有啊，花街醉月楼的&lt;c=#db3e63ff&gt; 如意&lt;/c&gt;姑娘，唇部起皮溃烂，声称用的就是我们家&lt;c=#db3e63ff&gt;烂番茄色&lt;/c&gt;口脂。</t>
  </si>
  <si>
    <t>胡说八道，这口脂只她一人用了烂嘴，她怎么不好好反思一下自己。</t>
  </si>
  <si>
    <t>最要命的哦，一夜之间世道都变了，她们说用过这口脂的女子都有毒！</t>
  </si>
  <si>
    <t>我看她们娘亲怀她们时是落过河吧！否则她们怎么脑子里那么多水呢！！</t>
  </si>
  <si>
    <t>（想要揪出幕后之人，得先从花街的&lt;c=#db3e63ff&gt; 如意&lt;/c&gt;姑娘入手了，先到&lt;c=#db3e63ff&gt;花街醉月楼&lt;/c&gt;去寻她吧。）</t>
  </si>
  <si>
    <t>薛兰的过去</t>
  </si>
  <si>
    <t>薛兰是三洛川的难民，家人皆在水难中遇害。后薛兰加入玄门。</t>
  </si>
  <si>
    <t>1;1308;1|3;105046;1|4;100;0</t>
    <phoneticPr fontId="27" type="noConversion"/>
  </si>
  <si>
    <t>30;1431;10000</t>
    <phoneticPr fontId="32" type="noConversion"/>
  </si>
  <si>
    <t>30;1441;10000</t>
    <phoneticPr fontId="32" type="noConversion"/>
  </si>
  <si>
    <t>30;1451;10000</t>
    <phoneticPr fontId="32" type="noConversion"/>
  </si>
  <si>
    <t>90210809|90210810</t>
  </si>
  <si>
    <t>若符合&lt;c=#db3e63ff&gt;一张机中品&lt;/c&gt;的标准，便可晋级了。</t>
    <phoneticPr fontId="32" type="noConversion"/>
  </si>
  <si>
    <t>而后将这些经历&lt;c=#db3e63ff&gt;撰写出论文&lt;/c&gt;，附上证据，盖章后提交给探事轩，探事轩将有专门评审部进行审核。</t>
    <phoneticPr fontId="32" type="noConversion"/>
  </si>
  <si>
    <t>包子铺</t>
    <phoneticPr fontId="32" type="noConversion"/>
  </si>
  <si>
    <t>豆腐店</t>
    <phoneticPr fontId="32" type="noConversion"/>
  </si>
  <si>
    <t>粽子店</t>
    <phoneticPr fontId="32" type="noConversion"/>
  </si>
  <si>
    <t>2103|2107|2108</t>
    <phoneticPr fontId="32" type="noConversion"/>
  </si>
  <si>
    <t>拒绝</t>
    <phoneticPr fontId="32" type="noConversion"/>
  </si>
  <si>
    <t>1;100|2;100|3;100</t>
  </si>
  <si>
    <t>挑战成功可将情报阁等级提升至&lt;color=#db3e63ff&gt;一张机中品&lt;/color&gt;</t>
  </si>
  <si>
    <t>挑战成功可将情报阁等级提升至&lt;color=#db3e63ff&gt;一张机上品&lt;/color&gt;</t>
  </si>
  <si>
    <t>挑战成功可将情报阁等级提升至&lt;color=#db3e63ff&gt;二张机下品&lt;/color&gt;</t>
  </si>
  <si>
    <t>挑战成功可将情报阁等级提升至&lt;color=#db3e63ff&gt;二张机中品&lt;/color&gt;</t>
  </si>
  <si>
    <t>挑战成功可将情报阁等级提升至&lt;color=#db3e63ff&gt;二张机上品&lt;/color&gt;</t>
  </si>
  <si>
    <t>挑战成功可将情报阁等级提升至&lt;color=#db3e63ff&gt;三张机下品&lt;/color&gt;</t>
  </si>
  <si>
    <t>挑战成功可将情报阁等级提升至&lt;color=#db3e63ff&gt;三张机中品&lt;/color&gt;</t>
  </si>
  <si>
    <t>挑战成功可将情报阁等级提升至&lt;color=#db3e63ff&gt;三张机上品&lt;/color&gt;</t>
  </si>
  <si>
    <t>挑战成功可将情报阁等级提升至&lt;color=#db3e63ff&gt;四张机下品&lt;/color&gt;</t>
  </si>
  <si>
    <t>挑战成功可将情报阁等级提升至&lt;color=#db3e63ff&gt;四张机中品&lt;/color&gt;</t>
  </si>
  <si>
    <t>挑战成功可将情报阁等级提升至&lt;color=#db3e63ff&gt;四张机上品&lt;/color&gt;</t>
  </si>
  <si>
    <t>挑战成功可将情报阁等级提升至&lt;color=#db3e63ff&gt;五张机下品&lt;/color&gt;</t>
  </si>
  <si>
    <t>1;10;100|2;319;1</t>
    <phoneticPr fontId="27" type="noConversion"/>
  </si>
  <si>
    <t>28;230000;5</t>
  </si>
  <si>
    <t>28;232000;5</t>
  </si>
  <si>
    <t>28;234000;5</t>
  </si>
  <si>
    <t>28;236000;5</t>
  </si>
  <si>
    <t>28;238000;5</t>
  </si>
  <si>
    <t>28;230010;5</t>
  </si>
  <si>
    <t>28;232010;5</t>
  </si>
  <si>
    <t>28;234010;5</t>
  </si>
  <si>
    <t>28;236010;5</t>
  </si>
  <si>
    <t>28;238010;5</t>
  </si>
  <si>
    <t>28;232020;5</t>
  </si>
  <si>
    <t>28;234020;5</t>
  </si>
  <si>
    <t>28;236020;5</t>
  </si>
  <si>
    <t>28;238020;5</t>
  </si>
  <si>
    <t>28;232030;5</t>
  </si>
  <si>
    <t>28;234030;5</t>
  </si>
  <si>
    <t>28;236030;5</t>
  </si>
  <si>
    <t>28;238030;5</t>
  </si>
  <si>
    <t>1;100</t>
    <phoneticPr fontId="32" type="noConversion"/>
  </si>
  <si>
    <t>2;100</t>
    <phoneticPr fontId="32" type="noConversion"/>
  </si>
  <si>
    <t>3;100</t>
    <phoneticPr fontId="32" type="noConversion"/>
  </si>
  <si>
    <t>4;120</t>
    <phoneticPr fontId="32" type="noConversion"/>
  </si>
  <si>
    <t>5;120</t>
    <phoneticPr fontId="32" type="noConversion"/>
  </si>
  <si>
    <t>30;1861;10000</t>
    <phoneticPr fontId="32" type="noConversion"/>
  </si>
  <si>
    <t>30;1871;10000</t>
    <phoneticPr fontId="32" type="noConversion"/>
  </si>
  <si>
    <t>1;2;100</t>
    <phoneticPr fontId="32" type="noConversion"/>
  </si>
  <si>
    <t>2;316;10</t>
    <phoneticPr fontId="32" type="noConversion"/>
  </si>
  <si>
    <t>1;100|2;120</t>
    <phoneticPr fontId="32" type="noConversion"/>
  </si>
  <si>
    <t>2;100|3;120</t>
    <phoneticPr fontId="32" type="noConversion"/>
  </si>
  <si>
    <t>1;120|3;100</t>
    <phoneticPr fontId="32" type="noConversion"/>
  </si>
  <si>
    <t>1;110|4;100</t>
    <phoneticPr fontId="32" type="noConversion"/>
  </si>
  <si>
    <t>2;110|4;100</t>
    <phoneticPr fontId="32" type="noConversion"/>
  </si>
  <si>
    <t>3;110|4;100</t>
    <phoneticPr fontId="32" type="noConversion"/>
  </si>
  <si>
    <t>1;100|5;100</t>
    <phoneticPr fontId="32" type="noConversion"/>
  </si>
  <si>
    <t>2;100|5;100</t>
    <phoneticPr fontId="32" type="noConversion"/>
  </si>
  <si>
    <t>3;100|5;100</t>
    <phoneticPr fontId="32" type="noConversion"/>
  </si>
  <si>
    <t>1;90|4;110</t>
    <phoneticPr fontId="32" type="noConversion"/>
  </si>
  <si>
    <t>2;90|4;110</t>
    <phoneticPr fontId="32" type="noConversion"/>
  </si>
  <si>
    <t>1;80|5;120</t>
    <phoneticPr fontId="32" type="noConversion"/>
  </si>
  <si>
    <t>2;80|5;120</t>
    <phoneticPr fontId="32" type="noConversion"/>
  </si>
  <si>
    <t>3;80|5;120</t>
    <phoneticPr fontId="32" type="noConversion"/>
  </si>
  <si>
    <t>（奇怪，玄门要烟花做什么？大批烟花需上报数量才可买卖，数不对板，难怪官府要查艳街长……）</t>
    <phoneticPr fontId="32" type="noConversion"/>
  </si>
  <si>
    <t>胡泊档案-毛毡</t>
  </si>
  <si>
    <t>胡泊档案-口脂</t>
  </si>
  <si>
    <t>胡泊档案-心事</t>
  </si>
  <si>
    <t>艳归月档案-雷厉手腕</t>
  </si>
  <si>
    <t>艳归月档案-往事</t>
  </si>
  <si>
    <t>艳归月档案-特立独行</t>
  </si>
  <si>
    <t>花婆婆档案-无人谷</t>
  </si>
  <si>
    <t>花婆婆档案-家世</t>
  </si>
  <si>
    <t>花婆婆档案-少女</t>
  </si>
  <si>
    <t>白沧档案-眼睛</t>
  </si>
  <si>
    <t>白沧档案-交易</t>
  </si>
  <si>
    <t>白沧档案-花</t>
  </si>
  <si>
    <t>路尤档案-前尘旧梦</t>
  </si>
  <si>
    <t>第一次梦见她是什么时候，已经不记得了。</t>
  </si>
  <si>
    <t>路尤档案-居有定所</t>
  </si>
  <si>
    <t>初来尚京之时，他与自称半仙的男子相遇，他向半仙问了个问题。</t>
  </si>
  <si>
    <t>路尤档案-狸奴为伴</t>
  </si>
  <si>
    <t>知道，比如二狸懂得路尤的心事。再比如，二狸知道卷卷知道尚京的大小消息。</t>
  </si>
  <si>
    <t>公子歇档案-药店</t>
  </si>
  <si>
    <t>南街平平无奇的药铺子。</t>
  </si>
  <si>
    <t>公子歇档案-情报</t>
  </si>
  <si>
    <t>做情报的初衷，早已不记得了。</t>
  </si>
  <si>
    <t>公子歇档案-探事轩</t>
  </si>
  <si>
    <t>尚京城中，大大小小的情报，总逃不过这里。</t>
  </si>
  <si>
    <t>公子歇档案-过去</t>
  </si>
  <si>
    <t>很多年前，公子歇是另一番样子。</t>
  </si>
  <si>
    <t>公子歇档案-隐秘</t>
  </si>
  <si>
    <t>温和有礼的南街大夫，除了探事轩掌权者，还有藏在最深处的那一重身份……</t>
  </si>
  <si>
    <t>5603</t>
  </si>
  <si>
    <t>5604</t>
  </si>
  <si>
    <t>5605</t>
  </si>
  <si>
    <t>5803</t>
  </si>
  <si>
    <t>5804</t>
  </si>
  <si>
    <t>5805</t>
  </si>
  <si>
    <t>6903</t>
  </si>
  <si>
    <t>6904</t>
  </si>
  <si>
    <t>6905</t>
  </si>
  <si>
    <t>2;40070</t>
  </si>
  <si>
    <t>卷卷-京城一霸</t>
  </si>
  <si>
    <t>城南城北一条街，打听打听谁是爹。</t>
  </si>
  <si>
    <t>卷卷-童年往事</t>
  </si>
  <si>
    <t>从今往后，我不会再相信任何人。</t>
  </si>
  <si>
    <t>卷卷-亲朋离散</t>
  </si>
  <si>
    <t>哥哥，你别睡，卷卷只剩下你了。</t>
  </si>
  <si>
    <t>卷卷-毫无防备</t>
  </si>
  <si>
    <t>艰苦猫生中偶遇的一缕温柔，唯一能让卷卷卸下心防的人。</t>
  </si>
  <si>
    <t>卷卷-烦人二狸</t>
  </si>
  <si>
    <t>不知是第几次了，它还不死心让我找凤钗主人。</t>
  </si>
  <si>
    <t>7001</t>
  </si>
  <si>
    <t>7002</t>
  </si>
  <si>
    <t>7003</t>
  </si>
  <si>
    <t>7004</t>
  </si>
  <si>
    <t>7005</t>
  </si>
  <si>
    <t>7203</t>
  </si>
  <si>
    <t>7204</t>
  </si>
  <si>
    <t>7205</t>
  </si>
  <si>
    <t>7303</t>
  </si>
  <si>
    <t>7304</t>
  </si>
  <si>
    <t>7305</t>
  </si>
  <si>
    <t>7901</t>
  </si>
  <si>
    <t>7902</t>
  </si>
  <si>
    <t>7903</t>
  </si>
  <si>
    <t>7904</t>
  </si>
  <si>
    <t>7905</t>
  </si>
  <si>
    <t>受新冠疫情影响，尚京多家情报阁出现探子确诊。</t>
  </si>
  <si>
    <t>出于情报人员人身安全着想，尚京情报协会建议全城情报阁暂停情报调查。</t>
  </si>
  <si>
    <t>疫情还未过去，现在出门对己对人都不太好……</t>
  </si>
  <si>
    <t>还是过段时间再取调查吧。</t>
  </si>
  <si>
    <t>还是过段时间再去调查吧。</t>
  </si>
  <si>
    <t>205_204</t>
  </si>
  <si>
    <t>16;101261;1</t>
  </si>
  <si>
    <t>16;101262;1</t>
  </si>
  <si>
    <t>16;101263;1</t>
  </si>
  <si>
    <t>16;101264;1</t>
  </si>
  <si>
    <t>16;101281;1</t>
  </si>
  <si>
    <t>16;101282;1</t>
  </si>
  <si>
    <t>16;101283;1</t>
  </si>
  <si>
    <t>16;101284;1</t>
  </si>
  <si>
    <t>16;101391;1</t>
  </si>
  <si>
    <t>16;101392;1</t>
  </si>
  <si>
    <t>16;101393;1</t>
  </si>
  <si>
    <t>16;101394;1</t>
  </si>
  <si>
    <t>16;101401;1</t>
  </si>
  <si>
    <t>16;101402;1</t>
  </si>
  <si>
    <t>16;101403;1</t>
  </si>
  <si>
    <t>16;101404;1</t>
  </si>
  <si>
    <t>16;101421;1</t>
  </si>
  <si>
    <t>16;101422;1</t>
  </si>
  <si>
    <t>16;101423;1</t>
  </si>
  <si>
    <t>16;101424;1</t>
  </si>
  <si>
    <t>16;101431;1</t>
  </si>
  <si>
    <t>16;101432;1</t>
  </si>
  <si>
    <t>16;101433;1</t>
  </si>
  <si>
    <t>16;101434;1</t>
  </si>
  <si>
    <t>16;101491;1</t>
  </si>
  <si>
    <t>16;101492;1</t>
  </si>
  <si>
    <t>16;101493;1</t>
  </si>
  <si>
    <t>16;101494;1</t>
  </si>
  <si>
    <t>2;316;10</t>
    <phoneticPr fontId="27" type="noConversion"/>
  </si>
  <si>
    <t>摊上的摆件都是成对的男女瓷娃娃。其中还有一对猫咪，甚是可爱。</t>
    <phoneticPr fontId="32" type="noConversion"/>
  </si>
  <si>
    <t>我翻着委托卷宗，上面写着&lt;c=#db3e63ff&gt;"寻找失踪的房东”&lt;/c&gt;。委托人的名字倒是有些奇怪。</t>
    <phoneticPr fontId="32" type="noConversion"/>
  </si>
  <si>
    <t>长生不老，常人确实难信。</t>
    <phoneticPr fontId="32" type="noConversion"/>
  </si>
  <si>
    <t>歇并非常人。</t>
    <phoneticPr fontId="32" type="noConversion"/>
  </si>
  <si>
    <t>总有一天我会找到证据的！</t>
    <phoneticPr fontId="32" type="noConversion"/>
  </si>
  <si>
    <t>我余光瞥见公子歇送了出来，作揖道别。</t>
    <phoneticPr fontId="32" type="noConversion"/>
  </si>
  <si>
    <t>我叹了口气，走出探事轩的大门。</t>
    <phoneticPr fontId="32" type="noConversion"/>
  </si>
  <si>
    <t>心烦之下，只觉闷热。</t>
    <phoneticPr fontId="32" type="noConversion"/>
  </si>
  <si>
    <t>公子歇含笑看我，我不禁开口问他。</t>
    <phoneticPr fontId="32" type="noConversion"/>
  </si>
  <si>
    <t>这不，官府才来人封了店呢。</t>
    <phoneticPr fontId="32" type="noConversion"/>
  </si>
  <si>
    <t>亮出腰牌</t>
  </si>
  <si>
    <t>被打公子</t>
    <phoneticPr fontId="32" type="noConversion"/>
  </si>
  <si>
    <t>杨记烧鸭</t>
    <phoneticPr fontId="32" type="noConversion"/>
  </si>
  <si>
    <t>调查</t>
    <phoneticPr fontId="32" type="noConversion"/>
  </si>
  <si>
    <t>黑鹰羽</t>
    <phoneticPr fontId="32" type="noConversion"/>
  </si>
  <si>
    <t>渔鹰羽</t>
    <phoneticPr fontId="32" type="noConversion"/>
  </si>
  <si>
    <t>赤鹰羽</t>
    <phoneticPr fontId="32" type="noConversion"/>
  </si>
  <si>
    <t>（什么人？难道就是接连绑架城中少女的犯人？！）</t>
    <phoneticPr fontId="32" type="noConversion"/>
  </si>
  <si>
    <t>时隔十六年，徐大娘等的人可算是等到了。</t>
    <phoneticPr fontId="32" type="noConversion"/>
  </si>
  <si>
    <t>浓眉大眼，粗布衣，手上有老茧，外地人，一身海腥味，符合这些条件的人没一百也有几十吧。</t>
    <phoneticPr fontId="32" type="noConversion"/>
  </si>
  <si>
    <t>28;230040;5</t>
  </si>
  <si>
    <t>28;230050;5</t>
  </si>
  <si>
    <t>28;232040;5</t>
  </si>
  <si>
    <t>28;234040;5</t>
  </si>
  <si>
    <t>28;236040;5</t>
  </si>
  <si>
    <t>28;236050;5</t>
  </si>
  <si>
    <t>28;238040;5</t>
  </si>
  <si>
    <t>32;10021;3</t>
    <phoneticPr fontId="27" type="noConversion"/>
  </si>
  <si>
    <t>32;10011;3|32;10021;3</t>
  </si>
  <si>
    <t>32;10011;3|32;10021;3</t>
    <phoneticPr fontId="27" type="noConversion"/>
  </si>
  <si>
    <t>32;10011;4</t>
    <phoneticPr fontId="27" type="noConversion"/>
  </si>
  <si>
    <t>32;10021;4</t>
    <phoneticPr fontId="27" type="noConversion"/>
  </si>
  <si>
    <t>32;10011;2|32;10021;2</t>
    <phoneticPr fontId="27" type="noConversion"/>
  </si>
  <si>
    <t>32;10011;4</t>
    <phoneticPr fontId="27" type="noConversion"/>
  </si>
  <si>
    <t>32;10011;5</t>
    <phoneticPr fontId="27" type="noConversion"/>
  </si>
  <si>
    <t>32;10021;5</t>
    <phoneticPr fontId="27" type="noConversion"/>
  </si>
  <si>
    <t>32;10011;7</t>
  </si>
  <si>
    <t>32;10011;7</t>
    <phoneticPr fontId="27" type="noConversion"/>
  </si>
  <si>
    <t>32;10021;7</t>
  </si>
  <si>
    <t>32;10021;7</t>
    <phoneticPr fontId="27" type="noConversion"/>
  </si>
  <si>
    <t>32;10011;4</t>
    <phoneticPr fontId="27" type="noConversion"/>
  </si>
  <si>
    <t>32;10011;6</t>
  </si>
  <si>
    <t>32;10011;6</t>
    <phoneticPr fontId="27" type="noConversion"/>
  </si>
  <si>
    <t>32;10021;6</t>
  </si>
  <si>
    <t>32;10021;6</t>
    <phoneticPr fontId="27" type="noConversion"/>
  </si>
  <si>
    <t>32;10011;7</t>
    <phoneticPr fontId="27" type="noConversion"/>
  </si>
  <si>
    <t>32;10021;7</t>
    <phoneticPr fontId="27" type="noConversion"/>
  </si>
  <si>
    <t>32;10021;5</t>
    <phoneticPr fontId="27" type="noConversion"/>
  </si>
  <si>
    <t>32;10021;6</t>
    <phoneticPr fontId="27" type="noConversion"/>
  </si>
  <si>
    <t>32;10011;6</t>
    <phoneticPr fontId="27" type="noConversion"/>
  </si>
  <si>
    <t>32;10011;2|32;10021;2</t>
    <phoneticPr fontId="27" type="noConversion"/>
  </si>
  <si>
    <t>32;10011;8</t>
    <phoneticPr fontId="27" type="noConversion"/>
  </si>
  <si>
    <t>32;10021;8</t>
    <phoneticPr fontId="27" type="noConversion"/>
  </si>
  <si>
    <t>32;10011;7</t>
    <phoneticPr fontId="27" type="noConversion"/>
  </si>
  <si>
    <t>32;10011;5</t>
    <phoneticPr fontId="27" type="noConversion"/>
  </si>
  <si>
    <t>32;10011;9</t>
    <phoneticPr fontId="27" type="noConversion"/>
  </si>
  <si>
    <t>32;10021;9</t>
    <phoneticPr fontId="27" type="noConversion"/>
  </si>
  <si>
    <t>32;10011;4|32;10021;4</t>
    <phoneticPr fontId="27" type="noConversion"/>
  </si>
  <si>
    <t>32;10011;5|32;10021;5</t>
  </si>
  <si>
    <t>32;10011;5|32;10021;5</t>
    <phoneticPr fontId="27" type="noConversion"/>
  </si>
  <si>
    <t>32;10011;8</t>
    <phoneticPr fontId="27" type="noConversion"/>
  </si>
  <si>
    <t>32;10021;8</t>
    <phoneticPr fontId="27" type="noConversion"/>
  </si>
  <si>
    <t>32;10011;10</t>
    <phoneticPr fontId="27" type="noConversion"/>
  </si>
  <si>
    <t>32;10021;10</t>
    <phoneticPr fontId="27" type="noConversion"/>
  </si>
  <si>
    <t>32;10011;5|32;10021;5</t>
    <phoneticPr fontId="27" type="noConversion"/>
  </si>
  <si>
    <t>32;10011;7</t>
    <phoneticPr fontId="27" type="noConversion"/>
  </si>
  <si>
    <t>32;10021;7</t>
    <phoneticPr fontId="27" type="noConversion"/>
  </si>
  <si>
    <t>32;10011;9</t>
    <phoneticPr fontId="27" type="noConversion"/>
  </si>
  <si>
    <t>32;10021;6</t>
    <phoneticPr fontId="27" type="noConversion"/>
  </si>
  <si>
    <t>32;10011;4|32;10021;4</t>
    <phoneticPr fontId="27" type="noConversion"/>
  </si>
  <si>
    <t>32;10011;10</t>
    <phoneticPr fontId="27" type="noConversion"/>
  </si>
  <si>
    <t>32;10021;10</t>
    <phoneticPr fontId="27" type="noConversion"/>
  </si>
  <si>
    <t>32;10011;10</t>
    <phoneticPr fontId="27" type="noConversion"/>
  </si>
  <si>
    <t>32;10011;10</t>
    <phoneticPr fontId="27" type="noConversion"/>
  </si>
  <si>
    <t>32;10021;10</t>
    <phoneticPr fontId="27" type="noConversion"/>
  </si>
  <si>
    <t>32;10011;11</t>
    <phoneticPr fontId="27" type="noConversion"/>
  </si>
  <si>
    <t>32;10021;11</t>
    <phoneticPr fontId="27" type="noConversion"/>
  </si>
  <si>
    <t>32;10011;5|32;10021;5</t>
    <phoneticPr fontId="27" type="noConversion"/>
  </si>
  <si>
    <t>32;10011;6|32;10021;6</t>
    <phoneticPr fontId="27" type="noConversion"/>
  </si>
  <si>
    <t>32;10011;12</t>
    <phoneticPr fontId="27" type="noConversion"/>
  </si>
  <si>
    <t>32;10021;12</t>
    <phoneticPr fontId="27" type="noConversion"/>
  </si>
  <si>
    <t>喵护卫前来援助，为我增强因缘际遇的力量。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</si>
</sst>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_ [$¥-804]* #,##0.000_ ;_ [$¥-804]* \-#,##0.000_ ;_ [$¥-804]* &quot;-&quot;??_ ;_ @_ "/>
  </numFmts>
  <fonts count="50" x14ac:knownFonts="1">
    <font>
      <sz val="11"/>
      <color indexed="8"/>
      <name val="宋体"/>
    </font>
    <font>
      <sz val="11"/>
      <color theme="1"/>
      <name val="宋体"/>
      <family val="2"/>
      <scheme val="minor"/>
    </font>
    <font>
      <sz val="11"/>
      <color indexed="8"/>
      <name val="宋体"/>
      <family val="3"/>
    </font>
    <font>
      <sz val="8"/>
      <color indexed="42"/>
      <name val="微软雅黑"/>
      <family val="2"/>
    </font>
    <font>
      <b/>
      <sz val="8"/>
      <color indexed="42"/>
      <name val="微软雅黑"/>
      <family val="2"/>
    </font>
    <font>
      <sz val="8"/>
      <color indexed="8"/>
      <name val="微软雅黑"/>
      <family val="2"/>
    </font>
    <font>
      <b/>
      <sz val="8"/>
      <name val="微软雅黑"/>
      <family val="2"/>
    </font>
    <font>
      <sz val="11"/>
      <color indexed="8"/>
      <name val="微软雅黑"/>
      <family val="2"/>
    </font>
    <font>
      <b/>
      <sz val="11"/>
      <color indexed="42"/>
      <name val="微软雅黑"/>
      <family val="2"/>
    </font>
    <font>
      <sz val="11"/>
      <color indexed="12"/>
      <name val="微软雅黑"/>
      <family val="2"/>
    </font>
    <font>
      <sz val="9"/>
      <color indexed="8"/>
      <name val="微软雅黑"/>
      <family val="2"/>
    </font>
    <font>
      <sz val="9"/>
      <color indexed="42"/>
      <name val="微软雅黑"/>
      <family val="2"/>
    </font>
    <font>
      <sz val="9"/>
      <color indexed="10"/>
      <name val="微软雅黑"/>
      <family val="2"/>
    </font>
    <font>
      <sz val="9"/>
      <color indexed="17"/>
      <name val="微软雅黑"/>
      <family val="2"/>
    </font>
    <font>
      <b/>
      <sz val="11"/>
      <color indexed="62"/>
      <name val="微软雅黑"/>
      <family val="2"/>
    </font>
    <font>
      <b/>
      <sz val="9"/>
      <color indexed="63"/>
      <name val="微软雅黑"/>
      <family val="2"/>
    </font>
    <font>
      <sz val="9"/>
      <color indexed="52"/>
      <name val="微软雅黑"/>
      <family val="2"/>
    </font>
    <font>
      <b/>
      <sz val="9"/>
      <color indexed="8"/>
      <name val="微软雅黑"/>
      <family val="2"/>
    </font>
    <font>
      <sz val="9"/>
      <color indexed="60"/>
      <name val="微软雅黑"/>
      <family val="2"/>
    </font>
    <font>
      <b/>
      <sz val="9"/>
      <color indexed="52"/>
      <name val="微软雅黑"/>
      <family val="2"/>
    </font>
    <font>
      <b/>
      <sz val="18"/>
      <color indexed="62"/>
      <name val="宋体"/>
      <family val="3"/>
    </font>
    <font>
      <i/>
      <sz val="9"/>
      <color indexed="23"/>
      <name val="微软雅黑"/>
      <family val="2"/>
    </font>
    <font>
      <b/>
      <sz val="13"/>
      <color indexed="62"/>
      <name val="微软雅黑"/>
      <family val="2"/>
    </font>
    <font>
      <b/>
      <sz val="9"/>
      <color indexed="42"/>
      <name val="微软雅黑"/>
      <family val="2"/>
    </font>
    <font>
      <b/>
      <sz val="15"/>
      <color indexed="62"/>
      <name val="微软雅黑"/>
      <family val="2"/>
    </font>
    <font>
      <u/>
      <sz val="11"/>
      <color indexed="12"/>
      <name val="宋体"/>
      <family val="3"/>
    </font>
    <font>
      <sz val="9"/>
      <color indexed="62"/>
      <name val="微软雅黑"/>
      <family val="2"/>
    </font>
    <font>
      <b/>
      <sz val="9"/>
      <color theme="0"/>
      <name val="微软雅黑"/>
      <family val="2"/>
    </font>
    <font>
      <sz val="9"/>
      <color theme="1"/>
      <name val="微软雅黑"/>
      <family val="2"/>
    </font>
    <font>
      <sz val="11"/>
      <color indexed="8"/>
      <name val="宋体"/>
      <family val="3"/>
      <charset val="134"/>
    </font>
    <font>
      <sz val="11"/>
      <color indexed="8"/>
      <name val="微软雅黑"/>
      <family val="2"/>
      <charset val="134"/>
    </font>
    <font>
      <sz val="9"/>
      <name val="微软雅黑"/>
      <family val="2"/>
      <charset val="134"/>
    </font>
    <font>
      <sz val="9"/>
      <name val="宋体"/>
      <family val="3"/>
      <charset val="134"/>
    </font>
    <font>
      <sz val="9"/>
      <color theme="1"/>
      <name val="微软雅黑"/>
      <family val="2"/>
      <charset val="134"/>
    </font>
    <font>
      <b/>
      <sz val="8"/>
      <name val="微软雅黑"/>
      <family val="2"/>
      <charset val="134"/>
    </font>
    <font>
      <b/>
      <sz val="9"/>
      <color theme="0"/>
      <name val="微软雅黑"/>
      <family val="2"/>
      <charset val="134"/>
    </font>
    <font>
      <b/>
      <sz val="9"/>
      <name val="微软雅黑"/>
      <family val="2"/>
    </font>
    <font>
      <sz val="8"/>
      <name val="微软雅黑"/>
      <family val="2"/>
    </font>
    <font>
      <sz val="9"/>
      <color indexed="81"/>
      <name val="宋体"/>
      <family val="3"/>
      <charset val="134"/>
    </font>
    <font>
      <b/>
      <sz val="9"/>
      <color indexed="81"/>
      <name val="宋体"/>
      <family val="3"/>
      <charset val="134"/>
    </font>
    <font>
      <b/>
      <sz val="8"/>
      <color theme="0"/>
      <name val="微软雅黑"/>
      <family val="2"/>
    </font>
    <font>
      <sz val="8"/>
      <color theme="0"/>
      <name val="微软雅黑"/>
      <family val="2"/>
    </font>
    <font>
      <sz val="9"/>
      <name val="宋体"/>
      <family val="3"/>
      <charset val="134"/>
      <scheme val="minor"/>
    </font>
    <font>
      <sz val="11"/>
      <color theme="0"/>
      <name val="宋体"/>
      <family val="2"/>
      <charset val="134"/>
      <scheme val="minor"/>
    </font>
    <font>
      <sz val="11"/>
      <color theme="1"/>
      <name val="宋体"/>
      <family val="2"/>
      <scheme val="minor"/>
    </font>
    <font>
      <sz val="8"/>
      <color rgb="FFFF0000"/>
      <name val="微软雅黑"/>
      <family val="2"/>
    </font>
    <font>
      <sz val="8"/>
      <color rgb="FFFF0000"/>
      <name val="微软雅黑"/>
      <family val="2"/>
      <charset val="134"/>
    </font>
    <font>
      <sz val="8"/>
      <name val="微软雅黑"/>
      <family val="2"/>
      <charset val="134"/>
    </font>
    <font>
      <sz val="9"/>
      <name val="微软雅黑"/>
      <family val="2"/>
    </font>
    <font>
      <sz val="9"/>
      <color rgb="FFFF0000"/>
      <name val="微软雅黑"/>
      <family val="2"/>
      <charset val="134"/>
    </font>
  </fonts>
  <fills count="31">
    <fill>
      <patternFill patternType="none"/>
    </fill>
    <fill>
      <patternFill patternType="gray125"/>
    </fill>
    <fill>
      <patternFill patternType="solid">
        <fgColor indexed="8"/>
        <bgColor indexed="64"/>
      </patternFill>
    </fill>
    <fill>
      <patternFill patternType="solid">
        <fgColor indexed="51"/>
        <bgColor indexed="64"/>
      </patternFill>
    </fill>
    <fill>
      <patternFill patternType="solid">
        <fgColor indexed="27"/>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31"/>
        <bgColor indexed="64"/>
      </patternFill>
    </fill>
    <fill>
      <patternFill patternType="solid">
        <fgColor indexed="25"/>
        <bgColor indexed="64"/>
      </patternFill>
    </fill>
    <fill>
      <patternFill patternType="solid">
        <fgColor indexed="42"/>
        <bgColor indexed="64"/>
      </patternFill>
    </fill>
    <fill>
      <patternFill patternType="solid">
        <fgColor indexed="44"/>
        <bgColor indexed="64"/>
      </patternFill>
    </fill>
    <fill>
      <patternFill patternType="solid">
        <fgColor indexed="9"/>
        <bgColor indexed="64"/>
      </patternFill>
    </fill>
    <fill>
      <patternFill patternType="solid">
        <fgColor indexed="49"/>
        <bgColor indexed="64"/>
      </patternFill>
    </fill>
    <fill>
      <patternFill patternType="solid">
        <fgColor indexed="29"/>
        <bgColor indexed="64"/>
      </patternFill>
    </fill>
    <fill>
      <patternFill patternType="solid">
        <fgColor indexed="57"/>
        <bgColor indexed="64"/>
      </patternFill>
    </fill>
    <fill>
      <patternFill patternType="solid">
        <fgColor indexed="53"/>
        <bgColor indexed="64"/>
      </patternFill>
    </fill>
    <fill>
      <patternFill patternType="solid">
        <fgColor indexed="10"/>
        <bgColor indexed="64"/>
      </patternFill>
    </fill>
    <fill>
      <patternFill patternType="solid">
        <fgColor indexed="55"/>
        <bgColor indexed="64"/>
      </patternFill>
    </fill>
    <fill>
      <patternFill patternType="solid">
        <fgColor indexed="46"/>
        <bgColor indexed="64"/>
      </patternFill>
    </fill>
    <fill>
      <patternFill patternType="solid">
        <fgColor indexed="26"/>
        <bgColor indexed="64"/>
      </patternFill>
    </fill>
    <fill>
      <patternFill patternType="solid">
        <fgColor theme="1"/>
        <bgColor indexed="64"/>
      </patternFill>
    </fill>
    <fill>
      <patternFill patternType="solid">
        <fgColor rgb="FFFFC000"/>
        <bgColor indexed="64"/>
      </patternFill>
    </fill>
    <fill>
      <patternFill patternType="solid">
        <fgColor theme="9"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249977111117893"/>
        <bgColor indexed="64"/>
      </patternFill>
    </fill>
    <fill>
      <patternFill patternType="solid">
        <fgColor theme="4"/>
      </patternFill>
    </fill>
    <fill>
      <patternFill patternType="solid">
        <fgColor theme="8"/>
      </patternFill>
    </fill>
    <fill>
      <patternFill patternType="solid">
        <fgColor rgb="FFFFFF00"/>
        <bgColor indexed="64"/>
      </patternFill>
    </fill>
    <fill>
      <patternFill patternType="solid">
        <fgColor theme="8" tint="0.59999389629810485"/>
        <bgColor indexed="64"/>
      </patternFill>
    </fill>
  </fills>
  <borders count="12">
    <border>
      <left/>
      <right/>
      <top/>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right/>
      <top/>
      <bottom style="medium">
        <color indexed="44"/>
      </bottom>
      <diagonal/>
    </border>
    <border>
      <left/>
      <right/>
      <top/>
      <bottom style="thick">
        <color indexed="44"/>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style="thin">
        <color indexed="22"/>
      </left>
      <right style="thin">
        <color indexed="22"/>
      </right>
      <top style="thin">
        <color indexed="22"/>
      </top>
      <bottom style="thin">
        <color indexed="22"/>
      </bottom>
      <diagonal/>
    </border>
  </borders>
  <cellStyleXfs count="363">
    <xf numFmtId="0" fontId="0" fillId="8" borderId="0">
      <alignment vertical="center"/>
    </xf>
    <xf numFmtId="0" fontId="10" fillId="8" borderId="0">
      <alignment vertical="center"/>
    </xf>
    <xf numFmtId="0" fontId="10" fillId="8" borderId="0">
      <alignment vertical="center"/>
    </xf>
    <xf numFmtId="0" fontId="10" fillId="8" borderId="0">
      <alignment vertical="center"/>
    </xf>
    <xf numFmtId="0" fontId="10" fillId="8" borderId="0">
      <alignment vertical="center"/>
    </xf>
    <xf numFmtId="0" fontId="10" fillId="8" borderId="0">
      <alignment vertical="center"/>
    </xf>
    <xf numFmtId="0" fontId="10" fillId="8" borderId="0">
      <alignment vertical="center"/>
    </xf>
    <xf numFmtId="0" fontId="10" fillId="8" borderId="0">
      <alignment vertical="center"/>
    </xf>
    <xf numFmtId="0" fontId="10" fillId="8" borderId="0">
      <alignment vertical="center"/>
    </xf>
    <xf numFmtId="0" fontId="10" fillId="8" borderId="0">
      <alignment vertical="center"/>
    </xf>
    <xf numFmtId="0" fontId="10" fillId="8" borderId="0">
      <alignment vertical="center"/>
    </xf>
    <xf numFmtId="0" fontId="10" fillId="8"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4" borderId="0">
      <alignment vertical="center"/>
    </xf>
    <xf numFmtId="0" fontId="10" fillId="4" borderId="0">
      <alignment vertical="center"/>
    </xf>
    <xf numFmtId="0" fontId="10" fillId="4" borderId="0">
      <alignment vertical="center"/>
    </xf>
    <xf numFmtId="0" fontId="10" fillId="4" borderId="0">
      <alignment vertical="center"/>
    </xf>
    <xf numFmtId="0" fontId="10" fillId="4" borderId="0">
      <alignment vertical="center"/>
    </xf>
    <xf numFmtId="0" fontId="10" fillId="4" borderId="0">
      <alignment vertical="center"/>
    </xf>
    <xf numFmtId="0" fontId="10" fillId="4" borderId="0">
      <alignment vertical="center"/>
    </xf>
    <xf numFmtId="0" fontId="10" fillId="4" borderId="0">
      <alignment vertical="center"/>
    </xf>
    <xf numFmtId="0" fontId="10" fillId="4" borderId="0">
      <alignment vertical="center"/>
    </xf>
    <xf numFmtId="0" fontId="10" fillId="4" borderId="0">
      <alignment vertical="center"/>
    </xf>
    <xf numFmtId="0" fontId="10" fillId="4" borderId="0">
      <alignment vertical="center"/>
    </xf>
    <xf numFmtId="0" fontId="10" fillId="4"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4"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0"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9"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11"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0" fillId="6" borderId="0">
      <alignment vertical="center"/>
    </xf>
    <xf numFmtId="0" fontId="11" fillId="11" borderId="0">
      <alignment vertical="center"/>
    </xf>
    <xf numFmtId="0" fontId="11" fillId="11" borderId="0">
      <alignment vertical="center"/>
    </xf>
    <xf numFmtId="0" fontId="11" fillId="11" borderId="0">
      <alignment vertical="center"/>
    </xf>
    <xf numFmtId="0" fontId="11" fillId="11" borderId="0">
      <alignment vertical="center"/>
    </xf>
    <xf numFmtId="0" fontId="11" fillId="11" borderId="0">
      <alignment vertical="center"/>
    </xf>
    <xf numFmtId="0" fontId="11" fillId="11" borderId="0">
      <alignment vertical="center"/>
    </xf>
    <xf numFmtId="0" fontId="11" fillId="14" borderId="0">
      <alignment vertical="center"/>
    </xf>
    <xf numFmtId="0" fontId="11" fillId="14" borderId="0">
      <alignment vertical="center"/>
    </xf>
    <xf numFmtId="0" fontId="11" fillId="14" borderId="0">
      <alignment vertical="center"/>
    </xf>
    <xf numFmtId="0" fontId="11" fillId="14" borderId="0">
      <alignment vertical="center"/>
    </xf>
    <xf numFmtId="0" fontId="11" fillId="14" borderId="0">
      <alignment vertical="center"/>
    </xf>
    <xf numFmtId="0" fontId="11" fillId="14" borderId="0">
      <alignment vertical="center"/>
    </xf>
    <xf numFmtId="0" fontId="11" fillId="10" borderId="0">
      <alignment vertical="center"/>
    </xf>
    <xf numFmtId="0" fontId="11" fillId="10" borderId="0">
      <alignment vertical="center"/>
    </xf>
    <xf numFmtId="0" fontId="11" fillId="10" borderId="0">
      <alignment vertical="center"/>
    </xf>
    <xf numFmtId="0" fontId="11" fillId="10" borderId="0">
      <alignment vertical="center"/>
    </xf>
    <xf numFmtId="0" fontId="11" fillId="10" borderId="0">
      <alignment vertical="center"/>
    </xf>
    <xf numFmtId="0" fontId="11" fillId="10" borderId="0">
      <alignment vertical="center"/>
    </xf>
    <xf numFmtId="0" fontId="11" fillId="19" borderId="0">
      <alignment vertical="center"/>
    </xf>
    <xf numFmtId="0" fontId="11" fillId="19" borderId="0">
      <alignment vertical="center"/>
    </xf>
    <xf numFmtId="0" fontId="11" fillId="19" borderId="0">
      <alignment vertical="center"/>
    </xf>
    <xf numFmtId="0" fontId="11" fillId="19" borderId="0">
      <alignment vertical="center"/>
    </xf>
    <xf numFmtId="0" fontId="11" fillId="19" borderId="0">
      <alignment vertical="center"/>
    </xf>
    <xf numFmtId="0" fontId="11" fillId="19" borderId="0">
      <alignment vertical="center"/>
    </xf>
    <xf numFmtId="0" fontId="11" fillId="11" borderId="0">
      <alignment vertical="center"/>
    </xf>
    <xf numFmtId="0" fontId="11" fillId="11" borderId="0">
      <alignment vertical="center"/>
    </xf>
    <xf numFmtId="0" fontId="11" fillId="11" borderId="0">
      <alignment vertical="center"/>
    </xf>
    <xf numFmtId="0" fontId="11" fillId="11" borderId="0">
      <alignment vertical="center"/>
    </xf>
    <xf numFmtId="0" fontId="11" fillId="11" borderId="0">
      <alignment vertical="center"/>
    </xf>
    <xf numFmtId="0" fontId="11" fillId="11" borderId="0">
      <alignment vertical="center"/>
    </xf>
    <xf numFmtId="0" fontId="11" fillId="6" borderId="0">
      <alignment vertical="center"/>
    </xf>
    <xf numFmtId="0" fontId="11" fillId="6" borderId="0">
      <alignment vertical="center"/>
    </xf>
    <xf numFmtId="0" fontId="11" fillId="6" borderId="0">
      <alignment vertical="center"/>
    </xf>
    <xf numFmtId="0" fontId="11" fillId="6" borderId="0">
      <alignment vertical="center"/>
    </xf>
    <xf numFmtId="0" fontId="11" fillId="6" borderId="0">
      <alignment vertical="center"/>
    </xf>
    <xf numFmtId="0" fontId="11" fillId="6" borderId="0">
      <alignment vertical="center"/>
    </xf>
    <xf numFmtId="0" fontId="20" fillId="0" borderId="0">
      <alignment vertical="center"/>
    </xf>
    <xf numFmtId="0" fontId="24" fillId="0" borderId="10">
      <alignment vertical="center"/>
    </xf>
    <xf numFmtId="0" fontId="24" fillId="0" borderId="10">
      <alignment vertical="center"/>
    </xf>
    <xf numFmtId="0" fontId="24" fillId="0" borderId="10">
      <alignment vertical="center"/>
    </xf>
    <xf numFmtId="0" fontId="24" fillId="0" borderId="10">
      <alignment vertical="center"/>
    </xf>
    <xf numFmtId="0" fontId="24" fillId="0" borderId="10">
      <alignment vertical="center"/>
    </xf>
    <xf numFmtId="0" fontId="24" fillId="0" borderId="10">
      <alignment vertical="center"/>
    </xf>
    <xf numFmtId="0" fontId="22" fillId="0" borderId="8">
      <alignment vertical="center"/>
    </xf>
    <xf numFmtId="0" fontId="22" fillId="0" borderId="8">
      <alignment vertical="center"/>
    </xf>
    <xf numFmtId="0" fontId="22" fillId="0" borderId="8">
      <alignment vertical="center"/>
    </xf>
    <xf numFmtId="0" fontId="22" fillId="0" borderId="8">
      <alignment vertical="center"/>
    </xf>
    <xf numFmtId="0" fontId="22" fillId="0" borderId="8">
      <alignment vertical="center"/>
    </xf>
    <xf numFmtId="0" fontId="22" fillId="0" borderId="8">
      <alignment vertical="center"/>
    </xf>
    <xf numFmtId="0" fontId="14" fillId="0" borderId="7">
      <alignment vertical="center"/>
    </xf>
    <xf numFmtId="0" fontId="14" fillId="0" borderId="7">
      <alignment vertical="center"/>
    </xf>
    <xf numFmtId="0" fontId="14" fillId="0" borderId="7">
      <alignment vertical="center"/>
    </xf>
    <xf numFmtId="0" fontId="14" fillId="0" borderId="7">
      <alignment vertical="center"/>
    </xf>
    <xf numFmtId="0" fontId="14" fillId="0" borderId="7">
      <alignment vertical="center"/>
    </xf>
    <xf numFmtId="0" fontId="14" fillId="0" borderId="7">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20" fillId="0" borderId="0">
      <alignment vertical="center"/>
    </xf>
    <xf numFmtId="0" fontId="18" fillId="14" borderId="0">
      <alignment vertical="center"/>
    </xf>
    <xf numFmtId="0" fontId="18" fillId="14" borderId="0">
      <alignment vertical="center"/>
    </xf>
    <xf numFmtId="0" fontId="18" fillId="14" borderId="0">
      <alignment vertical="center"/>
    </xf>
    <xf numFmtId="0" fontId="18" fillId="14" borderId="0">
      <alignment vertical="center"/>
    </xf>
    <xf numFmtId="0" fontId="18" fillId="14" borderId="0">
      <alignment vertical="center"/>
    </xf>
    <xf numFmtId="0" fontId="18" fillId="14"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10" fillId="0" borderId="0">
      <alignment vertical="center"/>
    </xf>
    <xf numFmtId="176" fontId="10" fillId="0" borderId="0">
      <alignment vertical="center"/>
    </xf>
    <xf numFmtId="176" fontId="2" fillId="0" borderId="0">
      <alignment vertical="center"/>
    </xf>
    <xf numFmtId="176" fontId="10" fillId="0" borderId="0">
      <alignment vertical="center"/>
    </xf>
    <xf numFmtId="176" fontId="10" fillId="0" borderId="0">
      <alignment vertical="center"/>
    </xf>
    <xf numFmtId="176" fontId="10" fillId="0" borderId="0">
      <alignment vertical="center"/>
    </xf>
    <xf numFmtId="176" fontId="10" fillId="0" borderId="0">
      <alignment vertical="center"/>
    </xf>
    <xf numFmtId="176" fontId="10" fillId="0" borderId="0">
      <alignment vertical="center"/>
    </xf>
    <xf numFmtId="176" fontId="10" fillId="0" borderId="0">
      <alignment vertical="center"/>
    </xf>
    <xf numFmtId="176" fontId="10" fillId="0" borderId="0">
      <alignment vertical="center"/>
    </xf>
    <xf numFmtId="176" fontId="10"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0" fontId="25" fillId="0" borderId="0">
      <alignment vertical="center"/>
    </xf>
    <xf numFmtId="0" fontId="25" fillId="0" borderId="0">
      <alignment vertical="center"/>
    </xf>
    <xf numFmtId="0" fontId="13" fillId="10" borderId="0">
      <alignment vertical="center"/>
    </xf>
    <xf numFmtId="0" fontId="13" fillId="10" borderId="0">
      <alignment vertical="center"/>
    </xf>
    <xf numFmtId="0" fontId="13" fillId="10" borderId="0">
      <alignment vertical="center"/>
    </xf>
    <xf numFmtId="0" fontId="13" fillId="10" borderId="0">
      <alignment vertical="center"/>
    </xf>
    <xf numFmtId="0" fontId="13" fillId="10" borderId="0">
      <alignment vertical="center"/>
    </xf>
    <xf numFmtId="0" fontId="13" fillId="10" borderId="0">
      <alignment vertical="center"/>
    </xf>
    <xf numFmtId="0" fontId="17" fillId="0" borderId="5">
      <alignment vertical="center"/>
    </xf>
    <xf numFmtId="0" fontId="17" fillId="0" borderId="5">
      <alignment vertical="center"/>
    </xf>
    <xf numFmtId="0" fontId="17" fillId="0" borderId="5">
      <alignment vertical="center"/>
    </xf>
    <xf numFmtId="0" fontId="17" fillId="0" borderId="5">
      <alignment vertical="center"/>
    </xf>
    <xf numFmtId="0" fontId="17" fillId="0" borderId="5">
      <alignment vertical="center"/>
    </xf>
    <xf numFmtId="0" fontId="17" fillId="0" borderId="5">
      <alignment vertical="center"/>
    </xf>
    <xf numFmtId="0" fontId="19" fillId="12" borderId="6">
      <alignment vertical="center"/>
    </xf>
    <xf numFmtId="0" fontId="19" fillId="12" borderId="6">
      <alignment vertical="center"/>
    </xf>
    <xf numFmtId="0" fontId="19" fillId="12" borderId="6">
      <alignment vertical="center"/>
    </xf>
    <xf numFmtId="0" fontId="19" fillId="12" borderId="6">
      <alignment vertical="center"/>
    </xf>
    <xf numFmtId="0" fontId="19" fillId="12" borderId="6">
      <alignment vertical="center"/>
    </xf>
    <xf numFmtId="0" fontId="19" fillId="12" borderId="6">
      <alignment vertical="center"/>
    </xf>
    <xf numFmtId="0" fontId="23" fillId="18" borderId="9">
      <alignment vertical="center"/>
    </xf>
    <xf numFmtId="0" fontId="23" fillId="18" borderId="9">
      <alignment vertical="center"/>
    </xf>
    <xf numFmtId="0" fontId="23" fillId="18" borderId="9">
      <alignment vertical="center"/>
    </xf>
    <xf numFmtId="0" fontId="23" fillId="18" borderId="9">
      <alignment vertical="center"/>
    </xf>
    <xf numFmtId="0" fontId="23" fillId="18" borderId="9">
      <alignment vertical="center"/>
    </xf>
    <xf numFmtId="0" fontId="23" fillId="18" borderId="9">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6" fillId="0" borderId="4">
      <alignment vertical="center"/>
    </xf>
    <xf numFmtId="0" fontId="16" fillId="0" borderId="4">
      <alignment vertical="center"/>
    </xf>
    <xf numFmtId="0" fontId="16" fillId="0" borderId="4">
      <alignment vertical="center"/>
    </xf>
    <xf numFmtId="0" fontId="16" fillId="0" borderId="4">
      <alignment vertical="center"/>
    </xf>
    <xf numFmtId="0" fontId="16" fillId="0" borderId="4">
      <alignment vertical="center"/>
    </xf>
    <xf numFmtId="0" fontId="16" fillId="0" borderId="4">
      <alignment vertical="center"/>
    </xf>
    <xf numFmtId="0" fontId="11" fillId="13" borderId="0">
      <alignment vertical="center"/>
    </xf>
    <xf numFmtId="0" fontId="11" fillId="13" borderId="0">
      <alignment vertical="center"/>
    </xf>
    <xf numFmtId="0" fontId="11" fillId="13" borderId="0">
      <alignment vertical="center"/>
    </xf>
    <xf numFmtId="0" fontId="11" fillId="13" borderId="0">
      <alignment vertical="center"/>
    </xf>
    <xf numFmtId="0" fontId="11" fillId="13" borderId="0">
      <alignment vertical="center"/>
    </xf>
    <xf numFmtId="0" fontId="11" fillId="13" borderId="0">
      <alignment vertical="center"/>
    </xf>
    <xf numFmtId="0" fontId="11" fillId="17" borderId="0">
      <alignment vertical="center"/>
    </xf>
    <xf numFmtId="0" fontId="11" fillId="17" borderId="0">
      <alignment vertical="center"/>
    </xf>
    <xf numFmtId="0" fontId="11" fillId="17" borderId="0">
      <alignment vertical="center"/>
    </xf>
    <xf numFmtId="0" fontId="11" fillId="17" borderId="0">
      <alignment vertical="center"/>
    </xf>
    <xf numFmtId="0" fontId="11" fillId="17" borderId="0">
      <alignment vertical="center"/>
    </xf>
    <xf numFmtId="0" fontId="11" fillId="17" borderId="0">
      <alignment vertical="center"/>
    </xf>
    <xf numFmtId="0" fontId="11" fillId="15" borderId="0">
      <alignment vertical="center"/>
    </xf>
    <xf numFmtId="0" fontId="11" fillId="15" borderId="0">
      <alignment vertical="center"/>
    </xf>
    <xf numFmtId="0" fontId="11" fillId="15" borderId="0">
      <alignment vertical="center"/>
    </xf>
    <xf numFmtId="0" fontId="11" fillId="15" borderId="0">
      <alignment vertical="center"/>
    </xf>
    <xf numFmtId="0" fontId="11" fillId="15" borderId="0">
      <alignment vertical="center"/>
    </xf>
    <xf numFmtId="0" fontId="11" fillId="15" borderId="0">
      <alignment vertical="center"/>
    </xf>
    <xf numFmtId="0" fontId="11" fillId="9" borderId="0">
      <alignment vertical="center"/>
    </xf>
    <xf numFmtId="0" fontId="11" fillId="9" borderId="0">
      <alignment vertical="center"/>
    </xf>
    <xf numFmtId="0" fontId="11" fillId="9" borderId="0">
      <alignment vertical="center"/>
    </xf>
    <xf numFmtId="0" fontId="11" fillId="9" borderId="0">
      <alignment vertical="center"/>
    </xf>
    <xf numFmtId="0" fontId="11" fillId="9" borderId="0">
      <alignment vertical="center"/>
    </xf>
    <xf numFmtId="0" fontId="11" fillId="9" borderId="0">
      <alignment vertical="center"/>
    </xf>
    <xf numFmtId="0" fontId="11" fillId="13" borderId="0">
      <alignment vertical="center"/>
    </xf>
    <xf numFmtId="0" fontId="11" fillId="13" borderId="0">
      <alignment vertical="center"/>
    </xf>
    <xf numFmtId="0" fontId="11" fillId="13" borderId="0">
      <alignment vertical="center"/>
    </xf>
    <xf numFmtId="0" fontId="11" fillId="13" borderId="0">
      <alignment vertical="center"/>
    </xf>
    <xf numFmtId="0" fontId="11" fillId="13" borderId="0">
      <alignment vertical="center"/>
    </xf>
    <xf numFmtId="0" fontId="11" fillId="13" borderId="0">
      <alignment vertical="center"/>
    </xf>
    <xf numFmtId="0" fontId="11" fillId="16" borderId="0">
      <alignment vertical="center"/>
    </xf>
    <xf numFmtId="0" fontId="11" fillId="16" borderId="0">
      <alignment vertical="center"/>
    </xf>
    <xf numFmtId="0" fontId="11" fillId="16" borderId="0">
      <alignment vertical="center"/>
    </xf>
    <xf numFmtId="0" fontId="11" fillId="16" borderId="0">
      <alignment vertical="center"/>
    </xf>
    <xf numFmtId="0" fontId="11" fillId="16" borderId="0">
      <alignment vertical="center"/>
    </xf>
    <xf numFmtId="0" fontId="11" fillId="16" borderId="0">
      <alignment vertical="center"/>
    </xf>
    <xf numFmtId="0" fontId="18" fillId="5" borderId="0">
      <alignment vertical="center"/>
    </xf>
    <xf numFmtId="0" fontId="18" fillId="5" borderId="0">
      <alignment vertical="center"/>
    </xf>
    <xf numFmtId="0" fontId="18" fillId="5" borderId="0">
      <alignment vertical="center"/>
    </xf>
    <xf numFmtId="0" fontId="18" fillId="5" borderId="0">
      <alignment vertical="center"/>
    </xf>
    <xf numFmtId="0" fontId="18" fillId="5" borderId="0">
      <alignment vertical="center"/>
    </xf>
    <xf numFmtId="0" fontId="18" fillId="5" borderId="0">
      <alignment vertical="center"/>
    </xf>
    <xf numFmtId="0" fontId="15" fillId="12" borderId="3">
      <alignment vertical="center"/>
    </xf>
    <xf numFmtId="0" fontId="15" fillId="12" borderId="3">
      <alignment vertical="center"/>
    </xf>
    <xf numFmtId="0" fontId="15" fillId="12" borderId="3">
      <alignment vertical="center"/>
    </xf>
    <xf numFmtId="0" fontId="15" fillId="12" borderId="3">
      <alignment vertical="center"/>
    </xf>
    <xf numFmtId="0" fontId="15" fillId="12" borderId="3">
      <alignment vertical="center"/>
    </xf>
    <xf numFmtId="0" fontId="15" fillId="12" borderId="3">
      <alignment vertical="center"/>
    </xf>
    <xf numFmtId="0" fontId="26" fillId="6" borderId="6">
      <alignment vertical="center"/>
    </xf>
    <xf numFmtId="0" fontId="26" fillId="6" borderId="6">
      <alignment vertical="center"/>
    </xf>
    <xf numFmtId="0" fontId="26" fillId="6" borderId="6">
      <alignment vertical="center"/>
    </xf>
    <xf numFmtId="0" fontId="26" fillId="6" borderId="6">
      <alignment vertical="center"/>
    </xf>
    <xf numFmtId="0" fontId="26" fillId="6" borderId="6">
      <alignment vertical="center"/>
    </xf>
    <xf numFmtId="0" fontId="26" fillId="6" borderId="6">
      <alignment vertical="center"/>
    </xf>
    <xf numFmtId="0" fontId="2" fillId="20" borderId="11">
      <alignment vertical="center"/>
    </xf>
    <xf numFmtId="0" fontId="2" fillId="20" borderId="11">
      <alignment vertical="center"/>
    </xf>
    <xf numFmtId="0" fontId="2" fillId="20" borderId="11">
      <alignment vertical="center"/>
    </xf>
    <xf numFmtId="0" fontId="2" fillId="20" borderId="11">
      <alignment vertical="center"/>
    </xf>
    <xf numFmtId="0" fontId="2" fillId="20" borderId="11">
      <alignment vertical="center"/>
    </xf>
    <xf numFmtId="0" fontId="2" fillId="20" borderId="11">
      <alignment vertical="center"/>
    </xf>
    <xf numFmtId="0" fontId="2" fillId="20" borderId="11">
      <alignment vertical="center"/>
    </xf>
    <xf numFmtId="0" fontId="2" fillId="20" borderId="11">
      <alignment vertical="center"/>
    </xf>
    <xf numFmtId="0" fontId="2" fillId="20" borderId="11">
      <alignment vertical="center"/>
    </xf>
    <xf numFmtId="0" fontId="2" fillId="20" borderId="11">
      <alignment vertical="center"/>
    </xf>
    <xf numFmtId="0" fontId="29" fillId="8" borderId="0">
      <alignment vertical="center"/>
    </xf>
    <xf numFmtId="0" fontId="29" fillId="8" borderId="0">
      <alignment vertical="center"/>
    </xf>
    <xf numFmtId="176" fontId="44" fillId="0" borderId="0"/>
    <xf numFmtId="176" fontId="43" fillId="27" borderId="0" applyNumberFormat="0" applyBorder="0" applyAlignment="0" applyProtection="0">
      <alignment vertical="center"/>
    </xf>
    <xf numFmtId="176" fontId="43" fillId="28" borderId="0" applyNumberFormat="0" applyBorder="0" applyAlignment="0" applyProtection="0">
      <alignment vertical="center"/>
    </xf>
    <xf numFmtId="176" fontId="1" fillId="0" borderId="0"/>
  </cellStyleXfs>
  <cellXfs count="121">
    <xf numFmtId="0" fontId="0" fillId="8" borderId="0" xfId="0">
      <alignment vertical="center"/>
    </xf>
    <xf numFmtId="0" fontId="6" fillId="0" borderId="1" xfId="0" applyFont="1" applyFill="1" applyBorder="1" applyAlignment="1">
      <alignment horizontal="center" vertical="center"/>
    </xf>
    <xf numFmtId="0" fontId="4"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5" fillId="0" borderId="1" xfId="0" applyFont="1" applyFill="1" applyBorder="1" applyAlignment="1">
      <alignment horizontal="center" vertical="center"/>
    </xf>
    <xf numFmtId="0" fontId="6" fillId="3" borderId="1" xfId="0" applyFont="1" applyFill="1" applyBorder="1" applyAlignment="1">
      <alignment horizontal="center" vertical="center"/>
    </xf>
    <xf numFmtId="0" fontId="5" fillId="4" borderId="1" xfId="0" applyFont="1" applyFill="1" applyBorder="1" applyAlignment="1">
      <alignment horizontal="center" vertical="center"/>
    </xf>
    <xf numFmtId="0" fontId="5" fillId="0" borderId="2" xfId="0" applyFont="1" applyFill="1" applyBorder="1" applyAlignment="1">
      <alignment horizontal="center" vertical="center"/>
    </xf>
    <xf numFmtId="0" fontId="7" fillId="0" borderId="1" xfId="0" applyFont="1" applyFill="1" applyBorder="1" applyAlignment="1">
      <alignment horizontal="center" vertical="center"/>
    </xf>
    <xf numFmtId="0" fontId="7" fillId="3" borderId="1" xfId="0" applyFont="1" applyFill="1" applyBorder="1" applyAlignment="1">
      <alignment horizontal="center" vertical="center"/>
    </xf>
    <xf numFmtId="0" fontId="7" fillId="5" borderId="1" xfId="0" applyFont="1" applyFill="1" applyBorder="1" applyAlignment="1">
      <alignment horizontal="center" vertical="center"/>
    </xf>
    <xf numFmtId="0" fontId="9" fillId="6" borderId="1" xfId="249" applyFont="1" applyFill="1" applyBorder="1" applyAlignment="1">
      <alignment horizontal="center" vertical="center"/>
    </xf>
    <xf numFmtId="0" fontId="7" fillId="7" borderId="1" xfId="0" applyFont="1" applyFill="1" applyBorder="1" applyAlignment="1">
      <alignment horizontal="left" vertical="center" shrinkToFit="1"/>
    </xf>
    <xf numFmtId="0" fontId="7" fillId="6" borderId="1" xfId="0" applyFont="1" applyFill="1" applyBorder="1" applyAlignment="1">
      <alignment horizontal="center" vertical="center"/>
    </xf>
    <xf numFmtId="0" fontId="27" fillId="21" borderId="1" xfId="212" applyNumberFormat="1" applyFont="1" applyFill="1" applyBorder="1" applyAlignment="1">
      <alignment horizontal="center" vertical="center" shrinkToFit="1"/>
    </xf>
    <xf numFmtId="0" fontId="28" fillId="0" borderId="1" xfId="212" applyNumberFormat="1" applyFont="1" applyBorder="1" applyAlignment="1">
      <alignment horizontal="center" vertical="center" shrinkToFit="1"/>
    </xf>
    <xf numFmtId="0" fontId="28" fillId="22" borderId="1" xfId="212" applyNumberFormat="1" applyFont="1" applyFill="1" applyBorder="1" applyAlignment="1">
      <alignment horizontal="center" vertical="center" shrinkToFit="1"/>
    </xf>
    <xf numFmtId="0" fontId="28" fillId="23" borderId="1" xfId="212" applyNumberFormat="1" applyFont="1" applyFill="1" applyBorder="1" applyAlignment="1">
      <alignment horizontal="center" vertical="center" shrinkToFit="1"/>
    </xf>
    <xf numFmtId="0" fontId="27" fillId="24" borderId="1" xfId="212" applyNumberFormat="1" applyFont="1" applyFill="1" applyBorder="1" applyAlignment="1">
      <alignment horizontal="center" vertical="center" shrinkToFit="1"/>
    </xf>
    <xf numFmtId="0" fontId="3" fillId="24" borderId="1" xfId="0" applyFont="1" applyFill="1" applyBorder="1" applyAlignment="1">
      <alignment horizontal="center" vertical="center"/>
    </xf>
    <xf numFmtId="0" fontId="5" fillId="25" borderId="1" xfId="0" applyFont="1" applyFill="1" applyBorder="1" applyAlignment="1">
      <alignment horizontal="center" vertical="center"/>
    </xf>
    <xf numFmtId="0" fontId="35" fillId="21" borderId="1" xfId="212" applyNumberFormat="1" applyFont="1" applyFill="1" applyBorder="1" applyAlignment="1">
      <alignment horizontal="center" vertical="center" shrinkToFit="1"/>
    </xf>
    <xf numFmtId="0" fontId="5" fillId="4" borderId="2" xfId="0" applyFont="1" applyFill="1" applyBorder="1" applyAlignment="1">
      <alignment horizontal="center" vertical="center"/>
    </xf>
    <xf numFmtId="0" fontId="5" fillId="4" borderId="1" xfId="0" applyNumberFormat="1" applyFont="1" applyFill="1" applyBorder="1" applyAlignment="1">
      <alignment horizontal="center" vertical="center"/>
    </xf>
    <xf numFmtId="0" fontId="36" fillId="24" borderId="1" xfId="212" applyNumberFormat="1" applyFont="1" applyFill="1" applyBorder="1" applyAlignment="1">
      <alignment horizontal="center" vertical="center" shrinkToFit="1"/>
    </xf>
    <xf numFmtId="0" fontId="37" fillId="24" borderId="1" xfId="0" applyFont="1" applyFill="1" applyBorder="1" applyAlignment="1">
      <alignment horizontal="center" vertical="center"/>
    </xf>
    <xf numFmtId="0" fontId="31" fillId="24" borderId="1" xfId="212" applyNumberFormat="1" applyFont="1" applyFill="1" applyBorder="1" applyAlignment="1">
      <alignment horizontal="center" vertical="center" wrapText="1" shrinkToFit="1"/>
    </xf>
    <xf numFmtId="0" fontId="34" fillId="3" borderId="1" xfId="0" applyFont="1" applyFill="1" applyBorder="1" applyAlignment="1">
      <alignment horizontal="center" vertical="center"/>
    </xf>
    <xf numFmtId="0" fontId="34" fillId="8" borderId="1" xfId="0" applyFont="1" applyBorder="1" applyAlignment="1">
      <alignment horizontal="center" vertical="center"/>
    </xf>
    <xf numFmtId="0" fontId="33" fillId="0" borderId="1" xfId="212" applyNumberFormat="1" applyFont="1" applyBorder="1" applyAlignment="1">
      <alignment horizontal="center" vertical="center" shrinkToFit="1"/>
    </xf>
    <xf numFmtId="49" fontId="27" fillId="21" borderId="1" xfId="212" applyNumberFormat="1" applyFont="1" applyFill="1" applyBorder="1" applyAlignment="1">
      <alignment horizontal="center" vertical="center" shrinkToFit="1"/>
    </xf>
    <xf numFmtId="0" fontId="36" fillId="24" borderId="1" xfId="212" applyNumberFormat="1" applyFont="1" applyFill="1" applyBorder="1" applyAlignment="1">
      <alignment horizontal="left" vertical="center" wrapText="1" shrinkToFit="1"/>
    </xf>
    <xf numFmtId="0" fontId="6" fillId="3" borderId="1" xfId="0" applyNumberFormat="1" applyFont="1" applyFill="1" applyBorder="1" applyAlignment="1">
      <alignment horizontal="center" vertical="center"/>
    </xf>
    <xf numFmtId="0" fontId="6" fillId="0" borderId="1" xfId="0" applyNumberFormat="1" applyFont="1" applyFill="1" applyBorder="1" applyAlignment="1">
      <alignment horizontal="center" vertical="center"/>
    </xf>
    <xf numFmtId="49" fontId="6" fillId="0" borderId="1" xfId="0" applyNumberFormat="1" applyFont="1" applyFill="1" applyBorder="1" applyAlignment="1">
      <alignment horizontal="center" vertical="center"/>
    </xf>
    <xf numFmtId="0" fontId="40" fillId="2" borderId="1" xfId="0" applyNumberFormat="1" applyFont="1" applyFill="1" applyBorder="1" applyAlignment="1">
      <alignment horizontal="center" vertical="center"/>
    </xf>
    <xf numFmtId="49" fontId="40" fillId="2" borderId="1" xfId="0" applyNumberFormat="1" applyFont="1" applyFill="1" applyBorder="1" applyAlignment="1">
      <alignment horizontal="center" vertical="center"/>
    </xf>
    <xf numFmtId="0" fontId="4" fillId="2" borderId="1" xfId="0" applyNumberFormat="1" applyFont="1" applyFill="1" applyBorder="1" applyAlignment="1">
      <alignment horizontal="center" vertical="center"/>
    </xf>
    <xf numFmtId="0" fontId="41" fillId="2" borderId="1" xfId="0" applyNumberFormat="1" applyFont="1" applyFill="1" applyBorder="1" applyAlignment="1">
      <alignment horizontal="center" vertical="center"/>
    </xf>
    <xf numFmtId="0" fontId="3" fillId="2" borderId="1" xfId="0" applyNumberFormat="1" applyFont="1" applyFill="1" applyBorder="1" applyAlignment="1">
      <alignment horizontal="center" vertical="center"/>
    </xf>
    <xf numFmtId="0" fontId="5" fillId="0" borderId="1" xfId="0" applyNumberFormat="1" applyFont="1" applyFill="1" applyBorder="1" applyAlignment="1">
      <alignment horizontal="center" vertical="center"/>
    </xf>
    <xf numFmtId="49" fontId="5" fillId="0" borderId="1" xfId="0" applyNumberFormat="1" applyFont="1" applyFill="1" applyBorder="1" applyAlignment="1">
      <alignment horizontal="center" vertical="center"/>
    </xf>
    <xf numFmtId="49" fontId="27" fillId="24" borderId="1" xfId="212" applyNumberFormat="1" applyFont="1" applyFill="1" applyBorder="1" applyAlignment="1">
      <alignment horizontal="center" vertical="center" shrinkToFit="1"/>
    </xf>
    <xf numFmtId="0" fontId="27" fillId="24" borderId="1" xfId="212" applyNumberFormat="1" applyFont="1" applyFill="1" applyBorder="1" applyAlignment="1">
      <alignment horizontal="center" vertical="center" wrapText="1" shrinkToFit="1"/>
    </xf>
    <xf numFmtId="0" fontId="3" fillId="24" borderId="1" xfId="0" applyNumberFormat="1" applyFont="1" applyFill="1" applyBorder="1" applyAlignment="1">
      <alignment horizontal="center" vertical="center"/>
    </xf>
    <xf numFmtId="0" fontId="6" fillId="3" borderId="1" xfId="358" applyFont="1" applyFill="1" applyBorder="1" applyAlignment="1">
      <alignment horizontal="center" vertical="center"/>
    </xf>
    <xf numFmtId="0" fontId="6" fillId="0" borderId="1" xfId="358" applyFont="1" applyFill="1" applyBorder="1" applyAlignment="1">
      <alignment horizontal="center" vertical="center"/>
    </xf>
    <xf numFmtId="0" fontId="4" fillId="2" borderId="1" xfId="358" applyFont="1" applyFill="1" applyBorder="1" applyAlignment="1">
      <alignment horizontal="center" vertical="center"/>
    </xf>
    <xf numFmtId="0" fontId="3" fillId="2" borderId="1" xfId="358" applyFont="1" applyFill="1" applyBorder="1" applyAlignment="1">
      <alignment horizontal="center" vertical="center"/>
    </xf>
    <xf numFmtId="0" fontId="3" fillId="24" borderId="1" xfId="358" applyFont="1" applyFill="1" applyBorder="1" applyAlignment="1">
      <alignment horizontal="center" vertical="center"/>
    </xf>
    <xf numFmtId="0" fontId="5" fillId="0" borderId="1" xfId="358" applyFont="1" applyFill="1" applyBorder="1" applyAlignment="1">
      <alignment horizontal="center" vertical="center"/>
    </xf>
    <xf numFmtId="0" fontId="5" fillId="4" borderId="1" xfId="358" applyNumberFormat="1" applyFont="1" applyFill="1" applyBorder="1" applyAlignment="1">
      <alignment horizontal="center" vertical="center"/>
    </xf>
    <xf numFmtId="0" fontId="5" fillId="4" borderId="1" xfId="358" applyFont="1" applyFill="1" applyBorder="1" applyAlignment="1">
      <alignment horizontal="center" vertical="center"/>
    </xf>
    <xf numFmtId="0" fontId="5" fillId="25" borderId="1" xfId="358" applyFont="1" applyFill="1" applyBorder="1" applyAlignment="1">
      <alignment horizontal="center" vertical="center"/>
    </xf>
    <xf numFmtId="0" fontId="8" fillId="2" borderId="1" xfId="0" applyFont="1" applyFill="1" applyBorder="1" applyAlignment="1">
      <alignment horizontal="center" vertical="center"/>
    </xf>
    <xf numFmtId="0" fontId="27" fillId="24" borderId="2" xfId="212" applyNumberFormat="1" applyFont="1" applyFill="1" applyBorder="1" applyAlignment="1">
      <alignment horizontal="center" vertical="center" wrapText="1" shrinkToFit="1"/>
    </xf>
    <xf numFmtId="0" fontId="36" fillId="24" borderId="1" xfId="212" applyNumberFormat="1" applyFont="1" applyFill="1" applyBorder="1" applyAlignment="1">
      <alignment horizontal="center" vertical="center" wrapText="1" shrinkToFit="1"/>
    </xf>
    <xf numFmtId="0" fontId="5" fillId="0" borderId="1" xfId="227" applyNumberFormat="1" applyFont="1" applyBorder="1" applyAlignment="1">
      <alignment horizontal="center" vertical="center"/>
    </xf>
    <xf numFmtId="0" fontId="5" fillId="4" borderId="1" xfId="227" applyNumberFormat="1" applyFont="1" applyFill="1" applyBorder="1" applyAlignment="1">
      <alignment horizontal="center" vertical="center"/>
    </xf>
    <xf numFmtId="49" fontId="5" fillId="0" borderId="1" xfId="227" applyNumberFormat="1" applyFont="1" applyBorder="1" applyAlignment="1">
      <alignment horizontal="center" vertical="center"/>
    </xf>
    <xf numFmtId="176" fontId="5" fillId="0" borderId="1" xfId="227" applyFont="1" applyBorder="1" applyAlignment="1">
      <alignment horizontal="center" vertical="center"/>
    </xf>
    <xf numFmtId="176" fontId="29" fillId="24" borderId="0" xfId="227" applyFont="1" applyFill="1">
      <alignment vertical="center"/>
    </xf>
    <xf numFmtId="176" fontId="29" fillId="24" borderId="0" xfId="227" applyFont="1" applyFill="1" applyAlignment="1">
      <alignment vertical="center" wrapText="1"/>
    </xf>
    <xf numFmtId="0" fontId="33" fillId="24" borderId="1" xfId="212" applyNumberFormat="1" applyFont="1" applyFill="1" applyBorder="1" applyAlignment="1">
      <alignment horizontal="center" vertical="center" shrinkToFit="1"/>
    </xf>
    <xf numFmtId="0" fontId="33" fillId="24" borderId="1" xfId="212" applyNumberFormat="1" applyFont="1" applyFill="1" applyBorder="1" applyAlignment="1">
      <alignment horizontal="center" vertical="center" wrapText="1" shrinkToFit="1"/>
    </xf>
    <xf numFmtId="0" fontId="33" fillId="26" borderId="1" xfId="212" applyNumberFormat="1" applyFont="1" applyFill="1" applyBorder="1" applyAlignment="1">
      <alignment horizontal="center" vertical="center" shrinkToFit="1"/>
    </xf>
    <xf numFmtId="176" fontId="3" fillId="24" borderId="1" xfId="227" applyFont="1" applyFill="1" applyBorder="1" applyAlignment="1">
      <alignment horizontal="center" vertical="center"/>
    </xf>
    <xf numFmtId="0" fontId="5" fillId="22" borderId="1" xfId="0" applyNumberFormat="1" applyFont="1" applyFill="1" applyBorder="1" applyAlignment="1">
      <alignment horizontal="center" vertical="center"/>
    </xf>
    <xf numFmtId="49" fontId="5" fillId="22" borderId="1" xfId="0" applyNumberFormat="1" applyFont="1" applyFill="1" applyBorder="1" applyAlignment="1">
      <alignment horizontal="center" vertical="center"/>
    </xf>
    <xf numFmtId="0" fontId="5" fillId="22" borderId="1" xfId="0" applyFont="1" applyFill="1" applyBorder="1" applyAlignment="1">
      <alignment horizontal="center" vertical="center"/>
    </xf>
    <xf numFmtId="0" fontId="5" fillId="22" borderId="2" xfId="0" applyFont="1" applyFill="1" applyBorder="1" applyAlignment="1">
      <alignment horizontal="center" vertical="center"/>
    </xf>
    <xf numFmtId="0" fontId="5" fillId="0" borderId="1" xfId="358" applyNumberFormat="1" applyFont="1" applyFill="1" applyBorder="1" applyAlignment="1">
      <alignment horizontal="center" vertical="center"/>
    </xf>
    <xf numFmtId="0" fontId="5" fillId="29" borderId="1" xfId="0" applyFont="1" applyFill="1" applyBorder="1" applyAlignment="1">
      <alignment horizontal="center" vertical="center"/>
    </xf>
    <xf numFmtId="0" fontId="5" fillId="29" borderId="1" xfId="0" applyNumberFormat="1" applyFont="1" applyFill="1" applyBorder="1" applyAlignment="1">
      <alignment horizontal="center" vertical="center"/>
    </xf>
    <xf numFmtId="0" fontId="5" fillId="29" borderId="1" xfId="358" applyFont="1" applyFill="1" applyBorder="1" applyAlignment="1">
      <alignment horizontal="center" vertical="center"/>
    </xf>
    <xf numFmtId="0" fontId="5" fillId="29" borderId="1" xfId="358" applyNumberFormat="1" applyFont="1" applyFill="1" applyBorder="1" applyAlignment="1">
      <alignment horizontal="center" vertical="center"/>
    </xf>
    <xf numFmtId="176" fontId="45" fillId="24" borderId="1" xfId="227" applyFont="1" applyFill="1" applyBorder="1" applyAlignment="1">
      <alignment horizontal="center" vertical="center"/>
    </xf>
    <xf numFmtId="0" fontId="6" fillId="0" borderId="1" xfId="0" applyFont="1" applyFill="1" applyBorder="1" applyAlignment="1">
      <alignment horizontal="left" vertical="center"/>
    </xf>
    <xf numFmtId="0" fontId="27" fillId="21" borderId="1" xfId="212" applyNumberFormat="1" applyFont="1" applyFill="1" applyBorder="1" applyAlignment="1">
      <alignment horizontal="left" vertical="center" shrinkToFit="1"/>
    </xf>
    <xf numFmtId="0" fontId="5" fillId="0" borderId="1" xfId="0" applyFont="1" applyFill="1" applyBorder="1" applyAlignment="1">
      <alignment horizontal="left" vertical="center"/>
    </xf>
    <xf numFmtId="0" fontId="37" fillId="24" borderId="1" xfId="0" applyFont="1" applyFill="1" applyBorder="1" applyAlignment="1">
      <alignment horizontal="left" vertical="center"/>
    </xf>
    <xf numFmtId="0" fontId="5" fillId="22" borderId="1" xfId="0" applyFont="1" applyFill="1" applyBorder="1" applyAlignment="1">
      <alignment horizontal="left" vertical="center"/>
    </xf>
    <xf numFmtId="0" fontId="5" fillId="25" borderId="1" xfId="358" applyNumberFormat="1" applyFont="1" applyFill="1" applyBorder="1" applyAlignment="1">
      <alignment horizontal="center" vertical="center"/>
    </xf>
    <xf numFmtId="0" fontId="29" fillId="8" borderId="0" xfId="358">
      <alignment vertical="center"/>
    </xf>
    <xf numFmtId="0" fontId="5" fillId="25" borderId="1" xfId="358" applyFont="1" applyFill="1" applyBorder="1" applyAlignment="1">
      <alignment horizontal="center" vertical="center"/>
    </xf>
    <xf numFmtId="0" fontId="5" fillId="0" borderId="1" xfId="358" applyNumberFormat="1" applyFont="1" applyFill="1" applyBorder="1" applyAlignment="1">
      <alignment horizontal="center" vertical="center"/>
    </xf>
    <xf numFmtId="0" fontId="5" fillId="0" borderId="1" xfId="358" applyFont="1" applyFill="1" applyBorder="1" applyAlignment="1">
      <alignment horizontal="center" vertical="center"/>
    </xf>
    <xf numFmtId="0" fontId="5" fillId="29" borderId="1" xfId="358" applyFont="1" applyFill="1" applyBorder="1" applyAlignment="1">
      <alignment horizontal="center" vertical="center"/>
    </xf>
    <xf numFmtId="0" fontId="45" fillId="0" borderId="1" xfId="0" applyFont="1" applyFill="1" applyBorder="1" applyAlignment="1">
      <alignment horizontal="center" vertical="center"/>
    </xf>
    <xf numFmtId="0" fontId="46" fillId="0" borderId="1" xfId="0" applyFont="1" applyFill="1" applyBorder="1" applyAlignment="1">
      <alignment horizontal="center" vertical="center"/>
    </xf>
    <xf numFmtId="0" fontId="46" fillId="4" borderId="1" xfId="0" applyFont="1" applyFill="1" applyBorder="1" applyAlignment="1">
      <alignment horizontal="center" vertical="center"/>
    </xf>
    <xf numFmtId="0" fontId="46" fillId="4" borderId="2" xfId="0" applyFont="1" applyFill="1" applyBorder="1" applyAlignment="1">
      <alignment horizontal="center" vertical="center"/>
    </xf>
    <xf numFmtId="0" fontId="46" fillId="25" borderId="1" xfId="0" applyFont="1" applyFill="1" applyBorder="1" applyAlignment="1">
      <alignment horizontal="center" vertical="center"/>
    </xf>
    <xf numFmtId="0" fontId="45" fillId="0" borderId="1" xfId="358" applyFont="1" applyFill="1" applyBorder="1" applyAlignment="1">
      <alignment horizontal="center" vertical="center"/>
    </xf>
    <xf numFmtId="0" fontId="46" fillId="4" borderId="1" xfId="358" applyNumberFormat="1" applyFont="1" applyFill="1" applyBorder="1" applyAlignment="1">
      <alignment horizontal="center" vertical="center"/>
    </xf>
    <xf numFmtId="0" fontId="46" fillId="0" borderId="1" xfId="358" applyFont="1" applyFill="1" applyBorder="1" applyAlignment="1">
      <alignment horizontal="center" vertical="center"/>
    </xf>
    <xf numFmtId="0" fontId="37" fillId="0" borderId="1" xfId="0" applyFont="1" applyFill="1" applyBorder="1" applyAlignment="1">
      <alignment horizontal="center" vertical="center"/>
    </xf>
    <xf numFmtId="0" fontId="47" fillId="0" borderId="1" xfId="0" applyFont="1" applyFill="1" applyBorder="1" applyAlignment="1">
      <alignment horizontal="center" vertical="center"/>
    </xf>
    <xf numFmtId="0" fontId="46" fillId="0" borderId="1" xfId="358" applyNumberFormat="1" applyFont="1" applyFill="1" applyBorder="1" applyAlignment="1">
      <alignment horizontal="center" vertical="center"/>
    </xf>
    <xf numFmtId="0" fontId="46" fillId="4" borderId="1" xfId="358" applyFont="1" applyFill="1" applyBorder="1" applyAlignment="1">
      <alignment horizontal="center" vertical="center"/>
    </xf>
    <xf numFmtId="0" fontId="45" fillId="0" borderId="1" xfId="0" applyNumberFormat="1" applyFont="1" applyFill="1" applyBorder="1" applyAlignment="1">
      <alignment horizontal="center" vertical="center"/>
    </xf>
    <xf numFmtId="0" fontId="46" fillId="4" borderId="1" xfId="0" applyNumberFormat="1" applyFont="1" applyFill="1" applyBorder="1" applyAlignment="1">
      <alignment horizontal="center" vertical="center"/>
    </xf>
    <xf numFmtId="49" fontId="46" fillId="0" borderId="1" xfId="0" applyNumberFormat="1" applyFont="1" applyFill="1" applyBorder="1" applyAlignment="1">
      <alignment horizontal="center" vertical="center"/>
    </xf>
    <xf numFmtId="0" fontId="37" fillId="0" borderId="1" xfId="358" applyFont="1" applyFill="1" applyBorder="1" applyAlignment="1">
      <alignment horizontal="center" vertical="center"/>
    </xf>
    <xf numFmtId="0" fontId="47" fillId="4" borderId="1" xfId="358" applyFont="1" applyFill="1" applyBorder="1" applyAlignment="1">
      <alignment horizontal="center" vertical="center"/>
    </xf>
    <xf numFmtId="0" fontId="47" fillId="0" borderId="1" xfId="358" applyFont="1" applyFill="1" applyBorder="1" applyAlignment="1">
      <alignment horizontal="center" vertical="center"/>
    </xf>
    <xf numFmtId="0" fontId="48" fillId="0" borderId="1" xfId="212" applyNumberFormat="1" applyFont="1" applyBorder="1" applyAlignment="1">
      <alignment horizontal="center" vertical="center" shrinkToFit="1"/>
    </xf>
    <xf numFmtId="0" fontId="31" fillId="22" borderId="1" xfId="212" applyNumberFormat="1" applyFont="1" applyFill="1" applyBorder="1" applyAlignment="1">
      <alignment horizontal="center" vertical="center" shrinkToFit="1"/>
    </xf>
    <xf numFmtId="0" fontId="31" fillId="23" borderId="1" xfId="212" applyNumberFormat="1" applyFont="1" applyFill="1" applyBorder="1" applyAlignment="1">
      <alignment horizontal="center" vertical="center" shrinkToFit="1"/>
    </xf>
    <xf numFmtId="0" fontId="31" fillId="0" borderId="1" xfId="212" applyNumberFormat="1" applyFont="1" applyBorder="1" applyAlignment="1">
      <alignment horizontal="center" vertical="center" shrinkToFit="1"/>
    </xf>
    <xf numFmtId="0" fontId="37" fillId="0" borderId="1" xfId="0" applyFont="1" applyFill="1" applyBorder="1" applyAlignment="1">
      <alignment horizontal="left" vertical="center"/>
    </xf>
    <xf numFmtId="0" fontId="47" fillId="0" borderId="1" xfId="0" applyFont="1" applyFill="1" applyBorder="1" applyAlignment="1">
      <alignment horizontal="left" vertical="center"/>
    </xf>
    <xf numFmtId="0" fontId="48" fillId="23" borderId="1" xfId="212" applyNumberFormat="1" applyFont="1" applyFill="1" applyBorder="1" applyAlignment="1">
      <alignment horizontal="center" vertical="center" shrinkToFit="1"/>
    </xf>
    <xf numFmtId="0" fontId="5" fillId="0" borderId="0" xfId="358" applyFont="1" applyFill="1" applyBorder="1" applyAlignment="1">
      <alignment horizontal="center" vertical="center"/>
    </xf>
    <xf numFmtId="0" fontId="5" fillId="29" borderId="0" xfId="358" applyFont="1" applyFill="1" applyBorder="1" applyAlignment="1">
      <alignment horizontal="center" vertical="center"/>
    </xf>
    <xf numFmtId="0" fontId="45" fillId="29" borderId="1" xfId="358" applyFont="1" applyFill="1" applyBorder="1" applyAlignment="1">
      <alignment horizontal="center" vertical="center"/>
    </xf>
    <xf numFmtId="0" fontId="49" fillId="0" borderId="1" xfId="212" applyNumberFormat="1" applyFont="1" applyBorder="1" applyAlignment="1">
      <alignment horizontal="center" vertical="center" shrinkToFit="1"/>
    </xf>
    <xf numFmtId="0" fontId="49" fillId="22" borderId="1" xfId="212" applyNumberFormat="1" applyFont="1" applyFill="1" applyBorder="1" applyAlignment="1">
      <alignment horizontal="center" vertical="center" shrinkToFit="1"/>
    </xf>
    <xf numFmtId="0" fontId="49" fillId="23" borderId="1" xfId="212" applyNumberFormat="1" applyFont="1" applyFill="1" applyBorder="1" applyAlignment="1">
      <alignment horizontal="center" vertical="center" shrinkToFit="1"/>
    </xf>
    <xf numFmtId="0" fontId="5" fillId="30" borderId="1" xfId="0" applyFont="1" applyFill="1" applyBorder="1" applyAlignment="1">
      <alignment horizontal="center" vertical="center"/>
    </xf>
    <xf numFmtId="0" fontId="8" fillId="2" borderId="1" xfId="0" applyFont="1" applyFill="1" applyBorder="1" applyAlignment="1">
      <alignment horizontal="center" vertical="center"/>
    </xf>
  </cellXfs>
  <cellStyles count="363">
    <cellStyle name="20% - 强调文字颜色 1" xfId="357"/>
    <cellStyle name="20% - 强调文字颜色 1 2" xfId="1"/>
    <cellStyle name="20% - 强调文字颜色 1 2 2" xfId="2"/>
    <cellStyle name="20% - 强调文字颜色 1 2 2 2" xfId="3"/>
    <cellStyle name="20% - 强调文字颜色 1 2 3" xfId="4"/>
    <cellStyle name="20% - 强调文字颜色 1 3" xfId="5"/>
    <cellStyle name="20% - 强调文字颜色 1 3 2" xfId="6"/>
    <cellStyle name="20% - 强调文字颜色 1 4" xfId="7"/>
    <cellStyle name="20% - 强调文字颜色 1 4 2" xfId="8"/>
    <cellStyle name="20% - 强调文字颜色 1 5" xfId="9"/>
    <cellStyle name="20% - 强调文字颜色 1 5 2" xfId="10"/>
    <cellStyle name="20% - 强调文字颜色 1 6" xfId="11"/>
    <cellStyle name="20% - 强调文字颜色 2" xfId="12"/>
    <cellStyle name="20% - 强调文字颜色 2 2" xfId="13"/>
    <cellStyle name="20% - 强调文字颜色 2 2 2" xfId="14"/>
    <cellStyle name="20% - 强调文字颜色 2 2 2 2" xfId="15"/>
    <cellStyle name="20% - 强调文字颜色 2 2 3" xfId="16"/>
    <cellStyle name="20% - 强调文字颜色 2 3" xfId="17"/>
    <cellStyle name="20% - 强调文字颜色 2 3 2" xfId="18"/>
    <cellStyle name="20% - 强调文字颜色 2 4" xfId="19"/>
    <cellStyle name="20% - 强调文字颜色 2 4 2" xfId="20"/>
    <cellStyle name="20% - 强调文字颜色 2 5" xfId="21"/>
    <cellStyle name="20% - 强调文字颜色 2 5 2" xfId="22"/>
    <cellStyle name="20% - 强调文字颜色 2 6" xfId="23"/>
    <cellStyle name="20% - 强调文字颜色 3" xfId="24"/>
    <cellStyle name="20% - 强调文字颜色 3 2" xfId="25"/>
    <cellStyle name="20% - 强调文字颜色 3 2 2" xfId="26"/>
    <cellStyle name="20% - 强调文字颜色 3 2 2 2" xfId="27"/>
    <cellStyle name="20% - 强调文字颜色 3 2 3" xfId="28"/>
    <cellStyle name="20% - 强调文字颜色 3 3" xfId="29"/>
    <cellStyle name="20% - 强调文字颜色 3 3 2" xfId="30"/>
    <cellStyle name="20% - 强调文字颜色 3 4" xfId="31"/>
    <cellStyle name="20% - 强调文字颜色 3 4 2" xfId="32"/>
    <cellStyle name="20% - 强调文字颜色 3 5" xfId="33"/>
    <cellStyle name="20% - 强调文字颜色 3 5 2" xfId="34"/>
    <cellStyle name="20% - 强调文字颜色 3 6" xfId="35"/>
    <cellStyle name="20% - 强调文字颜色 4" xfId="36"/>
    <cellStyle name="20% - 强调文字颜色 4 2" xfId="37"/>
    <cellStyle name="20% - 强调文字颜色 4 2 2" xfId="38"/>
    <cellStyle name="20% - 强调文字颜色 4 2 2 2" xfId="39"/>
    <cellStyle name="20% - 强调文字颜色 4 2 3" xfId="40"/>
    <cellStyle name="20% - 强调文字颜色 4 3" xfId="41"/>
    <cellStyle name="20% - 强调文字颜色 4 3 2" xfId="42"/>
    <cellStyle name="20% - 强调文字颜色 4 4" xfId="43"/>
    <cellStyle name="20% - 强调文字颜色 4 4 2" xfId="44"/>
    <cellStyle name="20% - 强调文字颜色 4 5" xfId="45"/>
    <cellStyle name="20% - 强调文字颜色 4 5 2" xfId="46"/>
    <cellStyle name="20% - 强调文字颜色 4 6" xfId="47"/>
    <cellStyle name="20% - 强调文字颜色 5" xfId="48"/>
    <cellStyle name="20% - 强调文字颜色 5 2" xfId="49"/>
    <cellStyle name="20% - 强调文字颜色 5 2 2" xfId="50"/>
    <cellStyle name="20% - 强调文字颜色 5 2 2 2" xfId="51"/>
    <cellStyle name="20% - 强调文字颜色 5 2 3" xfId="52"/>
    <cellStyle name="20% - 强调文字颜色 5 3" xfId="53"/>
    <cellStyle name="20% - 强调文字颜色 5 3 2" xfId="54"/>
    <cellStyle name="20% - 强调文字颜色 5 4" xfId="55"/>
    <cellStyle name="20% - 强调文字颜色 5 4 2" xfId="56"/>
    <cellStyle name="20% - 强调文字颜色 5 5" xfId="57"/>
    <cellStyle name="20% - 强调文字颜色 5 5 2" xfId="58"/>
    <cellStyle name="20% - 强调文字颜色 5 6" xfId="59"/>
    <cellStyle name="20% - 强调文字颜色 6" xfId="60"/>
    <cellStyle name="20% - 强调文字颜色 6 2" xfId="61"/>
    <cellStyle name="20% - 强调文字颜色 6 2 2" xfId="62"/>
    <cellStyle name="20% - 强调文字颜色 6 2 2 2" xfId="63"/>
    <cellStyle name="20% - 强调文字颜色 6 2 3" xfId="64"/>
    <cellStyle name="20% - 强调文字颜色 6 3" xfId="65"/>
    <cellStyle name="20% - 强调文字颜色 6 3 2" xfId="66"/>
    <cellStyle name="20% - 强调文字颜色 6 4" xfId="67"/>
    <cellStyle name="20% - 强调文字颜色 6 4 2" xfId="68"/>
    <cellStyle name="20% - 强调文字颜色 6 5" xfId="69"/>
    <cellStyle name="20% - 强调文字颜色 6 5 2" xfId="70"/>
    <cellStyle name="20% - 强调文字颜色 6 6" xfId="71"/>
    <cellStyle name="40% - 强调文字颜色 1" xfId="72"/>
    <cellStyle name="40% - 强调文字颜色 1 2" xfId="73"/>
    <cellStyle name="40% - 强调文字颜色 1 2 2" xfId="74"/>
    <cellStyle name="40% - 强调文字颜色 1 2 2 2" xfId="75"/>
    <cellStyle name="40% - 强调文字颜色 1 2 3" xfId="76"/>
    <cellStyle name="40% - 强调文字颜色 1 3" xfId="77"/>
    <cellStyle name="40% - 强调文字颜色 1 3 2" xfId="78"/>
    <cellStyle name="40% - 强调文字颜色 1 4" xfId="79"/>
    <cellStyle name="40% - 强调文字颜色 1 4 2" xfId="80"/>
    <cellStyle name="40% - 强调文字颜色 1 5" xfId="81"/>
    <cellStyle name="40% - 强调文字颜色 1 5 2" xfId="82"/>
    <cellStyle name="40% - 强调文字颜色 1 6" xfId="83"/>
    <cellStyle name="40% - 强调文字颜色 2" xfId="84"/>
    <cellStyle name="40% - 强调文字颜色 2 2" xfId="85"/>
    <cellStyle name="40% - 强调文字颜色 2 2 2" xfId="86"/>
    <cellStyle name="40% - 强调文字颜色 2 2 2 2" xfId="87"/>
    <cellStyle name="40% - 强调文字颜色 2 2 3" xfId="88"/>
    <cellStyle name="40% - 强调文字颜色 2 3" xfId="89"/>
    <cellStyle name="40% - 强调文字颜色 2 3 2" xfId="90"/>
    <cellStyle name="40% - 强调文字颜色 2 4" xfId="91"/>
    <cellStyle name="40% - 强调文字颜色 2 4 2" xfId="92"/>
    <cellStyle name="40% - 强调文字颜色 2 5" xfId="93"/>
    <cellStyle name="40% - 强调文字颜色 2 5 2" xfId="94"/>
    <cellStyle name="40% - 强调文字颜色 2 6" xfId="95"/>
    <cellStyle name="40% - 强调文字颜色 3" xfId="96"/>
    <cellStyle name="40% - 强调文字颜色 3 2" xfId="97"/>
    <cellStyle name="40% - 强调文字颜色 3 2 2" xfId="98"/>
    <cellStyle name="40% - 强调文字颜色 3 2 2 2" xfId="99"/>
    <cellStyle name="40% - 强调文字颜色 3 2 3" xfId="100"/>
    <cellStyle name="40% - 强调文字颜色 3 3" xfId="101"/>
    <cellStyle name="40% - 强调文字颜色 3 3 2" xfId="102"/>
    <cellStyle name="40% - 强调文字颜色 3 4" xfId="103"/>
    <cellStyle name="40% - 强调文字颜色 3 4 2" xfId="104"/>
    <cellStyle name="40% - 强调文字颜色 3 5" xfId="105"/>
    <cellStyle name="40% - 强调文字颜色 3 5 2" xfId="106"/>
    <cellStyle name="40% - 强调文字颜色 3 6" xfId="107"/>
    <cellStyle name="40% - 强调文字颜色 4" xfId="108"/>
    <cellStyle name="40% - 强调文字颜色 4 2" xfId="109"/>
    <cellStyle name="40% - 强调文字颜色 4 2 2" xfId="110"/>
    <cellStyle name="40% - 强调文字颜色 4 2 2 2" xfId="111"/>
    <cellStyle name="40% - 强调文字颜色 4 2 3" xfId="112"/>
    <cellStyle name="40% - 强调文字颜色 4 3" xfId="113"/>
    <cellStyle name="40% - 强调文字颜色 4 3 2" xfId="114"/>
    <cellStyle name="40% - 强调文字颜色 4 4" xfId="115"/>
    <cellStyle name="40% - 强调文字颜色 4 4 2" xfId="116"/>
    <cellStyle name="40% - 强调文字颜色 4 5" xfId="117"/>
    <cellStyle name="40% - 强调文字颜色 4 5 2" xfId="118"/>
    <cellStyle name="40% - 强调文字颜色 4 6" xfId="119"/>
    <cellStyle name="40% - 强调文字颜色 5" xfId="120"/>
    <cellStyle name="40% - 强调文字颜色 5 2" xfId="121"/>
    <cellStyle name="40% - 强调文字颜色 5 2 2" xfId="122"/>
    <cellStyle name="40% - 强调文字颜色 5 2 2 2" xfId="123"/>
    <cellStyle name="40% - 强调文字颜色 5 2 3" xfId="124"/>
    <cellStyle name="40% - 强调文字颜色 5 3" xfId="125"/>
    <cellStyle name="40% - 强调文字颜色 5 3 2" xfId="126"/>
    <cellStyle name="40% - 强调文字颜色 5 4" xfId="127"/>
    <cellStyle name="40% - 强调文字颜色 5 4 2" xfId="128"/>
    <cellStyle name="40% - 强调文字颜色 5 5" xfId="129"/>
    <cellStyle name="40% - 强调文字颜色 5 5 2" xfId="130"/>
    <cellStyle name="40% - 强调文字颜色 5 6" xfId="131"/>
    <cellStyle name="40% - 强调文字颜色 6" xfId="132"/>
    <cellStyle name="40% - 强调文字颜色 6 2" xfId="133"/>
    <cellStyle name="40% - 强调文字颜色 6 2 2" xfId="134"/>
    <cellStyle name="40% - 强调文字颜色 6 2 2 2" xfId="135"/>
    <cellStyle name="40% - 强调文字颜色 6 2 3" xfId="136"/>
    <cellStyle name="40% - 强调文字颜色 6 3" xfId="137"/>
    <cellStyle name="40% - 强调文字颜色 6 3 2" xfId="138"/>
    <cellStyle name="40% - 强调文字颜色 6 4" xfId="139"/>
    <cellStyle name="40% - 强调文字颜色 6 4 2" xfId="140"/>
    <cellStyle name="40% - 强调文字颜色 6 5" xfId="141"/>
    <cellStyle name="40% - 强调文字颜色 6 5 2" xfId="142"/>
    <cellStyle name="40% - 强调文字颜色 6 6" xfId="143"/>
    <cellStyle name="60% - 强调文字颜色 1" xfId="144"/>
    <cellStyle name="60% - 强调文字颜色 1 2" xfId="145"/>
    <cellStyle name="60% - 强调文字颜色 1 2 2" xfId="146"/>
    <cellStyle name="60% - 强调文字颜色 1 3" xfId="147"/>
    <cellStyle name="60% - 强调文字颜色 1 3 2" xfId="148"/>
    <cellStyle name="60% - 强调文字颜色 1 4" xfId="149"/>
    <cellStyle name="60% - 强调文字颜色 2" xfId="150"/>
    <cellStyle name="60% - 强调文字颜色 2 2" xfId="151"/>
    <cellStyle name="60% - 强调文字颜色 2 2 2" xfId="152"/>
    <cellStyle name="60% - 强调文字颜色 2 3" xfId="153"/>
    <cellStyle name="60% - 强调文字颜色 2 3 2" xfId="154"/>
    <cellStyle name="60% - 强调文字颜色 2 4" xfId="155"/>
    <cellStyle name="60% - 强调文字颜色 3" xfId="156"/>
    <cellStyle name="60% - 强调文字颜色 3 2" xfId="157"/>
    <cellStyle name="60% - 强调文字颜色 3 2 2" xfId="158"/>
    <cellStyle name="60% - 强调文字颜色 3 3" xfId="159"/>
    <cellStyle name="60% - 强调文字颜色 3 3 2" xfId="160"/>
    <cellStyle name="60% - 强调文字颜色 3 4" xfId="161"/>
    <cellStyle name="60% - 强调文字颜色 4" xfId="162"/>
    <cellStyle name="60% - 强调文字颜色 4 2" xfId="163"/>
    <cellStyle name="60% - 强调文字颜色 4 2 2" xfId="164"/>
    <cellStyle name="60% - 强调文字颜色 4 3" xfId="165"/>
    <cellStyle name="60% - 强调文字颜色 4 3 2" xfId="166"/>
    <cellStyle name="60% - 强调文字颜色 4 4" xfId="167"/>
    <cellStyle name="60% - 强调文字颜色 5" xfId="168"/>
    <cellStyle name="60% - 强调文字颜色 5 2" xfId="169"/>
    <cellStyle name="60% - 强调文字颜色 5 2 2" xfId="170"/>
    <cellStyle name="60% - 强调文字颜色 5 3" xfId="171"/>
    <cellStyle name="60% - 强调文字颜色 5 3 2" xfId="172"/>
    <cellStyle name="60% - 强调文字颜色 5 4" xfId="173"/>
    <cellStyle name="60% - 强调文字颜色 6" xfId="174"/>
    <cellStyle name="60% - 强调文字颜色 6 2" xfId="175"/>
    <cellStyle name="60% - 强调文字颜色 6 2 2" xfId="176"/>
    <cellStyle name="60% - 强调文字颜色 6 3" xfId="177"/>
    <cellStyle name="60% - 强调文字颜色 6 3 2" xfId="178"/>
    <cellStyle name="60% - 强调文字颜色 6 4" xfId="179"/>
    <cellStyle name="标题" xfId="180"/>
    <cellStyle name="标题 1" xfId="181"/>
    <cellStyle name="标题 1 2" xfId="182"/>
    <cellStyle name="标题 1 2 2" xfId="183"/>
    <cellStyle name="标题 1 3" xfId="184"/>
    <cellStyle name="标题 1 3 2" xfId="185"/>
    <cellStyle name="标题 1 4" xfId="186"/>
    <cellStyle name="标题 2" xfId="187"/>
    <cellStyle name="标题 2 2" xfId="188"/>
    <cellStyle name="标题 2 2 2" xfId="189"/>
    <cellStyle name="标题 2 3" xfId="190"/>
    <cellStyle name="标题 2 3 2" xfId="191"/>
    <cellStyle name="标题 2 4" xfId="192"/>
    <cellStyle name="标题 3" xfId="193"/>
    <cellStyle name="标题 3 2" xfId="194"/>
    <cellStyle name="标题 3 2 2" xfId="195"/>
    <cellStyle name="标题 3 3" xfId="196"/>
    <cellStyle name="标题 3 3 2" xfId="197"/>
    <cellStyle name="标题 3 4" xfId="198"/>
    <cellStyle name="标题 4" xfId="199"/>
    <cellStyle name="标题 4 2" xfId="200"/>
    <cellStyle name="标题 4 2 2" xfId="201"/>
    <cellStyle name="标题 4 3" xfId="202"/>
    <cellStyle name="标题 4 3 2" xfId="203"/>
    <cellStyle name="标题 4 4" xfId="204"/>
    <cellStyle name="标题 5" xfId="205"/>
    <cellStyle name="差" xfId="206"/>
    <cellStyle name="差 2" xfId="207"/>
    <cellStyle name="差 2 2" xfId="208"/>
    <cellStyle name="差 3" xfId="209"/>
    <cellStyle name="差 3 2" xfId="210"/>
    <cellStyle name="差 4" xfId="211"/>
    <cellStyle name="常规" xfId="0" builtinId="0"/>
    <cellStyle name="常规 10" xfId="212"/>
    <cellStyle name="常规 10 2" xfId="213"/>
    <cellStyle name="常规 11" xfId="214"/>
    <cellStyle name="常规 11 2" xfId="215"/>
    <cellStyle name="常规 12" xfId="216"/>
    <cellStyle name="常规 12 2" xfId="217"/>
    <cellStyle name="常规 13" xfId="218"/>
    <cellStyle name="常规 13 2" xfId="219"/>
    <cellStyle name="常规 14" xfId="220"/>
    <cellStyle name="常规 14 2" xfId="221"/>
    <cellStyle name="常规 15" xfId="222"/>
    <cellStyle name="常规 15 2" xfId="223"/>
    <cellStyle name="常规 16" xfId="224"/>
    <cellStyle name="常规 16 2" xfId="225"/>
    <cellStyle name="常规 17" xfId="226"/>
    <cellStyle name="常规 18" xfId="358"/>
    <cellStyle name="常规 19" xfId="359"/>
    <cellStyle name="常规 19 2" xfId="362"/>
    <cellStyle name="常规 2" xfId="227"/>
    <cellStyle name="常规 2 2" xfId="228"/>
    <cellStyle name="常规 2 2 2" xfId="229"/>
    <cellStyle name="常规 2 2 2 2" xfId="230"/>
    <cellStyle name="常规 2 2 3" xfId="231"/>
    <cellStyle name="常规 2 3" xfId="232"/>
    <cellStyle name="常规 2 3 2" xfId="233"/>
    <cellStyle name="常规 2 4" xfId="234"/>
    <cellStyle name="常规 3" xfId="235"/>
    <cellStyle name="常规 3 2" xfId="236"/>
    <cellStyle name="常规 4" xfId="237"/>
    <cellStyle name="常规 4 2" xfId="238"/>
    <cellStyle name="常规 5" xfId="239"/>
    <cellStyle name="常规 5 2" xfId="240"/>
    <cellStyle name="常规 6" xfId="241"/>
    <cellStyle name="常规 6 2" xfId="242"/>
    <cellStyle name="常规 7" xfId="243"/>
    <cellStyle name="常规 7 2" xfId="244"/>
    <cellStyle name="常规 8" xfId="245"/>
    <cellStyle name="常规 8 2" xfId="246"/>
    <cellStyle name="常规 9" xfId="247"/>
    <cellStyle name="常规 9 2" xfId="248"/>
    <cellStyle name="超链接" xfId="249" builtinId="8"/>
    <cellStyle name="超链接 2" xfId="250"/>
    <cellStyle name="好 2" xfId="251"/>
    <cellStyle name="好 2 2" xfId="252"/>
    <cellStyle name="好 3" xfId="253"/>
    <cellStyle name="好 3 2" xfId="254"/>
    <cellStyle name="好 4" xfId="255"/>
    <cellStyle name="好 4 2" xfId="256"/>
    <cellStyle name="汇总" xfId="257"/>
    <cellStyle name="汇总 2" xfId="258"/>
    <cellStyle name="汇总 2 2" xfId="259"/>
    <cellStyle name="汇总 3" xfId="260"/>
    <cellStyle name="汇总 3 2" xfId="261"/>
    <cellStyle name="汇总 4" xfId="262"/>
    <cellStyle name="计算" xfId="263"/>
    <cellStyle name="计算 2" xfId="264"/>
    <cellStyle name="计算 2 2" xfId="265"/>
    <cellStyle name="计算 3" xfId="266"/>
    <cellStyle name="计算 3 2" xfId="267"/>
    <cellStyle name="计算 4" xfId="268"/>
    <cellStyle name="检查单元格" xfId="269"/>
    <cellStyle name="检查单元格 2" xfId="270"/>
    <cellStyle name="检查单元格 2 2" xfId="271"/>
    <cellStyle name="检查单元格 3" xfId="272"/>
    <cellStyle name="检查单元格 3 2" xfId="273"/>
    <cellStyle name="检查单元格 4" xfId="274"/>
    <cellStyle name="解释性文本" xfId="275"/>
    <cellStyle name="解释性文本 2" xfId="276"/>
    <cellStyle name="解释性文本 2 2" xfId="277"/>
    <cellStyle name="解释性文本 3" xfId="278"/>
    <cellStyle name="解释性文本 3 2" xfId="279"/>
    <cellStyle name="解释性文本 4" xfId="280"/>
    <cellStyle name="警告文本" xfId="281"/>
    <cellStyle name="警告文本 2" xfId="282"/>
    <cellStyle name="警告文本 2 2" xfId="283"/>
    <cellStyle name="警告文本 3" xfId="284"/>
    <cellStyle name="警告文本 3 2" xfId="285"/>
    <cellStyle name="警告文本 4" xfId="286"/>
    <cellStyle name="链接单元格" xfId="287"/>
    <cellStyle name="链接单元格 2" xfId="288"/>
    <cellStyle name="链接单元格 2 2" xfId="289"/>
    <cellStyle name="链接单元格 3" xfId="290"/>
    <cellStyle name="链接单元格 3 2" xfId="291"/>
    <cellStyle name="链接单元格 4" xfId="292"/>
    <cellStyle name="强调文字颜色 1" xfId="293"/>
    <cellStyle name="强调文字颜色 1 2" xfId="294"/>
    <cellStyle name="强调文字颜色 1 2 2" xfId="295"/>
    <cellStyle name="强调文字颜色 1 3" xfId="296"/>
    <cellStyle name="强调文字颜色 1 3 2" xfId="297"/>
    <cellStyle name="强调文字颜色 1 4" xfId="298"/>
    <cellStyle name="强调文字颜色 2" xfId="299"/>
    <cellStyle name="强调文字颜色 2 2" xfId="300"/>
    <cellStyle name="强调文字颜色 2 2 2" xfId="301"/>
    <cellStyle name="强调文字颜色 2 3" xfId="302"/>
    <cellStyle name="强调文字颜色 2 3 2" xfId="303"/>
    <cellStyle name="强调文字颜色 2 4" xfId="304"/>
    <cellStyle name="强调文字颜色 3" xfId="305"/>
    <cellStyle name="强调文字颜色 3 2" xfId="306"/>
    <cellStyle name="强调文字颜色 3 2 2" xfId="307"/>
    <cellStyle name="强调文字颜色 3 3" xfId="308"/>
    <cellStyle name="强调文字颜色 3 3 2" xfId="309"/>
    <cellStyle name="强调文字颜色 3 4" xfId="310"/>
    <cellStyle name="强调文字颜色 4" xfId="311"/>
    <cellStyle name="强调文字颜色 4 2" xfId="312"/>
    <cellStyle name="强调文字颜色 4 2 2" xfId="313"/>
    <cellStyle name="强调文字颜色 4 3" xfId="314"/>
    <cellStyle name="强调文字颜色 4 3 2" xfId="315"/>
    <cellStyle name="强调文字颜色 4 4" xfId="316"/>
    <cellStyle name="强调文字颜色 5" xfId="317"/>
    <cellStyle name="强调文字颜色 5 2" xfId="318"/>
    <cellStyle name="强调文字颜色 5 2 2" xfId="319"/>
    <cellStyle name="强调文字颜色 5 3" xfId="320"/>
    <cellStyle name="强调文字颜色 5 3 2" xfId="321"/>
    <cellStyle name="强调文字颜色 5 4" xfId="322"/>
    <cellStyle name="强调文字颜色 6" xfId="323"/>
    <cellStyle name="强调文字颜色 6 2" xfId="324"/>
    <cellStyle name="强调文字颜色 6 2 2" xfId="325"/>
    <cellStyle name="强调文字颜色 6 3" xfId="326"/>
    <cellStyle name="强调文字颜色 6 3 2" xfId="327"/>
    <cellStyle name="强调文字颜色 6 4" xfId="328"/>
    <cellStyle name="适中" xfId="329"/>
    <cellStyle name="适中 2" xfId="330"/>
    <cellStyle name="适中 2 2" xfId="331"/>
    <cellStyle name="适中 3" xfId="332"/>
    <cellStyle name="适中 3 2" xfId="333"/>
    <cellStyle name="适中 4" xfId="334"/>
    <cellStyle name="输出" xfId="335"/>
    <cellStyle name="输出 2" xfId="336"/>
    <cellStyle name="输出 2 2" xfId="337"/>
    <cellStyle name="输出 3" xfId="338"/>
    <cellStyle name="输出 3 2" xfId="339"/>
    <cellStyle name="输出 4" xfId="340"/>
    <cellStyle name="输入" xfId="341"/>
    <cellStyle name="输入 2" xfId="342"/>
    <cellStyle name="输入 2 2" xfId="343"/>
    <cellStyle name="输入 3" xfId="344"/>
    <cellStyle name="输入 3 2" xfId="345"/>
    <cellStyle name="输入 4" xfId="346"/>
    <cellStyle name="着色 1 2" xfId="360"/>
    <cellStyle name="着色 5 2" xfId="361"/>
    <cellStyle name="注释 2" xfId="347"/>
    <cellStyle name="注释 2 2" xfId="348"/>
    <cellStyle name="注释 2 2 2" xfId="349"/>
    <cellStyle name="注释 2 2 2 2" xfId="350"/>
    <cellStyle name="注释 2 2 3" xfId="351"/>
    <cellStyle name="注释 2 3" xfId="352"/>
    <cellStyle name="注释 2 3 2" xfId="353"/>
    <cellStyle name="注释 2 4" xfId="354"/>
    <cellStyle name="注释 3" xfId="355"/>
    <cellStyle name="注释 3 2" xfId="356"/>
  </cellStyles>
  <dxfs count="2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theme="9" tint="0.7999816888943144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theme="0"/>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9"/>
        </patternFill>
      </fill>
    </dxf>
  </dxfs>
  <tableStyles count="1" defaultTableStyle="TableStyleMedium2" defaultPivotStyle="PivotStyleLight16">
    <tableStyle name="表样式 1" pivot="0" count="3">
      <tableStyleElement type="headerRow" dxfId="24"/>
      <tableStyleElement type="firstRowStripe" dxfId="23"/>
      <tableStyleElement type="secondRowStripe" dxfId="2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pane xSplit="1" ySplit="2" topLeftCell="B3" activePane="bottomRight" state="frozen"/>
      <selection activeCell="D22" sqref="D22"/>
      <selection pane="topRight" activeCell="D22" sqref="D22"/>
      <selection pane="bottomLeft" activeCell="D22" sqref="D22"/>
      <selection pane="bottomRight" activeCell="B19" sqref="B19"/>
    </sheetView>
  </sheetViews>
  <sheetFormatPr defaultColWidth="9" defaultRowHeight="16.5" x14ac:dyDescent="0.15"/>
  <cols>
    <col min="1" max="1" width="11.375" style="8" customWidth="1"/>
    <col min="2" max="2" width="11.5" style="8" customWidth="1"/>
    <col min="3" max="3" width="24" style="8" customWidth="1"/>
    <col min="4" max="4" width="67.625" style="8" customWidth="1"/>
    <col min="5" max="5" width="29.625" style="8" customWidth="1"/>
    <col min="6" max="6" width="17.5" style="8" customWidth="1"/>
    <col min="7" max="11" width="9" style="8" customWidth="1"/>
    <col min="12" max="16384" width="9" style="8"/>
  </cols>
  <sheetData>
    <row r="1" spans="1:7" x14ac:dyDescent="0.15">
      <c r="A1" s="120" t="s">
        <v>9</v>
      </c>
      <c r="B1" s="120"/>
      <c r="C1" s="120"/>
      <c r="D1" s="120"/>
      <c r="E1" s="120"/>
      <c r="F1" s="54" t="s">
        <v>253</v>
      </c>
      <c r="G1" s="8">
        <v>0</v>
      </c>
    </row>
    <row r="2" spans="1:7" x14ac:dyDescent="0.15">
      <c r="A2" s="54" t="s">
        <v>10</v>
      </c>
      <c r="B2" s="54" t="s">
        <v>11</v>
      </c>
      <c r="C2" s="54" t="s">
        <v>12</v>
      </c>
      <c r="D2" s="54" t="s">
        <v>13</v>
      </c>
      <c r="E2" s="54" t="s">
        <v>14</v>
      </c>
      <c r="F2" s="54" t="s">
        <v>15</v>
      </c>
      <c r="G2" s="8">
        <v>0</v>
      </c>
    </row>
    <row r="3" spans="1:7" x14ac:dyDescent="0.15">
      <c r="A3" s="9" t="s">
        <v>16</v>
      </c>
      <c r="B3" s="10">
        <v>1</v>
      </c>
      <c r="C3" s="11" t="s">
        <v>144</v>
      </c>
      <c r="D3" s="12" t="s">
        <v>17</v>
      </c>
      <c r="E3" s="12"/>
      <c r="F3" s="13" t="s">
        <v>145</v>
      </c>
      <c r="G3" s="8">
        <v>1</v>
      </c>
    </row>
    <row r="4" spans="1:7" x14ac:dyDescent="0.15">
      <c r="A4" s="9" t="s">
        <v>16</v>
      </c>
      <c r="B4" s="10">
        <v>1</v>
      </c>
      <c r="C4" s="11" t="s">
        <v>146</v>
      </c>
      <c r="D4" s="12" t="s">
        <v>17</v>
      </c>
      <c r="E4" s="12"/>
      <c r="F4" s="13" t="s">
        <v>147</v>
      </c>
      <c r="G4" s="8">
        <v>1</v>
      </c>
    </row>
    <row r="5" spans="1:7" x14ac:dyDescent="0.15">
      <c r="A5" s="9" t="s">
        <v>16</v>
      </c>
      <c r="B5" s="10">
        <v>1</v>
      </c>
      <c r="C5" s="11" t="s">
        <v>148</v>
      </c>
      <c r="D5" s="12" t="s">
        <v>17</v>
      </c>
      <c r="E5" s="12"/>
      <c r="F5" s="13" t="s">
        <v>149</v>
      </c>
      <c r="G5" s="8">
        <v>1</v>
      </c>
    </row>
    <row r="6" spans="1:7" x14ac:dyDescent="0.15">
      <c r="A6" s="9" t="s">
        <v>16</v>
      </c>
      <c r="B6" s="10">
        <v>1</v>
      </c>
      <c r="C6" s="8" t="s">
        <v>20</v>
      </c>
      <c r="D6" s="12" t="s">
        <v>17</v>
      </c>
      <c r="F6" s="8" t="s">
        <v>150</v>
      </c>
      <c r="G6" s="8">
        <v>1</v>
      </c>
    </row>
    <row r="7" spans="1:7" x14ac:dyDescent="0.15">
      <c r="A7" s="9" t="s">
        <v>16</v>
      </c>
      <c r="B7" s="10">
        <v>1</v>
      </c>
      <c r="C7" s="8" t="s">
        <v>21</v>
      </c>
      <c r="D7" s="12" t="s">
        <v>17</v>
      </c>
      <c r="F7" s="8" t="s">
        <v>151</v>
      </c>
      <c r="G7" s="8">
        <v>1</v>
      </c>
    </row>
    <row r="8" spans="1:7" x14ac:dyDescent="0.15">
      <c r="A8" s="9" t="s">
        <v>16</v>
      </c>
      <c r="B8" s="10">
        <v>1</v>
      </c>
      <c r="C8" s="8" t="s">
        <v>152</v>
      </c>
      <c r="D8" s="12" t="s">
        <v>17</v>
      </c>
      <c r="F8" s="8" t="s">
        <v>153</v>
      </c>
      <c r="G8" s="8">
        <v>1</v>
      </c>
    </row>
    <row r="9" spans="1:7" x14ac:dyDescent="0.15">
      <c r="A9" s="9" t="s">
        <v>16</v>
      </c>
      <c r="B9" s="8">
        <v>1</v>
      </c>
      <c r="C9" s="8" t="s">
        <v>28</v>
      </c>
      <c r="D9" s="12" t="s">
        <v>17</v>
      </c>
      <c r="F9" s="8" t="s">
        <v>154</v>
      </c>
      <c r="G9" s="8">
        <v>1</v>
      </c>
    </row>
    <row r="10" spans="1:7" x14ac:dyDescent="0.15">
      <c r="A10" s="9" t="s">
        <v>16</v>
      </c>
      <c r="B10" s="8">
        <v>1</v>
      </c>
      <c r="C10" s="8" t="s">
        <v>223</v>
      </c>
      <c r="D10" s="12" t="s">
        <v>17</v>
      </c>
      <c r="F10" s="8" t="s">
        <v>155</v>
      </c>
      <c r="G10" s="8">
        <v>1</v>
      </c>
    </row>
    <row r="11" spans="1:7" x14ac:dyDescent="0.15">
      <c r="A11" s="9" t="s">
        <v>16</v>
      </c>
      <c r="B11" s="8">
        <v>1</v>
      </c>
      <c r="C11" s="8" t="s">
        <v>156</v>
      </c>
      <c r="D11" s="12" t="s">
        <v>17</v>
      </c>
      <c r="F11" s="8" t="s">
        <v>157</v>
      </c>
      <c r="G11" s="8">
        <v>1</v>
      </c>
    </row>
    <row r="12" spans="1:7" x14ac:dyDescent="0.15">
      <c r="A12" s="9" t="s">
        <v>16</v>
      </c>
      <c r="B12" s="8">
        <v>1</v>
      </c>
      <c r="C12" s="8" t="s">
        <v>246</v>
      </c>
      <c r="D12" s="12" t="s">
        <v>17</v>
      </c>
      <c r="F12" s="8" t="s">
        <v>1056</v>
      </c>
      <c r="G12" s="8">
        <v>1</v>
      </c>
    </row>
  </sheetData>
  <autoFilter ref="A2:F4"/>
  <mergeCells count="1">
    <mergeCell ref="A1:E1"/>
  </mergeCells>
  <phoneticPr fontId="27" type="noConversion"/>
  <pageMargins left="0.69930555555555596" right="0.69930555555555596" top="0.75" bottom="0.75" header="0.3" footer="0.3"/>
  <pageSetup paperSize="9"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316"/>
  <sheetViews>
    <sheetView workbookViewId="0">
      <pane ySplit="8" topLeftCell="A9" activePane="bottomLeft" state="frozen"/>
      <selection pane="bottomLeft" activeCell="D11" sqref="D11"/>
    </sheetView>
  </sheetViews>
  <sheetFormatPr defaultColWidth="9" defaultRowHeight="13.5" x14ac:dyDescent="0.15"/>
  <cols>
    <col min="1" max="1" width="9" style="4" customWidth="1"/>
    <col min="2" max="2" width="10.625" style="6" customWidth="1"/>
    <col min="3" max="4" width="12.25" style="6" bestFit="1" customWidth="1"/>
    <col min="5" max="5" width="12.75" style="6" bestFit="1" customWidth="1"/>
    <col min="6" max="6" width="12.25" style="6" bestFit="1" customWidth="1"/>
    <col min="7" max="16384" width="9" style="4"/>
  </cols>
  <sheetData>
    <row r="1" spans="1:6" s="1" customFormat="1" x14ac:dyDescent="0.15">
      <c r="A1" s="5" t="s">
        <v>18</v>
      </c>
      <c r="B1" s="1" t="s">
        <v>1</v>
      </c>
      <c r="C1" s="1" t="s">
        <v>1</v>
      </c>
      <c r="D1" s="1" t="s">
        <v>1</v>
      </c>
      <c r="E1" s="1" t="s">
        <v>1</v>
      </c>
      <c r="F1" s="1" t="s">
        <v>1</v>
      </c>
    </row>
    <row r="2" spans="1:6" s="1" customFormat="1" x14ac:dyDescent="0.15">
      <c r="A2" s="5" t="s">
        <v>2</v>
      </c>
      <c r="B2" s="1" t="s">
        <v>1</v>
      </c>
      <c r="C2" s="1" t="s">
        <v>1</v>
      </c>
      <c r="D2" s="1" t="s">
        <v>1</v>
      </c>
      <c r="E2" s="1" t="s">
        <v>1</v>
      </c>
      <c r="F2" s="1" t="s">
        <v>1</v>
      </c>
    </row>
    <row r="3" spans="1:6" s="2" customFormat="1" ht="14.25" x14ac:dyDescent="0.15">
      <c r="A3" s="14" t="s">
        <v>1</v>
      </c>
      <c r="B3" s="14" t="s">
        <v>3</v>
      </c>
      <c r="C3" s="14" t="s">
        <v>158</v>
      </c>
      <c r="D3" s="14" t="s">
        <v>3</v>
      </c>
      <c r="E3" s="14" t="s">
        <v>3</v>
      </c>
      <c r="F3" s="14" t="s">
        <v>3</v>
      </c>
    </row>
    <row r="4" spans="1:6" s="2" customFormat="1" ht="14.25" x14ac:dyDescent="0.15">
      <c r="A4" s="14"/>
      <c r="B4" s="14" t="s">
        <v>4</v>
      </c>
      <c r="C4" s="14" t="s">
        <v>159</v>
      </c>
      <c r="D4" s="14" t="s">
        <v>160</v>
      </c>
      <c r="E4" s="14" t="s">
        <v>161</v>
      </c>
      <c r="F4" s="14" t="s">
        <v>1078</v>
      </c>
    </row>
    <row r="5" spans="1:6" s="2" customFormat="1" ht="14.25" x14ac:dyDescent="0.15">
      <c r="A5" s="14"/>
      <c r="B5" s="14" t="str">
        <f>IF(B3="","",IF(B3="INT","i",IF(B3="FLOAT","f",IF(B3="STRING","s"))))</f>
        <v>i</v>
      </c>
      <c r="C5" s="14" t="str">
        <f>IF(C3="","",IF(C3="INT","i",IF(C3="FLOAT","f",IF(C3="STRING","s"))))</f>
        <v>s</v>
      </c>
      <c r="D5" s="14" t="str">
        <f>IF(D3="","",IF(D3="INT","i",IF(D3="FLOAT","f",IF(D3="STRING","s"))))</f>
        <v>i</v>
      </c>
      <c r="E5" s="14" t="str">
        <f>IF(E3="","",IF(E3="INT","i",IF(E3="FLOAT","f",IF(E3="STRING","s"))))</f>
        <v>i</v>
      </c>
      <c r="F5" s="14" t="str">
        <f>IF(F3="","",IF(F3="INT","i",IF(F3="FLOAT","f",IF(F3="STRING","s"))))</f>
        <v>i</v>
      </c>
    </row>
    <row r="6" spans="1:6" s="2" customFormat="1" ht="14.25" x14ac:dyDescent="0.15">
      <c r="A6" s="14" t="s">
        <v>1</v>
      </c>
      <c r="B6" s="14" t="str">
        <f>B5&amp;B4</f>
        <v>iID</v>
      </c>
      <c r="C6" s="14" t="str">
        <f>C5&amp;C4</f>
        <v>sName</v>
      </c>
      <c r="D6" s="14" t="str">
        <f>D5&amp;D4</f>
        <v>iStar</v>
      </c>
      <c r="E6" s="14" t="str">
        <f>E5&amp;E4</f>
        <v>iUpInforCount</v>
      </c>
      <c r="F6" s="14" t="str">
        <f>F5&amp;F4</f>
        <v>iTaskID</v>
      </c>
    </row>
    <row r="7" spans="1:6" s="3" customFormat="1" ht="14.25" x14ac:dyDescent="0.15">
      <c r="A7" s="14"/>
      <c r="B7" s="14" t="s">
        <v>162</v>
      </c>
      <c r="C7" s="14" t="s">
        <v>163</v>
      </c>
      <c r="D7" s="14" t="s">
        <v>164</v>
      </c>
      <c r="E7" s="14" t="s">
        <v>165</v>
      </c>
      <c r="F7" s="14" t="s">
        <v>1079</v>
      </c>
    </row>
    <row r="8" spans="1:6" s="3" customFormat="1" ht="14.25" x14ac:dyDescent="0.15">
      <c r="A8" s="14" t="s">
        <v>6</v>
      </c>
      <c r="B8" s="14" t="e">
        <f>MODE(B13:B1046)</f>
        <v>#N/A</v>
      </c>
      <c r="C8" s="14"/>
      <c r="D8" s="14">
        <v>0</v>
      </c>
      <c r="E8" s="14">
        <v>0</v>
      </c>
      <c r="F8" s="14">
        <v>0</v>
      </c>
    </row>
    <row r="9" spans="1:6" s="19" customFormat="1" ht="15.75" customHeight="1" x14ac:dyDescent="0.15">
      <c r="A9" s="18"/>
      <c r="B9" s="18"/>
      <c r="C9" s="18"/>
      <c r="D9" s="18"/>
      <c r="E9" s="18"/>
      <c r="F9" s="18"/>
    </row>
    <row r="10" spans="1:6" x14ac:dyDescent="0.15">
      <c r="A10" s="4" t="s">
        <v>1</v>
      </c>
      <c r="B10" s="4">
        <v>1</v>
      </c>
      <c r="C10" s="73" t="s">
        <v>1371</v>
      </c>
      <c r="D10" s="23">
        <v>25</v>
      </c>
      <c r="E10" s="23">
        <v>200</v>
      </c>
      <c r="F10" s="23">
        <v>501</v>
      </c>
    </row>
    <row r="11" spans="1:6" x14ac:dyDescent="0.15">
      <c r="A11" s="4" t="s">
        <v>1</v>
      </c>
      <c r="B11" s="4">
        <v>2</v>
      </c>
      <c r="C11" s="73" t="s">
        <v>1372</v>
      </c>
      <c r="D11" s="23">
        <v>25</v>
      </c>
      <c r="E11" s="23">
        <v>200</v>
      </c>
      <c r="F11" s="23">
        <v>502</v>
      </c>
    </row>
    <row r="12" spans="1:6" x14ac:dyDescent="0.15">
      <c r="A12" s="4" t="s">
        <v>1</v>
      </c>
      <c r="B12" s="4">
        <v>3</v>
      </c>
      <c r="C12" s="73" t="s">
        <v>1373</v>
      </c>
      <c r="D12" s="23">
        <v>25</v>
      </c>
      <c r="E12" s="23">
        <v>200</v>
      </c>
      <c r="F12" s="23">
        <v>503</v>
      </c>
    </row>
    <row r="13" spans="1:6" ht="15.75" customHeight="1" x14ac:dyDescent="0.15">
      <c r="A13" s="4" t="s">
        <v>1</v>
      </c>
      <c r="B13" s="4">
        <v>4</v>
      </c>
      <c r="C13" s="73" t="s">
        <v>1374</v>
      </c>
      <c r="D13" s="23">
        <v>25</v>
      </c>
      <c r="E13" s="23">
        <v>200</v>
      </c>
      <c r="F13" s="23">
        <v>504</v>
      </c>
    </row>
    <row r="14" spans="1:6" x14ac:dyDescent="0.15">
      <c r="A14" s="4" t="s">
        <v>1</v>
      </c>
      <c r="B14" s="4">
        <v>5</v>
      </c>
      <c r="C14" s="73" t="s">
        <v>1375</v>
      </c>
      <c r="D14" s="23">
        <v>25</v>
      </c>
      <c r="E14" s="23">
        <v>200</v>
      </c>
      <c r="F14" s="23">
        <v>505</v>
      </c>
    </row>
    <row r="15" spans="1:6" x14ac:dyDescent="0.15">
      <c r="A15" s="4" t="s">
        <v>1</v>
      </c>
      <c r="B15" s="4">
        <v>6</v>
      </c>
      <c r="C15" s="73" t="s">
        <v>1376</v>
      </c>
      <c r="D15" s="23">
        <v>25</v>
      </c>
      <c r="E15" s="23">
        <v>200</v>
      </c>
      <c r="F15" s="23">
        <v>506</v>
      </c>
    </row>
    <row r="16" spans="1:6" x14ac:dyDescent="0.15">
      <c r="A16" s="4" t="s">
        <v>1</v>
      </c>
      <c r="B16" s="4">
        <v>7</v>
      </c>
      <c r="C16" s="73" t="s">
        <v>1377</v>
      </c>
      <c r="D16" s="23">
        <v>25</v>
      </c>
      <c r="E16" s="23">
        <v>200</v>
      </c>
      <c r="F16" s="23">
        <v>507</v>
      </c>
    </row>
    <row r="17" spans="1:6" x14ac:dyDescent="0.15">
      <c r="A17" s="4" t="s">
        <v>1</v>
      </c>
      <c r="B17" s="4">
        <v>8</v>
      </c>
      <c r="C17" s="73" t="s">
        <v>1378</v>
      </c>
      <c r="D17" s="23">
        <v>25</v>
      </c>
      <c r="E17" s="23">
        <v>200</v>
      </c>
      <c r="F17" s="23">
        <v>508</v>
      </c>
    </row>
    <row r="18" spans="1:6" x14ac:dyDescent="0.15">
      <c r="A18" s="4" t="s">
        <v>1</v>
      </c>
      <c r="B18" s="4">
        <v>9</v>
      </c>
      <c r="C18" s="73" t="s">
        <v>1379</v>
      </c>
      <c r="D18" s="23">
        <v>25</v>
      </c>
      <c r="E18" s="23">
        <v>200</v>
      </c>
      <c r="F18" s="23">
        <v>509</v>
      </c>
    </row>
    <row r="19" spans="1:6" x14ac:dyDescent="0.15">
      <c r="A19" s="4" t="s">
        <v>1</v>
      </c>
      <c r="B19" s="4">
        <v>10</v>
      </c>
      <c r="C19" s="73" t="s">
        <v>1380</v>
      </c>
      <c r="D19" s="23">
        <v>25</v>
      </c>
      <c r="E19" s="23">
        <v>200</v>
      </c>
      <c r="F19" s="23">
        <v>510</v>
      </c>
    </row>
    <row r="20" spans="1:6" x14ac:dyDescent="0.15">
      <c r="A20" s="4" t="s">
        <v>1</v>
      </c>
      <c r="B20" s="4">
        <v>11</v>
      </c>
      <c r="C20" s="73" t="s">
        <v>1381</v>
      </c>
      <c r="D20" s="23">
        <v>25</v>
      </c>
      <c r="E20" s="23">
        <v>200</v>
      </c>
      <c r="F20" s="23">
        <v>511</v>
      </c>
    </row>
    <row r="21" spans="1:6" x14ac:dyDescent="0.15">
      <c r="A21" s="4" t="s">
        <v>1</v>
      </c>
      <c r="B21" s="4">
        <v>12</v>
      </c>
      <c r="C21" s="73" t="s">
        <v>1382</v>
      </c>
      <c r="D21" s="23">
        <v>25</v>
      </c>
      <c r="E21" s="23">
        <v>200</v>
      </c>
      <c r="F21" s="23">
        <v>512</v>
      </c>
    </row>
    <row r="22" spans="1:6" x14ac:dyDescent="0.15">
      <c r="B22" s="4"/>
      <c r="C22" s="23"/>
      <c r="D22" s="23"/>
      <c r="E22" s="23"/>
      <c r="F22" s="23"/>
    </row>
    <row r="23" spans="1:6" x14ac:dyDescent="0.15">
      <c r="B23" s="4"/>
      <c r="C23" s="23"/>
      <c r="D23" s="23"/>
      <c r="E23" s="23"/>
      <c r="F23" s="23"/>
    </row>
    <row r="24" spans="1:6" x14ac:dyDescent="0.15">
      <c r="B24" s="4"/>
      <c r="C24" s="23"/>
      <c r="D24" s="23"/>
      <c r="E24" s="23"/>
      <c r="F24" s="23"/>
    </row>
    <row r="25" spans="1:6" x14ac:dyDescent="0.15">
      <c r="B25" s="4"/>
      <c r="C25" s="23"/>
      <c r="D25" s="23"/>
      <c r="E25" s="23"/>
      <c r="F25" s="23"/>
    </row>
    <row r="26" spans="1:6" x14ac:dyDescent="0.15">
      <c r="B26" s="4"/>
      <c r="C26" s="23"/>
      <c r="D26" s="23"/>
      <c r="E26" s="23"/>
      <c r="F26" s="23"/>
    </row>
    <row r="27" spans="1:6" x14ac:dyDescent="0.15">
      <c r="B27" s="4"/>
      <c r="C27" s="23"/>
      <c r="D27" s="23"/>
      <c r="E27" s="23"/>
      <c r="F27" s="23"/>
    </row>
    <row r="28" spans="1:6" x14ac:dyDescent="0.15">
      <c r="B28" s="4"/>
      <c r="C28" s="23"/>
      <c r="D28" s="23"/>
      <c r="E28" s="23"/>
      <c r="F28" s="23"/>
    </row>
    <row r="29" spans="1:6" x14ac:dyDescent="0.15">
      <c r="B29" s="4"/>
      <c r="C29" s="23"/>
      <c r="D29" s="23"/>
      <c r="E29" s="23"/>
      <c r="F29" s="23"/>
    </row>
    <row r="30" spans="1:6" x14ac:dyDescent="0.15">
      <c r="B30" s="4"/>
      <c r="C30" s="23"/>
      <c r="D30" s="23"/>
      <c r="E30" s="23"/>
      <c r="F30" s="23"/>
    </row>
    <row r="31" spans="1:6" x14ac:dyDescent="0.15">
      <c r="B31" s="4"/>
      <c r="C31" s="23"/>
      <c r="D31" s="23"/>
      <c r="E31" s="23"/>
      <c r="F31" s="23"/>
    </row>
    <row r="32" spans="1:6" x14ac:dyDescent="0.15">
      <c r="B32" s="4"/>
      <c r="C32" s="23"/>
      <c r="D32" s="23"/>
      <c r="E32" s="23"/>
      <c r="F32" s="23"/>
    </row>
    <row r="33" spans="2:6" x14ac:dyDescent="0.15">
      <c r="B33" s="4"/>
      <c r="C33" s="23"/>
      <c r="D33" s="23"/>
      <c r="E33" s="23"/>
      <c r="F33" s="23"/>
    </row>
    <row r="34" spans="2:6" x14ac:dyDescent="0.15">
      <c r="B34" s="4"/>
      <c r="C34" s="23"/>
      <c r="D34" s="23"/>
      <c r="E34" s="23"/>
      <c r="F34" s="23"/>
    </row>
    <row r="35" spans="2:6" x14ac:dyDescent="0.15">
      <c r="B35" s="4"/>
      <c r="C35" s="23"/>
      <c r="D35" s="23"/>
      <c r="E35" s="23"/>
      <c r="F35" s="23"/>
    </row>
    <row r="36" spans="2:6" x14ac:dyDescent="0.15">
      <c r="B36" s="4"/>
      <c r="C36" s="23"/>
      <c r="D36" s="23"/>
      <c r="E36" s="23"/>
      <c r="F36" s="23"/>
    </row>
    <row r="37" spans="2:6" x14ac:dyDescent="0.15">
      <c r="B37" s="4"/>
      <c r="C37" s="23"/>
      <c r="D37" s="23"/>
      <c r="E37" s="23"/>
      <c r="F37" s="23"/>
    </row>
    <row r="38" spans="2:6" x14ac:dyDescent="0.15">
      <c r="B38" s="4"/>
      <c r="C38" s="23"/>
      <c r="D38" s="23"/>
      <c r="E38" s="23"/>
      <c r="F38" s="23"/>
    </row>
    <row r="39" spans="2:6" x14ac:dyDescent="0.15">
      <c r="B39" s="4"/>
      <c r="C39" s="23"/>
      <c r="D39" s="23"/>
      <c r="E39" s="23"/>
      <c r="F39" s="23"/>
    </row>
    <row r="40" spans="2:6" x14ac:dyDescent="0.15">
      <c r="B40" s="4"/>
      <c r="C40" s="23"/>
      <c r="D40" s="23"/>
      <c r="E40" s="23"/>
      <c r="F40" s="23"/>
    </row>
    <row r="41" spans="2:6" x14ac:dyDescent="0.15">
      <c r="B41" s="4"/>
      <c r="C41" s="23"/>
      <c r="D41" s="23"/>
      <c r="E41" s="23"/>
      <c r="F41" s="23"/>
    </row>
    <row r="42" spans="2:6" x14ac:dyDescent="0.15">
      <c r="B42" s="4"/>
      <c r="C42" s="23"/>
      <c r="D42" s="23"/>
      <c r="E42" s="23"/>
      <c r="F42" s="23"/>
    </row>
    <row r="43" spans="2:6" x14ac:dyDescent="0.15">
      <c r="B43" s="4"/>
      <c r="C43" s="23"/>
      <c r="D43" s="23"/>
      <c r="E43" s="23"/>
      <c r="F43" s="23"/>
    </row>
    <row r="44" spans="2:6" x14ac:dyDescent="0.15">
      <c r="B44" s="4"/>
      <c r="C44" s="23"/>
      <c r="D44" s="23"/>
      <c r="E44" s="23"/>
      <c r="F44" s="23"/>
    </row>
    <row r="45" spans="2:6" x14ac:dyDescent="0.15">
      <c r="B45" s="4"/>
      <c r="C45" s="23"/>
      <c r="D45" s="23"/>
      <c r="E45" s="23"/>
      <c r="F45" s="23"/>
    </row>
    <row r="46" spans="2:6" x14ac:dyDescent="0.15">
      <c r="B46" s="4"/>
      <c r="C46" s="23"/>
      <c r="D46" s="23"/>
      <c r="E46" s="23"/>
      <c r="F46" s="23"/>
    </row>
    <row r="47" spans="2:6" x14ac:dyDescent="0.15">
      <c r="B47" s="4"/>
      <c r="C47" s="23"/>
      <c r="D47" s="23"/>
      <c r="E47" s="23"/>
      <c r="F47" s="23"/>
    </row>
    <row r="48" spans="2:6" x14ac:dyDescent="0.15">
      <c r="B48" s="4"/>
      <c r="C48" s="23"/>
      <c r="D48" s="23"/>
      <c r="E48" s="23"/>
      <c r="F48" s="23"/>
    </row>
    <row r="49" spans="2:6" x14ac:dyDescent="0.15">
      <c r="B49" s="4"/>
      <c r="C49" s="23"/>
      <c r="D49" s="23"/>
      <c r="E49" s="23"/>
      <c r="F49" s="23"/>
    </row>
    <row r="50" spans="2:6" x14ac:dyDescent="0.15">
      <c r="B50" s="4"/>
      <c r="C50" s="23"/>
      <c r="D50" s="23"/>
      <c r="E50" s="23"/>
      <c r="F50" s="23"/>
    </row>
    <row r="51" spans="2:6" x14ac:dyDescent="0.15">
      <c r="B51" s="4"/>
      <c r="C51" s="23"/>
      <c r="D51" s="23"/>
      <c r="E51" s="23"/>
      <c r="F51" s="23"/>
    </row>
    <row r="52" spans="2:6" x14ac:dyDescent="0.15">
      <c r="B52" s="4"/>
      <c r="C52" s="23"/>
      <c r="D52" s="23"/>
      <c r="E52" s="23"/>
      <c r="F52" s="23"/>
    </row>
    <row r="53" spans="2:6" x14ac:dyDescent="0.15">
      <c r="B53" s="4"/>
      <c r="C53" s="23"/>
      <c r="D53" s="23"/>
      <c r="E53" s="23"/>
      <c r="F53" s="23"/>
    </row>
    <row r="54" spans="2:6" x14ac:dyDescent="0.15">
      <c r="B54" s="4"/>
      <c r="C54" s="23"/>
      <c r="D54" s="23"/>
      <c r="E54" s="23"/>
      <c r="F54" s="23"/>
    </row>
    <row r="55" spans="2:6" x14ac:dyDescent="0.15">
      <c r="B55" s="4"/>
      <c r="C55" s="23"/>
      <c r="D55" s="23"/>
      <c r="E55" s="23"/>
      <c r="F55" s="23"/>
    </row>
    <row r="56" spans="2:6" x14ac:dyDescent="0.15">
      <c r="B56" s="4"/>
      <c r="C56" s="23"/>
      <c r="D56" s="23"/>
      <c r="E56" s="23"/>
      <c r="F56" s="23"/>
    </row>
    <row r="57" spans="2:6" x14ac:dyDescent="0.15">
      <c r="B57" s="4"/>
      <c r="C57" s="23"/>
      <c r="D57" s="23"/>
      <c r="E57" s="23"/>
      <c r="F57" s="23"/>
    </row>
    <row r="58" spans="2:6" x14ac:dyDescent="0.15">
      <c r="B58" s="4"/>
      <c r="C58" s="23"/>
      <c r="D58" s="23"/>
      <c r="E58" s="23"/>
      <c r="F58" s="23"/>
    </row>
    <row r="59" spans="2:6" x14ac:dyDescent="0.15">
      <c r="B59" s="4"/>
      <c r="C59" s="23"/>
      <c r="D59" s="23"/>
      <c r="E59" s="23"/>
      <c r="F59" s="23"/>
    </row>
    <row r="60" spans="2:6" x14ac:dyDescent="0.15">
      <c r="B60" s="4"/>
      <c r="C60" s="23"/>
      <c r="D60" s="23"/>
      <c r="E60" s="23"/>
      <c r="F60" s="23"/>
    </row>
    <row r="61" spans="2:6" x14ac:dyDescent="0.15">
      <c r="B61" s="4"/>
      <c r="C61" s="23"/>
      <c r="D61" s="23"/>
      <c r="E61" s="23"/>
      <c r="F61" s="23"/>
    </row>
    <row r="62" spans="2:6" x14ac:dyDescent="0.15">
      <c r="B62" s="4"/>
      <c r="C62" s="23"/>
      <c r="D62" s="23"/>
      <c r="E62" s="23"/>
      <c r="F62" s="23"/>
    </row>
    <row r="63" spans="2:6" x14ac:dyDescent="0.15">
      <c r="B63" s="4"/>
      <c r="C63" s="23"/>
      <c r="D63" s="23"/>
      <c r="E63" s="23"/>
      <c r="F63" s="23"/>
    </row>
    <row r="64" spans="2:6" x14ac:dyDescent="0.15">
      <c r="B64" s="4"/>
      <c r="C64" s="23"/>
      <c r="D64" s="23"/>
      <c r="E64" s="23"/>
      <c r="F64" s="23"/>
    </row>
    <row r="65" spans="2:6" x14ac:dyDescent="0.15">
      <c r="B65" s="4"/>
      <c r="C65" s="23"/>
      <c r="D65" s="23"/>
      <c r="E65" s="23"/>
      <c r="F65" s="23"/>
    </row>
    <row r="66" spans="2:6" x14ac:dyDescent="0.15">
      <c r="B66" s="4"/>
      <c r="C66" s="23"/>
      <c r="D66" s="23"/>
      <c r="E66" s="23"/>
      <c r="F66" s="23"/>
    </row>
    <row r="67" spans="2:6" x14ac:dyDescent="0.15">
      <c r="B67" s="4"/>
      <c r="C67" s="23"/>
      <c r="D67" s="23"/>
      <c r="E67" s="23"/>
      <c r="F67" s="23"/>
    </row>
    <row r="68" spans="2:6" x14ac:dyDescent="0.15">
      <c r="B68" s="4"/>
      <c r="C68" s="23"/>
      <c r="D68" s="23"/>
      <c r="E68" s="23"/>
      <c r="F68" s="23"/>
    </row>
    <row r="69" spans="2:6" x14ac:dyDescent="0.15">
      <c r="B69" s="4"/>
      <c r="C69" s="23"/>
      <c r="D69" s="23"/>
      <c r="E69" s="23"/>
      <c r="F69" s="23"/>
    </row>
    <row r="70" spans="2:6" x14ac:dyDescent="0.15">
      <c r="B70" s="4"/>
      <c r="C70" s="23"/>
      <c r="D70" s="23"/>
      <c r="E70" s="23"/>
      <c r="F70" s="23"/>
    </row>
    <row r="71" spans="2:6" x14ac:dyDescent="0.15">
      <c r="B71" s="4"/>
      <c r="C71" s="23"/>
      <c r="D71" s="23"/>
      <c r="E71" s="23"/>
      <c r="F71" s="23"/>
    </row>
    <row r="72" spans="2:6" x14ac:dyDescent="0.15">
      <c r="B72" s="4"/>
      <c r="C72" s="23"/>
      <c r="D72" s="23"/>
      <c r="E72" s="23"/>
      <c r="F72" s="23"/>
    </row>
    <row r="73" spans="2:6" x14ac:dyDescent="0.15">
      <c r="B73" s="4"/>
      <c r="C73" s="23"/>
      <c r="D73" s="23"/>
      <c r="E73" s="23"/>
      <c r="F73" s="23"/>
    </row>
    <row r="74" spans="2:6" x14ac:dyDescent="0.15">
      <c r="B74" s="4"/>
      <c r="C74" s="23"/>
      <c r="D74" s="23"/>
      <c r="E74" s="23"/>
      <c r="F74" s="23"/>
    </row>
    <row r="75" spans="2:6" x14ac:dyDescent="0.15">
      <c r="B75" s="4"/>
      <c r="C75" s="23"/>
      <c r="D75" s="23"/>
      <c r="E75" s="23"/>
      <c r="F75" s="23"/>
    </row>
    <row r="76" spans="2:6" x14ac:dyDescent="0.15">
      <c r="B76" s="4"/>
      <c r="C76" s="23"/>
      <c r="D76" s="23"/>
      <c r="E76" s="23"/>
      <c r="F76" s="23"/>
    </row>
    <row r="77" spans="2:6" x14ac:dyDescent="0.15">
      <c r="B77" s="4"/>
      <c r="C77" s="23"/>
      <c r="D77" s="23"/>
      <c r="E77" s="23"/>
      <c r="F77" s="23"/>
    </row>
    <row r="78" spans="2:6" x14ac:dyDescent="0.15">
      <c r="B78" s="4"/>
      <c r="C78" s="23"/>
      <c r="D78" s="23"/>
      <c r="E78" s="23"/>
      <c r="F78" s="23"/>
    </row>
    <row r="79" spans="2:6" x14ac:dyDescent="0.15">
      <c r="B79" s="4"/>
      <c r="C79" s="23"/>
      <c r="D79" s="23"/>
      <c r="E79" s="23"/>
      <c r="F79" s="23"/>
    </row>
    <row r="80" spans="2:6" x14ac:dyDescent="0.15">
      <c r="B80" s="4"/>
      <c r="C80" s="23"/>
      <c r="D80" s="23"/>
      <c r="E80" s="23"/>
      <c r="F80" s="23"/>
    </row>
    <row r="81" spans="2:6" x14ac:dyDescent="0.15">
      <c r="B81" s="4"/>
      <c r="C81" s="23"/>
      <c r="D81" s="23"/>
      <c r="E81" s="23"/>
      <c r="F81" s="23"/>
    </row>
    <row r="82" spans="2:6" x14ac:dyDescent="0.15">
      <c r="B82" s="4"/>
      <c r="C82" s="23"/>
      <c r="D82" s="23"/>
      <c r="E82" s="23"/>
      <c r="F82" s="23"/>
    </row>
    <row r="83" spans="2:6" x14ac:dyDescent="0.15">
      <c r="B83" s="4"/>
      <c r="C83" s="23"/>
      <c r="D83" s="23"/>
      <c r="E83" s="23"/>
      <c r="F83" s="23"/>
    </row>
    <row r="84" spans="2:6" x14ac:dyDescent="0.15">
      <c r="B84" s="4"/>
      <c r="C84" s="23"/>
      <c r="D84" s="23"/>
      <c r="E84" s="23"/>
      <c r="F84" s="23"/>
    </row>
    <row r="85" spans="2:6" x14ac:dyDescent="0.15">
      <c r="B85" s="4"/>
      <c r="C85" s="23"/>
      <c r="D85" s="23"/>
      <c r="E85" s="23"/>
      <c r="F85" s="23"/>
    </row>
    <row r="86" spans="2:6" x14ac:dyDescent="0.15">
      <c r="B86" s="4"/>
      <c r="C86" s="23"/>
      <c r="D86" s="23"/>
      <c r="E86" s="23"/>
      <c r="F86" s="23"/>
    </row>
    <row r="87" spans="2:6" x14ac:dyDescent="0.15">
      <c r="B87" s="4"/>
      <c r="C87" s="23"/>
      <c r="D87" s="23"/>
      <c r="E87" s="23"/>
      <c r="F87" s="23"/>
    </row>
    <row r="88" spans="2:6" x14ac:dyDescent="0.15">
      <c r="B88" s="4"/>
      <c r="C88" s="23"/>
      <c r="D88" s="23"/>
      <c r="E88" s="23"/>
      <c r="F88" s="23"/>
    </row>
    <row r="89" spans="2:6" x14ac:dyDescent="0.15">
      <c r="B89" s="4"/>
      <c r="C89" s="23"/>
      <c r="D89" s="23"/>
      <c r="E89" s="23"/>
      <c r="F89" s="23"/>
    </row>
    <row r="90" spans="2:6" x14ac:dyDescent="0.15">
      <c r="B90" s="4"/>
      <c r="C90" s="23"/>
      <c r="D90" s="23"/>
      <c r="E90" s="23"/>
      <c r="F90" s="23"/>
    </row>
    <row r="91" spans="2:6" x14ac:dyDescent="0.15">
      <c r="B91" s="4"/>
    </row>
    <row r="92" spans="2:6" x14ac:dyDescent="0.15">
      <c r="B92" s="4"/>
    </row>
    <row r="93" spans="2:6" x14ac:dyDescent="0.15">
      <c r="B93" s="4"/>
    </row>
    <row r="94" spans="2:6" x14ac:dyDescent="0.15">
      <c r="B94" s="4"/>
    </row>
    <row r="95" spans="2:6" x14ac:dyDescent="0.15">
      <c r="B95" s="4"/>
    </row>
    <row r="96" spans="2:6" x14ac:dyDescent="0.15">
      <c r="B96" s="4"/>
    </row>
    <row r="97" spans="2:6" x14ac:dyDescent="0.15">
      <c r="B97" s="4"/>
    </row>
    <row r="98" spans="2:6" x14ac:dyDescent="0.15">
      <c r="B98" s="4"/>
    </row>
    <row r="99" spans="2:6" x14ac:dyDescent="0.15">
      <c r="B99" s="4"/>
      <c r="C99" s="4"/>
      <c r="D99" s="4"/>
      <c r="E99" s="4"/>
      <c r="F99" s="4"/>
    </row>
    <row r="100" spans="2:6" x14ac:dyDescent="0.15">
      <c r="B100" s="4"/>
      <c r="C100" s="4"/>
      <c r="D100" s="4"/>
      <c r="E100" s="4"/>
      <c r="F100" s="4"/>
    </row>
    <row r="102" spans="2:6" x14ac:dyDescent="0.15">
      <c r="B102" s="4"/>
      <c r="C102" s="4"/>
      <c r="D102" s="4"/>
      <c r="E102" s="4"/>
      <c r="F102" s="4"/>
    </row>
    <row r="103" spans="2:6" x14ac:dyDescent="0.15">
      <c r="B103" s="4"/>
      <c r="C103" s="4"/>
      <c r="D103" s="4"/>
      <c r="E103" s="4"/>
      <c r="F103" s="4"/>
    </row>
    <row r="104" spans="2:6" x14ac:dyDescent="0.15">
      <c r="B104" s="4"/>
      <c r="C104" s="4"/>
      <c r="D104" s="4"/>
      <c r="E104" s="4"/>
      <c r="F104" s="4"/>
    </row>
    <row r="105" spans="2:6" x14ac:dyDescent="0.15">
      <c r="B105" s="4"/>
      <c r="C105" s="4"/>
      <c r="D105" s="4"/>
      <c r="E105" s="4"/>
      <c r="F105" s="4"/>
    </row>
    <row r="106" spans="2:6" x14ac:dyDescent="0.15">
      <c r="B106" s="4"/>
      <c r="C106" s="4"/>
      <c r="D106" s="4"/>
      <c r="E106" s="4"/>
      <c r="F106" s="4"/>
    </row>
    <row r="107" spans="2:6" x14ac:dyDescent="0.15">
      <c r="B107" s="4"/>
      <c r="C107" s="4"/>
      <c r="D107" s="4"/>
      <c r="E107" s="4"/>
      <c r="F107" s="4"/>
    </row>
    <row r="108" spans="2:6" x14ac:dyDescent="0.15">
      <c r="B108" s="4"/>
      <c r="C108" s="4"/>
      <c r="D108" s="4"/>
      <c r="E108" s="4"/>
      <c r="F108" s="4"/>
    </row>
    <row r="109" spans="2:6" x14ac:dyDescent="0.15">
      <c r="B109" s="4"/>
      <c r="C109" s="4"/>
      <c r="D109" s="4"/>
      <c r="E109" s="4"/>
      <c r="F109" s="4"/>
    </row>
    <row r="110" spans="2:6" x14ac:dyDescent="0.15">
      <c r="B110" s="4"/>
      <c r="C110" s="4"/>
      <c r="D110" s="4"/>
      <c r="E110" s="4"/>
      <c r="F110" s="4"/>
    </row>
    <row r="111" spans="2:6" x14ac:dyDescent="0.15">
      <c r="B111" s="4"/>
      <c r="C111" s="4"/>
      <c r="D111" s="4"/>
      <c r="E111" s="4"/>
      <c r="F111" s="4"/>
    </row>
    <row r="112" spans="2:6" x14ac:dyDescent="0.15">
      <c r="B112" s="4"/>
      <c r="C112" s="4"/>
      <c r="D112" s="4"/>
      <c r="E112" s="4"/>
      <c r="F112" s="4"/>
    </row>
    <row r="113" spans="1:6" x14ac:dyDescent="0.15">
      <c r="B113" s="4"/>
      <c r="C113" s="4"/>
      <c r="D113" s="4"/>
      <c r="E113" s="4"/>
      <c r="F113" s="4"/>
    </row>
    <row r="114" spans="1:6" x14ac:dyDescent="0.15">
      <c r="B114" s="4"/>
      <c r="C114" s="4"/>
      <c r="D114" s="4"/>
      <c r="E114" s="4"/>
      <c r="F114" s="4"/>
    </row>
    <row r="115" spans="1:6" x14ac:dyDescent="0.15">
      <c r="B115" s="4"/>
      <c r="C115" s="4"/>
      <c r="D115" s="4"/>
      <c r="E115" s="4"/>
      <c r="F115" s="4"/>
    </row>
    <row r="116" spans="1:6" x14ac:dyDescent="0.15">
      <c r="B116" s="4"/>
      <c r="C116" s="4"/>
      <c r="D116" s="4"/>
      <c r="E116" s="4"/>
      <c r="F116" s="4"/>
    </row>
    <row r="117" spans="1:6" x14ac:dyDescent="0.15">
      <c r="B117" s="4"/>
      <c r="C117" s="4"/>
      <c r="D117" s="4"/>
      <c r="E117" s="4"/>
      <c r="F117" s="4"/>
    </row>
    <row r="118" spans="1:6" x14ac:dyDescent="0.15">
      <c r="B118" s="4"/>
      <c r="C118" s="4"/>
      <c r="D118" s="4"/>
      <c r="E118" s="4"/>
      <c r="F118" s="4"/>
    </row>
    <row r="119" spans="1:6" s="20" customFormat="1" x14ac:dyDescent="0.15">
      <c r="A119" s="4"/>
      <c r="B119" s="4"/>
      <c r="C119" s="4"/>
      <c r="D119" s="4"/>
      <c r="E119" s="4"/>
      <c r="F119" s="4"/>
    </row>
    <row r="120" spans="1:6" s="20" customFormat="1" x14ac:dyDescent="0.15">
      <c r="A120" s="4"/>
      <c r="B120" s="4"/>
      <c r="C120" s="4"/>
      <c r="D120" s="4"/>
      <c r="E120" s="4"/>
      <c r="F120" s="4"/>
    </row>
    <row r="121" spans="1:6" s="20" customFormat="1" x14ac:dyDescent="0.15">
      <c r="A121" s="4"/>
      <c r="B121" s="4"/>
      <c r="C121" s="4"/>
      <c r="D121" s="4"/>
      <c r="E121" s="4"/>
      <c r="F121" s="4"/>
    </row>
    <row r="122" spans="1:6" s="20" customFormat="1" x14ac:dyDescent="0.15">
      <c r="A122" s="4"/>
      <c r="B122" s="4"/>
      <c r="C122" s="4"/>
      <c r="D122" s="4"/>
      <c r="E122" s="4"/>
      <c r="F122" s="4"/>
    </row>
    <row r="123" spans="1:6" s="20" customFormat="1" x14ac:dyDescent="0.15">
      <c r="A123" s="4"/>
      <c r="B123" s="4"/>
      <c r="C123" s="4"/>
      <c r="D123" s="4"/>
      <c r="E123" s="4"/>
      <c r="F123" s="4"/>
    </row>
    <row r="124" spans="1:6" s="20" customFormat="1" x14ac:dyDescent="0.15">
      <c r="A124" s="4"/>
      <c r="B124" s="4"/>
      <c r="C124" s="4"/>
      <c r="D124" s="4"/>
      <c r="E124" s="4"/>
      <c r="F124" s="4"/>
    </row>
    <row r="125" spans="1:6" s="20" customFormat="1" x14ac:dyDescent="0.15">
      <c r="A125" s="4"/>
      <c r="B125" s="4"/>
      <c r="C125" s="4"/>
      <c r="D125" s="4"/>
      <c r="E125" s="4"/>
      <c r="F125" s="4"/>
    </row>
    <row r="126" spans="1:6" s="20" customFormat="1" x14ac:dyDescent="0.15">
      <c r="A126" s="4"/>
      <c r="B126" s="4"/>
      <c r="C126" s="4"/>
      <c r="D126" s="4"/>
      <c r="E126" s="4"/>
      <c r="F126" s="4"/>
    </row>
    <row r="127" spans="1:6" s="20" customFormat="1" x14ac:dyDescent="0.15">
      <c r="A127" s="4"/>
      <c r="B127" s="4"/>
      <c r="C127" s="4"/>
      <c r="D127" s="4"/>
      <c r="E127" s="4"/>
      <c r="F127" s="4"/>
    </row>
    <row r="128" spans="1:6" s="20" customFormat="1" x14ac:dyDescent="0.15">
      <c r="A128" s="4"/>
      <c r="B128" s="4"/>
      <c r="C128" s="4"/>
      <c r="D128" s="4"/>
      <c r="E128" s="4"/>
      <c r="F128" s="4"/>
    </row>
    <row r="129" spans="1:6" s="20" customFormat="1" x14ac:dyDescent="0.15">
      <c r="A129" s="4"/>
      <c r="B129" s="4"/>
      <c r="C129" s="4"/>
      <c r="D129" s="4"/>
      <c r="E129" s="4"/>
      <c r="F129" s="4"/>
    </row>
    <row r="130" spans="1:6" s="20" customFormat="1" x14ac:dyDescent="0.15">
      <c r="A130" s="4"/>
      <c r="B130" s="4"/>
      <c r="C130" s="4"/>
      <c r="D130" s="4"/>
      <c r="E130" s="4"/>
      <c r="F130" s="4"/>
    </row>
    <row r="131" spans="1:6" s="20" customFormat="1" x14ac:dyDescent="0.15">
      <c r="A131" s="4"/>
      <c r="B131" s="4"/>
      <c r="C131" s="4"/>
      <c r="D131" s="4"/>
      <c r="E131" s="4"/>
      <c r="F131" s="4"/>
    </row>
    <row r="132" spans="1:6" s="20" customFormat="1" x14ac:dyDescent="0.15">
      <c r="A132" s="4"/>
      <c r="B132" s="4"/>
      <c r="C132" s="4"/>
      <c r="D132" s="4"/>
      <c r="E132" s="4"/>
      <c r="F132" s="4"/>
    </row>
    <row r="133" spans="1:6" s="20" customFormat="1" x14ac:dyDescent="0.15">
      <c r="A133" s="4"/>
      <c r="B133" s="4"/>
      <c r="C133" s="4"/>
      <c r="D133" s="4"/>
      <c r="E133" s="4"/>
      <c r="F133" s="4"/>
    </row>
    <row r="134" spans="1:6" s="20" customFormat="1" x14ac:dyDescent="0.15">
      <c r="A134" s="4"/>
      <c r="B134" s="4"/>
      <c r="C134" s="4"/>
      <c r="D134" s="4"/>
      <c r="E134" s="4"/>
      <c r="F134" s="4"/>
    </row>
    <row r="135" spans="1:6" s="20" customFormat="1" x14ac:dyDescent="0.15">
      <c r="A135" s="4"/>
      <c r="B135" s="4"/>
      <c r="C135" s="4"/>
      <c r="D135" s="4"/>
      <c r="E135" s="4"/>
      <c r="F135" s="4"/>
    </row>
    <row r="136" spans="1:6" s="20" customFormat="1" x14ac:dyDescent="0.15">
      <c r="A136" s="4"/>
      <c r="B136" s="4"/>
    </row>
    <row r="137" spans="1:6" s="20" customFormat="1" x14ac:dyDescent="0.15">
      <c r="A137" s="4"/>
      <c r="B137" s="4"/>
    </row>
    <row r="138" spans="1:6" s="20" customFormat="1" x14ac:dyDescent="0.15">
      <c r="A138" s="4"/>
      <c r="B138" s="4"/>
    </row>
    <row r="139" spans="1:6" s="20" customFormat="1" x14ac:dyDescent="0.15">
      <c r="A139" s="4"/>
      <c r="B139" s="4"/>
    </row>
    <row r="140" spans="1:6" s="20" customFormat="1" x14ac:dyDescent="0.15">
      <c r="A140" s="4"/>
      <c r="B140" s="4"/>
    </row>
    <row r="141" spans="1:6" s="20" customFormat="1" x14ac:dyDescent="0.15">
      <c r="A141" s="4"/>
      <c r="B141" s="4"/>
    </row>
    <row r="142" spans="1:6" s="20" customFormat="1" x14ac:dyDescent="0.15">
      <c r="A142" s="4"/>
      <c r="B142" s="4"/>
    </row>
    <row r="143" spans="1:6" s="20" customFormat="1" x14ac:dyDescent="0.15">
      <c r="A143" s="4"/>
      <c r="B143" s="4"/>
    </row>
    <row r="144" spans="1:6" s="20" customFormat="1" x14ac:dyDescent="0.15">
      <c r="A144" s="4"/>
      <c r="B144" s="4"/>
    </row>
    <row r="145" spans="1:2" s="20" customFormat="1" x14ac:dyDescent="0.15">
      <c r="A145" s="4"/>
      <c r="B145" s="4"/>
    </row>
    <row r="146" spans="1:2" s="20" customFormat="1" x14ac:dyDescent="0.15">
      <c r="A146" s="4"/>
      <c r="B146" s="4"/>
    </row>
    <row r="147" spans="1:2" s="20" customFormat="1" x14ac:dyDescent="0.15">
      <c r="A147" s="4"/>
      <c r="B147" s="4"/>
    </row>
    <row r="148" spans="1:2" s="20" customFormat="1" x14ac:dyDescent="0.15">
      <c r="A148" s="4"/>
      <c r="B148" s="4"/>
    </row>
    <row r="149" spans="1:2" s="20" customFormat="1" x14ac:dyDescent="0.15">
      <c r="A149" s="4"/>
      <c r="B149" s="4"/>
    </row>
    <row r="150" spans="1:2" s="20" customFormat="1" x14ac:dyDescent="0.15">
      <c r="A150" s="4"/>
      <c r="B150" s="4"/>
    </row>
    <row r="151" spans="1:2" s="20" customFormat="1" x14ac:dyDescent="0.15">
      <c r="A151" s="4"/>
      <c r="B151" s="4"/>
    </row>
    <row r="152" spans="1:2" s="20" customFormat="1" x14ac:dyDescent="0.15">
      <c r="A152" s="4"/>
      <c r="B152" s="4"/>
    </row>
    <row r="153" spans="1:2" s="20" customFormat="1" x14ac:dyDescent="0.15">
      <c r="A153" s="4"/>
      <c r="B153" s="4"/>
    </row>
    <row r="154" spans="1:2" s="20" customFormat="1" x14ac:dyDescent="0.15">
      <c r="A154" s="4"/>
      <c r="B154" s="4"/>
    </row>
    <row r="155" spans="1:2" s="20" customFormat="1" x14ac:dyDescent="0.15">
      <c r="A155" s="4"/>
      <c r="B155" s="4"/>
    </row>
    <row r="156" spans="1:2" s="20" customFormat="1" x14ac:dyDescent="0.15">
      <c r="A156" s="4"/>
      <c r="B156" s="4"/>
    </row>
    <row r="157" spans="1:2" s="20" customFormat="1" x14ac:dyDescent="0.15">
      <c r="A157" s="4"/>
      <c r="B157" s="4"/>
    </row>
    <row r="158" spans="1:2" s="20" customFormat="1" x14ac:dyDescent="0.15">
      <c r="A158" s="4"/>
      <c r="B158" s="4"/>
    </row>
    <row r="159" spans="1:2" s="20" customFormat="1" x14ac:dyDescent="0.15">
      <c r="A159" s="4"/>
      <c r="B159" s="4"/>
    </row>
    <row r="160" spans="1:2" s="20" customFormat="1" x14ac:dyDescent="0.15">
      <c r="A160" s="4"/>
      <c r="B160" s="4"/>
    </row>
    <row r="161" spans="1:6" s="20" customFormat="1" x14ac:dyDescent="0.15">
      <c r="A161" s="4"/>
      <c r="B161" s="4"/>
    </row>
    <row r="162" spans="1:6" s="20" customFormat="1" x14ac:dyDescent="0.15">
      <c r="A162" s="4"/>
      <c r="B162" s="4"/>
    </row>
    <row r="163" spans="1:6" s="20" customFormat="1" x14ac:dyDescent="0.15">
      <c r="A163" s="4"/>
      <c r="B163" s="4"/>
    </row>
    <row r="164" spans="1:6" s="20" customFormat="1" x14ac:dyDescent="0.15">
      <c r="A164" s="4"/>
      <c r="B164" s="4"/>
    </row>
    <row r="165" spans="1:6" s="20" customFormat="1" x14ac:dyDescent="0.15">
      <c r="A165" s="4"/>
      <c r="B165" s="4"/>
    </row>
    <row r="166" spans="1:6" s="20" customFormat="1" x14ac:dyDescent="0.15">
      <c r="A166" s="4"/>
      <c r="B166" s="4"/>
    </row>
    <row r="167" spans="1:6" x14ac:dyDescent="0.15">
      <c r="B167" s="4"/>
      <c r="C167" s="20"/>
      <c r="D167" s="20"/>
      <c r="E167" s="20"/>
      <c r="F167" s="20"/>
    </row>
    <row r="168" spans="1:6" x14ac:dyDescent="0.15">
      <c r="B168" s="4"/>
      <c r="C168" s="20"/>
      <c r="D168" s="20"/>
      <c r="E168" s="20"/>
      <c r="F168" s="20"/>
    </row>
    <row r="169" spans="1:6" x14ac:dyDescent="0.15">
      <c r="B169" s="4"/>
      <c r="C169" s="20"/>
      <c r="D169" s="20"/>
      <c r="E169" s="20"/>
      <c r="F169" s="20"/>
    </row>
    <row r="170" spans="1:6" x14ac:dyDescent="0.15">
      <c r="B170" s="4"/>
      <c r="C170" s="20"/>
      <c r="D170" s="20"/>
      <c r="E170" s="20"/>
      <c r="F170" s="20"/>
    </row>
    <row r="171" spans="1:6" x14ac:dyDescent="0.15">
      <c r="B171" s="4"/>
      <c r="C171" s="20"/>
      <c r="D171" s="20"/>
      <c r="E171" s="20"/>
      <c r="F171" s="20"/>
    </row>
    <row r="172" spans="1:6" x14ac:dyDescent="0.15">
      <c r="B172" s="4"/>
      <c r="C172" s="20"/>
      <c r="D172" s="20"/>
      <c r="E172" s="20"/>
      <c r="F172" s="20"/>
    </row>
    <row r="173" spans="1:6" x14ac:dyDescent="0.15">
      <c r="B173" s="4"/>
      <c r="C173" s="20"/>
      <c r="D173" s="20"/>
      <c r="E173" s="20"/>
      <c r="F173" s="20"/>
    </row>
    <row r="174" spans="1:6" x14ac:dyDescent="0.15">
      <c r="B174" s="4"/>
      <c r="C174" s="20"/>
      <c r="D174" s="20"/>
      <c r="E174" s="20"/>
      <c r="F174" s="20"/>
    </row>
    <row r="175" spans="1:6" x14ac:dyDescent="0.15">
      <c r="B175" s="4"/>
      <c r="C175" s="20"/>
      <c r="D175" s="20"/>
      <c r="E175" s="20"/>
      <c r="F175" s="20"/>
    </row>
    <row r="176" spans="1:6" x14ac:dyDescent="0.15">
      <c r="B176" s="4"/>
      <c r="C176" s="20"/>
      <c r="D176" s="20"/>
      <c r="E176" s="20"/>
      <c r="F176" s="20"/>
    </row>
    <row r="177" spans="2:6" x14ac:dyDescent="0.15">
      <c r="B177" s="4"/>
      <c r="C177" s="20"/>
      <c r="D177" s="20"/>
      <c r="E177" s="20"/>
      <c r="F177" s="20"/>
    </row>
    <row r="178" spans="2:6" x14ac:dyDescent="0.15">
      <c r="B178" s="4"/>
      <c r="C178" s="20"/>
      <c r="D178" s="20"/>
      <c r="E178" s="20"/>
      <c r="F178" s="20"/>
    </row>
    <row r="179" spans="2:6" x14ac:dyDescent="0.15">
      <c r="B179" s="4"/>
      <c r="C179" s="20"/>
      <c r="D179" s="20"/>
      <c r="E179" s="20"/>
      <c r="F179" s="20"/>
    </row>
    <row r="180" spans="2:6" x14ac:dyDescent="0.15">
      <c r="B180" s="4"/>
      <c r="C180" s="20"/>
      <c r="D180" s="20"/>
      <c r="E180" s="20"/>
      <c r="F180" s="20"/>
    </row>
    <row r="181" spans="2:6" x14ac:dyDescent="0.15">
      <c r="B181" s="4"/>
      <c r="C181" s="20"/>
      <c r="D181" s="20"/>
      <c r="E181" s="20"/>
      <c r="F181" s="20"/>
    </row>
    <row r="182" spans="2:6" x14ac:dyDescent="0.15">
      <c r="B182" s="4"/>
      <c r="C182" s="20"/>
      <c r="D182" s="20"/>
      <c r="E182" s="20"/>
      <c r="F182" s="20"/>
    </row>
    <row r="183" spans="2:6" x14ac:dyDescent="0.15">
      <c r="B183" s="4"/>
      <c r="C183" s="20"/>
      <c r="D183" s="20"/>
      <c r="E183" s="20"/>
      <c r="F183" s="20"/>
    </row>
    <row r="184" spans="2:6" x14ac:dyDescent="0.15">
      <c r="B184" s="4"/>
      <c r="C184" s="20"/>
      <c r="D184" s="20"/>
      <c r="E184" s="20"/>
      <c r="F184" s="20"/>
    </row>
    <row r="185" spans="2:6" x14ac:dyDescent="0.15">
      <c r="B185" s="4"/>
      <c r="C185" s="20"/>
      <c r="D185" s="20"/>
      <c r="E185" s="20"/>
      <c r="F185" s="20"/>
    </row>
    <row r="186" spans="2:6" x14ac:dyDescent="0.15">
      <c r="B186" s="4"/>
      <c r="C186" s="20"/>
      <c r="D186" s="20"/>
      <c r="E186" s="20"/>
      <c r="F186" s="20"/>
    </row>
    <row r="187" spans="2:6" x14ac:dyDescent="0.15">
      <c r="B187" s="4"/>
      <c r="C187" s="20"/>
      <c r="D187" s="20"/>
      <c r="E187" s="20"/>
      <c r="F187" s="20"/>
    </row>
    <row r="188" spans="2:6" x14ac:dyDescent="0.15">
      <c r="B188" s="4"/>
      <c r="C188" s="20"/>
      <c r="D188" s="20"/>
      <c r="E188" s="20"/>
      <c r="F188" s="20"/>
    </row>
    <row r="189" spans="2:6" x14ac:dyDescent="0.15">
      <c r="B189" s="4"/>
      <c r="C189" s="20"/>
      <c r="D189" s="20"/>
      <c r="E189" s="20"/>
      <c r="F189" s="20"/>
    </row>
    <row r="190" spans="2:6" x14ac:dyDescent="0.15">
      <c r="B190" s="4"/>
      <c r="C190" s="20"/>
      <c r="D190" s="20"/>
      <c r="E190" s="20"/>
      <c r="F190" s="20"/>
    </row>
    <row r="191" spans="2:6" x14ac:dyDescent="0.15">
      <c r="B191" s="4"/>
      <c r="C191" s="20"/>
      <c r="D191" s="20"/>
      <c r="E191" s="20"/>
      <c r="F191" s="20"/>
    </row>
    <row r="192" spans="2:6" x14ac:dyDescent="0.15">
      <c r="B192" s="4"/>
      <c r="C192" s="20"/>
      <c r="D192" s="20"/>
      <c r="E192" s="20"/>
      <c r="F192" s="20"/>
    </row>
    <row r="193" spans="2:6" x14ac:dyDescent="0.15">
      <c r="B193" s="4"/>
      <c r="C193" s="20"/>
      <c r="D193" s="20"/>
      <c r="E193" s="20"/>
      <c r="F193" s="20"/>
    </row>
    <row r="194" spans="2:6" x14ac:dyDescent="0.15">
      <c r="B194" s="4"/>
      <c r="C194" s="20"/>
      <c r="D194" s="20"/>
      <c r="E194" s="20"/>
      <c r="F194" s="20"/>
    </row>
    <row r="195" spans="2:6" x14ac:dyDescent="0.15">
      <c r="B195" s="4"/>
      <c r="C195" s="20"/>
      <c r="D195" s="20"/>
      <c r="E195" s="20"/>
      <c r="F195" s="20"/>
    </row>
    <row r="196" spans="2:6" x14ac:dyDescent="0.15">
      <c r="B196" s="4"/>
      <c r="C196" s="20"/>
      <c r="D196" s="20"/>
      <c r="E196" s="20"/>
      <c r="F196" s="20"/>
    </row>
    <row r="197" spans="2:6" x14ac:dyDescent="0.15">
      <c r="B197" s="4"/>
      <c r="C197" s="20"/>
      <c r="D197" s="20"/>
      <c r="E197" s="20"/>
      <c r="F197" s="20"/>
    </row>
    <row r="198" spans="2:6" x14ac:dyDescent="0.15">
      <c r="B198" s="4"/>
      <c r="C198" s="20"/>
      <c r="D198" s="20"/>
      <c r="E198" s="20"/>
      <c r="F198" s="20"/>
    </row>
    <row r="199" spans="2:6" x14ac:dyDescent="0.15">
      <c r="B199" s="4"/>
      <c r="C199" s="20"/>
      <c r="D199" s="20"/>
      <c r="E199" s="20"/>
      <c r="F199" s="20"/>
    </row>
    <row r="200" spans="2:6" x14ac:dyDescent="0.15">
      <c r="B200" s="4"/>
      <c r="C200" s="20"/>
      <c r="D200" s="20"/>
      <c r="E200" s="20"/>
      <c r="F200" s="20"/>
    </row>
    <row r="201" spans="2:6" x14ac:dyDescent="0.15">
      <c r="B201" s="4"/>
      <c r="C201" s="20"/>
      <c r="D201" s="20"/>
      <c r="E201" s="20"/>
      <c r="F201" s="20"/>
    </row>
    <row r="202" spans="2:6" x14ac:dyDescent="0.15">
      <c r="B202" s="4"/>
      <c r="C202" s="20"/>
      <c r="D202" s="20"/>
      <c r="E202" s="20"/>
      <c r="F202" s="20"/>
    </row>
    <row r="203" spans="2:6" x14ac:dyDescent="0.15">
      <c r="B203" s="4"/>
      <c r="C203" s="20"/>
      <c r="D203" s="20"/>
      <c r="E203" s="20"/>
      <c r="F203" s="20"/>
    </row>
    <row r="204" spans="2:6" x14ac:dyDescent="0.15">
      <c r="B204" s="4"/>
      <c r="C204" s="20"/>
      <c r="D204" s="20"/>
      <c r="E204" s="20"/>
      <c r="F204" s="20"/>
    </row>
    <row r="205" spans="2:6" x14ac:dyDescent="0.15">
      <c r="B205" s="4"/>
      <c r="C205" s="20"/>
      <c r="D205" s="20"/>
      <c r="E205" s="20"/>
      <c r="F205" s="20"/>
    </row>
    <row r="206" spans="2:6" x14ac:dyDescent="0.15">
      <c r="B206" s="4"/>
      <c r="C206" s="20"/>
      <c r="D206" s="20"/>
      <c r="E206" s="20"/>
      <c r="F206" s="20"/>
    </row>
    <row r="207" spans="2:6" x14ac:dyDescent="0.15">
      <c r="B207" s="4"/>
      <c r="C207" s="20"/>
      <c r="D207" s="20"/>
      <c r="E207" s="20"/>
      <c r="F207" s="20"/>
    </row>
    <row r="208" spans="2:6" x14ac:dyDescent="0.15">
      <c r="B208" s="4"/>
      <c r="C208" s="20"/>
      <c r="D208" s="20"/>
      <c r="E208" s="20"/>
      <c r="F208" s="20"/>
    </row>
    <row r="209" spans="2:6" x14ac:dyDescent="0.15">
      <c r="B209" s="4"/>
      <c r="C209" s="20"/>
      <c r="D209" s="20"/>
      <c r="E209" s="20"/>
      <c r="F209" s="20"/>
    </row>
    <row r="210" spans="2:6" x14ac:dyDescent="0.15">
      <c r="B210" s="4"/>
      <c r="C210" s="20"/>
      <c r="D210" s="20"/>
      <c r="E210" s="20"/>
      <c r="F210" s="20"/>
    </row>
    <row r="211" spans="2:6" x14ac:dyDescent="0.15">
      <c r="B211" s="4"/>
      <c r="C211" s="20"/>
      <c r="D211" s="20"/>
      <c r="E211" s="20"/>
      <c r="F211" s="20"/>
    </row>
    <row r="212" spans="2:6" x14ac:dyDescent="0.15">
      <c r="B212" s="4"/>
      <c r="C212" s="20"/>
      <c r="D212" s="20"/>
      <c r="E212" s="20"/>
      <c r="F212" s="20"/>
    </row>
    <row r="213" spans="2:6" x14ac:dyDescent="0.15">
      <c r="B213" s="4"/>
      <c r="C213" s="20"/>
      <c r="D213" s="20"/>
      <c r="E213" s="20"/>
      <c r="F213" s="20"/>
    </row>
    <row r="214" spans="2:6" x14ac:dyDescent="0.15">
      <c r="B214" s="4"/>
      <c r="C214" s="20"/>
      <c r="D214" s="20"/>
      <c r="E214" s="20"/>
      <c r="F214" s="20"/>
    </row>
    <row r="215" spans="2:6" x14ac:dyDescent="0.15">
      <c r="B215" s="4"/>
      <c r="C215" s="20"/>
      <c r="D215" s="20"/>
      <c r="E215" s="20"/>
      <c r="F215" s="20"/>
    </row>
    <row r="216" spans="2:6" x14ac:dyDescent="0.15">
      <c r="B216" s="4"/>
      <c r="C216" s="20"/>
      <c r="D216" s="20"/>
      <c r="E216" s="20"/>
      <c r="F216" s="20"/>
    </row>
    <row r="217" spans="2:6" x14ac:dyDescent="0.15">
      <c r="B217" s="4"/>
      <c r="C217" s="20"/>
      <c r="D217" s="20"/>
      <c r="E217" s="20"/>
      <c r="F217" s="20"/>
    </row>
    <row r="218" spans="2:6" x14ac:dyDescent="0.15">
      <c r="B218" s="4"/>
      <c r="C218" s="20"/>
      <c r="D218" s="20"/>
      <c r="E218" s="20"/>
      <c r="F218" s="20"/>
    </row>
    <row r="219" spans="2:6" x14ac:dyDescent="0.15">
      <c r="B219" s="4"/>
      <c r="C219" s="20"/>
      <c r="D219" s="20"/>
      <c r="E219" s="20"/>
      <c r="F219" s="20"/>
    </row>
    <row r="220" spans="2:6" x14ac:dyDescent="0.15">
      <c r="B220" s="4"/>
      <c r="C220" s="20"/>
      <c r="D220" s="20"/>
      <c r="E220" s="20"/>
      <c r="F220" s="20"/>
    </row>
    <row r="221" spans="2:6" x14ac:dyDescent="0.15">
      <c r="B221" s="4"/>
      <c r="C221" s="20"/>
      <c r="D221" s="20"/>
      <c r="E221" s="20"/>
      <c r="F221" s="20"/>
    </row>
    <row r="222" spans="2:6" x14ac:dyDescent="0.15">
      <c r="B222" s="4"/>
      <c r="C222" s="20"/>
      <c r="D222" s="20"/>
      <c r="E222" s="20"/>
      <c r="F222" s="20"/>
    </row>
    <row r="223" spans="2:6" x14ac:dyDescent="0.15">
      <c r="B223" s="4"/>
      <c r="C223" s="20"/>
      <c r="D223" s="20"/>
      <c r="E223" s="20"/>
      <c r="F223" s="20"/>
    </row>
    <row r="224" spans="2:6" x14ac:dyDescent="0.15">
      <c r="B224" s="4"/>
      <c r="C224" s="20"/>
      <c r="D224" s="20"/>
      <c r="E224" s="20"/>
      <c r="F224" s="20"/>
    </row>
    <row r="225" spans="2:6" x14ac:dyDescent="0.15">
      <c r="B225" s="4"/>
      <c r="C225" s="20"/>
      <c r="D225" s="20"/>
      <c r="E225" s="20"/>
      <c r="F225" s="20"/>
    </row>
    <row r="226" spans="2:6" x14ac:dyDescent="0.15">
      <c r="B226" s="4"/>
      <c r="C226" s="20"/>
      <c r="D226" s="20"/>
      <c r="E226" s="20"/>
      <c r="F226" s="20"/>
    </row>
    <row r="227" spans="2:6" x14ac:dyDescent="0.15">
      <c r="B227" s="4"/>
      <c r="C227" s="20"/>
      <c r="D227" s="20"/>
      <c r="E227" s="20"/>
      <c r="F227" s="20"/>
    </row>
    <row r="228" spans="2:6" x14ac:dyDescent="0.15">
      <c r="B228" s="4"/>
      <c r="C228" s="20"/>
      <c r="D228" s="20"/>
      <c r="E228" s="20"/>
      <c r="F228" s="20"/>
    </row>
    <row r="229" spans="2:6" x14ac:dyDescent="0.15">
      <c r="B229" s="4"/>
      <c r="C229" s="20"/>
      <c r="D229" s="20"/>
      <c r="E229" s="20"/>
      <c r="F229" s="20"/>
    </row>
    <row r="230" spans="2:6" x14ac:dyDescent="0.15">
      <c r="B230" s="4"/>
      <c r="C230" s="20"/>
      <c r="D230" s="20"/>
      <c r="E230" s="20"/>
      <c r="F230" s="20"/>
    </row>
    <row r="231" spans="2:6" x14ac:dyDescent="0.15">
      <c r="B231" s="4"/>
      <c r="C231" s="20"/>
      <c r="D231" s="20"/>
      <c r="E231" s="20"/>
      <c r="F231" s="20"/>
    </row>
    <row r="232" spans="2:6" x14ac:dyDescent="0.15">
      <c r="B232" s="4"/>
      <c r="C232" s="20"/>
      <c r="D232" s="20"/>
      <c r="E232" s="20"/>
      <c r="F232" s="20"/>
    </row>
    <row r="233" spans="2:6" x14ac:dyDescent="0.15">
      <c r="B233" s="4"/>
      <c r="C233" s="20"/>
      <c r="D233" s="20"/>
      <c r="E233" s="20"/>
      <c r="F233" s="20"/>
    </row>
    <row r="234" spans="2:6" x14ac:dyDescent="0.15">
      <c r="B234" s="4"/>
      <c r="C234" s="20"/>
      <c r="D234" s="20"/>
      <c r="E234" s="20"/>
      <c r="F234" s="20"/>
    </row>
    <row r="235" spans="2:6" x14ac:dyDescent="0.15">
      <c r="B235" s="4"/>
      <c r="C235" s="20"/>
      <c r="D235" s="20"/>
      <c r="E235" s="20"/>
      <c r="F235" s="20"/>
    </row>
    <row r="236" spans="2:6" x14ac:dyDescent="0.15">
      <c r="B236" s="4"/>
      <c r="C236" s="20"/>
      <c r="D236" s="20"/>
      <c r="E236" s="20"/>
      <c r="F236" s="20"/>
    </row>
    <row r="237" spans="2:6" x14ac:dyDescent="0.15">
      <c r="B237" s="4"/>
      <c r="C237" s="20"/>
      <c r="D237" s="20"/>
      <c r="E237" s="20"/>
      <c r="F237" s="20"/>
    </row>
    <row r="238" spans="2:6" x14ac:dyDescent="0.15">
      <c r="B238" s="4"/>
      <c r="C238" s="20"/>
      <c r="D238" s="20"/>
      <c r="E238" s="20"/>
      <c r="F238" s="20"/>
    </row>
    <row r="239" spans="2:6" x14ac:dyDescent="0.15">
      <c r="B239" s="4"/>
      <c r="C239" s="20"/>
      <c r="D239" s="20"/>
      <c r="E239" s="20"/>
      <c r="F239" s="20"/>
    </row>
    <row r="240" spans="2:6" x14ac:dyDescent="0.15">
      <c r="B240" s="4"/>
      <c r="C240" s="20"/>
      <c r="D240" s="20"/>
      <c r="E240" s="20"/>
      <c r="F240" s="20"/>
    </row>
    <row r="241" spans="2:6" x14ac:dyDescent="0.15">
      <c r="B241" s="4"/>
      <c r="C241" s="20"/>
      <c r="D241" s="20"/>
      <c r="E241" s="20"/>
      <c r="F241" s="20"/>
    </row>
    <row r="242" spans="2:6" x14ac:dyDescent="0.15">
      <c r="B242" s="4"/>
      <c r="C242" s="20"/>
      <c r="D242" s="20"/>
      <c r="E242" s="20"/>
      <c r="F242" s="20"/>
    </row>
    <row r="243" spans="2:6" x14ac:dyDescent="0.15">
      <c r="B243" s="4"/>
      <c r="C243" s="20"/>
      <c r="D243" s="20"/>
      <c r="E243" s="20"/>
      <c r="F243" s="20"/>
    </row>
    <row r="244" spans="2:6" x14ac:dyDescent="0.15">
      <c r="B244" s="4"/>
      <c r="C244" s="20"/>
      <c r="D244" s="20"/>
      <c r="E244" s="20"/>
      <c r="F244" s="20"/>
    </row>
    <row r="245" spans="2:6" x14ac:dyDescent="0.15">
      <c r="B245" s="4"/>
      <c r="C245" s="20"/>
      <c r="D245" s="20"/>
      <c r="E245" s="20"/>
      <c r="F245" s="20"/>
    </row>
    <row r="246" spans="2:6" x14ac:dyDescent="0.15">
      <c r="B246" s="4"/>
      <c r="C246" s="20"/>
      <c r="D246" s="20"/>
      <c r="E246" s="20"/>
      <c r="F246" s="20"/>
    </row>
    <row r="247" spans="2:6" x14ac:dyDescent="0.15">
      <c r="B247" s="4"/>
      <c r="C247" s="20"/>
      <c r="D247" s="20"/>
      <c r="E247" s="20"/>
      <c r="F247" s="20"/>
    </row>
    <row r="248" spans="2:6" x14ac:dyDescent="0.15">
      <c r="B248" s="4"/>
      <c r="C248" s="20"/>
      <c r="D248" s="20"/>
      <c r="E248" s="20"/>
      <c r="F248" s="20"/>
    </row>
    <row r="249" spans="2:6" x14ac:dyDescent="0.15">
      <c r="B249" s="4"/>
      <c r="C249" s="20"/>
      <c r="D249" s="20"/>
      <c r="E249" s="20"/>
      <c r="F249" s="20"/>
    </row>
    <row r="250" spans="2:6" x14ac:dyDescent="0.15">
      <c r="B250" s="4"/>
      <c r="C250" s="20"/>
      <c r="D250" s="20"/>
      <c r="E250" s="20"/>
      <c r="F250" s="20"/>
    </row>
    <row r="251" spans="2:6" x14ac:dyDescent="0.15">
      <c r="C251" s="20"/>
      <c r="D251" s="20"/>
      <c r="E251" s="20"/>
      <c r="F251" s="20"/>
    </row>
    <row r="252" spans="2:6" x14ac:dyDescent="0.15">
      <c r="C252" s="20"/>
      <c r="D252" s="20"/>
      <c r="E252" s="20"/>
      <c r="F252" s="20"/>
    </row>
    <row r="253" spans="2:6" x14ac:dyDescent="0.15">
      <c r="C253" s="20"/>
      <c r="D253" s="20"/>
      <c r="E253" s="20"/>
      <c r="F253" s="20"/>
    </row>
    <row r="254" spans="2:6" x14ac:dyDescent="0.15">
      <c r="C254" s="20"/>
      <c r="D254" s="20"/>
      <c r="E254" s="20"/>
      <c r="F254" s="20"/>
    </row>
    <row r="255" spans="2:6" x14ac:dyDescent="0.15">
      <c r="C255" s="20"/>
      <c r="D255" s="20"/>
      <c r="E255" s="20"/>
      <c r="F255" s="20"/>
    </row>
    <row r="256" spans="2:6" x14ac:dyDescent="0.15">
      <c r="C256" s="20"/>
      <c r="D256" s="20"/>
      <c r="E256" s="20"/>
      <c r="F256" s="20"/>
    </row>
    <row r="257" spans="3:6" x14ac:dyDescent="0.15">
      <c r="C257" s="20"/>
      <c r="D257" s="20"/>
      <c r="E257" s="20"/>
      <c r="F257" s="20"/>
    </row>
    <row r="258" spans="3:6" x14ac:dyDescent="0.15">
      <c r="C258" s="20"/>
      <c r="D258" s="20"/>
      <c r="E258" s="20"/>
      <c r="F258" s="20"/>
    </row>
    <row r="259" spans="3:6" x14ac:dyDescent="0.15">
      <c r="C259" s="20"/>
      <c r="D259" s="20"/>
      <c r="E259" s="20"/>
      <c r="F259" s="20"/>
    </row>
    <row r="260" spans="3:6" x14ac:dyDescent="0.15">
      <c r="C260" s="20"/>
      <c r="D260" s="20"/>
      <c r="E260" s="20"/>
      <c r="F260" s="20"/>
    </row>
    <row r="261" spans="3:6" x14ac:dyDescent="0.15">
      <c r="C261" s="20"/>
      <c r="D261" s="20"/>
      <c r="E261" s="20"/>
      <c r="F261" s="20"/>
    </row>
    <row r="262" spans="3:6" x14ac:dyDescent="0.15">
      <c r="C262" s="20"/>
      <c r="D262" s="20"/>
      <c r="E262" s="20"/>
      <c r="F262" s="20"/>
    </row>
    <row r="263" spans="3:6" x14ac:dyDescent="0.15">
      <c r="C263" s="20"/>
      <c r="D263" s="20"/>
      <c r="E263" s="20"/>
      <c r="F263" s="20"/>
    </row>
    <row r="264" spans="3:6" x14ac:dyDescent="0.15">
      <c r="C264" s="20"/>
      <c r="D264" s="20"/>
      <c r="E264" s="20"/>
      <c r="F264" s="20"/>
    </row>
    <row r="265" spans="3:6" x14ac:dyDescent="0.15">
      <c r="C265" s="20"/>
      <c r="D265" s="20"/>
      <c r="E265" s="20"/>
      <c r="F265" s="20"/>
    </row>
    <row r="266" spans="3:6" x14ac:dyDescent="0.15">
      <c r="C266" s="20"/>
      <c r="D266" s="20"/>
      <c r="E266" s="20"/>
      <c r="F266" s="20"/>
    </row>
    <row r="267" spans="3:6" x14ac:dyDescent="0.15">
      <c r="C267" s="20"/>
      <c r="D267" s="20"/>
      <c r="E267" s="20"/>
      <c r="F267" s="20"/>
    </row>
    <row r="268" spans="3:6" x14ac:dyDescent="0.15">
      <c r="C268" s="20"/>
      <c r="D268" s="20"/>
      <c r="E268" s="20"/>
      <c r="F268" s="20"/>
    </row>
    <row r="269" spans="3:6" x14ac:dyDescent="0.15">
      <c r="C269" s="20"/>
      <c r="D269" s="20"/>
      <c r="E269" s="20"/>
      <c r="F269" s="20"/>
    </row>
    <row r="270" spans="3:6" x14ac:dyDescent="0.15">
      <c r="C270" s="20"/>
      <c r="D270" s="20"/>
      <c r="E270" s="20"/>
      <c r="F270" s="20"/>
    </row>
    <row r="271" spans="3:6" x14ac:dyDescent="0.15">
      <c r="C271" s="20"/>
      <c r="D271" s="20"/>
      <c r="E271" s="20"/>
      <c r="F271" s="20"/>
    </row>
    <row r="272" spans="3:6" x14ac:dyDescent="0.15">
      <c r="C272" s="20"/>
      <c r="D272" s="20"/>
      <c r="E272" s="20"/>
      <c r="F272" s="20"/>
    </row>
    <row r="273" spans="3:6" x14ac:dyDescent="0.15">
      <c r="C273" s="20"/>
      <c r="D273" s="20"/>
      <c r="E273" s="20"/>
      <c r="F273" s="20"/>
    </row>
    <row r="274" spans="3:6" x14ac:dyDescent="0.15">
      <c r="C274" s="20"/>
      <c r="D274" s="20"/>
      <c r="E274" s="20"/>
      <c r="F274" s="20"/>
    </row>
    <row r="275" spans="3:6" x14ac:dyDescent="0.15">
      <c r="C275" s="20"/>
      <c r="D275" s="20"/>
      <c r="E275" s="20"/>
      <c r="F275" s="20"/>
    </row>
    <row r="276" spans="3:6" x14ac:dyDescent="0.15">
      <c r="C276" s="20"/>
      <c r="D276" s="20"/>
      <c r="E276" s="20"/>
      <c r="F276" s="20"/>
    </row>
    <row r="277" spans="3:6" x14ac:dyDescent="0.15">
      <c r="C277" s="20"/>
      <c r="D277" s="20"/>
      <c r="E277" s="20"/>
      <c r="F277" s="20"/>
    </row>
    <row r="278" spans="3:6" x14ac:dyDescent="0.15">
      <c r="C278" s="20"/>
      <c r="D278" s="20"/>
      <c r="E278" s="20"/>
      <c r="F278" s="20"/>
    </row>
    <row r="279" spans="3:6" x14ac:dyDescent="0.15">
      <c r="C279" s="20"/>
      <c r="D279" s="20"/>
      <c r="E279" s="20"/>
      <c r="F279" s="20"/>
    </row>
    <row r="280" spans="3:6" x14ac:dyDescent="0.15">
      <c r="C280" s="20"/>
      <c r="D280" s="20"/>
      <c r="E280" s="20"/>
      <c r="F280" s="20"/>
    </row>
    <row r="281" spans="3:6" x14ac:dyDescent="0.15">
      <c r="C281" s="20"/>
      <c r="D281" s="20"/>
      <c r="E281" s="20"/>
      <c r="F281" s="20"/>
    </row>
    <row r="282" spans="3:6" x14ac:dyDescent="0.15">
      <c r="C282" s="20"/>
      <c r="D282" s="20"/>
      <c r="E282" s="20"/>
      <c r="F282" s="20"/>
    </row>
    <row r="283" spans="3:6" x14ac:dyDescent="0.15">
      <c r="C283" s="20"/>
      <c r="D283" s="20"/>
      <c r="E283" s="20"/>
      <c r="F283" s="20"/>
    </row>
    <row r="284" spans="3:6" x14ac:dyDescent="0.15">
      <c r="C284" s="20"/>
      <c r="D284" s="20"/>
      <c r="E284" s="20"/>
      <c r="F284" s="20"/>
    </row>
    <row r="285" spans="3:6" x14ac:dyDescent="0.15">
      <c r="C285" s="20"/>
      <c r="D285" s="20"/>
      <c r="E285" s="20"/>
      <c r="F285" s="20"/>
    </row>
    <row r="286" spans="3:6" x14ac:dyDescent="0.15">
      <c r="C286" s="20"/>
      <c r="D286" s="20"/>
      <c r="E286" s="20"/>
      <c r="F286" s="20"/>
    </row>
    <row r="287" spans="3:6" x14ac:dyDescent="0.15">
      <c r="C287" s="20"/>
      <c r="D287" s="20"/>
      <c r="E287" s="20"/>
      <c r="F287" s="20"/>
    </row>
    <row r="288" spans="3:6" x14ac:dyDescent="0.15">
      <c r="C288" s="20"/>
      <c r="D288" s="20"/>
      <c r="E288" s="20"/>
      <c r="F288" s="20"/>
    </row>
    <row r="289" spans="3:6" x14ac:dyDescent="0.15">
      <c r="C289" s="20"/>
      <c r="D289" s="20"/>
      <c r="E289" s="20"/>
      <c r="F289" s="20"/>
    </row>
    <row r="290" spans="3:6" x14ac:dyDescent="0.15">
      <c r="C290" s="20"/>
      <c r="D290" s="20"/>
      <c r="E290" s="20"/>
      <c r="F290" s="20"/>
    </row>
    <row r="291" spans="3:6" x14ac:dyDescent="0.15">
      <c r="C291" s="20"/>
      <c r="D291" s="20"/>
      <c r="E291" s="20"/>
      <c r="F291" s="20"/>
    </row>
    <row r="292" spans="3:6" x14ac:dyDescent="0.15">
      <c r="C292" s="20"/>
      <c r="D292" s="20"/>
      <c r="E292" s="20"/>
      <c r="F292" s="20"/>
    </row>
    <row r="293" spans="3:6" x14ac:dyDescent="0.15">
      <c r="C293" s="20"/>
      <c r="D293" s="20"/>
      <c r="E293" s="20"/>
      <c r="F293" s="20"/>
    </row>
    <row r="294" spans="3:6" x14ac:dyDescent="0.15">
      <c r="C294" s="20"/>
      <c r="D294" s="20"/>
      <c r="E294" s="20"/>
      <c r="F294" s="20"/>
    </row>
    <row r="295" spans="3:6" x14ac:dyDescent="0.15">
      <c r="C295" s="20"/>
      <c r="D295" s="20"/>
      <c r="E295" s="20"/>
      <c r="F295" s="20"/>
    </row>
    <row r="296" spans="3:6" x14ac:dyDescent="0.15">
      <c r="C296" s="20"/>
      <c r="D296" s="20"/>
      <c r="E296" s="20"/>
      <c r="F296" s="20"/>
    </row>
    <row r="297" spans="3:6" x14ac:dyDescent="0.15">
      <c r="C297" s="20"/>
      <c r="D297" s="20"/>
      <c r="E297" s="20"/>
      <c r="F297" s="20"/>
    </row>
    <row r="298" spans="3:6" x14ac:dyDescent="0.15">
      <c r="C298" s="20"/>
      <c r="D298" s="20"/>
      <c r="E298" s="20"/>
      <c r="F298" s="20"/>
    </row>
    <row r="299" spans="3:6" x14ac:dyDescent="0.15">
      <c r="C299" s="20"/>
      <c r="D299" s="20"/>
      <c r="E299" s="20"/>
      <c r="F299" s="20"/>
    </row>
    <row r="300" spans="3:6" x14ac:dyDescent="0.15">
      <c r="C300" s="20"/>
      <c r="D300" s="20"/>
      <c r="E300" s="20"/>
      <c r="F300" s="20"/>
    </row>
    <row r="301" spans="3:6" x14ac:dyDescent="0.15">
      <c r="C301" s="20"/>
      <c r="D301" s="20"/>
      <c r="E301" s="20"/>
      <c r="F301" s="20"/>
    </row>
    <row r="302" spans="3:6" x14ac:dyDescent="0.15">
      <c r="C302" s="20"/>
      <c r="D302" s="20"/>
      <c r="E302" s="20"/>
      <c r="F302" s="20"/>
    </row>
    <row r="303" spans="3:6" x14ac:dyDescent="0.15">
      <c r="C303" s="20"/>
      <c r="D303" s="20"/>
      <c r="E303" s="20"/>
      <c r="F303" s="20"/>
    </row>
    <row r="304" spans="3:6" x14ac:dyDescent="0.15">
      <c r="C304" s="20"/>
      <c r="D304" s="20"/>
      <c r="E304" s="20"/>
      <c r="F304" s="20"/>
    </row>
    <row r="305" spans="3:6" x14ac:dyDescent="0.15">
      <c r="C305" s="20"/>
      <c r="D305" s="20"/>
      <c r="E305" s="20"/>
      <c r="F305" s="20"/>
    </row>
    <row r="306" spans="3:6" x14ac:dyDescent="0.15">
      <c r="C306" s="20"/>
      <c r="D306" s="20"/>
      <c r="E306" s="20"/>
      <c r="F306" s="20"/>
    </row>
    <row r="307" spans="3:6" x14ac:dyDescent="0.15">
      <c r="C307" s="20"/>
      <c r="D307" s="20"/>
      <c r="E307" s="20"/>
      <c r="F307" s="20"/>
    </row>
    <row r="308" spans="3:6" x14ac:dyDescent="0.15">
      <c r="C308" s="20"/>
      <c r="D308" s="20"/>
      <c r="E308" s="20"/>
      <c r="F308" s="20"/>
    </row>
    <row r="309" spans="3:6" x14ac:dyDescent="0.15">
      <c r="C309" s="20"/>
      <c r="D309" s="20"/>
      <c r="E309" s="20"/>
      <c r="F309" s="20"/>
    </row>
    <row r="310" spans="3:6" x14ac:dyDescent="0.15">
      <c r="C310" s="20"/>
      <c r="D310" s="20"/>
      <c r="E310" s="20"/>
      <c r="F310" s="20"/>
    </row>
    <row r="311" spans="3:6" x14ac:dyDescent="0.15">
      <c r="C311" s="20"/>
      <c r="D311" s="20"/>
      <c r="E311" s="20"/>
      <c r="F311" s="20"/>
    </row>
    <row r="312" spans="3:6" x14ac:dyDescent="0.15">
      <c r="C312" s="20"/>
      <c r="D312" s="20"/>
      <c r="E312" s="20"/>
      <c r="F312" s="20"/>
    </row>
    <row r="313" spans="3:6" x14ac:dyDescent="0.15">
      <c r="C313" s="20"/>
      <c r="D313" s="20"/>
      <c r="E313" s="20"/>
      <c r="F313" s="20"/>
    </row>
    <row r="314" spans="3:6" x14ac:dyDescent="0.15">
      <c r="C314" s="20"/>
      <c r="D314" s="20"/>
      <c r="E314" s="20"/>
      <c r="F314" s="20"/>
    </row>
    <row r="315" spans="3:6" x14ac:dyDescent="0.15">
      <c r="C315" s="20"/>
      <c r="D315" s="20"/>
      <c r="E315" s="20"/>
      <c r="F315" s="20"/>
    </row>
    <row r="316" spans="3:6" x14ac:dyDescent="0.15">
      <c r="C316" s="20"/>
      <c r="D316" s="20"/>
      <c r="E316" s="20"/>
      <c r="F316" s="20"/>
    </row>
  </sheetData>
  <phoneticPr fontId="32" type="noConversion"/>
  <pageMargins left="0.69930555555555596" right="0.69930555555555596" top="0.75" bottom="0.75" header="0.3" footer="0.3"/>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316"/>
  <sheetViews>
    <sheetView workbookViewId="0">
      <pane ySplit="8" topLeftCell="A9" activePane="bottomLeft" state="frozen"/>
      <selection pane="bottomLeft" activeCell="E10" sqref="E10"/>
    </sheetView>
  </sheetViews>
  <sheetFormatPr defaultColWidth="9" defaultRowHeight="13.5" x14ac:dyDescent="0.15"/>
  <cols>
    <col min="1" max="1" width="9" style="4" customWidth="1"/>
    <col min="2" max="2" width="10.625" style="6" customWidth="1"/>
    <col min="3" max="4" width="12.25" style="6" bestFit="1" customWidth="1"/>
    <col min="5" max="5" width="12.75" style="6" bestFit="1" customWidth="1"/>
    <col min="6" max="16384" width="9" style="4"/>
  </cols>
  <sheetData>
    <row r="1" spans="1:5" s="1" customFormat="1" x14ac:dyDescent="0.15">
      <c r="A1" s="5" t="s">
        <v>136</v>
      </c>
      <c r="B1" s="1" t="s">
        <v>1</v>
      </c>
      <c r="C1" s="1" t="s">
        <v>1</v>
      </c>
      <c r="D1" s="1" t="s">
        <v>1</v>
      </c>
      <c r="E1" s="1" t="s">
        <v>1</v>
      </c>
    </row>
    <row r="2" spans="1:5" s="1" customFormat="1" x14ac:dyDescent="0.15">
      <c r="A2" s="5" t="s">
        <v>2</v>
      </c>
      <c r="B2" s="1" t="s">
        <v>1</v>
      </c>
      <c r="C2" s="1" t="s">
        <v>1</v>
      </c>
      <c r="D2" s="1" t="s">
        <v>1</v>
      </c>
      <c r="E2" s="1" t="s">
        <v>1</v>
      </c>
    </row>
    <row r="3" spans="1:5" s="2" customFormat="1" ht="14.25" x14ac:dyDescent="0.15">
      <c r="A3" s="14" t="s">
        <v>1</v>
      </c>
      <c r="B3" s="14" t="s">
        <v>3</v>
      </c>
      <c r="C3" s="14" t="s">
        <v>3</v>
      </c>
      <c r="D3" s="14" t="s">
        <v>3</v>
      </c>
      <c r="E3" s="14" t="s">
        <v>137</v>
      </c>
    </row>
    <row r="4" spans="1:5" s="2" customFormat="1" ht="14.25" x14ac:dyDescent="0.15">
      <c r="A4" s="14"/>
      <c r="B4" s="14" t="s">
        <v>4</v>
      </c>
      <c r="C4" s="14" t="s">
        <v>166</v>
      </c>
      <c r="D4" s="14" t="s">
        <v>167</v>
      </c>
      <c r="E4" s="14" t="s">
        <v>168</v>
      </c>
    </row>
    <row r="5" spans="1:5" s="2" customFormat="1" ht="14.25" x14ac:dyDescent="0.15">
      <c r="A5" s="14"/>
      <c r="B5" s="14" t="str">
        <f>IF(B3="","",IF(B3="INT","i",IF(B3="FLOAT","f",IF(B3="STRING","s"))))</f>
        <v>i</v>
      </c>
      <c r="C5" s="14" t="str">
        <f>IF(C3="","",IF(C3="INT","i",IF(C3="FLOAT","f",IF(C3="STRING","s"))))</f>
        <v>i</v>
      </c>
      <c r="D5" s="14" t="str">
        <f>IF(D3="","",IF(D3="INT","i",IF(D3="FLOAT","f",IF(D3="STRING","s"))))</f>
        <v>i</v>
      </c>
      <c r="E5" s="14" t="str">
        <f>IF(E3="","",IF(E3="INT","i",IF(E3="FLOAT","f",IF(E3="STRING","s"))))</f>
        <v>s</v>
      </c>
    </row>
    <row r="6" spans="1:5" s="2" customFormat="1" ht="14.25" x14ac:dyDescent="0.15">
      <c r="A6" s="14" t="s">
        <v>1</v>
      </c>
      <c r="B6" s="14" t="str">
        <f>B5&amp;B4</f>
        <v>iID</v>
      </c>
      <c r="C6" s="14" t="str">
        <f>C5&amp;C4</f>
        <v>iInforLvl</v>
      </c>
      <c r="D6" s="14" t="str">
        <f>D5&amp;D4</f>
        <v>iStar</v>
      </c>
      <c r="E6" s="14" t="str">
        <f>E5&amp;E4</f>
        <v>sAward</v>
      </c>
    </row>
    <row r="7" spans="1:5" s="3" customFormat="1" ht="14.25" x14ac:dyDescent="0.15">
      <c r="A7" s="14"/>
      <c r="B7" s="14"/>
      <c r="C7" s="14" t="s">
        <v>169</v>
      </c>
      <c r="D7" s="14" t="s">
        <v>170</v>
      </c>
      <c r="E7" s="14" t="s">
        <v>171</v>
      </c>
    </row>
    <row r="8" spans="1:5" s="3" customFormat="1" ht="14.25" x14ac:dyDescent="0.15">
      <c r="A8" s="14" t="s">
        <v>6</v>
      </c>
      <c r="B8" s="14" t="e">
        <f>MODE(B13:B1046)</f>
        <v>#N/A</v>
      </c>
      <c r="C8" s="14">
        <v>0</v>
      </c>
      <c r="D8" s="14">
        <v>0</v>
      </c>
      <c r="E8" s="14"/>
    </row>
    <row r="9" spans="1:5" s="19" customFormat="1" ht="15.75" customHeight="1" x14ac:dyDescent="0.15">
      <c r="A9" s="18"/>
      <c r="B9" s="18"/>
      <c r="C9" s="18"/>
      <c r="D9" s="18"/>
      <c r="E9" s="18"/>
    </row>
    <row r="10" spans="1:5" x14ac:dyDescent="0.15">
      <c r="A10" s="4" t="s">
        <v>1</v>
      </c>
      <c r="B10" s="4">
        <v>1</v>
      </c>
      <c r="C10" s="23">
        <v>1</v>
      </c>
      <c r="D10" s="23">
        <v>15</v>
      </c>
      <c r="E10" s="23" t="s">
        <v>7346</v>
      </c>
    </row>
    <row r="11" spans="1:5" x14ac:dyDescent="0.15">
      <c r="A11" s="4" t="s">
        <v>1</v>
      </c>
      <c r="B11" s="4">
        <v>2</v>
      </c>
      <c r="C11" s="23">
        <v>1</v>
      </c>
      <c r="D11" s="23">
        <v>30</v>
      </c>
      <c r="E11" s="23" t="s">
        <v>7347</v>
      </c>
    </row>
    <row r="12" spans="1:5" x14ac:dyDescent="0.15">
      <c r="A12" s="4" t="s">
        <v>1</v>
      </c>
      <c r="B12" s="4">
        <v>3</v>
      </c>
      <c r="C12" s="23">
        <v>2</v>
      </c>
      <c r="D12" s="23">
        <v>15</v>
      </c>
      <c r="E12" s="23" t="s">
        <v>7346</v>
      </c>
    </row>
    <row r="13" spans="1:5" ht="15.75" customHeight="1" x14ac:dyDescent="0.15">
      <c r="A13" s="4" t="s">
        <v>1</v>
      </c>
      <c r="B13" s="4">
        <v>4</v>
      </c>
      <c r="C13" s="23">
        <v>2</v>
      </c>
      <c r="D13" s="23">
        <v>30</v>
      </c>
      <c r="E13" s="23" t="s">
        <v>7347</v>
      </c>
    </row>
    <row r="14" spans="1:5" x14ac:dyDescent="0.15">
      <c r="A14" s="4" t="s">
        <v>1</v>
      </c>
      <c r="B14" s="4">
        <v>5</v>
      </c>
      <c r="C14" s="23">
        <v>3</v>
      </c>
      <c r="D14" s="23">
        <v>15</v>
      </c>
      <c r="E14" s="23" t="s">
        <v>7346</v>
      </c>
    </row>
    <row r="15" spans="1:5" x14ac:dyDescent="0.15">
      <c r="A15" s="4" t="s">
        <v>1</v>
      </c>
      <c r="B15" s="4">
        <v>6</v>
      </c>
      <c r="C15" s="23">
        <v>3</v>
      </c>
      <c r="D15" s="23">
        <v>30</v>
      </c>
      <c r="E15" s="23" t="s">
        <v>7347</v>
      </c>
    </row>
    <row r="16" spans="1:5" x14ac:dyDescent="0.15">
      <c r="A16" s="4" t="s">
        <v>1</v>
      </c>
      <c r="B16" s="4">
        <v>7</v>
      </c>
      <c r="C16" s="23">
        <v>4</v>
      </c>
      <c r="D16" s="23">
        <v>30</v>
      </c>
      <c r="E16" s="23" t="s">
        <v>7346</v>
      </c>
    </row>
    <row r="17" spans="1:5" x14ac:dyDescent="0.15">
      <c r="A17" s="4" t="s">
        <v>1</v>
      </c>
      <c r="B17" s="4">
        <v>8</v>
      </c>
      <c r="C17" s="23">
        <v>4</v>
      </c>
      <c r="D17" s="23">
        <v>15</v>
      </c>
      <c r="E17" s="23" t="s">
        <v>7347</v>
      </c>
    </row>
    <row r="18" spans="1:5" x14ac:dyDescent="0.15">
      <c r="A18" s="4" t="s">
        <v>1</v>
      </c>
      <c r="B18" s="4">
        <v>9</v>
      </c>
      <c r="C18" s="23">
        <v>5</v>
      </c>
      <c r="D18" s="23">
        <v>30</v>
      </c>
      <c r="E18" s="23" t="s">
        <v>7346</v>
      </c>
    </row>
    <row r="19" spans="1:5" x14ac:dyDescent="0.15">
      <c r="A19" s="4" t="s">
        <v>1</v>
      </c>
      <c r="B19" s="4">
        <v>10</v>
      </c>
      <c r="C19" s="23">
        <v>5</v>
      </c>
      <c r="D19" s="23">
        <v>15</v>
      </c>
      <c r="E19" s="23" t="s">
        <v>7347</v>
      </c>
    </row>
    <row r="20" spans="1:5" x14ac:dyDescent="0.15">
      <c r="A20" s="4" t="s">
        <v>1</v>
      </c>
      <c r="B20" s="4">
        <v>11</v>
      </c>
      <c r="C20" s="23">
        <v>6</v>
      </c>
      <c r="D20" s="23">
        <v>30</v>
      </c>
      <c r="E20" s="23" t="s">
        <v>7346</v>
      </c>
    </row>
    <row r="21" spans="1:5" x14ac:dyDescent="0.15">
      <c r="A21" s="4" t="s">
        <v>1</v>
      </c>
      <c r="B21" s="4">
        <v>12</v>
      </c>
      <c r="C21" s="23">
        <v>6</v>
      </c>
      <c r="D21" s="23">
        <v>30</v>
      </c>
      <c r="E21" s="23" t="s">
        <v>7347</v>
      </c>
    </row>
    <row r="22" spans="1:5" x14ac:dyDescent="0.15">
      <c r="A22" s="4" t="s">
        <v>1</v>
      </c>
      <c r="B22" s="4">
        <v>13</v>
      </c>
      <c r="C22" s="23">
        <v>7</v>
      </c>
      <c r="D22" s="23">
        <v>15</v>
      </c>
      <c r="E22" s="23" t="s">
        <v>7346</v>
      </c>
    </row>
    <row r="23" spans="1:5" x14ac:dyDescent="0.15">
      <c r="A23" s="4" t="s">
        <v>1</v>
      </c>
      <c r="B23" s="4">
        <v>14</v>
      </c>
      <c r="C23" s="23">
        <v>7</v>
      </c>
      <c r="D23" s="23">
        <v>30</v>
      </c>
      <c r="E23" s="23" t="s">
        <v>7347</v>
      </c>
    </row>
    <row r="24" spans="1:5" x14ac:dyDescent="0.15">
      <c r="A24" s="4" t="s">
        <v>1</v>
      </c>
      <c r="B24" s="4">
        <v>15</v>
      </c>
      <c r="C24" s="23">
        <v>8</v>
      </c>
      <c r="D24" s="23">
        <v>15</v>
      </c>
      <c r="E24" s="23" t="s">
        <v>7346</v>
      </c>
    </row>
    <row r="25" spans="1:5" x14ac:dyDescent="0.15">
      <c r="A25" s="4" t="s">
        <v>1</v>
      </c>
      <c r="B25" s="4">
        <v>16</v>
      </c>
      <c r="C25" s="23">
        <v>8</v>
      </c>
      <c r="D25" s="23">
        <v>30</v>
      </c>
      <c r="E25" s="23" t="s">
        <v>7347</v>
      </c>
    </row>
    <row r="26" spans="1:5" x14ac:dyDescent="0.15">
      <c r="A26" s="4" t="s">
        <v>1</v>
      </c>
      <c r="B26" s="4">
        <v>17</v>
      </c>
      <c r="C26" s="23">
        <v>9</v>
      </c>
      <c r="D26" s="23">
        <v>30</v>
      </c>
      <c r="E26" s="23" t="s">
        <v>7346</v>
      </c>
    </row>
    <row r="27" spans="1:5" x14ac:dyDescent="0.15">
      <c r="A27" s="4" t="s">
        <v>1</v>
      </c>
      <c r="B27" s="4">
        <v>18</v>
      </c>
      <c r="C27" s="23">
        <v>9</v>
      </c>
      <c r="D27" s="23">
        <v>15</v>
      </c>
      <c r="E27" s="23" t="s">
        <v>7347</v>
      </c>
    </row>
    <row r="28" spans="1:5" x14ac:dyDescent="0.15">
      <c r="A28" s="4" t="s">
        <v>1</v>
      </c>
      <c r="B28" s="4">
        <v>19</v>
      </c>
      <c r="C28" s="23">
        <v>10</v>
      </c>
      <c r="D28" s="23">
        <v>30</v>
      </c>
      <c r="E28" s="23" t="s">
        <v>7346</v>
      </c>
    </row>
    <row r="29" spans="1:5" x14ac:dyDescent="0.15">
      <c r="A29" s="4" t="s">
        <v>1</v>
      </c>
      <c r="B29" s="4">
        <v>20</v>
      </c>
      <c r="C29" s="23">
        <v>10</v>
      </c>
      <c r="D29" s="23">
        <v>15</v>
      </c>
      <c r="E29" s="23" t="s">
        <v>7347</v>
      </c>
    </row>
    <row r="30" spans="1:5" x14ac:dyDescent="0.15">
      <c r="A30" s="4" t="s">
        <v>1</v>
      </c>
      <c r="B30" s="4">
        <v>21</v>
      </c>
      <c r="C30" s="23">
        <v>11</v>
      </c>
      <c r="D30" s="23">
        <v>30</v>
      </c>
      <c r="E30" s="23" t="s">
        <v>7346</v>
      </c>
    </row>
    <row r="31" spans="1:5" x14ac:dyDescent="0.15">
      <c r="A31" s="4" t="s">
        <v>1</v>
      </c>
      <c r="B31" s="4">
        <v>22</v>
      </c>
      <c r="C31" s="23">
        <v>11</v>
      </c>
      <c r="D31" s="23">
        <v>30</v>
      </c>
      <c r="E31" s="23" t="s">
        <v>7347</v>
      </c>
    </row>
    <row r="32" spans="1:5" x14ac:dyDescent="0.15">
      <c r="A32" s="4" t="s">
        <v>1</v>
      </c>
      <c r="B32" s="4">
        <v>23</v>
      </c>
      <c r="C32" s="23">
        <v>12</v>
      </c>
      <c r="D32" s="23">
        <v>15</v>
      </c>
      <c r="E32" s="23" t="s">
        <v>7346</v>
      </c>
    </row>
    <row r="33" spans="1:5" x14ac:dyDescent="0.15">
      <c r="A33" s="4" t="s">
        <v>1</v>
      </c>
      <c r="B33" s="4">
        <v>24</v>
      </c>
      <c r="C33" s="23">
        <v>12</v>
      </c>
      <c r="D33" s="23">
        <v>30</v>
      </c>
      <c r="E33" s="23" t="s">
        <v>7347</v>
      </c>
    </row>
    <row r="34" spans="1:5" x14ac:dyDescent="0.15">
      <c r="B34" s="4"/>
      <c r="C34" s="23"/>
      <c r="D34" s="23"/>
      <c r="E34" s="23"/>
    </row>
    <row r="35" spans="1:5" x14ac:dyDescent="0.15">
      <c r="B35" s="4"/>
      <c r="C35" s="23"/>
      <c r="D35" s="23"/>
      <c r="E35" s="23"/>
    </row>
    <row r="36" spans="1:5" x14ac:dyDescent="0.15">
      <c r="B36" s="4"/>
      <c r="C36" s="23"/>
      <c r="D36" s="23"/>
      <c r="E36" s="23"/>
    </row>
    <row r="37" spans="1:5" x14ac:dyDescent="0.15">
      <c r="B37" s="4"/>
      <c r="C37" s="23"/>
      <c r="D37" s="23"/>
      <c r="E37" s="23"/>
    </row>
    <row r="38" spans="1:5" x14ac:dyDescent="0.15">
      <c r="B38" s="4"/>
      <c r="C38" s="23"/>
      <c r="D38" s="23"/>
      <c r="E38" s="23"/>
    </row>
    <row r="39" spans="1:5" x14ac:dyDescent="0.15">
      <c r="B39" s="4"/>
      <c r="C39" s="23"/>
      <c r="D39" s="23"/>
      <c r="E39" s="23"/>
    </row>
    <row r="40" spans="1:5" x14ac:dyDescent="0.15">
      <c r="B40" s="4"/>
      <c r="C40" s="23"/>
      <c r="D40" s="23"/>
      <c r="E40" s="23"/>
    </row>
    <row r="41" spans="1:5" x14ac:dyDescent="0.15">
      <c r="B41" s="4"/>
      <c r="C41" s="23"/>
      <c r="D41" s="23"/>
      <c r="E41" s="23"/>
    </row>
    <row r="42" spans="1:5" x14ac:dyDescent="0.15">
      <c r="B42" s="4"/>
      <c r="C42" s="23"/>
      <c r="D42" s="23"/>
      <c r="E42" s="23"/>
    </row>
    <row r="43" spans="1:5" x14ac:dyDescent="0.15">
      <c r="B43" s="4"/>
      <c r="C43" s="23"/>
      <c r="D43" s="23"/>
      <c r="E43" s="23"/>
    </row>
    <row r="44" spans="1:5" x14ac:dyDescent="0.15">
      <c r="B44" s="4"/>
      <c r="C44" s="23"/>
      <c r="D44" s="23"/>
      <c r="E44" s="23"/>
    </row>
    <row r="45" spans="1:5" x14ac:dyDescent="0.15">
      <c r="B45" s="4"/>
      <c r="C45" s="23"/>
      <c r="D45" s="23"/>
      <c r="E45" s="23"/>
    </row>
    <row r="46" spans="1:5" x14ac:dyDescent="0.15">
      <c r="B46" s="4"/>
      <c r="C46" s="23"/>
      <c r="D46" s="23"/>
      <c r="E46" s="23"/>
    </row>
    <row r="47" spans="1:5" x14ac:dyDescent="0.15">
      <c r="B47" s="4"/>
      <c r="C47" s="23"/>
      <c r="D47" s="23"/>
      <c r="E47" s="23"/>
    </row>
    <row r="48" spans="1:5" x14ac:dyDescent="0.15">
      <c r="B48" s="4"/>
      <c r="C48" s="23"/>
      <c r="D48" s="23"/>
      <c r="E48" s="23"/>
    </row>
    <row r="49" spans="2:5" x14ac:dyDescent="0.15">
      <c r="B49" s="4"/>
      <c r="C49" s="23"/>
      <c r="D49" s="23"/>
      <c r="E49" s="23"/>
    </row>
    <row r="50" spans="2:5" x14ac:dyDescent="0.15">
      <c r="B50" s="4"/>
      <c r="C50" s="23"/>
      <c r="D50" s="23"/>
      <c r="E50" s="23"/>
    </row>
    <row r="51" spans="2:5" x14ac:dyDescent="0.15">
      <c r="B51" s="4"/>
      <c r="C51" s="23"/>
      <c r="D51" s="23"/>
      <c r="E51" s="23"/>
    </row>
    <row r="52" spans="2:5" x14ac:dyDescent="0.15">
      <c r="B52" s="4"/>
      <c r="C52" s="23"/>
      <c r="D52" s="23"/>
      <c r="E52" s="23"/>
    </row>
    <row r="53" spans="2:5" x14ac:dyDescent="0.15">
      <c r="B53" s="4"/>
      <c r="C53" s="23"/>
      <c r="D53" s="23"/>
      <c r="E53" s="23"/>
    </row>
    <row r="54" spans="2:5" x14ac:dyDescent="0.15">
      <c r="B54" s="4"/>
      <c r="C54" s="23"/>
      <c r="D54" s="23"/>
      <c r="E54" s="23"/>
    </row>
    <row r="55" spans="2:5" x14ac:dyDescent="0.15">
      <c r="B55" s="4"/>
      <c r="C55" s="23"/>
      <c r="D55" s="23"/>
      <c r="E55" s="23"/>
    </row>
    <row r="56" spans="2:5" x14ac:dyDescent="0.15">
      <c r="B56" s="4"/>
      <c r="C56" s="23"/>
      <c r="D56" s="23"/>
      <c r="E56" s="23"/>
    </row>
    <row r="57" spans="2:5" x14ac:dyDescent="0.15">
      <c r="B57" s="4"/>
      <c r="C57" s="23"/>
      <c r="D57" s="23"/>
      <c r="E57" s="23"/>
    </row>
    <row r="58" spans="2:5" x14ac:dyDescent="0.15">
      <c r="B58" s="4"/>
      <c r="C58" s="23"/>
      <c r="D58" s="23"/>
      <c r="E58" s="23"/>
    </row>
    <row r="59" spans="2:5" x14ac:dyDescent="0.15">
      <c r="B59" s="4"/>
      <c r="C59" s="23"/>
      <c r="D59" s="23"/>
      <c r="E59" s="23"/>
    </row>
    <row r="60" spans="2:5" x14ac:dyDescent="0.15">
      <c r="B60" s="4"/>
      <c r="C60" s="23"/>
      <c r="D60" s="23"/>
      <c r="E60" s="23"/>
    </row>
    <row r="61" spans="2:5" x14ac:dyDescent="0.15">
      <c r="B61" s="4"/>
      <c r="C61" s="23"/>
      <c r="D61" s="23"/>
      <c r="E61" s="23"/>
    </row>
    <row r="62" spans="2:5" x14ac:dyDescent="0.15">
      <c r="B62" s="4"/>
      <c r="C62" s="23"/>
      <c r="D62" s="23"/>
      <c r="E62" s="23"/>
    </row>
    <row r="63" spans="2:5" x14ac:dyDescent="0.15">
      <c r="B63" s="4"/>
      <c r="C63" s="23"/>
      <c r="D63" s="23"/>
      <c r="E63" s="23"/>
    </row>
    <row r="64" spans="2:5" x14ac:dyDescent="0.15">
      <c r="B64" s="4"/>
      <c r="C64" s="23"/>
      <c r="D64" s="23"/>
      <c r="E64" s="23"/>
    </row>
    <row r="65" spans="2:5" x14ac:dyDescent="0.15">
      <c r="B65" s="4"/>
      <c r="C65" s="23"/>
      <c r="D65" s="23"/>
      <c r="E65" s="23"/>
    </row>
    <row r="66" spans="2:5" x14ac:dyDescent="0.15">
      <c r="B66" s="4"/>
      <c r="C66" s="23"/>
      <c r="D66" s="23"/>
      <c r="E66" s="23"/>
    </row>
    <row r="67" spans="2:5" x14ac:dyDescent="0.15">
      <c r="B67" s="4"/>
      <c r="C67" s="23"/>
      <c r="D67" s="23"/>
      <c r="E67" s="23"/>
    </row>
    <row r="68" spans="2:5" x14ac:dyDescent="0.15">
      <c r="B68" s="4"/>
      <c r="C68" s="23"/>
      <c r="D68" s="23"/>
      <c r="E68" s="23"/>
    </row>
    <row r="69" spans="2:5" x14ac:dyDescent="0.15">
      <c r="B69" s="4"/>
      <c r="C69" s="23"/>
      <c r="D69" s="23"/>
      <c r="E69" s="23"/>
    </row>
    <row r="70" spans="2:5" x14ac:dyDescent="0.15">
      <c r="B70" s="4"/>
      <c r="C70" s="23"/>
      <c r="D70" s="23"/>
      <c r="E70" s="23"/>
    </row>
    <row r="71" spans="2:5" x14ac:dyDescent="0.15">
      <c r="B71" s="4"/>
      <c r="C71" s="23"/>
      <c r="D71" s="23"/>
      <c r="E71" s="23"/>
    </row>
    <row r="72" spans="2:5" x14ac:dyDescent="0.15">
      <c r="B72" s="4"/>
      <c r="C72" s="23"/>
      <c r="D72" s="23"/>
      <c r="E72" s="23"/>
    </row>
    <row r="73" spans="2:5" x14ac:dyDescent="0.15">
      <c r="B73" s="4"/>
      <c r="C73" s="23"/>
      <c r="D73" s="23"/>
      <c r="E73" s="23"/>
    </row>
    <row r="74" spans="2:5" x14ac:dyDescent="0.15">
      <c r="B74" s="4"/>
      <c r="C74" s="23"/>
      <c r="D74" s="23"/>
      <c r="E74" s="23"/>
    </row>
    <row r="75" spans="2:5" x14ac:dyDescent="0.15">
      <c r="B75" s="4"/>
      <c r="C75" s="23"/>
      <c r="D75" s="23"/>
      <c r="E75" s="23"/>
    </row>
    <row r="76" spans="2:5" x14ac:dyDescent="0.15">
      <c r="B76" s="4"/>
      <c r="C76" s="23"/>
      <c r="D76" s="23"/>
      <c r="E76" s="23"/>
    </row>
    <row r="77" spans="2:5" x14ac:dyDescent="0.15">
      <c r="B77" s="4"/>
      <c r="C77" s="23"/>
      <c r="D77" s="23"/>
      <c r="E77" s="23"/>
    </row>
    <row r="78" spans="2:5" x14ac:dyDescent="0.15">
      <c r="B78" s="4"/>
      <c r="C78" s="23"/>
      <c r="D78" s="23"/>
      <c r="E78" s="23"/>
    </row>
    <row r="79" spans="2:5" x14ac:dyDescent="0.15">
      <c r="B79" s="4"/>
      <c r="C79" s="23"/>
      <c r="D79" s="23"/>
      <c r="E79" s="23"/>
    </row>
    <row r="80" spans="2:5" x14ac:dyDescent="0.15">
      <c r="B80" s="4"/>
      <c r="C80" s="23"/>
      <c r="D80" s="23"/>
      <c r="E80" s="23"/>
    </row>
    <row r="81" spans="2:5" x14ac:dyDescent="0.15">
      <c r="B81" s="4"/>
      <c r="C81" s="23"/>
      <c r="D81" s="23"/>
      <c r="E81" s="23"/>
    </row>
    <row r="82" spans="2:5" x14ac:dyDescent="0.15">
      <c r="B82" s="4"/>
      <c r="C82" s="23"/>
      <c r="D82" s="23"/>
      <c r="E82" s="23"/>
    </row>
    <row r="83" spans="2:5" x14ac:dyDescent="0.15">
      <c r="B83" s="4"/>
      <c r="C83" s="23"/>
      <c r="D83" s="23"/>
      <c r="E83" s="23"/>
    </row>
    <row r="84" spans="2:5" x14ac:dyDescent="0.15">
      <c r="B84" s="4"/>
      <c r="C84" s="23"/>
      <c r="D84" s="23"/>
      <c r="E84" s="23"/>
    </row>
    <row r="85" spans="2:5" x14ac:dyDescent="0.15">
      <c r="B85" s="4"/>
      <c r="C85" s="23"/>
      <c r="D85" s="23"/>
      <c r="E85" s="23"/>
    </row>
    <row r="86" spans="2:5" x14ac:dyDescent="0.15">
      <c r="B86" s="4"/>
      <c r="C86" s="23"/>
      <c r="D86" s="23"/>
      <c r="E86" s="23"/>
    </row>
    <row r="87" spans="2:5" x14ac:dyDescent="0.15">
      <c r="B87" s="4"/>
      <c r="C87" s="23"/>
      <c r="D87" s="23"/>
      <c r="E87" s="23"/>
    </row>
    <row r="88" spans="2:5" x14ac:dyDescent="0.15">
      <c r="B88" s="4"/>
      <c r="C88" s="23"/>
      <c r="D88" s="23"/>
      <c r="E88" s="23"/>
    </row>
    <row r="89" spans="2:5" x14ac:dyDescent="0.15">
      <c r="B89" s="4"/>
      <c r="C89" s="23"/>
      <c r="D89" s="23"/>
      <c r="E89" s="23"/>
    </row>
    <row r="90" spans="2:5" x14ac:dyDescent="0.15">
      <c r="B90" s="4"/>
      <c r="C90" s="23"/>
      <c r="D90" s="23"/>
      <c r="E90" s="23"/>
    </row>
    <row r="91" spans="2:5" x14ac:dyDescent="0.15">
      <c r="B91" s="4"/>
    </row>
    <row r="92" spans="2:5" x14ac:dyDescent="0.15">
      <c r="B92" s="4"/>
    </row>
    <row r="93" spans="2:5" x14ac:dyDescent="0.15">
      <c r="B93" s="4"/>
    </row>
    <row r="94" spans="2:5" x14ac:dyDescent="0.15">
      <c r="B94" s="4"/>
    </row>
    <row r="95" spans="2:5" x14ac:dyDescent="0.15">
      <c r="B95" s="4"/>
    </row>
    <row r="96" spans="2:5" x14ac:dyDescent="0.15">
      <c r="B96" s="4"/>
    </row>
    <row r="97" spans="2:5" x14ac:dyDescent="0.15">
      <c r="B97" s="4"/>
    </row>
    <row r="98" spans="2:5" x14ac:dyDescent="0.15">
      <c r="B98" s="4"/>
    </row>
    <row r="99" spans="2:5" x14ac:dyDescent="0.15">
      <c r="B99" s="4"/>
      <c r="C99" s="4"/>
      <c r="D99" s="4"/>
      <c r="E99" s="4"/>
    </row>
    <row r="100" spans="2:5" x14ac:dyDescent="0.15">
      <c r="B100" s="4"/>
      <c r="C100" s="4"/>
      <c r="D100" s="4"/>
      <c r="E100" s="4"/>
    </row>
    <row r="102" spans="2:5" x14ac:dyDescent="0.15">
      <c r="B102" s="4"/>
      <c r="C102" s="4"/>
      <c r="D102" s="4"/>
      <c r="E102" s="4"/>
    </row>
    <row r="103" spans="2:5" x14ac:dyDescent="0.15">
      <c r="B103" s="4"/>
      <c r="C103" s="4"/>
      <c r="D103" s="4"/>
      <c r="E103" s="4"/>
    </row>
    <row r="104" spans="2:5" x14ac:dyDescent="0.15">
      <c r="B104" s="4"/>
      <c r="C104" s="4"/>
      <c r="D104" s="4"/>
      <c r="E104" s="4"/>
    </row>
    <row r="105" spans="2:5" x14ac:dyDescent="0.15">
      <c r="B105" s="4"/>
      <c r="C105" s="4"/>
      <c r="D105" s="4"/>
      <c r="E105" s="4"/>
    </row>
    <row r="106" spans="2:5" x14ac:dyDescent="0.15">
      <c r="B106" s="4"/>
      <c r="C106" s="4"/>
      <c r="D106" s="4"/>
      <c r="E106" s="4"/>
    </row>
    <row r="107" spans="2:5" x14ac:dyDescent="0.15">
      <c r="B107" s="4"/>
      <c r="C107" s="4"/>
      <c r="D107" s="4"/>
      <c r="E107" s="4"/>
    </row>
    <row r="108" spans="2:5" x14ac:dyDescent="0.15">
      <c r="B108" s="4"/>
      <c r="C108" s="4"/>
      <c r="D108" s="4"/>
      <c r="E108" s="4"/>
    </row>
    <row r="109" spans="2:5" x14ac:dyDescent="0.15">
      <c r="B109" s="4"/>
      <c r="C109" s="4"/>
      <c r="D109" s="4"/>
      <c r="E109" s="4"/>
    </row>
    <row r="110" spans="2:5" x14ac:dyDescent="0.15">
      <c r="B110" s="4"/>
      <c r="C110" s="4"/>
      <c r="D110" s="4"/>
      <c r="E110" s="4"/>
    </row>
    <row r="111" spans="2:5" x14ac:dyDescent="0.15">
      <c r="B111" s="4"/>
      <c r="C111" s="4"/>
      <c r="D111" s="4"/>
      <c r="E111" s="4"/>
    </row>
    <row r="112" spans="2:5" x14ac:dyDescent="0.15">
      <c r="B112" s="4"/>
      <c r="C112" s="4"/>
      <c r="D112" s="4"/>
      <c r="E112" s="4"/>
    </row>
    <row r="113" spans="1:5" x14ac:dyDescent="0.15">
      <c r="B113" s="4"/>
      <c r="C113" s="4"/>
      <c r="D113" s="4"/>
      <c r="E113" s="4"/>
    </row>
    <row r="114" spans="1:5" x14ac:dyDescent="0.15">
      <c r="B114" s="4"/>
      <c r="C114" s="4"/>
      <c r="D114" s="4"/>
      <c r="E114" s="4"/>
    </row>
    <row r="115" spans="1:5" x14ac:dyDescent="0.15">
      <c r="B115" s="4"/>
      <c r="C115" s="4"/>
      <c r="D115" s="4"/>
      <c r="E115" s="4"/>
    </row>
    <row r="116" spans="1:5" x14ac:dyDescent="0.15">
      <c r="B116" s="4"/>
      <c r="C116" s="4"/>
      <c r="D116" s="4"/>
      <c r="E116" s="4"/>
    </row>
    <row r="117" spans="1:5" x14ac:dyDescent="0.15">
      <c r="B117" s="4"/>
      <c r="C117" s="4"/>
      <c r="D117" s="4"/>
      <c r="E117" s="4"/>
    </row>
    <row r="118" spans="1:5" x14ac:dyDescent="0.15">
      <c r="B118" s="4"/>
      <c r="C118" s="4"/>
      <c r="D118" s="4"/>
      <c r="E118" s="4"/>
    </row>
    <row r="119" spans="1:5" s="20" customFormat="1" x14ac:dyDescent="0.15">
      <c r="A119" s="4"/>
      <c r="B119" s="4"/>
      <c r="C119" s="4"/>
      <c r="D119" s="4"/>
      <c r="E119" s="4"/>
    </row>
    <row r="120" spans="1:5" s="20" customFormat="1" x14ac:dyDescent="0.15">
      <c r="A120" s="4"/>
      <c r="B120" s="4"/>
      <c r="C120" s="4"/>
      <c r="D120" s="4"/>
      <c r="E120" s="4"/>
    </row>
    <row r="121" spans="1:5" s="20" customFormat="1" x14ac:dyDescent="0.15">
      <c r="A121" s="4"/>
      <c r="B121" s="4"/>
      <c r="C121" s="4"/>
      <c r="D121" s="4"/>
      <c r="E121" s="4"/>
    </row>
    <row r="122" spans="1:5" s="20" customFormat="1" x14ac:dyDescent="0.15">
      <c r="A122" s="4"/>
      <c r="B122" s="4"/>
      <c r="C122" s="4"/>
      <c r="D122" s="4"/>
      <c r="E122" s="4"/>
    </row>
    <row r="123" spans="1:5" s="20" customFormat="1" x14ac:dyDescent="0.15">
      <c r="A123" s="4"/>
      <c r="B123" s="4"/>
      <c r="C123" s="4"/>
      <c r="D123" s="4"/>
      <c r="E123" s="4"/>
    </row>
    <row r="124" spans="1:5" s="20" customFormat="1" x14ac:dyDescent="0.15">
      <c r="A124" s="4"/>
      <c r="B124" s="4"/>
      <c r="C124" s="4"/>
      <c r="D124" s="4"/>
      <c r="E124" s="4"/>
    </row>
    <row r="125" spans="1:5" s="20" customFormat="1" x14ac:dyDescent="0.15">
      <c r="A125" s="4"/>
      <c r="B125" s="4"/>
      <c r="C125" s="4"/>
      <c r="D125" s="4"/>
      <c r="E125" s="4"/>
    </row>
    <row r="126" spans="1:5" s="20" customFormat="1" x14ac:dyDescent="0.15">
      <c r="A126" s="4"/>
      <c r="B126" s="4"/>
      <c r="C126" s="4"/>
      <c r="D126" s="4"/>
      <c r="E126" s="4"/>
    </row>
    <row r="127" spans="1:5" s="20" customFormat="1" x14ac:dyDescent="0.15">
      <c r="A127" s="4"/>
      <c r="B127" s="4"/>
      <c r="C127" s="4"/>
      <c r="D127" s="4"/>
      <c r="E127" s="4"/>
    </row>
    <row r="128" spans="1:5" s="20" customFormat="1" x14ac:dyDescent="0.15">
      <c r="A128" s="4"/>
      <c r="B128" s="4"/>
      <c r="C128" s="4"/>
      <c r="D128" s="4"/>
      <c r="E128" s="4"/>
    </row>
    <row r="129" spans="1:5" s="20" customFormat="1" x14ac:dyDescent="0.15">
      <c r="A129" s="4"/>
      <c r="B129" s="4"/>
      <c r="C129" s="4"/>
      <c r="D129" s="4"/>
      <c r="E129" s="4"/>
    </row>
    <row r="130" spans="1:5" s="20" customFormat="1" x14ac:dyDescent="0.15">
      <c r="A130" s="4"/>
      <c r="B130" s="4"/>
      <c r="C130" s="4"/>
      <c r="D130" s="4"/>
      <c r="E130" s="4"/>
    </row>
    <row r="131" spans="1:5" s="20" customFormat="1" x14ac:dyDescent="0.15">
      <c r="A131" s="4"/>
      <c r="B131" s="4"/>
      <c r="C131" s="4"/>
      <c r="D131" s="4"/>
      <c r="E131" s="4"/>
    </row>
    <row r="132" spans="1:5" s="20" customFormat="1" x14ac:dyDescent="0.15">
      <c r="A132" s="4"/>
      <c r="B132" s="4"/>
      <c r="C132" s="4"/>
      <c r="D132" s="4"/>
      <c r="E132" s="4"/>
    </row>
    <row r="133" spans="1:5" s="20" customFormat="1" x14ac:dyDescent="0.15">
      <c r="A133" s="4"/>
      <c r="B133" s="4"/>
      <c r="C133" s="4"/>
      <c r="D133" s="4"/>
      <c r="E133" s="4"/>
    </row>
    <row r="134" spans="1:5" s="20" customFormat="1" x14ac:dyDescent="0.15">
      <c r="A134" s="4"/>
      <c r="B134" s="4"/>
      <c r="C134" s="4"/>
      <c r="D134" s="4"/>
      <c r="E134" s="4"/>
    </row>
    <row r="135" spans="1:5" s="20" customFormat="1" x14ac:dyDescent="0.15">
      <c r="A135" s="4"/>
      <c r="B135" s="4"/>
      <c r="C135" s="4"/>
      <c r="D135" s="4"/>
      <c r="E135" s="4"/>
    </row>
    <row r="136" spans="1:5" s="20" customFormat="1" x14ac:dyDescent="0.15">
      <c r="A136" s="4"/>
      <c r="B136" s="4"/>
    </row>
    <row r="137" spans="1:5" s="20" customFormat="1" x14ac:dyDescent="0.15">
      <c r="A137" s="4"/>
      <c r="B137" s="4"/>
    </row>
    <row r="138" spans="1:5" s="20" customFormat="1" x14ac:dyDescent="0.15">
      <c r="A138" s="4"/>
      <c r="B138" s="4"/>
    </row>
    <row r="139" spans="1:5" s="20" customFormat="1" x14ac:dyDescent="0.15">
      <c r="A139" s="4"/>
      <c r="B139" s="4"/>
    </row>
    <row r="140" spans="1:5" s="20" customFormat="1" x14ac:dyDescent="0.15">
      <c r="A140" s="4"/>
      <c r="B140" s="4"/>
    </row>
    <row r="141" spans="1:5" s="20" customFormat="1" x14ac:dyDescent="0.15">
      <c r="A141" s="4"/>
      <c r="B141" s="4"/>
    </row>
    <row r="142" spans="1:5" s="20" customFormat="1" x14ac:dyDescent="0.15">
      <c r="A142" s="4"/>
      <c r="B142" s="4"/>
    </row>
    <row r="143" spans="1:5" s="20" customFormat="1" x14ac:dyDescent="0.15">
      <c r="A143" s="4"/>
      <c r="B143" s="4"/>
    </row>
    <row r="144" spans="1:5" s="20" customFormat="1" x14ac:dyDescent="0.15">
      <c r="A144" s="4"/>
      <c r="B144" s="4"/>
    </row>
    <row r="145" spans="1:2" s="20" customFormat="1" x14ac:dyDescent="0.15">
      <c r="A145" s="4"/>
      <c r="B145" s="4"/>
    </row>
    <row r="146" spans="1:2" s="20" customFormat="1" x14ac:dyDescent="0.15">
      <c r="A146" s="4"/>
      <c r="B146" s="4"/>
    </row>
    <row r="147" spans="1:2" s="20" customFormat="1" x14ac:dyDescent="0.15">
      <c r="A147" s="4"/>
      <c r="B147" s="4"/>
    </row>
    <row r="148" spans="1:2" s="20" customFormat="1" x14ac:dyDescent="0.15">
      <c r="A148" s="4"/>
      <c r="B148" s="4"/>
    </row>
    <row r="149" spans="1:2" s="20" customFormat="1" x14ac:dyDescent="0.15">
      <c r="A149" s="4"/>
      <c r="B149" s="4"/>
    </row>
    <row r="150" spans="1:2" s="20" customFormat="1" x14ac:dyDescent="0.15">
      <c r="A150" s="4"/>
      <c r="B150" s="4"/>
    </row>
    <row r="151" spans="1:2" s="20" customFormat="1" x14ac:dyDescent="0.15">
      <c r="A151" s="4"/>
      <c r="B151" s="4"/>
    </row>
    <row r="152" spans="1:2" s="20" customFormat="1" x14ac:dyDescent="0.15">
      <c r="A152" s="4"/>
      <c r="B152" s="4"/>
    </row>
    <row r="153" spans="1:2" s="20" customFormat="1" x14ac:dyDescent="0.15">
      <c r="A153" s="4"/>
      <c r="B153" s="4"/>
    </row>
    <row r="154" spans="1:2" s="20" customFormat="1" x14ac:dyDescent="0.15">
      <c r="A154" s="4"/>
      <c r="B154" s="4"/>
    </row>
    <row r="155" spans="1:2" s="20" customFormat="1" x14ac:dyDescent="0.15">
      <c r="A155" s="4"/>
      <c r="B155" s="4"/>
    </row>
    <row r="156" spans="1:2" s="20" customFormat="1" x14ac:dyDescent="0.15">
      <c r="A156" s="4"/>
      <c r="B156" s="4"/>
    </row>
    <row r="157" spans="1:2" s="20" customFormat="1" x14ac:dyDescent="0.15">
      <c r="A157" s="4"/>
      <c r="B157" s="4"/>
    </row>
    <row r="158" spans="1:2" s="20" customFormat="1" x14ac:dyDescent="0.15">
      <c r="A158" s="4"/>
      <c r="B158" s="4"/>
    </row>
    <row r="159" spans="1:2" s="20" customFormat="1" x14ac:dyDescent="0.15">
      <c r="A159" s="4"/>
      <c r="B159" s="4"/>
    </row>
    <row r="160" spans="1:2" s="20" customFormat="1" x14ac:dyDescent="0.15">
      <c r="A160" s="4"/>
      <c r="B160" s="4"/>
    </row>
    <row r="161" spans="1:5" s="20" customFormat="1" x14ac:dyDescent="0.15">
      <c r="A161" s="4"/>
      <c r="B161" s="4"/>
    </row>
    <row r="162" spans="1:5" s="20" customFormat="1" x14ac:dyDescent="0.15">
      <c r="A162" s="4"/>
      <c r="B162" s="4"/>
    </row>
    <row r="163" spans="1:5" s="20" customFormat="1" x14ac:dyDescent="0.15">
      <c r="A163" s="4"/>
      <c r="B163" s="4"/>
    </row>
    <row r="164" spans="1:5" s="20" customFormat="1" x14ac:dyDescent="0.15">
      <c r="A164" s="4"/>
      <c r="B164" s="4"/>
    </row>
    <row r="165" spans="1:5" s="20" customFormat="1" x14ac:dyDescent="0.15">
      <c r="A165" s="4"/>
      <c r="B165" s="4"/>
    </row>
    <row r="166" spans="1:5" s="20" customFormat="1" x14ac:dyDescent="0.15">
      <c r="A166" s="4"/>
      <c r="B166" s="4"/>
    </row>
    <row r="167" spans="1:5" x14ac:dyDescent="0.15">
      <c r="B167" s="4"/>
      <c r="C167" s="20"/>
      <c r="D167" s="20"/>
      <c r="E167" s="20"/>
    </row>
    <row r="168" spans="1:5" x14ac:dyDescent="0.15">
      <c r="B168" s="4"/>
      <c r="C168" s="20"/>
      <c r="D168" s="20"/>
      <c r="E168" s="20"/>
    </row>
    <row r="169" spans="1:5" x14ac:dyDescent="0.15">
      <c r="B169" s="4"/>
      <c r="C169" s="20"/>
      <c r="D169" s="20"/>
      <c r="E169" s="20"/>
    </row>
    <row r="170" spans="1:5" x14ac:dyDescent="0.15">
      <c r="B170" s="4"/>
      <c r="C170" s="20"/>
      <c r="D170" s="20"/>
      <c r="E170" s="20"/>
    </row>
    <row r="171" spans="1:5" x14ac:dyDescent="0.15">
      <c r="B171" s="4"/>
      <c r="C171" s="20"/>
      <c r="D171" s="20"/>
      <c r="E171" s="20"/>
    </row>
    <row r="172" spans="1:5" x14ac:dyDescent="0.15">
      <c r="B172" s="4"/>
      <c r="C172" s="20"/>
      <c r="D172" s="20"/>
      <c r="E172" s="20"/>
    </row>
    <row r="173" spans="1:5" x14ac:dyDescent="0.15">
      <c r="B173" s="4"/>
      <c r="C173" s="20"/>
      <c r="D173" s="20"/>
      <c r="E173" s="20"/>
    </row>
    <row r="174" spans="1:5" x14ac:dyDescent="0.15">
      <c r="B174" s="4"/>
      <c r="C174" s="20"/>
      <c r="D174" s="20"/>
      <c r="E174" s="20"/>
    </row>
    <row r="175" spans="1:5" x14ac:dyDescent="0.15">
      <c r="B175" s="4"/>
      <c r="C175" s="20"/>
      <c r="D175" s="20"/>
      <c r="E175" s="20"/>
    </row>
    <row r="176" spans="1:5" x14ac:dyDescent="0.15">
      <c r="B176" s="4"/>
      <c r="C176" s="20"/>
      <c r="D176" s="20"/>
      <c r="E176" s="20"/>
    </row>
    <row r="177" spans="2:5" x14ac:dyDescent="0.15">
      <c r="B177" s="4"/>
      <c r="C177" s="20"/>
      <c r="D177" s="20"/>
      <c r="E177" s="20"/>
    </row>
    <row r="178" spans="2:5" x14ac:dyDescent="0.15">
      <c r="B178" s="4"/>
      <c r="C178" s="20"/>
      <c r="D178" s="20"/>
      <c r="E178" s="20"/>
    </row>
    <row r="179" spans="2:5" x14ac:dyDescent="0.15">
      <c r="B179" s="4"/>
      <c r="C179" s="20"/>
      <c r="D179" s="20"/>
      <c r="E179" s="20"/>
    </row>
    <row r="180" spans="2:5" x14ac:dyDescent="0.15">
      <c r="B180" s="4"/>
      <c r="C180" s="20"/>
      <c r="D180" s="20"/>
      <c r="E180" s="20"/>
    </row>
    <row r="181" spans="2:5" x14ac:dyDescent="0.15">
      <c r="B181" s="4"/>
      <c r="C181" s="20"/>
      <c r="D181" s="20"/>
      <c r="E181" s="20"/>
    </row>
    <row r="182" spans="2:5" x14ac:dyDescent="0.15">
      <c r="B182" s="4"/>
      <c r="C182" s="20"/>
      <c r="D182" s="20"/>
      <c r="E182" s="20"/>
    </row>
    <row r="183" spans="2:5" x14ac:dyDescent="0.15">
      <c r="B183" s="4"/>
      <c r="C183" s="20"/>
      <c r="D183" s="20"/>
      <c r="E183" s="20"/>
    </row>
    <row r="184" spans="2:5" x14ac:dyDescent="0.15">
      <c r="B184" s="4"/>
      <c r="C184" s="20"/>
      <c r="D184" s="20"/>
      <c r="E184" s="20"/>
    </row>
    <row r="185" spans="2:5" x14ac:dyDescent="0.15">
      <c r="B185" s="4"/>
      <c r="C185" s="20"/>
      <c r="D185" s="20"/>
      <c r="E185" s="20"/>
    </row>
    <row r="186" spans="2:5" x14ac:dyDescent="0.15">
      <c r="B186" s="4"/>
      <c r="C186" s="20"/>
      <c r="D186" s="20"/>
      <c r="E186" s="20"/>
    </row>
    <row r="187" spans="2:5" x14ac:dyDescent="0.15">
      <c r="B187" s="4"/>
      <c r="C187" s="20"/>
      <c r="D187" s="20"/>
      <c r="E187" s="20"/>
    </row>
    <row r="188" spans="2:5" x14ac:dyDescent="0.15">
      <c r="B188" s="4"/>
      <c r="C188" s="20"/>
      <c r="D188" s="20"/>
      <c r="E188" s="20"/>
    </row>
    <row r="189" spans="2:5" x14ac:dyDescent="0.15">
      <c r="B189" s="4"/>
      <c r="C189" s="20"/>
      <c r="D189" s="20"/>
      <c r="E189" s="20"/>
    </row>
    <row r="190" spans="2:5" x14ac:dyDescent="0.15">
      <c r="B190" s="4"/>
      <c r="C190" s="20"/>
      <c r="D190" s="20"/>
      <c r="E190" s="20"/>
    </row>
    <row r="191" spans="2:5" x14ac:dyDescent="0.15">
      <c r="B191" s="4"/>
      <c r="C191" s="20"/>
      <c r="D191" s="20"/>
      <c r="E191" s="20"/>
    </row>
    <row r="192" spans="2:5" x14ac:dyDescent="0.15">
      <c r="B192" s="4"/>
      <c r="C192" s="20"/>
      <c r="D192" s="20"/>
      <c r="E192" s="20"/>
    </row>
    <row r="193" spans="2:5" x14ac:dyDescent="0.15">
      <c r="B193" s="4"/>
      <c r="C193" s="20"/>
      <c r="D193" s="20"/>
      <c r="E193" s="20"/>
    </row>
    <row r="194" spans="2:5" x14ac:dyDescent="0.15">
      <c r="B194" s="4"/>
      <c r="C194" s="20"/>
      <c r="D194" s="20"/>
      <c r="E194" s="20"/>
    </row>
    <row r="195" spans="2:5" x14ac:dyDescent="0.15">
      <c r="B195" s="4"/>
      <c r="C195" s="20"/>
      <c r="D195" s="20"/>
      <c r="E195" s="20"/>
    </row>
    <row r="196" spans="2:5" x14ac:dyDescent="0.15">
      <c r="B196" s="4"/>
      <c r="C196" s="20"/>
      <c r="D196" s="20"/>
      <c r="E196" s="20"/>
    </row>
    <row r="197" spans="2:5" x14ac:dyDescent="0.15">
      <c r="B197" s="4"/>
      <c r="C197" s="20"/>
      <c r="D197" s="20"/>
      <c r="E197" s="20"/>
    </row>
    <row r="198" spans="2:5" x14ac:dyDescent="0.15">
      <c r="B198" s="4"/>
      <c r="C198" s="20"/>
      <c r="D198" s="20"/>
      <c r="E198" s="20"/>
    </row>
    <row r="199" spans="2:5" x14ac:dyDescent="0.15">
      <c r="B199" s="4"/>
      <c r="C199" s="20"/>
      <c r="D199" s="20"/>
      <c r="E199" s="20"/>
    </row>
    <row r="200" spans="2:5" x14ac:dyDescent="0.15">
      <c r="B200" s="4"/>
      <c r="C200" s="20"/>
      <c r="D200" s="20"/>
      <c r="E200" s="20"/>
    </row>
    <row r="201" spans="2:5" x14ac:dyDescent="0.15">
      <c r="B201" s="4"/>
      <c r="C201" s="20"/>
      <c r="D201" s="20"/>
      <c r="E201" s="20"/>
    </row>
    <row r="202" spans="2:5" x14ac:dyDescent="0.15">
      <c r="B202" s="4"/>
      <c r="C202" s="20"/>
      <c r="D202" s="20"/>
      <c r="E202" s="20"/>
    </row>
    <row r="203" spans="2:5" x14ac:dyDescent="0.15">
      <c r="B203" s="4"/>
      <c r="C203" s="20"/>
      <c r="D203" s="20"/>
      <c r="E203" s="20"/>
    </row>
    <row r="204" spans="2:5" x14ac:dyDescent="0.15">
      <c r="B204" s="4"/>
      <c r="C204" s="20"/>
      <c r="D204" s="20"/>
      <c r="E204" s="20"/>
    </row>
    <row r="205" spans="2:5" x14ac:dyDescent="0.15">
      <c r="B205" s="4"/>
      <c r="C205" s="20"/>
      <c r="D205" s="20"/>
      <c r="E205" s="20"/>
    </row>
    <row r="206" spans="2:5" x14ac:dyDescent="0.15">
      <c r="B206" s="4"/>
      <c r="C206" s="20"/>
      <c r="D206" s="20"/>
      <c r="E206" s="20"/>
    </row>
    <row r="207" spans="2:5" x14ac:dyDescent="0.15">
      <c r="B207" s="4"/>
      <c r="C207" s="20"/>
      <c r="D207" s="20"/>
      <c r="E207" s="20"/>
    </row>
    <row r="208" spans="2:5" x14ac:dyDescent="0.15">
      <c r="B208" s="4"/>
      <c r="C208" s="20"/>
      <c r="D208" s="20"/>
      <c r="E208" s="20"/>
    </row>
    <row r="209" spans="2:5" x14ac:dyDescent="0.15">
      <c r="B209" s="4"/>
      <c r="C209" s="20"/>
      <c r="D209" s="20"/>
      <c r="E209" s="20"/>
    </row>
    <row r="210" spans="2:5" x14ac:dyDescent="0.15">
      <c r="B210" s="4"/>
      <c r="C210" s="20"/>
      <c r="D210" s="20"/>
      <c r="E210" s="20"/>
    </row>
    <row r="211" spans="2:5" x14ac:dyDescent="0.15">
      <c r="B211" s="4"/>
      <c r="C211" s="20"/>
      <c r="D211" s="20"/>
      <c r="E211" s="20"/>
    </row>
    <row r="212" spans="2:5" x14ac:dyDescent="0.15">
      <c r="B212" s="4"/>
      <c r="C212" s="20"/>
      <c r="D212" s="20"/>
      <c r="E212" s="20"/>
    </row>
    <row r="213" spans="2:5" x14ac:dyDescent="0.15">
      <c r="B213" s="4"/>
      <c r="C213" s="20"/>
      <c r="D213" s="20"/>
      <c r="E213" s="20"/>
    </row>
    <row r="214" spans="2:5" x14ac:dyDescent="0.15">
      <c r="B214" s="4"/>
      <c r="C214" s="20"/>
      <c r="D214" s="20"/>
      <c r="E214" s="20"/>
    </row>
    <row r="215" spans="2:5" x14ac:dyDescent="0.15">
      <c r="B215" s="4"/>
      <c r="C215" s="20"/>
      <c r="D215" s="20"/>
      <c r="E215" s="20"/>
    </row>
    <row r="216" spans="2:5" x14ac:dyDescent="0.15">
      <c r="B216" s="4"/>
      <c r="C216" s="20"/>
      <c r="D216" s="20"/>
      <c r="E216" s="20"/>
    </row>
    <row r="217" spans="2:5" x14ac:dyDescent="0.15">
      <c r="B217" s="4"/>
      <c r="C217" s="20"/>
      <c r="D217" s="20"/>
      <c r="E217" s="20"/>
    </row>
    <row r="218" spans="2:5" x14ac:dyDescent="0.15">
      <c r="B218" s="4"/>
      <c r="C218" s="20"/>
      <c r="D218" s="20"/>
      <c r="E218" s="20"/>
    </row>
    <row r="219" spans="2:5" x14ac:dyDescent="0.15">
      <c r="B219" s="4"/>
      <c r="C219" s="20"/>
      <c r="D219" s="20"/>
      <c r="E219" s="20"/>
    </row>
    <row r="220" spans="2:5" x14ac:dyDescent="0.15">
      <c r="B220" s="4"/>
      <c r="C220" s="20"/>
      <c r="D220" s="20"/>
      <c r="E220" s="20"/>
    </row>
    <row r="221" spans="2:5" x14ac:dyDescent="0.15">
      <c r="B221" s="4"/>
      <c r="C221" s="20"/>
      <c r="D221" s="20"/>
      <c r="E221" s="20"/>
    </row>
    <row r="222" spans="2:5" x14ac:dyDescent="0.15">
      <c r="B222" s="4"/>
      <c r="C222" s="20"/>
      <c r="D222" s="20"/>
      <c r="E222" s="20"/>
    </row>
    <row r="223" spans="2:5" x14ac:dyDescent="0.15">
      <c r="B223" s="4"/>
      <c r="C223" s="20"/>
      <c r="D223" s="20"/>
      <c r="E223" s="20"/>
    </row>
    <row r="224" spans="2:5" x14ac:dyDescent="0.15">
      <c r="B224" s="4"/>
      <c r="C224" s="20"/>
      <c r="D224" s="20"/>
      <c r="E224" s="20"/>
    </row>
    <row r="225" spans="2:5" x14ac:dyDescent="0.15">
      <c r="B225" s="4"/>
      <c r="C225" s="20"/>
      <c r="D225" s="20"/>
      <c r="E225" s="20"/>
    </row>
    <row r="226" spans="2:5" x14ac:dyDescent="0.15">
      <c r="B226" s="4"/>
      <c r="C226" s="20"/>
      <c r="D226" s="20"/>
      <c r="E226" s="20"/>
    </row>
    <row r="227" spans="2:5" x14ac:dyDescent="0.15">
      <c r="B227" s="4"/>
      <c r="C227" s="20"/>
      <c r="D227" s="20"/>
      <c r="E227" s="20"/>
    </row>
    <row r="228" spans="2:5" x14ac:dyDescent="0.15">
      <c r="B228" s="4"/>
      <c r="C228" s="20"/>
      <c r="D228" s="20"/>
      <c r="E228" s="20"/>
    </row>
    <row r="229" spans="2:5" x14ac:dyDescent="0.15">
      <c r="B229" s="4"/>
      <c r="C229" s="20"/>
      <c r="D229" s="20"/>
      <c r="E229" s="20"/>
    </row>
    <row r="230" spans="2:5" x14ac:dyDescent="0.15">
      <c r="B230" s="4"/>
      <c r="C230" s="20"/>
      <c r="D230" s="20"/>
      <c r="E230" s="20"/>
    </row>
    <row r="231" spans="2:5" x14ac:dyDescent="0.15">
      <c r="B231" s="4"/>
      <c r="C231" s="20"/>
      <c r="D231" s="20"/>
      <c r="E231" s="20"/>
    </row>
    <row r="232" spans="2:5" x14ac:dyDescent="0.15">
      <c r="B232" s="4"/>
      <c r="C232" s="20"/>
      <c r="D232" s="20"/>
      <c r="E232" s="20"/>
    </row>
    <row r="233" spans="2:5" x14ac:dyDescent="0.15">
      <c r="B233" s="4"/>
      <c r="C233" s="20"/>
      <c r="D233" s="20"/>
      <c r="E233" s="20"/>
    </row>
    <row r="234" spans="2:5" x14ac:dyDescent="0.15">
      <c r="B234" s="4"/>
      <c r="C234" s="20"/>
      <c r="D234" s="20"/>
      <c r="E234" s="20"/>
    </row>
    <row r="235" spans="2:5" x14ac:dyDescent="0.15">
      <c r="B235" s="4"/>
      <c r="C235" s="20"/>
      <c r="D235" s="20"/>
      <c r="E235" s="20"/>
    </row>
    <row r="236" spans="2:5" x14ac:dyDescent="0.15">
      <c r="B236" s="4"/>
      <c r="C236" s="20"/>
      <c r="D236" s="20"/>
      <c r="E236" s="20"/>
    </row>
    <row r="237" spans="2:5" x14ac:dyDescent="0.15">
      <c r="B237" s="4"/>
      <c r="C237" s="20"/>
      <c r="D237" s="20"/>
      <c r="E237" s="20"/>
    </row>
    <row r="238" spans="2:5" x14ac:dyDescent="0.15">
      <c r="B238" s="4"/>
      <c r="C238" s="20"/>
      <c r="D238" s="20"/>
      <c r="E238" s="20"/>
    </row>
    <row r="239" spans="2:5" x14ac:dyDescent="0.15">
      <c r="B239" s="4"/>
      <c r="C239" s="20"/>
      <c r="D239" s="20"/>
      <c r="E239" s="20"/>
    </row>
    <row r="240" spans="2:5" x14ac:dyDescent="0.15">
      <c r="B240" s="4"/>
      <c r="C240" s="20"/>
      <c r="D240" s="20"/>
      <c r="E240" s="20"/>
    </row>
    <row r="241" spans="2:5" x14ac:dyDescent="0.15">
      <c r="B241" s="4"/>
      <c r="C241" s="20"/>
      <c r="D241" s="20"/>
      <c r="E241" s="20"/>
    </row>
    <row r="242" spans="2:5" x14ac:dyDescent="0.15">
      <c r="B242" s="4"/>
      <c r="C242" s="20"/>
      <c r="D242" s="20"/>
      <c r="E242" s="20"/>
    </row>
    <row r="243" spans="2:5" x14ac:dyDescent="0.15">
      <c r="B243" s="4"/>
      <c r="C243" s="20"/>
      <c r="D243" s="20"/>
      <c r="E243" s="20"/>
    </row>
    <row r="244" spans="2:5" x14ac:dyDescent="0.15">
      <c r="B244" s="4"/>
      <c r="C244" s="20"/>
      <c r="D244" s="20"/>
      <c r="E244" s="20"/>
    </row>
    <row r="245" spans="2:5" x14ac:dyDescent="0.15">
      <c r="B245" s="4"/>
      <c r="C245" s="20"/>
      <c r="D245" s="20"/>
      <c r="E245" s="20"/>
    </row>
    <row r="246" spans="2:5" x14ac:dyDescent="0.15">
      <c r="B246" s="4"/>
      <c r="C246" s="20"/>
      <c r="D246" s="20"/>
      <c r="E246" s="20"/>
    </row>
    <row r="247" spans="2:5" x14ac:dyDescent="0.15">
      <c r="B247" s="4"/>
      <c r="C247" s="20"/>
      <c r="D247" s="20"/>
      <c r="E247" s="20"/>
    </row>
    <row r="248" spans="2:5" x14ac:dyDescent="0.15">
      <c r="B248" s="4"/>
      <c r="C248" s="20"/>
      <c r="D248" s="20"/>
      <c r="E248" s="20"/>
    </row>
    <row r="249" spans="2:5" x14ac:dyDescent="0.15">
      <c r="B249" s="4"/>
      <c r="C249" s="20"/>
      <c r="D249" s="20"/>
      <c r="E249" s="20"/>
    </row>
    <row r="250" spans="2:5" x14ac:dyDescent="0.15">
      <c r="B250" s="4"/>
      <c r="C250" s="20"/>
      <c r="D250" s="20"/>
      <c r="E250" s="20"/>
    </row>
    <row r="251" spans="2:5" x14ac:dyDescent="0.15">
      <c r="C251" s="20"/>
      <c r="D251" s="20"/>
      <c r="E251" s="20"/>
    </row>
    <row r="252" spans="2:5" x14ac:dyDescent="0.15">
      <c r="C252" s="20"/>
      <c r="D252" s="20"/>
      <c r="E252" s="20"/>
    </row>
    <row r="253" spans="2:5" x14ac:dyDescent="0.15">
      <c r="C253" s="20"/>
      <c r="D253" s="20"/>
      <c r="E253" s="20"/>
    </row>
    <row r="254" spans="2:5" x14ac:dyDescent="0.15">
      <c r="C254" s="20"/>
      <c r="D254" s="20"/>
      <c r="E254" s="20"/>
    </row>
    <row r="255" spans="2:5" x14ac:dyDescent="0.15">
      <c r="C255" s="20"/>
      <c r="D255" s="20"/>
      <c r="E255" s="20"/>
    </row>
    <row r="256" spans="2:5" x14ac:dyDescent="0.15">
      <c r="C256" s="20"/>
      <c r="D256" s="20"/>
      <c r="E256" s="20"/>
    </row>
    <row r="257" spans="3:5" x14ac:dyDescent="0.15">
      <c r="C257" s="20"/>
      <c r="D257" s="20"/>
      <c r="E257" s="20"/>
    </row>
    <row r="258" spans="3:5" x14ac:dyDescent="0.15">
      <c r="C258" s="20"/>
      <c r="D258" s="20"/>
      <c r="E258" s="20"/>
    </row>
    <row r="259" spans="3:5" x14ac:dyDescent="0.15">
      <c r="C259" s="20"/>
      <c r="D259" s="20"/>
      <c r="E259" s="20"/>
    </row>
    <row r="260" spans="3:5" x14ac:dyDescent="0.15">
      <c r="C260" s="20"/>
      <c r="D260" s="20"/>
      <c r="E260" s="20"/>
    </row>
    <row r="261" spans="3:5" x14ac:dyDescent="0.15">
      <c r="C261" s="20"/>
      <c r="D261" s="20"/>
      <c r="E261" s="20"/>
    </row>
    <row r="262" spans="3:5" x14ac:dyDescent="0.15">
      <c r="C262" s="20"/>
      <c r="D262" s="20"/>
      <c r="E262" s="20"/>
    </row>
    <row r="263" spans="3:5" x14ac:dyDescent="0.15">
      <c r="C263" s="20"/>
      <c r="D263" s="20"/>
      <c r="E263" s="20"/>
    </row>
    <row r="264" spans="3:5" x14ac:dyDescent="0.15">
      <c r="C264" s="20"/>
      <c r="D264" s="20"/>
      <c r="E264" s="20"/>
    </row>
    <row r="265" spans="3:5" x14ac:dyDescent="0.15">
      <c r="C265" s="20"/>
      <c r="D265" s="20"/>
      <c r="E265" s="20"/>
    </row>
    <row r="266" spans="3:5" x14ac:dyDescent="0.15">
      <c r="C266" s="20"/>
      <c r="D266" s="20"/>
      <c r="E266" s="20"/>
    </row>
    <row r="267" spans="3:5" x14ac:dyDescent="0.15">
      <c r="C267" s="20"/>
      <c r="D267" s="20"/>
      <c r="E267" s="20"/>
    </row>
    <row r="268" spans="3:5" x14ac:dyDescent="0.15">
      <c r="C268" s="20"/>
      <c r="D268" s="20"/>
      <c r="E268" s="20"/>
    </row>
    <row r="269" spans="3:5" x14ac:dyDescent="0.15">
      <c r="C269" s="20"/>
      <c r="D269" s="20"/>
      <c r="E269" s="20"/>
    </row>
    <row r="270" spans="3:5" x14ac:dyDescent="0.15">
      <c r="C270" s="20"/>
      <c r="D270" s="20"/>
      <c r="E270" s="20"/>
    </row>
    <row r="271" spans="3:5" x14ac:dyDescent="0.15">
      <c r="C271" s="20"/>
      <c r="D271" s="20"/>
      <c r="E271" s="20"/>
    </row>
    <row r="272" spans="3:5" x14ac:dyDescent="0.15">
      <c r="C272" s="20"/>
      <c r="D272" s="20"/>
      <c r="E272" s="20"/>
    </row>
    <row r="273" spans="3:5" x14ac:dyDescent="0.15">
      <c r="C273" s="20"/>
      <c r="D273" s="20"/>
      <c r="E273" s="20"/>
    </row>
    <row r="274" spans="3:5" x14ac:dyDescent="0.15">
      <c r="C274" s="20"/>
      <c r="D274" s="20"/>
      <c r="E274" s="20"/>
    </row>
    <row r="275" spans="3:5" x14ac:dyDescent="0.15">
      <c r="C275" s="20"/>
      <c r="D275" s="20"/>
      <c r="E275" s="20"/>
    </row>
    <row r="276" spans="3:5" x14ac:dyDescent="0.15">
      <c r="C276" s="20"/>
      <c r="D276" s="20"/>
      <c r="E276" s="20"/>
    </row>
    <row r="277" spans="3:5" x14ac:dyDescent="0.15">
      <c r="C277" s="20"/>
      <c r="D277" s="20"/>
      <c r="E277" s="20"/>
    </row>
    <row r="278" spans="3:5" x14ac:dyDescent="0.15">
      <c r="C278" s="20"/>
      <c r="D278" s="20"/>
      <c r="E278" s="20"/>
    </row>
    <row r="279" spans="3:5" x14ac:dyDescent="0.15">
      <c r="C279" s="20"/>
      <c r="D279" s="20"/>
      <c r="E279" s="20"/>
    </row>
    <row r="280" spans="3:5" x14ac:dyDescent="0.15">
      <c r="C280" s="20"/>
      <c r="D280" s="20"/>
      <c r="E280" s="20"/>
    </row>
    <row r="281" spans="3:5" x14ac:dyDescent="0.15">
      <c r="C281" s="20"/>
      <c r="D281" s="20"/>
      <c r="E281" s="20"/>
    </row>
    <row r="282" spans="3:5" x14ac:dyDescent="0.15">
      <c r="C282" s="20"/>
      <c r="D282" s="20"/>
      <c r="E282" s="20"/>
    </row>
    <row r="283" spans="3:5" x14ac:dyDescent="0.15">
      <c r="C283" s="20"/>
      <c r="D283" s="20"/>
      <c r="E283" s="20"/>
    </row>
    <row r="284" spans="3:5" x14ac:dyDescent="0.15">
      <c r="C284" s="20"/>
      <c r="D284" s="20"/>
      <c r="E284" s="20"/>
    </row>
    <row r="285" spans="3:5" x14ac:dyDescent="0.15">
      <c r="C285" s="20"/>
      <c r="D285" s="20"/>
      <c r="E285" s="20"/>
    </row>
    <row r="286" spans="3:5" x14ac:dyDescent="0.15">
      <c r="C286" s="20"/>
      <c r="D286" s="20"/>
      <c r="E286" s="20"/>
    </row>
    <row r="287" spans="3:5" x14ac:dyDescent="0.15">
      <c r="C287" s="20"/>
      <c r="D287" s="20"/>
      <c r="E287" s="20"/>
    </row>
    <row r="288" spans="3:5" x14ac:dyDescent="0.15">
      <c r="C288" s="20"/>
      <c r="D288" s="20"/>
      <c r="E288" s="20"/>
    </row>
    <row r="289" spans="3:5" x14ac:dyDescent="0.15">
      <c r="C289" s="20"/>
      <c r="D289" s="20"/>
      <c r="E289" s="20"/>
    </row>
    <row r="290" spans="3:5" x14ac:dyDescent="0.15">
      <c r="C290" s="20"/>
      <c r="D290" s="20"/>
      <c r="E290" s="20"/>
    </row>
    <row r="291" spans="3:5" x14ac:dyDescent="0.15">
      <c r="C291" s="20"/>
      <c r="D291" s="20"/>
      <c r="E291" s="20"/>
    </row>
    <row r="292" spans="3:5" x14ac:dyDescent="0.15">
      <c r="C292" s="20"/>
      <c r="D292" s="20"/>
      <c r="E292" s="20"/>
    </row>
    <row r="293" spans="3:5" x14ac:dyDescent="0.15">
      <c r="C293" s="20"/>
      <c r="D293" s="20"/>
      <c r="E293" s="20"/>
    </row>
    <row r="294" spans="3:5" x14ac:dyDescent="0.15">
      <c r="C294" s="20"/>
      <c r="D294" s="20"/>
      <c r="E294" s="20"/>
    </row>
    <row r="295" spans="3:5" x14ac:dyDescent="0.15">
      <c r="C295" s="20"/>
      <c r="D295" s="20"/>
      <c r="E295" s="20"/>
    </row>
    <row r="296" spans="3:5" x14ac:dyDescent="0.15">
      <c r="C296" s="20"/>
      <c r="D296" s="20"/>
      <c r="E296" s="20"/>
    </row>
    <row r="297" spans="3:5" x14ac:dyDescent="0.15">
      <c r="C297" s="20"/>
      <c r="D297" s="20"/>
      <c r="E297" s="20"/>
    </row>
    <row r="298" spans="3:5" x14ac:dyDescent="0.15">
      <c r="C298" s="20"/>
      <c r="D298" s="20"/>
      <c r="E298" s="20"/>
    </row>
    <row r="299" spans="3:5" x14ac:dyDescent="0.15">
      <c r="C299" s="20"/>
      <c r="D299" s="20"/>
      <c r="E299" s="20"/>
    </row>
    <row r="300" spans="3:5" x14ac:dyDescent="0.15">
      <c r="C300" s="20"/>
      <c r="D300" s="20"/>
      <c r="E300" s="20"/>
    </row>
    <row r="301" spans="3:5" x14ac:dyDescent="0.15">
      <c r="C301" s="20"/>
      <c r="D301" s="20"/>
      <c r="E301" s="20"/>
    </row>
    <row r="302" spans="3:5" x14ac:dyDescent="0.15">
      <c r="C302" s="20"/>
      <c r="D302" s="20"/>
      <c r="E302" s="20"/>
    </row>
    <row r="303" spans="3:5" x14ac:dyDescent="0.15">
      <c r="C303" s="20"/>
      <c r="D303" s="20"/>
      <c r="E303" s="20"/>
    </row>
    <row r="304" spans="3:5" x14ac:dyDescent="0.15">
      <c r="C304" s="20"/>
      <c r="D304" s="20"/>
      <c r="E304" s="20"/>
    </row>
    <row r="305" spans="3:5" x14ac:dyDescent="0.15">
      <c r="C305" s="20"/>
      <c r="D305" s="20"/>
      <c r="E305" s="20"/>
    </row>
    <row r="306" spans="3:5" x14ac:dyDescent="0.15">
      <c r="C306" s="20"/>
      <c r="D306" s="20"/>
      <c r="E306" s="20"/>
    </row>
    <row r="307" spans="3:5" x14ac:dyDescent="0.15">
      <c r="C307" s="20"/>
      <c r="D307" s="20"/>
      <c r="E307" s="20"/>
    </row>
    <row r="308" spans="3:5" x14ac:dyDescent="0.15">
      <c r="C308" s="20"/>
      <c r="D308" s="20"/>
      <c r="E308" s="20"/>
    </row>
    <row r="309" spans="3:5" x14ac:dyDescent="0.15">
      <c r="C309" s="20"/>
      <c r="D309" s="20"/>
      <c r="E309" s="20"/>
    </row>
    <row r="310" spans="3:5" x14ac:dyDescent="0.15">
      <c r="C310" s="20"/>
      <c r="D310" s="20"/>
      <c r="E310" s="20"/>
    </row>
    <row r="311" spans="3:5" x14ac:dyDescent="0.15">
      <c r="C311" s="20"/>
      <c r="D311" s="20"/>
      <c r="E311" s="20"/>
    </row>
    <row r="312" spans="3:5" x14ac:dyDescent="0.15">
      <c r="C312" s="20"/>
      <c r="D312" s="20"/>
      <c r="E312" s="20"/>
    </row>
    <row r="313" spans="3:5" x14ac:dyDescent="0.15">
      <c r="C313" s="20"/>
      <c r="D313" s="20"/>
      <c r="E313" s="20"/>
    </row>
    <row r="314" spans="3:5" x14ac:dyDescent="0.15">
      <c r="C314" s="20"/>
      <c r="D314" s="20"/>
      <c r="E314" s="20"/>
    </row>
    <row r="315" spans="3:5" x14ac:dyDescent="0.15">
      <c r="C315" s="20"/>
      <c r="D315" s="20"/>
      <c r="E315" s="20"/>
    </row>
    <row r="316" spans="3:5" x14ac:dyDescent="0.15">
      <c r="C316" s="20"/>
      <c r="D316" s="20"/>
      <c r="E316" s="20"/>
    </row>
  </sheetData>
  <phoneticPr fontId="32" type="noConversion"/>
  <pageMargins left="0.69930555555555596" right="0.69930555555555596" top="0.75" bottom="0.75" header="0.3" footer="0.3"/>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25"/>
  <sheetViews>
    <sheetView zoomScaleNormal="100" workbookViewId="0">
      <pane ySplit="8" topLeftCell="A9" activePane="bottomLeft" state="frozen"/>
      <selection pane="bottomLeft"/>
    </sheetView>
  </sheetViews>
  <sheetFormatPr defaultColWidth="9" defaultRowHeight="13.5" x14ac:dyDescent="0.15"/>
  <cols>
    <col min="1" max="1" width="9" style="4" customWidth="1"/>
    <col min="2" max="2" width="6.25" style="6" bestFit="1" customWidth="1"/>
    <col min="3" max="3" width="10.875" style="6" customWidth="1"/>
    <col min="4" max="4" width="9.25" style="6" bestFit="1" customWidth="1"/>
    <col min="5" max="5" width="9" style="4" bestFit="1" customWidth="1"/>
    <col min="6" max="6" width="13.625" style="4" bestFit="1" customWidth="1"/>
    <col min="7" max="8" width="23.75" style="6" customWidth="1"/>
    <col min="9" max="9" width="21.375" style="4" bestFit="1" customWidth="1"/>
    <col min="10" max="10" width="10.625" style="4" bestFit="1" customWidth="1"/>
    <col min="11" max="11" width="36.375" style="79" customWidth="1"/>
    <col min="12" max="12" width="10" style="4" customWidth="1"/>
    <col min="13" max="13" width="23.75" style="6" customWidth="1"/>
    <col min="14" max="15" width="20.5" style="6" customWidth="1"/>
    <col min="16" max="16" width="13.625" style="4" customWidth="1"/>
    <col min="17" max="16384" width="9" style="4"/>
  </cols>
  <sheetData>
    <row r="1" spans="1:17" s="1" customFormat="1" x14ac:dyDescent="0.15">
      <c r="A1" s="5" t="s">
        <v>1229</v>
      </c>
      <c r="B1" s="1" t="s">
        <v>1</v>
      </c>
      <c r="C1" s="1" t="s">
        <v>1</v>
      </c>
      <c r="D1" s="1" t="s">
        <v>1</v>
      </c>
      <c r="E1" s="1" t="s">
        <v>1</v>
      </c>
      <c r="F1" s="1" t="s">
        <v>172</v>
      </c>
      <c r="G1" s="1" t="s">
        <v>173</v>
      </c>
      <c r="H1" s="1" t="s">
        <v>172</v>
      </c>
      <c r="I1" s="1" t="s">
        <v>172</v>
      </c>
      <c r="J1" s="1" t="s">
        <v>172</v>
      </c>
      <c r="K1" s="77"/>
      <c r="P1" s="1" t="s">
        <v>1945</v>
      </c>
      <c r="Q1" s="1" t="s">
        <v>1272</v>
      </c>
    </row>
    <row r="2" spans="1:17" s="1" customFormat="1" x14ac:dyDescent="0.15">
      <c r="A2" s="5" t="s">
        <v>1231</v>
      </c>
      <c r="B2" s="1" t="s">
        <v>1</v>
      </c>
      <c r="C2" s="1" t="s">
        <v>1</v>
      </c>
      <c r="D2" s="1" t="s">
        <v>1</v>
      </c>
      <c r="E2" s="1" t="s">
        <v>174</v>
      </c>
      <c r="F2" s="1" t="s">
        <v>1</v>
      </c>
      <c r="G2" s="1" t="s">
        <v>1</v>
      </c>
      <c r="H2" s="1" t="s">
        <v>1</v>
      </c>
      <c r="J2" s="1" t="s">
        <v>172</v>
      </c>
      <c r="K2" s="77" t="s">
        <v>1</v>
      </c>
      <c r="L2" s="1" t="s">
        <v>173</v>
      </c>
      <c r="M2" s="1" t="s">
        <v>1</v>
      </c>
      <c r="N2" s="1" t="s">
        <v>1</v>
      </c>
      <c r="O2" s="1" t="s">
        <v>1</v>
      </c>
      <c r="P2" s="1" t="s">
        <v>1</v>
      </c>
      <c r="Q2" s="1" t="s">
        <v>1</v>
      </c>
    </row>
    <row r="3" spans="1:17" s="2" customFormat="1" ht="14.25" x14ac:dyDescent="0.15">
      <c r="A3" s="14" t="s">
        <v>1</v>
      </c>
      <c r="B3" s="14" t="s">
        <v>3</v>
      </c>
      <c r="C3" s="14" t="s">
        <v>3</v>
      </c>
      <c r="D3" s="14" t="s">
        <v>3</v>
      </c>
      <c r="E3" s="14" t="s">
        <v>7</v>
      </c>
      <c r="F3" s="14" t="s">
        <v>7</v>
      </c>
      <c r="G3" s="14" t="s">
        <v>175</v>
      </c>
      <c r="H3" s="14" t="s">
        <v>176</v>
      </c>
      <c r="I3" s="14" t="s">
        <v>7</v>
      </c>
      <c r="J3" s="14" t="s">
        <v>7</v>
      </c>
      <c r="K3" s="78" t="s">
        <v>7</v>
      </c>
      <c r="L3" s="14" t="s">
        <v>7</v>
      </c>
      <c r="M3" s="14" t="s">
        <v>7</v>
      </c>
      <c r="N3" s="14" t="s">
        <v>7</v>
      </c>
      <c r="O3" s="14" t="s">
        <v>175</v>
      </c>
      <c r="P3" s="14" t="s">
        <v>7</v>
      </c>
      <c r="Q3" s="14" t="s">
        <v>1227</v>
      </c>
    </row>
    <row r="4" spans="1:17" s="2" customFormat="1" ht="14.25" x14ac:dyDescent="0.15">
      <c r="A4" s="14"/>
      <c r="B4" s="14" t="s">
        <v>4</v>
      </c>
      <c r="C4" s="14" t="s">
        <v>177</v>
      </c>
      <c r="D4" s="14" t="s">
        <v>178</v>
      </c>
      <c r="E4" s="14" t="s">
        <v>179</v>
      </c>
      <c r="F4" s="14" t="s">
        <v>180</v>
      </c>
      <c r="G4" s="14" t="s">
        <v>181</v>
      </c>
      <c r="H4" s="14" t="s">
        <v>232</v>
      </c>
      <c r="I4" s="14" t="s">
        <v>182</v>
      </c>
      <c r="J4" s="14" t="s">
        <v>234</v>
      </c>
      <c r="K4" s="78" t="s">
        <v>183</v>
      </c>
      <c r="L4" s="14" t="s">
        <v>184</v>
      </c>
      <c r="M4" s="14" t="s">
        <v>135</v>
      </c>
      <c r="N4" s="14" t="s">
        <v>185</v>
      </c>
      <c r="O4" s="14" t="s">
        <v>186</v>
      </c>
      <c r="P4" s="14" t="s">
        <v>187</v>
      </c>
      <c r="Q4" s="14" t="s">
        <v>1228</v>
      </c>
    </row>
    <row r="5" spans="1:17" s="2" customFormat="1" ht="14.25" x14ac:dyDescent="0.15">
      <c r="A5" s="14"/>
      <c r="B5" s="14" t="str">
        <f>IF(B3="","",IF(B3="INT","i",IF(B3="FLOAT","f",IF(B3="STRING","s"))))</f>
        <v>i</v>
      </c>
      <c r="C5" s="14" t="s">
        <v>5</v>
      </c>
      <c r="D5" s="14" t="s">
        <v>5</v>
      </c>
      <c r="E5" s="14" t="s">
        <v>8</v>
      </c>
      <c r="F5" s="14" t="s">
        <v>8</v>
      </c>
      <c r="G5" s="14" t="str">
        <f>IF(G3="","",IF(G3="INT","i",IF(G3="FLOAT","f",IF(G3="STRING","s"))))</f>
        <v>i</v>
      </c>
      <c r="H5" s="14" t="str">
        <f>IF(H3="","",IF(H3="INT","i",IF(H3="FLOAT","f",IF(H3="STRING","s"))))</f>
        <v>i</v>
      </c>
      <c r="I5" s="14" t="s">
        <v>8</v>
      </c>
      <c r="J5" s="14" t="s">
        <v>8</v>
      </c>
      <c r="K5" s="78" t="s">
        <v>8</v>
      </c>
      <c r="L5" s="14" t="s">
        <v>8</v>
      </c>
      <c r="M5" s="14" t="str">
        <f>IF(M3="","",IF(M3="INT","i",IF(M3="FLOAT","f",IF(M3="STRING","s"))))</f>
        <v>s</v>
      </c>
      <c r="N5" s="14" t="str">
        <f>IF(N3="","",IF(N3="INT","i",IF(N3="FLOAT","f",IF(N3="STRING","s"))))</f>
        <v>s</v>
      </c>
      <c r="O5" s="14" t="str">
        <f>IF(O3="","",IF(O3="INT","i",IF(O3="FLOAT","f",IF(O3="STRING","s"))))</f>
        <v>i</v>
      </c>
      <c r="P5" s="14" t="s">
        <v>8</v>
      </c>
      <c r="Q5" s="14" t="str">
        <f>IF(Q3="","",IF(Q3="INT","i",IF(Q3="FLOAT","f",IF(Q3="STRING","s"))))</f>
        <v>i</v>
      </c>
    </row>
    <row r="6" spans="1:17" s="2" customFormat="1" ht="14.25" x14ac:dyDescent="0.15">
      <c r="A6" s="14" t="s">
        <v>1</v>
      </c>
      <c r="B6" s="14" t="str">
        <f>B5&amp;B4</f>
        <v>iID</v>
      </c>
      <c r="C6" s="14" t="str">
        <f>C5&amp;C4</f>
        <v>iLvl</v>
      </c>
      <c r="D6" s="14" t="str">
        <f t="shared" ref="D6:P6" si="0">D5&amp;D4</f>
        <v>iType</v>
      </c>
      <c r="E6" s="14" t="str">
        <f t="shared" si="0"/>
        <v>sCost</v>
      </c>
      <c r="F6" s="14" t="str">
        <f t="shared" si="0"/>
        <v>sAward</v>
      </c>
      <c r="G6" s="14" t="str">
        <f t="shared" si="0"/>
        <v>iStartLevel</v>
      </c>
      <c r="H6" s="14" t="str">
        <f t="shared" si="0"/>
        <v>iDayPlayCount</v>
      </c>
      <c r="I6" s="14" t="str">
        <f>I5&amp;I4</f>
        <v>sStarCondition</v>
      </c>
      <c r="J6" s="14" t="str">
        <f>J5&amp;J4</f>
        <v>sSweepCost</v>
      </c>
      <c r="K6" s="78" t="str">
        <f>K5&amp;K4</f>
        <v>sStarConditionDes</v>
      </c>
      <c r="L6" s="14" t="str">
        <f>L5&amp;L4</f>
        <v>sTrustIcon</v>
      </c>
      <c r="M6" s="14" t="str">
        <f t="shared" si="0"/>
        <v>sTitle</v>
      </c>
      <c r="N6" s="14" t="str">
        <f t="shared" si="0"/>
        <v>sDesc</v>
      </c>
      <c r="O6" s="14" t="str">
        <f t="shared" si="0"/>
        <v>iProductTag</v>
      </c>
      <c r="P6" s="14" t="str">
        <f t="shared" si="0"/>
        <v>sExtAward</v>
      </c>
      <c r="Q6" s="14" t="str">
        <f t="shared" ref="Q6" si="1">Q5&amp;Q4</f>
        <v>iUnLockID</v>
      </c>
    </row>
    <row r="7" spans="1:17" s="3" customFormat="1" ht="14.25" x14ac:dyDescent="0.15">
      <c r="A7" s="14"/>
      <c r="B7" s="14" t="s">
        <v>188</v>
      </c>
      <c r="C7" s="14" t="s">
        <v>189</v>
      </c>
      <c r="D7" s="14" t="s">
        <v>190</v>
      </c>
      <c r="E7" s="14" t="s">
        <v>191</v>
      </c>
      <c r="F7" s="14" t="s">
        <v>192</v>
      </c>
      <c r="G7" s="14" t="s">
        <v>193</v>
      </c>
      <c r="H7" s="14" t="s">
        <v>233</v>
      </c>
      <c r="I7" s="14" t="s">
        <v>194</v>
      </c>
      <c r="J7" s="14" t="s">
        <v>235</v>
      </c>
      <c r="K7" s="78" t="s">
        <v>195</v>
      </c>
      <c r="L7" s="14" t="s">
        <v>196</v>
      </c>
      <c r="M7" s="14" t="s">
        <v>197</v>
      </c>
      <c r="N7" s="14" t="s">
        <v>198</v>
      </c>
      <c r="O7" s="14" t="s">
        <v>199</v>
      </c>
      <c r="P7" s="14" t="s">
        <v>200</v>
      </c>
      <c r="Q7" s="3" t="s">
        <v>1230</v>
      </c>
    </row>
    <row r="8" spans="1:17" s="3" customFormat="1" ht="14.25" x14ac:dyDescent="0.15">
      <c r="A8" s="14" t="s">
        <v>6</v>
      </c>
      <c r="B8" s="14" t="e">
        <f>MODE(B10:B917)</f>
        <v>#N/A</v>
      </c>
      <c r="C8" s="14">
        <v>0</v>
      </c>
      <c r="D8" s="14">
        <v>0</v>
      </c>
      <c r="E8" s="14"/>
      <c r="F8" s="14"/>
      <c r="G8" s="14">
        <v>1</v>
      </c>
      <c r="H8" s="14">
        <v>10</v>
      </c>
      <c r="I8" s="4"/>
      <c r="J8" s="14"/>
      <c r="K8" s="79"/>
      <c r="L8" s="14"/>
      <c r="M8" s="14"/>
      <c r="N8" s="14"/>
      <c r="O8" s="14"/>
      <c r="P8" s="14"/>
      <c r="Q8" s="3">
        <v>0</v>
      </c>
    </row>
    <row r="9" spans="1:17" s="25" customFormat="1" ht="81" customHeight="1" x14ac:dyDescent="0.15">
      <c r="A9" s="24"/>
      <c r="B9" s="56" t="s">
        <v>1085</v>
      </c>
      <c r="C9" s="26"/>
      <c r="D9" s="26" t="s">
        <v>1077</v>
      </c>
      <c r="E9" s="24"/>
      <c r="F9" s="24"/>
      <c r="G9" s="24"/>
      <c r="H9" s="24"/>
      <c r="I9" s="31" t="s">
        <v>1084</v>
      </c>
      <c r="J9" s="31"/>
      <c r="K9" s="80"/>
      <c r="L9" s="56" t="s">
        <v>254</v>
      </c>
      <c r="M9" s="24"/>
      <c r="N9" s="24"/>
      <c r="O9" s="56" t="s">
        <v>255</v>
      </c>
      <c r="P9" s="24"/>
    </row>
    <row r="10" spans="1:17" ht="14.25" x14ac:dyDescent="0.15">
      <c r="A10" s="15" t="s">
        <v>1</v>
      </c>
      <c r="B10" s="16">
        <v>1</v>
      </c>
      <c r="C10" s="17">
        <v>1</v>
      </c>
      <c r="D10" s="17">
        <v>1</v>
      </c>
      <c r="E10" s="4" t="s">
        <v>1383</v>
      </c>
      <c r="F10" s="4" t="s">
        <v>4792</v>
      </c>
      <c r="G10" s="17" t="s">
        <v>378</v>
      </c>
      <c r="H10" s="17">
        <v>10</v>
      </c>
      <c r="I10" s="4" t="s">
        <v>2571</v>
      </c>
      <c r="J10" s="4" t="s">
        <v>7320</v>
      </c>
      <c r="K10" s="79" t="s">
        <v>2579</v>
      </c>
      <c r="L10" s="4" t="s">
        <v>480</v>
      </c>
      <c r="M10" s="17" t="s">
        <v>257</v>
      </c>
      <c r="N10" s="17" t="s">
        <v>1958</v>
      </c>
      <c r="O10" s="17">
        <v>1</v>
      </c>
      <c r="Q10" s="16"/>
    </row>
    <row r="11" spans="1:17" ht="14.25" x14ac:dyDescent="0.15">
      <c r="A11" s="15" t="s">
        <v>1</v>
      </c>
      <c r="B11" s="16">
        <v>2</v>
      </c>
      <c r="C11" s="17">
        <v>1</v>
      </c>
      <c r="D11" s="17">
        <v>1</v>
      </c>
      <c r="E11" s="4" t="s">
        <v>1383</v>
      </c>
      <c r="F11" s="4" t="s">
        <v>4792</v>
      </c>
      <c r="G11" s="17" t="s">
        <v>295</v>
      </c>
      <c r="H11" s="17">
        <v>10</v>
      </c>
      <c r="I11" s="4" t="s">
        <v>2572</v>
      </c>
      <c r="J11" s="4" t="s">
        <v>7320</v>
      </c>
      <c r="K11" s="79" t="s">
        <v>2580</v>
      </c>
      <c r="L11" s="4" t="s">
        <v>1959</v>
      </c>
      <c r="M11" s="17" t="s">
        <v>1960</v>
      </c>
      <c r="N11" s="17" t="s">
        <v>1961</v>
      </c>
      <c r="O11" s="17">
        <v>1</v>
      </c>
      <c r="Q11" s="16">
        <v>1</v>
      </c>
    </row>
    <row r="12" spans="1:17" ht="14.25" x14ac:dyDescent="0.15">
      <c r="A12" s="15" t="s">
        <v>1</v>
      </c>
      <c r="B12" s="16">
        <v>3</v>
      </c>
      <c r="C12" s="17">
        <v>1</v>
      </c>
      <c r="D12" s="17">
        <v>1</v>
      </c>
      <c r="E12" s="4" t="s">
        <v>1383</v>
      </c>
      <c r="F12" s="4" t="s">
        <v>4792</v>
      </c>
      <c r="G12" s="17" t="s">
        <v>298</v>
      </c>
      <c r="H12" s="17">
        <v>10</v>
      </c>
      <c r="I12" s="4" t="s">
        <v>1962</v>
      </c>
      <c r="J12" s="4" t="s">
        <v>7320</v>
      </c>
      <c r="K12" s="79" t="s">
        <v>300</v>
      </c>
      <c r="L12" s="4" t="s">
        <v>701</v>
      </c>
      <c r="M12" s="17" t="s">
        <v>1963</v>
      </c>
      <c r="N12" s="17" t="s">
        <v>1964</v>
      </c>
      <c r="O12" s="17">
        <v>2</v>
      </c>
      <c r="Q12" s="16">
        <v>2</v>
      </c>
    </row>
    <row r="13" spans="1:17" ht="14.25" x14ac:dyDescent="0.15">
      <c r="A13" s="15" t="s">
        <v>1</v>
      </c>
      <c r="B13" s="16">
        <v>4</v>
      </c>
      <c r="C13" s="17">
        <v>1</v>
      </c>
      <c r="D13" s="17">
        <v>1</v>
      </c>
      <c r="E13" s="4" t="s">
        <v>1383</v>
      </c>
      <c r="F13" s="4" t="s">
        <v>4792</v>
      </c>
      <c r="G13" s="17" t="s">
        <v>299</v>
      </c>
      <c r="H13" s="17">
        <v>10</v>
      </c>
      <c r="I13" s="4" t="s">
        <v>2573</v>
      </c>
      <c r="J13" s="4" t="s">
        <v>7320</v>
      </c>
      <c r="K13" s="79" t="s">
        <v>2581</v>
      </c>
      <c r="L13" s="4" t="s">
        <v>1965</v>
      </c>
      <c r="M13" s="17" t="s">
        <v>1966</v>
      </c>
      <c r="N13" s="17" t="s">
        <v>1967</v>
      </c>
      <c r="O13" s="17">
        <v>2</v>
      </c>
      <c r="Q13" s="16">
        <v>3</v>
      </c>
    </row>
    <row r="14" spans="1:17" ht="14.25" x14ac:dyDescent="0.15">
      <c r="A14" s="15" t="s">
        <v>1</v>
      </c>
      <c r="B14" s="16">
        <v>5</v>
      </c>
      <c r="C14" s="17">
        <v>1</v>
      </c>
      <c r="D14" s="17">
        <v>1</v>
      </c>
      <c r="E14" s="4" t="s">
        <v>1383</v>
      </c>
      <c r="F14" s="4" t="s">
        <v>4792</v>
      </c>
      <c r="G14" s="17" t="s">
        <v>741</v>
      </c>
      <c r="H14" s="17">
        <v>10</v>
      </c>
      <c r="I14" s="4" t="s">
        <v>2574</v>
      </c>
      <c r="J14" s="4" t="s">
        <v>7320</v>
      </c>
      <c r="K14" s="79" t="s">
        <v>2582</v>
      </c>
      <c r="L14" s="4" t="s">
        <v>263</v>
      </c>
      <c r="M14" s="17" t="s">
        <v>1968</v>
      </c>
      <c r="N14" s="17" t="s">
        <v>264</v>
      </c>
      <c r="O14" s="17">
        <v>1</v>
      </c>
      <c r="Q14" s="16">
        <v>4</v>
      </c>
    </row>
    <row r="15" spans="1:17" ht="14.25" x14ac:dyDescent="0.15">
      <c r="A15" s="15" t="s">
        <v>1</v>
      </c>
      <c r="B15" s="16">
        <v>6</v>
      </c>
      <c r="C15" s="17">
        <v>1</v>
      </c>
      <c r="D15" s="17">
        <v>1</v>
      </c>
      <c r="E15" s="4" t="s">
        <v>1383</v>
      </c>
      <c r="F15" s="4" t="s">
        <v>4792</v>
      </c>
      <c r="G15" s="17" t="s">
        <v>935</v>
      </c>
      <c r="H15" s="17">
        <v>10</v>
      </c>
      <c r="I15" s="4" t="s">
        <v>2575</v>
      </c>
      <c r="J15" s="4" t="s">
        <v>7320</v>
      </c>
      <c r="K15" s="79" t="s">
        <v>742</v>
      </c>
      <c r="L15" s="4" t="s">
        <v>743</v>
      </c>
      <c r="M15" s="17" t="s">
        <v>744</v>
      </c>
      <c r="N15" s="17" t="s">
        <v>745</v>
      </c>
      <c r="O15" s="17">
        <v>2</v>
      </c>
      <c r="Q15" s="16">
        <v>5</v>
      </c>
    </row>
    <row r="16" spans="1:17" ht="14.25" x14ac:dyDescent="0.15">
      <c r="A16" s="15" t="s">
        <v>1</v>
      </c>
      <c r="B16" s="16">
        <v>7</v>
      </c>
      <c r="C16" s="17">
        <v>1</v>
      </c>
      <c r="D16" s="17">
        <v>1</v>
      </c>
      <c r="E16" s="4" t="s">
        <v>1383</v>
      </c>
      <c r="F16" s="4" t="s">
        <v>4792</v>
      </c>
      <c r="G16" s="17" t="s">
        <v>1969</v>
      </c>
      <c r="H16" s="17">
        <v>10</v>
      </c>
      <c r="I16" s="4" t="s">
        <v>2576</v>
      </c>
      <c r="J16" s="4" t="s">
        <v>7320</v>
      </c>
      <c r="K16" s="79" t="s">
        <v>2583</v>
      </c>
      <c r="L16" s="4" t="s">
        <v>296</v>
      </c>
      <c r="M16" s="17" t="s">
        <v>250</v>
      </c>
      <c r="N16" s="17" t="s">
        <v>297</v>
      </c>
      <c r="O16" s="17">
        <v>1</v>
      </c>
      <c r="Q16" s="16">
        <v>6</v>
      </c>
    </row>
    <row r="17" spans="1:17" ht="14.25" x14ac:dyDescent="0.15">
      <c r="A17" s="15" t="s">
        <v>1</v>
      </c>
      <c r="B17" s="16">
        <v>8</v>
      </c>
      <c r="C17" s="17">
        <v>1</v>
      </c>
      <c r="D17" s="17">
        <v>1</v>
      </c>
      <c r="E17" s="4" t="s">
        <v>1383</v>
      </c>
      <c r="F17" s="4" t="s">
        <v>4792</v>
      </c>
      <c r="G17" s="17" t="s">
        <v>845</v>
      </c>
      <c r="H17" s="17">
        <v>10</v>
      </c>
      <c r="I17" s="4" t="s">
        <v>1970</v>
      </c>
      <c r="J17" s="4" t="s">
        <v>7320</v>
      </c>
      <c r="K17" s="79" t="s">
        <v>2561</v>
      </c>
      <c r="L17" s="4" t="s">
        <v>1971</v>
      </c>
      <c r="M17" s="17" t="s">
        <v>1972</v>
      </c>
      <c r="N17" s="17" t="s">
        <v>1973</v>
      </c>
      <c r="O17" s="17">
        <v>1</v>
      </c>
      <c r="Q17" s="16">
        <v>7</v>
      </c>
    </row>
    <row r="18" spans="1:17" ht="14.25" x14ac:dyDescent="0.15">
      <c r="A18" s="15" t="s">
        <v>1</v>
      </c>
      <c r="B18" s="16">
        <v>9</v>
      </c>
      <c r="C18" s="17">
        <v>1</v>
      </c>
      <c r="D18" s="17">
        <v>1</v>
      </c>
      <c r="E18" s="4" t="s">
        <v>1383</v>
      </c>
      <c r="F18" s="4" t="s">
        <v>4792</v>
      </c>
      <c r="G18" s="17" t="s">
        <v>1017</v>
      </c>
      <c r="H18" s="17">
        <v>10</v>
      </c>
      <c r="I18" s="4" t="s">
        <v>2577</v>
      </c>
      <c r="J18" s="4" t="s">
        <v>7320</v>
      </c>
      <c r="K18" s="79" t="s">
        <v>2584</v>
      </c>
      <c r="L18" s="4" t="s">
        <v>846</v>
      </c>
      <c r="M18" s="17" t="s">
        <v>1974</v>
      </c>
      <c r="N18" s="17" t="s">
        <v>847</v>
      </c>
      <c r="O18" s="17">
        <v>2</v>
      </c>
      <c r="Q18" s="16">
        <v>8</v>
      </c>
    </row>
    <row r="19" spans="1:17" ht="14.25" x14ac:dyDescent="0.15">
      <c r="A19" s="15" t="s">
        <v>1</v>
      </c>
      <c r="B19" s="16">
        <v>10</v>
      </c>
      <c r="C19" s="17">
        <v>1</v>
      </c>
      <c r="D19" s="17">
        <v>1</v>
      </c>
      <c r="E19" s="4" t="s">
        <v>1383</v>
      </c>
      <c r="F19" s="4" t="s">
        <v>4792</v>
      </c>
      <c r="G19" s="17" t="s">
        <v>481</v>
      </c>
      <c r="H19" s="17">
        <v>10</v>
      </c>
      <c r="I19" s="4" t="s">
        <v>2578</v>
      </c>
      <c r="J19" s="4" t="s">
        <v>7320</v>
      </c>
      <c r="K19" s="79" t="s">
        <v>2585</v>
      </c>
      <c r="L19" s="4" t="s">
        <v>482</v>
      </c>
      <c r="M19" s="17" t="s">
        <v>483</v>
      </c>
      <c r="N19" s="17" t="s">
        <v>258</v>
      </c>
      <c r="O19" s="17">
        <v>2</v>
      </c>
      <c r="Q19" s="16">
        <v>9</v>
      </c>
    </row>
    <row r="20" spans="1:17" ht="14.25" x14ac:dyDescent="0.15">
      <c r="A20" s="15" t="s">
        <v>1</v>
      </c>
      <c r="B20" s="16">
        <v>11</v>
      </c>
      <c r="C20" s="17">
        <v>2</v>
      </c>
      <c r="D20" s="17">
        <v>1</v>
      </c>
      <c r="E20" s="4" t="s">
        <v>1321</v>
      </c>
      <c r="F20" s="4" t="s">
        <v>4792</v>
      </c>
      <c r="G20" s="17" t="s">
        <v>1065</v>
      </c>
      <c r="H20" s="17">
        <v>10</v>
      </c>
      <c r="I20" s="4" t="s">
        <v>4822</v>
      </c>
      <c r="J20" s="4" t="s">
        <v>7320</v>
      </c>
      <c r="K20" s="79" t="s">
        <v>2771</v>
      </c>
      <c r="L20" s="4" t="s">
        <v>2772</v>
      </c>
      <c r="M20" s="17" t="s">
        <v>2773</v>
      </c>
      <c r="N20" s="17" t="s">
        <v>2774</v>
      </c>
      <c r="O20" s="17">
        <v>1</v>
      </c>
      <c r="Q20" s="16"/>
    </row>
    <row r="21" spans="1:17" ht="14.25" x14ac:dyDescent="0.15">
      <c r="A21" s="15" t="s">
        <v>1</v>
      </c>
      <c r="B21" s="16">
        <v>12</v>
      </c>
      <c r="C21" s="17">
        <v>2</v>
      </c>
      <c r="D21" s="17">
        <v>1</v>
      </c>
      <c r="E21" s="4" t="s">
        <v>1321</v>
      </c>
      <c r="F21" s="4" t="s">
        <v>4792</v>
      </c>
      <c r="G21" s="112" t="s">
        <v>1068</v>
      </c>
      <c r="H21" s="108">
        <v>10</v>
      </c>
      <c r="I21" s="4" t="s">
        <v>3292</v>
      </c>
      <c r="J21" s="4" t="s">
        <v>7320</v>
      </c>
      <c r="K21" s="79" t="s">
        <v>3293</v>
      </c>
      <c r="L21" s="4" t="s">
        <v>1069</v>
      </c>
      <c r="M21" s="17" t="s">
        <v>2775</v>
      </c>
      <c r="N21" s="17" t="s">
        <v>2776</v>
      </c>
      <c r="O21" s="17">
        <v>2</v>
      </c>
      <c r="Q21" s="16">
        <v>11</v>
      </c>
    </row>
    <row r="22" spans="1:17" ht="14.25" x14ac:dyDescent="0.15">
      <c r="A22" s="106" t="s">
        <v>1</v>
      </c>
      <c r="B22" s="107">
        <v>13</v>
      </c>
      <c r="C22" s="108">
        <v>2</v>
      </c>
      <c r="D22" s="108">
        <v>1</v>
      </c>
      <c r="E22" s="97" t="s">
        <v>1321</v>
      </c>
      <c r="F22" s="4" t="s">
        <v>4792</v>
      </c>
      <c r="G22" s="108" t="s">
        <v>716</v>
      </c>
      <c r="H22" s="108">
        <v>10</v>
      </c>
      <c r="I22" s="88" t="s">
        <v>7295</v>
      </c>
      <c r="J22" s="4" t="s">
        <v>7320</v>
      </c>
      <c r="K22" s="79" t="s">
        <v>2777</v>
      </c>
      <c r="L22" s="4" t="s">
        <v>2778</v>
      </c>
      <c r="M22" s="17" t="s">
        <v>2779</v>
      </c>
      <c r="N22" s="17" t="s">
        <v>2780</v>
      </c>
      <c r="O22" s="17">
        <v>1</v>
      </c>
      <c r="Q22" s="16">
        <v>12</v>
      </c>
    </row>
    <row r="23" spans="1:17" ht="14.25" x14ac:dyDescent="0.15">
      <c r="A23" s="106" t="s">
        <v>1</v>
      </c>
      <c r="B23" s="107">
        <v>14</v>
      </c>
      <c r="C23" s="108">
        <v>2</v>
      </c>
      <c r="D23" s="108">
        <v>1</v>
      </c>
      <c r="E23" s="97" t="s">
        <v>1383</v>
      </c>
      <c r="F23" s="4" t="s">
        <v>4792</v>
      </c>
      <c r="G23" s="108" t="s">
        <v>1080</v>
      </c>
      <c r="H23" s="108">
        <v>10</v>
      </c>
      <c r="I23" s="4" t="s">
        <v>3413</v>
      </c>
      <c r="J23" s="4" t="s">
        <v>7320</v>
      </c>
      <c r="K23" s="110" t="s">
        <v>3414</v>
      </c>
      <c r="L23" s="4" t="s">
        <v>3415</v>
      </c>
      <c r="M23" s="17" t="s">
        <v>3416</v>
      </c>
      <c r="N23" s="17" t="s">
        <v>3417</v>
      </c>
      <c r="O23" s="17">
        <v>2</v>
      </c>
      <c r="Q23" s="16">
        <v>13</v>
      </c>
    </row>
    <row r="24" spans="1:17" ht="14.25" x14ac:dyDescent="0.15">
      <c r="A24" s="106" t="s">
        <v>1</v>
      </c>
      <c r="B24" s="107">
        <v>15</v>
      </c>
      <c r="C24" s="108">
        <v>2</v>
      </c>
      <c r="D24" s="108">
        <v>1</v>
      </c>
      <c r="E24" s="97" t="s">
        <v>1383</v>
      </c>
      <c r="F24" s="4" t="s">
        <v>4792</v>
      </c>
      <c r="G24" s="108" t="s">
        <v>1074</v>
      </c>
      <c r="H24" s="108">
        <v>10</v>
      </c>
      <c r="I24" s="4" t="s">
        <v>3418</v>
      </c>
      <c r="J24" s="4" t="s">
        <v>7320</v>
      </c>
      <c r="K24" s="111" t="s">
        <v>3419</v>
      </c>
      <c r="L24" s="96" t="s">
        <v>3420</v>
      </c>
      <c r="M24" s="108" t="s">
        <v>3421</v>
      </c>
      <c r="N24" s="108" t="s">
        <v>3422</v>
      </c>
      <c r="O24" s="108">
        <v>1</v>
      </c>
      <c r="P24" s="96"/>
      <c r="Q24" s="16">
        <v>14</v>
      </c>
    </row>
    <row r="25" spans="1:17" s="89" customFormat="1" ht="14.25" x14ac:dyDescent="0.15">
      <c r="A25" s="109" t="s">
        <v>1</v>
      </c>
      <c r="B25" s="107">
        <v>16</v>
      </c>
      <c r="C25" s="108">
        <v>2</v>
      </c>
      <c r="D25" s="108">
        <v>1</v>
      </c>
      <c r="E25" s="97" t="s">
        <v>1383</v>
      </c>
      <c r="F25" s="4" t="s">
        <v>4792</v>
      </c>
      <c r="G25" s="108" t="s">
        <v>933</v>
      </c>
      <c r="H25" s="108">
        <v>10</v>
      </c>
      <c r="I25" s="97" t="s">
        <v>4772</v>
      </c>
      <c r="J25" s="4" t="s">
        <v>7320</v>
      </c>
      <c r="K25" s="111" t="s">
        <v>3925</v>
      </c>
      <c r="L25" s="97" t="s">
        <v>3926</v>
      </c>
      <c r="M25" s="108" t="s">
        <v>3927</v>
      </c>
      <c r="N25" s="108" t="s">
        <v>3928</v>
      </c>
      <c r="O25" s="108">
        <v>2</v>
      </c>
      <c r="P25" s="97"/>
      <c r="Q25" s="107">
        <v>15</v>
      </c>
    </row>
    <row r="26" spans="1:17" s="89" customFormat="1" ht="14.25" x14ac:dyDescent="0.15">
      <c r="A26" s="109" t="s">
        <v>1</v>
      </c>
      <c r="B26" s="107">
        <v>17</v>
      </c>
      <c r="C26" s="108">
        <v>2</v>
      </c>
      <c r="D26" s="108">
        <v>1</v>
      </c>
      <c r="E26" s="97" t="s">
        <v>1383</v>
      </c>
      <c r="F26" s="4" t="s">
        <v>4792</v>
      </c>
      <c r="G26" s="108" t="s">
        <v>934</v>
      </c>
      <c r="H26" s="108">
        <v>10</v>
      </c>
      <c r="I26" s="97" t="s">
        <v>4771</v>
      </c>
      <c r="J26" s="4" t="s">
        <v>7320</v>
      </c>
      <c r="K26" s="111" t="s">
        <v>3929</v>
      </c>
      <c r="L26" s="97" t="s">
        <v>263</v>
      </c>
      <c r="M26" s="108" t="s">
        <v>3930</v>
      </c>
      <c r="N26" s="108" t="s">
        <v>3931</v>
      </c>
      <c r="O26" s="108">
        <v>1</v>
      </c>
      <c r="P26" s="97"/>
      <c r="Q26" s="107">
        <v>16</v>
      </c>
    </row>
    <row r="27" spans="1:17" s="89" customFormat="1" ht="14.25" x14ac:dyDescent="0.15">
      <c r="A27" s="109" t="s">
        <v>1</v>
      </c>
      <c r="B27" s="107">
        <v>18</v>
      </c>
      <c r="C27" s="108">
        <v>2</v>
      </c>
      <c r="D27" s="108">
        <v>1</v>
      </c>
      <c r="E27" s="97" t="s">
        <v>1383</v>
      </c>
      <c r="F27" s="4" t="s">
        <v>4792</v>
      </c>
      <c r="G27" s="108" t="s">
        <v>1176</v>
      </c>
      <c r="H27" s="108">
        <v>10</v>
      </c>
      <c r="I27" s="97" t="s">
        <v>4770</v>
      </c>
      <c r="J27" s="4" t="s">
        <v>7320</v>
      </c>
      <c r="K27" s="111" t="s">
        <v>3932</v>
      </c>
      <c r="L27" s="97" t="s">
        <v>3933</v>
      </c>
      <c r="M27" s="108" t="s">
        <v>3934</v>
      </c>
      <c r="N27" s="108" t="s">
        <v>3935</v>
      </c>
      <c r="O27" s="108">
        <v>1</v>
      </c>
      <c r="P27" s="97"/>
      <c r="Q27" s="107">
        <v>17</v>
      </c>
    </row>
    <row r="28" spans="1:17" s="89" customFormat="1" ht="14.25" x14ac:dyDescent="0.15">
      <c r="A28" s="109" t="s">
        <v>1</v>
      </c>
      <c r="B28" s="107">
        <v>19</v>
      </c>
      <c r="C28" s="108">
        <v>2</v>
      </c>
      <c r="D28" s="108">
        <v>1</v>
      </c>
      <c r="E28" s="97" t="s">
        <v>1383</v>
      </c>
      <c r="F28" s="4" t="s">
        <v>4792</v>
      </c>
      <c r="G28" s="108" t="s">
        <v>1057</v>
      </c>
      <c r="H28" s="108">
        <v>10</v>
      </c>
      <c r="I28" s="97" t="s">
        <v>4769</v>
      </c>
      <c r="J28" s="4" t="s">
        <v>7320</v>
      </c>
      <c r="K28" s="111" t="s">
        <v>3936</v>
      </c>
      <c r="L28" s="97" t="s">
        <v>3937</v>
      </c>
      <c r="M28" s="108" t="s">
        <v>3938</v>
      </c>
      <c r="N28" s="108" t="s">
        <v>3939</v>
      </c>
      <c r="O28" s="108">
        <v>2</v>
      </c>
      <c r="P28" s="97"/>
      <c r="Q28" s="107">
        <v>18</v>
      </c>
    </row>
    <row r="29" spans="1:17" s="89" customFormat="1" ht="14.25" x14ac:dyDescent="0.15">
      <c r="A29" s="109" t="s">
        <v>1</v>
      </c>
      <c r="B29" s="107">
        <v>20</v>
      </c>
      <c r="C29" s="108">
        <v>2</v>
      </c>
      <c r="D29" s="108">
        <v>1</v>
      </c>
      <c r="E29" s="97" t="s">
        <v>1383</v>
      </c>
      <c r="F29" s="4" t="s">
        <v>4792</v>
      </c>
      <c r="G29" s="108" t="s">
        <v>848</v>
      </c>
      <c r="H29" s="108">
        <v>10</v>
      </c>
      <c r="I29" s="97" t="s">
        <v>7147</v>
      </c>
      <c r="J29" s="4" t="s">
        <v>7320</v>
      </c>
      <c r="K29" s="111" t="s">
        <v>3940</v>
      </c>
      <c r="L29" s="97" t="s">
        <v>3941</v>
      </c>
      <c r="M29" s="108" t="s">
        <v>3942</v>
      </c>
      <c r="N29" s="108" t="s">
        <v>3943</v>
      </c>
      <c r="O29" s="108">
        <v>2</v>
      </c>
      <c r="P29" s="97"/>
      <c r="Q29" s="107">
        <v>19</v>
      </c>
    </row>
    <row r="30" spans="1:17" s="89" customFormat="1" ht="14.25" x14ac:dyDescent="0.15">
      <c r="A30" s="116" t="s">
        <v>1</v>
      </c>
      <c r="B30" s="117">
        <v>21</v>
      </c>
      <c r="C30" s="118">
        <v>3</v>
      </c>
      <c r="D30" s="118">
        <v>1</v>
      </c>
      <c r="E30" s="89" t="s">
        <v>1383</v>
      </c>
      <c r="F30" s="89" t="s">
        <v>4792</v>
      </c>
      <c r="G30" s="118" t="s">
        <v>1883</v>
      </c>
      <c r="H30" s="118">
        <v>10</v>
      </c>
      <c r="I30" s="89" t="s">
        <v>7148</v>
      </c>
      <c r="J30" s="4" t="s">
        <v>7320</v>
      </c>
      <c r="K30" s="111" t="s">
        <v>7146</v>
      </c>
      <c r="L30" s="97" t="s">
        <v>480</v>
      </c>
      <c r="M30" s="108" t="s">
        <v>7123</v>
      </c>
      <c r="N30" s="108" t="s">
        <v>7124</v>
      </c>
      <c r="O30" s="108">
        <v>1</v>
      </c>
      <c r="Q30" s="117"/>
    </row>
    <row r="31" spans="1:17" s="89" customFormat="1" ht="14.25" x14ac:dyDescent="0.15">
      <c r="A31" s="116" t="s">
        <v>1</v>
      </c>
      <c r="B31" s="117">
        <v>22</v>
      </c>
      <c r="C31" s="118">
        <v>3</v>
      </c>
      <c r="D31" s="118">
        <v>1</v>
      </c>
      <c r="E31" s="89" t="s">
        <v>1383</v>
      </c>
      <c r="F31" s="89" t="s">
        <v>4792</v>
      </c>
      <c r="G31" s="118" t="s">
        <v>1384</v>
      </c>
      <c r="H31" s="118">
        <v>10</v>
      </c>
      <c r="I31" s="97" t="s">
        <v>7130</v>
      </c>
      <c r="J31" s="4" t="s">
        <v>7320</v>
      </c>
      <c r="K31" s="111" t="s">
        <v>7129</v>
      </c>
      <c r="L31" s="97" t="s">
        <v>7122</v>
      </c>
      <c r="M31" s="108" t="s">
        <v>7118</v>
      </c>
      <c r="N31" s="108" t="s">
        <v>7119</v>
      </c>
      <c r="O31" s="108">
        <v>2</v>
      </c>
      <c r="Q31" s="117">
        <v>21</v>
      </c>
    </row>
    <row r="32" spans="1:17" s="89" customFormat="1" ht="14.25" x14ac:dyDescent="0.15">
      <c r="A32" s="116" t="s">
        <v>1</v>
      </c>
      <c r="B32" s="117">
        <v>23</v>
      </c>
      <c r="C32" s="118">
        <v>3</v>
      </c>
      <c r="D32" s="118">
        <v>1</v>
      </c>
      <c r="E32" s="89" t="s">
        <v>1383</v>
      </c>
      <c r="F32" s="89" t="s">
        <v>4792</v>
      </c>
      <c r="G32" s="118" t="s">
        <v>1390</v>
      </c>
      <c r="H32" s="118">
        <v>10</v>
      </c>
      <c r="I32" s="97" t="s">
        <v>7126</v>
      </c>
      <c r="J32" s="4" t="s">
        <v>7320</v>
      </c>
      <c r="K32" s="111" t="s">
        <v>7125</v>
      </c>
      <c r="L32" s="97" t="s">
        <v>482</v>
      </c>
      <c r="M32" s="108" t="s">
        <v>7120</v>
      </c>
      <c r="N32" s="108" t="s">
        <v>7121</v>
      </c>
      <c r="O32" s="108">
        <v>1</v>
      </c>
      <c r="Q32" s="117">
        <v>22</v>
      </c>
    </row>
    <row r="33" spans="1:17" s="89" customFormat="1" ht="14.25" x14ac:dyDescent="0.15">
      <c r="A33" s="116" t="s">
        <v>1</v>
      </c>
      <c r="B33" s="117">
        <v>24</v>
      </c>
      <c r="C33" s="118">
        <v>3</v>
      </c>
      <c r="D33" s="118">
        <v>1</v>
      </c>
      <c r="E33" s="89" t="s">
        <v>1321</v>
      </c>
      <c r="F33" s="89" t="s">
        <v>4792</v>
      </c>
      <c r="G33" s="118" t="s">
        <v>7090</v>
      </c>
      <c r="H33" s="118">
        <v>10</v>
      </c>
      <c r="I33" s="97" t="s">
        <v>7132</v>
      </c>
      <c r="J33" s="4" t="s">
        <v>7320</v>
      </c>
      <c r="K33" s="111" t="s">
        <v>7131</v>
      </c>
      <c r="L33" s="97" t="s">
        <v>7107</v>
      </c>
      <c r="M33" s="108" t="s">
        <v>7097</v>
      </c>
      <c r="N33" s="108" t="s">
        <v>7098</v>
      </c>
      <c r="O33" s="108">
        <v>2</v>
      </c>
      <c r="Q33" s="117">
        <v>23</v>
      </c>
    </row>
    <row r="34" spans="1:17" s="89" customFormat="1" ht="14.25" x14ac:dyDescent="0.15">
      <c r="A34" s="116" t="s">
        <v>1</v>
      </c>
      <c r="B34" s="117">
        <v>25</v>
      </c>
      <c r="C34" s="118">
        <v>3</v>
      </c>
      <c r="D34" s="118">
        <v>1</v>
      </c>
      <c r="E34" s="89" t="s">
        <v>1321</v>
      </c>
      <c r="F34" s="89" t="s">
        <v>4792</v>
      </c>
      <c r="G34" s="118" t="s">
        <v>7091</v>
      </c>
      <c r="H34" s="118">
        <v>10</v>
      </c>
      <c r="I34" s="97" t="s">
        <v>7134</v>
      </c>
      <c r="J34" s="4" t="s">
        <v>7320</v>
      </c>
      <c r="K34" s="111" t="s">
        <v>7133</v>
      </c>
      <c r="L34" s="97" t="s">
        <v>7108</v>
      </c>
      <c r="M34" s="108" t="s">
        <v>7099</v>
      </c>
      <c r="N34" s="108" t="s">
        <v>7100</v>
      </c>
      <c r="O34" s="108">
        <v>1</v>
      </c>
      <c r="Q34" s="117">
        <v>24</v>
      </c>
    </row>
    <row r="35" spans="1:17" s="89" customFormat="1" ht="14.25" x14ac:dyDescent="0.15">
      <c r="A35" s="116" t="s">
        <v>1</v>
      </c>
      <c r="B35" s="117">
        <v>26</v>
      </c>
      <c r="C35" s="118">
        <v>3</v>
      </c>
      <c r="D35" s="118">
        <v>1</v>
      </c>
      <c r="E35" s="89" t="s">
        <v>1321</v>
      </c>
      <c r="F35" s="89" t="s">
        <v>4792</v>
      </c>
      <c r="G35" s="118" t="s">
        <v>7092</v>
      </c>
      <c r="H35" s="118">
        <v>10</v>
      </c>
      <c r="I35" s="97" t="s">
        <v>7128</v>
      </c>
      <c r="J35" s="4" t="s">
        <v>7320</v>
      </c>
      <c r="K35" s="111" t="s">
        <v>7116</v>
      </c>
      <c r="L35" s="97" t="s">
        <v>7109</v>
      </c>
      <c r="M35" s="108" t="s">
        <v>7101</v>
      </c>
      <c r="N35" s="108" t="s">
        <v>7102</v>
      </c>
      <c r="O35" s="108">
        <v>2</v>
      </c>
      <c r="Q35" s="117">
        <v>25</v>
      </c>
    </row>
    <row r="36" spans="1:17" s="89" customFormat="1" ht="14.25" x14ac:dyDescent="0.15">
      <c r="A36" s="116" t="s">
        <v>1</v>
      </c>
      <c r="B36" s="117">
        <v>27</v>
      </c>
      <c r="C36" s="118">
        <v>3</v>
      </c>
      <c r="D36" s="118">
        <v>1</v>
      </c>
      <c r="E36" s="89" t="s">
        <v>1321</v>
      </c>
      <c r="F36" s="89" t="s">
        <v>4792</v>
      </c>
      <c r="G36" s="118" t="s">
        <v>7093</v>
      </c>
      <c r="H36" s="118">
        <v>10</v>
      </c>
      <c r="I36" s="97" t="s">
        <v>7136</v>
      </c>
      <c r="J36" s="4" t="s">
        <v>7320</v>
      </c>
      <c r="K36" s="111" t="s">
        <v>7135</v>
      </c>
      <c r="L36" s="97" t="s">
        <v>7110</v>
      </c>
      <c r="M36" s="108" t="s">
        <v>6944</v>
      </c>
      <c r="N36" s="108" t="s">
        <v>6139</v>
      </c>
      <c r="O36" s="108">
        <v>1</v>
      </c>
      <c r="Q36" s="117">
        <v>26</v>
      </c>
    </row>
    <row r="37" spans="1:17" s="89" customFormat="1" ht="14.25" x14ac:dyDescent="0.15">
      <c r="A37" s="116" t="s">
        <v>1</v>
      </c>
      <c r="B37" s="117">
        <v>28</v>
      </c>
      <c r="C37" s="118">
        <v>3</v>
      </c>
      <c r="D37" s="118">
        <v>1</v>
      </c>
      <c r="E37" s="89" t="s">
        <v>1321</v>
      </c>
      <c r="F37" s="89" t="s">
        <v>4792</v>
      </c>
      <c r="G37" s="118" t="s">
        <v>7094</v>
      </c>
      <c r="H37" s="118">
        <v>10</v>
      </c>
      <c r="I37" s="97" t="s">
        <v>7137</v>
      </c>
      <c r="J37" s="4" t="s">
        <v>7320</v>
      </c>
      <c r="K37" s="111" t="s">
        <v>7138</v>
      </c>
      <c r="L37" s="97" t="s">
        <v>7111</v>
      </c>
      <c r="M37" s="108" t="s">
        <v>7103</v>
      </c>
      <c r="N37" s="108" t="s">
        <v>7104</v>
      </c>
      <c r="O37" s="108">
        <v>2</v>
      </c>
      <c r="Q37" s="117">
        <v>27</v>
      </c>
    </row>
    <row r="38" spans="1:17" s="89" customFormat="1" ht="14.25" x14ac:dyDescent="0.15">
      <c r="A38" s="116" t="s">
        <v>1</v>
      </c>
      <c r="B38" s="117">
        <v>29</v>
      </c>
      <c r="C38" s="118">
        <v>3</v>
      </c>
      <c r="D38" s="118">
        <v>1</v>
      </c>
      <c r="E38" s="89" t="s">
        <v>1321</v>
      </c>
      <c r="F38" s="89" t="s">
        <v>4792</v>
      </c>
      <c r="G38" s="118" t="s">
        <v>7095</v>
      </c>
      <c r="H38" s="118">
        <v>10</v>
      </c>
      <c r="I38" s="97" t="s">
        <v>7127</v>
      </c>
      <c r="J38" s="4" t="s">
        <v>7320</v>
      </c>
      <c r="K38" s="111" t="s">
        <v>7117</v>
      </c>
      <c r="L38" s="97" t="s">
        <v>7112</v>
      </c>
      <c r="M38" s="108" t="s">
        <v>7105</v>
      </c>
      <c r="N38" s="108" t="s">
        <v>7106</v>
      </c>
      <c r="O38" s="108">
        <v>1</v>
      </c>
      <c r="Q38" s="117">
        <v>28</v>
      </c>
    </row>
    <row r="39" spans="1:17" s="89" customFormat="1" ht="14.25" x14ac:dyDescent="0.15">
      <c r="A39" s="116" t="s">
        <v>1</v>
      </c>
      <c r="B39" s="117">
        <v>30</v>
      </c>
      <c r="C39" s="118">
        <v>3</v>
      </c>
      <c r="D39" s="118">
        <v>1</v>
      </c>
      <c r="E39" s="89" t="s">
        <v>1321</v>
      </c>
      <c r="F39" s="89" t="s">
        <v>4792</v>
      </c>
      <c r="G39" s="118" t="s">
        <v>7096</v>
      </c>
      <c r="H39" s="118">
        <v>10</v>
      </c>
      <c r="I39" s="97" t="s">
        <v>7140</v>
      </c>
      <c r="J39" s="4" t="s">
        <v>7320</v>
      </c>
      <c r="K39" s="111" t="s">
        <v>7139</v>
      </c>
      <c r="L39" s="97" t="s">
        <v>7115</v>
      </c>
      <c r="M39" s="108" t="s">
        <v>7113</v>
      </c>
      <c r="N39" s="108" t="s">
        <v>7114</v>
      </c>
      <c r="O39" s="108">
        <v>2</v>
      </c>
      <c r="Q39" s="117">
        <v>29</v>
      </c>
    </row>
    <row r="40" spans="1:17" ht="14.25" x14ac:dyDescent="0.15">
      <c r="A40" s="15"/>
      <c r="B40" s="16">
        <v>31</v>
      </c>
      <c r="C40" s="17">
        <v>4</v>
      </c>
      <c r="D40" s="17">
        <v>1</v>
      </c>
      <c r="E40" s="4" t="s">
        <v>1321</v>
      </c>
      <c r="F40" s="4" t="s">
        <v>4792</v>
      </c>
      <c r="G40" s="17"/>
      <c r="H40" s="17"/>
      <c r="L40" s="4" t="s">
        <v>214</v>
      </c>
      <c r="M40" s="17" t="s">
        <v>117</v>
      </c>
      <c r="N40" s="17" t="s">
        <v>126</v>
      </c>
      <c r="O40" s="17">
        <v>1</v>
      </c>
      <c r="Q40" s="16"/>
    </row>
    <row r="41" spans="1:17" ht="14.25" x14ac:dyDescent="0.15">
      <c r="A41" s="15"/>
      <c r="B41" s="16">
        <v>32</v>
      </c>
      <c r="C41" s="17">
        <v>4</v>
      </c>
      <c r="D41" s="17">
        <v>1</v>
      </c>
      <c r="E41" s="4" t="s">
        <v>1321</v>
      </c>
      <c r="F41" s="4" t="s">
        <v>4792</v>
      </c>
      <c r="G41" s="17"/>
      <c r="H41" s="17"/>
      <c r="L41" s="4" t="s">
        <v>248</v>
      </c>
      <c r="M41" s="17" t="s">
        <v>118</v>
      </c>
      <c r="N41" s="17" t="s">
        <v>127</v>
      </c>
      <c r="O41" s="17">
        <v>2</v>
      </c>
      <c r="Q41" s="16"/>
    </row>
    <row r="42" spans="1:17" ht="14.25" x14ac:dyDescent="0.15">
      <c r="A42" s="15"/>
      <c r="B42" s="16">
        <v>33</v>
      </c>
      <c r="C42" s="17">
        <v>4</v>
      </c>
      <c r="D42" s="17">
        <v>1</v>
      </c>
      <c r="E42" s="4" t="s">
        <v>1321</v>
      </c>
      <c r="F42" s="4" t="s">
        <v>4792</v>
      </c>
      <c r="G42" s="17"/>
      <c r="H42" s="17"/>
      <c r="L42" s="4" t="s">
        <v>249</v>
      </c>
      <c r="M42" s="17" t="s">
        <v>119</v>
      </c>
      <c r="N42" s="17" t="s">
        <v>128</v>
      </c>
      <c r="O42" s="17">
        <v>1</v>
      </c>
      <c r="Q42" s="16"/>
    </row>
    <row r="43" spans="1:17" ht="14.25" x14ac:dyDescent="0.15">
      <c r="A43" s="15"/>
      <c r="B43" s="16">
        <v>34</v>
      </c>
      <c r="C43" s="17">
        <v>4</v>
      </c>
      <c r="D43" s="17">
        <v>1</v>
      </c>
      <c r="E43" s="4" t="s">
        <v>1321</v>
      </c>
      <c r="F43" s="4" t="s">
        <v>4792</v>
      </c>
      <c r="G43" s="17"/>
      <c r="H43" s="17"/>
      <c r="L43" s="4" t="s">
        <v>214</v>
      </c>
      <c r="M43" s="17" t="s">
        <v>120</v>
      </c>
      <c r="N43" s="17" t="s">
        <v>129</v>
      </c>
      <c r="O43" s="17">
        <v>2</v>
      </c>
      <c r="Q43" s="16"/>
    </row>
    <row r="44" spans="1:17" ht="14.25" x14ac:dyDescent="0.15">
      <c r="A44" s="15"/>
      <c r="B44" s="16">
        <v>35</v>
      </c>
      <c r="C44" s="17">
        <v>4</v>
      </c>
      <c r="D44" s="17">
        <v>1</v>
      </c>
      <c r="E44" s="4" t="s">
        <v>1321</v>
      </c>
      <c r="F44" s="4" t="s">
        <v>4792</v>
      </c>
      <c r="G44" s="17"/>
      <c r="H44" s="17"/>
      <c r="L44" s="4" t="s">
        <v>248</v>
      </c>
      <c r="M44" s="17" t="s">
        <v>121</v>
      </c>
      <c r="N44" s="17" t="s">
        <v>130</v>
      </c>
      <c r="O44" s="17">
        <v>1</v>
      </c>
      <c r="Q44" s="16"/>
    </row>
    <row r="45" spans="1:17" ht="14.25" x14ac:dyDescent="0.15">
      <c r="A45" s="15"/>
      <c r="B45" s="16">
        <v>36</v>
      </c>
      <c r="C45" s="17">
        <v>4</v>
      </c>
      <c r="D45" s="17">
        <v>1</v>
      </c>
      <c r="E45" s="4" t="s">
        <v>1321</v>
      </c>
      <c r="F45" s="4" t="s">
        <v>4792</v>
      </c>
      <c r="G45" s="17"/>
      <c r="H45" s="17"/>
      <c r="L45" s="4" t="s">
        <v>249</v>
      </c>
      <c r="M45" s="17" t="s">
        <v>122</v>
      </c>
      <c r="N45" s="17" t="s">
        <v>131</v>
      </c>
      <c r="O45" s="17">
        <v>2</v>
      </c>
      <c r="Q45" s="16"/>
    </row>
    <row r="46" spans="1:17" ht="14.25" x14ac:dyDescent="0.15">
      <c r="A46" s="15"/>
      <c r="B46" s="16">
        <v>37</v>
      </c>
      <c r="C46" s="17">
        <v>4</v>
      </c>
      <c r="D46" s="17">
        <v>1</v>
      </c>
      <c r="E46" s="4" t="s">
        <v>1321</v>
      </c>
      <c r="F46" s="4" t="s">
        <v>4792</v>
      </c>
      <c r="G46" s="17"/>
      <c r="H46" s="17"/>
      <c r="L46" s="4" t="s">
        <v>214</v>
      </c>
      <c r="M46" s="17" t="s">
        <v>123</v>
      </c>
      <c r="N46" s="17" t="s">
        <v>132</v>
      </c>
      <c r="O46" s="17">
        <v>1</v>
      </c>
      <c r="Q46" s="16"/>
    </row>
    <row r="47" spans="1:17" ht="14.25" x14ac:dyDescent="0.15">
      <c r="A47" s="15"/>
      <c r="B47" s="16">
        <v>38</v>
      </c>
      <c r="C47" s="17">
        <v>4</v>
      </c>
      <c r="D47" s="17">
        <v>1</v>
      </c>
      <c r="E47" s="4" t="s">
        <v>1321</v>
      </c>
      <c r="F47" s="4" t="s">
        <v>4792</v>
      </c>
      <c r="G47" s="17"/>
      <c r="H47" s="17"/>
      <c r="L47" s="4" t="s">
        <v>248</v>
      </c>
      <c r="M47" s="17" t="s">
        <v>124</v>
      </c>
      <c r="N47" s="17" t="s">
        <v>133</v>
      </c>
      <c r="O47" s="17">
        <v>2</v>
      </c>
      <c r="Q47" s="16"/>
    </row>
    <row r="48" spans="1:17" ht="14.25" x14ac:dyDescent="0.15">
      <c r="A48" s="15"/>
      <c r="B48" s="16">
        <v>39</v>
      </c>
      <c r="C48" s="17">
        <v>4</v>
      </c>
      <c r="D48" s="17">
        <v>1</v>
      </c>
      <c r="E48" s="4" t="s">
        <v>1321</v>
      </c>
      <c r="F48" s="4" t="s">
        <v>4792</v>
      </c>
      <c r="G48" s="17"/>
      <c r="H48" s="17"/>
      <c r="L48" s="4" t="s">
        <v>249</v>
      </c>
      <c r="M48" s="17" t="s">
        <v>125</v>
      </c>
      <c r="N48" s="17" t="s">
        <v>134</v>
      </c>
      <c r="O48" s="17">
        <v>1</v>
      </c>
      <c r="Q48" s="16"/>
    </row>
    <row r="50" spans="1:15" s="69" customFormat="1" x14ac:dyDescent="0.15">
      <c r="B50" s="69" t="s">
        <v>1326</v>
      </c>
      <c r="K50" s="81"/>
    </row>
    <row r="52" spans="1:15" ht="14.25" x14ac:dyDescent="0.15">
      <c r="A52" s="15" t="s">
        <v>1</v>
      </c>
      <c r="B52" s="6">
        <v>501</v>
      </c>
      <c r="C52" s="6">
        <v>1</v>
      </c>
      <c r="D52" s="6">
        <v>3</v>
      </c>
      <c r="F52" s="4" t="s">
        <v>1845</v>
      </c>
      <c r="G52" s="17">
        <v>50101</v>
      </c>
      <c r="H52" s="17">
        <v>1</v>
      </c>
      <c r="I52" s="96" t="s">
        <v>2660</v>
      </c>
      <c r="L52" s="4" t="s">
        <v>1086</v>
      </c>
      <c r="M52" s="17" t="s">
        <v>2770</v>
      </c>
      <c r="N52" s="17" t="s">
        <v>7308</v>
      </c>
      <c r="O52" s="17">
        <v>1</v>
      </c>
    </row>
    <row r="53" spans="1:15" ht="14.25" x14ac:dyDescent="0.15">
      <c r="A53" s="15" t="s">
        <v>1</v>
      </c>
      <c r="B53" s="6">
        <v>502</v>
      </c>
      <c r="C53" s="6">
        <v>2</v>
      </c>
      <c r="D53" s="6">
        <v>3</v>
      </c>
      <c r="F53" s="4" t="s">
        <v>1845</v>
      </c>
      <c r="G53" s="17">
        <v>50201</v>
      </c>
      <c r="H53" s="17">
        <v>1</v>
      </c>
      <c r="I53" s="89" t="s">
        <v>2661</v>
      </c>
      <c r="L53" s="4" t="s">
        <v>1086</v>
      </c>
      <c r="M53" s="17" t="s">
        <v>2770</v>
      </c>
      <c r="N53" s="17" t="s">
        <v>7309</v>
      </c>
      <c r="O53" s="17">
        <v>2</v>
      </c>
    </row>
    <row r="54" spans="1:15" ht="14.25" x14ac:dyDescent="0.15">
      <c r="A54" s="15"/>
      <c r="B54" s="6">
        <v>503</v>
      </c>
      <c r="C54" s="6">
        <v>3</v>
      </c>
      <c r="D54" s="6">
        <v>3</v>
      </c>
      <c r="F54" s="4" t="s">
        <v>1845</v>
      </c>
      <c r="G54" s="17">
        <v>50301</v>
      </c>
      <c r="H54" s="17">
        <v>1</v>
      </c>
      <c r="I54" s="89" t="s">
        <v>2662</v>
      </c>
      <c r="L54" s="4" t="s">
        <v>1086</v>
      </c>
      <c r="M54" s="17" t="s">
        <v>2770</v>
      </c>
      <c r="N54" s="17" t="s">
        <v>7310</v>
      </c>
      <c r="O54" s="17">
        <v>1</v>
      </c>
    </row>
    <row r="55" spans="1:15" ht="14.25" x14ac:dyDescent="0.15">
      <c r="A55" s="15"/>
      <c r="B55" s="6">
        <v>504</v>
      </c>
      <c r="C55" s="6">
        <v>4</v>
      </c>
      <c r="D55" s="6">
        <v>3</v>
      </c>
      <c r="F55" s="4" t="s">
        <v>1845</v>
      </c>
      <c r="G55" s="17">
        <v>50401</v>
      </c>
      <c r="H55" s="17">
        <v>1</v>
      </c>
      <c r="I55" s="89" t="s">
        <v>2663</v>
      </c>
      <c r="L55" s="4" t="s">
        <v>1086</v>
      </c>
      <c r="M55" s="17" t="s">
        <v>2770</v>
      </c>
      <c r="N55" s="17" t="s">
        <v>7311</v>
      </c>
      <c r="O55" s="17">
        <v>1</v>
      </c>
    </row>
    <row r="56" spans="1:15" ht="14.25" x14ac:dyDescent="0.15">
      <c r="A56" s="15"/>
      <c r="B56" s="6">
        <v>505</v>
      </c>
      <c r="C56" s="6">
        <v>5</v>
      </c>
      <c r="D56" s="6">
        <v>3</v>
      </c>
      <c r="F56" s="4" t="s">
        <v>1845</v>
      </c>
      <c r="G56" s="17">
        <v>50501</v>
      </c>
      <c r="H56" s="17">
        <v>1</v>
      </c>
      <c r="I56" s="89" t="s">
        <v>2664</v>
      </c>
      <c r="L56" s="4" t="s">
        <v>1086</v>
      </c>
      <c r="M56" s="17" t="s">
        <v>2770</v>
      </c>
      <c r="N56" s="17" t="s">
        <v>7312</v>
      </c>
      <c r="O56" s="17">
        <v>1</v>
      </c>
    </row>
    <row r="57" spans="1:15" ht="14.25" x14ac:dyDescent="0.15">
      <c r="A57" s="15"/>
      <c r="B57" s="6">
        <v>506</v>
      </c>
      <c r="C57" s="6">
        <v>6</v>
      </c>
      <c r="D57" s="6">
        <v>3</v>
      </c>
      <c r="F57" s="4" t="s">
        <v>1845</v>
      </c>
      <c r="G57" s="17">
        <v>50601</v>
      </c>
      <c r="H57" s="17">
        <v>1</v>
      </c>
      <c r="I57" s="89" t="s">
        <v>2665</v>
      </c>
      <c r="L57" s="4" t="s">
        <v>1086</v>
      </c>
      <c r="M57" s="17" t="s">
        <v>2770</v>
      </c>
      <c r="N57" s="17" t="s">
        <v>7313</v>
      </c>
      <c r="O57" s="17">
        <v>1</v>
      </c>
    </row>
    <row r="58" spans="1:15" ht="14.25" x14ac:dyDescent="0.15">
      <c r="A58" s="15"/>
      <c r="B58" s="6">
        <v>507</v>
      </c>
      <c r="C58" s="6">
        <v>7</v>
      </c>
      <c r="D58" s="6">
        <v>3</v>
      </c>
      <c r="F58" s="4" t="s">
        <v>1845</v>
      </c>
      <c r="G58" s="17">
        <v>50701</v>
      </c>
      <c r="H58" s="17">
        <v>1</v>
      </c>
      <c r="I58" s="89" t="s">
        <v>2666</v>
      </c>
      <c r="L58" s="4" t="s">
        <v>1086</v>
      </c>
      <c r="M58" s="17" t="s">
        <v>2770</v>
      </c>
      <c r="N58" s="17" t="s">
        <v>7314</v>
      </c>
      <c r="O58" s="17">
        <v>1</v>
      </c>
    </row>
    <row r="59" spans="1:15" ht="14.25" x14ac:dyDescent="0.15">
      <c r="A59" s="15"/>
      <c r="B59" s="6">
        <v>508</v>
      </c>
      <c r="C59" s="6">
        <v>8</v>
      </c>
      <c r="D59" s="6">
        <v>3</v>
      </c>
      <c r="F59" s="4" t="s">
        <v>1845</v>
      </c>
      <c r="G59" s="17">
        <v>50801</v>
      </c>
      <c r="H59" s="17">
        <v>1</v>
      </c>
      <c r="I59" s="89" t="s">
        <v>2667</v>
      </c>
      <c r="L59" s="4" t="s">
        <v>1086</v>
      </c>
      <c r="M59" s="17" t="s">
        <v>2770</v>
      </c>
      <c r="N59" s="17" t="s">
        <v>7315</v>
      </c>
      <c r="O59" s="17">
        <v>1</v>
      </c>
    </row>
    <row r="60" spans="1:15" ht="14.25" x14ac:dyDescent="0.15">
      <c r="A60" s="15"/>
      <c r="B60" s="6">
        <v>509</v>
      </c>
      <c r="C60" s="6">
        <v>9</v>
      </c>
      <c r="D60" s="6">
        <v>3</v>
      </c>
      <c r="F60" s="4" t="s">
        <v>1845</v>
      </c>
      <c r="G60" s="17">
        <v>50901</v>
      </c>
      <c r="H60" s="17">
        <v>1</v>
      </c>
      <c r="I60" s="89" t="s">
        <v>2668</v>
      </c>
      <c r="L60" s="4" t="s">
        <v>1086</v>
      </c>
      <c r="M60" s="17" t="s">
        <v>2770</v>
      </c>
      <c r="N60" s="17" t="s">
        <v>7316</v>
      </c>
      <c r="O60" s="17">
        <v>1</v>
      </c>
    </row>
    <row r="61" spans="1:15" ht="14.25" x14ac:dyDescent="0.15">
      <c r="A61" s="15"/>
      <c r="B61" s="6">
        <v>510</v>
      </c>
      <c r="C61" s="6">
        <v>10</v>
      </c>
      <c r="D61" s="6">
        <v>3</v>
      </c>
      <c r="F61" s="4" t="s">
        <v>1845</v>
      </c>
      <c r="G61" s="17">
        <v>51001</v>
      </c>
      <c r="H61" s="17">
        <v>1</v>
      </c>
      <c r="I61" s="89" t="s">
        <v>2669</v>
      </c>
      <c r="L61" s="4" t="s">
        <v>1086</v>
      </c>
      <c r="M61" s="17" t="s">
        <v>2770</v>
      </c>
      <c r="N61" s="17" t="s">
        <v>7317</v>
      </c>
      <c r="O61" s="17">
        <v>1</v>
      </c>
    </row>
    <row r="62" spans="1:15" ht="14.25" x14ac:dyDescent="0.15">
      <c r="A62" s="15"/>
      <c r="B62" s="6">
        <v>511</v>
      </c>
      <c r="C62" s="6">
        <v>11</v>
      </c>
      <c r="D62" s="6">
        <v>3</v>
      </c>
      <c r="F62" s="4" t="s">
        <v>1845</v>
      </c>
      <c r="G62" s="17">
        <v>51101</v>
      </c>
      <c r="H62" s="17">
        <v>1</v>
      </c>
      <c r="I62" s="89" t="s">
        <v>2670</v>
      </c>
      <c r="L62" s="4" t="s">
        <v>1086</v>
      </c>
      <c r="M62" s="17" t="s">
        <v>2770</v>
      </c>
      <c r="N62" s="17" t="s">
        <v>7318</v>
      </c>
      <c r="O62" s="17">
        <v>1</v>
      </c>
    </row>
    <row r="63" spans="1:15" ht="14.25" x14ac:dyDescent="0.15">
      <c r="A63" s="15"/>
      <c r="B63" s="6">
        <v>512</v>
      </c>
      <c r="C63" s="6">
        <v>12</v>
      </c>
      <c r="D63" s="6">
        <v>3</v>
      </c>
      <c r="F63" s="4" t="s">
        <v>1845</v>
      </c>
      <c r="G63" s="17">
        <v>51201</v>
      </c>
      <c r="H63" s="17">
        <v>1</v>
      </c>
      <c r="I63" s="89" t="s">
        <v>2671</v>
      </c>
      <c r="L63" s="4" t="s">
        <v>1086</v>
      </c>
      <c r="M63" s="17" t="s">
        <v>2770</v>
      </c>
      <c r="N63" s="17" t="s">
        <v>7319</v>
      </c>
      <c r="O63" s="17">
        <v>1</v>
      </c>
    </row>
    <row r="64" spans="1:15" ht="14.25" x14ac:dyDescent="0.15">
      <c r="A64" s="15"/>
      <c r="G64" s="17"/>
      <c r="H64" s="17"/>
      <c r="M64" s="17"/>
      <c r="N64" s="17"/>
      <c r="O64" s="17"/>
    </row>
    <row r="65" spans="1:15" s="69" customFormat="1" ht="14.25" x14ac:dyDescent="0.15">
      <c r="A65" s="16"/>
      <c r="B65" s="69" t="s">
        <v>1327</v>
      </c>
      <c r="G65" s="16"/>
      <c r="H65" s="16"/>
      <c r="K65" s="81"/>
      <c r="M65" s="16"/>
      <c r="N65" s="16"/>
      <c r="O65" s="16"/>
    </row>
    <row r="67" spans="1:15" ht="14.25" x14ac:dyDescent="0.15">
      <c r="A67" s="15" t="s">
        <v>1</v>
      </c>
      <c r="B67" s="51">
        <v>5601</v>
      </c>
      <c r="C67" s="6">
        <v>1</v>
      </c>
      <c r="D67" s="6">
        <v>2</v>
      </c>
      <c r="F67" s="51" t="s">
        <v>7433</v>
      </c>
      <c r="G67" s="17">
        <v>56011</v>
      </c>
      <c r="H67" s="17">
        <v>1</v>
      </c>
      <c r="I67" s="4" t="str">
        <f t="shared" ref="I67:I71" si="2">"1;"&amp;B67&amp;"1;1"</f>
        <v>1;56011;1</v>
      </c>
      <c r="L67" s="4" t="s">
        <v>1069</v>
      </c>
      <c r="M67" s="17" t="s">
        <v>1397</v>
      </c>
      <c r="N67" s="17" t="s">
        <v>1398</v>
      </c>
      <c r="O67" s="17">
        <v>2</v>
      </c>
    </row>
    <row r="68" spans="1:15" ht="14.25" x14ac:dyDescent="0.15">
      <c r="A68" s="15" t="s">
        <v>1</v>
      </c>
      <c r="B68" s="51">
        <v>5602</v>
      </c>
      <c r="C68" s="6">
        <v>1</v>
      </c>
      <c r="D68" s="6">
        <v>2</v>
      </c>
      <c r="F68" s="51" t="s">
        <v>7434</v>
      </c>
      <c r="G68" s="17">
        <v>56021</v>
      </c>
      <c r="H68" s="17">
        <v>1</v>
      </c>
      <c r="I68" s="4" t="str">
        <f t="shared" si="2"/>
        <v>1;56021;1</v>
      </c>
      <c r="L68" s="4" t="s">
        <v>1069</v>
      </c>
      <c r="M68" s="17" t="s">
        <v>1405</v>
      </c>
      <c r="N68" s="17" t="s">
        <v>1406</v>
      </c>
      <c r="O68" s="17">
        <v>2</v>
      </c>
    </row>
    <row r="69" spans="1:15" ht="14.25" x14ac:dyDescent="0.15">
      <c r="A69" s="15" t="s">
        <v>1</v>
      </c>
      <c r="B69" s="51">
        <v>5603</v>
      </c>
      <c r="C69" s="6">
        <v>1</v>
      </c>
      <c r="D69" s="6">
        <v>2</v>
      </c>
      <c r="F69" s="51" t="s">
        <v>7435</v>
      </c>
      <c r="G69" s="17">
        <v>56031</v>
      </c>
      <c r="H69" s="17">
        <v>1</v>
      </c>
      <c r="I69" s="4" t="str">
        <f t="shared" si="2"/>
        <v>1;56031;1</v>
      </c>
      <c r="L69" s="4" t="s">
        <v>1069</v>
      </c>
      <c r="M69" s="17" t="s">
        <v>7363</v>
      </c>
      <c r="N69" s="17" t="s">
        <v>1328</v>
      </c>
      <c r="O69" s="17">
        <v>2</v>
      </c>
    </row>
    <row r="70" spans="1:15" ht="14.25" x14ac:dyDescent="0.15">
      <c r="A70" s="15" t="s">
        <v>1</v>
      </c>
      <c r="B70" s="51">
        <v>5604</v>
      </c>
      <c r="C70" s="6">
        <v>1</v>
      </c>
      <c r="D70" s="6">
        <v>2</v>
      </c>
      <c r="F70" s="51" t="s">
        <v>7436</v>
      </c>
      <c r="G70" s="17">
        <v>56041</v>
      </c>
      <c r="H70" s="17">
        <v>1</v>
      </c>
      <c r="I70" s="4" t="str">
        <f t="shared" si="2"/>
        <v>1;56041;1</v>
      </c>
      <c r="L70" s="4" t="s">
        <v>1069</v>
      </c>
      <c r="M70" s="17" t="s">
        <v>7364</v>
      </c>
      <c r="N70" s="17" t="s">
        <v>1329</v>
      </c>
      <c r="O70" s="17">
        <v>2</v>
      </c>
    </row>
    <row r="71" spans="1:15" ht="14.25" x14ac:dyDescent="0.15">
      <c r="A71" s="15" t="s">
        <v>1</v>
      </c>
      <c r="B71" s="51">
        <v>5605</v>
      </c>
      <c r="C71" s="6">
        <v>1</v>
      </c>
      <c r="D71" s="6">
        <v>2</v>
      </c>
      <c r="F71" s="51" t="s">
        <v>7461</v>
      </c>
      <c r="G71" s="17">
        <v>56051</v>
      </c>
      <c r="H71" s="17">
        <v>1</v>
      </c>
      <c r="I71" s="4" t="str">
        <f t="shared" si="2"/>
        <v>1;56051;1</v>
      </c>
      <c r="L71" s="4" t="s">
        <v>1069</v>
      </c>
      <c r="M71" s="17" t="s">
        <v>7365</v>
      </c>
      <c r="N71" s="17" t="s">
        <v>1330</v>
      </c>
      <c r="O71" s="17">
        <v>2</v>
      </c>
    </row>
    <row r="73" spans="1:15" ht="14.25" x14ac:dyDescent="0.15">
      <c r="A73" s="15" t="s">
        <v>1</v>
      </c>
      <c r="B73" s="51">
        <v>5801</v>
      </c>
      <c r="C73" s="6">
        <v>1</v>
      </c>
      <c r="D73" s="6">
        <v>2</v>
      </c>
      <c r="F73" s="51" t="s">
        <v>7437</v>
      </c>
      <c r="G73" s="17">
        <v>58011</v>
      </c>
      <c r="H73" s="17">
        <v>1</v>
      </c>
      <c r="I73" s="4" t="str">
        <f t="shared" ref="I73:I74" si="3">"1;"&amp;B73&amp;"1;1"</f>
        <v>1;58011;1</v>
      </c>
      <c r="L73" s="4" t="s">
        <v>480</v>
      </c>
      <c r="M73" s="17" t="s">
        <v>1392</v>
      </c>
      <c r="N73" s="4" t="s">
        <v>1275</v>
      </c>
      <c r="O73" s="17">
        <v>1</v>
      </c>
    </row>
    <row r="74" spans="1:15" ht="14.25" x14ac:dyDescent="0.15">
      <c r="A74" s="15" t="s">
        <v>1</v>
      </c>
      <c r="B74" s="6">
        <v>5802</v>
      </c>
      <c r="C74" s="6">
        <v>1</v>
      </c>
      <c r="D74" s="6">
        <v>2</v>
      </c>
      <c r="F74" s="51" t="s">
        <v>7438</v>
      </c>
      <c r="G74" s="17">
        <v>58021</v>
      </c>
      <c r="H74" s="17">
        <v>1</v>
      </c>
      <c r="I74" s="4" t="str">
        <f t="shared" si="3"/>
        <v>1;58021;1</v>
      </c>
      <c r="L74" s="4" t="s">
        <v>480</v>
      </c>
      <c r="M74" s="6" t="s">
        <v>1401</v>
      </c>
      <c r="N74" s="4" t="s">
        <v>1334</v>
      </c>
      <c r="O74" s="17">
        <v>1</v>
      </c>
    </row>
    <row r="75" spans="1:15" ht="14.25" x14ac:dyDescent="0.15">
      <c r="A75" s="15" t="s">
        <v>1</v>
      </c>
      <c r="B75" s="6">
        <v>5803</v>
      </c>
      <c r="C75" s="6">
        <v>1</v>
      </c>
      <c r="D75" s="6">
        <v>2</v>
      </c>
      <c r="F75" s="51" t="s">
        <v>7439</v>
      </c>
      <c r="G75" s="17">
        <v>58031</v>
      </c>
      <c r="H75" s="17">
        <v>1</v>
      </c>
      <c r="I75" s="4" t="str">
        <f t="shared" ref="I75:I77" si="4">"1;"&amp;B75&amp;"1;1"</f>
        <v>1;58031;1</v>
      </c>
      <c r="L75" s="4" t="s">
        <v>480</v>
      </c>
      <c r="M75" s="6" t="s">
        <v>7366</v>
      </c>
      <c r="N75" s="4" t="s">
        <v>1335</v>
      </c>
      <c r="O75" s="17">
        <v>2</v>
      </c>
    </row>
    <row r="76" spans="1:15" ht="14.25" x14ac:dyDescent="0.15">
      <c r="A76" s="15" t="s">
        <v>1</v>
      </c>
      <c r="B76" s="6">
        <v>5804</v>
      </c>
      <c r="C76" s="6">
        <v>1</v>
      </c>
      <c r="D76" s="6">
        <v>2</v>
      </c>
      <c r="F76" s="51" t="s">
        <v>7440</v>
      </c>
      <c r="G76" s="17">
        <v>58041</v>
      </c>
      <c r="H76" s="17">
        <v>1</v>
      </c>
      <c r="I76" s="4" t="str">
        <f t="shared" si="4"/>
        <v>1;58041;1</v>
      </c>
      <c r="L76" s="4" t="s">
        <v>480</v>
      </c>
      <c r="M76" s="6" t="s">
        <v>7367</v>
      </c>
      <c r="N76" s="4" t="s">
        <v>1336</v>
      </c>
      <c r="O76" s="17">
        <v>2</v>
      </c>
    </row>
    <row r="77" spans="1:15" ht="14.25" x14ac:dyDescent="0.15">
      <c r="A77" s="15" t="s">
        <v>1</v>
      </c>
      <c r="B77" s="6">
        <v>5805</v>
      </c>
      <c r="C77" s="6">
        <v>1</v>
      </c>
      <c r="D77" s="6">
        <v>2</v>
      </c>
      <c r="F77" s="51" t="s">
        <v>7461</v>
      </c>
      <c r="G77" s="17">
        <v>58051</v>
      </c>
      <c r="H77" s="17">
        <v>1</v>
      </c>
      <c r="I77" s="4" t="str">
        <f t="shared" si="4"/>
        <v>1;58051;1</v>
      </c>
      <c r="L77" s="4" t="s">
        <v>480</v>
      </c>
      <c r="M77" s="6" t="s">
        <v>7368</v>
      </c>
      <c r="N77" s="4" t="s">
        <v>1337</v>
      </c>
      <c r="O77" s="17">
        <v>2</v>
      </c>
    </row>
    <row r="79" spans="1:15" ht="14.25" x14ac:dyDescent="0.15">
      <c r="A79" s="15"/>
      <c r="B79" s="51">
        <v>6501</v>
      </c>
      <c r="C79" s="6">
        <v>1</v>
      </c>
      <c r="D79" s="6">
        <v>2</v>
      </c>
      <c r="F79" s="51"/>
      <c r="G79" s="17" t="str">
        <f>B79&amp;1</f>
        <v>65011</v>
      </c>
      <c r="H79" s="17">
        <v>1</v>
      </c>
      <c r="I79" s="4" t="str">
        <f t="shared" ref="I79:I125" si="5">"1;"&amp;B79&amp;"1;1"</f>
        <v>1;65011;1</v>
      </c>
      <c r="L79" s="4" t="s">
        <v>1273</v>
      </c>
      <c r="M79" s="17" t="s">
        <v>1274</v>
      </c>
      <c r="N79" s="4" t="s">
        <v>1275</v>
      </c>
      <c r="O79" s="17">
        <v>2</v>
      </c>
    </row>
    <row r="80" spans="1:15" ht="14.25" x14ac:dyDescent="0.15">
      <c r="A80" s="15"/>
      <c r="B80" s="51">
        <v>6502</v>
      </c>
      <c r="C80" s="6">
        <v>1</v>
      </c>
      <c r="D80" s="6">
        <v>2</v>
      </c>
      <c r="F80" s="51"/>
      <c r="G80" s="17">
        <v>65021</v>
      </c>
      <c r="H80" s="17">
        <v>1</v>
      </c>
      <c r="I80" s="4" t="str">
        <f t="shared" si="5"/>
        <v>1;65021;1</v>
      </c>
      <c r="L80" s="4" t="s">
        <v>480</v>
      </c>
      <c r="M80" s="6" t="s">
        <v>1844</v>
      </c>
      <c r="N80" s="4" t="s">
        <v>1334</v>
      </c>
      <c r="O80" s="17">
        <v>2</v>
      </c>
    </row>
    <row r="81" spans="1:15" ht="14.25" x14ac:dyDescent="0.15">
      <c r="A81" s="15"/>
      <c r="B81" s="51">
        <v>6503</v>
      </c>
      <c r="C81" s="6">
        <v>1</v>
      </c>
      <c r="D81" s="6">
        <v>2</v>
      </c>
      <c r="F81" s="51"/>
      <c r="G81" s="17" t="str">
        <f t="shared" ref="G81:G83" si="6">B81&amp;1</f>
        <v>65031</v>
      </c>
      <c r="H81" s="17">
        <v>1</v>
      </c>
      <c r="I81" s="4" t="str">
        <f t="shared" si="5"/>
        <v>1;65031;1</v>
      </c>
      <c r="L81" s="4" t="s">
        <v>1273</v>
      </c>
      <c r="M81" s="6" t="s">
        <v>1331</v>
      </c>
      <c r="N81" s="4" t="s">
        <v>1335</v>
      </c>
      <c r="O81" s="17">
        <v>2</v>
      </c>
    </row>
    <row r="82" spans="1:15" ht="14.25" x14ac:dyDescent="0.15">
      <c r="A82" s="15"/>
      <c r="B82" s="51">
        <v>6504</v>
      </c>
      <c r="C82" s="6">
        <v>1</v>
      </c>
      <c r="D82" s="6">
        <v>2</v>
      </c>
      <c r="F82" s="51"/>
      <c r="G82" s="17" t="str">
        <f t="shared" si="6"/>
        <v>65041</v>
      </c>
      <c r="H82" s="17">
        <v>1</v>
      </c>
      <c r="I82" s="4" t="str">
        <f t="shared" si="5"/>
        <v>1;65041;1</v>
      </c>
      <c r="L82" s="4" t="s">
        <v>1273</v>
      </c>
      <c r="M82" s="6" t="s">
        <v>1332</v>
      </c>
      <c r="N82" s="4" t="s">
        <v>1336</v>
      </c>
      <c r="O82" s="17">
        <v>2</v>
      </c>
    </row>
    <row r="83" spans="1:15" ht="14.25" x14ac:dyDescent="0.15">
      <c r="A83" s="15"/>
      <c r="B83" s="51">
        <v>6505</v>
      </c>
      <c r="C83" s="6">
        <v>1</v>
      </c>
      <c r="D83" s="6">
        <v>2</v>
      </c>
      <c r="F83" s="51"/>
      <c r="G83" s="17" t="str">
        <f t="shared" si="6"/>
        <v>65051</v>
      </c>
      <c r="H83" s="17">
        <v>1</v>
      </c>
      <c r="I83" s="4" t="str">
        <f t="shared" si="5"/>
        <v>1;65051;1</v>
      </c>
      <c r="L83" s="4" t="s">
        <v>1273</v>
      </c>
      <c r="M83" s="6" t="s">
        <v>1333</v>
      </c>
      <c r="N83" s="4" t="s">
        <v>1337</v>
      </c>
      <c r="O83" s="17">
        <v>2</v>
      </c>
    </row>
    <row r="85" spans="1:15" ht="14.25" x14ac:dyDescent="0.15">
      <c r="A85" s="15" t="s">
        <v>1</v>
      </c>
      <c r="B85" s="51">
        <v>6901</v>
      </c>
      <c r="C85" s="6">
        <v>1</v>
      </c>
      <c r="D85" s="6">
        <v>2</v>
      </c>
      <c r="F85" s="51" t="s">
        <v>7441</v>
      </c>
      <c r="G85" s="17">
        <v>69011</v>
      </c>
      <c r="H85" s="17">
        <v>1</v>
      </c>
      <c r="I85" s="4" t="str">
        <f t="shared" si="5"/>
        <v>1;69011;1</v>
      </c>
      <c r="L85" s="4" t="s">
        <v>263</v>
      </c>
      <c r="M85" s="51" t="s">
        <v>1395</v>
      </c>
      <c r="N85" s="4" t="s">
        <v>1396</v>
      </c>
      <c r="O85" s="17">
        <v>1</v>
      </c>
    </row>
    <row r="86" spans="1:15" ht="14.25" x14ac:dyDescent="0.15">
      <c r="A86" s="15" t="s">
        <v>1</v>
      </c>
      <c r="B86" s="51">
        <v>6902</v>
      </c>
      <c r="C86" s="6">
        <v>1</v>
      </c>
      <c r="D86" s="6">
        <v>2</v>
      </c>
      <c r="F86" s="51" t="s">
        <v>7442</v>
      </c>
      <c r="G86" s="17">
        <v>69021</v>
      </c>
      <c r="H86" s="17">
        <v>1</v>
      </c>
      <c r="I86" s="4" t="str">
        <f t="shared" si="5"/>
        <v>1;69021;1</v>
      </c>
      <c r="L86" s="4" t="s">
        <v>263</v>
      </c>
      <c r="M86" s="51" t="s">
        <v>1404</v>
      </c>
      <c r="N86" s="4" t="s">
        <v>1338</v>
      </c>
      <c r="O86" s="17">
        <v>1</v>
      </c>
    </row>
    <row r="87" spans="1:15" ht="14.25" x14ac:dyDescent="0.15">
      <c r="A87" s="15" t="s">
        <v>1</v>
      </c>
      <c r="B87" s="51">
        <v>6903</v>
      </c>
      <c r="C87" s="6">
        <v>1</v>
      </c>
      <c r="D87" s="6">
        <v>2</v>
      </c>
      <c r="F87" s="51" t="s">
        <v>7443</v>
      </c>
      <c r="G87" s="17">
        <v>69031</v>
      </c>
      <c r="H87" s="17">
        <v>1</v>
      </c>
      <c r="I87" s="4" t="str">
        <f t="shared" ref="I87:I89" si="7">"1;"&amp;B87&amp;"1;1"</f>
        <v>1;69031;1</v>
      </c>
      <c r="L87" s="4" t="s">
        <v>263</v>
      </c>
      <c r="M87" s="51" t="s">
        <v>7369</v>
      </c>
      <c r="N87" s="4" t="s">
        <v>1339</v>
      </c>
      <c r="O87" s="17">
        <v>2</v>
      </c>
    </row>
    <row r="88" spans="1:15" ht="14.25" x14ac:dyDescent="0.15">
      <c r="A88" s="15" t="s">
        <v>1</v>
      </c>
      <c r="B88" s="51">
        <v>6904</v>
      </c>
      <c r="C88" s="6">
        <v>1</v>
      </c>
      <c r="D88" s="6">
        <v>2</v>
      </c>
      <c r="F88" s="51" t="s">
        <v>7444</v>
      </c>
      <c r="G88" s="17">
        <v>69041</v>
      </c>
      <c r="H88" s="17">
        <v>1</v>
      </c>
      <c r="I88" s="4" t="str">
        <f t="shared" si="7"/>
        <v>1;69041;1</v>
      </c>
      <c r="L88" s="4" t="s">
        <v>263</v>
      </c>
      <c r="M88" s="51" t="s">
        <v>7370</v>
      </c>
      <c r="N88" s="4" t="s">
        <v>1340</v>
      </c>
      <c r="O88" s="17">
        <v>2</v>
      </c>
    </row>
    <row r="89" spans="1:15" ht="14.25" x14ac:dyDescent="0.15">
      <c r="A89" s="15" t="s">
        <v>1</v>
      </c>
      <c r="B89" s="51">
        <v>6905</v>
      </c>
      <c r="C89" s="6">
        <v>1</v>
      </c>
      <c r="D89" s="6">
        <v>2</v>
      </c>
      <c r="F89" s="51" t="s">
        <v>7461</v>
      </c>
      <c r="G89" s="17">
        <v>69051</v>
      </c>
      <c r="H89" s="17">
        <v>1</v>
      </c>
      <c r="I89" s="4" t="str">
        <f t="shared" si="7"/>
        <v>1;69051;1</v>
      </c>
      <c r="L89" s="4" t="s">
        <v>263</v>
      </c>
      <c r="M89" s="51" t="s">
        <v>7371</v>
      </c>
      <c r="N89" s="4" t="s">
        <v>1341</v>
      </c>
      <c r="O89" s="17">
        <v>2</v>
      </c>
    </row>
    <row r="90" spans="1:15" ht="14.25" x14ac:dyDescent="0.15">
      <c r="A90" s="15"/>
      <c r="B90" s="51"/>
      <c r="F90" s="51"/>
      <c r="G90" s="17"/>
      <c r="H90" s="17"/>
      <c r="M90" s="51"/>
      <c r="N90" s="4"/>
      <c r="O90" s="17"/>
    </row>
    <row r="91" spans="1:15" ht="14.25" x14ac:dyDescent="0.15">
      <c r="A91" s="15" t="s">
        <v>1</v>
      </c>
      <c r="B91" s="51">
        <v>7001</v>
      </c>
      <c r="C91" s="6">
        <v>1</v>
      </c>
      <c r="D91" s="6">
        <v>2</v>
      </c>
      <c r="F91" s="51" t="s">
        <v>7445</v>
      </c>
      <c r="G91" s="17">
        <v>70011</v>
      </c>
      <c r="H91" s="17">
        <v>1</v>
      </c>
      <c r="I91" s="4" t="str">
        <f t="shared" si="5"/>
        <v>1;70011;1</v>
      </c>
      <c r="L91" s="4" t="s">
        <v>7400</v>
      </c>
      <c r="M91" s="51" t="s">
        <v>7401</v>
      </c>
      <c r="N91" s="4" t="s">
        <v>7402</v>
      </c>
      <c r="O91" s="17">
        <v>2</v>
      </c>
    </row>
    <row r="92" spans="1:15" ht="14.25" x14ac:dyDescent="0.15">
      <c r="A92" s="15" t="s">
        <v>1</v>
      </c>
      <c r="B92" s="51">
        <v>7002</v>
      </c>
      <c r="C92" s="6">
        <v>1</v>
      </c>
      <c r="D92" s="6">
        <v>2</v>
      </c>
      <c r="F92" s="51" t="s">
        <v>7446</v>
      </c>
      <c r="G92" s="17">
        <v>70021</v>
      </c>
      <c r="H92" s="17">
        <v>1</v>
      </c>
      <c r="I92" s="4" t="str">
        <f t="shared" si="5"/>
        <v>1;70021;1</v>
      </c>
      <c r="L92" s="4" t="s">
        <v>7400</v>
      </c>
      <c r="M92" s="51" t="s">
        <v>7403</v>
      </c>
      <c r="N92" s="4" t="s">
        <v>7404</v>
      </c>
      <c r="O92" s="17">
        <v>2</v>
      </c>
    </row>
    <row r="93" spans="1:15" ht="14.25" x14ac:dyDescent="0.15">
      <c r="A93" s="15" t="s">
        <v>1</v>
      </c>
      <c r="B93" s="51">
        <v>7003</v>
      </c>
      <c r="C93" s="6">
        <v>1</v>
      </c>
      <c r="D93" s="6">
        <v>2</v>
      </c>
      <c r="F93" s="51" t="s">
        <v>7447</v>
      </c>
      <c r="G93" s="17">
        <v>70031</v>
      </c>
      <c r="H93" s="17">
        <v>1</v>
      </c>
      <c r="I93" s="4" t="str">
        <f t="shared" si="5"/>
        <v>1;70031;1</v>
      </c>
      <c r="L93" s="4" t="s">
        <v>7400</v>
      </c>
      <c r="M93" s="51" t="s">
        <v>7405</v>
      </c>
      <c r="N93" s="4" t="s">
        <v>7406</v>
      </c>
      <c r="O93" s="17">
        <v>2</v>
      </c>
    </row>
    <row r="94" spans="1:15" ht="14.25" x14ac:dyDescent="0.15">
      <c r="A94" s="15" t="s">
        <v>1</v>
      </c>
      <c r="B94" s="51">
        <v>7004</v>
      </c>
      <c r="C94" s="6">
        <v>1</v>
      </c>
      <c r="D94" s="6">
        <v>2</v>
      </c>
      <c r="F94" s="51" t="s">
        <v>7448</v>
      </c>
      <c r="G94" s="17">
        <v>70041</v>
      </c>
      <c r="H94" s="17">
        <v>1</v>
      </c>
      <c r="I94" s="4" t="str">
        <f t="shared" si="5"/>
        <v>1;70041;1</v>
      </c>
      <c r="L94" s="4" t="s">
        <v>7400</v>
      </c>
      <c r="M94" s="51" t="s">
        <v>7407</v>
      </c>
      <c r="N94" s="4" t="s">
        <v>7408</v>
      </c>
      <c r="O94" s="17">
        <v>2</v>
      </c>
    </row>
    <row r="95" spans="1:15" ht="14.25" x14ac:dyDescent="0.15">
      <c r="A95" s="15" t="s">
        <v>1</v>
      </c>
      <c r="B95" s="51">
        <v>7005</v>
      </c>
      <c r="C95" s="6">
        <v>1</v>
      </c>
      <c r="D95" s="6">
        <v>2</v>
      </c>
      <c r="F95" s="51" t="s">
        <v>7461</v>
      </c>
      <c r="G95" s="17">
        <v>70051</v>
      </c>
      <c r="H95" s="17">
        <v>1</v>
      </c>
      <c r="I95" s="4" t="str">
        <f t="shared" si="5"/>
        <v>1;70051;1</v>
      </c>
      <c r="L95" s="4" t="s">
        <v>7400</v>
      </c>
      <c r="M95" s="51" t="s">
        <v>7409</v>
      </c>
      <c r="N95" s="4" t="s">
        <v>7410</v>
      </c>
      <c r="O95" s="17">
        <v>2</v>
      </c>
    </row>
    <row r="97" spans="1:15" ht="14.25" x14ac:dyDescent="0.15">
      <c r="A97" s="15" t="s">
        <v>1</v>
      </c>
      <c r="B97" s="51">
        <v>7201</v>
      </c>
      <c r="C97" s="6">
        <v>1</v>
      </c>
      <c r="D97" s="6">
        <v>2</v>
      </c>
      <c r="F97" s="51" t="s">
        <v>7449</v>
      </c>
      <c r="G97" s="17">
        <v>72011</v>
      </c>
      <c r="H97" s="17">
        <v>1</v>
      </c>
      <c r="I97" s="4" t="str">
        <f t="shared" si="5"/>
        <v>1;72011;1</v>
      </c>
      <c r="L97" s="4" t="s">
        <v>846</v>
      </c>
      <c r="M97" s="51" t="s">
        <v>1399</v>
      </c>
      <c r="N97" s="4" t="s">
        <v>1342</v>
      </c>
      <c r="O97" s="17">
        <v>1</v>
      </c>
    </row>
    <row r="98" spans="1:15" ht="14.25" x14ac:dyDescent="0.15">
      <c r="A98" s="15" t="s">
        <v>1</v>
      </c>
      <c r="B98" s="51">
        <v>7202</v>
      </c>
      <c r="C98" s="6">
        <v>1</v>
      </c>
      <c r="D98" s="6">
        <v>2</v>
      </c>
      <c r="F98" s="51" t="s">
        <v>7450</v>
      </c>
      <c r="G98" s="17">
        <v>72021</v>
      </c>
      <c r="H98" s="17">
        <v>1</v>
      </c>
      <c r="I98" s="4" t="str">
        <f t="shared" si="5"/>
        <v>1;72021;1</v>
      </c>
      <c r="L98" s="4" t="s">
        <v>846</v>
      </c>
      <c r="M98" s="51" t="s">
        <v>1400</v>
      </c>
      <c r="N98" s="4" t="s">
        <v>1343</v>
      </c>
      <c r="O98" s="17">
        <v>2</v>
      </c>
    </row>
    <row r="99" spans="1:15" ht="14.25" x14ac:dyDescent="0.15">
      <c r="A99" s="15" t="s">
        <v>1</v>
      </c>
      <c r="B99" s="51">
        <v>7203</v>
      </c>
      <c r="C99" s="6">
        <v>1</v>
      </c>
      <c r="D99" s="6">
        <v>2</v>
      </c>
      <c r="F99" s="51" t="s">
        <v>7451</v>
      </c>
      <c r="G99" s="17">
        <v>72031</v>
      </c>
      <c r="H99" s="17">
        <v>1</v>
      </c>
      <c r="I99" s="4" t="str">
        <f t="shared" ref="I99:I101" si="8">"1;"&amp;B99&amp;"1;1"</f>
        <v>1;72031;1</v>
      </c>
      <c r="L99" s="4" t="s">
        <v>846</v>
      </c>
      <c r="M99" s="51" t="s">
        <v>7372</v>
      </c>
      <c r="N99" s="4" t="s">
        <v>1344</v>
      </c>
      <c r="O99" s="17">
        <v>2</v>
      </c>
    </row>
    <row r="100" spans="1:15" ht="14.25" x14ac:dyDescent="0.15">
      <c r="A100" s="15" t="s">
        <v>1</v>
      </c>
      <c r="B100" s="51">
        <v>7204</v>
      </c>
      <c r="C100" s="6">
        <v>1</v>
      </c>
      <c r="D100" s="6">
        <v>2</v>
      </c>
      <c r="F100" s="51" t="s">
        <v>7452</v>
      </c>
      <c r="G100" s="17">
        <v>72041</v>
      </c>
      <c r="H100" s="17">
        <v>1</v>
      </c>
      <c r="I100" s="4" t="str">
        <f t="shared" si="8"/>
        <v>1;72041;1</v>
      </c>
      <c r="L100" s="4" t="s">
        <v>846</v>
      </c>
      <c r="M100" s="51" t="s">
        <v>7373</v>
      </c>
      <c r="N100" s="4" t="s">
        <v>1345</v>
      </c>
      <c r="O100" s="17">
        <v>2</v>
      </c>
    </row>
    <row r="101" spans="1:15" ht="14.25" x14ac:dyDescent="0.15">
      <c r="A101" s="15" t="s">
        <v>1</v>
      </c>
      <c r="B101" s="51">
        <v>7205</v>
      </c>
      <c r="C101" s="6">
        <v>1</v>
      </c>
      <c r="D101" s="6">
        <v>2</v>
      </c>
      <c r="F101" s="51" t="s">
        <v>7461</v>
      </c>
      <c r="G101" s="17">
        <v>72051</v>
      </c>
      <c r="H101" s="17">
        <v>1</v>
      </c>
      <c r="I101" s="4" t="str">
        <f t="shared" si="8"/>
        <v>1;72051;1</v>
      </c>
      <c r="L101" s="4" t="s">
        <v>846</v>
      </c>
      <c r="M101" s="51" t="s">
        <v>7374</v>
      </c>
      <c r="N101" s="4" t="s">
        <v>1346</v>
      </c>
      <c r="O101" s="17">
        <v>2</v>
      </c>
    </row>
    <row r="103" spans="1:15" ht="14.25" x14ac:dyDescent="0.15">
      <c r="A103" s="15" t="s">
        <v>1</v>
      </c>
      <c r="B103" s="51">
        <v>7301</v>
      </c>
      <c r="C103" s="6">
        <v>1</v>
      </c>
      <c r="D103" s="6">
        <v>2</v>
      </c>
      <c r="F103" s="51" t="s">
        <v>7453</v>
      </c>
      <c r="G103" s="17">
        <v>73011</v>
      </c>
      <c r="H103" s="17">
        <v>1</v>
      </c>
      <c r="I103" s="4" t="str">
        <f t="shared" si="5"/>
        <v>1;73011;1</v>
      </c>
      <c r="L103" s="4" t="s">
        <v>296</v>
      </c>
      <c r="M103" s="51" t="s">
        <v>1393</v>
      </c>
      <c r="N103" s="4" t="s">
        <v>1394</v>
      </c>
      <c r="O103" s="17">
        <v>2</v>
      </c>
    </row>
    <row r="104" spans="1:15" ht="14.25" x14ac:dyDescent="0.15">
      <c r="A104" s="15" t="s">
        <v>1</v>
      </c>
      <c r="B104" s="51">
        <v>7302</v>
      </c>
      <c r="C104" s="6">
        <v>1</v>
      </c>
      <c r="D104" s="6">
        <v>2</v>
      </c>
      <c r="F104" s="51" t="s">
        <v>7454</v>
      </c>
      <c r="G104" s="17">
        <v>73021</v>
      </c>
      <c r="H104" s="17">
        <v>1</v>
      </c>
      <c r="I104" s="4" t="str">
        <f t="shared" si="5"/>
        <v>1;73021;1</v>
      </c>
      <c r="L104" s="4" t="s">
        <v>296</v>
      </c>
      <c r="M104" s="51" t="s">
        <v>1402</v>
      </c>
      <c r="N104" s="4" t="s">
        <v>1403</v>
      </c>
      <c r="O104" s="17">
        <v>2</v>
      </c>
    </row>
    <row r="105" spans="1:15" ht="14.25" x14ac:dyDescent="0.15">
      <c r="A105" s="15" t="s">
        <v>1</v>
      </c>
      <c r="B105" s="51">
        <v>7303</v>
      </c>
      <c r="C105" s="6">
        <v>1</v>
      </c>
      <c r="D105" s="6">
        <v>2</v>
      </c>
      <c r="F105" s="51" t="s">
        <v>7455</v>
      </c>
      <c r="G105" s="17">
        <v>73031</v>
      </c>
      <c r="H105" s="17">
        <v>1</v>
      </c>
      <c r="I105" s="4" t="str">
        <f t="shared" ref="I105:I107" si="9">"1;"&amp;B105&amp;"1;1"</f>
        <v>1;73031;1</v>
      </c>
      <c r="L105" s="4" t="s">
        <v>296</v>
      </c>
      <c r="M105" s="51" t="s">
        <v>7375</v>
      </c>
      <c r="N105" s="4" t="s">
        <v>7376</v>
      </c>
      <c r="O105" s="17">
        <v>2</v>
      </c>
    </row>
    <row r="106" spans="1:15" ht="14.25" x14ac:dyDescent="0.15">
      <c r="A106" s="15" t="s">
        <v>1</v>
      </c>
      <c r="B106" s="51">
        <v>7304</v>
      </c>
      <c r="C106" s="6">
        <v>1</v>
      </c>
      <c r="D106" s="6">
        <v>2</v>
      </c>
      <c r="F106" s="51" t="s">
        <v>7456</v>
      </c>
      <c r="G106" s="17">
        <v>73041</v>
      </c>
      <c r="H106" s="17">
        <v>1</v>
      </c>
      <c r="I106" s="4" t="str">
        <f t="shared" si="9"/>
        <v>1;73041;1</v>
      </c>
      <c r="L106" s="4" t="s">
        <v>296</v>
      </c>
      <c r="M106" s="51" t="s">
        <v>7377</v>
      </c>
      <c r="N106" s="4" t="s">
        <v>7378</v>
      </c>
      <c r="O106" s="17">
        <v>2</v>
      </c>
    </row>
    <row r="107" spans="1:15" ht="14.25" x14ac:dyDescent="0.15">
      <c r="A107" s="15" t="s">
        <v>1</v>
      </c>
      <c r="B107" s="51">
        <v>7305</v>
      </c>
      <c r="C107" s="6">
        <v>1</v>
      </c>
      <c r="D107" s="6">
        <v>2</v>
      </c>
      <c r="F107" s="51" t="s">
        <v>7461</v>
      </c>
      <c r="G107" s="17">
        <v>73051</v>
      </c>
      <c r="H107" s="17">
        <v>1</v>
      </c>
      <c r="I107" s="4" t="str">
        <f t="shared" si="9"/>
        <v>1;73051;1</v>
      </c>
      <c r="L107" s="4" t="s">
        <v>296</v>
      </c>
      <c r="M107" s="51" t="s">
        <v>7379</v>
      </c>
      <c r="N107" s="4" t="s">
        <v>7380</v>
      </c>
      <c r="O107" s="17">
        <v>2</v>
      </c>
    </row>
    <row r="109" spans="1:15" ht="14.25" x14ac:dyDescent="0.15">
      <c r="A109" s="15"/>
      <c r="B109" s="51">
        <v>7701</v>
      </c>
      <c r="C109" s="6">
        <v>1</v>
      </c>
      <c r="D109" s="6">
        <v>2</v>
      </c>
      <c r="F109" s="51"/>
      <c r="G109" s="17" t="str">
        <f>B109&amp;1</f>
        <v>77011</v>
      </c>
      <c r="H109" s="17">
        <v>1</v>
      </c>
      <c r="I109" s="4" t="str">
        <f t="shared" si="5"/>
        <v>1;77011;1</v>
      </c>
      <c r="L109" s="4" t="s">
        <v>1273</v>
      </c>
      <c r="M109" s="51" t="s">
        <v>1357</v>
      </c>
      <c r="N109" s="71" t="s">
        <v>1347</v>
      </c>
      <c r="O109" s="17">
        <v>2</v>
      </c>
    </row>
    <row r="110" spans="1:15" ht="14.25" x14ac:dyDescent="0.15">
      <c r="A110" s="15"/>
      <c r="B110" s="51">
        <v>7702</v>
      </c>
      <c r="C110" s="6">
        <v>1</v>
      </c>
      <c r="D110" s="6">
        <v>2</v>
      </c>
      <c r="F110" s="51"/>
      <c r="G110" s="17" t="str">
        <f t="shared" ref="G110:G113" si="10">B110&amp;1</f>
        <v>77021</v>
      </c>
      <c r="H110" s="17">
        <v>1</v>
      </c>
      <c r="I110" s="4" t="str">
        <f t="shared" si="5"/>
        <v>1;77021;1</v>
      </c>
      <c r="L110" s="4" t="s">
        <v>1273</v>
      </c>
      <c r="M110" s="51" t="s">
        <v>1358</v>
      </c>
      <c r="N110" s="71" t="s">
        <v>1348</v>
      </c>
      <c r="O110" s="17">
        <v>2</v>
      </c>
    </row>
    <row r="111" spans="1:15" ht="14.25" x14ac:dyDescent="0.15">
      <c r="A111" s="15"/>
      <c r="B111" s="51">
        <v>7703</v>
      </c>
      <c r="C111" s="6">
        <v>1</v>
      </c>
      <c r="D111" s="6">
        <v>2</v>
      </c>
      <c r="F111" s="51"/>
      <c r="G111" s="17" t="str">
        <f t="shared" si="10"/>
        <v>77031</v>
      </c>
      <c r="H111" s="17">
        <v>1</v>
      </c>
      <c r="I111" s="4" t="str">
        <f t="shared" si="5"/>
        <v>1;77031;1</v>
      </c>
      <c r="L111" s="4" t="s">
        <v>1273</v>
      </c>
      <c r="M111" s="51" t="s">
        <v>1359</v>
      </c>
      <c r="N111" s="71" t="s">
        <v>1349</v>
      </c>
      <c r="O111" s="17">
        <v>2</v>
      </c>
    </row>
    <row r="112" spans="1:15" ht="14.25" x14ac:dyDescent="0.15">
      <c r="A112" s="15"/>
      <c r="B112" s="51">
        <v>7704</v>
      </c>
      <c r="C112" s="6">
        <v>1</v>
      </c>
      <c r="D112" s="6">
        <v>2</v>
      </c>
      <c r="F112" s="51"/>
      <c r="G112" s="17" t="str">
        <f t="shared" si="10"/>
        <v>77041</v>
      </c>
      <c r="H112" s="17">
        <v>1</v>
      </c>
      <c r="I112" s="4" t="str">
        <f t="shared" si="5"/>
        <v>1;77041;1</v>
      </c>
      <c r="L112" s="4" t="s">
        <v>1273</v>
      </c>
      <c r="M112" s="51" t="s">
        <v>1360</v>
      </c>
      <c r="N112" s="71" t="s">
        <v>1350</v>
      </c>
      <c r="O112" s="17">
        <v>2</v>
      </c>
    </row>
    <row r="113" spans="1:15" ht="14.25" x14ac:dyDescent="0.15">
      <c r="A113" s="15"/>
      <c r="B113" s="51">
        <v>7705</v>
      </c>
      <c r="C113" s="6">
        <v>1</v>
      </c>
      <c r="D113" s="6">
        <v>2</v>
      </c>
      <c r="F113" s="51"/>
      <c r="G113" s="17" t="str">
        <f t="shared" si="10"/>
        <v>77051</v>
      </c>
      <c r="H113" s="17">
        <v>1</v>
      </c>
      <c r="I113" s="4" t="str">
        <f t="shared" si="5"/>
        <v>1;77051;1</v>
      </c>
      <c r="L113" s="4" t="s">
        <v>1273</v>
      </c>
      <c r="M113" s="51" t="s">
        <v>1361</v>
      </c>
      <c r="N113" s="71" t="s">
        <v>1351</v>
      </c>
      <c r="O113" s="17">
        <v>2</v>
      </c>
    </row>
    <row r="114" spans="1:15" ht="14.25" x14ac:dyDescent="0.15">
      <c r="A114" s="15"/>
      <c r="B114" s="51"/>
      <c r="G114" s="17"/>
      <c r="H114" s="17"/>
      <c r="M114" s="51"/>
      <c r="N114" s="71"/>
      <c r="O114" s="17"/>
    </row>
    <row r="115" spans="1:15" ht="14.25" x14ac:dyDescent="0.15">
      <c r="A115" s="15"/>
      <c r="B115" s="51">
        <v>7801</v>
      </c>
      <c r="C115" s="6">
        <v>1</v>
      </c>
      <c r="D115" s="6">
        <v>2</v>
      </c>
      <c r="F115" s="51"/>
      <c r="G115" s="17" t="str">
        <f>B115&amp;1</f>
        <v>78011</v>
      </c>
      <c r="H115" s="17">
        <v>1</v>
      </c>
      <c r="I115" s="4" t="str">
        <f t="shared" si="5"/>
        <v>1;78011;1</v>
      </c>
      <c r="L115" s="4" t="s">
        <v>1273</v>
      </c>
      <c r="M115" s="51" t="s">
        <v>1362</v>
      </c>
      <c r="N115" s="71" t="s">
        <v>1352</v>
      </c>
      <c r="O115" s="17">
        <v>2</v>
      </c>
    </row>
    <row r="116" spans="1:15" ht="14.25" x14ac:dyDescent="0.15">
      <c r="A116" s="15"/>
      <c r="B116" s="51">
        <v>7802</v>
      </c>
      <c r="C116" s="6">
        <v>1</v>
      </c>
      <c r="D116" s="6">
        <v>2</v>
      </c>
      <c r="F116" s="51"/>
      <c r="G116" s="17" t="str">
        <f t="shared" ref="G116:G119" si="11">B116&amp;1</f>
        <v>78021</v>
      </c>
      <c r="H116" s="17">
        <v>1</v>
      </c>
      <c r="I116" s="4" t="str">
        <f t="shared" si="5"/>
        <v>1;78021;1</v>
      </c>
      <c r="L116" s="4" t="s">
        <v>1273</v>
      </c>
      <c r="M116" s="51" t="s">
        <v>1363</v>
      </c>
      <c r="N116" s="71" t="s">
        <v>1353</v>
      </c>
      <c r="O116" s="17">
        <v>2</v>
      </c>
    </row>
    <row r="117" spans="1:15" ht="14.25" x14ac:dyDescent="0.15">
      <c r="A117" s="15"/>
      <c r="B117" s="51">
        <v>7803</v>
      </c>
      <c r="C117" s="6">
        <v>1</v>
      </c>
      <c r="D117" s="6">
        <v>2</v>
      </c>
      <c r="F117" s="51"/>
      <c r="G117" s="17" t="str">
        <f t="shared" si="11"/>
        <v>78031</v>
      </c>
      <c r="H117" s="17">
        <v>1</v>
      </c>
      <c r="I117" s="4" t="str">
        <f t="shared" si="5"/>
        <v>1;78031;1</v>
      </c>
      <c r="L117" s="4" t="s">
        <v>1273</v>
      </c>
      <c r="M117" s="51" t="s">
        <v>1061</v>
      </c>
      <c r="N117" s="71" t="s">
        <v>1354</v>
      </c>
      <c r="O117" s="17">
        <v>2</v>
      </c>
    </row>
    <row r="118" spans="1:15" ht="14.25" x14ac:dyDescent="0.15">
      <c r="A118" s="15"/>
      <c r="B118" s="51">
        <v>7804</v>
      </c>
      <c r="C118" s="6">
        <v>1</v>
      </c>
      <c r="D118" s="6">
        <v>2</v>
      </c>
      <c r="F118" s="51"/>
      <c r="G118" s="17" t="str">
        <f t="shared" si="11"/>
        <v>78041</v>
      </c>
      <c r="H118" s="17">
        <v>1</v>
      </c>
      <c r="I118" s="4" t="str">
        <f t="shared" si="5"/>
        <v>1;78041;1</v>
      </c>
      <c r="L118" s="4" t="s">
        <v>1273</v>
      </c>
      <c r="M118" s="51" t="s">
        <v>1364</v>
      </c>
      <c r="N118" s="71" t="s">
        <v>1355</v>
      </c>
      <c r="O118" s="17">
        <v>2</v>
      </c>
    </row>
    <row r="119" spans="1:15" ht="14.25" x14ac:dyDescent="0.15">
      <c r="A119" s="15"/>
      <c r="B119" s="51">
        <v>7805</v>
      </c>
      <c r="C119" s="6">
        <v>1</v>
      </c>
      <c r="D119" s="6">
        <v>2</v>
      </c>
      <c r="F119" s="51"/>
      <c r="G119" s="17" t="str">
        <f t="shared" si="11"/>
        <v>78051</v>
      </c>
      <c r="H119" s="17">
        <v>1</v>
      </c>
      <c r="I119" s="4" t="str">
        <f t="shared" si="5"/>
        <v>1;78051;1</v>
      </c>
      <c r="L119" s="4" t="s">
        <v>1273</v>
      </c>
      <c r="M119" s="51" t="s">
        <v>1365</v>
      </c>
      <c r="N119" s="71" t="s">
        <v>1356</v>
      </c>
      <c r="O119" s="17">
        <v>2</v>
      </c>
    </row>
    <row r="120" spans="1:15" ht="14.25" x14ac:dyDescent="0.15">
      <c r="A120" s="15"/>
      <c r="B120" s="51"/>
      <c r="G120" s="17"/>
      <c r="H120" s="17"/>
      <c r="M120" s="51"/>
      <c r="N120" s="71"/>
      <c r="O120" s="17"/>
    </row>
    <row r="121" spans="1:15" ht="14.25" x14ac:dyDescent="0.15">
      <c r="A121" s="15" t="s">
        <v>1</v>
      </c>
      <c r="B121" s="51">
        <v>7901</v>
      </c>
      <c r="C121" s="6">
        <v>1</v>
      </c>
      <c r="D121" s="6">
        <v>2</v>
      </c>
      <c r="F121" s="51" t="s">
        <v>7457</v>
      </c>
      <c r="G121" s="17">
        <v>79011</v>
      </c>
      <c r="H121" s="17">
        <v>1</v>
      </c>
      <c r="I121" s="4" t="str">
        <f t="shared" si="5"/>
        <v>1;79011;1</v>
      </c>
      <c r="L121" s="4" t="s">
        <v>1086</v>
      </c>
      <c r="M121" s="51" t="s">
        <v>7381</v>
      </c>
      <c r="N121" s="71" t="s">
        <v>7382</v>
      </c>
      <c r="O121" s="17">
        <v>2</v>
      </c>
    </row>
    <row r="122" spans="1:15" ht="14.25" x14ac:dyDescent="0.15">
      <c r="A122" s="15" t="s">
        <v>1</v>
      </c>
      <c r="B122" s="51">
        <v>7902</v>
      </c>
      <c r="C122" s="6">
        <v>1</v>
      </c>
      <c r="D122" s="6">
        <v>2</v>
      </c>
      <c r="F122" s="51" t="s">
        <v>7458</v>
      </c>
      <c r="G122" s="17">
        <v>79021</v>
      </c>
      <c r="H122" s="17">
        <v>1</v>
      </c>
      <c r="I122" s="4" t="str">
        <f t="shared" si="5"/>
        <v>1;79021;1</v>
      </c>
      <c r="L122" s="4" t="s">
        <v>1086</v>
      </c>
      <c r="M122" s="51" t="s">
        <v>7383</v>
      </c>
      <c r="N122" s="71" t="s">
        <v>7384</v>
      </c>
      <c r="O122" s="17">
        <v>2</v>
      </c>
    </row>
    <row r="123" spans="1:15" ht="14.25" x14ac:dyDescent="0.15">
      <c r="A123" s="15" t="s">
        <v>1</v>
      </c>
      <c r="B123" s="51">
        <v>7903</v>
      </c>
      <c r="C123" s="6">
        <v>1</v>
      </c>
      <c r="D123" s="6">
        <v>2</v>
      </c>
      <c r="F123" s="51" t="s">
        <v>7459</v>
      </c>
      <c r="G123" s="17">
        <v>79031</v>
      </c>
      <c r="H123" s="17">
        <v>1</v>
      </c>
      <c r="I123" s="4" t="str">
        <f t="shared" si="5"/>
        <v>1;79031;1</v>
      </c>
      <c r="L123" s="4" t="s">
        <v>1086</v>
      </c>
      <c r="M123" s="51" t="s">
        <v>7385</v>
      </c>
      <c r="N123" s="71" t="s">
        <v>7386</v>
      </c>
      <c r="O123" s="17">
        <v>2</v>
      </c>
    </row>
    <row r="124" spans="1:15" ht="14.25" x14ac:dyDescent="0.15">
      <c r="A124" s="15" t="s">
        <v>1</v>
      </c>
      <c r="B124" s="51">
        <v>7904</v>
      </c>
      <c r="C124" s="6">
        <v>1</v>
      </c>
      <c r="D124" s="6">
        <v>2</v>
      </c>
      <c r="F124" s="51" t="s">
        <v>7460</v>
      </c>
      <c r="G124" s="17">
        <v>79041</v>
      </c>
      <c r="H124" s="17">
        <v>1</v>
      </c>
      <c r="I124" s="4" t="str">
        <f t="shared" si="5"/>
        <v>1;79041;1</v>
      </c>
      <c r="L124" s="4" t="s">
        <v>1086</v>
      </c>
      <c r="M124" s="51" t="s">
        <v>7387</v>
      </c>
      <c r="N124" s="71" t="s">
        <v>7388</v>
      </c>
      <c r="O124" s="17">
        <v>2</v>
      </c>
    </row>
    <row r="125" spans="1:15" ht="14.25" x14ac:dyDescent="0.15">
      <c r="A125" s="15" t="s">
        <v>1</v>
      </c>
      <c r="B125" s="51">
        <v>7905</v>
      </c>
      <c r="C125" s="6">
        <v>1</v>
      </c>
      <c r="D125" s="6">
        <v>2</v>
      </c>
      <c r="F125" s="51" t="s">
        <v>7461</v>
      </c>
      <c r="G125" s="17">
        <v>79051</v>
      </c>
      <c r="H125" s="17">
        <v>1</v>
      </c>
      <c r="I125" s="4" t="str">
        <f t="shared" si="5"/>
        <v>1;79051;1</v>
      </c>
      <c r="L125" s="4" t="s">
        <v>1086</v>
      </c>
      <c r="M125" s="51" t="s">
        <v>7389</v>
      </c>
      <c r="N125" s="71" t="s">
        <v>7390</v>
      </c>
      <c r="O125" s="17">
        <v>2</v>
      </c>
    </row>
  </sheetData>
  <phoneticPr fontId="27" type="noConversion"/>
  <pageMargins left="0.69930555555555596" right="0.69930555555555596" top="0.75" bottom="0.75" header="0.3" footer="0.3"/>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K443"/>
  <sheetViews>
    <sheetView zoomScaleNormal="100" workbookViewId="0">
      <pane ySplit="8" topLeftCell="A192" activePane="bottomLeft" state="frozen"/>
      <selection pane="bottomLeft" activeCell="B202" sqref="B193:I202"/>
    </sheetView>
  </sheetViews>
  <sheetFormatPr defaultColWidth="9" defaultRowHeight="13.5" x14ac:dyDescent="0.15"/>
  <cols>
    <col min="1" max="1" width="9" style="4" customWidth="1"/>
    <col min="2" max="2" width="10.625" style="6" customWidth="1"/>
    <col min="3" max="3" width="10.5" style="6" bestFit="1" customWidth="1"/>
    <col min="4" max="4" width="11.875" style="6" customWidth="1"/>
    <col min="5" max="5" width="13.5" style="6" customWidth="1"/>
    <col min="6" max="6" width="12.25" style="4" customWidth="1"/>
    <col min="7" max="7" width="13.5" style="6" customWidth="1"/>
    <col min="8" max="16384" width="9" style="4"/>
  </cols>
  <sheetData>
    <row r="1" spans="1:9" s="1" customFormat="1" x14ac:dyDescent="0.15">
      <c r="A1" s="5" t="s">
        <v>136</v>
      </c>
      <c r="B1" s="1" t="s">
        <v>1</v>
      </c>
      <c r="E1" s="1" t="s">
        <v>1</v>
      </c>
      <c r="F1" s="1" t="s">
        <v>201</v>
      </c>
      <c r="G1" s="1" t="s">
        <v>1</v>
      </c>
      <c r="H1" s="1" t="s">
        <v>262</v>
      </c>
    </row>
    <row r="2" spans="1:9" s="1" customFormat="1" x14ac:dyDescent="0.15">
      <c r="A2" s="5" t="s">
        <v>2</v>
      </c>
      <c r="B2" s="1" t="s">
        <v>1</v>
      </c>
      <c r="C2" s="1" t="s">
        <v>1</v>
      </c>
      <c r="D2" s="1" t="s">
        <v>1</v>
      </c>
      <c r="E2" s="1" t="s">
        <v>1</v>
      </c>
      <c r="F2" s="1" t="s">
        <v>174</v>
      </c>
      <c r="G2" s="1" t="s">
        <v>928</v>
      </c>
      <c r="H2" s="1" t="s">
        <v>174</v>
      </c>
      <c r="I2" s="1" t="s">
        <v>259</v>
      </c>
    </row>
    <row r="3" spans="1:9" s="2" customFormat="1" ht="14.25" x14ac:dyDescent="0.15">
      <c r="A3" s="14" t="s">
        <v>238</v>
      </c>
      <c r="B3" s="14" t="s">
        <v>3</v>
      </c>
      <c r="C3" s="14" t="s">
        <v>7</v>
      </c>
      <c r="D3" s="14" t="s">
        <v>7</v>
      </c>
      <c r="E3" s="14" t="s">
        <v>3</v>
      </c>
      <c r="F3" s="14" t="s">
        <v>7</v>
      </c>
      <c r="G3" s="14" t="s">
        <v>3</v>
      </c>
      <c r="H3" s="14" t="s">
        <v>3</v>
      </c>
      <c r="I3" s="14" t="s">
        <v>3</v>
      </c>
    </row>
    <row r="4" spans="1:9" s="2" customFormat="1" ht="14.25" x14ac:dyDescent="0.15">
      <c r="A4" s="14"/>
      <c r="B4" s="14" t="s">
        <v>4</v>
      </c>
      <c r="C4" s="14" t="s">
        <v>202</v>
      </c>
      <c r="D4" s="14" t="s">
        <v>203</v>
      </c>
      <c r="E4" s="14" t="s">
        <v>204</v>
      </c>
      <c r="F4" s="14" t="s">
        <v>205</v>
      </c>
      <c r="G4" s="14" t="s">
        <v>206</v>
      </c>
      <c r="H4" s="14" t="s">
        <v>237</v>
      </c>
      <c r="I4" s="14" t="s">
        <v>260</v>
      </c>
    </row>
    <row r="5" spans="1:9" s="2" customFormat="1" ht="14.25" x14ac:dyDescent="0.15">
      <c r="A5" s="14"/>
      <c r="B5" s="14" t="str">
        <f>IF(B3="","",IF(B3="INT","i",IF(B3="FLOAT","f",IF(B3="STRING","s"))))</f>
        <v>i</v>
      </c>
      <c r="C5" s="14" t="str">
        <f>IF(C3="","",IF(C3="INT","i",IF(C3="FLOAT","f",IF(C3="STRING","s"))))</f>
        <v>s</v>
      </c>
      <c r="D5" s="14" t="s">
        <v>207</v>
      </c>
      <c r="E5" s="14" t="str">
        <f>IF(E3="","",IF(E3="INT","i",IF(E3="FLOAT","f",IF(E3="STRING","s"))))</f>
        <v>i</v>
      </c>
      <c r="F5" s="14" t="s">
        <v>8</v>
      </c>
      <c r="G5" s="14" t="str">
        <f>IF(G3="","",IF(G3="INT","i",IF(G3="FLOAT","f",IF(G3="STRING","s"))))</f>
        <v>i</v>
      </c>
      <c r="H5" s="14" t="str">
        <f>IF(H3="","",IF(H3="INT","i",IF(H3="FLOAT","f",IF(H3="STRING","s"))))</f>
        <v>i</v>
      </c>
      <c r="I5" s="14" t="str">
        <f>IF(I3="","",IF(I3="INT","i",IF(I3="FLOAT","f",IF(I3="STRING","s"))))</f>
        <v>i</v>
      </c>
    </row>
    <row r="6" spans="1:9" s="2" customFormat="1" ht="14.25" x14ac:dyDescent="0.15">
      <c r="A6" s="14" t="s">
        <v>1</v>
      </c>
      <c r="B6" s="14" t="str">
        <f t="shared" ref="B6:G6" si="0">B5&amp;B4</f>
        <v>iID</v>
      </c>
      <c r="C6" s="14" t="str">
        <f t="shared" si="0"/>
        <v>sAddrName</v>
      </c>
      <c r="D6" s="14" t="str">
        <f t="shared" si="0"/>
        <v>sNpcName</v>
      </c>
      <c r="E6" s="14" t="str">
        <f t="shared" si="0"/>
        <v>iStartDialogueID</v>
      </c>
      <c r="F6" s="14" t="str">
        <f t="shared" si="0"/>
        <v>sAward</v>
      </c>
      <c r="G6" s="14" t="str">
        <f t="shared" si="0"/>
        <v>iTaskID</v>
      </c>
      <c r="H6" s="14" t="str">
        <f>H5&amp;H4</f>
        <v>iCompletion</v>
      </c>
      <c r="I6" s="14" t="str">
        <f>I5&amp;I4</f>
        <v>iMainLevel</v>
      </c>
    </row>
    <row r="7" spans="1:9" s="3" customFormat="1" ht="14.25" x14ac:dyDescent="0.15">
      <c r="A7" s="14"/>
      <c r="B7" s="14" t="s">
        <v>208</v>
      </c>
      <c r="C7" s="14" t="s">
        <v>209</v>
      </c>
      <c r="D7" s="14" t="s">
        <v>210</v>
      </c>
      <c r="E7" s="14" t="s">
        <v>211</v>
      </c>
      <c r="F7" s="14" t="s">
        <v>212</v>
      </c>
      <c r="G7" s="14" t="s">
        <v>213</v>
      </c>
      <c r="H7" s="14" t="s">
        <v>236</v>
      </c>
      <c r="I7" s="14" t="s">
        <v>261</v>
      </c>
    </row>
    <row r="8" spans="1:9" s="3" customFormat="1" ht="14.25" x14ac:dyDescent="0.15">
      <c r="A8" s="14" t="s">
        <v>6</v>
      </c>
      <c r="B8" s="14" t="e">
        <f>MODE(B53:B1239)</f>
        <v>#N/A</v>
      </c>
      <c r="C8" s="14"/>
      <c r="D8" s="14"/>
      <c r="E8" s="14">
        <v>0</v>
      </c>
      <c r="F8" s="14"/>
      <c r="G8" s="14">
        <v>0</v>
      </c>
      <c r="H8" s="14">
        <v>1</v>
      </c>
      <c r="I8" s="3">
        <v>0</v>
      </c>
    </row>
    <row r="9" spans="1:9" s="19" customFormat="1" ht="42.75" customHeight="1" x14ac:dyDescent="0.15">
      <c r="A9" s="18"/>
      <c r="B9" s="18"/>
      <c r="C9" s="18"/>
      <c r="D9" s="55" t="s">
        <v>479</v>
      </c>
      <c r="E9" s="18"/>
      <c r="F9" s="24"/>
      <c r="G9" s="18"/>
    </row>
    <row r="10" spans="1:9" x14ac:dyDescent="0.15">
      <c r="A10" s="119" t="s">
        <v>1</v>
      </c>
      <c r="B10" s="119">
        <v>101</v>
      </c>
      <c r="C10" s="119">
        <v>110</v>
      </c>
      <c r="D10" s="119" t="s">
        <v>2505</v>
      </c>
      <c r="E10" s="119" t="s">
        <v>484</v>
      </c>
      <c r="F10" s="119" t="s">
        <v>4794</v>
      </c>
      <c r="G10" s="119" t="s">
        <v>485</v>
      </c>
      <c r="H10" s="119">
        <v>20</v>
      </c>
      <c r="I10" s="119">
        <v>1</v>
      </c>
    </row>
    <row r="11" spans="1:9" x14ac:dyDescent="0.15">
      <c r="A11" s="119" t="s">
        <v>1</v>
      </c>
      <c r="B11" s="119">
        <v>102</v>
      </c>
      <c r="C11" s="119">
        <v>109</v>
      </c>
      <c r="D11" s="119" t="s">
        <v>486</v>
      </c>
      <c r="E11" s="119" t="s">
        <v>487</v>
      </c>
      <c r="F11" s="119" t="s">
        <v>4795</v>
      </c>
      <c r="G11" s="119" t="s">
        <v>485</v>
      </c>
      <c r="H11" s="119">
        <v>20</v>
      </c>
      <c r="I11" s="119">
        <v>1</v>
      </c>
    </row>
    <row r="12" spans="1:9" x14ac:dyDescent="0.15">
      <c r="A12" s="119" t="s">
        <v>1</v>
      </c>
      <c r="B12" s="119">
        <v>103</v>
      </c>
      <c r="C12" s="119">
        <v>108</v>
      </c>
      <c r="D12" s="119" t="s">
        <v>685</v>
      </c>
      <c r="E12" s="119" t="s">
        <v>488</v>
      </c>
      <c r="F12" s="119" t="s">
        <v>4794</v>
      </c>
      <c r="G12" s="119" t="s">
        <v>485</v>
      </c>
      <c r="H12" s="119">
        <v>20</v>
      </c>
      <c r="I12" s="119">
        <v>1</v>
      </c>
    </row>
    <row r="13" spans="1:9" x14ac:dyDescent="0.15">
      <c r="A13" s="119" t="s">
        <v>1</v>
      </c>
      <c r="B13" s="119">
        <v>104</v>
      </c>
      <c r="C13" s="119">
        <v>105</v>
      </c>
      <c r="D13" s="119" t="s">
        <v>686</v>
      </c>
      <c r="E13" s="119" t="s">
        <v>489</v>
      </c>
      <c r="F13" s="119" t="s">
        <v>4795</v>
      </c>
      <c r="G13" s="119" t="s">
        <v>485</v>
      </c>
      <c r="H13" s="119">
        <v>20</v>
      </c>
      <c r="I13" s="119">
        <v>1</v>
      </c>
    </row>
    <row r="14" spans="1:9" x14ac:dyDescent="0.15">
      <c r="A14" s="119" t="s">
        <v>1</v>
      </c>
      <c r="B14" s="119">
        <v>105</v>
      </c>
      <c r="C14" s="119">
        <v>105</v>
      </c>
      <c r="D14" s="119" t="s">
        <v>692</v>
      </c>
      <c r="E14" s="119" t="s">
        <v>490</v>
      </c>
      <c r="F14" s="119" t="s">
        <v>7324</v>
      </c>
      <c r="G14" s="119" t="s">
        <v>485</v>
      </c>
      <c r="H14" s="119">
        <v>20</v>
      </c>
      <c r="I14" s="119">
        <v>1</v>
      </c>
    </row>
    <row r="15" spans="1:9" x14ac:dyDescent="0.15">
      <c r="A15" s="4" t="s">
        <v>1</v>
      </c>
      <c r="B15" s="4">
        <v>201</v>
      </c>
      <c r="C15" s="6">
        <v>108</v>
      </c>
      <c r="D15" s="22" t="s">
        <v>2506</v>
      </c>
      <c r="E15" s="6" t="s">
        <v>302</v>
      </c>
      <c r="F15" s="4" t="s">
        <v>4794</v>
      </c>
      <c r="G15" s="6" t="s">
        <v>303</v>
      </c>
      <c r="H15" s="4">
        <v>20</v>
      </c>
      <c r="I15" s="4">
        <v>1</v>
      </c>
    </row>
    <row r="16" spans="1:9" x14ac:dyDescent="0.15">
      <c r="A16" s="4" t="s">
        <v>1</v>
      </c>
      <c r="B16" s="4">
        <v>202</v>
      </c>
      <c r="C16" s="6">
        <v>103</v>
      </c>
      <c r="D16" s="22" t="s">
        <v>2507</v>
      </c>
      <c r="E16" s="6" t="s">
        <v>304</v>
      </c>
      <c r="F16" s="4" t="s">
        <v>4795</v>
      </c>
      <c r="G16" s="6" t="s">
        <v>303</v>
      </c>
      <c r="H16" s="4">
        <v>20</v>
      </c>
      <c r="I16" s="4">
        <v>1</v>
      </c>
    </row>
    <row r="17" spans="1:9" x14ac:dyDescent="0.15">
      <c r="A17" s="4" t="s">
        <v>1</v>
      </c>
      <c r="B17" s="4">
        <v>203</v>
      </c>
      <c r="C17" s="6">
        <v>110</v>
      </c>
      <c r="D17" s="22" t="s">
        <v>2508</v>
      </c>
      <c r="E17" s="6" t="s">
        <v>305</v>
      </c>
      <c r="F17" s="4" t="s">
        <v>7323</v>
      </c>
      <c r="G17" s="6" t="s">
        <v>303</v>
      </c>
      <c r="H17" s="4">
        <v>20</v>
      </c>
      <c r="I17" s="4">
        <v>1</v>
      </c>
    </row>
    <row r="18" spans="1:9" ht="15.75" customHeight="1" x14ac:dyDescent="0.15">
      <c r="A18" s="4" t="s">
        <v>1</v>
      </c>
      <c r="B18" s="4">
        <v>204</v>
      </c>
      <c r="C18" s="6">
        <v>106</v>
      </c>
      <c r="D18" s="22" t="s">
        <v>2509</v>
      </c>
      <c r="E18" s="6" t="s">
        <v>306</v>
      </c>
      <c r="F18" s="4" t="s">
        <v>7492</v>
      </c>
      <c r="G18" s="6" t="s">
        <v>303</v>
      </c>
      <c r="H18" s="4">
        <v>20</v>
      </c>
      <c r="I18" s="4" t="s">
        <v>115</v>
      </c>
    </row>
    <row r="19" spans="1:9" x14ac:dyDescent="0.15">
      <c r="A19" s="4" t="s">
        <v>1</v>
      </c>
      <c r="B19" s="4">
        <v>205</v>
      </c>
      <c r="C19" s="6">
        <v>104</v>
      </c>
      <c r="D19" s="22" t="s">
        <v>2510</v>
      </c>
      <c r="E19" s="6" t="s">
        <v>307</v>
      </c>
      <c r="F19" s="4" t="s">
        <v>7493</v>
      </c>
      <c r="G19" s="6" t="s">
        <v>303</v>
      </c>
      <c r="H19" s="4">
        <v>20</v>
      </c>
      <c r="I19" s="4" t="s">
        <v>115</v>
      </c>
    </row>
    <row r="20" spans="1:9" x14ac:dyDescent="0.15">
      <c r="A20" s="119" t="s">
        <v>1</v>
      </c>
      <c r="B20" s="119">
        <v>301</v>
      </c>
      <c r="C20" s="119">
        <v>110</v>
      </c>
      <c r="D20" s="119" t="s">
        <v>2511</v>
      </c>
      <c r="E20" s="119" t="s">
        <v>308</v>
      </c>
      <c r="F20" s="119" t="s">
        <v>4794</v>
      </c>
      <c r="G20" s="119" t="s">
        <v>309</v>
      </c>
      <c r="H20" s="119">
        <v>15</v>
      </c>
      <c r="I20" s="119">
        <v>1</v>
      </c>
    </row>
    <row r="21" spans="1:9" x14ac:dyDescent="0.15">
      <c r="A21" s="119" t="s">
        <v>1</v>
      </c>
      <c r="B21" s="119">
        <v>302</v>
      </c>
      <c r="C21" s="119">
        <v>108</v>
      </c>
      <c r="D21" s="119" t="s">
        <v>301</v>
      </c>
      <c r="E21" s="119" t="s">
        <v>310</v>
      </c>
      <c r="F21" s="119" t="s">
        <v>4795</v>
      </c>
      <c r="G21" s="119" t="s">
        <v>309</v>
      </c>
      <c r="H21" s="119">
        <v>17</v>
      </c>
      <c r="I21" s="119">
        <v>1</v>
      </c>
    </row>
    <row r="22" spans="1:9" x14ac:dyDescent="0.15">
      <c r="A22" s="119" t="s">
        <v>1</v>
      </c>
      <c r="B22" s="119">
        <v>303</v>
      </c>
      <c r="C22" s="119">
        <v>107</v>
      </c>
      <c r="D22" s="119" t="s">
        <v>2512</v>
      </c>
      <c r="E22" s="119" t="s">
        <v>311</v>
      </c>
      <c r="F22" s="119" t="s">
        <v>4794</v>
      </c>
      <c r="G22" s="119" t="s">
        <v>309</v>
      </c>
      <c r="H22" s="119">
        <v>17</v>
      </c>
      <c r="I22" s="119" t="s">
        <v>115</v>
      </c>
    </row>
    <row r="23" spans="1:9" x14ac:dyDescent="0.15">
      <c r="A23" s="119" t="s">
        <v>1</v>
      </c>
      <c r="B23" s="119">
        <v>304</v>
      </c>
      <c r="C23" s="119">
        <v>107</v>
      </c>
      <c r="D23" s="119" t="s">
        <v>695</v>
      </c>
      <c r="E23" s="119" t="s">
        <v>312</v>
      </c>
      <c r="F23" s="119" t="s">
        <v>7489</v>
      </c>
      <c r="G23" s="119" t="s">
        <v>309</v>
      </c>
      <c r="H23" s="119">
        <v>17</v>
      </c>
      <c r="I23" s="119">
        <v>1</v>
      </c>
    </row>
    <row r="24" spans="1:9" x14ac:dyDescent="0.15">
      <c r="A24" s="119" t="s">
        <v>1</v>
      </c>
      <c r="B24" s="119">
        <v>305</v>
      </c>
      <c r="C24" s="119">
        <v>110</v>
      </c>
      <c r="D24" s="119" t="s">
        <v>696</v>
      </c>
      <c r="E24" s="119" t="s">
        <v>313</v>
      </c>
      <c r="F24" s="119" t="s">
        <v>7494</v>
      </c>
      <c r="G24" s="119" t="s">
        <v>309</v>
      </c>
      <c r="H24" s="119">
        <v>17</v>
      </c>
      <c r="I24" s="119" t="s">
        <v>115</v>
      </c>
    </row>
    <row r="25" spans="1:9" x14ac:dyDescent="0.15">
      <c r="A25" s="119" t="s">
        <v>1</v>
      </c>
      <c r="B25" s="119">
        <v>306</v>
      </c>
      <c r="C25" s="119">
        <v>110</v>
      </c>
      <c r="D25" s="119" t="s">
        <v>684</v>
      </c>
      <c r="E25" s="119" t="s">
        <v>314</v>
      </c>
      <c r="F25" s="119" t="s">
        <v>7321</v>
      </c>
      <c r="G25" s="119" t="s">
        <v>309</v>
      </c>
      <c r="H25" s="119">
        <v>17</v>
      </c>
      <c r="I25" s="119">
        <v>1</v>
      </c>
    </row>
    <row r="26" spans="1:9" x14ac:dyDescent="0.15">
      <c r="A26" s="4" t="s">
        <v>1</v>
      </c>
      <c r="B26" s="4">
        <v>401</v>
      </c>
      <c r="C26" s="6">
        <v>106</v>
      </c>
      <c r="D26" s="22" t="s">
        <v>1066</v>
      </c>
      <c r="E26" s="6" t="s">
        <v>315</v>
      </c>
      <c r="F26" s="4" t="s">
        <v>7495</v>
      </c>
      <c r="G26" s="6" t="s">
        <v>316</v>
      </c>
      <c r="H26" s="4">
        <v>20</v>
      </c>
      <c r="I26" s="4">
        <v>1</v>
      </c>
    </row>
    <row r="27" spans="1:9" x14ac:dyDescent="0.15">
      <c r="A27" s="4" t="s">
        <v>1</v>
      </c>
      <c r="B27" s="4">
        <v>402</v>
      </c>
      <c r="C27" s="6">
        <v>104</v>
      </c>
      <c r="D27" s="22" t="s">
        <v>687</v>
      </c>
      <c r="E27" s="6" t="s">
        <v>317</v>
      </c>
      <c r="F27" s="4" t="s">
        <v>7493</v>
      </c>
      <c r="G27" s="6" t="s">
        <v>316</v>
      </c>
      <c r="H27" s="4">
        <v>20</v>
      </c>
      <c r="I27" s="4">
        <v>1</v>
      </c>
    </row>
    <row r="28" spans="1:9" x14ac:dyDescent="0.15">
      <c r="A28" s="4" t="s">
        <v>1</v>
      </c>
      <c r="B28" s="4">
        <v>403</v>
      </c>
      <c r="C28" s="6">
        <v>108</v>
      </c>
      <c r="D28" s="22" t="s">
        <v>688</v>
      </c>
      <c r="E28" s="6" t="s">
        <v>318</v>
      </c>
      <c r="F28" s="4" t="s">
        <v>7496</v>
      </c>
      <c r="G28" s="6" t="s">
        <v>316</v>
      </c>
      <c r="H28" s="4">
        <v>20</v>
      </c>
      <c r="I28" s="4">
        <v>1</v>
      </c>
    </row>
    <row r="29" spans="1:9" x14ac:dyDescent="0.15">
      <c r="A29" s="4" t="s">
        <v>1</v>
      </c>
      <c r="B29" s="4">
        <v>404</v>
      </c>
      <c r="C29" s="6">
        <v>108</v>
      </c>
      <c r="D29" s="6" t="s">
        <v>689</v>
      </c>
      <c r="E29" s="6" t="s">
        <v>319</v>
      </c>
      <c r="F29" s="4" t="s">
        <v>7322</v>
      </c>
      <c r="G29" s="6" t="s">
        <v>316</v>
      </c>
      <c r="H29" s="4">
        <v>20</v>
      </c>
      <c r="I29" s="4">
        <v>1</v>
      </c>
    </row>
    <row r="30" spans="1:9" x14ac:dyDescent="0.15">
      <c r="A30" s="4" t="s">
        <v>1</v>
      </c>
      <c r="B30" s="4">
        <v>405</v>
      </c>
      <c r="C30" s="6">
        <v>108</v>
      </c>
      <c r="D30" s="6" t="s">
        <v>688</v>
      </c>
      <c r="E30" s="6" t="s">
        <v>320</v>
      </c>
      <c r="F30" s="4" t="s">
        <v>7497</v>
      </c>
      <c r="G30" s="6" t="s">
        <v>316</v>
      </c>
      <c r="H30" s="4">
        <v>20</v>
      </c>
      <c r="I30" s="4" t="s">
        <v>115</v>
      </c>
    </row>
    <row r="31" spans="1:9" x14ac:dyDescent="0.15">
      <c r="A31" s="119" t="s">
        <v>1</v>
      </c>
      <c r="B31" s="119">
        <v>501</v>
      </c>
      <c r="C31" s="119">
        <v>108</v>
      </c>
      <c r="D31" s="119" t="s">
        <v>265</v>
      </c>
      <c r="E31" s="119" t="s">
        <v>747</v>
      </c>
      <c r="F31" s="119" t="s">
        <v>7499</v>
      </c>
      <c r="G31" s="119" t="s">
        <v>748</v>
      </c>
      <c r="H31" s="119">
        <v>25</v>
      </c>
      <c r="I31" s="119">
        <v>1</v>
      </c>
    </row>
    <row r="32" spans="1:9" x14ac:dyDescent="0.15">
      <c r="A32" s="119" t="s">
        <v>1</v>
      </c>
      <c r="B32" s="119">
        <v>502</v>
      </c>
      <c r="C32" s="119">
        <v>107</v>
      </c>
      <c r="D32" s="119" t="s">
        <v>690</v>
      </c>
      <c r="E32" s="119" t="s">
        <v>749</v>
      </c>
      <c r="F32" s="119" t="s">
        <v>7501</v>
      </c>
      <c r="G32" s="119" t="s">
        <v>748</v>
      </c>
      <c r="H32" s="119">
        <v>25</v>
      </c>
      <c r="I32" s="119">
        <v>1</v>
      </c>
    </row>
    <row r="33" spans="1:9" x14ac:dyDescent="0.15">
      <c r="A33" s="119" t="s">
        <v>1</v>
      </c>
      <c r="B33" s="119">
        <v>503</v>
      </c>
      <c r="C33" s="119">
        <v>107</v>
      </c>
      <c r="D33" s="119" t="s">
        <v>691</v>
      </c>
      <c r="E33" s="119" t="s">
        <v>750</v>
      </c>
      <c r="F33" s="119" t="s">
        <v>7491</v>
      </c>
      <c r="G33" s="119" t="s">
        <v>748</v>
      </c>
      <c r="H33" s="119">
        <v>25</v>
      </c>
      <c r="I33" s="119" t="s">
        <v>115</v>
      </c>
    </row>
    <row r="34" spans="1:9" x14ac:dyDescent="0.15">
      <c r="A34" s="119" t="s">
        <v>1</v>
      </c>
      <c r="B34" s="119">
        <v>504</v>
      </c>
      <c r="C34" s="119">
        <v>108</v>
      </c>
      <c r="D34" s="119" t="s">
        <v>265</v>
      </c>
      <c r="E34" s="119" t="s">
        <v>751</v>
      </c>
      <c r="F34" s="119" t="s">
        <v>7325</v>
      </c>
      <c r="G34" s="119" t="s">
        <v>748</v>
      </c>
      <c r="H34" s="119">
        <v>25</v>
      </c>
      <c r="I34" s="119">
        <v>1</v>
      </c>
    </row>
    <row r="35" spans="1:9" x14ac:dyDescent="0.15">
      <c r="A35" s="4" t="s">
        <v>1</v>
      </c>
      <c r="B35" s="4">
        <v>601</v>
      </c>
      <c r="C35" s="6">
        <v>103</v>
      </c>
      <c r="D35" s="22" t="s">
        <v>746</v>
      </c>
      <c r="E35" s="6" t="s">
        <v>936</v>
      </c>
      <c r="F35" s="4" t="s">
        <v>4794</v>
      </c>
      <c r="G35" s="6" t="s">
        <v>937</v>
      </c>
      <c r="H35" s="4">
        <v>14</v>
      </c>
      <c r="I35" s="4">
        <v>1</v>
      </c>
    </row>
    <row r="36" spans="1:9" x14ac:dyDescent="0.15">
      <c r="A36" s="4" t="s">
        <v>1</v>
      </c>
      <c r="B36" s="4">
        <v>602</v>
      </c>
      <c r="C36" s="6">
        <v>101</v>
      </c>
      <c r="D36" s="22" t="s">
        <v>693</v>
      </c>
      <c r="E36" s="6" t="s">
        <v>938</v>
      </c>
      <c r="F36" s="4" t="s">
        <v>4795</v>
      </c>
      <c r="G36" s="6" t="s">
        <v>937</v>
      </c>
      <c r="H36" s="4">
        <v>14</v>
      </c>
      <c r="I36" s="4">
        <v>1</v>
      </c>
    </row>
    <row r="37" spans="1:9" x14ac:dyDescent="0.15">
      <c r="A37" s="4" t="s">
        <v>1</v>
      </c>
      <c r="B37" s="4">
        <v>603</v>
      </c>
      <c r="C37" s="6">
        <v>103</v>
      </c>
      <c r="D37" s="22" t="s">
        <v>693</v>
      </c>
      <c r="E37" s="6" t="s">
        <v>939</v>
      </c>
      <c r="F37" s="4" t="s">
        <v>7502</v>
      </c>
      <c r="G37" s="6" t="s">
        <v>937</v>
      </c>
      <c r="H37" s="4">
        <v>14</v>
      </c>
      <c r="I37" s="4">
        <v>1</v>
      </c>
    </row>
    <row r="38" spans="1:9" x14ac:dyDescent="0.15">
      <c r="A38" s="4" t="s">
        <v>1</v>
      </c>
      <c r="B38" s="4">
        <v>604</v>
      </c>
      <c r="C38" s="6">
        <v>103</v>
      </c>
      <c r="D38" s="22" t="s">
        <v>694</v>
      </c>
      <c r="E38" s="6" t="s">
        <v>940</v>
      </c>
      <c r="F38" s="4" t="s">
        <v>7493</v>
      </c>
      <c r="G38" s="6" t="s">
        <v>937</v>
      </c>
      <c r="H38" s="4">
        <v>14</v>
      </c>
      <c r="I38" s="4">
        <v>1</v>
      </c>
    </row>
    <row r="39" spans="1:9" x14ac:dyDescent="0.15">
      <c r="A39" s="4" t="s">
        <v>1</v>
      </c>
      <c r="B39" s="4">
        <v>605</v>
      </c>
      <c r="C39" s="6">
        <v>106</v>
      </c>
      <c r="D39" s="22" t="s">
        <v>685</v>
      </c>
      <c r="E39" s="6" t="s">
        <v>941</v>
      </c>
      <c r="F39" s="4" t="s">
        <v>7502</v>
      </c>
      <c r="G39" s="6" t="s">
        <v>937</v>
      </c>
      <c r="H39" s="4">
        <v>14</v>
      </c>
      <c r="I39" s="4" t="s">
        <v>115</v>
      </c>
    </row>
    <row r="40" spans="1:9" x14ac:dyDescent="0.15">
      <c r="A40" s="4" t="s">
        <v>1</v>
      </c>
      <c r="B40" s="4">
        <v>606</v>
      </c>
      <c r="C40" s="6">
        <v>110</v>
      </c>
      <c r="D40" s="22" t="s">
        <v>680</v>
      </c>
      <c r="E40" s="6" t="s">
        <v>954</v>
      </c>
      <c r="F40" s="4" t="s">
        <v>7493</v>
      </c>
      <c r="G40" s="6" t="s">
        <v>937</v>
      </c>
      <c r="H40" s="4">
        <v>15</v>
      </c>
      <c r="I40" s="4">
        <v>1</v>
      </c>
    </row>
    <row r="41" spans="1:9" x14ac:dyDescent="0.15">
      <c r="A41" s="4" t="s">
        <v>1</v>
      </c>
      <c r="B41" s="4">
        <v>607</v>
      </c>
      <c r="C41" s="6">
        <v>110</v>
      </c>
      <c r="D41" s="22" t="s">
        <v>681</v>
      </c>
      <c r="E41" s="6" t="s">
        <v>2265</v>
      </c>
      <c r="F41" s="4" t="s">
        <v>7329</v>
      </c>
      <c r="G41" s="6" t="s">
        <v>937</v>
      </c>
      <c r="H41" s="4">
        <v>15</v>
      </c>
      <c r="I41" s="4">
        <v>1</v>
      </c>
    </row>
    <row r="42" spans="1:9" x14ac:dyDescent="0.15">
      <c r="A42" s="119" t="s">
        <v>1</v>
      </c>
      <c r="B42" s="119">
        <v>701</v>
      </c>
      <c r="C42" s="119">
        <v>108</v>
      </c>
      <c r="D42" s="119" t="s">
        <v>301</v>
      </c>
      <c r="E42" s="119" t="s">
        <v>266</v>
      </c>
      <c r="F42" s="119" t="s">
        <v>4794</v>
      </c>
      <c r="G42" s="119" t="s">
        <v>267</v>
      </c>
      <c r="H42" s="119">
        <v>12</v>
      </c>
      <c r="I42" s="119">
        <v>1</v>
      </c>
    </row>
    <row r="43" spans="1:9" x14ac:dyDescent="0.15">
      <c r="A43" s="119" t="s">
        <v>1</v>
      </c>
      <c r="B43" s="119">
        <v>702</v>
      </c>
      <c r="C43" s="119">
        <v>108</v>
      </c>
      <c r="D43" s="119" t="s">
        <v>301</v>
      </c>
      <c r="E43" s="119" t="s">
        <v>268</v>
      </c>
      <c r="F43" s="119" t="s">
        <v>4795</v>
      </c>
      <c r="G43" s="119" t="s">
        <v>267</v>
      </c>
      <c r="H43" s="119">
        <v>12</v>
      </c>
      <c r="I43" s="119">
        <v>1</v>
      </c>
    </row>
    <row r="44" spans="1:9" x14ac:dyDescent="0.15">
      <c r="A44" s="119" t="s">
        <v>1</v>
      </c>
      <c r="B44" s="119">
        <v>703</v>
      </c>
      <c r="C44" s="119">
        <v>108</v>
      </c>
      <c r="D44" s="119" t="s">
        <v>682</v>
      </c>
      <c r="E44" s="119" t="s">
        <v>269</v>
      </c>
      <c r="F44" s="119" t="s">
        <v>4794</v>
      </c>
      <c r="G44" s="119" t="s">
        <v>267</v>
      </c>
      <c r="H44" s="119">
        <v>12</v>
      </c>
      <c r="I44" s="119" t="s">
        <v>115</v>
      </c>
    </row>
    <row r="45" spans="1:9" x14ac:dyDescent="0.15">
      <c r="A45" s="119" t="s">
        <v>1</v>
      </c>
      <c r="B45" s="119">
        <v>704</v>
      </c>
      <c r="C45" s="119">
        <v>108</v>
      </c>
      <c r="D45" s="119" t="s">
        <v>683</v>
      </c>
      <c r="E45" s="119" t="s">
        <v>270</v>
      </c>
      <c r="F45" s="119" t="s">
        <v>4795</v>
      </c>
      <c r="G45" s="119" t="s">
        <v>267</v>
      </c>
      <c r="H45" s="119">
        <v>12</v>
      </c>
      <c r="I45" s="119">
        <v>1</v>
      </c>
    </row>
    <row r="46" spans="1:9" x14ac:dyDescent="0.15">
      <c r="A46" s="119" t="s">
        <v>1</v>
      </c>
      <c r="B46" s="119">
        <v>705</v>
      </c>
      <c r="C46" s="119">
        <v>110</v>
      </c>
      <c r="D46" s="119" t="s">
        <v>697</v>
      </c>
      <c r="E46" s="119" t="s">
        <v>2284</v>
      </c>
      <c r="F46" s="119" t="s">
        <v>4794</v>
      </c>
      <c r="G46" s="119" t="s">
        <v>267</v>
      </c>
      <c r="H46" s="119">
        <v>13</v>
      </c>
      <c r="I46" s="119" t="s">
        <v>115</v>
      </c>
    </row>
    <row r="47" spans="1:9" x14ac:dyDescent="0.15">
      <c r="A47" s="119" t="s">
        <v>1</v>
      </c>
      <c r="B47" s="119">
        <v>706</v>
      </c>
      <c r="C47" s="119">
        <v>104</v>
      </c>
      <c r="D47" s="119" t="s">
        <v>697</v>
      </c>
      <c r="E47" s="119" t="s">
        <v>2290</v>
      </c>
      <c r="F47" s="119" t="s">
        <v>4795</v>
      </c>
      <c r="G47" s="119" t="s">
        <v>267</v>
      </c>
      <c r="H47" s="119">
        <v>13</v>
      </c>
      <c r="I47" s="119" t="s">
        <v>115</v>
      </c>
    </row>
    <row r="48" spans="1:9" x14ac:dyDescent="0.15">
      <c r="A48" s="119" t="s">
        <v>1</v>
      </c>
      <c r="B48" s="119">
        <v>707</v>
      </c>
      <c r="C48" s="119">
        <v>107</v>
      </c>
      <c r="D48" s="119" t="s">
        <v>697</v>
      </c>
      <c r="E48" s="119" t="s">
        <v>2291</v>
      </c>
      <c r="F48" s="119" t="s">
        <v>7491</v>
      </c>
      <c r="G48" s="119" t="s">
        <v>267</v>
      </c>
      <c r="H48" s="119">
        <v>13</v>
      </c>
      <c r="I48" s="119">
        <v>1</v>
      </c>
    </row>
    <row r="49" spans="1:9" x14ac:dyDescent="0.15">
      <c r="A49" s="119" t="s">
        <v>1</v>
      </c>
      <c r="B49" s="119">
        <v>708</v>
      </c>
      <c r="C49" s="119">
        <v>108</v>
      </c>
      <c r="D49" s="119" t="s">
        <v>301</v>
      </c>
      <c r="E49" s="119" t="s">
        <v>2297</v>
      </c>
      <c r="F49" s="119" t="s">
        <v>7328</v>
      </c>
      <c r="G49" s="119" t="s">
        <v>267</v>
      </c>
      <c r="H49" s="119">
        <v>13</v>
      </c>
      <c r="I49" s="119">
        <v>1</v>
      </c>
    </row>
    <row r="50" spans="1:9" x14ac:dyDescent="0.15">
      <c r="A50" s="4" t="s">
        <v>1</v>
      </c>
      <c r="B50" s="4">
        <v>801</v>
      </c>
      <c r="C50" s="6">
        <v>106</v>
      </c>
      <c r="D50" s="6" t="s">
        <v>1058</v>
      </c>
      <c r="E50" s="6" t="s">
        <v>850</v>
      </c>
      <c r="F50" s="4" t="s">
        <v>7504</v>
      </c>
      <c r="G50" s="6" t="s">
        <v>851</v>
      </c>
      <c r="H50" s="4">
        <v>20</v>
      </c>
      <c r="I50" s="4">
        <v>1</v>
      </c>
    </row>
    <row r="51" spans="1:9" x14ac:dyDescent="0.15">
      <c r="A51" s="4" t="s">
        <v>1</v>
      </c>
      <c r="B51" s="4">
        <v>802</v>
      </c>
      <c r="C51" s="6">
        <v>105</v>
      </c>
      <c r="D51" s="6" t="s">
        <v>1058</v>
      </c>
      <c r="E51" s="6" t="s">
        <v>852</v>
      </c>
      <c r="F51" s="4" t="s">
        <v>7506</v>
      </c>
      <c r="G51" s="6" t="s">
        <v>851</v>
      </c>
      <c r="H51" s="4">
        <v>20</v>
      </c>
      <c r="I51" s="4">
        <v>1</v>
      </c>
    </row>
    <row r="52" spans="1:9" x14ac:dyDescent="0.15">
      <c r="A52" s="4" t="s">
        <v>1</v>
      </c>
      <c r="B52" s="4">
        <v>803</v>
      </c>
      <c r="C52" s="22">
        <v>104</v>
      </c>
      <c r="D52" s="22" t="s">
        <v>698</v>
      </c>
      <c r="E52" s="6" t="s">
        <v>853</v>
      </c>
      <c r="F52" s="4" t="s">
        <v>7507</v>
      </c>
      <c r="G52" s="6" t="s">
        <v>851</v>
      </c>
      <c r="H52" s="4">
        <v>20</v>
      </c>
      <c r="I52" s="4">
        <v>1</v>
      </c>
    </row>
    <row r="53" spans="1:9" x14ac:dyDescent="0.15">
      <c r="A53" s="4" t="s">
        <v>1</v>
      </c>
      <c r="B53" s="4">
        <v>804</v>
      </c>
      <c r="C53" s="22">
        <v>105</v>
      </c>
      <c r="D53" s="22" t="s">
        <v>699</v>
      </c>
      <c r="E53" s="6" t="s">
        <v>854</v>
      </c>
      <c r="F53" s="4" t="s">
        <v>7508</v>
      </c>
      <c r="G53" s="6" t="s">
        <v>851</v>
      </c>
      <c r="H53" s="4">
        <v>20</v>
      </c>
      <c r="I53" s="4" t="s">
        <v>115</v>
      </c>
    </row>
    <row r="54" spans="1:9" x14ac:dyDescent="0.15">
      <c r="A54" s="4" t="s">
        <v>1</v>
      </c>
      <c r="B54" s="4">
        <v>805</v>
      </c>
      <c r="C54" s="22">
        <v>106</v>
      </c>
      <c r="D54" s="22" t="s">
        <v>1058</v>
      </c>
      <c r="E54" s="6" t="s">
        <v>855</v>
      </c>
      <c r="F54" s="4" t="s">
        <v>7326</v>
      </c>
      <c r="G54" s="6" t="s">
        <v>851</v>
      </c>
      <c r="H54" s="4">
        <v>20</v>
      </c>
      <c r="I54" s="4">
        <v>1</v>
      </c>
    </row>
    <row r="55" spans="1:9" x14ac:dyDescent="0.15">
      <c r="A55" s="119" t="s">
        <v>1</v>
      </c>
      <c r="B55" s="119">
        <v>901</v>
      </c>
      <c r="C55" s="119">
        <v>112</v>
      </c>
      <c r="D55" s="119" t="s">
        <v>849</v>
      </c>
      <c r="E55" s="119" t="s">
        <v>1018</v>
      </c>
      <c r="F55" s="119" t="s">
        <v>7498</v>
      </c>
      <c r="G55" s="119" t="s">
        <v>1019</v>
      </c>
      <c r="H55" s="119">
        <v>20</v>
      </c>
      <c r="I55" s="119">
        <v>1</v>
      </c>
    </row>
    <row r="56" spans="1:9" x14ac:dyDescent="0.15">
      <c r="A56" s="119" t="s">
        <v>1</v>
      </c>
      <c r="B56" s="119">
        <v>902</v>
      </c>
      <c r="C56" s="119">
        <v>108</v>
      </c>
      <c r="D56" s="119" t="s">
        <v>265</v>
      </c>
      <c r="E56" s="119" t="s">
        <v>1020</v>
      </c>
      <c r="F56" s="119" t="s">
        <v>7500</v>
      </c>
      <c r="G56" s="119" t="s">
        <v>1019</v>
      </c>
      <c r="H56" s="119">
        <v>20</v>
      </c>
      <c r="I56" s="119">
        <v>1</v>
      </c>
    </row>
    <row r="57" spans="1:9" x14ac:dyDescent="0.15">
      <c r="A57" s="119" t="s">
        <v>1</v>
      </c>
      <c r="B57" s="119">
        <v>903</v>
      </c>
      <c r="C57" s="119">
        <v>110</v>
      </c>
      <c r="D57" s="119" t="s">
        <v>2505</v>
      </c>
      <c r="E57" s="119" t="s">
        <v>1021</v>
      </c>
      <c r="F57" s="119" t="s">
        <v>7498</v>
      </c>
      <c r="G57" s="119" t="s">
        <v>1019</v>
      </c>
      <c r="H57" s="119">
        <v>20</v>
      </c>
      <c r="I57" s="119" t="s">
        <v>115</v>
      </c>
    </row>
    <row r="58" spans="1:9" x14ac:dyDescent="0.15">
      <c r="A58" s="119" t="s">
        <v>1</v>
      </c>
      <c r="B58" s="119">
        <v>904</v>
      </c>
      <c r="C58" s="119">
        <v>107</v>
      </c>
      <c r="D58" s="119" t="s">
        <v>265</v>
      </c>
      <c r="E58" s="119" t="s">
        <v>1022</v>
      </c>
      <c r="F58" s="119" t="s">
        <v>7500</v>
      </c>
      <c r="G58" s="119" t="s">
        <v>1019</v>
      </c>
      <c r="H58" s="119">
        <v>20</v>
      </c>
      <c r="I58" s="119">
        <v>1</v>
      </c>
    </row>
    <row r="59" spans="1:9" x14ac:dyDescent="0.15">
      <c r="A59" s="119" t="s">
        <v>1</v>
      </c>
      <c r="B59" s="119">
        <v>905</v>
      </c>
      <c r="C59" s="119">
        <v>112</v>
      </c>
      <c r="D59" s="119" t="s">
        <v>849</v>
      </c>
      <c r="E59" s="119" t="s">
        <v>1023</v>
      </c>
      <c r="F59" s="119" t="s">
        <v>7327</v>
      </c>
      <c r="G59" s="119" t="s">
        <v>1019</v>
      </c>
      <c r="H59" s="119">
        <v>20</v>
      </c>
      <c r="I59" s="119">
        <v>1</v>
      </c>
    </row>
    <row r="60" spans="1:9" x14ac:dyDescent="0.15">
      <c r="A60" s="4" t="s">
        <v>1</v>
      </c>
      <c r="B60" s="4">
        <v>1001</v>
      </c>
      <c r="C60" s="22">
        <v>102</v>
      </c>
      <c r="D60" s="22" t="s">
        <v>700</v>
      </c>
      <c r="E60" s="6" t="s">
        <v>491</v>
      </c>
      <c r="F60" s="4" t="s">
        <v>7504</v>
      </c>
      <c r="G60" s="6" t="s">
        <v>492</v>
      </c>
      <c r="H60" s="4">
        <v>16</v>
      </c>
      <c r="I60" s="4">
        <v>1</v>
      </c>
    </row>
    <row r="61" spans="1:9" x14ac:dyDescent="0.15">
      <c r="A61" s="4" t="s">
        <v>1</v>
      </c>
      <c r="B61" s="4">
        <v>1002</v>
      </c>
      <c r="C61" s="22">
        <v>102</v>
      </c>
      <c r="D61" s="22" t="s">
        <v>700</v>
      </c>
      <c r="E61" s="6" t="s">
        <v>493</v>
      </c>
      <c r="F61" s="4" t="s">
        <v>7510</v>
      </c>
      <c r="G61" s="6" t="s">
        <v>492</v>
      </c>
      <c r="H61" s="4">
        <v>16</v>
      </c>
      <c r="I61" s="4">
        <v>1</v>
      </c>
    </row>
    <row r="62" spans="1:9" x14ac:dyDescent="0.15">
      <c r="A62" s="4" t="s">
        <v>1</v>
      </c>
      <c r="B62" s="4">
        <v>1003</v>
      </c>
      <c r="C62" s="22">
        <v>106</v>
      </c>
      <c r="D62" s="22" t="s">
        <v>685</v>
      </c>
      <c r="E62" s="6" t="s">
        <v>494</v>
      </c>
      <c r="F62" s="4" t="s">
        <v>7504</v>
      </c>
      <c r="G62" s="6" t="s">
        <v>492</v>
      </c>
      <c r="H62" s="4">
        <v>16</v>
      </c>
      <c r="I62" s="4">
        <v>1</v>
      </c>
    </row>
    <row r="63" spans="1:9" x14ac:dyDescent="0.15">
      <c r="A63" s="4" t="s">
        <v>1</v>
      </c>
      <c r="B63" s="4">
        <v>1004</v>
      </c>
      <c r="C63" s="22">
        <v>105</v>
      </c>
      <c r="D63" s="22" t="s">
        <v>717</v>
      </c>
      <c r="E63" s="6" t="s">
        <v>495</v>
      </c>
      <c r="F63" s="4" t="s">
        <v>7510</v>
      </c>
      <c r="G63" s="6" t="s">
        <v>492</v>
      </c>
      <c r="H63" s="4">
        <v>16</v>
      </c>
      <c r="I63" s="4">
        <v>1</v>
      </c>
    </row>
    <row r="64" spans="1:9" x14ac:dyDescent="0.15">
      <c r="A64" s="4" t="s">
        <v>1</v>
      </c>
      <c r="B64" s="4">
        <v>1005</v>
      </c>
      <c r="C64" s="22">
        <v>106</v>
      </c>
      <c r="D64" s="22" t="s">
        <v>718</v>
      </c>
      <c r="E64" s="6" t="s">
        <v>496</v>
      </c>
      <c r="F64" s="4" t="s">
        <v>7490</v>
      </c>
      <c r="G64" s="6" t="s">
        <v>492</v>
      </c>
      <c r="H64" s="4">
        <v>16</v>
      </c>
      <c r="I64" s="4" t="s">
        <v>115</v>
      </c>
    </row>
    <row r="65" spans="1:9" x14ac:dyDescent="0.15">
      <c r="A65" s="4" t="s">
        <v>1</v>
      </c>
      <c r="B65" s="4">
        <v>1006</v>
      </c>
      <c r="C65" s="22">
        <v>107</v>
      </c>
      <c r="D65" s="22" t="s">
        <v>719</v>
      </c>
      <c r="E65" s="6" t="s">
        <v>497</v>
      </c>
      <c r="F65" s="4" t="s">
        <v>7330</v>
      </c>
      <c r="G65" s="6" t="s">
        <v>492</v>
      </c>
      <c r="H65" s="4">
        <v>20</v>
      </c>
      <c r="I65" s="4">
        <v>1</v>
      </c>
    </row>
    <row r="66" spans="1:9" x14ac:dyDescent="0.15">
      <c r="A66" s="119" t="s">
        <v>1</v>
      </c>
      <c r="B66" s="119">
        <v>1101</v>
      </c>
      <c r="C66" s="119">
        <v>107</v>
      </c>
      <c r="D66" s="119" t="s">
        <v>2804</v>
      </c>
      <c r="E66" s="119" t="s">
        <v>2805</v>
      </c>
      <c r="F66" s="119" t="s">
        <v>7496</v>
      </c>
      <c r="G66" s="119">
        <v>11</v>
      </c>
      <c r="H66" s="119">
        <v>14</v>
      </c>
      <c r="I66" s="119">
        <v>1</v>
      </c>
    </row>
    <row r="67" spans="1:9" x14ac:dyDescent="0.15">
      <c r="A67" s="119" t="s">
        <v>1</v>
      </c>
      <c r="B67" s="119">
        <v>1102</v>
      </c>
      <c r="C67" s="119">
        <v>101</v>
      </c>
      <c r="D67" s="119" t="s">
        <v>2807</v>
      </c>
      <c r="E67" s="119" t="s">
        <v>2808</v>
      </c>
      <c r="F67" s="119" t="s">
        <v>7509</v>
      </c>
      <c r="G67" s="119" t="s">
        <v>2806</v>
      </c>
      <c r="H67" s="119">
        <v>14</v>
      </c>
      <c r="I67" s="119">
        <v>1</v>
      </c>
    </row>
    <row r="68" spans="1:9" x14ac:dyDescent="0.15">
      <c r="A68" s="119" t="s">
        <v>1</v>
      </c>
      <c r="B68" s="119">
        <v>1103</v>
      </c>
      <c r="C68" s="119">
        <v>101</v>
      </c>
      <c r="D68" s="119" t="s">
        <v>2807</v>
      </c>
      <c r="E68" s="119" t="s">
        <v>2809</v>
      </c>
      <c r="F68" s="119" t="s">
        <v>7496</v>
      </c>
      <c r="G68" s="119" t="s">
        <v>2806</v>
      </c>
      <c r="H68" s="119">
        <v>14</v>
      </c>
      <c r="I68" s="119" t="s">
        <v>115</v>
      </c>
    </row>
    <row r="69" spans="1:9" x14ac:dyDescent="0.15">
      <c r="A69" s="119" t="s">
        <v>1</v>
      </c>
      <c r="B69" s="119">
        <v>1104</v>
      </c>
      <c r="C69" s="119">
        <v>107</v>
      </c>
      <c r="D69" s="119" t="s">
        <v>719</v>
      </c>
      <c r="E69" s="119" t="s">
        <v>2810</v>
      </c>
      <c r="F69" s="119" t="s">
        <v>7509</v>
      </c>
      <c r="G69" s="119" t="s">
        <v>2806</v>
      </c>
      <c r="H69" s="119">
        <v>14</v>
      </c>
      <c r="I69" s="119" t="s">
        <v>115</v>
      </c>
    </row>
    <row r="70" spans="1:9" x14ac:dyDescent="0.15">
      <c r="A70" s="119" t="s">
        <v>1</v>
      </c>
      <c r="B70" s="119">
        <v>1105</v>
      </c>
      <c r="C70" s="119">
        <v>107</v>
      </c>
      <c r="D70" s="119" t="s">
        <v>2811</v>
      </c>
      <c r="E70" s="119" t="s">
        <v>2812</v>
      </c>
      <c r="F70" s="119" t="s">
        <v>7511</v>
      </c>
      <c r="G70" s="119" t="s">
        <v>2806</v>
      </c>
      <c r="H70" s="119">
        <v>14</v>
      </c>
      <c r="I70" s="119">
        <v>1</v>
      </c>
    </row>
    <row r="71" spans="1:9" x14ac:dyDescent="0.15">
      <c r="A71" s="119" t="s">
        <v>1</v>
      </c>
      <c r="B71" s="119">
        <v>1106</v>
      </c>
      <c r="C71" s="119">
        <v>107</v>
      </c>
      <c r="D71" s="119" t="s">
        <v>2813</v>
      </c>
      <c r="E71" s="119" t="s">
        <v>2814</v>
      </c>
      <c r="F71" s="119" t="s">
        <v>7333</v>
      </c>
      <c r="G71" s="119" t="s">
        <v>2806</v>
      </c>
      <c r="H71" s="119">
        <v>15</v>
      </c>
      <c r="I71" s="119">
        <v>1</v>
      </c>
    </row>
    <row r="72" spans="1:9" x14ac:dyDescent="0.15">
      <c r="A72" s="119" t="s">
        <v>1</v>
      </c>
      <c r="B72" s="119">
        <v>1107</v>
      </c>
      <c r="C72" s="119">
        <v>112</v>
      </c>
      <c r="D72" s="119" t="s">
        <v>849</v>
      </c>
      <c r="E72" s="119" t="s">
        <v>2815</v>
      </c>
      <c r="F72" s="119" t="s">
        <v>7506</v>
      </c>
      <c r="G72" s="119" t="s">
        <v>2806</v>
      </c>
      <c r="H72" s="119">
        <v>15</v>
      </c>
      <c r="I72" s="119" t="s">
        <v>115</v>
      </c>
    </row>
    <row r="73" spans="1:9" x14ac:dyDescent="0.15">
      <c r="A73" s="4" t="s">
        <v>1</v>
      </c>
      <c r="B73" s="4">
        <v>1201</v>
      </c>
      <c r="C73" s="22">
        <v>104</v>
      </c>
      <c r="D73" s="22" t="s">
        <v>2656</v>
      </c>
      <c r="E73" s="6" t="s">
        <v>2816</v>
      </c>
      <c r="F73" s="4" t="s">
        <v>7496</v>
      </c>
      <c r="G73" s="6" t="s">
        <v>2817</v>
      </c>
      <c r="H73" s="4">
        <v>12</v>
      </c>
      <c r="I73" s="4">
        <v>1</v>
      </c>
    </row>
    <row r="74" spans="1:9" x14ac:dyDescent="0.15">
      <c r="A74" s="4" t="s">
        <v>1</v>
      </c>
      <c r="B74" s="4">
        <v>1202</v>
      </c>
      <c r="C74" s="22">
        <v>108</v>
      </c>
      <c r="D74" s="22" t="s">
        <v>2818</v>
      </c>
      <c r="E74" s="6" t="s">
        <v>2819</v>
      </c>
      <c r="F74" s="4" t="s">
        <v>7509</v>
      </c>
      <c r="G74" s="6" t="s">
        <v>2817</v>
      </c>
      <c r="H74" s="4">
        <v>12</v>
      </c>
      <c r="I74" s="4">
        <v>1</v>
      </c>
    </row>
    <row r="75" spans="1:9" x14ac:dyDescent="0.15">
      <c r="A75" s="4" t="s">
        <v>1</v>
      </c>
      <c r="B75" s="4">
        <v>1203</v>
      </c>
      <c r="C75" s="22">
        <v>104</v>
      </c>
      <c r="D75" s="22" t="s">
        <v>2656</v>
      </c>
      <c r="E75" s="6" t="s">
        <v>2820</v>
      </c>
      <c r="F75" s="4" t="s">
        <v>7496</v>
      </c>
      <c r="G75" s="6" t="s">
        <v>2817</v>
      </c>
      <c r="H75" s="4">
        <v>12</v>
      </c>
      <c r="I75" s="4">
        <v>1</v>
      </c>
    </row>
    <row r="76" spans="1:9" x14ac:dyDescent="0.15">
      <c r="A76" s="4" t="s">
        <v>1</v>
      </c>
      <c r="B76" s="4">
        <v>1204</v>
      </c>
      <c r="C76" s="22">
        <v>110</v>
      </c>
      <c r="D76" s="22" t="s">
        <v>2505</v>
      </c>
      <c r="E76" s="6" t="s">
        <v>2821</v>
      </c>
      <c r="F76" s="4" t="s">
        <v>7509</v>
      </c>
      <c r="G76" s="6" t="s">
        <v>2817</v>
      </c>
      <c r="H76" s="4">
        <v>12</v>
      </c>
      <c r="I76" s="4" t="s">
        <v>115</v>
      </c>
    </row>
    <row r="77" spans="1:9" x14ac:dyDescent="0.15">
      <c r="A77" s="4" t="s">
        <v>1</v>
      </c>
      <c r="B77" s="4">
        <v>1205</v>
      </c>
      <c r="C77" s="22">
        <v>104</v>
      </c>
      <c r="D77" s="22" t="s">
        <v>2822</v>
      </c>
      <c r="E77" s="6" t="s">
        <v>2823</v>
      </c>
      <c r="F77" s="4" t="s">
        <v>7496</v>
      </c>
      <c r="G77" s="6" t="s">
        <v>2817</v>
      </c>
      <c r="H77" s="4">
        <v>13</v>
      </c>
      <c r="I77" s="4">
        <v>1</v>
      </c>
    </row>
    <row r="78" spans="1:9" x14ac:dyDescent="0.15">
      <c r="A78" s="4" t="s">
        <v>1</v>
      </c>
      <c r="B78" s="4">
        <v>1206</v>
      </c>
      <c r="C78" s="22">
        <v>106</v>
      </c>
      <c r="D78" s="22" t="s">
        <v>2824</v>
      </c>
      <c r="E78" s="6" t="s">
        <v>2825</v>
      </c>
      <c r="F78" s="4" t="s">
        <v>7509</v>
      </c>
      <c r="G78" s="6" t="s">
        <v>2817</v>
      </c>
      <c r="H78" s="4">
        <v>13</v>
      </c>
      <c r="I78" s="4" t="s">
        <v>115</v>
      </c>
    </row>
    <row r="79" spans="1:9" x14ac:dyDescent="0.15">
      <c r="A79" s="4" t="s">
        <v>1</v>
      </c>
      <c r="B79" s="4">
        <v>1207</v>
      </c>
      <c r="C79" s="22">
        <v>107</v>
      </c>
      <c r="D79" s="22" t="s">
        <v>2826</v>
      </c>
      <c r="E79" s="6" t="s">
        <v>2827</v>
      </c>
      <c r="F79" s="4" t="s">
        <v>7512</v>
      </c>
      <c r="G79" s="6" t="s">
        <v>2817</v>
      </c>
      <c r="H79" s="4">
        <v>13</v>
      </c>
      <c r="I79" s="4" t="s">
        <v>115</v>
      </c>
    </row>
    <row r="80" spans="1:9" x14ac:dyDescent="0.15">
      <c r="A80" s="4" t="s">
        <v>1</v>
      </c>
      <c r="B80" s="4">
        <v>1208</v>
      </c>
      <c r="C80" s="22">
        <v>108</v>
      </c>
      <c r="D80" s="22" t="s">
        <v>2818</v>
      </c>
      <c r="E80" s="6" t="s">
        <v>2828</v>
      </c>
      <c r="F80" s="4" t="s">
        <v>7332</v>
      </c>
      <c r="G80" s="6" t="s">
        <v>2817</v>
      </c>
      <c r="H80" s="4">
        <v>13</v>
      </c>
      <c r="I80" s="4">
        <v>1</v>
      </c>
    </row>
    <row r="81" spans="1:9" x14ac:dyDescent="0.15">
      <c r="A81" s="119" t="s">
        <v>1</v>
      </c>
      <c r="B81" s="119">
        <v>1301</v>
      </c>
      <c r="C81" s="119">
        <v>104</v>
      </c>
      <c r="D81" s="119" t="s">
        <v>2829</v>
      </c>
      <c r="E81" s="119" t="s">
        <v>2830</v>
      </c>
      <c r="F81" s="119" t="s">
        <v>4797</v>
      </c>
      <c r="G81" s="119" t="s">
        <v>2831</v>
      </c>
      <c r="H81" s="119">
        <v>12</v>
      </c>
      <c r="I81" s="119">
        <v>1</v>
      </c>
    </row>
    <row r="82" spans="1:9" x14ac:dyDescent="0.15">
      <c r="A82" s="119" t="s">
        <v>1</v>
      </c>
      <c r="B82" s="119">
        <v>1302</v>
      </c>
      <c r="C82" s="119">
        <v>106</v>
      </c>
      <c r="D82" s="119" t="s">
        <v>2832</v>
      </c>
      <c r="E82" s="119" t="s">
        <v>2833</v>
      </c>
      <c r="F82" s="119" t="s">
        <v>4798</v>
      </c>
      <c r="G82" s="119" t="s">
        <v>2831</v>
      </c>
      <c r="H82" s="119">
        <v>12</v>
      </c>
      <c r="I82" s="119">
        <v>1</v>
      </c>
    </row>
    <row r="83" spans="1:9" x14ac:dyDescent="0.15">
      <c r="A83" s="119" t="s">
        <v>1</v>
      </c>
      <c r="B83" s="119">
        <v>1303</v>
      </c>
      <c r="C83" s="119">
        <v>105</v>
      </c>
      <c r="D83" s="119" t="s">
        <v>2834</v>
      </c>
      <c r="E83" s="119" t="s">
        <v>2835</v>
      </c>
      <c r="F83" s="119" t="s">
        <v>4797</v>
      </c>
      <c r="G83" s="119" t="s">
        <v>2831</v>
      </c>
      <c r="H83" s="119">
        <v>12</v>
      </c>
      <c r="I83" s="119" t="s">
        <v>115</v>
      </c>
    </row>
    <row r="84" spans="1:9" x14ac:dyDescent="0.15">
      <c r="A84" s="119" t="s">
        <v>1</v>
      </c>
      <c r="B84" s="119">
        <v>1304</v>
      </c>
      <c r="C84" s="119">
        <v>105</v>
      </c>
      <c r="D84" s="119" t="s">
        <v>2836</v>
      </c>
      <c r="E84" s="119" t="s">
        <v>2837</v>
      </c>
      <c r="F84" s="119" t="s">
        <v>4798</v>
      </c>
      <c r="G84" s="119" t="s">
        <v>2831</v>
      </c>
      <c r="H84" s="119">
        <v>12</v>
      </c>
      <c r="I84" s="119">
        <v>1</v>
      </c>
    </row>
    <row r="85" spans="1:9" x14ac:dyDescent="0.15">
      <c r="A85" s="119" t="s">
        <v>1</v>
      </c>
      <c r="B85" s="119">
        <v>1305</v>
      </c>
      <c r="C85" s="119">
        <v>105</v>
      </c>
      <c r="D85" s="119" t="s">
        <v>2838</v>
      </c>
      <c r="E85" s="119" t="s">
        <v>2839</v>
      </c>
      <c r="F85" s="119" t="s">
        <v>4797</v>
      </c>
      <c r="G85" s="119" t="s">
        <v>2831</v>
      </c>
      <c r="H85" s="119">
        <v>13</v>
      </c>
      <c r="I85" s="119" t="s">
        <v>115</v>
      </c>
    </row>
    <row r="86" spans="1:9" x14ac:dyDescent="0.15">
      <c r="A86" s="119" t="s">
        <v>1</v>
      </c>
      <c r="B86" s="119">
        <v>1306</v>
      </c>
      <c r="C86" s="119">
        <v>109</v>
      </c>
      <c r="D86" s="119" t="s">
        <v>2840</v>
      </c>
      <c r="E86" s="119" t="s">
        <v>2841</v>
      </c>
      <c r="F86" s="119" t="s">
        <v>4798</v>
      </c>
      <c r="G86" s="119" t="s">
        <v>2831</v>
      </c>
      <c r="H86" s="119">
        <v>13</v>
      </c>
      <c r="I86" s="119" t="s">
        <v>115</v>
      </c>
    </row>
    <row r="87" spans="1:9" x14ac:dyDescent="0.15">
      <c r="A87" s="119" t="s">
        <v>1</v>
      </c>
      <c r="B87" s="119">
        <v>1307</v>
      </c>
      <c r="C87" s="119">
        <v>108</v>
      </c>
      <c r="D87" s="119" t="s">
        <v>2842</v>
      </c>
      <c r="E87" s="119" t="s">
        <v>2843</v>
      </c>
      <c r="F87" s="119" t="s">
        <v>7490</v>
      </c>
      <c r="G87" s="119" t="s">
        <v>2831</v>
      </c>
      <c r="H87" s="119">
        <v>13</v>
      </c>
      <c r="I87" s="119">
        <v>1</v>
      </c>
    </row>
    <row r="88" spans="1:9" x14ac:dyDescent="0.15">
      <c r="A88" s="119" t="s">
        <v>1</v>
      </c>
      <c r="B88" s="119">
        <v>1308</v>
      </c>
      <c r="C88" s="119">
        <v>104</v>
      </c>
      <c r="D88" s="119" t="s">
        <v>2829</v>
      </c>
      <c r="E88" s="119" t="s">
        <v>2844</v>
      </c>
      <c r="F88" s="119" t="s">
        <v>4796</v>
      </c>
      <c r="G88" s="119" t="s">
        <v>2831</v>
      </c>
      <c r="H88" s="119">
        <v>13</v>
      </c>
      <c r="I88" s="119">
        <v>1</v>
      </c>
    </row>
    <row r="89" spans="1:9" x14ac:dyDescent="0.15">
      <c r="A89" s="4" t="s">
        <v>1</v>
      </c>
      <c r="B89" s="4">
        <v>1401</v>
      </c>
      <c r="C89" s="22">
        <v>109</v>
      </c>
      <c r="D89" s="22" t="s">
        <v>3423</v>
      </c>
      <c r="E89" s="6" t="s">
        <v>3424</v>
      </c>
      <c r="F89" s="4" t="s">
        <v>7513</v>
      </c>
      <c r="G89" s="6" t="s">
        <v>3425</v>
      </c>
      <c r="H89" s="4">
        <v>16</v>
      </c>
      <c r="I89" s="4">
        <v>1</v>
      </c>
    </row>
    <row r="90" spans="1:9" x14ac:dyDescent="0.15">
      <c r="A90" s="4" t="s">
        <v>1</v>
      </c>
      <c r="B90" s="4">
        <v>1402</v>
      </c>
      <c r="C90" s="22">
        <v>109</v>
      </c>
      <c r="D90" s="22" t="s">
        <v>3426</v>
      </c>
      <c r="E90" s="6" t="s">
        <v>3427</v>
      </c>
      <c r="F90" s="4" t="s">
        <v>7514</v>
      </c>
      <c r="G90" s="6" t="s">
        <v>3425</v>
      </c>
      <c r="H90" s="4">
        <v>16</v>
      </c>
      <c r="I90" s="4">
        <v>1</v>
      </c>
    </row>
    <row r="91" spans="1:9" x14ac:dyDescent="0.15">
      <c r="A91" s="4" t="s">
        <v>1</v>
      </c>
      <c r="B91" s="4">
        <v>1403</v>
      </c>
      <c r="C91" s="22">
        <v>109</v>
      </c>
      <c r="D91" s="22" t="s">
        <v>3428</v>
      </c>
      <c r="E91" s="6" t="s">
        <v>3429</v>
      </c>
      <c r="F91" s="4" t="s">
        <v>7513</v>
      </c>
      <c r="G91" s="6" t="s">
        <v>3425</v>
      </c>
      <c r="H91" s="4">
        <v>17</v>
      </c>
      <c r="I91" s="4">
        <v>1</v>
      </c>
    </row>
    <row r="92" spans="1:9" x14ac:dyDescent="0.15">
      <c r="A92" s="4" t="s">
        <v>1</v>
      </c>
      <c r="B92" s="4">
        <v>1404</v>
      </c>
      <c r="C92" s="22">
        <v>109</v>
      </c>
      <c r="D92" s="22" t="s">
        <v>3430</v>
      </c>
      <c r="E92" s="6" t="s">
        <v>3431</v>
      </c>
      <c r="F92" s="4" t="s">
        <v>7514</v>
      </c>
      <c r="G92" s="6" t="s">
        <v>3425</v>
      </c>
      <c r="H92" s="4">
        <v>17</v>
      </c>
      <c r="I92" s="4">
        <v>1</v>
      </c>
    </row>
    <row r="93" spans="1:9" x14ac:dyDescent="0.15">
      <c r="A93" s="4" t="s">
        <v>1</v>
      </c>
      <c r="B93" s="4">
        <v>1405</v>
      </c>
      <c r="C93" s="22">
        <v>107</v>
      </c>
      <c r="D93" s="22" t="s">
        <v>3430</v>
      </c>
      <c r="E93" s="6" t="s">
        <v>3432</v>
      </c>
      <c r="F93" s="4" t="s">
        <v>7490</v>
      </c>
      <c r="G93" s="6" t="s">
        <v>3425</v>
      </c>
      <c r="H93" s="4">
        <v>17</v>
      </c>
      <c r="I93" s="4">
        <v>1</v>
      </c>
    </row>
    <row r="94" spans="1:9" x14ac:dyDescent="0.15">
      <c r="A94" s="4" t="s">
        <v>1</v>
      </c>
      <c r="B94" s="4">
        <v>1406</v>
      </c>
      <c r="C94" s="22">
        <v>109</v>
      </c>
      <c r="D94" s="22" t="s">
        <v>3426</v>
      </c>
      <c r="E94" s="6" t="s">
        <v>3433</v>
      </c>
      <c r="F94" s="4" t="s">
        <v>7331</v>
      </c>
      <c r="G94" s="6" t="s">
        <v>3425</v>
      </c>
      <c r="H94" s="4">
        <v>17</v>
      </c>
      <c r="I94" s="4">
        <v>1</v>
      </c>
    </row>
    <row r="95" spans="1:9" x14ac:dyDescent="0.15">
      <c r="A95" s="119" t="s">
        <v>1</v>
      </c>
      <c r="B95" s="119">
        <v>1501</v>
      </c>
      <c r="C95" s="119">
        <v>107</v>
      </c>
      <c r="D95" s="119" t="s">
        <v>2804</v>
      </c>
      <c r="E95" s="119" t="s">
        <v>3434</v>
      </c>
      <c r="F95" s="119" t="s">
        <v>7504</v>
      </c>
      <c r="G95" s="119" t="s">
        <v>3435</v>
      </c>
      <c r="H95" s="119">
        <v>14</v>
      </c>
      <c r="I95" s="119">
        <v>1</v>
      </c>
    </row>
    <row r="96" spans="1:9" x14ac:dyDescent="0.15">
      <c r="A96" s="119" t="s">
        <v>1</v>
      </c>
      <c r="B96" s="119">
        <v>1502</v>
      </c>
      <c r="C96" s="119">
        <v>104</v>
      </c>
      <c r="D96" s="119" t="s">
        <v>3436</v>
      </c>
      <c r="E96" s="119" t="s">
        <v>3437</v>
      </c>
      <c r="F96" s="119" t="s">
        <v>7506</v>
      </c>
      <c r="G96" s="119" t="s">
        <v>3435</v>
      </c>
      <c r="H96" s="119">
        <v>14</v>
      </c>
      <c r="I96" s="119">
        <v>1</v>
      </c>
    </row>
    <row r="97" spans="1:9" x14ac:dyDescent="0.15">
      <c r="A97" s="119" t="s">
        <v>1</v>
      </c>
      <c r="B97" s="119">
        <v>1503</v>
      </c>
      <c r="C97" s="119">
        <v>105</v>
      </c>
      <c r="D97" s="119" t="s">
        <v>693</v>
      </c>
      <c r="E97" s="119" t="s">
        <v>3438</v>
      </c>
      <c r="F97" s="119" t="s">
        <v>7515</v>
      </c>
      <c r="G97" s="119" t="s">
        <v>3435</v>
      </c>
      <c r="H97" s="119">
        <v>14</v>
      </c>
      <c r="I97" s="119">
        <v>1</v>
      </c>
    </row>
    <row r="98" spans="1:9" x14ac:dyDescent="0.15">
      <c r="A98" s="119" t="s">
        <v>1</v>
      </c>
      <c r="B98" s="119">
        <v>1504</v>
      </c>
      <c r="C98" s="119">
        <v>106</v>
      </c>
      <c r="D98" s="119" t="s">
        <v>3439</v>
      </c>
      <c r="E98" s="119" t="s">
        <v>3440</v>
      </c>
      <c r="F98" s="119" t="s">
        <v>7508</v>
      </c>
      <c r="G98" s="119" t="s">
        <v>3435</v>
      </c>
      <c r="H98" s="119">
        <v>14</v>
      </c>
      <c r="I98" s="119" t="s">
        <v>115</v>
      </c>
    </row>
    <row r="99" spans="1:9" x14ac:dyDescent="0.15">
      <c r="A99" s="119" t="s">
        <v>1</v>
      </c>
      <c r="B99" s="119">
        <v>1505</v>
      </c>
      <c r="C99" s="119">
        <v>104</v>
      </c>
      <c r="D99" s="119" t="s">
        <v>3441</v>
      </c>
      <c r="E99" s="119" t="s">
        <v>3442</v>
      </c>
      <c r="F99" s="119" t="s">
        <v>7515</v>
      </c>
      <c r="G99" s="119" t="s">
        <v>3435</v>
      </c>
      <c r="H99" s="119">
        <v>14</v>
      </c>
      <c r="I99" s="119">
        <v>1</v>
      </c>
    </row>
    <row r="100" spans="1:9" x14ac:dyDescent="0.15">
      <c r="A100" s="119" t="s">
        <v>1</v>
      </c>
      <c r="B100" s="119">
        <v>1506</v>
      </c>
      <c r="C100" s="119">
        <v>105</v>
      </c>
      <c r="D100" s="119" t="s">
        <v>3443</v>
      </c>
      <c r="E100" s="119" t="s">
        <v>3444</v>
      </c>
      <c r="F100" s="119" t="s">
        <v>7508</v>
      </c>
      <c r="G100" s="119" t="s">
        <v>3435</v>
      </c>
      <c r="H100" s="119">
        <v>15</v>
      </c>
      <c r="I100" s="119">
        <v>1</v>
      </c>
    </row>
    <row r="101" spans="1:9" x14ac:dyDescent="0.15">
      <c r="A101" s="119" t="s">
        <v>1</v>
      </c>
      <c r="B101" s="119">
        <v>1507</v>
      </c>
      <c r="C101" s="119">
        <v>107</v>
      </c>
      <c r="D101" s="119" t="s">
        <v>2804</v>
      </c>
      <c r="E101" s="119" t="s">
        <v>3445</v>
      </c>
      <c r="F101" s="119" t="s">
        <v>7334</v>
      </c>
      <c r="G101" s="119" t="s">
        <v>3435</v>
      </c>
      <c r="H101" s="119">
        <v>15</v>
      </c>
      <c r="I101" s="119">
        <v>1</v>
      </c>
    </row>
    <row r="102" spans="1:9" x14ac:dyDescent="0.15">
      <c r="A102" s="4" t="s">
        <v>1</v>
      </c>
      <c r="B102" s="4">
        <v>1601</v>
      </c>
      <c r="C102" s="22">
        <v>103</v>
      </c>
      <c r="D102" s="22" t="s">
        <v>3446</v>
      </c>
      <c r="E102" s="6" t="s">
        <v>3447</v>
      </c>
      <c r="F102" s="4" t="s">
        <v>7516</v>
      </c>
      <c r="G102" s="6" t="s">
        <v>3448</v>
      </c>
      <c r="H102" s="4">
        <v>11</v>
      </c>
      <c r="I102" s="4">
        <v>1</v>
      </c>
    </row>
    <row r="103" spans="1:9" x14ac:dyDescent="0.15">
      <c r="A103" s="4" t="s">
        <v>1</v>
      </c>
      <c r="B103" s="4">
        <v>1602</v>
      </c>
      <c r="C103" s="22">
        <v>103</v>
      </c>
      <c r="D103" s="22" t="s">
        <v>746</v>
      </c>
      <c r="E103" s="6" t="s">
        <v>3449</v>
      </c>
      <c r="F103" s="4" t="s">
        <v>7497</v>
      </c>
      <c r="G103" s="6" t="s">
        <v>3448</v>
      </c>
      <c r="H103" s="4">
        <v>11</v>
      </c>
      <c r="I103" s="4" t="s">
        <v>115</v>
      </c>
    </row>
    <row r="104" spans="1:9" x14ac:dyDescent="0.15">
      <c r="A104" s="4" t="s">
        <v>1</v>
      </c>
      <c r="B104" s="4">
        <v>1603</v>
      </c>
      <c r="C104" s="22">
        <v>111</v>
      </c>
      <c r="D104" s="22" t="s">
        <v>3450</v>
      </c>
      <c r="E104" s="6" t="s">
        <v>3451</v>
      </c>
      <c r="F104" s="4" t="s">
        <v>7516</v>
      </c>
      <c r="G104" s="6" t="s">
        <v>3448</v>
      </c>
      <c r="H104" s="4">
        <v>11</v>
      </c>
      <c r="I104" s="4">
        <v>1</v>
      </c>
    </row>
    <row r="105" spans="1:9" x14ac:dyDescent="0.15">
      <c r="A105" s="4" t="s">
        <v>1</v>
      </c>
      <c r="B105" s="4">
        <v>1604</v>
      </c>
      <c r="C105" s="22">
        <v>108</v>
      </c>
      <c r="D105" s="22" t="s">
        <v>692</v>
      </c>
      <c r="E105" s="6" t="s">
        <v>3452</v>
      </c>
      <c r="F105" s="4" t="s">
        <v>7497</v>
      </c>
      <c r="G105" s="6" t="s">
        <v>3448</v>
      </c>
      <c r="H105" s="4">
        <v>11</v>
      </c>
      <c r="I105" s="4">
        <v>1</v>
      </c>
    </row>
    <row r="106" spans="1:9" x14ac:dyDescent="0.15">
      <c r="A106" s="4" t="s">
        <v>1</v>
      </c>
      <c r="B106" s="4">
        <v>1605</v>
      </c>
      <c r="C106" s="22">
        <v>105</v>
      </c>
      <c r="D106" s="22" t="s">
        <v>3453</v>
      </c>
      <c r="E106" s="6" t="s">
        <v>3454</v>
      </c>
      <c r="F106" s="4" t="s">
        <v>7516</v>
      </c>
      <c r="G106" s="6" t="s">
        <v>3448</v>
      </c>
      <c r="H106" s="4">
        <v>11</v>
      </c>
      <c r="I106" s="4" t="s">
        <v>115</v>
      </c>
    </row>
    <row r="107" spans="1:9" x14ac:dyDescent="0.15">
      <c r="A107" s="4" t="s">
        <v>1</v>
      </c>
      <c r="B107" s="4">
        <v>1606</v>
      </c>
      <c r="C107" s="22">
        <v>105</v>
      </c>
      <c r="D107" s="22" t="s">
        <v>3455</v>
      </c>
      <c r="E107" s="6" t="s">
        <v>3456</v>
      </c>
      <c r="F107" s="4" t="s">
        <v>7497</v>
      </c>
      <c r="G107" s="6" t="s">
        <v>3448</v>
      </c>
      <c r="H107" s="4">
        <v>11</v>
      </c>
      <c r="I107" s="4" t="s">
        <v>115</v>
      </c>
    </row>
    <row r="108" spans="1:9" x14ac:dyDescent="0.15">
      <c r="A108" s="4" t="s">
        <v>1</v>
      </c>
      <c r="B108" s="4">
        <v>1607</v>
      </c>
      <c r="C108" s="22">
        <v>105</v>
      </c>
      <c r="D108" s="22" t="s">
        <v>3457</v>
      </c>
      <c r="E108" s="6" t="s">
        <v>3458</v>
      </c>
      <c r="F108" s="4" t="s">
        <v>7503</v>
      </c>
      <c r="G108" s="6" t="s">
        <v>3448</v>
      </c>
      <c r="H108" s="4">
        <v>11</v>
      </c>
      <c r="I108" s="4" t="s">
        <v>115</v>
      </c>
    </row>
    <row r="109" spans="1:9" x14ac:dyDescent="0.15">
      <c r="A109" s="4" t="s">
        <v>1</v>
      </c>
      <c r="B109" s="4">
        <v>1608</v>
      </c>
      <c r="C109" s="22">
        <v>105</v>
      </c>
      <c r="D109" s="22" t="s">
        <v>3459</v>
      </c>
      <c r="E109" s="6" t="s">
        <v>3460</v>
      </c>
      <c r="F109" s="4" t="s">
        <v>7337</v>
      </c>
      <c r="G109" s="6" t="s">
        <v>3448</v>
      </c>
      <c r="H109" s="4">
        <v>11</v>
      </c>
      <c r="I109" s="4">
        <v>1</v>
      </c>
    </row>
    <row r="110" spans="1:9" x14ac:dyDescent="0.15">
      <c r="A110" s="4" t="s">
        <v>1</v>
      </c>
      <c r="B110" s="4">
        <v>1609</v>
      </c>
      <c r="C110" s="22">
        <v>106</v>
      </c>
      <c r="D110" s="22" t="s">
        <v>2824</v>
      </c>
      <c r="E110" s="6" t="s">
        <v>3461</v>
      </c>
      <c r="F110" s="4" t="s">
        <v>7505</v>
      </c>
      <c r="G110" s="6" t="s">
        <v>3448</v>
      </c>
      <c r="H110" s="4">
        <v>12</v>
      </c>
      <c r="I110" s="4" t="s">
        <v>115</v>
      </c>
    </row>
    <row r="111" spans="1:9" x14ac:dyDescent="0.15">
      <c r="A111" s="119" t="s">
        <v>1</v>
      </c>
      <c r="B111" s="119">
        <v>1701</v>
      </c>
      <c r="C111" s="119">
        <v>108</v>
      </c>
      <c r="D111" s="119" t="s">
        <v>265</v>
      </c>
      <c r="E111" s="119" t="s">
        <v>3944</v>
      </c>
      <c r="F111" s="119" t="s">
        <v>7517</v>
      </c>
      <c r="G111" s="119" t="s">
        <v>3945</v>
      </c>
      <c r="H111" s="119">
        <v>16</v>
      </c>
      <c r="I111" s="119">
        <v>1</v>
      </c>
    </row>
    <row r="112" spans="1:9" x14ac:dyDescent="0.15">
      <c r="A112" s="119" t="s">
        <v>1</v>
      </c>
      <c r="B112" s="119">
        <v>1702</v>
      </c>
      <c r="C112" s="119">
        <v>104</v>
      </c>
      <c r="D112" s="119" t="s">
        <v>697</v>
      </c>
      <c r="E112" s="119" t="s">
        <v>3946</v>
      </c>
      <c r="F112" s="119" t="s">
        <v>7518</v>
      </c>
      <c r="G112" s="119" t="s">
        <v>3945</v>
      </c>
      <c r="H112" s="119">
        <v>16</v>
      </c>
      <c r="I112" s="119">
        <v>1</v>
      </c>
    </row>
    <row r="113" spans="1:9" x14ac:dyDescent="0.15">
      <c r="A113" s="119" t="s">
        <v>1</v>
      </c>
      <c r="B113" s="119">
        <v>1703</v>
      </c>
      <c r="C113" s="119">
        <v>108</v>
      </c>
      <c r="D113" s="119" t="s">
        <v>265</v>
      </c>
      <c r="E113" s="119" t="s">
        <v>3947</v>
      </c>
      <c r="F113" s="119" t="s">
        <v>7517</v>
      </c>
      <c r="G113" s="119" t="s">
        <v>3945</v>
      </c>
      <c r="H113" s="119">
        <v>17</v>
      </c>
      <c r="I113" s="119">
        <v>1</v>
      </c>
    </row>
    <row r="114" spans="1:9" x14ac:dyDescent="0.15">
      <c r="A114" s="119" t="s">
        <v>1</v>
      </c>
      <c r="B114" s="119">
        <v>1704</v>
      </c>
      <c r="C114" s="119">
        <v>110</v>
      </c>
      <c r="D114" s="119" t="s">
        <v>2647</v>
      </c>
      <c r="E114" s="119" t="s">
        <v>3948</v>
      </c>
      <c r="F114" s="119" t="s">
        <v>7518</v>
      </c>
      <c r="G114" s="119" t="s">
        <v>3945</v>
      </c>
      <c r="H114" s="119">
        <v>17</v>
      </c>
      <c r="I114" s="119">
        <v>1</v>
      </c>
    </row>
    <row r="115" spans="1:9" x14ac:dyDescent="0.15">
      <c r="A115" s="119" t="s">
        <v>1</v>
      </c>
      <c r="B115" s="119">
        <v>1705</v>
      </c>
      <c r="C115" s="119">
        <v>112</v>
      </c>
      <c r="D115" s="119" t="s">
        <v>3949</v>
      </c>
      <c r="E115" s="119" t="s">
        <v>3950</v>
      </c>
      <c r="F115" s="119" t="s">
        <v>7519</v>
      </c>
      <c r="G115" s="119" t="s">
        <v>3945</v>
      </c>
      <c r="H115" s="119">
        <v>17</v>
      </c>
      <c r="I115" s="119"/>
    </row>
    <row r="116" spans="1:9" x14ac:dyDescent="0.15">
      <c r="A116" s="119" t="s">
        <v>1</v>
      </c>
      <c r="B116" s="119">
        <v>1706</v>
      </c>
      <c r="C116" s="119">
        <v>104</v>
      </c>
      <c r="D116" s="119" t="s">
        <v>2511</v>
      </c>
      <c r="E116" s="119" t="s">
        <v>3951</v>
      </c>
      <c r="F116" s="119" t="s">
        <v>7336</v>
      </c>
      <c r="G116" s="119" t="s">
        <v>3945</v>
      </c>
      <c r="H116" s="119">
        <v>17</v>
      </c>
      <c r="I116" s="119"/>
    </row>
    <row r="117" spans="1:9" x14ac:dyDescent="0.15">
      <c r="A117" s="4" t="s">
        <v>1</v>
      </c>
      <c r="B117" s="4">
        <v>1801</v>
      </c>
      <c r="C117" s="22">
        <v>110</v>
      </c>
      <c r="D117" s="22" t="s">
        <v>2505</v>
      </c>
      <c r="E117" s="6" t="s">
        <v>3952</v>
      </c>
      <c r="F117" s="4" t="s">
        <v>7503</v>
      </c>
      <c r="G117" s="6" t="s">
        <v>3953</v>
      </c>
      <c r="H117" s="96">
        <v>12</v>
      </c>
      <c r="I117" s="4">
        <v>1</v>
      </c>
    </row>
    <row r="118" spans="1:9" x14ac:dyDescent="0.15">
      <c r="A118" s="4" t="s">
        <v>1</v>
      </c>
      <c r="B118" s="4">
        <v>1802</v>
      </c>
      <c r="C118" s="22">
        <v>103</v>
      </c>
      <c r="D118" s="22" t="s">
        <v>3954</v>
      </c>
      <c r="E118" s="6" t="s">
        <v>3955</v>
      </c>
      <c r="F118" s="4" t="s">
        <v>7505</v>
      </c>
      <c r="G118" s="6" t="s">
        <v>3953</v>
      </c>
      <c r="H118" s="96">
        <v>12</v>
      </c>
      <c r="I118" s="4">
        <v>1</v>
      </c>
    </row>
    <row r="119" spans="1:9" x14ac:dyDescent="0.15">
      <c r="A119" s="4" t="s">
        <v>1</v>
      </c>
      <c r="B119" s="4">
        <v>1803</v>
      </c>
      <c r="C119" s="22">
        <v>103</v>
      </c>
      <c r="D119" s="22" t="s">
        <v>3956</v>
      </c>
      <c r="E119" s="6" t="s">
        <v>3957</v>
      </c>
      <c r="F119" s="4" t="s">
        <v>7503</v>
      </c>
      <c r="G119" s="6" t="s">
        <v>3953</v>
      </c>
      <c r="H119" s="96">
        <v>12</v>
      </c>
      <c r="I119" s="4">
        <v>1</v>
      </c>
    </row>
    <row r="120" spans="1:9" x14ac:dyDescent="0.15">
      <c r="A120" s="4" t="s">
        <v>1</v>
      </c>
      <c r="B120" s="4">
        <v>1804</v>
      </c>
      <c r="C120" s="22">
        <v>103</v>
      </c>
      <c r="D120" s="22" t="s">
        <v>3958</v>
      </c>
      <c r="E120" s="6" t="s">
        <v>3959</v>
      </c>
      <c r="F120" s="4" t="s">
        <v>7505</v>
      </c>
      <c r="G120" s="6" t="s">
        <v>3953</v>
      </c>
      <c r="H120" s="96">
        <v>12</v>
      </c>
      <c r="I120" s="4" t="s">
        <v>115</v>
      </c>
    </row>
    <row r="121" spans="1:9" x14ac:dyDescent="0.15">
      <c r="A121" s="4" t="s">
        <v>1</v>
      </c>
      <c r="B121" s="4">
        <v>1805</v>
      </c>
      <c r="C121" s="22">
        <v>103</v>
      </c>
      <c r="D121" s="22" t="s">
        <v>3960</v>
      </c>
      <c r="E121" s="6" t="s">
        <v>3961</v>
      </c>
      <c r="F121" s="4" t="s">
        <v>7503</v>
      </c>
      <c r="G121" s="6" t="s">
        <v>3953</v>
      </c>
      <c r="H121" s="96">
        <v>12</v>
      </c>
      <c r="I121" s="4">
        <v>1</v>
      </c>
    </row>
    <row r="122" spans="1:9" x14ac:dyDescent="0.15">
      <c r="A122" s="4" t="s">
        <v>1</v>
      </c>
      <c r="B122" s="4">
        <v>1806</v>
      </c>
      <c r="C122" s="22">
        <v>106</v>
      </c>
      <c r="D122" s="22" t="s">
        <v>3962</v>
      </c>
      <c r="E122" s="6" t="s">
        <v>3963</v>
      </c>
      <c r="F122" s="4" t="s">
        <v>7505</v>
      </c>
      <c r="G122" s="6" t="s">
        <v>3953</v>
      </c>
      <c r="H122" s="96">
        <v>12</v>
      </c>
      <c r="I122" s="4" t="s">
        <v>115</v>
      </c>
    </row>
    <row r="123" spans="1:9" x14ac:dyDescent="0.15">
      <c r="A123" s="4" t="s">
        <v>1</v>
      </c>
      <c r="B123" s="4">
        <v>1807</v>
      </c>
      <c r="C123" s="22">
        <v>108</v>
      </c>
      <c r="D123" s="22" t="s">
        <v>3964</v>
      </c>
      <c r="E123" s="6" t="s">
        <v>3965</v>
      </c>
      <c r="F123" s="4" t="s">
        <v>7521</v>
      </c>
      <c r="G123" s="6" t="s">
        <v>3953</v>
      </c>
      <c r="H123" s="96">
        <v>12</v>
      </c>
      <c r="I123" s="4">
        <v>1</v>
      </c>
    </row>
    <row r="124" spans="1:9" x14ac:dyDescent="0.15">
      <c r="A124" s="4" t="s">
        <v>1</v>
      </c>
      <c r="B124" s="4">
        <v>1808</v>
      </c>
      <c r="C124" s="22">
        <v>110</v>
      </c>
      <c r="D124" s="22" t="s">
        <v>2647</v>
      </c>
      <c r="E124" s="6" t="s">
        <v>3966</v>
      </c>
      <c r="F124" s="4" t="s">
        <v>4799</v>
      </c>
      <c r="G124" s="6" t="s">
        <v>3953</v>
      </c>
      <c r="H124" s="96">
        <v>16</v>
      </c>
      <c r="I124" s="4">
        <v>1</v>
      </c>
    </row>
    <row r="125" spans="1:9" x14ac:dyDescent="0.15">
      <c r="A125" s="119" t="s">
        <v>1</v>
      </c>
      <c r="B125" s="119">
        <v>1901</v>
      </c>
      <c r="C125" s="119">
        <v>103</v>
      </c>
      <c r="D125" s="119" t="s">
        <v>3967</v>
      </c>
      <c r="E125" s="119" t="s">
        <v>3968</v>
      </c>
      <c r="F125" s="119" t="s">
        <v>7522</v>
      </c>
      <c r="G125" s="119" t="s">
        <v>3969</v>
      </c>
      <c r="H125" s="119">
        <v>14</v>
      </c>
      <c r="I125" s="119">
        <v>1</v>
      </c>
    </row>
    <row r="126" spans="1:9" x14ac:dyDescent="0.15">
      <c r="A126" s="119" t="s">
        <v>1</v>
      </c>
      <c r="B126" s="119">
        <v>1902</v>
      </c>
      <c r="C126" s="119">
        <v>110</v>
      </c>
      <c r="D126" s="119" t="s">
        <v>3970</v>
      </c>
      <c r="E126" s="119" t="s">
        <v>3971</v>
      </c>
      <c r="F126" s="119" t="s">
        <v>7523</v>
      </c>
      <c r="G126" s="119" t="s">
        <v>3969</v>
      </c>
      <c r="H126" s="119">
        <v>14</v>
      </c>
      <c r="I126" s="119">
        <v>1</v>
      </c>
    </row>
    <row r="127" spans="1:9" x14ac:dyDescent="0.15">
      <c r="A127" s="119" t="s">
        <v>1</v>
      </c>
      <c r="B127" s="119">
        <v>1903</v>
      </c>
      <c r="C127" s="119">
        <v>108</v>
      </c>
      <c r="D127" s="119" t="s">
        <v>3972</v>
      </c>
      <c r="E127" s="119" t="s">
        <v>3973</v>
      </c>
      <c r="F127" s="119" t="s">
        <v>7522</v>
      </c>
      <c r="G127" s="119" t="s">
        <v>3969</v>
      </c>
      <c r="H127" s="119">
        <v>14</v>
      </c>
      <c r="I127" s="119">
        <v>1</v>
      </c>
    </row>
    <row r="128" spans="1:9" x14ac:dyDescent="0.15">
      <c r="A128" s="119" t="s">
        <v>1</v>
      </c>
      <c r="B128" s="119">
        <v>1904</v>
      </c>
      <c r="C128" s="119">
        <v>113</v>
      </c>
      <c r="D128" s="119" t="s">
        <v>3972</v>
      </c>
      <c r="E128" s="119" t="s">
        <v>3974</v>
      </c>
      <c r="F128" s="119" t="s">
        <v>7523</v>
      </c>
      <c r="G128" s="119" t="s">
        <v>3969</v>
      </c>
      <c r="H128" s="119">
        <v>14</v>
      </c>
      <c r="I128" s="119" t="s">
        <v>115</v>
      </c>
    </row>
    <row r="129" spans="1:9" x14ac:dyDescent="0.15">
      <c r="A129" s="119" t="s">
        <v>1</v>
      </c>
      <c r="B129" s="119">
        <v>1905</v>
      </c>
      <c r="C129" s="119">
        <v>107</v>
      </c>
      <c r="D129" s="119" t="s">
        <v>719</v>
      </c>
      <c r="E129" s="119" t="s">
        <v>3975</v>
      </c>
      <c r="F129" s="119" t="s">
        <v>7522</v>
      </c>
      <c r="G129" s="119" t="s">
        <v>3969</v>
      </c>
      <c r="H129" s="119">
        <v>14</v>
      </c>
      <c r="I129" s="119" t="s">
        <v>115</v>
      </c>
    </row>
    <row r="130" spans="1:9" x14ac:dyDescent="0.15">
      <c r="A130" s="119" t="s">
        <v>1</v>
      </c>
      <c r="B130" s="119">
        <v>1906</v>
      </c>
      <c r="C130" s="119">
        <v>110</v>
      </c>
      <c r="D130" s="119" t="s">
        <v>3970</v>
      </c>
      <c r="E130" s="119" t="s">
        <v>3976</v>
      </c>
      <c r="F130" s="119" t="s">
        <v>7523</v>
      </c>
      <c r="G130" s="119" t="s">
        <v>3969</v>
      </c>
      <c r="H130" s="119">
        <v>14</v>
      </c>
      <c r="I130" s="119">
        <v>1</v>
      </c>
    </row>
    <row r="131" spans="1:9" x14ac:dyDescent="0.15">
      <c r="A131" s="119" t="s">
        <v>1</v>
      </c>
      <c r="B131" s="119">
        <v>1907</v>
      </c>
      <c r="C131" s="119">
        <v>103</v>
      </c>
      <c r="D131" s="119" t="s">
        <v>3967</v>
      </c>
      <c r="E131" s="119" t="s">
        <v>3977</v>
      </c>
      <c r="F131" s="119" t="s">
        <v>7335</v>
      </c>
      <c r="G131" s="119" t="s">
        <v>3969</v>
      </c>
      <c r="H131" s="119">
        <v>16</v>
      </c>
      <c r="I131" s="119">
        <v>1</v>
      </c>
    </row>
    <row r="132" spans="1:9" x14ac:dyDescent="0.15">
      <c r="A132" s="4" t="s">
        <v>1</v>
      </c>
      <c r="B132" s="4">
        <v>2001</v>
      </c>
      <c r="C132" s="22">
        <v>106</v>
      </c>
      <c r="D132" s="22" t="s">
        <v>3978</v>
      </c>
      <c r="E132" s="6" t="s">
        <v>3979</v>
      </c>
      <c r="F132" s="4" t="s">
        <v>7524</v>
      </c>
      <c r="G132" s="6" t="s">
        <v>3980</v>
      </c>
      <c r="H132" s="96">
        <v>16</v>
      </c>
      <c r="I132" s="4">
        <v>1</v>
      </c>
    </row>
    <row r="133" spans="1:9" x14ac:dyDescent="0.15">
      <c r="A133" s="4" t="s">
        <v>1</v>
      </c>
      <c r="B133" s="4">
        <v>2002</v>
      </c>
      <c r="C133" s="22">
        <v>107</v>
      </c>
      <c r="D133" s="22" t="s">
        <v>3981</v>
      </c>
      <c r="E133" s="6" t="s">
        <v>3982</v>
      </c>
      <c r="F133" s="4" t="s">
        <v>7525</v>
      </c>
      <c r="G133" s="6" t="s">
        <v>3980</v>
      </c>
      <c r="H133" s="96">
        <v>16</v>
      </c>
      <c r="I133" s="4">
        <v>1</v>
      </c>
    </row>
    <row r="134" spans="1:9" x14ac:dyDescent="0.15">
      <c r="A134" s="4" t="s">
        <v>1</v>
      </c>
      <c r="B134" s="4">
        <v>2003</v>
      </c>
      <c r="C134" s="22">
        <v>108</v>
      </c>
      <c r="D134" s="22" t="s">
        <v>3983</v>
      </c>
      <c r="E134" s="6" t="s">
        <v>3984</v>
      </c>
      <c r="F134" s="4" t="s">
        <v>7524</v>
      </c>
      <c r="G134" s="6" t="s">
        <v>3980</v>
      </c>
      <c r="H134" s="96">
        <v>16</v>
      </c>
      <c r="I134" s="4">
        <v>1</v>
      </c>
    </row>
    <row r="135" spans="1:9" x14ac:dyDescent="0.15">
      <c r="A135" s="4" t="s">
        <v>1</v>
      </c>
      <c r="B135" s="4">
        <v>2004</v>
      </c>
      <c r="C135" s="22">
        <v>107</v>
      </c>
      <c r="D135" s="22" t="s">
        <v>3985</v>
      </c>
      <c r="E135" s="6" t="s">
        <v>3986</v>
      </c>
      <c r="F135" s="4" t="s">
        <v>7525</v>
      </c>
      <c r="G135" s="6" t="s">
        <v>3980</v>
      </c>
      <c r="H135" s="96">
        <v>16</v>
      </c>
      <c r="I135" s="4">
        <v>1</v>
      </c>
    </row>
    <row r="136" spans="1:9" x14ac:dyDescent="0.15">
      <c r="A136" s="4" t="s">
        <v>1</v>
      </c>
      <c r="B136" s="4">
        <v>2005</v>
      </c>
      <c r="C136" s="22">
        <v>106</v>
      </c>
      <c r="D136" s="22" t="s">
        <v>3978</v>
      </c>
      <c r="E136" s="6" t="s">
        <v>3987</v>
      </c>
      <c r="F136" s="4" t="s">
        <v>7338</v>
      </c>
      <c r="G136" s="6" t="s">
        <v>3980</v>
      </c>
      <c r="H136" s="96">
        <v>16</v>
      </c>
      <c r="I136" s="96">
        <v>1</v>
      </c>
    </row>
    <row r="137" spans="1:9" x14ac:dyDescent="0.15">
      <c r="A137" s="4" t="s">
        <v>1</v>
      </c>
      <c r="B137" s="4">
        <v>2006</v>
      </c>
      <c r="C137" s="22">
        <v>108</v>
      </c>
      <c r="D137" s="22" t="s">
        <v>3983</v>
      </c>
      <c r="E137" s="6" t="s">
        <v>3988</v>
      </c>
      <c r="F137" s="4" t="s">
        <v>7526</v>
      </c>
      <c r="G137" s="6" t="s">
        <v>3980</v>
      </c>
      <c r="H137" s="96">
        <v>20</v>
      </c>
      <c r="I137" s="96" t="s">
        <v>115</v>
      </c>
    </row>
    <row r="138" spans="1:9" x14ac:dyDescent="0.15">
      <c r="A138" s="119" t="s">
        <v>1</v>
      </c>
      <c r="B138" s="119">
        <v>2101</v>
      </c>
      <c r="C138" s="119">
        <v>109</v>
      </c>
      <c r="D138" s="119" t="s">
        <v>486</v>
      </c>
      <c r="E138" s="119" t="s">
        <v>4823</v>
      </c>
      <c r="F138" s="119" t="s">
        <v>7527</v>
      </c>
      <c r="G138" s="119" t="s">
        <v>4824</v>
      </c>
      <c r="H138" s="119">
        <v>12</v>
      </c>
      <c r="I138" s="119">
        <v>1</v>
      </c>
    </row>
    <row r="139" spans="1:9" x14ac:dyDescent="0.15">
      <c r="A139" s="119" t="s">
        <v>1</v>
      </c>
      <c r="B139" s="119">
        <v>2102</v>
      </c>
      <c r="C139" s="119">
        <v>109</v>
      </c>
      <c r="D139" s="119" t="s">
        <v>4825</v>
      </c>
      <c r="E139" s="119" t="s">
        <v>4826</v>
      </c>
      <c r="F139" s="119" t="s">
        <v>7528</v>
      </c>
      <c r="G139" s="119" t="s">
        <v>4824</v>
      </c>
      <c r="H139" s="119">
        <v>12</v>
      </c>
      <c r="I139" s="119">
        <v>1</v>
      </c>
    </row>
    <row r="140" spans="1:9" x14ac:dyDescent="0.15">
      <c r="A140" s="119" t="s">
        <v>1</v>
      </c>
      <c r="B140" s="119">
        <v>2103</v>
      </c>
      <c r="C140" s="119">
        <v>110</v>
      </c>
      <c r="D140" s="119" t="s">
        <v>697</v>
      </c>
      <c r="E140" s="119" t="s">
        <v>4827</v>
      </c>
      <c r="F140" s="119" t="s">
        <v>7527</v>
      </c>
      <c r="G140" s="119" t="s">
        <v>4824</v>
      </c>
      <c r="H140" s="119">
        <v>12</v>
      </c>
      <c r="I140" s="119">
        <v>1</v>
      </c>
    </row>
    <row r="141" spans="1:9" x14ac:dyDescent="0.15">
      <c r="A141" s="119" t="s">
        <v>1</v>
      </c>
      <c r="B141" s="119">
        <v>2104</v>
      </c>
      <c r="C141" s="119">
        <v>108</v>
      </c>
      <c r="D141" s="119" t="s">
        <v>4828</v>
      </c>
      <c r="E141" s="119" t="s">
        <v>4829</v>
      </c>
      <c r="F141" s="119" t="s">
        <v>7528</v>
      </c>
      <c r="G141" s="119" t="s">
        <v>4824</v>
      </c>
      <c r="H141" s="119">
        <v>12</v>
      </c>
      <c r="I141" s="119">
        <v>1</v>
      </c>
    </row>
    <row r="142" spans="1:9" x14ac:dyDescent="0.15">
      <c r="A142" s="119" t="s">
        <v>1</v>
      </c>
      <c r="B142" s="119">
        <v>2105</v>
      </c>
      <c r="C142" s="119">
        <v>108</v>
      </c>
      <c r="D142" s="119" t="s">
        <v>4830</v>
      </c>
      <c r="E142" s="119" t="s">
        <v>4831</v>
      </c>
      <c r="F142" s="119" t="s">
        <v>7527</v>
      </c>
      <c r="G142" s="119" t="s">
        <v>4824</v>
      </c>
      <c r="H142" s="119">
        <v>12</v>
      </c>
      <c r="I142" s="119">
        <v>1</v>
      </c>
    </row>
    <row r="143" spans="1:9" x14ac:dyDescent="0.15">
      <c r="A143" s="119" t="s">
        <v>1</v>
      </c>
      <c r="B143" s="119">
        <v>2106</v>
      </c>
      <c r="C143" s="119">
        <v>103</v>
      </c>
      <c r="D143" s="119" t="s">
        <v>3446</v>
      </c>
      <c r="E143" s="119" t="s">
        <v>4832</v>
      </c>
      <c r="F143" s="119" t="s">
        <v>7486</v>
      </c>
      <c r="G143" s="119" t="s">
        <v>4824</v>
      </c>
      <c r="H143" s="119">
        <v>12</v>
      </c>
      <c r="I143" s="119">
        <v>1</v>
      </c>
    </row>
    <row r="144" spans="1:9" x14ac:dyDescent="0.15">
      <c r="A144" s="119" t="s">
        <v>1</v>
      </c>
      <c r="B144" s="119">
        <v>2107</v>
      </c>
      <c r="C144" s="119">
        <v>110</v>
      </c>
      <c r="D144" s="119" t="s">
        <v>4833</v>
      </c>
      <c r="E144" s="119" t="s">
        <v>4834</v>
      </c>
      <c r="F144" s="119" t="s">
        <v>7528</v>
      </c>
      <c r="G144" s="119" t="s">
        <v>4824</v>
      </c>
      <c r="H144" s="119">
        <v>12</v>
      </c>
      <c r="I144" s="119" t="s">
        <v>115</v>
      </c>
    </row>
    <row r="145" spans="1:9" x14ac:dyDescent="0.15">
      <c r="A145" s="119" t="s">
        <v>1</v>
      </c>
      <c r="B145" s="119">
        <v>2108</v>
      </c>
      <c r="C145" s="119">
        <v>110</v>
      </c>
      <c r="D145" s="119" t="s">
        <v>4835</v>
      </c>
      <c r="E145" s="119" t="s">
        <v>4836</v>
      </c>
      <c r="F145" s="119" t="s">
        <v>7520</v>
      </c>
      <c r="G145" s="119" t="s">
        <v>4824</v>
      </c>
      <c r="H145" s="119">
        <v>16</v>
      </c>
      <c r="I145" s="119" t="s">
        <v>115</v>
      </c>
    </row>
    <row r="146" spans="1:9" x14ac:dyDescent="0.15">
      <c r="A146" s="4" t="s">
        <v>1</v>
      </c>
      <c r="B146" s="4">
        <v>2201</v>
      </c>
      <c r="C146" s="22">
        <v>110</v>
      </c>
      <c r="D146" s="22" t="s">
        <v>4837</v>
      </c>
      <c r="E146" s="6" t="s">
        <v>4838</v>
      </c>
      <c r="F146" s="4" t="s">
        <v>7529</v>
      </c>
      <c r="G146" s="6" t="s">
        <v>4839</v>
      </c>
      <c r="H146" s="97">
        <v>14</v>
      </c>
      <c r="I146" s="96">
        <v>1</v>
      </c>
    </row>
    <row r="147" spans="1:9" x14ac:dyDescent="0.15">
      <c r="A147" s="4" t="s">
        <v>1</v>
      </c>
      <c r="B147" s="4">
        <v>2202</v>
      </c>
      <c r="C147" s="22">
        <v>110</v>
      </c>
      <c r="D147" s="22" t="s">
        <v>2832</v>
      </c>
      <c r="E147" s="6" t="s">
        <v>4840</v>
      </c>
      <c r="F147" s="4" t="s">
        <v>7518</v>
      </c>
      <c r="G147" s="6" t="s">
        <v>4839</v>
      </c>
      <c r="H147" s="97">
        <v>14</v>
      </c>
      <c r="I147" s="96">
        <v>1</v>
      </c>
    </row>
    <row r="148" spans="1:9" x14ac:dyDescent="0.15">
      <c r="A148" s="4" t="s">
        <v>1</v>
      </c>
      <c r="B148" s="4">
        <v>2203</v>
      </c>
      <c r="C148" s="22">
        <v>105</v>
      </c>
      <c r="D148" s="22" t="s">
        <v>697</v>
      </c>
      <c r="E148" s="6" t="s">
        <v>4841</v>
      </c>
      <c r="F148" s="4" t="s">
        <v>7529</v>
      </c>
      <c r="G148" s="6" t="s">
        <v>4839</v>
      </c>
      <c r="H148" s="97">
        <v>14</v>
      </c>
      <c r="I148" s="96" t="s">
        <v>115</v>
      </c>
    </row>
    <row r="149" spans="1:9" x14ac:dyDescent="0.15">
      <c r="A149" s="4" t="s">
        <v>1</v>
      </c>
      <c r="B149" s="4">
        <v>2204</v>
      </c>
      <c r="C149" s="22">
        <v>108</v>
      </c>
      <c r="D149" s="22" t="s">
        <v>697</v>
      </c>
      <c r="E149" s="6" t="s">
        <v>4842</v>
      </c>
      <c r="F149" s="4" t="s">
        <v>7518</v>
      </c>
      <c r="G149" s="6" t="s">
        <v>4839</v>
      </c>
      <c r="H149" s="97">
        <v>14</v>
      </c>
      <c r="I149" s="96">
        <v>1</v>
      </c>
    </row>
    <row r="150" spans="1:9" x14ac:dyDescent="0.15">
      <c r="A150" s="4" t="s">
        <v>1</v>
      </c>
      <c r="B150" s="4">
        <v>2205</v>
      </c>
      <c r="C150" s="22">
        <v>107</v>
      </c>
      <c r="D150" s="22" t="s">
        <v>4843</v>
      </c>
      <c r="E150" s="6" t="s">
        <v>4844</v>
      </c>
      <c r="F150" s="4" t="s">
        <v>7529</v>
      </c>
      <c r="G150" s="6" t="s">
        <v>4839</v>
      </c>
      <c r="H150" s="97">
        <v>14</v>
      </c>
      <c r="I150" s="96" t="s">
        <v>115</v>
      </c>
    </row>
    <row r="151" spans="1:9" x14ac:dyDescent="0.15">
      <c r="A151" s="4" t="s">
        <v>1</v>
      </c>
      <c r="B151" s="4">
        <v>2206</v>
      </c>
      <c r="C151" s="22">
        <v>109</v>
      </c>
      <c r="D151" s="22" t="s">
        <v>1070</v>
      </c>
      <c r="E151" s="6" t="s">
        <v>4845</v>
      </c>
      <c r="F151" s="4" t="s">
        <v>7518</v>
      </c>
      <c r="G151" s="6" t="s">
        <v>4839</v>
      </c>
      <c r="H151" s="97">
        <v>14</v>
      </c>
      <c r="I151" s="96">
        <v>1</v>
      </c>
    </row>
    <row r="152" spans="1:9" x14ac:dyDescent="0.15">
      <c r="A152" s="4" t="s">
        <v>1</v>
      </c>
      <c r="B152" s="4">
        <v>2207</v>
      </c>
      <c r="C152" s="22">
        <v>110</v>
      </c>
      <c r="D152" s="22" t="s">
        <v>4837</v>
      </c>
      <c r="E152" s="6" t="s">
        <v>4846</v>
      </c>
      <c r="F152" s="4" t="s">
        <v>7485</v>
      </c>
      <c r="G152" s="6" t="s">
        <v>4839</v>
      </c>
      <c r="H152" s="97">
        <v>16</v>
      </c>
      <c r="I152" s="96">
        <v>1</v>
      </c>
    </row>
    <row r="153" spans="1:9" x14ac:dyDescent="0.15">
      <c r="A153" s="119" t="s">
        <v>1</v>
      </c>
      <c r="B153" s="119">
        <v>2301</v>
      </c>
      <c r="C153" s="119">
        <v>103</v>
      </c>
      <c r="D153" s="119" t="s">
        <v>700</v>
      </c>
      <c r="E153" s="119" t="s">
        <v>4847</v>
      </c>
      <c r="F153" s="119" t="s">
        <v>7504</v>
      </c>
      <c r="G153" s="119" t="s">
        <v>4848</v>
      </c>
      <c r="H153" s="119">
        <v>10</v>
      </c>
      <c r="I153" s="119">
        <v>1</v>
      </c>
    </row>
    <row r="154" spans="1:9" x14ac:dyDescent="0.15">
      <c r="A154" s="119" t="s">
        <v>1</v>
      </c>
      <c r="B154" s="119">
        <v>2302</v>
      </c>
      <c r="C154" s="119">
        <v>101</v>
      </c>
      <c r="D154" s="119" t="s">
        <v>1066</v>
      </c>
      <c r="E154" s="119" t="s">
        <v>4849</v>
      </c>
      <c r="F154" s="119" t="s">
        <v>7530</v>
      </c>
      <c r="G154" s="119" t="s">
        <v>4848</v>
      </c>
      <c r="H154" s="119">
        <v>10</v>
      </c>
      <c r="I154" s="119" t="s">
        <v>115</v>
      </c>
    </row>
    <row r="155" spans="1:9" x14ac:dyDescent="0.15">
      <c r="A155" s="119" t="s">
        <v>1</v>
      </c>
      <c r="B155" s="119">
        <v>2303</v>
      </c>
      <c r="C155" s="119">
        <v>106</v>
      </c>
      <c r="D155" s="119" t="s">
        <v>4850</v>
      </c>
      <c r="E155" s="119" t="s">
        <v>4851</v>
      </c>
      <c r="F155" s="119" t="s">
        <v>7504</v>
      </c>
      <c r="G155" s="119" t="s">
        <v>4848</v>
      </c>
      <c r="H155" s="119">
        <v>10</v>
      </c>
      <c r="I155" s="119">
        <v>1</v>
      </c>
    </row>
    <row r="156" spans="1:9" x14ac:dyDescent="0.15">
      <c r="A156" s="119" t="s">
        <v>1</v>
      </c>
      <c r="B156" s="119">
        <v>2304</v>
      </c>
      <c r="C156" s="119">
        <v>110</v>
      </c>
      <c r="D156" s="119" t="s">
        <v>4852</v>
      </c>
      <c r="E156" s="119" t="s">
        <v>4853</v>
      </c>
      <c r="F156" s="119" t="s">
        <v>7530</v>
      </c>
      <c r="G156" s="119" t="s">
        <v>4848</v>
      </c>
      <c r="H156" s="119">
        <v>10</v>
      </c>
      <c r="I156" s="119" t="s">
        <v>115</v>
      </c>
    </row>
    <row r="157" spans="1:9" x14ac:dyDescent="0.15">
      <c r="A157" s="119" t="s">
        <v>1</v>
      </c>
      <c r="B157" s="119">
        <v>2305</v>
      </c>
      <c r="C157" s="119">
        <v>107</v>
      </c>
      <c r="D157" s="119" t="s">
        <v>4854</v>
      </c>
      <c r="E157" s="119" t="s">
        <v>4855</v>
      </c>
      <c r="F157" s="119" t="s">
        <v>7504</v>
      </c>
      <c r="G157" s="119" t="s">
        <v>4848</v>
      </c>
      <c r="H157" s="119">
        <v>10</v>
      </c>
      <c r="I157" s="119">
        <v>1</v>
      </c>
    </row>
    <row r="158" spans="1:9" x14ac:dyDescent="0.15">
      <c r="A158" s="119" t="s">
        <v>1</v>
      </c>
      <c r="B158" s="119">
        <v>2306</v>
      </c>
      <c r="C158" s="119">
        <v>103</v>
      </c>
      <c r="D158" s="119" t="s">
        <v>3954</v>
      </c>
      <c r="E158" s="119" t="s">
        <v>4856</v>
      </c>
      <c r="F158" s="119" t="s">
        <v>7530</v>
      </c>
      <c r="G158" s="119" t="s">
        <v>4848</v>
      </c>
      <c r="H158" s="119">
        <v>10</v>
      </c>
      <c r="I158" s="119">
        <v>1</v>
      </c>
    </row>
    <row r="159" spans="1:9" x14ac:dyDescent="0.15">
      <c r="A159" s="119" t="s">
        <v>1</v>
      </c>
      <c r="B159" s="119">
        <v>2307</v>
      </c>
      <c r="C159" s="119">
        <v>103</v>
      </c>
      <c r="D159" s="119" t="s">
        <v>700</v>
      </c>
      <c r="E159" s="119" t="s">
        <v>4857</v>
      </c>
      <c r="F159" s="119" t="s">
        <v>7504</v>
      </c>
      <c r="G159" s="119" t="s">
        <v>4848</v>
      </c>
      <c r="H159" s="119">
        <v>10</v>
      </c>
      <c r="I159" s="119">
        <v>1</v>
      </c>
    </row>
    <row r="160" spans="1:9" x14ac:dyDescent="0.15">
      <c r="A160" s="119" t="s">
        <v>1</v>
      </c>
      <c r="B160" s="119">
        <v>2308</v>
      </c>
      <c r="C160" s="119">
        <v>103</v>
      </c>
      <c r="D160" s="119" t="s">
        <v>1075</v>
      </c>
      <c r="E160" s="119" t="s">
        <v>4858</v>
      </c>
      <c r="F160" s="119" t="s">
        <v>7530</v>
      </c>
      <c r="G160" s="119" t="s">
        <v>4848</v>
      </c>
      <c r="H160" s="119">
        <v>10</v>
      </c>
      <c r="I160" s="119" t="s">
        <v>115</v>
      </c>
    </row>
    <row r="161" spans="1:9" x14ac:dyDescent="0.15">
      <c r="A161" s="119" t="s">
        <v>1</v>
      </c>
      <c r="B161" s="119">
        <v>2309</v>
      </c>
      <c r="C161" s="119">
        <v>103</v>
      </c>
      <c r="D161" s="119" t="s">
        <v>700</v>
      </c>
      <c r="E161" s="119" t="s">
        <v>4859</v>
      </c>
      <c r="F161" s="119" t="s">
        <v>7531</v>
      </c>
      <c r="G161" s="119" t="s">
        <v>4848</v>
      </c>
      <c r="H161" s="119">
        <v>10</v>
      </c>
      <c r="I161" s="119">
        <v>1</v>
      </c>
    </row>
    <row r="162" spans="1:9" x14ac:dyDescent="0.15">
      <c r="A162" s="119" t="s">
        <v>1</v>
      </c>
      <c r="B162" s="119">
        <v>2310</v>
      </c>
      <c r="C162" s="119">
        <v>106</v>
      </c>
      <c r="D162" s="119" t="s">
        <v>4850</v>
      </c>
      <c r="E162" s="119" t="s">
        <v>4860</v>
      </c>
      <c r="F162" s="119" t="s">
        <v>7482</v>
      </c>
      <c r="G162" s="119" t="s">
        <v>4848</v>
      </c>
      <c r="H162" s="119">
        <v>10</v>
      </c>
      <c r="I162" s="119">
        <v>1</v>
      </c>
    </row>
    <row r="163" spans="1:9" x14ac:dyDescent="0.15">
      <c r="A163" s="4" t="s">
        <v>1</v>
      </c>
      <c r="B163" s="4">
        <v>2401</v>
      </c>
      <c r="C163" s="22">
        <v>103</v>
      </c>
      <c r="D163" s="22" t="s">
        <v>4861</v>
      </c>
      <c r="E163" s="6" t="s">
        <v>4862</v>
      </c>
      <c r="F163" s="4" t="s">
        <v>7529</v>
      </c>
      <c r="G163" s="6" t="s">
        <v>4863</v>
      </c>
      <c r="H163" s="97">
        <v>14</v>
      </c>
      <c r="I163" s="96">
        <v>1</v>
      </c>
    </row>
    <row r="164" spans="1:9" x14ac:dyDescent="0.15">
      <c r="A164" s="4" t="s">
        <v>1</v>
      </c>
      <c r="B164" s="4">
        <v>2402</v>
      </c>
      <c r="C164" s="22">
        <v>110</v>
      </c>
      <c r="D164" s="22" t="s">
        <v>4864</v>
      </c>
      <c r="E164" s="6" t="s">
        <v>4865</v>
      </c>
      <c r="F164" s="4" t="s">
        <v>7518</v>
      </c>
      <c r="G164" s="6" t="s">
        <v>4863</v>
      </c>
      <c r="H164" s="97">
        <v>14</v>
      </c>
      <c r="I164" s="96">
        <v>1</v>
      </c>
    </row>
    <row r="165" spans="1:9" x14ac:dyDescent="0.15">
      <c r="A165" s="4" t="s">
        <v>1</v>
      </c>
      <c r="B165" s="4">
        <v>2403</v>
      </c>
      <c r="C165" s="22">
        <v>106</v>
      </c>
      <c r="D165" s="22" t="s">
        <v>2509</v>
      </c>
      <c r="E165" s="6" t="s">
        <v>4866</v>
      </c>
      <c r="F165" s="4" t="s">
        <v>7532</v>
      </c>
      <c r="G165" s="6" t="s">
        <v>4863</v>
      </c>
      <c r="H165" s="97">
        <v>14</v>
      </c>
      <c r="I165" s="96">
        <v>1</v>
      </c>
    </row>
    <row r="166" spans="1:9" x14ac:dyDescent="0.15">
      <c r="A166" s="4" t="s">
        <v>1</v>
      </c>
      <c r="B166" s="4">
        <v>2404</v>
      </c>
      <c r="C166" s="22">
        <v>103</v>
      </c>
      <c r="D166" s="22" t="s">
        <v>4861</v>
      </c>
      <c r="E166" s="6" t="s">
        <v>4867</v>
      </c>
      <c r="F166" s="4" t="s">
        <v>7484</v>
      </c>
      <c r="G166" s="6" t="s">
        <v>4863</v>
      </c>
      <c r="H166" s="97">
        <v>14</v>
      </c>
      <c r="I166" s="96">
        <v>1</v>
      </c>
    </row>
    <row r="167" spans="1:9" x14ac:dyDescent="0.15">
      <c r="A167" s="4" t="s">
        <v>1</v>
      </c>
      <c r="B167" s="4">
        <v>2405</v>
      </c>
      <c r="C167" s="22">
        <v>103</v>
      </c>
      <c r="D167" s="22" t="s">
        <v>4868</v>
      </c>
      <c r="E167" s="6" t="s">
        <v>4869</v>
      </c>
      <c r="F167" s="4" t="s">
        <v>7533</v>
      </c>
      <c r="G167" s="6" t="s">
        <v>4863</v>
      </c>
      <c r="H167" s="97">
        <v>14</v>
      </c>
      <c r="I167" s="96" t="s">
        <v>115</v>
      </c>
    </row>
    <row r="168" spans="1:9" x14ac:dyDescent="0.15">
      <c r="A168" s="4" t="s">
        <v>1</v>
      </c>
      <c r="B168" s="4">
        <v>2406</v>
      </c>
      <c r="C168" s="22">
        <v>104</v>
      </c>
      <c r="D168" s="22" t="s">
        <v>4870</v>
      </c>
      <c r="E168" s="6" t="s">
        <v>4871</v>
      </c>
      <c r="F168" s="4" t="s">
        <v>7532</v>
      </c>
      <c r="G168" s="6" t="s">
        <v>4863</v>
      </c>
      <c r="H168" s="97">
        <v>14</v>
      </c>
      <c r="I168" s="96" t="s">
        <v>115</v>
      </c>
    </row>
    <row r="169" spans="1:9" x14ac:dyDescent="0.15">
      <c r="A169" s="4" t="s">
        <v>1</v>
      </c>
      <c r="B169" s="4">
        <v>2407</v>
      </c>
      <c r="C169" s="22">
        <v>104</v>
      </c>
      <c r="D169" s="22" t="s">
        <v>4872</v>
      </c>
      <c r="E169" s="6" t="s">
        <v>4873</v>
      </c>
      <c r="F169" s="4" t="s">
        <v>7533</v>
      </c>
      <c r="G169" s="6" t="s">
        <v>4863</v>
      </c>
      <c r="H169" s="97">
        <v>16</v>
      </c>
      <c r="I169" s="96" t="s">
        <v>115</v>
      </c>
    </row>
    <row r="170" spans="1:9" x14ac:dyDescent="0.15">
      <c r="A170" s="119" t="s">
        <v>1</v>
      </c>
      <c r="B170" s="119">
        <v>2501</v>
      </c>
      <c r="C170" s="119">
        <v>110</v>
      </c>
      <c r="D170" s="119" t="s">
        <v>2647</v>
      </c>
      <c r="E170" s="119" t="s">
        <v>4874</v>
      </c>
      <c r="F170" s="119" t="s">
        <v>7534</v>
      </c>
      <c r="G170" s="119" t="s">
        <v>4875</v>
      </c>
      <c r="H170" s="119">
        <v>14</v>
      </c>
      <c r="I170" s="119">
        <v>1</v>
      </c>
    </row>
    <row r="171" spans="1:9" x14ac:dyDescent="0.15">
      <c r="A171" s="119" t="s">
        <v>1</v>
      </c>
      <c r="B171" s="119">
        <v>2502</v>
      </c>
      <c r="C171" s="119">
        <v>108</v>
      </c>
      <c r="D171" s="119" t="s">
        <v>4876</v>
      </c>
      <c r="E171" s="119" t="s">
        <v>4877</v>
      </c>
      <c r="F171" s="119" t="s">
        <v>7533</v>
      </c>
      <c r="G171" s="119" t="s">
        <v>4875</v>
      </c>
      <c r="H171" s="119">
        <v>14</v>
      </c>
      <c r="I171" s="119">
        <v>1</v>
      </c>
    </row>
    <row r="172" spans="1:9" x14ac:dyDescent="0.15">
      <c r="A172" s="119" t="s">
        <v>1</v>
      </c>
      <c r="B172" s="119">
        <v>2503</v>
      </c>
      <c r="C172" s="119">
        <v>103</v>
      </c>
      <c r="D172" s="119" t="s">
        <v>4878</v>
      </c>
      <c r="E172" s="119" t="s">
        <v>4879</v>
      </c>
      <c r="F172" s="119" t="s">
        <v>7534</v>
      </c>
      <c r="G172" s="119" t="s">
        <v>4875</v>
      </c>
      <c r="H172" s="119">
        <v>14</v>
      </c>
      <c r="I172" s="119">
        <v>1</v>
      </c>
    </row>
    <row r="173" spans="1:9" x14ac:dyDescent="0.15">
      <c r="A173" s="119" t="s">
        <v>1</v>
      </c>
      <c r="B173" s="119">
        <v>2504</v>
      </c>
      <c r="C173" s="119">
        <v>110</v>
      </c>
      <c r="D173" s="119" t="s">
        <v>2505</v>
      </c>
      <c r="E173" s="119" t="s">
        <v>4880</v>
      </c>
      <c r="F173" s="119" t="s">
        <v>7488</v>
      </c>
      <c r="G173" s="119" t="s">
        <v>4875</v>
      </c>
      <c r="H173" s="119">
        <v>14</v>
      </c>
      <c r="I173" s="119">
        <v>1</v>
      </c>
    </row>
    <row r="174" spans="1:9" x14ac:dyDescent="0.15">
      <c r="A174" s="119" t="s">
        <v>1</v>
      </c>
      <c r="B174" s="119">
        <v>2505</v>
      </c>
      <c r="C174" s="119">
        <v>108</v>
      </c>
      <c r="D174" s="119" t="s">
        <v>4881</v>
      </c>
      <c r="E174" s="119" t="s">
        <v>4882</v>
      </c>
      <c r="F174" s="119" t="s">
        <v>7533</v>
      </c>
      <c r="G174" s="119" t="s">
        <v>4875</v>
      </c>
      <c r="H174" s="119">
        <v>14</v>
      </c>
      <c r="I174" s="119" t="s">
        <v>115</v>
      </c>
    </row>
    <row r="175" spans="1:9" x14ac:dyDescent="0.15">
      <c r="A175" s="119" t="s">
        <v>1</v>
      </c>
      <c r="B175" s="119">
        <v>2506</v>
      </c>
      <c r="C175" s="119">
        <v>104</v>
      </c>
      <c r="D175" s="119" t="s">
        <v>4883</v>
      </c>
      <c r="E175" s="119" t="s">
        <v>4884</v>
      </c>
      <c r="F175" s="119" t="s">
        <v>7534</v>
      </c>
      <c r="G175" s="119" t="s">
        <v>4875</v>
      </c>
      <c r="H175" s="119">
        <v>14</v>
      </c>
      <c r="I175" s="119" t="s">
        <v>115</v>
      </c>
    </row>
    <row r="176" spans="1:9" x14ac:dyDescent="0.15">
      <c r="A176" s="119" t="s">
        <v>1</v>
      </c>
      <c r="B176" s="119">
        <v>2507</v>
      </c>
      <c r="C176" s="119">
        <v>104</v>
      </c>
      <c r="D176" s="119" t="s">
        <v>4885</v>
      </c>
      <c r="E176" s="119" t="s">
        <v>4886</v>
      </c>
      <c r="F176" s="119" t="s">
        <v>7533</v>
      </c>
      <c r="G176" s="119" t="s">
        <v>4875</v>
      </c>
      <c r="H176" s="119">
        <v>16</v>
      </c>
      <c r="I176" s="119" t="s">
        <v>115</v>
      </c>
    </row>
    <row r="177" spans="1:9" x14ac:dyDescent="0.15">
      <c r="A177" s="4" t="s">
        <v>1</v>
      </c>
      <c r="B177" s="4">
        <v>2601</v>
      </c>
      <c r="C177" s="22">
        <v>104</v>
      </c>
      <c r="D177" s="22" t="s">
        <v>4887</v>
      </c>
      <c r="E177" s="6" t="s">
        <v>4888</v>
      </c>
      <c r="F177" s="4" t="s">
        <v>7499</v>
      </c>
      <c r="G177" s="6" t="s">
        <v>4889</v>
      </c>
      <c r="H177" s="97">
        <v>10</v>
      </c>
      <c r="I177" s="96">
        <v>1</v>
      </c>
    </row>
    <row r="178" spans="1:9" x14ac:dyDescent="0.15">
      <c r="A178" s="4" t="s">
        <v>1</v>
      </c>
      <c r="B178" s="4">
        <v>2602</v>
      </c>
      <c r="C178" s="22">
        <v>104</v>
      </c>
      <c r="D178" s="22" t="s">
        <v>4890</v>
      </c>
      <c r="E178" s="6" t="s">
        <v>4891</v>
      </c>
      <c r="F178" s="4" t="s">
        <v>7508</v>
      </c>
      <c r="G178" s="6" t="s">
        <v>4889</v>
      </c>
      <c r="H178" s="97">
        <v>10</v>
      </c>
      <c r="I178" s="96">
        <v>1</v>
      </c>
    </row>
    <row r="179" spans="1:9" x14ac:dyDescent="0.15">
      <c r="A179" s="4" t="s">
        <v>1</v>
      </c>
      <c r="B179" s="4">
        <v>2603</v>
      </c>
      <c r="C179" s="22">
        <v>110</v>
      </c>
      <c r="D179" s="22" t="s">
        <v>1276</v>
      </c>
      <c r="E179" s="6" t="s">
        <v>4892</v>
      </c>
      <c r="F179" s="4" t="s">
        <v>7499</v>
      </c>
      <c r="G179" s="6" t="s">
        <v>4889</v>
      </c>
      <c r="H179" s="97">
        <v>10</v>
      </c>
      <c r="I179" s="96" t="s">
        <v>115</v>
      </c>
    </row>
    <row r="180" spans="1:9" x14ac:dyDescent="0.15">
      <c r="A180" s="4" t="s">
        <v>1</v>
      </c>
      <c r="B180" s="4">
        <v>2604</v>
      </c>
      <c r="C180" s="22">
        <v>104</v>
      </c>
      <c r="D180" s="22" t="s">
        <v>4887</v>
      </c>
      <c r="E180" s="6" t="s">
        <v>4893</v>
      </c>
      <c r="F180" s="4" t="s">
        <v>7508</v>
      </c>
      <c r="G180" s="6" t="s">
        <v>4889</v>
      </c>
      <c r="H180" s="97">
        <v>10</v>
      </c>
      <c r="I180" s="96" t="s">
        <v>115</v>
      </c>
    </row>
    <row r="181" spans="1:9" x14ac:dyDescent="0.15">
      <c r="A181" s="4" t="s">
        <v>1</v>
      </c>
      <c r="B181" s="4">
        <v>2605</v>
      </c>
      <c r="C181" s="22">
        <v>108</v>
      </c>
      <c r="D181" s="22" t="s">
        <v>1277</v>
      </c>
      <c r="E181" s="6" t="s">
        <v>4894</v>
      </c>
      <c r="F181" s="4" t="s">
        <v>7499</v>
      </c>
      <c r="G181" s="6" t="s">
        <v>4889</v>
      </c>
      <c r="H181" s="97">
        <v>10</v>
      </c>
      <c r="I181" s="96">
        <v>1</v>
      </c>
    </row>
    <row r="182" spans="1:9" x14ac:dyDescent="0.15">
      <c r="A182" s="4" t="s">
        <v>1</v>
      </c>
      <c r="B182" s="4">
        <v>2606</v>
      </c>
      <c r="C182" s="22">
        <v>108</v>
      </c>
      <c r="D182" s="22" t="s">
        <v>1277</v>
      </c>
      <c r="E182" s="6" t="s">
        <v>4895</v>
      </c>
      <c r="F182" s="4" t="s">
        <v>7508</v>
      </c>
      <c r="G182" s="6" t="s">
        <v>4889</v>
      </c>
      <c r="H182" s="97">
        <v>10</v>
      </c>
      <c r="I182" s="96">
        <v>1</v>
      </c>
    </row>
    <row r="183" spans="1:9" x14ac:dyDescent="0.15">
      <c r="A183" s="4" t="s">
        <v>1</v>
      </c>
      <c r="B183" s="4">
        <v>2607</v>
      </c>
      <c r="C183" s="22">
        <v>110</v>
      </c>
      <c r="D183" s="22" t="s">
        <v>1276</v>
      </c>
      <c r="E183" s="6" t="s">
        <v>4896</v>
      </c>
      <c r="F183" s="4" t="s">
        <v>7499</v>
      </c>
      <c r="G183" s="6" t="s">
        <v>4889</v>
      </c>
      <c r="H183" s="97">
        <v>10</v>
      </c>
      <c r="I183" s="96" t="s">
        <v>115</v>
      </c>
    </row>
    <row r="184" spans="1:9" x14ac:dyDescent="0.15">
      <c r="A184" s="4" t="s">
        <v>1</v>
      </c>
      <c r="B184" s="4">
        <v>2608</v>
      </c>
      <c r="C184" s="22">
        <v>104</v>
      </c>
      <c r="D184" s="22" t="s">
        <v>4890</v>
      </c>
      <c r="E184" s="6" t="s">
        <v>4897</v>
      </c>
      <c r="F184" s="4" t="s">
        <v>7508</v>
      </c>
      <c r="G184" s="6" t="s">
        <v>4889</v>
      </c>
      <c r="H184" s="97">
        <v>10</v>
      </c>
      <c r="I184" s="96">
        <v>1</v>
      </c>
    </row>
    <row r="185" spans="1:9" x14ac:dyDescent="0.15">
      <c r="A185" s="4" t="s">
        <v>1</v>
      </c>
      <c r="B185" s="4">
        <v>2609</v>
      </c>
      <c r="C185" s="22">
        <v>104</v>
      </c>
      <c r="D185" s="22" t="s">
        <v>4887</v>
      </c>
      <c r="E185" s="6" t="s">
        <v>4898</v>
      </c>
      <c r="F185" s="4" t="s">
        <v>7487</v>
      </c>
      <c r="G185" s="6" t="s">
        <v>4889</v>
      </c>
      <c r="H185" s="97">
        <v>10</v>
      </c>
      <c r="I185" s="96">
        <v>1</v>
      </c>
    </row>
    <row r="186" spans="1:9" x14ac:dyDescent="0.15">
      <c r="A186" s="4" t="s">
        <v>1</v>
      </c>
      <c r="B186" s="4">
        <v>2610</v>
      </c>
      <c r="C186" s="22">
        <v>112</v>
      </c>
      <c r="D186" s="22" t="s">
        <v>849</v>
      </c>
      <c r="E186" s="6" t="s">
        <v>4899</v>
      </c>
      <c r="F186" s="4" t="s">
        <v>7490</v>
      </c>
      <c r="G186" s="6" t="s">
        <v>4889</v>
      </c>
      <c r="H186" s="97">
        <v>10</v>
      </c>
      <c r="I186" s="96" t="s">
        <v>115</v>
      </c>
    </row>
    <row r="187" spans="1:9" x14ac:dyDescent="0.15">
      <c r="A187" s="119" t="s">
        <v>1</v>
      </c>
      <c r="B187" s="119">
        <v>2701</v>
      </c>
      <c r="C187" s="119">
        <v>106</v>
      </c>
      <c r="D187" s="119" t="s">
        <v>4900</v>
      </c>
      <c r="E187" s="119" t="s">
        <v>4901</v>
      </c>
      <c r="F187" s="119" t="s">
        <v>7535</v>
      </c>
      <c r="G187" s="119" t="s">
        <v>4902</v>
      </c>
      <c r="H187" s="119">
        <v>14</v>
      </c>
      <c r="I187" s="119">
        <v>1</v>
      </c>
    </row>
    <row r="188" spans="1:9" x14ac:dyDescent="0.15">
      <c r="A188" s="119" t="s">
        <v>1</v>
      </c>
      <c r="B188" s="119">
        <v>2702</v>
      </c>
      <c r="C188" s="119">
        <v>106</v>
      </c>
      <c r="D188" s="119" t="s">
        <v>4903</v>
      </c>
      <c r="E188" s="119" t="s">
        <v>4904</v>
      </c>
      <c r="F188" s="119" t="s">
        <v>7536</v>
      </c>
      <c r="G188" s="119" t="s">
        <v>4902</v>
      </c>
      <c r="H188" s="119">
        <v>14</v>
      </c>
      <c r="I188" s="119">
        <v>1</v>
      </c>
    </row>
    <row r="189" spans="1:9" x14ac:dyDescent="0.15">
      <c r="A189" s="119" t="s">
        <v>1</v>
      </c>
      <c r="B189" s="119">
        <v>2703</v>
      </c>
      <c r="C189" s="119">
        <v>110</v>
      </c>
      <c r="D189" s="119" t="s">
        <v>4905</v>
      </c>
      <c r="E189" s="119" t="s">
        <v>4906</v>
      </c>
      <c r="F189" s="119" t="s">
        <v>7537</v>
      </c>
      <c r="G189" s="119" t="s">
        <v>4902</v>
      </c>
      <c r="H189" s="119">
        <v>14</v>
      </c>
      <c r="I189" s="119">
        <v>1</v>
      </c>
    </row>
    <row r="190" spans="1:9" x14ac:dyDescent="0.15">
      <c r="A190" s="119" t="s">
        <v>1</v>
      </c>
      <c r="B190" s="119">
        <v>2704</v>
      </c>
      <c r="C190" s="119">
        <v>108</v>
      </c>
      <c r="D190" s="119" t="s">
        <v>4907</v>
      </c>
      <c r="E190" s="119" t="s">
        <v>4908</v>
      </c>
      <c r="F190" s="119" t="s">
        <v>7538</v>
      </c>
      <c r="G190" s="119" t="s">
        <v>4902</v>
      </c>
      <c r="H190" s="119">
        <v>14</v>
      </c>
      <c r="I190" s="119">
        <v>1</v>
      </c>
    </row>
    <row r="191" spans="1:9" x14ac:dyDescent="0.15">
      <c r="A191" s="119" t="s">
        <v>1</v>
      </c>
      <c r="B191" s="119">
        <v>2705</v>
      </c>
      <c r="C191" s="119">
        <v>106</v>
      </c>
      <c r="D191" s="119" t="s">
        <v>4909</v>
      </c>
      <c r="E191" s="119" t="s">
        <v>4910</v>
      </c>
      <c r="F191" s="119" t="s">
        <v>7537</v>
      </c>
      <c r="G191" s="119" t="s">
        <v>4902</v>
      </c>
      <c r="H191" s="119">
        <v>14</v>
      </c>
      <c r="I191" s="119">
        <v>1</v>
      </c>
    </row>
    <row r="192" spans="1:9" x14ac:dyDescent="0.15">
      <c r="A192" s="119" t="s">
        <v>1</v>
      </c>
      <c r="B192" s="119">
        <v>2706</v>
      </c>
      <c r="C192" s="119">
        <v>101</v>
      </c>
      <c r="D192" s="119" t="s">
        <v>2807</v>
      </c>
      <c r="E192" s="119" t="s">
        <v>4911</v>
      </c>
      <c r="F192" s="119" t="s">
        <v>7538</v>
      </c>
      <c r="G192" s="119" t="s">
        <v>4902</v>
      </c>
      <c r="H192" s="119">
        <v>14</v>
      </c>
      <c r="I192" s="119" t="s">
        <v>115</v>
      </c>
    </row>
    <row r="193" spans="1:9" x14ac:dyDescent="0.15">
      <c r="A193" s="119" t="s">
        <v>1</v>
      </c>
      <c r="B193" s="119">
        <v>2707</v>
      </c>
      <c r="C193" s="119">
        <v>106</v>
      </c>
      <c r="D193" s="119" t="s">
        <v>4900</v>
      </c>
      <c r="E193" s="119" t="s">
        <v>4912</v>
      </c>
      <c r="F193" s="119" t="s">
        <v>7483</v>
      </c>
      <c r="G193" s="119" t="s">
        <v>4902</v>
      </c>
      <c r="H193" s="119">
        <v>16</v>
      </c>
      <c r="I193" s="119">
        <v>1</v>
      </c>
    </row>
    <row r="194" spans="1:9" x14ac:dyDescent="0.15">
      <c r="A194" s="4" t="s">
        <v>1</v>
      </c>
      <c r="B194" s="4">
        <v>2801</v>
      </c>
      <c r="C194" s="22">
        <v>107</v>
      </c>
      <c r="D194" s="22" t="s">
        <v>2826</v>
      </c>
      <c r="E194" s="6" t="s">
        <v>4913</v>
      </c>
      <c r="F194" s="4" t="s">
        <v>7499</v>
      </c>
      <c r="G194" s="6" t="s">
        <v>4914</v>
      </c>
      <c r="H194" s="97">
        <v>10</v>
      </c>
      <c r="I194" s="96">
        <v>1</v>
      </c>
    </row>
    <row r="195" spans="1:9" x14ac:dyDescent="0.15">
      <c r="A195" s="4" t="s">
        <v>1</v>
      </c>
      <c r="B195" s="4">
        <v>2802</v>
      </c>
      <c r="C195" s="22">
        <v>108</v>
      </c>
      <c r="D195" s="22" t="s">
        <v>265</v>
      </c>
      <c r="E195" s="6" t="s">
        <v>4915</v>
      </c>
      <c r="F195" s="4" t="s">
        <v>7508</v>
      </c>
      <c r="G195" s="6" t="s">
        <v>4914</v>
      </c>
      <c r="H195" s="97">
        <v>10</v>
      </c>
      <c r="I195" s="96">
        <v>1</v>
      </c>
    </row>
    <row r="196" spans="1:9" x14ac:dyDescent="0.15">
      <c r="A196" s="4" t="s">
        <v>1</v>
      </c>
      <c r="B196" s="4">
        <v>2803</v>
      </c>
      <c r="C196" s="22">
        <v>104</v>
      </c>
      <c r="D196" s="22" t="s">
        <v>1408</v>
      </c>
      <c r="E196" s="6" t="s">
        <v>4916</v>
      </c>
      <c r="F196" s="4" t="s">
        <v>7499</v>
      </c>
      <c r="G196" s="6" t="s">
        <v>4914</v>
      </c>
      <c r="H196" s="97">
        <v>10</v>
      </c>
      <c r="I196" s="96">
        <v>1</v>
      </c>
    </row>
    <row r="197" spans="1:9" x14ac:dyDescent="0.15">
      <c r="A197" s="4" t="s">
        <v>1</v>
      </c>
      <c r="B197" s="4">
        <v>2804</v>
      </c>
      <c r="C197" s="22">
        <v>110</v>
      </c>
      <c r="D197" s="22" t="s">
        <v>1409</v>
      </c>
      <c r="E197" s="6" t="s">
        <v>4917</v>
      </c>
      <c r="F197" s="4" t="s">
        <v>7508</v>
      </c>
      <c r="G197" s="6" t="s">
        <v>4914</v>
      </c>
      <c r="H197" s="97">
        <v>10</v>
      </c>
      <c r="I197" s="96" t="s">
        <v>115</v>
      </c>
    </row>
    <row r="198" spans="1:9" x14ac:dyDescent="0.15">
      <c r="A198" s="4" t="s">
        <v>1</v>
      </c>
      <c r="B198" s="4">
        <v>2805</v>
      </c>
      <c r="C198" s="22">
        <v>108</v>
      </c>
      <c r="D198" s="22" t="s">
        <v>301</v>
      </c>
      <c r="E198" s="6" t="s">
        <v>4918</v>
      </c>
      <c r="F198" s="4" t="s">
        <v>7499</v>
      </c>
      <c r="G198" s="6" t="s">
        <v>4914</v>
      </c>
      <c r="H198" s="97">
        <v>10</v>
      </c>
      <c r="I198" s="96" t="s">
        <v>115</v>
      </c>
    </row>
    <row r="199" spans="1:9" x14ac:dyDescent="0.15">
      <c r="A199" s="4" t="s">
        <v>1</v>
      </c>
      <c r="B199" s="4">
        <v>2806</v>
      </c>
      <c r="C199" s="22">
        <v>104</v>
      </c>
      <c r="D199" s="22" t="s">
        <v>1414</v>
      </c>
      <c r="E199" s="6" t="s">
        <v>4919</v>
      </c>
      <c r="F199" s="4" t="s">
        <v>7508</v>
      </c>
      <c r="G199" s="6" t="s">
        <v>4914</v>
      </c>
      <c r="H199" s="97">
        <v>10</v>
      </c>
      <c r="I199" s="96">
        <v>1</v>
      </c>
    </row>
    <row r="200" spans="1:9" x14ac:dyDescent="0.15">
      <c r="A200" s="4" t="s">
        <v>1</v>
      </c>
      <c r="B200" s="4">
        <v>2807</v>
      </c>
      <c r="C200" s="22">
        <v>108</v>
      </c>
      <c r="D200" s="22" t="s">
        <v>1416</v>
      </c>
      <c r="E200" s="6" t="s">
        <v>4920</v>
      </c>
      <c r="F200" s="4" t="s">
        <v>7499</v>
      </c>
      <c r="G200" s="6" t="s">
        <v>4914</v>
      </c>
      <c r="H200" s="97">
        <v>10</v>
      </c>
      <c r="I200" s="96">
        <v>1</v>
      </c>
    </row>
    <row r="201" spans="1:9" x14ac:dyDescent="0.15">
      <c r="A201" s="4" t="s">
        <v>1</v>
      </c>
      <c r="B201" s="4">
        <v>2808</v>
      </c>
      <c r="C201" s="22">
        <v>108</v>
      </c>
      <c r="D201" s="22" t="s">
        <v>301</v>
      </c>
      <c r="E201" s="6" t="s">
        <v>4921</v>
      </c>
      <c r="F201" s="4" t="s">
        <v>7508</v>
      </c>
      <c r="G201" s="6" t="s">
        <v>4914</v>
      </c>
      <c r="H201" s="97">
        <v>10</v>
      </c>
      <c r="I201" s="96" t="s">
        <v>115</v>
      </c>
    </row>
    <row r="202" spans="1:9" x14ac:dyDescent="0.15">
      <c r="A202" s="4" t="s">
        <v>1</v>
      </c>
      <c r="B202" s="4">
        <v>2809</v>
      </c>
      <c r="C202" s="22">
        <v>107</v>
      </c>
      <c r="D202" s="22" t="s">
        <v>2826</v>
      </c>
      <c r="E202" s="6" t="s">
        <v>4922</v>
      </c>
      <c r="F202" s="4" t="s">
        <v>7324</v>
      </c>
      <c r="G202" s="6" t="s">
        <v>4914</v>
      </c>
      <c r="H202" s="97">
        <v>10</v>
      </c>
      <c r="I202" s="96">
        <v>1</v>
      </c>
    </row>
    <row r="203" spans="1:9" x14ac:dyDescent="0.15">
      <c r="A203" s="4" t="s">
        <v>1</v>
      </c>
      <c r="B203" s="4">
        <v>2810</v>
      </c>
      <c r="C203" s="22">
        <v>108</v>
      </c>
      <c r="D203" s="22" t="s">
        <v>265</v>
      </c>
      <c r="E203" s="6" t="s">
        <v>4923</v>
      </c>
      <c r="F203" s="4" t="s">
        <v>7539</v>
      </c>
      <c r="G203" s="6" t="s">
        <v>4914</v>
      </c>
      <c r="H203" s="97">
        <v>10</v>
      </c>
      <c r="I203" s="96" t="s">
        <v>115</v>
      </c>
    </row>
    <row r="204" spans="1:9" x14ac:dyDescent="0.15">
      <c r="A204" s="119" t="s">
        <v>1</v>
      </c>
      <c r="B204" s="119">
        <v>2901</v>
      </c>
      <c r="C204" s="119">
        <v>110</v>
      </c>
      <c r="D204" s="119" t="s">
        <v>2505</v>
      </c>
      <c r="E204" s="119" t="s">
        <v>4924</v>
      </c>
      <c r="F204" s="119" t="s">
        <v>7498</v>
      </c>
      <c r="G204" s="119" t="s">
        <v>4925</v>
      </c>
      <c r="H204" s="119">
        <v>10</v>
      </c>
      <c r="I204" s="119">
        <v>1</v>
      </c>
    </row>
    <row r="205" spans="1:9" x14ac:dyDescent="0.15">
      <c r="A205" s="119" t="s">
        <v>1</v>
      </c>
      <c r="B205" s="119">
        <v>2902</v>
      </c>
      <c r="C205" s="119">
        <v>106</v>
      </c>
      <c r="D205" s="119" t="s">
        <v>1418</v>
      </c>
      <c r="E205" s="119" t="s">
        <v>4926</v>
      </c>
      <c r="F205" s="119" t="s">
        <v>7500</v>
      </c>
      <c r="G205" s="119" t="s">
        <v>4925</v>
      </c>
      <c r="H205" s="119">
        <v>10</v>
      </c>
      <c r="I205" s="119">
        <v>1</v>
      </c>
    </row>
    <row r="206" spans="1:9" x14ac:dyDescent="0.15">
      <c r="A206" s="119" t="s">
        <v>1</v>
      </c>
      <c r="B206" s="119">
        <v>2903</v>
      </c>
      <c r="C206" s="119">
        <v>109</v>
      </c>
      <c r="D206" s="119" t="s">
        <v>2840</v>
      </c>
      <c r="E206" s="119" t="s">
        <v>4927</v>
      </c>
      <c r="F206" s="119" t="s">
        <v>7498</v>
      </c>
      <c r="G206" s="119" t="s">
        <v>4925</v>
      </c>
      <c r="H206" s="119">
        <v>10</v>
      </c>
      <c r="I206" s="119">
        <v>1</v>
      </c>
    </row>
    <row r="207" spans="1:9" x14ac:dyDescent="0.15">
      <c r="A207" s="119" t="s">
        <v>1</v>
      </c>
      <c r="B207" s="119">
        <v>2904</v>
      </c>
      <c r="C207" s="119">
        <v>110</v>
      </c>
      <c r="D207" s="119" t="s">
        <v>2505</v>
      </c>
      <c r="E207" s="119" t="s">
        <v>4928</v>
      </c>
      <c r="F207" s="119" t="s">
        <v>7500</v>
      </c>
      <c r="G207" s="119" t="s">
        <v>4925</v>
      </c>
      <c r="H207" s="119">
        <v>10</v>
      </c>
      <c r="I207" s="119">
        <v>1</v>
      </c>
    </row>
    <row r="208" spans="1:9" x14ac:dyDescent="0.15">
      <c r="A208" s="119" t="s">
        <v>1</v>
      </c>
      <c r="B208" s="119">
        <v>2905</v>
      </c>
      <c r="C208" s="119">
        <v>103</v>
      </c>
      <c r="D208" s="119" t="s">
        <v>3954</v>
      </c>
      <c r="E208" s="119" t="s">
        <v>4929</v>
      </c>
      <c r="F208" s="119" t="s">
        <v>7498</v>
      </c>
      <c r="G208" s="119" t="s">
        <v>4925</v>
      </c>
      <c r="H208" s="119">
        <v>10</v>
      </c>
      <c r="I208" s="119">
        <v>1</v>
      </c>
    </row>
    <row r="209" spans="1:9" x14ac:dyDescent="0.15">
      <c r="A209" s="119" t="s">
        <v>1</v>
      </c>
      <c r="B209" s="119">
        <v>2906</v>
      </c>
      <c r="C209" s="119">
        <v>110</v>
      </c>
      <c r="D209" s="119" t="s">
        <v>2505</v>
      </c>
      <c r="E209" s="119" t="s">
        <v>4930</v>
      </c>
      <c r="F209" s="119" t="s">
        <v>7323</v>
      </c>
      <c r="G209" s="119" t="s">
        <v>4925</v>
      </c>
      <c r="H209" s="119">
        <v>10</v>
      </c>
      <c r="I209" s="119">
        <v>1</v>
      </c>
    </row>
    <row r="210" spans="1:9" x14ac:dyDescent="0.15">
      <c r="A210" s="119" t="s">
        <v>1</v>
      </c>
      <c r="B210" s="119">
        <v>2907</v>
      </c>
      <c r="C210" s="119">
        <v>108</v>
      </c>
      <c r="D210" s="119" t="s">
        <v>1418</v>
      </c>
      <c r="E210" s="119" t="s">
        <v>4931</v>
      </c>
      <c r="F210" s="119" t="s">
        <v>7500</v>
      </c>
      <c r="G210" s="119" t="s">
        <v>4925</v>
      </c>
      <c r="H210" s="119">
        <v>10</v>
      </c>
      <c r="I210" s="119" t="s">
        <v>115</v>
      </c>
    </row>
    <row r="211" spans="1:9" x14ac:dyDescent="0.15">
      <c r="A211" s="119" t="s">
        <v>1</v>
      </c>
      <c r="B211" s="119">
        <v>2908</v>
      </c>
      <c r="C211" s="119">
        <v>106</v>
      </c>
      <c r="D211" s="119" t="s">
        <v>1421</v>
      </c>
      <c r="E211" s="119" t="s">
        <v>4932</v>
      </c>
      <c r="F211" s="119" t="s">
        <v>7498</v>
      </c>
      <c r="G211" s="119" t="s">
        <v>4925</v>
      </c>
      <c r="H211" s="119">
        <v>10</v>
      </c>
      <c r="I211" s="119" t="s">
        <v>115</v>
      </c>
    </row>
    <row r="212" spans="1:9" x14ac:dyDescent="0.15">
      <c r="A212" s="119" t="s">
        <v>1</v>
      </c>
      <c r="B212" s="119">
        <v>2909</v>
      </c>
      <c r="C212" s="119">
        <v>106</v>
      </c>
      <c r="D212" s="119" t="s">
        <v>4933</v>
      </c>
      <c r="E212" s="119" t="s">
        <v>4934</v>
      </c>
      <c r="F212" s="119" t="s">
        <v>7500</v>
      </c>
      <c r="G212" s="119" t="s">
        <v>4925</v>
      </c>
      <c r="H212" s="119">
        <v>10</v>
      </c>
      <c r="I212" s="119" t="s">
        <v>115</v>
      </c>
    </row>
    <row r="213" spans="1:9" x14ac:dyDescent="0.15">
      <c r="A213" s="119" t="s">
        <v>1</v>
      </c>
      <c r="B213" s="119">
        <v>2910</v>
      </c>
      <c r="C213" s="119">
        <v>109</v>
      </c>
      <c r="D213" s="119" t="s">
        <v>4935</v>
      </c>
      <c r="E213" s="119" t="s">
        <v>4936</v>
      </c>
      <c r="F213" s="119" t="s">
        <v>7540</v>
      </c>
      <c r="G213" s="119" t="s">
        <v>4925</v>
      </c>
      <c r="H213" s="119">
        <v>10</v>
      </c>
      <c r="I213" s="119" t="s">
        <v>115</v>
      </c>
    </row>
    <row r="214" spans="1:9" x14ac:dyDescent="0.15">
      <c r="A214" s="4" t="s">
        <v>1</v>
      </c>
      <c r="B214" s="4">
        <v>3001</v>
      </c>
      <c r="C214" s="22">
        <v>110</v>
      </c>
      <c r="D214" s="22" t="s">
        <v>4937</v>
      </c>
      <c r="E214" s="6" t="s">
        <v>4938</v>
      </c>
      <c r="F214" s="4" t="s">
        <v>7537</v>
      </c>
      <c r="G214" s="6" t="s">
        <v>4939</v>
      </c>
      <c r="H214" s="97">
        <v>14</v>
      </c>
      <c r="I214" s="96">
        <v>1</v>
      </c>
    </row>
    <row r="215" spans="1:9" x14ac:dyDescent="0.15">
      <c r="A215" s="4" t="s">
        <v>1</v>
      </c>
      <c r="B215" s="4">
        <v>3002</v>
      </c>
      <c r="C215" s="22">
        <v>108</v>
      </c>
      <c r="D215" s="22" t="s">
        <v>4940</v>
      </c>
      <c r="E215" s="6" t="s">
        <v>4941</v>
      </c>
      <c r="F215" s="4" t="s">
        <v>7538</v>
      </c>
      <c r="G215" s="6" t="s">
        <v>4939</v>
      </c>
      <c r="H215" s="97">
        <v>14</v>
      </c>
      <c r="I215" s="96">
        <v>1</v>
      </c>
    </row>
    <row r="216" spans="1:9" x14ac:dyDescent="0.15">
      <c r="A216" s="4" t="s">
        <v>1</v>
      </c>
      <c r="B216" s="4">
        <v>3003</v>
      </c>
      <c r="C216" s="22">
        <v>110</v>
      </c>
      <c r="D216" s="22" t="s">
        <v>4937</v>
      </c>
      <c r="E216" s="6" t="s">
        <v>4942</v>
      </c>
      <c r="F216" s="4" t="s">
        <v>7541</v>
      </c>
      <c r="G216" s="6" t="s">
        <v>4939</v>
      </c>
      <c r="H216" s="97">
        <v>14</v>
      </c>
      <c r="I216" s="97">
        <v>1</v>
      </c>
    </row>
    <row r="217" spans="1:9" x14ac:dyDescent="0.15">
      <c r="A217" s="4" t="s">
        <v>1</v>
      </c>
      <c r="B217" s="4">
        <v>3004</v>
      </c>
      <c r="C217" s="22">
        <v>106</v>
      </c>
      <c r="D217" s="22" t="s">
        <v>4943</v>
      </c>
      <c r="E217" s="6" t="s">
        <v>4944</v>
      </c>
      <c r="F217" s="4" t="s">
        <v>7542</v>
      </c>
      <c r="G217" s="6" t="s">
        <v>4939</v>
      </c>
      <c r="H217" s="97">
        <v>14</v>
      </c>
      <c r="I217" s="97">
        <v>1</v>
      </c>
    </row>
    <row r="218" spans="1:9" x14ac:dyDescent="0.15">
      <c r="A218" s="4" t="s">
        <v>1</v>
      </c>
      <c r="B218" s="4">
        <v>3005</v>
      </c>
      <c r="C218" s="22">
        <v>108</v>
      </c>
      <c r="D218" s="22" t="s">
        <v>4945</v>
      </c>
      <c r="E218" s="6" t="s">
        <v>4946</v>
      </c>
      <c r="F218" s="4" t="s">
        <v>7321</v>
      </c>
      <c r="G218" s="6" t="s">
        <v>4939</v>
      </c>
      <c r="H218" s="97">
        <v>14</v>
      </c>
      <c r="I218" s="97">
        <v>1</v>
      </c>
    </row>
    <row r="219" spans="1:9" x14ac:dyDescent="0.15">
      <c r="A219" s="4" t="s">
        <v>1</v>
      </c>
      <c r="B219" s="4">
        <v>3006</v>
      </c>
      <c r="C219" s="22">
        <v>108</v>
      </c>
      <c r="D219" s="22" t="s">
        <v>4947</v>
      </c>
      <c r="E219" s="6" t="s">
        <v>4948</v>
      </c>
      <c r="F219" s="4" t="s">
        <v>7541</v>
      </c>
      <c r="G219" s="6" t="s">
        <v>4939</v>
      </c>
      <c r="H219" s="97">
        <v>14</v>
      </c>
      <c r="I219" s="97" t="s">
        <v>115</v>
      </c>
    </row>
    <row r="220" spans="1:9" x14ac:dyDescent="0.15">
      <c r="A220" s="4" t="s">
        <v>1</v>
      </c>
      <c r="B220" s="4">
        <v>3007</v>
      </c>
      <c r="C220" s="22">
        <v>106</v>
      </c>
      <c r="D220" s="22" t="s">
        <v>4943</v>
      </c>
      <c r="E220" s="6" t="s">
        <v>4949</v>
      </c>
      <c r="F220" s="4" t="s">
        <v>7542</v>
      </c>
      <c r="G220" s="6" t="s">
        <v>4939</v>
      </c>
      <c r="H220" s="97">
        <v>16</v>
      </c>
      <c r="I220" s="97" t="s">
        <v>115</v>
      </c>
    </row>
    <row r="221" spans="1:9" x14ac:dyDescent="0.15">
      <c r="B221" s="4"/>
      <c r="C221" s="22"/>
      <c r="D221" s="22"/>
      <c r="H221" s="97"/>
      <c r="I221" s="97"/>
    </row>
    <row r="222" spans="1:9" x14ac:dyDescent="0.15">
      <c r="B222" s="4"/>
      <c r="C222" s="22"/>
      <c r="D222" s="22"/>
      <c r="H222" s="97"/>
      <c r="I222" s="97"/>
    </row>
    <row r="223" spans="1:9" x14ac:dyDescent="0.15">
      <c r="B223" s="4"/>
      <c r="C223" s="22"/>
      <c r="D223" s="22"/>
    </row>
    <row r="224" spans="1:9" x14ac:dyDescent="0.15">
      <c r="B224" s="4"/>
      <c r="C224" s="22"/>
      <c r="D224" s="22"/>
    </row>
    <row r="225" spans="2:4" x14ac:dyDescent="0.15">
      <c r="B225" s="4"/>
      <c r="C225" s="22"/>
      <c r="D225" s="22"/>
    </row>
    <row r="226" spans="2:4" x14ac:dyDescent="0.15">
      <c r="B226" s="4"/>
      <c r="C226" s="22"/>
      <c r="D226" s="22"/>
    </row>
    <row r="227" spans="2:4" x14ac:dyDescent="0.15">
      <c r="B227" s="4"/>
      <c r="C227" s="22"/>
      <c r="D227" s="22"/>
    </row>
    <row r="228" spans="2:4" x14ac:dyDescent="0.15">
      <c r="B228" s="4"/>
      <c r="C228" s="22"/>
      <c r="D228" s="22"/>
    </row>
    <row r="229" spans="2:4" x14ac:dyDescent="0.15">
      <c r="B229" s="4"/>
      <c r="C229" s="22"/>
      <c r="D229" s="22"/>
    </row>
    <row r="230" spans="2:4" x14ac:dyDescent="0.15">
      <c r="B230" s="4"/>
      <c r="C230" s="22"/>
      <c r="D230" s="22"/>
    </row>
    <row r="231" spans="2:4" x14ac:dyDescent="0.15">
      <c r="B231" s="4"/>
      <c r="C231" s="22"/>
      <c r="D231" s="22"/>
    </row>
    <row r="232" spans="2:4" x14ac:dyDescent="0.15">
      <c r="B232" s="4"/>
      <c r="C232" s="22"/>
      <c r="D232" s="22"/>
    </row>
    <row r="233" spans="2:4" x14ac:dyDescent="0.15">
      <c r="B233" s="4"/>
      <c r="C233" s="22"/>
      <c r="D233" s="22"/>
    </row>
    <row r="234" spans="2:4" x14ac:dyDescent="0.15">
      <c r="B234" s="4"/>
      <c r="C234" s="22"/>
      <c r="D234" s="22"/>
    </row>
    <row r="235" spans="2:4" x14ac:dyDescent="0.15">
      <c r="B235" s="4"/>
      <c r="C235" s="22"/>
      <c r="D235" s="22"/>
    </row>
    <row r="236" spans="2:4" x14ac:dyDescent="0.15">
      <c r="B236" s="4"/>
      <c r="C236" s="22"/>
      <c r="D236" s="22"/>
    </row>
    <row r="237" spans="2:4" x14ac:dyDescent="0.15">
      <c r="B237" s="4"/>
      <c r="C237" s="22"/>
      <c r="D237" s="22"/>
    </row>
    <row r="238" spans="2:4" x14ac:dyDescent="0.15">
      <c r="B238" s="4"/>
      <c r="C238" s="22"/>
      <c r="D238" s="22"/>
    </row>
    <row r="239" spans="2:4" x14ac:dyDescent="0.15">
      <c r="B239" s="4"/>
      <c r="C239" s="22"/>
      <c r="D239" s="22"/>
    </row>
    <row r="240" spans="2:4" x14ac:dyDescent="0.15">
      <c r="B240" s="4"/>
      <c r="C240" s="22"/>
      <c r="D240" s="22"/>
    </row>
    <row r="241" spans="1:11" x14ac:dyDescent="0.15">
      <c r="B241" s="4"/>
      <c r="C241" s="22"/>
      <c r="D241" s="22"/>
    </row>
    <row r="242" spans="1:11" x14ac:dyDescent="0.15">
      <c r="B242" s="4"/>
      <c r="C242" s="22"/>
      <c r="D242" s="22"/>
    </row>
    <row r="243" spans="1:11" x14ac:dyDescent="0.15">
      <c r="B243" s="4"/>
      <c r="C243" s="22"/>
      <c r="D243" s="22"/>
    </row>
    <row r="244" spans="1:11" x14ac:dyDescent="0.15">
      <c r="B244" s="4"/>
      <c r="C244" s="22"/>
      <c r="D244" s="22"/>
    </row>
    <row r="245" spans="1:11" x14ac:dyDescent="0.15">
      <c r="B245" s="4"/>
      <c r="C245" s="22"/>
      <c r="D245" s="22"/>
    </row>
    <row r="246" spans="1:11" x14ac:dyDescent="0.15">
      <c r="B246" s="4"/>
      <c r="C246" s="22"/>
      <c r="D246" s="22"/>
    </row>
    <row r="247" spans="1:11" x14ac:dyDescent="0.15">
      <c r="B247" s="4"/>
      <c r="D247" s="22"/>
    </row>
    <row r="248" spans="1:11" x14ac:dyDescent="0.15">
      <c r="B248" s="4"/>
      <c r="D248" s="22"/>
      <c r="K248" s="20"/>
    </row>
    <row r="249" spans="1:11" x14ac:dyDescent="0.15">
      <c r="B249" s="4"/>
      <c r="D249" s="22"/>
      <c r="K249" s="20"/>
    </row>
    <row r="250" spans="1:11" x14ac:dyDescent="0.15">
      <c r="B250" s="4"/>
      <c r="D250" s="22"/>
      <c r="K250" s="20"/>
    </row>
    <row r="251" spans="1:11" s="69" customFormat="1" x14ac:dyDescent="0.15">
      <c r="B251" s="69" t="s">
        <v>1324</v>
      </c>
      <c r="D251" s="70"/>
      <c r="K251" s="20"/>
    </row>
    <row r="252" spans="1:11" x14ac:dyDescent="0.15">
      <c r="B252" s="4"/>
      <c r="D252" s="22"/>
      <c r="K252" s="20"/>
    </row>
    <row r="253" spans="1:11" x14ac:dyDescent="0.15">
      <c r="A253" s="88" t="s">
        <v>1</v>
      </c>
      <c r="B253" s="88">
        <v>50101</v>
      </c>
      <c r="C253" s="90">
        <v>110</v>
      </c>
      <c r="D253" s="91" t="s">
        <v>2505</v>
      </c>
      <c r="E253" s="90" t="s">
        <v>2599</v>
      </c>
      <c r="F253" s="88"/>
      <c r="G253" s="90" t="s">
        <v>741</v>
      </c>
      <c r="H253" s="88">
        <v>33</v>
      </c>
      <c r="I253" s="88">
        <v>1</v>
      </c>
      <c r="J253" s="88"/>
      <c r="K253" s="20"/>
    </row>
    <row r="254" spans="1:11" x14ac:dyDescent="0.15">
      <c r="A254" s="88" t="s">
        <v>1</v>
      </c>
      <c r="B254" s="88">
        <v>50102</v>
      </c>
      <c r="C254" s="90">
        <v>104</v>
      </c>
      <c r="D254" s="91" t="s">
        <v>2656</v>
      </c>
      <c r="E254" s="90" t="s">
        <v>2622</v>
      </c>
      <c r="F254" s="88"/>
      <c r="G254" s="90" t="s">
        <v>741</v>
      </c>
      <c r="H254" s="88">
        <v>34</v>
      </c>
      <c r="I254" s="88">
        <v>1</v>
      </c>
      <c r="J254" s="88"/>
      <c r="K254" s="20"/>
    </row>
    <row r="255" spans="1:11" x14ac:dyDescent="0.15">
      <c r="A255" s="88" t="s">
        <v>1</v>
      </c>
      <c r="B255" s="88">
        <v>50103</v>
      </c>
      <c r="C255" s="90">
        <v>104</v>
      </c>
      <c r="D255" s="91" t="s">
        <v>2647</v>
      </c>
      <c r="E255" s="90" t="s">
        <v>2637</v>
      </c>
      <c r="F255" s="88"/>
      <c r="G255" s="90" t="s">
        <v>741</v>
      </c>
      <c r="H255" s="88">
        <v>33</v>
      </c>
      <c r="I255" s="88">
        <v>1</v>
      </c>
      <c r="J255" s="88"/>
      <c r="K255" s="20"/>
    </row>
    <row r="256" spans="1:11" x14ac:dyDescent="0.15">
      <c r="B256" s="4"/>
      <c r="D256" s="22"/>
      <c r="K256" s="20"/>
    </row>
    <row r="257" spans="1:11" x14ac:dyDescent="0.15">
      <c r="A257" s="4" t="s">
        <v>1</v>
      </c>
      <c r="B257" s="4">
        <v>50201</v>
      </c>
      <c r="C257" s="90">
        <v>110</v>
      </c>
      <c r="D257" s="91" t="s">
        <v>2505</v>
      </c>
      <c r="E257" s="23">
        <v>95020101</v>
      </c>
      <c r="G257" s="6" t="s">
        <v>770</v>
      </c>
      <c r="H257" s="4">
        <v>100</v>
      </c>
      <c r="I257" s="4">
        <v>1</v>
      </c>
      <c r="K257" s="20"/>
    </row>
    <row r="258" spans="1:11" x14ac:dyDescent="0.15">
      <c r="A258" s="4" t="s">
        <v>1</v>
      </c>
      <c r="B258" s="4">
        <v>50301</v>
      </c>
      <c r="C258" s="90">
        <v>110</v>
      </c>
      <c r="D258" s="91" t="s">
        <v>2505</v>
      </c>
      <c r="E258" s="23">
        <v>95030101</v>
      </c>
      <c r="G258" s="6">
        <v>503</v>
      </c>
      <c r="H258" s="4">
        <v>100</v>
      </c>
      <c r="I258" s="4">
        <v>1</v>
      </c>
      <c r="K258" s="20"/>
    </row>
    <row r="259" spans="1:11" x14ac:dyDescent="0.15">
      <c r="A259" s="4" t="s">
        <v>1</v>
      </c>
      <c r="B259" s="4">
        <v>50401</v>
      </c>
      <c r="C259" s="90">
        <v>110</v>
      </c>
      <c r="D259" s="91" t="s">
        <v>2505</v>
      </c>
      <c r="E259" s="23">
        <v>95040101</v>
      </c>
      <c r="G259" s="23">
        <v>504</v>
      </c>
      <c r="H259" s="4">
        <v>100</v>
      </c>
      <c r="I259" s="4">
        <v>1</v>
      </c>
      <c r="K259" s="20"/>
    </row>
    <row r="260" spans="1:11" x14ac:dyDescent="0.15">
      <c r="A260" s="4" t="s">
        <v>1</v>
      </c>
      <c r="B260" s="4">
        <v>50501</v>
      </c>
      <c r="C260" s="90">
        <v>110</v>
      </c>
      <c r="D260" s="91" t="s">
        <v>2505</v>
      </c>
      <c r="E260" s="23">
        <v>95050101</v>
      </c>
      <c r="G260" s="23">
        <v>505</v>
      </c>
      <c r="H260" s="4">
        <v>100</v>
      </c>
      <c r="I260" s="4">
        <v>1</v>
      </c>
      <c r="K260" s="20"/>
    </row>
    <row r="261" spans="1:11" x14ac:dyDescent="0.15">
      <c r="A261" s="4" t="s">
        <v>1</v>
      </c>
      <c r="B261" s="4">
        <v>50601</v>
      </c>
      <c r="C261" s="90">
        <v>110</v>
      </c>
      <c r="D261" s="91" t="s">
        <v>2505</v>
      </c>
      <c r="E261" s="23">
        <v>95060101</v>
      </c>
      <c r="G261" s="23">
        <v>506</v>
      </c>
      <c r="H261" s="4">
        <v>100</v>
      </c>
      <c r="I261" s="4">
        <v>1</v>
      </c>
      <c r="K261" s="20"/>
    </row>
    <row r="262" spans="1:11" x14ac:dyDescent="0.15">
      <c r="A262" s="4" t="s">
        <v>1</v>
      </c>
      <c r="B262" s="4">
        <v>50701</v>
      </c>
      <c r="C262" s="90">
        <v>110</v>
      </c>
      <c r="D262" s="91" t="s">
        <v>2505</v>
      </c>
      <c r="E262" s="23">
        <v>95070101</v>
      </c>
      <c r="G262" s="23">
        <v>507</v>
      </c>
      <c r="H262" s="4">
        <v>100</v>
      </c>
      <c r="I262" s="4">
        <v>1</v>
      </c>
      <c r="K262" s="20"/>
    </row>
    <row r="263" spans="1:11" x14ac:dyDescent="0.15">
      <c r="A263" s="4" t="s">
        <v>1</v>
      </c>
      <c r="B263" s="4">
        <v>50801</v>
      </c>
      <c r="C263" s="90">
        <v>110</v>
      </c>
      <c r="D263" s="91" t="s">
        <v>2505</v>
      </c>
      <c r="E263" s="23">
        <v>95080101</v>
      </c>
      <c r="G263" s="23">
        <v>508</v>
      </c>
      <c r="H263" s="4">
        <v>100</v>
      </c>
      <c r="I263" s="4">
        <v>1</v>
      </c>
      <c r="K263" s="20"/>
    </row>
    <row r="264" spans="1:11" x14ac:dyDescent="0.15">
      <c r="A264" s="4" t="s">
        <v>1</v>
      </c>
      <c r="B264" s="4">
        <v>50901</v>
      </c>
      <c r="C264" s="90">
        <v>110</v>
      </c>
      <c r="D264" s="91" t="s">
        <v>2505</v>
      </c>
      <c r="E264" s="23">
        <v>95090101</v>
      </c>
      <c r="G264" s="23">
        <v>509</v>
      </c>
      <c r="H264" s="4">
        <v>100</v>
      </c>
      <c r="I264" s="4">
        <v>1</v>
      </c>
      <c r="K264" s="20"/>
    </row>
    <row r="265" spans="1:11" x14ac:dyDescent="0.15">
      <c r="A265" s="4" t="s">
        <v>1</v>
      </c>
      <c r="B265" s="4">
        <v>51001</v>
      </c>
      <c r="C265" s="90">
        <v>110</v>
      </c>
      <c r="D265" s="91" t="s">
        <v>2505</v>
      </c>
      <c r="E265" s="23">
        <v>95100101</v>
      </c>
      <c r="G265" s="23">
        <v>510</v>
      </c>
      <c r="H265" s="4">
        <v>100</v>
      </c>
      <c r="I265" s="4">
        <v>1</v>
      </c>
      <c r="K265" s="20"/>
    </row>
    <row r="266" spans="1:11" x14ac:dyDescent="0.15">
      <c r="A266" s="4" t="s">
        <v>1</v>
      </c>
      <c r="B266" s="4">
        <v>51101</v>
      </c>
      <c r="C266" s="90">
        <v>110</v>
      </c>
      <c r="D266" s="91" t="s">
        <v>2505</v>
      </c>
      <c r="E266" s="23">
        <v>95110101</v>
      </c>
      <c r="G266" s="23">
        <v>511</v>
      </c>
      <c r="H266" s="4">
        <v>100</v>
      </c>
      <c r="I266" s="4">
        <v>1</v>
      </c>
      <c r="K266" s="20"/>
    </row>
    <row r="267" spans="1:11" x14ac:dyDescent="0.15">
      <c r="B267" s="4"/>
      <c r="D267" s="22"/>
      <c r="K267" s="20"/>
    </row>
    <row r="268" spans="1:11" s="69" customFormat="1" x14ac:dyDescent="0.15">
      <c r="B268" s="69" t="s">
        <v>1325</v>
      </c>
      <c r="D268" s="70"/>
      <c r="K268" s="20"/>
    </row>
    <row r="269" spans="1:11" x14ac:dyDescent="0.15">
      <c r="B269" s="4"/>
      <c r="D269" s="22"/>
      <c r="K269" s="20"/>
    </row>
    <row r="270" spans="1:11" x14ac:dyDescent="0.15">
      <c r="A270" s="4" t="s">
        <v>1</v>
      </c>
      <c r="B270" s="40">
        <v>56011</v>
      </c>
      <c r="C270" s="6">
        <v>108</v>
      </c>
      <c r="D270" s="22" t="s">
        <v>681</v>
      </c>
      <c r="E270" s="23">
        <v>95601101</v>
      </c>
      <c r="G270" s="51" t="s">
        <v>1407</v>
      </c>
      <c r="H270" s="4">
        <v>33</v>
      </c>
      <c r="I270" s="4">
        <v>1</v>
      </c>
      <c r="K270" s="20"/>
    </row>
    <row r="271" spans="1:11" x14ac:dyDescent="0.15">
      <c r="A271" s="4" t="s">
        <v>1</v>
      </c>
      <c r="B271" s="40">
        <v>56012</v>
      </c>
      <c r="C271" s="6">
        <v>108</v>
      </c>
      <c r="D271" s="22" t="s">
        <v>1408</v>
      </c>
      <c r="E271" s="23">
        <v>95601201</v>
      </c>
      <c r="G271" s="51" t="s">
        <v>1407</v>
      </c>
      <c r="H271" s="4">
        <v>33</v>
      </c>
      <c r="I271" s="4">
        <v>1</v>
      </c>
      <c r="K271" s="20"/>
    </row>
    <row r="272" spans="1:11" x14ac:dyDescent="0.15">
      <c r="A272" s="4" t="s">
        <v>1</v>
      </c>
      <c r="B272" s="40">
        <v>56013</v>
      </c>
      <c r="C272" s="6">
        <v>108</v>
      </c>
      <c r="D272" s="22" t="s">
        <v>1409</v>
      </c>
      <c r="E272" s="23">
        <v>95601301</v>
      </c>
      <c r="G272" s="51" t="s">
        <v>1407</v>
      </c>
      <c r="H272" s="4">
        <v>34</v>
      </c>
      <c r="I272" s="4">
        <v>1</v>
      </c>
      <c r="K272" s="20"/>
    </row>
    <row r="273" spans="1:11" x14ac:dyDescent="0.15">
      <c r="A273" s="4" t="s">
        <v>1</v>
      </c>
      <c r="B273" s="40">
        <v>56021</v>
      </c>
      <c r="C273" s="6">
        <v>104</v>
      </c>
      <c r="D273" s="22" t="s">
        <v>1070</v>
      </c>
      <c r="E273" s="23">
        <v>95602101</v>
      </c>
      <c r="G273" s="51" t="s">
        <v>1410</v>
      </c>
      <c r="H273" s="4">
        <v>33</v>
      </c>
      <c r="I273" s="4">
        <v>1</v>
      </c>
      <c r="K273" s="20"/>
    </row>
    <row r="274" spans="1:11" x14ac:dyDescent="0.15">
      <c r="A274" s="4" t="s">
        <v>1</v>
      </c>
      <c r="B274" s="40">
        <v>56022</v>
      </c>
      <c r="C274" s="6">
        <v>105</v>
      </c>
      <c r="D274" s="22" t="s">
        <v>1075</v>
      </c>
      <c r="E274" s="23">
        <v>95602201</v>
      </c>
      <c r="G274" s="51" t="s">
        <v>1410</v>
      </c>
      <c r="H274" s="4">
        <v>33</v>
      </c>
      <c r="I274" s="4">
        <v>1</v>
      </c>
      <c r="K274" s="20"/>
    </row>
    <row r="275" spans="1:11" x14ac:dyDescent="0.15">
      <c r="A275" s="4" t="s">
        <v>1</v>
      </c>
      <c r="B275" s="40">
        <v>56023</v>
      </c>
      <c r="C275" s="6">
        <v>108</v>
      </c>
      <c r="D275" s="22" t="s">
        <v>1409</v>
      </c>
      <c r="E275" s="23">
        <v>95602301</v>
      </c>
      <c r="G275" s="51" t="s">
        <v>1410</v>
      </c>
      <c r="H275" s="4">
        <v>34</v>
      </c>
      <c r="I275" s="4">
        <v>1</v>
      </c>
      <c r="K275" s="20"/>
    </row>
    <row r="276" spans="1:11" x14ac:dyDescent="0.15">
      <c r="A276" s="4" t="s">
        <v>1</v>
      </c>
      <c r="B276" s="40">
        <v>56031</v>
      </c>
      <c r="C276" s="6">
        <v>110</v>
      </c>
      <c r="D276" s="22" t="s">
        <v>680</v>
      </c>
      <c r="E276" s="23">
        <v>95603101</v>
      </c>
      <c r="G276" s="51" t="s">
        <v>7391</v>
      </c>
      <c r="H276" s="4">
        <v>100</v>
      </c>
      <c r="I276" s="4">
        <v>1</v>
      </c>
      <c r="K276" s="20"/>
    </row>
    <row r="277" spans="1:11" x14ac:dyDescent="0.15">
      <c r="A277" s="4" t="s">
        <v>1</v>
      </c>
      <c r="B277" s="40">
        <v>56041</v>
      </c>
      <c r="C277" s="6">
        <v>110</v>
      </c>
      <c r="D277" s="22" t="s">
        <v>680</v>
      </c>
      <c r="E277" s="23">
        <v>95604101</v>
      </c>
      <c r="G277" s="51" t="s">
        <v>7392</v>
      </c>
      <c r="H277" s="4">
        <v>100</v>
      </c>
      <c r="I277" s="4">
        <v>1</v>
      </c>
      <c r="K277" s="20"/>
    </row>
    <row r="278" spans="1:11" x14ac:dyDescent="0.15">
      <c r="A278" s="4" t="s">
        <v>1</v>
      </c>
      <c r="B278" s="40">
        <v>56051</v>
      </c>
      <c r="C278" s="6">
        <v>110</v>
      </c>
      <c r="D278" s="22" t="s">
        <v>680</v>
      </c>
      <c r="E278" s="23">
        <v>95605101</v>
      </c>
      <c r="G278" s="51" t="s">
        <v>7393</v>
      </c>
      <c r="H278" s="4">
        <v>100</v>
      </c>
      <c r="I278" s="4">
        <v>1</v>
      </c>
      <c r="K278" s="20"/>
    </row>
    <row r="279" spans="1:11" x14ac:dyDescent="0.15">
      <c r="B279" s="40"/>
      <c r="D279" s="22"/>
      <c r="E279" s="23"/>
      <c r="G279" s="51"/>
      <c r="K279" s="20"/>
    </row>
    <row r="280" spans="1:11" x14ac:dyDescent="0.15">
      <c r="A280" s="4" t="s">
        <v>1</v>
      </c>
      <c r="B280" s="40">
        <v>58011</v>
      </c>
      <c r="C280" s="6">
        <v>109</v>
      </c>
      <c r="D280" s="22" t="s">
        <v>1276</v>
      </c>
      <c r="E280" s="23">
        <v>95801101</v>
      </c>
      <c r="G280" s="6" t="s">
        <v>1411</v>
      </c>
      <c r="H280" s="4">
        <v>50</v>
      </c>
      <c r="I280" s="4">
        <v>1</v>
      </c>
      <c r="K280" s="20"/>
    </row>
    <row r="281" spans="1:11" x14ac:dyDescent="0.15">
      <c r="A281" s="4" t="s">
        <v>1</v>
      </c>
      <c r="B281" s="40">
        <v>58012</v>
      </c>
      <c r="C281" s="6">
        <v>109</v>
      </c>
      <c r="D281" s="22" t="s">
        <v>1277</v>
      </c>
      <c r="E281" s="23">
        <v>95801201</v>
      </c>
      <c r="G281" s="6" t="s">
        <v>1411</v>
      </c>
      <c r="H281" s="4">
        <v>50</v>
      </c>
      <c r="I281" s="4">
        <v>1</v>
      </c>
      <c r="K281" s="20"/>
    </row>
    <row r="282" spans="1:11" x14ac:dyDescent="0.15">
      <c r="A282" s="4" t="s">
        <v>1</v>
      </c>
      <c r="B282" s="40">
        <v>58021</v>
      </c>
      <c r="C282" s="6">
        <v>108</v>
      </c>
      <c r="D282" s="22" t="s">
        <v>681</v>
      </c>
      <c r="E282" s="23">
        <v>95802101</v>
      </c>
      <c r="G282" s="6" t="s">
        <v>1412</v>
      </c>
      <c r="H282" s="4">
        <v>50</v>
      </c>
      <c r="I282" s="4">
        <v>1</v>
      </c>
      <c r="K282" s="20"/>
    </row>
    <row r="283" spans="1:11" x14ac:dyDescent="0.15">
      <c r="A283" s="4" t="s">
        <v>1</v>
      </c>
      <c r="B283" s="40">
        <v>58022</v>
      </c>
      <c r="C283" s="6">
        <v>109</v>
      </c>
      <c r="D283" s="22" t="s">
        <v>1277</v>
      </c>
      <c r="E283" s="23">
        <v>95802201</v>
      </c>
      <c r="G283" s="6" t="s">
        <v>1412</v>
      </c>
      <c r="H283" s="4">
        <v>50</v>
      </c>
      <c r="I283" s="4">
        <v>1</v>
      </c>
      <c r="K283" s="20"/>
    </row>
    <row r="284" spans="1:11" x14ac:dyDescent="0.15">
      <c r="A284" s="4" t="s">
        <v>1</v>
      </c>
      <c r="B284" s="40">
        <v>58031</v>
      </c>
      <c r="C284" s="6">
        <v>110</v>
      </c>
      <c r="D284" s="22" t="s">
        <v>680</v>
      </c>
      <c r="E284" s="23">
        <v>95803101</v>
      </c>
      <c r="G284" s="6" t="s">
        <v>7394</v>
      </c>
      <c r="H284" s="4">
        <v>100</v>
      </c>
      <c r="I284" s="4">
        <v>1</v>
      </c>
      <c r="K284" s="20"/>
    </row>
    <row r="285" spans="1:11" x14ac:dyDescent="0.15">
      <c r="A285" s="4" t="s">
        <v>1</v>
      </c>
      <c r="B285" s="40">
        <v>58041</v>
      </c>
      <c r="C285" s="6">
        <v>110</v>
      </c>
      <c r="D285" s="22" t="s">
        <v>680</v>
      </c>
      <c r="E285" s="23">
        <v>95804101</v>
      </c>
      <c r="G285" s="6" t="s">
        <v>7395</v>
      </c>
      <c r="H285" s="4">
        <v>100</v>
      </c>
      <c r="I285" s="4">
        <v>1</v>
      </c>
      <c r="K285" s="20"/>
    </row>
    <row r="286" spans="1:11" x14ac:dyDescent="0.15">
      <c r="A286" s="4" t="s">
        <v>1</v>
      </c>
      <c r="B286" s="40">
        <v>58051</v>
      </c>
      <c r="C286" s="6">
        <v>110</v>
      </c>
      <c r="D286" s="22" t="s">
        <v>680</v>
      </c>
      <c r="E286" s="23">
        <v>95805101</v>
      </c>
      <c r="G286" s="6" t="s">
        <v>7396</v>
      </c>
      <c r="H286" s="4">
        <v>100</v>
      </c>
      <c r="I286" s="4">
        <v>1</v>
      </c>
      <c r="K286" s="20"/>
    </row>
    <row r="287" spans="1:11" x14ac:dyDescent="0.15">
      <c r="B287" s="4" t="s">
        <v>115</v>
      </c>
      <c r="D287" s="22"/>
      <c r="E287" s="6" t="s">
        <v>115</v>
      </c>
      <c r="K287" s="20"/>
    </row>
    <row r="288" spans="1:11" x14ac:dyDescent="0.15">
      <c r="A288" s="4" t="s">
        <v>1</v>
      </c>
      <c r="B288" s="40">
        <v>69011</v>
      </c>
      <c r="C288" s="6">
        <v>108</v>
      </c>
      <c r="D288" s="22" t="s">
        <v>681</v>
      </c>
      <c r="E288" s="23">
        <v>96901101</v>
      </c>
      <c r="G288" s="51" t="s">
        <v>1413</v>
      </c>
      <c r="H288" s="4">
        <v>50</v>
      </c>
      <c r="I288" s="4">
        <v>1</v>
      </c>
      <c r="K288" s="20"/>
    </row>
    <row r="289" spans="1:11" x14ac:dyDescent="0.15">
      <c r="A289" s="4" t="s">
        <v>1</v>
      </c>
      <c r="B289" s="40">
        <v>69012</v>
      </c>
      <c r="C289" s="6">
        <v>108</v>
      </c>
      <c r="D289" s="22" t="s">
        <v>1414</v>
      </c>
      <c r="E289" s="23">
        <v>96901201</v>
      </c>
      <c r="G289" s="51" t="s">
        <v>1413</v>
      </c>
      <c r="H289" s="4">
        <v>50</v>
      </c>
      <c r="I289" s="4">
        <v>1</v>
      </c>
      <c r="K289" s="20"/>
    </row>
    <row r="290" spans="1:11" x14ac:dyDescent="0.15">
      <c r="A290" s="4" t="s">
        <v>1</v>
      </c>
      <c r="B290" s="40">
        <v>69021</v>
      </c>
      <c r="C290" s="6">
        <v>108</v>
      </c>
      <c r="D290" s="22" t="s">
        <v>1414</v>
      </c>
      <c r="E290" s="23">
        <v>96902101</v>
      </c>
      <c r="G290" s="51" t="s">
        <v>1415</v>
      </c>
      <c r="H290" s="4">
        <v>50</v>
      </c>
      <c r="I290" s="4">
        <v>1</v>
      </c>
    </row>
    <row r="291" spans="1:11" x14ac:dyDescent="0.15">
      <c r="A291" s="4" t="s">
        <v>1</v>
      </c>
      <c r="B291" s="40">
        <v>69022</v>
      </c>
      <c r="C291" s="6">
        <v>108</v>
      </c>
      <c r="D291" s="22" t="s">
        <v>1414</v>
      </c>
      <c r="E291" s="23">
        <v>96902201</v>
      </c>
      <c r="G291" s="51" t="s">
        <v>1415</v>
      </c>
      <c r="H291" s="4">
        <v>50</v>
      </c>
      <c r="I291" s="4">
        <v>1</v>
      </c>
    </row>
    <row r="292" spans="1:11" x14ac:dyDescent="0.15">
      <c r="A292" s="4" t="s">
        <v>1</v>
      </c>
      <c r="B292" s="40">
        <v>69031</v>
      </c>
      <c r="C292" s="6">
        <v>110</v>
      </c>
      <c r="D292" s="22" t="s">
        <v>680</v>
      </c>
      <c r="E292" s="23">
        <v>96903101</v>
      </c>
      <c r="G292" s="51" t="s">
        <v>7397</v>
      </c>
      <c r="H292" s="4">
        <v>100</v>
      </c>
      <c r="I292" s="4">
        <v>1</v>
      </c>
    </row>
    <row r="293" spans="1:11" x14ac:dyDescent="0.15">
      <c r="A293" s="4" t="s">
        <v>1</v>
      </c>
      <c r="B293" s="40">
        <v>69041</v>
      </c>
      <c r="C293" s="6">
        <v>110</v>
      </c>
      <c r="D293" s="22" t="s">
        <v>680</v>
      </c>
      <c r="E293" s="23">
        <v>96904101</v>
      </c>
      <c r="G293" s="51" t="s">
        <v>7398</v>
      </c>
      <c r="H293" s="4">
        <v>100</v>
      </c>
      <c r="I293" s="4">
        <v>1</v>
      </c>
    </row>
    <row r="294" spans="1:11" x14ac:dyDescent="0.15">
      <c r="A294" s="4" t="s">
        <v>1</v>
      </c>
      <c r="B294" s="40">
        <v>69051</v>
      </c>
      <c r="C294" s="6">
        <v>110</v>
      </c>
      <c r="D294" s="22" t="s">
        <v>680</v>
      </c>
      <c r="E294" s="23">
        <v>96905101</v>
      </c>
      <c r="G294" s="51" t="s">
        <v>7399</v>
      </c>
      <c r="H294" s="4">
        <v>100</v>
      </c>
      <c r="I294" s="4">
        <v>1</v>
      </c>
    </row>
    <row r="295" spans="1:11" x14ac:dyDescent="0.15">
      <c r="B295" s="40"/>
      <c r="D295" s="22"/>
      <c r="E295" s="23"/>
      <c r="G295" s="51"/>
    </row>
    <row r="296" spans="1:11" x14ac:dyDescent="0.15">
      <c r="A296" s="4" t="s">
        <v>1</v>
      </c>
      <c r="B296" s="40">
        <v>70011</v>
      </c>
      <c r="C296" s="6">
        <v>110</v>
      </c>
      <c r="D296" s="22" t="s">
        <v>680</v>
      </c>
      <c r="E296" s="23">
        <v>97001101</v>
      </c>
      <c r="G296" s="51" t="s">
        <v>7411</v>
      </c>
      <c r="H296" s="4">
        <v>100</v>
      </c>
      <c r="I296" s="4">
        <v>1</v>
      </c>
    </row>
    <row r="297" spans="1:11" x14ac:dyDescent="0.15">
      <c r="A297" s="4" t="s">
        <v>1</v>
      </c>
      <c r="B297" s="40">
        <v>70021</v>
      </c>
      <c r="C297" s="6">
        <v>110</v>
      </c>
      <c r="D297" s="22" t="s">
        <v>680</v>
      </c>
      <c r="E297" s="23">
        <v>97002101</v>
      </c>
      <c r="G297" s="51" t="s">
        <v>7412</v>
      </c>
      <c r="H297" s="4">
        <v>100</v>
      </c>
      <c r="I297" s="4">
        <v>1</v>
      </c>
    </row>
    <row r="298" spans="1:11" x14ac:dyDescent="0.15">
      <c r="A298" s="4" t="s">
        <v>1</v>
      </c>
      <c r="B298" s="40">
        <v>70031</v>
      </c>
      <c r="C298" s="6">
        <v>110</v>
      </c>
      <c r="D298" s="22" t="s">
        <v>680</v>
      </c>
      <c r="E298" s="23">
        <v>97003101</v>
      </c>
      <c r="G298" s="51" t="s">
        <v>7413</v>
      </c>
      <c r="H298" s="4">
        <v>100</v>
      </c>
      <c r="I298" s="4">
        <v>1</v>
      </c>
    </row>
    <row r="299" spans="1:11" x14ac:dyDescent="0.15">
      <c r="A299" s="4" t="s">
        <v>1</v>
      </c>
      <c r="B299" s="40">
        <v>70041</v>
      </c>
      <c r="C299" s="6">
        <v>110</v>
      </c>
      <c r="D299" s="22" t="s">
        <v>680</v>
      </c>
      <c r="E299" s="23">
        <v>97004101</v>
      </c>
      <c r="G299" s="51" t="s">
        <v>7414</v>
      </c>
      <c r="H299" s="4">
        <v>100</v>
      </c>
      <c r="I299" s="4">
        <v>1</v>
      </c>
    </row>
    <row r="300" spans="1:11" x14ac:dyDescent="0.15">
      <c r="A300" s="4" t="s">
        <v>1</v>
      </c>
      <c r="B300" s="40">
        <v>70051</v>
      </c>
      <c r="C300" s="6">
        <v>110</v>
      </c>
      <c r="D300" s="22" t="s">
        <v>680</v>
      </c>
      <c r="E300" s="23">
        <v>97005101</v>
      </c>
      <c r="G300" s="51" t="s">
        <v>7415</v>
      </c>
      <c r="H300" s="4">
        <v>100</v>
      </c>
      <c r="I300" s="4">
        <v>1</v>
      </c>
    </row>
    <row r="301" spans="1:11" x14ac:dyDescent="0.15">
      <c r="B301" s="4" t="s">
        <v>115</v>
      </c>
      <c r="E301" s="6" t="s">
        <v>115</v>
      </c>
    </row>
    <row r="302" spans="1:11" x14ac:dyDescent="0.15">
      <c r="A302" s="4" t="s">
        <v>1</v>
      </c>
      <c r="B302" s="40">
        <v>72011</v>
      </c>
      <c r="C302" s="6">
        <v>108</v>
      </c>
      <c r="D302" s="22" t="s">
        <v>1416</v>
      </c>
      <c r="E302" s="23">
        <v>97201101</v>
      </c>
      <c r="G302" s="51" t="s">
        <v>1417</v>
      </c>
      <c r="H302" s="4">
        <v>33</v>
      </c>
      <c r="I302" s="4">
        <v>1</v>
      </c>
    </row>
    <row r="303" spans="1:11" x14ac:dyDescent="0.15">
      <c r="A303" s="4" t="s">
        <v>1</v>
      </c>
      <c r="B303" s="40">
        <v>72012</v>
      </c>
      <c r="C303" s="6">
        <v>108</v>
      </c>
      <c r="D303" s="22" t="s">
        <v>681</v>
      </c>
      <c r="E303" s="23">
        <v>97201201</v>
      </c>
      <c r="G303" s="51" t="s">
        <v>1417</v>
      </c>
      <c r="H303" s="4">
        <v>33</v>
      </c>
      <c r="I303" s="4">
        <v>1</v>
      </c>
    </row>
    <row r="304" spans="1:11" x14ac:dyDescent="0.15">
      <c r="A304" s="4" t="s">
        <v>1</v>
      </c>
      <c r="B304" s="40">
        <v>72013</v>
      </c>
      <c r="C304" s="6">
        <v>111</v>
      </c>
      <c r="D304" s="22" t="s">
        <v>1418</v>
      </c>
      <c r="E304" s="23">
        <v>97201301</v>
      </c>
      <c r="G304" s="51" t="s">
        <v>1417</v>
      </c>
      <c r="H304" s="4">
        <v>34</v>
      </c>
      <c r="I304" s="4">
        <v>1</v>
      </c>
    </row>
    <row r="305" spans="1:11" x14ac:dyDescent="0.15">
      <c r="A305" s="4" t="s">
        <v>1</v>
      </c>
      <c r="B305" s="40">
        <v>72021</v>
      </c>
      <c r="C305" s="6">
        <v>108</v>
      </c>
      <c r="D305" s="22" t="s">
        <v>681</v>
      </c>
      <c r="E305" s="23">
        <v>97202101</v>
      </c>
      <c r="G305" s="51" t="s">
        <v>1419</v>
      </c>
      <c r="H305" s="4">
        <v>50</v>
      </c>
      <c r="I305" s="4">
        <v>1</v>
      </c>
    </row>
    <row r="306" spans="1:11" x14ac:dyDescent="0.15">
      <c r="A306" s="4" t="s">
        <v>1</v>
      </c>
      <c r="B306" s="40">
        <v>72022</v>
      </c>
      <c r="C306" s="6">
        <v>108</v>
      </c>
      <c r="D306" s="22" t="s">
        <v>681</v>
      </c>
      <c r="E306" s="23">
        <v>97202201</v>
      </c>
      <c r="G306" s="51" t="s">
        <v>1419</v>
      </c>
      <c r="H306" s="4">
        <v>50</v>
      </c>
      <c r="I306" s="4">
        <v>1</v>
      </c>
    </row>
    <row r="307" spans="1:11" x14ac:dyDescent="0.15">
      <c r="A307" s="4" t="s">
        <v>1</v>
      </c>
      <c r="B307" s="40">
        <v>72031</v>
      </c>
      <c r="C307" s="6">
        <v>110</v>
      </c>
      <c r="D307" s="22" t="s">
        <v>680</v>
      </c>
      <c r="E307" s="23">
        <v>97203101</v>
      </c>
      <c r="G307" s="51" t="s">
        <v>7416</v>
      </c>
      <c r="H307" s="4">
        <v>100</v>
      </c>
      <c r="I307" s="4">
        <v>1</v>
      </c>
    </row>
    <row r="308" spans="1:11" x14ac:dyDescent="0.15">
      <c r="A308" s="4" t="s">
        <v>1</v>
      </c>
      <c r="B308" s="40">
        <v>72041</v>
      </c>
      <c r="C308" s="6">
        <v>110</v>
      </c>
      <c r="D308" s="22" t="s">
        <v>680</v>
      </c>
      <c r="E308" s="23">
        <v>97204101</v>
      </c>
      <c r="G308" s="51" t="s">
        <v>7417</v>
      </c>
      <c r="H308" s="4">
        <v>100</v>
      </c>
      <c r="I308" s="4">
        <v>1</v>
      </c>
    </row>
    <row r="309" spans="1:11" x14ac:dyDescent="0.15">
      <c r="A309" s="4" t="s">
        <v>1</v>
      </c>
      <c r="B309" s="40">
        <v>72051</v>
      </c>
      <c r="C309" s="6">
        <v>110</v>
      </c>
      <c r="D309" s="22" t="s">
        <v>680</v>
      </c>
      <c r="E309" s="23">
        <v>97205101</v>
      </c>
      <c r="G309" s="51" t="s">
        <v>7418</v>
      </c>
      <c r="H309" s="4">
        <v>100</v>
      </c>
      <c r="I309" s="4">
        <v>1</v>
      </c>
    </row>
    <row r="310" spans="1:11" x14ac:dyDescent="0.15">
      <c r="B310" s="40"/>
      <c r="D310" s="22"/>
      <c r="E310" s="23"/>
      <c r="G310" s="51"/>
    </row>
    <row r="311" spans="1:11" x14ac:dyDescent="0.15">
      <c r="A311" s="4" t="s">
        <v>1</v>
      </c>
      <c r="B311" s="40">
        <v>73011</v>
      </c>
      <c r="C311" s="4">
        <v>108</v>
      </c>
      <c r="D311" s="7" t="s">
        <v>681</v>
      </c>
      <c r="E311" s="40">
        <v>97301101</v>
      </c>
      <c r="G311" s="6" t="s">
        <v>1420</v>
      </c>
      <c r="H311" s="4">
        <v>33</v>
      </c>
      <c r="I311" s="4">
        <v>1</v>
      </c>
    </row>
    <row r="312" spans="1:11" x14ac:dyDescent="0.15">
      <c r="A312" s="4" t="s">
        <v>1</v>
      </c>
      <c r="B312" s="40">
        <v>73012</v>
      </c>
      <c r="C312" s="6">
        <v>108</v>
      </c>
      <c r="D312" s="22" t="s">
        <v>1416</v>
      </c>
      <c r="E312" s="23">
        <v>97301201</v>
      </c>
      <c r="G312" s="51" t="s">
        <v>1420</v>
      </c>
      <c r="H312" s="4">
        <v>33</v>
      </c>
      <c r="I312" s="4">
        <v>1</v>
      </c>
    </row>
    <row r="313" spans="1:11" x14ac:dyDescent="0.15">
      <c r="A313" s="4" t="s">
        <v>1</v>
      </c>
      <c r="B313" s="40">
        <v>73013</v>
      </c>
      <c r="C313" s="6">
        <v>104</v>
      </c>
      <c r="D313" s="22" t="s">
        <v>1421</v>
      </c>
      <c r="E313" s="23">
        <v>97301301</v>
      </c>
      <c r="G313" s="51" t="s">
        <v>1420</v>
      </c>
      <c r="H313" s="4">
        <v>34</v>
      </c>
      <c r="I313" s="4">
        <v>1</v>
      </c>
    </row>
    <row r="314" spans="1:11" x14ac:dyDescent="0.15">
      <c r="A314" s="4" t="s">
        <v>1</v>
      </c>
      <c r="B314" s="40">
        <v>73021</v>
      </c>
      <c r="C314" s="6">
        <v>108</v>
      </c>
      <c r="D314" s="22" t="s">
        <v>681</v>
      </c>
      <c r="E314" s="23">
        <v>97302101</v>
      </c>
      <c r="G314" s="51" t="s">
        <v>1422</v>
      </c>
      <c r="H314" s="4">
        <v>33</v>
      </c>
      <c r="I314" s="4">
        <v>1</v>
      </c>
    </row>
    <row r="315" spans="1:11" x14ac:dyDescent="0.15">
      <c r="A315" s="4" t="s">
        <v>1</v>
      </c>
      <c r="B315" s="40">
        <v>73022</v>
      </c>
      <c r="C315" s="6">
        <v>108</v>
      </c>
      <c r="D315" s="22" t="s">
        <v>681</v>
      </c>
      <c r="E315" s="23">
        <v>97302201</v>
      </c>
      <c r="G315" s="51" t="s">
        <v>1422</v>
      </c>
      <c r="H315" s="4">
        <v>33</v>
      </c>
      <c r="I315" s="4">
        <v>1</v>
      </c>
    </row>
    <row r="316" spans="1:11" x14ac:dyDescent="0.15">
      <c r="A316" s="4" t="s">
        <v>1</v>
      </c>
      <c r="B316" s="40">
        <v>73023</v>
      </c>
      <c r="C316" s="6">
        <v>108</v>
      </c>
      <c r="D316" s="22" t="s">
        <v>684</v>
      </c>
      <c r="E316" s="23">
        <v>97302301</v>
      </c>
      <c r="G316" s="51" t="s">
        <v>1422</v>
      </c>
      <c r="H316" s="4">
        <v>34</v>
      </c>
      <c r="I316" s="4">
        <v>1</v>
      </c>
    </row>
    <row r="317" spans="1:11" x14ac:dyDescent="0.15">
      <c r="A317" s="4" t="s">
        <v>1</v>
      </c>
      <c r="B317" s="4">
        <v>73031</v>
      </c>
      <c r="C317" s="4">
        <v>110</v>
      </c>
      <c r="D317" s="7" t="s">
        <v>680</v>
      </c>
      <c r="E317" s="4">
        <v>97303101</v>
      </c>
      <c r="G317" s="6" t="s">
        <v>7419</v>
      </c>
      <c r="H317" s="4">
        <v>100</v>
      </c>
      <c r="I317" s="4">
        <v>1</v>
      </c>
    </row>
    <row r="318" spans="1:11" s="20" customFormat="1" x14ac:dyDescent="0.15">
      <c r="A318" s="4" t="s">
        <v>1</v>
      </c>
      <c r="B318" s="4">
        <v>73041</v>
      </c>
      <c r="C318" s="4">
        <v>110</v>
      </c>
      <c r="D318" s="7" t="s">
        <v>680</v>
      </c>
      <c r="E318" s="4">
        <v>97304101</v>
      </c>
      <c r="F318" s="4"/>
      <c r="G318" s="4" t="s">
        <v>7420</v>
      </c>
      <c r="H318" s="20">
        <v>100</v>
      </c>
      <c r="I318" s="20">
        <v>1</v>
      </c>
      <c r="J318" s="4"/>
      <c r="K318" s="4"/>
    </row>
    <row r="319" spans="1:11" s="20" customFormat="1" x14ac:dyDescent="0.15">
      <c r="A319" s="4" t="s">
        <v>1</v>
      </c>
      <c r="B319" s="4">
        <v>73051</v>
      </c>
      <c r="C319" s="4">
        <v>110</v>
      </c>
      <c r="D319" s="7" t="s">
        <v>680</v>
      </c>
      <c r="E319" s="4">
        <v>97305101</v>
      </c>
      <c r="F319" s="4"/>
      <c r="G319" s="4" t="s">
        <v>7421</v>
      </c>
      <c r="H319" s="20">
        <v>100</v>
      </c>
      <c r="I319" s="20">
        <v>1</v>
      </c>
      <c r="J319" s="4"/>
      <c r="K319" s="4"/>
    </row>
    <row r="320" spans="1:11" s="20" customFormat="1" x14ac:dyDescent="0.15">
      <c r="A320" s="4"/>
      <c r="B320" s="4"/>
      <c r="C320" s="4"/>
      <c r="D320" s="7"/>
      <c r="E320" s="4"/>
      <c r="F320" s="4"/>
      <c r="G320" s="4"/>
      <c r="J320" s="4"/>
      <c r="K320" s="4"/>
    </row>
    <row r="321" spans="1:11" s="20" customFormat="1" x14ac:dyDescent="0.15">
      <c r="A321" s="4" t="s">
        <v>1</v>
      </c>
      <c r="B321" s="4">
        <v>79011</v>
      </c>
      <c r="C321" s="4">
        <v>110</v>
      </c>
      <c r="D321" s="7" t="s">
        <v>680</v>
      </c>
      <c r="E321" s="4">
        <v>97901101</v>
      </c>
      <c r="F321" s="4"/>
      <c r="G321" s="4" t="s">
        <v>7422</v>
      </c>
      <c r="H321" s="20">
        <v>100</v>
      </c>
      <c r="I321" s="20">
        <v>1</v>
      </c>
      <c r="J321" s="4"/>
      <c r="K321" s="4"/>
    </row>
    <row r="322" spans="1:11" s="20" customFormat="1" x14ac:dyDescent="0.15">
      <c r="A322" s="4" t="s">
        <v>1</v>
      </c>
      <c r="B322" s="4">
        <v>79021</v>
      </c>
      <c r="C322" s="4">
        <v>110</v>
      </c>
      <c r="D322" s="7" t="s">
        <v>680</v>
      </c>
      <c r="E322" s="4">
        <v>97902101</v>
      </c>
      <c r="F322" s="4"/>
      <c r="G322" s="4" t="s">
        <v>7423</v>
      </c>
      <c r="H322" s="20">
        <v>100</v>
      </c>
      <c r="I322" s="20">
        <v>1</v>
      </c>
      <c r="J322" s="4"/>
      <c r="K322" s="4"/>
    </row>
    <row r="323" spans="1:11" s="20" customFormat="1" x14ac:dyDescent="0.15">
      <c r="A323" s="4" t="s">
        <v>1</v>
      </c>
      <c r="B323" s="4">
        <v>79031</v>
      </c>
      <c r="C323" s="4">
        <v>110</v>
      </c>
      <c r="D323" s="7" t="s">
        <v>680</v>
      </c>
      <c r="E323" s="4">
        <v>97903101</v>
      </c>
      <c r="F323" s="4"/>
      <c r="G323" s="4" t="s">
        <v>7424</v>
      </c>
      <c r="H323" s="20">
        <v>100</v>
      </c>
      <c r="I323" s="20">
        <v>1</v>
      </c>
      <c r="J323" s="4"/>
      <c r="K323" s="4"/>
    </row>
    <row r="324" spans="1:11" s="20" customFormat="1" x14ac:dyDescent="0.15">
      <c r="A324" s="4" t="s">
        <v>1</v>
      </c>
      <c r="B324" s="4">
        <v>79041</v>
      </c>
      <c r="C324" s="20">
        <v>110</v>
      </c>
      <c r="D324" s="7" t="s">
        <v>680</v>
      </c>
      <c r="E324" s="4">
        <v>97904101</v>
      </c>
      <c r="F324" s="4"/>
      <c r="G324" s="4" t="s">
        <v>7425</v>
      </c>
      <c r="H324" s="20">
        <v>100</v>
      </c>
      <c r="I324" s="20">
        <v>1</v>
      </c>
      <c r="J324" s="4"/>
      <c r="K324" s="4"/>
    </row>
    <row r="325" spans="1:11" s="20" customFormat="1" x14ac:dyDescent="0.15">
      <c r="A325" s="4" t="s">
        <v>1</v>
      </c>
      <c r="B325" s="4">
        <v>79051</v>
      </c>
      <c r="C325" s="20">
        <v>110</v>
      </c>
      <c r="D325" s="7" t="s">
        <v>680</v>
      </c>
      <c r="E325" s="4">
        <v>97905101</v>
      </c>
      <c r="F325" s="4"/>
      <c r="G325" s="4" t="s">
        <v>7426</v>
      </c>
      <c r="H325" s="20">
        <v>100</v>
      </c>
      <c r="I325" s="20">
        <v>1</v>
      </c>
      <c r="J325" s="4"/>
      <c r="K325" s="4"/>
    </row>
    <row r="326" spans="1:11" s="20" customFormat="1" x14ac:dyDescent="0.15">
      <c r="A326" s="4"/>
      <c r="B326" s="4"/>
      <c r="D326" s="7"/>
      <c r="E326" s="4"/>
      <c r="F326" s="4"/>
      <c r="G326" s="4"/>
      <c r="K326" s="4"/>
    </row>
    <row r="327" spans="1:11" s="20" customFormat="1" x14ac:dyDescent="0.15">
      <c r="A327" s="4"/>
      <c r="B327" s="4"/>
      <c r="D327" s="7"/>
      <c r="E327" s="4"/>
      <c r="F327" s="4"/>
      <c r="G327" s="4"/>
      <c r="K327" s="4"/>
    </row>
    <row r="328" spans="1:11" s="20" customFormat="1" x14ac:dyDescent="0.15">
      <c r="A328" s="4"/>
      <c r="B328" s="4"/>
      <c r="D328" s="7"/>
      <c r="E328" s="4"/>
      <c r="F328" s="4"/>
      <c r="G328" s="4"/>
      <c r="K328" s="4"/>
    </row>
    <row r="329" spans="1:11" s="20" customFormat="1" x14ac:dyDescent="0.15">
      <c r="A329" s="4"/>
      <c r="B329" s="4"/>
      <c r="C329" s="4"/>
      <c r="D329" s="7"/>
      <c r="E329" s="4"/>
      <c r="F329" s="4"/>
      <c r="G329" s="4"/>
      <c r="K329" s="4"/>
    </row>
    <row r="330" spans="1:11" s="20" customFormat="1" x14ac:dyDescent="0.15">
      <c r="A330" s="4"/>
      <c r="B330" s="4"/>
      <c r="C330" s="4"/>
      <c r="D330" s="7"/>
      <c r="E330" s="4"/>
      <c r="F330" s="4"/>
      <c r="G330" s="4"/>
      <c r="K330" s="4"/>
    </row>
    <row r="331" spans="1:11" s="20" customFormat="1" x14ac:dyDescent="0.15">
      <c r="A331" s="4"/>
      <c r="B331" s="4"/>
      <c r="C331" s="4"/>
      <c r="D331" s="7"/>
      <c r="E331" s="4"/>
      <c r="F331" s="4"/>
      <c r="G331" s="4"/>
      <c r="K331" s="4"/>
    </row>
    <row r="332" spans="1:11" s="20" customFormat="1" x14ac:dyDescent="0.15">
      <c r="A332" s="4"/>
      <c r="B332" s="4"/>
      <c r="C332" s="4"/>
      <c r="D332" s="7"/>
      <c r="E332" s="4"/>
      <c r="F332" s="4"/>
      <c r="G332" s="4"/>
      <c r="K332" s="4"/>
    </row>
    <row r="333" spans="1:11" s="20" customFormat="1" x14ac:dyDescent="0.15">
      <c r="A333" s="4"/>
      <c r="B333" s="4"/>
      <c r="C333" s="4"/>
      <c r="D333" s="7"/>
      <c r="E333" s="4"/>
      <c r="F333" s="4"/>
      <c r="G333" s="4"/>
      <c r="K333" s="4"/>
    </row>
    <row r="334" spans="1:11" s="20" customFormat="1" x14ac:dyDescent="0.15">
      <c r="A334" s="4"/>
      <c r="B334" s="4"/>
      <c r="C334" s="4"/>
      <c r="D334" s="7"/>
      <c r="E334" s="4"/>
      <c r="F334" s="4"/>
      <c r="G334" s="4"/>
      <c r="K334" s="4"/>
    </row>
    <row r="335" spans="1:11" s="20" customFormat="1" x14ac:dyDescent="0.15">
      <c r="A335" s="4"/>
      <c r="B335" s="4"/>
      <c r="C335" s="4"/>
      <c r="D335" s="7"/>
      <c r="E335" s="4"/>
      <c r="F335" s="4"/>
      <c r="G335" s="4"/>
      <c r="K335" s="4"/>
    </row>
    <row r="336" spans="1:11" s="20" customFormat="1" x14ac:dyDescent="0.15">
      <c r="A336" s="4"/>
      <c r="B336" s="4"/>
      <c r="C336" s="4"/>
      <c r="D336" s="7"/>
      <c r="E336" s="4"/>
      <c r="F336" s="4"/>
      <c r="G336" s="4"/>
      <c r="K336" s="4"/>
    </row>
    <row r="337" spans="1:11" s="20" customFormat="1" x14ac:dyDescent="0.15">
      <c r="A337" s="4"/>
      <c r="B337" s="4"/>
      <c r="C337" s="4"/>
      <c r="D337" s="7"/>
      <c r="E337" s="4"/>
      <c r="F337" s="4"/>
      <c r="G337" s="4"/>
      <c r="K337" s="4"/>
    </row>
    <row r="338" spans="1:11" s="20" customFormat="1" x14ac:dyDescent="0.15">
      <c r="A338" s="4"/>
      <c r="B338" s="4"/>
      <c r="C338" s="4"/>
      <c r="D338" s="7"/>
      <c r="E338" s="4"/>
      <c r="F338" s="4"/>
      <c r="G338" s="4"/>
      <c r="K338" s="4"/>
    </row>
    <row r="339" spans="1:11" s="20" customFormat="1" x14ac:dyDescent="0.15">
      <c r="A339" s="4"/>
      <c r="B339" s="4"/>
      <c r="C339" s="4"/>
      <c r="D339" s="7"/>
      <c r="E339" s="4"/>
      <c r="F339" s="4"/>
      <c r="G339" s="4"/>
      <c r="K339" s="4"/>
    </row>
    <row r="340" spans="1:11" s="20" customFormat="1" x14ac:dyDescent="0.15">
      <c r="A340" s="4"/>
      <c r="B340" s="4"/>
      <c r="C340" s="4"/>
      <c r="D340" s="7"/>
      <c r="E340" s="4"/>
      <c r="F340" s="4"/>
      <c r="G340" s="4"/>
      <c r="K340" s="4"/>
    </row>
    <row r="341" spans="1:11" s="20" customFormat="1" x14ac:dyDescent="0.15">
      <c r="A341" s="4"/>
      <c r="B341" s="4"/>
      <c r="C341" s="4"/>
      <c r="D341" s="7"/>
      <c r="E341" s="4"/>
      <c r="F341" s="4"/>
      <c r="G341" s="4"/>
      <c r="K341" s="4"/>
    </row>
    <row r="342" spans="1:11" s="20" customFormat="1" x14ac:dyDescent="0.15">
      <c r="A342" s="4"/>
      <c r="B342" s="4"/>
      <c r="C342" s="4"/>
      <c r="D342" s="7"/>
      <c r="E342" s="4"/>
      <c r="F342" s="4"/>
      <c r="G342" s="4"/>
      <c r="K342" s="4"/>
    </row>
    <row r="343" spans="1:11" s="20" customFormat="1" x14ac:dyDescent="0.15">
      <c r="A343" s="4"/>
      <c r="B343" s="4"/>
      <c r="C343" s="4"/>
      <c r="D343" s="7"/>
      <c r="E343" s="4"/>
      <c r="F343" s="4"/>
      <c r="G343" s="4"/>
      <c r="K343" s="4"/>
    </row>
    <row r="344" spans="1:11" s="20" customFormat="1" x14ac:dyDescent="0.15">
      <c r="A344" s="4"/>
      <c r="B344" s="4"/>
      <c r="C344" s="4"/>
      <c r="D344" s="7"/>
      <c r="E344" s="4"/>
      <c r="F344" s="4"/>
      <c r="G344" s="4"/>
      <c r="K344" s="4"/>
    </row>
    <row r="345" spans="1:11" s="20" customFormat="1" x14ac:dyDescent="0.15">
      <c r="A345" s="4"/>
      <c r="B345" s="4"/>
      <c r="C345" s="4"/>
      <c r="D345" s="7"/>
      <c r="E345" s="4"/>
      <c r="F345" s="4"/>
      <c r="G345" s="4"/>
      <c r="K345" s="4"/>
    </row>
    <row r="346" spans="1:11" s="20" customFormat="1" x14ac:dyDescent="0.15">
      <c r="A346" s="4"/>
      <c r="B346" s="4"/>
      <c r="C346" s="4"/>
      <c r="D346" s="7"/>
      <c r="E346" s="4"/>
      <c r="F346" s="4"/>
      <c r="G346" s="4"/>
      <c r="K346" s="4"/>
    </row>
    <row r="347" spans="1:11" s="20" customFormat="1" x14ac:dyDescent="0.15">
      <c r="A347" s="4"/>
      <c r="B347" s="4"/>
      <c r="C347" s="4"/>
      <c r="D347" s="7"/>
      <c r="E347" s="4"/>
      <c r="F347" s="4"/>
      <c r="G347" s="4"/>
      <c r="K347" s="4"/>
    </row>
    <row r="348" spans="1:11" s="20" customFormat="1" x14ac:dyDescent="0.15">
      <c r="A348" s="4"/>
      <c r="B348" s="4"/>
      <c r="C348" s="4"/>
      <c r="D348" s="7"/>
      <c r="E348" s="4"/>
      <c r="F348" s="4"/>
      <c r="G348" s="4"/>
      <c r="K348" s="4"/>
    </row>
    <row r="349" spans="1:11" s="20" customFormat="1" x14ac:dyDescent="0.15">
      <c r="A349" s="4"/>
      <c r="B349" s="4"/>
      <c r="C349" s="4"/>
      <c r="D349" s="7"/>
      <c r="E349" s="4"/>
      <c r="F349" s="4"/>
      <c r="G349" s="4"/>
      <c r="K349" s="4"/>
    </row>
    <row r="350" spans="1:11" s="20" customFormat="1" x14ac:dyDescent="0.15">
      <c r="A350" s="4"/>
      <c r="B350" s="4"/>
      <c r="C350" s="4"/>
      <c r="D350" s="7"/>
      <c r="E350" s="4"/>
      <c r="F350" s="4"/>
      <c r="G350" s="4"/>
      <c r="K350" s="4"/>
    </row>
    <row r="351" spans="1:11" s="20" customFormat="1" x14ac:dyDescent="0.15">
      <c r="A351" s="4"/>
      <c r="B351" s="4"/>
      <c r="C351" s="4"/>
      <c r="D351" s="7"/>
      <c r="E351" s="4"/>
      <c r="F351" s="4"/>
      <c r="G351" s="4"/>
      <c r="K351" s="4"/>
    </row>
    <row r="352" spans="1:11" s="20" customFormat="1" x14ac:dyDescent="0.15">
      <c r="A352" s="4"/>
      <c r="B352" s="4"/>
      <c r="C352" s="4"/>
      <c r="D352" s="7"/>
      <c r="E352" s="4"/>
      <c r="F352" s="4"/>
      <c r="G352" s="4"/>
      <c r="K352" s="4"/>
    </row>
    <row r="353" spans="1:11" s="20" customFormat="1" x14ac:dyDescent="0.15">
      <c r="A353" s="4"/>
      <c r="B353" s="4"/>
      <c r="C353" s="4"/>
      <c r="D353" s="7"/>
      <c r="E353" s="4"/>
      <c r="F353" s="4"/>
      <c r="G353" s="4"/>
      <c r="K353" s="4"/>
    </row>
    <row r="354" spans="1:11" s="20" customFormat="1" x14ac:dyDescent="0.15">
      <c r="A354" s="4"/>
      <c r="B354" s="4"/>
      <c r="C354" s="4"/>
      <c r="D354" s="7"/>
      <c r="E354" s="4"/>
      <c r="F354" s="4"/>
      <c r="G354" s="4"/>
      <c r="K354" s="4"/>
    </row>
    <row r="355" spans="1:11" s="20" customFormat="1" x14ac:dyDescent="0.15">
      <c r="A355" s="4"/>
      <c r="B355" s="4"/>
      <c r="C355" s="4"/>
      <c r="D355" s="7"/>
      <c r="E355" s="4"/>
      <c r="F355" s="4"/>
      <c r="G355" s="4"/>
      <c r="K355" s="4"/>
    </row>
    <row r="356" spans="1:11" s="20" customFormat="1" x14ac:dyDescent="0.15">
      <c r="A356" s="4"/>
      <c r="B356" s="4"/>
      <c r="C356" s="4"/>
      <c r="D356" s="7"/>
      <c r="E356" s="4"/>
      <c r="F356" s="4"/>
      <c r="G356" s="4"/>
      <c r="K356" s="4"/>
    </row>
    <row r="357" spans="1:11" s="20" customFormat="1" x14ac:dyDescent="0.15">
      <c r="A357" s="4"/>
      <c r="B357" s="4"/>
      <c r="C357" s="4"/>
      <c r="D357" s="7"/>
      <c r="E357" s="4"/>
      <c r="F357" s="4"/>
      <c r="G357" s="4"/>
      <c r="K357" s="4"/>
    </row>
    <row r="358" spans="1:11" s="20" customFormat="1" x14ac:dyDescent="0.15">
      <c r="A358" s="4"/>
      <c r="B358" s="4"/>
      <c r="C358" s="4"/>
      <c r="D358" s="7"/>
      <c r="E358" s="4"/>
      <c r="F358" s="4"/>
      <c r="G358" s="4"/>
      <c r="K358" s="4"/>
    </row>
    <row r="359" spans="1:11" s="20" customFormat="1" x14ac:dyDescent="0.15">
      <c r="A359" s="4"/>
      <c r="B359" s="4"/>
      <c r="C359" s="4"/>
      <c r="D359" s="7"/>
      <c r="E359" s="4"/>
      <c r="F359" s="4"/>
      <c r="G359" s="4"/>
      <c r="K359" s="4"/>
    </row>
    <row r="360" spans="1:11" x14ac:dyDescent="0.15">
      <c r="B360" s="4"/>
      <c r="C360" s="4"/>
      <c r="D360" s="7"/>
      <c r="E360" s="4"/>
      <c r="G360" s="4"/>
    </row>
    <row r="361" spans="1:11" x14ac:dyDescent="0.15">
      <c r="B361" s="4"/>
      <c r="C361" s="4"/>
      <c r="D361" s="7"/>
      <c r="E361" s="4"/>
      <c r="G361" s="4"/>
    </row>
    <row r="362" spans="1:11" x14ac:dyDescent="0.15">
      <c r="B362" s="4"/>
      <c r="C362" s="4"/>
      <c r="D362" s="7"/>
      <c r="E362" s="4"/>
      <c r="G362" s="4"/>
    </row>
    <row r="363" spans="1:11" x14ac:dyDescent="0.15">
      <c r="B363" s="4"/>
      <c r="C363" s="4"/>
      <c r="D363" s="7"/>
      <c r="E363" s="4"/>
      <c r="G363" s="4"/>
    </row>
    <row r="364" spans="1:11" x14ac:dyDescent="0.15">
      <c r="B364" s="4"/>
      <c r="C364" s="4"/>
      <c r="D364" s="7"/>
      <c r="E364" s="4"/>
      <c r="G364" s="4"/>
    </row>
    <row r="365" spans="1:11" x14ac:dyDescent="0.15">
      <c r="B365" s="4"/>
      <c r="C365" s="4"/>
      <c r="D365" s="7"/>
      <c r="E365" s="4"/>
      <c r="G365" s="4"/>
    </row>
    <row r="366" spans="1:11" x14ac:dyDescent="0.15">
      <c r="B366" s="4"/>
      <c r="C366" s="4"/>
      <c r="D366" s="7"/>
      <c r="E366" s="4"/>
      <c r="G366" s="4"/>
    </row>
    <row r="367" spans="1:11" x14ac:dyDescent="0.15">
      <c r="B367" s="4"/>
      <c r="C367" s="4"/>
      <c r="D367" s="7"/>
      <c r="E367" s="4"/>
      <c r="G367" s="4"/>
    </row>
    <row r="368" spans="1:11" x14ac:dyDescent="0.15">
      <c r="B368" s="4"/>
      <c r="C368" s="4"/>
      <c r="D368" s="7"/>
      <c r="E368" s="4"/>
      <c r="G368" s="4"/>
    </row>
    <row r="369" spans="2:7" x14ac:dyDescent="0.15">
      <c r="B369" s="4"/>
      <c r="C369" s="4"/>
      <c r="D369" s="7"/>
      <c r="E369" s="4"/>
      <c r="G369" s="4"/>
    </row>
    <row r="370" spans="2:7" x14ac:dyDescent="0.15">
      <c r="B370" s="4"/>
      <c r="C370" s="4"/>
      <c r="D370" s="7"/>
      <c r="E370" s="4"/>
      <c r="G370" s="4"/>
    </row>
    <row r="371" spans="2:7" x14ac:dyDescent="0.15">
      <c r="B371" s="4"/>
      <c r="C371" s="4"/>
      <c r="D371" s="7"/>
      <c r="E371" s="4"/>
      <c r="G371" s="4"/>
    </row>
    <row r="372" spans="2:7" x14ac:dyDescent="0.15">
      <c r="B372" s="4"/>
      <c r="C372" s="4"/>
      <c r="D372" s="7"/>
      <c r="E372" s="4"/>
      <c r="G372" s="4"/>
    </row>
    <row r="373" spans="2:7" x14ac:dyDescent="0.15">
      <c r="B373" s="4"/>
      <c r="C373" s="4"/>
      <c r="D373" s="7"/>
      <c r="E373" s="4"/>
      <c r="G373" s="4"/>
    </row>
    <row r="374" spans="2:7" x14ac:dyDescent="0.15">
      <c r="B374" s="4"/>
      <c r="C374" s="4"/>
      <c r="D374" s="7"/>
      <c r="E374" s="4"/>
      <c r="G374" s="4"/>
    </row>
    <row r="375" spans="2:7" x14ac:dyDescent="0.15">
      <c r="B375" s="4"/>
      <c r="C375" s="4"/>
      <c r="D375" s="7"/>
      <c r="E375" s="4"/>
      <c r="G375" s="4"/>
    </row>
    <row r="376" spans="2:7" x14ac:dyDescent="0.15">
      <c r="B376" s="4"/>
      <c r="C376" s="4"/>
      <c r="D376" s="7"/>
      <c r="E376" s="4"/>
      <c r="G376" s="4"/>
    </row>
    <row r="377" spans="2:7" x14ac:dyDescent="0.15">
      <c r="B377" s="4"/>
      <c r="C377" s="4"/>
      <c r="D377" s="7"/>
      <c r="E377" s="4"/>
      <c r="G377" s="4"/>
    </row>
    <row r="378" spans="2:7" x14ac:dyDescent="0.15">
      <c r="B378" s="4"/>
      <c r="C378" s="4"/>
      <c r="D378" s="7"/>
      <c r="E378" s="4"/>
      <c r="G378" s="4"/>
    </row>
    <row r="379" spans="2:7" x14ac:dyDescent="0.15">
      <c r="B379" s="4"/>
      <c r="C379" s="4"/>
      <c r="D379" s="7"/>
      <c r="E379" s="4"/>
      <c r="G379" s="4"/>
    </row>
    <row r="380" spans="2:7" x14ac:dyDescent="0.15">
      <c r="B380" s="4"/>
      <c r="C380" s="4"/>
      <c r="D380" s="7"/>
      <c r="E380" s="4"/>
      <c r="G380" s="4"/>
    </row>
    <row r="381" spans="2:7" x14ac:dyDescent="0.15">
      <c r="B381" s="4"/>
      <c r="C381" s="4"/>
      <c r="D381" s="7"/>
      <c r="E381" s="4"/>
      <c r="G381" s="4"/>
    </row>
    <row r="382" spans="2:7" x14ac:dyDescent="0.15">
      <c r="B382" s="4"/>
      <c r="C382" s="4"/>
      <c r="D382" s="7"/>
      <c r="E382" s="4"/>
      <c r="G382" s="4"/>
    </row>
    <row r="383" spans="2:7" x14ac:dyDescent="0.15">
      <c r="B383" s="4"/>
      <c r="C383" s="4"/>
      <c r="D383" s="7"/>
      <c r="E383" s="4"/>
      <c r="G383" s="4"/>
    </row>
    <row r="384" spans="2:7" x14ac:dyDescent="0.15">
      <c r="B384" s="4"/>
      <c r="C384" s="4"/>
      <c r="D384" s="7"/>
      <c r="E384" s="4"/>
      <c r="G384" s="4"/>
    </row>
    <row r="385" spans="2:7" x14ac:dyDescent="0.15">
      <c r="B385" s="4"/>
      <c r="C385" s="4"/>
      <c r="D385" s="7"/>
      <c r="E385" s="4"/>
      <c r="G385" s="4"/>
    </row>
    <row r="386" spans="2:7" x14ac:dyDescent="0.15">
      <c r="B386" s="4"/>
      <c r="C386" s="4"/>
      <c r="D386" s="7"/>
      <c r="E386" s="4"/>
      <c r="G386" s="4"/>
    </row>
    <row r="387" spans="2:7" x14ac:dyDescent="0.15">
      <c r="B387" s="4"/>
      <c r="C387" s="4"/>
      <c r="D387" s="7"/>
      <c r="E387" s="4"/>
      <c r="G387" s="4"/>
    </row>
    <row r="388" spans="2:7" x14ac:dyDescent="0.15">
      <c r="B388" s="4"/>
      <c r="C388" s="4"/>
      <c r="D388" s="7"/>
      <c r="E388" s="4"/>
      <c r="G388" s="4"/>
    </row>
    <row r="389" spans="2:7" x14ac:dyDescent="0.15">
      <c r="B389" s="4"/>
      <c r="C389" s="4"/>
      <c r="D389" s="7"/>
      <c r="E389" s="4"/>
      <c r="G389" s="4"/>
    </row>
    <row r="390" spans="2:7" x14ac:dyDescent="0.15">
      <c r="B390" s="4"/>
      <c r="C390" s="4"/>
      <c r="D390" s="7"/>
      <c r="E390" s="4"/>
      <c r="G390" s="4"/>
    </row>
    <row r="391" spans="2:7" x14ac:dyDescent="0.15">
      <c r="B391" s="4"/>
      <c r="C391" s="4"/>
      <c r="D391" s="7"/>
      <c r="E391" s="4"/>
      <c r="G391" s="4"/>
    </row>
    <row r="392" spans="2:7" x14ac:dyDescent="0.15">
      <c r="B392" s="4"/>
      <c r="C392" s="4"/>
      <c r="D392" s="7"/>
      <c r="E392" s="4"/>
      <c r="G392" s="4"/>
    </row>
    <row r="393" spans="2:7" x14ac:dyDescent="0.15">
      <c r="B393" s="4"/>
      <c r="C393" s="4"/>
      <c r="D393" s="7"/>
      <c r="E393" s="4"/>
      <c r="G393" s="4"/>
    </row>
    <row r="394" spans="2:7" x14ac:dyDescent="0.15">
      <c r="B394" s="4"/>
      <c r="C394" s="4"/>
      <c r="D394" s="7"/>
      <c r="E394" s="4"/>
      <c r="G394" s="4"/>
    </row>
    <row r="395" spans="2:7" x14ac:dyDescent="0.15">
      <c r="B395" s="4"/>
      <c r="C395" s="4"/>
      <c r="D395" s="7"/>
      <c r="E395" s="4"/>
      <c r="G395" s="4"/>
    </row>
    <row r="396" spans="2:7" x14ac:dyDescent="0.15">
      <c r="B396" s="4"/>
      <c r="C396" s="4"/>
      <c r="D396" s="7"/>
      <c r="E396" s="4"/>
      <c r="G396" s="4"/>
    </row>
    <row r="397" spans="2:7" x14ac:dyDescent="0.15">
      <c r="B397" s="4"/>
      <c r="C397" s="4"/>
      <c r="D397" s="7"/>
      <c r="E397" s="4"/>
      <c r="G397" s="4"/>
    </row>
    <row r="398" spans="2:7" x14ac:dyDescent="0.15">
      <c r="B398" s="4"/>
      <c r="C398" s="4"/>
      <c r="D398" s="7"/>
      <c r="E398" s="4"/>
      <c r="G398" s="4"/>
    </row>
    <row r="399" spans="2:7" x14ac:dyDescent="0.15">
      <c r="B399" s="4"/>
      <c r="C399" s="4"/>
      <c r="D399" s="7"/>
      <c r="E399" s="4"/>
      <c r="G399" s="4"/>
    </row>
    <row r="400" spans="2:7" x14ac:dyDescent="0.15">
      <c r="B400" s="4"/>
      <c r="C400" s="4"/>
      <c r="D400" s="7"/>
      <c r="E400" s="4"/>
      <c r="G400" s="4"/>
    </row>
    <row r="401" spans="2:7" x14ac:dyDescent="0.15">
      <c r="B401" s="4"/>
      <c r="C401" s="4"/>
      <c r="D401" s="7"/>
      <c r="E401" s="4"/>
      <c r="G401" s="4"/>
    </row>
    <row r="402" spans="2:7" x14ac:dyDescent="0.15">
      <c r="B402" s="4"/>
      <c r="C402" s="4"/>
      <c r="D402" s="7"/>
      <c r="E402" s="4"/>
      <c r="G402" s="4"/>
    </row>
    <row r="403" spans="2:7" x14ac:dyDescent="0.15">
      <c r="B403" s="4"/>
      <c r="C403" s="4"/>
      <c r="D403" s="7"/>
      <c r="E403" s="4"/>
      <c r="G403" s="4"/>
    </row>
    <row r="404" spans="2:7" x14ac:dyDescent="0.15">
      <c r="B404" s="4"/>
      <c r="C404" s="4"/>
      <c r="D404" s="7"/>
      <c r="E404" s="4"/>
      <c r="G404" s="4"/>
    </row>
    <row r="405" spans="2:7" x14ac:dyDescent="0.15">
      <c r="B405" s="4"/>
      <c r="C405" s="4"/>
      <c r="D405" s="7"/>
      <c r="E405" s="4"/>
      <c r="G405" s="4"/>
    </row>
    <row r="406" spans="2:7" x14ac:dyDescent="0.15">
      <c r="B406" s="4"/>
      <c r="C406" s="4"/>
      <c r="D406" s="7"/>
      <c r="E406" s="4"/>
      <c r="G406" s="4"/>
    </row>
    <row r="407" spans="2:7" x14ac:dyDescent="0.15">
      <c r="B407" s="4"/>
      <c r="C407" s="4"/>
      <c r="D407" s="7"/>
      <c r="E407" s="4"/>
      <c r="G407" s="4"/>
    </row>
    <row r="408" spans="2:7" x14ac:dyDescent="0.15">
      <c r="B408" s="4"/>
      <c r="C408" s="4"/>
      <c r="D408" s="7"/>
      <c r="E408" s="4"/>
      <c r="G408" s="4"/>
    </row>
    <row r="409" spans="2:7" x14ac:dyDescent="0.15">
      <c r="B409" s="4"/>
      <c r="C409" s="4"/>
      <c r="D409" s="7"/>
      <c r="E409" s="4"/>
      <c r="G409" s="4"/>
    </row>
    <row r="410" spans="2:7" x14ac:dyDescent="0.15">
      <c r="B410" s="4"/>
      <c r="C410" s="4"/>
      <c r="D410" s="7"/>
      <c r="E410" s="4"/>
      <c r="G410" s="4"/>
    </row>
    <row r="411" spans="2:7" x14ac:dyDescent="0.15">
      <c r="B411" s="4"/>
      <c r="C411" s="4"/>
      <c r="D411" s="7"/>
      <c r="E411" s="4"/>
      <c r="G411" s="4"/>
    </row>
    <row r="412" spans="2:7" x14ac:dyDescent="0.15">
      <c r="B412" s="4"/>
      <c r="C412" s="4"/>
      <c r="D412" s="7"/>
      <c r="E412" s="4"/>
      <c r="G412" s="4"/>
    </row>
    <row r="413" spans="2:7" x14ac:dyDescent="0.15">
      <c r="B413" s="4"/>
      <c r="C413" s="4"/>
      <c r="D413" s="7"/>
      <c r="E413" s="4"/>
      <c r="G413" s="4"/>
    </row>
    <row r="414" spans="2:7" x14ac:dyDescent="0.15">
      <c r="B414" s="4"/>
      <c r="C414" s="4"/>
      <c r="D414" s="7"/>
      <c r="E414" s="4"/>
      <c r="G414" s="4"/>
    </row>
    <row r="415" spans="2:7" x14ac:dyDescent="0.15">
      <c r="B415" s="4"/>
      <c r="C415" s="4"/>
      <c r="D415" s="7"/>
      <c r="E415" s="4"/>
      <c r="G415" s="4"/>
    </row>
    <row r="416" spans="2:7" x14ac:dyDescent="0.15">
      <c r="B416" s="4"/>
      <c r="C416" s="4"/>
      <c r="D416" s="7"/>
      <c r="E416" s="4"/>
      <c r="G416" s="4"/>
    </row>
    <row r="417" spans="2:7" x14ac:dyDescent="0.15">
      <c r="B417" s="4"/>
      <c r="C417" s="4"/>
      <c r="D417" s="7"/>
      <c r="E417" s="4"/>
      <c r="G417" s="4"/>
    </row>
    <row r="418" spans="2:7" x14ac:dyDescent="0.15">
      <c r="B418" s="4"/>
      <c r="C418" s="4"/>
      <c r="D418" s="7"/>
      <c r="E418" s="4"/>
      <c r="G418" s="4"/>
    </row>
    <row r="419" spans="2:7" x14ac:dyDescent="0.15">
      <c r="B419" s="4"/>
      <c r="C419" s="4"/>
      <c r="D419" s="7"/>
      <c r="E419" s="4"/>
      <c r="G419" s="4"/>
    </row>
    <row r="420" spans="2:7" x14ac:dyDescent="0.15">
      <c r="B420" s="4"/>
      <c r="C420" s="4"/>
      <c r="D420" s="7"/>
      <c r="E420" s="4"/>
      <c r="G420" s="4"/>
    </row>
    <row r="421" spans="2:7" x14ac:dyDescent="0.15">
      <c r="B421" s="4"/>
      <c r="C421" s="4"/>
      <c r="D421" s="7"/>
      <c r="E421" s="4"/>
      <c r="G421" s="4"/>
    </row>
    <row r="422" spans="2:7" x14ac:dyDescent="0.15">
      <c r="B422" s="4"/>
      <c r="C422" s="4"/>
      <c r="D422" s="7"/>
      <c r="E422" s="4"/>
      <c r="G422" s="4"/>
    </row>
    <row r="423" spans="2:7" x14ac:dyDescent="0.15">
      <c r="B423" s="4"/>
      <c r="C423" s="4"/>
      <c r="D423" s="7"/>
      <c r="E423" s="4"/>
      <c r="G423" s="4"/>
    </row>
    <row r="424" spans="2:7" x14ac:dyDescent="0.15">
      <c r="B424" s="4"/>
      <c r="C424" s="4"/>
      <c r="D424" s="7"/>
      <c r="E424" s="4"/>
      <c r="G424" s="4"/>
    </row>
    <row r="425" spans="2:7" x14ac:dyDescent="0.15">
      <c r="B425" s="4"/>
      <c r="C425" s="4"/>
      <c r="D425" s="7"/>
      <c r="E425" s="4"/>
      <c r="G425" s="4"/>
    </row>
    <row r="426" spans="2:7" x14ac:dyDescent="0.15">
      <c r="B426" s="4"/>
      <c r="C426" s="4"/>
      <c r="D426" s="7"/>
      <c r="E426" s="4"/>
      <c r="G426" s="4"/>
    </row>
    <row r="427" spans="2:7" x14ac:dyDescent="0.15">
      <c r="B427" s="4"/>
      <c r="C427" s="4"/>
      <c r="D427" s="7"/>
      <c r="E427" s="4"/>
      <c r="G427" s="4"/>
    </row>
    <row r="428" spans="2:7" x14ac:dyDescent="0.15">
      <c r="B428" s="4"/>
      <c r="C428" s="4"/>
      <c r="D428" s="7"/>
      <c r="E428" s="4"/>
      <c r="G428" s="4"/>
    </row>
    <row r="429" spans="2:7" x14ac:dyDescent="0.15">
      <c r="B429" s="4"/>
      <c r="C429" s="4"/>
      <c r="D429" s="7"/>
      <c r="E429" s="4"/>
      <c r="G429" s="4"/>
    </row>
    <row r="430" spans="2:7" x14ac:dyDescent="0.15">
      <c r="B430" s="4"/>
      <c r="C430" s="4"/>
      <c r="D430" s="7"/>
      <c r="E430" s="4"/>
      <c r="G430" s="4"/>
    </row>
    <row r="431" spans="2:7" x14ac:dyDescent="0.15">
      <c r="B431" s="4"/>
      <c r="C431" s="4"/>
      <c r="D431" s="7"/>
      <c r="E431" s="4"/>
      <c r="G431" s="4"/>
    </row>
    <row r="432" spans="2:7" x14ac:dyDescent="0.15">
      <c r="B432" s="4"/>
      <c r="C432" s="4"/>
      <c r="D432" s="7"/>
      <c r="E432" s="4"/>
      <c r="G432" s="4"/>
    </row>
    <row r="433" spans="2:7" x14ac:dyDescent="0.15">
      <c r="B433" s="4"/>
      <c r="C433" s="4"/>
      <c r="D433" s="7"/>
      <c r="E433" s="4"/>
      <c r="G433" s="4"/>
    </row>
    <row r="434" spans="2:7" x14ac:dyDescent="0.15">
      <c r="B434" s="4"/>
      <c r="C434" s="4"/>
      <c r="D434" s="7"/>
      <c r="E434" s="4"/>
      <c r="G434" s="4"/>
    </row>
    <row r="435" spans="2:7" x14ac:dyDescent="0.15">
      <c r="B435" s="4"/>
      <c r="C435" s="4"/>
      <c r="D435" s="7"/>
      <c r="E435" s="4"/>
      <c r="G435" s="4"/>
    </row>
    <row r="436" spans="2:7" x14ac:dyDescent="0.15">
      <c r="B436" s="4"/>
      <c r="C436" s="4"/>
      <c r="D436" s="7"/>
      <c r="E436" s="4"/>
      <c r="G436" s="4"/>
    </row>
    <row r="437" spans="2:7" x14ac:dyDescent="0.15">
      <c r="B437" s="4"/>
      <c r="C437" s="4"/>
      <c r="D437" s="7"/>
      <c r="E437" s="4"/>
      <c r="G437" s="4"/>
    </row>
    <row r="438" spans="2:7" x14ac:dyDescent="0.15">
      <c r="B438" s="4"/>
      <c r="C438" s="4"/>
      <c r="D438" s="7"/>
      <c r="E438" s="4"/>
      <c r="G438" s="4"/>
    </row>
    <row r="439" spans="2:7" x14ac:dyDescent="0.15">
      <c r="B439" s="4"/>
      <c r="C439" s="4"/>
      <c r="D439" s="7"/>
      <c r="E439" s="4"/>
      <c r="G439" s="4"/>
    </row>
    <row r="440" spans="2:7" x14ac:dyDescent="0.15">
      <c r="B440" s="4"/>
      <c r="C440" s="4"/>
      <c r="D440" s="7"/>
      <c r="E440" s="4"/>
      <c r="G440" s="4"/>
    </row>
    <row r="441" spans="2:7" x14ac:dyDescent="0.15">
      <c r="B441" s="4"/>
      <c r="C441" s="4"/>
      <c r="D441" s="7"/>
      <c r="E441" s="4"/>
      <c r="G441" s="4"/>
    </row>
    <row r="442" spans="2:7" x14ac:dyDescent="0.15">
      <c r="B442" s="4"/>
      <c r="C442" s="4"/>
      <c r="D442" s="7"/>
      <c r="E442" s="4"/>
      <c r="G442" s="4"/>
    </row>
    <row r="443" spans="2:7" x14ac:dyDescent="0.15">
      <c r="B443" s="4"/>
      <c r="C443" s="4"/>
      <c r="D443" s="7"/>
      <c r="E443" s="4"/>
      <c r="G443" s="4"/>
    </row>
  </sheetData>
  <phoneticPr fontId="27" type="noConversion"/>
  <pageMargins left="0.69930555555555596" right="0.69930555555555596" top="0.75" bottom="0.75" header="0.3" footer="0.3"/>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S5075"/>
  <sheetViews>
    <sheetView zoomScaleNormal="100" workbookViewId="0">
      <pane xSplit="3" ySplit="9" topLeftCell="F300" activePane="bottomRight" state="frozen"/>
      <selection pane="topRight" activeCell="D1" sqref="D1"/>
      <selection pane="bottomLeft" activeCell="A10" sqref="A10"/>
      <selection pane="bottomRight" activeCell="H291" sqref="H291"/>
    </sheetView>
  </sheetViews>
  <sheetFormatPr defaultColWidth="9" defaultRowHeight="13.5" x14ac:dyDescent="0.15"/>
  <cols>
    <col min="1" max="1" width="9" style="40" bestFit="1" customWidth="1"/>
    <col min="2" max="2" width="15.875" style="23" customWidth="1"/>
    <col min="3" max="3" width="10.625" style="23" customWidth="1"/>
    <col min="4" max="4" width="11.5" style="23" bestFit="1" customWidth="1"/>
    <col min="5" max="5" width="7.5" style="23" customWidth="1"/>
    <col min="6" max="6" width="9.75" style="23" customWidth="1"/>
    <col min="7" max="7" width="11.75" style="23" bestFit="1" customWidth="1"/>
    <col min="8" max="8" width="54.625" style="23" customWidth="1"/>
    <col min="9" max="9" width="11.25" style="23" customWidth="1"/>
    <col min="10" max="10" width="11.25" style="40" customWidth="1"/>
    <col min="11" max="11" width="12.5" style="40" customWidth="1"/>
    <col min="12" max="12" width="11.5" style="40" bestFit="1" customWidth="1"/>
    <col min="13" max="13" width="7.625" style="41" hidden="1" customWidth="1"/>
    <col min="14" max="15" width="9" style="40" customWidth="1"/>
    <col min="16" max="16" width="12.5" style="23" hidden="1" customWidth="1"/>
    <col min="17" max="17" width="9.875" style="40" bestFit="1" customWidth="1"/>
    <col min="18" max="18" width="7.5" style="40" bestFit="1" customWidth="1"/>
    <col min="19" max="19" width="14.125" style="40" hidden="1" customWidth="1"/>
    <col min="20" max="20" width="9" style="40" hidden="1" customWidth="1"/>
    <col min="21" max="21" width="12.625" style="40" hidden="1" customWidth="1"/>
    <col min="22" max="23" width="9" style="40" hidden="1" customWidth="1"/>
    <col min="24" max="24" width="14.875" style="40" customWidth="1"/>
    <col min="25" max="25" width="9" style="40" customWidth="1"/>
    <col min="26" max="26" width="10.125" style="40" customWidth="1"/>
    <col min="27" max="30" width="9" style="40" customWidth="1"/>
    <col min="31" max="31" width="43.375" style="40" customWidth="1"/>
    <col min="32" max="36" width="9" style="40" customWidth="1"/>
    <col min="37" max="37" width="14.375" style="40" customWidth="1"/>
    <col min="38" max="38" width="15.625" style="40" customWidth="1"/>
    <col min="39" max="41" width="9" style="40" customWidth="1"/>
    <col min="42" max="42" width="17.625" style="4" customWidth="1"/>
    <col min="43" max="16384" width="9" style="4"/>
  </cols>
  <sheetData>
    <row r="1" spans="1:42" s="1" customFormat="1" x14ac:dyDescent="0.15">
      <c r="A1" s="32" t="s">
        <v>0</v>
      </c>
      <c r="B1" s="33" t="s">
        <v>1</v>
      </c>
      <c r="C1" s="33" t="s">
        <v>1</v>
      </c>
      <c r="D1" s="33" t="s">
        <v>1</v>
      </c>
      <c r="E1" s="33" t="s">
        <v>1</v>
      </c>
      <c r="F1" s="33" t="s">
        <v>1</v>
      </c>
      <c r="G1" s="33" t="s">
        <v>1</v>
      </c>
      <c r="H1" s="33" t="s">
        <v>1</v>
      </c>
      <c r="I1" s="33" t="s">
        <v>1</v>
      </c>
      <c r="J1" s="33" t="s">
        <v>1</v>
      </c>
      <c r="K1" s="33" t="s">
        <v>1</v>
      </c>
      <c r="L1" s="33" t="s">
        <v>1</v>
      </c>
      <c r="M1" s="34" t="s">
        <v>1</v>
      </c>
      <c r="N1" s="33" t="s">
        <v>1</v>
      </c>
      <c r="O1" s="33" t="s">
        <v>1</v>
      </c>
      <c r="P1" s="33" t="s">
        <v>1</v>
      </c>
      <c r="Q1" s="33" t="s">
        <v>1</v>
      </c>
      <c r="R1" s="33" t="s">
        <v>1</v>
      </c>
      <c r="S1" s="33" t="s">
        <v>1</v>
      </c>
      <c r="T1" s="33" t="s">
        <v>1</v>
      </c>
      <c r="U1" s="33" t="s">
        <v>1</v>
      </c>
      <c r="V1" s="33" t="s">
        <v>1</v>
      </c>
      <c r="W1" s="33" t="s">
        <v>1</v>
      </c>
      <c r="X1" s="33" t="s">
        <v>1</v>
      </c>
      <c r="Y1" s="33" t="s">
        <v>1</v>
      </c>
      <c r="Z1" s="33" t="s">
        <v>1</v>
      </c>
      <c r="AA1" s="33" t="s">
        <v>1</v>
      </c>
      <c r="AB1" s="33" t="s">
        <v>1</v>
      </c>
      <c r="AC1" s="33" t="s">
        <v>1</v>
      </c>
      <c r="AD1" s="33" t="s">
        <v>1</v>
      </c>
      <c r="AE1" s="33" t="s">
        <v>1</v>
      </c>
      <c r="AF1" s="33" t="s">
        <v>1</v>
      </c>
      <c r="AG1" s="33" t="s">
        <v>1</v>
      </c>
      <c r="AH1" s="33" t="s">
        <v>1</v>
      </c>
      <c r="AI1" s="33" t="s">
        <v>1</v>
      </c>
      <c r="AJ1" s="33" t="s">
        <v>1</v>
      </c>
      <c r="AK1" s="33" t="s">
        <v>1</v>
      </c>
      <c r="AL1" s="33" t="s">
        <v>1</v>
      </c>
      <c r="AM1" s="33" t="s">
        <v>1</v>
      </c>
      <c r="AN1" s="33" t="s">
        <v>1</v>
      </c>
      <c r="AO1" s="33" t="s">
        <v>1</v>
      </c>
      <c r="AP1" s="1" t="s">
        <v>1</v>
      </c>
    </row>
    <row r="2" spans="1:42" s="1" customFormat="1" x14ac:dyDescent="0.15">
      <c r="A2" s="32" t="s">
        <v>1090</v>
      </c>
      <c r="B2" s="33" t="s">
        <v>1</v>
      </c>
      <c r="C2" s="33" t="s">
        <v>1</v>
      </c>
      <c r="D2" s="33" t="s">
        <v>1</v>
      </c>
      <c r="E2" s="33" t="s">
        <v>1</v>
      </c>
      <c r="F2" s="33" t="s">
        <v>1</v>
      </c>
      <c r="G2" s="33" t="s">
        <v>1</v>
      </c>
      <c r="H2" s="33" t="s">
        <v>1</v>
      </c>
      <c r="I2" s="33" t="s">
        <v>1</v>
      </c>
      <c r="J2" s="33" t="s">
        <v>1</v>
      </c>
      <c r="K2" s="33" t="s">
        <v>1</v>
      </c>
      <c r="L2" s="33" t="s">
        <v>1</v>
      </c>
      <c r="M2" s="34" t="s">
        <v>1</v>
      </c>
      <c r="N2" s="33" t="s">
        <v>1</v>
      </c>
      <c r="O2" s="33" t="s">
        <v>1</v>
      </c>
      <c r="P2" s="33" t="s">
        <v>1</v>
      </c>
      <c r="Q2" s="33" t="s">
        <v>1</v>
      </c>
      <c r="R2" s="33" t="s">
        <v>1</v>
      </c>
      <c r="S2" s="33" t="s">
        <v>1</v>
      </c>
      <c r="T2" s="33" t="s">
        <v>1</v>
      </c>
      <c r="U2" s="33" t="s">
        <v>1</v>
      </c>
      <c r="V2" s="33" t="s">
        <v>1</v>
      </c>
      <c r="W2" s="33" t="s">
        <v>1</v>
      </c>
      <c r="X2" s="33" t="s">
        <v>1</v>
      </c>
      <c r="Y2" s="33" t="s">
        <v>1</v>
      </c>
      <c r="Z2" s="33" t="s">
        <v>1</v>
      </c>
      <c r="AA2" s="33" t="s">
        <v>1</v>
      </c>
      <c r="AB2" s="33" t="s">
        <v>1</v>
      </c>
      <c r="AC2" s="33" t="s">
        <v>1</v>
      </c>
      <c r="AD2" s="33" t="s">
        <v>1</v>
      </c>
      <c r="AE2" s="33" t="s">
        <v>1</v>
      </c>
      <c r="AF2" s="33" t="s">
        <v>1</v>
      </c>
      <c r="AG2" s="33" t="s">
        <v>1</v>
      </c>
      <c r="AH2" s="33" t="s">
        <v>1</v>
      </c>
      <c r="AI2" s="33" t="s">
        <v>1</v>
      </c>
      <c r="AJ2" s="33" t="s">
        <v>1</v>
      </c>
      <c r="AK2" s="33" t="s">
        <v>1</v>
      </c>
      <c r="AL2" s="33" t="s">
        <v>1</v>
      </c>
      <c r="AM2" s="33" t="s">
        <v>1</v>
      </c>
      <c r="AN2" s="33" t="s">
        <v>1</v>
      </c>
      <c r="AO2" s="33" t="s">
        <v>1</v>
      </c>
      <c r="AP2" s="1" t="s">
        <v>1</v>
      </c>
    </row>
    <row r="3" spans="1:42" s="2" customFormat="1" ht="14.25" x14ac:dyDescent="0.15">
      <c r="A3" s="14" t="s">
        <v>1</v>
      </c>
      <c r="B3" s="14" t="s">
        <v>3</v>
      </c>
      <c r="C3" s="14" t="s">
        <v>3</v>
      </c>
      <c r="D3" s="30" t="s">
        <v>3</v>
      </c>
      <c r="E3" s="14" t="s">
        <v>7</v>
      </c>
      <c r="F3" s="14" t="s">
        <v>7</v>
      </c>
      <c r="G3" s="14" t="s">
        <v>7</v>
      </c>
      <c r="H3" s="30" t="s">
        <v>7</v>
      </c>
      <c r="I3" s="30" t="s">
        <v>3</v>
      </c>
      <c r="J3" s="14" t="s">
        <v>3</v>
      </c>
      <c r="K3" s="14" t="s">
        <v>3</v>
      </c>
      <c r="L3" s="14" t="s">
        <v>7</v>
      </c>
      <c r="M3" s="14" t="s">
        <v>7</v>
      </c>
      <c r="N3" s="14" t="s">
        <v>7</v>
      </c>
      <c r="O3" s="14" t="s">
        <v>3</v>
      </c>
      <c r="P3" s="14" t="s">
        <v>3</v>
      </c>
      <c r="Q3" s="14" t="s">
        <v>7</v>
      </c>
      <c r="R3" s="14" t="s">
        <v>7</v>
      </c>
      <c r="S3" s="14" t="s">
        <v>7</v>
      </c>
      <c r="T3" s="35" t="s">
        <v>7</v>
      </c>
      <c r="U3" s="35" t="s">
        <v>7</v>
      </c>
      <c r="V3" s="35" t="s">
        <v>7</v>
      </c>
      <c r="W3" s="35" t="s">
        <v>7</v>
      </c>
      <c r="X3" s="14" t="s">
        <v>7</v>
      </c>
      <c r="Y3" s="14" t="s">
        <v>3</v>
      </c>
      <c r="Z3" s="35" t="s">
        <v>7</v>
      </c>
      <c r="AA3" s="35" t="s">
        <v>7</v>
      </c>
      <c r="AB3" s="35" t="s">
        <v>7</v>
      </c>
      <c r="AC3" s="36" t="s">
        <v>7</v>
      </c>
      <c r="AD3" s="14" t="s">
        <v>3</v>
      </c>
      <c r="AE3" s="14" t="s">
        <v>7</v>
      </c>
      <c r="AF3" s="14" t="s">
        <v>7</v>
      </c>
      <c r="AG3" s="14" t="s">
        <v>7</v>
      </c>
      <c r="AH3" s="14" t="s">
        <v>7</v>
      </c>
      <c r="AI3" s="14" t="s">
        <v>7</v>
      </c>
      <c r="AJ3" s="14" t="s">
        <v>7</v>
      </c>
      <c r="AK3" s="14" t="s">
        <v>7</v>
      </c>
      <c r="AL3" s="14" t="s">
        <v>7</v>
      </c>
      <c r="AM3" s="14" t="s">
        <v>7</v>
      </c>
      <c r="AN3" s="37" t="s">
        <v>7</v>
      </c>
      <c r="AO3" s="37" t="s">
        <v>7</v>
      </c>
      <c r="AP3" s="30" t="s">
        <v>7</v>
      </c>
    </row>
    <row r="4" spans="1:42" s="2" customFormat="1" ht="14.25" x14ac:dyDescent="0.15">
      <c r="A4" s="14"/>
      <c r="B4" s="14" t="s">
        <v>4</v>
      </c>
      <c r="C4" s="14" t="s">
        <v>29</v>
      </c>
      <c r="D4" s="30" t="s">
        <v>30</v>
      </c>
      <c r="E4" s="14" t="s">
        <v>31</v>
      </c>
      <c r="F4" s="14" t="s">
        <v>32</v>
      </c>
      <c r="G4" s="14" t="s">
        <v>33</v>
      </c>
      <c r="H4" s="30" t="s">
        <v>34</v>
      </c>
      <c r="I4" s="14" t="s">
        <v>35</v>
      </c>
      <c r="J4" s="14" t="s">
        <v>36</v>
      </c>
      <c r="K4" s="14" t="s">
        <v>26</v>
      </c>
      <c r="L4" s="14" t="s">
        <v>37</v>
      </c>
      <c r="M4" s="35" t="s">
        <v>38</v>
      </c>
      <c r="N4" s="14" t="s">
        <v>39</v>
      </c>
      <c r="O4" s="14" t="s">
        <v>24</v>
      </c>
      <c r="P4" s="14" t="s">
        <v>40</v>
      </c>
      <c r="Q4" s="14" t="s">
        <v>41</v>
      </c>
      <c r="R4" s="14" t="s">
        <v>42</v>
      </c>
      <c r="S4" s="14" t="s">
        <v>43</v>
      </c>
      <c r="T4" s="35" t="s">
        <v>44</v>
      </c>
      <c r="U4" s="35" t="s">
        <v>45</v>
      </c>
      <c r="V4" s="35" t="s">
        <v>46</v>
      </c>
      <c r="W4" s="35" t="s">
        <v>47</v>
      </c>
      <c r="X4" s="14" t="s">
        <v>48</v>
      </c>
      <c r="Y4" s="14" t="s">
        <v>49</v>
      </c>
      <c r="Z4" s="35" t="s">
        <v>50</v>
      </c>
      <c r="AA4" s="35" t="s">
        <v>51</v>
      </c>
      <c r="AB4" s="35" t="s">
        <v>52</v>
      </c>
      <c r="AC4" s="37" t="s">
        <v>53</v>
      </c>
      <c r="AD4" s="14" t="s">
        <v>54</v>
      </c>
      <c r="AE4" s="14" t="s">
        <v>55</v>
      </c>
      <c r="AF4" s="14" t="s">
        <v>56</v>
      </c>
      <c r="AG4" s="14" t="s">
        <v>57</v>
      </c>
      <c r="AH4" s="14" t="s">
        <v>58</v>
      </c>
      <c r="AI4" s="14" t="s">
        <v>59</v>
      </c>
      <c r="AJ4" s="14" t="s">
        <v>60</v>
      </c>
      <c r="AK4" s="14" t="s">
        <v>61</v>
      </c>
      <c r="AL4" s="14" t="s">
        <v>62</v>
      </c>
      <c r="AM4" s="14" t="s">
        <v>63</v>
      </c>
      <c r="AN4" s="37" t="s">
        <v>64</v>
      </c>
      <c r="AO4" s="37" t="s">
        <v>65</v>
      </c>
      <c r="AP4" s="30" t="s">
        <v>215</v>
      </c>
    </row>
    <row r="5" spans="1:42" s="2" customFormat="1" ht="14.25" x14ac:dyDescent="0.15">
      <c r="A5" s="14"/>
      <c r="B5" s="14" t="str">
        <f t="shared" ref="B5:W5" si="0">IF(B3="","",IF(B3="INT","i",IF(B3="FLOAT","f",IF(B3="STRING","s"))))</f>
        <v>i</v>
      </c>
      <c r="C5" s="14" t="str">
        <f t="shared" si="0"/>
        <v>i</v>
      </c>
      <c r="D5" s="30" t="str">
        <f t="shared" si="0"/>
        <v>i</v>
      </c>
      <c r="E5" s="14" t="str">
        <f t="shared" si="0"/>
        <v>s</v>
      </c>
      <c r="F5" s="14" t="str">
        <f t="shared" si="0"/>
        <v>s</v>
      </c>
      <c r="G5" s="14" t="str">
        <f t="shared" si="0"/>
        <v>s</v>
      </c>
      <c r="H5" s="30" t="str">
        <f>IF(H3="","",IF(H3="INT","i",IF(H3="FLOAT","f",IF(H3="STRING","s"))))</f>
        <v>s</v>
      </c>
      <c r="I5" s="14" t="str">
        <f t="shared" si="0"/>
        <v>i</v>
      </c>
      <c r="J5" s="14" t="str">
        <f t="shared" si="0"/>
        <v>i</v>
      </c>
      <c r="K5" s="14" t="str">
        <f t="shared" si="0"/>
        <v>i</v>
      </c>
      <c r="L5" s="14" t="str">
        <f t="shared" si="0"/>
        <v>s</v>
      </c>
      <c r="M5" s="14" t="str">
        <f t="shared" si="0"/>
        <v>s</v>
      </c>
      <c r="N5" s="14" t="str">
        <f t="shared" si="0"/>
        <v>s</v>
      </c>
      <c r="O5" s="14" t="str">
        <f t="shared" si="0"/>
        <v>i</v>
      </c>
      <c r="P5" s="14" t="str">
        <f t="shared" si="0"/>
        <v>i</v>
      </c>
      <c r="Q5" s="14" t="str">
        <f t="shared" si="0"/>
        <v>s</v>
      </c>
      <c r="R5" s="14" t="str">
        <f t="shared" si="0"/>
        <v>s</v>
      </c>
      <c r="S5" s="14" t="str">
        <f t="shared" si="0"/>
        <v>s</v>
      </c>
      <c r="T5" s="14" t="str">
        <f t="shared" si="0"/>
        <v>s</v>
      </c>
      <c r="U5" s="14" t="str">
        <f t="shared" si="0"/>
        <v>s</v>
      </c>
      <c r="V5" s="14" t="str">
        <f t="shared" si="0"/>
        <v>s</v>
      </c>
      <c r="W5" s="14" t="str">
        <f t="shared" si="0"/>
        <v>s</v>
      </c>
      <c r="X5" s="14" t="str">
        <f>IF(X3="","",IF(X3="INT","i",IF(X3="FLOAT","f",IF(X3="STRING","s"))))</f>
        <v>s</v>
      </c>
      <c r="Y5" s="14" t="str">
        <f>IF(Y3="","",IF(Y3="INT","i",IF(Y3="FLOAT","f",IF(Y3="STRING","s"))))</f>
        <v>i</v>
      </c>
      <c r="Z5" s="35" t="s">
        <v>8</v>
      </c>
      <c r="AA5" s="35" t="s">
        <v>8</v>
      </c>
      <c r="AB5" s="35" t="s">
        <v>66</v>
      </c>
      <c r="AC5" s="36" t="s">
        <v>8</v>
      </c>
      <c r="AD5" s="14" t="str">
        <f t="shared" ref="AD5:AK5" si="1">IF(AD3="","",IF(AD3="INT","i",IF(AD3="FLOAT","f",IF(AD3="STRING","s"))))</f>
        <v>i</v>
      </c>
      <c r="AE5" s="14" t="str">
        <f t="shared" si="1"/>
        <v>s</v>
      </c>
      <c r="AF5" s="14" t="str">
        <f t="shared" si="1"/>
        <v>s</v>
      </c>
      <c r="AG5" s="14" t="str">
        <f t="shared" si="1"/>
        <v>s</v>
      </c>
      <c r="AH5" s="14" t="str">
        <f t="shared" si="1"/>
        <v>s</v>
      </c>
      <c r="AI5" s="14" t="str">
        <f t="shared" si="1"/>
        <v>s</v>
      </c>
      <c r="AJ5" s="14" t="str">
        <f t="shared" si="1"/>
        <v>s</v>
      </c>
      <c r="AK5" s="14" t="str">
        <f t="shared" si="1"/>
        <v>s</v>
      </c>
      <c r="AL5" s="14" t="str">
        <f>IF(AL3="","",IF(AL3="INT","i",IF(AL3="FLOAT","f",IF(AL3="STRING","s"))))</f>
        <v>s</v>
      </c>
      <c r="AM5" s="14" t="str">
        <f>IF(AM3="","",IF(AM3="INT","i",IF(AM3="FLOAT","f",IF(AM3="STRING","s"))))</f>
        <v>s</v>
      </c>
      <c r="AN5" s="37" t="s">
        <v>8</v>
      </c>
      <c r="AO5" s="37" t="s">
        <v>8</v>
      </c>
      <c r="AP5" s="30" t="str">
        <f>IF(AP3="","",IF(AP3="INT","i",IF(AP3="FLOAT","f",IF(AP3="STRING","s"))))</f>
        <v>s</v>
      </c>
    </row>
    <row r="6" spans="1:42" s="2" customFormat="1" ht="14.25" x14ac:dyDescent="0.15">
      <c r="A6" s="14" t="s">
        <v>1</v>
      </c>
      <c r="B6" s="14" t="str">
        <f t="shared" ref="B6:L6" si="2">B5&amp;B4</f>
        <v>iID</v>
      </c>
      <c r="C6" s="14" t="str">
        <f t="shared" si="2"/>
        <v>iSectionID</v>
      </c>
      <c r="D6" s="30" t="str">
        <f t="shared" si="2"/>
        <v>iChapterID</v>
      </c>
      <c r="E6" s="14" t="str">
        <f t="shared" si="2"/>
        <v>sMusic</v>
      </c>
      <c r="F6" s="14" t="str">
        <f t="shared" si="2"/>
        <v>sRoleName</v>
      </c>
      <c r="G6" s="14" t="str">
        <f t="shared" si="2"/>
        <v>sPlayerPhoto</v>
      </c>
      <c r="H6" s="30" t="str">
        <f t="shared" si="2"/>
        <v>sContent</v>
      </c>
      <c r="I6" s="14" t="str">
        <f t="shared" si="2"/>
        <v>iDialogType</v>
      </c>
      <c r="J6" s="14" t="str">
        <f t="shared" si="2"/>
        <v>iStart</v>
      </c>
      <c r="K6" s="14" t="str">
        <f t="shared" si="2"/>
        <v>iMainPos</v>
      </c>
      <c r="L6" s="14" t="str">
        <f t="shared" si="2"/>
        <v>sAwardInfo</v>
      </c>
      <c r="M6" s="35" t="s">
        <v>67</v>
      </c>
      <c r="N6" s="14" t="str">
        <f>N5&amp;N4</f>
        <v>sCostItem</v>
      </c>
      <c r="O6" s="14" t="str">
        <f>O5&amp;O4</f>
        <v>iEnd</v>
      </c>
      <c r="P6" s="14" t="s">
        <v>68</v>
      </c>
      <c r="Q6" s="14" t="str">
        <f>Q5&amp;Q4</f>
        <v>sBagImage</v>
      </c>
      <c r="R6" s="14" t="str">
        <f>R5&amp;R4</f>
        <v>sLiHui</v>
      </c>
      <c r="S6" s="14" t="s">
        <v>69</v>
      </c>
      <c r="T6" s="35" t="s">
        <v>70</v>
      </c>
      <c r="U6" s="35" t="s">
        <v>71</v>
      </c>
      <c r="V6" s="35" t="s">
        <v>72</v>
      </c>
      <c r="W6" s="35" t="s">
        <v>73</v>
      </c>
      <c r="X6" s="14" t="str">
        <f>X5&amp;X4</f>
        <v>sNext</v>
      </c>
      <c r="Y6" s="14" t="s">
        <v>74</v>
      </c>
      <c r="Z6" s="35" t="s">
        <v>75</v>
      </c>
      <c r="AA6" s="35" t="s">
        <v>76</v>
      </c>
      <c r="AB6" s="35" t="s">
        <v>77</v>
      </c>
      <c r="AC6" s="37" t="s">
        <v>78</v>
      </c>
      <c r="AD6" s="14" t="str">
        <f t="shared" ref="AD6:AM6" si="3">AD5&amp;AD4</f>
        <v>iProtagonistID</v>
      </c>
      <c r="AE6" s="14" t="str">
        <f t="shared" si="3"/>
        <v>sBgClip</v>
      </c>
      <c r="AF6" s="14" t="str">
        <f t="shared" si="3"/>
        <v>sParentJoinID</v>
      </c>
      <c r="AG6" s="14" t="str">
        <f t="shared" si="3"/>
        <v>sChildJoinID</v>
      </c>
      <c r="AH6" s="14" t="str">
        <f t="shared" si="3"/>
        <v>sEffectParams</v>
      </c>
      <c r="AI6" s="14" t="str">
        <f t="shared" si="3"/>
        <v>sSpineData</v>
      </c>
      <c r="AJ6" s="14" t="str">
        <f t="shared" si="3"/>
        <v>sAwardLove</v>
      </c>
      <c r="AK6" s="14" t="str">
        <f t="shared" si="3"/>
        <v>sCatAttributeLock</v>
      </c>
      <c r="AL6" s="14" t="str">
        <f t="shared" si="3"/>
        <v>sVoiceName</v>
      </c>
      <c r="AM6" s="14" t="str">
        <f t="shared" si="3"/>
        <v>sExtendParam</v>
      </c>
      <c r="AN6" s="37" t="s">
        <v>79</v>
      </c>
      <c r="AO6" s="37" t="s">
        <v>80</v>
      </c>
      <c r="AP6" s="30" t="str">
        <f>AP5&amp;AP4</f>
        <v>sUnlockLevel</v>
      </c>
    </row>
    <row r="7" spans="1:42" s="3" customFormat="1" ht="14.25" x14ac:dyDescent="0.15">
      <c r="A7" s="14"/>
      <c r="B7" s="14" t="s">
        <v>81</v>
      </c>
      <c r="C7" s="14" t="s">
        <v>216</v>
      </c>
      <c r="D7" s="14" t="s">
        <v>217</v>
      </c>
      <c r="E7" s="14" t="s">
        <v>82</v>
      </c>
      <c r="F7" s="14" t="s">
        <v>83</v>
      </c>
      <c r="G7" s="14" t="s">
        <v>84</v>
      </c>
      <c r="H7" s="14" t="s">
        <v>85</v>
      </c>
      <c r="I7" s="14" t="s">
        <v>86</v>
      </c>
      <c r="J7" s="14" t="s">
        <v>87</v>
      </c>
      <c r="K7" s="14" t="s">
        <v>27</v>
      </c>
      <c r="L7" s="14" t="s">
        <v>88</v>
      </c>
      <c r="M7" s="14" t="s">
        <v>89</v>
      </c>
      <c r="N7" s="14" t="s">
        <v>90</v>
      </c>
      <c r="O7" s="14" t="s">
        <v>25</v>
      </c>
      <c r="P7" s="14" t="s">
        <v>91</v>
      </c>
      <c r="Q7" s="14" t="s">
        <v>92</v>
      </c>
      <c r="R7" s="14" t="s">
        <v>93</v>
      </c>
      <c r="S7" s="14" t="s">
        <v>94</v>
      </c>
      <c r="T7" s="14" t="s">
        <v>95</v>
      </c>
      <c r="U7" s="14" t="s">
        <v>96</v>
      </c>
      <c r="V7" s="14" t="s">
        <v>97</v>
      </c>
      <c r="W7" s="14" t="s">
        <v>98</v>
      </c>
      <c r="X7" s="14" t="s">
        <v>99</v>
      </c>
      <c r="Y7" s="14" t="s">
        <v>100</v>
      </c>
      <c r="Z7" s="38" t="s">
        <v>218</v>
      </c>
      <c r="AA7" s="38" t="s">
        <v>101</v>
      </c>
      <c r="AB7" s="38" t="s">
        <v>102</v>
      </c>
      <c r="AC7" s="39" t="s">
        <v>103</v>
      </c>
      <c r="AD7" s="14" t="s">
        <v>104</v>
      </c>
      <c r="AE7" s="14" t="s">
        <v>105</v>
      </c>
      <c r="AF7" s="14" t="s">
        <v>106</v>
      </c>
      <c r="AG7" s="14" t="s">
        <v>107</v>
      </c>
      <c r="AH7" s="14" t="s">
        <v>108</v>
      </c>
      <c r="AI7" s="39" t="s">
        <v>109</v>
      </c>
      <c r="AJ7" s="14" t="s">
        <v>110</v>
      </c>
      <c r="AK7" s="14" t="s">
        <v>111</v>
      </c>
      <c r="AL7" s="14" t="s">
        <v>112</v>
      </c>
      <c r="AM7" s="14" t="s">
        <v>1180</v>
      </c>
      <c r="AN7" s="39" t="s">
        <v>113</v>
      </c>
      <c r="AO7" s="39" t="s">
        <v>114</v>
      </c>
      <c r="AP7" s="14" t="s">
        <v>219</v>
      </c>
    </row>
    <row r="8" spans="1:42" s="3" customFormat="1" ht="14.25" x14ac:dyDescent="0.15">
      <c r="A8" s="14" t="s">
        <v>6</v>
      </c>
      <c r="B8" s="14" t="e">
        <f>MODE(#REF!)</f>
        <v>#REF!</v>
      </c>
      <c r="C8" s="14"/>
      <c r="D8" s="30"/>
      <c r="E8" s="14"/>
      <c r="F8" s="14"/>
      <c r="G8" s="14"/>
      <c r="H8" s="14"/>
      <c r="I8" s="14"/>
      <c r="J8" s="14"/>
      <c r="K8" s="14"/>
      <c r="L8" s="14"/>
      <c r="M8" s="30"/>
      <c r="N8" s="14"/>
      <c r="O8" s="14">
        <v>0</v>
      </c>
      <c r="P8" s="14">
        <v>0</v>
      </c>
      <c r="Q8" s="14"/>
      <c r="R8" s="14"/>
      <c r="S8" s="14"/>
      <c r="T8" s="14"/>
      <c r="U8" s="39"/>
      <c r="V8" s="39"/>
      <c r="W8" s="39"/>
      <c r="X8" s="39"/>
      <c r="Y8" s="14">
        <v>0</v>
      </c>
      <c r="Z8" s="39"/>
      <c r="AA8" s="39"/>
      <c r="AB8" s="39"/>
      <c r="AC8" s="39"/>
      <c r="AD8" s="39"/>
      <c r="AE8" s="39"/>
      <c r="AF8" s="39"/>
      <c r="AG8" s="39"/>
      <c r="AH8" s="39"/>
      <c r="AI8" s="39"/>
      <c r="AJ8" s="39"/>
      <c r="AK8" s="39"/>
      <c r="AL8" s="39"/>
      <c r="AM8" s="39"/>
      <c r="AN8" s="39"/>
      <c r="AO8" s="39"/>
    </row>
    <row r="9" spans="1:42" s="19" customFormat="1" ht="18.75" customHeight="1" x14ac:dyDescent="0.15">
      <c r="A9" s="18"/>
      <c r="B9" s="18"/>
      <c r="C9" s="43" t="s">
        <v>1320</v>
      </c>
      <c r="D9" s="42"/>
      <c r="E9" s="18"/>
      <c r="F9" s="18"/>
      <c r="G9" s="18"/>
      <c r="H9" s="18"/>
      <c r="I9" s="43" t="s">
        <v>220</v>
      </c>
      <c r="J9" s="18"/>
      <c r="K9" s="18"/>
      <c r="L9" s="18"/>
      <c r="M9" s="42"/>
      <c r="N9" s="18"/>
      <c r="O9" s="18"/>
      <c r="P9" s="18"/>
      <c r="Q9" s="18"/>
      <c r="R9" s="18"/>
      <c r="S9" s="18"/>
      <c r="T9" s="18"/>
      <c r="U9" s="44"/>
      <c r="V9" s="44"/>
      <c r="W9" s="44"/>
      <c r="X9" s="44"/>
      <c r="Y9" s="18"/>
      <c r="Z9" s="44"/>
      <c r="AA9" s="44"/>
      <c r="AB9" s="44"/>
      <c r="AC9" s="44" t="s">
        <v>221</v>
      </c>
      <c r="AD9" s="44"/>
      <c r="AE9" s="44"/>
      <c r="AF9" s="44"/>
      <c r="AG9" s="44"/>
      <c r="AH9" s="44"/>
      <c r="AI9" s="44" t="s">
        <v>222</v>
      </c>
      <c r="AJ9" s="44"/>
      <c r="AK9" s="44"/>
      <c r="AL9" s="44"/>
      <c r="AM9" s="44"/>
      <c r="AN9" s="44"/>
      <c r="AO9" s="44"/>
      <c r="AP9" s="19" t="s">
        <v>231</v>
      </c>
    </row>
    <row r="10" spans="1:42" x14ac:dyDescent="0.15">
      <c r="A10" s="40" t="s">
        <v>1</v>
      </c>
      <c r="B10" s="23" t="s">
        <v>484</v>
      </c>
      <c r="C10" s="23">
        <v>101</v>
      </c>
      <c r="D10" s="23">
        <v>1</v>
      </c>
      <c r="F10" s="23" t="s">
        <v>116</v>
      </c>
      <c r="G10" s="23">
        <v>261</v>
      </c>
      <c r="H10" s="23" t="s">
        <v>702</v>
      </c>
      <c r="I10" s="23">
        <v>0</v>
      </c>
      <c r="J10" s="40">
        <v>1</v>
      </c>
      <c r="K10" s="40">
        <v>1</v>
      </c>
      <c r="L10" s="40" t="s">
        <v>115</v>
      </c>
      <c r="O10" s="40" t="s">
        <v>115</v>
      </c>
      <c r="Q10" s="40">
        <v>163</v>
      </c>
      <c r="R10" s="40">
        <v>269</v>
      </c>
      <c r="X10" s="40">
        <v>90010102</v>
      </c>
      <c r="Y10" s="40" t="s">
        <v>115</v>
      </c>
      <c r="Z10" s="40" t="s">
        <v>115</v>
      </c>
      <c r="AA10" s="40" t="s">
        <v>115</v>
      </c>
      <c r="AB10" s="40" t="s">
        <v>115</v>
      </c>
      <c r="AC10" s="40" t="s">
        <v>115</v>
      </c>
      <c r="AI10" s="40" t="s">
        <v>115</v>
      </c>
      <c r="AP10" s="4" t="s">
        <v>115</v>
      </c>
    </row>
    <row r="11" spans="1:42" x14ac:dyDescent="0.15">
      <c r="A11" s="40" t="s">
        <v>1</v>
      </c>
      <c r="B11" s="23">
        <v>90010102</v>
      </c>
      <c r="C11" s="23">
        <v>101</v>
      </c>
      <c r="D11" s="23">
        <v>1</v>
      </c>
      <c r="F11" s="23" t="s">
        <v>256</v>
      </c>
      <c r="G11" s="23" t="s">
        <v>115</v>
      </c>
      <c r="H11" s="23" t="s">
        <v>498</v>
      </c>
      <c r="I11" s="23">
        <v>3</v>
      </c>
      <c r="J11" s="40">
        <v>0</v>
      </c>
      <c r="K11" s="40">
        <v>0</v>
      </c>
      <c r="L11" s="40" t="s">
        <v>115</v>
      </c>
      <c r="O11" s="40" t="s">
        <v>115</v>
      </c>
      <c r="Q11" s="40">
        <v>163</v>
      </c>
      <c r="R11" s="40">
        <v>269</v>
      </c>
      <c r="X11" s="40">
        <v>90010103</v>
      </c>
      <c r="Y11" s="40" t="s">
        <v>115</v>
      </c>
      <c r="Z11" s="40" t="s">
        <v>115</v>
      </c>
      <c r="AA11" s="40" t="s">
        <v>115</v>
      </c>
      <c r="AB11" s="40" t="s">
        <v>115</v>
      </c>
      <c r="AC11" s="40" t="s">
        <v>115</v>
      </c>
      <c r="AI11" s="40" t="s">
        <v>115</v>
      </c>
      <c r="AP11" s="4" t="s">
        <v>115</v>
      </c>
    </row>
    <row r="12" spans="1:42" x14ac:dyDescent="0.15">
      <c r="A12" s="40" t="s">
        <v>1</v>
      </c>
      <c r="B12" s="23">
        <v>90010103</v>
      </c>
      <c r="C12" s="23">
        <v>101</v>
      </c>
      <c r="D12" s="23">
        <v>1</v>
      </c>
      <c r="F12" s="23" t="s">
        <v>116</v>
      </c>
      <c r="G12" s="23">
        <v>274</v>
      </c>
      <c r="H12" s="23" t="s">
        <v>499</v>
      </c>
      <c r="I12" s="23">
        <v>0</v>
      </c>
      <c r="J12" s="40">
        <v>0</v>
      </c>
      <c r="K12" s="40">
        <v>0</v>
      </c>
      <c r="L12" s="40" t="s">
        <v>115</v>
      </c>
      <c r="O12" s="40" t="s">
        <v>115</v>
      </c>
      <c r="Q12" s="40">
        <v>163</v>
      </c>
      <c r="R12" s="40">
        <v>269</v>
      </c>
      <c r="X12" s="40">
        <v>90010104</v>
      </c>
      <c r="Y12" s="40" t="s">
        <v>115</v>
      </c>
      <c r="Z12" s="40" t="s">
        <v>115</v>
      </c>
      <c r="AA12" s="40" t="s">
        <v>115</v>
      </c>
      <c r="AB12" s="40" t="s">
        <v>115</v>
      </c>
      <c r="AC12" s="40" t="s">
        <v>115</v>
      </c>
      <c r="AI12" s="40" t="s">
        <v>115</v>
      </c>
      <c r="AP12" s="4" t="s">
        <v>115</v>
      </c>
    </row>
    <row r="13" spans="1:42" x14ac:dyDescent="0.15">
      <c r="A13" s="40" t="s">
        <v>1</v>
      </c>
      <c r="B13" s="23">
        <v>90010104</v>
      </c>
      <c r="C13" s="23">
        <v>101</v>
      </c>
      <c r="D13" s="23">
        <v>1</v>
      </c>
      <c r="F13" s="23" t="s">
        <v>256</v>
      </c>
      <c r="G13" s="23" t="s">
        <v>115</v>
      </c>
      <c r="H13" s="23" t="s">
        <v>752</v>
      </c>
      <c r="I13" s="23">
        <v>3</v>
      </c>
      <c r="J13" s="40">
        <v>0</v>
      </c>
      <c r="K13" s="40">
        <v>0</v>
      </c>
      <c r="L13" s="40" t="s">
        <v>115</v>
      </c>
      <c r="O13" s="40" t="s">
        <v>115</v>
      </c>
      <c r="Q13" s="40">
        <v>163</v>
      </c>
      <c r="R13" s="40">
        <v>269</v>
      </c>
      <c r="X13" s="40">
        <v>90010105</v>
      </c>
      <c r="Y13" s="40" t="s">
        <v>115</v>
      </c>
      <c r="Z13" s="40" t="s">
        <v>115</v>
      </c>
      <c r="AA13" s="40" t="s">
        <v>115</v>
      </c>
      <c r="AB13" s="40" t="s">
        <v>115</v>
      </c>
      <c r="AC13" s="40" t="s">
        <v>115</v>
      </c>
      <c r="AI13" s="40" t="s">
        <v>115</v>
      </c>
      <c r="AP13" s="4" t="s">
        <v>115</v>
      </c>
    </row>
    <row r="14" spans="1:42" x14ac:dyDescent="0.15">
      <c r="A14" s="40" t="s">
        <v>1</v>
      </c>
      <c r="B14" s="23">
        <v>90010105</v>
      </c>
      <c r="C14" s="23">
        <v>101</v>
      </c>
      <c r="D14" s="23">
        <v>1</v>
      </c>
      <c r="F14" s="23" t="s">
        <v>116</v>
      </c>
      <c r="G14" s="23">
        <v>274</v>
      </c>
      <c r="H14" s="23" t="s">
        <v>1846</v>
      </c>
      <c r="I14" s="23">
        <v>0</v>
      </c>
      <c r="J14" s="40">
        <v>0</v>
      </c>
      <c r="K14" s="40">
        <v>0</v>
      </c>
      <c r="L14" s="40" t="s">
        <v>115</v>
      </c>
      <c r="O14" s="40" t="s">
        <v>115</v>
      </c>
      <c r="Q14" s="40">
        <v>163</v>
      </c>
      <c r="R14" s="40">
        <v>269</v>
      </c>
      <c r="X14" s="40">
        <v>90010106</v>
      </c>
      <c r="Y14" s="40" t="s">
        <v>115</v>
      </c>
      <c r="Z14" s="40" t="s">
        <v>115</v>
      </c>
      <c r="AA14" s="40" t="s">
        <v>115</v>
      </c>
      <c r="AB14" s="40" t="s">
        <v>115</v>
      </c>
      <c r="AC14" s="40" t="s">
        <v>115</v>
      </c>
      <c r="AI14" s="40" t="s">
        <v>115</v>
      </c>
      <c r="AP14" s="4" t="s">
        <v>115</v>
      </c>
    </row>
    <row r="15" spans="1:42" x14ac:dyDescent="0.15">
      <c r="A15" s="40" t="s">
        <v>1</v>
      </c>
      <c r="B15" s="23">
        <v>90010106</v>
      </c>
      <c r="C15" s="23">
        <v>101</v>
      </c>
      <c r="D15" s="23">
        <v>1</v>
      </c>
      <c r="F15" s="23" t="s">
        <v>256</v>
      </c>
      <c r="G15" s="23" t="s">
        <v>115</v>
      </c>
      <c r="H15" s="23" t="s">
        <v>1847</v>
      </c>
      <c r="I15" s="23">
        <v>3</v>
      </c>
      <c r="J15" s="40">
        <v>0</v>
      </c>
      <c r="K15" s="40">
        <v>0</v>
      </c>
      <c r="L15" s="40" t="s">
        <v>115</v>
      </c>
      <c r="O15" s="40" t="s">
        <v>115</v>
      </c>
      <c r="Q15" s="40">
        <v>163</v>
      </c>
      <c r="R15" s="40">
        <v>269</v>
      </c>
      <c r="X15" s="40">
        <v>90010107</v>
      </c>
      <c r="Y15" s="40" t="s">
        <v>115</v>
      </c>
      <c r="Z15" s="40" t="s">
        <v>115</v>
      </c>
      <c r="AA15" s="40" t="s">
        <v>115</v>
      </c>
      <c r="AB15" s="40" t="s">
        <v>115</v>
      </c>
      <c r="AC15" s="40" t="s">
        <v>115</v>
      </c>
      <c r="AI15" s="40" t="s">
        <v>115</v>
      </c>
      <c r="AP15" s="4" t="s">
        <v>115</v>
      </c>
    </row>
    <row r="16" spans="1:42" x14ac:dyDescent="0.15">
      <c r="A16" s="40" t="s">
        <v>1</v>
      </c>
      <c r="B16" s="23">
        <v>90010107</v>
      </c>
      <c r="C16" s="23">
        <v>101</v>
      </c>
      <c r="D16" s="23">
        <v>1</v>
      </c>
      <c r="F16" s="23" t="s">
        <v>116</v>
      </c>
      <c r="G16" s="23">
        <v>274</v>
      </c>
      <c r="H16" s="23" t="s">
        <v>956</v>
      </c>
      <c r="I16" s="23">
        <v>0</v>
      </c>
      <c r="J16" s="40">
        <v>0</v>
      </c>
      <c r="K16" s="40">
        <v>0</v>
      </c>
      <c r="L16" s="40" t="s">
        <v>115</v>
      </c>
      <c r="O16" s="40" t="s">
        <v>115</v>
      </c>
      <c r="Q16" s="40">
        <v>163</v>
      </c>
      <c r="R16" s="40">
        <v>269</v>
      </c>
      <c r="X16" s="40">
        <v>90010108</v>
      </c>
      <c r="Y16" s="40" t="s">
        <v>115</v>
      </c>
      <c r="Z16" s="40" t="s">
        <v>115</v>
      </c>
      <c r="AA16" s="40" t="s">
        <v>115</v>
      </c>
      <c r="AB16" s="40" t="s">
        <v>115</v>
      </c>
      <c r="AC16" s="40" t="s">
        <v>115</v>
      </c>
      <c r="AI16" s="40" t="s">
        <v>115</v>
      </c>
      <c r="AP16" s="4" t="s">
        <v>115</v>
      </c>
    </row>
    <row r="17" spans="1:42" x14ac:dyDescent="0.15">
      <c r="A17" s="40" t="s">
        <v>1</v>
      </c>
      <c r="B17" s="23">
        <v>90010108</v>
      </c>
      <c r="C17" s="23">
        <v>101</v>
      </c>
      <c r="D17" s="23">
        <v>1</v>
      </c>
      <c r="F17" s="23" t="s">
        <v>256</v>
      </c>
      <c r="G17" s="23" t="s">
        <v>115</v>
      </c>
      <c r="H17" s="23" t="s">
        <v>1848</v>
      </c>
      <c r="I17" s="23">
        <v>3</v>
      </c>
      <c r="J17" s="40">
        <v>0</v>
      </c>
      <c r="K17" s="40">
        <v>0</v>
      </c>
      <c r="L17" s="40" t="s">
        <v>115</v>
      </c>
      <c r="O17" s="40" t="s">
        <v>115</v>
      </c>
      <c r="Q17" s="40">
        <v>163</v>
      </c>
      <c r="R17" s="40">
        <v>269</v>
      </c>
      <c r="X17" s="40">
        <v>90010109</v>
      </c>
      <c r="Y17" s="40" t="s">
        <v>115</v>
      </c>
      <c r="Z17" s="40" t="s">
        <v>115</v>
      </c>
      <c r="AA17" s="40" t="s">
        <v>115</v>
      </c>
      <c r="AB17" s="40" t="s">
        <v>115</v>
      </c>
      <c r="AC17" s="40" t="s">
        <v>115</v>
      </c>
      <c r="AI17" s="40" t="s">
        <v>115</v>
      </c>
      <c r="AP17" s="4" t="s">
        <v>115</v>
      </c>
    </row>
    <row r="18" spans="1:42" x14ac:dyDescent="0.15">
      <c r="A18" s="40" t="s">
        <v>1</v>
      </c>
      <c r="B18" s="23">
        <v>90010109</v>
      </c>
      <c r="C18" s="23">
        <v>101</v>
      </c>
      <c r="D18" s="23">
        <v>1</v>
      </c>
      <c r="F18" s="23" t="s">
        <v>116</v>
      </c>
      <c r="G18" s="23">
        <v>275</v>
      </c>
      <c r="H18" s="23" t="s">
        <v>500</v>
      </c>
      <c r="I18" s="23">
        <v>0</v>
      </c>
      <c r="J18" s="40">
        <v>0</v>
      </c>
      <c r="K18" s="40">
        <v>0</v>
      </c>
      <c r="L18" s="40" t="s">
        <v>115</v>
      </c>
      <c r="O18" s="40" t="s">
        <v>115</v>
      </c>
      <c r="Q18" s="40">
        <v>163</v>
      </c>
      <c r="R18" s="40">
        <v>269</v>
      </c>
      <c r="X18" s="40">
        <v>90010110</v>
      </c>
      <c r="Y18" s="40" t="s">
        <v>115</v>
      </c>
      <c r="Z18" s="40" t="s">
        <v>115</v>
      </c>
      <c r="AA18" s="40" t="s">
        <v>115</v>
      </c>
      <c r="AB18" s="40" t="s">
        <v>115</v>
      </c>
      <c r="AC18" s="40" t="s">
        <v>115</v>
      </c>
      <c r="AI18" s="40" t="s">
        <v>115</v>
      </c>
      <c r="AP18" s="4" t="s">
        <v>115</v>
      </c>
    </row>
    <row r="19" spans="1:42" x14ac:dyDescent="0.15">
      <c r="A19" s="40" t="s">
        <v>1</v>
      </c>
      <c r="B19" s="23">
        <v>90010110</v>
      </c>
      <c r="C19" s="23">
        <v>101</v>
      </c>
      <c r="D19" s="23">
        <v>1</v>
      </c>
      <c r="F19" s="23" t="s">
        <v>256</v>
      </c>
      <c r="G19" s="23" t="s">
        <v>115</v>
      </c>
      <c r="H19" s="23" t="s">
        <v>501</v>
      </c>
      <c r="I19" s="23">
        <v>3</v>
      </c>
      <c r="J19" s="40">
        <v>0</v>
      </c>
      <c r="K19" s="40">
        <v>0</v>
      </c>
      <c r="L19" s="40" t="s">
        <v>115</v>
      </c>
      <c r="O19" s="40" t="s">
        <v>115</v>
      </c>
      <c r="Q19" s="40">
        <v>163</v>
      </c>
      <c r="R19" s="40">
        <v>269</v>
      </c>
      <c r="X19" s="40">
        <v>90010111</v>
      </c>
      <c r="Y19" s="40" t="s">
        <v>115</v>
      </c>
      <c r="Z19" s="40" t="s">
        <v>115</v>
      </c>
      <c r="AA19" s="40" t="s">
        <v>115</v>
      </c>
      <c r="AB19" s="40" t="s">
        <v>115</v>
      </c>
      <c r="AC19" s="40" t="s">
        <v>115</v>
      </c>
      <c r="AI19" s="40" t="s">
        <v>115</v>
      </c>
      <c r="AP19" s="4" t="s">
        <v>115</v>
      </c>
    </row>
    <row r="20" spans="1:42" x14ac:dyDescent="0.15">
      <c r="A20" s="40" t="s">
        <v>1</v>
      </c>
      <c r="B20" s="23">
        <v>90010111</v>
      </c>
      <c r="C20" s="23">
        <v>101</v>
      </c>
      <c r="D20" s="23">
        <v>1</v>
      </c>
      <c r="F20" s="23" t="s">
        <v>115</v>
      </c>
      <c r="G20" s="23" t="s">
        <v>115</v>
      </c>
      <c r="H20" s="23" t="s">
        <v>753</v>
      </c>
      <c r="I20" s="23">
        <v>4</v>
      </c>
      <c r="J20" s="40">
        <v>0</v>
      </c>
      <c r="K20" s="40">
        <v>0</v>
      </c>
      <c r="L20" s="40" t="s">
        <v>115</v>
      </c>
      <c r="O20" s="40" t="s">
        <v>115</v>
      </c>
      <c r="Q20" s="40">
        <v>163</v>
      </c>
      <c r="R20" s="40">
        <v>269</v>
      </c>
      <c r="X20" s="40">
        <v>90010112</v>
      </c>
      <c r="Y20" s="40" t="s">
        <v>115</v>
      </c>
      <c r="Z20" s="40" t="s">
        <v>115</v>
      </c>
      <c r="AA20" s="40" t="s">
        <v>115</v>
      </c>
      <c r="AB20" s="40" t="s">
        <v>115</v>
      </c>
      <c r="AC20" s="40" t="s">
        <v>115</v>
      </c>
      <c r="AI20" s="40" t="s">
        <v>115</v>
      </c>
      <c r="AP20" s="4" t="s">
        <v>115</v>
      </c>
    </row>
    <row r="21" spans="1:42" x14ac:dyDescent="0.15">
      <c r="A21" s="40" t="s">
        <v>1</v>
      </c>
      <c r="B21" s="23">
        <v>90010112</v>
      </c>
      <c r="C21" s="23">
        <v>101</v>
      </c>
      <c r="D21" s="23">
        <v>1</v>
      </c>
      <c r="F21" s="23" t="s">
        <v>256</v>
      </c>
      <c r="G21" s="23" t="s">
        <v>115</v>
      </c>
      <c r="H21" s="23" t="s">
        <v>754</v>
      </c>
      <c r="I21" s="23">
        <v>3</v>
      </c>
      <c r="J21" s="40">
        <v>0</v>
      </c>
      <c r="K21" s="40">
        <v>0</v>
      </c>
      <c r="L21" s="40" t="s">
        <v>115</v>
      </c>
      <c r="O21" s="40" t="s">
        <v>115</v>
      </c>
      <c r="Q21" s="40">
        <v>163</v>
      </c>
      <c r="R21" s="40">
        <v>269</v>
      </c>
      <c r="X21" s="40">
        <v>90010113</v>
      </c>
      <c r="Y21" s="40" t="s">
        <v>115</v>
      </c>
      <c r="Z21" s="40" t="s">
        <v>115</v>
      </c>
      <c r="AA21" s="40" t="s">
        <v>115</v>
      </c>
      <c r="AB21" s="40" t="s">
        <v>115</v>
      </c>
      <c r="AC21" s="40" t="s">
        <v>115</v>
      </c>
      <c r="AI21" s="40" t="s">
        <v>115</v>
      </c>
      <c r="AP21" s="4" t="s">
        <v>115</v>
      </c>
    </row>
    <row r="22" spans="1:42" x14ac:dyDescent="0.15">
      <c r="A22" s="40" t="s">
        <v>1</v>
      </c>
      <c r="B22" s="23">
        <v>90010113</v>
      </c>
      <c r="C22" s="23">
        <v>101</v>
      </c>
      <c r="D22" s="23">
        <v>1</v>
      </c>
      <c r="F22" s="23" t="s">
        <v>116</v>
      </c>
      <c r="G22" s="23">
        <v>311</v>
      </c>
      <c r="H22" s="23" t="s">
        <v>1849</v>
      </c>
      <c r="I22" s="23">
        <v>2</v>
      </c>
      <c r="J22" s="40">
        <v>0</v>
      </c>
      <c r="K22" s="40">
        <v>0</v>
      </c>
      <c r="L22" s="40" t="s">
        <v>115</v>
      </c>
      <c r="O22" s="40" t="s">
        <v>115</v>
      </c>
      <c r="Q22" s="40">
        <v>163</v>
      </c>
      <c r="R22" s="40">
        <v>269</v>
      </c>
      <c r="X22" s="40">
        <v>90010114</v>
      </c>
      <c r="Y22" s="40" t="s">
        <v>115</v>
      </c>
      <c r="Z22" s="40" t="s">
        <v>115</v>
      </c>
      <c r="AA22" s="40" t="s">
        <v>115</v>
      </c>
      <c r="AB22" s="40" t="s">
        <v>115</v>
      </c>
      <c r="AC22" s="40" t="s">
        <v>115</v>
      </c>
      <c r="AI22" s="40" t="s">
        <v>115</v>
      </c>
      <c r="AP22" s="4" t="s">
        <v>115</v>
      </c>
    </row>
    <row r="23" spans="1:42" x14ac:dyDescent="0.15">
      <c r="A23" s="40" t="s">
        <v>1</v>
      </c>
      <c r="B23" s="23">
        <v>90010114</v>
      </c>
      <c r="C23" s="23">
        <v>101</v>
      </c>
      <c r="D23" s="23">
        <v>1</v>
      </c>
      <c r="F23" s="23" t="s">
        <v>256</v>
      </c>
      <c r="G23" s="23" t="s">
        <v>115</v>
      </c>
      <c r="H23" s="23" t="s">
        <v>703</v>
      </c>
      <c r="I23" s="23">
        <v>3</v>
      </c>
      <c r="J23" s="40">
        <v>0</v>
      </c>
      <c r="K23" s="40">
        <v>2</v>
      </c>
      <c r="L23" s="40" t="s">
        <v>115</v>
      </c>
      <c r="O23" s="40">
        <v>1</v>
      </c>
      <c r="Q23" s="40">
        <v>163</v>
      </c>
      <c r="R23" s="40">
        <v>269</v>
      </c>
      <c r="X23" s="40" t="s">
        <v>115</v>
      </c>
      <c r="Y23" s="40" t="s">
        <v>115</v>
      </c>
      <c r="Z23" s="40">
        <v>1</v>
      </c>
      <c r="AA23" s="40" t="s">
        <v>115</v>
      </c>
      <c r="AB23" s="40" t="s">
        <v>115</v>
      </c>
      <c r="AC23" s="40" t="s">
        <v>115</v>
      </c>
      <c r="AI23" s="40" t="s">
        <v>115</v>
      </c>
      <c r="AP23" s="4" t="s">
        <v>502</v>
      </c>
    </row>
    <row r="24" spans="1:42" x14ac:dyDescent="0.15">
      <c r="A24" s="40" t="s">
        <v>1</v>
      </c>
      <c r="B24" s="23" t="s">
        <v>487</v>
      </c>
      <c r="C24" s="23">
        <v>102</v>
      </c>
      <c r="D24" s="23">
        <v>1</v>
      </c>
      <c r="F24" s="23" t="s">
        <v>115</v>
      </c>
      <c r="G24" s="23" t="s">
        <v>115</v>
      </c>
      <c r="H24" s="23" t="s">
        <v>1850</v>
      </c>
      <c r="I24" s="23">
        <v>4</v>
      </c>
      <c r="J24" s="40">
        <v>1</v>
      </c>
      <c r="K24" s="40">
        <v>1</v>
      </c>
      <c r="L24" s="40" t="s">
        <v>115</v>
      </c>
      <c r="O24" s="40" t="s">
        <v>115</v>
      </c>
      <c r="Q24" s="40">
        <v>137</v>
      </c>
      <c r="R24" s="40" t="s">
        <v>115</v>
      </c>
      <c r="X24" s="40">
        <v>90010202</v>
      </c>
      <c r="Y24" s="40" t="s">
        <v>115</v>
      </c>
      <c r="Z24" s="40" t="s">
        <v>115</v>
      </c>
      <c r="AA24" s="40" t="s">
        <v>115</v>
      </c>
      <c r="AB24" s="40" t="s">
        <v>115</v>
      </c>
      <c r="AC24" s="40" t="s">
        <v>115</v>
      </c>
      <c r="AI24" s="40" t="s">
        <v>115</v>
      </c>
      <c r="AP24" s="4" t="s">
        <v>115</v>
      </c>
    </row>
    <row r="25" spans="1:42" x14ac:dyDescent="0.15">
      <c r="A25" s="40" t="s">
        <v>1</v>
      </c>
      <c r="B25" s="23">
        <v>90010202</v>
      </c>
      <c r="C25" s="23">
        <v>102</v>
      </c>
      <c r="D25" s="23">
        <v>1</v>
      </c>
      <c r="F25" s="23" t="s">
        <v>115</v>
      </c>
      <c r="G25" s="23" t="s">
        <v>115</v>
      </c>
      <c r="H25" s="23" t="s">
        <v>1851</v>
      </c>
      <c r="I25" s="23">
        <v>4</v>
      </c>
      <c r="J25" s="40">
        <v>0</v>
      </c>
      <c r="K25" s="40">
        <v>0</v>
      </c>
      <c r="L25" s="40" t="s">
        <v>115</v>
      </c>
      <c r="O25" s="40" t="s">
        <v>115</v>
      </c>
      <c r="Q25" s="40">
        <v>137</v>
      </c>
      <c r="R25" s="40" t="s">
        <v>115</v>
      </c>
      <c r="X25" s="40">
        <v>90010203</v>
      </c>
      <c r="Y25" s="40" t="s">
        <v>115</v>
      </c>
      <c r="Z25" s="40" t="s">
        <v>115</v>
      </c>
      <c r="AA25" s="40" t="s">
        <v>115</v>
      </c>
      <c r="AB25" s="40" t="s">
        <v>115</v>
      </c>
      <c r="AC25" s="40" t="s">
        <v>115</v>
      </c>
      <c r="AI25" s="40" t="s">
        <v>115</v>
      </c>
      <c r="AP25" s="4" t="s">
        <v>115</v>
      </c>
    </row>
    <row r="26" spans="1:42" x14ac:dyDescent="0.15">
      <c r="A26" s="40" t="s">
        <v>1</v>
      </c>
      <c r="B26" s="23">
        <v>90010203</v>
      </c>
      <c r="C26" s="23">
        <v>102</v>
      </c>
      <c r="D26" s="23">
        <v>1</v>
      </c>
      <c r="F26" s="23" t="s">
        <v>115</v>
      </c>
      <c r="G26" s="23" t="s">
        <v>115</v>
      </c>
      <c r="H26" s="23" t="s">
        <v>1852</v>
      </c>
      <c r="I26" s="23">
        <v>4</v>
      </c>
      <c r="J26" s="40">
        <v>0</v>
      </c>
      <c r="K26" s="40">
        <v>0</v>
      </c>
      <c r="L26" s="40" t="s">
        <v>115</v>
      </c>
      <c r="O26" s="40" t="s">
        <v>115</v>
      </c>
      <c r="Q26" s="40">
        <v>137</v>
      </c>
      <c r="R26" s="40" t="s">
        <v>115</v>
      </c>
      <c r="X26" s="40">
        <v>90010204</v>
      </c>
      <c r="Y26" s="40" t="s">
        <v>115</v>
      </c>
      <c r="Z26" s="40" t="s">
        <v>115</v>
      </c>
      <c r="AA26" s="40" t="s">
        <v>115</v>
      </c>
      <c r="AB26" s="40" t="s">
        <v>115</v>
      </c>
      <c r="AC26" s="40" t="s">
        <v>115</v>
      </c>
      <c r="AI26" s="40" t="s">
        <v>115</v>
      </c>
      <c r="AP26" s="4" t="s">
        <v>115</v>
      </c>
    </row>
    <row r="27" spans="1:42" x14ac:dyDescent="0.15">
      <c r="A27" s="40" t="s">
        <v>1</v>
      </c>
      <c r="B27" s="23">
        <v>90010204</v>
      </c>
      <c r="C27" s="23">
        <v>102</v>
      </c>
      <c r="D27" s="23">
        <v>1</v>
      </c>
      <c r="F27" s="23" t="s">
        <v>431</v>
      </c>
      <c r="G27" s="23" t="s">
        <v>115</v>
      </c>
      <c r="H27" s="23" t="s">
        <v>1853</v>
      </c>
      <c r="I27" s="23">
        <v>3</v>
      </c>
      <c r="J27" s="40">
        <v>0</v>
      </c>
      <c r="K27" s="40">
        <v>0</v>
      </c>
      <c r="L27" s="40" t="s">
        <v>115</v>
      </c>
      <c r="O27" s="40" t="s">
        <v>115</v>
      </c>
      <c r="Q27" s="40">
        <v>137</v>
      </c>
      <c r="R27" s="40">
        <v>161</v>
      </c>
      <c r="X27" s="40">
        <v>90010205</v>
      </c>
      <c r="Y27" s="40" t="s">
        <v>115</v>
      </c>
      <c r="Z27" s="40" t="s">
        <v>115</v>
      </c>
      <c r="AA27" s="40" t="s">
        <v>115</v>
      </c>
      <c r="AB27" s="40" t="s">
        <v>115</v>
      </c>
      <c r="AC27" s="40" t="s">
        <v>115</v>
      </c>
      <c r="AI27" s="40" t="s">
        <v>115</v>
      </c>
      <c r="AP27" s="4" t="s">
        <v>115</v>
      </c>
    </row>
    <row r="28" spans="1:42" x14ac:dyDescent="0.15">
      <c r="A28" s="40" t="s">
        <v>1</v>
      </c>
      <c r="B28" s="23">
        <v>90010205</v>
      </c>
      <c r="C28" s="23">
        <v>102</v>
      </c>
      <c r="D28" s="23">
        <v>1</v>
      </c>
      <c r="F28" s="23" t="s">
        <v>115</v>
      </c>
      <c r="G28" s="23" t="s">
        <v>115</v>
      </c>
      <c r="H28" s="23" t="s">
        <v>1854</v>
      </c>
      <c r="I28" s="23">
        <v>4</v>
      </c>
      <c r="J28" s="40">
        <v>0</v>
      </c>
      <c r="K28" s="40">
        <v>0</v>
      </c>
      <c r="L28" s="40" t="s">
        <v>115</v>
      </c>
      <c r="O28" s="40" t="s">
        <v>115</v>
      </c>
      <c r="Q28" s="40">
        <v>137</v>
      </c>
      <c r="R28" s="40">
        <v>161</v>
      </c>
      <c r="X28" s="40">
        <v>90010206</v>
      </c>
      <c r="Y28" s="40" t="s">
        <v>115</v>
      </c>
      <c r="Z28" s="40" t="s">
        <v>115</v>
      </c>
      <c r="AA28" s="40" t="s">
        <v>115</v>
      </c>
      <c r="AB28" s="40" t="s">
        <v>115</v>
      </c>
      <c r="AC28" s="40" t="s">
        <v>115</v>
      </c>
      <c r="AI28" s="40" t="s">
        <v>115</v>
      </c>
      <c r="AP28" s="4" t="s">
        <v>115</v>
      </c>
    </row>
    <row r="29" spans="1:42" x14ac:dyDescent="0.15">
      <c r="A29" s="40" t="s">
        <v>1</v>
      </c>
      <c r="B29" s="23">
        <v>90010206</v>
      </c>
      <c r="C29" s="23">
        <v>102</v>
      </c>
      <c r="D29" s="23">
        <v>1</v>
      </c>
      <c r="F29" s="23" t="s">
        <v>115</v>
      </c>
      <c r="G29" s="23" t="s">
        <v>115</v>
      </c>
      <c r="H29" s="23" t="s">
        <v>1855</v>
      </c>
      <c r="I29" s="23">
        <v>4</v>
      </c>
      <c r="J29" s="40">
        <v>0</v>
      </c>
      <c r="K29" s="40">
        <v>0</v>
      </c>
      <c r="L29" s="40" t="s">
        <v>115</v>
      </c>
      <c r="O29" s="40" t="s">
        <v>115</v>
      </c>
      <c r="Q29" s="40">
        <v>137</v>
      </c>
      <c r="R29" s="40">
        <v>161</v>
      </c>
      <c r="X29" s="40">
        <v>90010207</v>
      </c>
      <c r="Y29" s="40" t="s">
        <v>115</v>
      </c>
      <c r="Z29" s="40" t="s">
        <v>115</v>
      </c>
      <c r="AA29" s="40" t="s">
        <v>115</v>
      </c>
      <c r="AB29" s="40" t="s">
        <v>115</v>
      </c>
      <c r="AC29" s="40" t="s">
        <v>115</v>
      </c>
      <c r="AI29" s="40" t="s">
        <v>115</v>
      </c>
      <c r="AP29" s="4" t="s">
        <v>115</v>
      </c>
    </row>
    <row r="30" spans="1:42" x14ac:dyDescent="0.15">
      <c r="A30" s="40" t="s">
        <v>1</v>
      </c>
      <c r="B30" s="23">
        <v>90010207</v>
      </c>
      <c r="C30" s="23">
        <v>102</v>
      </c>
      <c r="D30" s="23">
        <v>1</v>
      </c>
      <c r="F30" s="23" t="s">
        <v>115</v>
      </c>
      <c r="G30" s="23" t="s">
        <v>115</v>
      </c>
      <c r="H30" s="23" t="s">
        <v>1856</v>
      </c>
      <c r="I30" s="23">
        <v>4</v>
      </c>
      <c r="J30" s="40">
        <v>0</v>
      </c>
      <c r="K30" s="40">
        <v>0</v>
      </c>
      <c r="L30" s="40" t="s">
        <v>115</v>
      </c>
      <c r="O30" s="40" t="s">
        <v>115</v>
      </c>
      <c r="Q30" s="40">
        <v>137</v>
      </c>
      <c r="R30" s="40">
        <v>161</v>
      </c>
      <c r="X30" s="40">
        <v>90010208</v>
      </c>
      <c r="Y30" s="40" t="s">
        <v>115</v>
      </c>
      <c r="Z30" s="40" t="s">
        <v>115</v>
      </c>
      <c r="AA30" s="40" t="s">
        <v>115</v>
      </c>
      <c r="AB30" s="40" t="s">
        <v>115</v>
      </c>
      <c r="AC30" s="40" t="s">
        <v>115</v>
      </c>
      <c r="AI30" s="40" t="s">
        <v>115</v>
      </c>
      <c r="AP30" s="4" t="s">
        <v>115</v>
      </c>
    </row>
    <row r="31" spans="1:42" x14ac:dyDescent="0.15">
      <c r="A31" s="40" t="s">
        <v>1</v>
      </c>
      <c r="B31" s="23">
        <v>90010208</v>
      </c>
      <c r="C31" s="23">
        <v>102</v>
      </c>
      <c r="D31" s="23">
        <v>1</v>
      </c>
      <c r="F31" s="23" t="s">
        <v>503</v>
      </c>
      <c r="G31" s="23" t="s">
        <v>115</v>
      </c>
      <c r="H31" s="23" t="s">
        <v>1857</v>
      </c>
      <c r="I31" s="23">
        <v>3</v>
      </c>
      <c r="J31" s="40">
        <v>0</v>
      </c>
      <c r="K31" s="40">
        <v>0</v>
      </c>
      <c r="L31" s="40" t="s">
        <v>115</v>
      </c>
      <c r="O31" s="40" t="s">
        <v>115</v>
      </c>
      <c r="Q31" s="40">
        <v>137</v>
      </c>
      <c r="R31" s="40">
        <v>161</v>
      </c>
      <c r="X31" s="40">
        <v>90010209</v>
      </c>
      <c r="Y31" s="40" t="s">
        <v>115</v>
      </c>
      <c r="Z31" s="40" t="s">
        <v>115</v>
      </c>
      <c r="AA31" s="40" t="s">
        <v>115</v>
      </c>
      <c r="AB31" s="40" t="s">
        <v>115</v>
      </c>
      <c r="AC31" s="40" t="s">
        <v>115</v>
      </c>
      <c r="AI31" s="40" t="s">
        <v>115</v>
      </c>
      <c r="AP31" s="4" t="s">
        <v>115</v>
      </c>
    </row>
    <row r="32" spans="1:42" x14ac:dyDescent="0.15">
      <c r="A32" s="40" t="s">
        <v>1</v>
      </c>
      <c r="B32" s="23">
        <v>90010209</v>
      </c>
      <c r="C32" s="23">
        <v>102</v>
      </c>
      <c r="D32" s="23">
        <v>1</v>
      </c>
      <c r="F32" s="23" t="s">
        <v>503</v>
      </c>
      <c r="G32" s="23" t="s">
        <v>115</v>
      </c>
      <c r="H32" s="23" t="s">
        <v>1858</v>
      </c>
      <c r="I32" s="23">
        <v>3</v>
      </c>
      <c r="J32" s="40">
        <v>0</v>
      </c>
      <c r="K32" s="40">
        <v>0</v>
      </c>
      <c r="L32" s="40" t="s">
        <v>115</v>
      </c>
      <c r="O32" s="40" t="s">
        <v>115</v>
      </c>
      <c r="Q32" s="40">
        <v>137</v>
      </c>
      <c r="R32" s="40">
        <v>161</v>
      </c>
      <c r="X32" s="40">
        <v>90010210</v>
      </c>
      <c r="Y32" s="40" t="s">
        <v>115</v>
      </c>
      <c r="Z32" s="40" t="s">
        <v>115</v>
      </c>
      <c r="AA32" s="40" t="s">
        <v>115</v>
      </c>
      <c r="AB32" s="40" t="s">
        <v>115</v>
      </c>
      <c r="AC32" s="40" t="s">
        <v>115</v>
      </c>
      <c r="AI32" s="40" t="s">
        <v>115</v>
      </c>
      <c r="AP32" s="4" t="s">
        <v>115</v>
      </c>
    </row>
    <row r="33" spans="1:42" x14ac:dyDescent="0.15">
      <c r="A33" s="40" t="s">
        <v>1</v>
      </c>
      <c r="B33" s="23">
        <v>90010210</v>
      </c>
      <c r="C33" s="23">
        <v>102</v>
      </c>
      <c r="D33" s="23">
        <v>1</v>
      </c>
      <c r="F33" s="23" t="s">
        <v>115</v>
      </c>
      <c r="G33" s="23" t="s">
        <v>115</v>
      </c>
      <c r="H33" s="23" t="s">
        <v>1859</v>
      </c>
      <c r="I33" s="23">
        <v>4</v>
      </c>
      <c r="J33" s="40">
        <v>0</v>
      </c>
      <c r="K33" s="40">
        <v>0</v>
      </c>
      <c r="L33" s="40" t="s">
        <v>115</v>
      </c>
      <c r="O33" s="40" t="s">
        <v>115</v>
      </c>
      <c r="Q33" s="40">
        <v>137</v>
      </c>
      <c r="R33" s="40">
        <v>161</v>
      </c>
      <c r="X33" s="40">
        <v>90010211</v>
      </c>
      <c r="Y33" s="40" t="s">
        <v>115</v>
      </c>
      <c r="Z33" s="40" t="s">
        <v>115</v>
      </c>
      <c r="AA33" s="40" t="s">
        <v>115</v>
      </c>
      <c r="AB33" s="40" t="s">
        <v>115</v>
      </c>
      <c r="AC33" s="40" t="s">
        <v>115</v>
      </c>
      <c r="AI33" s="40" t="s">
        <v>115</v>
      </c>
      <c r="AP33" s="4" t="s">
        <v>115</v>
      </c>
    </row>
    <row r="34" spans="1:42" x14ac:dyDescent="0.15">
      <c r="A34" s="40" t="s">
        <v>1</v>
      </c>
      <c r="B34" s="23">
        <v>90010211</v>
      </c>
      <c r="C34" s="23">
        <v>102</v>
      </c>
      <c r="D34" s="23">
        <v>1</v>
      </c>
      <c r="F34" s="23" t="s">
        <v>115</v>
      </c>
      <c r="G34" s="23" t="s">
        <v>115</v>
      </c>
      <c r="H34" s="23" t="s">
        <v>1860</v>
      </c>
      <c r="I34" s="23">
        <v>4</v>
      </c>
      <c r="J34" s="40">
        <v>0</v>
      </c>
      <c r="K34" s="40">
        <v>2</v>
      </c>
      <c r="L34" s="40" t="s">
        <v>115</v>
      </c>
      <c r="O34" s="40" t="s">
        <v>115</v>
      </c>
      <c r="Q34" s="40">
        <v>137</v>
      </c>
      <c r="R34" s="40">
        <v>161</v>
      </c>
      <c r="X34" s="40" t="s">
        <v>1861</v>
      </c>
      <c r="Y34" s="40">
        <v>1</v>
      </c>
      <c r="Z34" s="40">
        <v>1</v>
      </c>
      <c r="AA34" s="40" t="s">
        <v>115</v>
      </c>
      <c r="AB34" s="40" t="s">
        <v>115</v>
      </c>
      <c r="AC34" s="40" t="s">
        <v>115</v>
      </c>
      <c r="AI34" s="40" t="s">
        <v>115</v>
      </c>
      <c r="AP34" s="4" t="s">
        <v>115</v>
      </c>
    </row>
    <row r="35" spans="1:42" x14ac:dyDescent="0.15">
      <c r="A35" s="40" t="s">
        <v>1</v>
      </c>
      <c r="B35" s="23">
        <v>90010212</v>
      </c>
      <c r="C35" s="23">
        <v>102</v>
      </c>
      <c r="D35" s="23">
        <v>1</v>
      </c>
      <c r="F35" s="23" t="s">
        <v>115</v>
      </c>
      <c r="G35" s="23" t="s">
        <v>115</v>
      </c>
      <c r="H35" s="23" t="s">
        <v>504</v>
      </c>
      <c r="I35" s="23">
        <v>4</v>
      </c>
      <c r="J35" s="40">
        <v>0</v>
      </c>
      <c r="K35" s="40">
        <v>3</v>
      </c>
      <c r="L35" s="40" t="s">
        <v>115</v>
      </c>
      <c r="O35" s="40" t="s">
        <v>115</v>
      </c>
      <c r="Q35" s="40">
        <v>137</v>
      </c>
      <c r="R35" s="40">
        <v>161</v>
      </c>
      <c r="X35" s="40">
        <v>90010214</v>
      </c>
      <c r="Y35" s="40">
        <v>-1</v>
      </c>
      <c r="Z35" s="40">
        <v>2</v>
      </c>
      <c r="AA35" s="40" t="s">
        <v>115</v>
      </c>
      <c r="AB35" s="40" t="s">
        <v>115</v>
      </c>
      <c r="AC35" s="40" t="s">
        <v>115</v>
      </c>
      <c r="AI35" s="40" t="s">
        <v>115</v>
      </c>
      <c r="AP35" s="4" t="s">
        <v>115</v>
      </c>
    </row>
    <row r="36" spans="1:42" x14ac:dyDescent="0.15">
      <c r="A36" s="40" t="s">
        <v>1</v>
      </c>
      <c r="B36" s="23">
        <v>90010213</v>
      </c>
      <c r="C36" s="23">
        <v>102</v>
      </c>
      <c r="D36" s="23">
        <v>1</v>
      </c>
      <c r="F36" s="23" t="s">
        <v>115</v>
      </c>
      <c r="G36" s="23" t="s">
        <v>115</v>
      </c>
      <c r="H36" s="23" t="s">
        <v>505</v>
      </c>
      <c r="I36" s="23">
        <v>4</v>
      </c>
      <c r="J36" s="40">
        <v>0</v>
      </c>
      <c r="K36" s="40">
        <v>4</v>
      </c>
      <c r="L36" s="40" t="s">
        <v>115</v>
      </c>
      <c r="O36" s="40" t="s">
        <v>115</v>
      </c>
      <c r="Q36" s="40">
        <v>137</v>
      </c>
      <c r="R36" s="40">
        <v>161</v>
      </c>
      <c r="X36" s="40">
        <v>90010215</v>
      </c>
      <c r="Y36" s="40">
        <v>-1</v>
      </c>
      <c r="Z36" s="40">
        <v>2</v>
      </c>
      <c r="AA36" s="40" t="s">
        <v>115</v>
      </c>
      <c r="AB36" s="40" t="s">
        <v>115</v>
      </c>
      <c r="AC36" s="40" t="s">
        <v>115</v>
      </c>
      <c r="AI36" s="40" t="s">
        <v>115</v>
      </c>
      <c r="AP36" s="4" t="s">
        <v>115</v>
      </c>
    </row>
    <row r="37" spans="1:42" x14ac:dyDescent="0.15">
      <c r="A37" s="40" t="s">
        <v>1</v>
      </c>
      <c r="B37" s="23">
        <v>90010214</v>
      </c>
      <c r="C37" s="23">
        <v>102</v>
      </c>
      <c r="D37" s="23">
        <v>1</v>
      </c>
      <c r="F37" s="23" t="s">
        <v>116</v>
      </c>
      <c r="G37" s="23">
        <v>312</v>
      </c>
      <c r="H37" s="23" t="s">
        <v>506</v>
      </c>
      <c r="I37" s="23">
        <v>0</v>
      </c>
      <c r="J37" s="40">
        <v>0</v>
      </c>
      <c r="K37" s="40">
        <v>0</v>
      </c>
      <c r="L37" s="40" t="s">
        <v>115</v>
      </c>
      <c r="O37" s="40" t="s">
        <v>115</v>
      </c>
      <c r="Q37" s="40">
        <v>137</v>
      </c>
      <c r="R37" s="40">
        <v>161</v>
      </c>
      <c r="X37" s="40">
        <v>90010216</v>
      </c>
      <c r="Y37" s="40" t="s">
        <v>115</v>
      </c>
      <c r="Z37" s="40" t="s">
        <v>115</v>
      </c>
      <c r="AA37" s="40" t="s">
        <v>115</v>
      </c>
      <c r="AB37" s="40" t="s">
        <v>115</v>
      </c>
      <c r="AC37" s="40" t="s">
        <v>115</v>
      </c>
      <c r="AI37" s="40" t="s">
        <v>115</v>
      </c>
      <c r="AP37" s="4" t="s">
        <v>115</v>
      </c>
    </row>
    <row r="38" spans="1:42" x14ac:dyDescent="0.15">
      <c r="A38" s="40" t="s">
        <v>1</v>
      </c>
      <c r="B38" s="23">
        <v>90010215</v>
      </c>
      <c r="C38" s="23">
        <v>102</v>
      </c>
      <c r="D38" s="23">
        <v>1</v>
      </c>
      <c r="F38" s="23" t="s">
        <v>116</v>
      </c>
      <c r="G38" s="23">
        <v>312</v>
      </c>
      <c r="H38" s="23" t="s">
        <v>507</v>
      </c>
      <c r="I38" s="23">
        <v>0</v>
      </c>
      <c r="J38" s="40">
        <v>0</v>
      </c>
      <c r="K38" s="40">
        <v>0</v>
      </c>
      <c r="L38" s="40" t="s">
        <v>115</v>
      </c>
      <c r="O38" s="40" t="s">
        <v>115</v>
      </c>
      <c r="Q38" s="40">
        <v>137</v>
      </c>
      <c r="R38" s="40">
        <v>161</v>
      </c>
      <c r="X38" s="40">
        <v>90010216</v>
      </c>
      <c r="Y38" s="40" t="s">
        <v>115</v>
      </c>
      <c r="Z38" s="40" t="s">
        <v>115</v>
      </c>
      <c r="AA38" s="40" t="s">
        <v>115</v>
      </c>
      <c r="AB38" s="40" t="s">
        <v>115</v>
      </c>
      <c r="AC38" s="40" t="s">
        <v>115</v>
      </c>
      <c r="AI38" s="40" t="s">
        <v>115</v>
      </c>
      <c r="AP38" s="4" t="s">
        <v>115</v>
      </c>
    </row>
    <row r="39" spans="1:42" x14ac:dyDescent="0.15">
      <c r="A39" s="40" t="s">
        <v>1</v>
      </c>
      <c r="B39" s="23">
        <v>90010216</v>
      </c>
      <c r="C39" s="23">
        <v>102</v>
      </c>
      <c r="D39" s="23">
        <v>1</v>
      </c>
      <c r="F39" s="23" t="s">
        <v>503</v>
      </c>
      <c r="G39" s="23" t="s">
        <v>115</v>
      </c>
      <c r="H39" s="23" t="s">
        <v>508</v>
      </c>
      <c r="I39" s="23">
        <v>3</v>
      </c>
      <c r="J39" s="40">
        <v>0</v>
      </c>
      <c r="K39" s="40">
        <v>0</v>
      </c>
      <c r="L39" s="40" t="s">
        <v>115</v>
      </c>
      <c r="O39" s="40" t="s">
        <v>115</v>
      </c>
      <c r="Q39" s="40">
        <v>137</v>
      </c>
      <c r="R39" s="40">
        <v>161</v>
      </c>
      <c r="X39" s="40">
        <v>90010217</v>
      </c>
      <c r="Y39" s="40" t="s">
        <v>115</v>
      </c>
      <c r="Z39" s="40" t="s">
        <v>115</v>
      </c>
      <c r="AA39" s="40" t="s">
        <v>115</v>
      </c>
      <c r="AB39" s="40" t="s">
        <v>115</v>
      </c>
      <c r="AC39" s="40" t="s">
        <v>115</v>
      </c>
      <c r="AI39" s="40" t="s">
        <v>115</v>
      </c>
      <c r="AP39" s="4" t="s">
        <v>115</v>
      </c>
    </row>
    <row r="40" spans="1:42" x14ac:dyDescent="0.15">
      <c r="A40" s="40" t="s">
        <v>1</v>
      </c>
      <c r="B40" s="23">
        <v>90010217</v>
      </c>
      <c r="C40" s="23">
        <v>102</v>
      </c>
      <c r="D40" s="23">
        <v>1</v>
      </c>
      <c r="F40" s="23" t="s">
        <v>503</v>
      </c>
      <c r="G40" s="23" t="s">
        <v>115</v>
      </c>
      <c r="H40" s="23" t="s">
        <v>509</v>
      </c>
      <c r="I40" s="23">
        <v>3</v>
      </c>
      <c r="J40" s="40">
        <v>0</v>
      </c>
      <c r="K40" s="40">
        <v>0</v>
      </c>
      <c r="L40" s="40" t="s">
        <v>115</v>
      </c>
      <c r="O40" s="40" t="s">
        <v>115</v>
      </c>
      <c r="Q40" s="40">
        <v>137</v>
      </c>
      <c r="R40" s="40">
        <v>161</v>
      </c>
      <c r="X40" s="40">
        <v>90010218</v>
      </c>
      <c r="Y40" s="40" t="s">
        <v>115</v>
      </c>
      <c r="Z40" s="40" t="s">
        <v>115</v>
      </c>
      <c r="AA40" s="40" t="s">
        <v>115</v>
      </c>
      <c r="AB40" s="40" t="s">
        <v>115</v>
      </c>
      <c r="AC40" s="40" t="s">
        <v>115</v>
      </c>
      <c r="AI40" s="40" t="s">
        <v>115</v>
      </c>
      <c r="AP40" s="4" t="s">
        <v>115</v>
      </c>
    </row>
    <row r="41" spans="1:42" x14ac:dyDescent="0.15">
      <c r="A41" s="40" t="s">
        <v>1</v>
      </c>
      <c r="B41" s="23">
        <v>90010218</v>
      </c>
      <c r="C41" s="23">
        <v>102</v>
      </c>
      <c r="D41" s="23">
        <v>1</v>
      </c>
      <c r="F41" s="23" t="s">
        <v>116</v>
      </c>
      <c r="G41" s="23">
        <v>309</v>
      </c>
      <c r="H41" s="23" t="s">
        <v>510</v>
      </c>
      <c r="I41" s="23">
        <v>0</v>
      </c>
      <c r="J41" s="40">
        <v>0</v>
      </c>
      <c r="K41" s="40">
        <v>0</v>
      </c>
      <c r="L41" s="40" t="s">
        <v>115</v>
      </c>
      <c r="O41" s="40" t="s">
        <v>115</v>
      </c>
      <c r="Q41" s="40">
        <v>137</v>
      </c>
      <c r="R41" s="40">
        <v>161</v>
      </c>
      <c r="X41" s="40">
        <v>90010219</v>
      </c>
      <c r="Y41" s="40" t="s">
        <v>115</v>
      </c>
      <c r="Z41" s="40" t="s">
        <v>115</v>
      </c>
      <c r="AA41" s="40" t="s">
        <v>115</v>
      </c>
      <c r="AB41" s="40" t="s">
        <v>115</v>
      </c>
      <c r="AC41" s="40" t="s">
        <v>115</v>
      </c>
      <c r="AI41" s="40" t="s">
        <v>115</v>
      </c>
      <c r="AP41" s="4" t="s">
        <v>115</v>
      </c>
    </row>
    <row r="42" spans="1:42" x14ac:dyDescent="0.15">
      <c r="A42" s="40" t="s">
        <v>1</v>
      </c>
      <c r="B42" s="23">
        <v>90010219</v>
      </c>
      <c r="C42" s="23">
        <v>102</v>
      </c>
      <c r="D42" s="23">
        <v>1</v>
      </c>
      <c r="F42" s="23" t="s">
        <v>503</v>
      </c>
      <c r="G42" s="23" t="s">
        <v>115</v>
      </c>
      <c r="H42" s="23" t="s">
        <v>511</v>
      </c>
      <c r="I42" s="23">
        <v>3</v>
      </c>
      <c r="J42" s="40">
        <v>0</v>
      </c>
      <c r="K42" s="40">
        <v>0</v>
      </c>
      <c r="L42" s="40" t="s">
        <v>115</v>
      </c>
      <c r="O42" s="40" t="s">
        <v>115</v>
      </c>
      <c r="Q42" s="40">
        <v>137</v>
      </c>
      <c r="R42" s="40">
        <v>161</v>
      </c>
      <c r="X42" s="40">
        <v>90010220</v>
      </c>
      <c r="Y42" s="40" t="s">
        <v>115</v>
      </c>
      <c r="Z42" s="40" t="s">
        <v>115</v>
      </c>
      <c r="AA42" s="40" t="s">
        <v>115</v>
      </c>
      <c r="AB42" s="40" t="s">
        <v>115</v>
      </c>
      <c r="AC42" s="40" t="s">
        <v>115</v>
      </c>
      <c r="AI42" s="40" t="s">
        <v>115</v>
      </c>
      <c r="AP42" s="4" t="s">
        <v>115</v>
      </c>
    </row>
    <row r="43" spans="1:42" x14ac:dyDescent="0.15">
      <c r="A43" s="40" t="s">
        <v>1</v>
      </c>
      <c r="B43" s="23">
        <v>90010220</v>
      </c>
      <c r="C43" s="23">
        <v>102</v>
      </c>
      <c r="D43" s="23">
        <v>1</v>
      </c>
      <c r="F43" s="23" t="s">
        <v>116</v>
      </c>
      <c r="G43" s="23">
        <v>309</v>
      </c>
      <c r="H43" s="23" t="s">
        <v>338</v>
      </c>
      <c r="I43" s="23">
        <v>0</v>
      </c>
      <c r="J43" s="40">
        <v>0</v>
      </c>
      <c r="K43" s="40">
        <v>0</v>
      </c>
      <c r="L43" s="40" t="s">
        <v>115</v>
      </c>
      <c r="O43" s="40" t="s">
        <v>115</v>
      </c>
      <c r="Q43" s="40">
        <v>137</v>
      </c>
      <c r="R43" s="40">
        <v>161</v>
      </c>
      <c r="X43" s="40">
        <v>90010221</v>
      </c>
      <c r="Y43" s="40" t="s">
        <v>115</v>
      </c>
      <c r="Z43" s="40" t="s">
        <v>115</v>
      </c>
      <c r="AA43" s="40" t="s">
        <v>115</v>
      </c>
      <c r="AB43" s="40" t="s">
        <v>115</v>
      </c>
      <c r="AC43" s="40" t="s">
        <v>115</v>
      </c>
      <c r="AI43" s="40" t="s">
        <v>115</v>
      </c>
      <c r="AP43" s="4" t="s">
        <v>115</v>
      </c>
    </row>
    <row r="44" spans="1:42" x14ac:dyDescent="0.15">
      <c r="A44" s="40" t="s">
        <v>1</v>
      </c>
      <c r="B44" s="23">
        <v>90010221</v>
      </c>
      <c r="C44" s="23">
        <v>102</v>
      </c>
      <c r="D44" s="23">
        <v>1</v>
      </c>
      <c r="F44" s="23" t="s">
        <v>503</v>
      </c>
      <c r="G44" s="23" t="s">
        <v>115</v>
      </c>
      <c r="H44" s="23" t="s">
        <v>1975</v>
      </c>
      <c r="I44" s="23">
        <v>3</v>
      </c>
      <c r="J44" s="40">
        <v>0</v>
      </c>
      <c r="K44" s="40">
        <v>0</v>
      </c>
      <c r="L44" s="40" t="s">
        <v>115</v>
      </c>
      <c r="O44" s="40" t="s">
        <v>115</v>
      </c>
      <c r="Q44" s="40">
        <v>137</v>
      </c>
      <c r="R44" s="40">
        <v>161</v>
      </c>
      <c r="X44" s="40">
        <v>90010222</v>
      </c>
      <c r="Y44" s="40" t="s">
        <v>115</v>
      </c>
      <c r="Z44" s="40" t="s">
        <v>115</v>
      </c>
      <c r="AA44" s="40" t="s">
        <v>115</v>
      </c>
      <c r="AB44" s="40" t="s">
        <v>115</v>
      </c>
      <c r="AC44" s="40" t="s">
        <v>115</v>
      </c>
      <c r="AI44" s="40" t="s">
        <v>115</v>
      </c>
      <c r="AP44" s="4" t="s">
        <v>115</v>
      </c>
    </row>
    <row r="45" spans="1:42" x14ac:dyDescent="0.15">
      <c r="A45" s="40" t="s">
        <v>1</v>
      </c>
      <c r="B45" s="23">
        <v>90010222</v>
      </c>
      <c r="C45" s="23">
        <v>102</v>
      </c>
      <c r="D45" s="23">
        <v>1</v>
      </c>
      <c r="F45" s="23" t="s">
        <v>116</v>
      </c>
      <c r="G45" s="23">
        <v>308</v>
      </c>
      <c r="H45" s="23" t="s">
        <v>755</v>
      </c>
      <c r="I45" s="23">
        <v>0</v>
      </c>
      <c r="J45" s="40">
        <v>0</v>
      </c>
      <c r="K45" s="40">
        <v>0</v>
      </c>
      <c r="L45" s="40" t="s">
        <v>115</v>
      </c>
      <c r="O45" s="40" t="s">
        <v>115</v>
      </c>
      <c r="Q45" s="40">
        <v>137</v>
      </c>
      <c r="R45" s="40">
        <v>161</v>
      </c>
      <c r="X45" s="40">
        <v>90010223</v>
      </c>
      <c r="Y45" s="40" t="s">
        <v>115</v>
      </c>
      <c r="Z45" s="40" t="s">
        <v>115</v>
      </c>
      <c r="AA45" s="40" t="s">
        <v>115</v>
      </c>
      <c r="AB45" s="40" t="s">
        <v>115</v>
      </c>
      <c r="AC45" s="40" t="s">
        <v>115</v>
      </c>
      <c r="AI45" s="40" t="s">
        <v>115</v>
      </c>
      <c r="AP45" s="4" t="s">
        <v>115</v>
      </c>
    </row>
    <row r="46" spans="1:42" x14ac:dyDescent="0.15">
      <c r="A46" s="40" t="s">
        <v>1</v>
      </c>
      <c r="B46" s="23">
        <v>90010223</v>
      </c>
      <c r="C46" s="23">
        <v>102</v>
      </c>
      <c r="D46" s="23">
        <v>1</v>
      </c>
      <c r="F46" s="23" t="s">
        <v>503</v>
      </c>
      <c r="G46" s="23" t="s">
        <v>115</v>
      </c>
      <c r="H46" s="23" t="s">
        <v>512</v>
      </c>
      <c r="I46" s="23">
        <v>3</v>
      </c>
      <c r="J46" s="40">
        <v>0</v>
      </c>
      <c r="K46" s="40">
        <v>0</v>
      </c>
      <c r="L46" s="40" t="s">
        <v>115</v>
      </c>
      <c r="O46" s="40" t="s">
        <v>115</v>
      </c>
      <c r="Q46" s="40">
        <v>137</v>
      </c>
      <c r="R46" s="40">
        <v>161</v>
      </c>
      <c r="X46" s="40">
        <v>90010224</v>
      </c>
      <c r="Y46" s="40" t="s">
        <v>115</v>
      </c>
      <c r="Z46" s="40" t="s">
        <v>115</v>
      </c>
      <c r="AA46" s="40" t="s">
        <v>115</v>
      </c>
      <c r="AB46" s="40" t="s">
        <v>115</v>
      </c>
      <c r="AC46" s="40" t="s">
        <v>115</v>
      </c>
      <c r="AI46" s="40" t="s">
        <v>115</v>
      </c>
      <c r="AP46" s="4" t="s">
        <v>115</v>
      </c>
    </row>
    <row r="47" spans="1:42" x14ac:dyDescent="0.15">
      <c r="A47" s="40" t="s">
        <v>1</v>
      </c>
      <c r="B47" s="23">
        <v>90010224</v>
      </c>
      <c r="C47" s="23">
        <v>102</v>
      </c>
      <c r="D47" s="23">
        <v>1</v>
      </c>
      <c r="F47" s="23" t="s">
        <v>503</v>
      </c>
      <c r="G47" s="23" t="s">
        <v>115</v>
      </c>
      <c r="H47" s="23" t="s">
        <v>756</v>
      </c>
      <c r="I47" s="23">
        <v>3</v>
      </c>
      <c r="J47" s="40">
        <v>0</v>
      </c>
      <c r="K47" s="40">
        <v>0</v>
      </c>
      <c r="L47" s="40" t="s">
        <v>115</v>
      </c>
      <c r="O47" s="40" t="s">
        <v>115</v>
      </c>
      <c r="Q47" s="40">
        <v>137</v>
      </c>
      <c r="R47" s="40">
        <v>161</v>
      </c>
      <c r="X47" s="40">
        <v>90010225</v>
      </c>
      <c r="Y47" s="40" t="s">
        <v>115</v>
      </c>
      <c r="Z47" s="40" t="s">
        <v>115</v>
      </c>
      <c r="AA47" s="40" t="s">
        <v>115</v>
      </c>
      <c r="AB47" s="40" t="s">
        <v>115</v>
      </c>
      <c r="AC47" s="40" t="s">
        <v>115</v>
      </c>
      <c r="AI47" s="40" t="s">
        <v>115</v>
      </c>
      <c r="AP47" s="4" t="s">
        <v>115</v>
      </c>
    </row>
    <row r="48" spans="1:42" x14ac:dyDescent="0.15">
      <c r="A48" s="40" t="s">
        <v>1</v>
      </c>
      <c r="B48" s="23">
        <v>90010225</v>
      </c>
      <c r="C48" s="23">
        <v>102</v>
      </c>
      <c r="D48" s="23">
        <v>1</v>
      </c>
      <c r="F48" s="23" t="s">
        <v>116</v>
      </c>
      <c r="G48" s="23">
        <v>314</v>
      </c>
      <c r="H48" s="23" t="s">
        <v>513</v>
      </c>
      <c r="I48" s="23">
        <v>2</v>
      </c>
      <c r="J48" s="40">
        <v>0</v>
      </c>
      <c r="K48" s="40">
        <v>0</v>
      </c>
      <c r="L48" s="40" t="s">
        <v>115</v>
      </c>
      <c r="O48" s="40" t="s">
        <v>115</v>
      </c>
      <c r="Q48" s="40">
        <v>137</v>
      </c>
      <c r="R48" s="40">
        <v>161</v>
      </c>
      <c r="X48" s="40">
        <v>90010226</v>
      </c>
      <c r="Y48" s="40" t="s">
        <v>115</v>
      </c>
      <c r="Z48" s="40" t="s">
        <v>115</v>
      </c>
      <c r="AA48" s="40" t="s">
        <v>115</v>
      </c>
      <c r="AB48" s="40" t="s">
        <v>115</v>
      </c>
      <c r="AC48" s="40" t="s">
        <v>115</v>
      </c>
      <c r="AI48" s="40" t="s">
        <v>115</v>
      </c>
      <c r="AP48" s="4" t="s">
        <v>115</v>
      </c>
    </row>
    <row r="49" spans="1:42" x14ac:dyDescent="0.15">
      <c r="A49" s="40" t="s">
        <v>1</v>
      </c>
      <c r="B49" s="23">
        <v>90010226</v>
      </c>
      <c r="C49" s="23">
        <v>102</v>
      </c>
      <c r="D49" s="23">
        <v>1</v>
      </c>
      <c r="F49" s="23" t="s">
        <v>116</v>
      </c>
      <c r="G49" s="23">
        <v>314</v>
      </c>
      <c r="H49" s="23" t="s">
        <v>514</v>
      </c>
      <c r="I49" s="23">
        <v>0</v>
      </c>
      <c r="J49" s="40">
        <v>0</v>
      </c>
      <c r="K49" s="40">
        <v>0</v>
      </c>
      <c r="L49" s="40" t="s">
        <v>115</v>
      </c>
      <c r="O49" s="40" t="s">
        <v>115</v>
      </c>
      <c r="Q49" s="40">
        <v>137</v>
      </c>
      <c r="R49" s="40">
        <v>161</v>
      </c>
      <c r="X49" s="40">
        <v>90010227</v>
      </c>
      <c r="Y49" s="40" t="s">
        <v>115</v>
      </c>
      <c r="Z49" s="40" t="s">
        <v>115</v>
      </c>
      <c r="AA49" s="40" t="s">
        <v>115</v>
      </c>
      <c r="AB49" s="40" t="s">
        <v>115</v>
      </c>
      <c r="AC49" s="40" t="s">
        <v>115</v>
      </c>
      <c r="AI49" s="40" t="s">
        <v>115</v>
      </c>
      <c r="AP49" s="4" t="s">
        <v>115</v>
      </c>
    </row>
    <row r="50" spans="1:42" x14ac:dyDescent="0.15">
      <c r="A50" s="40" t="s">
        <v>1</v>
      </c>
      <c r="B50" s="23">
        <v>90010227</v>
      </c>
      <c r="C50" s="23">
        <v>102</v>
      </c>
      <c r="D50" s="23">
        <v>1</v>
      </c>
      <c r="F50" s="23" t="s">
        <v>503</v>
      </c>
      <c r="G50" s="23" t="s">
        <v>115</v>
      </c>
      <c r="H50" s="23" t="s">
        <v>704</v>
      </c>
      <c r="I50" s="23">
        <v>3</v>
      </c>
      <c r="J50" s="40">
        <v>0</v>
      </c>
      <c r="K50" s="40">
        <v>0</v>
      </c>
      <c r="L50" s="40" t="s">
        <v>115</v>
      </c>
      <c r="O50" s="40" t="s">
        <v>115</v>
      </c>
      <c r="Q50" s="40">
        <v>137</v>
      </c>
      <c r="R50" s="40">
        <v>161</v>
      </c>
      <c r="X50" s="40">
        <v>90010228</v>
      </c>
      <c r="Y50" s="40" t="s">
        <v>115</v>
      </c>
      <c r="Z50" s="40" t="s">
        <v>115</v>
      </c>
      <c r="AA50" s="40" t="s">
        <v>115</v>
      </c>
      <c r="AB50" s="40" t="s">
        <v>115</v>
      </c>
      <c r="AC50" s="40" t="s">
        <v>115</v>
      </c>
      <c r="AI50" s="40" t="s">
        <v>115</v>
      </c>
      <c r="AP50" s="4" t="s">
        <v>115</v>
      </c>
    </row>
    <row r="51" spans="1:42" x14ac:dyDescent="0.15">
      <c r="A51" s="40" t="s">
        <v>1</v>
      </c>
      <c r="B51" s="23">
        <v>90010228</v>
      </c>
      <c r="C51" s="23">
        <v>102</v>
      </c>
      <c r="D51" s="23">
        <v>1</v>
      </c>
      <c r="F51" s="23" t="s">
        <v>116</v>
      </c>
      <c r="G51" s="23">
        <v>312</v>
      </c>
      <c r="H51" s="23" t="s">
        <v>515</v>
      </c>
      <c r="I51" s="23">
        <v>0</v>
      </c>
      <c r="J51" s="40">
        <v>0</v>
      </c>
      <c r="K51" s="40">
        <v>0</v>
      </c>
      <c r="L51" s="40" t="s">
        <v>115</v>
      </c>
      <c r="O51" s="40" t="s">
        <v>115</v>
      </c>
      <c r="Q51" s="40">
        <v>137</v>
      </c>
      <c r="R51" s="40">
        <v>161</v>
      </c>
      <c r="X51" s="40">
        <v>90010229</v>
      </c>
      <c r="Y51" s="40" t="s">
        <v>115</v>
      </c>
      <c r="Z51" s="40" t="s">
        <v>115</v>
      </c>
      <c r="AA51" s="40" t="s">
        <v>115</v>
      </c>
      <c r="AB51" s="40" t="s">
        <v>115</v>
      </c>
      <c r="AC51" s="40" t="s">
        <v>115</v>
      </c>
      <c r="AI51" s="40" t="s">
        <v>115</v>
      </c>
      <c r="AP51" s="4" t="s">
        <v>115</v>
      </c>
    </row>
    <row r="52" spans="1:42" x14ac:dyDescent="0.15">
      <c r="A52" s="40" t="s">
        <v>1</v>
      </c>
      <c r="B52" s="23">
        <v>90010229</v>
      </c>
      <c r="C52" s="23">
        <v>102</v>
      </c>
      <c r="D52" s="23">
        <v>1</v>
      </c>
      <c r="F52" s="23" t="s">
        <v>503</v>
      </c>
      <c r="G52" s="23" t="s">
        <v>115</v>
      </c>
      <c r="H52" s="23" t="s">
        <v>705</v>
      </c>
      <c r="I52" s="23">
        <v>3</v>
      </c>
      <c r="J52" s="40">
        <v>0</v>
      </c>
      <c r="K52" s="40">
        <v>0</v>
      </c>
      <c r="L52" s="40" t="s">
        <v>115</v>
      </c>
      <c r="O52" s="40" t="s">
        <v>115</v>
      </c>
      <c r="Q52" s="40">
        <v>137</v>
      </c>
      <c r="R52" s="40">
        <v>161</v>
      </c>
      <c r="X52" s="40">
        <v>90010230</v>
      </c>
      <c r="Y52" s="40" t="s">
        <v>115</v>
      </c>
      <c r="Z52" s="40" t="s">
        <v>115</v>
      </c>
      <c r="AA52" s="40" t="s">
        <v>115</v>
      </c>
      <c r="AB52" s="40" t="s">
        <v>115</v>
      </c>
      <c r="AC52" s="40" t="s">
        <v>115</v>
      </c>
      <c r="AI52" s="40" t="s">
        <v>115</v>
      </c>
      <c r="AP52" s="4" t="s">
        <v>115</v>
      </c>
    </row>
    <row r="53" spans="1:42" x14ac:dyDescent="0.15">
      <c r="A53" s="40" t="s">
        <v>1</v>
      </c>
      <c r="B53" s="23">
        <v>90010230</v>
      </c>
      <c r="C53" s="23">
        <v>102</v>
      </c>
      <c r="D53" s="23">
        <v>1</v>
      </c>
      <c r="F53" s="23" t="s">
        <v>503</v>
      </c>
      <c r="G53" s="23" t="s">
        <v>115</v>
      </c>
      <c r="H53" s="23" t="s">
        <v>1976</v>
      </c>
      <c r="I53" s="23">
        <v>3</v>
      </c>
      <c r="J53" s="40">
        <v>0</v>
      </c>
      <c r="K53" s="40">
        <v>5</v>
      </c>
      <c r="L53" s="40" t="s">
        <v>281</v>
      </c>
      <c r="O53" s="40" t="s">
        <v>115</v>
      </c>
      <c r="Q53" s="40">
        <v>137</v>
      </c>
      <c r="R53" s="40">
        <v>161</v>
      </c>
      <c r="X53" s="40">
        <v>90010231</v>
      </c>
      <c r="Y53" s="40" t="s">
        <v>115</v>
      </c>
      <c r="Z53" s="40">
        <v>4</v>
      </c>
      <c r="AA53" s="40" t="s">
        <v>115</v>
      </c>
      <c r="AB53" s="40" t="s">
        <v>115</v>
      </c>
      <c r="AC53" s="40" t="s">
        <v>115</v>
      </c>
      <c r="AI53" s="40" t="s">
        <v>115</v>
      </c>
      <c r="AP53" s="4" t="s">
        <v>115</v>
      </c>
    </row>
    <row r="54" spans="1:42" x14ac:dyDescent="0.15">
      <c r="A54" s="40" t="s">
        <v>1</v>
      </c>
      <c r="B54" s="23">
        <v>90010231</v>
      </c>
      <c r="C54" s="23">
        <v>102</v>
      </c>
      <c r="D54" s="23">
        <v>1</v>
      </c>
      <c r="F54" s="23" t="s">
        <v>503</v>
      </c>
      <c r="G54" s="23" t="s">
        <v>115</v>
      </c>
      <c r="H54" s="23" t="s">
        <v>1977</v>
      </c>
      <c r="I54" s="23">
        <v>3</v>
      </c>
      <c r="J54" s="40">
        <v>0</v>
      </c>
      <c r="K54" s="40">
        <v>6</v>
      </c>
      <c r="L54" s="40" t="s">
        <v>115</v>
      </c>
      <c r="O54" s="40">
        <v>1</v>
      </c>
      <c r="Q54" s="40">
        <v>137</v>
      </c>
      <c r="R54" s="40">
        <v>161</v>
      </c>
      <c r="X54" s="40" t="s">
        <v>115</v>
      </c>
      <c r="Y54" s="40" t="s">
        <v>115</v>
      </c>
      <c r="Z54" s="40">
        <v>5</v>
      </c>
      <c r="AA54" s="40" t="s">
        <v>115</v>
      </c>
      <c r="AB54" s="40" t="s">
        <v>115</v>
      </c>
      <c r="AC54" s="40" t="s">
        <v>115</v>
      </c>
      <c r="AI54" s="40" t="s">
        <v>115</v>
      </c>
      <c r="AP54" s="4" t="s">
        <v>516</v>
      </c>
    </row>
    <row r="55" spans="1:42" x14ac:dyDescent="0.15">
      <c r="A55" s="40" t="s">
        <v>1</v>
      </c>
      <c r="B55" s="23" t="s">
        <v>488</v>
      </c>
      <c r="C55" s="23">
        <v>103</v>
      </c>
      <c r="D55" s="23">
        <v>1</v>
      </c>
      <c r="F55" s="23" t="s">
        <v>1182</v>
      </c>
      <c r="G55" s="23" t="s">
        <v>115</v>
      </c>
      <c r="H55" s="23" t="s">
        <v>517</v>
      </c>
      <c r="I55" s="23">
        <v>3</v>
      </c>
      <c r="J55" s="40">
        <v>1</v>
      </c>
      <c r="K55" s="40">
        <v>1</v>
      </c>
      <c r="L55" s="40" t="s">
        <v>115</v>
      </c>
      <c r="O55" s="40" t="s">
        <v>115</v>
      </c>
      <c r="Q55" s="40">
        <v>181</v>
      </c>
      <c r="R55" s="40">
        <v>316</v>
      </c>
      <c r="X55" s="40">
        <v>90010302</v>
      </c>
      <c r="Y55" s="40" t="s">
        <v>115</v>
      </c>
      <c r="Z55" s="40" t="s">
        <v>115</v>
      </c>
      <c r="AA55" s="40" t="s">
        <v>115</v>
      </c>
      <c r="AB55" s="40" t="s">
        <v>115</v>
      </c>
      <c r="AC55" s="40" t="s">
        <v>115</v>
      </c>
      <c r="AI55" s="40" t="s">
        <v>115</v>
      </c>
      <c r="AP55" s="4" t="s">
        <v>115</v>
      </c>
    </row>
    <row r="56" spans="1:42" x14ac:dyDescent="0.15">
      <c r="A56" s="40" t="s">
        <v>1</v>
      </c>
      <c r="B56" s="23">
        <v>90010302</v>
      </c>
      <c r="C56" s="23">
        <v>103</v>
      </c>
      <c r="D56" s="23">
        <v>1</v>
      </c>
      <c r="F56" s="23" t="s">
        <v>116</v>
      </c>
      <c r="G56" s="23">
        <v>312</v>
      </c>
      <c r="H56" s="23" t="s">
        <v>1183</v>
      </c>
      <c r="I56" s="23">
        <v>0</v>
      </c>
      <c r="J56" s="40">
        <v>0</v>
      </c>
      <c r="K56" s="40">
        <v>0</v>
      </c>
      <c r="L56" s="40" t="s">
        <v>115</v>
      </c>
      <c r="O56" s="40" t="s">
        <v>115</v>
      </c>
      <c r="Q56" s="40">
        <v>181</v>
      </c>
      <c r="R56" s="40">
        <v>316</v>
      </c>
      <c r="X56" s="40">
        <v>90010303</v>
      </c>
      <c r="Y56" s="40" t="s">
        <v>115</v>
      </c>
      <c r="Z56" s="40" t="s">
        <v>115</v>
      </c>
      <c r="AA56" s="40" t="s">
        <v>115</v>
      </c>
      <c r="AB56" s="40" t="s">
        <v>115</v>
      </c>
      <c r="AC56" s="40" t="s">
        <v>115</v>
      </c>
      <c r="AI56" s="40" t="s">
        <v>115</v>
      </c>
      <c r="AP56" s="4" t="s">
        <v>115</v>
      </c>
    </row>
    <row r="57" spans="1:42" x14ac:dyDescent="0.15">
      <c r="A57" s="40" t="s">
        <v>1</v>
      </c>
      <c r="B57" s="23">
        <v>90010303</v>
      </c>
      <c r="C57" s="23">
        <v>103</v>
      </c>
      <c r="D57" s="23">
        <v>1</v>
      </c>
      <c r="F57" s="23" t="s">
        <v>1182</v>
      </c>
      <c r="G57" s="23" t="s">
        <v>115</v>
      </c>
      <c r="H57" s="23" t="s">
        <v>518</v>
      </c>
      <c r="I57" s="23">
        <v>3</v>
      </c>
      <c r="J57" s="40">
        <v>0</v>
      </c>
      <c r="K57" s="40">
        <v>0</v>
      </c>
      <c r="L57" s="40" t="s">
        <v>115</v>
      </c>
      <c r="O57" s="40" t="s">
        <v>115</v>
      </c>
      <c r="Q57" s="40">
        <v>181</v>
      </c>
      <c r="R57" s="40">
        <v>316</v>
      </c>
      <c r="X57" s="40">
        <v>90010304</v>
      </c>
      <c r="Y57" s="40" t="s">
        <v>115</v>
      </c>
      <c r="Z57" s="40" t="s">
        <v>115</v>
      </c>
      <c r="AA57" s="40" t="s">
        <v>115</v>
      </c>
      <c r="AB57" s="40" t="s">
        <v>115</v>
      </c>
      <c r="AC57" s="40" t="s">
        <v>115</v>
      </c>
      <c r="AI57" s="40" t="s">
        <v>115</v>
      </c>
      <c r="AP57" s="4" t="s">
        <v>115</v>
      </c>
    </row>
    <row r="58" spans="1:42" x14ac:dyDescent="0.15">
      <c r="A58" s="40" t="s">
        <v>1</v>
      </c>
      <c r="B58" s="23">
        <v>90010304</v>
      </c>
      <c r="C58" s="23">
        <v>103</v>
      </c>
      <c r="D58" s="23">
        <v>1</v>
      </c>
      <c r="F58" s="23" t="s">
        <v>116</v>
      </c>
      <c r="G58" s="23">
        <v>312</v>
      </c>
      <c r="H58" s="23" t="s">
        <v>758</v>
      </c>
      <c r="I58" s="23">
        <v>0</v>
      </c>
      <c r="J58" s="40">
        <v>0</v>
      </c>
      <c r="K58" s="40">
        <v>2</v>
      </c>
      <c r="L58" s="40" t="s">
        <v>115</v>
      </c>
      <c r="O58" s="40" t="s">
        <v>115</v>
      </c>
      <c r="Q58" s="40">
        <v>181</v>
      </c>
      <c r="R58" s="40">
        <v>316</v>
      </c>
      <c r="X58" s="40">
        <v>90010305</v>
      </c>
      <c r="Y58" s="40" t="s">
        <v>115</v>
      </c>
      <c r="Z58" s="40">
        <v>1</v>
      </c>
      <c r="AA58" s="40" t="s">
        <v>284</v>
      </c>
      <c r="AB58" s="40" t="s">
        <v>115</v>
      </c>
      <c r="AC58" s="40" t="s">
        <v>115</v>
      </c>
      <c r="AI58" s="40" t="s">
        <v>115</v>
      </c>
      <c r="AP58" s="4" t="s">
        <v>115</v>
      </c>
    </row>
    <row r="59" spans="1:42" x14ac:dyDescent="0.15">
      <c r="A59" s="40" t="s">
        <v>1</v>
      </c>
      <c r="B59" s="23">
        <v>90010305</v>
      </c>
      <c r="C59" s="23">
        <v>103</v>
      </c>
      <c r="D59" s="23">
        <v>1</v>
      </c>
      <c r="F59" s="23" t="s">
        <v>1182</v>
      </c>
      <c r="G59" s="23" t="s">
        <v>115</v>
      </c>
      <c r="H59" s="23" t="s">
        <v>519</v>
      </c>
      <c r="I59" s="23">
        <v>3</v>
      </c>
      <c r="J59" s="40">
        <v>0</v>
      </c>
      <c r="K59" s="40">
        <v>0</v>
      </c>
      <c r="L59" s="40" t="s">
        <v>115</v>
      </c>
      <c r="O59" s="40" t="s">
        <v>115</v>
      </c>
      <c r="Q59" s="40">
        <v>181</v>
      </c>
      <c r="R59" s="40">
        <v>316</v>
      </c>
      <c r="X59" s="40">
        <v>90010306</v>
      </c>
      <c r="Y59" s="40" t="s">
        <v>115</v>
      </c>
      <c r="Z59" s="40" t="s">
        <v>115</v>
      </c>
      <c r="AA59" s="40" t="s">
        <v>115</v>
      </c>
      <c r="AB59" s="40" t="s">
        <v>115</v>
      </c>
      <c r="AC59" s="40" t="s">
        <v>115</v>
      </c>
      <c r="AI59" s="40" t="s">
        <v>115</v>
      </c>
      <c r="AP59" s="4" t="s">
        <v>115</v>
      </c>
    </row>
    <row r="60" spans="1:42" x14ac:dyDescent="0.15">
      <c r="A60" s="40" t="s">
        <v>1</v>
      </c>
      <c r="B60" s="23">
        <v>90010306</v>
      </c>
      <c r="C60" s="23">
        <v>103</v>
      </c>
      <c r="D60" s="23">
        <v>1</v>
      </c>
      <c r="F60" s="23" t="s">
        <v>116</v>
      </c>
      <c r="G60" s="23">
        <v>312</v>
      </c>
      <c r="H60" s="23" t="s">
        <v>520</v>
      </c>
      <c r="I60" s="23">
        <v>0</v>
      </c>
      <c r="J60" s="40">
        <v>0</v>
      </c>
      <c r="K60" s="40">
        <v>0</v>
      </c>
      <c r="L60" s="40" t="s">
        <v>115</v>
      </c>
      <c r="O60" s="40" t="s">
        <v>115</v>
      </c>
      <c r="Q60" s="40">
        <v>181</v>
      </c>
      <c r="R60" s="40">
        <v>316</v>
      </c>
      <c r="X60" s="40">
        <v>90010307</v>
      </c>
      <c r="Y60" s="40" t="s">
        <v>115</v>
      </c>
      <c r="Z60" s="40" t="s">
        <v>115</v>
      </c>
      <c r="AA60" s="40" t="s">
        <v>115</v>
      </c>
      <c r="AB60" s="40" t="s">
        <v>115</v>
      </c>
      <c r="AC60" s="40" t="s">
        <v>115</v>
      </c>
      <c r="AI60" s="40" t="s">
        <v>115</v>
      </c>
      <c r="AP60" s="4" t="s">
        <v>115</v>
      </c>
    </row>
    <row r="61" spans="1:42" x14ac:dyDescent="0.15">
      <c r="A61" s="40" t="s">
        <v>1</v>
      </c>
      <c r="B61" s="23">
        <v>90010307</v>
      </c>
      <c r="C61" s="23">
        <v>103</v>
      </c>
      <c r="D61" s="23">
        <v>1</v>
      </c>
      <c r="F61" s="23" t="s">
        <v>115</v>
      </c>
      <c r="G61" s="23" t="s">
        <v>115</v>
      </c>
      <c r="H61" s="23" t="s">
        <v>521</v>
      </c>
      <c r="I61" s="23">
        <v>4</v>
      </c>
      <c r="J61" s="40">
        <v>0</v>
      </c>
      <c r="K61" s="40">
        <v>0</v>
      </c>
      <c r="L61" s="40" t="s">
        <v>115</v>
      </c>
      <c r="O61" s="40" t="s">
        <v>115</v>
      </c>
      <c r="Q61" s="40">
        <v>31</v>
      </c>
      <c r="R61" s="40" t="s">
        <v>115</v>
      </c>
      <c r="X61" s="40">
        <v>90010308</v>
      </c>
      <c r="Y61" s="40" t="s">
        <v>115</v>
      </c>
      <c r="Z61" s="40" t="s">
        <v>115</v>
      </c>
      <c r="AA61" s="40" t="s">
        <v>115</v>
      </c>
      <c r="AB61" s="40" t="s">
        <v>115</v>
      </c>
      <c r="AC61" s="40" t="s">
        <v>115</v>
      </c>
      <c r="AI61" s="40" t="s">
        <v>115</v>
      </c>
      <c r="AP61" s="4" t="s">
        <v>115</v>
      </c>
    </row>
    <row r="62" spans="1:42" x14ac:dyDescent="0.15">
      <c r="A62" s="40" t="s">
        <v>1</v>
      </c>
      <c r="B62" s="23">
        <v>90010308</v>
      </c>
      <c r="C62" s="23">
        <v>103</v>
      </c>
      <c r="D62" s="23">
        <v>1</v>
      </c>
      <c r="F62" s="23" t="s">
        <v>116</v>
      </c>
      <c r="G62" s="23">
        <v>314</v>
      </c>
      <c r="H62" s="23" t="s">
        <v>522</v>
      </c>
      <c r="I62" s="23">
        <v>0</v>
      </c>
      <c r="J62" s="40">
        <v>0</v>
      </c>
      <c r="K62" s="40">
        <v>3</v>
      </c>
      <c r="L62" s="40" t="s">
        <v>115</v>
      </c>
      <c r="O62" s="40" t="s">
        <v>115</v>
      </c>
      <c r="Q62" s="40">
        <v>31</v>
      </c>
      <c r="R62" s="40" t="s">
        <v>115</v>
      </c>
      <c r="X62" s="40" t="s">
        <v>523</v>
      </c>
      <c r="Y62" s="40">
        <v>1</v>
      </c>
      <c r="Z62" s="40">
        <v>2</v>
      </c>
      <c r="AA62" s="40" t="s">
        <v>115</v>
      </c>
      <c r="AB62" s="40" t="s">
        <v>115</v>
      </c>
      <c r="AC62" s="40" t="s">
        <v>115</v>
      </c>
      <c r="AI62" s="40" t="s">
        <v>115</v>
      </c>
      <c r="AP62" s="4" t="s">
        <v>115</v>
      </c>
    </row>
    <row r="63" spans="1:42" x14ac:dyDescent="0.15">
      <c r="A63" s="40" t="s">
        <v>1</v>
      </c>
      <c r="B63" s="23">
        <v>90010309</v>
      </c>
      <c r="C63" s="23">
        <v>103</v>
      </c>
      <c r="D63" s="23">
        <v>1</v>
      </c>
      <c r="F63" s="23" t="s">
        <v>115</v>
      </c>
      <c r="G63" s="23" t="s">
        <v>115</v>
      </c>
      <c r="H63" s="23" t="s">
        <v>524</v>
      </c>
      <c r="I63" s="23">
        <v>4</v>
      </c>
      <c r="J63" s="40">
        <v>0</v>
      </c>
      <c r="K63" s="40">
        <v>4</v>
      </c>
      <c r="L63" s="40" t="s">
        <v>115</v>
      </c>
      <c r="O63" s="40" t="s">
        <v>115</v>
      </c>
      <c r="Q63" s="40">
        <v>31</v>
      </c>
      <c r="R63" s="40" t="s">
        <v>115</v>
      </c>
      <c r="X63" s="40">
        <v>90010311</v>
      </c>
      <c r="Y63" s="40">
        <v>-1</v>
      </c>
      <c r="Z63" s="40">
        <v>3</v>
      </c>
      <c r="AA63" s="40" t="s">
        <v>115</v>
      </c>
      <c r="AB63" s="40" t="s">
        <v>115</v>
      </c>
      <c r="AC63" s="40" t="s">
        <v>115</v>
      </c>
      <c r="AI63" s="40" t="s">
        <v>115</v>
      </c>
      <c r="AP63" s="4" t="s">
        <v>115</v>
      </c>
    </row>
    <row r="64" spans="1:42" x14ac:dyDescent="0.15">
      <c r="A64" s="40" t="s">
        <v>1</v>
      </c>
      <c r="B64" s="23">
        <v>90010310</v>
      </c>
      <c r="C64" s="23">
        <v>103</v>
      </c>
      <c r="D64" s="23">
        <v>1</v>
      </c>
      <c r="F64" s="23" t="s">
        <v>115</v>
      </c>
      <c r="G64" s="23" t="s">
        <v>115</v>
      </c>
      <c r="H64" s="23" t="s">
        <v>525</v>
      </c>
      <c r="I64" s="23">
        <v>4</v>
      </c>
      <c r="J64" s="40">
        <v>0</v>
      </c>
      <c r="K64" s="40">
        <v>5</v>
      </c>
      <c r="L64" s="40" t="s">
        <v>115</v>
      </c>
      <c r="O64" s="40" t="s">
        <v>115</v>
      </c>
      <c r="Q64" s="40">
        <v>31</v>
      </c>
      <c r="R64" s="40" t="s">
        <v>115</v>
      </c>
      <c r="X64" s="40">
        <v>90010312</v>
      </c>
      <c r="Y64" s="40">
        <v>-1</v>
      </c>
      <c r="Z64" s="40">
        <v>3</v>
      </c>
      <c r="AA64" s="40" t="s">
        <v>115</v>
      </c>
      <c r="AB64" s="40" t="s">
        <v>115</v>
      </c>
      <c r="AC64" s="40" t="s">
        <v>526</v>
      </c>
      <c r="AI64" s="40" t="s">
        <v>115</v>
      </c>
      <c r="AP64" s="4" t="s">
        <v>115</v>
      </c>
    </row>
    <row r="65" spans="1:42" x14ac:dyDescent="0.15">
      <c r="A65" s="40" t="s">
        <v>1</v>
      </c>
      <c r="B65" s="23">
        <v>90010311</v>
      </c>
      <c r="C65" s="23">
        <v>103</v>
      </c>
      <c r="D65" s="23">
        <v>1</v>
      </c>
      <c r="F65" s="23" t="s">
        <v>116</v>
      </c>
      <c r="G65" s="23">
        <v>310</v>
      </c>
      <c r="H65" s="23" t="s">
        <v>706</v>
      </c>
      <c r="I65" s="23">
        <v>0</v>
      </c>
      <c r="J65" s="40">
        <v>0</v>
      </c>
      <c r="K65" s="40">
        <v>0</v>
      </c>
      <c r="L65" s="40" t="s">
        <v>115</v>
      </c>
      <c r="O65" s="40" t="s">
        <v>115</v>
      </c>
      <c r="Q65" s="40">
        <v>31</v>
      </c>
      <c r="R65" s="40" t="s">
        <v>115</v>
      </c>
      <c r="X65" s="40">
        <v>90010308</v>
      </c>
      <c r="Y65" s="40" t="s">
        <v>115</v>
      </c>
      <c r="Z65" s="40" t="s">
        <v>115</v>
      </c>
      <c r="AA65" s="40" t="s">
        <v>115</v>
      </c>
      <c r="AB65" s="40" t="s">
        <v>115</v>
      </c>
      <c r="AC65" s="40" t="s">
        <v>115</v>
      </c>
      <c r="AI65" s="40" t="s">
        <v>115</v>
      </c>
      <c r="AP65" s="4" t="s">
        <v>115</v>
      </c>
    </row>
    <row r="66" spans="1:42" x14ac:dyDescent="0.15">
      <c r="A66" s="40" t="s">
        <v>1</v>
      </c>
      <c r="B66" s="23">
        <v>90010312</v>
      </c>
      <c r="C66" s="23">
        <v>103</v>
      </c>
      <c r="D66" s="23">
        <v>1</v>
      </c>
      <c r="F66" s="23" t="s">
        <v>527</v>
      </c>
      <c r="G66" s="23" t="s">
        <v>115</v>
      </c>
      <c r="H66" s="23" t="s">
        <v>978</v>
      </c>
      <c r="I66" s="23">
        <v>3</v>
      </c>
      <c r="J66" s="40">
        <v>0</v>
      </c>
      <c r="K66" s="40">
        <v>6</v>
      </c>
      <c r="L66" s="40" t="s">
        <v>721</v>
      </c>
      <c r="O66" s="40" t="s">
        <v>115</v>
      </c>
      <c r="Q66" s="40">
        <v>31</v>
      </c>
      <c r="R66" s="40">
        <v>229</v>
      </c>
      <c r="X66" s="40">
        <v>90010313</v>
      </c>
      <c r="Y66" s="40" t="s">
        <v>115</v>
      </c>
      <c r="Z66" s="40">
        <v>5</v>
      </c>
      <c r="AA66" s="40" t="s">
        <v>115</v>
      </c>
      <c r="AB66" s="40" t="s">
        <v>115</v>
      </c>
      <c r="AC66" s="40" t="s">
        <v>115</v>
      </c>
      <c r="AI66" s="40" t="s">
        <v>115</v>
      </c>
      <c r="AP66" s="4" t="s">
        <v>115</v>
      </c>
    </row>
    <row r="67" spans="1:42" x14ac:dyDescent="0.15">
      <c r="A67" s="40" t="s">
        <v>1</v>
      </c>
      <c r="B67" s="23">
        <v>90010313</v>
      </c>
      <c r="C67" s="23">
        <v>103</v>
      </c>
      <c r="D67" s="23">
        <v>1</v>
      </c>
      <c r="F67" s="23" t="s">
        <v>116</v>
      </c>
      <c r="G67" s="23">
        <v>312</v>
      </c>
      <c r="H67" s="23" t="s">
        <v>528</v>
      </c>
      <c r="I67" s="23">
        <v>0</v>
      </c>
      <c r="J67" s="40">
        <v>0</v>
      </c>
      <c r="K67" s="40">
        <v>0</v>
      </c>
      <c r="L67" s="40" t="s">
        <v>115</v>
      </c>
      <c r="O67" s="40" t="s">
        <v>115</v>
      </c>
      <c r="Q67" s="40">
        <v>31</v>
      </c>
      <c r="R67" s="40" t="s">
        <v>115</v>
      </c>
      <c r="X67" s="40">
        <v>90010314</v>
      </c>
      <c r="Y67" s="40" t="s">
        <v>115</v>
      </c>
      <c r="Z67" s="40" t="s">
        <v>115</v>
      </c>
      <c r="AA67" s="40" t="s">
        <v>115</v>
      </c>
      <c r="AB67" s="40" t="s">
        <v>115</v>
      </c>
      <c r="AC67" s="40" t="s">
        <v>115</v>
      </c>
      <c r="AI67" s="40" t="s">
        <v>115</v>
      </c>
      <c r="AP67" s="4" t="s">
        <v>115</v>
      </c>
    </row>
    <row r="68" spans="1:42" x14ac:dyDescent="0.15">
      <c r="A68" s="40" t="s">
        <v>1</v>
      </c>
      <c r="B68" s="23">
        <v>90010314</v>
      </c>
      <c r="C68" s="23">
        <v>103</v>
      </c>
      <c r="D68" s="23">
        <v>1</v>
      </c>
      <c r="F68" s="23" t="s">
        <v>529</v>
      </c>
      <c r="G68" s="23" t="s">
        <v>115</v>
      </c>
      <c r="H68" s="23" t="s">
        <v>979</v>
      </c>
      <c r="I68" s="23">
        <v>3</v>
      </c>
      <c r="J68" s="40">
        <v>0</v>
      </c>
      <c r="K68" s="40">
        <v>0</v>
      </c>
      <c r="L68" s="40" t="s">
        <v>115</v>
      </c>
      <c r="O68" s="40" t="s">
        <v>115</v>
      </c>
      <c r="Q68" s="40">
        <v>31</v>
      </c>
      <c r="R68" s="40">
        <v>213</v>
      </c>
      <c r="X68" s="40">
        <v>90010315</v>
      </c>
      <c r="Y68" s="40" t="s">
        <v>115</v>
      </c>
      <c r="Z68" s="40" t="s">
        <v>115</v>
      </c>
      <c r="AA68" s="40" t="s">
        <v>115</v>
      </c>
      <c r="AB68" s="40" t="s">
        <v>115</v>
      </c>
      <c r="AC68" s="40" t="s">
        <v>115</v>
      </c>
      <c r="AI68" s="40" t="s">
        <v>115</v>
      </c>
      <c r="AP68" s="4" t="s">
        <v>115</v>
      </c>
    </row>
    <row r="69" spans="1:42" x14ac:dyDescent="0.15">
      <c r="A69" s="40" t="s">
        <v>1</v>
      </c>
      <c r="B69" s="23">
        <v>90010315</v>
      </c>
      <c r="C69" s="23">
        <v>103</v>
      </c>
      <c r="D69" s="23">
        <v>1</v>
      </c>
      <c r="F69" s="23" t="s">
        <v>116</v>
      </c>
      <c r="G69" s="23">
        <v>312</v>
      </c>
      <c r="H69" s="23" t="s">
        <v>530</v>
      </c>
      <c r="I69" s="23">
        <v>0</v>
      </c>
      <c r="J69" s="40">
        <v>0</v>
      </c>
      <c r="K69" s="40">
        <v>0</v>
      </c>
      <c r="L69" s="40" t="s">
        <v>115</v>
      </c>
      <c r="O69" s="40" t="s">
        <v>115</v>
      </c>
      <c r="Q69" s="40">
        <v>31</v>
      </c>
      <c r="R69" s="40" t="s">
        <v>115</v>
      </c>
      <c r="X69" s="40">
        <v>90010316</v>
      </c>
      <c r="Y69" s="40" t="s">
        <v>115</v>
      </c>
      <c r="Z69" s="40" t="s">
        <v>115</v>
      </c>
      <c r="AA69" s="40" t="s">
        <v>115</v>
      </c>
      <c r="AB69" s="40" t="s">
        <v>115</v>
      </c>
      <c r="AC69" s="40" t="s">
        <v>115</v>
      </c>
      <c r="AI69" s="40" t="s">
        <v>115</v>
      </c>
      <c r="AP69" s="4" t="s">
        <v>115</v>
      </c>
    </row>
    <row r="70" spans="1:42" x14ac:dyDescent="0.15">
      <c r="A70" s="40" t="s">
        <v>1</v>
      </c>
      <c r="B70" s="23">
        <v>90010316</v>
      </c>
      <c r="C70" s="23">
        <v>103</v>
      </c>
      <c r="D70" s="23">
        <v>1</v>
      </c>
      <c r="F70" s="23" t="s">
        <v>529</v>
      </c>
      <c r="G70" s="23" t="s">
        <v>115</v>
      </c>
      <c r="H70" s="23" t="s">
        <v>980</v>
      </c>
      <c r="I70" s="23">
        <v>3</v>
      </c>
      <c r="J70" s="40">
        <v>0</v>
      </c>
      <c r="K70" s="40">
        <v>0</v>
      </c>
      <c r="L70" s="40" t="s">
        <v>115</v>
      </c>
      <c r="O70" s="40" t="s">
        <v>115</v>
      </c>
      <c r="Q70" s="40">
        <v>31</v>
      </c>
      <c r="R70" s="40">
        <v>213</v>
      </c>
      <c r="X70" s="40">
        <v>90010317</v>
      </c>
      <c r="Y70" s="40" t="s">
        <v>115</v>
      </c>
      <c r="Z70" s="40" t="s">
        <v>115</v>
      </c>
      <c r="AA70" s="40" t="s">
        <v>115</v>
      </c>
      <c r="AB70" s="40" t="s">
        <v>115</v>
      </c>
      <c r="AC70" s="40" t="s">
        <v>115</v>
      </c>
      <c r="AI70" s="40" t="s">
        <v>115</v>
      </c>
      <c r="AP70" s="4" t="s">
        <v>115</v>
      </c>
    </row>
    <row r="71" spans="1:42" x14ac:dyDescent="0.15">
      <c r="A71" s="40" t="s">
        <v>1</v>
      </c>
      <c r="B71" s="23">
        <v>90010317</v>
      </c>
      <c r="C71" s="23">
        <v>103</v>
      </c>
      <c r="D71" s="23">
        <v>1</v>
      </c>
      <c r="F71" s="23" t="s">
        <v>116</v>
      </c>
      <c r="G71" s="23">
        <v>312</v>
      </c>
      <c r="H71" s="23" t="s">
        <v>707</v>
      </c>
      <c r="I71" s="23">
        <v>2</v>
      </c>
      <c r="J71" s="40">
        <v>0</v>
      </c>
      <c r="K71" s="40">
        <v>7</v>
      </c>
      <c r="L71" s="40" t="s">
        <v>115</v>
      </c>
      <c r="O71" s="40">
        <v>1</v>
      </c>
      <c r="Q71" s="40">
        <v>31</v>
      </c>
      <c r="R71" s="40" t="s">
        <v>115</v>
      </c>
      <c r="X71" s="40" t="s">
        <v>115</v>
      </c>
      <c r="Y71" s="40" t="s">
        <v>115</v>
      </c>
      <c r="Z71" s="40">
        <v>6</v>
      </c>
      <c r="AA71" s="40" t="s">
        <v>115</v>
      </c>
      <c r="AB71" s="40" t="s">
        <v>115</v>
      </c>
      <c r="AC71" s="40" t="s">
        <v>115</v>
      </c>
      <c r="AI71" s="40" t="s">
        <v>115</v>
      </c>
      <c r="AP71" s="4" t="s">
        <v>760</v>
      </c>
    </row>
    <row r="72" spans="1:42" x14ac:dyDescent="0.15">
      <c r="A72" s="40" t="s">
        <v>1</v>
      </c>
      <c r="B72" s="23" t="s">
        <v>489</v>
      </c>
      <c r="C72" s="23">
        <v>104</v>
      </c>
      <c r="D72" s="23">
        <v>1</v>
      </c>
      <c r="F72" s="23" t="s">
        <v>115</v>
      </c>
      <c r="G72" s="23" t="s">
        <v>115</v>
      </c>
      <c r="H72" s="23" t="s">
        <v>531</v>
      </c>
      <c r="I72" s="23">
        <v>4</v>
      </c>
      <c r="J72" s="40">
        <v>1</v>
      </c>
      <c r="K72" s="40">
        <v>1</v>
      </c>
      <c r="L72" s="40" t="s">
        <v>115</v>
      </c>
      <c r="O72" s="40" t="s">
        <v>115</v>
      </c>
      <c r="Q72" s="40">
        <v>112</v>
      </c>
      <c r="R72" s="40" t="s">
        <v>115</v>
      </c>
      <c r="X72" s="40" t="s">
        <v>532</v>
      </c>
      <c r="Y72" s="40">
        <v>1</v>
      </c>
      <c r="Z72" s="40" t="s">
        <v>115</v>
      </c>
      <c r="AA72" s="40" t="s">
        <v>115</v>
      </c>
      <c r="AB72" s="40" t="s">
        <v>115</v>
      </c>
      <c r="AC72" s="40" t="s">
        <v>115</v>
      </c>
      <c r="AI72" s="40" t="s">
        <v>115</v>
      </c>
      <c r="AP72" s="4" t="s">
        <v>115</v>
      </c>
    </row>
    <row r="73" spans="1:42" x14ac:dyDescent="0.15">
      <c r="A73" s="40" t="s">
        <v>1</v>
      </c>
      <c r="B73" s="23">
        <v>90010402</v>
      </c>
      <c r="C73" s="23">
        <v>104</v>
      </c>
      <c r="D73" s="23">
        <v>1</v>
      </c>
      <c r="F73" s="23" t="s">
        <v>115</v>
      </c>
      <c r="G73" s="23" t="s">
        <v>115</v>
      </c>
      <c r="H73" s="23" t="s">
        <v>533</v>
      </c>
      <c r="I73" s="23">
        <v>4</v>
      </c>
      <c r="J73" s="40">
        <v>0</v>
      </c>
      <c r="K73" s="40">
        <v>2</v>
      </c>
      <c r="L73" s="40" t="s">
        <v>115</v>
      </c>
      <c r="O73" s="40" t="s">
        <v>115</v>
      </c>
      <c r="Q73" s="40">
        <v>112</v>
      </c>
      <c r="R73" s="40" t="s">
        <v>115</v>
      </c>
      <c r="X73" s="40">
        <v>90010405</v>
      </c>
      <c r="Y73" s="40">
        <v>-1</v>
      </c>
      <c r="Z73" s="40">
        <v>1</v>
      </c>
      <c r="AA73" s="40" t="s">
        <v>115</v>
      </c>
      <c r="AB73" s="40" t="s">
        <v>115</v>
      </c>
      <c r="AC73" s="40" t="s">
        <v>115</v>
      </c>
      <c r="AI73" s="40" t="s">
        <v>115</v>
      </c>
      <c r="AP73" s="4" t="s">
        <v>115</v>
      </c>
    </row>
    <row r="74" spans="1:42" x14ac:dyDescent="0.15">
      <c r="A74" s="40" t="s">
        <v>1</v>
      </c>
      <c r="B74" s="23">
        <v>90010403</v>
      </c>
      <c r="C74" s="23">
        <v>104</v>
      </c>
      <c r="D74" s="23">
        <v>1</v>
      </c>
      <c r="F74" s="23" t="s">
        <v>115</v>
      </c>
      <c r="G74" s="23" t="s">
        <v>115</v>
      </c>
      <c r="H74" s="23" t="s">
        <v>534</v>
      </c>
      <c r="I74" s="23">
        <v>4</v>
      </c>
      <c r="J74" s="40">
        <v>0</v>
      </c>
      <c r="K74" s="40">
        <v>3</v>
      </c>
      <c r="L74" s="40" t="s">
        <v>115</v>
      </c>
      <c r="O74" s="40" t="s">
        <v>115</v>
      </c>
      <c r="Q74" s="40">
        <v>112</v>
      </c>
      <c r="R74" s="40" t="s">
        <v>115</v>
      </c>
      <c r="X74" s="40">
        <v>90010406</v>
      </c>
      <c r="Y74" s="40">
        <v>-1</v>
      </c>
      <c r="Z74" s="40">
        <v>1</v>
      </c>
      <c r="AA74" s="40" t="s">
        <v>115</v>
      </c>
      <c r="AB74" s="40" t="s">
        <v>115</v>
      </c>
      <c r="AC74" s="40" t="s">
        <v>115</v>
      </c>
      <c r="AI74" s="40" t="s">
        <v>115</v>
      </c>
      <c r="AP74" s="4" t="s">
        <v>115</v>
      </c>
    </row>
    <row r="75" spans="1:42" x14ac:dyDescent="0.15">
      <c r="A75" s="40" t="s">
        <v>1</v>
      </c>
      <c r="B75" s="23">
        <v>90010404</v>
      </c>
      <c r="C75" s="23">
        <v>104</v>
      </c>
      <c r="D75" s="23">
        <v>1</v>
      </c>
      <c r="F75" s="23" t="s">
        <v>115</v>
      </c>
      <c r="G75" s="23" t="s">
        <v>115</v>
      </c>
      <c r="H75" s="23" t="s">
        <v>535</v>
      </c>
      <c r="I75" s="23">
        <v>4</v>
      </c>
      <c r="J75" s="40">
        <v>0</v>
      </c>
      <c r="K75" s="40">
        <v>4</v>
      </c>
      <c r="L75" s="40" t="s">
        <v>115</v>
      </c>
      <c r="O75" s="40" t="s">
        <v>115</v>
      </c>
      <c r="Q75" s="40">
        <v>112</v>
      </c>
      <c r="R75" s="40" t="s">
        <v>115</v>
      </c>
      <c r="X75" s="40">
        <v>90010407</v>
      </c>
      <c r="Y75" s="40">
        <v>-1</v>
      </c>
      <c r="Z75" s="40">
        <v>1</v>
      </c>
      <c r="AA75" s="40" t="s">
        <v>115</v>
      </c>
      <c r="AB75" s="40" t="s">
        <v>115</v>
      </c>
      <c r="AC75" s="40" t="s">
        <v>536</v>
      </c>
      <c r="AI75" s="40" t="s">
        <v>115</v>
      </c>
      <c r="AP75" s="4" t="s">
        <v>115</v>
      </c>
    </row>
    <row r="76" spans="1:42" x14ac:dyDescent="0.15">
      <c r="A76" s="40" t="s">
        <v>1</v>
      </c>
      <c r="B76" s="23">
        <v>90010405</v>
      </c>
      <c r="C76" s="23">
        <v>104</v>
      </c>
      <c r="D76" s="23">
        <v>1</v>
      </c>
      <c r="F76" s="23" t="s">
        <v>115</v>
      </c>
      <c r="G76" s="23" t="s">
        <v>115</v>
      </c>
      <c r="H76" s="23" t="s">
        <v>1862</v>
      </c>
      <c r="I76" s="23">
        <v>4</v>
      </c>
      <c r="J76" s="40">
        <v>0</v>
      </c>
      <c r="K76" s="40">
        <v>5</v>
      </c>
      <c r="L76" s="40" t="s">
        <v>722</v>
      </c>
      <c r="O76" s="40" t="s">
        <v>115</v>
      </c>
      <c r="Q76" s="40">
        <v>112</v>
      </c>
      <c r="R76" s="40" t="s">
        <v>115</v>
      </c>
      <c r="X76" s="40" t="s">
        <v>489</v>
      </c>
      <c r="Y76" s="40" t="s">
        <v>115</v>
      </c>
      <c r="Z76" s="40">
        <v>4</v>
      </c>
      <c r="AA76" s="40" t="s">
        <v>115</v>
      </c>
      <c r="AB76" s="40" t="s">
        <v>115</v>
      </c>
      <c r="AC76" s="40" t="s">
        <v>115</v>
      </c>
      <c r="AI76" s="40" t="s">
        <v>115</v>
      </c>
      <c r="AP76" s="4" t="s">
        <v>115</v>
      </c>
    </row>
    <row r="77" spans="1:42" x14ac:dyDescent="0.15">
      <c r="A77" s="40" t="s">
        <v>1</v>
      </c>
      <c r="B77" s="23">
        <v>90010406</v>
      </c>
      <c r="C77" s="23">
        <v>104</v>
      </c>
      <c r="D77" s="23">
        <v>1</v>
      </c>
      <c r="F77" s="23" t="s">
        <v>115</v>
      </c>
      <c r="G77" s="23" t="s">
        <v>115</v>
      </c>
      <c r="H77" s="23" t="s">
        <v>1863</v>
      </c>
      <c r="I77" s="23">
        <v>4</v>
      </c>
      <c r="J77" s="40">
        <v>0</v>
      </c>
      <c r="K77" s="40">
        <v>6</v>
      </c>
      <c r="L77" s="40" t="s">
        <v>723</v>
      </c>
      <c r="O77" s="40" t="s">
        <v>115</v>
      </c>
      <c r="Q77" s="40">
        <v>112</v>
      </c>
      <c r="R77" s="40" t="s">
        <v>115</v>
      </c>
      <c r="X77" s="40" t="s">
        <v>489</v>
      </c>
      <c r="Y77" s="40" t="s">
        <v>115</v>
      </c>
      <c r="Z77" s="40">
        <v>5</v>
      </c>
      <c r="AA77" s="40" t="s">
        <v>115</v>
      </c>
      <c r="AB77" s="40" t="s">
        <v>115</v>
      </c>
      <c r="AC77" s="40" t="s">
        <v>115</v>
      </c>
      <c r="AI77" s="40" t="s">
        <v>115</v>
      </c>
      <c r="AP77" s="4" t="s">
        <v>115</v>
      </c>
    </row>
    <row r="78" spans="1:42" x14ac:dyDescent="0.15">
      <c r="A78" s="40" t="s">
        <v>1</v>
      </c>
      <c r="B78" s="23">
        <v>90010407</v>
      </c>
      <c r="C78" s="23">
        <v>104</v>
      </c>
      <c r="D78" s="23">
        <v>1</v>
      </c>
      <c r="F78" s="23" t="s">
        <v>537</v>
      </c>
      <c r="G78" s="23" t="s">
        <v>115</v>
      </c>
      <c r="H78" s="23" t="s">
        <v>1978</v>
      </c>
      <c r="I78" s="23">
        <v>3</v>
      </c>
      <c r="J78" s="40">
        <v>0</v>
      </c>
      <c r="K78" s="40">
        <v>0</v>
      </c>
      <c r="L78" s="40" t="s">
        <v>115</v>
      </c>
      <c r="O78" s="40" t="s">
        <v>115</v>
      </c>
      <c r="Q78" s="40">
        <v>112</v>
      </c>
      <c r="R78" s="40">
        <v>97</v>
      </c>
      <c r="X78" s="40">
        <v>90010408</v>
      </c>
      <c r="Y78" s="40" t="s">
        <v>115</v>
      </c>
      <c r="Z78" s="40" t="s">
        <v>115</v>
      </c>
      <c r="AA78" s="40" t="s">
        <v>115</v>
      </c>
      <c r="AB78" s="40" t="s">
        <v>115</v>
      </c>
      <c r="AC78" s="40" t="s">
        <v>115</v>
      </c>
      <c r="AI78" s="40" t="s">
        <v>115</v>
      </c>
      <c r="AP78" s="4" t="s">
        <v>115</v>
      </c>
    </row>
    <row r="79" spans="1:42" x14ac:dyDescent="0.15">
      <c r="A79" s="40" t="s">
        <v>1</v>
      </c>
      <c r="B79" s="23">
        <v>90010408</v>
      </c>
      <c r="C79" s="23">
        <v>104</v>
      </c>
      <c r="D79" s="23">
        <v>1</v>
      </c>
      <c r="F79" s="23" t="s">
        <v>537</v>
      </c>
      <c r="G79" s="23" t="s">
        <v>115</v>
      </c>
      <c r="H79" s="23" t="s">
        <v>538</v>
      </c>
      <c r="I79" s="23">
        <v>3</v>
      </c>
      <c r="J79" s="40">
        <v>0</v>
      </c>
      <c r="K79" s="40">
        <v>0</v>
      </c>
      <c r="L79" s="40" t="s">
        <v>115</v>
      </c>
      <c r="O79" s="40" t="s">
        <v>115</v>
      </c>
      <c r="Q79" s="40">
        <v>112</v>
      </c>
      <c r="R79" s="40">
        <v>97</v>
      </c>
      <c r="X79" s="40">
        <v>90010409</v>
      </c>
      <c r="Y79" s="40" t="s">
        <v>115</v>
      </c>
      <c r="Z79" s="40" t="s">
        <v>115</v>
      </c>
      <c r="AA79" s="40" t="s">
        <v>115</v>
      </c>
      <c r="AB79" s="40" t="s">
        <v>115</v>
      </c>
      <c r="AC79" s="40" t="s">
        <v>115</v>
      </c>
      <c r="AI79" s="40" t="s">
        <v>115</v>
      </c>
      <c r="AP79" s="4" t="s">
        <v>115</v>
      </c>
    </row>
    <row r="80" spans="1:42" x14ac:dyDescent="0.15">
      <c r="A80" s="40" t="s">
        <v>1</v>
      </c>
      <c r="B80" s="23">
        <v>90010409</v>
      </c>
      <c r="C80" s="23">
        <v>104</v>
      </c>
      <c r="D80" s="23">
        <v>1</v>
      </c>
      <c r="F80" s="23" t="s">
        <v>116</v>
      </c>
      <c r="G80" s="23">
        <v>313</v>
      </c>
      <c r="H80" s="23" t="s">
        <v>539</v>
      </c>
      <c r="I80" s="23">
        <v>0</v>
      </c>
      <c r="J80" s="40">
        <v>0</v>
      </c>
      <c r="K80" s="40">
        <v>0</v>
      </c>
      <c r="L80" s="40" t="s">
        <v>115</v>
      </c>
      <c r="O80" s="40" t="s">
        <v>115</v>
      </c>
      <c r="Q80" s="40">
        <v>112</v>
      </c>
      <c r="R80" s="40">
        <v>97</v>
      </c>
      <c r="X80" s="40">
        <v>90010410</v>
      </c>
      <c r="Y80" s="40" t="s">
        <v>115</v>
      </c>
      <c r="Z80" s="40" t="s">
        <v>115</v>
      </c>
      <c r="AA80" s="40" t="s">
        <v>115</v>
      </c>
      <c r="AB80" s="40" t="s">
        <v>115</v>
      </c>
      <c r="AC80" s="40" t="s">
        <v>115</v>
      </c>
      <c r="AI80" s="40" t="s">
        <v>115</v>
      </c>
      <c r="AP80" s="4" t="s">
        <v>115</v>
      </c>
    </row>
    <row r="81" spans="1:42" x14ac:dyDescent="0.15">
      <c r="A81" s="40" t="s">
        <v>1</v>
      </c>
      <c r="B81" s="23">
        <v>90010410</v>
      </c>
      <c r="C81" s="23">
        <v>104</v>
      </c>
      <c r="D81" s="23">
        <v>1</v>
      </c>
      <c r="F81" s="23" t="s">
        <v>537</v>
      </c>
      <c r="G81" s="23" t="s">
        <v>115</v>
      </c>
      <c r="H81" s="23" t="s">
        <v>540</v>
      </c>
      <c r="I81" s="23">
        <v>3</v>
      </c>
      <c r="J81" s="40">
        <v>0</v>
      </c>
      <c r="K81" s="40">
        <v>0</v>
      </c>
      <c r="L81" s="40" t="s">
        <v>115</v>
      </c>
      <c r="O81" s="40" t="s">
        <v>115</v>
      </c>
      <c r="Q81" s="40">
        <v>112</v>
      </c>
      <c r="R81" s="40">
        <v>97</v>
      </c>
      <c r="X81" s="40">
        <v>90010411</v>
      </c>
      <c r="Y81" s="40" t="s">
        <v>115</v>
      </c>
      <c r="Z81" s="40" t="s">
        <v>115</v>
      </c>
      <c r="AA81" s="40" t="s">
        <v>115</v>
      </c>
      <c r="AB81" s="40" t="s">
        <v>115</v>
      </c>
      <c r="AC81" s="40" t="s">
        <v>115</v>
      </c>
      <c r="AI81" s="40" t="s">
        <v>115</v>
      </c>
      <c r="AP81" s="4" t="s">
        <v>115</v>
      </c>
    </row>
    <row r="82" spans="1:42" x14ac:dyDescent="0.15">
      <c r="A82" s="40" t="s">
        <v>1</v>
      </c>
      <c r="B82" s="23">
        <v>90010411</v>
      </c>
      <c r="C82" s="23">
        <v>104</v>
      </c>
      <c r="D82" s="23">
        <v>1</v>
      </c>
      <c r="F82" s="23" t="s">
        <v>537</v>
      </c>
      <c r="G82" s="23" t="s">
        <v>115</v>
      </c>
      <c r="H82" s="23" t="s">
        <v>541</v>
      </c>
      <c r="I82" s="23">
        <v>3</v>
      </c>
      <c r="J82" s="40">
        <v>0</v>
      </c>
      <c r="K82" s="40">
        <v>0</v>
      </c>
      <c r="L82" s="40" t="s">
        <v>115</v>
      </c>
      <c r="O82" s="40" t="s">
        <v>115</v>
      </c>
      <c r="Q82" s="40">
        <v>112</v>
      </c>
      <c r="R82" s="40">
        <v>97</v>
      </c>
      <c r="X82" s="40">
        <v>90010412</v>
      </c>
      <c r="Y82" s="40" t="s">
        <v>115</v>
      </c>
      <c r="Z82" s="40" t="s">
        <v>115</v>
      </c>
      <c r="AA82" s="40" t="s">
        <v>115</v>
      </c>
      <c r="AB82" s="40" t="s">
        <v>115</v>
      </c>
      <c r="AC82" s="40" t="s">
        <v>115</v>
      </c>
      <c r="AI82" s="40" t="s">
        <v>115</v>
      </c>
      <c r="AP82" s="4" t="s">
        <v>115</v>
      </c>
    </row>
    <row r="83" spans="1:42" x14ac:dyDescent="0.15">
      <c r="A83" s="40" t="s">
        <v>1</v>
      </c>
      <c r="B83" s="23">
        <v>90010412</v>
      </c>
      <c r="C83" s="23">
        <v>104</v>
      </c>
      <c r="D83" s="23">
        <v>1</v>
      </c>
      <c r="F83" s="23" t="s">
        <v>116</v>
      </c>
      <c r="G83" s="23">
        <v>314</v>
      </c>
      <c r="H83" s="23" t="s">
        <v>542</v>
      </c>
      <c r="I83" s="23">
        <v>0</v>
      </c>
      <c r="J83" s="40">
        <v>0</v>
      </c>
      <c r="K83" s="40">
        <v>0</v>
      </c>
      <c r="L83" s="40" t="s">
        <v>115</v>
      </c>
      <c r="O83" s="40" t="s">
        <v>115</v>
      </c>
      <c r="Q83" s="40">
        <v>112</v>
      </c>
      <c r="R83" s="40">
        <v>97</v>
      </c>
      <c r="X83" s="40">
        <v>90010413</v>
      </c>
      <c r="Y83" s="40" t="s">
        <v>115</v>
      </c>
      <c r="Z83" s="40" t="s">
        <v>115</v>
      </c>
      <c r="AA83" s="40" t="s">
        <v>115</v>
      </c>
      <c r="AB83" s="40" t="s">
        <v>115</v>
      </c>
      <c r="AC83" s="40" t="s">
        <v>115</v>
      </c>
      <c r="AI83" s="40" t="s">
        <v>115</v>
      </c>
      <c r="AP83" s="4" t="s">
        <v>115</v>
      </c>
    </row>
    <row r="84" spans="1:42" x14ac:dyDescent="0.15">
      <c r="A84" s="40" t="s">
        <v>1</v>
      </c>
      <c r="B84" s="23">
        <v>90010413</v>
      </c>
      <c r="C84" s="23">
        <v>104</v>
      </c>
      <c r="D84" s="23">
        <v>1</v>
      </c>
      <c r="F84" s="23" t="s">
        <v>537</v>
      </c>
      <c r="G84" s="23" t="s">
        <v>115</v>
      </c>
      <c r="H84" s="23" t="s">
        <v>923</v>
      </c>
      <c r="I84" s="23">
        <v>3</v>
      </c>
      <c r="J84" s="40">
        <v>0</v>
      </c>
      <c r="K84" s="40">
        <v>0</v>
      </c>
      <c r="L84" s="40" t="s">
        <v>115</v>
      </c>
      <c r="O84" s="40" t="s">
        <v>115</v>
      </c>
      <c r="Q84" s="40">
        <v>112</v>
      </c>
      <c r="R84" s="40">
        <v>97</v>
      </c>
      <c r="X84" s="40">
        <v>90010414</v>
      </c>
      <c r="Y84" s="40" t="s">
        <v>115</v>
      </c>
      <c r="Z84" s="40" t="s">
        <v>115</v>
      </c>
      <c r="AA84" s="40" t="s">
        <v>115</v>
      </c>
      <c r="AB84" s="40" t="s">
        <v>115</v>
      </c>
      <c r="AC84" s="40" t="s">
        <v>115</v>
      </c>
      <c r="AI84" s="40" t="s">
        <v>115</v>
      </c>
      <c r="AP84" s="4" t="s">
        <v>115</v>
      </c>
    </row>
    <row r="85" spans="1:42" x14ac:dyDescent="0.15">
      <c r="A85" s="40" t="s">
        <v>1</v>
      </c>
      <c r="B85" s="23">
        <v>90010414</v>
      </c>
      <c r="C85" s="23">
        <v>104</v>
      </c>
      <c r="D85" s="23">
        <v>1</v>
      </c>
      <c r="F85" s="23" t="s">
        <v>116</v>
      </c>
      <c r="G85" s="23">
        <v>313</v>
      </c>
      <c r="H85" s="23" t="s">
        <v>543</v>
      </c>
      <c r="I85" s="23">
        <v>0</v>
      </c>
      <c r="J85" s="40">
        <v>0</v>
      </c>
      <c r="K85" s="40">
        <v>0</v>
      </c>
      <c r="L85" s="40" t="s">
        <v>115</v>
      </c>
      <c r="O85" s="40" t="s">
        <v>115</v>
      </c>
      <c r="Q85" s="40">
        <v>112</v>
      </c>
      <c r="R85" s="40">
        <v>97</v>
      </c>
      <c r="X85" s="40">
        <v>90010415</v>
      </c>
      <c r="Y85" s="40" t="s">
        <v>115</v>
      </c>
      <c r="Z85" s="40" t="s">
        <v>115</v>
      </c>
      <c r="AA85" s="40" t="s">
        <v>115</v>
      </c>
      <c r="AB85" s="40" t="s">
        <v>115</v>
      </c>
      <c r="AC85" s="40" t="s">
        <v>115</v>
      </c>
      <c r="AI85" s="40" t="s">
        <v>115</v>
      </c>
      <c r="AP85" s="4" t="s">
        <v>115</v>
      </c>
    </row>
    <row r="86" spans="1:42" x14ac:dyDescent="0.15">
      <c r="A86" s="40" t="s">
        <v>1</v>
      </c>
      <c r="B86" s="23">
        <v>90010415</v>
      </c>
      <c r="C86" s="23">
        <v>104</v>
      </c>
      <c r="D86" s="23">
        <v>1</v>
      </c>
      <c r="F86" s="23" t="s">
        <v>116</v>
      </c>
      <c r="G86" s="23">
        <v>308</v>
      </c>
      <c r="H86" s="23" t="s">
        <v>7362</v>
      </c>
      <c r="I86" s="23">
        <v>2</v>
      </c>
      <c r="J86" s="40">
        <v>0</v>
      </c>
      <c r="K86" s="40">
        <v>0</v>
      </c>
      <c r="L86" s="40" t="s">
        <v>115</v>
      </c>
      <c r="O86" s="40" t="s">
        <v>115</v>
      </c>
      <c r="Q86" s="40">
        <v>112</v>
      </c>
      <c r="R86" s="40">
        <v>97</v>
      </c>
      <c r="X86" s="40">
        <v>90010416</v>
      </c>
      <c r="Y86" s="40" t="s">
        <v>115</v>
      </c>
      <c r="Z86" s="40" t="s">
        <v>115</v>
      </c>
      <c r="AA86" s="40" t="s">
        <v>115</v>
      </c>
      <c r="AB86" s="40" t="s">
        <v>115</v>
      </c>
      <c r="AC86" s="40" t="s">
        <v>115</v>
      </c>
      <c r="AI86" s="40" t="s">
        <v>115</v>
      </c>
      <c r="AP86" s="4" t="s">
        <v>115</v>
      </c>
    </row>
    <row r="87" spans="1:42" x14ac:dyDescent="0.15">
      <c r="A87" s="40" t="s">
        <v>1</v>
      </c>
      <c r="B87" s="23">
        <v>90010416</v>
      </c>
      <c r="C87" s="23">
        <v>104</v>
      </c>
      <c r="D87" s="23">
        <v>1</v>
      </c>
      <c r="F87" s="23" t="s">
        <v>537</v>
      </c>
      <c r="G87" s="23" t="s">
        <v>115</v>
      </c>
      <c r="H87" s="23" t="s">
        <v>1864</v>
      </c>
      <c r="I87" s="23">
        <v>3</v>
      </c>
      <c r="J87" s="40">
        <v>0</v>
      </c>
      <c r="K87" s="40">
        <v>0</v>
      </c>
      <c r="L87" s="40" t="s">
        <v>115</v>
      </c>
      <c r="O87" s="40" t="s">
        <v>115</v>
      </c>
      <c r="Q87" s="40">
        <v>112</v>
      </c>
      <c r="R87" s="40">
        <v>97</v>
      </c>
      <c r="X87" s="40">
        <v>90010417</v>
      </c>
      <c r="Y87" s="40" t="s">
        <v>115</v>
      </c>
      <c r="Z87" s="40" t="s">
        <v>115</v>
      </c>
      <c r="AA87" s="40" t="s">
        <v>115</v>
      </c>
      <c r="AB87" s="40" t="s">
        <v>115</v>
      </c>
      <c r="AC87" s="40" t="s">
        <v>115</v>
      </c>
      <c r="AI87" s="40" t="s">
        <v>115</v>
      </c>
      <c r="AP87" s="4" t="s">
        <v>115</v>
      </c>
    </row>
    <row r="88" spans="1:42" x14ac:dyDescent="0.15">
      <c r="A88" s="40" t="s">
        <v>1</v>
      </c>
      <c r="B88" s="23">
        <v>90010417</v>
      </c>
      <c r="C88" s="23">
        <v>104</v>
      </c>
      <c r="D88" s="23">
        <v>1</v>
      </c>
      <c r="F88" s="23" t="s">
        <v>116</v>
      </c>
      <c r="G88" s="23">
        <v>314</v>
      </c>
      <c r="H88" s="23" t="s">
        <v>708</v>
      </c>
      <c r="I88" s="23">
        <v>2</v>
      </c>
      <c r="J88" s="40">
        <v>0</v>
      </c>
      <c r="K88" s="40">
        <v>7</v>
      </c>
      <c r="L88" s="40" t="s">
        <v>115</v>
      </c>
      <c r="O88" s="40">
        <v>1</v>
      </c>
      <c r="Q88" s="40">
        <v>112</v>
      </c>
      <c r="R88" s="40" t="s">
        <v>115</v>
      </c>
      <c r="X88" s="40" t="s">
        <v>115</v>
      </c>
      <c r="Y88" s="40" t="s">
        <v>115</v>
      </c>
      <c r="Z88" s="40">
        <v>6</v>
      </c>
      <c r="AA88" s="40" t="s">
        <v>115</v>
      </c>
      <c r="AB88" s="40" t="s">
        <v>115</v>
      </c>
      <c r="AC88" s="40" t="s">
        <v>115</v>
      </c>
      <c r="AI88" s="40" t="s">
        <v>115</v>
      </c>
      <c r="AP88" s="4" t="s">
        <v>351</v>
      </c>
    </row>
    <row r="89" spans="1:42" x14ac:dyDescent="0.15">
      <c r="A89" s="40" t="s">
        <v>1</v>
      </c>
      <c r="B89" s="23" t="s">
        <v>490</v>
      </c>
      <c r="C89" s="23">
        <v>105</v>
      </c>
      <c r="D89" s="23">
        <v>1</v>
      </c>
      <c r="F89" s="23" t="s">
        <v>115</v>
      </c>
      <c r="G89" s="23" t="s">
        <v>115</v>
      </c>
      <c r="H89" s="23" t="s">
        <v>544</v>
      </c>
      <c r="I89" s="23">
        <v>4</v>
      </c>
      <c r="J89" s="40">
        <v>1</v>
      </c>
      <c r="K89" s="40">
        <v>1</v>
      </c>
      <c r="L89" s="40" t="s">
        <v>115</v>
      </c>
      <c r="O89" s="40" t="s">
        <v>115</v>
      </c>
      <c r="Q89" s="40">
        <v>105</v>
      </c>
      <c r="R89" s="40" t="s">
        <v>115</v>
      </c>
      <c r="X89" s="40" t="s">
        <v>545</v>
      </c>
      <c r="Y89" s="40">
        <v>1</v>
      </c>
      <c r="Z89" s="40" t="s">
        <v>115</v>
      </c>
      <c r="AA89" s="40" t="s">
        <v>115</v>
      </c>
      <c r="AB89" s="40" t="s">
        <v>115</v>
      </c>
      <c r="AC89" s="40" t="s">
        <v>115</v>
      </c>
      <c r="AI89" s="40" t="s">
        <v>115</v>
      </c>
      <c r="AP89" s="4" t="s">
        <v>115</v>
      </c>
    </row>
    <row r="90" spans="1:42" x14ac:dyDescent="0.15">
      <c r="A90" s="40" t="s">
        <v>1</v>
      </c>
      <c r="B90" s="23">
        <v>90010502</v>
      </c>
      <c r="C90" s="23">
        <v>105</v>
      </c>
      <c r="D90" s="23">
        <v>1</v>
      </c>
      <c r="F90" s="23" t="s">
        <v>115</v>
      </c>
      <c r="G90" s="23" t="s">
        <v>115</v>
      </c>
      <c r="H90" s="23" t="s">
        <v>546</v>
      </c>
      <c r="I90" s="23">
        <v>4</v>
      </c>
      <c r="J90" s="40">
        <v>0</v>
      </c>
      <c r="K90" s="40">
        <v>2</v>
      </c>
      <c r="L90" s="40" t="s">
        <v>115</v>
      </c>
      <c r="O90" s="40" t="s">
        <v>115</v>
      </c>
      <c r="Q90" s="40">
        <v>105</v>
      </c>
      <c r="R90" s="40" t="s">
        <v>115</v>
      </c>
      <c r="X90" s="40">
        <v>90010504</v>
      </c>
      <c r="Y90" s="40">
        <v>-1</v>
      </c>
      <c r="Z90" s="40">
        <v>1</v>
      </c>
      <c r="AA90" s="40" t="s">
        <v>115</v>
      </c>
      <c r="AB90" s="40" t="s">
        <v>115</v>
      </c>
      <c r="AC90" s="40" t="s">
        <v>115</v>
      </c>
      <c r="AI90" s="40" t="s">
        <v>115</v>
      </c>
      <c r="AP90" s="4" t="s">
        <v>115</v>
      </c>
    </row>
    <row r="91" spans="1:42" x14ac:dyDescent="0.15">
      <c r="A91" s="40" t="s">
        <v>1</v>
      </c>
      <c r="B91" s="23">
        <v>90010503</v>
      </c>
      <c r="C91" s="23">
        <v>105</v>
      </c>
      <c r="D91" s="23">
        <v>1</v>
      </c>
      <c r="F91" s="23" t="s">
        <v>115</v>
      </c>
      <c r="G91" s="23" t="s">
        <v>115</v>
      </c>
      <c r="H91" s="23" t="s">
        <v>547</v>
      </c>
      <c r="I91" s="23">
        <v>4</v>
      </c>
      <c r="J91" s="40">
        <v>0</v>
      </c>
      <c r="K91" s="40">
        <v>3</v>
      </c>
      <c r="L91" s="40" t="s">
        <v>115</v>
      </c>
      <c r="O91" s="40" t="s">
        <v>115</v>
      </c>
      <c r="Q91" s="40">
        <v>105</v>
      </c>
      <c r="R91" s="40" t="s">
        <v>115</v>
      </c>
      <c r="X91" s="40">
        <v>90010505</v>
      </c>
      <c r="Y91" s="40">
        <v>-1</v>
      </c>
      <c r="Z91" s="40">
        <v>1</v>
      </c>
      <c r="AA91" s="40" t="s">
        <v>115</v>
      </c>
      <c r="AB91" s="40" t="s">
        <v>115</v>
      </c>
      <c r="AC91" s="40" t="s">
        <v>115</v>
      </c>
      <c r="AI91" s="40" t="s">
        <v>115</v>
      </c>
      <c r="AP91" s="4" t="s">
        <v>115</v>
      </c>
    </row>
    <row r="92" spans="1:42" x14ac:dyDescent="0.15">
      <c r="A92" s="40" t="s">
        <v>1</v>
      </c>
      <c r="B92" s="23">
        <v>90010504</v>
      </c>
      <c r="C92" s="23">
        <v>105</v>
      </c>
      <c r="D92" s="23">
        <v>1</v>
      </c>
      <c r="F92" s="23" t="s">
        <v>116</v>
      </c>
      <c r="G92" s="23">
        <v>314</v>
      </c>
      <c r="H92" s="23" t="s">
        <v>924</v>
      </c>
      <c r="I92" s="23">
        <v>2</v>
      </c>
      <c r="J92" s="40">
        <v>0</v>
      </c>
      <c r="K92" s="40">
        <v>0</v>
      </c>
      <c r="L92" s="40" t="s">
        <v>115</v>
      </c>
      <c r="O92" s="40" t="s">
        <v>115</v>
      </c>
      <c r="Q92" s="40">
        <v>105</v>
      </c>
      <c r="R92" s="40" t="s">
        <v>115</v>
      </c>
      <c r="X92" s="40">
        <v>90010506</v>
      </c>
      <c r="Y92" s="40" t="s">
        <v>115</v>
      </c>
      <c r="Z92" s="40" t="s">
        <v>115</v>
      </c>
      <c r="AA92" s="40" t="s">
        <v>115</v>
      </c>
      <c r="AB92" s="40" t="s">
        <v>115</v>
      </c>
      <c r="AC92" s="40" t="s">
        <v>115</v>
      </c>
      <c r="AI92" s="40" t="s">
        <v>115</v>
      </c>
      <c r="AP92" s="4" t="s">
        <v>115</v>
      </c>
    </row>
    <row r="93" spans="1:42" x14ac:dyDescent="0.15">
      <c r="A93" s="40" t="s">
        <v>1</v>
      </c>
      <c r="B93" s="23">
        <v>90010505</v>
      </c>
      <c r="C93" s="23">
        <v>105</v>
      </c>
      <c r="D93" s="23">
        <v>1</v>
      </c>
      <c r="F93" s="23" t="s">
        <v>558</v>
      </c>
      <c r="G93" s="23" t="s">
        <v>115</v>
      </c>
      <c r="H93" s="23" t="s">
        <v>559</v>
      </c>
      <c r="I93" s="23">
        <v>3</v>
      </c>
      <c r="J93" s="40">
        <v>0</v>
      </c>
      <c r="K93" s="40">
        <v>0</v>
      </c>
      <c r="L93" s="40" t="s">
        <v>115</v>
      </c>
      <c r="O93" s="40" t="s">
        <v>115</v>
      </c>
      <c r="Q93" s="40">
        <v>105</v>
      </c>
      <c r="R93" s="40">
        <v>254</v>
      </c>
      <c r="X93" s="40" t="s">
        <v>490</v>
      </c>
      <c r="Y93" s="40" t="s">
        <v>115</v>
      </c>
      <c r="Z93" s="40" t="s">
        <v>115</v>
      </c>
      <c r="AA93" s="40" t="s">
        <v>115</v>
      </c>
      <c r="AB93" s="40" t="s">
        <v>115</v>
      </c>
      <c r="AC93" s="40" t="s">
        <v>115</v>
      </c>
      <c r="AI93" s="40" t="s">
        <v>115</v>
      </c>
      <c r="AP93" s="4" t="s">
        <v>115</v>
      </c>
    </row>
    <row r="94" spans="1:42" x14ac:dyDescent="0.15">
      <c r="A94" s="40" t="s">
        <v>1</v>
      </c>
      <c r="B94" s="23">
        <v>90010506</v>
      </c>
      <c r="C94" s="23">
        <v>105</v>
      </c>
      <c r="D94" s="23">
        <v>1</v>
      </c>
      <c r="F94" s="23" t="s">
        <v>116</v>
      </c>
      <c r="G94" s="23">
        <v>312</v>
      </c>
      <c r="H94" s="23" t="s">
        <v>925</v>
      </c>
      <c r="I94" s="23">
        <v>2</v>
      </c>
      <c r="J94" s="40">
        <v>0</v>
      </c>
      <c r="K94" s="40">
        <v>0</v>
      </c>
      <c r="L94" s="40" t="s">
        <v>115</v>
      </c>
      <c r="O94" s="40" t="s">
        <v>115</v>
      </c>
      <c r="Q94" s="40">
        <v>192</v>
      </c>
      <c r="R94" s="40" t="s">
        <v>115</v>
      </c>
      <c r="X94" s="40">
        <v>90010507</v>
      </c>
      <c r="Y94" s="40" t="s">
        <v>115</v>
      </c>
      <c r="Z94" s="40" t="s">
        <v>115</v>
      </c>
      <c r="AA94" s="40" t="s">
        <v>115</v>
      </c>
      <c r="AB94" s="40" t="s">
        <v>115</v>
      </c>
      <c r="AC94" s="40" t="s">
        <v>115</v>
      </c>
      <c r="AI94" s="40" t="s">
        <v>115</v>
      </c>
      <c r="AP94" s="4" t="s">
        <v>115</v>
      </c>
    </row>
    <row r="95" spans="1:42" x14ac:dyDescent="0.15">
      <c r="A95" s="40" t="s">
        <v>1</v>
      </c>
      <c r="B95" s="23">
        <v>90010507</v>
      </c>
      <c r="C95" s="23">
        <v>105</v>
      </c>
      <c r="D95" s="23">
        <v>1</v>
      </c>
      <c r="F95" s="23" t="s">
        <v>115</v>
      </c>
      <c r="G95" s="23" t="s">
        <v>115</v>
      </c>
      <c r="H95" s="23" t="s">
        <v>548</v>
      </c>
      <c r="I95" s="23">
        <v>4</v>
      </c>
      <c r="J95" s="40">
        <v>0</v>
      </c>
      <c r="K95" s="40">
        <v>4</v>
      </c>
      <c r="L95" s="40" t="s">
        <v>115</v>
      </c>
      <c r="O95" s="40" t="s">
        <v>115</v>
      </c>
      <c r="Q95" s="40">
        <v>192</v>
      </c>
      <c r="R95" s="40">
        <v>19</v>
      </c>
      <c r="X95" s="40" t="s">
        <v>926</v>
      </c>
      <c r="Y95" s="40">
        <v>1</v>
      </c>
      <c r="Z95" s="40">
        <v>1</v>
      </c>
      <c r="AA95" s="40" t="s">
        <v>115</v>
      </c>
      <c r="AB95" s="40" t="s">
        <v>115</v>
      </c>
      <c r="AC95" s="40" t="s">
        <v>115</v>
      </c>
      <c r="AI95" s="40" t="s">
        <v>115</v>
      </c>
      <c r="AP95" s="4" t="s">
        <v>115</v>
      </c>
    </row>
    <row r="96" spans="1:42" x14ac:dyDescent="0.15">
      <c r="A96" s="40" t="s">
        <v>1</v>
      </c>
      <c r="B96" s="23">
        <v>90010508</v>
      </c>
      <c r="C96" s="23">
        <v>105</v>
      </c>
      <c r="D96" s="23">
        <v>1</v>
      </c>
      <c r="F96" s="23" t="s">
        <v>115</v>
      </c>
      <c r="G96" s="23" t="s">
        <v>115</v>
      </c>
      <c r="H96" s="23" t="s">
        <v>549</v>
      </c>
      <c r="I96" s="23">
        <v>4</v>
      </c>
      <c r="J96" s="40">
        <v>0</v>
      </c>
      <c r="K96" s="40">
        <v>5</v>
      </c>
      <c r="L96" s="40" t="s">
        <v>115</v>
      </c>
      <c r="O96" s="40" t="s">
        <v>115</v>
      </c>
      <c r="Q96" s="40">
        <v>192</v>
      </c>
      <c r="R96" s="40" t="s">
        <v>115</v>
      </c>
      <c r="X96" s="40">
        <v>90010511</v>
      </c>
      <c r="Y96" s="40">
        <v>-1</v>
      </c>
      <c r="Z96" s="40">
        <v>4</v>
      </c>
      <c r="AA96" s="40" t="s">
        <v>115</v>
      </c>
      <c r="AB96" s="40" t="s">
        <v>115</v>
      </c>
      <c r="AC96" s="40" t="s">
        <v>115</v>
      </c>
      <c r="AI96" s="40" t="s">
        <v>115</v>
      </c>
      <c r="AP96" s="4" t="s">
        <v>115</v>
      </c>
    </row>
    <row r="97" spans="1:42" x14ac:dyDescent="0.15">
      <c r="A97" s="40" t="s">
        <v>1</v>
      </c>
      <c r="B97" s="23">
        <v>90010509</v>
      </c>
      <c r="C97" s="23">
        <v>105</v>
      </c>
      <c r="D97" s="23">
        <v>1</v>
      </c>
      <c r="F97" s="23" t="s">
        <v>115</v>
      </c>
      <c r="G97" s="23" t="s">
        <v>115</v>
      </c>
      <c r="H97" s="23" t="s">
        <v>550</v>
      </c>
      <c r="I97" s="23">
        <v>4</v>
      </c>
      <c r="J97" s="40">
        <v>0</v>
      </c>
      <c r="K97" s="40">
        <v>6</v>
      </c>
      <c r="L97" s="40" t="s">
        <v>115</v>
      </c>
      <c r="O97" s="40" t="s">
        <v>115</v>
      </c>
      <c r="Q97" s="40">
        <v>192</v>
      </c>
      <c r="R97" s="40" t="s">
        <v>115</v>
      </c>
      <c r="X97" s="40">
        <v>90010512</v>
      </c>
      <c r="Y97" s="40">
        <v>-1</v>
      </c>
      <c r="Z97" s="40">
        <v>4</v>
      </c>
      <c r="AA97" s="40" t="s">
        <v>115</v>
      </c>
      <c r="AB97" s="40" t="s">
        <v>115</v>
      </c>
      <c r="AC97" s="40" t="s">
        <v>115</v>
      </c>
      <c r="AI97" s="40" t="s">
        <v>115</v>
      </c>
      <c r="AP97" s="4" t="s">
        <v>115</v>
      </c>
    </row>
    <row r="98" spans="1:42" x14ac:dyDescent="0.15">
      <c r="A98" s="40" t="s">
        <v>1</v>
      </c>
      <c r="B98" s="23">
        <v>90010510</v>
      </c>
      <c r="C98" s="23">
        <v>105</v>
      </c>
      <c r="D98" s="23">
        <v>1</v>
      </c>
      <c r="F98" s="23" t="s">
        <v>115</v>
      </c>
      <c r="G98" s="23" t="s">
        <v>115</v>
      </c>
      <c r="H98" s="23" t="s">
        <v>551</v>
      </c>
      <c r="I98" s="23">
        <v>4</v>
      </c>
      <c r="J98" s="40">
        <v>0</v>
      </c>
      <c r="K98" s="40">
        <v>7</v>
      </c>
      <c r="L98" s="40" t="s">
        <v>115</v>
      </c>
      <c r="O98" s="40" t="s">
        <v>115</v>
      </c>
      <c r="Q98" s="40">
        <v>192</v>
      </c>
      <c r="R98" s="40" t="s">
        <v>115</v>
      </c>
      <c r="X98" s="40">
        <v>90010513</v>
      </c>
      <c r="Y98" s="40">
        <v>-1</v>
      </c>
      <c r="Z98" s="40">
        <v>4</v>
      </c>
      <c r="AA98" s="40" t="s">
        <v>115</v>
      </c>
      <c r="AB98" s="40" t="s">
        <v>115</v>
      </c>
      <c r="AC98" s="40" t="s">
        <v>552</v>
      </c>
      <c r="AI98" s="40" t="s">
        <v>115</v>
      </c>
      <c r="AP98" s="4" t="s">
        <v>115</v>
      </c>
    </row>
    <row r="99" spans="1:42" x14ac:dyDescent="0.15">
      <c r="A99" s="40" t="s">
        <v>1</v>
      </c>
      <c r="B99" s="23">
        <v>90010511</v>
      </c>
      <c r="C99" s="23">
        <v>105</v>
      </c>
      <c r="D99" s="23">
        <v>1</v>
      </c>
      <c r="F99" s="23" t="s">
        <v>1865</v>
      </c>
      <c r="G99" s="23" t="s">
        <v>115</v>
      </c>
      <c r="H99" s="23" t="s">
        <v>553</v>
      </c>
      <c r="I99" s="23">
        <v>3</v>
      </c>
      <c r="J99" s="40">
        <v>0</v>
      </c>
      <c r="K99" s="40">
        <v>0</v>
      </c>
      <c r="L99" s="40" t="s">
        <v>115</v>
      </c>
      <c r="O99" s="40" t="s">
        <v>115</v>
      </c>
      <c r="Q99" s="40">
        <v>192</v>
      </c>
      <c r="R99" s="40">
        <v>249</v>
      </c>
      <c r="X99" s="40">
        <v>90010507</v>
      </c>
      <c r="Y99" s="40" t="s">
        <v>115</v>
      </c>
      <c r="Z99" s="40" t="s">
        <v>115</v>
      </c>
      <c r="AA99" s="40" t="s">
        <v>115</v>
      </c>
      <c r="AB99" s="40" t="s">
        <v>115</v>
      </c>
      <c r="AC99" s="40" t="s">
        <v>115</v>
      </c>
      <c r="AI99" s="40" t="s">
        <v>115</v>
      </c>
      <c r="AP99" s="4" t="s">
        <v>115</v>
      </c>
    </row>
    <row r="100" spans="1:42" x14ac:dyDescent="0.15">
      <c r="A100" s="40" t="s">
        <v>1</v>
      </c>
      <c r="B100" s="23">
        <v>90010512</v>
      </c>
      <c r="C100" s="23">
        <v>105</v>
      </c>
      <c r="D100" s="23">
        <v>1</v>
      </c>
      <c r="F100" s="23" t="s">
        <v>554</v>
      </c>
      <c r="G100" s="23" t="s">
        <v>115</v>
      </c>
      <c r="H100" s="23" t="s">
        <v>555</v>
      </c>
      <c r="I100" s="23">
        <v>3</v>
      </c>
      <c r="J100" s="40">
        <v>0</v>
      </c>
      <c r="K100" s="40">
        <v>0</v>
      </c>
      <c r="L100" s="40" t="s">
        <v>115</v>
      </c>
      <c r="O100" s="40" t="s">
        <v>115</v>
      </c>
      <c r="Q100" s="40">
        <v>192</v>
      </c>
      <c r="R100" s="40">
        <v>19</v>
      </c>
      <c r="X100" s="40">
        <v>90010507</v>
      </c>
      <c r="Y100" s="40" t="s">
        <v>115</v>
      </c>
      <c r="Z100" s="40" t="s">
        <v>115</v>
      </c>
      <c r="AA100" s="40" t="s">
        <v>115</v>
      </c>
      <c r="AB100" s="40" t="s">
        <v>115</v>
      </c>
      <c r="AC100" s="40" t="s">
        <v>115</v>
      </c>
      <c r="AI100" s="40" t="s">
        <v>115</v>
      </c>
      <c r="AP100" s="4" t="s">
        <v>115</v>
      </c>
    </row>
    <row r="101" spans="1:42" x14ac:dyDescent="0.15">
      <c r="A101" s="40" t="s">
        <v>1</v>
      </c>
      <c r="B101" s="23">
        <v>90010513</v>
      </c>
      <c r="C101" s="23">
        <v>105</v>
      </c>
      <c r="D101" s="23">
        <v>1</v>
      </c>
      <c r="F101" s="23" t="s">
        <v>116</v>
      </c>
      <c r="G101" s="23">
        <v>312</v>
      </c>
      <c r="H101" s="23" t="s">
        <v>556</v>
      </c>
      <c r="I101" s="23">
        <v>2</v>
      </c>
      <c r="J101" s="40">
        <v>0</v>
      </c>
      <c r="K101" s="40">
        <v>0</v>
      </c>
      <c r="L101" s="40" t="s">
        <v>115</v>
      </c>
      <c r="O101" s="40" t="s">
        <v>115</v>
      </c>
      <c r="Q101" s="40">
        <v>192</v>
      </c>
      <c r="R101" s="40" t="s">
        <v>115</v>
      </c>
      <c r="X101" s="40">
        <v>90010514</v>
      </c>
      <c r="Y101" s="40" t="s">
        <v>115</v>
      </c>
      <c r="Z101" s="40" t="s">
        <v>115</v>
      </c>
      <c r="AA101" s="40" t="s">
        <v>115</v>
      </c>
      <c r="AB101" s="40" t="s">
        <v>115</v>
      </c>
      <c r="AC101" s="40" t="s">
        <v>115</v>
      </c>
      <c r="AI101" s="40" t="s">
        <v>115</v>
      </c>
      <c r="AP101" s="4" t="s">
        <v>115</v>
      </c>
    </row>
    <row r="102" spans="1:42" x14ac:dyDescent="0.15">
      <c r="A102" s="40" t="s">
        <v>1</v>
      </c>
      <c r="B102" s="23">
        <v>90010514</v>
      </c>
      <c r="C102" s="23">
        <v>105</v>
      </c>
      <c r="D102" s="23">
        <v>1</v>
      </c>
      <c r="F102" s="23" t="s">
        <v>116</v>
      </c>
      <c r="G102" s="23">
        <v>312</v>
      </c>
      <c r="H102" s="23" t="s">
        <v>557</v>
      </c>
      <c r="I102" s="23">
        <v>0</v>
      </c>
      <c r="J102" s="40">
        <v>0</v>
      </c>
      <c r="K102" s="40">
        <v>0</v>
      </c>
      <c r="L102" s="40" t="s">
        <v>115</v>
      </c>
      <c r="O102" s="40" t="s">
        <v>115</v>
      </c>
      <c r="Q102" s="40">
        <v>138</v>
      </c>
      <c r="R102" s="40" t="s">
        <v>115</v>
      </c>
      <c r="X102" s="40">
        <v>90010515</v>
      </c>
      <c r="Y102" s="40" t="s">
        <v>115</v>
      </c>
      <c r="Z102" s="40" t="s">
        <v>115</v>
      </c>
      <c r="AA102" s="40" t="s">
        <v>115</v>
      </c>
      <c r="AB102" s="40" t="s">
        <v>115</v>
      </c>
      <c r="AC102" s="40" t="s">
        <v>115</v>
      </c>
      <c r="AI102" s="40" t="s">
        <v>115</v>
      </c>
      <c r="AP102" s="4" t="s">
        <v>115</v>
      </c>
    </row>
    <row r="103" spans="1:42" x14ac:dyDescent="0.15">
      <c r="A103" s="40" t="s">
        <v>1</v>
      </c>
      <c r="B103" s="23">
        <v>90010515</v>
      </c>
      <c r="C103" s="23">
        <v>105</v>
      </c>
      <c r="D103" s="23">
        <v>1</v>
      </c>
      <c r="F103" s="23" t="s">
        <v>115</v>
      </c>
      <c r="G103" s="23" t="s">
        <v>115</v>
      </c>
      <c r="H103" s="23" t="s">
        <v>560</v>
      </c>
      <c r="I103" s="23">
        <v>4</v>
      </c>
      <c r="J103" s="40">
        <v>0</v>
      </c>
      <c r="K103" s="40">
        <v>8</v>
      </c>
      <c r="L103" s="40" t="s">
        <v>724</v>
      </c>
      <c r="O103" s="40" t="s">
        <v>115</v>
      </c>
      <c r="Q103" s="40">
        <v>138</v>
      </c>
      <c r="R103" s="40" t="s">
        <v>115</v>
      </c>
      <c r="X103" s="40">
        <v>90010516</v>
      </c>
      <c r="Y103" s="40" t="s">
        <v>115</v>
      </c>
      <c r="Z103" s="40">
        <v>7</v>
      </c>
      <c r="AA103" s="40" t="s">
        <v>115</v>
      </c>
      <c r="AB103" s="40" t="s">
        <v>115</v>
      </c>
      <c r="AC103" s="40" t="s">
        <v>115</v>
      </c>
      <c r="AI103" s="40" t="s">
        <v>115</v>
      </c>
      <c r="AP103" s="4" t="s">
        <v>115</v>
      </c>
    </row>
    <row r="104" spans="1:42" x14ac:dyDescent="0.15">
      <c r="A104" s="40" t="s">
        <v>1</v>
      </c>
      <c r="B104" s="23">
        <v>90010516</v>
      </c>
      <c r="C104" s="23">
        <v>105</v>
      </c>
      <c r="D104" s="23">
        <v>1</v>
      </c>
      <c r="F104" s="23" t="s">
        <v>116</v>
      </c>
      <c r="G104" s="23">
        <v>313</v>
      </c>
      <c r="H104" s="23" t="s">
        <v>709</v>
      </c>
      <c r="I104" s="23">
        <v>0</v>
      </c>
      <c r="J104" s="40">
        <v>0</v>
      </c>
      <c r="K104" s="40">
        <v>0</v>
      </c>
      <c r="L104" s="40" t="s">
        <v>115</v>
      </c>
      <c r="O104" s="40" t="s">
        <v>115</v>
      </c>
      <c r="Q104" s="40">
        <v>138</v>
      </c>
      <c r="R104" s="40" t="s">
        <v>115</v>
      </c>
      <c r="X104" s="40">
        <v>90010517</v>
      </c>
      <c r="Y104" s="40" t="s">
        <v>115</v>
      </c>
      <c r="Z104" s="40" t="s">
        <v>115</v>
      </c>
      <c r="AA104" s="40" t="s">
        <v>115</v>
      </c>
      <c r="AB104" s="40" t="s">
        <v>115</v>
      </c>
      <c r="AC104" s="40" t="s">
        <v>115</v>
      </c>
      <c r="AI104" s="40" t="s">
        <v>115</v>
      </c>
      <c r="AP104" s="4" t="s">
        <v>115</v>
      </c>
    </row>
    <row r="105" spans="1:42" x14ac:dyDescent="0.15">
      <c r="A105" s="40" t="s">
        <v>1</v>
      </c>
      <c r="B105" s="23">
        <v>90010517</v>
      </c>
      <c r="C105" s="23">
        <v>105</v>
      </c>
      <c r="D105" s="23">
        <v>1</v>
      </c>
      <c r="F105" s="23" t="s">
        <v>116</v>
      </c>
      <c r="G105" s="23">
        <v>312</v>
      </c>
      <c r="H105" s="23" t="s">
        <v>710</v>
      </c>
      <c r="I105" s="23">
        <v>0</v>
      </c>
      <c r="J105" s="40">
        <v>0</v>
      </c>
      <c r="K105" s="40">
        <v>9</v>
      </c>
      <c r="L105" s="40" t="s">
        <v>115</v>
      </c>
      <c r="O105" s="40">
        <v>1</v>
      </c>
      <c r="Q105" s="40">
        <v>138</v>
      </c>
      <c r="R105" s="40" t="s">
        <v>115</v>
      </c>
      <c r="X105" s="40" t="s">
        <v>115</v>
      </c>
      <c r="Y105" s="40" t="s">
        <v>115</v>
      </c>
      <c r="Z105" s="40">
        <v>8</v>
      </c>
      <c r="AA105" s="40" t="s">
        <v>115</v>
      </c>
      <c r="AB105" s="40" t="s">
        <v>115</v>
      </c>
      <c r="AC105" s="40" t="s">
        <v>115</v>
      </c>
      <c r="AI105" s="40" t="s">
        <v>115</v>
      </c>
      <c r="AP105" s="4" t="s">
        <v>115</v>
      </c>
    </row>
    <row r="106" spans="1:42" x14ac:dyDescent="0.15">
      <c r="A106" s="40" t="s">
        <v>1</v>
      </c>
      <c r="B106" s="23" t="s">
        <v>302</v>
      </c>
      <c r="C106" s="23">
        <v>201</v>
      </c>
      <c r="D106" s="23">
        <v>2</v>
      </c>
      <c r="F106" s="23" t="s">
        <v>115</v>
      </c>
      <c r="G106" s="23" t="s">
        <v>115</v>
      </c>
      <c r="H106" s="23" t="s">
        <v>1979</v>
      </c>
      <c r="I106" s="23">
        <v>4</v>
      </c>
      <c r="J106" s="40">
        <v>1</v>
      </c>
      <c r="K106" s="40">
        <v>1</v>
      </c>
      <c r="L106" s="40" t="s">
        <v>115</v>
      </c>
      <c r="O106" s="40" t="s">
        <v>115</v>
      </c>
      <c r="Q106" s="40">
        <v>185</v>
      </c>
      <c r="R106" s="40" t="s">
        <v>115</v>
      </c>
      <c r="X106" s="40">
        <v>90020102</v>
      </c>
      <c r="Y106" s="40" t="s">
        <v>115</v>
      </c>
      <c r="Z106" s="40" t="s">
        <v>115</v>
      </c>
      <c r="AA106" s="40" t="s">
        <v>115</v>
      </c>
      <c r="AB106" s="40" t="s">
        <v>115</v>
      </c>
      <c r="AC106" s="40" t="s">
        <v>115</v>
      </c>
      <c r="AI106" s="40" t="s">
        <v>115</v>
      </c>
      <c r="AP106" s="4" t="s">
        <v>115</v>
      </c>
    </row>
    <row r="107" spans="1:42" x14ac:dyDescent="0.15">
      <c r="A107" s="40" t="s">
        <v>1</v>
      </c>
      <c r="B107" s="23">
        <v>90020102</v>
      </c>
      <c r="C107" s="23">
        <v>201</v>
      </c>
      <c r="D107" s="23">
        <v>2</v>
      </c>
      <c r="F107" s="23" t="s">
        <v>115</v>
      </c>
      <c r="G107" s="23" t="s">
        <v>115</v>
      </c>
      <c r="H107" s="23" t="s">
        <v>1980</v>
      </c>
      <c r="I107" s="23">
        <v>4</v>
      </c>
      <c r="J107" s="40">
        <v>0</v>
      </c>
      <c r="K107" s="40">
        <v>0</v>
      </c>
      <c r="L107" s="40" t="s">
        <v>115</v>
      </c>
      <c r="O107" s="40" t="s">
        <v>115</v>
      </c>
      <c r="Q107" s="40">
        <v>185</v>
      </c>
      <c r="R107" s="40" t="s">
        <v>115</v>
      </c>
      <c r="X107" s="40">
        <v>90020103</v>
      </c>
      <c r="Y107" s="40" t="s">
        <v>115</v>
      </c>
      <c r="Z107" s="40" t="s">
        <v>115</v>
      </c>
      <c r="AA107" s="40" t="s">
        <v>115</v>
      </c>
      <c r="AB107" s="40" t="s">
        <v>115</v>
      </c>
      <c r="AC107" s="40" t="s">
        <v>115</v>
      </c>
      <c r="AI107" s="40" t="s">
        <v>115</v>
      </c>
      <c r="AP107" s="4" t="s">
        <v>115</v>
      </c>
    </row>
    <row r="108" spans="1:42" x14ac:dyDescent="0.15">
      <c r="A108" s="40" t="s">
        <v>1</v>
      </c>
      <c r="B108" s="23">
        <v>90020103</v>
      </c>
      <c r="C108" s="23">
        <v>201</v>
      </c>
      <c r="D108" s="23">
        <v>2</v>
      </c>
      <c r="F108" s="23" t="s">
        <v>930</v>
      </c>
      <c r="G108" s="23" t="s">
        <v>115</v>
      </c>
      <c r="H108" s="23" t="s">
        <v>1981</v>
      </c>
      <c r="I108" s="23">
        <v>3</v>
      </c>
      <c r="J108" s="40">
        <v>0</v>
      </c>
      <c r="K108" s="40">
        <v>0</v>
      </c>
      <c r="L108" s="40" t="s">
        <v>115</v>
      </c>
      <c r="O108" s="40" t="s">
        <v>115</v>
      </c>
      <c r="Q108" s="40">
        <v>185</v>
      </c>
      <c r="R108" s="40">
        <v>247</v>
      </c>
      <c r="X108" s="40">
        <v>90020104</v>
      </c>
      <c r="Y108" s="40" t="s">
        <v>115</v>
      </c>
      <c r="Z108" s="40" t="s">
        <v>115</v>
      </c>
      <c r="AA108" s="40" t="s">
        <v>115</v>
      </c>
      <c r="AB108" s="40" t="s">
        <v>115</v>
      </c>
      <c r="AC108" s="40" t="s">
        <v>115</v>
      </c>
      <c r="AI108" s="40" t="s">
        <v>115</v>
      </c>
      <c r="AP108" s="4" t="s">
        <v>115</v>
      </c>
    </row>
    <row r="109" spans="1:42" x14ac:dyDescent="0.15">
      <c r="A109" s="40" t="s">
        <v>1</v>
      </c>
      <c r="B109" s="23">
        <v>90020104</v>
      </c>
      <c r="C109" s="23">
        <v>201</v>
      </c>
      <c r="D109" s="23">
        <v>2</v>
      </c>
      <c r="F109" s="23" t="s">
        <v>930</v>
      </c>
      <c r="G109" s="23" t="s">
        <v>115</v>
      </c>
      <c r="H109" s="23" t="s">
        <v>1982</v>
      </c>
      <c r="I109" s="23">
        <v>3</v>
      </c>
      <c r="J109" s="40">
        <v>0</v>
      </c>
      <c r="K109" s="40">
        <v>0</v>
      </c>
      <c r="L109" s="40" t="s">
        <v>115</v>
      </c>
      <c r="O109" s="40" t="s">
        <v>115</v>
      </c>
      <c r="Q109" s="40">
        <v>185</v>
      </c>
      <c r="R109" s="40">
        <v>247</v>
      </c>
      <c r="X109" s="40">
        <v>90020105</v>
      </c>
      <c r="Y109" s="40" t="s">
        <v>115</v>
      </c>
      <c r="Z109" s="40" t="s">
        <v>115</v>
      </c>
      <c r="AA109" s="40" t="s">
        <v>115</v>
      </c>
      <c r="AB109" s="40" t="s">
        <v>115</v>
      </c>
      <c r="AC109" s="40" t="s">
        <v>115</v>
      </c>
      <c r="AI109" s="40" t="s">
        <v>115</v>
      </c>
      <c r="AP109" s="4" t="s">
        <v>115</v>
      </c>
    </row>
    <row r="110" spans="1:42" x14ac:dyDescent="0.15">
      <c r="A110" s="40" t="s">
        <v>1</v>
      </c>
      <c r="B110" s="23">
        <v>90020105</v>
      </c>
      <c r="C110" s="23">
        <v>201</v>
      </c>
      <c r="D110" s="23">
        <v>2</v>
      </c>
      <c r="F110" s="23" t="s">
        <v>115</v>
      </c>
      <c r="G110" s="23" t="s">
        <v>115</v>
      </c>
      <c r="H110" s="23" t="s">
        <v>1983</v>
      </c>
      <c r="I110" s="23">
        <v>4</v>
      </c>
      <c r="J110" s="40">
        <v>0</v>
      </c>
      <c r="K110" s="40">
        <v>0</v>
      </c>
      <c r="L110" s="40" t="s">
        <v>115</v>
      </c>
      <c r="O110" s="40" t="s">
        <v>115</v>
      </c>
      <c r="Q110" s="40">
        <v>185</v>
      </c>
      <c r="R110" s="40" t="s">
        <v>115</v>
      </c>
      <c r="X110" s="40">
        <v>90020106</v>
      </c>
      <c r="Y110" s="40" t="s">
        <v>115</v>
      </c>
      <c r="Z110" s="40" t="s">
        <v>115</v>
      </c>
      <c r="AA110" s="40" t="s">
        <v>115</v>
      </c>
      <c r="AB110" s="40" t="s">
        <v>115</v>
      </c>
      <c r="AC110" s="40" t="s">
        <v>115</v>
      </c>
      <c r="AI110" s="40" t="s">
        <v>115</v>
      </c>
      <c r="AP110" s="4" t="s">
        <v>115</v>
      </c>
    </row>
    <row r="111" spans="1:42" x14ac:dyDescent="0.15">
      <c r="A111" s="40" t="s">
        <v>1</v>
      </c>
      <c r="B111" s="23">
        <v>90020106</v>
      </c>
      <c r="C111" s="23">
        <v>201</v>
      </c>
      <c r="D111" s="23">
        <v>2</v>
      </c>
      <c r="F111" s="23" t="s">
        <v>1984</v>
      </c>
      <c r="G111" s="23" t="s">
        <v>115</v>
      </c>
      <c r="H111" s="23" t="s">
        <v>1985</v>
      </c>
      <c r="I111" s="23">
        <v>3</v>
      </c>
      <c r="J111" s="40">
        <v>0</v>
      </c>
      <c r="K111" s="40">
        <v>0</v>
      </c>
      <c r="L111" s="40" t="s">
        <v>115</v>
      </c>
      <c r="O111" s="40" t="s">
        <v>115</v>
      </c>
      <c r="Q111" s="40">
        <v>104</v>
      </c>
      <c r="R111" s="40">
        <v>282</v>
      </c>
      <c r="X111" s="40">
        <v>90020107</v>
      </c>
      <c r="Y111" s="40" t="s">
        <v>115</v>
      </c>
      <c r="Z111" s="40" t="s">
        <v>115</v>
      </c>
      <c r="AA111" s="40" t="s">
        <v>115</v>
      </c>
      <c r="AB111" s="40" t="s">
        <v>115</v>
      </c>
      <c r="AC111" s="40" t="s">
        <v>115</v>
      </c>
      <c r="AI111" s="40" t="s">
        <v>115</v>
      </c>
      <c r="AP111" s="4" t="s">
        <v>115</v>
      </c>
    </row>
    <row r="112" spans="1:42" x14ac:dyDescent="0.15">
      <c r="A112" s="40" t="s">
        <v>1</v>
      </c>
      <c r="B112" s="23">
        <v>90020107</v>
      </c>
      <c r="C112" s="23">
        <v>201</v>
      </c>
      <c r="D112" s="23">
        <v>2</v>
      </c>
      <c r="F112" s="23" t="s">
        <v>116</v>
      </c>
      <c r="G112" s="23">
        <v>312</v>
      </c>
      <c r="H112" s="23" t="s">
        <v>1986</v>
      </c>
      <c r="I112" s="23">
        <v>0</v>
      </c>
      <c r="J112" s="40">
        <v>0</v>
      </c>
      <c r="K112" s="40">
        <v>0</v>
      </c>
      <c r="L112" s="40" t="s">
        <v>115</v>
      </c>
      <c r="O112" s="40" t="s">
        <v>115</v>
      </c>
      <c r="Q112" s="40">
        <v>104</v>
      </c>
      <c r="R112" s="40">
        <v>282</v>
      </c>
      <c r="X112" s="40">
        <v>90020108</v>
      </c>
      <c r="Y112" s="40" t="s">
        <v>115</v>
      </c>
      <c r="Z112" s="40" t="s">
        <v>115</v>
      </c>
      <c r="AA112" s="40" t="s">
        <v>115</v>
      </c>
      <c r="AB112" s="40" t="s">
        <v>115</v>
      </c>
      <c r="AC112" s="40" t="s">
        <v>115</v>
      </c>
      <c r="AI112" s="40" t="s">
        <v>115</v>
      </c>
      <c r="AP112" s="4" t="s">
        <v>115</v>
      </c>
    </row>
    <row r="113" spans="1:42" x14ac:dyDescent="0.15">
      <c r="A113" s="40" t="s">
        <v>1</v>
      </c>
      <c r="B113" s="23">
        <v>90020108</v>
      </c>
      <c r="C113" s="23">
        <v>201</v>
      </c>
      <c r="D113" s="23">
        <v>2</v>
      </c>
      <c r="F113" s="23" t="s">
        <v>1984</v>
      </c>
      <c r="G113" s="23" t="s">
        <v>115</v>
      </c>
      <c r="H113" s="23" t="s">
        <v>1987</v>
      </c>
      <c r="I113" s="23">
        <v>3</v>
      </c>
      <c r="J113" s="40">
        <v>0</v>
      </c>
      <c r="K113" s="40">
        <v>0</v>
      </c>
      <c r="L113" s="40" t="s">
        <v>115</v>
      </c>
      <c r="O113" s="40" t="s">
        <v>115</v>
      </c>
      <c r="Q113" s="40">
        <v>104</v>
      </c>
      <c r="R113" s="40">
        <v>282</v>
      </c>
      <c r="X113" s="40">
        <v>90020109</v>
      </c>
      <c r="Y113" s="40" t="s">
        <v>115</v>
      </c>
      <c r="Z113" s="40" t="s">
        <v>115</v>
      </c>
      <c r="AA113" s="40" t="s">
        <v>115</v>
      </c>
      <c r="AB113" s="40" t="s">
        <v>115</v>
      </c>
      <c r="AC113" s="40" t="s">
        <v>115</v>
      </c>
      <c r="AI113" s="40" t="s">
        <v>115</v>
      </c>
      <c r="AP113" s="40" t="s">
        <v>115</v>
      </c>
    </row>
    <row r="114" spans="1:42" x14ac:dyDescent="0.15">
      <c r="A114" s="40" t="s">
        <v>1</v>
      </c>
      <c r="B114" s="23">
        <v>90020109</v>
      </c>
      <c r="C114" s="23">
        <v>201</v>
      </c>
      <c r="D114" s="23">
        <v>2</v>
      </c>
      <c r="F114" s="23" t="s">
        <v>1984</v>
      </c>
      <c r="G114" s="23" t="s">
        <v>115</v>
      </c>
      <c r="H114" s="23" t="s">
        <v>1988</v>
      </c>
      <c r="I114" s="23">
        <v>3</v>
      </c>
      <c r="J114" s="40">
        <v>0</v>
      </c>
      <c r="K114" s="40">
        <v>0</v>
      </c>
      <c r="L114" s="40" t="s">
        <v>115</v>
      </c>
      <c r="O114" s="40" t="s">
        <v>115</v>
      </c>
      <c r="Q114" s="40">
        <v>104</v>
      </c>
      <c r="R114" s="40">
        <v>282</v>
      </c>
      <c r="X114" s="40">
        <v>90020110</v>
      </c>
      <c r="Y114" s="40" t="s">
        <v>115</v>
      </c>
      <c r="Z114" s="40" t="s">
        <v>115</v>
      </c>
      <c r="AA114" s="40" t="s">
        <v>115</v>
      </c>
      <c r="AB114" s="40" t="s">
        <v>115</v>
      </c>
      <c r="AC114" s="40" t="s">
        <v>115</v>
      </c>
      <c r="AI114" s="40" t="s">
        <v>115</v>
      </c>
      <c r="AP114" s="4" t="s">
        <v>115</v>
      </c>
    </row>
    <row r="115" spans="1:42" x14ac:dyDescent="0.15">
      <c r="A115" s="40" t="s">
        <v>1</v>
      </c>
      <c r="B115" s="23">
        <v>90020110</v>
      </c>
      <c r="C115" s="23">
        <v>201</v>
      </c>
      <c r="D115" s="23">
        <v>2</v>
      </c>
      <c r="F115" s="23" t="s">
        <v>1984</v>
      </c>
      <c r="G115" s="23" t="s">
        <v>115</v>
      </c>
      <c r="H115" s="23" t="s">
        <v>1989</v>
      </c>
      <c r="I115" s="23">
        <v>3</v>
      </c>
      <c r="J115" s="40">
        <v>0</v>
      </c>
      <c r="K115" s="40">
        <v>0</v>
      </c>
      <c r="L115" s="40" t="s">
        <v>115</v>
      </c>
      <c r="O115" s="40" t="s">
        <v>115</v>
      </c>
      <c r="Q115" s="40">
        <v>104</v>
      </c>
      <c r="R115" s="40">
        <v>282</v>
      </c>
      <c r="X115" s="40">
        <v>90020111</v>
      </c>
      <c r="Y115" s="40" t="s">
        <v>115</v>
      </c>
      <c r="Z115" s="40" t="s">
        <v>115</v>
      </c>
      <c r="AA115" s="40" t="s">
        <v>115</v>
      </c>
      <c r="AB115" s="40" t="s">
        <v>115</v>
      </c>
      <c r="AC115" s="40" t="s">
        <v>115</v>
      </c>
      <c r="AI115" s="40" t="s">
        <v>115</v>
      </c>
      <c r="AP115" s="4" t="s">
        <v>115</v>
      </c>
    </row>
    <row r="116" spans="1:42" x14ac:dyDescent="0.15">
      <c r="A116" s="40" t="s">
        <v>1</v>
      </c>
      <c r="B116" s="23">
        <v>90020111</v>
      </c>
      <c r="C116" s="23">
        <v>201</v>
      </c>
      <c r="D116" s="23">
        <v>2</v>
      </c>
      <c r="F116" s="23" t="s">
        <v>1984</v>
      </c>
      <c r="G116" s="23" t="s">
        <v>115</v>
      </c>
      <c r="H116" s="23" t="s">
        <v>1990</v>
      </c>
      <c r="I116" s="23">
        <v>3</v>
      </c>
      <c r="J116" s="40">
        <v>0</v>
      </c>
      <c r="K116" s="40">
        <v>0</v>
      </c>
      <c r="L116" s="40" t="s">
        <v>115</v>
      </c>
      <c r="O116" s="40" t="s">
        <v>115</v>
      </c>
      <c r="Q116" s="40">
        <v>104</v>
      </c>
      <c r="R116" s="40">
        <v>282</v>
      </c>
      <c r="X116" s="40">
        <v>90020112</v>
      </c>
      <c r="Y116" s="40" t="s">
        <v>115</v>
      </c>
      <c r="Z116" s="40" t="s">
        <v>115</v>
      </c>
      <c r="AA116" s="40" t="s">
        <v>115</v>
      </c>
      <c r="AB116" s="40" t="s">
        <v>115</v>
      </c>
      <c r="AC116" s="40" t="s">
        <v>115</v>
      </c>
      <c r="AI116" s="40" t="s">
        <v>115</v>
      </c>
      <c r="AP116" s="4" t="s">
        <v>115</v>
      </c>
    </row>
    <row r="117" spans="1:42" x14ac:dyDescent="0.15">
      <c r="A117" s="40" t="s">
        <v>1</v>
      </c>
      <c r="B117" s="23">
        <v>90020112</v>
      </c>
      <c r="C117" s="23">
        <v>201</v>
      </c>
      <c r="D117" s="23">
        <v>2</v>
      </c>
      <c r="F117" s="23" t="s">
        <v>1984</v>
      </c>
      <c r="G117" s="23" t="s">
        <v>115</v>
      </c>
      <c r="H117" s="23" t="s">
        <v>1991</v>
      </c>
      <c r="I117" s="23">
        <v>3</v>
      </c>
      <c r="J117" s="40">
        <v>0</v>
      </c>
      <c r="K117" s="40">
        <v>0</v>
      </c>
      <c r="L117" s="40" t="s">
        <v>115</v>
      </c>
      <c r="O117" s="40" t="s">
        <v>115</v>
      </c>
      <c r="Q117" s="40">
        <v>104</v>
      </c>
      <c r="R117" s="40">
        <v>282</v>
      </c>
      <c r="X117" s="40">
        <v>90020113</v>
      </c>
      <c r="Y117" s="40" t="s">
        <v>115</v>
      </c>
      <c r="Z117" s="40" t="s">
        <v>115</v>
      </c>
      <c r="AA117" s="40" t="s">
        <v>115</v>
      </c>
      <c r="AB117" s="40" t="s">
        <v>115</v>
      </c>
      <c r="AC117" s="40" t="s">
        <v>115</v>
      </c>
      <c r="AI117" s="40" t="s">
        <v>115</v>
      </c>
      <c r="AP117" s="4" t="s">
        <v>115</v>
      </c>
    </row>
    <row r="118" spans="1:42" x14ac:dyDescent="0.15">
      <c r="A118" s="40" t="s">
        <v>1</v>
      </c>
      <c r="B118" s="23">
        <v>90020113</v>
      </c>
      <c r="C118" s="23">
        <v>201</v>
      </c>
      <c r="D118" s="23">
        <v>2</v>
      </c>
      <c r="F118" s="23" t="s">
        <v>1984</v>
      </c>
      <c r="G118" s="23" t="s">
        <v>115</v>
      </c>
      <c r="H118" s="23" t="s">
        <v>1992</v>
      </c>
      <c r="I118" s="23">
        <v>3</v>
      </c>
      <c r="J118" s="40">
        <v>0</v>
      </c>
      <c r="K118" s="40">
        <v>0</v>
      </c>
      <c r="L118" s="40" t="s">
        <v>115</v>
      </c>
      <c r="O118" s="40" t="s">
        <v>115</v>
      </c>
      <c r="Q118" s="40">
        <v>104</v>
      </c>
      <c r="R118" s="40">
        <v>282</v>
      </c>
      <c r="X118" s="40">
        <v>90020114</v>
      </c>
      <c r="Y118" s="40" t="s">
        <v>115</v>
      </c>
      <c r="Z118" s="40" t="s">
        <v>115</v>
      </c>
      <c r="AA118" s="40" t="s">
        <v>115</v>
      </c>
      <c r="AB118" s="40" t="s">
        <v>115</v>
      </c>
      <c r="AC118" s="40" t="s">
        <v>115</v>
      </c>
      <c r="AI118" s="40" t="s">
        <v>115</v>
      </c>
      <c r="AP118" s="4" t="s">
        <v>115</v>
      </c>
    </row>
    <row r="119" spans="1:42" x14ac:dyDescent="0.15">
      <c r="A119" s="40" t="s">
        <v>1</v>
      </c>
      <c r="B119" s="23">
        <v>90020114</v>
      </c>
      <c r="C119" s="23">
        <v>201</v>
      </c>
      <c r="D119" s="23">
        <v>2</v>
      </c>
      <c r="F119" s="23" t="s">
        <v>1984</v>
      </c>
      <c r="G119" s="23" t="s">
        <v>115</v>
      </c>
      <c r="H119" s="23" t="s">
        <v>1993</v>
      </c>
      <c r="I119" s="23">
        <v>3</v>
      </c>
      <c r="J119" s="40">
        <v>0</v>
      </c>
      <c r="K119" s="40">
        <v>0</v>
      </c>
      <c r="L119" s="40" t="s">
        <v>115</v>
      </c>
      <c r="O119" s="40" t="s">
        <v>115</v>
      </c>
      <c r="Q119" s="40">
        <v>104</v>
      </c>
      <c r="R119" s="40">
        <v>282</v>
      </c>
      <c r="X119" s="40">
        <v>90020115</v>
      </c>
      <c r="Y119" s="40" t="s">
        <v>115</v>
      </c>
      <c r="Z119" s="40" t="s">
        <v>115</v>
      </c>
      <c r="AA119" s="40" t="s">
        <v>115</v>
      </c>
      <c r="AB119" s="40" t="s">
        <v>115</v>
      </c>
      <c r="AC119" s="40" t="s">
        <v>115</v>
      </c>
      <c r="AI119" s="40" t="s">
        <v>115</v>
      </c>
      <c r="AP119" s="4" t="s">
        <v>115</v>
      </c>
    </row>
    <row r="120" spans="1:42" x14ac:dyDescent="0.15">
      <c r="A120" s="40" t="s">
        <v>1</v>
      </c>
      <c r="B120" s="23">
        <v>90020115</v>
      </c>
      <c r="C120" s="23">
        <v>201</v>
      </c>
      <c r="D120" s="23">
        <v>2</v>
      </c>
      <c r="F120" s="23" t="s">
        <v>1984</v>
      </c>
      <c r="G120" s="23" t="s">
        <v>115</v>
      </c>
      <c r="H120" s="23" t="s">
        <v>1994</v>
      </c>
      <c r="I120" s="23">
        <v>3</v>
      </c>
      <c r="J120" s="40">
        <v>0</v>
      </c>
      <c r="K120" s="40">
        <v>0</v>
      </c>
      <c r="L120" s="40" t="s">
        <v>115</v>
      </c>
      <c r="O120" s="40" t="s">
        <v>115</v>
      </c>
      <c r="Q120" s="40">
        <v>104</v>
      </c>
      <c r="R120" s="40">
        <v>282</v>
      </c>
      <c r="X120" s="40">
        <v>90020116</v>
      </c>
      <c r="Y120" s="40" t="s">
        <v>115</v>
      </c>
      <c r="Z120" s="40" t="s">
        <v>115</v>
      </c>
      <c r="AA120" s="40" t="s">
        <v>115</v>
      </c>
      <c r="AB120" s="40" t="s">
        <v>115</v>
      </c>
      <c r="AC120" s="40" t="s">
        <v>115</v>
      </c>
      <c r="AI120" s="40" t="s">
        <v>115</v>
      </c>
      <c r="AP120" s="4" t="s">
        <v>115</v>
      </c>
    </row>
    <row r="121" spans="1:42" x14ac:dyDescent="0.15">
      <c r="A121" s="40" t="s">
        <v>1</v>
      </c>
      <c r="B121" s="23">
        <v>90020116</v>
      </c>
      <c r="C121" s="23">
        <v>201</v>
      </c>
      <c r="D121" s="23">
        <v>2</v>
      </c>
      <c r="F121" s="23" t="s">
        <v>116</v>
      </c>
      <c r="G121" s="23">
        <v>360</v>
      </c>
      <c r="H121" s="23" t="s">
        <v>1995</v>
      </c>
      <c r="I121" s="23">
        <v>2</v>
      </c>
      <c r="J121" s="40">
        <v>0</v>
      </c>
      <c r="K121" s="40">
        <v>0</v>
      </c>
      <c r="L121" s="40" t="s">
        <v>115</v>
      </c>
      <c r="O121" s="40" t="s">
        <v>115</v>
      </c>
      <c r="Q121" s="40">
        <v>104</v>
      </c>
      <c r="R121" s="40">
        <v>282</v>
      </c>
      <c r="X121" s="40">
        <v>90020117</v>
      </c>
      <c r="Y121" s="40" t="s">
        <v>115</v>
      </c>
      <c r="Z121" s="40" t="s">
        <v>115</v>
      </c>
      <c r="AA121" s="40" t="s">
        <v>115</v>
      </c>
      <c r="AB121" s="40" t="s">
        <v>115</v>
      </c>
      <c r="AC121" s="40" t="s">
        <v>115</v>
      </c>
      <c r="AI121" s="40" t="s">
        <v>115</v>
      </c>
      <c r="AP121" s="40" t="s">
        <v>115</v>
      </c>
    </row>
    <row r="122" spans="1:42" x14ac:dyDescent="0.15">
      <c r="A122" s="40" t="s">
        <v>1</v>
      </c>
      <c r="B122" s="23">
        <v>90020117</v>
      </c>
      <c r="C122" s="23">
        <v>201</v>
      </c>
      <c r="D122" s="23">
        <v>2</v>
      </c>
      <c r="F122" s="23" t="s">
        <v>1984</v>
      </c>
      <c r="G122" s="23" t="s">
        <v>115</v>
      </c>
      <c r="H122" s="23" t="s">
        <v>1996</v>
      </c>
      <c r="I122" s="23">
        <v>3</v>
      </c>
      <c r="J122" s="40">
        <v>0</v>
      </c>
      <c r="K122" s="40">
        <v>0</v>
      </c>
      <c r="L122" s="40" t="s">
        <v>115</v>
      </c>
      <c r="O122" s="40" t="s">
        <v>115</v>
      </c>
      <c r="Q122" s="40">
        <v>104</v>
      </c>
      <c r="R122" s="40">
        <v>282</v>
      </c>
      <c r="X122" s="40">
        <v>90020118</v>
      </c>
      <c r="Y122" s="40" t="s">
        <v>115</v>
      </c>
      <c r="Z122" s="40" t="s">
        <v>115</v>
      </c>
      <c r="AA122" s="40" t="s">
        <v>115</v>
      </c>
      <c r="AB122" s="40" t="s">
        <v>115</v>
      </c>
      <c r="AC122" s="40" t="s">
        <v>115</v>
      </c>
      <c r="AI122" s="40" t="s">
        <v>115</v>
      </c>
      <c r="AP122" s="40" t="s">
        <v>115</v>
      </c>
    </row>
    <row r="123" spans="1:42" x14ac:dyDescent="0.15">
      <c r="A123" s="40" t="s">
        <v>1</v>
      </c>
      <c r="B123" s="23">
        <v>90020118</v>
      </c>
      <c r="C123" s="23">
        <v>201</v>
      </c>
      <c r="D123" s="23">
        <v>2</v>
      </c>
      <c r="F123" s="23" t="s">
        <v>116</v>
      </c>
      <c r="G123" s="23">
        <v>360</v>
      </c>
      <c r="H123" s="23" t="s">
        <v>1997</v>
      </c>
      <c r="I123" s="23">
        <v>2</v>
      </c>
      <c r="J123" s="40">
        <v>0</v>
      </c>
      <c r="K123" s="40">
        <v>0</v>
      </c>
      <c r="L123" s="40" t="s">
        <v>115</v>
      </c>
      <c r="O123" s="40" t="s">
        <v>115</v>
      </c>
      <c r="Q123" s="40">
        <v>104</v>
      </c>
      <c r="R123" s="40">
        <v>282</v>
      </c>
      <c r="X123" s="40">
        <v>90020119</v>
      </c>
      <c r="Y123" s="40" t="s">
        <v>115</v>
      </c>
      <c r="Z123" s="40" t="s">
        <v>115</v>
      </c>
      <c r="AA123" s="40" t="s">
        <v>115</v>
      </c>
      <c r="AB123" s="40" t="s">
        <v>115</v>
      </c>
      <c r="AC123" s="40" t="s">
        <v>115</v>
      </c>
      <c r="AI123" s="40" t="s">
        <v>115</v>
      </c>
      <c r="AP123" s="4" t="s">
        <v>115</v>
      </c>
    </row>
    <row r="124" spans="1:42" x14ac:dyDescent="0.15">
      <c r="A124" s="40" t="s">
        <v>1</v>
      </c>
      <c r="B124" s="23">
        <v>90020119</v>
      </c>
      <c r="C124" s="23">
        <v>201</v>
      </c>
      <c r="D124" s="23">
        <v>2</v>
      </c>
      <c r="F124" s="23" t="s">
        <v>1984</v>
      </c>
      <c r="G124" s="23" t="s">
        <v>115</v>
      </c>
      <c r="H124" s="23" t="s">
        <v>1998</v>
      </c>
      <c r="I124" s="23">
        <v>3</v>
      </c>
      <c r="J124" s="40">
        <v>0</v>
      </c>
      <c r="K124" s="40">
        <v>0</v>
      </c>
      <c r="L124" s="40" t="s">
        <v>115</v>
      </c>
      <c r="O124" s="40" t="s">
        <v>115</v>
      </c>
      <c r="Q124" s="40">
        <v>104</v>
      </c>
      <c r="R124" s="40">
        <v>282</v>
      </c>
      <c r="X124" s="40">
        <v>90020120</v>
      </c>
      <c r="Y124" s="40" t="s">
        <v>115</v>
      </c>
      <c r="Z124" s="40" t="s">
        <v>115</v>
      </c>
      <c r="AA124" s="40" t="s">
        <v>115</v>
      </c>
      <c r="AB124" s="40" t="s">
        <v>115</v>
      </c>
      <c r="AC124" s="40" t="s">
        <v>115</v>
      </c>
      <c r="AI124" s="40" t="s">
        <v>115</v>
      </c>
      <c r="AP124" s="40" t="s">
        <v>115</v>
      </c>
    </row>
    <row r="125" spans="1:42" x14ac:dyDescent="0.15">
      <c r="A125" s="40" t="s">
        <v>1</v>
      </c>
      <c r="B125" s="23">
        <v>90020120</v>
      </c>
      <c r="C125" s="23">
        <v>201</v>
      </c>
      <c r="D125" s="23">
        <v>2</v>
      </c>
      <c r="F125" s="23" t="s">
        <v>116</v>
      </c>
      <c r="G125" s="23">
        <v>312</v>
      </c>
      <c r="H125" s="23" t="s">
        <v>1999</v>
      </c>
      <c r="I125" s="23">
        <v>0</v>
      </c>
      <c r="J125" s="40">
        <v>0</v>
      </c>
      <c r="K125" s="40">
        <v>2</v>
      </c>
      <c r="L125" s="40" t="s">
        <v>115</v>
      </c>
      <c r="O125" s="40">
        <v>1</v>
      </c>
      <c r="Q125" s="40">
        <v>104</v>
      </c>
      <c r="R125" s="40">
        <v>282</v>
      </c>
      <c r="X125" s="40" t="s">
        <v>115</v>
      </c>
      <c r="Y125" s="40" t="s">
        <v>115</v>
      </c>
      <c r="Z125" s="40">
        <v>1</v>
      </c>
      <c r="AA125" s="40" t="s">
        <v>115</v>
      </c>
      <c r="AB125" s="40" t="s">
        <v>115</v>
      </c>
      <c r="AC125" s="40" t="s">
        <v>115</v>
      </c>
      <c r="AI125" s="40" t="s">
        <v>115</v>
      </c>
      <c r="AP125" s="4" t="s">
        <v>712</v>
      </c>
    </row>
    <row r="126" spans="1:42" x14ac:dyDescent="0.15">
      <c r="A126" s="40" t="s">
        <v>1</v>
      </c>
      <c r="B126" s="23" t="s">
        <v>304</v>
      </c>
      <c r="C126" s="23">
        <v>202</v>
      </c>
      <c r="D126" s="23">
        <v>2</v>
      </c>
      <c r="F126" s="23" t="s">
        <v>115</v>
      </c>
      <c r="G126" s="23" t="s">
        <v>115</v>
      </c>
      <c r="H126" s="23" t="s">
        <v>2000</v>
      </c>
      <c r="I126" s="23">
        <v>4</v>
      </c>
      <c r="J126" s="40">
        <v>1</v>
      </c>
      <c r="K126" s="40">
        <v>1</v>
      </c>
      <c r="L126" s="40" t="s">
        <v>115</v>
      </c>
      <c r="O126" s="40" t="s">
        <v>115</v>
      </c>
      <c r="Q126" s="40">
        <v>192</v>
      </c>
      <c r="R126" s="40" t="s">
        <v>115</v>
      </c>
      <c r="X126" s="40">
        <v>90020202</v>
      </c>
      <c r="Y126" s="40" t="s">
        <v>115</v>
      </c>
      <c r="Z126" s="40" t="s">
        <v>115</v>
      </c>
      <c r="AA126" s="40" t="s">
        <v>115</v>
      </c>
      <c r="AB126" s="40" t="s">
        <v>115</v>
      </c>
      <c r="AC126" s="40" t="s">
        <v>115</v>
      </c>
      <c r="AI126" s="40" t="s">
        <v>115</v>
      </c>
      <c r="AP126" s="4" t="s">
        <v>115</v>
      </c>
    </row>
    <row r="127" spans="1:42" x14ac:dyDescent="0.15">
      <c r="A127" s="40" t="s">
        <v>1</v>
      </c>
      <c r="B127" s="23">
        <v>90020202</v>
      </c>
      <c r="C127" s="23">
        <v>202</v>
      </c>
      <c r="D127" s="23">
        <v>2</v>
      </c>
      <c r="F127" s="23" t="s">
        <v>2001</v>
      </c>
      <c r="G127" s="23" t="s">
        <v>115</v>
      </c>
      <c r="H127" s="23" t="s">
        <v>2002</v>
      </c>
      <c r="I127" s="23">
        <v>3</v>
      </c>
      <c r="J127" s="40">
        <v>0</v>
      </c>
      <c r="K127" s="40">
        <v>0</v>
      </c>
      <c r="L127" s="40" t="s">
        <v>115</v>
      </c>
      <c r="O127" s="40" t="s">
        <v>115</v>
      </c>
      <c r="Q127" s="40">
        <v>192</v>
      </c>
      <c r="R127" s="40">
        <v>245</v>
      </c>
      <c r="X127" s="40">
        <v>90020203</v>
      </c>
      <c r="Y127" s="40" t="s">
        <v>115</v>
      </c>
      <c r="Z127" s="40" t="s">
        <v>115</v>
      </c>
      <c r="AA127" s="40" t="s">
        <v>115</v>
      </c>
      <c r="AB127" s="40" t="s">
        <v>115</v>
      </c>
      <c r="AC127" s="40" t="s">
        <v>115</v>
      </c>
      <c r="AI127" s="40" t="s">
        <v>115</v>
      </c>
      <c r="AP127" s="4" t="s">
        <v>115</v>
      </c>
    </row>
    <row r="128" spans="1:42" x14ac:dyDescent="0.15">
      <c r="A128" s="40" t="s">
        <v>1</v>
      </c>
      <c r="B128" s="23">
        <v>90020203</v>
      </c>
      <c r="C128" s="23">
        <v>202</v>
      </c>
      <c r="D128" s="23">
        <v>2</v>
      </c>
      <c r="F128" s="23" t="s">
        <v>115</v>
      </c>
      <c r="G128" s="23" t="s">
        <v>115</v>
      </c>
      <c r="H128" s="23" t="s">
        <v>2003</v>
      </c>
      <c r="I128" s="23">
        <v>4</v>
      </c>
      <c r="J128" s="40">
        <v>0</v>
      </c>
      <c r="K128" s="40">
        <v>2</v>
      </c>
      <c r="L128" s="40" t="s">
        <v>115</v>
      </c>
      <c r="O128" s="40" t="s">
        <v>115</v>
      </c>
      <c r="Q128" s="40">
        <v>192</v>
      </c>
      <c r="R128" s="40">
        <v>245</v>
      </c>
      <c r="X128" s="40" t="s">
        <v>326</v>
      </c>
      <c r="Y128" s="40">
        <v>1</v>
      </c>
      <c r="Z128" s="40">
        <v>1</v>
      </c>
      <c r="AA128" s="40" t="s">
        <v>115</v>
      </c>
      <c r="AB128" s="40" t="s">
        <v>115</v>
      </c>
      <c r="AC128" s="40" t="s">
        <v>115</v>
      </c>
      <c r="AI128" s="40" t="s">
        <v>115</v>
      </c>
      <c r="AP128" s="4" t="s">
        <v>115</v>
      </c>
    </row>
    <row r="129" spans="1:42" x14ac:dyDescent="0.15">
      <c r="A129" s="40" t="s">
        <v>1</v>
      </c>
      <c r="B129" s="23">
        <v>90020204</v>
      </c>
      <c r="C129" s="23">
        <v>202</v>
      </c>
      <c r="D129" s="23">
        <v>2</v>
      </c>
      <c r="F129" s="23" t="s">
        <v>115</v>
      </c>
      <c r="G129" s="23" t="s">
        <v>115</v>
      </c>
      <c r="H129" s="23" t="s">
        <v>2004</v>
      </c>
      <c r="I129" s="23">
        <v>4</v>
      </c>
      <c r="J129" s="40">
        <v>0</v>
      </c>
      <c r="K129" s="40">
        <v>3</v>
      </c>
      <c r="L129" s="40" t="s">
        <v>115</v>
      </c>
      <c r="O129" s="40" t="s">
        <v>115</v>
      </c>
      <c r="Q129" s="40">
        <v>192</v>
      </c>
      <c r="R129" s="40">
        <v>245</v>
      </c>
      <c r="X129" s="40">
        <v>90020206</v>
      </c>
      <c r="Y129" s="40">
        <v>-1</v>
      </c>
      <c r="Z129" s="40">
        <v>2</v>
      </c>
      <c r="AA129" s="40" t="s">
        <v>115</v>
      </c>
      <c r="AB129" s="40" t="s">
        <v>115</v>
      </c>
      <c r="AC129" s="40" t="s">
        <v>328</v>
      </c>
      <c r="AI129" s="40" t="s">
        <v>115</v>
      </c>
      <c r="AP129" s="4" t="s">
        <v>115</v>
      </c>
    </row>
    <row r="130" spans="1:42" x14ac:dyDescent="0.15">
      <c r="A130" s="40" t="s">
        <v>1</v>
      </c>
      <c r="B130" s="23">
        <v>90020205</v>
      </c>
      <c r="C130" s="23">
        <v>202</v>
      </c>
      <c r="D130" s="23">
        <v>2</v>
      </c>
      <c r="F130" s="23" t="s">
        <v>115</v>
      </c>
      <c r="G130" s="23" t="s">
        <v>115</v>
      </c>
      <c r="H130" s="23" t="s">
        <v>2005</v>
      </c>
      <c r="I130" s="23">
        <v>4</v>
      </c>
      <c r="J130" s="40">
        <v>0</v>
      </c>
      <c r="K130" s="40">
        <v>4</v>
      </c>
      <c r="L130" s="40" t="s">
        <v>115</v>
      </c>
      <c r="O130" s="40" t="s">
        <v>115</v>
      </c>
      <c r="Q130" s="40">
        <v>192</v>
      </c>
      <c r="R130" s="40">
        <v>245</v>
      </c>
      <c r="X130" s="40">
        <v>90020208</v>
      </c>
      <c r="Y130" s="40">
        <v>-1</v>
      </c>
      <c r="Z130" s="40">
        <v>2</v>
      </c>
      <c r="AA130" s="40" t="s">
        <v>115</v>
      </c>
      <c r="AB130" s="40" t="s">
        <v>115</v>
      </c>
      <c r="AC130" s="40" t="s">
        <v>115</v>
      </c>
      <c r="AI130" s="40" t="s">
        <v>115</v>
      </c>
      <c r="AP130" s="4" t="s">
        <v>115</v>
      </c>
    </row>
    <row r="131" spans="1:42" x14ac:dyDescent="0.15">
      <c r="A131" s="40" t="s">
        <v>1</v>
      </c>
      <c r="B131" s="23">
        <v>90020206</v>
      </c>
      <c r="C131" s="23">
        <v>202</v>
      </c>
      <c r="D131" s="23">
        <v>2</v>
      </c>
      <c r="F131" s="23" t="s">
        <v>116</v>
      </c>
      <c r="G131" s="23">
        <v>312</v>
      </c>
      <c r="H131" s="23" t="s">
        <v>2006</v>
      </c>
      <c r="I131" s="23">
        <v>0</v>
      </c>
      <c r="J131" s="40">
        <v>0</v>
      </c>
      <c r="K131" s="40">
        <v>0</v>
      </c>
      <c r="L131" s="40" t="s">
        <v>115</v>
      </c>
      <c r="O131" s="40" t="s">
        <v>115</v>
      </c>
      <c r="Q131" s="40">
        <v>192</v>
      </c>
      <c r="R131" s="40">
        <v>245</v>
      </c>
      <c r="X131" s="40">
        <v>90020207</v>
      </c>
      <c r="Y131" s="40" t="s">
        <v>115</v>
      </c>
      <c r="Z131" s="40" t="s">
        <v>115</v>
      </c>
      <c r="AA131" s="40" t="s">
        <v>115</v>
      </c>
      <c r="AB131" s="40" t="s">
        <v>115</v>
      </c>
      <c r="AC131" s="40" t="s">
        <v>115</v>
      </c>
      <c r="AI131" s="40" t="s">
        <v>115</v>
      </c>
      <c r="AP131" s="4" t="s">
        <v>115</v>
      </c>
    </row>
    <row r="132" spans="1:42" x14ac:dyDescent="0.15">
      <c r="A132" s="40" t="s">
        <v>1</v>
      </c>
      <c r="B132" s="23">
        <v>90020207</v>
      </c>
      <c r="C132" s="23">
        <v>202</v>
      </c>
      <c r="D132" s="23">
        <v>2</v>
      </c>
      <c r="F132" s="23" t="s">
        <v>2001</v>
      </c>
      <c r="G132" s="23" t="s">
        <v>115</v>
      </c>
      <c r="H132" s="23" t="s">
        <v>2007</v>
      </c>
      <c r="I132" s="23">
        <v>3</v>
      </c>
      <c r="J132" s="40">
        <v>0</v>
      </c>
      <c r="K132" s="40">
        <v>0</v>
      </c>
      <c r="L132" s="40" t="s">
        <v>115</v>
      </c>
      <c r="O132" s="40" t="s">
        <v>115</v>
      </c>
      <c r="Q132" s="40">
        <v>192</v>
      </c>
      <c r="R132" s="40">
        <v>245</v>
      </c>
      <c r="X132" s="40">
        <v>90020211</v>
      </c>
      <c r="Y132" s="40" t="s">
        <v>115</v>
      </c>
      <c r="Z132" s="40" t="s">
        <v>115</v>
      </c>
      <c r="AA132" s="40" t="s">
        <v>115</v>
      </c>
      <c r="AB132" s="40" t="s">
        <v>115</v>
      </c>
      <c r="AC132" s="40" t="s">
        <v>115</v>
      </c>
      <c r="AI132" s="40" t="s">
        <v>115</v>
      </c>
      <c r="AP132" s="4" t="s">
        <v>115</v>
      </c>
    </row>
    <row r="133" spans="1:42" x14ac:dyDescent="0.15">
      <c r="A133" s="40" t="s">
        <v>1</v>
      </c>
      <c r="B133" s="23">
        <v>90020208</v>
      </c>
      <c r="C133" s="23">
        <v>202</v>
      </c>
      <c r="D133" s="23">
        <v>2</v>
      </c>
      <c r="F133" s="23" t="s">
        <v>116</v>
      </c>
      <c r="G133" s="23">
        <v>312</v>
      </c>
      <c r="H133" s="23" t="s">
        <v>2008</v>
      </c>
      <c r="I133" s="23">
        <v>0</v>
      </c>
      <c r="J133" s="40">
        <v>0</v>
      </c>
      <c r="K133" s="40">
        <v>0</v>
      </c>
      <c r="L133" s="40" t="s">
        <v>115</v>
      </c>
      <c r="O133" s="40" t="s">
        <v>115</v>
      </c>
      <c r="Q133" s="40">
        <v>192</v>
      </c>
      <c r="R133" s="40">
        <v>245</v>
      </c>
      <c r="X133" s="40">
        <v>90020209</v>
      </c>
      <c r="Y133" s="40" t="s">
        <v>115</v>
      </c>
      <c r="Z133" s="40" t="s">
        <v>115</v>
      </c>
      <c r="AA133" s="40" t="s">
        <v>115</v>
      </c>
      <c r="AB133" s="40" t="s">
        <v>115</v>
      </c>
      <c r="AC133" s="40" t="s">
        <v>115</v>
      </c>
      <c r="AI133" s="40" t="s">
        <v>115</v>
      </c>
      <c r="AP133" s="4" t="s">
        <v>115</v>
      </c>
    </row>
    <row r="134" spans="1:42" x14ac:dyDescent="0.15">
      <c r="A134" s="40" t="s">
        <v>1</v>
      </c>
      <c r="B134" s="23">
        <v>90020209</v>
      </c>
      <c r="C134" s="23">
        <v>202</v>
      </c>
      <c r="D134" s="23">
        <v>2</v>
      </c>
      <c r="F134" s="23" t="s">
        <v>2001</v>
      </c>
      <c r="G134" s="23" t="s">
        <v>115</v>
      </c>
      <c r="H134" s="23" t="s">
        <v>2009</v>
      </c>
      <c r="I134" s="23">
        <v>3</v>
      </c>
      <c r="J134" s="40">
        <v>0</v>
      </c>
      <c r="K134" s="40">
        <v>0</v>
      </c>
      <c r="L134" s="40" t="s">
        <v>115</v>
      </c>
      <c r="O134" s="40" t="s">
        <v>115</v>
      </c>
      <c r="Q134" s="40">
        <v>192</v>
      </c>
      <c r="R134" s="40">
        <v>245</v>
      </c>
      <c r="X134" s="40">
        <v>90020210</v>
      </c>
      <c r="Y134" s="40" t="s">
        <v>115</v>
      </c>
      <c r="Z134" s="40" t="s">
        <v>115</v>
      </c>
      <c r="AA134" s="40" t="s">
        <v>115</v>
      </c>
      <c r="AB134" s="40" t="s">
        <v>115</v>
      </c>
      <c r="AC134" s="40" t="s">
        <v>115</v>
      </c>
      <c r="AI134" s="40" t="s">
        <v>115</v>
      </c>
      <c r="AP134" s="4" t="s">
        <v>115</v>
      </c>
    </row>
    <row r="135" spans="1:42" x14ac:dyDescent="0.15">
      <c r="A135" s="40" t="s">
        <v>1</v>
      </c>
      <c r="B135" s="23">
        <v>90020210</v>
      </c>
      <c r="C135" s="23">
        <v>202</v>
      </c>
      <c r="D135" s="23">
        <v>2</v>
      </c>
      <c r="F135" s="23" t="s">
        <v>2001</v>
      </c>
      <c r="G135" s="23" t="s">
        <v>115</v>
      </c>
      <c r="H135" s="23" t="s">
        <v>2010</v>
      </c>
      <c r="I135" s="23">
        <v>3</v>
      </c>
      <c r="J135" s="40">
        <v>0</v>
      </c>
      <c r="K135" s="40">
        <v>0</v>
      </c>
      <c r="L135" s="40" t="s">
        <v>115</v>
      </c>
      <c r="O135" s="40" t="s">
        <v>115</v>
      </c>
      <c r="Q135" s="40">
        <v>192</v>
      </c>
      <c r="R135" s="40">
        <v>245</v>
      </c>
      <c r="X135" s="40">
        <v>90020203</v>
      </c>
      <c r="Y135" s="40" t="s">
        <v>115</v>
      </c>
      <c r="Z135" s="40" t="s">
        <v>115</v>
      </c>
      <c r="AA135" s="40" t="s">
        <v>115</v>
      </c>
      <c r="AB135" s="40" t="s">
        <v>115</v>
      </c>
      <c r="AC135" s="40" t="s">
        <v>115</v>
      </c>
      <c r="AI135" s="40" t="s">
        <v>115</v>
      </c>
      <c r="AP135" s="4" t="s">
        <v>115</v>
      </c>
    </row>
    <row r="136" spans="1:42" x14ac:dyDescent="0.15">
      <c r="A136" s="40" t="s">
        <v>1</v>
      </c>
      <c r="B136" s="23">
        <v>90020211</v>
      </c>
      <c r="C136" s="23">
        <v>202</v>
      </c>
      <c r="D136" s="23">
        <v>2</v>
      </c>
      <c r="F136" s="23" t="s">
        <v>115</v>
      </c>
      <c r="G136" s="23" t="s">
        <v>115</v>
      </c>
      <c r="H136" s="23" t="s">
        <v>2011</v>
      </c>
      <c r="I136" s="23">
        <v>4</v>
      </c>
      <c r="J136" s="40">
        <v>0</v>
      </c>
      <c r="K136" s="40">
        <v>0</v>
      </c>
      <c r="L136" s="40" t="s">
        <v>115</v>
      </c>
      <c r="O136" s="40" t="s">
        <v>115</v>
      </c>
      <c r="Q136" s="40">
        <v>192</v>
      </c>
      <c r="R136" s="40" t="s">
        <v>115</v>
      </c>
      <c r="X136" s="40">
        <v>90020212</v>
      </c>
      <c r="Y136" s="40" t="s">
        <v>115</v>
      </c>
      <c r="Z136" s="40" t="s">
        <v>115</v>
      </c>
      <c r="AA136" s="40" t="s">
        <v>115</v>
      </c>
      <c r="AB136" s="40" t="s">
        <v>115</v>
      </c>
      <c r="AC136" s="40" t="s">
        <v>115</v>
      </c>
      <c r="AI136" s="40" t="s">
        <v>115</v>
      </c>
      <c r="AP136" s="4" t="s">
        <v>115</v>
      </c>
    </row>
    <row r="137" spans="1:42" x14ac:dyDescent="0.15">
      <c r="A137" s="40" t="s">
        <v>1</v>
      </c>
      <c r="B137" s="23">
        <v>90020212</v>
      </c>
      <c r="C137" s="23">
        <v>202</v>
      </c>
      <c r="D137" s="23">
        <v>2</v>
      </c>
      <c r="F137" s="23" t="s">
        <v>2001</v>
      </c>
      <c r="G137" s="23" t="s">
        <v>115</v>
      </c>
      <c r="H137" s="23" t="s">
        <v>2012</v>
      </c>
      <c r="I137" s="23">
        <v>3</v>
      </c>
      <c r="J137" s="40">
        <v>0</v>
      </c>
      <c r="K137" s="40">
        <v>0</v>
      </c>
      <c r="L137" s="40" t="s">
        <v>115</v>
      </c>
      <c r="O137" s="40" t="s">
        <v>115</v>
      </c>
      <c r="Q137" s="40">
        <v>192</v>
      </c>
      <c r="R137" s="40">
        <v>245</v>
      </c>
      <c r="X137" s="40">
        <v>90020213</v>
      </c>
      <c r="Y137" s="40" t="s">
        <v>115</v>
      </c>
      <c r="Z137" s="40" t="s">
        <v>115</v>
      </c>
      <c r="AA137" s="40" t="s">
        <v>115</v>
      </c>
      <c r="AB137" s="40" t="s">
        <v>115</v>
      </c>
      <c r="AC137" s="40" t="s">
        <v>115</v>
      </c>
      <c r="AI137" s="40" t="s">
        <v>115</v>
      </c>
      <c r="AP137" s="4" t="s">
        <v>115</v>
      </c>
    </row>
    <row r="138" spans="1:42" x14ac:dyDescent="0.15">
      <c r="A138" s="40" t="s">
        <v>1</v>
      </c>
      <c r="B138" s="23">
        <v>90020213</v>
      </c>
      <c r="C138" s="23">
        <v>202</v>
      </c>
      <c r="D138" s="23">
        <v>2</v>
      </c>
      <c r="F138" s="23" t="s">
        <v>116</v>
      </c>
      <c r="G138" s="23">
        <v>360</v>
      </c>
      <c r="H138" s="23" t="s">
        <v>2013</v>
      </c>
      <c r="I138" s="23">
        <v>0</v>
      </c>
      <c r="J138" s="40">
        <v>0</v>
      </c>
      <c r="K138" s="40">
        <v>0</v>
      </c>
      <c r="L138" s="40" t="s">
        <v>115</v>
      </c>
      <c r="O138" s="40" t="s">
        <v>115</v>
      </c>
      <c r="Q138" s="40">
        <v>192</v>
      </c>
      <c r="R138" s="40">
        <v>245</v>
      </c>
      <c r="X138" s="40">
        <v>90020214</v>
      </c>
      <c r="Y138" s="40" t="s">
        <v>115</v>
      </c>
      <c r="Z138" s="40" t="s">
        <v>115</v>
      </c>
      <c r="AA138" s="40" t="s">
        <v>115</v>
      </c>
      <c r="AB138" s="40" t="s">
        <v>115</v>
      </c>
      <c r="AC138" s="40" t="s">
        <v>115</v>
      </c>
      <c r="AI138" s="40" t="s">
        <v>115</v>
      </c>
      <c r="AP138" s="4" t="s">
        <v>115</v>
      </c>
    </row>
    <row r="139" spans="1:42" x14ac:dyDescent="0.15">
      <c r="A139" s="40" t="s">
        <v>1</v>
      </c>
      <c r="B139" s="23">
        <v>90020214</v>
      </c>
      <c r="C139" s="23">
        <v>202</v>
      </c>
      <c r="D139" s="23">
        <v>2</v>
      </c>
      <c r="F139" s="23" t="s">
        <v>2001</v>
      </c>
      <c r="G139" s="23" t="s">
        <v>115</v>
      </c>
      <c r="H139" s="23" t="s">
        <v>2014</v>
      </c>
      <c r="I139" s="23">
        <v>3</v>
      </c>
      <c r="J139" s="40">
        <v>0</v>
      </c>
      <c r="K139" s="40">
        <v>0</v>
      </c>
      <c r="L139" s="40" t="s">
        <v>115</v>
      </c>
      <c r="O139" s="40" t="s">
        <v>115</v>
      </c>
      <c r="Q139" s="40">
        <v>192</v>
      </c>
      <c r="R139" s="40">
        <v>245</v>
      </c>
      <c r="X139" s="40">
        <v>90020215</v>
      </c>
      <c r="Y139" s="40" t="s">
        <v>115</v>
      </c>
      <c r="Z139" s="40" t="s">
        <v>115</v>
      </c>
      <c r="AA139" s="40" t="s">
        <v>115</v>
      </c>
      <c r="AB139" s="40" t="s">
        <v>115</v>
      </c>
      <c r="AC139" s="40" t="s">
        <v>115</v>
      </c>
      <c r="AI139" s="40" t="s">
        <v>115</v>
      </c>
      <c r="AP139" s="4" t="s">
        <v>115</v>
      </c>
    </row>
    <row r="140" spans="1:42" x14ac:dyDescent="0.15">
      <c r="A140" s="40" t="s">
        <v>1</v>
      </c>
      <c r="B140" s="23">
        <v>90020215</v>
      </c>
      <c r="C140" s="23">
        <v>202</v>
      </c>
      <c r="D140" s="23">
        <v>2</v>
      </c>
      <c r="F140" s="23" t="s">
        <v>2001</v>
      </c>
      <c r="G140" s="23" t="s">
        <v>115</v>
      </c>
      <c r="H140" s="23" t="s">
        <v>2015</v>
      </c>
      <c r="I140" s="23">
        <v>3</v>
      </c>
      <c r="J140" s="40">
        <v>0</v>
      </c>
      <c r="K140" s="40">
        <v>0</v>
      </c>
      <c r="L140" s="40" t="s">
        <v>115</v>
      </c>
      <c r="O140" s="40" t="s">
        <v>115</v>
      </c>
      <c r="Q140" s="40">
        <v>192</v>
      </c>
      <c r="R140" s="40">
        <v>245</v>
      </c>
      <c r="X140" s="40">
        <v>90020216</v>
      </c>
      <c r="Y140" s="40" t="s">
        <v>115</v>
      </c>
      <c r="Z140" s="40" t="s">
        <v>115</v>
      </c>
      <c r="AA140" s="40" t="s">
        <v>115</v>
      </c>
      <c r="AB140" s="40" t="s">
        <v>115</v>
      </c>
      <c r="AC140" s="40" t="s">
        <v>115</v>
      </c>
      <c r="AI140" s="40" t="s">
        <v>115</v>
      </c>
      <c r="AP140" s="4" t="s">
        <v>115</v>
      </c>
    </row>
    <row r="141" spans="1:42" x14ac:dyDescent="0.15">
      <c r="A141" s="40" t="s">
        <v>1</v>
      </c>
      <c r="B141" s="23">
        <v>90020216</v>
      </c>
      <c r="C141" s="23">
        <v>202</v>
      </c>
      <c r="D141" s="23">
        <v>2</v>
      </c>
      <c r="F141" s="23" t="s">
        <v>2001</v>
      </c>
      <c r="G141" s="23" t="s">
        <v>115</v>
      </c>
      <c r="H141" s="23" t="s">
        <v>2016</v>
      </c>
      <c r="I141" s="23">
        <v>3</v>
      </c>
      <c r="J141" s="40">
        <v>0</v>
      </c>
      <c r="K141" s="40">
        <v>0</v>
      </c>
      <c r="L141" s="40" t="s">
        <v>115</v>
      </c>
      <c r="O141" s="40" t="s">
        <v>115</v>
      </c>
      <c r="Q141" s="40">
        <v>192</v>
      </c>
      <c r="R141" s="40">
        <v>245</v>
      </c>
      <c r="X141" s="40">
        <v>90020217</v>
      </c>
      <c r="Y141" s="40" t="s">
        <v>115</v>
      </c>
      <c r="Z141" s="40" t="s">
        <v>115</v>
      </c>
      <c r="AA141" s="40" t="s">
        <v>115</v>
      </c>
      <c r="AB141" s="40" t="s">
        <v>115</v>
      </c>
      <c r="AC141" s="40" t="s">
        <v>115</v>
      </c>
      <c r="AI141" s="40" t="s">
        <v>115</v>
      </c>
      <c r="AP141" s="4" t="s">
        <v>115</v>
      </c>
    </row>
    <row r="142" spans="1:42" x14ac:dyDescent="0.15">
      <c r="A142" s="40" t="s">
        <v>1</v>
      </c>
      <c r="B142" s="23">
        <v>90020217</v>
      </c>
      <c r="C142" s="23">
        <v>202</v>
      </c>
      <c r="D142" s="23">
        <v>2</v>
      </c>
      <c r="F142" s="23" t="s">
        <v>2001</v>
      </c>
      <c r="G142" s="23" t="s">
        <v>115</v>
      </c>
      <c r="H142" s="23" t="s">
        <v>2017</v>
      </c>
      <c r="I142" s="23">
        <v>3</v>
      </c>
      <c r="J142" s="40">
        <v>0</v>
      </c>
      <c r="K142" s="40">
        <v>0</v>
      </c>
      <c r="L142" s="40" t="s">
        <v>115</v>
      </c>
      <c r="O142" s="40" t="s">
        <v>115</v>
      </c>
      <c r="Q142" s="40">
        <v>192</v>
      </c>
      <c r="R142" s="40">
        <v>245</v>
      </c>
      <c r="X142" s="40">
        <v>90020218</v>
      </c>
      <c r="Y142" s="40" t="s">
        <v>115</v>
      </c>
      <c r="Z142" s="40" t="s">
        <v>115</v>
      </c>
      <c r="AA142" s="40" t="s">
        <v>115</v>
      </c>
      <c r="AB142" s="40" t="s">
        <v>115</v>
      </c>
      <c r="AC142" s="40" t="s">
        <v>115</v>
      </c>
      <c r="AI142" s="40" t="s">
        <v>115</v>
      </c>
      <c r="AP142" s="4" t="s">
        <v>115</v>
      </c>
    </row>
    <row r="143" spans="1:42" x14ac:dyDescent="0.15">
      <c r="A143" s="40" t="s">
        <v>1</v>
      </c>
      <c r="B143" s="23">
        <v>90020218</v>
      </c>
      <c r="C143" s="23">
        <v>202</v>
      </c>
      <c r="D143" s="23">
        <v>2</v>
      </c>
      <c r="F143" s="23" t="s">
        <v>115</v>
      </c>
      <c r="G143" s="23" t="s">
        <v>115</v>
      </c>
      <c r="H143" s="23" t="s">
        <v>2018</v>
      </c>
      <c r="I143" s="23">
        <v>4</v>
      </c>
      <c r="J143" s="40">
        <v>0</v>
      </c>
      <c r="K143" s="40">
        <v>0</v>
      </c>
      <c r="L143" s="40" t="s">
        <v>115</v>
      </c>
      <c r="O143" s="40" t="s">
        <v>115</v>
      </c>
      <c r="Q143" s="40">
        <v>192</v>
      </c>
      <c r="R143" s="40">
        <v>245</v>
      </c>
      <c r="X143" s="40">
        <v>90020219</v>
      </c>
      <c r="Y143" s="40" t="s">
        <v>115</v>
      </c>
      <c r="Z143" s="40" t="s">
        <v>115</v>
      </c>
      <c r="AA143" s="40" t="s">
        <v>115</v>
      </c>
      <c r="AB143" s="40" t="s">
        <v>115</v>
      </c>
      <c r="AC143" s="40" t="s">
        <v>115</v>
      </c>
      <c r="AI143" s="40" t="s">
        <v>115</v>
      </c>
      <c r="AP143" s="4" t="s">
        <v>115</v>
      </c>
    </row>
    <row r="144" spans="1:42" x14ac:dyDescent="0.15">
      <c r="A144" s="40" t="s">
        <v>1</v>
      </c>
      <c r="B144" s="23">
        <v>90020219</v>
      </c>
      <c r="C144" s="23">
        <v>202</v>
      </c>
      <c r="D144" s="23">
        <v>2</v>
      </c>
      <c r="F144" s="23" t="s">
        <v>116</v>
      </c>
      <c r="G144" s="23">
        <v>312</v>
      </c>
      <c r="H144" s="23" t="s">
        <v>2019</v>
      </c>
      <c r="I144" s="23">
        <v>2</v>
      </c>
      <c r="J144" s="40">
        <v>0</v>
      </c>
      <c r="K144" s="40">
        <v>5</v>
      </c>
      <c r="L144" s="40" t="s">
        <v>115</v>
      </c>
      <c r="O144" s="40">
        <v>1</v>
      </c>
      <c r="Q144" s="40">
        <v>192</v>
      </c>
      <c r="R144" s="40" t="s">
        <v>115</v>
      </c>
      <c r="X144" s="40" t="s">
        <v>115</v>
      </c>
      <c r="Y144" s="40" t="s">
        <v>115</v>
      </c>
      <c r="Z144" s="40">
        <v>4</v>
      </c>
      <c r="AA144" s="40" t="s">
        <v>115</v>
      </c>
      <c r="AB144" s="40" t="s">
        <v>115</v>
      </c>
      <c r="AC144" s="40" t="s">
        <v>115</v>
      </c>
      <c r="AI144" s="40" t="s">
        <v>115</v>
      </c>
      <c r="AP144" s="4" t="s">
        <v>720</v>
      </c>
    </row>
    <row r="145" spans="1:42" x14ac:dyDescent="0.15">
      <c r="A145" s="40" t="s">
        <v>1</v>
      </c>
      <c r="B145" s="23" t="s">
        <v>305</v>
      </c>
      <c r="C145" s="23">
        <v>203</v>
      </c>
      <c r="D145" s="23">
        <v>2</v>
      </c>
      <c r="F145" s="23" t="s">
        <v>115</v>
      </c>
      <c r="G145" s="23" t="s">
        <v>115</v>
      </c>
      <c r="H145" s="23" t="s">
        <v>2020</v>
      </c>
      <c r="I145" s="23">
        <v>4</v>
      </c>
      <c r="J145" s="40">
        <v>1</v>
      </c>
      <c r="K145" s="40">
        <v>1</v>
      </c>
      <c r="L145" s="40" t="s">
        <v>115</v>
      </c>
      <c r="O145" s="40" t="s">
        <v>115</v>
      </c>
      <c r="Q145" s="40">
        <v>205</v>
      </c>
      <c r="R145" s="40" t="s">
        <v>115</v>
      </c>
      <c r="X145" s="40">
        <v>90020302</v>
      </c>
      <c r="Y145" s="40" t="s">
        <v>115</v>
      </c>
      <c r="Z145" s="40" t="s">
        <v>115</v>
      </c>
      <c r="AA145" s="40" t="s">
        <v>115</v>
      </c>
      <c r="AB145" s="40" t="s">
        <v>115</v>
      </c>
      <c r="AC145" s="40" t="s">
        <v>115</v>
      </c>
      <c r="AI145" s="40" t="s">
        <v>115</v>
      </c>
      <c r="AP145" s="40" t="s">
        <v>115</v>
      </c>
    </row>
    <row r="146" spans="1:42" x14ac:dyDescent="0.15">
      <c r="A146" s="40" t="s">
        <v>1</v>
      </c>
      <c r="B146" s="23">
        <v>90020302</v>
      </c>
      <c r="C146" s="23">
        <v>203</v>
      </c>
      <c r="D146" s="23">
        <v>2</v>
      </c>
      <c r="F146" s="23" t="s">
        <v>115</v>
      </c>
      <c r="G146" s="23" t="s">
        <v>115</v>
      </c>
      <c r="H146" s="23" t="s">
        <v>2021</v>
      </c>
      <c r="I146" s="23">
        <v>4</v>
      </c>
      <c r="J146" s="40">
        <v>0</v>
      </c>
      <c r="K146" s="40">
        <v>0</v>
      </c>
      <c r="L146" s="40" t="s">
        <v>115</v>
      </c>
      <c r="O146" s="40" t="s">
        <v>115</v>
      </c>
      <c r="Q146" s="40">
        <v>205</v>
      </c>
      <c r="R146" s="40">
        <v>100</v>
      </c>
      <c r="X146" s="40">
        <v>90020303</v>
      </c>
      <c r="Y146" s="40" t="s">
        <v>115</v>
      </c>
      <c r="Z146" s="40" t="s">
        <v>115</v>
      </c>
      <c r="AA146" s="40" t="s">
        <v>115</v>
      </c>
      <c r="AB146" s="40" t="s">
        <v>115</v>
      </c>
      <c r="AC146" s="40" t="s">
        <v>115</v>
      </c>
      <c r="AI146" s="40" t="s">
        <v>115</v>
      </c>
      <c r="AP146" s="4" t="s">
        <v>115</v>
      </c>
    </row>
    <row r="147" spans="1:42" x14ac:dyDescent="0.15">
      <c r="A147" s="40" t="s">
        <v>1</v>
      </c>
      <c r="B147" s="23">
        <v>90020303</v>
      </c>
      <c r="C147" s="23">
        <v>203</v>
      </c>
      <c r="D147" s="23">
        <v>2</v>
      </c>
      <c r="F147" s="23" t="s">
        <v>116</v>
      </c>
      <c r="G147" s="23">
        <v>313</v>
      </c>
      <c r="H147" s="23" t="s">
        <v>2022</v>
      </c>
      <c r="I147" s="23">
        <v>0</v>
      </c>
      <c r="J147" s="40">
        <v>0</v>
      </c>
      <c r="K147" s="40">
        <v>0</v>
      </c>
      <c r="L147" s="40" t="s">
        <v>115</v>
      </c>
      <c r="O147" s="40" t="s">
        <v>115</v>
      </c>
      <c r="Q147" s="40">
        <v>205</v>
      </c>
      <c r="R147" s="40">
        <v>100</v>
      </c>
      <c r="X147" s="40">
        <v>90020304</v>
      </c>
      <c r="Y147" s="40" t="s">
        <v>115</v>
      </c>
      <c r="Z147" s="40" t="s">
        <v>115</v>
      </c>
      <c r="AA147" s="40" t="s">
        <v>115</v>
      </c>
      <c r="AB147" s="40" t="s">
        <v>115</v>
      </c>
      <c r="AC147" s="40" t="s">
        <v>115</v>
      </c>
      <c r="AI147" s="40" t="s">
        <v>115</v>
      </c>
      <c r="AP147" s="4" t="s">
        <v>115</v>
      </c>
    </row>
    <row r="148" spans="1:42" x14ac:dyDescent="0.15">
      <c r="A148" s="40" t="s">
        <v>1</v>
      </c>
      <c r="B148" s="23">
        <v>90020304</v>
      </c>
      <c r="C148" s="23">
        <v>203</v>
      </c>
      <c r="D148" s="23">
        <v>2</v>
      </c>
      <c r="F148" s="23" t="s">
        <v>2023</v>
      </c>
      <c r="G148" s="23" t="s">
        <v>115</v>
      </c>
      <c r="H148" s="23" t="s">
        <v>2024</v>
      </c>
      <c r="I148" s="23">
        <v>3</v>
      </c>
      <c r="J148" s="40">
        <v>0</v>
      </c>
      <c r="K148" s="40">
        <v>0</v>
      </c>
      <c r="L148" s="40" t="s">
        <v>115</v>
      </c>
      <c r="O148" s="40" t="s">
        <v>115</v>
      </c>
      <c r="Q148" s="40">
        <v>205</v>
      </c>
      <c r="R148" s="40">
        <v>100</v>
      </c>
      <c r="X148" s="40">
        <v>90020305</v>
      </c>
      <c r="Y148" s="40" t="s">
        <v>115</v>
      </c>
      <c r="Z148" s="40" t="s">
        <v>115</v>
      </c>
      <c r="AA148" s="40" t="s">
        <v>115</v>
      </c>
      <c r="AB148" s="40" t="s">
        <v>115</v>
      </c>
      <c r="AC148" s="40" t="s">
        <v>115</v>
      </c>
      <c r="AI148" s="40" t="s">
        <v>115</v>
      </c>
      <c r="AP148" s="4" t="s">
        <v>115</v>
      </c>
    </row>
    <row r="149" spans="1:42" x14ac:dyDescent="0.15">
      <c r="A149" s="40" t="s">
        <v>1</v>
      </c>
      <c r="B149" s="23">
        <v>90020305</v>
      </c>
      <c r="C149" s="23">
        <v>203</v>
      </c>
      <c r="D149" s="23">
        <v>2</v>
      </c>
      <c r="F149" s="23" t="s">
        <v>116</v>
      </c>
      <c r="G149" s="23">
        <v>313</v>
      </c>
      <c r="H149" s="23" t="s">
        <v>2025</v>
      </c>
      <c r="I149" s="23">
        <v>0</v>
      </c>
      <c r="J149" s="40">
        <v>0</v>
      </c>
      <c r="K149" s="40">
        <v>0</v>
      </c>
      <c r="L149" s="40" t="s">
        <v>115</v>
      </c>
      <c r="O149" s="40" t="s">
        <v>115</v>
      </c>
      <c r="Q149" s="40">
        <v>205</v>
      </c>
      <c r="R149" s="40">
        <v>100</v>
      </c>
      <c r="X149" s="40">
        <v>90020306</v>
      </c>
      <c r="Y149" s="40" t="s">
        <v>115</v>
      </c>
      <c r="Z149" s="40" t="s">
        <v>115</v>
      </c>
      <c r="AA149" s="40" t="s">
        <v>115</v>
      </c>
      <c r="AB149" s="40" t="s">
        <v>115</v>
      </c>
      <c r="AC149" s="40" t="s">
        <v>115</v>
      </c>
      <c r="AI149" s="40" t="s">
        <v>115</v>
      </c>
      <c r="AP149" s="4" t="s">
        <v>115</v>
      </c>
    </row>
    <row r="150" spans="1:42" x14ac:dyDescent="0.15">
      <c r="A150" s="40" t="s">
        <v>1</v>
      </c>
      <c r="B150" s="23">
        <v>90020306</v>
      </c>
      <c r="C150" s="23">
        <v>203</v>
      </c>
      <c r="D150" s="23">
        <v>2</v>
      </c>
      <c r="F150" s="23" t="s">
        <v>2023</v>
      </c>
      <c r="G150" s="23" t="s">
        <v>115</v>
      </c>
      <c r="H150" s="23" t="s">
        <v>2026</v>
      </c>
      <c r="I150" s="23">
        <v>3</v>
      </c>
      <c r="J150" s="40">
        <v>0</v>
      </c>
      <c r="K150" s="40">
        <v>0</v>
      </c>
      <c r="L150" s="40" t="s">
        <v>115</v>
      </c>
      <c r="O150" s="40" t="s">
        <v>115</v>
      </c>
      <c r="Q150" s="40">
        <v>205</v>
      </c>
      <c r="R150" s="40">
        <v>100</v>
      </c>
      <c r="X150" s="40">
        <v>90020307</v>
      </c>
      <c r="Y150" s="40" t="s">
        <v>115</v>
      </c>
      <c r="Z150" s="40" t="s">
        <v>115</v>
      </c>
      <c r="AA150" s="40" t="s">
        <v>115</v>
      </c>
      <c r="AB150" s="40" t="s">
        <v>115</v>
      </c>
      <c r="AC150" s="40" t="s">
        <v>115</v>
      </c>
      <c r="AI150" s="40" t="s">
        <v>115</v>
      </c>
      <c r="AP150" s="4" t="s">
        <v>115</v>
      </c>
    </row>
    <row r="151" spans="1:42" x14ac:dyDescent="0.15">
      <c r="A151" s="40" t="s">
        <v>1</v>
      </c>
      <c r="B151" s="23">
        <v>90020307</v>
      </c>
      <c r="C151" s="23">
        <v>203</v>
      </c>
      <c r="D151" s="23">
        <v>2</v>
      </c>
      <c r="F151" s="23" t="s">
        <v>115</v>
      </c>
      <c r="G151" s="23" t="s">
        <v>115</v>
      </c>
      <c r="H151" s="23" t="s">
        <v>2027</v>
      </c>
      <c r="I151" s="23">
        <v>4</v>
      </c>
      <c r="J151" s="40">
        <v>0</v>
      </c>
      <c r="K151" s="40">
        <v>0</v>
      </c>
      <c r="L151" s="40" t="s">
        <v>115</v>
      </c>
      <c r="O151" s="40" t="s">
        <v>115</v>
      </c>
      <c r="Q151" s="40">
        <v>205</v>
      </c>
      <c r="R151" s="40">
        <v>100</v>
      </c>
      <c r="X151" s="40">
        <v>90020308</v>
      </c>
      <c r="Y151" s="40" t="s">
        <v>115</v>
      </c>
      <c r="Z151" s="40" t="s">
        <v>115</v>
      </c>
      <c r="AA151" s="40" t="s">
        <v>115</v>
      </c>
      <c r="AB151" s="40" t="s">
        <v>115</v>
      </c>
      <c r="AC151" s="40" t="s">
        <v>115</v>
      </c>
      <c r="AI151" s="40" t="s">
        <v>115</v>
      </c>
      <c r="AP151" s="4" t="s">
        <v>115</v>
      </c>
    </row>
    <row r="152" spans="1:42" x14ac:dyDescent="0.15">
      <c r="A152" s="40" t="s">
        <v>1</v>
      </c>
      <c r="B152" s="23">
        <v>90020308</v>
      </c>
      <c r="C152" s="23">
        <v>203</v>
      </c>
      <c r="D152" s="23">
        <v>2</v>
      </c>
      <c r="F152" s="23" t="s">
        <v>116</v>
      </c>
      <c r="G152" s="23">
        <v>313</v>
      </c>
      <c r="H152" s="23" t="s">
        <v>2028</v>
      </c>
      <c r="I152" s="23">
        <v>0</v>
      </c>
      <c r="J152" s="40">
        <v>0</v>
      </c>
      <c r="K152" s="40">
        <v>2</v>
      </c>
      <c r="L152" s="40" t="s">
        <v>115</v>
      </c>
      <c r="O152" s="40" t="s">
        <v>115</v>
      </c>
      <c r="Q152" s="40">
        <v>205</v>
      </c>
      <c r="R152" s="40">
        <v>100</v>
      </c>
      <c r="X152" s="40" t="s">
        <v>2029</v>
      </c>
      <c r="Y152" s="40">
        <v>1</v>
      </c>
      <c r="Z152" s="40">
        <v>1</v>
      </c>
      <c r="AA152" s="40" t="s">
        <v>115</v>
      </c>
      <c r="AB152" s="40" t="s">
        <v>115</v>
      </c>
      <c r="AC152" s="40" t="s">
        <v>115</v>
      </c>
      <c r="AI152" s="40" t="s">
        <v>115</v>
      </c>
      <c r="AP152" s="4" t="s">
        <v>115</v>
      </c>
    </row>
    <row r="153" spans="1:42" x14ac:dyDescent="0.15">
      <c r="A153" s="40" t="s">
        <v>1</v>
      </c>
      <c r="B153" s="23">
        <v>90020309</v>
      </c>
      <c r="C153" s="23">
        <v>203</v>
      </c>
      <c r="D153" s="23">
        <v>2</v>
      </c>
      <c r="F153" s="23" t="s">
        <v>115</v>
      </c>
      <c r="G153" s="23" t="s">
        <v>115</v>
      </c>
      <c r="H153" s="23" t="s">
        <v>2030</v>
      </c>
      <c r="I153" s="23">
        <v>4</v>
      </c>
      <c r="J153" s="40">
        <v>0</v>
      </c>
      <c r="K153" s="40">
        <v>3</v>
      </c>
      <c r="L153" s="40" t="s">
        <v>115</v>
      </c>
      <c r="O153" s="40" t="s">
        <v>115</v>
      </c>
      <c r="Q153" s="40">
        <v>205</v>
      </c>
      <c r="R153" s="40">
        <v>100</v>
      </c>
      <c r="X153" s="40">
        <v>90020311</v>
      </c>
      <c r="Y153" s="40">
        <v>-1</v>
      </c>
      <c r="Z153" s="40">
        <v>2</v>
      </c>
      <c r="AA153" s="40" t="s">
        <v>115</v>
      </c>
      <c r="AB153" s="40" t="s">
        <v>115</v>
      </c>
      <c r="AC153" s="40" t="s">
        <v>337</v>
      </c>
      <c r="AI153" s="40" t="s">
        <v>115</v>
      </c>
      <c r="AP153" s="4" t="s">
        <v>115</v>
      </c>
    </row>
    <row r="154" spans="1:42" x14ac:dyDescent="0.15">
      <c r="A154" s="40" t="s">
        <v>1</v>
      </c>
      <c r="B154" s="23">
        <v>90020310</v>
      </c>
      <c r="C154" s="23">
        <v>203</v>
      </c>
      <c r="D154" s="23">
        <v>2</v>
      </c>
      <c r="F154" s="23" t="s">
        <v>115</v>
      </c>
      <c r="G154" s="23" t="s">
        <v>115</v>
      </c>
      <c r="H154" s="23" t="s">
        <v>2031</v>
      </c>
      <c r="I154" s="23">
        <v>4</v>
      </c>
      <c r="J154" s="40">
        <v>0</v>
      </c>
      <c r="K154" s="40">
        <v>4</v>
      </c>
      <c r="L154" s="40" t="s">
        <v>115</v>
      </c>
      <c r="O154" s="40" t="s">
        <v>115</v>
      </c>
      <c r="Q154" s="40">
        <v>205</v>
      </c>
      <c r="R154" s="40">
        <v>100</v>
      </c>
      <c r="X154" s="40">
        <v>90020312</v>
      </c>
      <c r="Y154" s="40">
        <v>-1</v>
      </c>
      <c r="Z154" s="40">
        <v>2</v>
      </c>
      <c r="AA154" s="40" t="s">
        <v>115</v>
      </c>
      <c r="AB154" s="40" t="s">
        <v>115</v>
      </c>
      <c r="AC154" s="40" t="s">
        <v>115</v>
      </c>
      <c r="AI154" s="40" t="s">
        <v>115</v>
      </c>
      <c r="AP154" s="4" t="s">
        <v>115</v>
      </c>
    </row>
    <row r="155" spans="1:42" x14ac:dyDescent="0.15">
      <c r="A155" s="40" t="s">
        <v>1</v>
      </c>
      <c r="B155" s="23">
        <v>90020311</v>
      </c>
      <c r="C155" s="23">
        <v>203</v>
      </c>
      <c r="D155" s="23">
        <v>2</v>
      </c>
      <c r="F155" s="23" t="s">
        <v>115</v>
      </c>
      <c r="G155" s="23" t="s">
        <v>115</v>
      </c>
      <c r="H155" s="23" t="s">
        <v>2032</v>
      </c>
      <c r="I155" s="23">
        <v>4</v>
      </c>
      <c r="J155" s="40">
        <v>0</v>
      </c>
      <c r="K155" s="40">
        <v>0</v>
      </c>
      <c r="L155" s="40" t="s">
        <v>115</v>
      </c>
      <c r="O155" s="40" t="s">
        <v>115</v>
      </c>
      <c r="Q155" s="40">
        <v>205</v>
      </c>
      <c r="R155" s="40">
        <v>100</v>
      </c>
      <c r="X155" s="40">
        <v>90020315</v>
      </c>
      <c r="Y155" s="40" t="s">
        <v>115</v>
      </c>
      <c r="Z155" s="40" t="s">
        <v>115</v>
      </c>
      <c r="AA155" s="40" t="s">
        <v>115</v>
      </c>
      <c r="AB155" s="40" t="s">
        <v>115</v>
      </c>
      <c r="AC155" s="40" t="s">
        <v>115</v>
      </c>
      <c r="AI155" s="40" t="s">
        <v>115</v>
      </c>
      <c r="AP155" s="4" t="s">
        <v>115</v>
      </c>
    </row>
    <row r="156" spans="1:42" x14ac:dyDescent="0.15">
      <c r="A156" s="40" t="s">
        <v>1</v>
      </c>
      <c r="B156" s="23">
        <v>90020312</v>
      </c>
      <c r="C156" s="23">
        <v>203</v>
      </c>
      <c r="D156" s="23">
        <v>2</v>
      </c>
      <c r="F156" s="23" t="s">
        <v>116</v>
      </c>
      <c r="G156" s="23">
        <v>313</v>
      </c>
      <c r="H156" s="23" t="s">
        <v>2033</v>
      </c>
      <c r="I156" s="23">
        <v>0</v>
      </c>
      <c r="J156" s="40">
        <v>0</v>
      </c>
      <c r="K156" s="40">
        <v>0</v>
      </c>
      <c r="L156" s="40" t="s">
        <v>115</v>
      </c>
      <c r="O156" s="40" t="s">
        <v>115</v>
      </c>
      <c r="Q156" s="40">
        <v>205</v>
      </c>
      <c r="R156" s="40">
        <v>100</v>
      </c>
      <c r="X156" s="40">
        <v>90020313</v>
      </c>
      <c r="Y156" s="40" t="s">
        <v>115</v>
      </c>
      <c r="Z156" s="40" t="s">
        <v>115</v>
      </c>
      <c r="AA156" s="40" t="s">
        <v>115</v>
      </c>
      <c r="AB156" s="40" t="s">
        <v>115</v>
      </c>
      <c r="AC156" s="40" t="s">
        <v>115</v>
      </c>
      <c r="AI156" s="40" t="s">
        <v>115</v>
      </c>
      <c r="AP156" s="4" t="s">
        <v>115</v>
      </c>
    </row>
    <row r="157" spans="1:42" x14ac:dyDescent="0.15">
      <c r="A157" s="40" t="s">
        <v>1</v>
      </c>
      <c r="B157" s="23">
        <v>90020313</v>
      </c>
      <c r="C157" s="23">
        <v>203</v>
      </c>
      <c r="D157" s="23">
        <v>2</v>
      </c>
      <c r="F157" s="23" t="s">
        <v>115</v>
      </c>
      <c r="G157" s="23" t="s">
        <v>115</v>
      </c>
      <c r="H157" s="23" t="s">
        <v>2034</v>
      </c>
      <c r="I157" s="23">
        <v>4</v>
      </c>
      <c r="J157" s="40">
        <v>0</v>
      </c>
      <c r="K157" s="40">
        <v>0</v>
      </c>
      <c r="L157" s="40" t="s">
        <v>115</v>
      </c>
      <c r="O157" s="40" t="s">
        <v>115</v>
      </c>
      <c r="Q157" s="40">
        <v>205</v>
      </c>
      <c r="R157" s="40">
        <v>100</v>
      </c>
      <c r="X157" s="40">
        <v>90020314</v>
      </c>
      <c r="Y157" s="40" t="s">
        <v>115</v>
      </c>
      <c r="Z157" s="40" t="s">
        <v>115</v>
      </c>
      <c r="AA157" s="40" t="s">
        <v>115</v>
      </c>
      <c r="AB157" s="40" t="s">
        <v>115</v>
      </c>
      <c r="AC157" s="40" t="s">
        <v>115</v>
      </c>
      <c r="AI157" s="40" t="s">
        <v>115</v>
      </c>
      <c r="AP157" s="4" t="s">
        <v>115</v>
      </c>
    </row>
    <row r="158" spans="1:42" x14ac:dyDescent="0.15">
      <c r="A158" s="40" t="s">
        <v>1</v>
      </c>
      <c r="B158" s="23">
        <v>90020314</v>
      </c>
      <c r="C158" s="23">
        <v>203</v>
      </c>
      <c r="D158" s="23">
        <v>2</v>
      </c>
      <c r="F158" s="23" t="s">
        <v>116</v>
      </c>
      <c r="G158" s="23">
        <v>317</v>
      </c>
      <c r="H158" s="23" t="s">
        <v>2035</v>
      </c>
      <c r="I158" s="23">
        <v>2</v>
      </c>
      <c r="J158" s="40">
        <v>0</v>
      </c>
      <c r="K158" s="40">
        <v>0</v>
      </c>
      <c r="L158" s="40" t="s">
        <v>115</v>
      </c>
      <c r="O158" s="40" t="s">
        <v>115</v>
      </c>
      <c r="Q158" s="40">
        <v>205</v>
      </c>
      <c r="R158" s="40">
        <v>100</v>
      </c>
      <c r="X158" s="40">
        <v>90020308</v>
      </c>
      <c r="Y158" s="40" t="s">
        <v>115</v>
      </c>
      <c r="Z158" s="40" t="s">
        <v>115</v>
      </c>
      <c r="AA158" s="40" t="s">
        <v>115</v>
      </c>
      <c r="AB158" s="40" t="s">
        <v>115</v>
      </c>
      <c r="AC158" s="40" t="s">
        <v>115</v>
      </c>
      <c r="AI158" s="40" t="s">
        <v>115</v>
      </c>
      <c r="AP158" s="4" t="s">
        <v>115</v>
      </c>
    </row>
    <row r="159" spans="1:42" x14ac:dyDescent="0.15">
      <c r="A159" s="40" t="s">
        <v>1</v>
      </c>
      <c r="B159" s="23">
        <v>90020315</v>
      </c>
      <c r="C159" s="23">
        <v>203</v>
      </c>
      <c r="D159" s="23">
        <v>2</v>
      </c>
      <c r="F159" s="23" t="s">
        <v>116</v>
      </c>
      <c r="G159" s="23">
        <v>314</v>
      </c>
      <c r="H159" s="23" t="s">
        <v>2036</v>
      </c>
      <c r="I159" s="23">
        <v>0</v>
      </c>
      <c r="J159" s="40">
        <v>0</v>
      </c>
      <c r="K159" s="40">
        <v>0</v>
      </c>
      <c r="L159" s="40" t="s">
        <v>115</v>
      </c>
      <c r="O159" s="40" t="s">
        <v>115</v>
      </c>
      <c r="Q159" s="40">
        <v>205</v>
      </c>
      <c r="R159" s="40">
        <v>100</v>
      </c>
      <c r="X159" s="40">
        <v>90020316</v>
      </c>
      <c r="Y159" s="40" t="s">
        <v>115</v>
      </c>
      <c r="Z159" s="40" t="s">
        <v>115</v>
      </c>
      <c r="AA159" s="40" t="s">
        <v>115</v>
      </c>
      <c r="AB159" s="40" t="s">
        <v>115</v>
      </c>
      <c r="AC159" s="40" t="s">
        <v>115</v>
      </c>
      <c r="AI159" s="40" t="s">
        <v>115</v>
      </c>
      <c r="AP159" s="40" t="s">
        <v>115</v>
      </c>
    </row>
    <row r="160" spans="1:42" x14ac:dyDescent="0.15">
      <c r="A160" s="40" t="s">
        <v>1</v>
      </c>
      <c r="B160" s="23">
        <v>90020316</v>
      </c>
      <c r="C160" s="23">
        <v>203</v>
      </c>
      <c r="D160" s="23">
        <v>2</v>
      </c>
      <c r="F160" s="23" t="s">
        <v>2023</v>
      </c>
      <c r="G160" s="23" t="s">
        <v>115</v>
      </c>
      <c r="H160" s="23" t="s">
        <v>2037</v>
      </c>
      <c r="I160" s="23">
        <v>3</v>
      </c>
      <c r="J160" s="40">
        <v>0</v>
      </c>
      <c r="K160" s="40">
        <v>0</v>
      </c>
      <c r="L160" s="40" t="s">
        <v>115</v>
      </c>
      <c r="O160" s="40" t="s">
        <v>115</v>
      </c>
      <c r="Q160" s="40">
        <v>205</v>
      </c>
      <c r="R160" s="40">
        <v>100</v>
      </c>
      <c r="X160" s="40">
        <v>90020317</v>
      </c>
      <c r="Y160" s="40" t="s">
        <v>115</v>
      </c>
      <c r="Z160" s="40" t="s">
        <v>115</v>
      </c>
      <c r="AA160" s="40" t="s">
        <v>115</v>
      </c>
      <c r="AB160" s="40" t="s">
        <v>115</v>
      </c>
      <c r="AC160" s="40" t="s">
        <v>115</v>
      </c>
      <c r="AI160" s="40" t="s">
        <v>115</v>
      </c>
      <c r="AP160" s="4" t="s">
        <v>115</v>
      </c>
    </row>
    <row r="161" spans="1:42" x14ac:dyDescent="0.15">
      <c r="A161" s="40" t="s">
        <v>1</v>
      </c>
      <c r="B161" s="23">
        <v>90020317</v>
      </c>
      <c r="C161" s="23">
        <v>203</v>
      </c>
      <c r="D161" s="23">
        <v>2</v>
      </c>
      <c r="F161" s="23" t="s">
        <v>115</v>
      </c>
      <c r="G161" s="23" t="s">
        <v>115</v>
      </c>
      <c r="H161" s="23" t="s">
        <v>2513</v>
      </c>
      <c r="I161" s="23">
        <v>4</v>
      </c>
      <c r="J161" s="40">
        <v>0</v>
      </c>
      <c r="K161" s="40">
        <v>0</v>
      </c>
      <c r="L161" s="40" t="s">
        <v>115</v>
      </c>
      <c r="O161" s="40" t="s">
        <v>115</v>
      </c>
      <c r="Q161" s="40">
        <v>205</v>
      </c>
      <c r="R161" s="40">
        <v>100</v>
      </c>
      <c r="X161" s="40">
        <v>90020318</v>
      </c>
      <c r="Y161" s="40" t="s">
        <v>115</v>
      </c>
      <c r="Z161" s="40" t="s">
        <v>115</v>
      </c>
      <c r="AA161" s="40" t="s">
        <v>115</v>
      </c>
      <c r="AB161" s="40" t="s">
        <v>115</v>
      </c>
      <c r="AC161" s="40" t="s">
        <v>115</v>
      </c>
      <c r="AI161" s="40" t="s">
        <v>115</v>
      </c>
      <c r="AP161" s="40" t="s">
        <v>115</v>
      </c>
    </row>
    <row r="162" spans="1:42" x14ac:dyDescent="0.15">
      <c r="A162" s="40" t="s">
        <v>1</v>
      </c>
      <c r="B162" s="23">
        <v>90020318</v>
      </c>
      <c r="C162" s="23">
        <v>203</v>
      </c>
      <c r="D162" s="23">
        <v>2</v>
      </c>
      <c r="F162" s="23" t="s">
        <v>116</v>
      </c>
      <c r="G162" s="23">
        <v>309</v>
      </c>
      <c r="H162" s="23" t="s">
        <v>2514</v>
      </c>
      <c r="I162" s="23">
        <v>0</v>
      </c>
      <c r="J162" s="40">
        <v>0</v>
      </c>
      <c r="K162" s="40">
        <v>0</v>
      </c>
      <c r="L162" s="40" t="s">
        <v>115</v>
      </c>
      <c r="O162" s="40" t="s">
        <v>115</v>
      </c>
      <c r="Q162" s="40">
        <v>205</v>
      </c>
      <c r="R162" s="40">
        <v>100</v>
      </c>
      <c r="X162" s="40">
        <v>90020319</v>
      </c>
      <c r="Y162" s="40" t="s">
        <v>115</v>
      </c>
      <c r="Z162" s="40" t="s">
        <v>115</v>
      </c>
      <c r="AA162" s="40" t="s">
        <v>115</v>
      </c>
      <c r="AB162" s="40" t="s">
        <v>115</v>
      </c>
      <c r="AC162" s="40" t="s">
        <v>115</v>
      </c>
      <c r="AI162" s="40" t="s">
        <v>115</v>
      </c>
      <c r="AP162" s="4" t="s">
        <v>115</v>
      </c>
    </row>
    <row r="163" spans="1:42" x14ac:dyDescent="0.15">
      <c r="A163" s="40" t="s">
        <v>1</v>
      </c>
      <c r="B163" s="23">
        <v>90020319</v>
      </c>
      <c r="C163" s="23">
        <v>203</v>
      </c>
      <c r="D163" s="23">
        <v>2</v>
      </c>
      <c r="F163" s="23" t="s">
        <v>2023</v>
      </c>
      <c r="G163" s="23" t="s">
        <v>115</v>
      </c>
      <c r="H163" s="23" t="s">
        <v>2515</v>
      </c>
      <c r="I163" s="23">
        <v>3</v>
      </c>
      <c r="J163" s="40">
        <v>0</v>
      </c>
      <c r="K163" s="40">
        <v>0</v>
      </c>
      <c r="L163" s="40" t="s">
        <v>115</v>
      </c>
      <c r="O163" s="40" t="s">
        <v>115</v>
      </c>
      <c r="Q163" s="40">
        <v>205</v>
      </c>
      <c r="R163" s="40">
        <v>100</v>
      </c>
      <c r="X163" s="40">
        <v>90020320</v>
      </c>
      <c r="Y163" s="40" t="s">
        <v>115</v>
      </c>
      <c r="Z163" s="40" t="s">
        <v>115</v>
      </c>
      <c r="AA163" s="40" t="s">
        <v>115</v>
      </c>
      <c r="AB163" s="40" t="s">
        <v>115</v>
      </c>
      <c r="AC163" s="40" t="s">
        <v>115</v>
      </c>
      <c r="AI163" s="40" t="s">
        <v>115</v>
      </c>
      <c r="AP163" s="4" t="s">
        <v>115</v>
      </c>
    </row>
    <row r="164" spans="1:42" x14ac:dyDescent="0.15">
      <c r="A164" s="40" t="s">
        <v>1</v>
      </c>
      <c r="B164" s="23">
        <v>90020320</v>
      </c>
      <c r="C164" s="23">
        <v>203</v>
      </c>
      <c r="D164" s="23">
        <v>2</v>
      </c>
      <c r="F164" s="23" t="s">
        <v>2023</v>
      </c>
      <c r="G164" s="23" t="s">
        <v>115</v>
      </c>
      <c r="H164" s="23" t="s">
        <v>2516</v>
      </c>
      <c r="I164" s="23">
        <v>3</v>
      </c>
      <c r="J164" s="40">
        <v>0</v>
      </c>
      <c r="K164" s="40">
        <v>0</v>
      </c>
      <c r="L164" s="40" t="s">
        <v>115</v>
      </c>
      <c r="O164" s="40" t="s">
        <v>115</v>
      </c>
      <c r="Q164" s="40">
        <v>205</v>
      </c>
      <c r="R164" s="40">
        <v>100</v>
      </c>
      <c r="X164" s="40">
        <v>90020321</v>
      </c>
      <c r="Y164" s="40" t="s">
        <v>115</v>
      </c>
      <c r="Z164" s="40" t="s">
        <v>115</v>
      </c>
      <c r="AA164" s="40" t="s">
        <v>115</v>
      </c>
      <c r="AB164" s="40" t="s">
        <v>115</v>
      </c>
      <c r="AC164" s="40" t="s">
        <v>115</v>
      </c>
      <c r="AI164" s="40" t="s">
        <v>115</v>
      </c>
      <c r="AP164" s="4" t="s">
        <v>115</v>
      </c>
    </row>
    <row r="165" spans="1:42" x14ac:dyDescent="0.15">
      <c r="A165" s="40" t="s">
        <v>1</v>
      </c>
      <c r="B165" s="23">
        <v>90020321</v>
      </c>
      <c r="C165" s="23">
        <v>203</v>
      </c>
      <c r="D165" s="23">
        <v>2</v>
      </c>
      <c r="F165" s="23" t="s">
        <v>2023</v>
      </c>
      <c r="G165" s="23" t="s">
        <v>115</v>
      </c>
      <c r="H165" s="23" t="s">
        <v>2586</v>
      </c>
      <c r="I165" s="23">
        <v>3</v>
      </c>
      <c r="J165" s="40">
        <v>0</v>
      </c>
      <c r="K165" s="40">
        <v>0</v>
      </c>
      <c r="L165" s="40" t="s">
        <v>115</v>
      </c>
      <c r="O165" s="40" t="s">
        <v>115</v>
      </c>
      <c r="Q165" s="40">
        <v>205</v>
      </c>
      <c r="R165" s="40">
        <v>100</v>
      </c>
      <c r="X165" s="40">
        <v>90020322</v>
      </c>
      <c r="Y165" s="40" t="s">
        <v>115</v>
      </c>
      <c r="Z165" s="40" t="s">
        <v>115</v>
      </c>
      <c r="AA165" s="40" t="s">
        <v>115</v>
      </c>
      <c r="AB165" s="40" t="s">
        <v>115</v>
      </c>
      <c r="AC165" s="40" t="s">
        <v>115</v>
      </c>
      <c r="AI165" s="40" t="s">
        <v>115</v>
      </c>
      <c r="AP165" s="4" t="s">
        <v>115</v>
      </c>
    </row>
    <row r="166" spans="1:42" x14ac:dyDescent="0.15">
      <c r="A166" s="40" t="s">
        <v>1</v>
      </c>
      <c r="B166" s="23">
        <v>90020322</v>
      </c>
      <c r="C166" s="23">
        <v>203</v>
      </c>
      <c r="D166" s="23">
        <v>2</v>
      </c>
      <c r="F166" s="23" t="s">
        <v>116</v>
      </c>
      <c r="G166" s="23">
        <v>309</v>
      </c>
      <c r="H166" s="23" t="s">
        <v>2517</v>
      </c>
      <c r="I166" s="23">
        <v>0</v>
      </c>
      <c r="J166" s="40">
        <v>0</v>
      </c>
      <c r="K166" s="40">
        <v>0</v>
      </c>
      <c r="L166" s="40" t="s">
        <v>115</v>
      </c>
      <c r="O166" s="40" t="s">
        <v>115</v>
      </c>
      <c r="Q166" s="40">
        <v>205</v>
      </c>
      <c r="R166" s="40">
        <v>100</v>
      </c>
      <c r="X166" s="40">
        <v>90020323</v>
      </c>
      <c r="Y166" s="40" t="s">
        <v>115</v>
      </c>
      <c r="Z166" s="40" t="s">
        <v>115</v>
      </c>
      <c r="AA166" s="40" t="s">
        <v>115</v>
      </c>
      <c r="AB166" s="40" t="s">
        <v>115</v>
      </c>
      <c r="AC166" s="40" t="s">
        <v>115</v>
      </c>
      <c r="AI166" s="40" t="s">
        <v>115</v>
      </c>
      <c r="AP166" s="4" t="s">
        <v>115</v>
      </c>
    </row>
    <row r="167" spans="1:42" x14ac:dyDescent="0.15">
      <c r="A167" s="40" t="s">
        <v>1</v>
      </c>
      <c r="B167" s="23">
        <v>90020323</v>
      </c>
      <c r="C167" s="23">
        <v>203</v>
      </c>
      <c r="D167" s="23">
        <v>2</v>
      </c>
      <c r="F167" s="23" t="s">
        <v>2023</v>
      </c>
      <c r="G167" s="23" t="s">
        <v>115</v>
      </c>
      <c r="H167" s="23" t="s">
        <v>2587</v>
      </c>
      <c r="I167" s="23">
        <v>3</v>
      </c>
      <c r="J167" s="40">
        <v>0</v>
      </c>
      <c r="K167" s="40">
        <v>0</v>
      </c>
      <c r="L167" s="40" t="s">
        <v>115</v>
      </c>
      <c r="O167" s="40" t="s">
        <v>115</v>
      </c>
      <c r="Q167" s="40">
        <v>205</v>
      </c>
      <c r="R167" s="40">
        <v>100</v>
      </c>
      <c r="X167" s="40">
        <v>90020324</v>
      </c>
      <c r="Y167" s="40" t="s">
        <v>115</v>
      </c>
      <c r="Z167" s="40" t="s">
        <v>115</v>
      </c>
      <c r="AA167" s="40" t="s">
        <v>115</v>
      </c>
      <c r="AB167" s="40" t="s">
        <v>115</v>
      </c>
      <c r="AC167" s="40" t="s">
        <v>115</v>
      </c>
      <c r="AI167" s="40" t="s">
        <v>115</v>
      </c>
      <c r="AP167" s="4" t="s">
        <v>115</v>
      </c>
    </row>
    <row r="168" spans="1:42" x14ac:dyDescent="0.15">
      <c r="A168" s="40" t="s">
        <v>1</v>
      </c>
      <c r="B168" s="23">
        <v>90020324</v>
      </c>
      <c r="C168" s="23">
        <v>203</v>
      </c>
      <c r="D168" s="23">
        <v>2</v>
      </c>
      <c r="F168" s="23" t="s">
        <v>116</v>
      </c>
      <c r="G168" s="23">
        <v>309</v>
      </c>
      <c r="H168" s="23" t="s">
        <v>2038</v>
      </c>
      <c r="I168" s="23">
        <v>2</v>
      </c>
      <c r="J168" s="40">
        <v>0</v>
      </c>
      <c r="K168" s="40">
        <v>0</v>
      </c>
      <c r="L168" s="40" t="s">
        <v>115</v>
      </c>
      <c r="O168" s="40" t="s">
        <v>115</v>
      </c>
      <c r="Q168" s="40">
        <v>205</v>
      </c>
      <c r="R168" s="40">
        <v>100</v>
      </c>
      <c r="X168" s="40">
        <v>90020325</v>
      </c>
      <c r="Y168" s="40" t="s">
        <v>115</v>
      </c>
      <c r="Z168" s="40" t="s">
        <v>115</v>
      </c>
      <c r="AA168" s="40" t="s">
        <v>115</v>
      </c>
      <c r="AB168" s="40" t="s">
        <v>115</v>
      </c>
      <c r="AC168" s="40" t="s">
        <v>115</v>
      </c>
      <c r="AI168" s="40" t="s">
        <v>115</v>
      </c>
      <c r="AP168" s="4" t="s">
        <v>115</v>
      </c>
    </row>
    <row r="169" spans="1:42" x14ac:dyDescent="0.15">
      <c r="A169" s="40" t="s">
        <v>1</v>
      </c>
      <c r="B169" s="23">
        <v>90020325</v>
      </c>
      <c r="C169" s="23">
        <v>203</v>
      </c>
      <c r="D169" s="23">
        <v>2</v>
      </c>
      <c r="F169" s="23" t="s">
        <v>2023</v>
      </c>
      <c r="G169" s="23" t="s">
        <v>115</v>
      </c>
      <c r="H169" s="23" t="s">
        <v>2588</v>
      </c>
      <c r="I169" s="23">
        <v>3</v>
      </c>
      <c r="J169" s="40">
        <v>0</v>
      </c>
      <c r="K169" s="40">
        <v>0</v>
      </c>
      <c r="L169" s="40" t="s">
        <v>115</v>
      </c>
      <c r="O169" s="40" t="s">
        <v>115</v>
      </c>
      <c r="Q169" s="40">
        <v>205</v>
      </c>
      <c r="R169" s="40">
        <v>100</v>
      </c>
      <c r="X169" s="40">
        <v>90020326</v>
      </c>
      <c r="Y169" s="40" t="s">
        <v>115</v>
      </c>
      <c r="Z169" s="40" t="s">
        <v>115</v>
      </c>
      <c r="AA169" s="40" t="s">
        <v>115</v>
      </c>
      <c r="AB169" s="40" t="s">
        <v>115</v>
      </c>
      <c r="AC169" s="40" t="s">
        <v>115</v>
      </c>
      <c r="AI169" s="40" t="s">
        <v>115</v>
      </c>
      <c r="AP169" s="4" t="s">
        <v>115</v>
      </c>
    </row>
    <row r="170" spans="1:42" x14ac:dyDescent="0.15">
      <c r="A170" s="40" t="s">
        <v>1</v>
      </c>
      <c r="B170" s="23">
        <v>90020326</v>
      </c>
      <c r="C170" s="23">
        <v>203</v>
      </c>
      <c r="D170" s="23">
        <v>2</v>
      </c>
      <c r="F170" s="23" t="s">
        <v>2023</v>
      </c>
      <c r="G170" s="23" t="s">
        <v>115</v>
      </c>
      <c r="H170" s="23" t="s">
        <v>2518</v>
      </c>
      <c r="I170" s="23">
        <v>3</v>
      </c>
      <c r="J170" s="40">
        <v>0</v>
      </c>
      <c r="K170" s="40">
        <v>0</v>
      </c>
      <c r="L170" s="40" t="s">
        <v>115</v>
      </c>
      <c r="O170" s="40" t="s">
        <v>115</v>
      </c>
      <c r="Q170" s="40">
        <v>205</v>
      </c>
      <c r="R170" s="40">
        <v>100</v>
      </c>
      <c r="X170" s="40">
        <v>90020327</v>
      </c>
      <c r="Y170" s="40" t="s">
        <v>115</v>
      </c>
      <c r="Z170" s="40" t="s">
        <v>115</v>
      </c>
      <c r="AA170" s="40" t="s">
        <v>115</v>
      </c>
      <c r="AB170" s="40" t="s">
        <v>115</v>
      </c>
      <c r="AC170" s="40" t="s">
        <v>115</v>
      </c>
      <c r="AI170" s="40" t="s">
        <v>115</v>
      </c>
      <c r="AP170" s="4" t="s">
        <v>115</v>
      </c>
    </row>
    <row r="171" spans="1:42" x14ac:dyDescent="0.15">
      <c r="A171" s="40" t="s">
        <v>1</v>
      </c>
      <c r="B171" s="23">
        <v>90020327</v>
      </c>
      <c r="C171" s="23">
        <v>203</v>
      </c>
      <c r="D171" s="23">
        <v>2</v>
      </c>
      <c r="F171" s="23" t="s">
        <v>116</v>
      </c>
      <c r="G171" s="23">
        <v>309</v>
      </c>
      <c r="H171" s="23" t="s">
        <v>2039</v>
      </c>
      <c r="I171" s="23">
        <v>0</v>
      </c>
      <c r="J171" s="40">
        <v>0</v>
      </c>
      <c r="K171" s="40">
        <v>0</v>
      </c>
      <c r="L171" s="40" t="s">
        <v>115</v>
      </c>
      <c r="O171" s="40" t="s">
        <v>115</v>
      </c>
      <c r="Q171" s="40">
        <v>205</v>
      </c>
      <c r="R171" s="40">
        <v>100</v>
      </c>
      <c r="X171" s="40">
        <v>90020328</v>
      </c>
      <c r="Y171" s="40" t="s">
        <v>115</v>
      </c>
      <c r="Z171" s="40" t="s">
        <v>115</v>
      </c>
      <c r="AA171" s="40" t="s">
        <v>115</v>
      </c>
      <c r="AB171" s="40" t="s">
        <v>115</v>
      </c>
      <c r="AC171" s="40" t="s">
        <v>115</v>
      </c>
      <c r="AI171" s="40" t="s">
        <v>115</v>
      </c>
      <c r="AP171" s="4" t="s">
        <v>115</v>
      </c>
    </row>
    <row r="172" spans="1:42" x14ac:dyDescent="0.15">
      <c r="A172" s="40" t="s">
        <v>1</v>
      </c>
      <c r="B172" s="23">
        <v>90020328</v>
      </c>
      <c r="C172" s="23">
        <v>203</v>
      </c>
      <c r="D172" s="23">
        <v>2</v>
      </c>
      <c r="F172" s="23" t="s">
        <v>2023</v>
      </c>
      <c r="G172" s="23" t="s">
        <v>115</v>
      </c>
      <c r="H172" s="23" t="s">
        <v>2040</v>
      </c>
      <c r="I172" s="23">
        <v>3</v>
      </c>
      <c r="J172" s="40">
        <v>0</v>
      </c>
      <c r="K172" s="40">
        <v>0</v>
      </c>
      <c r="L172" s="40" t="s">
        <v>115</v>
      </c>
      <c r="O172" s="40" t="s">
        <v>115</v>
      </c>
      <c r="Q172" s="40">
        <v>205</v>
      </c>
      <c r="R172" s="40">
        <v>100</v>
      </c>
      <c r="X172" s="40">
        <v>90020329</v>
      </c>
      <c r="Y172" s="40" t="s">
        <v>115</v>
      </c>
      <c r="Z172" s="40" t="s">
        <v>115</v>
      </c>
      <c r="AA172" s="40" t="s">
        <v>115</v>
      </c>
      <c r="AB172" s="40" t="s">
        <v>115</v>
      </c>
      <c r="AC172" s="40" t="s">
        <v>115</v>
      </c>
      <c r="AI172" s="40" t="s">
        <v>115</v>
      </c>
      <c r="AP172" s="4" t="s">
        <v>115</v>
      </c>
    </row>
    <row r="173" spans="1:42" x14ac:dyDescent="0.15">
      <c r="A173" s="40" t="s">
        <v>1</v>
      </c>
      <c r="B173" s="23">
        <v>90020329</v>
      </c>
      <c r="C173" s="23">
        <v>203</v>
      </c>
      <c r="D173" s="23">
        <v>2</v>
      </c>
      <c r="F173" s="23" t="s">
        <v>2023</v>
      </c>
      <c r="G173" s="23" t="s">
        <v>115</v>
      </c>
      <c r="H173" s="23" t="s">
        <v>2519</v>
      </c>
      <c r="I173" s="23">
        <v>3</v>
      </c>
      <c r="J173" s="40">
        <v>0</v>
      </c>
      <c r="K173" s="40">
        <v>0</v>
      </c>
      <c r="L173" s="40" t="s">
        <v>115</v>
      </c>
      <c r="O173" s="40" t="s">
        <v>115</v>
      </c>
      <c r="Q173" s="40">
        <v>205</v>
      </c>
      <c r="R173" s="40">
        <v>100</v>
      </c>
      <c r="X173" s="40">
        <v>90020330</v>
      </c>
      <c r="Y173" s="40" t="s">
        <v>115</v>
      </c>
      <c r="Z173" s="40" t="s">
        <v>115</v>
      </c>
      <c r="AA173" s="40" t="s">
        <v>115</v>
      </c>
      <c r="AB173" s="40" t="s">
        <v>115</v>
      </c>
      <c r="AC173" s="40" t="s">
        <v>115</v>
      </c>
      <c r="AI173" s="40" t="s">
        <v>115</v>
      </c>
      <c r="AP173" s="4" t="s">
        <v>115</v>
      </c>
    </row>
    <row r="174" spans="1:42" x14ac:dyDescent="0.15">
      <c r="A174" s="40" t="s">
        <v>1</v>
      </c>
      <c r="B174" s="23">
        <v>90020330</v>
      </c>
      <c r="C174" s="23">
        <v>203</v>
      </c>
      <c r="D174" s="23">
        <v>2</v>
      </c>
      <c r="F174" s="23" t="s">
        <v>2023</v>
      </c>
      <c r="G174" s="23" t="s">
        <v>115</v>
      </c>
      <c r="H174" s="23" t="s">
        <v>2520</v>
      </c>
      <c r="I174" s="23">
        <v>3</v>
      </c>
      <c r="J174" s="40">
        <v>0</v>
      </c>
      <c r="K174" s="40">
        <v>0</v>
      </c>
      <c r="L174" s="40" t="s">
        <v>115</v>
      </c>
      <c r="O174" s="40" t="s">
        <v>115</v>
      </c>
      <c r="Q174" s="40">
        <v>205</v>
      </c>
      <c r="R174" s="40">
        <v>100</v>
      </c>
      <c r="X174" s="40">
        <v>90020331</v>
      </c>
      <c r="Y174" s="40" t="s">
        <v>115</v>
      </c>
      <c r="Z174" s="40" t="s">
        <v>115</v>
      </c>
      <c r="AA174" s="40" t="s">
        <v>115</v>
      </c>
      <c r="AB174" s="40" t="s">
        <v>115</v>
      </c>
      <c r="AC174" s="40" t="s">
        <v>115</v>
      </c>
      <c r="AI174" s="40" t="s">
        <v>115</v>
      </c>
      <c r="AP174" s="4" t="s">
        <v>115</v>
      </c>
    </row>
    <row r="175" spans="1:42" x14ac:dyDescent="0.15">
      <c r="A175" s="40" t="s">
        <v>1</v>
      </c>
      <c r="B175" s="23">
        <v>90020331</v>
      </c>
      <c r="C175" s="23">
        <v>203</v>
      </c>
      <c r="D175" s="23">
        <v>2</v>
      </c>
      <c r="F175" s="23" t="s">
        <v>2023</v>
      </c>
      <c r="G175" s="23" t="s">
        <v>115</v>
      </c>
      <c r="H175" s="23" t="s">
        <v>2521</v>
      </c>
      <c r="I175" s="23">
        <v>3</v>
      </c>
      <c r="J175" s="40">
        <v>0</v>
      </c>
      <c r="K175" s="40">
        <v>0</v>
      </c>
      <c r="L175" s="40" t="s">
        <v>115</v>
      </c>
      <c r="O175" s="40" t="s">
        <v>115</v>
      </c>
      <c r="Q175" s="40">
        <v>205</v>
      </c>
      <c r="R175" s="40">
        <v>100</v>
      </c>
      <c r="X175" s="40">
        <v>90020332</v>
      </c>
      <c r="Y175" s="40" t="s">
        <v>115</v>
      </c>
      <c r="Z175" s="40" t="s">
        <v>115</v>
      </c>
      <c r="AA175" s="40" t="s">
        <v>115</v>
      </c>
      <c r="AB175" s="40" t="s">
        <v>115</v>
      </c>
      <c r="AC175" s="40" t="s">
        <v>115</v>
      </c>
      <c r="AI175" s="40" t="s">
        <v>115</v>
      </c>
      <c r="AP175" s="4" t="s">
        <v>115</v>
      </c>
    </row>
    <row r="176" spans="1:42" x14ac:dyDescent="0.15">
      <c r="A176" s="40" t="s">
        <v>1</v>
      </c>
      <c r="B176" s="23">
        <v>90020332</v>
      </c>
      <c r="C176" s="23">
        <v>203</v>
      </c>
      <c r="D176" s="23">
        <v>2</v>
      </c>
      <c r="F176" s="23" t="s">
        <v>116</v>
      </c>
      <c r="G176" s="23">
        <v>312</v>
      </c>
      <c r="H176" s="23" t="s">
        <v>2041</v>
      </c>
      <c r="I176" s="23">
        <v>0</v>
      </c>
      <c r="J176" s="40">
        <v>0</v>
      </c>
      <c r="K176" s="40">
        <v>5</v>
      </c>
      <c r="L176" s="40" t="s">
        <v>2522</v>
      </c>
      <c r="O176" s="40" t="s">
        <v>115</v>
      </c>
      <c r="Q176" s="40">
        <v>205</v>
      </c>
      <c r="R176" s="40">
        <v>100</v>
      </c>
      <c r="X176" s="40">
        <v>90020333</v>
      </c>
      <c r="Y176" s="40" t="s">
        <v>115</v>
      </c>
      <c r="Z176" s="40">
        <v>4</v>
      </c>
      <c r="AA176" s="40" t="s">
        <v>115</v>
      </c>
      <c r="AB176" s="40" t="s">
        <v>115</v>
      </c>
      <c r="AC176" s="40" t="s">
        <v>115</v>
      </c>
      <c r="AI176" s="40" t="s">
        <v>115</v>
      </c>
      <c r="AP176" s="4" t="s">
        <v>115</v>
      </c>
    </row>
    <row r="177" spans="1:42" x14ac:dyDescent="0.15">
      <c r="A177" s="40" t="s">
        <v>1</v>
      </c>
      <c r="B177" s="23">
        <v>90020333</v>
      </c>
      <c r="C177" s="23">
        <v>203</v>
      </c>
      <c r="D177" s="23">
        <v>2</v>
      </c>
      <c r="F177" s="23" t="s">
        <v>116</v>
      </c>
      <c r="G177" s="23">
        <v>312</v>
      </c>
      <c r="H177" s="23" t="s">
        <v>2042</v>
      </c>
      <c r="I177" s="23">
        <v>2</v>
      </c>
      <c r="J177" s="40">
        <v>0</v>
      </c>
      <c r="K177" s="40">
        <v>6</v>
      </c>
      <c r="L177" s="40" t="s">
        <v>115</v>
      </c>
      <c r="O177" s="40">
        <v>1</v>
      </c>
      <c r="Q177" s="40">
        <v>205</v>
      </c>
      <c r="R177" s="40" t="s">
        <v>115</v>
      </c>
      <c r="X177" s="40" t="s">
        <v>115</v>
      </c>
      <c r="Y177" s="40" t="s">
        <v>115</v>
      </c>
      <c r="Z177" s="40">
        <v>5</v>
      </c>
      <c r="AA177" s="40" t="s">
        <v>115</v>
      </c>
      <c r="AB177" s="40" t="s">
        <v>115</v>
      </c>
      <c r="AC177" s="40" t="s">
        <v>115</v>
      </c>
      <c r="AI177" s="40" t="s">
        <v>115</v>
      </c>
      <c r="AP177" s="4" t="s">
        <v>115</v>
      </c>
    </row>
    <row r="178" spans="1:42" x14ac:dyDescent="0.15">
      <c r="A178" s="40" t="s">
        <v>1</v>
      </c>
      <c r="B178" s="23" t="s">
        <v>306</v>
      </c>
      <c r="C178" s="23">
        <v>204</v>
      </c>
      <c r="D178" s="23">
        <v>2</v>
      </c>
      <c r="F178" s="23" t="s">
        <v>115</v>
      </c>
      <c r="G178" s="23" t="s">
        <v>115</v>
      </c>
      <c r="H178" s="23" t="s">
        <v>2043</v>
      </c>
      <c r="I178" s="23">
        <v>4</v>
      </c>
      <c r="J178" s="40">
        <v>1</v>
      </c>
      <c r="K178" s="40">
        <v>1</v>
      </c>
      <c r="L178" s="40" t="s">
        <v>115</v>
      </c>
      <c r="O178" s="40" t="s">
        <v>115</v>
      </c>
      <c r="Q178" s="40">
        <v>143</v>
      </c>
      <c r="R178" s="40" t="s">
        <v>115</v>
      </c>
      <c r="X178" s="40">
        <v>90020402</v>
      </c>
      <c r="Y178" s="40" t="s">
        <v>115</v>
      </c>
      <c r="Z178" s="40" t="s">
        <v>115</v>
      </c>
      <c r="AA178" s="40" t="s">
        <v>115</v>
      </c>
      <c r="AB178" s="40" t="s">
        <v>115</v>
      </c>
      <c r="AC178" s="40" t="s">
        <v>115</v>
      </c>
      <c r="AI178" s="40" t="s">
        <v>115</v>
      </c>
      <c r="AP178" s="40" t="s">
        <v>115</v>
      </c>
    </row>
    <row r="179" spans="1:42" x14ac:dyDescent="0.15">
      <c r="A179" s="40" t="s">
        <v>1</v>
      </c>
      <c r="B179" s="23">
        <v>90020402</v>
      </c>
      <c r="C179" s="23">
        <v>204</v>
      </c>
      <c r="D179" s="23">
        <v>2</v>
      </c>
      <c r="F179" s="23" t="s">
        <v>931</v>
      </c>
      <c r="G179" s="23" t="s">
        <v>115</v>
      </c>
      <c r="H179" s="23" t="s">
        <v>2044</v>
      </c>
      <c r="I179" s="23">
        <v>3</v>
      </c>
      <c r="J179" s="40">
        <v>0</v>
      </c>
      <c r="K179" s="40">
        <v>0</v>
      </c>
      <c r="L179" s="40" t="s">
        <v>115</v>
      </c>
      <c r="O179" s="40" t="s">
        <v>115</v>
      </c>
      <c r="Q179" s="40">
        <v>143</v>
      </c>
      <c r="R179" s="40">
        <v>156</v>
      </c>
      <c r="X179" s="40">
        <v>90020403</v>
      </c>
      <c r="Y179" s="40" t="s">
        <v>115</v>
      </c>
      <c r="Z179" s="40" t="s">
        <v>115</v>
      </c>
      <c r="AA179" s="40" t="s">
        <v>115</v>
      </c>
      <c r="AB179" s="40" t="s">
        <v>115</v>
      </c>
      <c r="AC179" s="40" t="s">
        <v>115</v>
      </c>
      <c r="AI179" s="40" t="s">
        <v>115</v>
      </c>
      <c r="AP179" s="4" t="s">
        <v>115</v>
      </c>
    </row>
    <row r="180" spans="1:42" x14ac:dyDescent="0.15">
      <c r="A180" s="40" t="s">
        <v>1</v>
      </c>
      <c r="B180" s="23">
        <v>90020403</v>
      </c>
      <c r="C180" s="23">
        <v>204</v>
      </c>
      <c r="D180" s="23">
        <v>2</v>
      </c>
      <c r="F180" s="23" t="s">
        <v>116</v>
      </c>
      <c r="G180" s="23">
        <v>312</v>
      </c>
      <c r="H180" s="23" t="s">
        <v>2045</v>
      </c>
      <c r="I180" s="23">
        <v>0</v>
      </c>
      <c r="J180" s="40">
        <v>0</v>
      </c>
      <c r="K180" s="40">
        <v>0</v>
      </c>
      <c r="L180" s="40" t="s">
        <v>115</v>
      </c>
      <c r="O180" s="40" t="s">
        <v>115</v>
      </c>
      <c r="Q180" s="40">
        <v>143</v>
      </c>
      <c r="R180" s="40">
        <v>156</v>
      </c>
      <c r="X180" s="40">
        <v>90020404</v>
      </c>
      <c r="Y180" s="40" t="s">
        <v>115</v>
      </c>
      <c r="Z180" s="40" t="s">
        <v>115</v>
      </c>
      <c r="AA180" s="40" t="s">
        <v>115</v>
      </c>
      <c r="AB180" s="40" t="s">
        <v>115</v>
      </c>
      <c r="AC180" s="40" t="s">
        <v>115</v>
      </c>
      <c r="AI180" s="40" t="s">
        <v>115</v>
      </c>
      <c r="AP180" s="4" t="s">
        <v>115</v>
      </c>
    </row>
    <row r="181" spans="1:42" x14ac:dyDescent="0.15">
      <c r="A181" s="40" t="s">
        <v>1</v>
      </c>
      <c r="B181" s="23">
        <v>90020404</v>
      </c>
      <c r="C181" s="23">
        <v>204</v>
      </c>
      <c r="D181" s="23">
        <v>2</v>
      </c>
      <c r="F181" s="23" t="s">
        <v>931</v>
      </c>
      <c r="G181" s="23" t="s">
        <v>115</v>
      </c>
      <c r="H181" s="23" t="s">
        <v>2046</v>
      </c>
      <c r="I181" s="23">
        <v>3</v>
      </c>
      <c r="J181" s="40">
        <v>0</v>
      </c>
      <c r="K181" s="40">
        <v>0</v>
      </c>
      <c r="L181" s="40" t="s">
        <v>115</v>
      </c>
      <c r="O181" s="40" t="s">
        <v>115</v>
      </c>
      <c r="Q181" s="40">
        <v>143</v>
      </c>
      <c r="R181" s="40">
        <v>156</v>
      </c>
      <c r="X181" s="40">
        <v>90020405</v>
      </c>
      <c r="Y181" s="40" t="s">
        <v>115</v>
      </c>
      <c r="Z181" s="40" t="s">
        <v>115</v>
      </c>
      <c r="AA181" s="40" t="s">
        <v>115</v>
      </c>
      <c r="AB181" s="40" t="s">
        <v>115</v>
      </c>
      <c r="AC181" s="40" t="s">
        <v>115</v>
      </c>
      <c r="AI181" s="40" t="s">
        <v>115</v>
      </c>
      <c r="AP181" s="4" t="s">
        <v>115</v>
      </c>
    </row>
    <row r="182" spans="1:42" x14ac:dyDescent="0.15">
      <c r="A182" s="40" t="s">
        <v>1</v>
      </c>
      <c r="B182" s="23">
        <v>90020405</v>
      </c>
      <c r="C182" s="23">
        <v>204</v>
      </c>
      <c r="D182" s="23">
        <v>2</v>
      </c>
      <c r="F182" s="23" t="s">
        <v>116</v>
      </c>
      <c r="G182" s="23">
        <v>313</v>
      </c>
      <c r="H182" s="23" t="s">
        <v>2047</v>
      </c>
      <c r="I182" s="23">
        <v>0</v>
      </c>
      <c r="J182" s="40">
        <v>0</v>
      </c>
      <c r="K182" s="40">
        <v>0</v>
      </c>
      <c r="L182" s="40" t="s">
        <v>115</v>
      </c>
      <c r="O182" s="40" t="s">
        <v>115</v>
      </c>
      <c r="Q182" s="40">
        <v>143</v>
      </c>
      <c r="R182" s="40">
        <v>156</v>
      </c>
      <c r="X182" s="40">
        <v>90020406</v>
      </c>
      <c r="Y182" s="40" t="s">
        <v>115</v>
      </c>
      <c r="Z182" s="40" t="s">
        <v>115</v>
      </c>
      <c r="AA182" s="40" t="s">
        <v>115</v>
      </c>
      <c r="AB182" s="40" t="s">
        <v>115</v>
      </c>
      <c r="AC182" s="40" t="s">
        <v>115</v>
      </c>
      <c r="AI182" s="40" t="s">
        <v>115</v>
      </c>
      <c r="AP182" s="4" t="s">
        <v>115</v>
      </c>
    </row>
    <row r="183" spans="1:42" x14ac:dyDescent="0.15">
      <c r="A183" s="40" t="s">
        <v>1</v>
      </c>
      <c r="B183" s="23">
        <v>90020406</v>
      </c>
      <c r="C183" s="23">
        <v>204</v>
      </c>
      <c r="D183" s="23">
        <v>2</v>
      </c>
      <c r="F183" s="23" t="s">
        <v>931</v>
      </c>
      <c r="G183" s="23" t="s">
        <v>115</v>
      </c>
      <c r="H183" s="23" t="s">
        <v>2048</v>
      </c>
      <c r="I183" s="23">
        <v>3</v>
      </c>
      <c r="J183" s="40">
        <v>0</v>
      </c>
      <c r="K183" s="40">
        <v>0</v>
      </c>
      <c r="L183" s="40" t="s">
        <v>115</v>
      </c>
      <c r="O183" s="40" t="s">
        <v>115</v>
      </c>
      <c r="Q183" s="40">
        <v>143</v>
      </c>
      <c r="R183" s="40">
        <v>156</v>
      </c>
      <c r="X183" s="40">
        <v>90020407</v>
      </c>
      <c r="Y183" s="40" t="s">
        <v>115</v>
      </c>
      <c r="Z183" s="40" t="s">
        <v>115</v>
      </c>
      <c r="AA183" s="40" t="s">
        <v>115</v>
      </c>
      <c r="AB183" s="40" t="s">
        <v>115</v>
      </c>
      <c r="AC183" s="40" t="s">
        <v>115</v>
      </c>
      <c r="AI183" s="40" t="s">
        <v>115</v>
      </c>
      <c r="AP183" s="4" t="s">
        <v>115</v>
      </c>
    </row>
    <row r="184" spans="1:42" x14ac:dyDescent="0.15">
      <c r="A184" s="40" t="s">
        <v>1</v>
      </c>
      <c r="B184" s="23">
        <v>90020407</v>
      </c>
      <c r="C184" s="23">
        <v>204</v>
      </c>
      <c r="D184" s="23">
        <v>2</v>
      </c>
      <c r="F184" s="23" t="s">
        <v>931</v>
      </c>
      <c r="G184" s="23" t="s">
        <v>115</v>
      </c>
      <c r="H184" s="23" t="s">
        <v>2049</v>
      </c>
      <c r="I184" s="23">
        <v>3</v>
      </c>
      <c r="J184" s="40">
        <v>0</v>
      </c>
      <c r="K184" s="40">
        <v>0</v>
      </c>
      <c r="L184" s="40" t="s">
        <v>115</v>
      </c>
      <c r="O184" s="40" t="s">
        <v>115</v>
      </c>
      <c r="Q184" s="40">
        <v>143</v>
      </c>
      <c r="R184" s="40">
        <v>156</v>
      </c>
      <c r="X184" s="40">
        <v>90020408</v>
      </c>
      <c r="Y184" s="40" t="s">
        <v>115</v>
      </c>
      <c r="Z184" s="40" t="s">
        <v>115</v>
      </c>
      <c r="AA184" s="40" t="s">
        <v>115</v>
      </c>
      <c r="AB184" s="40" t="s">
        <v>115</v>
      </c>
      <c r="AC184" s="40" t="s">
        <v>115</v>
      </c>
      <c r="AI184" s="40" t="s">
        <v>115</v>
      </c>
      <c r="AP184" s="4" t="s">
        <v>115</v>
      </c>
    </row>
    <row r="185" spans="1:42" x14ac:dyDescent="0.15">
      <c r="A185" s="40" t="s">
        <v>1</v>
      </c>
      <c r="B185" s="23">
        <v>90020408</v>
      </c>
      <c r="C185" s="23">
        <v>204</v>
      </c>
      <c r="D185" s="23">
        <v>2</v>
      </c>
      <c r="F185" s="23" t="s">
        <v>931</v>
      </c>
      <c r="G185" s="23" t="s">
        <v>115</v>
      </c>
      <c r="H185" s="23" t="s">
        <v>2050</v>
      </c>
      <c r="I185" s="23">
        <v>3</v>
      </c>
      <c r="J185" s="40">
        <v>0</v>
      </c>
      <c r="K185" s="40">
        <v>0</v>
      </c>
      <c r="L185" s="40" t="s">
        <v>115</v>
      </c>
      <c r="O185" s="40" t="s">
        <v>115</v>
      </c>
      <c r="Q185" s="40">
        <v>143</v>
      </c>
      <c r="R185" s="40">
        <v>156</v>
      </c>
      <c r="X185" s="40">
        <v>90020409</v>
      </c>
      <c r="Y185" s="40" t="s">
        <v>115</v>
      </c>
      <c r="Z185" s="40" t="s">
        <v>115</v>
      </c>
      <c r="AA185" s="40" t="s">
        <v>115</v>
      </c>
      <c r="AB185" s="40" t="s">
        <v>115</v>
      </c>
      <c r="AC185" s="40" t="s">
        <v>115</v>
      </c>
      <c r="AI185" s="40" t="s">
        <v>115</v>
      </c>
      <c r="AP185" s="4" t="s">
        <v>115</v>
      </c>
    </row>
    <row r="186" spans="1:42" x14ac:dyDescent="0.15">
      <c r="A186" s="40" t="s">
        <v>1</v>
      </c>
      <c r="B186" s="23">
        <v>90020409</v>
      </c>
      <c r="C186" s="23">
        <v>204</v>
      </c>
      <c r="D186" s="23">
        <v>2</v>
      </c>
      <c r="F186" s="23" t="s">
        <v>116</v>
      </c>
      <c r="G186" s="23">
        <v>309</v>
      </c>
      <c r="H186" s="23" t="s">
        <v>2051</v>
      </c>
      <c r="I186" s="23">
        <v>0</v>
      </c>
      <c r="J186" s="40">
        <v>0</v>
      </c>
      <c r="K186" s="40">
        <v>0</v>
      </c>
      <c r="L186" s="40" t="s">
        <v>115</v>
      </c>
      <c r="O186" s="40" t="s">
        <v>115</v>
      </c>
      <c r="Q186" s="40">
        <v>143</v>
      </c>
      <c r="R186" s="40">
        <v>156</v>
      </c>
      <c r="X186" s="40">
        <v>90020410</v>
      </c>
      <c r="Y186" s="40" t="s">
        <v>115</v>
      </c>
      <c r="Z186" s="40" t="s">
        <v>115</v>
      </c>
      <c r="AA186" s="40" t="s">
        <v>115</v>
      </c>
      <c r="AB186" s="40" t="s">
        <v>115</v>
      </c>
      <c r="AC186" s="40" t="s">
        <v>115</v>
      </c>
      <c r="AI186" s="40" t="s">
        <v>115</v>
      </c>
      <c r="AP186" s="4" t="s">
        <v>115</v>
      </c>
    </row>
    <row r="187" spans="1:42" x14ac:dyDescent="0.15">
      <c r="A187" s="40" t="s">
        <v>1</v>
      </c>
      <c r="B187" s="23">
        <v>90020410</v>
      </c>
      <c r="C187" s="23">
        <v>204</v>
      </c>
      <c r="D187" s="23">
        <v>2</v>
      </c>
      <c r="F187" s="23" t="s">
        <v>931</v>
      </c>
      <c r="G187" s="23" t="s">
        <v>115</v>
      </c>
      <c r="H187" s="23" t="s">
        <v>2052</v>
      </c>
      <c r="I187" s="23">
        <v>3</v>
      </c>
      <c r="J187" s="40">
        <v>0</v>
      </c>
      <c r="K187" s="40">
        <v>0</v>
      </c>
      <c r="L187" s="40" t="s">
        <v>115</v>
      </c>
      <c r="O187" s="40" t="s">
        <v>115</v>
      </c>
      <c r="Q187" s="40">
        <v>143</v>
      </c>
      <c r="R187" s="40">
        <v>156</v>
      </c>
      <c r="X187" s="40">
        <v>90020411</v>
      </c>
      <c r="Y187" s="40" t="s">
        <v>115</v>
      </c>
      <c r="Z187" s="40" t="s">
        <v>115</v>
      </c>
      <c r="AA187" s="40" t="s">
        <v>115</v>
      </c>
      <c r="AB187" s="40" t="s">
        <v>115</v>
      </c>
      <c r="AC187" s="40" t="s">
        <v>115</v>
      </c>
      <c r="AI187" s="40" t="s">
        <v>115</v>
      </c>
      <c r="AP187" s="4" t="s">
        <v>115</v>
      </c>
    </row>
    <row r="188" spans="1:42" x14ac:dyDescent="0.15">
      <c r="A188" s="40" t="s">
        <v>1</v>
      </c>
      <c r="B188" s="23">
        <v>90020411</v>
      </c>
      <c r="C188" s="23">
        <v>204</v>
      </c>
      <c r="D188" s="23">
        <v>2</v>
      </c>
      <c r="F188" s="23" t="s">
        <v>116</v>
      </c>
      <c r="G188" s="23">
        <v>312</v>
      </c>
      <c r="H188" s="23" t="s">
        <v>2053</v>
      </c>
      <c r="I188" s="23">
        <v>0</v>
      </c>
      <c r="J188" s="40">
        <v>0</v>
      </c>
      <c r="K188" s="40">
        <v>0</v>
      </c>
      <c r="L188" s="40" t="s">
        <v>115</v>
      </c>
      <c r="O188" s="40" t="s">
        <v>115</v>
      </c>
      <c r="Q188" s="40">
        <v>143</v>
      </c>
      <c r="R188" s="40">
        <v>156</v>
      </c>
      <c r="X188" s="40">
        <v>90020412</v>
      </c>
      <c r="Y188" s="40" t="s">
        <v>115</v>
      </c>
      <c r="Z188" s="40" t="s">
        <v>115</v>
      </c>
      <c r="AA188" s="40" t="s">
        <v>115</v>
      </c>
      <c r="AB188" s="40" t="s">
        <v>115</v>
      </c>
      <c r="AC188" s="40" t="s">
        <v>115</v>
      </c>
      <c r="AI188" s="40" t="s">
        <v>115</v>
      </c>
      <c r="AP188" s="4" t="s">
        <v>115</v>
      </c>
    </row>
    <row r="189" spans="1:42" x14ac:dyDescent="0.15">
      <c r="A189" s="40" t="s">
        <v>1</v>
      </c>
      <c r="B189" s="23">
        <v>90020412</v>
      </c>
      <c r="C189" s="23">
        <v>204</v>
      </c>
      <c r="D189" s="23">
        <v>2</v>
      </c>
      <c r="F189" s="23" t="s">
        <v>931</v>
      </c>
      <c r="G189" s="23" t="s">
        <v>115</v>
      </c>
      <c r="H189" s="23" t="s">
        <v>2054</v>
      </c>
      <c r="I189" s="23">
        <v>3</v>
      </c>
      <c r="J189" s="40">
        <v>0</v>
      </c>
      <c r="K189" s="40">
        <v>0</v>
      </c>
      <c r="L189" s="40" t="s">
        <v>115</v>
      </c>
      <c r="O189" s="40" t="s">
        <v>115</v>
      </c>
      <c r="Q189" s="40">
        <v>143</v>
      </c>
      <c r="R189" s="40">
        <v>156</v>
      </c>
      <c r="X189" s="40">
        <v>90020413</v>
      </c>
      <c r="Y189" s="40" t="s">
        <v>115</v>
      </c>
      <c r="Z189" s="40" t="s">
        <v>115</v>
      </c>
      <c r="AA189" s="40" t="s">
        <v>115</v>
      </c>
      <c r="AB189" s="40" t="s">
        <v>115</v>
      </c>
      <c r="AC189" s="40" t="s">
        <v>115</v>
      </c>
      <c r="AI189" s="40" t="s">
        <v>115</v>
      </c>
      <c r="AP189" s="40" t="s">
        <v>115</v>
      </c>
    </row>
    <row r="190" spans="1:42" x14ac:dyDescent="0.15">
      <c r="A190" s="40" t="s">
        <v>1</v>
      </c>
      <c r="B190" s="23">
        <v>90020413</v>
      </c>
      <c r="C190" s="23">
        <v>204</v>
      </c>
      <c r="D190" s="23">
        <v>2</v>
      </c>
      <c r="F190" s="23" t="s">
        <v>931</v>
      </c>
      <c r="G190" s="23" t="s">
        <v>115</v>
      </c>
      <c r="H190" s="23" t="s">
        <v>2055</v>
      </c>
      <c r="I190" s="23">
        <v>3</v>
      </c>
      <c r="J190" s="40">
        <v>0</v>
      </c>
      <c r="K190" s="40">
        <v>0</v>
      </c>
      <c r="L190" s="40" t="s">
        <v>115</v>
      </c>
      <c r="O190" s="40" t="s">
        <v>115</v>
      </c>
      <c r="Q190" s="40">
        <v>143</v>
      </c>
      <c r="R190" s="40">
        <v>156</v>
      </c>
      <c r="X190" s="40">
        <v>90020414</v>
      </c>
      <c r="Y190" s="40" t="s">
        <v>115</v>
      </c>
      <c r="Z190" s="40" t="s">
        <v>115</v>
      </c>
      <c r="AA190" s="40" t="s">
        <v>115</v>
      </c>
      <c r="AB190" s="40" t="s">
        <v>115</v>
      </c>
      <c r="AC190" s="40" t="s">
        <v>115</v>
      </c>
      <c r="AI190" s="40" t="s">
        <v>115</v>
      </c>
      <c r="AP190" s="4" t="s">
        <v>115</v>
      </c>
    </row>
    <row r="191" spans="1:42" x14ac:dyDescent="0.15">
      <c r="A191" s="40" t="s">
        <v>1</v>
      </c>
      <c r="B191" s="23">
        <v>90020414</v>
      </c>
      <c r="C191" s="23">
        <v>204</v>
      </c>
      <c r="D191" s="23">
        <v>2</v>
      </c>
      <c r="F191" s="23" t="s">
        <v>931</v>
      </c>
      <c r="G191" s="23" t="s">
        <v>115</v>
      </c>
      <c r="H191" s="23" t="s">
        <v>2056</v>
      </c>
      <c r="I191" s="23">
        <v>3</v>
      </c>
      <c r="J191" s="40">
        <v>0</v>
      </c>
      <c r="K191" s="40">
        <v>0</v>
      </c>
      <c r="L191" s="40" t="s">
        <v>115</v>
      </c>
      <c r="O191" s="40" t="s">
        <v>115</v>
      </c>
      <c r="Q191" s="40">
        <v>143</v>
      </c>
      <c r="R191" s="40">
        <v>156</v>
      </c>
      <c r="X191" s="40">
        <v>90020415</v>
      </c>
      <c r="Y191" s="40" t="s">
        <v>115</v>
      </c>
      <c r="Z191" s="40" t="s">
        <v>115</v>
      </c>
      <c r="AA191" s="40" t="s">
        <v>115</v>
      </c>
      <c r="AB191" s="40" t="s">
        <v>115</v>
      </c>
      <c r="AC191" s="40" t="s">
        <v>115</v>
      </c>
      <c r="AI191" s="40" t="s">
        <v>115</v>
      </c>
      <c r="AP191" s="4" t="s">
        <v>115</v>
      </c>
    </row>
    <row r="192" spans="1:42" x14ac:dyDescent="0.15">
      <c r="A192" s="40" t="s">
        <v>1</v>
      </c>
      <c r="B192" s="23">
        <v>90020415</v>
      </c>
      <c r="C192" s="23">
        <v>204</v>
      </c>
      <c r="D192" s="23">
        <v>2</v>
      </c>
      <c r="F192" s="23" t="s">
        <v>116</v>
      </c>
      <c r="G192" s="23">
        <v>312</v>
      </c>
      <c r="H192" s="23" t="s">
        <v>2057</v>
      </c>
      <c r="I192" s="23">
        <v>0</v>
      </c>
      <c r="J192" s="40">
        <v>0</v>
      </c>
      <c r="K192" s="40">
        <v>0</v>
      </c>
      <c r="L192" s="40" t="s">
        <v>115</v>
      </c>
      <c r="O192" s="40" t="s">
        <v>115</v>
      </c>
      <c r="Q192" s="40">
        <v>143</v>
      </c>
      <c r="R192" s="40">
        <v>156</v>
      </c>
      <c r="X192" s="40">
        <v>90020416</v>
      </c>
      <c r="Y192" s="40" t="s">
        <v>115</v>
      </c>
      <c r="Z192" s="40" t="s">
        <v>115</v>
      </c>
      <c r="AA192" s="40" t="s">
        <v>115</v>
      </c>
      <c r="AB192" s="40" t="s">
        <v>115</v>
      </c>
      <c r="AC192" s="40" t="s">
        <v>115</v>
      </c>
      <c r="AI192" s="40" t="s">
        <v>115</v>
      </c>
      <c r="AP192" s="4" t="s">
        <v>115</v>
      </c>
    </row>
    <row r="193" spans="1:42" x14ac:dyDescent="0.15">
      <c r="A193" s="40" t="s">
        <v>1</v>
      </c>
      <c r="B193" s="23">
        <v>90020416</v>
      </c>
      <c r="C193" s="23">
        <v>204</v>
      </c>
      <c r="D193" s="23">
        <v>2</v>
      </c>
      <c r="F193" s="23" t="s">
        <v>931</v>
      </c>
      <c r="G193" s="23" t="s">
        <v>115</v>
      </c>
      <c r="H193" s="23" t="s">
        <v>2058</v>
      </c>
      <c r="I193" s="23">
        <v>3</v>
      </c>
      <c r="J193" s="40">
        <v>0</v>
      </c>
      <c r="K193" s="40">
        <v>0</v>
      </c>
      <c r="L193" s="40" t="s">
        <v>115</v>
      </c>
      <c r="O193" s="40" t="s">
        <v>115</v>
      </c>
      <c r="Q193" s="40">
        <v>143</v>
      </c>
      <c r="R193" s="40">
        <v>156</v>
      </c>
      <c r="X193" s="40">
        <v>90020417</v>
      </c>
      <c r="Y193" s="40" t="s">
        <v>115</v>
      </c>
      <c r="Z193" s="40" t="s">
        <v>115</v>
      </c>
      <c r="AA193" s="40" t="s">
        <v>115</v>
      </c>
      <c r="AB193" s="40" t="s">
        <v>115</v>
      </c>
      <c r="AC193" s="40" t="s">
        <v>115</v>
      </c>
      <c r="AI193" s="40" t="s">
        <v>115</v>
      </c>
      <c r="AP193" s="4" t="s">
        <v>115</v>
      </c>
    </row>
    <row r="194" spans="1:42" x14ac:dyDescent="0.15">
      <c r="A194" s="40" t="s">
        <v>1</v>
      </c>
      <c r="B194" s="23">
        <v>90020417</v>
      </c>
      <c r="C194" s="23">
        <v>204</v>
      </c>
      <c r="D194" s="23">
        <v>2</v>
      </c>
      <c r="F194" s="23" t="s">
        <v>931</v>
      </c>
      <c r="G194" s="23" t="s">
        <v>115</v>
      </c>
      <c r="H194" s="23" t="s">
        <v>2059</v>
      </c>
      <c r="I194" s="23">
        <v>3</v>
      </c>
      <c r="J194" s="40">
        <v>0</v>
      </c>
      <c r="K194" s="40">
        <v>2</v>
      </c>
      <c r="L194" s="40" t="s">
        <v>2523</v>
      </c>
      <c r="O194" s="40">
        <v>1</v>
      </c>
      <c r="Q194" s="40">
        <v>143</v>
      </c>
      <c r="R194" s="40">
        <v>156</v>
      </c>
      <c r="X194" s="40" t="s">
        <v>115</v>
      </c>
      <c r="Y194" s="40" t="s">
        <v>115</v>
      </c>
      <c r="Z194" s="40">
        <v>1</v>
      </c>
      <c r="AA194" s="40" t="s">
        <v>115</v>
      </c>
      <c r="AB194" s="40" t="s">
        <v>115</v>
      </c>
      <c r="AC194" s="40" t="s">
        <v>115</v>
      </c>
      <c r="AI194" s="40" t="s">
        <v>115</v>
      </c>
      <c r="AP194" s="4" t="s">
        <v>1881</v>
      </c>
    </row>
    <row r="195" spans="1:42" x14ac:dyDescent="0.15">
      <c r="A195" s="40" t="s">
        <v>1</v>
      </c>
      <c r="B195" s="23" t="s">
        <v>307</v>
      </c>
      <c r="C195" s="23">
        <v>205</v>
      </c>
      <c r="D195" s="23">
        <v>2</v>
      </c>
      <c r="F195" s="23" t="s">
        <v>116</v>
      </c>
      <c r="G195" s="23">
        <v>312</v>
      </c>
      <c r="H195" s="23" t="s">
        <v>2060</v>
      </c>
      <c r="I195" s="23">
        <v>2</v>
      </c>
      <c r="J195" s="40">
        <v>1</v>
      </c>
      <c r="K195" s="40">
        <v>1</v>
      </c>
      <c r="L195" s="40" t="s">
        <v>115</v>
      </c>
      <c r="O195" s="40" t="s">
        <v>115</v>
      </c>
      <c r="Q195" s="40">
        <v>118</v>
      </c>
      <c r="R195" s="40" t="s">
        <v>115</v>
      </c>
      <c r="X195" s="40">
        <v>90020502</v>
      </c>
      <c r="Y195" s="40" t="s">
        <v>115</v>
      </c>
      <c r="Z195" s="40" t="s">
        <v>115</v>
      </c>
      <c r="AA195" s="40" t="s">
        <v>115</v>
      </c>
      <c r="AB195" s="40" t="s">
        <v>115</v>
      </c>
      <c r="AC195" s="40" t="s">
        <v>115</v>
      </c>
      <c r="AI195" s="40" t="s">
        <v>115</v>
      </c>
      <c r="AP195" s="4" t="s">
        <v>115</v>
      </c>
    </row>
    <row r="196" spans="1:42" x14ac:dyDescent="0.15">
      <c r="A196" s="40" t="s">
        <v>1</v>
      </c>
      <c r="B196" s="23">
        <v>90020502</v>
      </c>
      <c r="C196" s="23">
        <v>205</v>
      </c>
      <c r="D196" s="23">
        <v>2</v>
      </c>
      <c r="F196" s="23" t="s">
        <v>116</v>
      </c>
      <c r="G196" s="23">
        <v>314</v>
      </c>
      <c r="H196" s="23" t="s">
        <v>2061</v>
      </c>
      <c r="I196" s="23">
        <v>2</v>
      </c>
      <c r="J196" s="40">
        <v>0</v>
      </c>
      <c r="K196" s="40">
        <v>2</v>
      </c>
      <c r="L196" s="40" t="s">
        <v>115</v>
      </c>
      <c r="O196" s="40" t="s">
        <v>115</v>
      </c>
      <c r="Q196" s="40">
        <v>118</v>
      </c>
      <c r="R196" s="40" t="s">
        <v>115</v>
      </c>
      <c r="X196" s="40" t="s">
        <v>2062</v>
      </c>
      <c r="Y196" s="40">
        <v>1</v>
      </c>
      <c r="Z196" s="40">
        <v>1</v>
      </c>
      <c r="AA196" s="40" t="s">
        <v>115</v>
      </c>
      <c r="AB196" s="40" t="s">
        <v>115</v>
      </c>
      <c r="AC196" s="40" t="s">
        <v>115</v>
      </c>
      <c r="AI196" s="40" t="s">
        <v>115</v>
      </c>
      <c r="AP196" s="4" t="s">
        <v>115</v>
      </c>
    </row>
    <row r="197" spans="1:42" x14ac:dyDescent="0.15">
      <c r="A197" s="40" t="s">
        <v>1</v>
      </c>
      <c r="B197" s="23">
        <v>90020503</v>
      </c>
      <c r="C197" s="23">
        <v>205</v>
      </c>
      <c r="D197" s="23">
        <v>2</v>
      </c>
      <c r="F197" s="23" t="s">
        <v>115</v>
      </c>
      <c r="G197" s="23" t="s">
        <v>115</v>
      </c>
      <c r="H197" s="23" t="s">
        <v>2063</v>
      </c>
      <c r="I197" s="23">
        <v>4</v>
      </c>
      <c r="J197" s="40">
        <v>0</v>
      </c>
      <c r="K197" s="40">
        <v>3</v>
      </c>
      <c r="L197" s="40" t="s">
        <v>115</v>
      </c>
      <c r="O197" s="40" t="s">
        <v>115</v>
      </c>
      <c r="Q197" s="40">
        <v>118</v>
      </c>
      <c r="R197" s="40" t="s">
        <v>115</v>
      </c>
      <c r="X197" s="40">
        <v>90020505</v>
      </c>
      <c r="Y197" s="40">
        <v>-1</v>
      </c>
      <c r="Z197" s="40">
        <v>2</v>
      </c>
      <c r="AA197" s="40" t="s">
        <v>115</v>
      </c>
      <c r="AB197" s="40" t="s">
        <v>115</v>
      </c>
      <c r="AC197" s="40" t="s">
        <v>340</v>
      </c>
      <c r="AI197" s="40" t="s">
        <v>115</v>
      </c>
      <c r="AP197" s="4" t="s">
        <v>115</v>
      </c>
    </row>
    <row r="198" spans="1:42" x14ac:dyDescent="0.15">
      <c r="A198" s="40" t="s">
        <v>1</v>
      </c>
      <c r="B198" s="23">
        <v>90020504</v>
      </c>
      <c r="C198" s="23">
        <v>205</v>
      </c>
      <c r="D198" s="23">
        <v>2</v>
      </c>
      <c r="F198" s="23" t="s">
        <v>115</v>
      </c>
      <c r="G198" s="23" t="s">
        <v>115</v>
      </c>
      <c r="H198" s="23" t="s">
        <v>2064</v>
      </c>
      <c r="I198" s="23">
        <v>4</v>
      </c>
      <c r="J198" s="40">
        <v>0</v>
      </c>
      <c r="K198" s="40">
        <v>4</v>
      </c>
      <c r="L198" s="40" t="s">
        <v>115</v>
      </c>
      <c r="O198" s="40" t="s">
        <v>115</v>
      </c>
      <c r="Q198" s="40">
        <v>118</v>
      </c>
      <c r="R198" s="40" t="s">
        <v>115</v>
      </c>
      <c r="X198" s="40">
        <v>90020507</v>
      </c>
      <c r="Y198" s="40">
        <v>-1</v>
      </c>
      <c r="Z198" s="40">
        <v>2</v>
      </c>
      <c r="AA198" s="40" t="s">
        <v>115</v>
      </c>
      <c r="AB198" s="40" t="s">
        <v>115</v>
      </c>
      <c r="AC198" s="40" t="s">
        <v>115</v>
      </c>
      <c r="AI198" s="40" t="s">
        <v>115</v>
      </c>
      <c r="AP198" s="4" t="s">
        <v>115</v>
      </c>
    </row>
    <row r="199" spans="1:42" x14ac:dyDescent="0.15">
      <c r="A199" s="40" t="s">
        <v>1</v>
      </c>
      <c r="B199" s="23">
        <v>90020505</v>
      </c>
      <c r="C199" s="23">
        <v>205</v>
      </c>
      <c r="D199" s="23">
        <v>2</v>
      </c>
      <c r="F199" s="23" t="s">
        <v>115</v>
      </c>
      <c r="G199" s="23" t="s">
        <v>115</v>
      </c>
      <c r="H199" s="23" t="s">
        <v>2065</v>
      </c>
      <c r="I199" s="23">
        <v>4</v>
      </c>
      <c r="J199" s="40">
        <v>0</v>
      </c>
      <c r="K199" s="40">
        <v>0</v>
      </c>
      <c r="L199" s="40" t="s">
        <v>115</v>
      </c>
      <c r="O199" s="40" t="s">
        <v>115</v>
      </c>
      <c r="Q199" s="40">
        <v>118</v>
      </c>
      <c r="R199" s="40">
        <v>229</v>
      </c>
      <c r="X199" s="40">
        <v>90020506</v>
      </c>
      <c r="Y199" s="40" t="s">
        <v>115</v>
      </c>
      <c r="Z199" s="40" t="s">
        <v>115</v>
      </c>
      <c r="AA199" s="40" t="s">
        <v>115</v>
      </c>
      <c r="AB199" s="40" t="s">
        <v>115</v>
      </c>
      <c r="AC199" s="40" t="s">
        <v>115</v>
      </c>
      <c r="AI199" s="40" t="s">
        <v>115</v>
      </c>
      <c r="AP199" s="4" t="s">
        <v>115</v>
      </c>
    </row>
    <row r="200" spans="1:42" x14ac:dyDescent="0.15">
      <c r="A200" s="40" t="s">
        <v>1</v>
      </c>
      <c r="B200" s="23">
        <v>90020506</v>
      </c>
      <c r="C200" s="23">
        <v>205</v>
      </c>
      <c r="D200" s="23">
        <v>2</v>
      </c>
      <c r="F200" s="23" t="s">
        <v>1451</v>
      </c>
      <c r="G200" s="23" t="s">
        <v>115</v>
      </c>
      <c r="H200" s="23" t="s">
        <v>2066</v>
      </c>
      <c r="I200" s="23">
        <v>3</v>
      </c>
      <c r="J200" s="40">
        <v>0</v>
      </c>
      <c r="K200" s="40">
        <v>0</v>
      </c>
      <c r="L200" s="40" t="s">
        <v>115</v>
      </c>
      <c r="O200" s="40" t="s">
        <v>115</v>
      </c>
      <c r="Q200" s="40">
        <v>118</v>
      </c>
      <c r="R200" s="40">
        <v>229</v>
      </c>
      <c r="X200" s="40">
        <v>90020509</v>
      </c>
      <c r="Y200" s="40" t="s">
        <v>115</v>
      </c>
      <c r="Z200" s="40" t="s">
        <v>115</v>
      </c>
      <c r="AA200" s="40" t="s">
        <v>115</v>
      </c>
      <c r="AB200" s="40" t="s">
        <v>115</v>
      </c>
      <c r="AC200" s="40" t="s">
        <v>115</v>
      </c>
      <c r="AI200" s="40" t="s">
        <v>115</v>
      </c>
      <c r="AP200" s="4" t="s">
        <v>115</v>
      </c>
    </row>
    <row r="201" spans="1:42" x14ac:dyDescent="0.15">
      <c r="A201" s="40" t="s">
        <v>1</v>
      </c>
      <c r="B201" s="23">
        <v>90020507</v>
      </c>
      <c r="C201" s="23">
        <v>205</v>
      </c>
      <c r="D201" s="23">
        <v>2</v>
      </c>
      <c r="F201" s="23" t="s">
        <v>115</v>
      </c>
      <c r="G201" s="23" t="s">
        <v>115</v>
      </c>
      <c r="H201" s="23" t="s">
        <v>2067</v>
      </c>
      <c r="I201" s="23">
        <v>4</v>
      </c>
      <c r="J201" s="40">
        <v>0</v>
      </c>
      <c r="K201" s="40">
        <v>0</v>
      </c>
      <c r="L201" s="40" t="s">
        <v>115</v>
      </c>
      <c r="O201" s="40" t="s">
        <v>115</v>
      </c>
      <c r="Q201" s="40">
        <v>118</v>
      </c>
      <c r="R201" s="40" t="s">
        <v>115</v>
      </c>
      <c r="X201" s="40">
        <v>90020508</v>
      </c>
      <c r="Y201" s="40" t="s">
        <v>115</v>
      </c>
      <c r="Z201" s="40" t="s">
        <v>115</v>
      </c>
      <c r="AA201" s="40" t="s">
        <v>115</v>
      </c>
      <c r="AB201" s="40" t="s">
        <v>115</v>
      </c>
      <c r="AC201" s="40" t="s">
        <v>115</v>
      </c>
      <c r="AI201" s="40" t="s">
        <v>115</v>
      </c>
      <c r="AP201" s="4" t="s">
        <v>115</v>
      </c>
    </row>
    <row r="202" spans="1:42" x14ac:dyDescent="0.15">
      <c r="A202" s="40" t="s">
        <v>1</v>
      </c>
      <c r="B202" s="23">
        <v>90020508</v>
      </c>
      <c r="C202" s="23">
        <v>205</v>
      </c>
      <c r="D202" s="23">
        <v>2</v>
      </c>
      <c r="F202" s="23" t="s">
        <v>116</v>
      </c>
      <c r="G202" s="23">
        <v>314</v>
      </c>
      <c r="H202" s="23" t="s">
        <v>2068</v>
      </c>
      <c r="I202" s="23">
        <v>2</v>
      </c>
      <c r="J202" s="40">
        <v>0</v>
      </c>
      <c r="K202" s="40">
        <v>0</v>
      </c>
      <c r="L202" s="40" t="s">
        <v>115</v>
      </c>
      <c r="O202" s="40" t="s">
        <v>115</v>
      </c>
      <c r="Q202" s="40">
        <v>118</v>
      </c>
      <c r="R202" s="40" t="s">
        <v>115</v>
      </c>
      <c r="X202" s="40">
        <v>90020502</v>
      </c>
      <c r="Y202" s="40" t="s">
        <v>115</v>
      </c>
      <c r="Z202" s="40" t="s">
        <v>115</v>
      </c>
      <c r="AA202" s="40" t="s">
        <v>115</v>
      </c>
      <c r="AB202" s="40" t="s">
        <v>115</v>
      </c>
      <c r="AC202" s="40" t="s">
        <v>115</v>
      </c>
      <c r="AI202" s="40" t="s">
        <v>115</v>
      </c>
      <c r="AP202" s="4" t="s">
        <v>115</v>
      </c>
    </row>
    <row r="203" spans="1:42" x14ac:dyDescent="0.15">
      <c r="A203" s="40" t="s">
        <v>1</v>
      </c>
      <c r="B203" s="23">
        <v>90020509</v>
      </c>
      <c r="C203" s="23">
        <v>205</v>
      </c>
      <c r="D203" s="23">
        <v>2</v>
      </c>
      <c r="F203" s="23" t="s">
        <v>115</v>
      </c>
      <c r="G203" s="23" t="s">
        <v>115</v>
      </c>
      <c r="H203" s="23" t="s">
        <v>2069</v>
      </c>
      <c r="I203" s="23">
        <v>4</v>
      </c>
      <c r="J203" s="40">
        <v>0</v>
      </c>
      <c r="K203" s="40">
        <v>0</v>
      </c>
      <c r="L203" s="40" t="s">
        <v>115</v>
      </c>
      <c r="O203" s="40" t="s">
        <v>115</v>
      </c>
      <c r="Q203" s="40">
        <v>198</v>
      </c>
      <c r="R203" s="40" t="s">
        <v>115</v>
      </c>
      <c r="X203" s="40">
        <v>90020510</v>
      </c>
      <c r="Y203" s="40" t="s">
        <v>115</v>
      </c>
      <c r="Z203" s="40" t="s">
        <v>115</v>
      </c>
      <c r="AA203" s="40" t="s">
        <v>115</v>
      </c>
      <c r="AB203" s="40" t="s">
        <v>115</v>
      </c>
      <c r="AC203" s="40" t="s">
        <v>115</v>
      </c>
      <c r="AI203" s="40" t="s">
        <v>115</v>
      </c>
      <c r="AP203" s="4" t="s">
        <v>115</v>
      </c>
    </row>
    <row r="204" spans="1:42" x14ac:dyDescent="0.15">
      <c r="A204" s="40" t="s">
        <v>1</v>
      </c>
      <c r="B204" s="23">
        <v>90020510</v>
      </c>
      <c r="C204" s="23">
        <v>205</v>
      </c>
      <c r="D204" s="23">
        <v>2</v>
      </c>
      <c r="F204" s="23" t="s">
        <v>116</v>
      </c>
      <c r="G204" s="23">
        <v>312</v>
      </c>
      <c r="H204" s="23" t="s">
        <v>2070</v>
      </c>
      <c r="I204" s="23">
        <v>0</v>
      </c>
      <c r="J204" s="40">
        <v>0</v>
      </c>
      <c r="K204" s="40">
        <v>0</v>
      </c>
      <c r="L204" s="40" t="s">
        <v>115</v>
      </c>
      <c r="O204" s="40" t="s">
        <v>115</v>
      </c>
      <c r="Q204" s="40">
        <v>198</v>
      </c>
      <c r="R204" s="40" t="s">
        <v>115</v>
      </c>
      <c r="X204" s="40">
        <v>90020511</v>
      </c>
      <c r="Y204" s="40" t="s">
        <v>115</v>
      </c>
      <c r="Z204" s="40" t="s">
        <v>115</v>
      </c>
      <c r="AA204" s="40" t="s">
        <v>115</v>
      </c>
      <c r="AB204" s="40" t="s">
        <v>115</v>
      </c>
      <c r="AC204" s="40" t="s">
        <v>115</v>
      </c>
      <c r="AI204" s="40" t="s">
        <v>115</v>
      </c>
      <c r="AP204" s="4" t="s">
        <v>115</v>
      </c>
    </row>
    <row r="205" spans="1:42" x14ac:dyDescent="0.15">
      <c r="A205" s="40" t="s">
        <v>1</v>
      </c>
      <c r="B205" s="23">
        <v>90020511</v>
      </c>
      <c r="C205" s="23">
        <v>205</v>
      </c>
      <c r="D205" s="23">
        <v>2</v>
      </c>
      <c r="F205" s="23" t="s">
        <v>2071</v>
      </c>
      <c r="G205" s="23" t="s">
        <v>115</v>
      </c>
      <c r="H205" s="23" t="s">
        <v>2072</v>
      </c>
      <c r="I205" s="23">
        <v>3</v>
      </c>
      <c r="J205" s="40">
        <v>0</v>
      </c>
      <c r="K205" s="40">
        <v>0</v>
      </c>
      <c r="L205" s="40" t="s">
        <v>115</v>
      </c>
      <c r="O205" s="40" t="s">
        <v>115</v>
      </c>
      <c r="Q205" s="40">
        <v>198</v>
      </c>
      <c r="R205" s="40">
        <v>128</v>
      </c>
      <c r="X205" s="40">
        <v>90020512</v>
      </c>
      <c r="Y205" s="40" t="s">
        <v>115</v>
      </c>
      <c r="Z205" s="40" t="s">
        <v>115</v>
      </c>
      <c r="AA205" s="40" t="s">
        <v>115</v>
      </c>
      <c r="AB205" s="40" t="s">
        <v>115</v>
      </c>
      <c r="AC205" s="40" t="s">
        <v>115</v>
      </c>
      <c r="AI205" s="40" t="s">
        <v>115</v>
      </c>
      <c r="AP205" s="4" t="s">
        <v>115</v>
      </c>
    </row>
    <row r="206" spans="1:42" x14ac:dyDescent="0.15">
      <c r="A206" s="40" t="s">
        <v>1</v>
      </c>
      <c r="B206" s="23">
        <v>90020512</v>
      </c>
      <c r="C206" s="23">
        <v>205</v>
      </c>
      <c r="D206" s="23">
        <v>2</v>
      </c>
      <c r="F206" s="23" t="s">
        <v>116</v>
      </c>
      <c r="G206" s="23">
        <v>309</v>
      </c>
      <c r="H206" s="23" t="s">
        <v>2073</v>
      </c>
      <c r="I206" s="23">
        <v>2</v>
      </c>
      <c r="J206" s="40">
        <v>0</v>
      </c>
      <c r="K206" s="40">
        <v>0</v>
      </c>
      <c r="L206" s="40" t="s">
        <v>115</v>
      </c>
      <c r="O206" s="40" t="s">
        <v>115</v>
      </c>
      <c r="Q206" s="40">
        <v>198</v>
      </c>
      <c r="R206" s="40">
        <v>128</v>
      </c>
      <c r="X206" s="40">
        <v>90020513</v>
      </c>
      <c r="Y206" s="40" t="s">
        <v>115</v>
      </c>
      <c r="Z206" s="40" t="s">
        <v>115</v>
      </c>
      <c r="AA206" s="40" t="s">
        <v>115</v>
      </c>
      <c r="AB206" s="40" t="s">
        <v>115</v>
      </c>
      <c r="AC206" s="40" t="s">
        <v>115</v>
      </c>
      <c r="AI206" s="40" t="s">
        <v>115</v>
      </c>
      <c r="AP206" s="4" t="s">
        <v>115</v>
      </c>
    </row>
    <row r="207" spans="1:42" x14ac:dyDescent="0.15">
      <c r="A207" s="40" t="s">
        <v>1</v>
      </c>
      <c r="B207" s="23">
        <v>90020513</v>
      </c>
      <c r="C207" s="23">
        <v>205</v>
      </c>
      <c r="D207" s="23">
        <v>2</v>
      </c>
      <c r="F207" s="23" t="s">
        <v>116</v>
      </c>
      <c r="G207" s="23">
        <v>312</v>
      </c>
      <c r="H207" s="23" t="s">
        <v>2074</v>
      </c>
      <c r="I207" s="23">
        <v>0</v>
      </c>
      <c r="J207" s="40">
        <v>0</v>
      </c>
      <c r="K207" s="40">
        <v>0</v>
      </c>
      <c r="L207" s="40" t="s">
        <v>115</v>
      </c>
      <c r="O207" s="40" t="s">
        <v>115</v>
      </c>
      <c r="Q207" s="40">
        <v>198</v>
      </c>
      <c r="R207" s="40">
        <v>128</v>
      </c>
      <c r="X207" s="40">
        <v>90020514</v>
      </c>
      <c r="Y207" s="40" t="s">
        <v>115</v>
      </c>
      <c r="Z207" s="40" t="s">
        <v>115</v>
      </c>
      <c r="AA207" s="40" t="s">
        <v>115</v>
      </c>
      <c r="AB207" s="40" t="s">
        <v>115</v>
      </c>
      <c r="AC207" s="40" t="s">
        <v>115</v>
      </c>
      <c r="AI207" s="40" t="s">
        <v>115</v>
      </c>
      <c r="AP207" s="40" t="s">
        <v>115</v>
      </c>
    </row>
    <row r="208" spans="1:42" x14ac:dyDescent="0.15">
      <c r="A208" s="40" t="s">
        <v>1</v>
      </c>
      <c r="B208" s="23">
        <v>90020514</v>
      </c>
      <c r="C208" s="23">
        <v>205</v>
      </c>
      <c r="D208" s="23">
        <v>2</v>
      </c>
      <c r="F208" s="23" t="s">
        <v>2071</v>
      </c>
      <c r="G208" s="23" t="s">
        <v>115</v>
      </c>
      <c r="H208" s="23" t="s">
        <v>2075</v>
      </c>
      <c r="I208" s="23">
        <v>3</v>
      </c>
      <c r="J208" s="40">
        <v>0</v>
      </c>
      <c r="K208" s="40">
        <v>0</v>
      </c>
      <c r="L208" s="40" t="s">
        <v>115</v>
      </c>
      <c r="O208" s="40" t="s">
        <v>115</v>
      </c>
      <c r="Q208" s="40">
        <v>198</v>
      </c>
      <c r="R208" s="40">
        <v>128</v>
      </c>
      <c r="X208" s="40">
        <v>90020515</v>
      </c>
      <c r="Y208" s="40" t="s">
        <v>115</v>
      </c>
      <c r="Z208" s="40" t="s">
        <v>115</v>
      </c>
      <c r="AA208" s="40" t="s">
        <v>115</v>
      </c>
      <c r="AB208" s="40" t="s">
        <v>115</v>
      </c>
      <c r="AC208" s="40" t="s">
        <v>115</v>
      </c>
      <c r="AI208" s="40" t="s">
        <v>115</v>
      </c>
      <c r="AP208" s="4" t="s">
        <v>115</v>
      </c>
    </row>
    <row r="209" spans="1:42" x14ac:dyDescent="0.15">
      <c r="A209" s="40" t="s">
        <v>1</v>
      </c>
      <c r="B209" s="23">
        <v>90020515</v>
      </c>
      <c r="C209" s="23">
        <v>205</v>
      </c>
      <c r="D209" s="23">
        <v>2</v>
      </c>
      <c r="F209" s="23" t="s">
        <v>116</v>
      </c>
      <c r="G209" s="23">
        <v>315</v>
      </c>
      <c r="H209" s="23" t="s">
        <v>2076</v>
      </c>
      <c r="I209" s="23">
        <v>0</v>
      </c>
      <c r="J209" s="40">
        <v>0</v>
      </c>
      <c r="K209" s="40">
        <v>0</v>
      </c>
      <c r="L209" s="40" t="s">
        <v>115</v>
      </c>
      <c r="O209" s="40" t="s">
        <v>115</v>
      </c>
      <c r="Q209" s="40">
        <v>198</v>
      </c>
      <c r="R209" s="40">
        <v>128</v>
      </c>
      <c r="X209" s="40">
        <v>90020516</v>
      </c>
      <c r="Y209" s="40" t="s">
        <v>115</v>
      </c>
      <c r="Z209" s="40" t="s">
        <v>115</v>
      </c>
      <c r="AA209" s="40" t="s">
        <v>115</v>
      </c>
      <c r="AB209" s="40" t="s">
        <v>115</v>
      </c>
      <c r="AC209" s="40" t="s">
        <v>115</v>
      </c>
      <c r="AI209" s="40" t="s">
        <v>115</v>
      </c>
      <c r="AP209" s="4" t="s">
        <v>115</v>
      </c>
    </row>
    <row r="210" spans="1:42" x14ac:dyDescent="0.15">
      <c r="A210" s="40" t="s">
        <v>1</v>
      </c>
      <c r="B210" s="23">
        <v>90020516</v>
      </c>
      <c r="C210" s="23">
        <v>205</v>
      </c>
      <c r="D210" s="23">
        <v>2</v>
      </c>
      <c r="F210" s="23" t="s">
        <v>115</v>
      </c>
      <c r="G210" s="23" t="s">
        <v>115</v>
      </c>
      <c r="H210" s="23" t="s">
        <v>2077</v>
      </c>
      <c r="I210" s="23">
        <v>4</v>
      </c>
      <c r="J210" s="40">
        <v>0</v>
      </c>
      <c r="K210" s="40">
        <v>0</v>
      </c>
      <c r="L210" s="40" t="s">
        <v>115</v>
      </c>
      <c r="O210" s="40" t="s">
        <v>115</v>
      </c>
      <c r="Q210" s="40">
        <v>198</v>
      </c>
      <c r="R210" s="40">
        <v>128</v>
      </c>
      <c r="X210" s="40">
        <v>90020517</v>
      </c>
      <c r="Y210" s="40" t="s">
        <v>115</v>
      </c>
      <c r="Z210" s="40" t="s">
        <v>115</v>
      </c>
      <c r="AA210" s="40" t="s">
        <v>115</v>
      </c>
      <c r="AB210" s="40" t="s">
        <v>115</v>
      </c>
      <c r="AC210" s="40" t="s">
        <v>115</v>
      </c>
      <c r="AI210" s="40" t="s">
        <v>115</v>
      </c>
      <c r="AP210" s="4" t="s">
        <v>115</v>
      </c>
    </row>
    <row r="211" spans="1:42" x14ac:dyDescent="0.15">
      <c r="A211" s="40" t="s">
        <v>1</v>
      </c>
      <c r="B211" s="23">
        <v>90020517</v>
      </c>
      <c r="C211" s="23">
        <v>205</v>
      </c>
      <c r="D211" s="23">
        <v>2</v>
      </c>
      <c r="F211" s="23" t="s">
        <v>2071</v>
      </c>
      <c r="G211" s="23" t="s">
        <v>115</v>
      </c>
      <c r="H211" s="23" t="s">
        <v>2078</v>
      </c>
      <c r="I211" s="23">
        <v>3</v>
      </c>
      <c r="J211" s="40">
        <v>0</v>
      </c>
      <c r="K211" s="40">
        <v>0</v>
      </c>
      <c r="L211" s="40" t="s">
        <v>115</v>
      </c>
      <c r="O211" s="40" t="s">
        <v>115</v>
      </c>
      <c r="Q211" s="40">
        <v>198</v>
      </c>
      <c r="R211" s="40">
        <v>128</v>
      </c>
      <c r="X211" s="40">
        <v>90020518</v>
      </c>
      <c r="Y211" s="40" t="s">
        <v>115</v>
      </c>
      <c r="Z211" s="40" t="s">
        <v>115</v>
      </c>
      <c r="AA211" s="40" t="s">
        <v>115</v>
      </c>
      <c r="AB211" s="40" t="s">
        <v>115</v>
      </c>
      <c r="AC211" s="40" t="s">
        <v>115</v>
      </c>
      <c r="AI211" s="40" t="s">
        <v>115</v>
      </c>
      <c r="AP211" s="4" t="s">
        <v>115</v>
      </c>
    </row>
    <row r="212" spans="1:42" x14ac:dyDescent="0.15">
      <c r="A212" s="40" t="s">
        <v>1</v>
      </c>
      <c r="B212" s="23">
        <v>90020518</v>
      </c>
      <c r="C212" s="23">
        <v>205</v>
      </c>
      <c r="D212" s="23">
        <v>2</v>
      </c>
      <c r="F212" s="23" t="s">
        <v>2079</v>
      </c>
      <c r="G212" s="23" t="s">
        <v>115</v>
      </c>
      <c r="H212" s="23" t="s">
        <v>2080</v>
      </c>
      <c r="I212" s="23">
        <v>3</v>
      </c>
      <c r="J212" s="40">
        <v>0</v>
      </c>
      <c r="K212" s="40">
        <v>0</v>
      </c>
      <c r="L212" s="40" t="s">
        <v>115</v>
      </c>
      <c r="O212" s="40" t="s">
        <v>115</v>
      </c>
      <c r="Q212" s="40">
        <v>198</v>
      </c>
      <c r="R212" s="40">
        <v>166</v>
      </c>
      <c r="X212" s="40">
        <v>90020519</v>
      </c>
      <c r="Y212" s="40" t="s">
        <v>115</v>
      </c>
      <c r="Z212" s="40" t="s">
        <v>115</v>
      </c>
      <c r="AA212" s="40" t="s">
        <v>115</v>
      </c>
      <c r="AB212" s="40" t="s">
        <v>115</v>
      </c>
      <c r="AC212" s="40" t="s">
        <v>115</v>
      </c>
      <c r="AI212" s="40" t="s">
        <v>115</v>
      </c>
      <c r="AP212" s="4" t="s">
        <v>115</v>
      </c>
    </row>
    <row r="213" spans="1:42" x14ac:dyDescent="0.15">
      <c r="A213" s="40" t="s">
        <v>1</v>
      </c>
      <c r="B213" s="23">
        <v>90020519</v>
      </c>
      <c r="C213" s="23">
        <v>205</v>
      </c>
      <c r="D213" s="23">
        <v>2</v>
      </c>
      <c r="F213" s="23" t="s">
        <v>116</v>
      </c>
      <c r="G213" s="23">
        <v>309</v>
      </c>
      <c r="H213" s="23" t="s">
        <v>2081</v>
      </c>
      <c r="I213" s="23">
        <v>0</v>
      </c>
      <c r="J213" s="40">
        <v>0</v>
      </c>
      <c r="K213" s="40">
        <v>0</v>
      </c>
      <c r="L213" s="40" t="s">
        <v>115</v>
      </c>
      <c r="O213" s="40" t="s">
        <v>115</v>
      </c>
      <c r="Q213" s="40">
        <v>198</v>
      </c>
      <c r="R213" s="40">
        <v>166</v>
      </c>
      <c r="X213" s="40">
        <v>90020520</v>
      </c>
      <c r="Y213" s="40" t="s">
        <v>115</v>
      </c>
      <c r="Z213" s="40" t="s">
        <v>115</v>
      </c>
      <c r="AA213" s="40" t="s">
        <v>115</v>
      </c>
      <c r="AB213" s="40" t="s">
        <v>115</v>
      </c>
      <c r="AC213" s="40" t="s">
        <v>115</v>
      </c>
      <c r="AI213" s="40" t="s">
        <v>115</v>
      </c>
      <c r="AP213" s="4" t="s">
        <v>115</v>
      </c>
    </row>
    <row r="214" spans="1:42" x14ac:dyDescent="0.15">
      <c r="A214" s="40" t="s">
        <v>1</v>
      </c>
      <c r="B214" s="23">
        <v>90020520</v>
      </c>
      <c r="C214" s="23">
        <v>205</v>
      </c>
      <c r="D214" s="23">
        <v>2</v>
      </c>
      <c r="F214" s="23" t="s">
        <v>2071</v>
      </c>
      <c r="G214" s="23" t="s">
        <v>115</v>
      </c>
      <c r="H214" s="23" t="s">
        <v>2082</v>
      </c>
      <c r="I214" s="23">
        <v>3</v>
      </c>
      <c r="J214" s="40">
        <v>0</v>
      </c>
      <c r="K214" s="40">
        <v>0</v>
      </c>
      <c r="L214" s="40" t="s">
        <v>115</v>
      </c>
      <c r="O214" s="40" t="s">
        <v>115</v>
      </c>
      <c r="Q214" s="40">
        <v>198</v>
      </c>
      <c r="R214" s="40">
        <v>128</v>
      </c>
      <c r="X214" s="40">
        <v>90020521</v>
      </c>
      <c r="Y214" s="40" t="s">
        <v>115</v>
      </c>
      <c r="Z214" s="40" t="s">
        <v>115</v>
      </c>
      <c r="AA214" s="40" t="s">
        <v>115</v>
      </c>
      <c r="AB214" s="40" t="s">
        <v>115</v>
      </c>
      <c r="AC214" s="40" t="s">
        <v>115</v>
      </c>
      <c r="AI214" s="40" t="s">
        <v>115</v>
      </c>
      <c r="AP214" s="4" t="s">
        <v>115</v>
      </c>
    </row>
    <row r="215" spans="1:42" x14ac:dyDescent="0.15">
      <c r="A215" s="40" t="s">
        <v>1</v>
      </c>
      <c r="B215" s="23">
        <v>90020521</v>
      </c>
      <c r="C215" s="23">
        <v>205</v>
      </c>
      <c r="D215" s="23">
        <v>2</v>
      </c>
      <c r="F215" s="23" t="s">
        <v>116</v>
      </c>
      <c r="G215" s="23">
        <v>309</v>
      </c>
      <c r="H215" s="23" t="s">
        <v>2083</v>
      </c>
      <c r="I215" s="23">
        <v>0</v>
      </c>
      <c r="J215" s="40">
        <v>0</v>
      </c>
      <c r="K215" s="40">
        <v>0</v>
      </c>
      <c r="L215" s="40" t="s">
        <v>115</v>
      </c>
      <c r="O215" s="40" t="s">
        <v>115</v>
      </c>
      <c r="Q215" s="40">
        <v>198</v>
      </c>
      <c r="R215" s="40">
        <v>128</v>
      </c>
      <c r="X215" s="40">
        <v>90020522</v>
      </c>
      <c r="Y215" s="40" t="s">
        <v>115</v>
      </c>
      <c r="Z215" s="40" t="s">
        <v>115</v>
      </c>
      <c r="AA215" s="40" t="s">
        <v>115</v>
      </c>
      <c r="AB215" s="40" t="s">
        <v>115</v>
      </c>
      <c r="AC215" s="40" t="s">
        <v>115</v>
      </c>
      <c r="AI215" s="40" t="s">
        <v>115</v>
      </c>
      <c r="AP215" s="4" t="s">
        <v>115</v>
      </c>
    </row>
    <row r="216" spans="1:42" x14ac:dyDescent="0.15">
      <c r="A216" s="40" t="s">
        <v>1</v>
      </c>
      <c r="B216" s="23">
        <v>90020522</v>
      </c>
      <c r="C216" s="23">
        <v>205</v>
      </c>
      <c r="D216" s="23">
        <v>2</v>
      </c>
      <c r="F216" s="23" t="s">
        <v>116</v>
      </c>
      <c r="G216" s="23">
        <v>309</v>
      </c>
      <c r="H216" s="23" t="s">
        <v>2084</v>
      </c>
      <c r="I216" s="23">
        <v>0</v>
      </c>
      <c r="J216" s="40">
        <v>0</v>
      </c>
      <c r="K216" s="40">
        <v>0</v>
      </c>
      <c r="L216" s="40" t="s">
        <v>115</v>
      </c>
      <c r="O216" s="40" t="s">
        <v>115</v>
      </c>
      <c r="Q216" s="40">
        <v>198</v>
      </c>
      <c r="R216" s="40">
        <v>128</v>
      </c>
      <c r="X216" s="40">
        <v>90020523</v>
      </c>
      <c r="Y216" s="40" t="s">
        <v>115</v>
      </c>
      <c r="Z216" s="40" t="s">
        <v>115</v>
      </c>
      <c r="AA216" s="40" t="s">
        <v>115</v>
      </c>
      <c r="AB216" s="40" t="s">
        <v>115</v>
      </c>
      <c r="AC216" s="40" t="s">
        <v>115</v>
      </c>
      <c r="AI216" s="40" t="s">
        <v>115</v>
      </c>
      <c r="AP216" s="4" t="s">
        <v>115</v>
      </c>
    </row>
    <row r="217" spans="1:42" x14ac:dyDescent="0.15">
      <c r="A217" s="40" t="s">
        <v>1</v>
      </c>
      <c r="B217" s="23">
        <v>90020523</v>
      </c>
      <c r="C217" s="23">
        <v>205</v>
      </c>
      <c r="D217" s="23">
        <v>2</v>
      </c>
      <c r="F217" s="23" t="s">
        <v>116</v>
      </c>
      <c r="G217" s="23">
        <v>309</v>
      </c>
      <c r="H217" s="23" t="s">
        <v>2085</v>
      </c>
      <c r="I217" s="23">
        <v>0</v>
      </c>
      <c r="J217" s="40">
        <v>0</v>
      </c>
      <c r="K217" s="40">
        <v>0</v>
      </c>
      <c r="L217" s="40" t="s">
        <v>115</v>
      </c>
      <c r="O217" s="40" t="s">
        <v>115</v>
      </c>
      <c r="Q217" s="40">
        <v>198</v>
      </c>
      <c r="R217" s="40">
        <v>128</v>
      </c>
      <c r="X217" s="40">
        <v>90020524</v>
      </c>
      <c r="Y217" s="40" t="s">
        <v>115</v>
      </c>
      <c r="Z217" s="40" t="s">
        <v>115</v>
      </c>
      <c r="AA217" s="40" t="s">
        <v>115</v>
      </c>
      <c r="AB217" s="40" t="s">
        <v>115</v>
      </c>
      <c r="AC217" s="40" t="s">
        <v>115</v>
      </c>
      <c r="AI217" s="40" t="s">
        <v>115</v>
      </c>
      <c r="AP217" s="4" t="s">
        <v>115</v>
      </c>
    </row>
    <row r="218" spans="1:42" x14ac:dyDescent="0.15">
      <c r="A218" s="40" t="s">
        <v>1</v>
      </c>
      <c r="B218" s="23">
        <v>90020524</v>
      </c>
      <c r="C218" s="23">
        <v>205</v>
      </c>
      <c r="D218" s="23">
        <v>2</v>
      </c>
      <c r="F218" s="23" t="s">
        <v>2079</v>
      </c>
      <c r="G218" s="23" t="s">
        <v>115</v>
      </c>
      <c r="H218" s="23" t="s">
        <v>2086</v>
      </c>
      <c r="I218" s="23">
        <v>3</v>
      </c>
      <c r="J218" s="40">
        <v>0</v>
      </c>
      <c r="K218" s="40">
        <v>0</v>
      </c>
      <c r="L218" s="40" t="s">
        <v>115</v>
      </c>
      <c r="O218" s="40" t="s">
        <v>115</v>
      </c>
      <c r="Q218" s="40">
        <v>198</v>
      </c>
      <c r="R218" s="40">
        <v>166</v>
      </c>
      <c r="X218" s="40">
        <v>90020525</v>
      </c>
      <c r="Y218" s="40" t="s">
        <v>115</v>
      </c>
      <c r="Z218" s="40" t="s">
        <v>115</v>
      </c>
      <c r="AA218" s="40" t="s">
        <v>115</v>
      </c>
      <c r="AB218" s="40" t="s">
        <v>115</v>
      </c>
      <c r="AC218" s="40" t="s">
        <v>115</v>
      </c>
      <c r="AI218" s="40" t="s">
        <v>115</v>
      </c>
      <c r="AP218" s="4" t="s">
        <v>115</v>
      </c>
    </row>
    <row r="219" spans="1:42" x14ac:dyDescent="0.15">
      <c r="A219" s="40" t="s">
        <v>1</v>
      </c>
      <c r="B219" s="23">
        <v>90020525</v>
      </c>
      <c r="C219" s="23">
        <v>205</v>
      </c>
      <c r="D219" s="23">
        <v>2</v>
      </c>
      <c r="F219" s="23" t="s">
        <v>116</v>
      </c>
      <c r="G219" s="23">
        <v>312</v>
      </c>
      <c r="H219" s="23" t="s">
        <v>2087</v>
      </c>
      <c r="I219" s="23">
        <v>0</v>
      </c>
      <c r="J219" s="40">
        <v>0</v>
      </c>
      <c r="K219" s="40">
        <v>0</v>
      </c>
      <c r="L219" s="40" t="s">
        <v>115</v>
      </c>
      <c r="O219" s="40" t="s">
        <v>115</v>
      </c>
      <c r="Q219" s="40">
        <v>198</v>
      </c>
      <c r="R219" s="40">
        <v>166</v>
      </c>
      <c r="X219" s="40">
        <v>90020526</v>
      </c>
      <c r="Y219" s="40" t="s">
        <v>115</v>
      </c>
      <c r="Z219" s="40" t="s">
        <v>115</v>
      </c>
      <c r="AA219" s="40" t="s">
        <v>115</v>
      </c>
      <c r="AB219" s="40" t="s">
        <v>115</v>
      </c>
      <c r="AC219" s="40" t="s">
        <v>115</v>
      </c>
      <c r="AI219" s="40" t="s">
        <v>115</v>
      </c>
      <c r="AP219" s="4" t="s">
        <v>115</v>
      </c>
    </row>
    <row r="220" spans="1:42" x14ac:dyDescent="0.15">
      <c r="A220" s="40" t="s">
        <v>1</v>
      </c>
      <c r="B220" s="23">
        <v>90020526</v>
      </c>
      <c r="C220" s="23">
        <v>205</v>
      </c>
      <c r="D220" s="23">
        <v>2</v>
      </c>
      <c r="F220" s="23" t="s">
        <v>116</v>
      </c>
      <c r="G220" s="23">
        <v>312</v>
      </c>
      <c r="H220" s="23" t="s">
        <v>2088</v>
      </c>
      <c r="I220" s="23">
        <v>0</v>
      </c>
      <c r="J220" s="40">
        <v>0</v>
      </c>
      <c r="K220" s="40">
        <v>0</v>
      </c>
      <c r="L220" s="40" t="s">
        <v>115</v>
      </c>
      <c r="O220" s="40" t="s">
        <v>115</v>
      </c>
      <c r="Q220" s="40">
        <v>198</v>
      </c>
      <c r="R220" s="40">
        <v>166</v>
      </c>
      <c r="X220" s="40">
        <v>90020527</v>
      </c>
      <c r="Y220" s="40" t="s">
        <v>115</v>
      </c>
      <c r="Z220" s="40" t="s">
        <v>115</v>
      </c>
      <c r="AA220" s="40" t="s">
        <v>115</v>
      </c>
      <c r="AB220" s="40" t="s">
        <v>115</v>
      </c>
      <c r="AC220" s="40" t="s">
        <v>115</v>
      </c>
      <c r="AI220" s="40" t="s">
        <v>115</v>
      </c>
      <c r="AP220" s="4" t="s">
        <v>115</v>
      </c>
    </row>
    <row r="221" spans="1:42" x14ac:dyDescent="0.15">
      <c r="A221" s="40" t="s">
        <v>1</v>
      </c>
      <c r="B221" s="23">
        <v>90020527</v>
      </c>
      <c r="C221" s="23">
        <v>205</v>
      </c>
      <c r="D221" s="23">
        <v>2</v>
      </c>
      <c r="F221" s="23" t="s">
        <v>115</v>
      </c>
      <c r="G221" s="23" t="s">
        <v>115</v>
      </c>
      <c r="H221" s="23" t="s">
        <v>2089</v>
      </c>
      <c r="I221" s="23">
        <v>4</v>
      </c>
      <c r="J221" s="40">
        <v>0</v>
      </c>
      <c r="K221" s="40">
        <v>0</v>
      </c>
      <c r="L221" s="40" t="s">
        <v>115</v>
      </c>
      <c r="O221" s="40" t="s">
        <v>115</v>
      </c>
      <c r="Q221" s="40">
        <v>198</v>
      </c>
      <c r="R221" s="40">
        <v>166</v>
      </c>
      <c r="X221" s="40">
        <v>90020528</v>
      </c>
      <c r="Y221" s="40" t="s">
        <v>115</v>
      </c>
      <c r="Z221" s="40" t="s">
        <v>115</v>
      </c>
      <c r="AA221" s="40" t="s">
        <v>115</v>
      </c>
      <c r="AB221" s="40" t="s">
        <v>115</v>
      </c>
      <c r="AC221" s="40" t="s">
        <v>115</v>
      </c>
      <c r="AI221" s="40" t="s">
        <v>115</v>
      </c>
      <c r="AP221" s="4" t="s">
        <v>115</v>
      </c>
    </row>
    <row r="222" spans="1:42" x14ac:dyDescent="0.15">
      <c r="A222" s="40" t="s">
        <v>1</v>
      </c>
      <c r="B222" s="23">
        <v>90020528</v>
      </c>
      <c r="C222" s="23">
        <v>205</v>
      </c>
      <c r="D222" s="23">
        <v>2</v>
      </c>
      <c r="F222" s="23" t="s">
        <v>2071</v>
      </c>
      <c r="G222" s="23" t="s">
        <v>115</v>
      </c>
      <c r="H222" s="23" t="s">
        <v>2090</v>
      </c>
      <c r="I222" s="23">
        <v>3</v>
      </c>
      <c r="J222" s="40">
        <v>0</v>
      </c>
      <c r="K222" s="40">
        <v>0</v>
      </c>
      <c r="L222" s="40" t="s">
        <v>115</v>
      </c>
      <c r="O222" s="40" t="s">
        <v>115</v>
      </c>
      <c r="Q222" s="40">
        <v>198</v>
      </c>
      <c r="R222" s="40">
        <v>128</v>
      </c>
      <c r="X222" s="40">
        <v>90020529</v>
      </c>
      <c r="Y222" s="40" t="s">
        <v>115</v>
      </c>
      <c r="Z222" s="40" t="s">
        <v>115</v>
      </c>
      <c r="AA222" s="40" t="s">
        <v>115</v>
      </c>
      <c r="AB222" s="40" t="s">
        <v>115</v>
      </c>
      <c r="AC222" s="40" t="s">
        <v>115</v>
      </c>
      <c r="AI222" s="40" t="s">
        <v>115</v>
      </c>
      <c r="AP222" s="4" t="s">
        <v>115</v>
      </c>
    </row>
    <row r="223" spans="1:42" x14ac:dyDescent="0.15">
      <c r="A223" s="40" t="s">
        <v>1</v>
      </c>
      <c r="B223" s="23">
        <v>90020529</v>
      </c>
      <c r="C223" s="23">
        <v>205</v>
      </c>
      <c r="D223" s="23">
        <v>2</v>
      </c>
      <c r="F223" s="23" t="s">
        <v>116</v>
      </c>
      <c r="G223" s="23">
        <v>312</v>
      </c>
      <c r="H223" s="23" t="s">
        <v>2524</v>
      </c>
      <c r="I223" s="23">
        <v>0</v>
      </c>
      <c r="J223" s="40">
        <v>0</v>
      </c>
      <c r="K223" s="40">
        <v>0</v>
      </c>
      <c r="L223" s="40" t="s">
        <v>115</v>
      </c>
      <c r="O223" s="40" t="s">
        <v>115</v>
      </c>
      <c r="Q223" s="40">
        <v>198</v>
      </c>
      <c r="R223" s="40">
        <v>128</v>
      </c>
      <c r="X223" s="40">
        <v>90020530</v>
      </c>
      <c r="Y223" s="40" t="s">
        <v>115</v>
      </c>
      <c r="Z223" s="40" t="s">
        <v>115</v>
      </c>
      <c r="AA223" s="40" t="s">
        <v>115</v>
      </c>
      <c r="AB223" s="40" t="s">
        <v>115</v>
      </c>
      <c r="AC223" s="40" t="s">
        <v>115</v>
      </c>
      <c r="AI223" s="40" t="s">
        <v>115</v>
      </c>
      <c r="AP223" s="4" t="s">
        <v>115</v>
      </c>
    </row>
    <row r="224" spans="1:42" x14ac:dyDescent="0.15">
      <c r="A224" s="40" t="s">
        <v>1</v>
      </c>
      <c r="B224" s="23">
        <v>90020530</v>
      </c>
      <c r="C224" s="23">
        <v>205</v>
      </c>
      <c r="D224" s="23">
        <v>2</v>
      </c>
      <c r="F224" s="23" t="s">
        <v>115</v>
      </c>
      <c r="G224" s="23" t="s">
        <v>115</v>
      </c>
      <c r="H224" s="23" t="s">
        <v>2091</v>
      </c>
      <c r="I224" s="23">
        <v>4</v>
      </c>
      <c r="J224" s="40">
        <v>0</v>
      </c>
      <c r="K224" s="40">
        <v>5</v>
      </c>
      <c r="L224" s="40" t="s">
        <v>115</v>
      </c>
      <c r="O224" s="40">
        <v>1</v>
      </c>
      <c r="Q224" s="40">
        <v>198</v>
      </c>
      <c r="R224" s="40" t="s">
        <v>115</v>
      </c>
      <c r="X224" s="40" t="s">
        <v>115</v>
      </c>
      <c r="Y224" s="40" t="s">
        <v>115</v>
      </c>
      <c r="Z224" s="40">
        <v>4</v>
      </c>
      <c r="AA224" s="40" t="s">
        <v>115</v>
      </c>
      <c r="AB224" s="40" t="s">
        <v>115</v>
      </c>
      <c r="AC224" s="40" t="s">
        <v>115</v>
      </c>
      <c r="AI224" s="40" t="s">
        <v>115</v>
      </c>
      <c r="AP224" s="4" t="s">
        <v>115</v>
      </c>
    </row>
    <row r="225" spans="1:42" x14ac:dyDescent="0.15">
      <c r="A225" s="40" t="s">
        <v>1</v>
      </c>
      <c r="B225" s="23" t="s">
        <v>308</v>
      </c>
      <c r="C225" s="23">
        <v>301</v>
      </c>
      <c r="D225" s="23">
        <v>3</v>
      </c>
      <c r="F225" s="23" t="s">
        <v>116</v>
      </c>
      <c r="G225" s="23">
        <v>312</v>
      </c>
      <c r="H225" s="23" t="s">
        <v>379</v>
      </c>
      <c r="I225" s="23">
        <v>2</v>
      </c>
      <c r="J225" s="40">
        <v>1</v>
      </c>
      <c r="K225" s="40">
        <v>1</v>
      </c>
      <c r="L225" s="40" t="s">
        <v>115</v>
      </c>
      <c r="O225" s="40" t="s">
        <v>115</v>
      </c>
      <c r="Q225" s="40">
        <v>205</v>
      </c>
      <c r="R225" s="40" t="s">
        <v>115</v>
      </c>
      <c r="X225" s="40">
        <v>90030102</v>
      </c>
      <c r="Y225" s="40" t="s">
        <v>115</v>
      </c>
      <c r="Z225" s="40" t="s">
        <v>115</v>
      </c>
      <c r="AA225" s="40" t="s">
        <v>115</v>
      </c>
      <c r="AB225" s="40" t="s">
        <v>115</v>
      </c>
      <c r="AC225" s="40" t="s">
        <v>115</v>
      </c>
      <c r="AI225" s="40" t="s">
        <v>115</v>
      </c>
      <c r="AP225" s="4" t="s">
        <v>115</v>
      </c>
    </row>
    <row r="226" spans="1:42" x14ac:dyDescent="0.15">
      <c r="A226" s="40" t="s">
        <v>1</v>
      </c>
      <c r="B226" s="23">
        <v>90030102</v>
      </c>
      <c r="C226" s="23">
        <v>301</v>
      </c>
      <c r="D226" s="23">
        <v>3</v>
      </c>
      <c r="F226" s="23" t="s">
        <v>251</v>
      </c>
      <c r="G226" s="23" t="s">
        <v>115</v>
      </c>
      <c r="H226" s="23" t="s">
        <v>380</v>
      </c>
      <c r="I226" s="23">
        <v>3</v>
      </c>
      <c r="J226" s="40">
        <v>0</v>
      </c>
      <c r="K226" s="40">
        <v>0</v>
      </c>
      <c r="L226" s="40" t="s">
        <v>115</v>
      </c>
      <c r="O226" s="40" t="s">
        <v>115</v>
      </c>
      <c r="Q226" s="40">
        <v>205</v>
      </c>
      <c r="R226" s="40">
        <v>300</v>
      </c>
      <c r="X226" s="40">
        <v>90030103</v>
      </c>
      <c r="Y226" s="40" t="s">
        <v>115</v>
      </c>
      <c r="Z226" s="40" t="s">
        <v>115</v>
      </c>
      <c r="AA226" s="40" t="s">
        <v>115</v>
      </c>
      <c r="AB226" s="40" t="s">
        <v>115</v>
      </c>
      <c r="AC226" s="40" t="s">
        <v>115</v>
      </c>
      <c r="AI226" s="40" t="s">
        <v>115</v>
      </c>
      <c r="AP226" s="4" t="s">
        <v>115</v>
      </c>
    </row>
    <row r="227" spans="1:42" x14ac:dyDescent="0.15">
      <c r="A227" s="40" t="s">
        <v>1</v>
      </c>
      <c r="B227" s="23">
        <v>90030103</v>
      </c>
      <c r="C227" s="23">
        <v>301</v>
      </c>
      <c r="D227" s="23">
        <v>3</v>
      </c>
      <c r="F227" s="23" t="s">
        <v>116</v>
      </c>
      <c r="G227" s="23">
        <v>314</v>
      </c>
      <c r="H227" s="23" t="s">
        <v>381</v>
      </c>
      <c r="I227" s="23">
        <v>2</v>
      </c>
      <c r="J227" s="40">
        <v>0</v>
      </c>
      <c r="K227" s="40">
        <v>0</v>
      </c>
      <c r="L227" s="40" t="s">
        <v>115</v>
      </c>
      <c r="O227" s="40" t="s">
        <v>115</v>
      </c>
      <c r="Q227" s="40">
        <v>205</v>
      </c>
      <c r="R227" s="40">
        <v>300</v>
      </c>
      <c r="X227" s="40">
        <v>90030104</v>
      </c>
      <c r="Y227" s="40" t="s">
        <v>115</v>
      </c>
      <c r="Z227" s="40" t="s">
        <v>115</v>
      </c>
      <c r="AA227" s="40" t="s">
        <v>115</v>
      </c>
      <c r="AB227" s="40" t="s">
        <v>115</v>
      </c>
      <c r="AC227" s="40" t="s">
        <v>115</v>
      </c>
      <c r="AI227" s="40" t="s">
        <v>115</v>
      </c>
      <c r="AP227" s="4" t="s">
        <v>115</v>
      </c>
    </row>
    <row r="228" spans="1:42" x14ac:dyDescent="0.15">
      <c r="A228" s="40" t="s">
        <v>1</v>
      </c>
      <c r="B228" s="23">
        <v>90030104</v>
      </c>
      <c r="C228" s="23">
        <v>301</v>
      </c>
      <c r="D228" s="23">
        <v>3</v>
      </c>
      <c r="F228" s="23" t="s">
        <v>116</v>
      </c>
      <c r="G228" s="23">
        <v>312</v>
      </c>
      <c r="H228" s="23" t="s">
        <v>1251</v>
      </c>
      <c r="I228" s="23">
        <v>0</v>
      </c>
      <c r="J228" s="40">
        <v>0</v>
      </c>
      <c r="K228" s="40">
        <v>0</v>
      </c>
      <c r="L228" s="40" t="s">
        <v>115</v>
      </c>
      <c r="O228" s="40" t="s">
        <v>115</v>
      </c>
      <c r="Q228" s="40">
        <v>205</v>
      </c>
      <c r="R228" s="40">
        <v>300</v>
      </c>
      <c r="X228" s="40">
        <v>90030105</v>
      </c>
      <c r="Y228" s="40" t="s">
        <v>115</v>
      </c>
      <c r="Z228" s="40" t="s">
        <v>115</v>
      </c>
      <c r="AA228" s="40" t="s">
        <v>115</v>
      </c>
      <c r="AB228" s="40" t="s">
        <v>115</v>
      </c>
      <c r="AC228" s="40" t="s">
        <v>115</v>
      </c>
      <c r="AI228" s="40" t="s">
        <v>115</v>
      </c>
      <c r="AP228" s="4" t="s">
        <v>115</v>
      </c>
    </row>
    <row r="229" spans="1:42" x14ac:dyDescent="0.15">
      <c r="A229" s="40" t="s">
        <v>1</v>
      </c>
      <c r="B229" s="23">
        <v>90030105</v>
      </c>
      <c r="C229" s="23">
        <v>301</v>
      </c>
      <c r="D229" s="23">
        <v>3</v>
      </c>
      <c r="F229" s="23" t="s">
        <v>116</v>
      </c>
      <c r="G229" s="23">
        <v>312</v>
      </c>
      <c r="H229" s="23" t="s">
        <v>1252</v>
      </c>
      <c r="I229" s="23">
        <v>0</v>
      </c>
      <c r="J229" s="40">
        <v>0</v>
      </c>
      <c r="K229" s="40">
        <v>0</v>
      </c>
      <c r="L229" s="40" t="s">
        <v>115</v>
      </c>
      <c r="O229" s="40" t="s">
        <v>115</v>
      </c>
      <c r="Q229" s="40">
        <v>205</v>
      </c>
      <c r="R229" s="40">
        <v>300</v>
      </c>
      <c r="X229" s="40">
        <v>90030106</v>
      </c>
      <c r="Y229" s="40" t="s">
        <v>115</v>
      </c>
      <c r="Z229" s="40" t="s">
        <v>115</v>
      </c>
      <c r="AA229" s="40" t="s">
        <v>115</v>
      </c>
      <c r="AB229" s="40" t="s">
        <v>115</v>
      </c>
      <c r="AC229" s="40" t="s">
        <v>115</v>
      </c>
      <c r="AI229" s="40" t="s">
        <v>115</v>
      </c>
      <c r="AP229" s="4" t="s">
        <v>115</v>
      </c>
    </row>
    <row r="230" spans="1:42" x14ac:dyDescent="0.15">
      <c r="A230" s="40" t="s">
        <v>1</v>
      </c>
      <c r="B230" s="23">
        <v>90030106</v>
      </c>
      <c r="C230" s="23">
        <v>301</v>
      </c>
      <c r="D230" s="23">
        <v>3</v>
      </c>
      <c r="F230" s="23" t="s">
        <v>251</v>
      </c>
      <c r="G230" s="23" t="s">
        <v>115</v>
      </c>
      <c r="H230" s="23" t="s">
        <v>1253</v>
      </c>
      <c r="I230" s="23">
        <v>3</v>
      </c>
      <c r="J230" s="40">
        <v>0</v>
      </c>
      <c r="K230" s="40">
        <v>0</v>
      </c>
      <c r="L230" s="40" t="s">
        <v>115</v>
      </c>
      <c r="O230" s="40" t="s">
        <v>115</v>
      </c>
      <c r="Q230" s="40">
        <v>205</v>
      </c>
      <c r="R230" s="40">
        <v>300</v>
      </c>
      <c r="X230" s="40">
        <v>90030107</v>
      </c>
      <c r="Y230" s="40" t="s">
        <v>115</v>
      </c>
      <c r="Z230" s="40" t="s">
        <v>115</v>
      </c>
      <c r="AA230" s="40" t="s">
        <v>115</v>
      </c>
      <c r="AB230" s="40" t="s">
        <v>115</v>
      </c>
      <c r="AC230" s="40" t="s">
        <v>115</v>
      </c>
      <c r="AI230" s="40" t="s">
        <v>115</v>
      </c>
      <c r="AP230" s="4" t="s">
        <v>115</v>
      </c>
    </row>
    <row r="231" spans="1:42" x14ac:dyDescent="0.15">
      <c r="A231" s="40" t="s">
        <v>1</v>
      </c>
      <c r="B231" s="23">
        <v>90030107</v>
      </c>
      <c r="C231" s="23">
        <v>301</v>
      </c>
      <c r="D231" s="23">
        <v>3</v>
      </c>
      <c r="F231" s="23" t="s">
        <v>251</v>
      </c>
      <c r="G231" s="23" t="s">
        <v>115</v>
      </c>
      <c r="H231" s="23" t="s">
        <v>382</v>
      </c>
      <c r="I231" s="23">
        <v>3</v>
      </c>
      <c r="J231" s="40">
        <v>0</v>
      </c>
      <c r="K231" s="40">
        <v>0</v>
      </c>
      <c r="L231" s="40" t="s">
        <v>115</v>
      </c>
      <c r="O231" s="40" t="s">
        <v>115</v>
      </c>
      <c r="Q231" s="40">
        <v>205</v>
      </c>
      <c r="R231" s="40">
        <v>300</v>
      </c>
      <c r="X231" s="40">
        <v>90030108</v>
      </c>
      <c r="Y231" s="40" t="s">
        <v>115</v>
      </c>
      <c r="Z231" s="40" t="s">
        <v>115</v>
      </c>
      <c r="AA231" s="40" t="s">
        <v>115</v>
      </c>
      <c r="AB231" s="40" t="s">
        <v>115</v>
      </c>
      <c r="AC231" s="40" t="s">
        <v>115</v>
      </c>
      <c r="AI231" s="40" t="s">
        <v>115</v>
      </c>
      <c r="AP231" s="4" t="s">
        <v>115</v>
      </c>
    </row>
    <row r="232" spans="1:42" x14ac:dyDescent="0.15">
      <c r="A232" s="40" t="s">
        <v>1</v>
      </c>
      <c r="B232" s="23">
        <v>90030108</v>
      </c>
      <c r="C232" s="23">
        <v>301</v>
      </c>
      <c r="D232" s="23">
        <v>3</v>
      </c>
      <c r="F232" s="23" t="s">
        <v>251</v>
      </c>
      <c r="G232" s="23" t="s">
        <v>115</v>
      </c>
      <c r="H232" s="23" t="s">
        <v>1254</v>
      </c>
      <c r="I232" s="23">
        <v>3</v>
      </c>
      <c r="J232" s="40">
        <v>0</v>
      </c>
      <c r="K232" s="40">
        <v>0</v>
      </c>
      <c r="L232" s="40" t="s">
        <v>115</v>
      </c>
      <c r="O232" s="40" t="s">
        <v>115</v>
      </c>
      <c r="Q232" s="40">
        <v>205</v>
      </c>
      <c r="R232" s="40">
        <v>300</v>
      </c>
      <c r="X232" s="40">
        <v>90030109</v>
      </c>
      <c r="Y232" s="40" t="s">
        <v>115</v>
      </c>
      <c r="Z232" s="40" t="s">
        <v>115</v>
      </c>
      <c r="AA232" s="40" t="s">
        <v>115</v>
      </c>
      <c r="AB232" s="40" t="s">
        <v>115</v>
      </c>
      <c r="AC232" s="40" t="s">
        <v>115</v>
      </c>
      <c r="AI232" s="40" t="s">
        <v>115</v>
      </c>
      <c r="AP232" s="4" t="s">
        <v>115</v>
      </c>
    </row>
    <row r="233" spans="1:42" x14ac:dyDescent="0.15">
      <c r="A233" s="40" t="s">
        <v>1</v>
      </c>
      <c r="B233" s="23">
        <v>90030109</v>
      </c>
      <c r="C233" s="23">
        <v>301</v>
      </c>
      <c r="D233" s="23">
        <v>3</v>
      </c>
      <c r="F233" s="23" t="s">
        <v>251</v>
      </c>
      <c r="G233" s="23" t="s">
        <v>115</v>
      </c>
      <c r="H233" s="23" t="s">
        <v>1255</v>
      </c>
      <c r="I233" s="23">
        <v>3</v>
      </c>
      <c r="J233" s="40">
        <v>0</v>
      </c>
      <c r="K233" s="40">
        <v>0</v>
      </c>
      <c r="L233" s="40" t="s">
        <v>115</v>
      </c>
      <c r="O233" s="40" t="s">
        <v>115</v>
      </c>
      <c r="Q233" s="40">
        <v>205</v>
      </c>
      <c r="R233" s="40">
        <v>300</v>
      </c>
      <c r="X233" s="40">
        <v>90030110</v>
      </c>
      <c r="Y233" s="40" t="s">
        <v>115</v>
      </c>
      <c r="Z233" s="40" t="s">
        <v>115</v>
      </c>
      <c r="AA233" s="40" t="s">
        <v>115</v>
      </c>
      <c r="AB233" s="40" t="s">
        <v>115</v>
      </c>
      <c r="AC233" s="40" t="s">
        <v>115</v>
      </c>
      <c r="AI233" s="40" t="s">
        <v>115</v>
      </c>
      <c r="AP233" s="40" t="s">
        <v>115</v>
      </c>
    </row>
    <row r="234" spans="1:42" x14ac:dyDescent="0.15">
      <c r="A234" s="40" t="s">
        <v>1</v>
      </c>
      <c r="B234" s="23">
        <v>90030110</v>
      </c>
      <c r="C234" s="23">
        <v>301</v>
      </c>
      <c r="D234" s="23">
        <v>3</v>
      </c>
      <c r="F234" s="23" t="s">
        <v>115</v>
      </c>
      <c r="G234" s="23" t="s">
        <v>115</v>
      </c>
      <c r="H234" s="23" t="s">
        <v>383</v>
      </c>
      <c r="I234" s="23">
        <v>4</v>
      </c>
      <c r="J234" s="40">
        <v>0</v>
      </c>
      <c r="K234" s="40">
        <v>2</v>
      </c>
      <c r="L234" s="40" t="s">
        <v>115</v>
      </c>
      <c r="O234" s="40" t="s">
        <v>115</v>
      </c>
      <c r="Q234" s="40">
        <v>205</v>
      </c>
      <c r="R234" s="40" t="s">
        <v>115</v>
      </c>
      <c r="X234" s="40" t="s">
        <v>2092</v>
      </c>
      <c r="Y234" s="40">
        <v>1</v>
      </c>
      <c r="Z234" s="40">
        <v>1</v>
      </c>
      <c r="AA234" s="40" t="s">
        <v>115</v>
      </c>
      <c r="AB234" s="40" t="s">
        <v>115</v>
      </c>
      <c r="AC234" s="40" t="s">
        <v>115</v>
      </c>
      <c r="AI234" s="40" t="s">
        <v>115</v>
      </c>
      <c r="AP234" s="4" t="s">
        <v>115</v>
      </c>
    </row>
    <row r="235" spans="1:42" x14ac:dyDescent="0.15">
      <c r="A235" s="40" t="s">
        <v>1</v>
      </c>
      <c r="B235" s="23">
        <v>90030111</v>
      </c>
      <c r="C235" s="23">
        <v>301</v>
      </c>
      <c r="D235" s="23">
        <v>3</v>
      </c>
      <c r="F235" s="23" t="s">
        <v>115</v>
      </c>
      <c r="G235" s="23" t="s">
        <v>115</v>
      </c>
      <c r="H235" s="23" t="s">
        <v>1256</v>
      </c>
      <c r="I235" s="23">
        <v>4</v>
      </c>
      <c r="J235" s="40">
        <v>0</v>
      </c>
      <c r="K235" s="40">
        <v>3</v>
      </c>
      <c r="L235" s="40" t="s">
        <v>115</v>
      </c>
      <c r="O235" s="40" t="s">
        <v>115</v>
      </c>
      <c r="Q235" s="40">
        <v>205</v>
      </c>
      <c r="R235" s="40" t="s">
        <v>115</v>
      </c>
      <c r="X235" s="40">
        <v>90030112</v>
      </c>
      <c r="Y235" s="40">
        <v>-1</v>
      </c>
      <c r="Z235" s="40">
        <v>2</v>
      </c>
      <c r="AA235" s="40" t="s">
        <v>115</v>
      </c>
      <c r="AB235" s="40" t="s">
        <v>115</v>
      </c>
      <c r="AC235" s="40" t="s">
        <v>372</v>
      </c>
      <c r="AI235" s="40" t="s">
        <v>115</v>
      </c>
      <c r="AP235" s="4" t="s">
        <v>115</v>
      </c>
    </row>
    <row r="236" spans="1:42" x14ac:dyDescent="0.15">
      <c r="A236" s="40" t="s">
        <v>1</v>
      </c>
      <c r="B236" s="23">
        <v>90030112</v>
      </c>
      <c r="C236" s="23">
        <v>301</v>
      </c>
      <c r="D236" s="23">
        <v>3</v>
      </c>
      <c r="F236" s="23" t="s">
        <v>115</v>
      </c>
      <c r="G236" s="23" t="s">
        <v>115</v>
      </c>
      <c r="H236" s="23" t="s">
        <v>385</v>
      </c>
      <c r="I236" s="23">
        <v>4</v>
      </c>
      <c r="J236" s="40">
        <v>0</v>
      </c>
      <c r="K236" s="40">
        <v>4</v>
      </c>
      <c r="L236" s="40" t="s">
        <v>725</v>
      </c>
      <c r="O236" s="40" t="s">
        <v>115</v>
      </c>
      <c r="Q236" s="40">
        <v>205</v>
      </c>
      <c r="R236" s="40" t="s">
        <v>115</v>
      </c>
      <c r="X236" s="40">
        <v>90030113</v>
      </c>
      <c r="Y236" s="40" t="s">
        <v>115</v>
      </c>
      <c r="Z236" s="40">
        <v>3</v>
      </c>
      <c r="AA236" s="40" t="s">
        <v>115</v>
      </c>
      <c r="AB236" s="40" t="s">
        <v>115</v>
      </c>
      <c r="AC236" s="40" t="s">
        <v>115</v>
      </c>
      <c r="AI236" s="40" t="s">
        <v>115</v>
      </c>
      <c r="AP236" s="4" t="s">
        <v>115</v>
      </c>
    </row>
    <row r="237" spans="1:42" x14ac:dyDescent="0.15">
      <c r="A237" s="40" t="s">
        <v>1</v>
      </c>
      <c r="B237" s="23">
        <v>90030113</v>
      </c>
      <c r="C237" s="23">
        <v>301</v>
      </c>
      <c r="D237" s="23">
        <v>3</v>
      </c>
      <c r="F237" s="23" t="s">
        <v>116</v>
      </c>
      <c r="G237" s="23">
        <v>312</v>
      </c>
      <c r="H237" s="23" t="s">
        <v>386</v>
      </c>
      <c r="I237" s="23">
        <v>0</v>
      </c>
      <c r="J237" s="40">
        <v>0</v>
      </c>
      <c r="K237" s="40">
        <v>0</v>
      </c>
      <c r="L237" s="40" t="s">
        <v>115</v>
      </c>
      <c r="O237" s="40" t="s">
        <v>115</v>
      </c>
      <c r="Q237" s="40">
        <v>205</v>
      </c>
      <c r="R237" s="40" t="s">
        <v>115</v>
      </c>
      <c r="X237" s="40">
        <v>90030114</v>
      </c>
      <c r="Y237" s="40" t="s">
        <v>115</v>
      </c>
      <c r="Z237" s="40" t="s">
        <v>115</v>
      </c>
      <c r="AA237" s="40" t="s">
        <v>115</v>
      </c>
      <c r="AB237" s="40" t="s">
        <v>115</v>
      </c>
      <c r="AC237" s="40" t="s">
        <v>115</v>
      </c>
      <c r="AI237" s="40" t="s">
        <v>115</v>
      </c>
      <c r="AP237" s="4" t="s">
        <v>115</v>
      </c>
    </row>
    <row r="238" spans="1:42" x14ac:dyDescent="0.15">
      <c r="A238" s="40" t="s">
        <v>1</v>
      </c>
      <c r="B238" s="23">
        <v>90030114</v>
      </c>
      <c r="C238" s="23">
        <v>301</v>
      </c>
      <c r="D238" s="23">
        <v>3</v>
      </c>
      <c r="F238" s="23" t="s">
        <v>115</v>
      </c>
      <c r="G238" s="23" t="s">
        <v>115</v>
      </c>
      <c r="H238" s="23" t="s">
        <v>387</v>
      </c>
      <c r="I238" s="23">
        <v>4</v>
      </c>
      <c r="J238" s="40">
        <v>0</v>
      </c>
      <c r="K238" s="40">
        <v>5</v>
      </c>
      <c r="L238" s="40" t="s">
        <v>115</v>
      </c>
      <c r="O238" s="40">
        <v>1</v>
      </c>
      <c r="Q238" s="40">
        <v>205</v>
      </c>
      <c r="R238" s="40" t="s">
        <v>115</v>
      </c>
      <c r="X238" s="40" t="s">
        <v>115</v>
      </c>
      <c r="Y238" s="40" t="s">
        <v>115</v>
      </c>
      <c r="Z238" s="40">
        <v>4</v>
      </c>
      <c r="AA238" s="40" t="s">
        <v>115</v>
      </c>
      <c r="AB238" s="40" t="s">
        <v>115</v>
      </c>
      <c r="AC238" s="40" t="s">
        <v>115</v>
      </c>
      <c r="AI238" s="40" t="s">
        <v>115</v>
      </c>
      <c r="AP238" s="4" t="s">
        <v>713</v>
      </c>
    </row>
    <row r="239" spans="1:42" x14ac:dyDescent="0.15">
      <c r="A239" s="40" t="s">
        <v>1</v>
      </c>
      <c r="B239" s="23" t="s">
        <v>310</v>
      </c>
      <c r="C239" s="23">
        <v>302</v>
      </c>
      <c r="D239" s="23">
        <v>3</v>
      </c>
      <c r="F239" s="23" t="s">
        <v>116</v>
      </c>
      <c r="G239" s="23">
        <v>312</v>
      </c>
      <c r="H239" s="23" t="s">
        <v>388</v>
      </c>
      <c r="I239" s="23">
        <v>0</v>
      </c>
      <c r="J239" s="40">
        <v>1</v>
      </c>
      <c r="K239" s="40">
        <v>1</v>
      </c>
      <c r="L239" s="40" t="s">
        <v>115</v>
      </c>
      <c r="O239" s="40" t="s">
        <v>115</v>
      </c>
      <c r="Q239" s="40">
        <v>34</v>
      </c>
      <c r="R239" s="40" t="s">
        <v>115</v>
      </c>
      <c r="X239" s="40">
        <v>90030202</v>
      </c>
      <c r="Y239" s="40" t="s">
        <v>115</v>
      </c>
      <c r="Z239" s="40" t="s">
        <v>115</v>
      </c>
      <c r="AA239" s="40" t="s">
        <v>115</v>
      </c>
      <c r="AB239" s="40" t="s">
        <v>115</v>
      </c>
      <c r="AC239" s="40" t="s">
        <v>115</v>
      </c>
      <c r="AI239" s="40" t="s">
        <v>115</v>
      </c>
      <c r="AP239" s="4" t="s">
        <v>115</v>
      </c>
    </row>
    <row r="240" spans="1:42" x14ac:dyDescent="0.15">
      <c r="A240" s="40" t="s">
        <v>1</v>
      </c>
      <c r="B240" s="23">
        <v>90030202</v>
      </c>
      <c r="C240" s="23">
        <v>302</v>
      </c>
      <c r="D240" s="23">
        <v>3</v>
      </c>
      <c r="F240" s="23" t="s">
        <v>115</v>
      </c>
      <c r="G240" s="23" t="s">
        <v>115</v>
      </c>
      <c r="H240" s="23" t="s">
        <v>389</v>
      </c>
      <c r="I240" s="23">
        <v>4</v>
      </c>
      <c r="J240" s="40">
        <v>0</v>
      </c>
      <c r="K240" s="40">
        <v>0</v>
      </c>
      <c r="L240" s="40" t="s">
        <v>115</v>
      </c>
      <c r="O240" s="40" t="s">
        <v>115</v>
      </c>
      <c r="Q240" s="40">
        <v>34</v>
      </c>
      <c r="R240" s="40" t="s">
        <v>115</v>
      </c>
      <c r="X240" s="40">
        <v>90030203</v>
      </c>
      <c r="Y240" s="40" t="s">
        <v>115</v>
      </c>
      <c r="Z240" s="40" t="s">
        <v>115</v>
      </c>
      <c r="AA240" s="40" t="s">
        <v>115</v>
      </c>
      <c r="AB240" s="40" t="s">
        <v>115</v>
      </c>
      <c r="AC240" s="40" t="s">
        <v>115</v>
      </c>
      <c r="AI240" s="40" t="s">
        <v>115</v>
      </c>
      <c r="AP240" s="4" t="s">
        <v>115</v>
      </c>
    </row>
    <row r="241" spans="1:42" x14ac:dyDescent="0.15">
      <c r="A241" s="40" t="s">
        <v>1</v>
      </c>
      <c r="B241" s="23">
        <v>90030203</v>
      </c>
      <c r="C241" s="23">
        <v>302</v>
      </c>
      <c r="D241" s="23">
        <v>3</v>
      </c>
      <c r="F241" s="23" t="s">
        <v>116</v>
      </c>
      <c r="G241" s="23">
        <v>312</v>
      </c>
      <c r="H241" s="23" t="s">
        <v>390</v>
      </c>
      <c r="I241" s="23">
        <v>0</v>
      </c>
      <c r="J241" s="40">
        <v>0</v>
      </c>
      <c r="K241" s="40">
        <v>0</v>
      </c>
      <c r="L241" s="40" t="s">
        <v>115</v>
      </c>
      <c r="O241" s="40" t="s">
        <v>115</v>
      </c>
      <c r="Q241" s="40">
        <v>34</v>
      </c>
      <c r="R241" s="40" t="s">
        <v>115</v>
      </c>
      <c r="X241" s="40">
        <v>90030204</v>
      </c>
      <c r="Y241" s="40" t="s">
        <v>115</v>
      </c>
      <c r="Z241" s="40" t="s">
        <v>115</v>
      </c>
      <c r="AA241" s="40" t="s">
        <v>115</v>
      </c>
      <c r="AB241" s="40" t="s">
        <v>115</v>
      </c>
      <c r="AC241" s="40" t="s">
        <v>115</v>
      </c>
      <c r="AI241" s="40" t="s">
        <v>115</v>
      </c>
      <c r="AP241" s="4" t="s">
        <v>115</v>
      </c>
    </row>
    <row r="242" spans="1:42" x14ac:dyDescent="0.15">
      <c r="A242" s="40" t="s">
        <v>1</v>
      </c>
      <c r="B242" s="23">
        <v>90030204</v>
      </c>
      <c r="C242" s="23">
        <v>302</v>
      </c>
      <c r="D242" s="23">
        <v>3</v>
      </c>
      <c r="F242" s="23" t="s">
        <v>322</v>
      </c>
      <c r="G242" s="23" t="s">
        <v>115</v>
      </c>
      <c r="H242" s="23" t="s">
        <v>1257</v>
      </c>
      <c r="I242" s="23">
        <v>3</v>
      </c>
      <c r="J242" s="40">
        <v>0</v>
      </c>
      <c r="K242" s="40">
        <v>0</v>
      </c>
      <c r="L242" s="40" t="s">
        <v>115</v>
      </c>
      <c r="O242" s="40" t="s">
        <v>115</v>
      </c>
      <c r="Q242" s="40">
        <v>34</v>
      </c>
      <c r="R242" s="40">
        <v>243</v>
      </c>
      <c r="X242" s="40">
        <v>90030205</v>
      </c>
      <c r="Y242" s="40" t="s">
        <v>115</v>
      </c>
      <c r="Z242" s="40" t="s">
        <v>115</v>
      </c>
      <c r="AA242" s="40" t="s">
        <v>115</v>
      </c>
      <c r="AB242" s="40" t="s">
        <v>115</v>
      </c>
      <c r="AC242" s="40" t="s">
        <v>115</v>
      </c>
      <c r="AI242" s="40" t="s">
        <v>115</v>
      </c>
      <c r="AP242" s="4" t="s">
        <v>115</v>
      </c>
    </row>
    <row r="243" spans="1:42" x14ac:dyDescent="0.15">
      <c r="A243" s="40" t="s">
        <v>1</v>
      </c>
      <c r="B243" s="23">
        <v>90030205</v>
      </c>
      <c r="C243" s="23">
        <v>302</v>
      </c>
      <c r="D243" s="23">
        <v>3</v>
      </c>
      <c r="F243" s="23" t="s">
        <v>116</v>
      </c>
      <c r="G243" s="23">
        <v>314</v>
      </c>
      <c r="H243" s="23" t="s">
        <v>391</v>
      </c>
      <c r="I243" s="23">
        <v>0</v>
      </c>
      <c r="J243" s="40">
        <v>0</v>
      </c>
      <c r="K243" s="40">
        <v>0</v>
      </c>
      <c r="L243" s="40" t="s">
        <v>115</v>
      </c>
      <c r="O243" s="40" t="s">
        <v>115</v>
      </c>
      <c r="Q243" s="40">
        <v>34</v>
      </c>
      <c r="R243" s="40">
        <v>243</v>
      </c>
      <c r="X243" s="40">
        <v>90030206</v>
      </c>
      <c r="Y243" s="40" t="s">
        <v>115</v>
      </c>
      <c r="Z243" s="40" t="s">
        <v>115</v>
      </c>
      <c r="AA243" s="40" t="s">
        <v>115</v>
      </c>
      <c r="AB243" s="40" t="s">
        <v>115</v>
      </c>
      <c r="AC243" s="40" t="s">
        <v>115</v>
      </c>
      <c r="AI243" s="40" t="s">
        <v>115</v>
      </c>
      <c r="AP243" s="4" t="s">
        <v>115</v>
      </c>
    </row>
    <row r="244" spans="1:42" x14ac:dyDescent="0.15">
      <c r="A244" s="40" t="s">
        <v>1</v>
      </c>
      <c r="B244" s="23">
        <v>90030206</v>
      </c>
      <c r="C244" s="23">
        <v>302</v>
      </c>
      <c r="D244" s="23">
        <v>3</v>
      </c>
      <c r="F244" s="23" t="s">
        <v>322</v>
      </c>
      <c r="G244" s="23" t="s">
        <v>115</v>
      </c>
      <c r="H244" s="23" t="s">
        <v>392</v>
      </c>
      <c r="I244" s="23">
        <v>3</v>
      </c>
      <c r="J244" s="40">
        <v>0</v>
      </c>
      <c r="K244" s="40">
        <v>0</v>
      </c>
      <c r="L244" s="40" t="s">
        <v>115</v>
      </c>
      <c r="O244" s="40" t="s">
        <v>115</v>
      </c>
      <c r="Q244" s="40">
        <v>34</v>
      </c>
      <c r="R244" s="40">
        <v>243</v>
      </c>
      <c r="X244" s="40">
        <v>90030207</v>
      </c>
      <c r="Y244" s="40" t="s">
        <v>115</v>
      </c>
      <c r="Z244" s="40" t="s">
        <v>115</v>
      </c>
      <c r="AA244" s="40" t="s">
        <v>115</v>
      </c>
      <c r="AB244" s="40" t="s">
        <v>115</v>
      </c>
      <c r="AC244" s="40" t="s">
        <v>115</v>
      </c>
      <c r="AI244" s="40" t="s">
        <v>115</v>
      </c>
      <c r="AP244" s="4" t="s">
        <v>115</v>
      </c>
    </row>
    <row r="245" spans="1:42" x14ac:dyDescent="0.15">
      <c r="A245" s="40" t="s">
        <v>1</v>
      </c>
      <c r="B245" s="23">
        <v>90030207</v>
      </c>
      <c r="C245" s="23">
        <v>302</v>
      </c>
      <c r="D245" s="23">
        <v>3</v>
      </c>
      <c r="F245" s="23" t="s">
        <v>115</v>
      </c>
      <c r="G245" s="23" t="s">
        <v>115</v>
      </c>
      <c r="H245" s="23" t="s">
        <v>393</v>
      </c>
      <c r="I245" s="23">
        <v>4</v>
      </c>
      <c r="J245" s="40">
        <v>0</v>
      </c>
      <c r="K245" s="40">
        <v>2</v>
      </c>
      <c r="L245" s="40" t="s">
        <v>115</v>
      </c>
      <c r="O245" s="40" t="s">
        <v>115</v>
      </c>
      <c r="Q245" s="40">
        <v>34</v>
      </c>
      <c r="R245" s="40">
        <v>243</v>
      </c>
      <c r="X245" s="40" t="s">
        <v>2093</v>
      </c>
      <c r="Y245" s="40">
        <v>1</v>
      </c>
      <c r="Z245" s="40">
        <v>1</v>
      </c>
      <c r="AA245" s="40" t="s">
        <v>115</v>
      </c>
      <c r="AB245" s="40" t="s">
        <v>115</v>
      </c>
      <c r="AC245" s="40" t="s">
        <v>115</v>
      </c>
      <c r="AI245" s="40" t="s">
        <v>115</v>
      </c>
      <c r="AP245" s="4" t="s">
        <v>115</v>
      </c>
    </row>
    <row r="246" spans="1:42" x14ac:dyDescent="0.15">
      <c r="A246" s="40" t="s">
        <v>1</v>
      </c>
      <c r="B246" s="23">
        <v>90030208</v>
      </c>
      <c r="C246" s="23">
        <v>302</v>
      </c>
      <c r="D246" s="23">
        <v>3</v>
      </c>
      <c r="F246" s="23" t="s">
        <v>115</v>
      </c>
      <c r="G246" s="23" t="s">
        <v>115</v>
      </c>
      <c r="H246" s="23" t="s">
        <v>394</v>
      </c>
      <c r="I246" s="23">
        <v>4</v>
      </c>
      <c r="J246" s="40">
        <v>0</v>
      </c>
      <c r="K246" s="40">
        <v>3</v>
      </c>
      <c r="L246" s="40" t="s">
        <v>115</v>
      </c>
      <c r="O246" s="40" t="s">
        <v>115</v>
      </c>
      <c r="Q246" s="40">
        <v>34</v>
      </c>
      <c r="R246" s="40">
        <v>243</v>
      </c>
      <c r="X246" s="40">
        <v>90030210</v>
      </c>
      <c r="Y246" s="40">
        <v>-1</v>
      </c>
      <c r="Z246" s="40">
        <v>2</v>
      </c>
      <c r="AA246" s="40" t="s">
        <v>327</v>
      </c>
      <c r="AB246" s="40" t="s">
        <v>115</v>
      </c>
      <c r="AC246" s="40" t="s">
        <v>115</v>
      </c>
      <c r="AI246" s="40" t="s">
        <v>115</v>
      </c>
      <c r="AP246" s="40" t="s">
        <v>115</v>
      </c>
    </row>
    <row r="247" spans="1:42" x14ac:dyDescent="0.15">
      <c r="A247" s="40" t="s">
        <v>1</v>
      </c>
      <c r="B247" s="23">
        <v>90030209</v>
      </c>
      <c r="C247" s="23">
        <v>302</v>
      </c>
      <c r="D247" s="23">
        <v>3</v>
      </c>
      <c r="F247" s="23" t="s">
        <v>115</v>
      </c>
      <c r="G247" s="23" t="s">
        <v>115</v>
      </c>
      <c r="H247" s="23" t="s">
        <v>395</v>
      </c>
      <c r="I247" s="23">
        <v>4</v>
      </c>
      <c r="J247" s="40">
        <v>0</v>
      </c>
      <c r="K247" s="40">
        <v>4</v>
      </c>
      <c r="L247" s="40" t="s">
        <v>115</v>
      </c>
      <c r="O247" s="40" t="s">
        <v>115</v>
      </c>
      <c r="Q247" s="40">
        <v>34</v>
      </c>
      <c r="R247" s="40">
        <v>243</v>
      </c>
      <c r="X247" s="40">
        <v>90030212</v>
      </c>
      <c r="Y247" s="40">
        <v>-1</v>
      </c>
      <c r="Z247" s="40">
        <v>2</v>
      </c>
      <c r="AA247" s="40" t="s">
        <v>115</v>
      </c>
      <c r="AB247" s="40" t="s">
        <v>115</v>
      </c>
      <c r="AC247" s="40" t="s">
        <v>376</v>
      </c>
      <c r="AI247" s="40" t="s">
        <v>115</v>
      </c>
      <c r="AP247" s="4" t="s">
        <v>115</v>
      </c>
    </row>
    <row r="248" spans="1:42" x14ac:dyDescent="0.15">
      <c r="A248" s="40" t="s">
        <v>1</v>
      </c>
      <c r="B248" s="23">
        <v>90030210</v>
      </c>
      <c r="C248" s="23">
        <v>302</v>
      </c>
      <c r="D248" s="23">
        <v>3</v>
      </c>
      <c r="F248" s="23" t="s">
        <v>115</v>
      </c>
      <c r="G248" s="23" t="s">
        <v>115</v>
      </c>
      <c r="H248" s="23" t="s">
        <v>397</v>
      </c>
      <c r="I248" s="23">
        <v>4</v>
      </c>
      <c r="J248" s="40">
        <v>0</v>
      </c>
      <c r="K248" s="40">
        <v>0</v>
      </c>
      <c r="L248" s="40" t="s">
        <v>115</v>
      </c>
      <c r="O248" s="40" t="s">
        <v>115</v>
      </c>
      <c r="Q248" s="40">
        <v>34</v>
      </c>
      <c r="R248" s="40">
        <v>243</v>
      </c>
      <c r="X248" s="40">
        <v>90030211</v>
      </c>
      <c r="Y248" s="40" t="s">
        <v>115</v>
      </c>
      <c r="Z248" s="40" t="s">
        <v>115</v>
      </c>
      <c r="AA248" s="40" t="s">
        <v>115</v>
      </c>
      <c r="AB248" s="40" t="s">
        <v>115</v>
      </c>
      <c r="AC248" s="40" t="s">
        <v>115</v>
      </c>
      <c r="AI248" s="40" t="s">
        <v>115</v>
      </c>
      <c r="AP248" s="4" t="s">
        <v>115</v>
      </c>
    </row>
    <row r="249" spans="1:42" x14ac:dyDescent="0.15">
      <c r="A249" s="40" t="s">
        <v>1</v>
      </c>
      <c r="B249" s="23">
        <v>90030211</v>
      </c>
      <c r="C249" s="23">
        <v>302</v>
      </c>
      <c r="D249" s="23">
        <v>3</v>
      </c>
      <c r="F249" s="23" t="s">
        <v>322</v>
      </c>
      <c r="G249" s="23" t="s">
        <v>115</v>
      </c>
      <c r="H249" s="23" t="s">
        <v>398</v>
      </c>
      <c r="I249" s="23">
        <v>3</v>
      </c>
      <c r="J249" s="40">
        <v>0</v>
      </c>
      <c r="K249" s="40">
        <v>0</v>
      </c>
      <c r="L249" s="40" t="s">
        <v>115</v>
      </c>
      <c r="O249" s="40" t="s">
        <v>115</v>
      </c>
      <c r="Q249" s="40">
        <v>34</v>
      </c>
      <c r="R249" s="40">
        <v>243</v>
      </c>
      <c r="X249" s="40">
        <v>90030213</v>
      </c>
      <c r="Y249" s="40" t="s">
        <v>115</v>
      </c>
      <c r="Z249" s="40" t="s">
        <v>115</v>
      </c>
      <c r="AA249" s="40" t="s">
        <v>115</v>
      </c>
      <c r="AB249" s="40" t="s">
        <v>115</v>
      </c>
      <c r="AC249" s="40" t="s">
        <v>115</v>
      </c>
      <c r="AI249" s="40" t="s">
        <v>115</v>
      </c>
      <c r="AP249" s="4" t="s">
        <v>115</v>
      </c>
    </row>
    <row r="250" spans="1:42" x14ac:dyDescent="0.15">
      <c r="A250" s="40" t="s">
        <v>1</v>
      </c>
      <c r="B250" s="23">
        <v>90030212</v>
      </c>
      <c r="C250" s="23">
        <v>302</v>
      </c>
      <c r="D250" s="23">
        <v>3</v>
      </c>
      <c r="F250" s="23" t="s">
        <v>322</v>
      </c>
      <c r="G250" s="23" t="s">
        <v>115</v>
      </c>
      <c r="H250" s="23" t="s">
        <v>399</v>
      </c>
      <c r="I250" s="23">
        <v>3</v>
      </c>
      <c r="J250" s="40">
        <v>0</v>
      </c>
      <c r="K250" s="40">
        <v>0</v>
      </c>
      <c r="L250" s="40" t="s">
        <v>115</v>
      </c>
      <c r="O250" s="40" t="s">
        <v>115</v>
      </c>
      <c r="Q250" s="40">
        <v>34</v>
      </c>
      <c r="R250" s="40">
        <v>243</v>
      </c>
      <c r="X250" s="40">
        <v>90030213</v>
      </c>
      <c r="Y250" s="40" t="s">
        <v>115</v>
      </c>
      <c r="Z250" s="40" t="s">
        <v>115</v>
      </c>
      <c r="AA250" s="40" t="s">
        <v>115</v>
      </c>
      <c r="AB250" s="40" t="s">
        <v>115</v>
      </c>
      <c r="AC250" s="40" t="s">
        <v>115</v>
      </c>
      <c r="AI250" s="40" t="s">
        <v>115</v>
      </c>
      <c r="AP250" s="4" t="s">
        <v>115</v>
      </c>
    </row>
    <row r="251" spans="1:42" x14ac:dyDescent="0.15">
      <c r="A251" s="40" t="s">
        <v>1</v>
      </c>
      <c r="B251" s="23">
        <v>90030213</v>
      </c>
      <c r="C251" s="23">
        <v>302</v>
      </c>
      <c r="D251" s="23">
        <v>3</v>
      </c>
      <c r="F251" s="23" t="s">
        <v>322</v>
      </c>
      <c r="G251" s="23" t="s">
        <v>115</v>
      </c>
      <c r="H251" s="23" t="s">
        <v>1258</v>
      </c>
      <c r="I251" s="23">
        <v>3</v>
      </c>
      <c r="J251" s="40">
        <v>0</v>
      </c>
      <c r="K251" s="40">
        <v>0</v>
      </c>
      <c r="L251" s="40" t="s">
        <v>115</v>
      </c>
      <c r="O251" s="40" t="s">
        <v>115</v>
      </c>
      <c r="Q251" s="40">
        <v>34</v>
      </c>
      <c r="R251" s="40">
        <v>243</v>
      </c>
      <c r="X251" s="40">
        <v>90030214</v>
      </c>
      <c r="Y251" s="40" t="s">
        <v>115</v>
      </c>
      <c r="Z251" s="40" t="s">
        <v>115</v>
      </c>
      <c r="AA251" s="40" t="s">
        <v>115</v>
      </c>
      <c r="AB251" s="40" t="s">
        <v>115</v>
      </c>
      <c r="AC251" s="40" t="s">
        <v>115</v>
      </c>
      <c r="AI251" s="40" t="s">
        <v>115</v>
      </c>
      <c r="AP251" s="4" t="s">
        <v>115</v>
      </c>
    </row>
    <row r="252" spans="1:42" x14ac:dyDescent="0.15">
      <c r="A252" s="40" t="s">
        <v>1</v>
      </c>
      <c r="B252" s="23">
        <v>90030214</v>
      </c>
      <c r="C252" s="23">
        <v>302</v>
      </c>
      <c r="D252" s="23">
        <v>3</v>
      </c>
      <c r="F252" s="23" t="s">
        <v>322</v>
      </c>
      <c r="G252" s="23" t="s">
        <v>115</v>
      </c>
      <c r="H252" s="23" t="s">
        <v>400</v>
      </c>
      <c r="I252" s="23">
        <v>3</v>
      </c>
      <c r="J252" s="40">
        <v>0</v>
      </c>
      <c r="K252" s="40">
        <v>0</v>
      </c>
      <c r="L252" s="40" t="s">
        <v>115</v>
      </c>
      <c r="O252" s="40" t="s">
        <v>115</v>
      </c>
      <c r="Q252" s="40">
        <v>34</v>
      </c>
      <c r="R252" s="40">
        <v>243</v>
      </c>
      <c r="X252" s="40">
        <v>90030215</v>
      </c>
      <c r="Y252" s="40" t="s">
        <v>115</v>
      </c>
      <c r="Z252" s="40" t="s">
        <v>115</v>
      </c>
      <c r="AA252" s="40" t="s">
        <v>115</v>
      </c>
      <c r="AB252" s="40" t="s">
        <v>115</v>
      </c>
      <c r="AC252" s="40" t="s">
        <v>115</v>
      </c>
      <c r="AI252" s="40" t="s">
        <v>115</v>
      </c>
      <c r="AP252" s="4" t="s">
        <v>115</v>
      </c>
    </row>
    <row r="253" spans="1:42" x14ac:dyDescent="0.15">
      <c r="A253" s="40" t="s">
        <v>1</v>
      </c>
      <c r="B253" s="23">
        <v>90030215</v>
      </c>
      <c r="C253" s="23">
        <v>302</v>
      </c>
      <c r="D253" s="23">
        <v>3</v>
      </c>
      <c r="F253" s="23" t="s">
        <v>322</v>
      </c>
      <c r="G253" s="23" t="s">
        <v>115</v>
      </c>
      <c r="H253" s="23" t="s">
        <v>401</v>
      </c>
      <c r="I253" s="23">
        <v>3</v>
      </c>
      <c r="J253" s="40">
        <v>0</v>
      </c>
      <c r="K253" s="40">
        <v>5</v>
      </c>
      <c r="L253" s="40" t="s">
        <v>726</v>
      </c>
      <c r="O253" s="40">
        <v>1</v>
      </c>
      <c r="Q253" s="40">
        <v>34</v>
      </c>
      <c r="R253" s="40">
        <v>243</v>
      </c>
      <c r="X253" s="40" t="s">
        <v>115</v>
      </c>
      <c r="Y253" s="40" t="s">
        <v>115</v>
      </c>
      <c r="Z253" s="40">
        <v>4</v>
      </c>
      <c r="AA253" s="40" t="s">
        <v>115</v>
      </c>
      <c r="AB253" s="40" t="s">
        <v>115</v>
      </c>
      <c r="AC253" s="40" t="s">
        <v>115</v>
      </c>
      <c r="AI253" s="40" t="s">
        <v>115</v>
      </c>
      <c r="AP253" s="4" t="s">
        <v>2094</v>
      </c>
    </row>
    <row r="254" spans="1:42" x14ac:dyDescent="0.15">
      <c r="A254" s="40" t="s">
        <v>1</v>
      </c>
      <c r="B254" s="23" t="s">
        <v>311</v>
      </c>
      <c r="C254" s="23">
        <v>303</v>
      </c>
      <c r="D254" s="23">
        <v>3</v>
      </c>
      <c r="F254" s="23" t="s">
        <v>115</v>
      </c>
      <c r="G254" s="23" t="s">
        <v>115</v>
      </c>
      <c r="H254" s="23" t="s">
        <v>402</v>
      </c>
      <c r="I254" s="23">
        <v>4</v>
      </c>
      <c r="J254" s="40">
        <v>1</v>
      </c>
      <c r="K254" s="40">
        <v>1</v>
      </c>
      <c r="L254" s="40" t="s">
        <v>115</v>
      </c>
      <c r="O254" s="40" t="s">
        <v>115</v>
      </c>
      <c r="Q254" s="40">
        <v>197</v>
      </c>
      <c r="R254" s="40" t="s">
        <v>115</v>
      </c>
      <c r="X254" s="40">
        <v>90030302</v>
      </c>
      <c r="Y254" s="40" t="s">
        <v>115</v>
      </c>
      <c r="Z254" s="40" t="s">
        <v>115</v>
      </c>
      <c r="AA254" s="40" t="s">
        <v>115</v>
      </c>
      <c r="AB254" s="40" t="s">
        <v>115</v>
      </c>
      <c r="AC254" s="40" t="s">
        <v>115</v>
      </c>
      <c r="AI254" s="40" t="s">
        <v>115</v>
      </c>
      <c r="AP254" s="4" t="s">
        <v>115</v>
      </c>
    </row>
    <row r="255" spans="1:42" x14ac:dyDescent="0.15">
      <c r="A255" s="40" t="s">
        <v>1</v>
      </c>
      <c r="B255" s="23">
        <v>90030302</v>
      </c>
      <c r="C255" s="23">
        <v>303</v>
      </c>
      <c r="D255" s="23">
        <v>3</v>
      </c>
      <c r="F255" s="23" t="s">
        <v>115</v>
      </c>
      <c r="G255" s="23" t="s">
        <v>115</v>
      </c>
      <c r="H255" s="23" t="s">
        <v>403</v>
      </c>
      <c r="I255" s="23">
        <v>4</v>
      </c>
      <c r="J255" s="40">
        <v>0</v>
      </c>
      <c r="K255" s="40">
        <v>0</v>
      </c>
      <c r="L255" s="40" t="s">
        <v>115</v>
      </c>
      <c r="O255" s="40" t="s">
        <v>115</v>
      </c>
      <c r="Q255" s="40">
        <v>197</v>
      </c>
      <c r="R255" s="40" t="s">
        <v>115</v>
      </c>
      <c r="X255" s="40">
        <v>90030303</v>
      </c>
      <c r="Y255" s="40" t="s">
        <v>115</v>
      </c>
      <c r="Z255" s="40" t="s">
        <v>115</v>
      </c>
      <c r="AA255" s="40" t="s">
        <v>115</v>
      </c>
      <c r="AB255" s="40" t="s">
        <v>115</v>
      </c>
      <c r="AC255" s="40" t="s">
        <v>115</v>
      </c>
      <c r="AI255" s="40" t="s">
        <v>115</v>
      </c>
      <c r="AP255" s="40" t="s">
        <v>115</v>
      </c>
    </row>
    <row r="256" spans="1:42" x14ac:dyDescent="0.15">
      <c r="A256" s="40" t="s">
        <v>1</v>
      </c>
      <c r="B256" s="23">
        <v>90030303</v>
      </c>
      <c r="C256" s="23">
        <v>303</v>
      </c>
      <c r="D256" s="23">
        <v>3</v>
      </c>
      <c r="F256" s="23" t="s">
        <v>116</v>
      </c>
      <c r="G256" s="23">
        <v>312</v>
      </c>
      <c r="H256" s="23" t="s">
        <v>404</v>
      </c>
      <c r="I256" s="23">
        <v>0</v>
      </c>
      <c r="J256" s="40">
        <v>0</v>
      </c>
      <c r="K256" s="40">
        <v>0</v>
      </c>
      <c r="L256" s="40" t="s">
        <v>115</v>
      </c>
      <c r="O256" s="40" t="s">
        <v>115</v>
      </c>
      <c r="Q256" s="40">
        <v>197</v>
      </c>
      <c r="R256" s="40" t="s">
        <v>115</v>
      </c>
      <c r="X256" s="40">
        <v>90030304</v>
      </c>
      <c r="Y256" s="40" t="s">
        <v>115</v>
      </c>
      <c r="Z256" s="40" t="s">
        <v>115</v>
      </c>
      <c r="AA256" s="40" t="s">
        <v>115</v>
      </c>
      <c r="AB256" s="40" t="s">
        <v>115</v>
      </c>
      <c r="AC256" s="40" t="s">
        <v>115</v>
      </c>
      <c r="AI256" s="40" t="s">
        <v>115</v>
      </c>
      <c r="AP256" s="4" t="s">
        <v>115</v>
      </c>
    </row>
    <row r="257" spans="1:42" x14ac:dyDescent="0.15">
      <c r="A257" s="40" t="s">
        <v>1</v>
      </c>
      <c r="B257" s="23">
        <v>90030304</v>
      </c>
      <c r="C257" s="23">
        <v>303</v>
      </c>
      <c r="D257" s="23">
        <v>3</v>
      </c>
      <c r="F257" s="23" t="s">
        <v>115</v>
      </c>
      <c r="G257" s="23" t="s">
        <v>115</v>
      </c>
      <c r="H257" s="23" t="s">
        <v>405</v>
      </c>
      <c r="I257" s="23">
        <v>4</v>
      </c>
      <c r="J257" s="40">
        <v>0</v>
      </c>
      <c r="K257" s="40">
        <v>0</v>
      </c>
      <c r="L257" s="40" t="s">
        <v>115</v>
      </c>
      <c r="O257" s="40" t="s">
        <v>115</v>
      </c>
      <c r="Q257" s="40">
        <v>197</v>
      </c>
      <c r="R257" s="40" t="s">
        <v>115</v>
      </c>
      <c r="X257" s="40">
        <v>90030305</v>
      </c>
      <c r="Y257" s="40" t="s">
        <v>115</v>
      </c>
      <c r="Z257" s="40" t="s">
        <v>115</v>
      </c>
      <c r="AA257" s="40" t="s">
        <v>115</v>
      </c>
      <c r="AB257" s="40" t="s">
        <v>115</v>
      </c>
      <c r="AC257" s="40" t="s">
        <v>115</v>
      </c>
      <c r="AI257" s="40" t="s">
        <v>115</v>
      </c>
      <c r="AP257" s="4" t="s">
        <v>115</v>
      </c>
    </row>
    <row r="258" spans="1:42" x14ac:dyDescent="0.15">
      <c r="A258" s="40" t="s">
        <v>1</v>
      </c>
      <c r="B258" s="23">
        <v>90030305</v>
      </c>
      <c r="C258" s="23">
        <v>303</v>
      </c>
      <c r="D258" s="23">
        <v>3</v>
      </c>
      <c r="F258" s="23" t="s">
        <v>116</v>
      </c>
      <c r="G258" s="23">
        <v>314</v>
      </c>
      <c r="H258" s="23" t="s">
        <v>406</v>
      </c>
      <c r="I258" s="23">
        <v>0</v>
      </c>
      <c r="J258" s="40">
        <v>0</v>
      </c>
      <c r="K258" s="40">
        <v>0</v>
      </c>
      <c r="L258" s="40" t="s">
        <v>115</v>
      </c>
      <c r="O258" s="40" t="s">
        <v>115</v>
      </c>
      <c r="Q258" s="40">
        <v>197</v>
      </c>
      <c r="R258" s="40" t="s">
        <v>115</v>
      </c>
      <c r="X258" s="40">
        <v>90030306</v>
      </c>
      <c r="Y258" s="40" t="s">
        <v>115</v>
      </c>
      <c r="Z258" s="40" t="s">
        <v>115</v>
      </c>
      <c r="AA258" s="40" t="s">
        <v>115</v>
      </c>
      <c r="AB258" s="40" t="s">
        <v>115</v>
      </c>
      <c r="AC258" s="40" t="s">
        <v>115</v>
      </c>
      <c r="AI258" s="40" t="s">
        <v>115</v>
      </c>
      <c r="AP258" s="4" t="s">
        <v>115</v>
      </c>
    </row>
    <row r="259" spans="1:42" x14ac:dyDescent="0.15">
      <c r="A259" s="40" t="s">
        <v>1</v>
      </c>
      <c r="B259" s="23">
        <v>90030306</v>
      </c>
      <c r="C259" s="23">
        <v>303</v>
      </c>
      <c r="D259" s="23">
        <v>3</v>
      </c>
      <c r="F259" s="23" t="s">
        <v>115</v>
      </c>
      <c r="G259" s="23" t="s">
        <v>115</v>
      </c>
      <c r="H259" s="23" t="s">
        <v>407</v>
      </c>
      <c r="I259" s="23">
        <v>4</v>
      </c>
      <c r="J259" s="40">
        <v>0</v>
      </c>
      <c r="K259" s="40">
        <v>2</v>
      </c>
      <c r="L259" s="40" t="s">
        <v>115</v>
      </c>
      <c r="O259" s="40" t="s">
        <v>115</v>
      </c>
      <c r="Q259" s="40">
        <v>197</v>
      </c>
      <c r="R259" s="40" t="s">
        <v>115</v>
      </c>
      <c r="X259" s="40" t="s">
        <v>2095</v>
      </c>
      <c r="Y259" s="40">
        <v>1</v>
      </c>
      <c r="Z259" s="40">
        <v>1</v>
      </c>
      <c r="AA259" s="40" t="s">
        <v>115</v>
      </c>
      <c r="AB259" s="40" t="s">
        <v>115</v>
      </c>
      <c r="AC259" s="40" t="s">
        <v>115</v>
      </c>
      <c r="AI259" s="40" t="s">
        <v>115</v>
      </c>
      <c r="AP259" s="4" t="s">
        <v>115</v>
      </c>
    </row>
    <row r="260" spans="1:42" x14ac:dyDescent="0.15">
      <c r="A260" s="40" t="s">
        <v>1</v>
      </c>
      <c r="B260" s="23">
        <v>90030307</v>
      </c>
      <c r="C260" s="23">
        <v>303</v>
      </c>
      <c r="D260" s="23">
        <v>3</v>
      </c>
      <c r="F260" s="23" t="s">
        <v>115</v>
      </c>
      <c r="G260" s="23" t="s">
        <v>115</v>
      </c>
      <c r="H260" s="23" t="s">
        <v>408</v>
      </c>
      <c r="I260" s="23">
        <v>4</v>
      </c>
      <c r="J260" s="40">
        <v>0</v>
      </c>
      <c r="K260" s="40">
        <v>3</v>
      </c>
      <c r="L260" s="40" t="s">
        <v>115</v>
      </c>
      <c r="O260" s="40" t="s">
        <v>115</v>
      </c>
      <c r="Q260" s="40">
        <v>197</v>
      </c>
      <c r="R260" s="40" t="s">
        <v>115</v>
      </c>
      <c r="X260" s="40">
        <v>90030308</v>
      </c>
      <c r="Y260" s="40">
        <v>-1</v>
      </c>
      <c r="Z260" s="40">
        <v>2</v>
      </c>
      <c r="AA260" s="40" t="s">
        <v>115</v>
      </c>
      <c r="AB260" s="40" t="s">
        <v>115</v>
      </c>
      <c r="AC260" s="40" t="s">
        <v>374</v>
      </c>
      <c r="AI260" s="40" t="s">
        <v>115</v>
      </c>
      <c r="AP260" s="4" t="s">
        <v>115</v>
      </c>
    </row>
    <row r="261" spans="1:42" x14ac:dyDescent="0.15">
      <c r="A261" s="40" t="s">
        <v>1</v>
      </c>
      <c r="B261" s="23">
        <v>90030308</v>
      </c>
      <c r="C261" s="23">
        <v>303</v>
      </c>
      <c r="D261" s="23">
        <v>3</v>
      </c>
      <c r="F261" s="23" t="s">
        <v>115</v>
      </c>
      <c r="G261" s="23" t="s">
        <v>115</v>
      </c>
      <c r="H261" s="23" t="s">
        <v>410</v>
      </c>
      <c r="I261" s="23">
        <v>4</v>
      </c>
      <c r="J261" s="40">
        <v>0</v>
      </c>
      <c r="K261" s="40">
        <v>0</v>
      </c>
      <c r="L261" s="40" t="s">
        <v>115</v>
      </c>
      <c r="O261" s="40" t="s">
        <v>115</v>
      </c>
      <c r="Q261" s="40">
        <v>197</v>
      </c>
      <c r="R261" s="40" t="s">
        <v>115</v>
      </c>
      <c r="X261" s="40">
        <v>90030309</v>
      </c>
      <c r="Y261" s="40" t="s">
        <v>115</v>
      </c>
      <c r="Z261" s="40" t="s">
        <v>115</v>
      </c>
      <c r="AA261" s="40" t="s">
        <v>115</v>
      </c>
      <c r="AB261" s="40" t="s">
        <v>115</v>
      </c>
      <c r="AC261" s="40" t="s">
        <v>115</v>
      </c>
      <c r="AI261" s="40" t="s">
        <v>115</v>
      </c>
      <c r="AP261" s="4" t="s">
        <v>115</v>
      </c>
    </row>
    <row r="262" spans="1:42" x14ac:dyDescent="0.15">
      <c r="A262" s="40" t="s">
        <v>1</v>
      </c>
      <c r="B262" s="23">
        <v>90030309</v>
      </c>
      <c r="C262" s="23">
        <v>303</v>
      </c>
      <c r="D262" s="23">
        <v>3</v>
      </c>
      <c r="F262" s="23" t="s">
        <v>116</v>
      </c>
      <c r="G262" s="23">
        <v>313</v>
      </c>
      <c r="H262" s="23" t="s">
        <v>411</v>
      </c>
      <c r="I262" s="23">
        <v>0</v>
      </c>
      <c r="J262" s="40">
        <v>0</v>
      </c>
      <c r="K262" s="40">
        <v>0</v>
      </c>
      <c r="L262" s="40" t="s">
        <v>115</v>
      </c>
      <c r="O262" s="40" t="s">
        <v>115</v>
      </c>
      <c r="Q262" s="40">
        <v>197</v>
      </c>
      <c r="R262" s="40" t="s">
        <v>115</v>
      </c>
      <c r="X262" s="40">
        <v>90030310</v>
      </c>
      <c r="Y262" s="40" t="s">
        <v>115</v>
      </c>
      <c r="Z262" s="40" t="s">
        <v>115</v>
      </c>
      <c r="AA262" s="40" t="s">
        <v>115</v>
      </c>
      <c r="AB262" s="40" t="s">
        <v>115</v>
      </c>
      <c r="AC262" s="40" t="s">
        <v>115</v>
      </c>
      <c r="AI262" s="40" t="s">
        <v>115</v>
      </c>
      <c r="AP262" s="4" t="s">
        <v>115</v>
      </c>
    </row>
    <row r="263" spans="1:42" x14ac:dyDescent="0.15">
      <c r="A263" s="40" t="s">
        <v>1</v>
      </c>
      <c r="B263" s="23">
        <v>90030310</v>
      </c>
      <c r="C263" s="23">
        <v>303</v>
      </c>
      <c r="D263" s="23">
        <v>3</v>
      </c>
      <c r="F263" s="23" t="s">
        <v>412</v>
      </c>
      <c r="G263" s="23" t="s">
        <v>115</v>
      </c>
      <c r="H263" s="23" t="s">
        <v>1259</v>
      </c>
      <c r="I263" s="23">
        <v>3</v>
      </c>
      <c r="J263" s="40">
        <v>0</v>
      </c>
      <c r="K263" s="40">
        <v>0</v>
      </c>
      <c r="L263" s="40" t="s">
        <v>115</v>
      </c>
      <c r="O263" s="40" t="s">
        <v>115</v>
      </c>
      <c r="Q263" s="40">
        <v>197</v>
      </c>
      <c r="R263" s="40">
        <v>299</v>
      </c>
      <c r="X263" s="40">
        <v>90030311</v>
      </c>
      <c r="Y263" s="40" t="s">
        <v>115</v>
      </c>
      <c r="Z263" s="40" t="s">
        <v>115</v>
      </c>
      <c r="AA263" s="40" t="s">
        <v>115</v>
      </c>
      <c r="AB263" s="40" t="s">
        <v>115</v>
      </c>
      <c r="AC263" s="40" t="s">
        <v>115</v>
      </c>
      <c r="AI263" s="40" t="s">
        <v>115</v>
      </c>
      <c r="AP263" s="4" t="s">
        <v>115</v>
      </c>
    </row>
    <row r="264" spans="1:42" x14ac:dyDescent="0.15">
      <c r="A264" s="40" t="s">
        <v>1</v>
      </c>
      <c r="B264" s="23">
        <v>90030311</v>
      </c>
      <c r="C264" s="23">
        <v>303</v>
      </c>
      <c r="D264" s="23">
        <v>3</v>
      </c>
      <c r="F264" s="23" t="s">
        <v>412</v>
      </c>
      <c r="G264" s="23" t="s">
        <v>115</v>
      </c>
      <c r="H264" s="23" t="s">
        <v>1260</v>
      </c>
      <c r="I264" s="23">
        <v>3</v>
      </c>
      <c r="J264" s="40">
        <v>0</v>
      </c>
      <c r="K264" s="40">
        <v>4</v>
      </c>
      <c r="L264" s="40" t="s">
        <v>727</v>
      </c>
      <c r="O264" s="40" t="s">
        <v>115</v>
      </c>
      <c r="Q264" s="40">
        <v>197</v>
      </c>
      <c r="R264" s="40">
        <v>299</v>
      </c>
      <c r="X264" s="40">
        <v>90030312</v>
      </c>
      <c r="Y264" s="40" t="s">
        <v>115</v>
      </c>
      <c r="Z264" s="40">
        <v>3</v>
      </c>
      <c r="AA264" s="40" t="s">
        <v>115</v>
      </c>
      <c r="AB264" s="40" t="s">
        <v>115</v>
      </c>
      <c r="AC264" s="40" t="s">
        <v>115</v>
      </c>
      <c r="AI264" s="40" t="s">
        <v>115</v>
      </c>
      <c r="AP264" s="4" t="s">
        <v>115</v>
      </c>
    </row>
    <row r="265" spans="1:42" x14ac:dyDescent="0.15">
      <c r="A265" s="40" t="s">
        <v>1</v>
      </c>
      <c r="B265" s="23">
        <v>90030312</v>
      </c>
      <c r="C265" s="23">
        <v>303</v>
      </c>
      <c r="D265" s="23">
        <v>3</v>
      </c>
      <c r="F265" s="23" t="s">
        <v>115</v>
      </c>
      <c r="G265" s="23" t="s">
        <v>115</v>
      </c>
      <c r="H265" s="23" t="s">
        <v>413</v>
      </c>
      <c r="I265" s="23">
        <v>4</v>
      </c>
      <c r="J265" s="40">
        <v>0</v>
      </c>
      <c r="K265" s="40">
        <v>0</v>
      </c>
      <c r="L265" s="40" t="s">
        <v>115</v>
      </c>
      <c r="O265" s="40" t="s">
        <v>115</v>
      </c>
      <c r="Q265" s="40">
        <v>197</v>
      </c>
      <c r="R265" s="40" t="s">
        <v>115</v>
      </c>
      <c r="X265" s="40">
        <v>90030313</v>
      </c>
      <c r="Y265" s="40" t="s">
        <v>115</v>
      </c>
      <c r="Z265" s="40" t="s">
        <v>115</v>
      </c>
      <c r="AA265" s="40" t="s">
        <v>115</v>
      </c>
      <c r="AB265" s="40" t="s">
        <v>115</v>
      </c>
      <c r="AC265" s="40" t="s">
        <v>115</v>
      </c>
      <c r="AI265" s="40" t="s">
        <v>115</v>
      </c>
      <c r="AP265" s="4" t="s">
        <v>115</v>
      </c>
    </row>
    <row r="266" spans="1:42" x14ac:dyDescent="0.15">
      <c r="A266" s="40" t="s">
        <v>1</v>
      </c>
      <c r="B266" s="23">
        <v>90030313</v>
      </c>
      <c r="C266" s="23">
        <v>303</v>
      </c>
      <c r="D266" s="23">
        <v>3</v>
      </c>
      <c r="F266" s="23" t="s">
        <v>116</v>
      </c>
      <c r="G266" s="23">
        <v>314</v>
      </c>
      <c r="H266" s="23" t="s">
        <v>1261</v>
      </c>
      <c r="I266" s="23">
        <v>2</v>
      </c>
      <c r="J266" s="40">
        <v>0</v>
      </c>
      <c r="K266" s="40">
        <v>0</v>
      </c>
      <c r="L266" s="40" t="s">
        <v>115</v>
      </c>
      <c r="O266" s="40" t="s">
        <v>115</v>
      </c>
      <c r="Q266" s="40">
        <v>197</v>
      </c>
      <c r="R266" s="40" t="s">
        <v>115</v>
      </c>
      <c r="X266" s="40">
        <v>90030314</v>
      </c>
      <c r="Y266" s="40" t="s">
        <v>115</v>
      </c>
      <c r="Z266" s="40" t="s">
        <v>115</v>
      </c>
      <c r="AA266" s="40" t="s">
        <v>115</v>
      </c>
      <c r="AB266" s="40" t="s">
        <v>115</v>
      </c>
      <c r="AC266" s="40" t="s">
        <v>115</v>
      </c>
      <c r="AI266" s="40" t="s">
        <v>115</v>
      </c>
      <c r="AP266" s="4" t="s">
        <v>115</v>
      </c>
    </row>
    <row r="267" spans="1:42" x14ac:dyDescent="0.15">
      <c r="A267" s="40" t="s">
        <v>1</v>
      </c>
      <c r="B267" s="23">
        <v>90030314</v>
      </c>
      <c r="C267" s="23">
        <v>303</v>
      </c>
      <c r="D267" s="23">
        <v>3</v>
      </c>
      <c r="F267" s="23" t="s">
        <v>115</v>
      </c>
      <c r="G267" s="23" t="s">
        <v>115</v>
      </c>
      <c r="H267" s="23" t="s">
        <v>1262</v>
      </c>
      <c r="I267" s="23">
        <v>4</v>
      </c>
      <c r="J267" s="40">
        <v>0</v>
      </c>
      <c r="K267" s="40">
        <v>5</v>
      </c>
      <c r="L267" s="40" t="s">
        <v>115</v>
      </c>
      <c r="O267" s="40">
        <v>1</v>
      </c>
      <c r="Q267" s="40">
        <v>197</v>
      </c>
      <c r="R267" s="40" t="s">
        <v>115</v>
      </c>
      <c r="X267" s="40" t="s">
        <v>115</v>
      </c>
      <c r="Y267" s="40" t="s">
        <v>115</v>
      </c>
      <c r="Z267" s="40">
        <v>4</v>
      </c>
      <c r="AA267" s="40" t="s">
        <v>115</v>
      </c>
      <c r="AB267" s="40" t="s">
        <v>115</v>
      </c>
      <c r="AC267" s="40" t="s">
        <v>115</v>
      </c>
      <c r="AI267" s="40" t="s">
        <v>115</v>
      </c>
      <c r="AP267" s="4" t="s">
        <v>2096</v>
      </c>
    </row>
    <row r="268" spans="1:42" x14ac:dyDescent="0.15">
      <c r="A268" s="40" t="s">
        <v>1</v>
      </c>
      <c r="B268" s="23" t="s">
        <v>312</v>
      </c>
      <c r="C268" s="23">
        <v>304</v>
      </c>
      <c r="D268" s="23">
        <v>3</v>
      </c>
      <c r="F268" s="23" t="s">
        <v>115</v>
      </c>
      <c r="G268" s="23" t="s">
        <v>115</v>
      </c>
      <c r="H268" s="23" t="s">
        <v>414</v>
      </c>
      <c r="I268" s="23">
        <v>4</v>
      </c>
      <c r="J268" s="40">
        <v>1</v>
      </c>
      <c r="K268" s="40">
        <v>1</v>
      </c>
      <c r="L268" s="40" t="s">
        <v>115</v>
      </c>
      <c r="O268" s="40" t="s">
        <v>115</v>
      </c>
      <c r="Q268" s="40">
        <v>12</v>
      </c>
      <c r="R268" s="40" t="s">
        <v>115</v>
      </c>
      <c r="X268" s="40">
        <v>90030402</v>
      </c>
      <c r="Y268" s="40" t="s">
        <v>115</v>
      </c>
      <c r="Z268" s="40" t="s">
        <v>115</v>
      </c>
      <c r="AA268" s="40" t="s">
        <v>115</v>
      </c>
      <c r="AB268" s="40" t="s">
        <v>115</v>
      </c>
      <c r="AC268" s="40" t="s">
        <v>115</v>
      </c>
      <c r="AI268" s="40" t="s">
        <v>115</v>
      </c>
      <c r="AP268" s="4" t="s">
        <v>115</v>
      </c>
    </row>
    <row r="269" spans="1:42" x14ac:dyDescent="0.15">
      <c r="A269" s="40" t="s">
        <v>1</v>
      </c>
      <c r="B269" s="23">
        <v>90030402</v>
      </c>
      <c r="C269" s="23">
        <v>304</v>
      </c>
      <c r="D269" s="23">
        <v>3</v>
      </c>
      <c r="F269" s="23" t="s">
        <v>115</v>
      </c>
      <c r="G269" s="23" t="s">
        <v>115</v>
      </c>
      <c r="H269" s="23" t="s">
        <v>415</v>
      </c>
      <c r="I269" s="23">
        <v>4</v>
      </c>
      <c r="J269" s="40">
        <v>0</v>
      </c>
      <c r="K269" s="40">
        <v>0</v>
      </c>
      <c r="L269" s="40" t="s">
        <v>115</v>
      </c>
      <c r="O269" s="40" t="s">
        <v>115</v>
      </c>
      <c r="Q269" s="40">
        <v>12</v>
      </c>
      <c r="R269" s="40" t="s">
        <v>115</v>
      </c>
      <c r="X269" s="40">
        <v>90030403</v>
      </c>
      <c r="Y269" s="40" t="s">
        <v>115</v>
      </c>
      <c r="Z269" s="40" t="s">
        <v>115</v>
      </c>
      <c r="AA269" s="40" t="s">
        <v>115</v>
      </c>
      <c r="AB269" s="40" t="s">
        <v>115</v>
      </c>
      <c r="AC269" s="40" t="s">
        <v>115</v>
      </c>
      <c r="AI269" s="40" t="s">
        <v>115</v>
      </c>
      <c r="AP269" s="4" t="s">
        <v>115</v>
      </c>
    </row>
    <row r="270" spans="1:42" x14ac:dyDescent="0.15">
      <c r="A270" s="40" t="s">
        <v>1</v>
      </c>
      <c r="B270" s="23">
        <v>90030403</v>
      </c>
      <c r="C270" s="23">
        <v>304</v>
      </c>
      <c r="D270" s="23">
        <v>3</v>
      </c>
      <c r="F270" s="23" t="s">
        <v>115</v>
      </c>
      <c r="G270" s="23" t="s">
        <v>115</v>
      </c>
      <c r="H270" s="23" t="s">
        <v>416</v>
      </c>
      <c r="I270" s="23">
        <v>4</v>
      </c>
      <c r="J270" s="40">
        <v>0</v>
      </c>
      <c r="K270" s="40">
        <v>0</v>
      </c>
      <c r="L270" s="40" t="s">
        <v>115</v>
      </c>
      <c r="O270" s="40" t="s">
        <v>115</v>
      </c>
      <c r="Q270" s="40">
        <v>12</v>
      </c>
      <c r="R270" s="40">
        <v>239</v>
      </c>
      <c r="X270" s="40">
        <v>90030404</v>
      </c>
      <c r="Y270" s="40" t="s">
        <v>115</v>
      </c>
      <c r="Z270" s="40" t="s">
        <v>115</v>
      </c>
      <c r="AA270" s="40" t="s">
        <v>115</v>
      </c>
      <c r="AB270" s="40" t="s">
        <v>115</v>
      </c>
      <c r="AC270" s="40" t="s">
        <v>115</v>
      </c>
      <c r="AI270" s="40" t="s">
        <v>115</v>
      </c>
      <c r="AP270" s="4" t="s">
        <v>115</v>
      </c>
    </row>
    <row r="271" spans="1:42" x14ac:dyDescent="0.15">
      <c r="A271" s="40" t="s">
        <v>1</v>
      </c>
      <c r="B271" s="23">
        <v>90030404</v>
      </c>
      <c r="C271" s="23">
        <v>304</v>
      </c>
      <c r="D271" s="23">
        <v>3</v>
      </c>
      <c r="F271" s="23" t="s">
        <v>335</v>
      </c>
      <c r="G271" s="23" t="s">
        <v>115</v>
      </c>
      <c r="H271" s="23" t="s">
        <v>417</v>
      </c>
      <c r="I271" s="23">
        <v>3</v>
      </c>
      <c r="J271" s="40">
        <v>0</v>
      </c>
      <c r="K271" s="40">
        <v>0</v>
      </c>
      <c r="L271" s="40" t="s">
        <v>115</v>
      </c>
      <c r="O271" s="40" t="s">
        <v>115</v>
      </c>
      <c r="Q271" s="40">
        <v>12</v>
      </c>
      <c r="R271" s="40">
        <v>239</v>
      </c>
      <c r="X271" s="40">
        <v>90030405</v>
      </c>
      <c r="Y271" s="40" t="s">
        <v>115</v>
      </c>
      <c r="Z271" s="40" t="s">
        <v>115</v>
      </c>
      <c r="AA271" s="40" t="s">
        <v>115</v>
      </c>
      <c r="AB271" s="40" t="s">
        <v>115</v>
      </c>
      <c r="AC271" s="40" t="s">
        <v>115</v>
      </c>
      <c r="AI271" s="40" t="s">
        <v>115</v>
      </c>
      <c r="AP271" s="4" t="s">
        <v>115</v>
      </c>
    </row>
    <row r="272" spans="1:42" x14ac:dyDescent="0.15">
      <c r="A272" s="40" t="s">
        <v>1</v>
      </c>
      <c r="B272" s="23">
        <v>90030405</v>
      </c>
      <c r="C272" s="23">
        <v>304</v>
      </c>
      <c r="D272" s="23">
        <v>3</v>
      </c>
      <c r="F272" s="23" t="s">
        <v>115</v>
      </c>
      <c r="G272" s="23" t="s">
        <v>115</v>
      </c>
      <c r="H272" s="23" t="s">
        <v>418</v>
      </c>
      <c r="I272" s="23">
        <v>4</v>
      </c>
      <c r="J272" s="40">
        <v>0</v>
      </c>
      <c r="K272" s="40">
        <v>0</v>
      </c>
      <c r="L272" s="40" t="s">
        <v>115</v>
      </c>
      <c r="O272" s="40" t="s">
        <v>115</v>
      </c>
      <c r="Q272" s="40">
        <v>12</v>
      </c>
      <c r="R272" s="40">
        <v>239</v>
      </c>
      <c r="X272" s="40">
        <v>90030406</v>
      </c>
      <c r="Y272" s="40" t="s">
        <v>115</v>
      </c>
      <c r="Z272" s="40" t="s">
        <v>115</v>
      </c>
      <c r="AA272" s="40" t="s">
        <v>115</v>
      </c>
      <c r="AB272" s="40" t="s">
        <v>115</v>
      </c>
      <c r="AC272" s="40" t="s">
        <v>115</v>
      </c>
      <c r="AI272" s="40" t="s">
        <v>115</v>
      </c>
      <c r="AP272" s="4" t="s">
        <v>115</v>
      </c>
    </row>
    <row r="273" spans="1:42" x14ac:dyDescent="0.15">
      <c r="A273" s="40" t="s">
        <v>1</v>
      </c>
      <c r="B273" s="23">
        <v>90030406</v>
      </c>
      <c r="C273" s="23">
        <v>304</v>
      </c>
      <c r="D273" s="23">
        <v>3</v>
      </c>
      <c r="F273" s="23" t="s">
        <v>419</v>
      </c>
      <c r="G273" s="23" t="s">
        <v>115</v>
      </c>
      <c r="H273" s="23" t="s">
        <v>919</v>
      </c>
      <c r="I273" s="23">
        <v>3</v>
      </c>
      <c r="J273" s="40">
        <v>0</v>
      </c>
      <c r="K273" s="40">
        <v>0</v>
      </c>
      <c r="L273" s="40" t="s">
        <v>115</v>
      </c>
      <c r="O273" s="40" t="s">
        <v>115</v>
      </c>
      <c r="Q273" s="40">
        <v>12</v>
      </c>
      <c r="R273" s="40">
        <v>15</v>
      </c>
      <c r="X273" s="40">
        <v>90030407</v>
      </c>
      <c r="Y273" s="40" t="s">
        <v>115</v>
      </c>
      <c r="Z273" s="40" t="s">
        <v>115</v>
      </c>
      <c r="AA273" s="40" t="s">
        <v>115</v>
      </c>
      <c r="AB273" s="40" t="s">
        <v>115</v>
      </c>
      <c r="AC273" s="40" t="s">
        <v>115</v>
      </c>
      <c r="AI273" s="40" t="s">
        <v>115</v>
      </c>
      <c r="AP273" s="4" t="s">
        <v>115</v>
      </c>
    </row>
    <row r="274" spans="1:42" x14ac:dyDescent="0.15">
      <c r="A274" s="40" t="s">
        <v>1</v>
      </c>
      <c r="B274" s="23">
        <v>90030407</v>
      </c>
      <c r="C274" s="23">
        <v>304</v>
      </c>
      <c r="D274" s="23">
        <v>3</v>
      </c>
      <c r="F274" s="23" t="s">
        <v>419</v>
      </c>
      <c r="G274" s="23" t="s">
        <v>115</v>
      </c>
      <c r="H274" s="23" t="s">
        <v>420</v>
      </c>
      <c r="I274" s="23">
        <v>3</v>
      </c>
      <c r="J274" s="40">
        <v>0</v>
      </c>
      <c r="K274" s="40">
        <v>0</v>
      </c>
      <c r="L274" s="40" t="s">
        <v>115</v>
      </c>
      <c r="O274" s="40" t="s">
        <v>115</v>
      </c>
      <c r="Q274" s="40">
        <v>12</v>
      </c>
      <c r="R274" s="40">
        <v>15</v>
      </c>
      <c r="X274" s="40">
        <v>90030408</v>
      </c>
      <c r="Y274" s="40" t="s">
        <v>115</v>
      </c>
      <c r="Z274" s="40" t="s">
        <v>115</v>
      </c>
      <c r="AA274" s="40" t="s">
        <v>115</v>
      </c>
      <c r="AB274" s="40" t="s">
        <v>115</v>
      </c>
      <c r="AC274" s="40" t="s">
        <v>115</v>
      </c>
      <c r="AI274" s="40" t="s">
        <v>115</v>
      </c>
      <c r="AP274" s="40" t="s">
        <v>115</v>
      </c>
    </row>
    <row r="275" spans="1:42" x14ac:dyDescent="0.15">
      <c r="A275" s="40" t="s">
        <v>1</v>
      </c>
      <c r="B275" s="23">
        <v>90030408</v>
      </c>
      <c r="C275" s="23">
        <v>304</v>
      </c>
      <c r="D275" s="23">
        <v>3</v>
      </c>
      <c r="F275" s="23" t="s">
        <v>115</v>
      </c>
      <c r="G275" s="23" t="s">
        <v>115</v>
      </c>
      <c r="H275" s="23" t="s">
        <v>920</v>
      </c>
      <c r="I275" s="23">
        <v>4</v>
      </c>
      <c r="J275" s="40">
        <v>0</v>
      </c>
      <c r="K275" s="40">
        <v>0</v>
      </c>
      <c r="L275" s="40" t="s">
        <v>115</v>
      </c>
      <c r="O275" s="40" t="s">
        <v>115</v>
      </c>
      <c r="Q275" s="40">
        <v>12</v>
      </c>
      <c r="R275" s="40" t="s">
        <v>115</v>
      </c>
      <c r="X275" s="40">
        <v>90030409</v>
      </c>
      <c r="Y275" s="40" t="s">
        <v>115</v>
      </c>
      <c r="Z275" s="40" t="s">
        <v>115</v>
      </c>
      <c r="AA275" s="40" t="s">
        <v>115</v>
      </c>
      <c r="AB275" s="40" t="s">
        <v>115</v>
      </c>
      <c r="AC275" s="40" t="s">
        <v>115</v>
      </c>
      <c r="AI275" s="40" t="s">
        <v>115</v>
      </c>
      <c r="AP275" s="4" t="s">
        <v>115</v>
      </c>
    </row>
    <row r="276" spans="1:42" x14ac:dyDescent="0.15">
      <c r="A276" s="40" t="s">
        <v>1</v>
      </c>
      <c r="B276" s="23">
        <v>90030409</v>
      </c>
      <c r="C276" s="23">
        <v>304</v>
      </c>
      <c r="D276" s="23">
        <v>3</v>
      </c>
      <c r="F276" s="23" t="s">
        <v>115</v>
      </c>
      <c r="G276" s="23" t="s">
        <v>115</v>
      </c>
      <c r="H276" s="23" t="s">
        <v>421</v>
      </c>
      <c r="I276" s="23">
        <v>4</v>
      </c>
      <c r="J276" s="40">
        <v>0</v>
      </c>
      <c r="K276" s="40">
        <v>0</v>
      </c>
      <c r="L276" s="40" t="s">
        <v>115</v>
      </c>
      <c r="O276" s="40" t="s">
        <v>115</v>
      </c>
      <c r="Q276" s="40">
        <v>12</v>
      </c>
      <c r="R276" s="40" t="s">
        <v>115</v>
      </c>
      <c r="X276" s="40">
        <v>90030410</v>
      </c>
      <c r="Y276" s="40" t="s">
        <v>115</v>
      </c>
      <c r="Z276" s="40" t="s">
        <v>115</v>
      </c>
      <c r="AA276" s="40" t="s">
        <v>115</v>
      </c>
      <c r="AB276" s="40" t="s">
        <v>115</v>
      </c>
      <c r="AC276" s="40" t="s">
        <v>115</v>
      </c>
      <c r="AI276" s="40" t="s">
        <v>115</v>
      </c>
      <c r="AP276" s="4" t="s">
        <v>115</v>
      </c>
    </row>
    <row r="277" spans="1:42" x14ac:dyDescent="0.15">
      <c r="A277" s="40" t="s">
        <v>1</v>
      </c>
      <c r="B277" s="23">
        <v>90030410</v>
      </c>
      <c r="C277" s="23">
        <v>304</v>
      </c>
      <c r="D277" s="23">
        <v>3</v>
      </c>
      <c r="F277" s="23" t="s">
        <v>115</v>
      </c>
      <c r="G277" s="23" t="s">
        <v>115</v>
      </c>
      <c r="H277" s="23" t="s">
        <v>422</v>
      </c>
      <c r="I277" s="23">
        <v>4</v>
      </c>
      <c r="J277" s="40">
        <v>0</v>
      </c>
      <c r="K277" s="40">
        <v>2</v>
      </c>
      <c r="L277" s="40" t="s">
        <v>115</v>
      </c>
      <c r="O277" s="40" t="s">
        <v>115</v>
      </c>
      <c r="Q277" s="40">
        <v>12</v>
      </c>
      <c r="R277" s="40" t="s">
        <v>115</v>
      </c>
      <c r="X277" s="40" t="s">
        <v>2097</v>
      </c>
      <c r="Y277" s="40">
        <v>1</v>
      </c>
      <c r="Z277" s="40">
        <v>1</v>
      </c>
      <c r="AA277" s="40" t="s">
        <v>115</v>
      </c>
      <c r="AB277" s="40" t="s">
        <v>115</v>
      </c>
      <c r="AC277" s="40" t="s">
        <v>115</v>
      </c>
      <c r="AI277" s="40" t="s">
        <v>115</v>
      </c>
      <c r="AP277" s="4" t="s">
        <v>115</v>
      </c>
    </row>
    <row r="278" spans="1:42" x14ac:dyDescent="0.15">
      <c r="A278" s="40" t="s">
        <v>1</v>
      </c>
      <c r="B278" s="23">
        <v>90030411</v>
      </c>
      <c r="C278" s="23">
        <v>304</v>
      </c>
      <c r="D278" s="23">
        <v>3</v>
      </c>
      <c r="F278" s="23" t="s">
        <v>115</v>
      </c>
      <c r="G278" s="23" t="s">
        <v>115</v>
      </c>
      <c r="H278" s="23" t="s">
        <v>423</v>
      </c>
      <c r="I278" s="23">
        <v>4</v>
      </c>
      <c r="J278" s="40">
        <v>0</v>
      </c>
      <c r="K278" s="40">
        <v>3</v>
      </c>
      <c r="L278" s="40" t="s">
        <v>115</v>
      </c>
      <c r="O278" s="40" t="s">
        <v>115</v>
      </c>
      <c r="Q278" s="40">
        <v>12</v>
      </c>
      <c r="R278" s="40" t="s">
        <v>115</v>
      </c>
      <c r="X278" s="40">
        <v>90030412</v>
      </c>
      <c r="Y278" s="40">
        <v>-1</v>
      </c>
      <c r="Z278" s="40">
        <v>2</v>
      </c>
      <c r="AA278" s="40" t="s">
        <v>115</v>
      </c>
      <c r="AB278" s="40" t="s">
        <v>115</v>
      </c>
      <c r="AC278" s="40" t="s">
        <v>375</v>
      </c>
      <c r="AI278" s="40" t="s">
        <v>115</v>
      </c>
      <c r="AP278" s="4" t="s">
        <v>115</v>
      </c>
    </row>
    <row r="279" spans="1:42" x14ac:dyDescent="0.15">
      <c r="A279" s="40" t="s">
        <v>1</v>
      </c>
      <c r="B279" s="23">
        <v>90030412</v>
      </c>
      <c r="C279" s="23">
        <v>304</v>
      </c>
      <c r="D279" s="23">
        <v>3</v>
      </c>
      <c r="F279" s="23" t="s">
        <v>335</v>
      </c>
      <c r="G279" s="23" t="s">
        <v>115</v>
      </c>
      <c r="H279" s="23" t="s">
        <v>1265</v>
      </c>
      <c r="I279" s="23">
        <v>3</v>
      </c>
      <c r="J279" s="40">
        <v>0</v>
      </c>
      <c r="K279" s="40">
        <v>0</v>
      </c>
      <c r="L279" s="40" t="s">
        <v>115</v>
      </c>
      <c r="O279" s="40" t="s">
        <v>115</v>
      </c>
      <c r="Q279" s="40">
        <v>12</v>
      </c>
      <c r="R279" s="40">
        <v>239</v>
      </c>
      <c r="X279" s="40">
        <v>90030413</v>
      </c>
      <c r="Y279" s="40" t="s">
        <v>115</v>
      </c>
      <c r="Z279" s="40" t="s">
        <v>115</v>
      </c>
      <c r="AA279" s="40" t="s">
        <v>115</v>
      </c>
      <c r="AB279" s="40" t="s">
        <v>115</v>
      </c>
      <c r="AC279" s="40" t="s">
        <v>115</v>
      </c>
      <c r="AI279" s="40" t="s">
        <v>115</v>
      </c>
      <c r="AP279" s="4" t="s">
        <v>115</v>
      </c>
    </row>
    <row r="280" spans="1:42" x14ac:dyDescent="0.15">
      <c r="A280" s="40" t="s">
        <v>1</v>
      </c>
      <c r="B280" s="23">
        <v>90030413</v>
      </c>
      <c r="C280" s="23">
        <v>304</v>
      </c>
      <c r="D280" s="23">
        <v>3</v>
      </c>
      <c r="F280" s="23" t="s">
        <v>335</v>
      </c>
      <c r="G280" s="23" t="s">
        <v>115</v>
      </c>
      <c r="H280" s="23" t="s">
        <v>424</v>
      </c>
      <c r="I280" s="23">
        <v>3</v>
      </c>
      <c r="J280" s="40">
        <v>0</v>
      </c>
      <c r="K280" s="40">
        <v>4</v>
      </c>
      <c r="L280" s="40" t="s">
        <v>1882</v>
      </c>
      <c r="O280" s="40" t="s">
        <v>115</v>
      </c>
      <c r="Q280" s="40">
        <v>12</v>
      </c>
      <c r="R280" s="40">
        <v>239</v>
      </c>
      <c r="X280" s="40">
        <v>90030414</v>
      </c>
      <c r="Y280" s="40" t="s">
        <v>115</v>
      </c>
      <c r="Z280" s="40">
        <v>3</v>
      </c>
      <c r="AA280" s="40" t="s">
        <v>115</v>
      </c>
      <c r="AB280" s="40" t="s">
        <v>115</v>
      </c>
      <c r="AC280" s="40" t="s">
        <v>115</v>
      </c>
      <c r="AI280" s="40" t="s">
        <v>115</v>
      </c>
      <c r="AP280" s="4" t="s">
        <v>115</v>
      </c>
    </row>
    <row r="281" spans="1:42" x14ac:dyDescent="0.15">
      <c r="A281" s="40" t="s">
        <v>1</v>
      </c>
      <c r="B281" s="23">
        <v>90030414</v>
      </c>
      <c r="C281" s="23">
        <v>304</v>
      </c>
      <c r="D281" s="23">
        <v>3</v>
      </c>
      <c r="F281" s="23" t="s">
        <v>116</v>
      </c>
      <c r="G281" s="23">
        <v>312</v>
      </c>
      <c r="H281" s="23" t="s">
        <v>425</v>
      </c>
      <c r="I281" s="23">
        <v>0</v>
      </c>
      <c r="J281" s="40">
        <v>0</v>
      </c>
      <c r="K281" s="40">
        <v>5</v>
      </c>
      <c r="L281" s="40" t="s">
        <v>115</v>
      </c>
      <c r="O281" s="40">
        <v>1</v>
      </c>
      <c r="Q281" s="40">
        <v>12</v>
      </c>
      <c r="R281" s="40">
        <v>239</v>
      </c>
      <c r="X281" s="40" t="s">
        <v>115</v>
      </c>
      <c r="Y281" s="40" t="s">
        <v>115</v>
      </c>
      <c r="Z281" s="40">
        <v>4</v>
      </c>
      <c r="AA281" s="40" t="s">
        <v>115</v>
      </c>
      <c r="AB281" s="40" t="s">
        <v>115</v>
      </c>
      <c r="AC281" s="40" t="s">
        <v>115</v>
      </c>
      <c r="AI281" s="40" t="s">
        <v>115</v>
      </c>
      <c r="AP281" s="4" t="s">
        <v>714</v>
      </c>
    </row>
    <row r="282" spans="1:42" x14ac:dyDescent="0.15">
      <c r="A282" s="40" t="s">
        <v>1</v>
      </c>
      <c r="B282" s="23" t="s">
        <v>313</v>
      </c>
      <c r="C282" s="23">
        <v>305</v>
      </c>
      <c r="D282" s="23">
        <v>3</v>
      </c>
      <c r="F282" s="23" t="s">
        <v>115</v>
      </c>
      <c r="G282" s="23" t="s">
        <v>115</v>
      </c>
      <c r="H282" s="23" t="s">
        <v>1266</v>
      </c>
      <c r="I282" s="23">
        <v>4</v>
      </c>
      <c r="J282" s="40">
        <v>1</v>
      </c>
      <c r="K282" s="40">
        <v>1</v>
      </c>
      <c r="L282" s="40" t="s">
        <v>115</v>
      </c>
      <c r="O282" s="40" t="s">
        <v>115</v>
      </c>
      <c r="Q282" s="40">
        <v>205</v>
      </c>
      <c r="R282" s="40" t="s">
        <v>115</v>
      </c>
      <c r="X282" s="40">
        <v>90030502</v>
      </c>
      <c r="Y282" s="40" t="s">
        <v>115</v>
      </c>
      <c r="Z282" s="40" t="s">
        <v>115</v>
      </c>
      <c r="AA282" s="40" t="s">
        <v>115</v>
      </c>
      <c r="AB282" s="40" t="s">
        <v>115</v>
      </c>
      <c r="AC282" s="40" t="s">
        <v>115</v>
      </c>
      <c r="AI282" s="40" t="s">
        <v>115</v>
      </c>
      <c r="AP282" s="4" t="s">
        <v>115</v>
      </c>
    </row>
    <row r="283" spans="1:42" x14ac:dyDescent="0.15">
      <c r="A283" s="40" t="s">
        <v>1</v>
      </c>
      <c r="B283" s="23">
        <v>90030502</v>
      </c>
      <c r="C283" s="23">
        <v>305</v>
      </c>
      <c r="D283" s="23">
        <v>3</v>
      </c>
      <c r="F283" s="23" t="s">
        <v>115</v>
      </c>
      <c r="G283" s="23" t="s">
        <v>115</v>
      </c>
      <c r="H283" s="23" t="s">
        <v>426</v>
      </c>
      <c r="I283" s="23">
        <v>4</v>
      </c>
      <c r="J283" s="40">
        <v>0</v>
      </c>
      <c r="K283" s="40">
        <v>0</v>
      </c>
      <c r="L283" s="40" t="s">
        <v>115</v>
      </c>
      <c r="O283" s="40" t="s">
        <v>115</v>
      </c>
      <c r="Q283" s="40">
        <v>205</v>
      </c>
      <c r="R283" s="40" t="s">
        <v>115</v>
      </c>
      <c r="X283" s="40">
        <v>90030503</v>
      </c>
      <c r="Y283" s="40" t="s">
        <v>115</v>
      </c>
      <c r="Z283" s="40" t="s">
        <v>115</v>
      </c>
      <c r="AA283" s="40" t="s">
        <v>115</v>
      </c>
      <c r="AB283" s="40" t="s">
        <v>115</v>
      </c>
      <c r="AC283" s="40" t="s">
        <v>115</v>
      </c>
      <c r="AI283" s="40" t="s">
        <v>115</v>
      </c>
      <c r="AP283" s="4" t="s">
        <v>115</v>
      </c>
    </row>
    <row r="284" spans="1:42" x14ac:dyDescent="0.15">
      <c r="A284" s="40" t="s">
        <v>1</v>
      </c>
      <c r="B284" s="23">
        <v>90030503</v>
      </c>
      <c r="C284" s="23">
        <v>305</v>
      </c>
      <c r="D284" s="23">
        <v>3</v>
      </c>
      <c r="F284" s="23" t="s">
        <v>115</v>
      </c>
      <c r="G284" s="23" t="s">
        <v>115</v>
      </c>
      <c r="H284" s="23" t="s">
        <v>427</v>
      </c>
      <c r="I284" s="23">
        <v>4</v>
      </c>
      <c r="J284" s="40">
        <v>0</v>
      </c>
      <c r="K284" s="40">
        <v>0</v>
      </c>
      <c r="L284" s="40" t="s">
        <v>115</v>
      </c>
      <c r="O284" s="40" t="s">
        <v>115</v>
      </c>
      <c r="Q284" s="40">
        <v>205</v>
      </c>
      <c r="R284" s="40" t="s">
        <v>115</v>
      </c>
      <c r="X284" s="40">
        <v>90030504</v>
      </c>
      <c r="Y284" s="40" t="s">
        <v>115</v>
      </c>
      <c r="Z284" s="40" t="s">
        <v>115</v>
      </c>
      <c r="AA284" s="40" t="s">
        <v>115</v>
      </c>
      <c r="AB284" s="40" t="s">
        <v>115</v>
      </c>
      <c r="AC284" s="40" t="s">
        <v>115</v>
      </c>
      <c r="AI284" s="40" t="s">
        <v>115</v>
      </c>
      <c r="AP284" s="4" t="s">
        <v>115</v>
      </c>
    </row>
    <row r="285" spans="1:42" x14ac:dyDescent="0.15">
      <c r="A285" s="40" t="s">
        <v>1</v>
      </c>
      <c r="B285" s="23">
        <v>90030504</v>
      </c>
      <c r="C285" s="23">
        <v>305</v>
      </c>
      <c r="D285" s="23">
        <v>3</v>
      </c>
      <c r="F285" s="23" t="s">
        <v>428</v>
      </c>
      <c r="G285" s="23" t="s">
        <v>115</v>
      </c>
      <c r="H285" s="23" t="s">
        <v>429</v>
      </c>
      <c r="I285" s="23">
        <v>3</v>
      </c>
      <c r="J285" s="40">
        <v>0</v>
      </c>
      <c r="K285" s="40">
        <v>0</v>
      </c>
      <c r="L285" s="40" t="s">
        <v>115</v>
      </c>
      <c r="O285" s="40" t="s">
        <v>115</v>
      </c>
      <c r="Q285" s="40">
        <v>205</v>
      </c>
      <c r="R285" s="40">
        <v>213</v>
      </c>
      <c r="X285" s="40">
        <v>90030505</v>
      </c>
      <c r="Y285" s="40" t="s">
        <v>115</v>
      </c>
      <c r="Z285" s="40" t="s">
        <v>115</v>
      </c>
      <c r="AA285" s="40" t="s">
        <v>115</v>
      </c>
      <c r="AB285" s="40" t="s">
        <v>115</v>
      </c>
      <c r="AC285" s="40" t="s">
        <v>115</v>
      </c>
      <c r="AI285" s="40" t="s">
        <v>115</v>
      </c>
      <c r="AP285" s="4" t="s">
        <v>115</v>
      </c>
    </row>
    <row r="286" spans="1:42" x14ac:dyDescent="0.15">
      <c r="A286" s="40" t="s">
        <v>1</v>
      </c>
      <c r="B286" s="23">
        <v>90030505</v>
      </c>
      <c r="C286" s="23">
        <v>305</v>
      </c>
      <c r="D286" s="23">
        <v>3</v>
      </c>
      <c r="F286" s="23" t="s">
        <v>116</v>
      </c>
      <c r="G286" s="23">
        <v>313</v>
      </c>
      <c r="H286" s="23" t="s">
        <v>1267</v>
      </c>
      <c r="I286" s="23">
        <v>0</v>
      </c>
      <c r="J286" s="40">
        <v>0</v>
      </c>
      <c r="K286" s="40">
        <v>0</v>
      </c>
      <c r="L286" s="40" t="s">
        <v>115</v>
      </c>
      <c r="O286" s="40" t="s">
        <v>115</v>
      </c>
      <c r="Q286" s="40">
        <v>205</v>
      </c>
      <c r="R286" s="40">
        <v>213</v>
      </c>
      <c r="X286" s="40">
        <v>90030506</v>
      </c>
      <c r="Y286" s="40" t="s">
        <v>115</v>
      </c>
      <c r="Z286" s="40" t="s">
        <v>115</v>
      </c>
      <c r="AA286" s="40" t="s">
        <v>115</v>
      </c>
      <c r="AB286" s="40" t="s">
        <v>115</v>
      </c>
      <c r="AC286" s="40" t="s">
        <v>115</v>
      </c>
      <c r="AI286" s="40" t="s">
        <v>115</v>
      </c>
      <c r="AP286" s="40" t="s">
        <v>115</v>
      </c>
    </row>
    <row r="287" spans="1:42" x14ac:dyDescent="0.15">
      <c r="A287" s="40" t="s">
        <v>1</v>
      </c>
      <c r="B287" s="23">
        <v>90030506</v>
      </c>
      <c r="C287" s="23">
        <v>305</v>
      </c>
      <c r="D287" s="23">
        <v>3</v>
      </c>
      <c r="F287" s="23" t="s">
        <v>115</v>
      </c>
      <c r="G287" s="23" t="s">
        <v>115</v>
      </c>
      <c r="H287" s="23" t="s">
        <v>921</v>
      </c>
      <c r="I287" s="23">
        <v>4</v>
      </c>
      <c r="J287" s="40">
        <v>0</v>
      </c>
      <c r="K287" s="40">
        <v>2</v>
      </c>
      <c r="L287" s="40" t="s">
        <v>115</v>
      </c>
      <c r="O287" s="40" t="s">
        <v>115</v>
      </c>
      <c r="Q287" s="40">
        <v>205</v>
      </c>
      <c r="R287" s="40" t="s">
        <v>115</v>
      </c>
      <c r="X287" s="40" t="s">
        <v>2098</v>
      </c>
      <c r="Y287" s="40">
        <v>1</v>
      </c>
      <c r="Z287" s="40">
        <v>1</v>
      </c>
      <c r="AA287" s="40" t="s">
        <v>115</v>
      </c>
      <c r="AB287" s="40" t="s">
        <v>115</v>
      </c>
      <c r="AC287" s="40" t="s">
        <v>115</v>
      </c>
      <c r="AI287" s="40" t="s">
        <v>115</v>
      </c>
      <c r="AP287" s="4" t="s">
        <v>115</v>
      </c>
    </row>
    <row r="288" spans="1:42" x14ac:dyDescent="0.15">
      <c r="A288" s="40" t="s">
        <v>1</v>
      </c>
      <c r="B288" s="23">
        <v>90030507</v>
      </c>
      <c r="C288" s="23">
        <v>305</v>
      </c>
      <c r="D288" s="23">
        <v>3</v>
      </c>
      <c r="F288" s="23" t="s">
        <v>115</v>
      </c>
      <c r="G288" s="23" t="s">
        <v>115</v>
      </c>
      <c r="H288" s="23" t="s">
        <v>430</v>
      </c>
      <c r="I288" s="23">
        <v>4</v>
      </c>
      <c r="J288" s="40">
        <v>0</v>
      </c>
      <c r="K288" s="40">
        <v>3</v>
      </c>
      <c r="L288" s="40" t="s">
        <v>115</v>
      </c>
      <c r="O288" s="40" t="s">
        <v>115</v>
      </c>
      <c r="Q288" s="40">
        <v>205</v>
      </c>
      <c r="R288" s="40" t="s">
        <v>115</v>
      </c>
      <c r="X288" s="40">
        <v>90030508</v>
      </c>
      <c r="Y288" s="40">
        <v>-1</v>
      </c>
      <c r="Z288" s="40">
        <v>2</v>
      </c>
      <c r="AA288" s="40" t="s">
        <v>115</v>
      </c>
      <c r="AB288" s="40" t="s">
        <v>115</v>
      </c>
      <c r="AC288" s="40" t="s">
        <v>377</v>
      </c>
      <c r="AI288" s="40" t="s">
        <v>115</v>
      </c>
      <c r="AP288" s="4" t="s">
        <v>115</v>
      </c>
    </row>
    <row r="289" spans="1:42" x14ac:dyDescent="0.15">
      <c r="A289" s="40" t="s">
        <v>1</v>
      </c>
      <c r="B289" s="23">
        <v>90030508</v>
      </c>
      <c r="C289" s="23">
        <v>305</v>
      </c>
      <c r="D289" s="23">
        <v>3</v>
      </c>
      <c r="F289" s="23" t="s">
        <v>115</v>
      </c>
      <c r="G289" s="23" t="s">
        <v>115</v>
      </c>
      <c r="H289" s="23" t="s">
        <v>922</v>
      </c>
      <c r="I289" s="23">
        <v>4</v>
      </c>
      <c r="J289" s="40">
        <v>0</v>
      </c>
      <c r="K289" s="40">
        <v>0</v>
      </c>
      <c r="L289" s="40" t="s">
        <v>115</v>
      </c>
      <c r="O289" s="40" t="s">
        <v>115</v>
      </c>
      <c r="Q289" s="40">
        <v>205</v>
      </c>
      <c r="R289" s="40" t="s">
        <v>115</v>
      </c>
      <c r="X289" s="40">
        <v>90030509</v>
      </c>
      <c r="Y289" s="40" t="s">
        <v>115</v>
      </c>
      <c r="Z289" s="40" t="s">
        <v>115</v>
      </c>
      <c r="AA289" s="40" t="s">
        <v>115</v>
      </c>
      <c r="AB289" s="40" t="s">
        <v>115</v>
      </c>
      <c r="AC289" s="40" t="s">
        <v>115</v>
      </c>
      <c r="AI289" s="40" t="s">
        <v>115</v>
      </c>
      <c r="AP289" s="4" t="s">
        <v>115</v>
      </c>
    </row>
    <row r="290" spans="1:42" x14ac:dyDescent="0.15">
      <c r="A290" s="40" t="s">
        <v>1</v>
      </c>
      <c r="B290" s="23">
        <v>90030509</v>
      </c>
      <c r="C290" s="23">
        <v>305</v>
      </c>
      <c r="D290" s="23">
        <v>3</v>
      </c>
      <c r="F290" s="23" t="s">
        <v>431</v>
      </c>
      <c r="G290" s="23" t="s">
        <v>115</v>
      </c>
      <c r="H290" s="23" t="s">
        <v>432</v>
      </c>
      <c r="I290" s="23">
        <v>3</v>
      </c>
      <c r="J290" s="40">
        <v>0</v>
      </c>
      <c r="K290" s="40">
        <v>0</v>
      </c>
      <c r="L290" s="40" t="s">
        <v>115</v>
      </c>
      <c r="O290" s="40" t="s">
        <v>115</v>
      </c>
      <c r="Q290" s="40">
        <v>205</v>
      </c>
      <c r="R290" s="40" t="s">
        <v>115</v>
      </c>
      <c r="X290" s="40">
        <v>90030510</v>
      </c>
      <c r="Y290" s="40" t="s">
        <v>115</v>
      </c>
      <c r="Z290" s="40" t="s">
        <v>115</v>
      </c>
      <c r="AA290" s="40" t="s">
        <v>115</v>
      </c>
      <c r="AB290" s="40" t="s">
        <v>115</v>
      </c>
      <c r="AC290" s="40" t="s">
        <v>115</v>
      </c>
      <c r="AI290" s="40" t="s">
        <v>115</v>
      </c>
      <c r="AP290" s="4" t="s">
        <v>115</v>
      </c>
    </row>
    <row r="291" spans="1:42" x14ac:dyDescent="0.15">
      <c r="A291" s="40" t="s">
        <v>1</v>
      </c>
      <c r="B291" s="23">
        <v>90030510</v>
      </c>
      <c r="C291" s="23">
        <v>305</v>
      </c>
      <c r="D291" s="23">
        <v>3</v>
      </c>
      <c r="F291" s="23" t="s">
        <v>115</v>
      </c>
      <c r="G291" s="23" t="s">
        <v>115</v>
      </c>
      <c r="H291" s="23" t="s">
        <v>433</v>
      </c>
      <c r="I291" s="23">
        <v>4</v>
      </c>
      <c r="J291" s="40">
        <v>0</v>
      </c>
      <c r="K291" s="40">
        <v>0</v>
      </c>
      <c r="L291" s="40" t="s">
        <v>115</v>
      </c>
      <c r="O291" s="40" t="s">
        <v>115</v>
      </c>
      <c r="Q291" s="40">
        <v>205</v>
      </c>
      <c r="R291" s="40">
        <v>239</v>
      </c>
      <c r="X291" s="40">
        <v>90030511</v>
      </c>
      <c r="Y291" s="40" t="s">
        <v>115</v>
      </c>
      <c r="Z291" s="40" t="s">
        <v>115</v>
      </c>
      <c r="AA291" s="40" t="s">
        <v>115</v>
      </c>
      <c r="AB291" s="40" t="s">
        <v>115</v>
      </c>
      <c r="AC291" s="40" t="s">
        <v>115</v>
      </c>
      <c r="AI291" s="40" t="s">
        <v>115</v>
      </c>
      <c r="AP291" s="4" t="s">
        <v>115</v>
      </c>
    </row>
    <row r="292" spans="1:42" x14ac:dyDescent="0.15">
      <c r="A292" s="40" t="s">
        <v>1</v>
      </c>
      <c r="B292" s="23">
        <v>90030511</v>
      </c>
      <c r="C292" s="23">
        <v>305</v>
      </c>
      <c r="D292" s="23">
        <v>3</v>
      </c>
      <c r="F292" s="23" t="s">
        <v>115</v>
      </c>
      <c r="G292" s="23" t="s">
        <v>115</v>
      </c>
      <c r="H292" s="23" t="s">
        <v>434</v>
      </c>
      <c r="I292" s="23">
        <v>4</v>
      </c>
      <c r="J292" s="40">
        <v>0</v>
      </c>
      <c r="K292" s="40">
        <v>0</v>
      </c>
      <c r="L292" s="40" t="s">
        <v>115</v>
      </c>
      <c r="O292" s="40" t="s">
        <v>115</v>
      </c>
      <c r="Q292" s="40">
        <v>205</v>
      </c>
      <c r="R292" s="40">
        <v>239</v>
      </c>
      <c r="X292" s="40">
        <v>90030512</v>
      </c>
      <c r="Y292" s="40" t="s">
        <v>115</v>
      </c>
      <c r="Z292" s="40" t="s">
        <v>115</v>
      </c>
      <c r="AA292" s="40" t="s">
        <v>115</v>
      </c>
      <c r="AB292" s="40" t="s">
        <v>115</v>
      </c>
      <c r="AC292" s="40" t="s">
        <v>115</v>
      </c>
      <c r="AI292" s="40" t="s">
        <v>115</v>
      </c>
      <c r="AP292" s="4" t="s">
        <v>115</v>
      </c>
    </row>
    <row r="293" spans="1:42" x14ac:dyDescent="0.15">
      <c r="A293" s="40" t="s">
        <v>1</v>
      </c>
      <c r="B293" s="23">
        <v>90030512</v>
      </c>
      <c r="C293" s="23">
        <v>305</v>
      </c>
      <c r="D293" s="23">
        <v>3</v>
      </c>
      <c r="F293" s="23" t="s">
        <v>335</v>
      </c>
      <c r="G293" s="23" t="s">
        <v>115</v>
      </c>
      <c r="H293" s="23" t="s">
        <v>1268</v>
      </c>
      <c r="I293" s="23">
        <v>3</v>
      </c>
      <c r="J293" s="40">
        <v>0</v>
      </c>
      <c r="K293" s="40">
        <v>4</v>
      </c>
      <c r="L293" s="40" t="s">
        <v>728</v>
      </c>
      <c r="O293" s="40" t="s">
        <v>115</v>
      </c>
      <c r="Q293" s="40">
        <v>205</v>
      </c>
      <c r="R293" s="40">
        <v>239</v>
      </c>
      <c r="X293" s="40">
        <v>90030513</v>
      </c>
      <c r="Y293" s="40" t="s">
        <v>115</v>
      </c>
      <c r="Z293" s="40">
        <v>3</v>
      </c>
      <c r="AA293" s="40" t="s">
        <v>115</v>
      </c>
      <c r="AB293" s="40" t="s">
        <v>115</v>
      </c>
      <c r="AC293" s="40" t="s">
        <v>115</v>
      </c>
      <c r="AI293" s="40" t="s">
        <v>115</v>
      </c>
      <c r="AP293" s="4" t="s">
        <v>115</v>
      </c>
    </row>
    <row r="294" spans="1:42" x14ac:dyDescent="0.15">
      <c r="A294" s="40" t="s">
        <v>1</v>
      </c>
      <c r="B294" s="23">
        <v>90030513</v>
      </c>
      <c r="C294" s="23">
        <v>305</v>
      </c>
      <c r="D294" s="23">
        <v>3</v>
      </c>
      <c r="F294" s="23" t="s">
        <v>335</v>
      </c>
      <c r="G294" s="23" t="s">
        <v>115</v>
      </c>
      <c r="H294" s="23" t="s">
        <v>1269</v>
      </c>
      <c r="I294" s="23">
        <v>3</v>
      </c>
      <c r="J294" s="40">
        <v>0</v>
      </c>
      <c r="K294" s="40">
        <v>0</v>
      </c>
      <c r="L294" s="40" t="s">
        <v>115</v>
      </c>
      <c r="O294" s="40" t="s">
        <v>115</v>
      </c>
      <c r="Q294" s="40">
        <v>205</v>
      </c>
      <c r="R294" s="40">
        <v>239</v>
      </c>
      <c r="X294" s="40">
        <v>90030514</v>
      </c>
      <c r="Y294" s="40" t="s">
        <v>115</v>
      </c>
      <c r="Z294" s="40" t="s">
        <v>115</v>
      </c>
      <c r="AA294" s="40" t="s">
        <v>115</v>
      </c>
      <c r="AB294" s="40" t="s">
        <v>115</v>
      </c>
      <c r="AC294" s="40" t="s">
        <v>115</v>
      </c>
      <c r="AI294" s="40" t="s">
        <v>115</v>
      </c>
      <c r="AP294" s="4" t="s">
        <v>115</v>
      </c>
    </row>
    <row r="295" spans="1:42" x14ac:dyDescent="0.15">
      <c r="A295" s="40" t="s">
        <v>1</v>
      </c>
      <c r="B295" s="23">
        <v>90030514</v>
      </c>
      <c r="C295" s="23">
        <v>305</v>
      </c>
      <c r="D295" s="23">
        <v>3</v>
      </c>
      <c r="F295" s="23" t="s">
        <v>335</v>
      </c>
      <c r="G295" s="23" t="s">
        <v>115</v>
      </c>
      <c r="H295" s="23" t="s">
        <v>435</v>
      </c>
      <c r="I295" s="23">
        <v>3</v>
      </c>
      <c r="J295" s="40">
        <v>0</v>
      </c>
      <c r="K295" s="40">
        <v>0</v>
      </c>
      <c r="L295" s="40" t="s">
        <v>115</v>
      </c>
      <c r="O295" s="40" t="s">
        <v>115</v>
      </c>
      <c r="Q295" s="40">
        <v>205</v>
      </c>
      <c r="R295" s="40">
        <v>239</v>
      </c>
      <c r="X295" s="40">
        <v>90030515</v>
      </c>
      <c r="Y295" s="40" t="s">
        <v>115</v>
      </c>
      <c r="Z295" s="40" t="s">
        <v>115</v>
      </c>
      <c r="AA295" s="40" t="s">
        <v>115</v>
      </c>
      <c r="AB295" s="40" t="s">
        <v>115</v>
      </c>
      <c r="AC295" s="40" t="s">
        <v>115</v>
      </c>
      <c r="AI295" s="40" t="s">
        <v>115</v>
      </c>
      <c r="AP295" s="4" t="s">
        <v>115</v>
      </c>
    </row>
    <row r="296" spans="1:42" x14ac:dyDescent="0.15">
      <c r="A296" s="40" t="s">
        <v>1</v>
      </c>
      <c r="B296" s="23">
        <v>90030515</v>
      </c>
      <c r="C296" s="23">
        <v>305</v>
      </c>
      <c r="D296" s="23">
        <v>3</v>
      </c>
      <c r="F296" s="23" t="s">
        <v>115</v>
      </c>
      <c r="G296" s="23" t="s">
        <v>115</v>
      </c>
      <c r="H296" s="23" t="s">
        <v>436</v>
      </c>
      <c r="I296" s="23">
        <v>4</v>
      </c>
      <c r="J296" s="40">
        <v>0</v>
      </c>
      <c r="K296" s="40">
        <v>5</v>
      </c>
      <c r="L296" s="40" t="s">
        <v>115</v>
      </c>
      <c r="O296" s="40">
        <v>1</v>
      </c>
      <c r="Q296" s="40">
        <v>205</v>
      </c>
      <c r="R296" s="40" t="s">
        <v>115</v>
      </c>
      <c r="X296" s="40" t="s">
        <v>115</v>
      </c>
      <c r="Y296" s="40" t="s">
        <v>115</v>
      </c>
      <c r="Z296" s="40">
        <v>4</v>
      </c>
      <c r="AA296" s="40" t="s">
        <v>115</v>
      </c>
      <c r="AB296" s="40" t="s">
        <v>115</v>
      </c>
      <c r="AC296" s="40" t="s">
        <v>115</v>
      </c>
      <c r="AI296" s="40" t="s">
        <v>115</v>
      </c>
      <c r="AP296" s="4" t="s">
        <v>115</v>
      </c>
    </row>
    <row r="297" spans="1:42" x14ac:dyDescent="0.15">
      <c r="A297" s="40" t="s">
        <v>1</v>
      </c>
      <c r="B297" s="23" t="s">
        <v>314</v>
      </c>
      <c r="C297" s="23">
        <v>306</v>
      </c>
      <c r="D297" s="23">
        <v>3</v>
      </c>
      <c r="F297" s="23" t="s">
        <v>115</v>
      </c>
      <c r="G297" s="23" t="s">
        <v>115</v>
      </c>
      <c r="H297" s="23" t="s">
        <v>437</v>
      </c>
      <c r="I297" s="23">
        <v>4</v>
      </c>
      <c r="J297" s="40">
        <v>1</v>
      </c>
      <c r="K297" s="40">
        <v>1</v>
      </c>
      <c r="L297" s="40" t="s">
        <v>115</v>
      </c>
      <c r="O297" s="40" t="s">
        <v>115</v>
      </c>
      <c r="Q297" s="40">
        <v>205</v>
      </c>
      <c r="R297" s="40">
        <v>239</v>
      </c>
      <c r="X297" s="40">
        <v>90030602</v>
      </c>
      <c r="Y297" s="40" t="s">
        <v>115</v>
      </c>
      <c r="Z297" s="40" t="s">
        <v>115</v>
      </c>
      <c r="AA297" s="40" t="s">
        <v>115</v>
      </c>
      <c r="AB297" s="40" t="s">
        <v>115</v>
      </c>
      <c r="AC297" s="40" t="s">
        <v>115</v>
      </c>
      <c r="AI297" s="40" t="s">
        <v>115</v>
      </c>
      <c r="AP297" s="4" t="s">
        <v>115</v>
      </c>
    </row>
    <row r="298" spans="1:42" x14ac:dyDescent="0.15">
      <c r="A298" s="40" t="s">
        <v>1</v>
      </c>
      <c r="B298" s="23">
        <v>90030602</v>
      </c>
      <c r="C298" s="23">
        <v>306</v>
      </c>
      <c r="D298" s="23">
        <v>3</v>
      </c>
      <c r="F298" s="23" t="s">
        <v>335</v>
      </c>
      <c r="G298" s="23" t="s">
        <v>115</v>
      </c>
      <c r="H298" s="23" t="s">
        <v>438</v>
      </c>
      <c r="I298" s="23">
        <v>3</v>
      </c>
      <c r="J298" s="40">
        <v>0</v>
      </c>
      <c r="K298" s="40">
        <v>0</v>
      </c>
      <c r="L298" s="40" t="s">
        <v>115</v>
      </c>
      <c r="O298" s="40" t="s">
        <v>115</v>
      </c>
      <c r="Q298" s="40">
        <v>205</v>
      </c>
      <c r="R298" s="40">
        <v>239</v>
      </c>
      <c r="X298" s="40">
        <v>90030603</v>
      </c>
      <c r="Y298" s="40" t="s">
        <v>115</v>
      </c>
      <c r="Z298" s="40" t="s">
        <v>115</v>
      </c>
      <c r="AA298" s="40" t="s">
        <v>115</v>
      </c>
      <c r="AB298" s="40" t="s">
        <v>115</v>
      </c>
      <c r="AC298" s="40" t="s">
        <v>115</v>
      </c>
      <c r="AI298" s="40" t="s">
        <v>115</v>
      </c>
      <c r="AP298" s="40" t="s">
        <v>115</v>
      </c>
    </row>
    <row r="299" spans="1:42" x14ac:dyDescent="0.15">
      <c r="A299" s="40" t="s">
        <v>1</v>
      </c>
      <c r="B299" s="23">
        <v>90030603</v>
      </c>
      <c r="C299" s="23">
        <v>306</v>
      </c>
      <c r="D299" s="23">
        <v>3</v>
      </c>
      <c r="F299" s="23" t="s">
        <v>115</v>
      </c>
      <c r="G299" s="23" t="s">
        <v>115</v>
      </c>
      <c r="H299" s="23" t="s">
        <v>439</v>
      </c>
      <c r="I299" s="23">
        <v>4</v>
      </c>
      <c r="J299" s="40">
        <v>0</v>
      </c>
      <c r="K299" s="40">
        <v>0</v>
      </c>
      <c r="L299" s="40" t="s">
        <v>115</v>
      </c>
      <c r="O299" s="40" t="s">
        <v>115</v>
      </c>
      <c r="Q299" s="40">
        <v>205</v>
      </c>
      <c r="R299" s="40" t="s">
        <v>115</v>
      </c>
      <c r="X299" s="40">
        <v>90030604</v>
      </c>
      <c r="Y299" s="40" t="s">
        <v>115</v>
      </c>
      <c r="Z299" s="40" t="s">
        <v>115</v>
      </c>
      <c r="AA299" s="40" t="s">
        <v>115</v>
      </c>
      <c r="AB299" s="40" t="s">
        <v>115</v>
      </c>
      <c r="AC299" s="40" t="s">
        <v>115</v>
      </c>
      <c r="AI299" s="40" t="s">
        <v>115</v>
      </c>
      <c r="AP299" s="4" t="s">
        <v>115</v>
      </c>
    </row>
    <row r="300" spans="1:42" x14ac:dyDescent="0.15">
      <c r="A300" s="40" t="s">
        <v>1</v>
      </c>
      <c r="B300" s="23">
        <v>90030604</v>
      </c>
      <c r="C300" s="23">
        <v>306</v>
      </c>
      <c r="D300" s="23">
        <v>3</v>
      </c>
      <c r="F300" s="23" t="s">
        <v>115</v>
      </c>
      <c r="G300" s="23" t="s">
        <v>115</v>
      </c>
      <c r="H300" s="23" t="s">
        <v>440</v>
      </c>
      <c r="I300" s="23">
        <v>4</v>
      </c>
      <c r="J300" s="40">
        <v>0</v>
      </c>
      <c r="K300" s="40">
        <v>2</v>
      </c>
      <c r="L300" s="40" t="s">
        <v>115</v>
      </c>
      <c r="O300" s="40" t="s">
        <v>115</v>
      </c>
      <c r="Q300" s="40">
        <v>205</v>
      </c>
      <c r="R300" s="40" t="s">
        <v>115</v>
      </c>
      <c r="X300" s="40" t="s">
        <v>2099</v>
      </c>
      <c r="Y300" s="40">
        <v>1</v>
      </c>
      <c r="Z300" s="40">
        <v>1</v>
      </c>
      <c r="AA300" s="40" t="s">
        <v>115</v>
      </c>
      <c r="AB300" s="40" t="s">
        <v>115</v>
      </c>
      <c r="AC300" s="40" t="s">
        <v>115</v>
      </c>
      <c r="AI300" s="40" t="s">
        <v>115</v>
      </c>
      <c r="AP300" s="4" t="s">
        <v>115</v>
      </c>
    </row>
    <row r="301" spans="1:42" x14ac:dyDescent="0.15">
      <c r="A301" s="40" t="s">
        <v>1</v>
      </c>
      <c r="B301" s="23">
        <v>90030605</v>
      </c>
      <c r="C301" s="23">
        <v>306</v>
      </c>
      <c r="D301" s="23">
        <v>3</v>
      </c>
      <c r="F301" s="23" t="s">
        <v>115</v>
      </c>
      <c r="G301" s="23" t="s">
        <v>115</v>
      </c>
      <c r="H301" s="23" t="s">
        <v>441</v>
      </c>
      <c r="I301" s="23">
        <v>4</v>
      </c>
      <c r="J301" s="40">
        <v>0</v>
      </c>
      <c r="K301" s="40">
        <v>3</v>
      </c>
      <c r="L301" s="40" t="s">
        <v>115</v>
      </c>
      <c r="O301" s="40" t="s">
        <v>115</v>
      </c>
      <c r="Q301" s="40">
        <v>205</v>
      </c>
      <c r="R301" s="40" t="s">
        <v>115</v>
      </c>
      <c r="X301" s="40">
        <v>90030606</v>
      </c>
      <c r="Y301" s="40">
        <v>-1</v>
      </c>
      <c r="Z301" s="40">
        <v>2</v>
      </c>
      <c r="AA301" s="40" t="s">
        <v>115</v>
      </c>
      <c r="AB301" s="40" t="s">
        <v>115</v>
      </c>
      <c r="AC301" s="40" t="s">
        <v>2100</v>
      </c>
      <c r="AI301" s="40" t="s">
        <v>115</v>
      </c>
      <c r="AP301" s="4" t="s">
        <v>115</v>
      </c>
    </row>
    <row r="302" spans="1:42" x14ac:dyDescent="0.15">
      <c r="A302" s="40" t="s">
        <v>1</v>
      </c>
      <c r="B302" s="23">
        <v>90030606</v>
      </c>
      <c r="C302" s="23">
        <v>306</v>
      </c>
      <c r="D302" s="23">
        <v>3</v>
      </c>
      <c r="F302" s="23" t="s">
        <v>115</v>
      </c>
      <c r="G302" s="23" t="s">
        <v>115</v>
      </c>
      <c r="H302" s="23" t="s">
        <v>442</v>
      </c>
      <c r="I302" s="23">
        <v>4</v>
      </c>
      <c r="J302" s="40">
        <v>0</v>
      </c>
      <c r="K302" s="40">
        <v>0</v>
      </c>
      <c r="L302" s="40" t="s">
        <v>115</v>
      </c>
      <c r="O302" s="40" t="s">
        <v>115</v>
      </c>
      <c r="Q302" s="40">
        <v>205</v>
      </c>
      <c r="R302" s="40" t="s">
        <v>115</v>
      </c>
      <c r="X302" s="40">
        <v>90030607</v>
      </c>
      <c r="Y302" s="40" t="s">
        <v>115</v>
      </c>
      <c r="Z302" s="40" t="s">
        <v>115</v>
      </c>
      <c r="AA302" s="40" t="s">
        <v>115</v>
      </c>
      <c r="AB302" s="40" t="s">
        <v>115</v>
      </c>
      <c r="AC302" s="40" t="s">
        <v>115</v>
      </c>
      <c r="AI302" s="40" t="s">
        <v>115</v>
      </c>
      <c r="AP302" s="4" t="s">
        <v>115</v>
      </c>
    </row>
    <row r="303" spans="1:42" x14ac:dyDescent="0.15">
      <c r="A303" s="40" t="s">
        <v>1</v>
      </c>
      <c r="B303" s="23">
        <v>90030607</v>
      </c>
      <c r="C303" s="23">
        <v>306</v>
      </c>
      <c r="D303" s="23">
        <v>3</v>
      </c>
      <c r="F303" s="23" t="s">
        <v>335</v>
      </c>
      <c r="G303" s="23" t="s">
        <v>115</v>
      </c>
      <c r="H303" s="23" t="s">
        <v>432</v>
      </c>
      <c r="I303" s="23">
        <v>3</v>
      </c>
      <c r="J303" s="40">
        <v>0</v>
      </c>
      <c r="K303" s="40">
        <v>0</v>
      </c>
      <c r="L303" s="40" t="s">
        <v>115</v>
      </c>
      <c r="O303" s="40" t="s">
        <v>115</v>
      </c>
      <c r="Q303" s="40">
        <v>205</v>
      </c>
      <c r="R303" s="40">
        <v>239</v>
      </c>
      <c r="X303" s="40">
        <v>90030608</v>
      </c>
      <c r="Y303" s="40" t="s">
        <v>115</v>
      </c>
      <c r="Z303" s="40" t="s">
        <v>115</v>
      </c>
      <c r="AA303" s="40" t="s">
        <v>115</v>
      </c>
      <c r="AB303" s="40" t="s">
        <v>115</v>
      </c>
      <c r="AC303" s="40" t="s">
        <v>115</v>
      </c>
      <c r="AI303" s="40" t="s">
        <v>115</v>
      </c>
      <c r="AP303" s="4" t="s">
        <v>115</v>
      </c>
    </row>
    <row r="304" spans="1:42" x14ac:dyDescent="0.15">
      <c r="A304" s="40" t="s">
        <v>1</v>
      </c>
      <c r="B304" s="23">
        <v>90030608</v>
      </c>
      <c r="C304" s="23">
        <v>306</v>
      </c>
      <c r="D304" s="23">
        <v>3</v>
      </c>
      <c r="F304" s="23" t="s">
        <v>115</v>
      </c>
      <c r="G304" s="23" t="s">
        <v>115</v>
      </c>
      <c r="H304" s="23" t="s">
        <v>1270</v>
      </c>
      <c r="I304" s="23">
        <v>4</v>
      </c>
      <c r="J304" s="40">
        <v>0</v>
      </c>
      <c r="K304" s="40">
        <v>0</v>
      </c>
      <c r="L304" s="40" t="s">
        <v>115</v>
      </c>
      <c r="O304" s="40" t="s">
        <v>115</v>
      </c>
      <c r="Q304" s="40">
        <v>205</v>
      </c>
      <c r="R304" s="40">
        <v>239</v>
      </c>
      <c r="X304" s="40">
        <v>90030609</v>
      </c>
      <c r="Y304" s="40" t="s">
        <v>115</v>
      </c>
      <c r="Z304" s="40" t="s">
        <v>115</v>
      </c>
      <c r="AA304" s="40" t="s">
        <v>115</v>
      </c>
      <c r="AB304" s="40" t="s">
        <v>115</v>
      </c>
      <c r="AC304" s="40" t="s">
        <v>115</v>
      </c>
      <c r="AI304" s="40" t="s">
        <v>115</v>
      </c>
      <c r="AP304" s="4" t="s">
        <v>115</v>
      </c>
    </row>
    <row r="305" spans="1:42" x14ac:dyDescent="0.15">
      <c r="A305" s="40" t="s">
        <v>1</v>
      </c>
      <c r="B305" s="23">
        <v>90030609</v>
      </c>
      <c r="C305" s="23">
        <v>306</v>
      </c>
      <c r="D305" s="23">
        <v>3</v>
      </c>
      <c r="F305" s="23" t="s">
        <v>443</v>
      </c>
      <c r="G305" s="23" t="s">
        <v>115</v>
      </c>
      <c r="H305" s="23" t="s">
        <v>444</v>
      </c>
      <c r="I305" s="23">
        <v>3</v>
      </c>
      <c r="J305" s="40">
        <v>0</v>
      </c>
      <c r="K305" s="40">
        <v>0</v>
      </c>
      <c r="L305" s="40" t="s">
        <v>115</v>
      </c>
      <c r="O305" s="40" t="s">
        <v>115</v>
      </c>
      <c r="Q305" s="40">
        <v>205</v>
      </c>
      <c r="R305" s="40">
        <v>239</v>
      </c>
      <c r="X305" s="40">
        <v>90030610</v>
      </c>
      <c r="Y305" s="40" t="s">
        <v>115</v>
      </c>
      <c r="Z305" s="40" t="s">
        <v>115</v>
      </c>
      <c r="AA305" s="40" t="s">
        <v>115</v>
      </c>
      <c r="AB305" s="40" t="s">
        <v>115</v>
      </c>
      <c r="AC305" s="40" t="s">
        <v>115</v>
      </c>
      <c r="AI305" s="40" t="s">
        <v>115</v>
      </c>
      <c r="AP305" s="4" t="s">
        <v>115</v>
      </c>
    </row>
    <row r="306" spans="1:42" x14ac:dyDescent="0.15">
      <c r="A306" s="40" t="s">
        <v>1</v>
      </c>
      <c r="B306" s="23">
        <v>90030610</v>
      </c>
      <c r="C306" s="23">
        <v>306</v>
      </c>
      <c r="D306" s="23">
        <v>3</v>
      </c>
      <c r="F306" s="23" t="s">
        <v>115</v>
      </c>
      <c r="G306" s="23" t="s">
        <v>115</v>
      </c>
      <c r="H306" s="23" t="s">
        <v>1271</v>
      </c>
      <c r="I306" s="23">
        <v>4</v>
      </c>
      <c r="J306" s="40">
        <v>0</v>
      </c>
      <c r="K306" s="40">
        <v>0</v>
      </c>
      <c r="L306" s="40" t="s">
        <v>115</v>
      </c>
      <c r="O306" s="40" t="s">
        <v>115</v>
      </c>
      <c r="Q306" s="40">
        <v>205</v>
      </c>
      <c r="R306" s="40">
        <v>300</v>
      </c>
      <c r="X306" s="40">
        <v>90030611</v>
      </c>
      <c r="Y306" s="40" t="s">
        <v>115</v>
      </c>
      <c r="Z306" s="40" t="s">
        <v>115</v>
      </c>
      <c r="AA306" s="40" t="s">
        <v>115</v>
      </c>
      <c r="AB306" s="40" t="s">
        <v>115</v>
      </c>
      <c r="AC306" s="40" t="s">
        <v>115</v>
      </c>
      <c r="AI306" s="40" t="s">
        <v>115</v>
      </c>
      <c r="AP306" s="4" t="s">
        <v>115</v>
      </c>
    </row>
    <row r="307" spans="1:42" x14ac:dyDescent="0.15">
      <c r="A307" s="40" t="s">
        <v>1</v>
      </c>
      <c r="B307" s="23">
        <v>90030611</v>
      </c>
      <c r="C307" s="23">
        <v>306</v>
      </c>
      <c r="D307" s="23">
        <v>3</v>
      </c>
      <c r="F307" s="23" t="s">
        <v>116</v>
      </c>
      <c r="G307" s="23">
        <v>313</v>
      </c>
      <c r="H307" s="23" t="s">
        <v>445</v>
      </c>
      <c r="I307" s="23">
        <v>0</v>
      </c>
      <c r="J307" s="40">
        <v>0</v>
      </c>
      <c r="K307" s="40">
        <v>0</v>
      </c>
      <c r="L307" s="40" t="s">
        <v>115</v>
      </c>
      <c r="O307" s="40" t="s">
        <v>115</v>
      </c>
      <c r="Q307" s="40">
        <v>205</v>
      </c>
      <c r="R307" s="40">
        <v>300</v>
      </c>
      <c r="X307" s="40">
        <v>90030612</v>
      </c>
      <c r="Y307" s="40" t="s">
        <v>115</v>
      </c>
      <c r="Z307" s="40" t="s">
        <v>115</v>
      </c>
      <c r="AA307" s="40" t="s">
        <v>115</v>
      </c>
      <c r="AB307" s="40" t="s">
        <v>115</v>
      </c>
      <c r="AC307" s="40" t="s">
        <v>115</v>
      </c>
      <c r="AI307" s="40" t="s">
        <v>115</v>
      </c>
      <c r="AP307" s="4" t="s">
        <v>115</v>
      </c>
    </row>
    <row r="308" spans="1:42" x14ac:dyDescent="0.15">
      <c r="A308" s="40" t="s">
        <v>1</v>
      </c>
      <c r="B308" s="23">
        <v>90030612</v>
      </c>
      <c r="C308" s="23">
        <v>306</v>
      </c>
      <c r="D308" s="23">
        <v>3</v>
      </c>
      <c r="F308" s="23" t="s">
        <v>251</v>
      </c>
      <c r="G308" s="23" t="s">
        <v>115</v>
      </c>
      <c r="H308" s="23" t="s">
        <v>446</v>
      </c>
      <c r="I308" s="23">
        <v>3</v>
      </c>
      <c r="J308" s="40">
        <v>0</v>
      </c>
      <c r="K308" s="40">
        <v>0</v>
      </c>
      <c r="L308" s="40" t="s">
        <v>115</v>
      </c>
      <c r="O308" s="40" t="s">
        <v>115</v>
      </c>
      <c r="Q308" s="40">
        <v>205</v>
      </c>
      <c r="R308" s="40">
        <v>300</v>
      </c>
      <c r="X308" s="40">
        <v>90030613</v>
      </c>
      <c r="Y308" s="40" t="s">
        <v>115</v>
      </c>
      <c r="Z308" s="40" t="s">
        <v>115</v>
      </c>
      <c r="AA308" s="40" t="s">
        <v>115</v>
      </c>
      <c r="AB308" s="40" t="s">
        <v>115</v>
      </c>
      <c r="AC308" s="40" t="s">
        <v>115</v>
      </c>
      <c r="AI308" s="40" t="s">
        <v>115</v>
      </c>
      <c r="AP308" s="4" t="s">
        <v>115</v>
      </c>
    </row>
    <row r="309" spans="1:42" x14ac:dyDescent="0.15">
      <c r="A309" s="40" t="s">
        <v>1</v>
      </c>
      <c r="B309" s="23">
        <v>90030613</v>
      </c>
      <c r="C309" s="23">
        <v>306</v>
      </c>
      <c r="D309" s="23">
        <v>3</v>
      </c>
      <c r="F309" s="23" t="s">
        <v>335</v>
      </c>
      <c r="G309" s="23" t="s">
        <v>115</v>
      </c>
      <c r="H309" s="23" t="s">
        <v>447</v>
      </c>
      <c r="I309" s="23">
        <v>3</v>
      </c>
      <c r="J309" s="40">
        <v>0</v>
      </c>
      <c r="K309" s="40">
        <v>4</v>
      </c>
      <c r="L309" s="40" t="s">
        <v>729</v>
      </c>
      <c r="O309" s="40" t="s">
        <v>115</v>
      </c>
      <c r="Q309" s="40">
        <v>205</v>
      </c>
      <c r="R309" s="40">
        <v>239</v>
      </c>
      <c r="X309" s="40">
        <v>90030614</v>
      </c>
      <c r="Y309" s="40" t="s">
        <v>115</v>
      </c>
      <c r="Z309" s="40">
        <v>3</v>
      </c>
      <c r="AA309" s="40" t="s">
        <v>115</v>
      </c>
      <c r="AB309" s="40" t="s">
        <v>115</v>
      </c>
      <c r="AC309" s="40" t="s">
        <v>115</v>
      </c>
      <c r="AI309" s="40" t="s">
        <v>115</v>
      </c>
      <c r="AP309" s="4" t="s">
        <v>115</v>
      </c>
    </row>
    <row r="310" spans="1:42" x14ac:dyDescent="0.15">
      <c r="A310" s="40" t="s">
        <v>1</v>
      </c>
      <c r="B310" s="23">
        <v>90030614</v>
      </c>
      <c r="C310" s="23">
        <v>306</v>
      </c>
      <c r="D310" s="23">
        <v>3</v>
      </c>
      <c r="F310" s="23" t="s">
        <v>335</v>
      </c>
      <c r="G310" s="23" t="s">
        <v>115</v>
      </c>
      <c r="H310" s="23" t="s">
        <v>448</v>
      </c>
      <c r="I310" s="23">
        <v>3</v>
      </c>
      <c r="J310" s="40">
        <v>0</v>
      </c>
      <c r="K310" s="40">
        <v>0</v>
      </c>
      <c r="L310" s="40" t="s">
        <v>115</v>
      </c>
      <c r="O310" s="40" t="s">
        <v>115</v>
      </c>
      <c r="Q310" s="40">
        <v>205</v>
      </c>
      <c r="R310" s="40">
        <v>239</v>
      </c>
      <c r="X310" s="40">
        <v>90030615</v>
      </c>
      <c r="Y310" s="40" t="s">
        <v>115</v>
      </c>
      <c r="Z310" s="40" t="s">
        <v>115</v>
      </c>
      <c r="AA310" s="40" t="s">
        <v>115</v>
      </c>
      <c r="AB310" s="40" t="s">
        <v>115</v>
      </c>
      <c r="AC310" s="40" t="s">
        <v>115</v>
      </c>
      <c r="AI310" s="40" t="s">
        <v>115</v>
      </c>
      <c r="AP310" s="4" t="s">
        <v>115</v>
      </c>
    </row>
    <row r="311" spans="1:42" x14ac:dyDescent="0.15">
      <c r="A311" s="40" t="s">
        <v>1</v>
      </c>
      <c r="B311" s="23">
        <v>90030615</v>
      </c>
      <c r="C311" s="23">
        <v>306</v>
      </c>
      <c r="D311" s="23">
        <v>3</v>
      </c>
      <c r="F311" s="23" t="s">
        <v>115</v>
      </c>
      <c r="G311" s="23" t="s">
        <v>115</v>
      </c>
      <c r="H311" s="23" t="s">
        <v>449</v>
      </c>
      <c r="I311" s="23">
        <v>4</v>
      </c>
      <c r="J311" s="40">
        <v>0</v>
      </c>
      <c r="K311" s="40">
        <v>5</v>
      </c>
      <c r="L311" s="40" t="s">
        <v>115</v>
      </c>
      <c r="O311" s="40">
        <v>1</v>
      </c>
      <c r="Q311" s="40">
        <v>205</v>
      </c>
      <c r="R311" s="40" t="s">
        <v>115</v>
      </c>
      <c r="X311" s="40" t="s">
        <v>115</v>
      </c>
      <c r="Y311" s="40" t="s">
        <v>115</v>
      </c>
      <c r="Z311" s="40">
        <v>4</v>
      </c>
      <c r="AA311" s="40" t="s">
        <v>115</v>
      </c>
      <c r="AB311" s="40" t="s">
        <v>115</v>
      </c>
      <c r="AC311" s="40" t="s">
        <v>115</v>
      </c>
      <c r="AI311" s="40" t="s">
        <v>115</v>
      </c>
      <c r="AP311" s="4" t="s">
        <v>115</v>
      </c>
    </row>
    <row r="312" spans="1:42" x14ac:dyDescent="0.15">
      <c r="A312" s="40" t="s">
        <v>1</v>
      </c>
      <c r="B312" s="23" t="s">
        <v>315</v>
      </c>
      <c r="C312" s="23">
        <v>401</v>
      </c>
      <c r="D312" s="23">
        <v>4</v>
      </c>
      <c r="F312" s="23" t="s">
        <v>115</v>
      </c>
      <c r="G312" s="23" t="s">
        <v>115</v>
      </c>
      <c r="H312" s="23" t="s">
        <v>2101</v>
      </c>
      <c r="I312" s="23">
        <v>4</v>
      </c>
      <c r="J312" s="40">
        <v>1</v>
      </c>
      <c r="K312" s="40">
        <v>1</v>
      </c>
      <c r="L312" s="40" t="s">
        <v>115</v>
      </c>
      <c r="O312" s="40" t="s">
        <v>115</v>
      </c>
      <c r="Q312" s="40">
        <v>138</v>
      </c>
      <c r="R312" s="40" t="s">
        <v>115</v>
      </c>
      <c r="X312" s="40">
        <v>90040102</v>
      </c>
      <c r="Y312" s="40" t="s">
        <v>115</v>
      </c>
      <c r="Z312" s="40" t="s">
        <v>115</v>
      </c>
      <c r="AA312" s="40" t="s">
        <v>115</v>
      </c>
      <c r="AB312" s="40" t="s">
        <v>115</v>
      </c>
      <c r="AC312" s="40" t="s">
        <v>115</v>
      </c>
      <c r="AI312" s="40" t="s">
        <v>115</v>
      </c>
      <c r="AP312" s="40" t="s">
        <v>715</v>
      </c>
    </row>
    <row r="313" spans="1:42" x14ac:dyDescent="0.15">
      <c r="A313" s="40" t="s">
        <v>1</v>
      </c>
      <c r="B313" s="23">
        <v>90040102</v>
      </c>
      <c r="C313" s="23">
        <v>401</v>
      </c>
      <c r="D313" s="23">
        <v>4</v>
      </c>
      <c r="F313" s="23" t="s">
        <v>932</v>
      </c>
      <c r="G313" s="23" t="s">
        <v>115</v>
      </c>
      <c r="H313" s="23" t="s">
        <v>2102</v>
      </c>
      <c r="I313" s="23">
        <v>1</v>
      </c>
      <c r="J313" s="40">
        <v>0</v>
      </c>
      <c r="K313" s="40">
        <v>0</v>
      </c>
      <c r="L313" s="40" t="s">
        <v>115</v>
      </c>
      <c r="O313" s="40" t="s">
        <v>115</v>
      </c>
      <c r="Q313" s="40">
        <v>138</v>
      </c>
      <c r="R313" s="40" t="s">
        <v>115</v>
      </c>
      <c r="X313" s="40">
        <v>90040103</v>
      </c>
      <c r="Y313" s="40" t="s">
        <v>115</v>
      </c>
      <c r="Z313" s="40" t="s">
        <v>115</v>
      </c>
      <c r="AA313" s="40" t="s">
        <v>115</v>
      </c>
      <c r="AB313" s="40" t="s">
        <v>115</v>
      </c>
      <c r="AC313" s="40" t="s">
        <v>115</v>
      </c>
      <c r="AI313" s="40" t="s">
        <v>960</v>
      </c>
      <c r="AP313" s="4" t="s">
        <v>115</v>
      </c>
    </row>
    <row r="314" spans="1:42" x14ac:dyDescent="0.15">
      <c r="A314" s="40" t="s">
        <v>1</v>
      </c>
      <c r="B314" s="23">
        <v>90040103</v>
      </c>
      <c r="C314" s="23">
        <v>401</v>
      </c>
      <c r="D314" s="23">
        <v>4</v>
      </c>
      <c r="F314" s="23" t="s">
        <v>116</v>
      </c>
      <c r="G314" s="23">
        <v>360</v>
      </c>
      <c r="H314" s="23" t="s">
        <v>2103</v>
      </c>
      <c r="I314" s="23">
        <v>0</v>
      </c>
      <c r="J314" s="40">
        <v>0</v>
      </c>
      <c r="K314" s="40">
        <v>0</v>
      </c>
      <c r="L314" s="40" t="s">
        <v>115</v>
      </c>
      <c r="O314" s="40" t="s">
        <v>115</v>
      </c>
      <c r="Q314" s="40">
        <v>138</v>
      </c>
      <c r="R314" s="40" t="s">
        <v>115</v>
      </c>
      <c r="X314" s="40">
        <v>90040104</v>
      </c>
      <c r="Y314" s="40" t="s">
        <v>115</v>
      </c>
      <c r="Z314" s="40" t="s">
        <v>115</v>
      </c>
      <c r="AA314" s="40" t="s">
        <v>115</v>
      </c>
      <c r="AB314" s="40" t="s">
        <v>115</v>
      </c>
      <c r="AC314" s="40" t="s">
        <v>115</v>
      </c>
      <c r="AI314" s="40">
        <v>403</v>
      </c>
      <c r="AP314" s="4" t="s">
        <v>115</v>
      </c>
    </row>
    <row r="315" spans="1:42" x14ac:dyDescent="0.15">
      <c r="A315" s="40" t="s">
        <v>1</v>
      </c>
      <c r="B315" s="23">
        <v>90040104</v>
      </c>
      <c r="C315" s="23">
        <v>401</v>
      </c>
      <c r="D315" s="23">
        <v>4</v>
      </c>
      <c r="F315" s="23" t="s">
        <v>115</v>
      </c>
      <c r="G315" s="23" t="s">
        <v>115</v>
      </c>
      <c r="H315" s="23" t="s">
        <v>2104</v>
      </c>
      <c r="I315" s="23">
        <v>4</v>
      </c>
      <c r="J315" s="40">
        <v>0</v>
      </c>
      <c r="K315" s="40">
        <v>0</v>
      </c>
      <c r="L315" s="40" t="s">
        <v>115</v>
      </c>
      <c r="O315" s="40" t="s">
        <v>115</v>
      </c>
      <c r="Q315" s="40">
        <v>138</v>
      </c>
      <c r="R315" s="40" t="s">
        <v>115</v>
      </c>
      <c r="X315" s="40">
        <v>90040105</v>
      </c>
      <c r="Y315" s="40" t="s">
        <v>115</v>
      </c>
      <c r="Z315" s="40" t="s">
        <v>115</v>
      </c>
      <c r="AA315" s="40" t="s">
        <v>115</v>
      </c>
      <c r="AB315" s="40" t="s">
        <v>115</v>
      </c>
      <c r="AC315" s="40" t="s">
        <v>115</v>
      </c>
      <c r="AI315" s="40">
        <v>403</v>
      </c>
      <c r="AP315" s="4" t="s">
        <v>115</v>
      </c>
    </row>
    <row r="316" spans="1:42" x14ac:dyDescent="0.15">
      <c r="A316" s="40" t="s">
        <v>1</v>
      </c>
      <c r="B316" s="23">
        <v>90040105</v>
      </c>
      <c r="C316" s="23">
        <v>401</v>
      </c>
      <c r="D316" s="23">
        <v>4</v>
      </c>
      <c r="F316" s="23" t="s">
        <v>932</v>
      </c>
      <c r="G316" s="23" t="s">
        <v>115</v>
      </c>
      <c r="H316" s="23" t="s">
        <v>2105</v>
      </c>
      <c r="I316" s="23">
        <v>1</v>
      </c>
      <c r="J316" s="40">
        <v>0</v>
      </c>
      <c r="K316" s="40">
        <v>0</v>
      </c>
      <c r="L316" s="40" t="s">
        <v>115</v>
      </c>
      <c r="O316" s="40" t="s">
        <v>115</v>
      </c>
      <c r="Q316" s="40">
        <v>138</v>
      </c>
      <c r="R316" s="40" t="s">
        <v>115</v>
      </c>
      <c r="X316" s="40">
        <v>90040106</v>
      </c>
      <c r="Y316" s="40" t="s">
        <v>115</v>
      </c>
      <c r="Z316" s="40" t="s">
        <v>115</v>
      </c>
      <c r="AA316" s="40" t="s">
        <v>115</v>
      </c>
      <c r="AB316" s="40" t="s">
        <v>115</v>
      </c>
      <c r="AC316" s="40" t="s">
        <v>115</v>
      </c>
      <c r="AI316" s="40" t="s">
        <v>960</v>
      </c>
      <c r="AP316" s="4" t="s">
        <v>115</v>
      </c>
    </row>
    <row r="317" spans="1:42" x14ac:dyDescent="0.15">
      <c r="A317" s="40" t="s">
        <v>1</v>
      </c>
      <c r="B317" s="23">
        <v>90040106</v>
      </c>
      <c r="C317" s="23">
        <v>401</v>
      </c>
      <c r="D317" s="23">
        <v>4</v>
      </c>
      <c r="F317" s="23" t="s">
        <v>116</v>
      </c>
      <c r="G317" s="23">
        <v>360</v>
      </c>
      <c r="H317" s="23" t="s">
        <v>2106</v>
      </c>
      <c r="I317" s="23">
        <v>0</v>
      </c>
      <c r="J317" s="40">
        <v>0</v>
      </c>
      <c r="K317" s="40">
        <v>0</v>
      </c>
      <c r="L317" s="40" t="s">
        <v>115</v>
      </c>
      <c r="O317" s="40" t="s">
        <v>115</v>
      </c>
      <c r="Q317" s="40">
        <v>138</v>
      </c>
      <c r="R317" s="40" t="s">
        <v>115</v>
      </c>
      <c r="X317" s="40">
        <v>90040107</v>
      </c>
      <c r="Y317" s="40" t="s">
        <v>115</v>
      </c>
      <c r="Z317" s="40" t="s">
        <v>115</v>
      </c>
      <c r="AA317" s="40" t="s">
        <v>115</v>
      </c>
      <c r="AB317" s="40" t="s">
        <v>115</v>
      </c>
      <c r="AC317" s="40" t="s">
        <v>115</v>
      </c>
      <c r="AI317" s="40">
        <v>403</v>
      </c>
      <c r="AP317" s="4" t="s">
        <v>115</v>
      </c>
    </row>
    <row r="318" spans="1:42" x14ac:dyDescent="0.15">
      <c r="A318" s="40" t="s">
        <v>1</v>
      </c>
      <c r="B318" s="23">
        <v>90040107</v>
      </c>
      <c r="C318" s="23">
        <v>401</v>
      </c>
      <c r="D318" s="23">
        <v>4</v>
      </c>
      <c r="F318" s="23" t="s">
        <v>116</v>
      </c>
      <c r="G318" s="23">
        <v>360</v>
      </c>
      <c r="H318" s="23" t="s">
        <v>2107</v>
      </c>
      <c r="I318" s="23">
        <v>0</v>
      </c>
      <c r="J318" s="40">
        <v>0</v>
      </c>
      <c r="K318" s="40">
        <v>0</v>
      </c>
      <c r="L318" s="40" t="s">
        <v>115</v>
      </c>
      <c r="O318" s="40" t="s">
        <v>115</v>
      </c>
      <c r="Q318" s="40">
        <v>138</v>
      </c>
      <c r="R318" s="40" t="s">
        <v>115</v>
      </c>
      <c r="X318" s="40">
        <v>90040108</v>
      </c>
      <c r="Y318" s="40" t="s">
        <v>115</v>
      </c>
      <c r="Z318" s="40" t="s">
        <v>115</v>
      </c>
      <c r="AA318" s="40" t="s">
        <v>115</v>
      </c>
      <c r="AB318" s="40" t="s">
        <v>115</v>
      </c>
      <c r="AC318" s="40" t="s">
        <v>115</v>
      </c>
      <c r="AI318" s="40">
        <v>403</v>
      </c>
      <c r="AP318" s="4" t="s">
        <v>115</v>
      </c>
    </row>
    <row r="319" spans="1:42" x14ac:dyDescent="0.15">
      <c r="A319" s="40" t="s">
        <v>1</v>
      </c>
      <c r="B319" s="23">
        <v>90040108</v>
      </c>
      <c r="C319" s="23">
        <v>401</v>
      </c>
      <c r="D319" s="23">
        <v>4</v>
      </c>
      <c r="F319" s="23" t="s">
        <v>932</v>
      </c>
      <c r="G319" s="23" t="s">
        <v>115</v>
      </c>
      <c r="H319" s="23" t="s">
        <v>2108</v>
      </c>
      <c r="I319" s="23">
        <v>1</v>
      </c>
      <c r="J319" s="40">
        <v>0</v>
      </c>
      <c r="K319" s="40">
        <v>0</v>
      </c>
      <c r="L319" s="40" t="s">
        <v>115</v>
      </c>
      <c r="O319" s="40" t="s">
        <v>115</v>
      </c>
      <c r="Q319" s="40">
        <v>138</v>
      </c>
      <c r="R319" s="40" t="s">
        <v>115</v>
      </c>
      <c r="X319" s="40">
        <v>90040109</v>
      </c>
      <c r="Y319" s="40" t="s">
        <v>115</v>
      </c>
      <c r="Z319" s="40" t="s">
        <v>115</v>
      </c>
      <c r="AA319" s="40" t="s">
        <v>115</v>
      </c>
      <c r="AB319" s="40" t="s">
        <v>115</v>
      </c>
      <c r="AC319" s="40" t="s">
        <v>115</v>
      </c>
      <c r="AI319" s="40" t="s">
        <v>960</v>
      </c>
      <c r="AP319" s="4" t="s">
        <v>115</v>
      </c>
    </row>
    <row r="320" spans="1:42" x14ac:dyDescent="0.15">
      <c r="A320" s="40" t="s">
        <v>1</v>
      </c>
      <c r="B320" s="23">
        <v>90040109</v>
      </c>
      <c r="C320" s="23">
        <v>401</v>
      </c>
      <c r="D320" s="23">
        <v>4</v>
      </c>
      <c r="F320" s="23" t="s">
        <v>932</v>
      </c>
      <c r="G320" s="23" t="s">
        <v>115</v>
      </c>
      <c r="H320" s="23" t="s">
        <v>2109</v>
      </c>
      <c r="I320" s="23">
        <v>1</v>
      </c>
      <c r="J320" s="40">
        <v>0</v>
      </c>
      <c r="K320" s="40">
        <v>2</v>
      </c>
      <c r="L320" s="40" t="s">
        <v>115</v>
      </c>
      <c r="O320" s="40">
        <v>1</v>
      </c>
      <c r="Q320" s="40">
        <v>138</v>
      </c>
      <c r="R320" s="40" t="s">
        <v>115</v>
      </c>
      <c r="X320" s="40" t="s">
        <v>115</v>
      </c>
      <c r="Y320" s="40" t="s">
        <v>115</v>
      </c>
      <c r="Z320" s="40">
        <v>1</v>
      </c>
      <c r="AA320" s="40" t="s">
        <v>115</v>
      </c>
      <c r="AB320" s="40" t="s">
        <v>115</v>
      </c>
      <c r="AC320" s="40" t="s">
        <v>115</v>
      </c>
      <c r="AI320" s="40" t="s">
        <v>960</v>
      </c>
      <c r="AP320" s="4" t="s">
        <v>115</v>
      </c>
    </row>
    <row r="321" spans="1:42" x14ac:dyDescent="0.15">
      <c r="A321" s="40" t="s">
        <v>1</v>
      </c>
      <c r="B321" s="23" t="s">
        <v>317</v>
      </c>
      <c r="C321" s="23">
        <v>402</v>
      </c>
      <c r="D321" s="23">
        <v>4</v>
      </c>
      <c r="F321" s="23" t="s">
        <v>115</v>
      </c>
      <c r="G321" s="23" t="s">
        <v>115</v>
      </c>
      <c r="H321" s="23" t="s">
        <v>2110</v>
      </c>
      <c r="I321" s="23">
        <v>4</v>
      </c>
      <c r="J321" s="40">
        <v>1</v>
      </c>
      <c r="K321" s="40">
        <v>1</v>
      </c>
      <c r="L321" s="40" t="s">
        <v>115</v>
      </c>
      <c r="O321" s="40" t="s">
        <v>115</v>
      </c>
      <c r="Q321" s="40">
        <v>198</v>
      </c>
      <c r="R321" s="40" t="s">
        <v>115</v>
      </c>
      <c r="X321" s="40">
        <v>90040202</v>
      </c>
      <c r="Y321" s="40" t="s">
        <v>115</v>
      </c>
      <c r="Z321" s="40" t="s">
        <v>115</v>
      </c>
      <c r="AA321" s="40" t="s">
        <v>115</v>
      </c>
      <c r="AB321" s="40" t="s">
        <v>115</v>
      </c>
      <c r="AC321" s="40" t="s">
        <v>115</v>
      </c>
      <c r="AI321" s="40" t="s">
        <v>115</v>
      </c>
      <c r="AP321" s="4" t="s">
        <v>115</v>
      </c>
    </row>
    <row r="322" spans="1:42" x14ac:dyDescent="0.15">
      <c r="A322" s="40" t="s">
        <v>1</v>
      </c>
      <c r="B322" s="23">
        <v>90040202</v>
      </c>
      <c r="C322" s="23">
        <v>402</v>
      </c>
      <c r="D322" s="23">
        <v>4</v>
      </c>
      <c r="F322" s="23" t="s">
        <v>115</v>
      </c>
      <c r="G322" s="23" t="s">
        <v>115</v>
      </c>
      <c r="H322" s="23" t="s">
        <v>2111</v>
      </c>
      <c r="I322" s="23">
        <v>4</v>
      </c>
      <c r="J322" s="40">
        <v>0</v>
      </c>
      <c r="K322" s="40">
        <v>0</v>
      </c>
      <c r="L322" s="40" t="s">
        <v>115</v>
      </c>
      <c r="O322" s="40" t="s">
        <v>115</v>
      </c>
      <c r="Q322" s="40">
        <v>198</v>
      </c>
      <c r="R322" s="40" t="s">
        <v>115</v>
      </c>
      <c r="X322" s="40">
        <v>90040203</v>
      </c>
      <c r="Y322" s="40" t="s">
        <v>115</v>
      </c>
      <c r="Z322" s="40" t="s">
        <v>115</v>
      </c>
      <c r="AA322" s="40" t="s">
        <v>115</v>
      </c>
      <c r="AB322" s="40" t="s">
        <v>115</v>
      </c>
      <c r="AC322" s="40" t="s">
        <v>115</v>
      </c>
      <c r="AI322" s="40" t="s">
        <v>115</v>
      </c>
      <c r="AP322" s="4" t="s">
        <v>115</v>
      </c>
    </row>
    <row r="323" spans="1:42" x14ac:dyDescent="0.15">
      <c r="A323" s="40" t="s">
        <v>1</v>
      </c>
      <c r="B323" s="23">
        <v>90040203</v>
      </c>
      <c r="C323" s="23">
        <v>402</v>
      </c>
      <c r="D323" s="23">
        <v>4</v>
      </c>
      <c r="F323" s="23" t="s">
        <v>116</v>
      </c>
      <c r="G323" s="23">
        <v>360</v>
      </c>
      <c r="H323" s="23" t="s">
        <v>2112</v>
      </c>
      <c r="I323" s="23">
        <v>2</v>
      </c>
      <c r="J323" s="40">
        <v>0</v>
      </c>
      <c r="K323" s="40">
        <v>0</v>
      </c>
      <c r="L323" s="40" t="s">
        <v>115</v>
      </c>
      <c r="O323" s="40" t="s">
        <v>115</v>
      </c>
      <c r="Q323" s="40">
        <v>198</v>
      </c>
      <c r="R323" s="40" t="s">
        <v>115</v>
      </c>
      <c r="X323" s="40">
        <v>90040204</v>
      </c>
      <c r="Y323" s="40" t="s">
        <v>115</v>
      </c>
      <c r="Z323" s="40" t="s">
        <v>115</v>
      </c>
      <c r="AA323" s="40" t="s">
        <v>115</v>
      </c>
      <c r="AB323" s="40" t="s">
        <v>115</v>
      </c>
      <c r="AC323" s="40" t="s">
        <v>115</v>
      </c>
      <c r="AI323" s="40" t="s">
        <v>115</v>
      </c>
      <c r="AP323" s="4" t="s">
        <v>115</v>
      </c>
    </row>
    <row r="324" spans="1:42" x14ac:dyDescent="0.15">
      <c r="A324" s="40" t="s">
        <v>1</v>
      </c>
      <c r="B324" s="23">
        <v>90040204</v>
      </c>
      <c r="C324" s="23">
        <v>402</v>
      </c>
      <c r="D324" s="23">
        <v>4</v>
      </c>
      <c r="F324" s="23" t="s">
        <v>115</v>
      </c>
      <c r="G324" s="23" t="s">
        <v>115</v>
      </c>
      <c r="H324" s="23" t="s">
        <v>2113</v>
      </c>
      <c r="I324" s="23">
        <v>4</v>
      </c>
      <c r="J324" s="40">
        <v>0</v>
      </c>
      <c r="K324" s="40">
        <v>0</v>
      </c>
      <c r="L324" s="40" t="s">
        <v>115</v>
      </c>
      <c r="O324" s="40" t="s">
        <v>115</v>
      </c>
      <c r="Q324" s="40">
        <v>12</v>
      </c>
      <c r="R324" s="40">
        <v>255</v>
      </c>
      <c r="X324" s="40">
        <v>90040205</v>
      </c>
      <c r="Y324" s="40" t="s">
        <v>115</v>
      </c>
      <c r="Z324" s="40" t="s">
        <v>115</v>
      </c>
      <c r="AA324" s="40" t="s">
        <v>115</v>
      </c>
      <c r="AB324" s="40" t="s">
        <v>115</v>
      </c>
      <c r="AC324" s="40" t="s">
        <v>115</v>
      </c>
      <c r="AI324" s="40" t="s">
        <v>115</v>
      </c>
      <c r="AP324" s="4" t="s">
        <v>115</v>
      </c>
    </row>
    <row r="325" spans="1:42" x14ac:dyDescent="0.15">
      <c r="A325" s="40" t="s">
        <v>1</v>
      </c>
      <c r="B325" s="23">
        <v>90040205</v>
      </c>
      <c r="C325" s="23">
        <v>402</v>
      </c>
      <c r="D325" s="23">
        <v>4</v>
      </c>
      <c r="F325" s="23" t="s">
        <v>2114</v>
      </c>
      <c r="G325" s="23" t="s">
        <v>115</v>
      </c>
      <c r="H325" s="23" t="s">
        <v>2115</v>
      </c>
      <c r="I325" s="23">
        <v>3</v>
      </c>
      <c r="J325" s="40">
        <v>0</v>
      </c>
      <c r="K325" s="40">
        <v>2</v>
      </c>
      <c r="L325" s="40" t="s">
        <v>115</v>
      </c>
      <c r="O325" s="40" t="s">
        <v>115</v>
      </c>
      <c r="Q325" s="40">
        <v>12</v>
      </c>
      <c r="R325" s="40">
        <v>255</v>
      </c>
      <c r="X325" s="40" t="s">
        <v>2116</v>
      </c>
      <c r="Y325" s="40">
        <v>1</v>
      </c>
      <c r="Z325" s="40">
        <v>1</v>
      </c>
      <c r="AA325" s="40" t="s">
        <v>115</v>
      </c>
      <c r="AB325" s="40" t="s">
        <v>115</v>
      </c>
      <c r="AC325" s="40" t="s">
        <v>115</v>
      </c>
      <c r="AI325" s="40" t="s">
        <v>115</v>
      </c>
      <c r="AP325" s="4" t="s">
        <v>115</v>
      </c>
    </row>
    <row r="326" spans="1:42" x14ac:dyDescent="0.15">
      <c r="A326" s="40" t="s">
        <v>1</v>
      </c>
      <c r="B326" s="23">
        <v>90040206</v>
      </c>
      <c r="C326" s="23">
        <v>402</v>
      </c>
      <c r="D326" s="23">
        <v>4</v>
      </c>
      <c r="F326" s="23" t="s">
        <v>115</v>
      </c>
      <c r="G326" s="23" t="s">
        <v>115</v>
      </c>
      <c r="H326" s="23" t="s">
        <v>2117</v>
      </c>
      <c r="I326" s="23">
        <v>4</v>
      </c>
      <c r="J326" s="40">
        <v>0</v>
      </c>
      <c r="K326" s="40">
        <v>3</v>
      </c>
      <c r="L326" s="40" t="s">
        <v>115</v>
      </c>
      <c r="O326" s="40" t="s">
        <v>115</v>
      </c>
      <c r="Q326" s="40">
        <v>12</v>
      </c>
      <c r="R326" s="40">
        <v>255</v>
      </c>
      <c r="X326" s="40">
        <v>90040208</v>
      </c>
      <c r="Y326" s="40">
        <v>-1</v>
      </c>
      <c r="Z326" s="40">
        <v>2</v>
      </c>
      <c r="AA326" s="40" t="s">
        <v>115</v>
      </c>
      <c r="AB326" s="40" t="s">
        <v>115</v>
      </c>
      <c r="AC326" s="40" t="s">
        <v>384</v>
      </c>
      <c r="AI326" s="40" t="s">
        <v>115</v>
      </c>
      <c r="AP326" s="4" t="s">
        <v>115</v>
      </c>
    </row>
    <row r="327" spans="1:42" x14ac:dyDescent="0.15">
      <c r="A327" s="40" t="s">
        <v>1</v>
      </c>
      <c r="B327" s="23">
        <v>90040207</v>
      </c>
      <c r="C327" s="23">
        <v>402</v>
      </c>
      <c r="D327" s="23">
        <v>4</v>
      </c>
      <c r="F327" s="23" t="s">
        <v>115</v>
      </c>
      <c r="G327" s="23" t="s">
        <v>115</v>
      </c>
      <c r="H327" s="23" t="s">
        <v>2118</v>
      </c>
      <c r="I327" s="23">
        <v>4</v>
      </c>
      <c r="J327" s="40">
        <v>0</v>
      </c>
      <c r="K327" s="40">
        <v>4</v>
      </c>
      <c r="L327" s="40" t="s">
        <v>115</v>
      </c>
      <c r="O327" s="40" t="s">
        <v>115</v>
      </c>
      <c r="Q327" s="40">
        <v>12</v>
      </c>
      <c r="R327" s="40">
        <v>255</v>
      </c>
      <c r="X327" s="40">
        <v>90040209</v>
      </c>
      <c r="Y327" s="40">
        <v>-1</v>
      </c>
      <c r="Z327" s="40">
        <v>2</v>
      </c>
      <c r="AA327" s="40" t="s">
        <v>115</v>
      </c>
      <c r="AB327" s="40" t="s">
        <v>115</v>
      </c>
      <c r="AC327" s="40" t="s">
        <v>115</v>
      </c>
      <c r="AI327" s="40" t="s">
        <v>115</v>
      </c>
      <c r="AP327" s="40" t="s">
        <v>115</v>
      </c>
    </row>
    <row r="328" spans="1:42" x14ac:dyDescent="0.15">
      <c r="A328" s="40" t="s">
        <v>1</v>
      </c>
      <c r="B328" s="23">
        <v>90040208</v>
      </c>
      <c r="C328" s="23">
        <v>402</v>
      </c>
      <c r="D328" s="23">
        <v>4</v>
      </c>
      <c r="F328" s="23" t="s">
        <v>115</v>
      </c>
      <c r="G328" s="23" t="s">
        <v>115</v>
      </c>
      <c r="H328" s="23" t="s">
        <v>2119</v>
      </c>
      <c r="I328" s="23">
        <v>4</v>
      </c>
      <c r="J328" s="40">
        <v>0</v>
      </c>
      <c r="K328" s="40">
        <v>0</v>
      </c>
      <c r="L328" s="40" t="s">
        <v>115</v>
      </c>
      <c r="O328" s="40" t="s">
        <v>115</v>
      </c>
      <c r="Q328" s="40">
        <v>12</v>
      </c>
      <c r="R328" s="40">
        <v>255</v>
      </c>
      <c r="X328" s="40">
        <v>90040211</v>
      </c>
      <c r="Y328" s="40" t="s">
        <v>115</v>
      </c>
      <c r="Z328" s="40" t="s">
        <v>115</v>
      </c>
      <c r="AA328" s="40" t="s">
        <v>115</v>
      </c>
      <c r="AB328" s="40" t="s">
        <v>115</v>
      </c>
      <c r="AC328" s="40" t="s">
        <v>115</v>
      </c>
      <c r="AI328" s="40" t="s">
        <v>115</v>
      </c>
      <c r="AP328" s="4" t="s">
        <v>115</v>
      </c>
    </row>
    <row r="329" spans="1:42" x14ac:dyDescent="0.15">
      <c r="A329" s="40" t="s">
        <v>1</v>
      </c>
      <c r="B329" s="23">
        <v>90040209</v>
      </c>
      <c r="C329" s="23">
        <v>402</v>
      </c>
      <c r="D329" s="23">
        <v>4</v>
      </c>
      <c r="F329" s="23" t="s">
        <v>2114</v>
      </c>
      <c r="G329" s="23" t="s">
        <v>115</v>
      </c>
      <c r="H329" s="23" t="s">
        <v>2120</v>
      </c>
      <c r="I329" s="23">
        <v>3</v>
      </c>
      <c r="J329" s="40">
        <v>0</v>
      </c>
      <c r="K329" s="40">
        <v>0</v>
      </c>
      <c r="L329" s="40" t="s">
        <v>115</v>
      </c>
      <c r="O329" s="40" t="s">
        <v>115</v>
      </c>
      <c r="Q329" s="40">
        <v>12</v>
      </c>
      <c r="R329" s="40">
        <v>255</v>
      </c>
      <c r="X329" s="40">
        <v>90040210</v>
      </c>
      <c r="Y329" s="40" t="s">
        <v>115</v>
      </c>
      <c r="Z329" s="40" t="s">
        <v>115</v>
      </c>
      <c r="AA329" s="40" t="s">
        <v>115</v>
      </c>
      <c r="AB329" s="40" t="s">
        <v>115</v>
      </c>
      <c r="AC329" s="40" t="s">
        <v>115</v>
      </c>
      <c r="AI329" s="40" t="s">
        <v>115</v>
      </c>
      <c r="AP329" s="4" t="s">
        <v>115</v>
      </c>
    </row>
    <row r="330" spans="1:42" x14ac:dyDescent="0.15">
      <c r="A330" s="40" t="s">
        <v>1</v>
      </c>
      <c r="B330" s="23">
        <v>90040210</v>
      </c>
      <c r="C330" s="23">
        <v>402</v>
      </c>
      <c r="D330" s="23">
        <v>4</v>
      </c>
      <c r="F330" s="23" t="s">
        <v>116</v>
      </c>
      <c r="G330" s="23">
        <v>312</v>
      </c>
      <c r="H330" s="23" t="s">
        <v>2121</v>
      </c>
      <c r="I330" s="23">
        <v>2</v>
      </c>
      <c r="J330" s="40">
        <v>0</v>
      </c>
      <c r="K330" s="40">
        <v>0</v>
      </c>
      <c r="L330" s="40" t="s">
        <v>115</v>
      </c>
      <c r="O330" s="40" t="s">
        <v>115</v>
      </c>
      <c r="Q330" s="40">
        <v>12</v>
      </c>
      <c r="R330" s="40">
        <v>255</v>
      </c>
      <c r="X330" s="40">
        <v>90040205</v>
      </c>
      <c r="Y330" s="40" t="s">
        <v>115</v>
      </c>
      <c r="Z330" s="40" t="s">
        <v>115</v>
      </c>
      <c r="AA330" s="40" t="s">
        <v>115</v>
      </c>
      <c r="AB330" s="40" t="s">
        <v>115</v>
      </c>
      <c r="AC330" s="40" t="s">
        <v>115</v>
      </c>
      <c r="AI330" s="40" t="s">
        <v>115</v>
      </c>
      <c r="AP330" s="4" t="s">
        <v>115</v>
      </c>
    </row>
    <row r="331" spans="1:42" x14ac:dyDescent="0.15">
      <c r="A331" s="40" t="s">
        <v>1</v>
      </c>
      <c r="B331" s="23">
        <v>90040211</v>
      </c>
      <c r="C331" s="23">
        <v>402</v>
      </c>
      <c r="D331" s="23">
        <v>4</v>
      </c>
      <c r="F331" s="23" t="s">
        <v>116</v>
      </c>
      <c r="G331" s="23">
        <v>360</v>
      </c>
      <c r="H331" s="23" t="s">
        <v>2122</v>
      </c>
      <c r="I331" s="23">
        <v>0</v>
      </c>
      <c r="J331" s="40">
        <v>0</v>
      </c>
      <c r="K331" s="40">
        <v>0</v>
      </c>
      <c r="L331" s="40" t="s">
        <v>115</v>
      </c>
      <c r="O331" s="40" t="s">
        <v>115</v>
      </c>
      <c r="Q331" s="40">
        <v>12</v>
      </c>
      <c r="R331" s="40">
        <v>255</v>
      </c>
      <c r="X331" s="40">
        <v>90040212</v>
      </c>
      <c r="Y331" s="40" t="s">
        <v>115</v>
      </c>
      <c r="Z331" s="40" t="s">
        <v>115</v>
      </c>
      <c r="AA331" s="40" t="s">
        <v>115</v>
      </c>
      <c r="AB331" s="40" t="s">
        <v>115</v>
      </c>
      <c r="AC331" s="40" t="s">
        <v>115</v>
      </c>
      <c r="AI331" s="40" t="s">
        <v>115</v>
      </c>
      <c r="AP331" s="4" t="s">
        <v>115</v>
      </c>
    </row>
    <row r="332" spans="1:42" x14ac:dyDescent="0.15">
      <c r="A332" s="40" t="s">
        <v>1</v>
      </c>
      <c r="B332" s="23">
        <v>90040212</v>
      </c>
      <c r="C332" s="23">
        <v>402</v>
      </c>
      <c r="D332" s="23">
        <v>4</v>
      </c>
      <c r="F332" s="23" t="s">
        <v>2114</v>
      </c>
      <c r="G332" s="23" t="s">
        <v>115</v>
      </c>
      <c r="H332" s="23" t="s">
        <v>2123</v>
      </c>
      <c r="I332" s="23">
        <v>3</v>
      </c>
      <c r="J332" s="40">
        <v>0</v>
      </c>
      <c r="K332" s="40">
        <v>0</v>
      </c>
      <c r="L332" s="40" t="s">
        <v>115</v>
      </c>
      <c r="O332" s="40" t="s">
        <v>115</v>
      </c>
      <c r="Q332" s="40">
        <v>12</v>
      </c>
      <c r="R332" s="40">
        <v>255</v>
      </c>
      <c r="X332" s="40">
        <v>90040213</v>
      </c>
      <c r="Y332" s="40" t="s">
        <v>115</v>
      </c>
      <c r="Z332" s="40" t="s">
        <v>115</v>
      </c>
      <c r="AA332" s="40" t="s">
        <v>115</v>
      </c>
      <c r="AB332" s="40" t="s">
        <v>115</v>
      </c>
      <c r="AC332" s="40" t="s">
        <v>115</v>
      </c>
      <c r="AI332" s="40" t="s">
        <v>115</v>
      </c>
      <c r="AP332" s="4" t="s">
        <v>115</v>
      </c>
    </row>
    <row r="333" spans="1:42" x14ac:dyDescent="0.15">
      <c r="A333" s="40" t="s">
        <v>1</v>
      </c>
      <c r="B333" s="23">
        <v>90040213</v>
      </c>
      <c r="C333" s="23">
        <v>402</v>
      </c>
      <c r="D333" s="23">
        <v>4</v>
      </c>
      <c r="F333" s="23" t="s">
        <v>116</v>
      </c>
      <c r="G333" s="23">
        <v>360</v>
      </c>
      <c r="H333" s="23" t="s">
        <v>2124</v>
      </c>
      <c r="I333" s="23">
        <v>0</v>
      </c>
      <c r="J333" s="40">
        <v>0</v>
      </c>
      <c r="K333" s="40">
        <v>0</v>
      </c>
      <c r="L333" s="40" t="s">
        <v>115</v>
      </c>
      <c r="O333" s="40" t="s">
        <v>115</v>
      </c>
      <c r="Q333" s="40">
        <v>12</v>
      </c>
      <c r="R333" s="40">
        <v>255</v>
      </c>
      <c r="X333" s="40">
        <v>90040214</v>
      </c>
      <c r="Y333" s="40" t="s">
        <v>115</v>
      </c>
      <c r="Z333" s="40" t="s">
        <v>115</v>
      </c>
      <c r="AA333" s="40" t="s">
        <v>115</v>
      </c>
      <c r="AB333" s="40" t="s">
        <v>115</v>
      </c>
      <c r="AC333" s="40" t="s">
        <v>115</v>
      </c>
      <c r="AI333" s="40" t="s">
        <v>115</v>
      </c>
      <c r="AP333" s="4" t="s">
        <v>115</v>
      </c>
    </row>
    <row r="334" spans="1:42" x14ac:dyDescent="0.15">
      <c r="A334" s="40" t="s">
        <v>1</v>
      </c>
      <c r="B334" s="23">
        <v>90040214</v>
      </c>
      <c r="C334" s="23">
        <v>402</v>
      </c>
      <c r="D334" s="23">
        <v>4</v>
      </c>
      <c r="F334" s="23" t="s">
        <v>2114</v>
      </c>
      <c r="G334" s="23" t="s">
        <v>115</v>
      </c>
      <c r="H334" s="23" t="s">
        <v>2125</v>
      </c>
      <c r="I334" s="23">
        <v>3</v>
      </c>
      <c r="J334" s="40">
        <v>0</v>
      </c>
      <c r="K334" s="40">
        <v>0</v>
      </c>
      <c r="L334" s="40" t="s">
        <v>115</v>
      </c>
      <c r="O334" s="40" t="s">
        <v>115</v>
      </c>
      <c r="Q334" s="40">
        <v>12</v>
      </c>
      <c r="R334" s="40">
        <v>255</v>
      </c>
      <c r="X334" s="40">
        <v>90040215</v>
      </c>
      <c r="Y334" s="40" t="s">
        <v>115</v>
      </c>
      <c r="Z334" s="40" t="s">
        <v>115</v>
      </c>
      <c r="AA334" s="40" t="s">
        <v>115</v>
      </c>
      <c r="AB334" s="40" t="s">
        <v>115</v>
      </c>
      <c r="AC334" s="40" t="s">
        <v>115</v>
      </c>
      <c r="AI334" s="40" t="s">
        <v>115</v>
      </c>
      <c r="AP334" s="4" t="s">
        <v>115</v>
      </c>
    </row>
    <row r="335" spans="1:42" x14ac:dyDescent="0.15">
      <c r="A335" s="40" t="s">
        <v>1</v>
      </c>
      <c r="B335" s="23">
        <v>90040215</v>
      </c>
      <c r="C335" s="23">
        <v>402</v>
      </c>
      <c r="D335" s="23">
        <v>4</v>
      </c>
      <c r="F335" s="23" t="s">
        <v>116</v>
      </c>
      <c r="G335" s="23">
        <v>360</v>
      </c>
      <c r="H335" s="23" t="s">
        <v>2126</v>
      </c>
      <c r="I335" s="23">
        <v>0</v>
      </c>
      <c r="J335" s="40">
        <v>0</v>
      </c>
      <c r="K335" s="40">
        <v>0</v>
      </c>
      <c r="L335" s="40" t="s">
        <v>115</v>
      </c>
      <c r="O335" s="40" t="s">
        <v>115</v>
      </c>
      <c r="Q335" s="40">
        <v>12</v>
      </c>
      <c r="R335" s="40">
        <v>255</v>
      </c>
      <c r="X335" s="40">
        <v>90040216</v>
      </c>
      <c r="Y335" s="40" t="s">
        <v>115</v>
      </c>
      <c r="Z335" s="40" t="s">
        <v>115</v>
      </c>
      <c r="AA335" s="40" t="s">
        <v>115</v>
      </c>
      <c r="AB335" s="40" t="s">
        <v>115</v>
      </c>
      <c r="AC335" s="40" t="s">
        <v>115</v>
      </c>
      <c r="AI335" s="40" t="s">
        <v>115</v>
      </c>
      <c r="AP335" s="4" t="s">
        <v>115</v>
      </c>
    </row>
    <row r="336" spans="1:42" x14ac:dyDescent="0.15">
      <c r="A336" s="40" t="s">
        <v>1</v>
      </c>
      <c r="B336" s="23">
        <v>90040216</v>
      </c>
      <c r="C336" s="23">
        <v>402</v>
      </c>
      <c r="D336" s="23">
        <v>4</v>
      </c>
      <c r="F336" s="23" t="s">
        <v>2114</v>
      </c>
      <c r="G336" s="23" t="s">
        <v>115</v>
      </c>
      <c r="H336" s="23" t="s">
        <v>2127</v>
      </c>
      <c r="I336" s="23">
        <v>3</v>
      </c>
      <c r="J336" s="40">
        <v>0</v>
      </c>
      <c r="K336" s="40">
        <v>0</v>
      </c>
      <c r="L336" s="40" t="s">
        <v>115</v>
      </c>
      <c r="O336" s="40" t="s">
        <v>115</v>
      </c>
      <c r="Q336" s="40">
        <v>12</v>
      </c>
      <c r="R336" s="40">
        <v>255</v>
      </c>
      <c r="X336" s="40">
        <v>90040217</v>
      </c>
      <c r="Y336" s="40" t="s">
        <v>115</v>
      </c>
      <c r="Z336" s="40" t="s">
        <v>115</v>
      </c>
      <c r="AA336" s="40" t="s">
        <v>115</v>
      </c>
      <c r="AB336" s="40" t="s">
        <v>115</v>
      </c>
      <c r="AC336" s="40" t="s">
        <v>115</v>
      </c>
      <c r="AI336" s="40" t="s">
        <v>115</v>
      </c>
      <c r="AP336" s="4" t="s">
        <v>115</v>
      </c>
    </row>
    <row r="337" spans="1:42" x14ac:dyDescent="0.15">
      <c r="A337" s="40" t="s">
        <v>1</v>
      </c>
      <c r="B337" s="23">
        <v>90040217</v>
      </c>
      <c r="C337" s="23">
        <v>402</v>
      </c>
      <c r="D337" s="23">
        <v>4</v>
      </c>
      <c r="F337" s="23" t="s">
        <v>116</v>
      </c>
      <c r="G337" s="23">
        <v>360</v>
      </c>
      <c r="H337" s="23" t="s">
        <v>2128</v>
      </c>
      <c r="I337" s="23">
        <v>0</v>
      </c>
      <c r="J337" s="40">
        <v>0</v>
      </c>
      <c r="K337" s="40">
        <v>0</v>
      </c>
      <c r="L337" s="40" t="s">
        <v>115</v>
      </c>
      <c r="O337" s="40" t="s">
        <v>115</v>
      </c>
      <c r="Q337" s="40">
        <v>12</v>
      </c>
      <c r="R337" s="40">
        <v>255</v>
      </c>
      <c r="X337" s="40">
        <v>90040218</v>
      </c>
      <c r="Y337" s="40" t="s">
        <v>115</v>
      </c>
      <c r="Z337" s="40" t="s">
        <v>115</v>
      </c>
      <c r="AA337" s="40" t="s">
        <v>115</v>
      </c>
      <c r="AB337" s="40" t="s">
        <v>115</v>
      </c>
      <c r="AC337" s="40" t="s">
        <v>115</v>
      </c>
      <c r="AI337" s="40" t="s">
        <v>115</v>
      </c>
      <c r="AP337" s="4" t="s">
        <v>115</v>
      </c>
    </row>
    <row r="338" spans="1:42" x14ac:dyDescent="0.15">
      <c r="A338" s="40" t="s">
        <v>1</v>
      </c>
      <c r="B338" s="23">
        <v>90040218</v>
      </c>
      <c r="C338" s="23">
        <v>402</v>
      </c>
      <c r="D338" s="23">
        <v>4</v>
      </c>
      <c r="F338" s="23" t="s">
        <v>2114</v>
      </c>
      <c r="G338" s="23" t="s">
        <v>115</v>
      </c>
      <c r="H338" s="23" t="s">
        <v>2129</v>
      </c>
      <c r="I338" s="23">
        <v>3</v>
      </c>
      <c r="J338" s="40">
        <v>0</v>
      </c>
      <c r="K338" s="40">
        <v>0</v>
      </c>
      <c r="L338" s="40" t="s">
        <v>115</v>
      </c>
      <c r="O338" s="40" t="s">
        <v>115</v>
      </c>
      <c r="Q338" s="40">
        <v>12</v>
      </c>
      <c r="R338" s="40">
        <v>255</v>
      </c>
      <c r="X338" s="40">
        <v>90040219</v>
      </c>
      <c r="Y338" s="40" t="s">
        <v>115</v>
      </c>
      <c r="Z338" s="40" t="s">
        <v>115</v>
      </c>
      <c r="AA338" s="40" t="s">
        <v>115</v>
      </c>
      <c r="AB338" s="40" t="s">
        <v>115</v>
      </c>
      <c r="AC338" s="40" t="s">
        <v>115</v>
      </c>
      <c r="AI338" s="40" t="s">
        <v>115</v>
      </c>
      <c r="AP338" s="4" t="s">
        <v>115</v>
      </c>
    </row>
    <row r="339" spans="1:42" x14ac:dyDescent="0.15">
      <c r="A339" s="40" t="s">
        <v>1</v>
      </c>
      <c r="B339" s="23">
        <v>90040219</v>
      </c>
      <c r="C339" s="23">
        <v>402</v>
      </c>
      <c r="D339" s="23">
        <v>4</v>
      </c>
      <c r="F339" s="23" t="s">
        <v>116</v>
      </c>
      <c r="G339" s="23">
        <v>314</v>
      </c>
      <c r="H339" s="23" t="s">
        <v>2130</v>
      </c>
      <c r="I339" s="23">
        <v>0</v>
      </c>
      <c r="J339" s="40">
        <v>0</v>
      </c>
      <c r="K339" s="40">
        <v>0</v>
      </c>
      <c r="L339" s="40" t="s">
        <v>115</v>
      </c>
      <c r="O339" s="40" t="s">
        <v>115</v>
      </c>
      <c r="Q339" s="40">
        <v>12</v>
      </c>
      <c r="R339" s="40">
        <v>255</v>
      </c>
      <c r="X339" s="40">
        <v>90040220</v>
      </c>
      <c r="Y339" s="40" t="s">
        <v>115</v>
      </c>
      <c r="Z339" s="40" t="s">
        <v>115</v>
      </c>
      <c r="AA339" s="40" t="s">
        <v>115</v>
      </c>
      <c r="AB339" s="40" t="s">
        <v>115</v>
      </c>
      <c r="AC339" s="40" t="s">
        <v>115</v>
      </c>
      <c r="AI339" s="40" t="s">
        <v>115</v>
      </c>
      <c r="AP339" s="4" t="s">
        <v>115</v>
      </c>
    </row>
    <row r="340" spans="1:42" x14ac:dyDescent="0.15">
      <c r="A340" s="40" t="s">
        <v>1</v>
      </c>
      <c r="B340" s="23">
        <v>90040220</v>
      </c>
      <c r="C340" s="23">
        <v>402</v>
      </c>
      <c r="D340" s="23">
        <v>4</v>
      </c>
      <c r="F340" s="23" t="s">
        <v>2114</v>
      </c>
      <c r="G340" s="23" t="s">
        <v>115</v>
      </c>
      <c r="H340" s="23" t="s">
        <v>2131</v>
      </c>
      <c r="I340" s="23">
        <v>3</v>
      </c>
      <c r="J340" s="40">
        <v>0</v>
      </c>
      <c r="K340" s="40">
        <v>0</v>
      </c>
      <c r="L340" s="40" t="s">
        <v>115</v>
      </c>
      <c r="O340" s="40" t="s">
        <v>115</v>
      </c>
      <c r="Q340" s="40">
        <v>12</v>
      </c>
      <c r="R340" s="40">
        <v>255</v>
      </c>
      <c r="X340" s="40">
        <v>90040221</v>
      </c>
      <c r="Y340" s="40" t="s">
        <v>115</v>
      </c>
      <c r="Z340" s="40" t="s">
        <v>115</v>
      </c>
      <c r="AA340" s="40" t="s">
        <v>115</v>
      </c>
      <c r="AB340" s="40" t="s">
        <v>115</v>
      </c>
      <c r="AC340" s="40" t="s">
        <v>115</v>
      </c>
      <c r="AI340" s="40" t="s">
        <v>115</v>
      </c>
      <c r="AP340" s="4" t="s">
        <v>115</v>
      </c>
    </row>
    <row r="341" spans="1:42" x14ac:dyDescent="0.15">
      <c r="A341" s="40" t="s">
        <v>1</v>
      </c>
      <c r="B341" s="23">
        <v>90040221</v>
      </c>
      <c r="C341" s="23">
        <v>402</v>
      </c>
      <c r="D341" s="23">
        <v>4</v>
      </c>
      <c r="F341" s="23" t="s">
        <v>116</v>
      </c>
      <c r="G341" s="23">
        <v>360</v>
      </c>
      <c r="H341" s="23" t="s">
        <v>2132</v>
      </c>
      <c r="I341" s="23">
        <v>0</v>
      </c>
      <c r="J341" s="40">
        <v>0</v>
      </c>
      <c r="K341" s="40">
        <v>0</v>
      </c>
      <c r="L341" s="40" t="s">
        <v>115</v>
      </c>
      <c r="O341" s="40" t="s">
        <v>115</v>
      </c>
      <c r="Q341" s="40">
        <v>12</v>
      </c>
      <c r="R341" s="40">
        <v>255</v>
      </c>
      <c r="X341" s="40">
        <v>90040222</v>
      </c>
      <c r="Y341" s="40" t="s">
        <v>115</v>
      </c>
      <c r="Z341" s="40" t="s">
        <v>115</v>
      </c>
      <c r="AA341" s="40" t="s">
        <v>115</v>
      </c>
      <c r="AB341" s="40" t="s">
        <v>115</v>
      </c>
      <c r="AC341" s="40" t="s">
        <v>115</v>
      </c>
      <c r="AI341" s="40" t="s">
        <v>115</v>
      </c>
      <c r="AP341" s="40" t="s">
        <v>115</v>
      </c>
    </row>
    <row r="342" spans="1:42" x14ac:dyDescent="0.15">
      <c r="A342" s="40" t="s">
        <v>1</v>
      </c>
      <c r="B342" s="23">
        <v>90040222</v>
      </c>
      <c r="C342" s="23">
        <v>402</v>
      </c>
      <c r="D342" s="23">
        <v>4</v>
      </c>
      <c r="F342" s="23" t="s">
        <v>2114</v>
      </c>
      <c r="G342" s="23" t="s">
        <v>115</v>
      </c>
      <c r="H342" s="23" t="s">
        <v>2133</v>
      </c>
      <c r="I342" s="23">
        <v>3</v>
      </c>
      <c r="J342" s="40">
        <v>0</v>
      </c>
      <c r="K342" s="40">
        <v>0</v>
      </c>
      <c r="L342" s="40" t="s">
        <v>115</v>
      </c>
      <c r="O342" s="40" t="s">
        <v>115</v>
      </c>
      <c r="Q342" s="40">
        <v>12</v>
      </c>
      <c r="R342" s="40">
        <v>255</v>
      </c>
      <c r="X342" s="40">
        <v>90040223</v>
      </c>
      <c r="Y342" s="40" t="s">
        <v>115</v>
      </c>
      <c r="Z342" s="40" t="s">
        <v>115</v>
      </c>
      <c r="AA342" s="40" t="s">
        <v>115</v>
      </c>
      <c r="AB342" s="40" t="s">
        <v>115</v>
      </c>
      <c r="AC342" s="40" t="s">
        <v>115</v>
      </c>
      <c r="AI342" s="40" t="s">
        <v>115</v>
      </c>
      <c r="AP342" s="4" t="s">
        <v>115</v>
      </c>
    </row>
    <row r="343" spans="1:42" x14ac:dyDescent="0.15">
      <c r="A343" s="40" t="s">
        <v>1</v>
      </c>
      <c r="B343" s="23">
        <v>90040223</v>
      </c>
      <c r="C343" s="23">
        <v>402</v>
      </c>
      <c r="D343" s="23">
        <v>4</v>
      </c>
      <c r="F343" s="23" t="s">
        <v>2114</v>
      </c>
      <c r="G343" s="23" t="s">
        <v>115</v>
      </c>
      <c r="H343" s="23" t="s">
        <v>2134</v>
      </c>
      <c r="I343" s="23">
        <v>3</v>
      </c>
      <c r="J343" s="40">
        <v>0</v>
      </c>
      <c r="K343" s="40">
        <v>5</v>
      </c>
      <c r="L343" s="40" t="s">
        <v>730</v>
      </c>
      <c r="O343" s="40" t="s">
        <v>115</v>
      </c>
      <c r="Q343" s="40">
        <v>12</v>
      </c>
      <c r="R343" s="40">
        <v>255</v>
      </c>
      <c r="X343" s="40">
        <v>90040224</v>
      </c>
      <c r="Y343" s="40" t="s">
        <v>115</v>
      </c>
      <c r="Z343" s="40">
        <v>4</v>
      </c>
      <c r="AA343" s="40" t="s">
        <v>115</v>
      </c>
      <c r="AB343" s="40" t="s">
        <v>115</v>
      </c>
      <c r="AC343" s="40" t="s">
        <v>115</v>
      </c>
      <c r="AI343" s="40" t="s">
        <v>115</v>
      </c>
      <c r="AP343" s="4" t="s">
        <v>115</v>
      </c>
    </row>
    <row r="344" spans="1:42" x14ac:dyDescent="0.15">
      <c r="A344" s="40" t="s">
        <v>1</v>
      </c>
      <c r="B344" s="23">
        <v>90040224</v>
      </c>
      <c r="C344" s="23">
        <v>402</v>
      </c>
      <c r="D344" s="23">
        <v>4</v>
      </c>
      <c r="F344" s="23" t="s">
        <v>116</v>
      </c>
      <c r="G344" s="23">
        <v>313</v>
      </c>
      <c r="H344" s="23" t="s">
        <v>2135</v>
      </c>
      <c r="I344" s="23">
        <v>0</v>
      </c>
      <c r="J344" s="40">
        <v>0</v>
      </c>
      <c r="K344" s="40">
        <v>0</v>
      </c>
      <c r="L344" s="40" t="s">
        <v>115</v>
      </c>
      <c r="O344" s="40" t="s">
        <v>115</v>
      </c>
      <c r="Q344" s="40">
        <v>12</v>
      </c>
      <c r="R344" s="40">
        <v>255</v>
      </c>
      <c r="X344" s="40">
        <v>90040225</v>
      </c>
      <c r="Y344" s="40" t="s">
        <v>115</v>
      </c>
      <c r="Z344" s="40" t="s">
        <v>115</v>
      </c>
      <c r="AA344" s="40" t="s">
        <v>115</v>
      </c>
      <c r="AB344" s="40" t="s">
        <v>115</v>
      </c>
      <c r="AC344" s="40" t="s">
        <v>115</v>
      </c>
      <c r="AI344" s="40" t="s">
        <v>115</v>
      </c>
      <c r="AP344" s="4" t="s">
        <v>115</v>
      </c>
    </row>
    <row r="345" spans="1:42" x14ac:dyDescent="0.15">
      <c r="A345" s="40" t="s">
        <v>1</v>
      </c>
      <c r="B345" s="23">
        <v>90040225</v>
      </c>
      <c r="C345" s="23">
        <v>402</v>
      </c>
      <c r="D345" s="23">
        <v>4</v>
      </c>
      <c r="F345" s="23" t="s">
        <v>2114</v>
      </c>
      <c r="G345" s="23" t="s">
        <v>115</v>
      </c>
      <c r="H345" s="23" t="s">
        <v>2136</v>
      </c>
      <c r="I345" s="23">
        <v>3</v>
      </c>
      <c r="J345" s="40">
        <v>0</v>
      </c>
      <c r="K345" s="40">
        <v>0</v>
      </c>
      <c r="L345" s="40" t="s">
        <v>115</v>
      </c>
      <c r="O345" s="40" t="s">
        <v>115</v>
      </c>
      <c r="Q345" s="40">
        <v>12</v>
      </c>
      <c r="R345" s="40">
        <v>255</v>
      </c>
      <c r="X345" s="40">
        <v>90040226</v>
      </c>
      <c r="Y345" s="40" t="s">
        <v>115</v>
      </c>
      <c r="Z345" s="40" t="s">
        <v>115</v>
      </c>
      <c r="AA345" s="40" t="s">
        <v>115</v>
      </c>
      <c r="AB345" s="40" t="s">
        <v>115</v>
      </c>
      <c r="AC345" s="40" t="s">
        <v>115</v>
      </c>
      <c r="AI345" s="40" t="s">
        <v>115</v>
      </c>
      <c r="AP345" s="4" t="s">
        <v>115</v>
      </c>
    </row>
    <row r="346" spans="1:42" x14ac:dyDescent="0.15">
      <c r="A346" s="40" t="s">
        <v>1</v>
      </c>
      <c r="B346" s="23">
        <v>90040226</v>
      </c>
      <c r="C346" s="23">
        <v>402</v>
      </c>
      <c r="D346" s="23">
        <v>4</v>
      </c>
      <c r="F346" s="23" t="s">
        <v>116</v>
      </c>
      <c r="G346" s="23">
        <v>360</v>
      </c>
      <c r="H346" s="23" t="s">
        <v>2137</v>
      </c>
      <c r="I346" s="23">
        <v>0</v>
      </c>
      <c r="J346" s="40">
        <v>0</v>
      </c>
      <c r="K346" s="40">
        <v>0</v>
      </c>
      <c r="L346" s="40" t="s">
        <v>115</v>
      </c>
      <c r="O346" s="40" t="s">
        <v>115</v>
      </c>
      <c r="Q346" s="40">
        <v>12</v>
      </c>
      <c r="R346" s="40">
        <v>255</v>
      </c>
      <c r="X346" s="40">
        <v>90040227</v>
      </c>
      <c r="Y346" s="40" t="s">
        <v>115</v>
      </c>
      <c r="Z346" s="40" t="s">
        <v>115</v>
      </c>
      <c r="AA346" s="40" t="s">
        <v>115</v>
      </c>
      <c r="AB346" s="40" t="s">
        <v>115</v>
      </c>
      <c r="AC346" s="40" t="s">
        <v>115</v>
      </c>
      <c r="AI346" s="40" t="s">
        <v>115</v>
      </c>
      <c r="AP346" s="4" t="s">
        <v>115</v>
      </c>
    </row>
    <row r="347" spans="1:42" x14ac:dyDescent="0.15">
      <c r="A347" s="40" t="s">
        <v>1</v>
      </c>
      <c r="B347" s="23">
        <v>90040227</v>
      </c>
      <c r="C347" s="23">
        <v>402</v>
      </c>
      <c r="D347" s="23">
        <v>4</v>
      </c>
      <c r="F347" s="23" t="s">
        <v>2114</v>
      </c>
      <c r="G347" s="23" t="s">
        <v>115</v>
      </c>
      <c r="H347" s="23" t="s">
        <v>2138</v>
      </c>
      <c r="I347" s="23">
        <v>3</v>
      </c>
      <c r="J347" s="40">
        <v>0</v>
      </c>
      <c r="K347" s="40">
        <v>0</v>
      </c>
      <c r="L347" s="40" t="s">
        <v>115</v>
      </c>
      <c r="O347" s="40" t="s">
        <v>115</v>
      </c>
      <c r="Q347" s="40">
        <v>12</v>
      </c>
      <c r="R347" s="40">
        <v>255</v>
      </c>
      <c r="X347" s="40">
        <v>90040228</v>
      </c>
      <c r="Y347" s="40" t="s">
        <v>115</v>
      </c>
      <c r="Z347" s="40" t="s">
        <v>115</v>
      </c>
      <c r="AA347" s="40" t="s">
        <v>115</v>
      </c>
      <c r="AB347" s="40" t="s">
        <v>115</v>
      </c>
      <c r="AC347" s="40" t="s">
        <v>115</v>
      </c>
      <c r="AI347" s="40" t="s">
        <v>115</v>
      </c>
      <c r="AP347" s="4" t="s">
        <v>115</v>
      </c>
    </row>
    <row r="348" spans="1:42" x14ac:dyDescent="0.15">
      <c r="A348" s="40" t="s">
        <v>1</v>
      </c>
      <c r="B348" s="23">
        <v>90040228</v>
      </c>
      <c r="C348" s="23">
        <v>402</v>
      </c>
      <c r="D348" s="23">
        <v>4</v>
      </c>
      <c r="F348" s="23" t="s">
        <v>2114</v>
      </c>
      <c r="G348" s="23" t="s">
        <v>115</v>
      </c>
      <c r="H348" s="23" t="s">
        <v>2139</v>
      </c>
      <c r="I348" s="23">
        <v>3</v>
      </c>
      <c r="J348" s="40">
        <v>0</v>
      </c>
      <c r="K348" s="40">
        <v>0</v>
      </c>
      <c r="L348" s="40" t="s">
        <v>115</v>
      </c>
      <c r="O348" s="40" t="s">
        <v>115</v>
      </c>
      <c r="Q348" s="40">
        <v>12</v>
      </c>
      <c r="R348" s="40">
        <v>255</v>
      </c>
      <c r="X348" s="40">
        <v>90040229</v>
      </c>
      <c r="Y348" s="40" t="s">
        <v>115</v>
      </c>
      <c r="Z348" s="40" t="s">
        <v>115</v>
      </c>
      <c r="AA348" s="40" t="s">
        <v>115</v>
      </c>
      <c r="AB348" s="40" t="s">
        <v>115</v>
      </c>
      <c r="AC348" s="40" t="s">
        <v>115</v>
      </c>
      <c r="AI348" s="40" t="s">
        <v>115</v>
      </c>
      <c r="AP348" s="4" t="s">
        <v>115</v>
      </c>
    </row>
    <row r="349" spans="1:42" x14ac:dyDescent="0.15">
      <c r="A349" s="40" t="s">
        <v>1</v>
      </c>
      <c r="B349" s="23">
        <v>90040229</v>
      </c>
      <c r="C349" s="23">
        <v>402</v>
      </c>
      <c r="D349" s="23">
        <v>4</v>
      </c>
      <c r="F349" s="23" t="s">
        <v>116</v>
      </c>
      <c r="G349" s="23">
        <v>314</v>
      </c>
      <c r="H349" s="23" t="s">
        <v>2140</v>
      </c>
      <c r="I349" s="23">
        <v>2</v>
      </c>
      <c r="J349" s="40">
        <v>0</v>
      </c>
      <c r="K349" s="40">
        <v>6</v>
      </c>
      <c r="L349" s="40" t="s">
        <v>115</v>
      </c>
      <c r="O349" s="40">
        <v>1</v>
      </c>
      <c r="Q349" s="40">
        <v>12</v>
      </c>
      <c r="R349" s="40">
        <v>255</v>
      </c>
      <c r="X349" s="40" t="s">
        <v>115</v>
      </c>
      <c r="Y349" s="40" t="s">
        <v>115</v>
      </c>
      <c r="Z349" s="40">
        <v>5</v>
      </c>
      <c r="AA349" s="40" t="s">
        <v>115</v>
      </c>
      <c r="AB349" s="40" t="s">
        <v>115</v>
      </c>
      <c r="AC349" s="40" t="s">
        <v>115</v>
      </c>
      <c r="AI349" s="40" t="s">
        <v>115</v>
      </c>
      <c r="AP349" s="4" t="s">
        <v>2141</v>
      </c>
    </row>
    <row r="350" spans="1:42" x14ac:dyDescent="0.15">
      <c r="A350" s="40" t="s">
        <v>1</v>
      </c>
      <c r="B350" s="23" t="s">
        <v>318</v>
      </c>
      <c r="C350" s="23">
        <v>403</v>
      </c>
      <c r="D350" s="23">
        <v>4</v>
      </c>
      <c r="F350" s="23" t="s">
        <v>116</v>
      </c>
      <c r="G350" s="23">
        <v>314</v>
      </c>
      <c r="H350" s="23" t="s">
        <v>2142</v>
      </c>
      <c r="I350" s="23">
        <v>2</v>
      </c>
      <c r="J350" s="40">
        <v>1</v>
      </c>
      <c r="K350" s="40">
        <v>1</v>
      </c>
      <c r="L350" s="40" t="s">
        <v>115</v>
      </c>
      <c r="O350" s="40" t="s">
        <v>115</v>
      </c>
      <c r="Q350" s="40">
        <v>206</v>
      </c>
      <c r="R350" s="40" t="s">
        <v>115</v>
      </c>
      <c r="X350" s="40">
        <v>90040302</v>
      </c>
      <c r="Y350" s="40" t="s">
        <v>115</v>
      </c>
      <c r="Z350" s="40" t="s">
        <v>115</v>
      </c>
      <c r="AA350" s="40" t="s">
        <v>115</v>
      </c>
      <c r="AB350" s="40" t="s">
        <v>115</v>
      </c>
      <c r="AC350" s="40" t="s">
        <v>115</v>
      </c>
      <c r="AI350" s="40">
        <v>403</v>
      </c>
      <c r="AP350" s="4" t="s">
        <v>115</v>
      </c>
    </row>
    <row r="351" spans="1:42" x14ac:dyDescent="0.15">
      <c r="A351" s="40" t="s">
        <v>1</v>
      </c>
      <c r="B351" s="23">
        <v>90040302</v>
      </c>
      <c r="C351" s="23">
        <v>403</v>
      </c>
      <c r="D351" s="23">
        <v>4</v>
      </c>
      <c r="F351" s="23" t="s">
        <v>932</v>
      </c>
      <c r="G351" s="23" t="s">
        <v>115</v>
      </c>
      <c r="H351" s="23" t="s">
        <v>2143</v>
      </c>
      <c r="I351" s="23">
        <v>1</v>
      </c>
      <c r="J351" s="40">
        <v>0</v>
      </c>
      <c r="K351" s="40">
        <v>0</v>
      </c>
      <c r="L351" s="40" t="s">
        <v>115</v>
      </c>
      <c r="O351" s="40" t="s">
        <v>115</v>
      </c>
      <c r="Q351" s="40">
        <v>206</v>
      </c>
      <c r="R351" s="40" t="s">
        <v>115</v>
      </c>
      <c r="X351" s="40">
        <v>90040303</v>
      </c>
      <c r="Y351" s="40" t="s">
        <v>115</v>
      </c>
      <c r="Z351" s="40" t="s">
        <v>115</v>
      </c>
      <c r="AA351" s="40" t="s">
        <v>115</v>
      </c>
      <c r="AB351" s="40" t="s">
        <v>115</v>
      </c>
      <c r="AC351" s="40" t="s">
        <v>115</v>
      </c>
      <c r="AI351" s="40" t="s">
        <v>960</v>
      </c>
      <c r="AP351" s="4" t="s">
        <v>115</v>
      </c>
    </row>
    <row r="352" spans="1:42" x14ac:dyDescent="0.15">
      <c r="A352" s="40" t="s">
        <v>1</v>
      </c>
      <c r="B352" s="23">
        <v>90040303</v>
      </c>
      <c r="C352" s="23">
        <v>403</v>
      </c>
      <c r="D352" s="23">
        <v>4</v>
      </c>
      <c r="F352" s="23" t="s">
        <v>116</v>
      </c>
      <c r="G352" s="23">
        <v>308</v>
      </c>
      <c r="H352" s="23" t="s">
        <v>2144</v>
      </c>
      <c r="I352" s="23">
        <v>0</v>
      </c>
      <c r="J352" s="40">
        <v>0</v>
      </c>
      <c r="K352" s="40">
        <v>0</v>
      </c>
      <c r="L352" s="40" t="s">
        <v>115</v>
      </c>
      <c r="O352" s="40" t="s">
        <v>115</v>
      </c>
      <c r="Q352" s="40">
        <v>206</v>
      </c>
      <c r="R352" s="40" t="s">
        <v>115</v>
      </c>
      <c r="X352" s="40">
        <v>90040304</v>
      </c>
      <c r="Y352" s="40" t="s">
        <v>115</v>
      </c>
      <c r="Z352" s="40" t="s">
        <v>115</v>
      </c>
      <c r="AA352" s="40" t="s">
        <v>115</v>
      </c>
      <c r="AB352" s="40" t="s">
        <v>115</v>
      </c>
      <c r="AC352" s="40" t="s">
        <v>115</v>
      </c>
      <c r="AI352" s="40">
        <v>403</v>
      </c>
      <c r="AP352" s="4" t="s">
        <v>115</v>
      </c>
    </row>
    <row r="353" spans="1:42" x14ac:dyDescent="0.15">
      <c r="A353" s="40" t="s">
        <v>1</v>
      </c>
      <c r="B353" s="23">
        <v>90040304</v>
      </c>
      <c r="C353" s="23">
        <v>403</v>
      </c>
      <c r="D353" s="23">
        <v>4</v>
      </c>
      <c r="F353" s="23" t="s">
        <v>932</v>
      </c>
      <c r="G353" s="23" t="s">
        <v>115</v>
      </c>
      <c r="H353" s="23" t="s">
        <v>2145</v>
      </c>
      <c r="I353" s="23">
        <v>1</v>
      </c>
      <c r="J353" s="40">
        <v>0</v>
      </c>
      <c r="K353" s="40">
        <v>0</v>
      </c>
      <c r="L353" s="40" t="s">
        <v>115</v>
      </c>
      <c r="O353" s="40" t="s">
        <v>115</v>
      </c>
      <c r="Q353" s="40">
        <v>206</v>
      </c>
      <c r="R353" s="40" t="s">
        <v>115</v>
      </c>
      <c r="X353" s="40">
        <v>90040305</v>
      </c>
      <c r="Y353" s="40" t="s">
        <v>115</v>
      </c>
      <c r="Z353" s="40" t="s">
        <v>115</v>
      </c>
      <c r="AA353" s="40" t="s">
        <v>115</v>
      </c>
      <c r="AB353" s="40" t="s">
        <v>115</v>
      </c>
      <c r="AC353" s="40" t="s">
        <v>115</v>
      </c>
      <c r="AI353" s="40" t="s">
        <v>1391</v>
      </c>
      <c r="AP353" s="4" t="s">
        <v>115</v>
      </c>
    </row>
    <row r="354" spans="1:42" x14ac:dyDescent="0.15">
      <c r="A354" s="40" t="s">
        <v>1</v>
      </c>
      <c r="B354" s="23">
        <v>90040305</v>
      </c>
      <c r="C354" s="23">
        <v>403</v>
      </c>
      <c r="D354" s="23">
        <v>4</v>
      </c>
      <c r="F354" s="23" t="s">
        <v>115</v>
      </c>
      <c r="G354" s="23" t="s">
        <v>115</v>
      </c>
      <c r="H354" s="23" t="s">
        <v>2146</v>
      </c>
      <c r="I354" s="23">
        <v>4</v>
      </c>
      <c r="J354" s="40">
        <v>0</v>
      </c>
      <c r="K354" s="40">
        <v>0</v>
      </c>
      <c r="L354" s="40" t="s">
        <v>115</v>
      </c>
      <c r="O354" s="40" t="s">
        <v>115</v>
      </c>
      <c r="Q354" s="40">
        <v>206</v>
      </c>
      <c r="R354" s="40" t="s">
        <v>115</v>
      </c>
      <c r="X354" s="40">
        <v>90040306</v>
      </c>
      <c r="Y354" s="40" t="s">
        <v>115</v>
      </c>
      <c r="Z354" s="40" t="s">
        <v>115</v>
      </c>
      <c r="AA354" s="40" t="s">
        <v>115</v>
      </c>
      <c r="AB354" s="40" t="s">
        <v>115</v>
      </c>
      <c r="AC354" s="40" t="s">
        <v>115</v>
      </c>
      <c r="AI354" s="40">
        <v>402</v>
      </c>
      <c r="AP354" s="4" t="s">
        <v>115</v>
      </c>
    </row>
    <row r="355" spans="1:42" x14ac:dyDescent="0.15">
      <c r="A355" s="40" t="s">
        <v>1</v>
      </c>
      <c r="B355" s="23">
        <v>90040306</v>
      </c>
      <c r="C355" s="23">
        <v>403</v>
      </c>
      <c r="D355" s="23">
        <v>4</v>
      </c>
      <c r="F355" s="23" t="s">
        <v>932</v>
      </c>
      <c r="G355" s="23" t="s">
        <v>115</v>
      </c>
      <c r="H355" s="23" t="s">
        <v>2147</v>
      </c>
      <c r="I355" s="23">
        <v>1</v>
      </c>
      <c r="J355" s="40">
        <v>0</v>
      </c>
      <c r="K355" s="40">
        <v>0</v>
      </c>
      <c r="L355" s="40" t="s">
        <v>115</v>
      </c>
      <c r="O355" s="40" t="s">
        <v>115</v>
      </c>
      <c r="Q355" s="40">
        <v>206</v>
      </c>
      <c r="R355" s="40" t="s">
        <v>115</v>
      </c>
      <c r="X355" s="40">
        <v>90040307</v>
      </c>
      <c r="Y355" s="40" t="s">
        <v>115</v>
      </c>
      <c r="Z355" s="40" t="s">
        <v>115</v>
      </c>
      <c r="AA355" s="40" t="s">
        <v>115</v>
      </c>
      <c r="AB355" s="40" t="s">
        <v>115</v>
      </c>
      <c r="AC355" s="40" t="s">
        <v>115</v>
      </c>
      <c r="AI355" s="40" t="s">
        <v>960</v>
      </c>
      <c r="AP355" s="40" t="s">
        <v>115</v>
      </c>
    </row>
    <row r="356" spans="1:42" x14ac:dyDescent="0.15">
      <c r="A356" s="40" t="s">
        <v>1</v>
      </c>
      <c r="B356" s="23">
        <v>90040307</v>
      </c>
      <c r="C356" s="23">
        <v>403</v>
      </c>
      <c r="D356" s="23">
        <v>4</v>
      </c>
      <c r="F356" s="23" t="s">
        <v>115</v>
      </c>
      <c r="G356" s="23" t="s">
        <v>115</v>
      </c>
      <c r="H356" s="23" t="s">
        <v>2148</v>
      </c>
      <c r="I356" s="23">
        <v>4</v>
      </c>
      <c r="J356" s="40">
        <v>0</v>
      </c>
      <c r="K356" s="40">
        <v>0</v>
      </c>
      <c r="L356" s="40" t="s">
        <v>115</v>
      </c>
      <c r="O356" s="40" t="s">
        <v>115</v>
      </c>
      <c r="Q356" s="40">
        <v>206</v>
      </c>
      <c r="R356" s="40" t="s">
        <v>115</v>
      </c>
      <c r="X356" s="40">
        <v>90040308</v>
      </c>
      <c r="Y356" s="40" t="s">
        <v>115</v>
      </c>
      <c r="Z356" s="40" t="s">
        <v>115</v>
      </c>
      <c r="AA356" s="40" t="s">
        <v>115</v>
      </c>
      <c r="AB356" s="40" t="s">
        <v>115</v>
      </c>
      <c r="AC356" s="40" t="s">
        <v>115</v>
      </c>
      <c r="AI356" s="40">
        <v>403</v>
      </c>
      <c r="AP356" s="4" t="s">
        <v>115</v>
      </c>
    </row>
    <row r="357" spans="1:42" x14ac:dyDescent="0.15">
      <c r="A357" s="40" t="s">
        <v>1</v>
      </c>
      <c r="B357" s="23">
        <v>90040308</v>
      </c>
      <c r="C357" s="23">
        <v>403</v>
      </c>
      <c r="D357" s="23">
        <v>4</v>
      </c>
      <c r="F357" s="23" t="s">
        <v>116</v>
      </c>
      <c r="G357" s="23">
        <v>314</v>
      </c>
      <c r="H357" s="23" t="s">
        <v>2149</v>
      </c>
      <c r="I357" s="23">
        <v>2</v>
      </c>
      <c r="J357" s="40">
        <v>0</v>
      </c>
      <c r="K357" s="40">
        <v>2</v>
      </c>
      <c r="L357" s="40" t="s">
        <v>115</v>
      </c>
      <c r="O357" s="40" t="s">
        <v>115</v>
      </c>
      <c r="Q357" s="40">
        <v>206</v>
      </c>
      <c r="R357" s="40" t="s">
        <v>115</v>
      </c>
      <c r="X357" s="40" t="s">
        <v>2150</v>
      </c>
      <c r="Y357" s="40">
        <v>1</v>
      </c>
      <c r="Z357" s="40">
        <v>1</v>
      </c>
      <c r="AA357" s="40" t="s">
        <v>115</v>
      </c>
      <c r="AB357" s="40" t="s">
        <v>115</v>
      </c>
      <c r="AC357" s="40" t="s">
        <v>115</v>
      </c>
      <c r="AI357" s="40">
        <v>403</v>
      </c>
      <c r="AP357" s="4" t="s">
        <v>115</v>
      </c>
    </row>
    <row r="358" spans="1:42" x14ac:dyDescent="0.15">
      <c r="A358" s="40" t="s">
        <v>1</v>
      </c>
      <c r="B358" s="23">
        <v>90040309</v>
      </c>
      <c r="C358" s="23">
        <v>403</v>
      </c>
      <c r="D358" s="23">
        <v>4</v>
      </c>
      <c r="F358" s="23" t="s">
        <v>115</v>
      </c>
      <c r="G358" s="23" t="s">
        <v>115</v>
      </c>
      <c r="H358" s="23" t="s">
        <v>2151</v>
      </c>
      <c r="I358" s="23">
        <v>4</v>
      </c>
      <c r="J358" s="40">
        <v>0</v>
      </c>
      <c r="K358" s="40">
        <v>3</v>
      </c>
      <c r="L358" s="40" t="s">
        <v>115</v>
      </c>
      <c r="O358" s="40" t="s">
        <v>115</v>
      </c>
      <c r="Q358" s="40">
        <v>206</v>
      </c>
      <c r="R358" s="40" t="s">
        <v>115</v>
      </c>
      <c r="X358" s="40">
        <v>90040312</v>
      </c>
      <c r="Y358" s="40">
        <v>-1</v>
      </c>
      <c r="Z358" s="40">
        <v>2</v>
      </c>
      <c r="AA358" s="40" t="s">
        <v>115</v>
      </c>
      <c r="AB358" s="40" t="s">
        <v>115</v>
      </c>
      <c r="AC358" s="40" t="s">
        <v>396</v>
      </c>
      <c r="AI358" s="40" t="s">
        <v>115</v>
      </c>
      <c r="AP358" s="4" t="s">
        <v>115</v>
      </c>
    </row>
    <row r="359" spans="1:42" x14ac:dyDescent="0.15">
      <c r="A359" s="40" t="s">
        <v>1</v>
      </c>
      <c r="B359" s="23">
        <v>90040310</v>
      </c>
      <c r="C359" s="23">
        <v>403</v>
      </c>
      <c r="D359" s="23">
        <v>4</v>
      </c>
      <c r="F359" s="23" t="s">
        <v>115</v>
      </c>
      <c r="G359" s="23" t="s">
        <v>115</v>
      </c>
      <c r="H359" s="23" t="s">
        <v>2152</v>
      </c>
      <c r="I359" s="23">
        <v>4</v>
      </c>
      <c r="J359" s="40">
        <v>0</v>
      </c>
      <c r="K359" s="40">
        <v>4</v>
      </c>
      <c r="L359" s="40" t="s">
        <v>115</v>
      </c>
      <c r="O359" s="40" t="s">
        <v>115</v>
      </c>
      <c r="Q359" s="40">
        <v>206</v>
      </c>
      <c r="R359" s="40" t="s">
        <v>115</v>
      </c>
      <c r="X359" s="40">
        <v>90040314</v>
      </c>
      <c r="Y359" s="40">
        <v>-1</v>
      </c>
      <c r="Z359" s="40">
        <v>2</v>
      </c>
      <c r="AA359" s="40" t="s">
        <v>2153</v>
      </c>
      <c r="AB359" s="40" t="s">
        <v>115</v>
      </c>
      <c r="AC359" s="40" t="s">
        <v>115</v>
      </c>
      <c r="AI359" s="40" t="s">
        <v>115</v>
      </c>
      <c r="AP359" s="4" t="s">
        <v>115</v>
      </c>
    </row>
    <row r="360" spans="1:42" x14ac:dyDescent="0.15">
      <c r="A360" s="40" t="s">
        <v>1</v>
      </c>
      <c r="B360" s="23">
        <v>90040311</v>
      </c>
      <c r="C360" s="23">
        <v>403</v>
      </c>
      <c r="D360" s="23">
        <v>4</v>
      </c>
      <c r="F360" s="23" t="s">
        <v>115</v>
      </c>
      <c r="G360" s="23" t="s">
        <v>115</v>
      </c>
      <c r="H360" s="23" t="s">
        <v>2154</v>
      </c>
      <c r="I360" s="23">
        <v>4</v>
      </c>
      <c r="J360" s="40">
        <v>0</v>
      </c>
      <c r="K360" s="40">
        <v>0</v>
      </c>
      <c r="L360" s="40" t="s">
        <v>115</v>
      </c>
      <c r="O360" s="40" t="s">
        <v>115</v>
      </c>
      <c r="Q360" s="40">
        <v>206</v>
      </c>
      <c r="R360" s="40" t="s">
        <v>115</v>
      </c>
      <c r="X360" s="40">
        <v>90040316</v>
      </c>
      <c r="Y360" s="40" t="s">
        <v>115</v>
      </c>
      <c r="Z360" s="40" t="s">
        <v>115</v>
      </c>
      <c r="AA360" s="40" t="s">
        <v>115</v>
      </c>
      <c r="AB360" s="40" t="s">
        <v>115</v>
      </c>
      <c r="AC360" s="40" t="s">
        <v>115</v>
      </c>
      <c r="AI360" s="40">
        <v>403</v>
      </c>
      <c r="AP360" s="4" t="s">
        <v>115</v>
      </c>
    </row>
    <row r="361" spans="1:42" x14ac:dyDescent="0.15">
      <c r="A361" s="40" t="s">
        <v>1</v>
      </c>
      <c r="B361" s="23">
        <v>90040312</v>
      </c>
      <c r="C361" s="23">
        <v>403</v>
      </c>
      <c r="D361" s="23">
        <v>4</v>
      </c>
      <c r="F361" s="23" t="s">
        <v>116</v>
      </c>
      <c r="G361" s="23">
        <v>312</v>
      </c>
      <c r="H361" s="23" t="s">
        <v>2155</v>
      </c>
      <c r="I361" s="23">
        <v>0</v>
      </c>
      <c r="J361" s="40">
        <v>0</v>
      </c>
      <c r="K361" s="40">
        <v>0</v>
      </c>
      <c r="L361" s="40" t="s">
        <v>115</v>
      </c>
      <c r="O361" s="40" t="s">
        <v>115</v>
      </c>
      <c r="Q361" s="40">
        <v>206</v>
      </c>
      <c r="R361" s="40" t="s">
        <v>115</v>
      </c>
      <c r="X361" s="40">
        <v>90040313</v>
      </c>
      <c r="Y361" s="40" t="s">
        <v>115</v>
      </c>
      <c r="Z361" s="40" t="s">
        <v>115</v>
      </c>
      <c r="AA361" s="40" t="s">
        <v>115</v>
      </c>
      <c r="AB361" s="40" t="s">
        <v>115</v>
      </c>
      <c r="AC361" s="40" t="s">
        <v>115</v>
      </c>
      <c r="AI361" s="40">
        <v>403</v>
      </c>
      <c r="AP361" s="4" t="s">
        <v>115</v>
      </c>
    </row>
    <row r="362" spans="1:42" x14ac:dyDescent="0.15">
      <c r="A362" s="40" t="s">
        <v>1</v>
      </c>
      <c r="B362" s="23">
        <v>90040313</v>
      </c>
      <c r="C362" s="23">
        <v>403</v>
      </c>
      <c r="D362" s="23">
        <v>4</v>
      </c>
      <c r="F362" s="23" t="s">
        <v>115</v>
      </c>
      <c r="G362" s="23" t="s">
        <v>115</v>
      </c>
      <c r="H362" s="23" t="s">
        <v>2156</v>
      </c>
      <c r="I362" s="23">
        <v>4</v>
      </c>
      <c r="J362" s="40">
        <v>0</v>
      </c>
      <c r="K362" s="40">
        <v>0</v>
      </c>
      <c r="L362" s="40" t="s">
        <v>115</v>
      </c>
      <c r="O362" s="40" t="s">
        <v>115</v>
      </c>
      <c r="Q362" s="40">
        <v>354</v>
      </c>
      <c r="R362" s="40" t="s">
        <v>115</v>
      </c>
      <c r="X362" s="40">
        <v>90040316</v>
      </c>
      <c r="Y362" s="40" t="s">
        <v>115</v>
      </c>
      <c r="Z362" s="40" t="s">
        <v>115</v>
      </c>
      <c r="AA362" s="40" t="s">
        <v>115</v>
      </c>
      <c r="AB362" s="40" t="s">
        <v>115</v>
      </c>
      <c r="AC362" s="40" t="s">
        <v>115</v>
      </c>
      <c r="AI362" s="40" t="s">
        <v>115</v>
      </c>
      <c r="AP362" s="4" t="s">
        <v>115</v>
      </c>
    </row>
    <row r="363" spans="1:42" x14ac:dyDescent="0.15">
      <c r="A363" s="40" t="s">
        <v>1</v>
      </c>
      <c r="B363" s="23">
        <v>90040314</v>
      </c>
      <c r="C363" s="23">
        <v>403</v>
      </c>
      <c r="D363" s="23">
        <v>4</v>
      </c>
      <c r="F363" s="23" t="s">
        <v>116</v>
      </c>
      <c r="G363" s="23">
        <v>313</v>
      </c>
      <c r="H363" s="23" t="s">
        <v>2157</v>
      </c>
      <c r="I363" s="23">
        <v>0</v>
      </c>
      <c r="J363" s="40">
        <v>0</v>
      </c>
      <c r="K363" s="40">
        <v>0</v>
      </c>
      <c r="L363" s="40" t="s">
        <v>115</v>
      </c>
      <c r="O363" s="40" t="s">
        <v>115</v>
      </c>
      <c r="Q363" s="40">
        <v>354</v>
      </c>
      <c r="R363" s="40" t="s">
        <v>115</v>
      </c>
      <c r="X363" s="40">
        <v>90040315</v>
      </c>
      <c r="Y363" s="40" t="s">
        <v>115</v>
      </c>
      <c r="Z363" s="40" t="s">
        <v>115</v>
      </c>
      <c r="AA363" s="40" t="s">
        <v>115</v>
      </c>
      <c r="AB363" s="40" t="s">
        <v>115</v>
      </c>
      <c r="AC363" s="40" t="s">
        <v>115</v>
      </c>
      <c r="AI363" s="40" t="s">
        <v>115</v>
      </c>
      <c r="AP363" s="4" t="s">
        <v>115</v>
      </c>
    </row>
    <row r="364" spans="1:42" x14ac:dyDescent="0.15">
      <c r="A364" s="40" t="s">
        <v>1</v>
      </c>
      <c r="B364" s="23">
        <v>90040315</v>
      </c>
      <c r="C364" s="23">
        <v>403</v>
      </c>
      <c r="D364" s="23">
        <v>4</v>
      </c>
      <c r="F364" s="23" t="s">
        <v>932</v>
      </c>
      <c r="G364" s="23" t="s">
        <v>115</v>
      </c>
      <c r="H364" s="23" t="s">
        <v>2158</v>
      </c>
      <c r="I364" s="23">
        <v>1</v>
      </c>
      <c r="J364" s="40">
        <v>0</v>
      </c>
      <c r="K364" s="40">
        <v>0</v>
      </c>
      <c r="L364" s="40" t="s">
        <v>115</v>
      </c>
      <c r="O364" s="40" t="s">
        <v>115</v>
      </c>
      <c r="Q364" s="40">
        <v>354</v>
      </c>
      <c r="R364" s="40" t="s">
        <v>115</v>
      </c>
      <c r="X364" s="40">
        <v>90040316</v>
      </c>
      <c r="Y364" s="40" t="s">
        <v>115</v>
      </c>
      <c r="Z364" s="40" t="s">
        <v>115</v>
      </c>
      <c r="AA364" s="40" t="s">
        <v>115</v>
      </c>
      <c r="AB364" s="40" t="s">
        <v>115</v>
      </c>
      <c r="AC364" s="40" t="s">
        <v>115</v>
      </c>
      <c r="AI364" s="40" t="s">
        <v>1391</v>
      </c>
      <c r="AP364" s="4" t="s">
        <v>115</v>
      </c>
    </row>
    <row r="365" spans="1:42" x14ac:dyDescent="0.15">
      <c r="A365" s="40" t="s">
        <v>1</v>
      </c>
      <c r="B365" s="23">
        <v>90040316</v>
      </c>
      <c r="C365" s="23">
        <v>403</v>
      </c>
      <c r="D365" s="23">
        <v>4</v>
      </c>
      <c r="F365" s="23" t="s">
        <v>115</v>
      </c>
      <c r="G365" s="23" t="s">
        <v>115</v>
      </c>
      <c r="H365" s="23" t="s">
        <v>2159</v>
      </c>
      <c r="I365" s="23">
        <v>4</v>
      </c>
      <c r="J365" s="40">
        <v>0</v>
      </c>
      <c r="K365" s="40">
        <v>0</v>
      </c>
      <c r="L365" s="40" t="s">
        <v>115</v>
      </c>
      <c r="O365" s="40" t="s">
        <v>115</v>
      </c>
      <c r="Q365" s="40">
        <v>354</v>
      </c>
      <c r="R365" s="40" t="s">
        <v>115</v>
      </c>
      <c r="X365" s="40">
        <v>90040317</v>
      </c>
      <c r="Y365" s="40" t="s">
        <v>115</v>
      </c>
      <c r="Z365" s="40" t="s">
        <v>115</v>
      </c>
      <c r="AA365" s="40" t="s">
        <v>115</v>
      </c>
      <c r="AB365" s="40" t="s">
        <v>115</v>
      </c>
      <c r="AC365" s="40" t="s">
        <v>115</v>
      </c>
      <c r="AI365" s="40" t="s">
        <v>1391</v>
      </c>
      <c r="AP365" s="4" t="s">
        <v>115</v>
      </c>
    </row>
    <row r="366" spans="1:42" x14ac:dyDescent="0.15">
      <c r="A366" s="40" t="s">
        <v>1</v>
      </c>
      <c r="B366" s="23">
        <v>90040317</v>
      </c>
      <c r="C366" s="23">
        <v>403</v>
      </c>
      <c r="D366" s="23">
        <v>4</v>
      </c>
      <c r="F366" s="23" t="s">
        <v>116</v>
      </c>
      <c r="G366" s="23">
        <v>314</v>
      </c>
      <c r="H366" s="23" t="s">
        <v>2160</v>
      </c>
      <c r="I366" s="23">
        <v>0</v>
      </c>
      <c r="J366" s="40">
        <v>0</v>
      </c>
      <c r="K366" s="40">
        <v>0</v>
      </c>
      <c r="L366" s="40" t="s">
        <v>115</v>
      </c>
      <c r="O366" s="40" t="s">
        <v>115</v>
      </c>
      <c r="Q366" s="40">
        <v>354</v>
      </c>
      <c r="R366" s="40" t="s">
        <v>115</v>
      </c>
      <c r="X366" s="40">
        <v>90040318</v>
      </c>
      <c r="Y366" s="40" t="s">
        <v>115</v>
      </c>
      <c r="Z366" s="40" t="s">
        <v>115</v>
      </c>
      <c r="AA366" s="40" t="s">
        <v>115</v>
      </c>
      <c r="AB366" s="40" t="s">
        <v>115</v>
      </c>
      <c r="AC366" s="40" t="s">
        <v>115</v>
      </c>
      <c r="AI366" s="40" t="s">
        <v>1391</v>
      </c>
      <c r="AP366" s="4" t="s">
        <v>115</v>
      </c>
    </row>
    <row r="367" spans="1:42" x14ac:dyDescent="0.15">
      <c r="A367" s="40" t="s">
        <v>1</v>
      </c>
      <c r="B367" s="23">
        <v>90040318</v>
      </c>
      <c r="C367" s="23">
        <v>403</v>
      </c>
      <c r="D367" s="23">
        <v>4</v>
      </c>
      <c r="F367" s="23" t="s">
        <v>932</v>
      </c>
      <c r="G367" s="23" t="s">
        <v>115</v>
      </c>
      <c r="H367" s="23" t="s">
        <v>2161</v>
      </c>
      <c r="I367" s="23">
        <v>1</v>
      </c>
      <c r="J367" s="40">
        <v>0</v>
      </c>
      <c r="K367" s="40">
        <v>0</v>
      </c>
      <c r="L367" s="40" t="s">
        <v>115</v>
      </c>
      <c r="O367" s="40" t="s">
        <v>115</v>
      </c>
      <c r="Q367" s="40">
        <v>354</v>
      </c>
      <c r="R367" s="40" t="s">
        <v>115</v>
      </c>
      <c r="X367" s="40">
        <v>90040319</v>
      </c>
      <c r="Y367" s="40" t="s">
        <v>115</v>
      </c>
      <c r="Z367" s="40" t="s">
        <v>115</v>
      </c>
      <c r="AA367" s="40" t="s">
        <v>115</v>
      </c>
      <c r="AB367" s="40" t="s">
        <v>115</v>
      </c>
      <c r="AC367" s="40" t="s">
        <v>115</v>
      </c>
      <c r="AI367" s="40">
        <v>407</v>
      </c>
      <c r="AP367" s="4" t="s">
        <v>115</v>
      </c>
    </row>
    <row r="368" spans="1:42" x14ac:dyDescent="0.15">
      <c r="A368" s="40" t="s">
        <v>1</v>
      </c>
      <c r="B368" s="23">
        <v>90040319</v>
      </c>
      <c r="C368" s="23">
        <v>403</v>
      </c>
      <c r="D368" s="23">
        <v>4</v>
      </c>
      <c r="F368" s="23" t="s">
        <v>115</v>
      </c>
      <c r="G368" s="23" t="s">
        <v>115</v>
      </c>
      <c r="H368" s="23" t="s">
        <v>2162</v>
      </c>
      <c r="I368" s="23">
        <v>4</v>
      </c>
      <c r="J368" s="40">
        <v>0</v>
      </c>
      <c r="K368" s="40">
        <v>5</v>
      </c>
      <c r="L368" s="40" t="s">
        <v>731</v>
      </c>
      <c r="O368" s="40" t="s">
        <v>115</v>
      </c>
      <c r="Q368" s="40">
        <v>354</v>
      </c>
      <c r="R368" s="40">
        <v>283</v>
      </c>
      <c r="X368" s="40">
        <v>90040320</v>
      </c>
      <c r="Y368" s="40" t="s">
        <v>115</v>
      </c>
      <c r="Z368" s="40">
        <v>4</v>
      </c>
      <c r="AA368" s="40" t="s">
        <v>115</v>
      </c>
      <c r="AB368" s="40" t="s">
        <v>115</v>
      </c>
      <c r="AC368" s="40" t="s">
        <v>115</v>
      </c>
      <c r="AI368" s="40" t="s">
        <v>115</v>
      </c>
      <c r="AP368" s="4" t="s">
        <v>115</v>
      </c>
    </row>
    <row r="369" spans="1:42" x14ac:dyDescent="0.15">
      <c r="A369" s="40" t="s">
        <v>1</v>
      </c>
      <c r="B369" s="23">
        <v>90040320</v>
      </c>
      <c r="C369" s="23">
        <v>403</v>
      </c>
      <c r="D369" s="23">
        <v>4</v>
      </c>
      <c r="F369" s="23" t="s">
        <v>2163</v>
      </c>
      <c r="G369" s="23" t="s">
        <v>115</v>
      </c>
      <c r="H369" s="23" t="s">
        <v>2164</v>
      </c>
      <c r="I369" s="23">
        <v>3</v>
      </c>
      <c r="J369" s="40">
        <v>0</v>
      </c>
      <c r="K369" s="40">
        <v>0</v>
      </c>
      <c r="L369" s="40" t="s">
        <v>115</v>
      </c>
      <c r="O369" s="40" t="s">
        <v>115</v>
      </c>
      <c r="Q369" s="40">
        <v>354</v>
      </c>
      <c r="R369" s="40">
        <v>283</v>
      </c>
      <c r="X369" s="40">
        <v>90040321</v>
      </c>
      <c r="Y369" s="40" t="s">
        <v>115</v>
      </c>
      <c r="Z369" s="40" t="s">
        <v>115</v>
      </c>
      <c r="AA369" s="40" t="s">
        <v>115</v>
      </c>
      <c r="AB369" s="40" t="s">
        <v>115</v>
      </c>
      <c r="AC369" s="40" t="s">
        <v>115</v>
      </c>
      <c r="AI369" s="40" t="s">
        <v>115</v>
      </c>
      <c r="AP369" s="4" t="s">
        <v>115</v>
      </c>
    </row>
    <row r="370" spans="1:42" x14ac:dyDescent="0.15">
      <c r="A370" s="40" t="s">
        <v>1</v>
      </c>
      <c r="B370" s="23">
        <v>90040321</v>
      </c>
      <c r="C370" s="23">
        <v>403</v>
      </c>
      <c r="D370" s="23">
        <v>4</v>
      </c>
      <c r="F370" s="23" t="s">
        <v>116</v>
      </c>
      <c r="G370" s="23">
        <v>312</v>
      </c>
      <c r="H370" s="23" t="s">
        <v>2165</v>
      </c>
      <c r="I370" s="23">
        <v>0</v>
      </c>
      <c r="J370" s="40">
        <v>0</v>
      </c>
      <c r="K370" s="40">
        <v>6</v>
      </c>
      <c r="L370" s="40" t="s">
        <v>115</v>
      </c>
      <c r="O370" s="40">
        <v>1</v>
      </c>
      <c r="Q370" s="40">
        <v>354</v>
      </c>
      <c r="R370" s="40" t="s">
        <v>115</v>
      </c>
      <c r="X370" s="40" t="s">
        <v>115</v>
      </c>
      <c r="Y370" s="40" t="s">
        <v>115</v>
      </c>
      <c r="Z370" s="40">
        <v>5</v>
      </c>
      <c r="AA370" s="40" t="s">
        <v>115</v>
      </c>
      <c r="AB370" s="40" t="s">
        <v>115</v>
      </c>
      <c r="AC370" s="40" t="s">
        <v>115</v>
      </c>
      <c r="AI370" s="40" t="s">
        <v>1391</v>
      </c>
      <c r="AP370" s="40" t="s">
        <v>2166</v>
      </c>
    </row>
    <row r="371" spans="1:42" x14ac:dyDescent="0.15">
      <c r="A371" s="40" t="s">
        <v>1</v>
      </c>
      <c r="B371" s="23" t="s">
        <v>319</v>
      </c>
      <c r="C371" s="23">
        <v>404</v>
      </c>
      <c r="D371" s="23">
        <v>4</v>
      </c>
      <c r="F371" s="23" t="s">
        <v>115</v>
      </c>
      <c r="G371" s="23" t="s">
        <v>115</v>
      </c>
      <c r="H371" s="23" t="s">
        <v>2167</v>
      </c>
      <c r="I371" s="23">
        <v>4</v>
      </c>
      <c r="J371" s="40">
        <v>1</v>
      </c>
      <c r="K371" s="40">
        <v>1</v>
      </c>
      <c r="L371" s="40" t="s">
        <v>115</v>
      </c>
      <c r="O371" s="40" t="s">
        <v>115</v>
      </c>
      <c r="Q371" s="40">
        <v>163</v>
      </c>
      <c r="R371" s="40" t="s">
        <v>115</v>
      </c>
      <c r="X371" s="40">
        <v>90040402</v>
      </c>
      <c r="Y371" s="40" t="s">
        <v>115</v>
      </c>
      <c r="Z371" s="40" t="s">
        <v>115</v>
      </c>
      <c r="AA371" s="40" t="s">
        <v>115</v>
      </c>
      <c r="AB371" s="40" t="s">
        <v>115</v>
      </c>
      <c r="AC371" s="40" t="s">
        <v>115</v>
      </c>
      <c r="AI371" s="40" t="s">
        <v>115</v>
      </c>
      <c r="AP371" s="4" t="s">
        <v>115</v>
      </c>
    </row>
    <row r="372" spans="1:42" x14ac:dyDescent="0.15">
      <c r="A372" s="40" t="s">
        <v>1</v>
      </c>
      <c r="B372" s="23">
        <v>90040402</v>
      </c>
      <c r="C372" s="23">
        <v>404</v>
      </c>
      <c r="D372" s="23">
        <v>4</v>
      </c>
      <c r="F372" s="23" t="s">
        <v>2168</v>
      </c>
      <c r="G372" s="23" t="s">
        <v>115</v>
      </c>
      <c r="H372" s="23" t="s">
        <v>2169</v>
      </c>
      <c r="I372" s="23">
        <v>3</v>
      </c>
      <c r="J372" s="40">
        <v>0</v>
      </c>
      <c r="K372" s="40">
        <v>0</v>
      </c>
      <c r="L372" s="40" t="s">
        <v>115</v>
      </c>
      <c r="O372" s="40" t="s">
        <v>115</v>
      </c>
      <c r="Q372" s="40">
        <v>163</v>
      </c>
      <c r="R372" s="40">
        <v>129</v>
      </c>
      <c r="X372" s="40">
        <v>90040403</v>
      </c>
      <c r="Y372" s="40" t="s">
        <v>115</v>
      </c>
      <c r="Z372" s="40" t="s">
        <v>115</v>
      </c>
      <c r="AA372" s="40" t="s">
        <v>115</v>
      </c>
      <c r="AB372" s="40" t="s">
        <v>115</v>
      </c>
      <c r="AC372" s="40" t="s">
        <v>115</v>
      </c>
      <c r="AI372" s="40" t="s">
        <v>115</v>
      </c>
      <c r="AP372" s="4" t="s">
        <v>115</v>
      </c>
    </row>
    <row r="373" spans="1:42" x14ac:dyDescent="0.15">
      <c r="A373" s="40" t="s">
        <v>1</v>
      </c>
      <c r="B373" s="23">
        <v>90040403</v>
      </c>
      <c r="C373" s="23">
        <v>404</v>
      </c>
      <c r="D373" s="23">
        <v>4</v>
      </c>
      <c r="F373" s="23" t="s">
        <v>115</v>
      </c>
      <c r="G373" s="23" t="s">
        <v>115</v>
      </c>
      <c r="H373" s="23" t="s">
        <v>2170</v>
      </c>
      <c r="I373" s="23">
        <v>4</v>
      </c>
      <c r="J373" s="40">
        <v>0</v>
      </c>
      <c r="K373" s="40">
        <v>2</v>
      </c>
      <c r="L373" s="40" t="s">
        <v>115</v>
      </c>
      <c r="O373" s="40" t="s">
        <v>115</v>
      </c>
      <c r="Q373" s="40">
        <v>163</v>
      </c>
      <c r="R373" s="40">
        <v>129</v>
      </c>
      <c r="X373" s="40" t="s">
        <v>2171</v>
      </c>
      <c r="Y373" s="40">
        <v>1</v>
      </c>
      <c r="Z373" s="40">
        <v>1</v>
      </c>
      <c r="AA373" s="40" t="s">
        <v>115</v>
      </c>
      <c r="AB373" s="40" t="s">
        <v>115</v>
      </c>
      <c r="AC373" s="40" t="s">
        <v>115</v>
      </c>
      <c r="AI373" s="40" t="s">
        <v>115</v>
      </c>
      <c r="AP373" s="4" t="s">
        <v>115</v>
      </c>
    </row>
    <row r="374" spans="1:42" x14ac:dyDescent="0.15">
      <c r="A374" s="40" t="s">
        <v>1</v>
      </c>
      <c r="B374" s="23">
        <v>90040404</v>
      </c>
      <c r="C374" s="23">
        <v>404</v>
      </c>
      <c r="D374" s="23">
        <v>4</v>
      </c>
      <c r="F374" s="23" t="s">
        <v>115</v>
      </c>
      <c r="G374" s="23" t="s">
        <v>115</v>
      </c>
      <c r="H374" s="23" t="s">
        <v>2172</v>
      </c>
      <c r="I374" s="23">
        <v>4</v>
      </c>
      <c r="J374" s="40">
        <v>0</v>
      </c>
      <c r="K374" s="40">
        <v>3</v>
      </c>
      <c r="L374" s="40" t="s">
        <v>115</v>
      </c>
      <c r="O374" s="40" t="s">
        <v>115</v>
      </c>
      <c r="Q374" s="40">
        <v>163</v>
      </c>
      <c r="R374" s="40">
        <v>129</v>
      </c>
      <c r="X374" s="40">
        <v>90040406</v>
      </c>
      <c r="Y374" s="40">
        <v>-1</v>
      </c>
      <c r="Z374" s="40">
        <v>2</v>
      </c>
      <c r="AA374" s="40" t="s">
        <v>2173</v>
      </c>
      <c r="AB374" s="40" t="s">
        <v>115</v>
      </c>
      <c r="AC374" s="40" t="s">
        <v>115</v>
      </c>
      <c r="AI374" s="40" t="s">
        <v>115</v>
      </c>
      <c r="AP374" s="4" t="s">
        <v>115</v>
      </c>
    </row>
    <row r="375" spans="1:42" x14ac:dyDescent="0.15">
      <c r="A375" s="40" t="s">
        <v>1</v>
      </c>
      <c r="B375" s="23">
        <v>90040405</v>
      </c>
      <c r="C375" s="23">
        <v>404</v>
      </c>
      <c r="D375" s="23">
        <v>4</v>
      </c>
      <c r="F375" s="23" t="s">
        <v>115</v>
      </c>
      <c r="G375" s="23" t="s">
        <v>115</v>
      </c>
      <c r="H375" s="23" t="s">
        <v>2174</v>
      </c>
      <c r="I375" s="23">
        <v>4</v>
      </c>
      <c r="J375" s="40">
        <v>0</v>
      </c>
      <c r="K375" s="40">
        <v>4</v>
      </c>
      <c r="L375" s="40" t="s">
        <v>115</v>
      </c>
      <c r="O375" s="40" t="s">
        <v>115</v>
      </c>
      <c r="Q375" s="40">
        <v>163</v>
      </c>
      <c r="R375" s="40">
        <v>129</v>
      </c>
      <c r="X375" s="40">
        <v>90040407</v>
      </c>
      <c r="Y375" s="40">
        <v>-1</v>
      </c>
      <c r="Z375" s="40">
        <v>2</v>
      </c>
      <c r="AA375" s="40" t="s">
        <v>2175</v>
      </c>
      <c r="AB375" s="40" t="s">
        <v>115</v>
      </c>
      <c r="AC375" s="40" t="s">
        <v>115</v>
      </c>
      <c r="AI375" s="40" t="s">
        <v>115</v>
      </c>
      <c r="AP375" s="4" t="s">
        <v>115</v>
      </c>
    </row>
    <row r="376" spans="1:42" x14ac:dyDescent="0.15">
      <c r="A376" s="40" t="s">
        <v>1</v>
      </c>
      <c r="B376" s="23">
        <v>90040406</v>
      </c>
      <c r="C376" s="23">
        <v>404</v>
      </c>
      <c r="D376" s="23">
        <v>4</v>
      </c>
      <c r="F376" s="23" t="s">
        <v>2168</v>
      </c>
      <c r="G376" s="23" t="s">
        <v>115</v>
      </c>
      <c r="H376" s="23" t="s">
        <v>2176</v>
      </c>
      <c r="I376" s="23">
        <v>3</v>
      </c>
      <c r="J376" s="40">
        <v>0</v>
      </c>
      <c r="K376" s="40">
        <v>0</v>
      </c>
      <c r="L376" s="40" t="s">
        <v>115</v>
      </c>
      <c r="O376" s="40" t="s">
        <v>115</v>
      </c>
      <c r="Q376" s="40">
        <v>163</v>
      </c>
      <c r="R376" s="40">
        <v>129</v>
      </c>
      <c r="X376" s="40">
        <v>90040408</v>
      </c>
      <c r="Y376" s="40" t="s">
        <v>115</v>
      </c>
      <c r="Z376" s="40" t="s">
        <v>115</v>
      </c>
      <c r="AA376" s="40" t="s">
        <v>115</v>
      </c>
      <c r="AB376" s="40" t="s">
        <v>115</v>
      </c>
      <c r="AC376" s="40" t="s">
        <v>115</v>
      </c>
      <c r="AI376" s="40" t="s">
        <v>115</v>
      </c>
      <c r="AP376" s="4" t="s">
        <v>115</v>
      </c>
    </row>
    <row r="377" spans="1:42" x14ac:dyDescent="0.15">
      <c r="A377" s="40" t="s">
        <v>1</v>
      </c>
      <c r="B377" s="23">
        <v>90040407</v>
      </c>
      <c r="C377" s="23">
        <v>404</v>
      </c>
      <c r="D377" s="23">
        <v>4</v>
      </c>
      <c r="F377" s="23" t="s">
        <v>2168</v>
      </c>
      <c r="G377" s="23" t="s">
        <v>115</v>
      </c>
      <c r="H377" s="23" t="s">
        <v>2177</v>
      </c>
      <c r="I377" s="23">
        <v>3</v>
      </c>
      <c r="J377" s="40">
        <v>0</v>
      </c>
      <c r="K377" s="40">
        <v>0</v>
      </c>
      <c r="L377" s="40" t="s">
        <v>115</v>
      </c>
      <c r="O377" s="40" t="s">
        <v>115</v>
      </c>
      <c r="Q377" s="40">
        <v>163</v>
      </c>
      <c r="R377" s="40">
        <v>129</v>
      </c>
      <c r="X377" s="40">
        <v>90040408</v>
      </c>
      <c r="Y377" s="40" t="s">
        <v>115</v>
      </c>
      <c r="Z377" s="40" t="s">
        <v>115</v>
      </c>
      <c r="AA377" s="40" t="s">
        <v>115</v>
      </c>
      <c r="AB377" s="40" t="s">
        <v>115</v>
      </c>
      <c r="AC377" s="40" t="s">
        <v>115</v>
      </c>
      <c r="AI377" s="40" t="s">
        <v>115</v>
      </c>
      <c r="AP377" s="4" t="s">
        <v>115</v>
      </c>
    </row>
    <row r="378" spans="1:42" x14ac:dyDescent="0.15">
      <c r="A378" s="40" t="s">
        <v>1</v>
      </c>
      <c r="B378" s="23">
        <v>90040408</v>
      </c>
      <c r="C378" s="23">
        <v>404</v>
      </c>
      <c r="D378" s="23">
        <v>4</v>
      </c>
      <c r="F378" s="23" t="s">
        <v>116</v>
      </c>
      <c r="G378" s="23">
        <v>314</v>
      </c>
      <c r="H378" s="23" t="s">
        <v>2178</v>
      </c>
      <c r="I378" s="23">
        <v>0</v>
      </c>
      <c r="J378" s="40">
        <v>0</v>
      </c>
      <c r="K378" s="40">
        <v>0</v>
      </c>
      <c r="L378" s="40" t="s">
        <v>115</v>
      </c>
      <c r="O378" s="40" t="s">
        <v>115</v>
      </c>
      <c r="Q378" s="40">
        <v>163</v>
      </c>
      <c r="R378" s="40">
        <v>129</v>
      </c>
      <c r="X378" s="40">
        <v>90040409</v>
      </c>
      <c r="Y378" s="40" t="s">
        <v>115</v>
      </c>
      <c r="Z378" s="40" t="s">
        <v>115</v>
      </c>
      <c r="AA378" s="40" t="s">
        <v>115</v>
      </c>
      <c r="AB378" s="40" t="s">
        <v>115</v>
      </c>
      <c r="AC378" s="40" t="s">
        <v>115</v>
      </c>
      <c r="AI378" s="40" t="s">
        <v>115</v>
      </c>
      <c r="AP378" s="4" t="s">
        <v>115</v>
      </c>
    </row>
    <row r="379" spans="1:42" x14ac:dyDescent="0.15">
      <c r="A379" s="40" t="s">
        <v>1</v>
      </c>
      <c r="B379" s="23">
        <v>90040409</v>
      </c>
      <c r="C379" s="23">
        <v>404</v>
      </c>
      <c r="D379" s="23">
        <v>4</v>
      </c>
      <c r="F379" s="23" t="s">
        <v>2168</v>
      </c>
      <c r="G379" s="23" t="s">
        <v>115</v>
      </c>
      <c r="H379" s="23" t="s">
        <v>2179</v>
      </c>
      <c r="I379" s="23">
        <v>3</v>
      </c>
      <c r="J379" s="40">
        <v>0</v>
      </c>
      <c r="K379" s="40">
        <v>0</v>
      </c>
      <c r="L379" s="40" t="s">
        <v>115</v>
      </c>
      <c r="O379" s="40" t="s">
        <v>115</v>
      </c>
      <c r="Q379" s="40">
        <v>163</v>
      </c>
      <c r="R379" s="40">
        <v>129</v>
      </c>
      <c r="X379" s="40">
        <v>90040410</v>
      </c>
      <c r="Y379" s="40" t="s">
        <v>115</v>
      </c>
      <c r="Z379" s="40" t="s">
        <v>115</v>
      </c>
      <c r="AA379" s="40" t="s">
        <v>115</v>
      </c>
      <c r="AB379" s="40" t="s">
        <v>115</v>
      </c>
      <c r="AC379" s="40" t="s">
        <v>115</v>
      </c>
      <c r="AI379" s="40" t="s">
        <v>115</v>
      </c>
      <c r="AP379" s="4" t="s">
        <v>115</v>
      </c>
    </row>
    <row r="380" spans="1:42" x14ac:dyDescent="0.15">
      <c r="A380" s="40" t="s">
        <v>1</v>
      </c>
      <c r="B380" s="23">
        <v>90040410</v>
      </c>
      <c r="C380" s="23">
        <v>404</v>
      </c>
      <c r="D380" s="23">
        <v>4</v>
      </c>
      <c r="F380" s="23" t="s">
        <v>116</v>
      </c>
      <c r="G380" s="23">
        <v>314</v>
      </c>
      <c r="H380" s="23" t="s">
        <v>2180</v>
      </c>
      <c r="I380" s="23">
        <v>0</v>
      </c>
      <c r="J380" s="40">
        <v>0</v>
      </c>
      <c r="K380" s="40">
        <v>0</v>
      </c>
      <c r="L380" s="40" t="s">
        <v>115</v>
      </c>
      <c r="O380" s="40" t="s">
        <v>115</v>
      </c>
      <c r="Q380" s="40">
        <v>163</v>
      </c>
      <c r="R380" s="40">
        <v>129</v>
      </c>
      <c r="X380" s="40">
        <v>90040411</v>
      </c>
      <c r="Y380" s="40" t="s">
        <v>115</v>
      </c>
      <c r="Z380" s="40" t="s">
        <v>115</v>
      </c>
      <c r="AA380" s="40" t="s">
        <v>115</v>
      </c>
      <c r="AB380" s="40" t="s">
        <v>115</v>
      </c>
      <c r="AC380" s="40" t="s">
        <v>115</v>
      </c>
      <c r="AI380" s="40" t="s">
        <v>115</v>
      </c>
      <c r="AP380" s="4" t="s">
        <v>115</v>
      </c>
    </row>
    <row r="381" spans="1:42" x14ac:dyDescent="0.15">
      <c r="A381" s="40" t="s">
        <v>1</v>
      </c>
      <c r="B381" s="23">
        <v>90040411</v>
      </c>
      <c r="C381" s="23">
        <v>404</v>
      </c>
      <c r="D381" s="23">
        <v>4</v>
      </c>
      <c r="F381" s="23" t="s">
        <v>116</v>
      </c>
      <c r="G381" s="23">
        <v>314</v>
      </c>
      <c r="H381" s="23" t="s">
        <v>2181</v>
      </c>
      <c r="I381" s="23">
        <v>0</v>
      </c>
      <c r="J381" s="40">
        <v>0</v>
      </c>
      <c r="K381" s="40">
        <v>0</v>
      </c>
      <c r="L381" s="40" t="s">
        <v>115</v>
      </c>
      <c r="O381" s="40" t="s">
        <v>115</v>
      </c>
      <c r="Q381" s="40">
        <v>163</v>
      </c>
      <c r="R381" s="40">
        <v>129</v>
      </c>
      <c r="X381" s="40">
        <v>90040412</v>
      </c>
      <c r="Y381" s="40" t="s">
        <v>115</v>
      </c>
      <c r="Z381" s="40" t="s">
        <v>115</v>
      </c>
      <c r="AA381" s="40" t="s">
        <v>115</v>
      </c>
      <c r="AB381" s="40" t="s">
        <v>115</v>
      </c>
      <c r="AC381" s="40" t="s">
        <v>115</v>
      </c>
      <c r="AI381" s="40" t="s">
        <v>115</v>
      </c>
      <c r="AP381" s="4" t="s">
        <v>115</v>
      </c>
    </row>
    <row r="382" spans="1:42" x14ac:dyDescent="0.15">
      <c r="A382" s="40" t="s">
        <v>1</v>
      </c>
      <c r="B382" s="23">
        <v>90040412</v>
      </c>
      <c r="C382" s="23">
        <v>404</v>
      </c>
      <c r="D382" s="23">
        <v>4</v>
      </c>
      <c r="F382" s="23" t="s">
        <v>2168</v>
      </c>
      <c r="G382" s="23" t="s">
        <v>115</v>
      </c>
      <c r="H382" s="23" t="s">
        <v>2182</v>
      </c>
      <c r="I382" s="23">
        <v>3</v>
      </c>
      <c r="J382" s="40">
        <v>0</v>
      </c>
      <c r="K382" s="40">
        <v>0</v>
      </c>
      <c r="L382" s="40" t="s">
        <v>115</v>
      </c>
      <c r="O382" s="40" t="s">
        <v>115</v>
      </c>
      <c r="Q382" s="40">
        <v>163</v>
      </c>
      <c r="R382" s="40">
        <v>129</v>
      </c>
      <c r="X382" s="40">
        <v>90040413</v>
      </c>
      <c r="Y382" s="40" t="s">
        <v>115</v>
      </c>
      <c r="Z382" s="40" t="s">
        <v>115</v>
      </c>
      <c r="AA382" s="40" t="s">
        <v>115</v>
      </c>
      <c r="AB382" s="40" t="s">
        <v>115</v>
      </c>
      <c r="AC382" s="40" t="s">
        <v>115</v>
      </c>
      <c r="AI382" s="40" t="s">
        <v>115</v>
      </c>
      <c r="AP382" s="4" t="s">
        <v>115</v>
      </c>
    </row>
    <row r="383" spans="1:42" x14ac:dyDescent="0.15">
      <c r="A383" s="40" t="s">
        <v>1</v>
      </c>
      <c r="B383" s="23">
        <v>90040413</v>
      </c>
      <c r="C383" s="23">
        <v>404</v>
      </c>
      <c r="D383" s="23">
        <v>4</v>
      </c>
      <c r="F383" s="23" t="s">
        <v>116</v>
      </c>
      <c r="G383" s="23">
        <v>312</v>
      </c>
      <c r="H383" s="23" t="s">
        <v>2183</v>
      </c>
      <c r="I383" s="23">
        <v>0</v>
      </c>
      <c r="J383" s="40">
        <v>0</v>
      </c>
      <c r="K383" s="40">
        <v>0</v>
      </c>
      <c r="L383" s="40" t="s">
        <v>115</v>
      </c>
      <c r="O383" s="40" t="s">
        <v>115</v>
      </c>
      <c r="Q383" s="40">
        <v>163</v>
      </c>
      <c r="R383" s="40">
        <v>129</v>
      </c>
      <c r="X383" s="40">
        <v>90040414</v>
      </c>
      <c r="Y383" s="40" t="s">
        <v>115</v>
      </c>
      <c r="Z383" s="40" t="s">
        <v>115</v>
      </c>
      <c r="AA383" s="40" t="s">
        <v>115</v>
      </c>
      <c r="AB383" s="40" t="s">
        <v>115</v>
      </c>
      <c r="AC383" s="40" t="s">
        <v>115</v>
      </c>
      <c r="AI383" s="40" t="s">
        <v>115</v>
      </c>
      <c r="AP383" s="4" t="s">
        <v>115</v>
      </c>
    </row>
    <row r="384" spans="1:42" x14ac:dyDescent="0.15">
      <c r="A384" s="40" t="s">
        <v>1</v>
      </c>
      <c r="B384" s="23">
        <v>90040414</v>
      </c>
      <c r="C384" s="23">
        <v>404</v>
      </c>
      <c r="D384" s="23">
        <v>4</v>
      </c>
      <c r="F384" s="23" t="s">
        <v>116</v>
      </c>
      <c r="G384" s="23">
        <v>312</v>
      </c>
      <c r="H384" s="23" t="s">
        <v>2184</v>
      </c>
      <c r="I384" s="23">
        <v>0</v>
      </c>
      <c r="J384" s="40">
        <v>0</v>
      </c>
      <c r="K384" s="40">
        <v>0</v>
      </c>
      <c r="L384" s="40" t="s">
        <v>115</v>
      </c>
      <c r="O384" s="40" t="s">
        <v>115</v>
      </c>
      <c r="Q384" s="40">
        <v>163</v>
      </c>
      <c r="R384" s="40">
        <v>129</v>
      </c>
      <c r="X384" s="40">
        <v>90040415</v>
      </c>
      <c r="Y384" s="40" t="s">
        <v>115</v>
      </c>
      <c r="Z384" s="40" t="s">
        <v>115</v>
      </c>
      <c r="AA384" s="40" t="s">
        <v>115</v>
      </c>
      <c r="AB384" s="40" t="s">
        <v>115</v>
      </c>
      <c r="AC384" s="40" t="s">
        <v>115</v>
      </c>
      <c r="AI384" s="40" t="s">
        <v>115</v>
      </c>
      <c r="AP384" s="4" t="s">
        <v>115</v>
      </c>
    </row>
    <row r="385" spans="1:42" x14ac:dyDescent="0.15">
      <c r="A385" s="40" t="s">
        <v>1</v>
      </c>
      <c r="B385" s="23">
        <v>90040415</v>
      </c>
      <c r="C385" s="23">
        <v>404</v>
      </c>
      <c r="D385" s="23">
        <v>4</v>
      </c>
      <c r="F385" s="23" t="s">
        <v>2168</v>
      </c>
      <c r="G385" s="23" t="s">
        <v>115</v>
      </c>
      <c r="H385" s="23" t="s">
        <v>2185</v>
      </c>
      <c r="I385" s="23">
        <v>3</v>
      </c>
      <c r="J385" s="40">
        <v>0</v>
      </c>
      <c r="K385" s="40">
        <v>0</v>
      </c>
      <c r="L385" s="40" t="s">
        <v>115</v>
      </c>
      <c r="O385" s="40" t="s">
        <v>115</v>
      </c>
      <c r="Q385" s="40">
        <v>163</v>
      </c>
      <c r="R385" s="40">
        <v>129</v>
      </c>
      <c r="X385" s="40">
        <v>90040416</v>
      </c>
      <c r="Y385" s="40" t="s">
        <v>115</v>
      </c>
      <c r="Z385" s="40" t="s">
        <v>115</v>
      </c>
      <c r="AA385" s="40" t="s">
        <v>115</v>
      </c>
      <c r="AB385" s="40" t="s">
        <v>115</v>
      </c>
      <c r="AC385" s="40" t="s">
        <v>115</v>
      </c>
      <c r="AI385" s="40" t="s">
        <v>115</v>
      </c>
      <c r="AP385" s="40" t="s">
        <v>115</v>
      </c>
    </row>
    <row r="386" spans="1:42" x14ac:dyDescent="0.15">
      <c r="A386" s="40" t="s">
        <v>1</v>
      </c>
      <c r="B386" s="23">
        <v>90040416</v>
      </c>
      <c r="C386" s="23">
        <v>404</v>
      </c>
      <c r="D386" s="23">
        <v>4</v>
      </c>
      <c r="F386" s="23" t="s">
        <v>116</v>
      </c>
      <c r="G386" s="23">
        <v>314</v>
      </c>
      <c r="H386" s="23" t="s">
        <v>2186</v>
      </c>
      <c r="I386" s="23">
        <v>0</v>
      </c>
      <c r="J386" s="40">
        <v>0</v>
      </c>
      <c r="K386" s="40">
        <v>0</v>
      </c>
      <c r="L386" s="40" t="s">
        <v>115</v>
      </c>
      <c r="O386" s="40" t="s">
        <v>115</v>
      </c>
      <c r="Q386" s="40">
        <v>163</v>
      </c>
      <c r="R386" s="40">
        <v>129</v>
      </c>
      <c r="X386" s="40">
        <v>90040417</v>
      </c>
      <c r="Y386" s="40" t="s">
        <v>115</v>
      </c>
      <c r="Z386" s="40" t="s">
        <v>115</v>
      </c>
      <c r="AA386" s="40" t="s">
        <v>115</v>
      </c>
      <c r="AB386" s="40" t="s">
        <v>115</v>
      </c>
      <c r="AC386" s="40" t="s">
        <v>115</v>
      </c>
      <c r="AI386" s="40" t="s">
        <v>115</v>
      </c>
      <c r="AP386" s="40" t="s">
        <v>115</v>
      </c>
    </row>
    <row r="387" spans="1:42" x14ac:dyDescent="0.15">
      <c r="A387" s="40" t="s">
        <v>1</v>
      </c>
      <c r="B387" s="23">
        <v>90040417</v>
      </c>
      <c r="C387" s="23">
        <v>404</v>
      </c>
      <c r="D387" s="23">
        <v>4</v>
      </c>
      <c r="F387" s="23" t="s">
        <v>2168</v>
      </c>
      <c r="G387" s="23" t="s">
        <v>115</v>
      </c>
      <c r="H387" s="23" t="s">
        <v>2187</v>
      </c>
      <c r="I387" s="23">
        <v>3</v>
      </c>
      <c r="J387" s="40">
        <v>0</v>
      </c>
      <c r="K387" s="40">
        <v>0</v>
      </c>
      <c r="L387" s="40" t="s">
        <v>115</v>
      </c>
      <c r="O387" s="40" t="s">
        <v>115</v>
      </c>
      <c r="Q387" s="40">
        <v>163</v>
      </c>
      <c r="R387" s="40">
        <v>129</v>
      </c>
      <c r="X387" s="40">
        <v>90040418</v>
      </c>
      <c r="Y387" s="40" t="s">
        <v>115</v>
      </c>
      <c r="Z387" s="40" t="s">
        <v>115</v>
      </c>
      <c r="AA387" s="40" t="s">
        <v>115</v>
      </c>
      <c r="AB387" s="40" t="s">
        <v>115</v>
      </c>
      <c r="AC387" s="40" t="s">
        <v>115</v>
      </c>
      <c r="AI387" s="40" t="s">
        <v>115</v>
      </c>
      <c r="AP387" s="40" t="s">
        <v>115</v>
      </c>
    </row>
    <row r="388" spans="1:42" x14ac:dyDescent="0.15">
      <c r="A388" s="40" t="s">
        <v>1</v>
      </c>
      <c r="B388" s="23">
        <v>90040418</v>
      </c>
      <c r="C388" s="23">
        <v>404</v>
      </c>
      <c r="D388" s="23">
        <v>4</v>
      </c>
      <c r="F388" s="23" t="s">
        <v>116</v>
      </c>
      <c r="G388" s="23">
        <v>312</v>
      </c>
      <c r="H388" s="23" t="s">
        <v>2188</v>
      </c>
      <c r="I388" s="23">
        <v>0</v>
      </c>
      <c r="J388" s="40">
        <v>0</v>
      </c>
      <c r="K388" s="40">
        <v>5</v>
      </c>
      <c r="L388" s="40" t="s">
        <v>115</v>
      </c>
      <c r="O388" s="40">
        <v>1</v>
      </c>
      <c r="Q388" s="40">
        <v>163</v>
      </c>
      <c r="R388" s="40">
        <v>129</v>
      </c>
      <c r="X388" s="40" t="s">
        <v>115</v>
      </c>
      <c r="Y388" s="40" t="s">
        <v>115</v>
      </c>
      <c r="Z388" s="40">
        <v>4</v>
      </c>
      <c r="AA388" s="40" t="s">
        <v>115</v>
      </c>
      <c r="AB388" s="40" t="s">
        <v>115</v>
      </c>
      <c r="AC388" s="40" t="s">
        <v>115</v>
      </c>
      <c r="AI388" s="40" t="s">
        <v>115</v>
      </c>
      <c r="AP388" s="40" t="s">
        <v>115</v>
      </c>
    </row>
    <row r="389" spans="1:42" x14ac:dyDescent="0.15">
      <c r="A389" s="40" t="s">
        <v>1</v>
      </c>
      <c r="B389" s="23" t="s">
        <v>320</v>
      </c>
      <c r="C389" s="23">
        <v>405</v>
      </c>
      <c r="D389" s="23">
        <v>4</v>
      </c>
      <c r="F389" s="23" t="s">
        <v>115</v>
      </c>
      <c r="G389" s="23" t="s">
        <v>115</v>
      </c>
      <c r="H389" s="23" t="s">
        <v>2189</v>
      </c>
      <c r="I389" s="23">
        <v>4</v>
      </c>
      <c r="J389" s="40">
        <v>1</v>
      </c>
      <c r="K389" s="40">
        <v>1</v>
      </c>
      <c r="L389" s="40" t="s">
        <v>115</v>
      </c>
      <c r="O389" s="40" t="s">
        <v>115</v>
      </c>
      <c r="Q389" s="40">
        <v>184</v>
      </c>
      <c r="R389" s="40" t="s">
        <v>115</v>
      </c>
      <c r="X389" s="40">
        <v>90040502</v>
      </c>
      <c r="Y389" s="40" t="s">
        <v>115</v>
      </c>
      <c r="Z389" s="40" t="s">
        <v>115</v>
      </c>
      <c r="AA389" s="40" t="s">
        <v>115</v>
      </c>
      <c r="AB389" s="40" t="s">
        <v>115</v>
      </c>
      <c r="AC389" s="40" t="s">
        <v>115</v>
      </c>
      <c r="AI389" s="40" t="s">
        <v>115</v>
      </c>
      <c r="AP389" s="40" t="s">
        <v>115</v>
      </c>
    </row>
    <row r="390" spans="1:42" x14ac:dyDescent="0.15">
      <c r="A390" s="40" t="s">
        <v>1</v>
      </c>
      <c r="B390" s="23">
        <v>90040502</v>
      </c>
      <c r="C390" s="23">
        <v>405</v>
      </c>
      <c r="D390" s="23">
        <v>4</v>
      </c>
      <c r="F390" s="23" t="s">
        <v>2168</v>
      </c>
      <c r="G390" s="23" t="s">
        <v>115</v>
      </c>
      <c r="H390" s="23" t="s">
        <v>2190</v>
      </c>
      <c r="I390" s="23">
        <v>3</v>
      </c>
      <c r="J390" s="40">
        <v>0</v>
      </c>
      <c r="K390" s="40">
        <v>0</v>
      </c>
      <c r="L390" s="40" t="s">
        <v>115</v>
      </c>
      <c r="O390" s="40" t="s">
        <v>115</v>
      </c>
      <c r="Q390" s="40">
        <v>184</v>
      </c>
      <c r="R390" s="40">
        <v>129</v>
      </c>
      <c r="X390" s="40">
        <v>90040503</v>
      </c>
      <c r="Y390" s="40" t="s">
        <v>115</v>
      </c>
      <c r="Z390" s="40" t="s">
        <v>115</v>
      </c>
      <c r="AA390" s="40" t="s">
        <v>115</v>
      </c>
      <c r="AB390" s="40" t="s">
        <v>115</v>
      </c>
      <c r="AC390" s="40" t="s">
        <v>115</v>
      </c>
      <c r="AI390" s="40" t="s">
        <v>115</v>
      </c>
      <c r="AP390" s="40" t="s">
        <v>115</v>
      </c>
    </row>
    <row r="391" spans="1:42" x14ac:dyDescent="0.15">
      <c r="A391" s="40" t="s">
        <v>1</v>
      </c>
      <c r="B391" s="23">
        <v>90040503</v>
      </c>
      <c r="C391" s="23">
        <v>405</v>
      </c>
      <c r="D391" s="23">
        <v>4</v>
      </c>
      <c r="F391" s="23" t="s">
        <v>115</v>
      </c>
      <c r="G391" s="23" t="s">
        <v>115</v>
      </c>
      <c r="H391" s="23" t="s">
        <v>2191</v>
      </c>
      <c r="I391" s="23">
        <v>4</v>
      </c>
      <c r="J391" s="40">
        <v>0</v>
      </c>
      <c r="K391" s="40">
        <v>0</v>
      </c>
      <c r="L391" s="40" t="s">
        <v>115</v>
      </c>
      <c r="O391" s="40" t="s">
        <v>115</v>
      </c>
      <c r="Q391" s="40">
        <v>184</v>
      </c>
      <c r="R391" s="40">
        <v>129</v>
      </c>
      <c r="X391" s="40">
        <v>90040504</v>
      </c>
      <c r="Y391" s="40" t="s">
        <v>115</v>
      </c>
      <c r="Z391" s="40" t="s">
        <v>115</v>
      </c>
      <c r="AA391" s="40" t="s">
        <v>115</v>
      </c>
      <c r="AB391" s="40" t="s">
        <v>115</v>
      </c>
      <c r="AC391" s="40" t="s">
        <v>115</v>
      </c>
      <c r="AI391" s="40" t="s">
        <v>115</v>
      </c>
      <c r="AP391" s="40" t="s">
        <v>115</v>
      </c>
    </row>
    <row r="392" spans="1:42" x14ac:dyDescent="0.15">
      <c r="A392" s="40" t="s">
        <v>1</v>
      </c>
      <c r="B392" s="23">
        <v>90040504</v>
      </c>
      <c r="C392" s="23">
        <v>405</v>
      </c>
      <c r="D392" s="23">
        <v>4</v>
      </c>
      <c r="F392" s="23" t="s">
        <v>116</v>
      </c>
      <c r="G392" s="23">
        <v>312</v>
      </c>
      <c r="H392" s="23" t="s">
        <v>2192</v>
      </c>
      <c r="I392" s="23">
        <v>2</v>
      </c>
      <c r="J392" s="40">
        <v>0</v>
      </c>
      <c r="K392" s="40">
        <v>0</v>
      </c>
      <c r="L392" s="40" t="s">
        <v>115</v>
      </c>
      <c r="O392" s="40" t="s">
        <v>115</v>
      </c>
      <c r="Q392" s="40">
        <v>184</v>
      </c>
      <c r="R392" s="40">
        <v>129</v>
      </c>
      <c r="X392" s="40">
        <v>90040505</v>
      </c>
      <c r="Y392" s="40" t="s">
        <v>115</v>
      </c>
      <c r="Z392" s="40" t="s">
        <v>115</v>
      </c>
      <c r="AA392" s="40" t="s">
        <v>115</v>
      </c>
      <c r="AB392" s="40" t="s">
        <v>115</v>
      </c>
      <c r="AC392" s="40" t="s">
        <v>115</v>
      </c>
      <c r="AI392" s="40" t="s">
        <v>115</v>
      </c>
      <c r="AP392" s="40" t="s">
        <v>115</v>
      </c>
    </row>
    <row r="393" spans="1:42" x14ac:dyDescent="0.15">
      <c r="A393" s="40" t="s">
        <v>1</v>
      </c>
      <c r="B393" s="23">
        <v>90040505</v>
      </c>
      <c r="C393" s="23">
        <v>405</v>
      </c>
      <c r="D393" s="23">
        <v>4</v>
      </c>
      <c r="F393" s="23" t="s">
        <v>115</v>
      </c>
      <c r="G393" s="23" t="s">
        <v>115</v>
      </c>
      <c r="H393" s="23" t="s">
        <v>2193</v>
      </c>
      <c r="I393" s="23">
        <v>4</v>
      </c>
      <c r="J393" s="40">
        <v>0</v>
      </c>
      <c r="K393" s="40">
        <v>0</v>
      </c>
      <c r="L393" s="40" t="s">
        <v>115</v>
      </c>
      <c r="O393" s="40" t="s">
        <v>115</v>
      </c>
      <c r="Q393" s="40">
        <v>184</v>
      </c>
      <c r="R393" s="40" t="s">
        <v>115</v>
      </c>
      <c r="X393" s="40">
        <v>90040506</v>
      </c>
      <c r="Y393" s="40" t="s">
        <v>115</v>
      </c>
      <c r="Z393" s="40" t="s">
        <v>115</v>
      </c>
      <c r="AA393" s="40" t="s">
        <v>115</v>
      </c>
      <c r="AB393" s="40" t="s">
        <v>115</v>
      </c>
      <c r="AC393" s="40" t="s">
        <v>115</v>
      </c>
      <c r="AI393" s="40" t="s">
        <v>115</v>
      </c>
      <c r="AP393" s="40" t="s">
        <v>115</v>
      </c>
    </row>
    <row r="394" spans="1:42" x14ac:dyDescent="0.15">
      <c r="A394" s="40" t="s">
        <v>1</v>
      </c>
      <c r="B394" s="23">
        <v>90040506</v>
      </c>
      <c r="C394" s="23">
        <v>405</v>
      </c>
      <c r="D394" s="23">
        <v>4</v>
      </c>
      <c r="F394" s="23" t="s">
        <v>116</v>
      </c>
      <c r="G394" s="23">
        <v>312</v>
      </c>
      <c r="H394" s="23" t="s">
        <v>2194</v>
      </c>
      <c r="I394" s="23">
        <v>0</v>
      </c>
      <c r="J394" s="40">
        <v>0</v>
      </c>
      <c r="K394" s="40">
        <v>0</v>
      </c>
      <c r="L394" s="40" t="s">
        <v>115</v>
      </c>
      <c r="O394" s="40" t="s">
        <v>115</v>
      </c>
      <c r="Q394" s="40">
        <v>184</v>
      </c>
      <c r="R394" s="40">
        <v>283</v>
      </c>
      <c r="X394" s="40">
        <v>90040507</v>
      </c>
      <c r="Y394" s="40" t="s">
        <v>115</v>
      </c>
      <c r="Z394" s="40" t="s">
        <v>115</v>
      </c>
      <c r="AA394" s="40" t="s">
        <v>115</v>
      </c>
      <c r="AB394" s="40" t="s">
        <v>115</v>
      </c>
      <c r="AC394" s="40" t="s">
        <v>115</v>
      </c>
      <c r="AI394" s="40" t="s">
        <v>115</v>
      </c>
      <c r="AP394" s="40" t="s">
        <v>115</v>
      </c>
    </row>
    <row r="395" spans="1:42" x14ac:dyDescent="0.15">
      <c r="A395" s="40" t="s">
        <v>1</v>
      </c>
      <c r="B395" s="23">
        <v>90040507</v>
      </c>
      <c r="C395" s="23">
        <v>405</v>
      </c>
      <c r="D395" s="23">
        <v>4</v>
      </c>
      <c r="F395" s="23" t="s">
        <v>2163</v>
      </c>
      <c r="G395" s="23" t="s">
        <v>115</v>
      </c>
      <c r="H395" s="23" t="s">
        <v>2195</v>
      </c>
      <c r="I395" s="23">
        <v>3</v>
      </c>
      <c r="J395" s="40">
        <v>0</v>
      </c>
      <c r="K395" s="40">
        <v>0</v>
      </c>
      <c r="L395" s="40" t="s">
        <v>115</v>
      </c>
      <c r="O395" s="40" t="s">
        <v>115</v>
      </c>
      <c r="Q395" s="40">
        <v>184</v>
      </c>
      <c r="R395" s="40">
        <v>283</v>
      </c>
      <c r="X395" s="40">
        <v>90040508</v>
      </c>
      <c r="Y395" s="40" t="s">
        <v>115</v>
      </c>
      <c r="Z395" s="40" t="s">
        <v>115</v>
      </c>
      <c r="AA395" s="40" t="s">
        <v>115</v>
      </c>
      <c r="AB395" s="40" t="s">
        <v>115</v>
      </c>
      <c r="AC395" s="40" t="s">
        <v>115</v>
      </c>
      <c r="AI395" s="40" t="s">
        <v>115</v>
      </c>
      <c r="AP395" s="40" t="s">
        <v>115</v>
      </c>
    </row>
    <row r="396" spans="1:42" x14ac:dyDescent="0.15">
      <c r="A396" s="40" t="s">
        <v>1</v>
      </c>
      <c r="B396" s="23">
        <v>90040508</v>
      </c>
      <c r="C396" s="23">
        <v>405</v>
      </c>
      <c r="D396" s="23">
        <v>4</v>
      </c>
      <c r="F396" s="23" t="s">
        <v>115</v>
      </c>
      <c r="G396" s="23" t="s">
        <v>115</v>
      </c>
      <c r="H396" s="23" t="s">
        <v>2196</v>
      </c>
      <c r="I396" s="23">
        <v>4</v>
      </c>
      <c r="J396" s="40">
        <v>0</v>
      </c>
      <c r="K396" s="40">
        <v>2</v>
      </c>
      <c r="L396" s="40" t="s">
        <v>115</v>
      </c>
      <c r="O396" s="40" t="s">
        <v>115</v>
      </c>
      <c r="Q396" s="40">
        <v>184</v>
      </c>
      <c r="R396" s="40">
        <v>283</v>
      </c>
      <c r="X396" s="40" t="s">
        <v>2197</v>
      </c>
      <c r="Y396" s="40">
        <v>1</v>
      </c>
      <c r="Z396" s="40">
        <v>1</v>
      </c>
      <c r="AA396" s="40" t="s">
        <v>115</v>
      </c>
      <c r="AB396" s="40" t="s">
        <v>115</v>
      </c>
      <c r="AC396" s="40" t="s">
        <v>115</v>
      </c>
      <c r="AI396" s="40" t="s">
        <v>115</v>
      </c>
      <c r="AP396" s="40" t="s">
        <v>115</v>
      </c>
    </row>
    <row r="397" spans="1:42" x14ac:dyDescent="0.15">
      <c r="A397" s="40" t="s">
        <v>1</v>
      </c>
      <c r="B397" s="23">
        <v>90040509</v>
      </c>
      <c r="C397" s="23">
        <v>405</v>
      </c>
      <c r="D397" s="23">
        <v>4</v>
      </c>
      <c r="F397" s="23" t="s">
        <v>115</v>
      </c>
      <c r="G397" s="23" t="s">
        <v>115</v>
      </c>
      <c r="H397" s="23" t="s">
        <v>2198</v>
      </c>
      <c r="I397" s="23">
        <v>4</v>
      </c>
      <c r="J397" s="40">
        <v>0</v>
      </c>
      <c r="K397" s="40">
        <v>3</v>
      </c>
      <c r="L397" s="40" t="s">
        <v>115</v>
      </c>
      <c r="O397" s="40" t="s">
        <v>115</v>
      </c>
      <c r="Q397" s="40">
        <v>184</v>
      </c>
      <c r="R397" s="40">
        <v>283</v>
      </c>
      <c r="X397" s="40">
        <v>90040511</v>
      </c>
      <c r="Y397" s="40">
        <v>-1</v>
      </c>
      <c r="Z397" s="40">
        <v>2</v>
      </c>
      <c r="AA397" s="40" t="s">
        <v>115</v>
      </c>
      <c r="AB397" s="40" t="s">
        <v>115</v>
      </c>
      <c r="AC397" s="40" t="s">
        <v>115</v>
      </c>
      <c r="AI397" s="40" t="s">
        <v>115</v>
      </c>
      <c r="AP397" s="40" t="s">
        <v>115</v>
      </c>
    </row>
    <row r="398" spans="1:42" x14ac:dyDescent="0.15">
      <c r="A398" s="40" t="s">
        <v>1</v>
      </c>
      <c r="B398" s="23">
        <v>90040510</v>
      </c>
      <c r="C398" s="23">
        <v>405</v>
      </c>
      <c r="D398" s="23">
        <v>4</v>
      </c>
      <c r="F398" s="23" t="s">
        <v>115</v>
      </c>
      <c r="G398" s="23" t="s">
        <v>115</v>
      </c>
      <c r="H398" s="23" t="s">
        <v>2199</v>
      </c>
      <c r="I398" s="23">
        <v>4</v>
      </c>
      <c r="J398" s="40">
        <v>0</v>
      </c>
      <c r="K398" s="40">
        <v>4</v>
      </c>
      <c r="L398" s="40" t="s">
        <v>115</v>
      </c>
      <c r="O398" s="40" t="s">
        <v>115</v>
      </c>
      <c r="Q398" s="40">
        <v>184</v>
      </c>
      <c r="R398" s="40">
        <v>283</v>
      </c>
      <c r="X398" s="40">
        <v>90040513</v>
      </c>
      <c r="Y398" s="40">
        <v>-1</v>
      </c>
      <c r="Z398" s="40">
        <v>2</v>
      </c>
      <c r="AA398" s="40" t="s">
        <v>115</v>
      </c>
      <c r="AB398" s="40" t="s">
        <v>115</v>
      </c>
      <c r="AC398" s="40" t="s">
        <v>409</v>
      </c>
      <c r="AI398" s="40" t="s">
        <v>115</v>
      </c>
      <c r="AP398" s="40" t="s">
        <v>115</v>
      </c>
    </row>
    <row r="399" spans="1:42" x14ac:dyDescent="0.15">
      <c r="A399" s="40" t="s">
        <v>1</v>
      </c>
      <c r="B399" s="23">
        <v>90040511</v>
      </c>
      <c r="C399" s="23">
        <v>405</v>
      </c>
      <c r="D399" s="23">
        <v>4</v>
      </c>
      <c r="F399" s="23" t="s">
        <v>115</v>
      </c>
      <c r="G399" s="23" t="s">
        <v>115</v>
      </c>
      <c r="H399" s="23" t="s">
        <v>2200</v>
      </c>
      <c r="I399" s="23">
        <v>4</v>
      </c>
      <c r="J399" s="40">
        <v>0</v>
      </c>
      <c r="K399" s="40">
        <v>0</v>
      </c>
      <c r="L399" s="40" t="s">
        <v>115</v>
      </c>
      <c r="O399" s="40" t="s">
        <v>115</v>
      </c>
      <c r="Q399" s="40">
        <v>184</v>
      </c>
      <c r="R399" s="40">
        <v>283</v>
      </c>
      <c r="X399" s="40">
        <v>90040512</v>
      </c>
      <c r="Y399" s="40" t="s">
        <v>115</v>
      </c>
      <c r="Z399" s="40" t="s">
        <v>115</v>
      </c>
      <c r="AA399" s="40" t="s">
        <v>115</v>
      </c>
      <c r="AB399" s="40" t="s">
        <v>115</v>
      </c>
      <c r="AC399" s="40" t="s">
        <v>115</v>
      </c>
      <c r="AI399" s="40" t="s">
        <v>115</v>
      </c>
      <c r="AP399" s="40" t="s">
        <v>115</v>
      </c>
    </row>
    <row r="400" spans="1:42" x14ac:dyDescent="0.15">
      <c r="A400" s="40" t="s">
        <v>1</v>
      </c>
      <c r="B400" s="23">
        <v>90040512</v>
      </c>
      <c r="C400" s="23">
        <v>405</v>
      </c>
      <c r="D400" s="23">
        <v>4</v>
      </c>
      <c r="F400" s="23" t="s">
        <v>116</v>
      </c>
      <c r="G400" s="23">
        <v>312</v>
      </c>
      <c r="H400" s="23" t="s">
        <v>2201</v>
      </c>
      <c r="I400" s="23">
        <v>2</v>
      </c>
      <c r="J400" s="40">
        <v>0</v>
      </c>
      <c r="K400" s="40">
        <v>0</v>
      </c>
      <c r="L400" s="40" t="s">
        <v>115</v>
      </c>
      <c r="O400" s="40" t="s">
        <v>115</v>
      </c>
      <c r="Q400" s="40">
        <v>184</v>
      </c>
      <c r="R400" s="40" t="s">
        <v>115</v>
      </c>
      <c r="X400" s="40">
        <v>90040508</v>
      </c>
      <c r="Y400" s="40" t="s">
        <v>115</v>
      </c>
      <c r="Z400" s="40" t="s">
        <v>115</v>
      </c>
      <c r="AA400" s="40" t="s">
        <v>115</v>
      </c>
      <c r="AB400" s="40" t="s">
        <v>115</v>
      </c>
      <c r="AC400" s="40" t="s">
        <v>115</v>
      </c>
      <c r="AI400" s="40" t="s">
        <v>115</v>
      </c>
      <c r="AP400" s="40" t="s">
        <v>115</v>
      </c>
    </row>
    <row r="401" spans="1:42" x14ac:dyDescent="0.15">
      <c r="A401" s="40" t="s">
        <v>1</v>
      </c>
      <c r="B401" s="23">
        <v>90040513</v>
      </c>
      <c r="C401" s="23">
        <v>405</v>
      </c>
      <c r="D401" s="23">
        <v>4</v>
      </c>
      <c r="F401" s="23" t="s">
        <v>2202</v>
      </c>
      <c r="G401" s="23" t="s">
        <v>115</v>
      </c>
      <c r="H401" s="23" t="s">
        <v>2203</v>
      </c>
      <c r="I401" s="23">
        <v>3</v>
      </c>
      <c r="J401" s="40">
        <v>0</v>
      </c>
      <c r="K401" s="40">
        <v>0</v>
      </c>
      <c r="L401" s="40" t="s">
        <v>115</v>
      </c>
      <c r="O401" s="40" t="s">
        <v>115</v>
      </c>
      <c r="Q401" s="40">
        <v>184</v>
      </c>
      <c r="R401" s="40">
        <v>213</v>
      </c>
      <c r="X401" s="40">
        <v>90040514</v>
      </c>
      <c r="Y401" s="40" t="s">
        <v>115</v>
      </c>
      <c r="Z401" s="40" t="s">
        <v>115</v>
      </c>
      <c r="AA401" s="40" t="s">
        <v>115</v>
      </c>
      <c r="AB401" s="40" t="s">
        <v>115</v>
      </c>
      <c r="AC401" s="40" t="s">
        <v>115</v>
      </c>
      <c r="AI401" s="40" t="s">
        <v>115</v>
      </c>
      <c r="AP401" s="40" t="s">
        <v>115</v>
      </c>
    </row>
    <row r="402" spans="1:42" x14ac:dyDescent="0.15">
      <c r="A402" s="40" t="s">
        <v>1</v>
      </c>
      <c r="B402" s="23">
        <v>90040514</v>
      </c>
      <c r="C402" s="23">
        <v>405</v>
      </c>
      <c r="D402" s="23">
        <v>4</v>
      </c>
      <c r="F402" s="23" t="s">
        <v>115</v>
      </c>
      <c r="G402" s="23" t="s">
        <v>115</v>
      </c>
      <c r="H402" s="23" t="s">
        <v>2204</v>
      </c>
      <c r="I402" s="23">
        <v>4</v>
      </c>
      <c r="J402" s="40">
        <v>0</v>
      </c>
      <c r="K402" s="40">
        <v>0</v>
      </c>
      <c r="L402" s="40" t="s">
        <v>115</v>
      </c>
      <c r="O402" s="40" t="s">
        <v>115</v>
      </c>
      <c r="Q402" s="40">
        <v>184</v>
      </c>
      <c r="R402" s="40">
        <v>213</v>
      </c>
      <c r="X402" s="40">
        <v>90040515</v>
      </c>
      <c r="Y402" s="40" t="s">
        <v>115</v>
      </c>
      <c r="Z402" s="40" t="s">
        <v>115</v>
      </c>
      <c r="AA402" s="40" t="s">
        <v>115</v>
      </c>
      <c r="AB402" s="40" t="s">
        <v>115</v>
      </c>
      <c r="AC402" s="40" t="s">
        <v>115</v>
      </c>
      <c r="AI402" s="40" t="s">
        <v>115</v>
      </c>
      <c r="AP402" s="40" t="s">
        <v>115</v>
      </c>
    </row>
    <row r="403" spans="1:42" x14ac:dyDescent="0.15">
      <c r="A403" s="40" t="s">
        <v>1</v>
      </c>
      <c r="B403" s="23">
        <v>90040515</v>
      </c>
      <c r="C403" s="23">
        <v>405</v>
      </c>
      <c r="D403" s="23">
        <v>4</v>
      </c>
      <c r="F403" s="23" t="s">
        <v>2163</v>
      </c>
      <c r="G403" s="23" t="s">
        <v>115</v>
      </c>
      <c r="H403" s="23" t="s">
        <v>2205</v>
      </c>
      <c r="I403" s="23">
        <v>3</v>
      </c>
      <c r="J403" s="40">
        <v>0</v>
      </c>
      <c r="K403" s="40">
        <v>0</v>
      </c>
      <c r="L403" s="40" t="s">
        <v>115</v>
      </c>
      <c r="O403" s="40" t="s">
        <v>115</v>
      </c>
      <c r="Q403" s="40">
        <v>184</v>
      </c>
      <c r="R403" s="40">
        <v>283</v>
      </c>
      <c r="X403" s="40">
        <v>90040516</v>
      </c>
      <c r="Y403" s="40" t="s">
        <v>115</v>
      </c>
      <c r="Z403" s="40" t="s">
        <v>115</v>
      </c>
      <c r="AA403" s="40" t="s">
        <v>115</v>
      </c>
      <c r="AB403" s="40" t="s">
        <v>115</v>
      </c>
      <c r="AC403" s="40" t="s">
        <v>115</v>
      </c>
      <c r="AI403" s="40" t="s">
        <v>115</v>
      </c>
      <c r="AP403" s="40" t="s">
        <v>115</v>
      </c>
    </row>
    <row r="404" spans="1:42" x14ac:dyDescent="0.15">
      <c r="A404" s="40" t="s">
        <v>1</v>
      </c>
      <c r="B404" s="23">
        <v>90040516</v>
      </c>
      <c r="C404" s="23">
        <v>405</v>
      </c>
      <c r="D404" s="23">
        <v>4</v>
      </c>
      <c r="F404" s="23" t="s">
        <v>115</v>
      </c>
      <c r="G404" s="23" t="s">
        <v>115</v>
      </c>
      <c r="H404" s="23" t="s">
        <v>2206</v>
      </c>
      <c r="I404" s="23">
        <v>4</v>
      </c>
      <c r="J404" s="40">
        <v>0</v>
      </c>
      <c r="K404" s="40">
        <v>0</v>
      </c>
      <c r="L404" s="40" t="s">
        <v>115</v>
      </c>
      <c r="O404" s="40" t="s">
        <v>115</v>
      </c>
      <c r="Q404" s="40">
        <v>184</v>
      </c>
      <c r="R404" s="40">
        <v>283</v>
      </c>
      <c r="X404" s="40">
        <v>90040517</v>
      </c>
      <c r="Y404" s="40" t="s">
        <v>115</v>
      </c>
      <c r="Z404" s="40" t="s">
        <v>115</v>
      </c>
      <c r="AA404" s="40" t="s">
        <v>115</v>
      </c>
      <c r="AB404" s="40" t="s">
        <v>115</v>
      </c>
      <c r="AC404" s="40" t="s">
        <v>115</v>
      </c>
      <c r="AI404" s="40" t="s">
        <v>115</v>
      </c>
      <c r="AP404" s="40" t="s">
        <v>115</v>
      </c>
    </row>
    <row r="405" spans="1:42" x14ac:dyDescent="0.15">
      <c r="A405" s="40" t="s">
        <v>1</v>
      </c>
      <c r="B405" s="23">
        <v>90040517</v>
      </c>
      <c r="C405" s="23">
        <v>405</v>
      </c>
      <c r="D405" s="23">
        <v>4</v>
      </c>
      <c r="F405" s="23" t="s">
        <v>116</v>
      </c>
      <c r="G405" s="23">
        <v>313</v>
      </c>
      <c r="H405" s="23" t="s">
        <v>2207</v>
      </c>
      <c r="I405" s="23">
        <v>0</v>
      </c>
      <c r="J405" s="40">
        <v>0</v>
      </c>
      <c r="K405" s="40">
        <v>0</v>
      </c>
      <c r="L405" s="40" t="s">
        <v>115</v>
      </c>
      <c r="O405" s="40" t="s">
        <v>115</v>
      </c>
      <c r="Q405" s="40">
        <v>184</v>
      </c>
      <c r="R405" s="40">
        <v>283</v>
      </c>
      <c r="X405" s="40">
        <v>90040518</v>
      </c>
      <c r="Y405" s="40" t="s">
        <v>115</v>
      </c>
      <c r="Z405" s="40" t="s">
        <v>115</v>
      </c>
      <c r="AA405" s="40" t="s">
        <v>115</v>
      </c>
      <c r="AB405" s="40" t="s">
        <v>115</v>
      </c>
      <c r="AC405" s="40" t="s">
        <v>115</v>
      </c>
      <c r="AI405" s="40" t="s">
        <v>115</v>
      </c>
      <c r="AP405" s="40" t="s">
        <v>115</v>
      </c>
    </row>
    <row r="406" spans="1:42" x14ac:dyDescent="0.15">
      <c r="A406" s="40" t="s">
        <v>1</v>
      </c>
      <c r="B406" s="23">
        <v>90040518</v>
      </c>
      <c r="C406" s="23">
        <v>405</v>
      </c>
      <c r="D406" s="23">
        <v>4</v>
      </c>
      <c r="F406" s="23" t="s">
        <v>115</v>
      </c>
      <c r="G406" s="23" t="s">
        <v>115</v>
      </c>
      <c r="H406" s="23" t="s">
        <v>2208</v>
      </c>
      <c r="I406" s="23">
        <v>4</v>
      </c>
      <c r="J406" s="40">
        <v>0</v>
      </c>
      <c r="K406" s="40">
        <v>0</v>
      </c>
      <c r="L406" s="40" t="s">
        <v>115</v>
      </c>
      <c r="O406" s="40" t="s">
        <v>115</v>
      </c>
      <c r="Q406" s="40">
        <v>184</v>
      </c>
      <c r="R406" s="40">
        <v>283</v>
      </c>
      <c r="X406" s="40">
        <v>90040519</v>
      </c>
      <c r="Y406" s="40" t="s">
        <v>115</v>
      </c>
      <c r="Z406" s="40" t="s">
        <v>115</v>
      </c>
      <c r="AA406" s="40" t="s">
        <v>115</v>
      </c>
      <c r="AB406" s="40" t="s">
        <v>115</v>
      </c>
      <c r="AC406" s="40" t="s">
        <v>115</v>
      </c>
      <c r="AI406" s="40" t="s">
        <v>115</v>
      </c>
      <c r="AP406" s="40" t="s">
        <v>115</v>
      </c>
    </row>
    <row r="407" spans="1:42" x14ac:dyDescent="0.15">
      <c r="A407" s="40" t="s">
        <v>1</v>
      </c>
      <c r="B407" s="23">
        <v>90040519</v>
      </c>
      <c r="C407" s="23">
        <v>405</v>
      </c>
      <c r="D407" s="23">
        <v>4</v>
      </c>
      <c r="F407" s="23" t="s">
        <v>2163</v>
      </c>
      <c r="G407" s="23" t="s">
        <v>115</v>
      </c>
      <c r="H407" s="23" t="s">
        <v>2209</v>
      </c>
      <c r="I407" s="23">
        <v>3</v>
      </c>
      <c r="J407" s="40">
        <v>0</v>
      </c>
      <c r="K407" s="40">
        <v>0</v>
      </c>
      <c r="L407" s="40" t="s">
        <v>115</v>
      </c>
      <c r="O407" s="40" t="s">
        <v>115</v>
      </c>
      <c r="Q407" s="40">
        <v>184</v>
      </c>
      <c r="R407" s="40">
        <v>283</v>
      </c>
      <c r="X407" s="40">
        <v>90040520</v>
      </c>
      <c r="Y407" s="40" t="s">
        <v>115</v>
      </c>
      <c r="Z407" s="40" t="s">
        <v>115</v>
      </c>
      <c r="AA407" s="40" t="s">
        <v>115</v>
      </c>
      <c r="AB407" s="40" t="s">
        <v>115</v>
      </c>
      <c r="AC407" s="40" t="s">
        <v>115</v>
      </c>
      <c r="AI407" s="40" t="s">
        <v>115</v>
      </c>
      <c r="AP407" s="40" t="s">
        <v>115</v>
      </c>
    </row>
    <row r="408" spans="1:42" x14ac:dyDescent="0.15">
      <c r="A408" s="40" t="s">
        <v>1</v>
      </c>
      <c r="B408" s="23">
        <v>90040520</v>
      </c>
      <c r="C408" s="23">
        <v>405</v>
      </c>
      <c r="D408" s="23">
        <v>4</v>
      </c>
      <c r="F408" s="23" t="s">
        <v>115</v>
      </c>
      <c r="G408" s="23" t="s">
        <v>115</v>
      </c>
      <c r="H408" s="23" t="s">
        <v>2525</v>
      </c>
      <c r="I408" s="23">
        <v>4</v>
      </c>
      <c r="J408" s="40">
        <v>0</v>
      </c>
      <c r="K408" s="40">
        <v>5</v>
      </c>
      <c r="L408" s="40" t="s">
        <v>732</v>
      </c>
      <c r="O408" s="40" t="s">
        <v>115</v>
      </c>
      <c r="Q408" s="40">
        <v>184</v>
      </c>
      <c r="R408" s="40">
        <v>283</v>
      </c>
      <c r="X408" s="40">
        <v>90040521</v>
      </c>
      <c r="Y408" s="40" t="s">
        <v>115</v>
      </c>
      <c r="Z408" s="40">
        <v>4</v>
      </c>
      <c r="AA408" s="40" t="s">
        <v>115</v>
      </c>
      <c r="AB408" s="40" t="s">
        <v>115</v>
      </c>
      <c r="AC408" s="40" t="s">
        <v>115</v>
      </c>
      <c r="AI408" s="40" t="s">
        <v>115</v>
      </c>
      <c r="AP408" s="40" t="s">
        <v>115</v>
      </c>
    </row>
    <row r="409" spans="1:42" x14ac:dyDescent="0.15">
      <c r="A409" s="40" t="s">
        <v>1</v>
      </c>
      <c r="B409" s="23">
        <v>90040521</v>
      </c>
      <c r="C409" s="23">
        <v>405</v>
      </c>
      <c r="D409" s="23">
        <v>4</v>
      </c>
      <c r="F409" s="23" t="s">
        <v>116</v>
      </c>
      <c r="G409" s="23">
        <v>312</v>
      </c>
      <c r="H409" s="23" t="s">
        <v>2210</v>
      </c>
      <c r="I409" s="23">
        <v>0</v>
      </c>
      <c r="J409" s="40">
        <v>0</v>
      </c>
      <c r="K409" s="40">
        <v>6</v>
      </c>
      <c r="L409" s="40" t="s">
        <v>115</v>
      </c>
      <c r="O409" s="40">
        <v>1</v>
      </c>
      <c r="Q409" s="40">
        <v>184</v>
      </c>
      <c r="R409" s="40">
        <v>283</v>
      </c>
      <c r="X409" s="40" t="s">
        <v>115</v>
      </c>
      <c r="Y409" s="40" t="s">
        <v>115</v>
      </c>
      <c r="Z409" s="40">
        <v>5</v>
      </c>
      <c r="AA409" s="40" t="s">
        <v>115</v>
      </c>
      <c r="AB409" s="40" t="s">
        <v>115</v>
      </c>
      <c r="AC409" s="40" t="s">
        <v>115</v>
      </c>
      <c r="AI409" s="40" t="s">
        <v>115</v>
      </c>
      <c r="AP409" s="40" t="s">
        <v>115</v>
      </c>
    </row>
    <row r="410" spans="1:42" x14ac:dyDescent="0.15">
      <c r="A410" s="40" t="s">
        <v>1</v>
      </c>
      <c r="B410" s="23" t="s">
        <v>747</v>
      </c>
      <c r="C410" s="23">
        <v>501</v>
      </c>
      <c r="D410" s="23">
        <v>5</v>
      </c>
      <c r="F410" s="23" t="s">
        <v>116</v>
      </c>
      <c r="G410" s="23">
        <v>261</v>
      </c>
      <c r="H410" s="23" t="s">
        <v>287</v>
      </c>
      <c r="I410" s="23">
        <v>0</v>
      </c>
      <c r="J410" s="40">
        <v>1</v>
      </c>
      <c r="K410" s="40">
        <v>1</v>
      </c>
      <c r="L410" s="40" t="s">
        <v>115</v>
      </c>
      <c r="O410" s="40" t="s">
        <v>115</v>
      </c>
      <c r="Q410" s="40">
        <v>162</v>
      </c>
      <c r="R410" s="40">
        <v>263</v>
      </c>
      <c r="X410" s="40">
        <v>90050102</v>
      </c>
      <c r="Y410" s="40" t="s">
        <v>115</v>
      </c>
      <c r="Z410" s="40" t="s">
        <v>115</v>
      </c>
      <c r="AA410" s="40" t="s">
        <v>115</v>
      </c>
      <c r="AB410" s="40" t="s">
        <v>115</v>
      </c>
      <c r="AC410" s="40" t="s">
        <v>115</v>
      </c>
      <c r="AI410" s="40" t="s">
        <v>115</v>
      </c>
      <c r="AP410" s="40" t="s">
        <v>115</v>
      </c>
    </row>
    <row r="411" spans="1:42" x14ac:dyDescent="0.15">
      <c r="A411" s="40" t="s">
        <v>1</v>
      </c>
      <c r="B411" s="23">
        <v>90050102</v>
      </c>
      <c r="C411" s="23">
        <v>501</v>
      </c>
      <c r="D411" s="23">
        <v>5</v>
      </c>
      <c r="F411" s="23" t="s">
        <v>271</v>
      </c>
      <c r="G411" s="23" t="s">
        <v>115</v>
      </c>
      <c r="H411" s="23" t="s">
        <v>2211</v>
      </c>
      <c r="I411" s="23">
        <v>3</v>
      </c>
      <c r="J411" s="40">
        <v>0</v>
      </c>
      <c r="K411" s="40">
        <v>0</v>
      </c>
      <c r="L411" s="40" t="s">
        <v>115</v>
      </c>
      <c r="O411" s="40" t="s">
        <v>115</v>
      </c>
      <c r="Q411" s="40">
        <v>162</v>
      </c>
      <c r="R411" s="40">
        <v>263</v>
      </c>
      <c r="X411" s="40">
        <v>90050103</v>
      </c>
      <c r="Y411" s="40" t="s">
        <v>115</v>
      </c>
      <c r="Z411" s="40" t="s">
        <v>115</v>
      </c>
      <c r="AA411" s="40" t="s">
        <v>115</v>
      </c>
      <c r="AB411" s="40" t="s">
        <v>115</v>
      </c>
      <c r="AC411" s="40" t="s">
        <v>115</v>
      </c>
      <c r="AI411" s="40" t="s">
        <v>115</v>
      </c>
      <c r="AP411" s="40" t="s">
        <v>115</v>
      </c>
    </row>
    <row r="412" spans="1:42" x14ac:dyDescent="0.15">
      <c r="A412" s="40" t="s">
        <v>1</v>
      </c>
      <c r="B412" s="23">
        <v>90050103</v>
      </c>
      <c r="C412" s="23">
        <v>501</v>
      </c>
      <c r="D412" s="23">
        <v>5</v>
      </c>
      <c r="F412" s="23" t="s">
        <v>116</v>
      </c>
      <c r="G412" s="23">
        <v>261</v>
      </c>
      <c r="H412" s="23" t="s">
        <v>2212</v>
      </c>
      <c r="I412" s="23">
        <v>0</v>
      </c>
      <c r="J412" s="40">
        <v>0</v>
      </c>
      <c r="K412" s="40">
        <v>0</v>
      </c>
      <c r="L412" s="40" t="s">
        <v>115</v>
      </c>
      <c r="O412" s="40" t="s">
        <v>115</v>
      </c>
      <c r="Q412" s="40">
        <v>162</v>
      </c>
      <c r="R412" s="40">
        <v>263</v>
      </c>
      <c r="X412" s="40">
        <v>90050104</v>
      </c>
      <c r="Y412" s="40" t="s">
        <v>115</v>
      </c>
      <c r="Z412" s="40" t="s">
        <v>115</v>
      </c>
      <c r="AA412" s="40" t="s">
        <v>115</v>
      </c>
      <c r="AB412" s="40" t="s">
        <v>115</v>
      </c>
      <c r="AC412" s="40" t="s">
        <v>115</v>
      </c>
      <c r="AI412" s="40" t="s">
        <v>115</v>
      </c>
      <c r="AP412" s="40" t="s">
        <v>115</v>
      </c>
    </row>
    <row r="413" spans="1:42" x14ac:dyDescent="0.15">
      <c r="A413" s="40" t="s">
        <v>1</v>
      </c>
      <c r="B413" s="23">
        <v>90050104</v>
      </c>
      <c r="C413" s="23">
        <v>501</v>
      </c>
      <c r="D413" s="23">
        <v>5</v>
      </c>
      <c r="F413" s="23" t="s">
        <v>271</v>
      </c>
      <c r="G413" s="23" t="s">
        <v>115</v>
      </c>
      <c r="H413" s="23" t="s">
        <v>272</v>
      </c>
      <c r="I413" s="23">
        <v>3</v>
      </c>
      <c r="J413" s="40">
        <v>0</v>
      </c>
      <c r="K413" s="40">
        <v>0</v>
      </c>
      <c r="L413" s="40" t="s">
        <v>115</v>
      </c>
      <c r="O413" s="40" t="s">
        <v>115</v>
      </c>
      <c r="Q413" s="40">
        <v>162</v>
      </c>
      <c r="R413" s="40">
        <v>263</v>
      </c>
      <c r="X413" s="40">
        <v>90050105</v>
      </c>
      <c r="Y413" s="40" t="s">
        <v>115</v>
      </c>
      <c r="Z413" s="40" t="s">
        <v>115</v>
      </c>
      <c r="AA413" s="40" t="s">
        <v>115</v>
      </c>
      <c r="AB413" s="40" t="s">
        <v>115</v>
      </c>
      <c r="AC413" s="40" t="s">
        <v>115</v>
      </c>
      <c r="AI413" s="40" t="s">
        <v>115</v>
      </c>
      <c r="AP413" s="40" t="s">
        <v>115</v>
      </c>
    </row>
    <row r="414" spans="1:42" x14ac:dyDescent="0.15">
      <c r="A414" s="40" t="s">
        <v>1</v>
      </c>
      <c r="B414" s="23">
        <v>90050105</v>
      </c>
      <c r="C414" s="23">
        <v>501</v>
      </c>
      <c r="D414" s="23">
        <v>5</v>
      </c>
      <c r="F414" s="23" t="s">
        <v>115</v>
      </c>
      <c r="G414" s="23" t="s">
        <v>115</v>
      </c>
      <c r="H414" s="23" t="s">
        <v>2213</v>
      </c>
      <c r="I414" s="23">
        <v>4</v>
      </c>
      <c r="J414" s="40">
        <v>0</v>
      </c>
      <c r="K414" s="40">
        <v>0</v>
      </c>
      <c r="L414" s="40" t="s">
        <v>115</v>
      </c>
      <c r="O414" s="40" t="s">
        <v>115</v>
      </c>
      <c r="Q414" s="40">
        <v>162</v>
      </c>
      <c r="R414" s="40">
        <v>263</v>
      </c>
      <c r="X414" s="40">
        <v>90050106</v>
      </c>
      <c r="Y414" s="40" t="s">
        <v>115</v>
      </c>
      <c r="Z414" s="40" t="s">
        <v>115</v>
      </c>
      <c r="AA414" s="40" t="s">
        <v>115</v>
      </c>
      <c r="AB414" s="40" t="s">
        <v>115</v>
      </c>
      <c r="AC414" s="40" t="s">
        <v>115</v>
      </c>
      <c r="AI414" s="40" t="s">
        <v>115</v>
      </c>
      <c r="AP414" s="40" t="s">
        <v>115</v>
      </c>
    </row>
    <row r="415" spans="1:42" x14ac:dyDescent="0.15">
      <c r="A415" s="40" t="s">
        <v>1</v>
      </c>
      <c r="B415" s="23">
        <v>90050106</v>
      </c>
      <c r="C415" s="23">
        <v>501</v>
      </c>
      <c r="D415" s="23">
        <v>5</v>
      </c>
      <c r="F415" s="23" t="s">
        <v>271</v>
      </c>
      <c r="G415" s="23" t="s">
        <v>115</v>
      </c>
      <c r="H415" s="23" t="s">
        <v>2214</v>
      </c>
      <c r="I415" s="23">
        <v>3</v>
      </c>
      <c r="J415" s="40">
        <v>0</v>
      </c>
      <c r="K415" s="40">
        <v>0</v>
      </c>
      <c r="L415" s="40" t="s">
        <v>115</v>
      </c>
      <c r="O415" s="40" t="s">
        <v>115</v>
      </c>
      <c r="Q415" s="40">
        <v>162</v>
      </c>
      <c r="R415" s="40">
        <v>263</v>
      </c>
      <c r="X415" s="40">
        <v>90050107</v>
      </c>
      <c r="Y415" s="40" t="s">
        <v>115</v>
      </c>
      <c r="Z415" s="40" t="s">
        <v>115</v>
      </c>
      <c r="AA415" s="40" t="s">
        <v>115</v>
      </c>
      <c r="AB415" s="40" t="s">
        <v>115</v>
      </c>
      <c r="AC415" s="40" t="s">
        <v>115</v>
      </c>
      <c r="AI415" s="40" t="s">
        <v>115</v>
      </c>
      <c r="AP415" s="40" t="s">
        <v>115</v>
      </c>
    </row>
    <row r="416" spans="1:42" x14ac:dyDescent="0.15">
      <c r="A416" s="40" t="s">
        <v>1</v>
      </c>
      <c r="B416" s="23">
        <v>90050107</v>
      </c>
      <c r="C416" s="23">
        <v>501</v>
      </c>
      <c r="D416" s="23">
        <v>5</v>
      </c>
      <c r="F416" s="23" t="s">
        <v>271</v>
      </c>
      <c r="G416" s="23" t="s">
        <v>115</v>
      </c>
      <c r="H416" s="23" t="s">
        <v>2215</v>
      </c>
      <c r="I416" s="23">
        <v>3</v>
      </c>
      <c r="J416" s="40">
        <v>0</v>
      </c>
      <c r="K416" s="40">
        <v>0</v>
      </c>
      <c r="L416" s="40" t="s">
        <v>115</v>
      </c>
      <c r="O416" s="40" t="s">
        <v>115</v>
      </c>
      <c r="Q416" s="40">
        <v>162</v>
      </c>
      <c r="R416" s="40">
        <v>263</v>
      </c>
      <c r="X416" s="40">
        <v>90050108</v>
      </c>
      <c r="Y416" s="40" t="s">
        <v>115</v>
      </c>
      <c r="Z416" s="40" t="s">
        <v>115</v>
      </c>
      <c r="AA416" s="40" t="s">
        <v>115</v>
      </c>
      <c r="AB416" s="40" t="s">
        <v>115</v>
      </c>
      <c r="AC416" s="40" t="s">
        <v>115</v>
      </c>
      <c r="AI416" s="40" t="s">
        <v>115</v>
      </c>
      <c r="AP416" s="40" t="s">
        <v>115</v>
      </c>
    </row>
    <row r="417" spans="1:42" x14ac:dyDescent="0.15">
      <c r="A417" s="40" t="s">
        <v>1</v>
      </c>
      <c r="B417" s="23">
        <v>90050108</v>
      </c>
      <c r="C417" s="23">
        <v>501</v>
      </c>
      <c r="D417" s="23">
        <v>5</v>
      </c>
      <c r="F417" s="23" t="s">
        <v>115</v>
      </c>
      <c r="G417" s="23" t="s">
        <v>115</v>
      </c>
      <c r="H417" s="23" t="s">
        <v>675</v>
      </c>
      <c r="I417" s="23">
        <v>4</v>
      </c>
      <c r="J417" s="40">
        <v>0</v>
      </c>
      <c r="K417" s="40">
        <v>0</v>
      </c>
      <c r="L417" s="40" t="s">
        <v>115</v>
      </c>
      <c r="O417" s="40" t="s">
        <v>115</v>
      </c>
      <c r="Q417" s="40">
        <v>162</v>
      </c>
      <c r="R417" s="40">
        <v>263</v>
      </c>
      <c r="X417" s="40">
        <v>90050109</v>
      </c>
      <c r="Y417" s="40" t="s">
        <v>115</v>
      </c>
      <c r="Z417" s="40" t="s">
        <v>115</v>
      </c>
      <c r="AA417" s="40" t="s">
        <v>115</v>
      </c>
      <c r="AB417" s="40" t="s">
        <v>115</v>
      </c>
      <c r="AC417" s="40" t="s">
        <v>115</v>
      </c>
      <c r="AI417" s="40" t="s">
        <v>115</v>
      </c>
      <c r="AP417" s="40" t="s">
        <v>115</v>
      </c>
    </row>
    <row r="418" spans="1:42" x14ac:dyDescent="0.15">
      <c r="A418" s="40" t="s">
        <v>1</v>
      </c>
      <c r="B418" s="23">
        <v>90050109</v>
      </c>
      <c r="C418" s="23">
        <v>501</v>
      </c>
      <c r="D418" s="23">
        <v>5</v>
      </c>
      <c r="F418" s="23" t="s">
        <v>116</v>
      </c>
      <c r="G418" s="23">
        <v>261</v>
      </c>
      <c r="H418" s="23" t="s">
        <v>2216</v>
      </c>
      <c r="I418" s="23">
        <v>0</v>
      </c>
      <c r="J418" s="40">
        <v>0</v>
      </c>
      <c r="K418" s="40">
        <v>0</v>
      </c>
      <c r="L418" s="40" t="s">
        <v>115</v>
      </c>
      <c r="O418" s="40" t="s">
        <v>115</v>
      </c>
      <c r="Q418" s="40">
        <v>162</v>
      </c>
      <c r="R418" s="40">
        <v>263</v>
      </c>
      <c r="X418" s="40">
        <v>90050110</v>
      </c>
      <c r="Y418" s="40" t="s">
        <v>115</v>
      </c>
      <c r="Z418" s="40" t="s">
        <v>115</v>
      </c>
      <c r="AA418" s="40" t="s">
        <v>115</v>
      </c>
      <c r="AB418" s="40" t="s">
        <v>115</v>
      </c>
      <c r="AC418" s="40" t="s">
        <v>115</v>
      </c>
      <c r="AI418" s="40" t="s">
        <v>115</v>
      </c>
      <c r="AP418" s="40" t="s">
        <v>115</v>
      </c>
    </row>
    <row r="419" spans="1:42" x14ac:dyDescent="0.15">
      <c r="A419" s="40" t="s">
        <v>1</v>
      </c>
      <c r="B419" s="23">
        <v>90050110</v>
      </c>
      <c r="C419" s="23">
        <v>501</v>
      </c>
      <c r="D419" s="23">
        <v>5</v>
      </c>
      <c r="F419" s="23" t="s">
        <v>271</v>
      </c>
      <c r="G419" s="23" t="s">
        <v>115</v>
      </c>
      <c r="H419" s="23" t="s">
        <v>2526</v>
      </c>
      <c r="I419" s="23">
        <v>3</v>
      </c>
      <c r="J419" s="40">
        <v>0</v>
      </c>
      <c r="K419" s="40">
        <v>0</v>
      </c>
      <c r="L419" s="40" t="s">
        <v>115</v>
      </c>
      <c r="O419" s="40" t="s">
        <v>115</v>
      </c>
      <c r="Q419" s="40">
        <v>162</v>
      </c>
      <c r="R419" s="40">
        <v>263</v>
      </c>
      <c r="X419" s="40">
        <v>90050111</v>
      </c>
      <c r="Y419" s="40" t="s">
        <v>115</v>
      </c>
      <c r="Z419" s="40" t="s">
        <v>115</v>
      </c>
      <c r="AA419" s="40" t="s">
        <v>115</v>
      </c>
      <c r="AB419" s="40" t="s">
        <v>115</v>
      </c>
      <c r="AC419" s="40" t="s">
        <v>115</v>
      </c>
      <c r="AI419" s="40" t="s">
        <v>115</v>
      </c>
      <c r="AP419" s="40" t="s">
        <v>115</v>
      </c>
    </row>
    <row r="420" spans="1:42" x14ac:dyDescent="0.15">
      <c r="A420" s="40" t="s">
        <v>1</v>
      </c>
      <c r="B420" s="23">
        <v>90050111</v>
      </c>
      <c r="C420" s="23">
        <v>501</v>
      </c>
      <c r="D420" s="23">
        <v>5</v>
      </c>
      <c r="F420" s="23" t="s">
        <v>115</v>
      </c>
      <c r="G420" s="23" t="s">
        <v>115</v>
      </c>
      <c r="H420" s="23" t="s">
        <v>2217</v>
      </c>
      <c r="I420" s="23">
        <v>4</v>
      </c>
      <c r="J420" s="40">
        <v>0</v>
      </c>
      <c r="K420" s="40">
        <v>0</v>
      </c>
      <c r="L420" s="40" t="s">
        <v>115</v>
      </c>
      <c r="O420" s="40" t="s">
        <v>115</v>
      </c>
      <c r="Q420" s="40">
        <v>162</v>
      </c>
      <c r="R420" s="40">
        <v>263</v>
      </c>
      <c r="X420" s="40">
        <v>90050112</v>
      </c>
      <c r="Y420" s="40" t="s">
        <v>115</v>
      </c>
      <c r="Z420" s="40" t="s">
        <v>115</v>
      </c>
      <c r="AA420" s="40" t="s">
        <v>115</v>
      </c>
      <c r="AB420" s="40" t="s">
        <v>115</v>
      </c>
      <c r="AC420" s="40" t="s">
        <v>115</v>
      </c>
      <c r="AI420" s="40" t="s">
        <v>115</v>
      </c>
      <c r="AP420" s="40" t="s">
        <v>115</v>
      </c>
    </row>
    <row r="421" spans="1:42" x14ac:dyDescent="0.15">
      <c r="A421" s="40" t="s">
        <v>1</v>
      </c>
      <c r="B421" s="23">
        <v>90050112</v>
      </c>
      <c r="C421" s="23">
        <v>501</v>
      </c>
      <c r="D421" s="23">
        <v>5</v>
      </c>
      <c r="F421" s="23" t="s">
        <v>271</v>
      </c>
      <c r="G421" s="23" t="s">
        <v>115</v>
      </c>
      <c r="H421" s="23" t="s">
        <v>2218</v>
      </c>
      <c r="I421" s="23">
        <v>3</v>
      </c>
      <c r="J421" s="40">
        <v>0</v>
      </c>
      <c r="K421" s="40">
        <v>0</v>
      </c>
      <c r="L421" s="40" t="s">
        <v>115</v>
      </c>
      <c r="O421" s="40" t="s">
        <v>115</v>
      </c>
      <c r="Q421" s="40">
        <v>162</v>
      </c>
      <c r="R421" s="40">
        <v>263</v>
      </c>
      <c r="X421" s="40">
        <v>90050113</v>
      </c>
      <c r="Y421" s="40" t="s">
        <v>115</v>
      </c>
      <c r="Z421" s="40" t="s">
        <v>115</v>
      </c>
      <c r="AA421" s="40" t="s">
        <v>115</v>
      </c>
      <c r="AB421" s="40" t="s">
        <v>115</v>
      </c>
      <c r="AC421" s="40" t="s">
        <v>115</v>
      </c>
      <c r="AI421" s="40" t="s">
        <v>115</v>
      </c>
      <c r="AP421" s="40" t="s">
        <v>115</v>
      </c>
    </row>
    <row r="422" spans="1:42" x14ac:dyDescent="0.15">
      <c r="A422" s="40" t="s">
        <v>1</v>
      </c>
      <c r="B422" s="23">
        <v>90050113</v>
      </c>
      <c r="C422" s="23">
        <v>501</v>
      </c>
      <c r="D422" s="23">
        <v>5</v>
      </c>
      <c r="F422" s="23" t="s">
        <v>115</v>
      </c>
      <c r="G422" s="23" t="s">
        <v>115</v>
      </c>
      <c r="H422" s="23" t="s">
        <v>2219</v>
      </c>
      <c r="I422" s="23">
        <v>4</v>
      </c>
      <c r="J422" s="40">
        <v>0</v>
      </c>
      <c r="K422" s="40">
        <v>0</v>
      </c>
      <c r="L422" s="40" t="s">
        <v>115</v>
      </c>
      <c r="O422" s="40" t="s">
        <v>115</v>
      </c>
      <c r="Q422" s="40">
        <v>162</v>
      </c>
      <c r="R422" s="40">
        <v>263</v>
      </c>
      <c r="X422" s="40">
        <v>90050114</v>
      </c>
      <c r="Y422" s="40" t="s">
        <v>115</v>
      </c>
      <c r="Z422" s="40" t="s">
        <v>115</v>
      </c>
      <c r="AA422" s="40" t="s">
        <v>115</v>
      </c>
      <c r="AB422" s="40" t="s">
        <v>115</v>
      </c>
      <c r="AC422" s="40" t="s">
        <v>115</v>
      </c>
      <c r="AI422" s="40" t="s">
        <v>115</v>
      </c>
      <c r="AP422" s="40" t="s">
        <v>115</v>
      </c>
    </row>
    <row r="423" spans="1:42" x14ac:dyDescent="0.15">
      <c r="A423" s="40" t="s">
        <v>1</v>
      </c>
      <c r="B423" s="23">
        <v>90050114</v>
      </c>
      <c r="C423" s="23">
        <v>501</v>
      </c>
      <c r="D423" s="23">
        <v>5</v>
      </c>
      <c r="F423" s="23" t="s">
        <v>116</v>
      </c>
      <c r="G423" s="23">
        <v>272</v>
      </c>
      <c r="H423" s="23" t="s">
        <v>676</v>
      </c>
      <c r="I423" s="23">
        <v>0</v>
      </c>
      <c r="J423" s="40">
        <v>0</v>
      </c>
      <c r="K423" s="40">
        <v>0</v>
      </c>
      <c r="L423" s="40" t="s">
        <v>115</v>
      </c>
      <c r="O423" s="40" t="s">
        <v>115</v>
      </c>
      <c r="Q423" s="40">
        <v>162</v>
      </c>
      <c r="R423" s="40">
        <v>263</v>
      </c>
      <c r="X423" s="40">
        <v>90050115</v>
      </c>
      <c r="Y423" s="40" t="s">
        <v>115</v>
      </c>
      <c r="Z423" s="40" t="s">
        <v>115</v>
      </c>
      <c r="AA423" s="40" t="s">
        <v>115</v>
      </c>
      <c r="AB423" s="40" t="s">
        <v>115</v>
      </c>
      <c r="AC423" s="40" t="s">
        <v>115</v>
      </c>
      <c r="AI423" s="40" t="s">
        <v>115</v>
      </c>
      <c r="AP423" s="40" t="s">
        <v>115</v>
      </c>
    </row>
    <row r="424" spans="1:42" x14ac:dyDescent="0.15">
      <c r="A424" s="40" t="s">
        <v>1</v>
      </c>
      <c r="B424" s="23">
        <v>90050115</v>
      </c>
      <c r="C424" s="23">
        <v>501</v>
      </c>
      <c r="D424" s="23">
        <v>5</v>
      </c>
      <c r="F424" s="23" t="s">
        <v>115</v>
      </c>
      <c r="G424" s="23" t="s">
        <v>115</v>
      </c>
      <c r="H424" s="23" t="s">
        <v>2220</v>
      </c>
      <c r="I424" s="23">
        <v>4</v>
      </c>
      <c r="J424" s="40">
        <v>0</v>
      </c>
      <c r="K424" s="40">
        <v>0</v>
      </c>
      <c r="L424" s="40" t="s">
        <v>115</v>
      </c>
      <c r="O424" s="40" t="s">
        <v>115</v>
      </c>
      <c r="Q424" s="40">
        <v>162</v>
      </c>
      <c r="R424" s="40">
        <v>263</v>
      </c>
      <c r="X424" s="40">
        <v>90050116</v>
      </c>
      <c r="Y424" s="40" t="s">
        <v>115</v>
      </c>
      <c r="Z424" s="40" t="s">
        <v>115</v>
      </c>
      <c r="AA424" s="40" t="s">
        <v>115</v>
      </c>
      <c r="AB424" s="40" t="s">
        <v>115</v>
      </c>
      <c r="AC424" s="40" t="s">
        <v>115</v>
      </c>
      <c r="AI424" s="40" t="s">
        <v>115</v>
      </c>
      <c r="AP424" s="40" t="s">
        <v>115</v>
      </c>
    </row>
    <row r="425" spans="1:42" x14ac:dyDescent="0.15">
      <c r="A425" s="40" t="s">
        <v>1</v>
      </c>
      <c r="B425" s="23">
        <v>90050116</v>
      </c>
      <c r="C425" s="23">
        <v>501</v>
      </c>
      <c r="D425" s="23">
        <v>5</v>
      </c>
      <c r="F425" s="23" t="s">
        <v>271</v>
      </c>
      <c r="G425" s="23" t="s">
        <v>115</v>
      </c>
      <c r="H425" s="23" t="s">
        <v>2527</v>
      </c>
      <c r="I425" s="23">
        <v>3</v>
      </c>
      <c r="J425" s="40">
        <v>0</v>
      </c>
      <c r="K425" s="40">
        <v>0</v>
      </c>
      <c r="L425" s="40" t="s">
        <v>115</v>
      </c>
      <c r="O425" s="40" t="s">
        <v>115</v>
      </c>
      <c r="Q425" s="40">
        <v>162</v>
      </c>
      <c r="R425" s="40">
        <v>263</v>
      </c>
      <c r="X425" s="40">
        <v>90050117</v>
      </c>
      <c r="Y425" s="40" t="s">
        <v>115</v>
      </c>
      <c r="Z425" s="40" t="s">
        <v>115</v>
      </c>
      <c r="AA425" s="40" t="s">
        <v>115</v>
      </c>
      <c r="AB425" s="40" t="s">
        <v>115</v>
      </c>
      <c r="AC425" s="40" t="s">
        <v>115</v>
      </c>
      <c r="AI425" s="40" t="s">
        <v>115</v>
      </c>
      <c r="AP425" s="40" t="s">
        <v>115</v>
      </c>
    </row>
    <row r="426" spans="1:42" x14ac:dyDescent="0.15">
      <c r="A426" s="40" t="s">
        <v>1</v>
      </c>
      <c r="B426" s="23">
        <v>90050117</v>
      </c>
      <c r="C426" s="23">
        <v>501</v>
      </c>
      <c r="D426" s="23">
        <v>5</v>
      </c>
      <c r="F426" s="23" t="s">
        <v>116</v>
      </c>
      <c r="G426" s="23">
        <v>261</v>
      </c>
      <c r="H426" s="23" t="s">
        <v>2221</v>
      </c>
      <c r="I426" s="23">
        <v>0</v>
      </c>
      <c r="J426" s="40">
        <v>0</v>
      </c>
      <c r="K426" s="40">
        <v>0</v>
      </c>
      <c r="L426" s="40" t="s">
        <v>115</v>
      </c>
      <c r="O426" s="40" t="s">
        <v>115</v>
      </c>
      <c r="Q426" s="40">
        <v>162</v>
      </c>
      <c r="R426" s="40">
        <v>263</v>
      </c>
      <c r="X426" s="40">
        <v>90050118</v>
      </c>
      <c r="Y426" s="40" t="s">
        <v>115</v>
      </c>
      <c r="Z426" s="40" t="s">
        <v>115</v>
      </c>
      <c r="AA426" s="40" t="s">
        <v>115</v>
      </c>
      <c r="AB426" s="40" t="s">
        <v>115</v>
      </c>
      <c r="AC426" s="40" t="s">
        <v>115</v>
      </c>
      <c r="AI426" s="40" t="s">
        <v>115</v>
      </c>
      <c r="AP426" s="40" t="s">
        <v>115</v>
      </c>
    </row>
    <row r="427" spans="1:42" x14ac:dyDescent="0.15">
      <c r="A427" s="40" t="s">
        <v>1</v>
      </c>
      <c r="B427" s="23">
        <v>90050118</v>
      </c>
      <c r="C427" s="23">
        <v>501</v>
      </c>
      <c r="D427" s="23">
        <v>5</v>
      </c>
      <c r="F427" s="23" t="s">
        <v>115</v>
      </c>
      <c r="G427" s="23" t="s">
        <v>115</v>
      </c>
      <c r="H427" s="23" t="s">
        <v>2528</v>
      </c>
      <c r="I427" s="23">
        <v>4</v>
      </c>
      <c r="J427" s="40">
        <v>0</v>
      </c>
      <c r="K427" s="40">
        <v>0</v>
      </c>
      <c r="L427" s="40" t="s">
        <v>115</v>
      </c>
      <c r="O427" s="40" t="s">
        <v>115</v>
      </c>
      <c r="Q427" s="40">
        <v>162</v>
      </c>
      <c r="R427" s="40">
        <v>263</v>
      </c>
      <c r="X427" s="40">
        <v>90050119</v>
      </c>
      <c r="Y427" s="40" t="s">
        <v>115</v>
      </c>
      <c r="Z427" s="40" t="s">
        <v>115</v>
      </c>
      <c r="AA427" s="40" t="s">
        <v>115</v>
      </c>
      <c r="AB427" s="40" t="s">
        <v>115</v>
      </c>
      <c r="AC427" s="40" t="s">
        <v>115</v>
      </c>
      <c r="AI427" s="40" t="s">
        <v>115</v>
      </c>
      <c r="AP427" s="40" t="s">
        <v>115</v>
      </c>
    </row>
    <row r="428" spans="1:42" x14ac:dyDescent="0.15">
      <c r="A428" s="40" t="s">
        <v>1</v>
      </c>
      <c r="B428" s="23">
        <v>90050119</v>
      </c>
      <c r="C428" s="23">
        <v>501</v>
      </c>
      <c r="D428" s="23">
        <v>5</v>
      </c>
      <c r="F428" s="23" t="s">
        <v>271</v>
      </c>
      <c r="G428" s="23" t="s">
        <v>115</v>
      </c>
      <c r="H428" s="23" t="s">
        <v>677</v>
      </c>
      <c r="I428" s="23">
        <v>3</v>
      </c>
      <c r="J428" s="40">
        <v>0</v>
      </c>
      <c r="K428" s="40">
        <v>0</v>
      </c>
      <c r="L428" s="40" t="s">
        <v>115</v>
      </c>
      <c r="O428" s="40" t="s">
        <v>115</v>
      </c>
      <c r="Q428" s="40">
        <v>162</v>
      </c>
      <c r="R428" s="40">
        <v>263</v>
      </c>
      <c r="X428" s="40">
        <v>90050120</v>
      </c>
      <c r="Y428" s="40" t="s">
        <v>115</v>
      </c>
      <c r="Z428" s="40" t="s">
        <v>115</v>
      </c>
      <c r="AA428" s="40" t="s">
        <v>115</v>
      </c>
      <c r="AB428" s="40" t="s">
        <v>115</v>
      </c>
      <c r="AC428" s="40" t="s">
        <v>115</v>
      </c>
      <c r="AI428" s="40" t="s">
        <v>115</v>
      </c>
      <c r="AP428" s="40" t="s">
        <v>115</v>
      </c>
    </row>
    <row r="429" spans="1:42" x14ac:dyDescent="0.15">
      <c r="A429" s="40" t="s">
        <v>1</v>
      </c>
      <c r="B429" s="23">
        <v>90050120</v>
      </c>
      <c r="C429" s="23">
        <v>501</v>
      </c>
      <c r="D429" s="23">
        <v>5</v>
      </c>
      <c r="F429" s="23" t="s">
        <v>116</v>
      </c>
      <c r="G429" s="23">
        <v>261</v>
      </c>
      <c r="H429" s="23" t="s">
        <v>2222</v>
      </c>
      <c r="I429" s="23">
        <v>0</v>
      </c>
      <c r="J429" s="40">
        <v>0</v>
      </c>
      <c r="K429" s="40">
        <v>0</v>
      </c>
      <c r="L429" s="40" t="s">
        <v>115</v>
      </c>
      <c r="O429" s="40" t="s">
        <v>115</v>
      </c>
      <c r="Q429" s="40">
        <v>162</v>
      </c>
      <c r="R429" s="40">
        <v>263</v>
      </c>
      <c r="X429" s="40">
        <v>90050121</v>
      </c>
      <c r="Y429" s="40" t="s">
        <v>115</v>
      </c>
      <c r="Z429" s="40" t="s">
        <v>115</v>
      </c>
      <c r="AA429" s="40" t="s">
        <v>115</v>
      </c>
      <c r="AB429" s="40" t="s">
        <v>115</v>
      </c>
      <c r="AC429" s="40" t="s">
        <v>115</v>
      </c>
      <c r="AI429" s="40" t="s">
        <v>115</v>
      </c>
      <c r="AP429" s="40" t="s">
        <v>115</v>
      </c>
    </row>
    <row r="430" spans="1:42" x14ac:dyDescent="0.15">
      <c r="A430" s="40" t="s">
        <v>1</v>
      </c>
      <c r="B430" s="23">
        <v>90050121</v>
      </c>
      <c r="C430" s="23">
        <v>501</v>
      </c>
      <c r="D430" s="23">
        <v>5</v>
      </c>
      <c r="F430" s="23" t="s">
        <v>271</v>
      </c>
      <c r="G430" s="23" t="s">
        <v>115</v>
      </c>
      <c r="H430" s="23" t="s">
        <v>2529</v>
      </c>
      <c r="I430" s="23">
        <v>3</v>
      </c>
      <c r="J430" s="40">
        <v>0</v>
      </c>
      <c r="K430" s="40">
        <v>0</v>
      </c>
      <c r="L430" s="40" t="s">
        <v>115</v>
      </c>
      <c r="O430" s="40" t="s">
        <v>115</v>
      </c>
      <c r="Q430" s="40">
        <v>162</v>
      </c>
      <c r="R430" s="40">
        <v>263</v>
      </c>
      <c r="X430" s="40">
        <v>90050122</v>
      </c>
      <c r="Y430" s="40" t="s">
        <v>115</v>
      </c>
      <c r="Z430" s="40" t="s">
        <v>115</v>
      </c>
      <c r="AA430" s="40" t="s">
        <v>115</v>
      </c>
      <c r="AB430" s="40" t="s">
        <v>115</v>
      </c>
      <c r="AC430" s="40" t="s">
        <v>115</v>
      </c>
      <c r="AI430" s="40" t="s">
        <v>115</v>
      </c>
      <c r="AP430" s="40" t="s">
        <v>115</v>
      </c>
    </row>
    <row r="431" spans="1:42" x14ac:dyDescent="0.15">
      <c r="A431" s="40" t="s">
        <v>1</v>
      </c>
      <c r="B431" s="23">
        <v>90050122</v>
      </c>
      <c r="C431" s="23">
        <v>501</v>
      </c>
      <c r="D431" s="23">
        <v>5</v>
      </c>
      <c r="F431" s="23" t="s">
        <v>116</v>
      </c>
      <c r="G431" s="23">
        <v>261</v>
      </c>
      <c r="H431" s="23" t="s">
        <v>2530</v>
      </c>
      <c r="I431" s="23">
        <v>0</v>
      </c>
      <c r="J431" s="40">
        <v>0</v>
      </c>
      <c r="K431" s="40">
        <v>2</v>
      </c>
      <c r="L431" s="40" t="s">
        <v>115</v>
      </c>
      <c r="O431" s="40">
        <v>1</v>
      </c>
      <c r="Q431" s="40">
        <v>162</v>
      </c>
      <c r="R431" s="40">
        <v>263</v>
      </c>
      <c r="X431" s="40" t="s">
        <v>115</v>
      </c>
      <c r="Y431" s="40" t="s">
        <v>115</v>
      </c>
      <c r="Z431" s="40">
        <v>1</v>
      </c>
      <c r="AA431" s="40" t="s">
        <v>115</v>
      </c>
      <c r="AB431" s="40" t="s">
        <v>115</v>
      </c>
      <c r="AC431" s="40" t="s">
        <v>115</v>
      </c>
      <c r="AI431" s="40" t="s">
        <v>115</v>
      </c>
      <c r="AP431" s="40" t="s">
        <v>770</v>
      </c>
    </row>
    <row r="432" spans="1:42" x14ac:dyDescent="0.15">
      <c r="A432" s="40" t="s">
        <v>1</v>
      </c>
      <c r="B432" s="23" t="s">
        <v>749</v>
      </c>
      <c r="C432" s="23">
        <v>502</v>
      </c>
      <c r="D432" s="23">
        <v>5</v>
      </c>
      <c r="F432" s="23" t="s">
        <v>116</v>
      </c>
      <c r="G432" s="23">
        <v>261</v>
      </c>
      <c r="H432" s="23" t="s">
        <v>2531</v>
      </c>
      <c r="I432" s="23">
        <v>2</v>
      </c>
      <c r="J432" s="40">
        <v>1</v>
      </c>
      <c r="K432" s="40">
        <v>1</v>
      </c>
      <c r="L432" s="40" t="s">
        <v>115</v>
      </c>
      <c r="O432" s="40" t="s">
        <v>115</v>
      </c>
      <c r="Q432" s="40">
        <v>197</v>
      </c>
      <c r="R432" s="40" t="s">
        <v>115</v>
      </c>
      <c r="X432" s="40">
        <v>90050202</v>
      </c>
      <c r="Y432" s="40" t="s">
        <v>115</v>
      </c>
      <c r="Z432" s="40" t="s">
        <v>115</v>
      </c>
      <c r="AA432" s="40" t="s">
        <v>115</v>
      </c>
      <c r="AB432" s="40" t="s">
        <v>115</v>
      </c>
      <c r="AC432" s="40" t="s">
        <v>115</v>
      </c>
      <c r="AI432" s="40" t="s">
        <v>115</v>
      </c>
      <c r="AP432" s="40" t="s">
        <v>115</v>
      </c>
    </row>
    <row r="433" spans="1:42" x14ac:dyDescent="0.15">
      <c r="A433" s="40" t="s">
        <v>1</v>
      </c>
      <c r="B433" s="23">
        <v>90050202</v>
      </c>
      <c r="C433" s="23">
        <v>502</v>
      </c>
      <c r="D433" s="23">
        <v>5</v>
      </c>
      <c r="F433" s="23" t="s">
        <v>115</v>
      </c>
      <c r="G433" s="23" t="s">
        <v>115</v>
      </c>
      <c r="H433" s="23" t="s">
        <v>2532</v>
      </c>
      <c r="I433" s="23">
        <v>4</v>
      </c>
      <c r="J433" s="40">
        <v>0</v>
      </c>
      <c r="K433" s="40">
        <v>0</v>
      </c>
      <c r="L433" s="40" t="s">
        <v>115</v>
      </c>
      <c r="O433" s="40" t="s">
        <v>115</v>
      </c>
      <c r="Q433" s="40">
        <v>138</v>
      </c>
      <c r="R433" s="40" t="s">
        <v>115</v>
      </c>
      <c r="X433" s="40">
        <v>90050203</v>
      </c>
      <c r="Y433" s="40" t="s">
        <v>115</v>
      </c>
      <c r="Z433" s="40" t="s">
        <v>115</v>
      </c>
      <c r="AA433" s="40" t="s">
        <v>115</v>
      </c>
      <c r="AB433" s="40" t="s">
        <v>115</v>
      </c>
      <c r="AC433" s="40" t="s">
        <v>115</v>
      </c>
      <c r="AI433" s="40" t="s">
        <v>115</v>
      </c>
      <c r="AP433" s="40" t="s">
        <v>115</v>
      </c>
    </row>
    <row r="434" spans="1:42" x14ac:dyDescent="0.15">
      <c r="A434" s="40" t="s">
        <v>1</v>
      </c>
      <c r="B434" s="23">
        <v>90050203</v>
      </c>
      <c r="C434" s="23">
        <v>502</v>
      </c>
      <c r="D434" s="23">
        <v>5</v>
      </c>
      <c r="F434" s="23" t="s">
        <v>273</v>
      </c>
      <c r="G434" s="23" t="s">
        <v>115</v>
      </c>
      <c r="H434" s="23" t="s">
        <v>274</v>
      </c>
      <c r="I434" s="23">
        <v>3</v>
      </c>
      <c r="J434" s="40">
        <v>0</v>
      </c>
      <c r="K434" s="40">
        <v>0</v>
      </c>
      <c r="L434" s="40" t="s">
        <v>115</v>
      </c>
      <c r="O434" s="40" t="s">
        <v>115</v>
      </c>
      <c r="Q434" s="40">
        <v>138</v>
      </c>
      <c r="R434" s="40">
        <v>128</v>
      </c>
      <c r="X434" s="40">
        <v>90050204</v>
      </c>
      <c r="Y434" s="40" t="s">
        <v>115</v>
      </c>
      <c r="Z434" s="40" t="s">
        <v>115</v>
      </c>
      <c r="AA434" s="40" t="s">
        <v>115</v>
      </c>
      <c r="AB434" s="40" t="s">
        <v>115</v>
      </c>
      <c r="AC434" s="40" t="s">
        <v>115</v>
      </c>
      <c r="AI434" s="40" t="s">
        <v>115</v>
      </c>
      <c r="AP434" s="40" t="s">
        <v>115</v>
      </c>
    </row>
    <row r="435" spans="1:42" x14ac:dyDescent="0.15">
      <c r="A435" s="40" t="s">
        <v>1</v>
      </c>
      <c r="B435" s="23">
        <v>90050204</v>
      </c>
      <c r="C435" s="23">
        <v>502</v>
      </c>
      <c r="D435" s="23">
        <v>5</v>
      </c>
      <c r="F435" s="23" t="s">
        <v>115</v>
      </c>
      <c r="G435" s="23" t="s">
        <v>115</v>
      </c>
      <c r="H435" s="23" t="s">
        <v>275</v>
      </c>
      <c r="I435" s="23">
        <v>4</v>
      </c>
      <c r="J435" s="40">
        <v>0</v>
      </c>
      <c r="K435" s="40">
        <v>0</v>
      </c>
      <c r="L435" s="40" t="s">
        <v>115</v>
      </c>
      <c r="O435" s="40" t="s">
        <v>115</v>
      </c>
      <c r="Q435" s="40">
        <v>138</v>
      </c>
      <c r="R435" s="40">
        <v>128</v>
      </c>
      <c r="X435" s="40">
        <v>90050205</v>
      </c>
      <c r="Y435" s="40" t="s">
        <v>115</v>
      </c>
      <c r="Z435" s="40" t="s">
        <v>115</v>
      </c>
      <c r="AA435" s="40" t="s">
        <v>115</v>
      </c>
      <c r="AB435" s="40" t="s">
        <v>115</v>
      </c>
      <c r="AC435" s="40" t="s">
        <v>115</v>
      </c>
      <c r="AI435" s="40" t="s">
        <v>115</v>
      </c>
      <c r="AP435" s="40" t="s">
        <v>115</v>
      </c>
    </row>
    <row r="436" spans="1:42" x14ac:dyDescent="0.15">
      <c r="A436" s="40" t="s">
        <v>1</v>
      </c>
      <c r="B436" s="23">
        <v>90050205</v>
      </c>
      <c r="C436" s="23">
        <v>502</v>
      </c>
      <c r="D436" s="23">
        <v>5</v>
      </c>
      <c r="F436" s="23" t="s">
        <v>276</v>
      </c>
      <c r="G436" s="23" t="s">
        <v>115</v>
      </c>
      <c r="H436" s="23" t="s">
        <v>961</v>
      </c>
      <c r="I436" s="23">
        <v>3</v>
      </c>
      <c r="J436" s="40">
        <v>0</v>
      </c>
      <c r="K436" s="40">
        <v>0</v>
      </c>
      <c r="L436" s="40" t="s">
        <v>115</v>
      </c>
      <c r="O436" s="40" t="s">
        <v>115</v>
      </c>
      <c r="Q436" s="40">
        <v>138</v>
      </c>
      <c r="R436" s="40">
        <v>283</v>
      </c>
      <c r="X436" s="40">
        <v>90050206</v>
      </c>
      <c r="Y436" s="40" t="s">
        <v>115</v>
      </c>
      <c r="Z436" s="40" t="s">
        <v>115</v>
      </c>
      <c r="AA436" s="40" t="s">
        <v>115</v>
      </c>
      <c r="AB436" s="40" t="s">
        <v>115</v>
      </c>
      <c r="AC436" s="40" t="s">
        <v>115</v>
      </c>
      <c r="AI436" s="40" t="s">
        <v>115</v>
      </c>
      <c r="AP436" s="40" t="s">
        <v>115</v>
      </c>
    </row>
    <row r="437" spans="1:42" x14ac:dyDescent="0.15">
      <c r="A437" s="40" t="s">
        <v>1</v>
      </c>
      <c r="B437" s="23">
        <v>90050206</v>
      </c>
      <c r="C437" s="23">
        <v>502</v>
      </c>
      <c r="D437" s="23">
        <v>5</v>
      </c>
      <c r="F437" s="23" t="s">
        <v>273</v>
      </c>
      <c r="G437" s="23" t="s">
        <v>115</v>
      </c>
      <c r="H437" s="23" t="s">
        <v>962</v>
      </c>
      <c r="I437" s="23">
        <v>3</v>
      </c>
      <c r="J437" s="40">
        <v>0</v>
      </c>
      <c r="K437" s="40">
        <v>0</v>
      </c>
      <c r="L437" s="40" t="s">
        <v>115</v>
      </c>
      <c r="O437" s="40" t="s">
        <v>115</v>
      </c>
      <c r="Q437" s="40">
        <v>138</v>
      </c>
      <c r="R437" s="40">
        <v>128</v>
      </c>
      <c r="X437" s="40">
        <v>90050207</v>
      </c>
      <c r="Y437" s="40" t="s">
        <v>115</v>
      </c>
      <c r="Z437" s="40" t="s">
        <v>115</v>
      </c>
      <c r="AA437" s="40" t="s">
        <v>115</v>
      </c>
      <c r="AB437" s="40" t="s">
        <v>115</v>
      </c>
      <c r="AC437" s="40" t="s">
        <v>115</v>
      </c>
      <c r="AI437" s="40" t="s">
        <v>115</v>
      </c>
      <c r="AP437" s="40" t="s">
        <v>115</v>
      </c>
    </row>
    <row r="438" spans="1:42" x14ac:dyDescent="0.15">
      <c r="A438" s="40" t="s">
        <v>1</v>
      </c>
      <c r="B438" s="23">
        <v>90050207</v>
      </c>
      <c r="C438" s="23">
        <v>502</v>
      </c>
      <c r="D438" s="23">
        <v>5</v>
      </c>
      <c r="F438" s="23" t="s">
        <v>276</v>
      </c>
      <c r="G438" s="23" t="s">
        <v>115</v>
      </c>
      <c r="H438" s="23" t="s">
        <v>963</v>
      </c>
      <c r="I438" s="23">
        <v>3</v>
      </c>
      <c r="J438" s="40">
        <v>0</v>
      </c>
      <c r="K438" s="40">
        <v>0</v>
      </c>
      <c r="L438" s="40" t="s">
        <v>115</v>
      </c>
      <c r="O438" s="40" t="s">
        <v>115</v>
      </c>
      <c r="Q438" s="40">
        <v>138</v>
      </c>
      <c r="R438" s="40">
        <v>283</v>
      </c>
      <c r="X438" s="40">
        <v>90050208</v>
      </c>
      <c r="Y438" s="40" t="s">
        <v>115</v>
      </c>
      <c r="Z438" s="40" t="s">
        <v>115</v>
      </c>
      <c r="AA438" s="40" t="s">
        <v>115</v>
      </c>
      <c r="AB438" s="40" t="s">
        <v>115</v>
      </c>
      <c r="AC438" s="40" t="s">
        <v>115</v>
      </c>
      <c r="AI438" s="40" t="s">
        <v>115</v>
      </c>
      <c r="AP438" s="40" t="s">
        <v>115</v>
      </c>
    </row>
    <row r="439" spans="1:42" x14ac:dyDescent="0.15">
      <c r="A439" s="40" t="s">
        <v>1</v>
      </c>
      <c r="B439" s="23">
        <v>90050208</v>
      </c>
      <c r="C439" s="23">
        <v>502</v>
      </c>
      <c r="D439" s="23">
        <v>5</v>
      </c>
      <c r="F439" s="23" t="s">
        <v>273</v>
      </c>
      <c r="G439" s="23" t="s">
        <v>115</v>
      </c>
      <c r="H439" s="23" t="s">
        <v>964</v>
      </c>
      <c r="I439" s="23">
        <v>3</v>
      </c>
      <c r="J439" s="40">
        <v>0</v>
      </c>
      <c r="K439" s="40">
        <v>0</v>
      </c>
      <c r="L439" s="40" t="s">
        <v>115</v>
      </c>
      <c r="O439" s="40" t="s">
        <v>115</v>
      </c>
      <c r="Q439" s="40">
        <v>138</v>
      </c>
      <c r="R439" s="40">
        <v>128</v>
      </c>
      <c r="X439" s="40">
        <v>90050209</v>
      </c>
      <c r="Y439" s="40" t="s">
        <v>115</v>
      </c>
      <c r="Z439" s="40" t="s">
        <v>115</v>
      </c>
      <c r="AA439" s="40" t="s">
        <v>115</v>
      </c>
      <c r="AB439" s="40" t="s">
        <v>115</v>
      </c>
      <c r="AC439" s="40" t="s">
        <v>115</v>
      </c>
      <c r="AI439" s="40" t="s">
        <v>115</v>
      </c>
      <c r="AP439" s="40" t="s">
        <v>115</v>
      </c>
    </row>
    <row r="440" spans="1:42" x14ac:dyDescent="0.15">
      <c r="A440" s="40" t="s">
        <v>1</v>
      </c>
      <c r="B440" s="23">
        <v>90050209</v>
      </c>
      <c r="C440" s="23">
        <v>502</v>
      </c>
      <c r="D440" s="23">
        <v>5</v>
      </c>
      <c r="F440" s="23" t="s">
        <v>276</v>
      </c>
      <c r="G440" s="23" t="s">
        <v>115</v>
      </c>
      <c r="H440" s="23" t="s">
        <v>965</v>
      </c>
      <c r="I440" s="23">
        <v>3</v>
      </c>
      <c r="J440" s="40">
        <v>0</v>
      </c>
      <c r="K440" s="40">
        <v>0</v>
      </c>
      <c r="L440" s="40" t="s">
        <v>115</v>
      </c>
      <c r="O440" s="40" t="s">
        <v>115</v>
      </c>
      <c r="Q440" s="40">
        <v>138</v>
      </c>
      <c r="R440" s="40">
        <v>283</v>
      </c>
      <c r="X440" s="40">
        <v>90050210</v>
      </c>
      <c r="Y440" s="40" t="s">
        <v>115</v>
      </c>
      <c r="Z440" s="40" t="s">
        <v>115</v>
      </c>
      <c r="AA440" s="40" t="s">
        <v>115</v>
      </c>
      <c r="AB440" s="40" t="s">
        <v>115</v>
      </c>
      <c r="AC440" s="40" t="s">
        <v>115</v>
      </c>
      <c r="AI440" s="40" t="s">
        <v>115</v>
      </c>
      <c r="AP440" s="40" t="s">
        <v>115</v>
      </c>
    </row>
    <row r="441" spans="1:42" x14ac:dyDescent="0.15">
      <c r="A441" s="40" t="s">
        <v>1</v>
      </c>
      <c r="B441" s="23">
        <v>90050210</v>
      </c>
      <c r="C441" s="23">
        <v>502</v>
      </c>
      <c r="D441" s="23">
        <v>5</v>
      </c>
      <c r="F441" s="23" t="s">
        <v>273</v>
      </c>
      <c r="G441" s="23" t="s">
        <v>115</v>
      </c>
      <c r="H441" s="23" t="s">
        <v>966</v>
      </c>
      <c r="I441" s="23">
        <v>3</v>
      </c>
      <c r="J441" s="40">
        <v>0</v>
      </c>
      <c r="K441" s="40">
        <v>0</v>
      </c>
      <c r="L441" s="40" t="s">
        <v>115</v>
      </c>
      <c r="O441" s="40" t="s">
        <v>115</v>
      </c>
      <c r="Q441" s="40">
        <v>138</v>
      </c>
      <c r="R441" s="40">
        <v>128</v>
      </c>
      <c r="X441" s="40">
        <v>90050211</v>
      </c>
      <c r="Y441" s="40" t="s">
        <v>115</v>
      </c>
      <c r="Z441" s="40" t="s">
        <v>115</v>
      </c>
      <c r="AA441" s="40" t="s">
        <v>115</v>
      </c>
      <c r="AB441" s="40" t="s">
        <v>115</v>
      </c>
      <c r="AC441" s="40" t="s">
        <v>115</v>
      </c>
      <c r="AI441" s="40" t="s">
        <v>115</v>
      </c>
      <c r="AP441" s="40" t="s">
        <v>115</v>
      </c>
    </row>
    <row r="442" spans="1:42" x14ac:dyDescent="0.15">
      <c r="A442" s="40" t="s">
        <v>1</v>
      </c>
      <c r="B442" s="23">
        <v>90050211</v>
      </c>
      <c r="C442" s="23">
        <v>502</v>
      </c>
      <c r="D442" s="23">
        <v>5</v>
      </c>
      <c r="F442" s="23" t="s">
        <v>276</v>
      </c>
      <c r="G442" s="23" t="s">
        <v>115</v>
      </c>
      <c r="H442" s="23" t="s">
        <v>956</v>
      </c>
      <c r="I442" s="23">
        <v>3</v>
      </c>
      <c r="J442" s="40">
        <v>0</v>
      </c>
      <c r="K442" s="40">
        <v>0</v>
      </c>
      <c r="L442" s="40" t="s">
        <v>115</v>
      </c>
      <c r="O442" s="40" t="s">
        <v>115</v>
      </c>
      <c r="Q442" s="40">
        <v>138</v>
      </c>
      <c r="R442" s="40">
        <v>283</v>
      </c>
      <c r="X442" s="40">
        <v>90050212</v>
      </c>
      <c r="Y442" s="40" t="s">
        <v>115</v>
      </c>
      <c r="Z442" s="40" t="s">
        <v>115</v>
      </c>
      <c r="AA442" s="40" t="s">
        <v>115</v>
      </c>
      <c r="AB442" s="40" t="s">
        <v>115</v>
      </c>
      <c r="AC442" s="40" t="s">
        <v>115</v>
      </c>
      <c r="AI442" s="40" t="s">
        <v>115</v>
      </c>
      <c r="AP442" s="40" t="s">
        <v>115</v>
      </c>
    </row>
    <row r="443" spans="1:42" x14ac:dyDescent="0.15">
      <c r="A443" s="40" t="s">
        <v>1</v>
      </c>
      <c r="B443" s="23">
        <v>90050212</v>
      </c>
      <c r="C443" s="23">
        <v>502</v>
      </c>
      <c r="D443" s="23">
        <v>5</v>
      </c>
      <c r="F443" s="23" t="s">
        <v>277</v>
      </c>
      <c r="G443" s="23" t="s">
        <v>115</v>
      </c>
      <c r="H443" s="23" t="s">
        <v>2223</v>
      </c>
      <c r="I443" s="23">
        <v>3</v>
      </c>
      <c r="J443" s="40">
        <v>0</v>
      </c>
      <c r="K443" s="40">
        <v>0</v>
      </c>
      <c r="L443" s="40" t="s">
        <v>115</v>
      </c>
      <c r="O443" s="40" t="s">
        <v>115</v>
      </c>
      <c r="Q443" s="40">
        <v>138</v>
      </c>
      <c r="R443" s="40">
        <v>286</v>
      </c>
      <c r="X443" s="40">
        <v>90050213</v>
      </c>
      <c r="Y443" s="40" t="s">
        <v>115</v>
      </c>
      <c r="Z443" s="40" t="s">
        <v>115</v>
      </c>
      <c r="AA443" s="40" t="s">
        <v>115</v>
      </c>
      <c r="AB443" s="40" t="s">
        <v>115</v>
      </c>
      <c r="AC443" s="40" t="s">
        <v>115</v>
      </c>
      <c r="AI443" s="40" t="s">
        <v>115</v>
      </c>
      <c r="AP443" s="40" t="s">
        <v>115</v>
      </c>
    </row>
    <row r="444" spans="1:42" x14ac:dyDescent="0.15">
      <c r="A444" s="40" t="s">
        <v>1</v>
      </c>
      <c r="B444" s="23">
        <v>90050213</v>
      </c>
      <c r="C444" s="23">
        <v>502</v>
      </c>
      <c r="D444" s="23">
        <v>5</v>
      </c>
      <c r="F444" s="23" t="s">
        <v>116</v>
      </c>
      <c r="G444" s="23">
        <v>261</v>
      </c>
      <c r="H444" s="23" t="s">
        <v>679</v>
      </c>
      <c r="I444" s="23">
        <v>2</v>
      </c>
      <c r="J444" s="40">
        <v>0</v>
      </c>
      <c r="K444" s="40">
        <v>0</v>
      </c>
      <c r="L444" s="40" t="s">
        <v>115</v>
      </c>
      <c r="O444" s="40" t="s">
        <v>115</v>
      </c>
      <c r="Q444" s="40">
        <v>138</v>
      </c>
      <c r="R444" s="40">
        <v>286</v>
      </c>
      <c r="X444" s="40">
        <v>90050214</v>
      </c>
      <c r="Y444" s="40" t="s">
        <v>115</v>
      </c>
      <c r="Z444" s="40" t="s">
        <v>115</v>
      </c>
      <c r="AA444" s="40" t="s">
        <v>115</v>
      </c>
      <c r="AB444" s="40" t="s">
        <v>115</v>
      </c>
      <c r="AC444" s="40" t="s">
        <v>115</v>
      </c>
      <c r="AI444" s="40" t="s">
        <v>115</v>
      </c>
      <c r="AP444" s="40" t="s">
        <v>115</v>
      </c>
    </row>
    <row r="445" spans="1:42" x14ac:dyDescent="0.15">
      <c r="A445" s="40" t="s">
        <v>1</v>
      </c>
      <c r="B445" s="23">
        <v>90050214</v>
      </c>
      <c r="C445" s="23">
        <v>502</v>
      </c>
      <c r="D445" s="23">
        <v>5</v>
      </c>
      <c r="F445" s="23" t="s">
        <v>116</v>
      </c>
      <c r="G445" s="23">
        <v>261</v>
      </c>
      <c r="H445" s="23" t="s">
        <v>2224</v>
      </c>
      <c r="I445" s="23">
        <v>2</v>
      </c>
      <c r="J445" s="40">
        <v>0</v>
      </c>
      <c r="K445" s="40">
        <v>0</v>
      </c>
      <c r="L445" s="40" t="s">
        <v>115</v>
      </c>
      <c r="O445" s="40" t="s">
        <v>115</v>
      </c>
      <c r="Q445" s="40">
        <v>138</v>
      </c>
      <c r="R445" s="40">
        <v>286</v>
      </c>
      <c r="X445" s="40">
        <v>90050215</v>
      </c>
      <c r="Y445" s="40" t="s">
        <v>115</v>
      </c>
      <c r="Z445" s="40" t="s">
        <v>115</v>
      </c>
      <c r="AA445" s="40" t="s">
        <v>115</v>
      </c>
      <c r="AB445" s="40" t="s">
        <v>115</v>
      </c>
      <c r="AC445" s="40" t="s">
        <v>115</v>
      </c>
      <c r="AI445" s="40" t="s">
        <v>115</v>
      </c>
      <c r="AP445" s="40" t="s">
        <v>115</v>
      </c>
    </row>
    <row r="446" spans="1:42" x14ac:dyDescent="0.15">
      <c r="A446" s="40" t="s">
        <v>1</v>
      </c>
      <c r="B446" s="23">
        <v>90050215</v>
      </c>
      <c r="C446" s="23">
        <v>502</v>
      </c>
      <c r="D446" s="23">
        <v>5</v>
      </c>
      <c r="F446" s="23" t="s">
        <v>116</v>
      </c>
      <c r="G446" s="23">
        <v>261</v>
      </c>
      <c r="H446" s="23" t="s">
        <v>856</v>
      </c>
      <c r="I446" s="23">
        <v>0</v>
      </c>
      <c r="J446" s="40">
        <v>0</v>
      </c>
      <c r="K446" s="40">
        <v>2</v>
      </c>
      <c r="L446" s="40" t="s">
        <v>115</v>
      </c>
      <c r="O446" s="40" t="s">
        <v>115</v>
      </c>
      <c r="Q446" s="40">
        <v>138</v>
      </c>
      <c r="R446" s="40">
        <v>286</v>
      </c>
      <c r="X446" s="40" t="s">
        <v>2225</v>
      </c>
      <c r="Y446" s="40">
        <v>1</v>
      </c>
      <c r="Z446" s="40">
        <v>1</v>
      </c>
      <c r="AA446" s="40" t="s">
        <v>115</v>
      </c>
      <c r="AB446" s="40" t="s">
        <v>115</v>
      </c>
      <c r="AC446" s="40" t="s">
        <v>115</v>
      </c>
      <c r="AI446" s="40" t="s">
        <v>115</v>
      </c>
      <c r="AP446" s="40" t="s">
        <v>115</v>
      </c>
    </row>
    <row r="447" spans="1:42" x14ac:dyDescent="0.15">
      <c r="A447" s="40" t="s">
        <v>1</v>
      </c>
      <c r="B447" s="23">
        <v>90050216</v>
      </c>
      <c r="C447" s="23">
        <v>502</v>
      </c>
      <c r="D447" s="23">
        <v>5</v>
      </c>
      <c r="F447" s="23" t="s">
        <v>115</v>
      </c>
      <c r="G447" s="23" t="s">
        <v>115</v>
      </c>
      <c r="H447" s="23" t="s">
        <v>857</v>
      </c>
      <c r="I447" s="23">
        <v>4</v>
      </c>
      <c r="J447" s="40">
        <v>0</v>
      </c>
      <c r="K447" s="40">
        <v>3</v>
      </c>
      <c r="L447" s="40" t="s">
        <v>115</v>
      </c>
      <c r="O447" s="40" t="s">
        <v>115</v>
      </c>
      <c r="Q447" s="40">
        <v>138</v>
      </c>
      <c r="R447" s="40">
        <v>286</v>
      </c>
      <c r="X447" s="40">
        <v>90050217</v>
      </c>
      <c r="Y447" s="40">
        <v>-1</v>
      </c>
      <c r="Z447" s="40">
        <v>2</v>
      </c>
      <c r="AA447" s="40" t="s">
        <v>115</v>
      </c>
      <c r="AB447" s="40" t="s">
        <v>115</v>
      </c>
      <c r="AC447" s="40" t="s">
        <v>790</v>
      </c>
      <c r="AI447" s="40" t="s">
        <v>115</v>
      </c>
      <c r="AP447" s="40" t="s">
        <v>115</v>
      </c>
    </row>
    <row r="448" spans="1:42" x14ac:dyDescent="0.15">
      <c r="A448" s="40" t="s">
        <v>1</v>
      </c>
      <c r="B448" s="23">
        <v>90050217</v>
      </c>
      <c r="C448" s="23">
        <v>502</v>
      </c>
      <c r="D448" s="23">
        <v>5</v>
      </c>
      <c r="F448" s="23" t="s">
        <v>277</v>
      </c>
      <c r="G448" s="23" t="s">
        <v>115</v>
      </c>
      <c r="H448" s="23" t="s">
        <v>2533</v>
      </c>
      <c r="I448" s="23">
        <v>3</v>
      </c>
      <c r="J448" s="40">
        <v>0</v>
      </c>
      <c r="K448" s="40">
        <v>0</v>
      </c>
      <c r="L448" s="40" t="s">
        <v>115</v>
      </c>
      <c r="O448" s="40" t="s">
        <v>115</v>
      </c>
      <c r="Q448" s="40">
        <v>197</v>
      </c>
      <c r="R448" s="40">
        <v>286</v>
      </c>
      <c r="X448" s="40">
        <v>90050218</v>
      </c>
      <c r="Y448" s="40" t="s">
        <v>115</v>
      </c>
      <c r="Z448" s="40" t="s">
        <v>115</v>
      </c>
      <c r="AA448" s="40" t="s">
        <v>115</v>
      </c>
      <c r="AB448" s="40" t="s">
        <v>115</v>
      </c>
      <c r="AC448" s="40" t="s">
        <v>115</v>
      </c>
      <c r="AI448" s="40" t="s">
        <v>115</v>
      </c>
      <c r="AP448" s="40" t="s">
        <v>115</v>
      </c>
    </row>
    <row r="449" spans="1:42" x14ac:dyDescent="0.15">
      <c r="A449" s="40" t="s">
        <v>1</v>
      </c>
      <c r="B449" s="23">
        <v>90050218</v>
      </c>
      <c r="C449" s="23">
        <v>502</v>
      </c>
      <c r="D449" s="23">
        <v>5</v>
      </c>
      <c r="F449" s="23" t="s">
        <v>277</v>
      </c>
      <c r="G449" s="23" t="s">
        <v>115</v>
      </c>
      <c r="H449" s="23" t="s">
        <v>2226</v>
      </c>
      <c r="I449" s="23">
        <v>3</v>
      </c>
      <c r="J449" s="40">
        <v>0</v>
      </c>
      <c r="K449" s="40">
        <v>0</v>
      </c>
      <c r="L449" s="40" t="s">
        <v>115</v>
      </c>
      <c r="O449" s="40" t="s">
        <v>115</v>
      </c>
      <c r="Q449" s="40">
        <v>197</v>
      </c>
      <c r="R449" s="40">
        <v>286</v>
      </c>
      <c r="X449" s="40">
        <v>90050219</v>
      </c>
      <c r="Y449" s="40" t="s">
        <v>115</v>
      </c>
      <c r="Z449" s="40" t="s">
        <v>115</v>
      </c>
      <c r="AA449" s="40" t="s">
        <v>115</v>
      </c>
      <c r="AB449" s="40" t="s">
        <v>115</v>
      </c>
      <c r="AC449" s="40" t="s">
        <v>115</v>
      </c>
      <c r="AI449" s="40" t="s">
        <v>115</v>
      </c>
      <c r="AP449" s="40" t="s">
        <v>115</v>
      </c>
    </row>
    <row r="450" spans="1:42" x14ac:dyDescent="0.15">
      <c r="A450" s="40" t="s">
        <v>1</v>
      </c>
      <c r="B450" s="23">
        <v>90050219</v>
      </c>
      <c r="C450" s="23">
        <v>502</v>
      </c>
      <c r="D450" s="23">
        <v>5</v>
      </c>
      <c r="F450" s="23" t="s">
        <v>116</v>
      </c>
      <c r="G450" s="23">
        <v>261</v>
      </c>
      <c r="H450" s="23" t="s">
        <v>2227</v>
      </c>
      <c r="I450" s="23">
        <v>0</v>
      </c>
      <c r="J450" s="40">
        <v>0</v>
      </c>
      <c r="K450" s="40">
        <v>4</v>
      </c>
      <c r="L450" s="40" t="s">
        <v>115</v>
      </c>
      <c r="O450" s="40">
        <v>1</v>
      </c>
      <c r="Q450" s="40">
        <v>197</v>
      </c>
      <c r="R450" s="40">
        <v>286</v>
      </c>
      <c r="X450" s="40" t="s">
        <v>115</v>
      </c>
      <c r="Y450" s="40" t="s">
        <v>115</v>
      </c>
      <c r="Z450" s="40">
        <v>3</v>
      </c>
      <c r="AA450" s="40" t="s">
        <v>115</v>
      </c>
      <c r="AB450" s="40" t="s">
        <v>115</v>
      </c>
      <c r="AC450" s="40" t="s">
        <v>115</v>
      </c>
      <c r="AI450" s="40" t="s">
        <v>115</v>
      </c>
      <c r="AP450" s="40" t="s">
        <v>788</v>
      </c>
    </row>
    <row r="451" spans="1:42" x14ac:dyDescent="0.15">
      <c r="A451" s="40" t="s">
        <v>1</v>
      </c>
      <c r="B451" s="23" t="s">
        <v>750</v>
      </c>
      <c r="C451" s="23">
        <v>503</v>
      </c>
      <c r="D451" s="23">
        <v>5</v>
      </c>
      <c r="F451" s="23" t="s">
        <v>277</v>
      </c>
      <c r="G451" s="23" t="s">
        <v>115</v>
      </c>
      <c r="H451" s="23" t="s">
        <v>2228</v>
      </c>
      <c r="I451" s="23">
        <v>3</v>
      </c>
      <c r="J451" s="40">
        <v>1</v>
      </c>
      <c r="K451" s="40">
        <v>1</v>
      </c>
      <c r="L451" s="40" t="s">
        <v>115</v>
      </c>
      <c r="O451" s="40" t="s">
        <v>115</v>
      </c>
      <c r="Q451" s="40">
        <v>138</v>
      </c>
      <c r="R451" s="40">
        <v>286</v>
      </c>
      <c r="X451" s="40">
        <v>90050302</v>
      </c>
      <c r="Y451" s="40" t="s">
        <v>115</v>
      </c>
      <c r="Z451" s="40" t="s">
        <v>115</v>
      </c>
      <c r="AA451" s="40" t="s">
        <v>115</v>
      </c>
      <c r="AB451" s="40" t="s">
        <v>115</v>
      </c>
      <c r="AC451" s="40" t="s">
        <v>115</v>
      </c>
      <c r="AI451" s="40" t="s">
        <v>115</v>
      </c>
      <c r="AP451" s="40" t="s">
        <v>115</v>
      </c>
    </row>
    <row r="452" spans="1:42" x14ac:dyDescent="0.15">
      <c r="A452" s="40" t="s">
        <v>1</v>
      </c>
      <c r="B452" s="23">
        <v>90050302</v>
      </c>
      <c r="C452" s="23">
        <v>503</v>
      </c>
      <c r="D452" s="23">
        <v>5</v>
      </c>
      <c r="F452" s="23" t="s">
        <v>277</v>
      </c>
      <c r="G452" s="23" t="s">
        <v>115</v>
      </c>
      <c r="H452" s="23" t="s">
        <v>2534</v>
      </c>
      <c r="I452" s="23">
        <v>3</v>
      </c>
      <c r="J452" s="40">
        <v>0</v>
      </c>
      <c r="K452" s="40">
        <v>0</v>
      </c>
      <c r="L452" s="40" t="s">
        <v>115</v>
      </c>
      <c r="O452" s="40" t="s">
        <v>115</v>
      </c>
      <c r="Q452" s="40">
        <v>138</v>
      </c>
      <c r="R452" s="40">
        <v>286</v>
      </c>
      <c r="X452" s="40">
        <v>90050303</v>
      </c>
      <c r="Y452" s="40" t="s">
        <v>115</v>
      </c>
      <c r="Z452" s="40" t="s">
        <v>115</v>
      </c>
      <c r="AA452" s="40" t="s">
        <v>115</v>
      </c>
      <c r="AB452" s="40" t="s">
        <v>115</v>
      </c>
      <c r="AC452" s="40" t="s">
        <v>115</v>
      </c>
      <c r="AI452" s="40" t="s">
        <v>115</v>
      </c>
      <c r="AP452" s="40" t="s">
        <v>115</v>
      </c>
    </row>
    <row r="453" spans="1:42" x14ac:dyDescent="0.15">
      <c r="A453" s="40" t="s">
        <v>1</v>
      </c>
      <c r="B453" s="23">
        <v>90050303</v>
      </c>
      <c r="C453" s="23">
        <v>503</v>
      </c>
      <c r="D453" s="23">
        <v>5</v>
      </c>
      <c r="F453" s="23" t="s">
        <v>277</v>
      </c>
      <c r="G453" s="23" t="s">
        <v>115</v>
      </c>
      <c r="H453" s="23" t="s">
        <v>278</v>
      </c>
      <c r="I453" s="23">
        <v>3</v>
      </c>
      <c r="J453" s="40">
        <v>0</v>
      </c>
      <c r="K453" s="40">
        <v>0</v>
      </c>
      <c r="L453" s="40" t="s">
        <v>115</v>
      </c>
      <c r="O453" s="40" t="s">
        <v>115</v>
      </c>
      <c r="Q453" s="40">
        <v>138</v>
      </c>
      <c r="R453" s="40">
        <v>286</v>
      </c>
      <c r="X453" s="40">
        <v>90050304</v>
      </c>
      <c r="Y453" s="40" t="s">
        <v>115</v>
      </c>
      <c r="Z453" s="40" t="s">
        <v>115</v>
      </c>
      <c r="AA453" s="40" t="s">
        <v>115</v>
      </c>
      <c r="AB453" s="40" t="s">
        <v>115</v>
      </c>
      <c r="AC453" s="40" t="s">
        <v>115</v>
      </c>
      <c r="AI453" s="40" t="s">
        <v>115</v>
      </c>
      <c r="AP453" s="40" t="s">
        <v>115</v>
      </c>
    </row>
    <row r="454" spans="1:42" x14ac:dyDescent="0.15">
      <c r="A454" s="40" t="s">
        <v>1</v>
      </c>
      <c r="B454" s="23">
        <v>90050304</v>
      </c>
      <c r="C454" s="23">
        <v>503</v>
      </c>
      <c r="D454" s="23">
        <v>5</v>
      </c>
      <c r="F454" s="23" t="s">
        <v>116</v>
      </c>
      <c r="G454" s="23">
        <v>261</v>
      </c>
      <c r="H454" s="23" t="s">
        <v>2229</v>
      </c>
      <c r="I454" s="23">
        <v>0</v>
      </c>
      <c r="J454" s="40">
        <v>0</v>
      </c>
      <c r="K454" s="40">
        <v>2</v>
      </c>
      <c r="L454" s="40" t="s">
        <v>115</v>
      </c>
      <c r="O454" s="40" t="s">
        <v>115</v>
      </c>
      <c r="Q454" s="40">
        <v>138</v>
      </c>
      <c r="R454" s="40">
        <v>286</v>
      </c>
      <c r="X454" s="40" t="s">
        <v>2230</v>
      </c>
      <c r="Y454" s="40">
        <v>1</v>
      </c>
      <c r="Z454" s="40">
        <v>1</v>
      </c>
      <c r="AA454" s="40" t="s">
        <v>115</v>
      </c>
      <c r="AB454" s="40" t="s">
        <v>115</v>
      </c>
      <c r="AC454" s="40" t="s">
        <v>115</v>
      </c>
      <c r="AI454" s="40" t="s">
        <v>115</v>
      </c>
      <c r="AP454" s="40" t="s">
        <v>115</v>
      </c>
    </row>
    <row r="455" spans="1:42" x14ac:dyDescent="0.15">
      <c r="A455" s="40" t="s">
        <v>1</v>
      </c>
      <c r="B455" s="23">
        <v>90050305</v>
      </c>
      <c r="C455" s="23">
        <v>503</v>
      </c>
      <c r="D455" s="23">
        <v>5</v>
      </c>
      <c r="F455" s="23" t="s">
        <v>115</v>
      </c>
      <c r="G455" s="23" t="s">
        <v>115</v>
      </c>
      <c r="H455" s="23" t="s">
        <v>2231</v>
      </c>
      <c r="I455" s="23">
        <v>4</v>
      </c>
      <c r="J455" s="40">
        <v>0</v>
      </c>
      <c r="K455" s="40">
        <v>3</v>
      </c>
      <c r="L455" s="40" t="s">
        <v>115</v>
      </c>
      <c r="O455" s="40" t="s">
        <v>115</v>
      </c>
      <c r="Q455" s="40">
        <v>138</v>
      </c>
      <c r="R455" s="40">
        <v>286</v>
      </c>
      <c r="X455" s="40">
        <v>90050306</v>
      </c>
      <c r="Y455" s="40">
        <v>-1</v>
      </c>
      <c r="Z455" s="40">
        <v>2</v>
      </c>
      <c r="AA455" s="40" t="s">
        <v>115</v>
      </c>
      <c r="AB455" s="40" t="s">
        <v>115</v>
      </c>
      <c r="AC455" s="40" t="s">
        <v>807</v>
      </c>
      <c r="AI455" s="40" t="s">
        <v>115</v>
      </c>
      <c r="AP455" s="40" t="s">
        <v>115</v>
      </c>
    </row>
    <row r="456" spans="1:42" x14ac:dyDescent="0.15">
      <c r="A456" s="40" t="s">
        <v>1</v>
      </c>
      <c r="B456" s="23">
        <v>90050306</v>
      </c>
      <c r="C456" s="23">
        <v>503</v>
      </c>
      <c r="D456" s="23">
        <v>5</v>
      </c>
      <c r="F456" s="23" t="s">
        <v>277</v>
      </c>
      <c r="G456" s="23" t="s">
        <v>115</v>
      </c>
      <c r="H456" s="23" t="s">
        <v>2232</v>
      </c>
      <c r="I456" s="23">
        <v>3</v>
      </c>
      <c r="J456" s="40">
        <v>0</v>
      </c>
      <c r="K456" s="40">
        <v>4</v>
      </c>
      <c r="L456" s="40" t="s">
        <v>1880</v>
      </c>
      <c r="O456" s="40" t="s">
        <v>115</v>
      </c>
      <c r="Q456" s="40">
        <v>138</v>
      </c>
      <c r="R456" s="40">
        <v>286</v>
      </c>
      <c r="X456" s="40">
        <v>90050307</v>
      </c>
      <c r="Y456" s="40" t="s">
        <v>115</v>
      </c>
      <c r="Z456" s="40">
        <v>3</v>
      </c>
      <c r="AA456" s="40" t="s">
        <v>115</v>
      </c>
      <c r="AB456" s="40" t="s">
        <v>115</v>
      </c>
      <c r="AC456" s="40" t="s">
        <v>115</v>
      </c>
      <c r="AI456" s="40" t="s">
        <v>115</v>
      </c>
      <c r="AP456" s="40" t="s">
        <v>115</v>
      </c>
    </row>
    <row r="457" spans="1:42" x14ac:dyDescent="0.15">
      <c r="A457" s="40" t="s">
        <v>1</v>
      </c>
      <c r="B457" s="23">
        <v>90050307</v>
      </c>
      <c r="C457" s="23">
        <v>503</v>
      </c>
      <c r="D457" s="23">
        <v>5</v>
      </c>
      <c r="F457" s="23" t="s">
        <v>116</v>
      </c>
      <c r="G457" s="23">
        <v>261</v>
      </c>
      <c r="H457" s="23" t="s">
        <v>2233</v>
      </c>
      <c r="I457" s="23">
        <v>0</v>
      </c>
      <c r="J457" s="40">
        <v>0</v>
      </c>
      <c r="K457" s="40">
        <v>0</v>
      </c>
      <c r="L457" s="40" t="s">
        <v>115</v>
      </c>
      <c r="O457" s="40" t="s">
        <v>115</v>
      </c>
      <c r="Q457" s="40">
        <v>138</v>
      </c>
      <c r="R457" s="40">
        <v>286</v>
      </c>
      <c r="X457" s="40">
        <v>90050308</v>
      </c>
      <c r="Y457" s="40" t="s">
        <v>115</v>
      </c>
      <c r="Z457" s="40" t="s">
        <v>115</v>
      </c>
      <c r="AA457" s="40" t="s">
        <v>115</v>
      </c>
      <c r="AB457" s="40" t="s">
        <v>115</v>
      </c>
      <c r="AC457" s="40" t="s">
        <v>115</v>
      </c>
      <c r="AI457" s="40" t="s">
        <v>115</v>
      </c>
      <c r="AP457" s="40" t="s">
        <v>115</v>
      </c>
    </row>
    <row r="458" spans="1:42" x14ac:dyDescent="0.15">
      <c r="A458" s="40" t="s">
        <v>1</v>
      </c>
      <c r="B458" s="23">
        <v>90050308</v>
      </c>
      <c r="C458" s="23">
        <v>503</v>
      </c>
      <c r="D458" s="23">
        <v>5</v>
      </c>
      <c r="F458" s="23" t="s">
        <v>277</v>
      </c>
      <c r="G458" s="23" t="s">
        <v>115</v>
      </c>
      <c r="H458" s="23" t="s">
        <v>2234</v>
      </c>
      <c r="I458" s="23">
        <v>3</v>
      </c>
      <c r="J458" s="40">
        <v>0</v>
      </c>
      <c r="K458" s="40">
        <v>0</v>
      </c>
      <c r="L458" s="40" t="s">
        <v>115</v>
      </c>
      <c r="O458" s="40" t="s">
        <v>115</v>
      </c>
      <c r="Q458" s="40">
        <v>138</v>
      </c>
      <c r="R458" s="40">
        <v>286</v>
      </c>
      <c r="X458" s="40">
        <v>90050309</v>
      </c>
      <c r="Y458" s="40" t="s">
        <v>115</v>
      </c>
      <c r="Z458" s="40" t="s">
        <v>115</v>
      </c>
      <c r="AA458" s="40" t="s">
        <v>115</v>
      </c>
      <c r="AB458" s="40" t="s">
        <v>115</v>
      </c>
      <c r="AC458" s="40" t="s">
        <v>115</v>
      </c>
      <c r="AI458" s="40" t="s">
        <v>115</v>
      </c>
      <c r="AP458" s="40" t="s">
        <v>115</v>
      </c>
    </row>
    <row r="459" spans="1:42" x14ac:dyDescent="0.15">
      <c r="A459" s="40" t="s">
        <v>1</v>
      </c>
      <c r="B459" s="23">
        <v>90050309</v>
      </c>
      <c r="C459" s="23">
        <v>503</v>
      </c>
      <c r="D459" s="23">
        <v>5</v>
      </c>
      <c r="F459" s="23" t="s">
        <v>116</v>
      </c>
      <c r="G459" s="23">
        <v>261</v>
      </c>
      <c r="H459" s="23" t="s">
        <v>2235</v>
      </c>
      <c r="I459" s="23">
        <v>0</v>
      </c>
      <c r="J459" s="40">
        <v>0</v>
      </c>
      <c r="K459" s="40">
        <v>0</v>
      </c>
      <c r="L459" s="40" t="s">
        <v>115</v>
      </c>
      <c r="O459" s="40" t="s">
        <v>115</v>
      </c>
      <c r="Q459" s="40">
        <v>138</v>
      </c>
      <c r="R459" s="40">
        <v>286</v>
      </c>
      <c r="X459" s="40">
        <v>90050310</v>
      </c>
      <c r="Y459" s="40" t="s">
        <v>115</v>
      </c>
      <c r="Z459" s="40" t="s">
        <v>115</v>
      </c>
      <c r="AA459" s="40" t="s">
        <v>115</v>
      </c>
      <c r="AB459" s="40" t="s">
        <v>115</v>
      </c>
      <c r="AC459" s="40" t="s">
        <v>115</v>
      </c>
      <c r="AI459" s="40" t="s">
        <v>115</v>
      </c>
      <c r="AP459" s="40" t="s">
        <v>115</v>
      </c>
    </row>
    <row r="460" spans="1:42" x14ac:dyDescent="0.15">
      <c r="A460" s="40" t="s">
        <v>1</v>
      </c>
      <c r="B460" s="23">
        <v>90050310</v>
      </c>
      <c r="C460" s="23">
        <v>503</v>
      </c>
      <c r="D460" s="23">
        <v>5</v>
      </c>
      <c r="F460" s="23" t="s">
        <v>277</v>
      </c>
      <c r="G460" s="23" t="s">
        <v>115</v>
      </c>
      <c r="H460" s="23" t="s">
        <v>2236</v>
      </c>
      <c r="I460" s="23">
        <v>3</v>
      </c>
      <c r="J460" s="40">
        <v>0</v>
      </c>
      <c r="K460" s="40">
        <v>0</v>
      </c>
      <c r="L460" s="40" t="s">
        <v>115</v>
      </c>
      <c r="O460" s="40" t="s">
        <v>115</v>
      </c>
      <c r="Q460" s="40">
        <v>138</v>
      </c>
      <c r="R460" s="40">
        <v>286</v>
      </c>
      <c r="X460" s="40">
        <v>90050311</v>
      </c>
      <c r="Y460" s="40" t="s">
        <v>115</v>
      </c>
      <c r="Z460" s="40" t="s">
        <v>115</v>
      </c>
      <c r="AA460" s="40" t="s">
        <v>115</v>
      </c>
      <c r="AB460" s="40" t="s">
        <v>115</v>
      </c>
      <c r="AC460" s="40" t="s">
        <v>115</v>
      </c>
      <c r="AI460" s="40" t="s">
        <v>115</v>
      </c>
      <c r="AP460" s="40" t="s">
        <v>115</v>
      </c>
    </row>
    <row r="461" spans="1:42" x14ac:dyDescent="0.15">
      <c r="A461" s="40" t="s">
        <v>1</v>
      </c>
      <c r="B461" s="23">
        <v>90050311</v>
      </c>
      <c r="C461" s="23">
        <v>503</v>
      </c>
      <c r="D461" s="23">
        <v>5</v>
      </c>
      <c r="F461" s="23" t="s">
        <v>116</v>
      </c>
      <c r="G461" s="23">
        <v>261</v>
      </c>
      <c r="H461" s="23" t="s">
        <v>2535</v>
      </c>
      <c r="I461" s="23">
        <v>0</v>
      </c>
      <c r="J461" s="40">
        <v>0</v>
      </c>
      <c r="K461" s="40">
        <v>0</v>
      </c>
      <c r="L461" s="40" t="s">
        <v>115</v>
      </c>
      <c r="O461" s="40" t="s">
        <v>115</v>
      </c>
      <c r="Q461" s="40">
        <v>138</v>
      </c>
      <c r="R461" s="40">
        <v>286</v>
      </c>
      <c r="X461" s="40">
        <v>90050312</v>
      </c>
      <c r="Y461" s="40" t="s">
        <v>115</v>
      </c>
      <c r="Z461" s="40" t="s">
        <v>115</v>
      </c>
      <c r="AA461" s="40" t="s">
        <v>115</v>
      </c>
      <c r="AB461" s="40" t="s">
        <v>115</v>
      </c>
      <c r="AC461" s="40" t="s">
        <v>115</v>
      </c>
      <c r="AI461" s="40" t="s">
        <v>115</v>
      </c>
      <c r="AP461" s="40" t="s">
        <v>115</v>
      </c>
    </row>
    <row r="462" spans="1:42" x14ac:dyDescent="0.15">
      <c r="A462" s="40" t="s">
        <v>1</v>
      </c>
      <c r="B462" s="23">
        <v>90050312</v>
      </c>
      <c r="C462" s="23">
        <v>503</v>
      </c>
      <c r="D462" s="23">
        <v>5</v>
      </c>
      <c r="F462" s="23" t="s">
        <v>116</v>
      </c>
      <c r="G462" s="23">
        <v>261</v>
      </c>
      <c r="H462" s="23" t="s">
        <v>2536</v>
      </c>
      <c r="I462" s="23">
        <v>0</v>
      </c>
      <c r="J462" s="40">
        <v>0</v>
      </c>
      <c r="K462" s="40">
        <v>0</v>
      </c>
      <c r="L462" s="40" t="s">
        <v>115</v>
      </c>
      <c r="O462" s="40" t="s">
        <v>115</v>
      </c>
      <c r="Q462" s="40">
        <v>138</v>
      </c>
      <c r="R462" s="40">
        <v>286</v>
      </c>
      <c r="X462" s="40">
        <v>90050313</v>
      </c>
      <c r="Y462" s="40" t="s">
        <v>115</v>
      </c>
      <c r="Z462" s="40" t="s">
        <v>115</v>
      </c>
      <c r="AA462" s="40" t="s">
        <v>115</v>
      </c>
      <c r="AB462" s="40" t="s">
        <v>115</v>
      </c>
      <c r="AC462" s="40" t="s">
        <v>115</v>
      </c>
      <c r="AI462" s="40" t="s">
        <v>115</v>
      </c>
      <c r="AP462" s="40" t="s">
        <v>115</v>
      </c>
    </row>
    <row r="463" spans="1:42" x14ac:dyDescent="0.15">
      <c r="A463" s="40" t="s">
        <v>1</v>
      </c>
      <c r="B463" s="23">
        <v>90050313</v>
      </c>
      <c r="C463" s="23">
        <v>503</v>
      </c>
      <c r="D463" s="23">
        <v>5</v>
      </c>
      <c r="F463" s="23" t="s">
        <v>277</v>
      </c>
      <c r="G463" s="23" t="s">
        <v>115</v>
      </c>
      <c r="H463" s="23" t="s">
        <v>2537</v>
      </c>
      <c r="I463" s="23">
        <v>3</v>
      </c>
      <c r="J463" s="40">
        <v>0</v>
      </c>
      <c r="K463" s="40">
        <v>0</v>
      </c>
      <c r="L463" s="40" t="s">
        <v>115</v>
      </c>
      <c r="O463" s="40" t="s">
        <v>115</v>
      </c>
      <c r="Q463" s="40">
        <v>138</v>
      </c>
      <c r="R463" s="40">
        <v>286</v>
      </c>
      <c r="X463" s="40">
        <v>90050314</v>
      </c>
      <c r="Y463" s="40" t="s">
        <v>115</v>
      </c>
      <c r="Z463" s="40" t="s">
        <v>115</v>
      </c>
      <c r="AA463" s="40" t="s">
        <v>115</v>
      </c>
      <c r="AB463" s="40" t="s">
        <v>115</v>
      </c>
      <c r="AC463" s="40" t="s">
        <v>115</v>
      </c>
      <c r="AI463" s="40" t="s">
        <v>115</v>
      </c>
      <c r="AP463" s="40" t="s">
        <v>115</v>
      </c>
    </row>
    <row r="464" spans="1:42" x14ac:dyDescent="0.15">
      <c r="A464" s="40" t="s">
        <v>1</v>
      </c>
      <c r="B464" s="23">
        <v>90050314</v>
      </c>
      <c r="C464" s="23">
        <v>503</v>
      </c>
      <c r="D464" s="23">
        <v>5</v>
      </c>
      <c r="F464" s="23" t="s">
        <v>116</v>
      </c>
      <c r="G464" s="23">
        <v>261</v>
      </c>
      <c r="H464" s="23" t="s">
        <v>279</v>
      </c>
      <c r="I464" s="23">
        <v>0</v>
      </c>
      <c r="J464" s="40">
        <v>0</v>
      </c>
      <c r="K464" s="40">
        <v>5</v>
      </c>
      <c r="L464" s="40" t="s">
        <v>115</v>
      </c>
      <c r="O464" s="40">
        <v>1</v>
      </c>
      <c r="Q464" s="40">
        <v>138</v>
      </c>
      <c r="R464" s="40">
        <v>286</v>
      </c>
      <c r="X464" s="40" t="s">
        <v>115</v>
      </c>
      <c r="Y464" s="40" t="s">
        <v>115</v>
      </c>
      <c r="Z464" s="40">
        <v>4</v>
      </c>
      <c r="AA464" s="40" t="s">
        <v>115</v>
      </c>
      <c r="AB464" s="40" t="s">
        <v>115</v>
      </c>
      <c r="AC464" s="40" t="s">
        <v>115</v>
      </c>
      <c r="AI464" s="40" t="s">
        <v>115</v>
      </c>
      <c r="AP464" s="40" t="s">
        <v>795</v>
      </c>
    </row>
    <row r="465" spans="1:42" x14ac:dyDescent="0.15">
      <c r="A465" s="40" t="s">
        <v>1</v>
      </c>
      <c r="B465" s="23" t="s">
        <v>751</v>
      </c>
      <c r="C465" s="23">
        <v>504</v>
      </c>
      <c r="D465" s="23">
        <v>5</v>
      </c>
      <c r="F465" s="23" t="s">
        <v>116</v>
      </c>
      <c r="G465" s="23">
        <v>261</v>
      </c>
      <c r="H465" s="23" t="s">
        <v>280</v>
      </c>
      <c r="I465" s="23">
        <v>0</v>
      </c>
      <c r="J465" s="40">
        <v>1</v>
      </c>
      <c r="K465" s="40">
        <v>1</v>
      </c>
      <c r="L465" s="40" t="s">
        <v>115</v>
      </c>
      <c r="O465" s="40" t="s">
        <v>115</v>
      </c>
      <c r="Q465" s="40">
        <v>162</v>
      </c>
      <c r="R465" s="40">
        <v>263</v>
      </c>
      <c r="X465" s="40">
        <v>90050402</v>
      </c>
      <c r="Y465" s="40" t="s">
        <v>115</v>
      </c>
      <c r="Z465" s="40" t="s">
        <v>115</v>
      </c>
      <c r="AA465" s="40" t="s">
        <v>115</v>
      </c>
      <c r="AB465" s="40" t="s">
        <v>115</v>
      </c>
      <c r="AC465" s="40" t="s">
        <v>115</v>
      </c>
      <c r="AI465" s="40" t="s">
        <v>115</v>
      </c>
      <c r="AP465" s="40" t="s">
        <v>115</v>
      </c>
    </row>
    <row r="466" spans="1:42" x14ac:dyDescent="0.15">
      <c r="A466" s="40" t="s">
        <v>1</v>
      </c>
      <c r="B466" s="23">
        <v>90050402</v>
      </c>
      <c r="C466" s="23">
        <v>504</v>
      </c>
      <c r="D466" s="23">
        <v>5</v>
      </c>
      <c r="F466" s="23" t="s">
        <v>115</v>
      </c>
      <c r="G466" s="23" t="s">
        <v>115</v>
      </c>
      <c r="H466" s="23" t="s">
        <v>2538</v>
      </c>
      <c r="I466" s="23">
        <v>4</v>
      </c>
      <c r="J466" s="40">
        <v>0</v>
      </c>
      <c r="K466" s="40">
        <v>0</v>
      </c>
      <c r="L466" s="40" t="s">
        <v>115</v>
      </c>
      <c r="O466" s="40" t="s">
        <v>115</v>
      </c>
      <c r="Q466" s="40">
        <v>162</v>
      </c>
      <c r="R466" s="40">
        <v>263</v>
      </c>
      <c r="X466" s="40">
        <v>90050403</v>
      </c>
      <c r="Y466" s="40" t="s">
        <v>115</v>
      </c>
      <c r="Z466" s="40" t="s">
        <v>115</v>
      </c>
      <c r="AA466" s="40" t="s">
        <v>115</v>
      </c>
      <c r="AB466" s="40" t="s">
        <v>115</v>
      </c>
      <c r="AC466" s="40" t="s">
        <v>115</v>
      </c>
      <c r="AI466" s="40" t="s">
        <v>115</v>
      </c>
      <c r="AP466" s="40" t="s">
        <v>115</v>
      </c>
    </row>
    <row r="467" spans="1:42" x14ac:dyDescent="0.15">
      <c r="A467" s="40" t="s">
        <v>1</v>
      </c>
      <c r="B467" s="23">
        <v>90050403</v>
      </c>
      <c r="C467" s="23">
        <v>504</v>
      </c>
      <c r="D467" s="23">
        <v>5</v>
      </c>
      <c r="F467" s="23" t="s">
        <v>271</v>
      </c>
      <c r="G467" s="23" t="s">
        <v>115</v>
      </c>
      <c r="H467" s="23" t="s">
        <v>2539</v>
      </c>
      <c r="I467" s="23">
        <v>3</v>
      </c>
      <c r="J467" s="40">
        <v>0</v>
      </c>
      <c r="K467" s="40">
        <v>0</v>
      </c>
      <c r="L467" s="40" t="s">
        <v>115</v>
      </c>
      <c r="O467" s="40" t="s">
        <v>115</v>
      </c>
      <c r="Q467" s="40">
        <v>162</v>
      </c>
      <c r="R467" s="40">
        <v>263</v>
      </c>
      <c r="X467" s="40">
        <v>90050404</v>
      </c>
      <c r="Y467" s="40" t="s">
        <v>115</v>
      </c>
      <c r="Z467" s="40" t="s">
        <v>115</v>
      </c>
      <c r="AA467" s="40" t="s">
        <v>115</v>
      </c>
      <c r="AB467" s="40" t="s">
        <v>115</v>
      </c>
      <c r="AC467" s="40" t="s">
        <v>115</v>
      </c>
      <c r="AI467" s="40" t="s">
        <v>115</v>
      </c>
      <c r="AP467" s="40" t="s">
        <v>115</v>
      </c>
    </row>
    <row r="468" spans="1:42" x14ac:dyDescent="0.15">
      <c r="A468" s="40" t="s">
        <v>1</v>
      </c>
      <c r="B468" s="23">
        <v>90050404</v>
      </c>
      <c r="C468" s="23">
        <v>504</v>
      </c>
      <c r="D468" s="23">
        <v>5</v>
      </c>
      <c r="F468" s="23" t="s">
        <v>116</v>
      </c>
      <c r="G468" s="23">
        <v>261</v>
      </c>
      <c r="H468" s="23" t="s">
        <v>2540</v>
      </c>
      <c r="I468" s="23">
        <v>0</v>
      </c>
      <c r="J468" s="40">
        <v>0</v>
      </c>
      <c r="K468" s="40">
        <v>0</v>
      </c>
      <c r="L468" s="40" t="s">
        <v>115</v>
      </c>
      <c r="O468" s="40" t="s">
        <v>115</v>
      </c>
      <c r="Q468" s="40">
        <v>162</v>
      </c>
      <c r="R468" s="40">
        <v>263</v>
      </c>
      <c r="X468" s="40">
        <v>90050405</v>
      </c>
      <c r="Y468" s="40" t="s">
        <v>115</v>
      </c>
      <c r="Z468" s="40" t="s">
        <v>115</v>
      </c>
      <c r="AA468" s="40" t="s">
        <v>115</v>
      </c>
      <c r="AB468" s="40" t="s">
        <v>115</v>
      </c>
      <c r="AC468" s="40" t="s">
        <v>115</v>
      </c>
      <c r="AI468" s="40" t="s">
        <v>115</v>
      </c>
      <c r="AP468" s="40" t="s">
        <v>115</v>
      </c>
    </row>
    <row r="469" spans="1:42" x14ac:dyDescent="0.15">
      <c r="A469" s="40" t="s">
        <v>1</v>
      </c>
      <c r="B469" s="23">
        <v>90050405</v>
      </c>
      <c r="C469" s="23">
        <v>504</v>
      </c>
      <c r="D469" s="23">
        <v>5</v>
      </c>
      <c r="F469" s="23" t="s">
        <v>115</v>
      </c>
      <c r="G469" s="23" t="s">
        <v>115</v>
      </c>
      <c r="H469" s="23" t="s">
        <v>2541</v>
      </c>
      <c r="I469" s="23">
        <v>4</v>
      </c>
      <c r="J469" s="40">
        <v>0</v>
      </c>
      <c r="K469" s="40">
        <v>2</v>
      </c>
      <c r="L469" s="40" t="s">
        <v>115</v>
      </c>
      <c r="O469" s="40" t="s">
        <v>115</v>
      </c>
      <c r="Q469" s="40">
        <v>162</v>
      </c>
      <c r="R469" s="40">
        <v>263</v>
      </c>
      <c r="X469" s="40">
        <v>90050406</v>
      </c>
      <c r="Y469" s="40" t="s">
        <v>115</v>
      </c>
      <c r="Z469" s="40">
        <v>1</v>
      </c>
      <c r="AA469" s="40" t="s">
        <v>2237</v>
      </c>
      <c r="AB469" s="40" t="s">
        <v>115</v>
      </c>
      <c r="AC469" s="40" t="s">
        <v>115</v>
      </c>
      <c r="AI469" s="40" t="s">
        <v>115</v>
      </c>
      <c r="AP469" s="40" t="s">
        <v>115</v>
      </c>
    </row>
    <row r="470" spans="1:42" x14ac:dyDescent="0.15">
      <c r="A470" s="40" t="s">
        <v>1</v>
      </c>
      <c r="B470" s="23">
        <v>90050406</v>
      </c>
      <c r="C470" s="23">
        <v>504</v>
      </c>
      <c r="D470" s="23">
        <v>5</v>
      </c>
      <c r="F470" s="23" t="s">
        <v>115</v>
      </c>
      <c r="G470" s="23" t="s">
        <v>115</v>
      </c>
      <c r="H470" s="23" t="s">
        <v>2542</v>
      </c>
      <c r="I470" s="23">
        <v>4</v>
      </c>
      <c r="J470" s="40">
        <v>0</v>
      </c>
      <c r="K470" s="40">
        <v>0</v>
      </c>
      <c r="L470" s="40" t="s">
        <v>115</v>
      </c>
      <c r="O470" s="40" t="s">
        <v>115</v>
      </c>
      <c r="Q470" s="40">
        <v>162</v>
      </c>
      <c r="R470" s="40">
        <v>263</v>
      </c>
      <c r="X470" s="40">
        <v>90050407</v>
      </c>
      <c r="Y470" s="40" t="s">
        <v>115</v>
      </c>
      <c r="Z470" s="40" t="s">
        <v>115</v>
      </c>
      <c r="AA470" s="40" t="s">
        <v>115</v>
      </c>
      <c r="AB470" s="40" t="s">
        <v>115</v>
      </c>
      <c r="AC470" s="40" t="s">
        <v>115</v>
      </c>
      <c r="AI470" s="40" t="s">
        <v>115</v>
      </c>
      <c r="AP470" s="40" t="s">
        <v>115</v>
      </c>
    </row>
    <row r="471" spans="1:42" x14ac:dyDescent="0.15">
      <c r="A471" s="40" t="s">
        <v>1</v>
      </c>
      <c r="B471" s="23">
        <v>90050407</v>
      </c>
      <c r="C471" s="23">
        <v>504</v>
      </c>
      <c r="D471" s="23">
        <v>5</v>
      </c>
      <c r="F471" s="23" t="s">
        <v>116</v>
      </c>
      <c r="G471" s="23">
        <v>261</v>
      </c>
      <c r="H471" s="23" t="s">
        <v>2543</v>
      </c>
      <c r="I471" s="23">
        <v>0</v>
      </c>
      <c r="J471" s="40">
        <v>0</v>
      </c>
      <c r="K471" s="40">
        <v>0</v>
      </c>
      <c r="L471" s="40" t="s">
        <v>115</v>
      </c>
      <c r="O471" s="40" t="s">
        <v>115</v>
      </c>
      <c r="Q471" s="40">
        <v>162</v>
      </c>
      <c r="R471" s="40">
        <v>263</v>
      </c>
      <c r="X471" s="40">
        <v>90050408</v>
      </c>
      <c r="Y471" s="40" t="s">
        <v>115</v>
      </c>
      <c r="Z471" s="40" t="s">
        <v>115</v>
      </c>
      <c r="AA471" s="40" t="s">
        <v>115</v>
      </c>
      <c r="AB471" s="40" t="s">
        <v>115</v>
      </c>
      <c r="AC471" s="40" t="s">
        <v>115</v>
      </c>
      <c r="AI471" s="40" t="s">
        <v>115</v>
      </c>
      <c r="AP471" s="40" t="s">
        <v>115</v>
      </c>
    </row>
    <row r="472" spans="1:42" x14ac:dyDescent="0.15">
      <c r="A472" s="40" t="s">
        <v>1</v>
      </c>
      <c r="B472" s="23">
        <v>90050408</v>
      </c>
      <c r="C472" s="23">
        <v>504</v>
      </c>
      <c r="D472" s="23">
        <v>5</v>
      </c>
      <c r="F472" s="23" t="s">
        <v>116</v>
      </c>
      <c r="G472" s="23">
        <v>261</v>
      </c>
      <c r="H472" s="23" t="s">
        <v>2238</v>
      </c>
      <c r="I472" s="23">
        <v>0</v>
      </c>
      <c r="J472" s="40">
        <v>0</v>
      </c>
      <c r="K472" s="40">
        <v>0</v>
      </c>
      <c r="L472" s="40" t="s">
        <v>115</v>
      </c>
      <c r="O472" s="40" t="s">
        <v>115</v>
      </c>
      <c r="Q472" s="40">
        <v>162</v>
      </c>
      <c r="R472" s="40">
        <v>263</v>
      </c>
      <c r="X472" s="40">
        <v>90050409</v>
      </c>
      <c r="Y472" s="40" t="s">
        <v>115</v>
      </c>
      <c r="Z472" s="40" t="s">
        <v>115</v>
      </c>
      <c r="AA472" s="40" t="s">
        <v>115</v>
      </c>
      <c r="AB472" s="40" t="s">
        <v>115</v>
      </c>
      <c r="AC472" s="40" t="s">
        <v>115</v>
      </c>
      <c r="AI472" s="40" t="s">
        <v>115</v>
      </c>
      <c r="AP472" s="40" t="s">
        <v>115</v>
      </c>
    </row>
    <row r="473" spans="1:42" x14ac:dyDescent="0.15">
      <c r="A473" s="40" t="s">
        <v>1</v>
      </c>
      <c r="B473" s="23">
        <v>90050409</v>
      </c>
      <c r="C473" s="23">
        <v>504</v>
      </c>
      <c r="D473" s="23">
        <v>5</v>
      </c>
      <c r="F473" s="23" t="s">
        <v>271</v>
      </c>
      <c r="G473" s="23" t="s">
        <v>115</v>
      </c>
      <c r="H473" s="23" t="s">
        <v>2544</v>
      </c>
      <c r="I473" s="23">
        <v>3</v>
      </c>
      <c r="J473" s="40">
        <v>0</v>
      </c>
      <c r="K473" s="40">
        <v>0</v>
      </c>
      <c r="L473" s="40" t="s">
        <v>115</v>
      </c>
      <c r="O473" s="40" t="s">
        <v>115</v>
      </c>
      <c r="Q473" s="40">
        <v>162</v>
      </c>
      <c r="R473" s="40">
        <v>263</v>
      </c>
      <c r="X473" s="40">
        <v>90050410</v>
      </c>
      <c r="Y473" s="40" t="s">
        <v>115</v>
      </c>
      <c r="Z473" s="40" t="s">
        <v>115</v>
      </c>
      <c r="AA473" s="40" t="s">
        <v>115</v>
      </c>
      <c r="AB473" s="40" t="s">
        <v>115</v>
      </c>
      <c r="AC473" s="40" t="s">
        <v>115</v>
      </c>
      <c r="AI473" s="40" t="s">
        <v>115</v>
      </c>
      <c r="AP473" s="40" t="s">
        <v>115</v>
      </c>
    </row>
    <row r="474" spans="1:42" x14ac:dyDescent="0.15">
      <c r="A474" s="40" t="s">
        <v>1</v>
      </c>
      <c r="B474" s="23">
        <v>90050410</v>
      </c>
      <c r="C474" s="23">
        <v>504</v>
      </c>
      <c r="D474" s="23">
        <v>5</v>
      </c>
      <c r="F474" s="23" t="s">
        <v>116</v>
      </c>
      <c r="G474" s="23">
        <v>261</v>
      </c>
      <c r="H474" s="23" t="s">
        <v>2545</v>
      </c>
      <c r="I474" s="23">
        <v>0</v>
      </c>
      <c r="J474" s="40">
        <v>0</v>
      </c>
      <c r="K474" s="40">
        <v>0</v>
      </c>
      <c r="L474" s="40" t="s">
        <v>115</v>
      </c>
      <c r="O474" s="40" t="s">
        <v>115</v>
      </c>
      <c r="Q474" s="40">
        <v>162</v>
      </c>
      <c r="R474" s="40">
        <v>263</v>
      </c>
      <c r="X474" s="40">
        <v>90050411</v>
      </c>
      <c r="Y474" s="40" t="s">
        <v>115</v>
      </c>
      <c r="Z474" s="40" t="s">
        <v>115</v>
      </c>
      <c r="AA474" s="40" t="s">
        <v>115</v>
      </c>
      <c r="AB474" s="40" t="s">
        <v>115</v>
      </c>
      <c r="AC474" s="40" t="s">
        <v>115</v>
      </c>
      <c r="AI474" s="40" t="s">
        <v>115</v>
      </c>
      <c r="AP474" s="40" t="s">
        <v>115</v>
      </c>
    </row>
    <row r="475" spans="1:42" x14ac:dyDescent="0.15">
      <c r="A475" s="40" t="s">
        <v>1</v>
      </c>
      <c r="B475" s="23">
        <v>90050411</v>
      </c>
      <c r="C475" s="23">
        <v>504</v>
      </c>
      <c r="D475" s="23">
        <v>5</v>
      </c>
      <c r="F475" s="23" t="s">
        <v>116</v>
      </c>
      <c r="G475" s="23">
        <v>261</v>
      </c>
      <c r="H475" s="23" t="s">
        <v>2546</v>
      </c>
      <c r="I475" s="23">
        <v>0</v>
      </c>
      <c r="J475" s="40">
        <v>0</v>
      </c>
      <c r="K475" s="40">
        <v>0</v>
      </c>
      <c r="L475" s="40" t="s">
        <v>115</v>
      </c>
      <c r="O475" s="40" t="s">
        <v>115</v>
      </c>
      <c r="Q475" s="40">
        <v>162</v>
      </c>
      <c r="R475" s="40">
        <v>263</v>
      </c>
      <c r="X475" s="40">
        <v>90050412</v>
      </c>
      <c r="Y475" s="40" t="s">
        <v>115</v>
      </c>
      <c r="Z475" s="40" t="s">
        <v>115</v>
      </c>
      <c r="AA475" s="40" t="s">
        <v>115</v>
      </c>
      <c r="AB475" s="40" t="s">
        <v>115</v>
      </c>
      <c r="AC475" s="40" t="s">
        <v>115</v>
      </c>
      <c r="AI475" s="40" t="s">
        <v>115</v>
      </c>
      <c r="AP475" s="40" t="s">
        <v>115</v>
      </c>
    </row>
    <row r="476" spans="1:42" x14ac:dyDescent="0.15">
      <c r="A476" s="40" t="s">
        <v>1</v>
      </c>
      <c r="B476" s="23">
        <v>90050412</v>
      </c>
      <c r="C476" s="23">
        <v>504</v>
      </c>
      <c r="D476" s="23">
        <v>5</v>
      </c>
      <c r="F476" s="23" t="s">
        <v>271</v>
      </c>
      <c r="G476" s="23" t="s">
        <v>115</v>
      </c>
      <c r="H476" s="23" t="s">
        <v>2547</v>
      </c>
      <c r="I476" s="23">
        <v>3</v>
      </c>
      <c r="J476" s="40">
        <v>0</v>
      </c>
      <c r="K476" s="40">
        <v>0</v>
      </c>
      <c r="L476" s="40" t="s">
        <v>115</v>
      </c>
      <c r="O476" s="40" t="s">
        <v>115</v>
      </c>
      <c r="Q476" s="40">
        <v>162</v>
      </c>
      <c r="R476" s="40">
        <v>263</v>
      </c>
      <c r="X476" s="40">
        <v>90050413</v>
      </c>
      <c r="Y476" s="40" t="s">
        <v>115</v>
      </c>
      <c r="Z476" s="40" t="s">
        <v>115</v>
      </c>
      <c r="AA476" s="40" t="s">
        <v>115</v>
      </c>
      <c r="AB476" s="40" t="s">
        <v>115</v>
      </c>
      <c r="AC476" s="40" t="s">
        <v>115</v>
      </c>
      <c r="AI476" s="40" t="s">
        <v>115</v>
      </c>
      <c r="AP476" s="40" t="s">
        <v>115</v>
      </c>
    </row>
    <row r="477" spans="1:42" x14ac:dyDescent="0.15">
      <c r="A477" s="40" t="s">
        <v>1</v>
      </c>
      <c r="B477" s="23">
        <v>90050413</v>
      </c>
      <c r="C477" s="23">
        <v>504</v>
      </c>
      <c r="D477" s="23">
        <v>5</v>
      </c>
      <c r="F477" s="23" t="s">
        <v>116</v>
      </c>
      <c r="G477" s="23">
        <v>261</v>
      </c>
      <c r="H477" s="23" t="s">
        <v>2239</v>
      </c>
      <c r="I477" s="23">
        <v>0</v>
      </c>
      <c r="J477" s="40">
        <v>0</v>
      </c>
      <c r="K477" s="40">
        <v>0</v>
      </c>
      <c r="L477" s="40" t="s">
        <v>115</v>
      </c>
      <c r="O477" s="40" t="s">
        <v>115</v>
      </c>
      <c r="Q477" s="40">
        <v>162</v>
      </c>
      <c r="R477" s="40">
        <v>263</v>
      </c>
      <c r="X477" s="40">
        <v>90050414</v>
      </c>
      <c r="Y477" s="40" t="s">
        <v>115</v>
      </c>
      <c r="Z477" s="40" t="s">
        <v>115</v>
      </c>
      <c r="AA477" s="40" t="s">
        <v>115</v>
      </c>
      <c r="AB477" s="40" t="s">
        <v>115</v>
      </c>
      <c r="AC477" s="40" t="s">
        <v>115</v>
      </c>
      <c r="AI477" s="40" t="s">
        <v>115</v>
      </c>
      <c r="AP477" s="40" t="s">
        <v>115</v>
      </c>
    </row>
    <row r="478" spans="1:42" x14ac:dyDescent="0.15">
      <c r="A478" s="40" t="s">
        <v>1</v>
      </c>
      <c r="B478" s="23">
        <v>90050414</v>
      </c>
      <c r="C478" s="23">
        <v>504</v>
      </c>
      <c r="D478" s="23">
        <v>5</v>
      </c>
      <c r="F478" s="23" t="s">
        <v>116</v>
      </c>
      <c r="G478" s="23">
        <v>261</v>
      </c>
      <c r="H478" s="23" t="s">
        <v>2240</v>
      </c>
      <c r="I478" s="23">
        <v>2</v>
      </c>
      <c r="J478" s="40">
        <v>0</v>
      </c>
      <c r="K478" s="40">
        <v>0</v>
      </c>
      <c r="L478" s="40" t="s">
        <v>115</v>
      </c>
      <c r="O478" s="40" t="s">
        <v>115</v>
      </c>
      <c r="Q478" s="40">
        <v>162</v>
      </c>
      <c r="R478" s="40">
        <v>263</v>
      </c>
      <c r="X478" s="40">
        <v>90050415</v>
      </c>
      <c r="Y478" s="40" t="s">
        <v>115</v>
      </c>
      <c r="Z478" s="40" t="s">
        <v>115</v>
      </c>
      <c r="AA478" s="40" t="s">
        <v>115</v>
      </c>
      <c r="AB478" s="40" t="s">
        <v>115</v>
      </c>
      <c r="AC478" s="40" t="s">
        <v>115</v>
      </c>
      <c r="AI478" s="40" t="s">
        <v>115</v>
      </c>
      <c r="AP478" s="40" t="s">
        <v>115</v>
      </c>
    </row>
    <row r="479" spans="1:42" x14ac:dyDescent="0.15">
      <c r="A479" s="40" t="s">
        <v>1</v>
      </c>
      <c r="B479" s="23">
        <v>90050415</v>
      </c>
      <c r="C479" s="23">
        <v>504</v>
      </c>
      <c r="D479" s="23">
        <v>5</v>
      </c>
      <c r="F479" s="23" t="s">
        <v>115</v>
      </c>
      <c r="G479" s="23" t="s">
        <v>115</v>
      </c>
      <c r="H479" s="23" t="s">
        <v>2241</v>
      </c>
      <c r="I479" s="23">
        <v>4</v>
      </c>
      <c r="J479" s="40">
        <v>0</v>
      </c>
      <c r="K479" s="40">
        <v>0</v>
      </c>
      <c r="L479" s="40" t="s">
        <v>115</v>
      </c>
      <c r="O479" s="40" t="s">
        <v>115</v>
      </c>
      <c r="Q479" s="40">
        <v>206</v>
      </c>
      <c r="R479" s="40">
        <v>100</v>
      </c>
      <c r="X479" s="40">
        <v>90050416</v>
      </c>
      <c r="Y479" s="40" t="s">
        <v>115</v>
      </c>
      <c r="Z479" s="40" t="s">
        <v>115</v>
      </c>
      <c r="AA479" s="40" t="s">
        <v>115</v>
      </c>
      <c r="AB479" s="40" t="s">
        <v>115</v>
      </c>
      <c r="AC479" s="40" t="s">
        <v>115</v>
      </c>
      <c r="AI479" s="40" t="s">
        <v>115</v>
      </c>
      <c r="AP479" s="40" t="s">
        <v>115</v>
      </c>
    </row>
    <row r="480" spans="1:42" x14ac:dyDescent="0.15">
      <c r="A480" s="40" t="s">
        <v>1</v>
      </c>
      <c r="B480" s="23">
        <v>90050416</v>
      </c>
      <c r="C480" s="23">
        <v>504</v>
      </c>
      <c r="D480" s="23">
        <v>5</v>
      </c>
      <c r="F480" s="23" t="s">
        <v>116</v>
      </c>
      <c r="G480" s="23">
        <v>258</v>
      </c>
      <c r="H480" s="23" t="s">
        <v>2242</v>
      </c>
      <c r="I480" s="23">
        <v>0</v>
      </c>
      <c r="J480" s="40">
        <v>0</v>
      </c>
      <c r="K480" s="40">
        <v>3</v>
      </c>
      <c r="L480" s="40" t="s">
        <v>115</v>
      </c>
      <c r="O480" s="40" t="s">
        <v>115</v>
      </c>
      <c r="Q480" s="40">
        <v>206</v>
      </c>
      <c r="R480" s="40" t="s">
        <v>115</v>
      </c>
      <c r="X480" s="40" t="s">
        <v>2548</v>
      </c>
      <c r="Y480" s="40">
        <v>1</v>
      </c>
      <c r="Z480" s="40">
        <v>2</v>
      </c>
      <c r="AA480" s="40" t="s">
        <v>115</v>
      </c>
      <c r="AB480" s="40" t="s">
        <v>115</v>
      </c>
      <c r="AC480" s="40" t="s">
        <v>115</v>
      </c>
      <c r="AI480" s="40" t="s">
        <v>115</v>
      </c>
      <c r="AP480" s="40" t="s">
        <v>115</v>
      </c>
    </row>
    <row r="481" spans="1:45" x14ac:dyDescent="0.15">
      <c r="A481" s="40" t="s">
        <v>1</v>
      </c>
      <c r="B481" s="23">
        <v>90050417</v>
      </c>
      <c r="C481" s="23">
        <v>504</v>
      </c>
      <c r="D481" s="23">
        <v>5</v>
      </c>
      <c r="F481" s="23" t="s">
        <v>115</v>
      </c>
      <c r="G481" s="23" t="s">
        <v>115</v>
      </c>
      <c r="H481" s="23" t="s">
        <v>2549</v>
      </c>
      <c r="I481" s="23">
        <v>4</v>
      </c>
      <c r="J481" s="40">
        <v>0</v>
      </c>
      <c r="K481" s="40">
        <v>4</v>
      </c>
      <c r="L481" s="40" t="s">
        <v>115</v>
      </c>
      <c r="O481" s="40" t="s">
        <v>115</v>
      </c>
      <c r="Q481" s="40">
        <v>206</v>
      </c>
      <c r="R481" s="40" t="s">
        <v>115</v>
      </c>
      <c r="X481" s="40">
        <v>90050418</v>
      </c>
      <c r="Y481" s="40">
        <v>-1</v>
      </c>
      <c r="Z481" s="40">
        <v>3</v>
      </c>
      <c r="AA481" s="40" t="s">
        <v>115</v>
      </c>
      <c r="AB481" s="40" t="s">
        <v>115</v>
      </c>
      <c r="AC481" s="40" t="s">
        <v>809</v>
      </c>
      <c r="AI481" s="40" t="s">
        <v>115</v>
      </c>
      <c r="AP481" s="40" t="s">
        <v>115</v>
      </c>
    </row>
    <row r="482" spans="1:45" x14ac:dyDescent="0.15">
      <c r="A482" s="40" t="s">
        <v>1</v>
      </c>
      <c r="B482" s="23">
        <v>90050418</v>
      </c>
      <c r="C482" s="23">
        <v>504</v>
      </c>
      <c r="D482" s="23">
        <v>5</v>
      </c>
      <c r="F482" s="23" t="s">
        <v>115</v>
      </c>
      <c r="G482" s="23" t="s">
        <v>115</v>
      </c>
      <c r="H482" s="23" t="s">
        <v>2243</v>
      </c>
      <c r="I482" s="23">
        <v>4</v>
      </c>
      <c r="J482" s="40">
        <v>0</v>
      </c>
      <c r="K482" s="40">
        <v>0</v>
      </c>
      <c r="L482" s="40" t="s">
        <v>115</v>
      </c>
      <c r="O482" s="40" t="s">
        <v>115</v>
      </c>
      <c r="Q482" s="40">
        <v>206</v>
      </c>
      <c r="R482" s="40" t="s">
        <v>115</v>
      </c>
      <c r="X482" s="40">
        <v>90050419</v>
      </c>
      <c r="Y482" s="40" t="s">
        <v>115</v>
      </c>
      <c r="Z482" s="40" t="s">
        <v>115</v>
      </c>
      <c r="AA482" s="40" t="s">
        <v>115</v>
      </c>
      <c r="AB482" s="40" t="s">
        <v>115</v>
      </c>
      <c r="AC482" s="40" t="s">
        <v>115</v>
      </c>
      <c r="AI482" s="40" t="s">
        <v>115</v>
      </c>
      <c r="AP482" s="40" t="s">
        <v>115</v>
      </c>
    </row>
    <row r="483" spans="1:45" x14ac:dyDescent="0.15">
      <c r="A483" s="40" t="s">
        <v>1</v>
      </c>
      <c r="B483" s="23">
        <v>90050419</v>
      </c>
      <c r="C483" s="23">
        <v>504</v>
      </c>
      <c r="D483" s="23">
        <v>5</v>
      </c>
      <c r="F483" s="23" t="s">
        <v>116</v>
      </c>
      <c r="G483" s="23">
        <v>275</v>
      </c>
      <c r="H483" s="23" t="s">
        <v>2244</v>
      </c>
      <c r="I483" s="23">
        <v>2</v>
      </c>
      <c r="J483" s="40">
        <v>0</v>
      </c>
      <c r="K483" s="40">
        <v>5</v>
      </c>
      <c r="L483" s="40" t="s">
        <v>115</v>
      </c>
      <c r="O483" s="40">
        <v>1</v>
      </c>
      <c r="Q483" s="40">
        <v>206</v>
      </c>
      <c r="R483" s="40" t="s">
        <v>115</v>
      </c>
      <c r="X483" s="40" t="s">
        <v>115</v>
      </c>
      <c r="Y483" s="40" t="s">
        <v>115</v>
      </c>
      <c r="Z483" s="40">
        <v>4</v>
      </c>
      <c r="AA483" s="40" t="s">
        <v>115</v>
      </c>
      <c r="AB483" s="40" t="s">
        <v>115</v>
      </c>
      <c r="AC483" s="40" t="s">
        <v>115</v>
      </c>
      <c r="AI483" s="40" t="s">
        <v>115</v>
      </c>
      <c r="AP483" s="40" t="s">
        <v>115</v>
      </c>
    </row>
    <row r="484" spans="1:45" x14ac:dyDescent="0.15">
      <c r="A484" s="40" t="s">
        <v>1</v>
      </c>
      <c r="B484" s="23" t="s">
        <v>936</v>
      </c>
      <c r="C484" s="23">
        <v>601</v>
      </c>
      <c r="D484" s="23">
        <v>6</v>
      </c>
      <c r="F484" s="23" t="s">
        <v>767</v>
      </c>
      <c r="G484" s="23" t="s">
        <v>115</v>
      </c>
      <c r="H484" s="23" t="s">
        <v>768</v>
      </c>
      <c r="I484" s="23">
        <v>1</v>
      </c>
      <c r="J484" s="40">
        <v>1</v>
      </c>
      <c r="K484" s="40">
        <v>1</v>
      </c>
      <c r="L484" s="40" t="s">
        <v>115</v>
      </c>
      <c r="O484" s="40" t="s">
        <v>115</v>
      </c>
      <c r="Q484" s="40">
        <v>175</v>
      </c>
      <c r="R484" s="40" t="s">
        <v>115</v>
      </c>
      <c r="X484" s="40">
        <v>90060102</v>
      </c>
      <c r="Y484" s="40" t="s">
        <v>115</v>
      </c>
      <c r="Z484" s="40" t="s">
        <v>115</v>
      </c>
      <c r="AA484" s="40" t="s">
        <v>115</v>
      </c>
      <c r="AB484" s="40" t="s">
        <v>115</v>
      </c>
      <c r="AC484" s="40" t="s">
        <v>115</v>
      </c>
      <c r="AI484" s="40" t="s">
        <v>985</v>
      </c>
      <c r="AP484" s="40" t="s">
        <v>115</v>
      </c>
    </row>
    <row r="485" spans="1:45" x14ac:dyDescent="0.15">
      <c r="A485" s="40" t="s">
        <v>1</v>
      </c>
      <c r="B485" s="23">
        <v>90060102</v>
      </c>
      <c r="C485" s="23">
        <v>601</v>
      </c>
      <c r="D485" s="23">
        <v>6</v>
      </c>
      <c r="F485" s="23" t="s">
        <v>116</v>
      </c>
      <c r="G485" s="23">
        <v>311</v>
      </c>
      <c r="H485" s="23" t="s">
        <v>986</v>
      </c>
      <c r="I485" s="23">
        <v>0</v>
      </c>
      <c r="J485" s="40">
        <v>0</v>
      </c>
      <c r="K485" s="40">
        <v>0</v>
      </c>
      <c r="L485" s="40" t="s">
        <v>115</v>
      </c>
      <c r="O485" s="40" t="s">
        <v>115</v>
      </c>
      <c r="Q485" s="40">
        <v>175</v>
      </c>
      <c r="R485" s="40" t="s">
        <v>115</v>
      </c>
      <c r="X485" s="40">
        <v>90060103</v>
      </c>
      <c r="Y485" s="40" t="s">
        <v>115</v>
      </c>
      <c r="Z485" s="40" t="s">
        <v>115</v>
      </c>
      <c r="AA485" s="40" t="s">
        <v>115</v>
      </c>
      <c r="AB485" s="40" t="s">
        <v>115</v>
      </c>
      <c r="AC485" s="40" t="s">
        <v>115</v>
      </c>
      <c r="AI485" s="40">
        <v>302</v>
      </c>
      <c r="AP485" s="40" t="s">
        <v>115</v>
      </c>
    </row>
    <row r="486" spans="1:45" x14ac:dyDescent="0.15">
      <c r="A486" s="40" t="s">
        <v>1</v>
      </c>
      <c r="B486" s="23">
        <v>90060103</v>
      </c>
      <c r="C486" s="23">
        <v>601</v>
      </c>
      <c r="D486" s="23">
        <v>6</v>
      </c>
      <c r="F486" s="23" t="s">
        <v>116</v>
      </c>
      <c r="G486" s="23">
        <v>311</v>
      </c>
      <c r="H486" s="23" t="s">
        <v>987</v>
      </c>
      <c r="I486" s="23">
        <v>2</v>
      </c>
      <c r="J486" s="40">
        <v>0</v>
      </c>
      <c r="K486" s="40">
        <v>0</v>
      </c>
      <c r="L486" s="40" t="s">
        <v>115</v>
      </c>
      <c r="O486" s="40" t="s">
        <v>115</v>
      </c>
      <c r="Q486" s="40">
        <v>175</v>
      </c>
      <c r="R486" s="40" t="s">
        <v>115</v>
      </c>
      <c r="X486" s="40">
        <v>90060104</v>
      </c>
      <c r="Y486" s="40" t="s">
        <v>115</v>
      </c>
      <c r="Z486" s="40" t="s">
        <v>115</v>
      </c>
      <c r="AA486" s="40" t="s">
        <v>115</v>
      </c>
      <c r="AB486" s="40" t="s">
        <v>115</v>
      </c>
      <c r="AC486" s="40" t="s">
        <v>115</v>
      </c>
      <c r="AI486" s="40">
        <v>302</v>
      </c>
      <c r="AP486" s="40" t="s">
        <v>115</v>
      </c>
    </row>
    <row r="487" spans="1:45" x14ac:dyDescent="0.15">
      <c r="A487" s="40" t="s">
        <v>1</v>
      </c>
      <c r="B487" s="23">
        <v>90060104</v>
      </c>
      <c r="C487" s="23">
        <v>601</v>
      </c>
      <c r="D487" s="23">
        <v>6</v>
      </c>
      <c r="F487" s="23" t="s">
        <v>115</v>
      </c>
      <c r="G487" s="23" t="s">
        <v>115</v>
      </c>
      <c r="H487" s="23" t="s">
        <v>988</v>
      </c>
      <c r="I487" s="23">
        <v>4</v>
      </c>
      <c r="J487" s="40">
        <v>0</v>
      </c>
      <c r="K487" s="40">
        <v>0</v>
      </c>
      <c r="L487" s="40" t="s">
        <v>115</v>
      </c>
      <c r="O487" s="40" t="s">
        <v>115</v>
      </c>
      <c r="Q487" s="40">
        <v>175</v>
      </c>
      <c r="R487" s="40" t="s">
        <v>115</v>
      </c>
      <c r="X487" s="40">
        <v>90060105</v>
      </c>
      <c r="Y487" s="40" t="s">
        <v>115</v>
      </c>
      <c r="Z487" s="40" t="s">
        <v>115</v>
      </c>
      <c r="AA487" s="40" t="s">
        <v>115</v>
      </c>
      <c r="AB487" s="40" t="s">
        <v>115</v>
      </c>
      <c r="AC487" s="40" t="s">
        <v>115</v>
      </c>
      <c r="AI487" s="40">
        <v>302</v>
      </c>
      <c r="AP487" s="40" t="s">
        <v>115</v>
      </c>
    </row>
    <row r="488" spans="1:45" s="60" customFormat="1" x14ac:dyDescent="0.15">
      <c r="A488" s="57" t="s">
        <v>1</v>
      </c>
      <c r="B488" s="58">
        <v>90060105</v>
      </c>
      <c r="C488" s="58">
        <v>601</v>
      </c>
      <c r="D488" s="58">
        <v>6</v>
      </c>
      <c r="E488" s="58"/>
      <c r="F488" s="58" t="s">
        <v>116</v>
      </c>
      <c r="G488" s="58">
        <v>313</v>
      </c>
      <c r="H488" s="58" t="s">
        <v>989</v>
      </c>
      <c r="I488" s="58">
        <v>0</v>
      </c>
      <c r="J488" s="57">
        <v>0</v>
      </c>
      <c r="K488" s="57">
        <v>0</v>
      </c>
      <c r="L488" s="57" t="s">
        <v>115</v>
      </c>
      <c r="M488" s="59"/>
      <c r="N488" s="57"/>
      <c r="O488" s="57" t="s">
        <v>115</v>
      </c>
      <c r="P488" s="58"/>
      <c r="Q488" s="57">
        <v>175</v>
      </c>
      <c r="R488" s="57" t="s">
        <v>115</v>
      </c>
      <c r="S488" s="57"/>
      <c r="T488" s="57"/>
      <c r="U488" s="57"/>
      <c r="V488" s="57"/>
      <c r="W488" s="57"/>
      <c r="X488" s="57">
        <v>90060106</v>
      </c>
      <c r="Y488" s="57" t="s">
        <v>115</v>
      </c>
      <c r="Z488" s="57" t="s">
        <v>115</v>
      </c>
      <c r="AA488" s="57" t="s">
        <v>115</v>
      </c>
      <c r="AB488" s="57" t="s">
        <v>115</v>
      </c>
      <c r="AC488" s="57" t="s">
        <v>115</v>
      </c>
      <c r="AD488" s="57"/>
      <c r="AE488" s="57"/>
      <c r="AF488" s="57"/>
      <c r="AG488" s="57"/>
      <c r="AH488" s="57"/>
      <c r="AI488" s="57">
        <v>302</v>
      </c>
      <c r="AJ488" s="57"/>
      <c r="AK488" s="57"/>
      <c r="AL488" s="57"/>
      <c r="AM488" s="57"/>
      <c r="AN488" s="57"/>
      <c r="AO488" s="57"/>
      <c r="AP488" s="60" t="s">
        <v>115</v>
      </c>
      <c r="AR488" s="4"/>
      <c r="AS488" s="4"/>
    </row>
    <row r="489" spans="1:45" s="60" customFormat="1" x14ac:dyDescent="0.15">
      <c r="A489" s="57" t="s">
        <v>1</v>
      </c>
      <c r="B489" s="58">
        <v>90060106</v>
      </c>
      <c r="C489" s="58">
        <v>601</v>
      </c>
      <c r="D489" s="58">
        <v>6</v>
      </c>
      <c r="E489" s="58"/>
      <c r="F489" s="58" t="s">
        <v>767</v>
      </c>
      <c r="G489" s="58" t="s">
        <v>115</v>
      </c>
      <c r="H489" s="58" t="s">
        <v>990</v>
      </c>
      <c r="I489" s="58">
        <v>1</v>
      </c>
      <c r="J489" s="57">
        <v>0</v>
      </c>
      <c r="K489" s="57">
        <v>0</v>
      </c>
      <c r="L489" s="57" t="s">
        <v>115</v>
      </c>
      <c r="M489" s="59"/>
      <c r="N489" s="57"/>
      <c r="O489" s="57" t="s">
        <v>115</v>
      </c>
      <c r="P489" s="58"/>
      <c r="Q489" s="57">
        <v>175</v>
      </c>
      <c r="R489" s="57" t="s">
        <v>115</v>
      </c>
      <c r="S489" s="57"/>
      <c r="T489" s="57"/>
      <c r="U489" s="57"/>
      <c r="V489" s="57"/>
      <c r="W489" s="57"/>
      <c r="X489" s="57">
        <v>90060107</v>
      </c>
      <c r="Y489" s="57" t="s">
        <v>115</v>
      </c>
      <c r="Z489" s="57" t="s">
        <v>115</v>
      </c>
      <c r="AA489" s="57" t="s">
        <v>115</v>
      </c>
      <c r="AB489" s="57" t="s">
        <v>115</v>
      </c>
      <c r="AC489" s="57" t="s">
        <v>115</v>
      </c>
      <c r="AD489" s="57"/>
      <c r="AE489" s="57"/>
      <c r="AF489" s="57"/>
      <c r="AG489" s="57"/>
      <c r="AH489" s="57"/>
      <c r="AI489" s="57" t="s">
        <v>991</v>
      </c>
      <c r="AJ489" s="57"/>
      <c r="AK489" s="57"/>
      <c r="AL489" s="57"/>
      <c r="AM489" s="57"/>
      <c r="AN489" s="57"/>
      <c r="AO489" s="57"/>
      <c r="AP489" s="60" t="s">
        <v>115</v>
      </c>
      <c r="AR489" s="4"/>
      <c r="AS489" s="4"/>
    </row>
    <row r="490" spans="1:45" s="60" customFormat="1" x14ac:dyDescent="0.15">
      <c r="A490" s="57" t="s">
        <v>1</v>
      </c>
      <c r="B490" s="58">
        <v>90060107</v>
      </c>
      <c r="C490" s="58">
        <v>601</v>
      </c>
      <c r="D490" s="58">
        <v>6</v>
      </c>
      <c r="E490" s="58"/>
      <c r="F490" s="58" t="s">
        <v>116</v>
      </c>
      <c r="G490" s="58">
        <v>312</v>
      </c>
      <c r="H490" s="58" t="s">
        <v>992</v>
      </c>
      <c r="I490" s="58">
        <v>0</v>
      </c>
      <c r="J490" s="57">
        <v>0</v>
      </c>
      <c r="K490" s="57">
        <v>0</v>
      </c>
      <c r="L490" s="57" t="s">
        <v>115</v>
      </c>
      <c r="M490" s="59"/>
      <c r="N490" s="57"/>
      <c r="O490" s="57" t="s">
        <v>115</v>
      </c>
      <c r="P490" s="58"/>
      <c r="Q490" s="57">
        <v>175</v>
      </c>
      <c r="R490" s="57" t="s">
        <v>115</v>
      </c>
      <c r="S490" s="57"/>
      <c r="T490" s="57"/>
      <c r="U490" s="57"/>
      <c r="V490" s="57"/>
      <c r="W490" s="57"/>
      <c r="X490" s="57">
        <v>90060108</v>
      </c>
      <c r="Y490" s="57" t="s">
        <v>115</v>
      </c>
      <c r="Z490" s="57" t="s">
        <v>115</v>
      </c>
      <c r="AA490" s="57" t="s">
        <v>115</v>
      </c>
      <c r="AB490" s="57" t="s">
        <v>115</v>
      </c>
      <c r="AC490" s="57" t="s">
        <v>115</v>
      </c>
      <c r="AD490" s="57"/>
      <c r="AE490" s="57"/>
      <c r="AF490" s="57"/>
      <c r="AG490" s="57"/>
      <c r="AH490" s="57"/>
      <c r="AI490" s="57">
        <v>304</v>
      </c>
      <c r="AJ490" s="57"/>
      <c r="AK490" s="57"/>
      <c r="AL490" s="57"/>
      <c r="AM490" s="57"/>
      <c r="AN490" s="57"/>
      <c r="AO490" s="57"/>
      <c r="AP490" s="60" t="s">
        <v>115</v>
      </c>
      <c r="AR490" s="4"/>
      <c r="AS490" s="4"/>
    </row>
    <row r="491" spans="1:45" s="60" customFormat="1" x14ac:dyDescent="0.15">
      <c r="A491" s="57" t="s">
        <v>1</v>
      </c>
      <c r="B491" s="58">
        <v>90060108</v>
      </c>
      <c r="C491" s="58">
        <v>601</v>
      </c>
      <c r="D491" s="58">
        <v>6</v>
      </c>
      <c r="E491" s="58"/>
      <c r="F491" s="58" t="s">
        <v>767</v>
      </c>
      <c r="G491" s="58" t="s">
        <v>115</v>
      </c>
      <c r="H491" s="58" t="s">
        <v>1867</v>
      </c>
      <c r="I491" s="58">
        <v>1</v>
      </c>
      <c r="J491" s="57">
        <v>0</v>
      </c>
      <c r="K491" s="57">
        <v>0</v>
      </c>
      <c r="L491" s="57" t="s">
        <v>115</v>
      </c>
      <c r="M491" s="59"/>
      <c r="N491" s="57"/>
      <c r="O491" s="57" t="s">
        <v>115</v>
      </c>
      <c r="P491" s="58"/>
      <c r="Q491" s="57">
        <v>175</v>
      </c>
      <c r="R491" s="57" t="s">
        <v>115</v>
      </c>
      <c r="S491" s="57"/>
      <c r="T491" s="57"/>
      <c r="U491" s="57"/>
      <c r="V491" s="57"/>
      <c r="W491" s="57"/>
      <c r="X491" s="57">
        <v>90060109</v>
      </c>
      <c r="Y491" s="57" t="s">
        <v>115</v>
      </c>
      <c r="Z491" s="57" t="s">
        <v>115</v>
      </c>
      <c r="AA491" s="57" t="s">
        <v>115</v>
      </c>
      <c r="AB491" s="57" t="s">
        <v>115</v>
      </c>
      <c r="AC491" s="57" t="s">
        <v>115</v>
      </c>
      <c r="AD491" s="57"/>
      <c r="AE491" s="57"/>
      <c r="AF491" s="57"/>
      <c r="AG491" s="57"/>
      <c r="AH491" s="57"/>
      <c r="AI491" s="57" t="s">
        <v>991</v>
      </c>
      <c r="AJ491" s="57"/>
      <c r="AK491" s="57"/>
      <c r="AL491" s="57"/>
      <c r="AM491" s="57"/>
      <c r="AN491" s="57"/>
      <c r="AO491" s="57"/>
      <c r="AP491" s="60" t="s">
        <v>115</v>
      </c>
      <c r="AR491" s="4"/>
      <c r="AS491" s="4"/>
    </row>
    <row r="492" spans="1:45" s="60" customFormat="1" x14ac:dyDescent="0.15">
      <c r="A492" s="57" t="s">
        <v>1</v>
      </c>
      <c r="B492" s="58">
        <v>90060109</v>
      </c>
      <c r="C492" s="58">
        <v>601</v>
      </c>
      <c r="D492" s="58">
        <v>6</v>
      </c>
      <c r="E492" s="58"/>
      <c r="F492" s="58" t="s">
        <v>767</v>
      </c>
      <c r="G492" s="58" t="s">
        <v>115</v>
      </c>
      <c r="H492" s="58" t="s">
        <v>993</v>
      </c>
      <c r="I492" s="58">
        <v>1</v>
      </c>
      <c r="J492" s="57">
        <v>0</v>
      </c>
      <c r="K492" s="57">
        <v>0</v>
      </c>
      <c r="L492" s="57" t="s">
        <v>115</v>
      </c>
      <c r="M492" s="59"/>
      <c r="N492" s="57"/>
      <c r="O492" s="57" t="s">
        <v>115</v>
      </c>
      <c r="P492" s="58"/>
      <c r="Q492" s="57">
        <v>175</v>
      </c>
      <c r="R492" s="57" t="s">
        <v>115</v>
      </c>
      <c r="S492" s="57"/>
      <c r="T492" s="57"/>
      <c r="U492" s="57"/>
      <c r="V492" s="57"/>
      <c r="W492" s="57"/>
      <c r="X492" s="57">
        <v>90060110</v>
      </c>
      <c r="Y492" s="57" t="s">
        <v>115</v>
      </c>
      <c r="Z492" s="57" t="s">
        <v>115</v>
      </c>
      <c r="AA492" s="57" t="s">
        <v>115</v>
      </c>
      <c r="AB492" s="57" t="s">
        <v>115</v>
      </c>
      <c r="AC492" s="57" t="s">
        <v>115</v>
      </c>
      <c r="AD492" s="57"/>
      <c r="AE492" s="57"/>
      <c r="AF492" s="57"/>
      <c r="AG492" s="57"/>
      <c r="AH492" s="57"/>
      <c r="AI492" s="57" t="s">
        <v>991</v>
      </c>
      <c r="AJ492" s="57"/>
      <c r="AK492" s="57"/>
      <c r="AL492" s="57"/>
      <c r="AM492" s="57"/>
      <c r="AN492" s="57"/>
      <c r="AO492" s="57"/>
      <c r="AP492" s="60" t="s">
        <v>115</v>
      </c>
      <c r="AR492" s="4"/>
      <c r="AS492" s="4"/>
    </row>
    <row r="493" spans="1:45" s="60" customFormat="1" x14ac:dyDescent="0.15">
      <c r="A493" s="57" t="s">
        <v>1</v>
      </c>
      <c r="B493" s="58">
        <v>90060110</v>
      </c>
      <c r="C493" s="58">
        <v>601</v>
      </c>
      <c r="D493" s="58">
        <v>6</v>
      </c>
      <c r="E493" s="58"/>
      <c r="F493" s="58" t="s">
        <v>116</v>
      </c>
      <c r="G493" s="58">
        <v>312</v>
      </c>
      <c r="H493" s="58" t="s">
        <v>994</v>
      </c>
      <c r="I493" s="58">
        <v>2</v>
      </c>
      <c r="J493" s="57">
        <v>0</v>
      </c>
      <c r="K493" s="57">
        <v>0</v>
      </c>
      <c r="L493" s="57" t="s">
        <v>115</v>
      </c>
      <c r="M493" s="59"/>
      <c r="N493" s="57"/>
      <c r="O493" s="57" t="s">
        <v>115</v>
      </c>
      <c r="P493" s="58"/>
      <c r="Q493" s="57">
        <v>175</v>
      </c>
      <c r="R493" s="57" t="s">
        <v>115</v>
      </c>
      <c r="S493" s="57"/>
      <c r="T493" s="57"/>
      <c r="U493" s="57"/>
      <c r="V493" s="57"/>
      <c r="W493" s="57"/>
      <c r="X493" s="57">
        <v>90060111</v>
      </c>
      <c r="Y493" s="57" t="s">
        <v>115</v>
      </c>
      <c r="Z493" s="57" t="s">
        <v>115</v>
      </c>
      <c r="AA493" s="57" t="s">
        <v>115</v>
      </c>
      <c r="AB493" s="57" t="s">
        <v>115</v>
      </c>
      <c r="AC493" s="57" t="s">
        <v>115</v>
      </c>
      <c r="AD493" s="57"/>
      <c r="AE493" s="57"/>
      <c r="AF493" s="57"/>
      <c r="AG493" s="57"/>
      <c r="AH493" s="57"/>
      <c r="AI493" s="57">
        <v>304</v>
      </c>
      <c r="AJ493" s="57"/>
      <c r="AK493" s="57"/>
      <c r="AL493" s="57"/>
      <c r="AM493" s="57"/>
      <c r="AN493" s="57"/>
      <c r="AO493" s="57"/>
      <c r="AP493" s="60" t="s">
        <v>115</v>
      </c>
      <c r="AR493" s="4"/>
      <c r="AS493" s="4"/>
    </row>
    <row r="494" spans="1:45" s="60" customFormat="1" x14ac:dyDescent="0.15">
      <c r="A494" s="57" t="s">
        <v>1</v>
      </c>
      <c r="B494" s="58">
        <v>90060111</v>
      </c>
      <c r="C494" s="58">
        <v>601</v>
      </c>
      <c r="D494" s="58">
        <v>6</v>
      </c>
      <c r="E494" s="58"/>
      <c r="F494" s="58" t="s">
        <v>767</v>
      </c>
      <c r="G494" s="58" t="s">
        <v>115</v>
      </c>
      <c r="H494" s="58" t="s">
        <v>995</v>
      </c>
      <c r="I494" s="58">
        <v>1</v>
      </c>
      <c r="J494" s="57">
        <v>0</v>
      </c>
      <c r="K494" s="57">
        <v>0</v>
      </c>
      <c r="L494" s="57" t="s">
        <v>115</v>
      </c>
      <c r="M494" s="59"/>
      <c r="N494" s="57"/>
      <c r="O494" s="57" t="s">
        <v>115</v>
      </c>
      <c r="P494" s="58"/>
      <c r="Q494" s="57">
        <v>175</v>
      </c>
      <c r="R494" s="57" t="s">
        <v>115</v>
      </c>
      <c r="S494" s="57"/>
      <c r="T494" s="57"/>
      <c r="U494" s="57"/>
      <c r="V494" s="57"/>
      <c r="W494" s="57"/>
      <c r="X494" s="57">
        <v>90060112</v>
      </c>
      <c r="Y494" s="57" t="s">
        <v>115</v>
      </c>
      <c r="Z494" s="57" t="s">
        <v>115</v>
      </c>
      <c r="AA494" s="57" t="s">
        <v>115</v>
      </c>
      <c r="AB494" s="57" t="s">
        <v>115</v>
      </c>
      <c r="AC494" s="57" t="s">
        <v>115</v>
      </c>
      <c r="AD494" s="57"/>
      <c r="AE494" s="57"/>
      <c r="AF494" s="57"/>
      <c r="AG494" s="57"/>
      <c r="AH494" s="57"/>
      <c r="AI494" s="57">
        <v>304</v>
      </c>
      <c r="AJ494" s="57"/>
      <c r="AK494" s="57"/>
      <c r="AL494" s="57"/>
      <c r="AM494" s="57"/>
      <c r="AN494" s="57"/>
      <c r="AO494" s="57"/>
      <c r="AP494" s="60" t="s">
        <v>115</v>
      </c>
      <c r="AR494" s="4"/>
      <c r="AS494" s="4"/>
    </row>
    <row r="495" spans="1:45" s="60" customFormat="1" x14ac:dyDescent="0.15">
      <c r="A495" s="57" t="s">
        <v>1</v>
      </c>
      <c r="B495" s="58">
        <v>90060112</v>
      </c>
      <c r="C495" s="58">
        <v>601</v>
      </c>
      <c r="D495" s="58">
        <v>6</v>
      </c>
      <c r="E495" s="58"/>
      <c r="F495" s="58" t="s">
        <v>115</v>
      </c>
      <c r="G495" s="58" t="s">
        <v>115</v>
      </c>
      <c r="H495" s="58" t="s">
        <v>2245</v>
      </c>
      <c r="I495" s="58">
        <v>4</v>
      </c>
      <c r="J495" s="57">
        <v>0</v>
      </c>
      <c r="K495" s="57">
        <v>2</v>
      </c>
      <c r="L495" s="57" t="s">
        <v>733</v>
      </c>
      <c r="M495" s="59"/>
      <c r="N495" s="57"/>
      <c r="O495" s="57" t="s">
        <v>115</v>
      </c>
      <c r="P495" s="58"/>
      <c r="Q495" s="57">
        <v>175</v>
      </c>
      <c r="R495" s="57" t="s">
        <v>115</v>
      </c>
      <c r="S495" s="57"/>
      <c r="T495" s="57"/>
      <c r="U495" s="57"/>
      <c r="V495" s="57"/>
      <c r="W495" s="57"/>
      <c r="X495" s="57">
        <v>90060113</v>
      </c>
      <c r="Y495" s="57" t="s">
        <v>115</v>
      </c>
      <c r="Z495" s="57">
        <v>1</v>
      </c>
      <c r="AA495" s="57" t="s">
        <v>115</v>
      </c>
      <c r="AB495" s="57" t="s">
        <v>115</v>
      </c>
      <c r="AC495" s="57" t="s">
        <v>115</v>
      </c>
      <c r="AD495" s="57"/>
      <c r="AE495" s="57"/>
      <c r="AF495" s="57"/>
      <c r="AG495" s="57"/>
      <c r="AH495" s="57"/>
      <c r="AI495" s="57">
        <v>304</v>
      </c>
      <c r="AJ495" s="57"/>
      <c r="AK495" s="57"/>
      <c r="AL495" s="57"/>
      <c r="AM495" s="57"/>
      <c r="AN495" s="57"/>
      <c r="AO495" s="57"/>
      <c r="AP495" s="60" t="s">
        <v>115</v>
      </c>
      <c r="AR495" s="4"/>
      <c r="AS495" s="4"/>
    </row>
    <row r="496" spans="1:45" s="60" customFormat="1" x14ac:dyDescent="0.15">
      <c r="A496" s="57" t="s">
        <v>1</v>
      </c>
      <c r="B496" s="58">
        <v>90060113</v>
      </c>
      <c r="C496" s="58">
        <v>601</v>
      </c>
      <c r="D496" s="58">
        <v>6</v>
      </c>
      <c r="E496" s="58"/>
      <c r="F496" s="58" t="s">
        <v>116</v>
      </c>
      <c r="G496" s="58">
        <v>313</v>
      </c>
      <c r="H496" s="58" t="s">
        <v>996</v>
      </c>
      <c r="I496" s="58">
        <v>2</v>
      </c>
      <c r="J496" s="57">
        <v>0</v>
      </c>
      <c r="K496" s="57">
        <v>0</v>
      </c>
      <c r="L496" s="57" t="s">
        <v>115</v>
      </c>
      <c r="M496" s="59"/>
      <c r="N496" s="57"/>
      <c r="O496" s="57" t="s">
        <v>115</v>
      </c>
      <c r="P496" s="58"/>
      <c r="Q496" s="57">
        <v>175</v>
      </c>
      <c r="R496" s="57" t="s">
        <v>115</v>
      </c>
      <c r="S496" s="57"/>
      <c r="T496" s="57"/>
      <c r="U496" s="57"/>
      <c r="V496" s="57"/>
      <c r="W496" s="57"/>
      <c r="X496" s="57">
        <v>90060114</v>
      </c>
      <c r="Y496" s="57" t="s">
        <v>115</v>
      </c>
      <c r="Z496" s="57" t="s">
        <v>115</v>
      </c>
      <c r="AA496" s="57" t="s">
        <v>115</v>
      </c>
      <c r="AB496" s="57" t="s">
        <v>115</v>
      </c>
      <c r="AC496" s="57" t="s">
        <v>115</v>
      </c>
      <c r="AD496" s="57"/>
      <c r="AE496" s="57"/>
      <c r="AF496" s="57"/>
      <c r="AG496" s="57"/>
      <c r="AH496" s="57"/>
      <c r="AI496" s="57" t="s">
        <v>115</v>
      </c>
      <c r="AJ496" s="57"/>
      <c r="AK496" s="57"/>
      <c r="AL496" s="57"/>
      <c r="AM496" s="57"/>
      <c r="AN496" s="57"/>
      <c r="AO496" s="57"/>
      <c r="AP496" s="60" t="s">
        <v>115</v>
      </c>
      <c r="AR496" s="4"/>
      <c r="AS496" s="4"/>
    </row>
    <row r="497" spans="1:45" s="60" customFormat="1" x14ac:dyDescent="0.15">
      <c r="A497" s="57" t="s">
        <v>1</v>
      </c>
      <c r="B497" s="58">
        <v>90060114</v>
      </c>
      <c r="C497" s="58">
        <v>601</v>
      </c>
      <c r="D497" s="58">
        <v>6</v>
      </c>
      <c r="E497" s="58"/>
      <c r="F497" s="58" t="s">
        <v>116</v>
      </c>
      <c r="G497" s="58">
        <v>314</v>
      </c>
      <c r="H497" s="58" t="s">
        <v>2246</v>
      </c>
      <c r="I497" s="58">
        <v>2</v>
      </c>
      <c r="J497" s="57">
        <v>0</v>
      </c>
      <c r="K497" s="57">
        <v>0</v>
      </c>
      <c r="L497" s="57" t="s">
        <v>115</v>
      </c>
      <c r="M497" s="59"/>
      <c r="N497" s="57"/>
      <c r="O497" s="57" t="s">
        <v>115</v>
      </c>
      <c r="P497" s="58"/>
      <c r="Q497" s="57">
        <v>175</v>
      </c>
      <c r="R497" s="57" t="s">
        <v>115</v>
      </c>
      <c r="S497" s="57"/>
      <c r="T497" s="57"/>
      <c r="U497" s="57"/>
      <c r="V497" s="57"/>
      <c r="W497" s="57"/>
      <c r="X497" s="57">
        <v>90060115</v>
      </c>
      <c r="Y497" s="57" t="s">
        <v>115</v>
      </c>
      <c r="Z497" s="57" t="s">
        <v>115</v>
      </c>
      <c r="AA497" s="57" t="s">
        <v>115</v>
      </c>
      <c r="AB497" s="57" t="s">
        <v>115</v>
      </c>
      <c r="AC497" s="57" t="s">
        <v>115</v>
      </c>
      <c r="AD497" s="57"/>
      <c r="AE497" s="57"/>
      <c r="AF497" s="57"/>
      <c r="AG497" s="57"/>
      <c r="AH497" s="57"/>
      <c r="AI497" s="57" t="s">
        <v>115</v>
      </c>
      <c r="AJ497" s="57"/>
      <c r="AK497" s="57"/>
      <c r="AL497" s="57"/>
      <c r="AM497" s="57"/>
      <c r="AN497" s="57"/>
      <c r="AO497" s="57"/>
      <c r="AP497" s="60" t="s">
        <v>115</v>
      </c>
      <c r="AR497" s="4"/>
      <c r="AS497" s="4"/>
    </row>
    <row r="498" spans="1:45" s="60" customFormat="1" x14ac:dyDescent="0.15">
      <c r="A498" s="57" t="s">
        <v>1</v>
      </c>
      <c r="B498" s="58">
        <v>90060115</v>
      </c>
      <c r="C498" s="58">
        <v>601</v>
      </c>
      <c r="D498" s="58">
        <v>6</v>
      </c>
      <c r="E498" s="58"/>
      <c r="F498" s="58" t="s">
        <v>116</v>
      </c>
      <c r="G498" s="58">
        <v>313</v>
      </c>
      <c r="H498" s="58" t="s">
        <v>769</v>
      </c>
      <c r="I498" s="58">
        <v>2</v>
      </c>
      <c r="J498" s="57">
        <v>0</v>
      </c>
      <c r="K498" s="57">
        <v>3</v>
      </c>
      <c r="L498" s="57" t="s">
        <v>115</v>
      </c>
      <c r="M498" s="59"/>
      <c r="N498" s="57"/>
      <c r="O498" s="57">
        <v>1</v>
      </c>
      <c r="P498" s="58"/>
      <c r="Q498" s="57">
        <v>175</v>
      </c>
      <c r="R498" s="57" t="s">
        <v>115</v>
      </c>
      <c r="S498" s="57"/>
      <c r="T498" s="57"/>
      <c r="U498" s="57"/>
      <c r="V498" s="57"/>
      <c r="W498" s="57"/>
      <c r="X498" s="57" t="s">
        <v>115</v>
      </c>
      <c r="Y498" s="57" t="s">
        <v>115</v>
      </c>
      <c r="Z498" s="57">
        <v>2</v>
      </c>
      <c r="AA498" s="57" t="s">
        <v>115</v>
      </c>
      <c r="AB498" s="57" t="s">
        <v>115</v>
      </c>
      <c r="AC498" s="57" t="s">
        <v>115</v>
      </c>
      <c r="AD498" s="57"/>
      <c r="AE498" s="57"/>
      <c r="AF498" s="57"/>
      <c r="AG498" s="57"/>
      <c r="AH498" s="57"/>
      <c r="AI498" s="57" t="s">
        <v>115</v>
      </c>
      <c r="AJ498" s="57"/>
      <c r="AK498" s="57"/>
      <c r="AL498" s="57"/>
      <c r="AM498" s="57"/>
      <c r="AN498" s="57"/>
      <c r="AO498" s="57"/>
      <c r="AP498" s="60" t="s">
        <v>982</v>
      </c>
      <c r="AR498" s="4"/>
      <c r="AS498" s="4"/>
    </row>
    <row r="499" spans="1:45" s="60" customFormat="1" x14ac:dyDescent="0.15">
      <c r="A499" s="57" t="s">
        <v>1</v>
      </c>
      <c r="B499" s="58" t="s">
        <v>938</v>
      </c>
      <c r="C499" s="58">
        <v>602</v>
      </c>
      <c r="D499" s="58">
        <v>6</v>
      </c>
      <c r="E499" s="58"/>
      <c r="F499" s="58" t="s">
        <v>116</v>
      </c>
      <c r="G499" s="58">
        <v>310</v>
      </c>
      <c r="H499" s="58" t="s">
        <v>771</v>
      </c>
      <c r="I499" s="58">
        <v>0</v>
      </c>
      <c r="J499" s="57">
        <v>1</v>
      </c>
      <c r="K499" s="57">
        <v>1</v>
      </c>
      <c r="L499" s="57" t="s">
        <v>115</v>
      </c>
      <c r="M499" s="59"/>
      <c r="N499" s="57"/>
      <c r="O499" s="57" t="s">
        <v>115</v>
      </c>
      <c r="P499" s="58"/>
      <c r="Q499" s="57">
        <v>111</v>
      </c>
      <c r="R499" s="57" t="s">
        <v>115</v>
      </c>
      <c r="S499" s="57"/>
      <c r="T499" s="57"/>
      <c r="U499" s="57"/>
      <c r="V499" s="57"/>
      <c r="W499" s="57"/>
      <c r="X499" s="57">
        <v>90060202</v>
      </c>
      <c r="Y499" s="57" t="s">
        <v>115</v>
      </c>
      <c r="Z499" s="57" t="s">
        <v>115</v>
      </c>
      <c r="AA499" s="57" t="s">
        <v>115</v>
      </c>
      <c r="AB499" s="57" t="s">
        <v>115</v>
      </c>
      <c r="AC499" s="57" t="s">
        <v>115</v>
      </c>
      <c r="AD499" s="57"/>
      <c r="AE499" s="57"/>
      <c r="AF499" s="57"/>
      <c r="AG499" s="57"/>
      <c r="AH499" s="57"/>
      <c r="AI499" s="57" t="s">
        <v>115</v>
      </c>
      <c r="AJ499" s="57"/>
      <c r="AK499" s="57"/>
      <c r="AL499" s="57"/>
      <c r="AM499" s="57"/>
      <c r="AN499" s="57"/>
      <c r="AO499" s="57"/>
      <c r="AP499" s="60" t="s">
        <v>115</v>
      </c>
      <c r="AR499" s="4"/>
      <c r="AS499" s="4"/>
    </row>
    <row r="500" spans="1:45" s="60" customFormat="1" x14ac:dyDescent="0.15">
      <c r="A500" s="57" t="s">
        <v>1</v>
      </c>
      <c r="B500" s="58">
        <v>90060202</v>
      </c>
      <c r="C500" s="58">
        <v>602</v>
      </c>
      <c r="D500" s="58">
        <v>6</v>
      </c>
      <c r="E500" s="58"/>
      <c r="F500" s="58" t="s">
        <v>116</v>
      </c>
      <c r="G500" s="58">
        <v>312</v>
      </c>
      <c r="H500" s="58" t="s">
        <v>772</v>
      </c>
      <c r="I500" s="58">
        <v>0</v>
      </c>
      <c r="J500" s="57">
        <v>0</v>
      </c>
      <c r="K500" s="57">
        <v>0</v>
      </c>
      <c r="L500" s="57" t="s">
        <v>115</v>
      </c>
      <c r="M500" s="59"/>
      <c r="N500" s="57"/>
      <c r="O500" s="57" t="s">
        <v>115</v>
      </c>
      <c r="P500" s="58"/>
      <c r="Q500" s="57">
        <v>111</v>
      </c>
      <c r="R500" s="57" t="s">
        <v>115</v>
      </c>
      <c r="S500" s="57"/>
      <c r="T500" s="57"/>
      <c r="U500" s="57"/>
      <c r="V500" s="57"/>
      <c r="W500" s="57"/>
      <c r="X500" s="57">
        <v>90060203</v>
      </c>
      <c r="Y500" s="57" t="s">
        <v>115</v>
      </c>
      <c r="Z500" s="57" t="s">
        <v>115</v>
      </c>
      <c r="AA500" s="57" t="s">
        <v>115</v>
      </c>
      <c r="AB500" s="57" t="s">
        <v>115</v>
      </c>
      <c r="AC500" s="57" t="s">
        <v>115</v>
      </c>
      <c r="AD500" s="57"/>
      <c r="AE500" s="57"/>
      <c r="AF500" s="57"/>
      <c r="AG500" s="57"/>
      <c r="AH500" s="57"/>
      <c r="AI500" s="57" t="s">
        <v>115</v>
      </c>
      <c r="AJ500" s="57"/>
      <c r="AK500" s="57"/>
      <c r="AL500" s="57"/>
      <c r="AM500" s="57"/>
      <c r="AN500" s="57"/>
      <c r="AO500" s="57"/>
      <c r="AP500" s="60" t="s">
        <v>115</v>
      </c>
      <c r="AR500" s="4"/>
      <c r="AS500" s="4"/>
    </row>
    <row r="501" spans="1:45" s="60" customFormat="1" x14ac:dyDescent="0.15">
      <c r="A501" s="57" t="s">
        <v>1</v>
      </c>
      <c r="B501" s="58">
        <v>90060203</v>
      </c>
      <c r="C501" s="58">
        <v>602</v>
      </c>
      <c r="D501" s="58">
        <v>6</v>
      </c>
      <c r="E501" s="58"/>
      <c r="F501" s="58" t="s">
        <v>773</v>
      </c>
      <c r="G501" s="58" t="s">
        <v>115</v>
      </c>
      <c r="H501" s="58" t="s">
        <v>774</v>
      </c>
      <c r="I501" s="58">
        <v>3</v>
      </c>
      <c r="J501" s="57">
        <v>0</v>
      </c>
      <c r="K501" s="57">
        <v>0</v>
      </c>
      <c r="L501" s="57" t="s">
        <v>115</v>
      </c>
      <c r="M501" s="59"/>
      <c r="N501" s="57"/>
      <c r="O501" s="57" t="s">
        <v>115</v>
      </c>
      <c r="P501" s="58"/>
      <c r="Q501" s="57">
        <v>111</v>
      </c>
      <c r="R501" s="57">
        <v>133</v>
      </c>
      <c r="S501" s="57"/>
      <c r="T501" s="57"/>
      <c r="U501" s="57"/>
      <c r="V501" s="57"/>
      <c r="W501" s="57"/>
      <c r="X501" s="57">
        <v>90060204</v>
      </c>
      <c r="Y501" s="57" t="s">
        <v>115</v>
      </c>
      <c r="Z501" s="57" t="s">
        <v>115</v>
      </c>
      <c r="AA501" s="57" t="s">
        <v>115</v>
      </c>
      <c r="AB501" s="57" t="s">
        <v>115</v>
      </c>
      <c r="AC501" s="57" t="s">
        <v>115</v>
      </c>
      <c r="AD501" s="57"/>
      <c r="AE501" s="57"/>
      <c r="AF501" s="57"/>
      <c r="AG501" s="57"/>
      <c r="AH501" s="57"/>
      <c r="AI501" s="57" t="s">
        <v>115</v>
      </c>
      <c r="AJ501" s="57"/>
      <c r="AK501" s="57"/>
      <c r="AL501" s="57"/>
      <c r="AM501" s="57"/>
      <c r="AN501" s="57"/>
      <c r="AO501" s="57"/>
      <c r="AP501" s="60" t="s">
        <v>115</v>
      </c>
      <c r="AR501" s="4"/>
      <c r="AS501" s="4"/>
    </row>
    <row r="502" spans="1:45" s="60" customFormat="1" x14ac:dyDescent="0.15">
      <c r="A502" s="57" t="s">
        <v>1</v>
      </c>
      <c r="B502" s="58">
        <v>90060204</v>
      </c>
      <c r="C502" s="58">
        <v>602</v>
      </c>
      <c r="D502" s="58">
        <v>6</v>
      </c>
      <c r="E502" s="58"/>
      <c r="F502" s="58" t="s">
        <v>116</v>
      </c>
      <c r="G502" s="58">
        <v>312</v>
      </c>
      <c r="H502" s="58" t="s">
        <v>775</v>
      </c>
      <c r="I502" s="58">
        <v>0</v>
      </c>
      <c r="J502" s="57">
        <v>0</v>
      </c>
      <c r="K502" s="57">
        <v>0</v>
      </c>
      <c r="L502" s="57" t="s">
        <v>115</v>
      </c>
      <c r="M502" s="59"/>
      <c r="N502" s="57"/>
      <c r="O502" s="57" t="s">
        <v>115</v>
      </c>
      <c r="P502" s="58"/>
      <c r="Q502" s="57">
        <v>111</v>
      </c>
      <c r="R502" s="57">
        <v>133</v>
      </c>
      <c r="S502" s="57"/>
      <c r="T502" s="57"/>
      <c r="U502" s="57"/>
      <c r="V502" s="57"/>
      <c r="W502" s="57"/>
      <c r="X502" s="57">
        <v>90060205</v>
      </c>
      <c r="Y502" s="57" t="s">
        <v>115</v>
      </c>
      <c r="Z502" s="57" t="s">
        <v>115</v>
      </c>
      <c r="AA502" s="57" t="s">
        <v>115</v>
      </c>
      <c r="AB502" s="57" t="s">
        <v>115</v>
      </c>
      <c r="AC502" s="57" t="s">
        <v>115</v>
      </c>
      <c r="AD502" s="57"/>
      <c r="AE502" s="57"/>
      <c r="AF502" s="57"/>
      <c r="AG502" s="57"/>
      <c r="AH502" s="57"/>
      <c r="AI502" s="57" t="s">
        <v>115</v>
      </c>
      <c r="AJ502" s="57"/>
      <c r="AK502" s="57"/>
      <c r="AL502" s="57"/>
      <c r="AM502" s="57"/>
      <c r="AN502" s="57"/>
      <c r="AO502" s="57"/>
      <c r="AP502" s="60" t="s">
        <v>115</v>
      </c>
      <c r="AR502" s="4"/>
      <c r="AS502" s="4"/>
    </row>
    <row r="503" spans="1:45" s="60" customFormat="1" x14ac:dyDescent="0.15">
      <c r="A503" s="57" t="s">
        <v>1</v>
      </c>
      <c r="B503" s="58">
        <v>90060205</v>
      </c>
      <c r="C503" s="58">
        <v>602</v>
      </c>
      <c r="D503" s="58">
        <v>6</v>
      </c>
      <c r="E503" s="58"/>
      <c r="F503" s="58" t="s">
        <v>773</v>
      </c>
      <c r="G503" s="58" t="s">
        <v>115</v>
      </c>
      <c r="H503" s="58" t="s">
        <v>776</v>
      </c>
      <c r="I503" s="58">
        <v>3</v>
      </c>
      <c r="J503" s="57">
        <v>0</v>
      </c>
      <c r="K503" s="57">
        <v>0</v>
      </c>
      <c r="L503" s="57" t="s">
        <v>115</v>
      </c>
      <c r="M503" s="59"/>
      <c r="N503" s="57"/>
      <c r="O503" s="57" t="s">
        <v>115</v>
      </c>
      <c r="P503" s="58"/>
      <c r="Q503" s="57">
        <v>111</v>
      </c>
      <c r="R503" s="57">
        <v>133</v>
      </c>
      <c r="S503" s="57"/>
      <c r="T503" s="57"/>
      <c r="U503" s="57"/>
      <c r="V503" s="57"/>
      <c r="W503" s="57"/>
      <c r="X503" s="57">
        <v>90060206</v>
      </c>
      <c r="Y503" s="57" t="s">
        <v>115</v>
      </c>
      <c r="Z503" s="57" t="s">
        <v>115</v>
      </c>
      <c r="AA503" s="57" t="s">
        <v>115</v>
      </c>
      <c r="AB503" s="57" t="s">
        <v>115</v>
      </c>
      <c r="AC503" s="57" t="s">
        <v>115</v>
      </c>
      <c r="AD503" s="57"/>
      <c r="AE503" s="57"/>
      <c r="AF503" s="57"/>
      <c r="AG503" s="57"/>
      <c r="AH503" s="57"/>
      <c r="AI503" s="57" t="s">
        <v>115</v>
      </c>
      <c r="AJ503" s="57"/>
      <c r="AK503" s="57"/>
      <c r="AL503" s="57"/>
      <c r="AM503" s="57"/>
      <c r="AN503" s="57"/>
      <c r="AO503" s="57"/>
      <c r="AP503" s="60" t="s">
        <v>115</v>
      </c>
      <c r="AR503" s="4"/>
      <c r="AS503" s="4"/>
    </row>
    <row r="504" spans="1:45" s="60" customFormat="1" x14ac:dyDescent="0.15">
      <c r="A504" s="57" t="s">
        <v>1</v>
      </c>
      <c r="B504" s="58">
        <v>90060206</v>
      </c>
      <c r="C504" s="58">
        <v>602</v>
      </c>
      <c r="D504" s="58">
        <v>6</v>
      </c>
      <c r="E504" s="58"/>
      <c r="F504" s="58" t="s">
        <v>116</v>
      </c>
      <c r="G504" s="58">
        <v>312</v>
      </c>
      <c r="H504" s="58" t="s">
        <v>777</v>
      </c>
      <c r="I504" s="58">
        <v>0</v>
      </c>
      <c r="J504" s="57">
        <v>0</v>
      </c>
      <c r="K504" s="57">
        <v>0</v>
      </c>
      <c r="L504" s="57" t="s">
        <v>115</v>
      </c>
      <c r="M504" s="59"/>
      <c r="N504" s="57"/>
      <c r="O504" s="57" t="s">
        <v>115</v>
      </c>
      <c r="P504" s="58"/>
      <c r="Q504" s="57">
        <v>111</v>
      </c>
      <c r="R504" s="57">
        <v>133</v>
      </c>
      <c r="S504" s="57"/>
      <c r="T504" s="57"/>
      <c r="U504" s="57"/>
      <c r="V504" s="57"/>
      <c r="W504" s="57"/>
      <c r="X504" s="57">
        <v>90060207</v>
      </c>
      <c r="Y504" s="57" t="s">
        <v>115</v>
      </c>
      <c r="Z504" s="57" t="s">
        <v>115</v>
      </c>
      <c r="AA504" s="57" t="s">
        <v>115</v>
      </c>
      <c r="AB504" s="57" t="s">
        <v>115</v>
      </c>
      <c r="AC504" s="57" t="s">
        <v>115</v>
      </c>
      <c r="AD504" s="57"/>
      <c r="AE504" s="57"/>
      <c r="AF504" s="57"/>
      <c r="AG504" s="57"/>
      <c r="AH504" s="57"/>
      <c r="AI504" s="57" t="s">
        <v>115</v>
      </c>
      <c r="AJ504" s="57"/>
      <c r="AK504" s="57"/>
      <c r="AL504" s="57"/>
      <c r="AM504" s="57"/>
      <c r="AN504" s="57"/>
      <c r="AO504" s="57"/>
      <c r="AP504" s="60" t="s">
        <v>115</v>
      </c>
      <c r="AR504" s="4"/>
      <c r="AS504" s="4"/>
    </row>
    <row r="505" spans="1:45" s="60" customFormat="1" x14ac:dyDescent="0.15">
      <c r="A505" s="57" t="s">
        <v>1</v>
      </c>
      <c r="B505" s="58">
        <v>90060207</v>
      </c>
      <c r="C505" s="58">
        <v>602</v>
      </c>
      <c r="D505" s="58">
        <v>6</v>
      </c>
      <c r="E505" s="58"/>
      <c r="F505" s="58" t="s">
        <v>116</v>
      </c>
      <c r="G505" s="58">
        <v>312</v>
      </c>
      <c r="H505" s="58" t="s">
        <v>997</v>
      </c>
      <c r="I505" s="58">
        <v>2</v>
      </c>
      <c r="J505" s="57">
        <v>0</v>
      </c>
      <c r="K505" s="57">
        <v>0</v>
      </c>
      <c r="L505" s="57" t="s">
        <v>115</v>
      </c>
      <c r="M505" s="59"/>
      <c r="N505" s="57"/>
      <c r="O505" s="57" t="s">
        <v>115</v>
      </c>
      <c r="P505" s="58"/>
      <c r="Q505" s="57">
        <v>111</v>
      </c>
      <c r="R505" s="57">
        <v>133</v>
      </c>
      <c r="S505" s="57"/>
      <c r="T505" s="57"/>
      <c r="U505" s="57"/>
      <c r="V505" s="57"/>
      <c r="W505" s="57"/>
      <c r="X505" s="57">
        <v>90060208</v>
      </c>
      <c r="Y505" s="57" t="s">
        <v>115</v>
      </c>
      <c r="Z505" s="57" t="s">
        <v>115</v>
      </c>
      <c r="AA505" s="57" t="s">
        <v>115</v>
      </c>
      <c r="AB505" s="57" t="s">
        <v>115</v>
      </c>
      <c r="AC505" s="57" t="s">
        <v>115</v>
      </c>
      <c r="AD505" s="57"/>
      <c r="AE505" s="57"/>
      <c r="AF505" s="57"/>
      <c r="AG505" s="57"/>
      <c r="AH505" s="57"/>
      <c r="AI505" s="57" t="s">
        <v>115</v>
      </c>
      <c r="AJ505" s="57"/>
      <c r="AK505" s="57"/>
      <c r="AL505" s="57"/>
      <c r="AM505" s="57"/>
      <c r="AN505" s="57"/>
      <c r="AO505" s="57"/>
      <c r="AP505" s="60" t="s">
        <v>115</v>
      </c>
      <c r="AR505" s="4"/>
      <c r="AS505" s="4"/>
    </row>
    <row r="506" spans="1:45" s="60" customFormat="1" x14ac:dyDescent="0.15">
      <c r="A506" s="57" t="s">
        <v>1</v>
      </c>
      <c r="B506" s="58">
        <v>90060208</v>
      </c>
      <c r="C506" s="58">
        <v>602</v>
      </c>
      <c r="D506" s="58">
        <v>6</v>
      </c>
      <c r="E506" s="58"/>
      <c r="F506" s="58" t="s">
        <v>773</v>
      </c>
      <c r="G506" s="58" t="s">
        <v>115</v>
      </c>
      <c r="H506" s="58" t="s">
        <v>778</v>
      </c>
      <c r="I506" s="58">
        <v>3</v>
      </c>
      <c r="J506" s="57">
        <v>0</v>
      </c>
      <c r="K506" s="57">
        <v>0</v>
      </c>
      <c r="L506" s="57" t="s">
        <v>115</v>
      </c>
      <c r="M506" s="59"/>
      <c r="N506" s="57"/>
      <c r="O506" s="57" t="s">
        <v>115</v>
      </c>
      <c r="P506" s="58"/>
      <c r="Q506" s="57">
        <v>111</v>
      </c>
      <c r="R506" s="57">
        <v>133</v>
      </c>
      <c r="S506" s="57"/>
      <c r="T506" s="57"/>
      <c r="U506" s="57"/>
      <c r="V506" s="57"/>
      <c r="W506" s="57"/>
      <c r="X506" s="57">
        <v>90060209</v>
      </c>
      <c r="Y506" s="57" t="s">
        <v>115</v>
      </c>
      <c r="Z506" s="57" t="s">
        <v>115</v>
      </c>
      <c r="AA506" s="57" t="s">
        <v>115</v>
      </c>
      <c r="AB506" s="57" t="s">
        <v>115</v>
      </c>
      <c r="AC506" s="57" t="s">
        <v>115</v>
      </c>
      <c r="AD506" s="57"/>
      <c r="AE506" s="57"/>
      <c r="AF506" s="57"/>
      <c r="AG506" s="57"/>
      <c r="AH506" s="57"/>
      <c r="AI506" s="57" t="s">
        <v>115</v>
      </c>
      <c r="AJ506" s="57"/>
      <c r="AK506" s="57"/>
      <c r="AL506" s="57"/>
      <c r="AM506" s="57"/>
      <c r="AN506" s="57"/>
      <c r="AO506" s="57"/>
      <c r="AP506" s="60" t="s">
        <v>115</v>
      </c>
      <c r="AR506" s="4"/>
      <c r="AS506" s="4"/>
    </row>
    <row r="507" spans="1:45" s="60" customFormat="1" x14ac:dyDescent="0.15">
      <c r="A507" s="57" t="s">
        <v>1</v>
      </c>
      <c r="B507" s="58">
        <v>90060209</v>
      </c>
      <c r="C507" s="58">
        <v>602</v>
      </c>
      <c r="D507" s="58">
        <v>6</v>
      </c>
      <c r="E507" s="58"/>
      <c r="F507" s="58" t="s">
        <v>773</v>
      </c>
      <c r="G507" s="58" t="s">
        <v>115</v>
      </c>
      <c r="H507" s="58" t="s">
        <v>779</v>
      </c>
      <c r="I507" s="58">
        <v>3</v>
      </c>
      <c r="J507" s="57">
        <v>0</v>
      </c>
      <c r="K507" s="57">
        <v>0</v>
      </c>
      <c r="L507" s="57" t="s">
        <v>115</v>
      </c>
      <c r="M507" s="59"/>
      <c r="N507" s="57"/>
      <c r="O507" s="57" t="s">
        <v>115</v>
      </c>
      <c r="P507" s="58"/>
      <c r="Q507" s="57">
        <v>111</v>
      </c>
      <c r="R507" s="57">
        <v>133</v>
      </c>
      <c r="S507" s="57"/>
      <c r="T507" s="57"/>
      <c r="U507" s="57"/>
      <c r="V507" s="57"/>
      <c r="W507" s="57"/>
      <c r="X507" s="57">
        <v>90060210</v>
      </c>
      <c r="Y507" s="57" t="s">
        <v>115</v>
      </c>
      <c r="Z507" s="57" t="s">
        <v>115</v>
      </c>
      <c r="AA507" s="57" t="s">
        <v>115</v>
      </c>
      <c r="AB507" s="57" t="s">
        <v>115</v>
      </c>
      <c r="AC507" s="57" t="s">
        <v>115</v>
      </c>
      <c r="AD507" s="57"/>
      <c r="AE507" s="57"/>
      <c r="AF507" s="57"/>
      <c r="AG507" s="57"/>
      <c r="AH507" s="57"/>
      <c r="AI507" s="57" t="s">
        <v>115</v>
      </c>
      <c r="AJ507" s="57"/>
      <c r="AK507" s="57"/>
      <c r="AL507" s="57"/>
      <c r="AM507" s="57"/>
      <c r="AN507" s="57"/>
      <c r="AO507" s="57"/>
      <c r="AP507" s="60" t="s">
        <v>115</v>
      </c>
      <c r="AR507" s="4"/>
      <c r="AS507" s="4"/>
    </row>
    <row r="508" spans="1:45" s="60" customFormat="1" x14ac:dyDescent="0.15">
      <c r="A508" s="57" t="s">
        <v>1</v>
      </c>
      <c r="B508" s="58">
        <v>90060210</v>
      </c>
      <c r="C508" s="58">
        <v>602</v>
      </c>
      <c r="D508" s="58">
        <v>6</v>
      </c>
      <c r="E508" s="58"/>
      <c r="F508" s="58" t="s">
        <v>116</v>
      </c>
      <c r="G508" s="58">
        <v>312</v>
      </c>
      <c r="H508" s="58" t="s">
        <v>780</v>
      </c>
      <c r="I508" s="58">
        <v>0</v>
      </c>
      <c r="J508" s="57">
        <v>0</v>
      </c>
      <c r="K508" s="57">
        <v>0</v>
      </c>
      <c r="L508" s="57" t="s">
        <v>115</v>
      </c>
      <c r="M508" s="59"/>
      <c r="N508" s="57"/>
      <c r="O508" s="57" t="s">
        <v>115</v>
      </c>
      <c r="P508" s="58"/>
      <c r="Q508" s="57">
        <v>111</v>
      </c>
      <c r="R508" s="57">
        <v>133</v>
      </c>
      <c r="S508" s="57"/>
      <c r="T508" s="57"/>
      <c r="U508" s="57"/>
      <c r="V508" s="57"/>
      <c r="W508" s="57"/>
      <c r="X508" s="57">
        <v>90060211</v>
      </c>
      <c r="Y508" s="57" t="s">
        <v>115</v>
      </c>
      <c r="Z508" s="57" t="s">
        <v>115</v>
      </c>
      <c r="AA508" s="57" t="s">
        <v>115</v>
      </c>
      <c r="AB508" s="57" t="s">
        <v>115</v>
      </c>
      <c r="AC508" s="57" t="s">
        <v>115</v>
      </c>
      <c r="AD508" s="57"/>
      <c r="AE508" s="57"/>
      <c r="AF508" s="57"/>
      <c r="AG508" s="57"/>
      <c r="AH508" s="57"/>
      <c r="AI508" s="57" t="s">
        <v>115</v>
      </c>
      <c r="AJ508" s="57"/>
      <c r="AK508" s="57"/>
      <c r="AL508" s="57"/>
      <c r="AM508" s="57"/>
      <c r="AN508" s="57"/>
      <c r="AO508" s="57"/>
      <c r="AP508" s="60" t="s">
        <v>115</v>
      </c>
      <c r="AR508" s="4"/>
      <c r="AS508" s="4"/>
    </row>
    <row r="509" spans="1:45" s="60" customFormat="1" x14ac:dyDescent="0.15">
      <c r="A509" s="57" t="s">
        <v>1</v>
      </c>
      <c r="B509" s="58">
        <v>90060211</v>
      </c>
      <c r="C509" s="58">
        <v>602</v>
      </c>
      <c r="D509" s="58">
        <v>6</v>
      </c>
      <c r="E509" s="58"/>
      <c r="F509" s="58" t="s">
        <v>115</v>
      </c>
      <c r="G509" s="58" t="s">
        <v>115</v>
      </c>
      <c r="H509" s="58" t="s">
        <v>781</v>
      </c>
      <c r="I509" s="58">
        <v>4</v>
      </c>
      <c r="J509" s="57">
        <v>0</v>
      </c>
      <c r="K509" s="57">
        <v>2</v>
      </c>
      <c r="L509" s="57" t="s">
        <v>115</v>
      </c>
      <c r="M509" s="59"/>
      <c r="N509" s="57"/>
      <c r="O509" s="57" t="s">
        <v>115</v>
      </c>
      <c r="P509" s="58"/>
      <c r="Q509" s="57">
        <v>111</v>
      </c>
      <c r="R509" s="57" t="s">
        <v>115</v>
      </c>
      <c r="S509" s="57"/>
      <c r="T509" s="57"/>
      <c r="U509" s="57"/>
      <c r="V509" s="57"/>
      <c r="W509" s="57"/>
      <c r="X509" s="57" t="s">
        <v>2247</v>
      </c>
      <c r="Y509" s="57">
        <v>1</v>
      </c>
      <c r="Z509" s="57">
        <v>1</v>
      </c>
      <c r="AA509" s="57" t="s">
        <v>115</v>
      </c>
      <c r="AB509" s="57" t="s">
        <v>115</v>
      </c>
      <c r="AC509" s="57" t="s">
        <v>115</v>
      </c>
      <c r="AD509" s="57"/>
      <c r="AE509" s="57"/>
      <c r="AF509" s="57"/>
      <c r="AG509" s="57"/>
      <c r="AH509" s="57"/>
      <c r="AI509" s="57" t="s">
        <v>115</v>
      </c>
      <c r="AJ509" s="57"/>
      <c r="AK509" s="57"/>
      <c r="AL509" s="57"/>
      <c r="AM509" s="57"/>
      <c r="AN509" s="57"/>
      <c r="AO509" s="57"/>
      <c r="AP509" s="60" t="s">
        <v>115</v>
      </c>
      <c r="AR509" s="4"/>
      <c r="AS509" s="4"/>
    </row>
    <row r="510" spans="1:45" s="60" customFormat="1" x14ac:dyDescent="0.15">
      <c r="A510" s="57" t="s">
        <v>1</v>
      </c>
      <c r="B510" s="58">
        <v>90060212</v>
      </c>
      <c r="C510" s="58">
        <v>602</v>
      </c>
      <c r="D510" s="58">
        <v>6</v>
      </c>
      <c r="E510" s="58"/>
      <c r="F510" s="58" t="s">
        <v>115</v>
      </c>
      <c r="G510" s="58" t="s">
        <v>115</v>
      </c>
      <c r="H510" s="58" t="s">
        <v>782</v>
      </c>
      <c r="I510" s="58">
        <v>4</v>
      </c>
      <c r="J510" s="57">
        <v>0</v>
      </c>
      <c r="K510" s="57">
        <v>3</v>
      </c>
      <c r="L510" s="57" t="s">
        <v>734</v>
      </c>
      <c r="M510" s="59"/>
      <c r="N510" s="57"/>
      <c r="O510" s="57" t="s">
        <v>115</v>
      </c>
      <c r="P510" s="58"/>
      <c r="Q510" s="57">
        <v>111</v>
      </c>
      <c r="R510" s="57" t="s">
        <v>115</v>
      </c>
      <c r="S510" s="57"/>
      <c r="T510" s="57"/>
      <c r="U510" s="57"/>
      <c r="V510" s="57"/>
      <c r="W510" s="57"/>
      <c r="X510" s="57">
        <v>90060214</v>
      </c>
      <c r="Y510" s="57">
        <v>-1</v>
      </c>
      <c r="Z510" s="57">
        <v>2</v>
      </c>
      <c r="AA510" s="57" t="s">
        <v>115</v>
      </c>
      <c r="AB510" s="57" t="s">
        <v>115</v>
      </c>
      <c r="AC510" s="57" t="s">
        <v>115</v>
      </c>
      <c r="AD510" s="57"/>
      <c r="AE510" s="57"/>
      <c r="AF510" s="57"/>
      <c r="AG510" s="57"/>
      <c r="AH510" s="57"/>
      <c r="AI510" s="57" t="s">
        <v>115</v>
      </c>
      <c r="AJ510" s="57"/>
      <c r="AK510" s="57"/>
      <c r="AL510" s="57"/>
      <c r="AM510" s="57"/>
      <c r="AN510" s="57"/>
      <c r="AO510" s="57"/>
      <c r="AP510" s="60" t="s">
        <v>115</v>
      </c>
      <c r="AR510" s="4"/>
      <c r="AS510" s="4"/>
    </row>
    <row r="511" spans="1:45" s="60" customFormat="1" x14ac:dyDescent="0.15">
      <c r="A511" s="57" t="s">
        <v>1</v>
      </c>
      <c r="B511" s="58">
        <v>90060213</v>
      </c>
      <c r="C511" s="58">
        <v>602</v>
      </c>
      <c r="D511" s="58">
        <v>6</v>
      </c>
      <c r="E511" s="58"/>
      <c r="F511" s="58" t="s">
        <v>115</v>
      </c>
      <c r="G511" s="58" t="s">
        <v>115</v>
      </c>
      <c r="H511" s="58" t="s">
        <v>783</v>
      </c>
      <c r="I511" s="58">
        <v>4</v>
      </c>
      <c r="J511" s="57">
        <v>0</v>
      </c>
      <c r="K511" s="57">
        <v>4</v>
      </c>
      <c r="L511" s="57" t="s">
        <v>735</v>
      </c>
      <c r="M511" s="59"/>
      <c r="N511" s="57"/>
      <c r="O511" s="57" t="s">
        <v>115</v>
      </c>
      <c r="P511" s="58"/>
      <c r="Q511" s="57">
        <v>111</v>
      </c>
      <c r="R511" s="57" t="s">
        <v>115</v>
      </c>
      <c r="S511" s="57"/>
      <c r="T511" s="57"/>
      <c r="U511" s="57"/>
      <c r="V511" s="57"/>
      <c r="W511" s="57"/>
      <c r="X511" s="57">
        <v>90060217</v>
      </c>
      <c r="Y511" s="57">
        <v>-1</v>
      </c>
      <c r="Z511" s="57">
        <v>2</v>
      </c>
      <c r="AA511" s="57" t="s">
        <v>115</v>
      </c>
      <c r="AB511" s="57" t="s">
        <v>115</v>
      </c>
      <c r="AC511" s="57" t="s">
        <v>115</v>
      </c>
      <c r="AD511" s="57"/>
      <c r="AE511" s="57"/>
      <c r="AF511" s="57"/>
      <c r="AG511" s="57"/>
      <c r="AH511" s="57"/>
      <c r="AI511" s="57" t="s">
        <v>115</v>
      </c>
      <c r="AJ511" s="57"/>
      <c r="AK511" s="57"/>
      <c r="AL511" s="57"/>
      <c r="AM511" s="57"/>
      <c r="AN511" s="57"/>
      <c r="AO511" s="57"/>
      <c r="AP511" s="60" t="s">
        <v>115</v>
      </c>
      <c r="AR511" s="4"/>
      <c r="AS511" s="4"/>
    </row>
    <row r="512" spans="1:45" s="60" customFormat="1" x14ac:dyDescent="0.15">
      <c r="A512" s="57" t="s">
        <v>1</v>
      </c>
      <c r="B512" s="58">
        <v>90060214</v>
      </c>
      <c r="C512" s="58">
        <v>602</v>
      </c>
      <c r="D512" s="58">
        <v>6</v>
      </c>
      <c r="E512" s="58"/>
      <c r="F512" s="58" t="s">
        <v>115</v>
      </c>
      <c r="G512" s="58" t="s">
        <v>115</v>
      </c>
      <c r="H512" s="58" t="s">
        <v>784</v>
      </c>
      <c r="I512" s="58">
        <v>4</v>
      </c>
      <c r="J512" s="57">
        <v>0</v>
      </c>
      <c r="K512" s="57">
        <v>0</v>
      </c>
      <c r="L512" s="57" t="s">
        <v>115</v>
      </c>
      <c r="M512" s="59"/>
      <c r="N512" s="57"/>
      <c r="O512" s="57" t="s">
        <v>115</v>
      </c>
      <c r="P512" s="58"/>
      <c r="Q512" s="57">
        <v>111</v>
      </c>
      <c r="R512" s="57" t="s">
        <v>115</v>
      </c>
      <c r="S512" s="57"/>
      <c r="T512" s="57"/>
      <c r="U512" s="57"/>
      <c r="V512" s="57"/>
      <c r="W512" s="57"/>
      <c r="X512" s="57">
        <v>90060215</v>
      </c>
      <c r="Y512" s="57" t="s">
        <v>115</v>
      </c>
      <c r="Z512" s="57" t="s">
        <v>115</v>
      </c>
      <c r="AA512" s="57" t="s">
        <v>115</v>
      </c>
      <c r="AB512" s="57" t="s">
        <v>115</v>
      </c>
      <c r="AC512" s="57" t="s">
        <v>115</v>
      </c>
      <c r="AD512" s="57"/>
      <c r="AE512" s="57"/>
      <c r="AF512" s="57"/>
      <c r="AG512" s="57"/>
      <c r="AH512" s="57"/>
      <c r="AI512" s="57" t="s">
        <v>115</v>
      </c>
      <c r="AJ512" s="57"/>
      <c r="AK512" s="57"/>
      <c r="AL512" s="57"/>
      <c r="AM512" s="57"/>
      <c r="AN512" s="57"/>
      <c r="AO512" s="57"/>
      <c r="AP512" s="60" t="s">
        <v>115</v>
      </c>
      <c r="AR512" s="4"/>
      <c r="AS512" s="4"/>
    </row>
    <row r="513" spans="1:45" s="60" customFormat="1" x14ac:dyDescent="0.15">
      <c r="A513" s="57" t="s">
        <v>1</v>
      </c>
      <c r="B513" s="58">
        <v>90060215</v>
      </c>
      <c r="C513" s="58">
        <v>602</v>
      </c>
      <c r="D513" s="58">
        <v>6</v>
      </c>
      <c r="E513" s="58"/>
      <c r="F513" s="58" t="s">
        <v>116</v>
      </c>
      <c r="G513" s="58">
        <v>312</v>
      </c>
      <c r="H513" s="58" t="s">
        <v>2248</v>
      </c>
      <c r="I513" s="58">
        <v>2</v>
      </c>
      <c r="J513" s="57">
        <v>0</v>
      </c>
      <c r="K513" s="57">
        <v>0</v>
      </c>
      <c r="L513" s="57" t="s">
        <v>115</v>
      </c>
      <c r="M513" s="59"/>
      <c r="N513" s="57"/>
      <c r="O513" s="57" t="s">
        <v>115</v>
      </c>
      <c r="P513" s="58"/>
      <c r="Q513" s="57">
        <v>111</v>
      </c>
      <c r="R513" s="57" t="s">
        <v>115</v>
      </c>
      <c r="S513" s="57"/>
      <c r="T513" s="57"/>
      <c r="U513" s="57"/>
      <c r="V513" s="57"/>
      <c r="W513" s="57"/>
      <c r="X513" s="57">
        <v>90060216</v>
      </c>
      <c r="Y513" s="57" t="s">
        <v>115</v>
      </c>
      <c r="Z513" s="57" t="s">
        <v>115</v>
      </c>
      <c r="AA513" s="57" t="s">
        <v>115</v>
      </c>
      <c r="AB513" s="57" t="s">
        <v>115</v>
      </c>
      <c r="AC513" s="57" t="s">
        <v>115</v>
      </c>
      <c r="AD513" s="57"/>
      <c r="AE513" s="57"/>
      <c r="AF513" s="57"/>
      <c r="AG513" s="57"/>
      <c r="AH513" s="57"/>
      <c r="AI513" s="57" t="s">
        <v>115</v>
      </c>
      <c r="AJ513" s="57"/>
      <c r="AK513" s="57"/>
      <c r="AL513" s="57"/>
      <c r="AM513" s="57"/>
      <c r="AN513" s="57"/>
      <c r="AO513" s="57"/>
      <c r="AP513" s="60" t="s">
        <v>115</v>
      </c>
      <c r="AR513" s="4"/>
      <c r="AS513" s="4"/>
    </row>
    <row r="514" spans="1:45" s="60" customFormat="1" x14ac:dyDescent="0.15">
      <c r="A514" s="57" t="s">
        <v>1</v>
      </c>
      <c r="B514" s="58">
        <v>90060216</v>
      </c>
      <c r="C514" s="58">
        <v>602</v>
      </c>
      <c r="D514" s="58">
        <v>6</v>
      </c>
      <c r="E514" s="58"/>
      <c r="F514" s="58" t="s">
        <v>116</v>
      </c>
      <c r="G514" s="58">
        <v>312</v>
      </c>
      <c r="H514" s="58" t="s">
        <v>785</v>
      </c>
      <c r="I514" s="58">
        <v>2</v>
      </c>
      <c r="J514" s="57">
        <v>0</v>
      </c>
      <c r="K514" s="57">
        <v>0</v>
      </c>
      <c r="L514" s="57" t="s">
        <v>115</v>
      </c>
      <c r="M514" s="59"/>
      <c r="N514" s="57"/>
      <c r="O514" s="57" t="s">
        <v>115</v>
      </c>
      <c r="P514" s="58"/>
      <c r="Q514" s="57">
        <v>111</v>
      </c>
      <c r="R514" s="57" t="s">
        <v>115</v>
      </c>
      <c r="S514" s="57"/>
      <c r="T514" s="57"/>
      <c r="U514" s="57"/>
      <c r="V514" s="57"/>
      <c r="W514" s="57"/>
      <c r="X514" s="57">
        <v>90060211</v>
      </c>
      <c r="Y514" s="57" t="s">
        <v>115</v>
      </c>
      <c r="Z514" s="57" t="s">
        <v>115</v>
      </c>
      <c r="AA514" s="57" t="s">
        <v>115</v>
      </c>
      <c r="AB514" s="57" t="s">
        <v>115</v>
      </c>
      <c r="AC514" s="57" t="s">
        <v>115</v>
      </c>
      <c r="AD514" s="57"/>
      <c r="AE514" s="57"/>
      <c r="AF514" s="57"/>
      <c r="AG514" s="57"/>
      <c r="AH514" s="57"/>
      <c r="AI514" s="57" t="s">
        <v>115</v>
      </c>
      <c r="AJ514" s="57"/>
      <c r="AK514" s="57"/>
      <c r="AL514" s="57"/>
      <c r="AM514" s="57"/>
      <c r="AN514" s="57"/>
      <c r="AO514" s="57"/>
      <c r="AP514" s="60" t="s">
        <v>115</v>
      </c>
      <c r="AR514" s="4"/>
      <c r="AS514" s="4"/>
    </row>
    <row r="515" spans="1:45" s="60" customFormat="1" x14ac:dyDescent="0.15">
      <c r="A515" s="57" t="s">
        <v>1</v>
      </c>
      <c r="B515" s="58">
        <v>90060217</v>
      </c>
      <c r="C515" s="58">
        <v>602</v>
      </c>
      <c r="D515" s="58">
        <v>6</v>
      </c>
      <c r="E515" s="58"/>
      <c r="F515" s="58" t="s">
        <v>115</v>
      </c>
      <c r="G515" s="58" t="s">
        <v>115</v>
      </c>
      <c r="H515" s="58" t="s">
        <v>786</v>
      </c>
      <c r="I515" s="58">
        <v>4</v>
      </c>
      <c r="J515" s="57">
        <v>0</v>
      </c>
      <c r="K515" s="57">
        <v>0</v>
      </c>
      <c r="L515" s="57" t="s">
        <v>115</v>
      </c>
      <c r="M515" s="59"/>
      <c r="N515" s="57"/>
      <c r="O515" s="57" t="s">
        <v>115</v>
      </c>
      <c r="P515" s="58"/>
      <c r="Q515" s="57">
        <v>111</v>
      </c>
      <c r="R515" s="57" t="s">
        <v>115</v>
      </c>
      <c r="S515" s="57"/>
      <c r="T515" s="57"/>
      <c r="U515" s="57"/>
      <c r="V515" s="57"/>
      <c r="W515" s="57"/>
      <c r="X515" s="57">
        <v>90060218</v>
      </c>
      <c r="Y515" s="57" t="s">
        <v>115</v>
      </c>
      <c r="Z515" s="57" t="s">
        <v>115</v>
      </c>
      <c r="AA515" s="57" t="s">
        <v>115</v>
      </c>
      <c r="AB515" s="57" t="s">
        <v>115</v>
      </c>
      <c r="AC515" s="57" t="s">
        <v>115</v>
      </c>
      <c r="AD515" s="57"/>
      <c r="AE515" s="57"/>
      <c r="AF515" s="57"/>
      <c r="AG515" s="57"/>
      <c r="AH515" s="57"/>
      <c r="AI515" s="57" t="s">
        <v>115</v>
      </c>
      <c r="AJ515" s="57"/>
      <c r="AK515" s="57"/>
      <c r="AL515" s="57"/>
      <c r="AM515" s="57"/>
      <c r="AN515" s="57"/>
      <c r="AO515" s="57"/>
      <c r="AP515" s="60" t="s">
        <v>115</v>
      </c>
      <c r="AR515" s="4"/>
      <c r="AS515" s="4"/>
    </row>
    <row r="516" spans="1:45" s="60" customFormat="1" x14ac:dyDescent="0.15">
      <c r="A516" s="57" t="s">
        <v>1</v>
      </c>
      <c r="B516" s="58">
        <v>90060218</v>
      </c>
      <c r="C516" s="58">
        <v>602</v>
      </c>
      <c r="D516" s="58">
        <v>6</v>
      </c>
      <c r="E516" s="58"/>
      <c r="F516" s="58" t="s">
        <v>115</v>
      </c>
      <c r="G516" s="58" t="s">
        <v>115</v>
      </c>
      <c r="H516" s="58" t="s">
        <v>787</v>
      </c>
      <c r="I516" s="58">
        <v>4</v>
      </c>
      <c r="J516" s="57">
        <v>0</v>
      </c>
      <c r="K516" s="57">
        <v>0</v>
      </c>
      <c r="L516" s="57" t="s">
        <v>115</v>
      </c>
      <c r="M516" s="59"/>
      <c r="N516" s="57"/>
      <c r="O516" s="57" t="s">
        <v>115</v>
      </c>
      <c r="P516" s="58"/>
      <c r="Q516" s="57">
        <v>111</v>
      </c>
      <c r="R516" s="57" t="s">
        <v>115</v>
      </c>
      <c r="S516" s="57"/>
      <c r="T516" s="57"/>
      <c r="U516" s="57"/>
      <c r="V516" s="57"/>
      <c r="W516" s="57"/>
      <c r="X516" s="57">
        <v>90060219</v>
      </c>
      <c r="Y516" s="57" t="s">
        <v>115</v>
      </c>
      <c r="Z516" s="57" t="s">
        <v>115</v>
      </c>
      <c r="AA516" s="57" t="s">
        <v>115</v>
      </c>
      <c r="AB516" s="57" t="s">
        <v>115</v>
      </c>
      <c r="AC516" s="57" t="s">
        <v>115</v>
      </c>
      <c r="AD516" s="57"/>
      <c r="AE516" s="57"/>
      <c r="AF516" s="57"/>
      <c r="AG516" s="57"/>
      <c r="AH516" s="57"/>
      <c r="AI516" s="57" t="s">
        <v>115</v>
      </c>
      <c r="AJ516" s="57"/>
      <c r="AK516" s="57"/>
      <c r="AL516" s="57"/>
      <c r="AM516" s="57"/>
      <c r="AN516" s="57"/>
      <c r="AO516" s="57"/>
      <c r="AP516" s="60" t="s">
        <v>115</v>
      </c>
      <c r="AR516" s="4"/>
      <c r="AS516" s="4"/>
    </row>
    <row r="517" spans="1:45" s="60" customFormat="1" x14ac:dyDescent="0.15">
      <c r="A517" s="57" t="s">
        <v>1</v>
      </c>
      <c r="B517" s="58">
        <v>90060219</v>
      </c>
      <c r="C517" s="58">
        <v>602</v>
      </c>
      <c r="D517" s="58">
        <v>6</v>
      </c>
      <c r="E517" s="58"/>
      <c r="F517" s="58" t="s">
        <v>116</v>
      </c>
      <c r="G517" s="58">
        <v>312</v>
      </c>
      <c r="H517" s="58" t="s">
        <v>2249</v>
      </c>
      <c r="I517" s="58">
        <v>2</v>
      </c>
      <c r="J517" s="57">
        <v>0</v>
      </c>
      <c r="K517" s="57">
        <v>0</v>
      </c>
      <c r="L517" s="57" t="s">
        <v>115</v>
      </c>
      <c r="M517" s="59"/>
      <c r="N517" s="57"/>
      <c r="O517" s="57" t="s">
        <v>115</v>
      </c>
      <c r="P517" s="58"/>
      <c r="Q517" s="57">
        <v>111</v>
      </c>
      <c r="R517" s="57" t="s">
        <v>115</v>
      </c>
      <c r="S517" s="57"/>
      <c r="T517" s="57"/>
      <c r="U517" s="57"/>
      <c r="V517" s="57"/>
      <c r="W517" s="57"/>
      <c r="X517" s="57">
        <v>90060220</v>
      </c>
      <c r="Y517" s="57" t="s">
        <v>115</v>
      </c>
      <c r="Z517" s="57" t="s">
        <v>115</v>
      </c>
      <c r="AA517" s="57" t="s">
        <v>115</v>
      </c>
      <c r="AB517" s="57" t="s">
        <v>115</v>
      </c>
      <c r="AC517" s="57" t="s">
        <v>115</v>
      </c>
      <c r="AD517" s="57"/>
      <c r="AE517" s="57"/>
      <c r="AF517" s="57"/>
      <c r="AG517" s="57"/>
      <c r="AH517" s="57"/>
      <c r="AI517" s="57" t="s">
        <v>115</v>
      </c>
      <c r="AJ517" s="57"/>
      <c r="AK517" s="57"/>
      <c r="AL517" s="57"/>
      <c r="AM517" s="57"/>
      <c r="AN517" s="57"/>
      <c r="AO517" s="57"/>
      <c r="AP517" s="60" t="s">
        <v>115</v>
      </c>
      <c r="AR517" s="4"/>
      <c r="AS517" s="4"/>
    </row>
    <row r="518" spans="1:45" s="60" customFormat="1" x14ac:dyDescent="0.15">
      <c r="A518" s="57" t="s">
        <v>1</v>
      </c>
      <c r="B518" s="58">
        <v>90060220</v>
      </c>
      <c r="C518" s="58">
        <v>602</v>
      </c>
      <c r="D518" s="58">
        <v>6</v>
      </c>
      <c r="E518" s="58"/>
      <c r="F518" s="58" t="s">
        <v>116</v>
      </c>
      <c r="G518" s="58">
        <v>314</v>
      </c>
      <c r="H518" s="58" t="s">
        <v>2250</v>
      </c>
      <c r="I518" s="58">
        <v>2</v>
      </c>
      <c r="J518" s="57">
        <v>0</v>
      </c>
      <c r="K518" s="57">
        <v>0</v>
      </c>
      <c r="L518" s="57" t="s">
        <v>115</v>
      </c>
      <c r="M518" s="59"/>
      <c r="N518" s="57"/>
      <c r="O518" s="57" t="s">
        <v>115</v>
      </c>
      <c r="P518" s="58"/>
      <c r="Q518" s="57">
        <v>111</v>
      </c>
      <c r="R518" s="57" t="s">
        <v>115</v>
      </c>
      <c r="S518" s="57"/>
      <c r="T518" s="57"/>
      <c r="U518" s="57"/>
      <c r="V518" s="57"/>
      <c r="W518" s="57"/>
      <c r="X518" s="57">
        <v>90060221</v>
      </c>
      <c r="Y518" s="57" t="s">
        <v>115</v>
      </c>
      <c r="Z518" s="57" t="s">
        <v>115</v>
      </c>
      <c r="AA518" s="57" t="s">
        <v>115</v>
      </c>
      <c r="AB518" s="57" t="s">
        <v>115</v>
      </c>
      <c r="AC518" s="57" t="s">
        <v>115</v>
      </c>
      <c r="AD518" s="57"/>
      <c r="AE518" s="57"/>
      <c r="AF518" s="57"/>
      <c r="AG518" s="57"/>
      <c r="AH518" s="57"/>
      <c r="AI518" s="57" t="s">
        <v>115</v>
      </c>
      <c r="AJ518" s="57"/>
      <c r="AK518" s="57"/>
      <c r="AL518" s="57"/>
      <c r="AM518" s="57"/>
      <c r="AN518" s="57"/>
      <c r="AO518" s="57"/>
      <c r="AP518" s="60" t="s">
        <v>115</v>
      </c>
      <c r="AR518" s="4"/>
      <c r="AS518" s="4"/>
    </row>
    <row r="519" spans="1:45" s="60" customFormat="1" x14ac:dyDescent="0.15">
      <c r="A519" s="57" t="s">
        <v>1</v>
      </c>
      <c r="B519" s="58">
        <v>90060221</v>
      </c>
      <c r="C519" s="58">
        <v>602</v>
      </c>
      <c r="D519" s="58">
        <v>6</v>
      </c>
      <c r="E519" s="58"/>
      <c r="F519" s="58" t="s">
        <v>116</v>
      </c>
      <c r="G519" s="58">
        <v>312</v>
      </c>
      <c r="H519" s="58" t="s">
        <v>2251</v>
      </c>
      <c r="I519" s="58">
        <v>0</v>
      </c>
      <c r="J519" s="57">
        <v>0</v>
      </c>
      <c r="K519" s="57">
        <v>0</v>
      </c>
      <c r="L519" s="57" t="s">
        <v>115</v>
      </c>
      <c r="M519" s="59"/>
      <c r="N519" s="57"/>
      <c r="O519" s="57" t="s">
        <v>115</v>
      </c>
      <c r="P519" s="58"/>
      <c r="Q519" s="57">
        <v>111</v>
      </c>
      <c r="R519" s="57">
        <v>133</v>
      </c>
      <c r="S519" s="57"/>
      <c r="T519" s="57"/>
      <c r="U519" s="57"/>
      <c r="V519" s="57"/>
      <c r="W519" s="57"/>
      <c r="X519" s="57">
        <v>90060222</v>
      </c>
      <c r="Y519" s="57" t="s">
        <v>115</v>
      </c>
      <c r="Z519" s="57" t="s">
        <v>115</v>
      </c>
      <c r="AA519" s="57" t="s">
        <v>115</v>
      </c>
      <c r="AB519" s="57" t="s">
        <v>115</v>
      </c>
      <c r="AC519" s="57" t="s">
        <v>115</v>
      </c>
      <c r="AD519" s="57"/>
      <c r="AE519" s="57"/>
      <c r="AF519" s="57"/>
      <c r="AG519" s="57"/>
      <c r="AH519" s="57"/>
      <c r="AI519" s="57" t="s">
        <v>115</v>
      </c>
      <c r="AJ519" s="57"/>
      <c r="AK519" s="57"/>
      <c r="AL519" s="57"/>
      <c r="AM519" s="57"/>
      <c r="AN519" s="57"/>
      <c r="AO519" s="57"/>
      <c r="AP519" s="60" t="s">
        <v>115</v>
      </c>
      <c r="AR519" s="4"/>
      <c r="AS519" s="4"/>
    </row>
    <row r="520" spans="1:45" s="60" customFormat="1" x14ac:dyDescent="0.15">
      <c r="A520" s="57" t="s">
        <v>1</v>
      </c>
      <c r="B520" s="58">
        <v>90060222</v>
      </c>
      <c r="C520" s="58">
        <v>602</v>
      </c>
      <c r="D520" s="58">
        <v>6</v>
      </c>
      <c r="E520" s="58"/>
      <c r="F520" s="58" t="s">
        <v>773</v>
      </c>
      <c r="G520" s="58" t="s">
        <v>115</v>
      </c>
      <c r="H520" s="58" t="s">
        <v>2252</v>
      </c>
      <c r="I520" s="58">
        <v>3</v>
      </c>
      <c r="J520" s="57">
        <v>0</v>
      </c>
      <c r="K520" s="57">
        <v>0</v>
      </c>
      <c r="L520" s="57" t="s">
        <v>115</v>
      </c>
      <c r="M520" s="59"/>
      <c r="N520" s="57"/>
      <c r="O520" s="57" t="s">
        <v>115</v>
      </c>
      <c r="P520" s="58"/>
      <c r="Q520" s="57">
        <v>111</v>
      </c>
      <c r="R520" s="57">
        <v>133</v>
      </c>
      <c r="S520" s="57"/>
      <c r="T520" s="57"/>
      <c r="U520" s="57"/>
      <c r="V520" s="57"/>
      <c r="W520" s="57"/>
      <c r="X520" s="57">
        <v>90060223</v>
      </c>
      <c r="Y520" s="57" t="s">
        <v>115</v>
      </c>
      <c r="Z520" s="57" t="s">
        <v>115</v>
      </c>
      <c r="AA520" s="57" t="s">
        <v>115</v>
      </c>
      <c r="AB520" s="57" t="s">
        <v>115</v>
      </c>
      <c r="AC520" s="57" t="s">
        <v>115</v>
      </c>
      <c r="AD520" s="57"/>
      <c r="AE520" s="57"/>
      <c r="AF520" s="57"/>
      <c r="AG520" s="57"/>
      <c r="AH520" s="57"/>
      <c r="AI520" s="57" t="s">
        <v>115</v>
      </c>
      <c r="AJ520" s="57"/>
      <c r="AK520" s="57"/>
      <c r="AL520" s="57"/>
      <c r="AM520" s="57"/>
      <c r="AN520" s="57"/>
      <c r="AO520" s="57"/>
      <c r="AP520" s="60" t="s">
        <v>115</v>
      </c>
      <c r="AR520" s="4"/>
      <c r="AS520" s="4"/>
    </row>
    <row r="521" spans="1:45" s="60" customFormat="1" x14ac:dyDescent="0.15">
      <c r="A521" s="57" t="s">
        <v>1</v>
      </c>
      <c r="B521" s="58">
        <v>90060223</v>
      </c>
      <c r="C521" s="58">
        <v>602</v>
      </c>
      <c r="D521" s="58">
        <v>6</v>
      </c>
      <c r="E521" s="58"/>
      <c r="F521" s="58" t="s">
        <v>116</v>
      </c>
      <c r="G521" s="58">
        <v>312</v>
      </c>
      <c r="H521" s="58" t="s">
        <v>2253</v>
      </c>
      <c r="I521" s="58">
        <v>2</v>
      </c>
      <c r="J521" s="57">
        <v>0</v>
      </c>
      <c r="K521" s="57">
        <v>0</v>
      </c>
      <c r="L521" s="57" t="s">
        <v>115</v>
      </c>
      <c r="M521" s="59"/>
      <c r="N521" s="57"/>
      <c r="O521" s="57" t="s">
        <v>115</v>
      </c>
      <c r="P521" s="58"/>
      <c r="Q521" s="57">
        <v>111</v>
      </c>
      <c r="R521" s="57" t="s">
        <v>115</v>
      </c>
      <c r="S521" s="57"/>
      <c r="T521" s="57"/>
      <c r="U521" s="57"/>
      <c r="V521" s="57"/>
      <c r="W521" s="57"/>
      <c r="X521" s="57">
        <v>90060224</v>
      </c>
      <c r="Y521" s="57" t="s">
        <v>115</v>
      </c>
      <c r="Z521" s="57" t="s">
        <v>115</v>
      </c>
      <c r="AA521" s="57" t="s">
        <v>115</v>
      </c>
      <c r="AB521" s="57" t="s">
        <v>115</v>
      </c>
      <c r="AC521" s="57" t="s">
        <v>115</v>
      </c>
      <c r="AD521" s="57"/>
      <c r="AE521" s="57"/>
      <c r="AF521" s="57"/>
      <c r="AG521" s="57"/>
      <c r="AH521" s="57"/>
      <c r="AI521" s="57" t="s">
        <v>115</v>
      </c>
      <c r="AJ521" s="57"/>
      <c r="AK521" s="57"/>
      <c r="AL521" s="57"/>
      <c r="AM521" s="57"/>
      <c r="AN521" s="57"/>
      <c r="AO521" s="57"/>
      <c r="AP521" s="60" t="s">
        <v>115</v>
      </c>
      <c r="AR521" s="4"/>
      <c r="AS521" s="4"/>
    </row>
    <row r="522" spans="1:45" s="60" customFormat="1" x14ac:dyDescent="0.15">
      <c r="A522" s="57" t="s">
        <v>1</v>
      </c>
      <c r="B522" s="58">
        <v>90060224</v>
      </c>
      <c r="C522" s="58">
        <v>602</v>
      </c>
      <c r="D522" s="58">
        <v>6</v>
      </c>
      <c r="E522" s="58"/>
      <c r="F522" s="58" t="s">
        <v>116</v>
      </c>
      <c r="G522" s="58">
        <v>312</v>
      </c>
      <c r="H522" s="58" t="s">
        <v>998</v>
      </c>
      <c r="I522" s="58">
        <v>2</v>
      </c>
      <c r="J522" s="57">
        <v>0</v>
      </c>
      <c r="K522" s="57">
        <v>0</v>
      </c>
      <c r="L522" s="57" t="s">
        <v>115</v>
      </c>
      <c r="M522" s="59"/>
      <c r="N522" s="57"/>
      <c r="O522" s="57" t="s">
        <v>115</v>
      </c>
      <c r="P522" s="58"/>
      <c r="Q522" s="57">
        <v>111</v>
      </c>
      <c r="R522" s="57" t="s">
        <v>115</v>
      </c>
      <c r="S522" s="57"/>
      <c r="T522" s="57"/>
      <c r="U522" s="57"/>
      <c r="V522" s="57"/>
      <c r="W522" s="57"/>
      <c r="X522" s="57">
        <v>90060225</v>
      </c>
      <c r="Y522" s="57" t="s">
        <v>115</v>
      </c>
      <c r="Z522" s="57" t="s">
        <v>115</v>
      </c>
      <c r="AA522" s="57" t="s">
        <v>115</v>
      </c>
      <c r="AB522" s="57" t="s">
        <v>115</v>
      </c>
      <c r="AC522" s="57" t="s">
        <v>115</v>
      </c>
      <c r="AD522" s="57"/>
      <c r="AE522" s="57"/>
      <c r="AF522" s="57"/>
      <c r="AG522" s="57"/>
      <c r="AH522" s="57"/>
      <c r="AI522" s="57" t="s">
        <v>115</v>
      </c>
      <c r="AJ522" s="57"/>
      <c r="AK522" s="57"/>
      <c r="AL522" s="57"/>
      <c r="AM522" s="57"/>
      <c r="AN522" s="57"/>
      <c r="AO522" s="57"/>
      <c r="AP522" s="60" t="s">
        <v>115</v>
      </c>
      <c r="AR522" s="4"/>
      <c r="AS522" s="4"/>
    </row>
    <row r="523" spans="1:45" s="60" customFormat="1" x14ac:dyDescent="0.15">
      <c r="A523" s="57" t="s">
        <v>1</v>
      </c>
      <c r="B523" s="58">
        <v>90060225</v>
      </c>
      <c r="C523" s="58">
        <v>602</v>
      </c>
      <c r="D523" s="58">
        <v>6</v>
      </c>
      <c r="E523" s="58"/>
      <c r="F523" s="58" t="s">
        <v>116</v>
      </c>
      <c r="G523" s="58">
        <v>308</v>
      </c>
      <c r="H523" s="58" t="s">
        <v>999</v>
      </c>
      <c r="I523" s="58">
        <v>2</v>
      </c>
      <c r="J523" s="57">
        <v>0</v>
      </c>
      <c r="K523" s="57">
        <v>0</v>
      </c>
      <c r="L523" s="57" t="s">
        <v>115</v>
      </c>
      <c r="M523" s="59"/>
      <c r="N523" s="57"/>
      <c r="O523" s="57" t="s">
        <v>115</v>
      </c>
      <c r="P523" s="58"/>
      <c r="Q523" s="57">
        <v>111</v>
      </c>
      <c r="R523" s="57" t="s">
        <v>115</v>
      </c>
      <c r="S523" s="57"/>
      <c r="T523" s="57"/>
      <c r="U523" s="57"/>
      <c r="V523" s="57"/>
      <c r="W523" s="57"/>
      <c r="X523" s="57">
        <v>90060226</v>
      </c>
      <c r="Y523" s="57" t="s">
        <v>115</v>
      </c>
      <c r="Z523" s="57" t="s">
        <v>115</v>
      </c>
      <c r="AA523" s="57" t="s">
        <v>115</v>
      </c>
      <c r="AB523" s="57" t="s">
        <v>115</v>
      </c>
      <c r="AC523" s="57" t="s">
        <v>115</v>
      </c>
      <c r="AD523" s="57"/>
      <c r="AE523" s="57"/>
      <c r="AF523" s="57"/>
      <c r="AG523" s="57"/>
      <c r="AH523" s="57"/>
      <c r="AI523" s="57" t="s">
        <v>115</v>
      </c>
      <c r="AJ523" s="57"/>
      <c r="AK523" s="57"/>
      <c r="AL523" s="57"/>
      <c r="AM523" s="57"/>
      <c r="AN523" s="57"/>
      <c r="AO523" s="57"/>
      <c r="AP523" s="60" t="s">
        <v>115</v>
      </c>
      <c r="AR523" s="4"/>
      <c r="AS523" s="4"/>
    </row>
    <row r="524" spans="1:45" s="60" customFormat="1" x14ac:dyDescent="0.15">
      <c r="A524" s="57" t="s">
        <v>1</v>
      </c>
      <c r="B524" s="58">
        <v>90060226</v>
      </c>
      <c r="C524" s="58">
        <v>602</v>
      </c>
      <c r="D524" s="58">
        <v>6</v>
      </c>
      <c r="E524" s="58"/>
      <c r="F524" s="58" t="s">
        <v>116</v>
      </c>
      <c r="G524" s="58">
        <v>312</v>
      </c>
      <c r="H524" s="58" t="s">
        <v>2254</v>
      </c>
      <c r="I524" s="58">
        <v>2</v>
      </c>
      <c r="J524" s="57">
        <v>0</v>
      </c>
      <c r="K524" s="57">
        <v>5</v>
      </c>
      <c r="L524" s="57" t="s">
        <v>115</v>
      </c>
      <c r="M524" s="59"/>
      <c r="N524" s="57"/>
      <c r="O524" s="57">
        <v>1</v>
      </c>
      <c r="P524" s="58"/>
      <c r="Q524" s="57">
        <v>111</v>
      </c>
      <c r="R524" s="57" t="s">
        <v>115</v>
      </c>
      <c r="S524" s="57"/>
      <c r="T524" s="57"/>
      <c r="U524" s="57"/>
      <c r="V524" s="57"/>
      <c r="W524" s="57"/>
      <c r="X524" s="57" t="s">
        <v>115</v>
      </c>
      <c r="Y524" s="57" t="s">
        <v>115</v>
      </c>
      <c r="Z524" s="57">
        <v>4</v>
      </c>
      <c r="AA524" s="57" t="s">
        <v>115</v>
      </c>
      <c r="AB524" s="57" t="s">
        <v>115</v>
      </c>
      <c r="AC524" s="57" t="s">
        <v>115</v>
      </c>
      <c r="AD524" s="57"/>
      <c r="AE524" s="57"/>
      <c r="AF524" s="57"/>
      <c r="AG524" s="57"/>
      <c r="AH524" s="57"/>
      <c r="AI524" s="57" t="s">
        <v>115</v>
      </c>
      <c r="AJ524" s="57"/>
      <c r="AK524" s="57"/>
      <c r="AL524" s="57"/>
      <c r="AM524" s="57"/>
      <c r="AN524" s="57"/>
      <c r="AO524" s="57"/>
      <c r="AP524" s="60" t="s">
        <v>983</v>
      </c>
      <c r="AR524" s="4"/>
      <c r="AS524" s="4"/>
    </row>
    <row r="525" spans="1:45" s="60" customFormat="1" x14ac:dyDescent="0.15">
      <c r="A525" s="57" t="s">
        <v>1</v>
      </c>
      <c r="B525" s="58" t="s">
        <v>939</v>
      </c>
      <c r="C525" s="58">
        <v>603</v>
      </c>
      <c r="D525" s="58">
        <v>6</v>
      </c>
      <c r="E525" s="58"/>
      <c r="F525" s="58" t="s">
        <v>115</v>
      </c>
      <c r="G525" s="58" t="s">
        <v>115</v>
      </c>
      <c r="H525" s="58" t="s">
        <v>2255</v>
      </c>
      <c r="I525" s="58">
        <v>4</v>
      </c>
      <c r="J525" s="57">
        <v>1</v>
      </c>
      <c r="K525" s="57">
        <v>1</v>
      </c>
      <c r="L525" s="57" t="s">
        <v>115</v>
      </c>
      <c r="M525" s="59"/>
      <c r="N525" s="57"/>
      <c r="O525" s="57" t="s">
        <v>115</v>
      </c>
      <c r="P525" s="58"/>
      <c r="Q525" s="57">
        <v>198</v>
      </c>
      <c r="R525" s="57" t="s">
        <v>115</v>
      </c>
      <c r="S525" s="57"/>
      <c r="T525" s="57"/>
      <c r="U525" s="57"/>
      <c r="V525" s="57"/>
      <c r="W525" s="57"/>
      <c r="X525" s="57" t="s">
        <v>2256</v>
      </c>
      <c r="Y525" s="57">
        <v>1</v>
      </c>
      <c r="Z525" s="57" t="s">
        <v>115</v>
      </c>
      <c r="AA525" s="57" t="s">
        <v>115</v>
      </c>
      <c r="AB525" s="57" t="s">
        <v>115</v>
      </c>
      <c r="AC525" s="57" t="s">
        <v>115</v>
      </c>
      <c r="AD525" s="57"/>
      <c r="AE525" s="57"/>
      <c r="AF525" s="57"/>
      <c r="AG525" s="57"/>
      <c r="AH525" s="57"/>
      <c r="AI525" s="57" t="s">
        <v>115</v>
      </c>
      <c r="AJ525" s="57"/>
      <c r="AK525" s="57"/>
      <c r="AL525" s="57"/>
      <c r="AM525" s="57"/>
      <c r="AN525" s="57"/>
      <c r="AO525" s="57"/>
      <c r="AP525" s="60" t="s">
        <v>115</v>
      </c>
      <c r="AR525" s="4"/>
      <c r="AS525" s="4"/>
    </row>
    <row r="526" spans="1:45" s="60" customFormat="1" x14ac:dyDescent="0.15">
      <c r="A526" s="57" t="s">
        <v>1</v>
      </c>
      <c r="B526" s="58">
        <v>90060302</v>
      </c>
      <c r="C526" s="58">
        <v>603</v>
      </c>
      <c r="D526" s="58">
        <v>6</v>
      </c>
      <c r="E526" s="58"/>
      <c r="F526" s="58" t="s">
        <v>115</v>
      </c>
      <c r="G526" s="58" t="s">
        <v>115</v>
      </c>
      <c r="H526" s="58" t="s">
        <v>789</v>
      </c>
      <c r="I526" s="58">
        <v>4</v>
      </c>
      <c r="J526" s="57">
        <v>0</v>
      </c>
      <c r="K526" s="57">
        <v>2</v>
      </c>
      <c r="L526" s="57" t="s">
        <v>115</v>
      </c>
      <c r="M526" s="59"/>
      <c r="N526" s="57"/>
      <c r="O526" s="57" t="s">
        <v>115</v>
      </c>
      <c r="P526" s="58"/>
      <c r="Q526" s="57">
        <v>198</v>
      </c>
      <c r="R526" s="57" t="s">
        <v>115</v>
      </c>
      <c r="S526" s="57"/>
      <c r="T526" s="57"/>
      <c r="U526" s="57"/>
      <c r="V526" s="57"/>
      <c r="W526" s="57"/>
      <c r="X526" s="57">
        <v>90060304</v>
      </c>
      <c r="Y526" s="57">
        <v>-1</v>
      </c>
      <c r="Z526" s="57">
        <v>1</v>
      </c>
      <c r="AA526" s="57" t="s">
        <v>115</v>
      </c>
      <c r="AB526" s="57" t="s">
        <v>115</v>
      </c>
      <c r="AC526" s="57" t="s">
        <v>943</v>
      </c>
      <c r="AD526" s="57"/>
      <c r="AE526" s="57"/>
      <c r="AF526" s="57"/>
      <c r="AG526" s="57"/>
      <c r="AH526" s="57"/>
      <c r="AI526" s="57" t="s">
        <v>115</v>
      </c>
      <c r="AJ526" s="57"/>
      <c r="AK526" s="57"/>
      <c r="AL526" s="57"/>
      <c r="AM526" s="57"/>
      <c r="AN526" s="57"/>
      <c r="AO526" s="57"/>
      <c r="AP526" s="60" t="s">
        <v>115</v>
      </c>
      <c r="AR526" s="4"/>
      <c r="AS526" s="4"/>
    </row>
    <row r="527" spans="1:45" s="60" customFormat="1" x14ac:dyDescent="0.15">
      <c r="A527" s="57" t="s">
        <v>1</v>
      </c>
      <c r="B527" s="58">
        <v>90060303</v>
      </c>
      <c r="C527" s="58">
        <v>603</v>
      </c>
      <c r="D527" s="58">
        <v>6</v>
      </c>
      <c r="E527" s="58"/>
      <c r="F527" s="58" t="s">
        <v>115</v>
      </c>
      <c r="G527" s="58" t="s">
        <v>115</v>
      </c>
      <c r="H527" s="58" t="s">
        <v>791</v>
      </c>
      <c r="I527" s="58">
        <v>4</v>
      </c>
      <c r="J527" s="57">
        <v>0</v>
      </c>
      <c r="K527" s="57">
        <v>3</v>
      </c>
      <c r="L527" s="57" t="s">
        <v>115</v>
      </c>
      <c r="M527" s="59"/>
      <c r="N527" s="57"/>
      <c r="O527" s="57" t="s">
        <v>115</v>
      </c>
      <c r="P527" s="58"/>
      <c r="Q527" s="57">
        <v>198</v>
      </c>
      <c r="R527" s="57" t="s">
        <v>115</v>
      </c>
      <c r="S527" s="57"/>
      <c r="T527" s="57"/>
      <c r="U527" s="57"/>
      <c r="V527" s="57"/>
      <c r="W527" s="57"/>
      <c r="X527" s="57">
        <v>90060307</v>
      </c>
      <c r="Y527" s="57">
        <v>-1</v>
      </c>
      <c r="Z527" s="57">
        <v>1</v>
      </c>
      <c r="AA527" s="57" t="s">
        <v>570</v>
      </c>
      <c r="AB527" s="57" t="s">
        <v>115</v>
      </c>
      <c r="AC527" s="57" t="s">
        <v>115</v>
      </c>
      <c r="AD527" s="57"/>
      <c r="AE527" s="57"/>
      <c r="AF527" s="57"/>
      <c r="AG527" s="57"/>
      <c r="AH527" s="57"/>
      <c r="AI527" s="57" t="s">
        <v>115</v>
      </c>
      <c r="AJ527" s="57"/>
      <c r="AK527" s="57"/>
      <c r="AL527" s="57"/>
      <c r="AM527" s="57"/>
      <c r="AN527" s="57"/>
      <c r="AO527" s="57"/>
      <c r="AP527" s="60" t="s">
        <v>115</v>
      </c>
      <c r="AR527" s="4"/>
      <c r="AS527" s="4"/>
    </row>
    <row r="528" spans="1:45" s="60" customFormat="1" x14ac:dyDescent="0.15">
      <c r="A528" s="57" t="s">
        <v>1</v>
      </c>
      <c r="B528" s="58">
        <v>90060304</v>
      </c>
      <c r="C528" s="58">
        <v>603</v>
      </c>
      <c r="D528" s="58">
        <v>6</v>
      </c>
      <c r="E528" s="58"/>
      <c r="F528" s="58" t="s">
        <v>116</v>
      </c>
      <c r="G528" s="58">
        <v>312</v>
      </c>
      <c r="H528" s="58" t="s">
        <v>792</v>
      </c>
      <c r="I528" s="58">
        <v>0</v>
      </c>
      <c r="J528" s="57">
        <v>0</v>
      </c>
      <c r="K528" s="57">
        <v>0</v>
      </c>
      <c r="L528" s="57" t="s">
        <v>115</v>
      </c>
      <c r="M528" s="59"/>
      <c r="N528" s="57"/>
      <c r="O528" s="57" t="s">
        <v>115</v>
      </c>
      <c r="P528" s="58"/>
      <c r="Q528" s="57">
        <v>198</v>
      </c>
      <c r="R528" s="57" t="s">
        <v>115</v>
      </c>
      <c r="S528" s="57"/>
      <c r="T528" s="57"/>
      <c r="U528" s="57"/>
      <c r="V528" s="57"/>
      <c r="W528" s="57"/>
      <c r="X528" s="57">
        <v>90060305</v>
      </c>
      <c r="Y528" s="57" t="s">
        <v>115</v>
      </c>
      <c r="Z528" s="57" t="s">
        <v>115</v>
      </c>
      <c r="AA528" s="57" t="s">
        <v>115</v>
      </c>
      <c r="AB528" s="57" t="s">
        <v>115</v>
      </c>
      <c r="AC528" s="57" t="s">
        <v>115</v>
      </c>
      <c r="AD528" s="57"/>
      <c r="AE528" s="57"/>
      <c r="AF528" s="57"/>
      <c r="AG528" s="57"/>
      <c r="AH528" s="57"/>
      <c r="AI528" s="57" t="s">
        <v>115</v>
      </c>
      <c r="AJ528" s="57"/>
      <c r="AK528" s="57"/>
      <c r="AL528" s="57"/>
      <c r="AM528" s="57"/>
      <c r="AN528" s="57"/>
      <c r="AO528" s="57"/>
      <c r="AP528" s="60" t="s">
        <v>115</v>
      </c>
      <c r="AR528" s="4"/>
      <c r="AS528" s="4"/>
    </row>
    <row r="529" spans="1:45" s="60" customFormat="1" x14ac:dyDescent="0.15">
      <c r="A529" s="57" t="s">
        <v>1</v>
      </c>
      <c r="B529" s="58">
        <v>90060305</v>
      </c>
      <c r="C529" s="58">
        <v>603</v>
      </c>
      <c r="D529" s="58">
        <v>6</v>
      </c>
      <c r="E529" s="58"/>
      <c r="F529" s="58" t="s">
        <v>793</v>
      </c>
      <c r="G529" s="58" t="s">
        <v>115</v>
      </c>
      <c r="H529" s="58" t="s">
        <v>794</v>
      </c>
      <c r="I529" s="58">
        <v>3</v>
      </c>
      <c r="J529" s="57">
        <v>0</v>
      </c>
      <c r="K529" s="57">
        <v>0</v>
      </c>
      <c r="L529" s="57" t="s">
        <v>115</v>
      </c>
      <c r="M529" s="59"/>
      <c r="N529" s="57"/>
      <c r="O529" s="57" t="s">
        <v>115</v>
      </c>
      <c r="P529" s="58"/>
      <c r="Q529" s="57">
        <v>198</v>
      </c>
      <c r="R529" s="57">
        <v>156</v>
      </c>
      <c r="S529" s="57"/>
      <c r="T529" s="57"/>
      <c r="U529" s="57"/>
      <c r="V529" s="57"/>
      <c r="W529" s="57"/>
      <c r="X529" s="57">
        <v>90060306</v>
      </c>
      <c r="Y529" s="57" t="s">
        <v>115</v>
      </c>
      <c r="Z529" s="57" t="s">
        <v>115</v>
      </c>
      <c r="AA529" s="57" t="s">
        <v>115</v>
      </c>
      <c r="AB529" s="57" t="s">
        <v>115</v>
      </c>
      <c r="AC529" s="57" t="s">
        <v>115</v>
      </c>
      <c r="AD529" s="57"/>
      <c r="AE529" s="57"/>
      <c r="AF529" s="57"/>
      <c r="AG529" s="57"/>
      <c r="AH529" s="57"/>
      <c r="AI529" s="57" t="s">
        <v>115</v>
      </c>
      <c r="AJ529" s="57"/>
      <c r="AK529" s="57"/>
      <c r="AL529" s="57"/>
      <c r="AM529" s="57"/>
      <c r="AN529" s="57"/>
      <c r="AO529" s="57"/>
      <c r="AP529" s="60" t="s">
        <v>115</v>
      </c>
      <c r="AR529" s="4"/>
      <c r="AS529" s="4"/>
    </row>
    <row r="530" spans="1:45" s="60" customFormat="1" x14ac:dyDescent="0.15">
      <c r="A530" s="57" t="s">
        <v>1</v>
      </c>
      <c r="B530" s="58">
        <v>90060306</v>
      </c>
      <c r="C530" s="58">
        <v>603</v>
      </c>
      <c r="D530" s="58">
        <v>6</v>
      </c>
      <c r="E530" s="58"/>
      <c r="F530" s="58" t="s">
        <v>793</v>
      </c>
      <c r="G530" s="58" t="s">
        <v>115</v>
      </c>
      <c r="H530" s="58" t="s">
        <v>1000</v>
      </c>
      <c r="I530" s="58">
        <v>3</v>
      </c>
      <c r="J530" s="57">
        <v>0</v>
      </c>
      <c r="K530" s="57">
        <v>4</v>
      </c>
      <c r="L530" s="57" t="s">
        <v>115</v>
      </c>
      <c r="M530" s="59"/>
      <c r="N530" s="57"/>
      <c r="O530" s="57">
        <v>1</v>
      </c>
      <c r="P530" s="58"/>
      <c r="Q530" s="57">
        <v>198</v>
      </c>
      <c r="R530" s="57">
        <v>156</v>
      </c>
      <c r="S530" s="57"/>
      <c r="T530" s="57"/>
      <c r="U530" s="57"/>
      <c r="V530" s="57"/>
      <c r="W530" s="57"/>
      <c r="X530" s="57" t="s">
        <v>115</v>
      </c>
      <c r="Y530" s="57" t="s">
        <v>115</v>
      </c>
      <c r="Z530" s="57">
        <v>3</v>
      </c>
      <c r="AA530" s="57" t="s">
        <v>115</v>
      </c>
      <c r="AB530" s="57" t="s">
        <v>115</v>
      </c>
      <c r="AC530" s="57" t="s">
        <v>115</v>
      </c>
      <c r="AD530" s="57"/>
      <c r="AE530" s="57"/>
      <c r="AF530" s="57"/>
      <c r="AG530" s="57"/>
      <c r="AH530" s="57"/>
      <c r="AI530" s="57" t="s">
        <v>115</v>
      </c>
      <c r="AJ530" s="57"/>
      <c r="AK530" s="57"/>
      <c r="AL530" s="57"/>
      <c r="AM530" s="57"/>
      <c r="AN530" s="57"/>
      <c r="AO530" s="57"/>
      <c r="AP530" s="60" t="s">
        <v>2257</v>
      </c>
      <c r="AR530" s="4"/>
      <c r="AS530" s="4"/>
    </row>
    <row r="531" spans="1:45" s="60" customFormat="1" x14ac:dyDescent="0.15">
      <c r="A531" s="57" t="s">
        <v>1</v>
      </c>
      <c r="B531" s="58">
        <v>90060307</v>
      </c>
      <c r="C531" s="58">
        <v>603</v>
      </c>
      <c r="D531" s="58">
        <v>6</v>
      </c>
      <c r="E531" s="58"/>
      <c r="F531" s="58" t="s">
        <v>796</v>
      </c>
      <c r="G531" s="58" t="s">
        <v>115</v>
      </c>
      <c r="H531" s="58" t="s">
        <v>797</v>
      </c>
      <c r="I531" s="58">
        <v>3</v>
      </c>
      <c r="J531" s="57">
        <v>0</v>
      </c>
      <c r="K531" s="57">
        <v>0</v>
      </c>
      <c r="L531" s="57" t="s">
        <v>115</v>
      </c>
      <c r="M531" s="59"/>
      <c r="N531" s="57"/>
      <c r="O531" s="57" t="s">
        <v>115</v>
      </c>
      <c r="P531" s="58"/>
      <c r="Q531" s="57">
        <v>198</v>
      </c>
      <c r="R531" s="57">
        <v>290</v>
      </c>
      <c r="S531" s="57"/>
      <c r="T531" s="57"/>
      <c r="U531" s="57"/>
      <c r="V531" s="57"/>
      <c r="W531" s="57"/>
      <c r="X531" s="57">
        <v>90060308</v>
      </c>
      <c r="Y531" s="57" t="s">
        <v>115</v>
      </c>
      <c r="Z531" s="57" t="s">
        <v>115</v>
      </c>
      <c r="AA531" s="57" t="s">
        <v>115</v>
      </c>
      <c r="AB531" s="57" t="s">
        <v>115</v>
      </c>
      <c r="AC531" s="57" t="s">
        <v>115</v>
      </c>
      <c r="AD531" s="57"/>
      <c r="AE531" s="57"/>
      <c r="AF531" s="57"/>
      <c r="AG531" s="57"/>
      <c r="AH531" s="57"/>
      <c r="AI531" s="57" t="s">
        <v>115</v>
      </c>
      <c r="AJ531" s="57"/>
      <c r="AK531" s="57"/>
      <c r="AL531" s="57"/>
      <c r="AM531" s="57"/>
      <c r="AN531" s="57"/>
      <c r="AO531" s="57"/>
      <c r="AP531" s="60" t="s">
        <v>115</v>
      </c>
      <c r="AR531" s="4"/>
      <c r="AS531" s="4"/>
    </row>
    <row r="532" spans="1:45" s="60" customFormat="1" x14ac:dyDescent="0.15">
      <c r="A532" s="57" t="s">
        <v>1</v>
      </c>
      <c r="B532" s="58">
        <v>90060308</v>
      </c>
      <c r="C532" s="58">
        <v>603</v>
      </c>
      <c r="D532" s="58">
        <v>6</v>
      </c>
      <c r="E532" s="58"/>
      <c r="F532" s="58" t="s">
        <v>116</v>
      </c>
      <c r="G532" s="58">
        <v>312</v>
      </c>
      <c r="H532" s="58" t="s">
        <v>798</v>
      </c>
      <c r="I532" s="58">
        <v>0</v>
      </c>
      <c r="J532" s="57">
        <v>0</v>
      </c>
      <c r="K532" s="57">
        <v>0</v>
      </c>
      <c r="L532" s="57" t="s">
        <v>115</v>
      </c>
      <c r="M532" s="59"/>
      <c r="N532" s="57"/>
      <c r="O532" s="57" t="s">
        <v>115</v>
      </c>
      <c r="P532" s="58"/>
      <c r="Q532" s="57">
        <v>198</v>
      </c>
      <c r="R532" s="57">
        <v>290</v>
      </c>
      <c r="S532" s="57"/>
      <c r="T532" s="57"/>
      <c r="U532" s="57"/>
      <c r="V532" s="57"/>
      <c r="W532" s="57"/>
      <c r="X532" s="57">
        <v>90060309</v>
      </c>
      <c r="Y532" s="57" t="s">
        <v>115</v>
      </c>
      <c r="Z532" s="57" t="s">
        <v>115</v>
      </c>
      <c r="AA532" s="57" t="s">
        <v>115</v>
      </c>
      <c r="AB532" s="57" t="s">
        <v>115</v>
      </c>
      <c r="AC532" s="57" t="s">
        <v>115</v>
      </c>
      <c r="AD532" s="57"/>
      <c r="AE532" s="57"/>
      <c r="AF532" s="57"/>
      <c r="AG532" s="57"/>
      <c r="AH532" s="57"/>
      <c r="AI532" s="57" t="s">
        <v>115</v>
      </c>
      <c r="AJ532" s="57"/>
      <c r="AK532" s="57"/>
      <c r="AL532" s="57"/>
      <c r="AM532" s="57"/>
      <c r="AN532" s="57"/>
      <c r="AO532" s="57"/>
      <c r="AP532" s="60" t="s">
        <v>115</v>
      </c>
      <c r="AR532" s="4"/>
      <c r="AS532" s="4"/>
    </row>
    <row r="533" spans="1:45" s="60" customFormat="1" x14ac:dyDescent="0.15">
      <c r="A533" s="57" t="s">
        <v>1</v>
      </c>
      <c r="B533" s="58">
        <v>90060309</v>
      </c>
      <c r="C533" s="58">
        <v>603</v>
      </c>
      <c r="D533" s="58">
        <v>6</v>
      </c>
      <c r="E533" s="58"/>
      <c r="F533" s="58" t="s">
        <v>796</v>
      </c>
      <c r="G533" s="58" t="s">
        <v>115</v>
      </c>
      <c r="H533" s="58" t="s">
        <v>799</v>
      </c>
      <c r="I533" s="58">
        <v>3</v>
      </c>
      <c r="J533" s="57">
        <v>0</v>
      </c>
      <c r="K533" s="57">
        <v>0</v>
      </c>
      <c r="L533" s="57" t="s">
        <v>115</v>
      </c>
      <c r="M533" s="59"/>
      <c r="N533" s="57"/>
      <c r="O533" s="57" t="s">
        <v>115</v>
      </c>
      <c r="P533" s="58"/>
      <c r="Q533" s="57">
        <v>198</v>
      </c>
      <c r="R533" s="57">
        <v>290</v>
      </c>
      <c r="S533" s="57"/>
      <c r="T533" s="57"/>
      <c r="U533" s="57"/>
      <c r="V533" s="57"/>
      <c r="W533" s="57"/>
      <c r="X533" s="57">
        <v>90060310</v>
      </c>
      <c r="Y533" s="57" t="s">
        <v>115</v>
      </c>
      <c r="Z533" s="57" t="s">
        <v>115</v>
      </c>
      <c r="AA533" s="57" t="s">
        <v>115</v>
      </c>
      <c r="AB533" s="57" t="s">
        <v>115</v>
      </c>
      <c r="AC533" s="57" t="s">
        <v>115</v>
      </c>
      <c r="AD533" s="57"/>
      <c r="AE533" s="57"/>
      <c r="AF533" s="57"/>
      <c r="AG533" s="57"/>
      <c r="AH533" s="57"/>
      <c r="AI533" s="57" t="s">
        <v>115</v>
      </c>
      <c r="AJ533" s="57"/>
      <c r="AK533" s="57"/>
      <c r="AL533" s="57"/>
      <c r="AM533" s="57"/>
      <c r="AN533" s="57"/>
      <c r="AO533" s="57"/>
      <c r="AP533" s="60" t="s">
        <v>115</v>
      </c>
      <c r="AR533" s="4"/>
      <c r="AS533" s="4"/>
    </row>
    <row r="534" spans="1:45" s="60" customFormat="1" x14ac:dyDescent="0.15">
      <c r="A534" s="57" t="s">
        <v>1</v>
      </c>
      <c r="B534" s="58">
        <v>90060310</v>
      </c>
      <c r="C534" s="58">
        <v>603</v>
      </c>
      <c r="D534" s="58">
        <v>6</v>
      </c>
      <c r="E534" s="58"/>
      <c r="F534" s="58" t="s">
        <v>796</v>
      </c>
      <c r="G534" s="58" t="s">
        <v>115</v>
      </c>
      <c r="H534" s="58" t="s">
        <v>800</v>
      </c>
      <c r="I534" s="58">
        <v>3</v>
      </c>
      <c r="J534" s="57">
        <v>0</v>
      </c>
      <c r="K534" s="57">
        <v>0</v>
      </c>
      <c r="L534" s="57" t="s">
        <v>115</v>
      </c>
      <c r="M534" s="59"/>
      <c r="N534" s="57"/>
      <c r="O534" s="57" t="s">
        <v>115</v>
      </c>
      <c r="P534" s="58"/>
      <c r="Q534" s="57">
        <v>198</v>
      </c>
      <c r="R534" s="57">
        <v>290</v>
      </c>
      <c r="S534" s="57"/>
      <c r="T534" s="57"/>
      <c r="U534" s="57"/>
      <c r="V534" s="57"/>
      <c r="W534" s="57"/>
      <c r="X534" s="57">
        <v>90060311</v>
      </c>
      <c r="Y534" s="57" t="s">
        <v>115</v>
      </c>
      <c r="Z534" s="57" t="s">
        <v>115</v>
      </c>
      <c r="AA534" s="57" t="s">
        <v>115</v>
      </c>
      <c r="AB534" s="57" t="s">
        <v>115</v>
      </c>
      <c r="AC534" s="57" t="s">
        <v>115</v>
      </c>
      <c r="AD534" s="57"/>
      <c r="AE534" s="57"/>
      <c r="AF534" s="57"/>
      <c r="AG534" s="57"/>
      <c r="AH534" s="57"/>
      <c r="AI534" s="57" t="s">
        <v>115</v>
      </c>
      <c r="AJ534" s="57"/>
      <c r="AK534" s="57"/>
      <c r="AL534" s="57"/>
      <c r="AM534" s="57"/>
      <c r="AN534" s="57"/>
      <c r="AO534" s="57"/>
      <c r="AP534" s="60" t="s">
        <v>115</v>
      </c>
      <c r="AR534" s="4"/>
      <c r="AS534" s="4"/>
    </row>
    <row r="535" spans="1:45" s="60" customFormat="1" x14ac:dyDescent="0.15">
      <c r="A535" s="57" t="s">
        <v>1</v>
      </c>
      <c r="B535" s="58">
        <v>90060311</v>
      </c>
      <c r="C535" s="58">
        <v>603</v>
      </c>
      <c r="D535" s="58">
        <v>6</v>
      </c>
      <c r="E535" s="58"/>
      <c r="F535" s="58" t="s">
        <v>116</v>
      </c>
      <c r="G535" s="58">
        <v>309</v>
      </c>
      <c r="H535" s="58" t="s">
        <v>338</v>
      </c>
      <c r="I535" s="58">
        <v>0</v>
      </c>
      <c r="J535" s="57">
        <v>0</v>
      </c>
      <c r="K535" s="57">
        <v>0</v>
      </c>
      <c r="L535" s="57" t="s">
        <v>115</v>
      </c>
      <c r="M535" s="59"/>
      <c r="N535" s="57"/>
      <c r="O535" s="57" t="s">
        <v>115</v>
      </c>
      <c r="P535" s="58"/>
      <c r="Q535" s="57">
        <v>198</v>
      </c>
      <c r="R535" s="57">
        <v>290</v>
      </c>
      <c r="S535" s="57"/>
      <c r="T535" s="57"/>
      <c r="U535" s="57"/>
      <c r="V535" s="57"/>
      <c r="W535" s="57"/>
      <c r="X535" s="57">
        <v>90060312</v>
      </c>
      <c r="Y535" s="57" t="s">
        <v>115</v>
      </c>
      <c r="Z535" s="57" t="s">
        <v>115</v>
      </c>
      <c r="AA535" s="57" t="s">
        <v>115</v>
      </c>
      <c r="AB535" s="57" t="s">
        <v>115</v>
      </c>
      <c r="AC535" s="57" t="s">
        <v>115</v>
      </c>
      <c r="AD535" s="57"/>
      <c r="AE535" s="57"/>
      <c r="AF535" s="57"/>
      <c r="AG535" s="57"/>
      <c r="AH535" s="57"/>
      <c r="AI535" s="57" t="s">
        <v>115</v>
      </c>
      <c r="AJ535" s="57"/>
      <c r="AK535" s="57"/>
      <c r="AL535" s="57"/>
      <c r="AM535" s="57"/>
      <c r="AN535" s="57"/>
      <c r="AO535" s="57"/>
      <c r="AP535" s="60" t="s">
        <v>115</v>
      </c>
      <c r="AR535" s="4"/>
      <c r="AS535" s="4"/>
    </row>
    <row r="536" spans="1:45" s="60" customFormat="1" x14ac:dyDescent="0.15">
      <c r="A536" s="57" t="s">
        <v>1</v>
      </c>
      <c r="B536" s="58">
        <v>90060312</v>
      </c>
      <c r="C536" s="58">
        <v>603</v>
      </c>
      <c r="D536" s="58">
        <v>6</v>
      </c>
      <c r="E536" s="58"/>
      <c r="F536" s="58" t="s">
        <v>796</v>
      </c>
      <c r="G536" s="58" t="s">
        <v>115</v>
      </c>
      <c r="H536" s="58" t="s">
        <v>801</v>
      </c>
      <c r="I536" s="58">
        <v>3</v>
      </c>
      <c r="J536" s="57">
        <v>0</v>
      </c>
      <c r="K536" s="57">
        <v>0</v>
      </c>
      <c r="L536" s="57" t="s">
        <v>115</v>
      </c>
      <c r="M536" s="59"/>
      <c r="N536" s="57"/>
      <c r="O536" s="57" t="s">
        <v>115</v>
      </c>
      <c r="P536" s="58"/>
      <c r="Q536" s="57">
        <v>198</v>
      </c>
      <c r="R536" s="57">
        <v>290</v>
      </c>
      <c r="S536" s="57"/>
      <c r="T536" s="57"/>
      <c r="U536" s="57"/>
      <c r="V536" s="57"/>
      <c r="W536" s="57"/>
      <c r="X536" s="57">
        <v>90060313</v>
      </c>
      <c r="Y536" s="57" t="s">
        <v>115</v>
      </c>
      <c r="Z536" s="57" t="s">
        <v>115</v>
      </c>
      <c r="AA536" s="57" t="s">
        <v>115</v>
      </c>
      <c r="AB536" s="57" t="s">
        <v>115</v>
      </c>
      <c r="AC536" s="57" t="s">
        <v>115</v>
      </c>
      <c r="AD536" s="57"/>
      <c r="AE536" s="57"/>
      <c r="AF536" s="57"/>
      <c r="AG536" s="57"/>
      <c r="AH536" s="57"/>
      <c r="AI536" s="57" t="s">
        <v>115</v>
      </c>
      <c r="AJ536" s="57"/>
      <c r="AK536" s="57"/>
      <c r="AL536" s="57"/>
      <c r="AM536" s="57"/>
      <c r="AN536" s="57"/>
      <c r="AO536" s="57"/>
      <c r="AP536" s="60" t="s">
        <v>115</v>
      </c>
      <c r="AR536" s="4"/>
      <c r="AS536" s="4"/>
    </row>
    <row r="537" spans="1:45" s="60" customFormat="1" x14ac:dyDescent="0.15">
      <c r="A537" s="57" t="s">
        <v>1</v>
      </c>
      <c r="B537" s="58">
        <v>90060313</v>
      </c>
      <c r="C537" s="58">
        <v>603</v>
      </c>
      <c r="D537" s="58">
        <v>6</v>
      </c>
      <c r="E537" s="58"/>
      <c r="F537" s="58" t="s">
        <v>796</v>
      </c>
      <c r="G537" s="58" t="s">
        <v>115</v>
      </c>
      <c r="H537" s="58" t="s">
        <v>802</v>
      </c>
      <c r="I537" s="58">
        <v>3</v>
      </c>
      <c r="J537" s="57">
        <v>0</v>
      </c>
      <c r="K537" s="57">
        <v>5</v>
      </c>
      <c r="L537" s="57" t="s">
        <v>115</v>
      </c>
      <c r="M537" s="59"/>
      <c r="N537" s="57"/>
      <c r="O537" s="57">
        <v>1</v>
      </c>
      <c r="P537" s="58"/>
      <c r="Q537" s="57">
        <v>198</v>
      </c>
      <c r="R537" s="57">
        <v>290</v>
      </c>
      <c r="S537" s="57"/>
      <c r="T537" s="57"/>
      <c r="U537" s="57"/>
      <c r="V537" s="57"/>
      <c r="W537" s="57"/>
      <c r="X537" s="57" t="s">
        <v>115</v>
      </c>
      <c r="Y537" s="57" t="s">
        <v>115</v>
      </c>
      <c r="Z537" s="57">
        <v>4</v>
      </c>
      <c r="AA537" s="57" t="s">
        <v>115</v>
      </c>
      <c r="AB537" s="57" t="s">
        <v>115</v>
      </c>
      <c r="AC537" s="57" t="s">
        <v>115</v>
      </c>
      <c r="AD537" s="57"/>
      <c r="AE537" s="57"/>
      <c r="AF537" s="57"/>
      <c r="AG537" s="57"/>
      <c r="AH537" s="57"/>
      <c r="AI537" s="57" t="s">
        <v>115</v>
      </c>
      <c r="AJ537" s="57"/>
      <c r="AK537" s="57"/>
      <c r="AL537" s="57"/>
      <c r="AM537" s="57"/>
      <c r="AN537" s="57"/>
      <c r="AO537" s="57"/>
      <c r="AP537" s="60" t="s">
        <v>2257</v>
      </c>
      <c r="AR537" s="4"/>
      <c r="AS537" s="4"/>
    </row>
    <row r="538" spans="1:45" s="60" customFormat="1" x14ac:dyDescent="0.15">
      <c r="A538" s="57" t="s">
        <v>1</v>
      </c>
      <c r="B538" s="58" t="s">
        <v>940</v>
      </c>
      <c r="C538" s="58">
        <v>604</v>
      </c>
      <c r="D538" s="58">
        <v>6</v>
      </c>
      <c r="E538" s="58"/>
      <c r="F538" s="58" t="s">
        <v>803</v>
      </c>
      <c r="G538" s="58" t="s">
        <v>115</v>
      </c>
      <c r="H538" s="58" t="s">
        <v>1868</v>
      </c>
      <c r="I538" s="58">
        <v>3</v>
      </c>
      <c r="J538" s="57">
        <v>1</v>
      </c>
      <c r="K538" s="57">
        <v>1</v>
      </c>
      <c r="L538" s="57" t="s">
        <v>115</v>
      </c>
      <c r="M538" s="59"/>
      <c r="N538" s="57"/>
      <c r="O538" s="57" t="s">
        <v>115</v>
      </c>
      <c r="P538" s="58"/>
      <c r="Q538" s="57">
        <v>163</v>
      </c>
      <c r="R538" s="57">
        <v>166</v>
      </c>
      <c r="S538" s="57"/>
      <c r="T538" s="57"/>
      <c r="U538" s="57"/>
      <c r="V538" s="57"/>
      <c r="W538" s="57"/>
      <c r="X538" s="57">
        <v>90060402</v>
      </c>
      <c r="Y538" s="57" t="s">
        <v>115</v>
      </c>
      <c r="Z538" s="57" t="s">
        <v>115</v>
      </c>
      <c r="AA538" s="57" t="s">
        <v>115</v>
      </c>
      <c r="AB538" s="57" t="s">
        <v>115</v>
      </c>
      <c r="AC538" s="57" t="s">
        <v>115</v>
      </c>
      <c r="AD538" s="57"/>
      <c r="AE538" s="57"/>
      <c r="AF538" s="57"/>
      <c r="AG538" s="57"/>
      <c r="AH538" s="57"/>
      <c r="AI538" s="57" t="s">
        <v>115</v>
      </c>
      <c r="AJ538" s="57"/>
      <c r="AK538" s="57"/>
      <c r="AL538" s="57"/>
      <c r="AM538" s="57"/>
      <c r="AN538" s="57"/>
      <c r="AO538" s="57"/>
      <c r="AP538" s="60" t="s">
        <v>115</v>
      </c>
      <c r="AR538" s="4"/>
      <c r="AS538" s="4"/>
    </row>
    <row r="539" spans="1:45" s="60" customFormat="1" x14ac:dyDescent="0.15">
      <c r="A539" s="57" t="s">
        <v>1</v>
      </c>
      <c r="B539" s="58">
        <v>90060402</v>
      </c>
      <c r="C539" s="58">
        <v>604</v>
      </c>
      <c r="D539" s="58">
        <v>6</v>
      </c>
      <c r="E539" s="58"/>
      <c r="F539" s="58" t="s">
        <v>803</v>
      </c>
      <c r="G539" s="58" t="s">
        <v>115</v>
      </c>
      <c r="H539" s="58" t="s">
        <v>804</v>
      </c>
      <c r="I539" s="58">
        <v>3</v>
      </c>
      <c r="J539" s="57">
        <v>0</v>
      </c>
      <c r="K539" s="57">
        <v>0</v>
      </c>
      <c r="L539" s="57" t="s">
        <v>115</v>
      </c>
      <c r="M539" s="59"/>
      <c r="N539" s="57"/>
      <c r="O539" s="57" t="s">
        <v>115</v>
      </c>
      <c r="P539" s="58"/>
      <c r="Q539" s="57">
        <v>163</v>
      </c>
      <c r="R539" s="57">
        <v>166</v>
      </c>
      <c r="S539" s="57"/>
      <c r="T539" s="57"/>
      <c r="U539" s="57"/>
      <c r="V539" s="57"/>
      <c r="W539" s="57"/>
      <c r="X539" s="57">
        <v>90060403</v>
      </c>
      <c r="Y539" s="57" t="s">
        <v>115</v>
      </c>
      <c r="Z539" s="57" t="s">
        <v>115</v>
      </c>
      <c r="AA539" s="57" t="s">
        <v>115</v>
      </c>
      <c r="AB539" s="57" t="s">
        <v>115</v>
      </c>
      <c r="AC539" s="57" t="s">
        <v>115</v>
      </c>
      <c r="AD539" s="57"/>
      <c r="AE539" s="57"/>
      <c r="AF539" s="57"/>
      <c r="AG539" s="57"/>
      <c r="AH539" s="57"/>
      <c r="AI539" s="57" t="s">
        <v>115</v>
      </c>
      <c r="AJ539" s="57"/>
      <c r="AK539" s="57"/>
      <c r="AL539" s="57"/>
      <c r="AM539" s="57"/>
      <c r="AN539" s="57"/>
      <c r="AO539" s="57"/>
      <c r="AP539" s="60" t="s">
        <v>115</v>
      </c>
      <c r="AR539" s="4"/>
      <c r="AS539" s="4"/>
    </row>
    <row r="540" spans="1:45" s="60" customFormat="1" x14ac:dyDescent="0.15">
      <c r="A540" s="57" t="s">
        <v>1</v>
      </c>
      <c r="B540" s="58">
        <v>90060403</v>
      </c>
      <c r="C540" s="58">
        <v>604</v>
      </c>
      <c r="D540" s="58">
        <v>6</v>
      </c>
      <c r="E540" s="58"/>
      <c r="F540" s="58" t="s">
        <v>116</v>
      </c>
      <c r="G540" s="58">
        <v>309</v>
      </c>
      <c r="H540" s="58" t="s">
        <v>1869</v>
      </c>
      <c r="I540" s="58">
        <v>0</v>
      </c>
      <c r="J540" s="57">
        <v>0</v>
      </c>
      <c r="K540" s="57">
        <v>0</v>
      </c>
      <c r="L540" s="57" t="s">
        <v>115</v>
      </c>
      <c r="M540" s="59"/>
      <c r="N540" s="57"/>
      <c r="O540" s="57" t="s">
        <v>115</v>
      </c>
      <c r="P540" s="58"/>
      <c r="Q540" s="57">
        <v>163</v>
      </c>
      <c r="R540" s="57">
        <v>166</v>
      </c>
      <c r="S540" s="57"/>
      <c r="T540" s="57"/>
      <c r="U540" s="57"/>
      <c r="V540" s="57"/>
      <c r="W540" s="57"/>
      <c r="X540" s="57">
        <v>90060404</v>
      </c>
      <c r="Y540" s="57" t="s">
        <v>115</v>
      </c>
      <c r="Z540" s="57" t="s">
        <v>115</v>
      </c>
      <c r="AA540" s="57" t="s">
        <v>115</v>
      </c>
      <c r="AB540" s="57" t="s">
        <v>115</v>
      </c>
      <c r="AC540" s="57" t="s">
        <v>115</v>
      </c>
      <c r="AD540" s="57"/>
      <c r="AE540" s="57"/>
      <c r="AF540" s="57"/>
      <c r="AG540" s="57"/>
      <c r="AH540" s="57"/>
      <c r="AI540" s="57" t="s">
        <v>115</v>
      </c>
      <c r="AJ540" s="57"/>
      <c r="AK540" s="57"/>
      <c r="AL540" s="57"/>
      <c r="AM540" s="57"/>
      <c r="AN540" s="57"/>
      <c r="AO540" s="57"/>
      <c r="AP540" s="60" t="s">
        <v>115</v>
      </c>
      <c r="AR540" s="4"/>
      <c r="AS540" s="4"/>
    </row>
    <row r="541" spans="1:45" s="60" customFormat="1" x14ac:dyDescent="0.15">
      <c r="A541" s="57" t="s">
        <v>1</v>
      </c>
      <c r="B541" s="58">
        <v>90060404</v>
      </c>
      <c r="C541" s="58">
        <v>604</v>
      </c>
      <c r="D541" s="58">
        <v>6</v>
      </c>
      <c r="E541" s="58"/>
      <c r="F541" s="58" t="s">
        <v>803</v>
      </c>
      <c r="G541" s="58" t="s">
        <v>115</v>
      </c>
      <c r="H541" s="58" t="s">
        <v>805</v>
      </c>
      <c r="I541" s="58">
        <v>3</v>
      </c>
      <c r="J541" s="57">
        <v>0</v>
      </c>
      <c r="K541" s="57">
        <v>0</v>
      </c>
      <c r="L541" s="57" t="s">
        <v>115</v>
      </c>
      <c r="M541" s="59"/>
      <c r="N541" s="57"/>
      <c r="O541" s="57" t="s">
        <v>115</v>
      </c>
      <c r="P541" s="58"/>
      <c r="Q541" s="57">
        <v>163</v>
      </c>
      <c r="R541" s="57">
        <v>166</v>
      </c>
      <c r="S541" s="57"/>
      <c r="T541" s="57"/>
      <c r="U541" s="57"/>
      <c r="V541" s="57"/>
      <c r="W541" s="57"/>
      <c r="X541" s="57">
        <v>90060405</v>
      </c>
      <c r="Y541" s="57" t="s">
        <v>115</v>
      </c>
      <c r="Z541" s="57" t="s">
        <v>115</v>
      </c>
      <c r="AA541" s="57" t="s">
        <v>115</v>
      </c>
      <c r="AB541" s="57" t="s">
        <v>115</v>
      </c>
      <c r="AC541" s="57" t="s">
        <v>115</v>
      </c>
      <c r="AD541" s="57"/>
      <c r="AE541" s="57"/>
      <c r="AF541" s="57"/>
      <c r="AG541" s="57"/>
      <c r="AH541" s="57"/>
      <c r="AI541" s="57" t="s">
        <v>115</v>
      </c>
      <c r="AJ541" s="57"/>
      <c r="AK541" s="57"/>
      <c r="AL541" s="57"/>
      <c r="AM541" s="57"/>
      <c r="AN541" s="57"/>
      <c r="AO541" s="57"/>
      <c r="AP541" s="60" t="s">
        <v>115</v>
      </c>
      <c r="AR541" s="4"/>
      <c r="AS541" s="4"/>
    </row>
    <row r="542" spans="1:45" s="60" customFormat="1" x14ac:dyDescent="0.15">
      <c r="A542" s="57" t="s">
        <v>1</v>
      </c>
      <c r="B542" s="58">
        <v>90060405</v>
      </c>
      <c r="C542" s="58">
        <v>604</v>
      </c>
      <c r="D542" s="58">
        <v>6</v>
      </c>
      <c r="E542" s="58"/>
      <c r="F542" s="58" t="s">
        <v>116</v>
      </c>
      <c r="G542" s="58">
        <v>309</v>
      </c>
      <c r="H542" s="58" t="s">
        <v>1870</v>
      </c>
      <c r="I542" s="58">
        <v>0</v>
      </c>
      <c r="J542" s="57">
        <v>0</v>
      </c>
      <c r="K542" s="57">
        <v>0</v>
      </c>
      <c r="L542" s="57" t="s">
        <v>115</v>
      </c>
      <c r="M542" s="59"/>
      <c r="N542" s="57"/>
      <c r="O542" s="57" t="s">
        <v>115</v>
      </c>
      <c r="P542" s="58"/>
      <c r="Q542" s="57">
        <v>163</v>
      </c>
      <c r="R542" s="57">
        <v>166</v>
      </c>
      <c r="S542" s="57"/>
      <c r="T542" s="57"/>
      <c r="U542" s="57"/>
      <c r="V542" s="57"/>
      <c r="W542" s="57"/>
      <c r="X542" s="57">
        <v>90060406</v>
      </c>
      <c r="Y542" s="57" t="s">
        <v>115</v>
      </c>
      <c r="Z542" s="57" t="s">
        <v>115</v>
      </c>
      <c r="AA542" s="57" t="s">
        <v>115</v>
      </c>
      <c r="AB542" s="57" t="s">
        <v>115</v>
      </c>
      <c r="AC542" s="57" t="s">
        <v>115</v>
      </c>
      <c r="AD542" s="57"/>
      <c r="AE542" s="57"/>
      <c r="AF542" s="57"/>
      <c r="AG542" s="57"/>
      <c r="AH542" s="57"/>
      <c r="AI542" s="57" t="s">
        <v>115</v>
      </c>
      <c r="AJ542" s="57"/>
      <c r="AK542" s="57"/>
      <c r="AL542" s="57"/>
      <c r="AM542" s="57"/>
      <c r="AN542" s="57"/>
      <c r="AO542" s="57"/>
      <c r="AP542" s="60" t="s">
        <v>115</v>
      </c>
      <c r="AR542" s="4"/>
      <c r="AS542" s="4"/>
    </row>
    <row r="543" spans="1:45" s="60" customFormat="1" x14ac:dyDescent="0.15">
      <c r="A543" s="57" t="s">
        <v>1</v>
      </c>
      <c r="B543" s="58">
        <v>90060406</v>
      </c>
      <c r="C543" s="58">
        <v>604</v>
      </c>
      <c r="D543" s="58">
        <v>6</v>
      </c>
      <c r="E543" s="58"/>
      <c r="F543" s="58" t="s">
        <v>803</v>
      </c>
      <c r="G543" s="58" t="s">
        <v>115</v>
      </c>
      <c r="H543" s="58" t="s">
        <v>1871</v>
      </c>
      <c r="I543" s="58">
        <v>3</v>
      </c>
      <c r="J543" s="57">
        <v>0</v>
      </c>
      <c r="K543" s="57">
        <v>0</v>
      </c>
      <c r="L543" s="57" t="s">
        <v>115</v>
      </c>
      <c r="M543" s="59"/>
      <c r="N543" s="57"/>
      <c r="O543" s="57" t="s">
        <v>115</v>
      </c>
      <c r="P543" s="58"/>
      <c r="Q543" s="57">
        <v>163</v>
      </c>
      <c r="R543" s="57">
        <v>166</v>
      </c>
      <c r="S543" s="57"/>
      <c r="T543" s="57"/>
      <c r="U543" s="57"/>
      <c r="V543" s="57"/>
      <c r="W543" s="57"/>
      <c r="X543" s="57">
        <v>90060407</v>
      </c>
      <c r="Y543" s="57" t="s">
        <v>115</v>
      </c>
      <c r="Z543" s="57" t="s">
        <v>115</v>
      </c>
      <c r="AA543" s="57" t="s">
        <v>115</v>
      </c>
      <c r="AB543" s="57" t="s">
        <v>115</v>
      </c>
      <c r="AC543" s="57" t="s">
        <v>115</v>
      </c>
      <c r="AD543" s="57"/>
      <c r="AE543" s="57"/>
      <c r="AF543" s="57"/>
      <c r="AG543" s="57"/>
      <c r="AH543" s="57"/>
      <c r="AI543" s="57" t="s">
        <v>115</v>
      </c>
      <c r="AJ543" s="57"/>
      <c r="AK543" s="57"/>
      <c r="AL543" s="57"/>
      <c r="AM543" s="57"/>
      <c r="AN543" s="57"/>
      <c r="AO543" s="57"/>
      <c r="AP543" s="60" t="s">
        <v>115</v>
      </c>
      <c r="AR543" s="4"/>
      <c r="AS543" s="4"/>
    </row>
    <row r="544" spans="1:45" s="60" customFormat="1" x14ac:dyDescent="0.15">
      <c r="A544" s="57" t="s">
        <v>1</v>
      </c>
      <c r="B544" s="58">
        <v>90060407</v>
      </c>
      <c r="C544" s="58">
        <v>604</v>
      </c>
      <c r="D544" s="58">
        <v>6</v>
      </c>
      <c r="E544" s="58"/>
      <c r="F544" s="58" t="s">
        <v>803</v>
      </c>
      <c r="G544" s="58" t="s">
        <v>115</v>
      </c>
      <c r="H544" s="58" t="s">
        <v>1872</v>
      </c>
      <c r="I544" s="58">
        <v>3</v>
      </c>
      <c r="J544" s="57">
        <v>0</v>
      </c>
      <c r="K544" s="57">
        <v>0</v>
      </c>
      <c r="L544" s="57" t="s">
        <v>115</v>
      </c>
      <c r="M544" s="59"/>
      <c r="N544" s="57"/>
      <c r="O544" s="57" t="s">
        <v>115</v>
      </c>
      <c r="P544" s="58"/>
      <c r="Q544" s="57">
        <v>163</v>
      </c>
      <c r="R544" s="57">
        <v>166</v>
      </c>
      <c r="S544" s="57"/>
      <c r="T544" s="57"/>
      <c r="U544" s="57"/>
      <c r="V544" s="57"/>
      <c r="W544" s="57"/>
      <c r="X544" s="57">
        <v>90060408</v>
      </c>
      <c r="Y544" s="57" t="s">
        <v>115</v>
      </c>
      <c r="Z544" s="57" t="s">
        <v>115</v>
      </c>
      <c r="AA544" s="57" t="s">
        <v>115</v>
      </c>
      <c r="AB544" s="57" t="s">
        <v>115</v>
      </c>
      <c r="AC544" s="57" t="s">
        <v>115</v>
      </c>
      <c r="AD544" s="57"/>
      <c r="AE544" s="57"/>
      <c r="AF544" s="57"/>
      <c r="AG544" s="57"/>
      <c r="AH544" s="57"/>
      <c r="AI544" s="57" t="s">
        <v>115</v>
      </c>
      <c r="AJ544" s="57"/>
      <c r="AK544" s="57"/>
      <c r="AL544" s="57"/>
      <c r="AM544" s="57"/>
      <c r="AN544" s="57"/>
      <c r="AO544" s="57"/>
      <c r="AP544" s="60" t="s">
        <v>115</v>
      </c>
      <c r="AR544" s="4"/>
      <c r="AS544" s="4"/>
    </row>
    <row r="545" spans="1:45" s="60" customFormat="1" x14ac:dyDescent="0.15">
      <c r="A545" s="57" t="s">
        <v>1</v>
      </c>
      <c r="B545" s="58">
        <v>90060408</v>
      </c>
      <c r="C545" s="58">
        <v>604</v>
      </c>
      <c r="D545" s="58">
        <v>6</v>
      </c>
      <c r="E545" s="58"/>
      <c r="F545" s="58" t="s">
        <v>116</v>
      </c>
      <c r="G545" s="58">
        <v>314</v>
      </c>
      <c r="H545" s="58" t="s">
        <v>1873</v>
      </c>
      <c r="I545" s="58">
        <v>0</v>
      </c>
      <c r="J545" s="57">
        <v>0</v>
      </c>
      <c r="K545" s="57">
        <v>0</v>
      </c>
      <c r="L545" s="57" t="s">
        <v>115</v>
      </c>
      <c r="M545" s="59"/>
      <c r="N545" s="57"/>
      <c r="O545" s="57" t="s">
        <v>115</v>
      </c>
      <c r="P545" s="58"/>
      <c r="Q545" s="57">
        <v>163</v>
      </c>
      <c r="R545" s="57">
        <v>166</v>
      </c>
      <c r="S545" s="57"/>
      <c r="T545" s="57"/>
      <c r="U545" s="57"/>
      <c r="V545" s="57"/>
      <c r="W545" s="57"/>
      <c r="X545" s="57">
        <v>90060409</v>
      </c>
      <c r="Y545" s="57" t="s">
        <v>115</v>
      </c>
      <c r="Z545" s="57" t="s">
        <v>115</v>
      </c>
      <c r="AA545" s="57" t="s">
        <v>115</v>
      </c>
      <c r="AB545" s="57" t="s">
        <v>115</v>
      </c>
      <c r="AC545" s="57" t="s">
        <v>115</v>
      </c>
      <c r="AD545" s="57"/>
      <c r="AE545" s="57"/>
      <c r="AF545" s="57"/>
      <c r="AG545" s="57"/>
      <c r="AH545" s="57"/>
      <c r="AI545" s="57" t="s">
        <v>115</v>
      </c>
      <c r="AJ545" s="57"/>
      <c r="AK545" s="57"/>
      <c r="AL545" s="57"/>
      <c r="AM545" s="57"/>
      <c r="AN545" s="57"/>
      <c r="AO545" s="57"/>
      <c r="AP545" s="60" t="s">
        <v>115</v>
      </c>
      <c r="AR545" s="4"/>
      <c r="AS545" s="4"/>
    </row>
    <row r="546" spans="1:45" s="60" customFormat="1" x14ac:dyDescent="0.15">
      <c r="A546" s="57" t="s">
        <v>1</v>
      </c>
      <c r="B546" s="58">
        <v>90060409</v>
      </c>
      <c r="C546" s="58">
        <v>604</v>
      </c>
      <c r="D546" s="58">
        <v>6</v>
      </c>
      <c r="E546" s="58"/>
      <c r="F546" s="58" t="s">
        <v>803</v>
      </c>
      <c r="G546" s="58" t="s">
        <v>115</v>
      </c>
      <c r="H546" s="58" t="s">
        <v>1874</v>
      </c>
      <c r="I546" s="58">
        <v>3</v>
      </c>
      <c r="J546" s="57">
        <v>0</v>
      </c>
      <c r="K546" s="57">
        <v>0</v>
      </c>
      <c r="L546" s="57" t="s">
        <v>115</v>
      </c>
      <c r="M546" s="59"/>
      <c r="N546" s="57"/>
      <c r="O546" s="57" t="s">
        <v>115</v>
      </c>
      <c r="P546" s="58"/>
      <c r="Q546" s="57">
        <v>163</v>
      </c>
      <c r="R546" s="57">
        <v>166</v>
      </c>
      <c r="S546" s="57"/>
      <c r="T546" s="57"/>
      <c r="U546" s="57"/>
      <c r="V546" s="57"/>
      <c r="W546" s="57"/>
      <c r="X546" s="57">
        <v>90060410</v>
      </c>
      <c r="Y546" s="57" t="s">
        <v>115</v>
      </c>
      <c r="Z546" s="57" t="s">
        <v>115</v>
      </c>
      <c r="AA546" s="57" t="s">
        <v>115</v>
      </c>
      <c r="AB546" s="57" t="s">
        <v>115</v>
      </c>
      <c r="AC546" s="57" t="s">
        <v>115</v>
      </c>
      <c r="AD546" s="57"/>
      <c r="AE546" s="57"/>
      <c r="AF546" s="57"/>
      <c r="AG546" s="57"/>
      <c r="AH546" s="57"/>
      <c r="AI546" s="57" t="s">
        <v>115</v>
      </c>
      <c r="AJ546" s="57"/>
      <c r="AK546" s="57"/>
      <c r="AL546" s="57"/>
      <c r="AM546" s="57"/>
      <c r="AN546" s="57"/>
      <c r="AO546" s="57"/>
      <c r="AP546" s="60" t="s">
        <v>115</v>
      </c>
      <c r="AR546" s="4"/>
      <c r="AS546" s="4"/>
    </row>
    <row r="547" spans="1:45" s="60" customFormat="1" x14ac:dyDescent="0.15">
      <c r="A547" s="57" t="s">
        <v>1</v>
      </c>
      <c r="B547" s="58">
        <v>90060410</v>
      </c>
      <c r="C547" s="58">
        <v>604</v>
      </c>
      <c r="D547" s="58">
        <v>6</v>
      </c>
      <c r="E547" s="58"/>
      <c r="F547" s="58" t="s">
        <v>116</v>
      </c>
      <c r="G547" s="58">
        <v>309</v>
      </c>
      <c r="H547" s="58" t="s">
        <v>2258</v>
      </c>
      <c r="I547" s="58">
        <v>2</v>
      </c>
      <c r="J547" s="57">
        <v>0</v>
      </c>
      <c r="K547" s="57">
        <v>0</v>
      </c>
      <c r="L547" s="57" t="s">
        <v>115</v>
      </c>
      <c r="M547" s="59"/>
      <c r="N547" s="57"/>
      <c r="O547" s="57" t="s">
        <v>115</v>
      </c>
      <c r="P547" s="58"/>
      <c r="Q547" s="57">
        <v>163</v>
      </c>
      <c r="R547" s="57">
        <v>166</v>
      </c>
      <c r="S547" s="57"/>
      <c r="T547" s="57"/>
      <c r="U547" s="57"/>
      <c r="V547" s="57"/>
      <c r="W547" s="57"/>
      <c r="X547" s="57">
        <v>90060411</v>
      </c>
      <c r="Y547" s="57" t="s">
        <v>115</v>
      </c>
      <c r="Z547" s="57" t="s">
        <v>115</v>
      </c>
      <c r="AA547" s="57" t="s">
        <v>115</v>
      </c>
      <c r="AB547" s="57" t="s">
        <v>115</v>
      </c>
      <c r="AC547" s="57" t="s">
        <v>115</v>
      </c>
      <c r="AD547" s="57"/>
      <c r="AE547" s="57"/>
      <c r="AF547" s="57"/>
      <c r="AG547" s="57"/>
      <c r="AH547" s="57"/>
      <c r="AI547" s="57" t="s">
        <v>115</v>
      </c>
      <c r="AJ547" s="57"/>
      <c r="AK547" s="57"/>
      <c r="AL547" s="57"/>
      <c r="AM547" s="57"/>
      <c r="AN547" s="57"/>
      <c r="AO547" s="57"/>
      <c r="AP547" s="60" t="s">
        <v>115</v>
      </c>
      <c r="AR547" s="4"/>
      <c r="AS547" s="4"/>
    </row>
    <row r="548" spans="1:45" s="60" customFormat="1" x14ac:dyDescent="0.15">
      <c r="A548" s="57" t="s">
        <v>1</v>
      </c>
      <c r="B548" s="58">
        <v>90060411</v>
      </c>
      <c r="C548" s="58">
        <v>604</v>
      </c>
      <c r="D548" s="58">
        <v>6</v>
      </c>
      <c r="E548" s="58"/>
      <c r="F548" s="58" t="s">
        <v>803</v>
      </c>
      <c r="G548" s="58" t="s">
        <v>115</v>
      </c>
      <c r="H548" s="58" t="s">
        <v>1875</v>
      </c>
      <c r="I548" s="58">
        <v>3</v>
      </c>
      <c r="J548" s="57">
        <v>0</v>
      </c>
      <c r="K548" s="57">
        <v>0</v>
      </c>
      <c r="L548" s="57" t="s">
        <v>115</v>
      </c>
      <c r="M548" s="59"/>
      <c r="N548" s="57"/>
      <c r="O548" s="57" t="s">
        <v>115</v>
      </c>
      <c r="P548" s="58"/>
      <c r="Q548" s="57">
        <v>163</v>
      </c>
      <c r="R548" s="57">
        <v>166</v>
      </c>
      <c r="S548" s="57"/>
      <c r="T548" s="57"/>
      <c r="U548" s="57"/>
      <c r="V548" s="57"/>
      <c r="W548" s="57"/>
      <c r="X548" s="57">
        <v>90060412</v>
      </c>
      <c r="Y548" s="57" t="s">
        <v>115</v>
      </c>
      <c r="Z548" s="57" t="s">
        <v>115</v>
      </c>
      <c r="AA548" s="57" t="s">
        <v>115</v>
      </c>
      <c r="AB548" s="57" t="s">
        <v>115</v>
      </c>
      <c r="AC548" s="57" t="s">
        <v>115</v>
      </c>
      <c r="AD548" s="57"/>
      <c r="AE548" s="57"/>
      <c r="AF548" s="57"/>
      <c r="AG548" s="57"/>
      <c r="AH548" s="57"/>
      <c r="AI548" s="57" t="s">
        <v>115</v>
      </c>
      <c r="AJ548" s="57"/>
      <c r="AK548" s="57"/>
      <c r="AL548" s="57"/>
      <c r="AM548" s="57"/>
      <c r="AN548" s="57"/>
      <c r="AO548" s="57"/>
      <c r="AP548" s="60" t="s">
        <v>115</v>
      </c>
      <c r="AR548" s="4"/>
      <c r="AS548" s="4"/>
    </row>
    <row r="549" spans="1:45" s="60" customFormat="1" x14ac:dyDescent="0.15">
      <c r="A549" s="57" t="s">
        <v>1</v>
      </c>
      <c r="B549" s="58">
        <v>90060412</v>
      </c>
      <c r="C549" s="58">
        <v>604</v>
      </c>
      <c r="D549" s="58">
        <v>6</v>
      </c>
      <c r="E549" s="58"/>
      <c r="F549" s="58" t="s">
        <v>803</v>
      </c>
      <c r="G549" s="58" t="s">
        <v>115</v>
      </c>
      <c r="H549" s="58" t="s">
        <v>1876</v>
      </c>
      <c r="I549" s="58">
        <v>3</v>
      </c>
      <c r="J549" s="57">
        <v>0</v>
      </c>
      <c r="K549" s="57">
        <v>0</v>
      </c>
      <c r="L549" s="57" t="s">
        <v>115</v>
      </c>
      <c r="M549" s="59"/>
      <c r="N549" s="57"/>
      <c r="O549" s="57" t="s">
        <v>115</v>
      </c>
      <c r="P549" s="58"/>
      <c r="Q549" s="57">
        <v>163</v>
      </c>
      <c r="R549" s="57">
        <v>166</v>
      </c>
      <c r="S549" s="57"/>
      <c r="T549" s="57"/>
      <c r="U549" s="57"/>
      <c r="V549" s="57"/>
      <c r="W549" s="57"/>
      <c r="X549" s="57">
        <v>90060413</v>
      </c>
      <c r="Y549" s="57" t="s">
        <v>115</v>
      </c>
      <c r="Z549" s="57" t="s">
        <v>115</v>
      </c>
      <c r="AA549" s="57" t="s">
        <v>115</v>
      </c>
      <c r="AB549" s="57" t="s">
        <v>115</v>
      </c>
      <c r="AC549" s="57" t="s">
        <v>115</v>
      </c>
      <c r="AD549" s="57"/>
      <c r="AE549" s="57"/>
      <c r="AF549" s="57"/>
      <c r="AG549" s="57"/>
      <c r="AH549" s="57"/>
      <c r="AI549" s="57" t="s">
        <v>115</v>
      </c>
      <c r="AJ549" s="57"/>
      <c r="AK549" s="57"/>
      <c r="AL549" s="57"/>
      <c r="AM549" s="57"/>
      <c r="AN549" s="57"/>
      <c r="AO549" s="57"/>
      <c r="AP549" s="60" t="s">
        <v>115</v>
      </c>
      <c r="AR549" s="4"/>
      <c r="AS549" s="4"/>
    </row>
    <row r="550" spans="1:45" s="60" customFormat="1" x14ac:dyDescent="0.15">
      <c r="A550" s="57" t="s">
        <v>1</v>
      </c>
      <c r="B550" s="58">
        <v>90060413</v>
      </c>
      <c r="C550" s="58">
        <v>604</v>
      </c>
      <c r="D550" s="58">
        <v>6</v>
      </c>
      <c r="E550" s="58"/>
      <c r="F550" s="58" t="s">
        <v>803</v>
      </c>
      <c r="G550" s="58" t="s">
        <v>115</v>
      </c>
      <c r="H550" s="58" t="s">
        <v>1877</v>
      </c>
      <c r="I550" s="58">
        <v>3</v>
      </c>
      <c r="J550" s="57">
        <v>0</v>
      </c>
      <c r="K550" s="57">
        <v>0</v>
      </c>
      <c r="L550" s="57" t="s">
        <v>115</v>
      </c>
      <c r="M550" s="59"/>
      <c r="N550" s="57"/>
      <c r="O550" s="57" t="s">
        <v>115</v>
      </c>
      <c r="P550" s="58"/>
      <c r="Q550" s="57">
        <v>163</v>
      </c>
      <c r="R550" s="57">
        <v>166</v>
      </c>
      <c r="S550" s="57"/>
      <c r="T550" s="57"/>
      <c r="U550" s="57"/>
      <c r="V550" s="57"/>
      <c r="W550" s="57"/>
      <c r="X550" s="57">
        <v>90060414</v>
      </c>
      <c r="Y550" s="57" t="s">
        <v>115</v>
      </c>
      <c r="Z550" s="57" t="s">
        <v>115</v>
      </c>
      <c r="AA550" s="57" t="s">
        <v>115</v>
      </c>
      <c r="AB550" s="57" t="s">
        <v>115</v>
      </c>
      <c r="AC550" s="57" t="s">
        <v>115</v>
      </c>
      <c r="AD550" s="57"/>
      <c r="AE550" s="57"/>
      <c r="AF550" s="57"/>
      <c r="AG550" s="57"/>
      <c r="AH550" s="57"/>
      <c r="AI550" s="57" t="s">
        <v>115</v>
      </c>
      <c r="AJ550" s="57"/>
      <c r="AK550" s="57"/>
      <c r="AL550" s="57"/>
      <c r="AM550" s="57"/>
      <c r="AN550" s="57"/>
      <c r="AO550" s="57"/>
      <c r="AP550" s="60" t="s">
        <v>115</v>
      </c>
      <c r="AR550" s="4"/>
      <c r="AS550" s="4"/>
    </row>
    <row r="551" spans="1:45" s="60" customFormat="1" x14ac:dyDescent="0.15">
      <c r="A551" s="57" t="s">
        <v>1</v>
      </c>
      <c r="B551" s="58">
        <v>90060414</v>
      </c>
      <c r="C551" s="58">
        <v>604</v>
      </c>
      <c r="D551" s="58">
        <v>6</v>
      </c>
      <c r="E551" s="58"/>
      <c r="F551" s="58" t="s">
        <v>803</v>
      </c>
      <c r="G551" s="58" t="s">
        <v>115</v>
      </c>
      <c r="H551" s="58" t="s">
        <v>1878</v>
      </c>
      <c r="I551" s="58">
        <v>3</v>
      </c>
      <c r="J551" s="57">
        <v>0</v>
      </c>
      <c r="K551" s="57">
        <v>0</v>
      </c>
      <c r="L551" s="57" t="s">
        <v>115</v>
      </c>
      <c r="M551" s="59"/>
      <c r="N551" s="57"/>
      <c r="O551" s="57" t="s">
        <v>115</v>
      </c>
      <c r="P551" s="58"/>
      <c r="Q551" s="57">
        <v>163</v>
      </c>
      <c r="R551" s="57">
        <v>166</v>
      </c>
      <c r="S551" s="57"/>
      <c r="T551" s="57"/>
      <c r="U551" s="57"/>
      <c r="V551" s="57"/>
      <c r="W551" s="57"/>
      <c r="X551" s="57">
        <v>90060415</v>
      </c>
      <c r="Y551" s="57" t="s">
        <v>115</v>
      </c>
      <c r="Z551" s="57" t="s">
        <v>115</v>
      </c>
      <c r="AA551" s="57" t="s">
        <v>115</v>
      </c>
      <c r="AB551" s="57" t="s">
        <v>115</v>
      </c>
      <c r="AC551" s="57" t="s">
        <v>115</v>
      </c>
      <c r="AD551" s="57"/>
      <c r="AE551" s="57"/>
      <c r="AF551" s="57"/>
      <c r="AG551" s="57"/>
      <c r="AH551" s="57"/>
      <c r="AI551" s="57" t="s">
        <v>115</v>
      </c>
      <c r="AJ551" s="57"/>
      <c r="AK551" s="57"/>
      <c r="AL551" s="57"/>
      <c r="AM551" s="57"/>
      <c r="AN551" s="57"/>
      <c r="AO551" s="57"/>
      <c r="AP551" s="60" t="s">
        <v>115</v>
      </c>
      <c r="AR551" s="4"/>
      <c r="AS551" s="4"/>
    </row>
    <row r="552" spans="1:45" s="60" customFormat="1" x14ac:dyDescent="0.15">
      <c r="A552" s="57" t="s">
        <v>1</v>
      </c>
      <c r="B552" s="58">
        <v>90060415</v>
      </c>
      <c r="C552" s="58">
        <v>604</v>
      </c>
      <c r="D552" s="58">
        <v>6</v>
      </c>
      <c r="E552" s="58"/>
      <c r="F552" s="58" t="s">
        <v>116</v>
      </c>
      <c r="G552" s="58">
        <v>309</v>
      </c>
      <c r="H552" s="58" t="s">
        <v>1879</v>
      </c>
      <c r="I552" s="58">
        <v>2</v>
      </c>
      <c r="J552" s="57">
        <v>0</v>
      </c>
      <c r="K552" s="57">
        <v>2</v>
      </c>
      <c r="L552" s="57" t="s">
        <v>115</v>
      </c>
      <c r="M552" s="59"/>
      <c r="N552" s="57"/>
      <c r="O552" s="57" t="s">
        <v>115</v>
      </c>
      <c r="P552" s="58"/>
      <c r="Q552" s="57">
        <v>163</v>
      </c>
      <c r="R552" s="57" t="s">
        <v>115</v>
      </c>
      <c r="S552" s="57"/>
      <c r="T552" s="57"/>
      <c r="U552" s="57"/>
      <c r="V552" s="57"/>
      <c r="W552" s="57"/>
      <c r="X552" s="57" t="s">
        <v>2259</v>
      </c>
      <c r="Y552" s="57">
        <v>1</v>
      </c>
      <c r="Z552" s="57">
        <v>1</v>
      </c>
      <c r="AA552" s="57" t="s">
        <v>115</v>
      </c>
      <c r="AB552" s="57" t="s">
        <v>115</v>
      </c>
      <c r="AC552" s="57" t="s">
        <v>115</v>
      </c>
      <c r="AD552" s="57"/>
      <c r="AE552" s="57"/>
      <c r="AF552" s="57"/>
      <c r="AG552" s="57"/>
      <c r="AH552" s="57"/>
      <c r="AI552" s="57" t="s">
        <v>115</v>
      </c>
      <c r="AJ552" s="57"/>
      <c r="AK552" s="57"/>
      <c r="AL552" s="57"/>
      <c r="AM552" s="57"/>
      <c r="AN552" s="57"/>
      <c r="AO552" s="57"/>
      <c r="AP552" s="60" t="s">
        <v>115</v>
      </c>
      <c r="AR552" s="4"/>
      <c r="AS552" s="4"/>
    </row>
    <row r="553" spans="1:45" s="60" customFormat="1" x14ac:dyDescent="0.15">
      <c r="A553" s="57" t="s">
        <v>1</v>
      </c>
      <c r="B553" s="58">
        <v>90060416</v>
      </c>
      <c r="C553" s="58">
        <v>604</v>
      </c>
      <c r="D553" s="58">
        <v>6</v>
      </c>
      <c r="E553" s="58"/>
      <c r="F553" s="58" t="s">
        <v>115</v>
      </c>
      <c r="G553" s="58" t="s">
        <v>115</v>
      </c>
      <c r="H553" s="58" t="s">
        <v>806</v>
      </c>
      <c r="I553" s="58">
        <v>4</v>
      </c>
      <c r="J553" s="57">
        <v>0</v>
      </c>
      <c r="K553" s="57">
        <v>3</v>
      </c>
      <c r="L553" s="57" t="s">
        <v>115</v>
      </c>
      <c r="M553" s="59"/>
      <c r="N553" s="57"/>
      <c r="O553" s="57" t="s">
        <v>115</v>
      </c>
      <c r="P553" s="58"/>
      <c r="Q553" s="57">
        <v>163</v>
      </c>
      <c r="R553" s="57" t="s">
        <v>115</v>
      </c>
      <c r="S553" s="57"/>
      <c r="T553" s="57"/>
      <c r="U553" s="57"/>
      <c r="V553" s="57"/>
      <c r="W553" s="57"/>
      <c r="X553" s="57">
        <v>90060418</v>
      </c>
      <c r="Y553" s="57">
        <v>-1</v>
      </c>
      <c r="Z553" s="57">
        <v>2</v>
      </c>
      <c r="AA553" s="57" t="s">
        <v>115</v>
      </c>
      <c r="AB553" s="57" t="s">
        <v>115</v>
      </c>
      <c r="AC553" s="57" t="s">
        <v>944</v>
      </c>
      <c r="AD553" s="57"/>
      <c r="AE553" s="57"/>
      <c r="AF553" s="57"/>
      <c r="AG553" s="57"/>
      <c r="AH553" s="57"/>
      <c r="AI553" s="57" t="s">
        <v>115</v>
      </c>
      <c r="AJ553" s="57"/>
      <c r="AK553" s="57"/>
      <c r="AL553" s="57"/>
      <c r="AM553" s="57"/>
      <c r="AN553" s="57"/>
      <c r="AO553" s="57"/>
      <c r="AP553" s="60" t="s">
        <v>115</v>
      </c>
      <c r="AR553" s="4"/>
      <c r="AS553" s="4"/>
    </row>
    <row r="554" spans="1:45" s="60" customFormat="1" x14ac:dyDescent="0.15">
      <c r="A554" s="57" t="s">
        <v>1</v>
      </c>
      <c r="B554" s="58">
        <v>90060417</v>
      </c>
      <c r="C554" s="58">
        <v>604</v>
      </c>
      <c r="D554" s="58">
        <v>6</v>
      </c>
      <c r="E554" s="58"/>
      <c r="F554" s="58" t="s">
        <v>115</v>
      </c>
      <c r="G554" s="58" t="s">
        <v>115</v>
      </c>
      <c r="H554" s="58" t="s">
        <v>808</v>
      </c>
      <c r="I554" s="58">
        <v>4</v>
      </c>
      <c r="J554" s="57">
        <v>0</v>
      </c>
      <c r="K554" s="57">
        <v>4</v>
      </c>
      <c r="L554" s="57" t="s">
        <v>115</v>
      </c>
      <c r="M554" s="59"/>
      <c r="N554" s="57"/>
      <c r="O554" s="57" t="s">
        <v>115</v>
      </c>
      <c r="P554" s="58"/>
      <c r="Q554" s="57">
        <v>163</v>
      </c>
      <c r="R554" s="57" t="s">
        <v>115</v>
      </c>
      <c r="S554" s="57"/>
      <c r="T554" s="57"/>
      <c r="U554" s="57"/>
      <c r="V554" s="57"/>
      <c r="W554" s="57"/>
      <c r="X554" s="57">
        <v>90060421</v>
      </c>
      <c r="Y554" s="57">
        <v>-1</v>
      </c>
      <c r="Z554" s="57">
        <v>2</v>
      </c>
      <c r="AA554" s="57" t="s">
        <v>115</v>
      </c>
      <c r="AB554" s="57" t="s">
        <v>115</v>
      </c>
      <c r="AC554" s="57" t="s">
        <v>945</v>
      </c>
      <c r="AD554" s="57"/>
      <c r="AE554" s="57"/>
      <c r="AF554" s="57"/>
      <c r="AG554" s="57"/>
      <c r="AH554" s="57"/>
      <c r="AI554" s="57" t="s">
        <v>115</v>
      </c>
      <c r="AJ554" s="57"/>
      <c r="AK554" s="57"/>
      <c r="AL554" s="57"/>
      <c r="AM554" s="57"/>
      <c r="AN554" s="57"/>
      <c r="AO554" s="57"/>
      <c r="AP554" s="60" t="s">
        <v>115</v>
      </c>
      <c r="AR554" s="4"/>
      <c r="AS554" s="4"/>
    </row>
    <row r="555" spans="1:45" s="60" customFormat="1" x14ac:dyDescent="0.15">
      <c r="A555" s="57" t="s">
        <v>1</v>
      </c>
      <c r="B555" s="58">
        <v>90060418</v>
      </c>
      <c r="C555" s="58">
        <v>604</v>
      </c>
      <c r="D555" s="58">
        <v>6</v>
      </c>
      <c r="E555" s="58"/>
      <c r="F555" s="58" t="s">
        <v>116</v>
      </c>
      <c r="G555" s="58">
        <v>312</v>
      </c>
      <c r="H555" s="58" t="s">
        <v>810</v>
      </c>
      <c r="I555" s="58">
        <v>0</v>
      </c>
      <c r="J555" s="57">
        <v>0</v>
      </c>
      <c r="K555" s="57">
        <v>0</v>
      </c>
      <c r="L555" s="57" t="s">
        <v>115</v>
      </c>
      <c r="M555" s="59"/>
      <c r="N555" s="57"/>
      <c r="O555" s="57" t="s">
        <v>115</v>
      </c>
      <c r="P555" s="58"/>
      <c r="Q555" s="57">
        <v>163</v>
      </c>
      <c r="R555" s="57" t="s">
        <v>115</v>
      </c>
      <c r="S555" s="57"/>
      <c r="T555" s="57"/>
      <c r="U555" s="57"/>
      <c r="V555" s="57"/>
      <c r="W555" s="57"/>
      <c r="X555" s="57">
        <v>90060419</v>
      </c>
      <c r="Y555" s="57" t="s">
        <v>115</v>
      </c>
      <c r="Z555" s="57" t="s">
        <v>115</v>
      </c>
      <c r="AA555" s="57" t="s">
        <v>115</v>
      </c>
      <c r="AB555" s="57" t="s">
        <v>115</v>
      </c>
      <c r="AC555" s="57" t="s">
        <v>115</v>
      </c>
      <c r="AD555" s="57"/>
      <c r="AE555" s="57"/>
      <c r="AF555" s="57"/>
      <c r="AG555" s="57"/>
      <c r="AH555" s="57"/>
      <c r="AI555" s="57" t="s">
        <v>115</v>
      </c>
      <c r="AJ555" s="57"/>
      <c r="AK555" s="57"/>
      <c r="AL555" s="57"/>
      <c r="AM555" s="57"/>
      <c r="AN555" s="57"/>
      <c r="AO555" s="57"/>
      <c r="AP555" s="60" t="s">
        <v>115</v>
      </c>
      <c r="AR555" s="4"/>
      <c r="AS555" s="4"/>
    </row>
    <row r="556" spans="1:45" s="60" customFormat="1" x14ac:dyDescent="0.15">
      <c r="A556" s="57" t="s">
        <v>1</v>
      </c>
      <c r="B556" s="58">
        <v>90060419</v>
      </c>
      <c r="C556" s="58">
        <v>604</v>
      </c>
      <c r="D556" s="58">
        <v>6</v>
      </c>
      <c r="E556" s="58"/>
      <c r="F556" s="58" t="s">
        <v>803</v>
      </c>
      <c r="G556" s="58" t="s">
        <v>115</v>
      </c>
      <c r="H556" s="58" t="s">
        <v>811</v>
      </c>
      <c r="I556" s="58">
        <v>3</v>
      </c>
      <c r="J556" s="57">
        <v>0</v>
      </c>
      <c r="K556" s="57">
        <v>0</v>
      </c>
      <c r="L556" s="57" t="s">
        <v>115</v>
      </c>
      <c r="M556" s="59"/>
      <c r="N556" s="57"/>
      <c r="O556" s="57" t="s">
        <v>115</v>
      </c>
      <c r="P556" s="58"/>
      <c r="Q556" s="57">
        <v>163</v>
      </c>
      <c r="R556" s="57">
        <v>166</v>
      </c>
      <c r="S556" s="57"/>
      <c r="T556" s="57"/>
      <c r="U556" s="57"/>
      <c r="V556" s="57"/>
      <c r="W556" s="57"/>
      <c r="X556" s="57">
        <v>90060420</v>
      </c>
      <c r="Y556" s="57" t="s">
        <v>115</v>
      </c>
      <c r="Z556" s="57" t="s">
        <v>115</v>
      </c>
      <c r="AA556" s="57" t="s">
        <v>115</v>
      </c>
      <c r="AB556" s="57" t="s">
        <v>115</v>
      </c>
      <c r="AC556" s="57" t="s">
        <v>115</v>
      </c>
      <c r="AD556" s="57"/>
      <c r="AE556" s="57"/>
      <c r="AF556" s="57"/>
      <c r="AG556" s="57"/>
      <c r="AH556" s="57"/>
      <c r="AI556" s="57" t="s">
        <v>115</v>
      </c>
      <c r="AJ556" s="57"/>
      <c r="AK556" s="57"/>
      <c r="AL556" s="57"/>
      <c r="AM556" s="57"/>
      <c r="AN556" s="57"/>
      <c r="AO556" s="57"/>
      <c r="AP556" s="60" t="s">
        <v>115</v>
      </c>
      <c r="AR556" s="4"/>
      <c r="AS556" s="4"/>
    </row>
    <row r="557" spans="1:45" s="60" customFormat="1" x14ac:dyDescent="0.15">
      <c r="A557" s="57" t="s">
        <v>1</v>
      </c>
      <c r="B557" s="58">
        <v>90060420</v>
      </c>
      <c r="C557" s="58">
        <v>604</v>
      </c>
      <c r="D557" s="58">
        <v>6</v>
      </c>
      <c r="E557" s="58"/>
      <c r="F557" s="58" t="s">
        <v>803</v>
      </c>
      <c r="G557" s="58" t="s">
        <v>115</v>
      </c>
      <c r="H557" s="58" t="s">
        <v>812</v>
      </c>
      <c r="I557" s="58">
        <v>3</v>
      </c>
      <c r="J557" s="57">
        <v>0</v>
      </c>
      <c r="K557" s="57">
        <v>0</v>
      </c>
      <c r="L557" s="57" t="s">
        <v>115</v>
      </c>
      <c r="M557" s="59"/>
      <c r="N557" s="57"/>
      <c r="O557" s="57" t="s">
        <v>115</v>
      </c>
      <c r="P557" s="58"/>
      <c r="Q557" s="57">
        <v>163</v>
      </c>
      <c r="R557" s="57">
        <v>166</v>
      </c>
      <c r="S557" s="57"/>
      <c r="T557" s="57"/>
      <c r="U557" s="57"/>
      <c r="V557" s="57"/>
      <c r="W557" s="57"/>
      <c r="X557" s="57">
        <v>90060415</v>
      </c>
      <c r="Y557" s="57" t="s">
        <v>115</v>
      </c>
      <c r="Z557" s="57" t="s">
        <v>115</v>
      </c>
      <c r="AA557" s="57" t="s">
        <v>115</v>
      </c>
      <c r="AB557" s="57" t="s">
        <v>115</v>
      </c>
      <c r="AC557" s="57" t="s">
        <v>115</v>
      </c>
      <c r="AD557" s="57"/>
      <c r="AE557" s="57"/>
      <c r="AF557" s="57"/>
      <c r="AG557" s="57"/>
      <c r="AH557" s="57"/>
      <c r="AI557" s="57" t="s">
        <v>115</v>
      </c>
      <c r="AJ557" s="57"/>
      <c r="AK557" s="57"/>
      <c r="AL557" s="57"/>
      <c r="AM557" s="57"/>
      <c r="AN557" s="57"/>
      <c r="AO557" s="57"/>
      <c r="AP557" s="60" t="s">
        <v>115</v>
      </c>
      <c r="AR557" s="4"/>
      <c r="AS557" s="4"/>
    </row>
    <row r="558" spans="1:45" s="60" customFormat="1" x14ac:dyDescent="0.15">
      <c r="A558" s="57" t="s">
        <v>1</v>
      </c>
      <c r="B558" s="58">
        <v>90060421</v>
      </c>
      <c r="C558" s="58">
        <v>604</v>
      </c>
      <c r="D558" s="58">
        <v>6</v>
      </c>
      <c r="E558" s="58"/>
      <c r="F558" s="58" t="s">
        <v>803</v>
      </c>
      <c r="G558" s="58" t="s">
        <v>115</v>
      </c>
      <c r="H558" s="58" t="s">
        <v>2260</v>
      </c>
      <c r="I558" s="58">
        <v>3</v>
      </c>
      <c r="J558" s="57">
        <v>0</v>
      </c>
      <c r="K558" s="57">
        <v>0</v>
      </c>
      <c r="L558" s="57" t="s">
        <v>115</v>
      </c>
      <c r="M558" s="59"/>
      <c r="N558" s="57"/>
      <c r="O558" s="57" t="s">
        <v>115</v>
      </c>
      <c r="P558" s="58"/>
      <c r="Q558" s="57">
        <v>163</v>
      </c>
      <c r="R558" s="57">
        <v>166</v>
      </c>
      <c r="S558" s="57"/>
      <c r="T558" s="57"/>
      <c r="U558" s="57"/>
      <c r="V558" s="57"/>
      <c r="W558" s="57"/>
      <c r="X558" s="57">
        <v>90060422</v>
      </c>
      <c r="Y558" s="57" t="s">
        <v>115</v>
      </c>
      <c r="Z558" s="57" t="s">
        <v>115</v>
      </c>
      <c r="AA558" s="57" t="s">
        <v>115</v>
      </c>
      <c r="AB558" s="57" t="s">
        <v>115</v>
      </c>
      <c r="AC558" s="57" t="s">
        <v>115</v>
      </c>
      <c r="AD558" s="57"/>
      <c r="AE558" s="57"/>
      <c r="AF558" s="57"/>
      <c r="AG558" s="57"/>
      <c r="AH558" s="57"/>
      <c r="AI558" s="57" t="s">
        <v>115</v>
      </c>
      <c r="AJ558" s="57"/>
      <c r="AK558" s="57"/>
      <c r="AL558" s="57"/>
      <c r="AM558" s="57"/>
      <c r="AN558" s="57"/>
      <c r="AO558" s="57"/>
      <c r="AP558" s="60" t="s">
        <v>115</v>
      </c>
      <c r="AR558" s="4"/>
      <c r="AS558" s="4"/>
    </row>
    <row r="559" spans="1:45" s="60" customFormat="1" x14ac:dyDescent="0.15">
      <c r="A559" s="57" t="s">
        <v>1</v>
      </c>
      <c r="B559" s="58">
        <v>90060422</v>
      </c>
      <c r="C559" s="58">
        <v>604</v>
      </c>
      <c r="D559" s="58">
        <v>6</v>
      </c>
      <c r="E559" s="58"/>
      <c r="F559" s="58" t="s">
        <v>803</v>
      </c>
      <c r="G559" s="58" t="s">
        <v>115</v>
      </c>
      <c r="H559" s="58" t="s">
        <v>813</v>
      </c>
      <c r="I559" s="58">
        <v>3</v>
      </c>
      <c r="J559" s="57">
        <v>0</v>
      </c>
      <c r="K559" s="57">
        <v>5</v>
      </c>
      <c r="L559" s="57" t="s">
        <v>115</v>
      </c>
      <c r="M559" s="59"/>
      <c r="N559" s="57"/>
      <c r="O559" s="57">
        <v>1</v>
      </c>
      <c r="P559" s="58"/>
      <c r="Q559" s="57">
        <v>163</v>
      </c>
      <c r="R559" s="57">
        <v>166</v>
      </c>
      <c r="S559" s="57"/>
      <c r="T559" s="57"/>
      <c r="U559" s="57"/>
      <c r="V559" s="57"/>
      <c r="W559" s="57"/>
      <c r="X559" s="57" t="s">
        <v>115</v>
      </c>
      <c r="Y559" s="57" t="s">
        <v>115</v>
      </c>
      <c r="Z559" s="57">
        <v>4</v>
      </c>
      <c r="AA559" s="57" t="s">
        <v>115</v>
      </c>
      <c r="AB559" s="57" t="s">
        <v>115</v>
      </c>
      <c r="AC559" s="57" t="s">
        <v>115</v>
      </c>
      <c r="AD559" s="57"/>
      <c r="AE559" s="57"/>
      <c r="AF559" s="57"/>
      <c r="AG559" s="57"/>
      <c r="AH559" s="57"/>
      <c r="AI559" s="57" t="s">
        <v>115</v>
      </c>
      <c r="AJ559" s="57"/>
      <c r="AK559" s="57"/>
      <c r="AL559" s="57"/>
      <c r="AM559" s="57"/>
      <c r="AN559" s="57"/>
      <c r="AO559" s="57"/>
      <c r="AP559" s="60" t="s">
        <v>2261</v>
      </c>
      <c r="AR559" s="4"/>
      <c r="AS559" s="4"/>
    </row>
    <row r="560" spans="1:45" s="60" customFormat="1" x14ac:dyDescent="0.15">
      <c r="A560" s="57" t="s">
        <v>1</v>
      </c>
      <c r="B560" s="58" t="s">
        <v>941</v>
      </c>
      <c r="C560" s="58">
        <v>605</v>
      </c>
      <c r="D560" s="58">
        <v>6</v>
      </c>
      <c r="E560" s="58"/>
      <c r="F560" s="58" t="s">
        <v>1182</v>
      </c>
      <c r="G560" s="58" t="s">
        <v>115</v>
      </c>
      <c r="H560" s="58" t="s">
        <v>814</v>
      </c>
      <c r="I560" s="58">
        <v>3</v>
      </c>
      <c r="J560" s="57">
        <v>1</v>
      </c>
      <c r="K560" s="57">
        <v>1</v>
      </c>
      <c r="L560" s="57" t="s">
        <v>115</v>
      </c>
      <c r="M560" s="59"/>
      <c r="N560" s="57"/>
      <c r="O560" s="57" t="s">
        <v>115</v>
      </c>
      <c r="P560" s="58"/>
      <c r="Q560" s="57">
        <v>181</v>
      </c>
      <c r="R560" s="57">
        <v>316</v>
      </c>
      <c r="S560" s="57"/>
      <c r="T560" s="57"/>
      <c r="U560" s="57"/>
      <c r="V560" s="57"/>
      <c r="W560" s="57"/>
      <c r="X560" s="57">
        <v>90060502</v>
      </c>
      <c r="Y560" s="57" t="s">
        <v>115</v>
      </c>
      <c r="Z560" s="57" t="s">
        <v>115</v>
      </c>
      <c r="AA560" s="57" t="s">
        <v>115</v>
      </c>
      <c r="AB560" s="57" t="s">
        <v>115</v>
      </c>
      <c r="AC560" s="57" t="s">
        <v>115</v>
      </c>
      <c r="AD560" s="57"/>
      <c r="AE560" s="57"/>
      <c r="AF560" s="57"/>
      <c r="AG560" s="57"/>
      <c r="AH560" s="57"/>
      <c r="AI560" s="57" t="s">
        <v>115</v>
      </c>
      <c r="AJ560" s="57"/>
      <c r="AK560" s="57"/>
      <c r="AL560" s="57"/>
      <c r="AM560" s="57"/>
      <c r="AN560" s="57"/>
      <c r="AO560" s="57"/>
      <c r="AP560" s="60" t="s">
        <v>115</v>
      </c>
      <c r="AR560" s="4"/>
      <c r="AS560" s="4"/>
    </row>
    <row r="561" spans="1:45" s="60" customFormat="1" x14ac:dyDescent="0.15">
      <c r="A561" s="57" t="s">
        <v>1</v>
      </c>
      <c r="B561" s="58">
        <v>90060502</v>
      </c>
      <c r="C561" s="58">
        <v>605</v>
      </c>
      <c r="D561" s="58">
        <v>6</v>
      </c>
      <c r="E561" s="58"/>
      <c r="F561" s="58" t="s">
        <v>116</v>
      </c>
      <c r="G561" s="58">
        <v>312</v>
      </c>
      <c r="H561" s="58" t="s">
        <v>2262</v>
      </c>
      <c r="I561" s="58">
        <v>0</v>
      </c>
      <c r="J561" s="57">
        <v>0</v>
      </c>
      <c r="K561" s="57">
        <v>0</v>
      </c>
      <c r="L561" s="57" t="s">
        <v>115</v>
      </c>
      <c r="M561" s="59"/>
      <c r="N561" s="57"/>
      <c r="O561" s="57" t="s">
        <v>115</v>
      </c>
      <c r="P561" s="58"/>
      <c r="Q561" s="57">
        <v>181</v>
      </c>
      <c r="R561" s="57">
        <v>316</v>
      </c>
      <c r="S561" s="57"/>
      <c r="T561" s="57"/>
      <c r="U561" s="57"/>
      <c r="V561" s="57"/>
      <c r="W561" s="57"/>
      <c r="X561" s="57">
        <v>90060503</v>
      </c>
      <c r="Y561" s="57" t="s">
        <v>115</v>
      </c>
      <c r="Z561" s="57" t="s">
        <v>115</v>
      </c>
      <c r="AA561" s="57" t="s">
        <v>115</v>
      </c>
      <c r="AB561" s="57" t="s">
        <v>115</v>
      </c>
      <c r="AC561" s="57" t="s">
        <v>115</v>
      </c>
      <c r="AD561" s="57"/>
      <c r="AE561" s="57"/>
      <c r="AF561" s="57"/>
      <c r="AG561" s="57"/>
      <c r="AH561" s="57"/>
      <c r="AI561" s="57" t="s">
        <v>115</v>
      </c>
      <c r="AJ561" s="57"/>
      <c r="AK561" s="57"/>
      <c r="AL561" s="57"/>
      <c r="AM561" s="57"/>
      <c r="AN561" s="57"/>
      <c r="AO561" s="57"/>
      <c r="AP561" s="60" t="s">
        <v>115</v>
      </c>
      <c r="AR561" s="4"/>
      <c r="AS561" s="4"/>
    </row>
    <row r="562" spans="1:45" s="60" customFormat="1" x14ac:dyDescent="0.15">
      <c r="A562" s="57" t="s">
        <v>1</v>
      </c>
      <c r="B562" s="58">
        <v>90060503</v>
      </c>
      <c r="C562" s="58">
        <v>605</v>
      </c>
      <c r="D562" s="58">
        <v>6</v>
      </c>
      <c r="E562" s="58"/>
      <c r="F562" s="58" t="s">
        <v>1182</v>
      </c>
      <c r="G562" s="58" t="s">
        <v>115</v>
      </c>
      <c r="H562" s="58" t="s">
        <v>587</v>
      </c>
      <c r="I562" s="58">
        <v>3</v>
      </c>
      <c r="J562" s="57">
        <v>0</v>
      </c>
      <c r="K562" s="57">
        <v>0</v>
      </c>
      <c r="L562" s="57" t="s">
        <v>115</v>
      </c>
      <c r="M562" s="59"/>
      <c r="N562" s="57"/>
      <c r="O562" s="57" t="s">
        <v>115</v>
      </c>
      <c r="P562" s="58"/>
      <c r="Q562" s="57">
        <v>181</v>
      </c>
      <c r="R562" s="57">
        <v>316</v>
      </c>
      <c r="S562" s="57"/>
      <c r="T562" s="57"/>
      <c r="U562" s="57"/>
      <c r="V562" s="57"/>
      <c r="W562" s="57"/>
      <c r="X562" s="57">
        <v>90060504</v>
      </c>
      <c r="Y562" s="57" t="s">
        <v>115</v>
      </c>
      <c r="Z562" s="57" t="s">
        <v>115</v>
      </c>
      <c r="AA562" s="57" t="s">
        <v>115</v>
      </c>
      <c r="AB562" s="57" t="s">
        <v>115</v>
      </c>
      <c r="AC562" s="57" t="s">
        <v>115</v>
      </c>
      <c r="AD562" s="57"/>
      <c r="AE562" s="57"/>
      <c r="AF562" s="57"/>
      <c r="AG562" s="57"/>
      <c r="AH562" s="57"/>
      <c r="AI562" s="57" t="s">
        <v>115</v>
      </c>
      <c r="AJ562" s="57"/>
      <c r="AK562" s="57"/>
      <c r="AL562" s="57"/>
      <c r="AM562" s="57"/>
      <c r="AN562" s="57"/>
      <c r="AO562" s="57"/>
      <c r="AP562" s="60" t="s">
        <v>115</v>
      </c>
      <c r="AR562" s="4"/>
      <c r="AS562" s="4"/>
    </row>
    <row r="563" spans="1:45" s="60" customFormat="1" x14ac:dyDescent="0.15">
      <c r="A563" s="57" t="s">
        <v>1</v>
      </c>
      <c r="B563" s="58">
        <v>90060504</v>
      </c>
      <c r="C563" s="58">
        <v>605</v>
      </c>
      <c r="D563" s="58">
        <v>6</v>
      </c>
      <c r="E563" s="58"/>
      <c r="F563" s="58" t="s">
        <v>116</v>
      </c>
      <c r="G563" s="58">
        <v>312</v>
      </c>
      <c r="H563" s="58" t="s">
        <v>815</v>
      </c>
      <c r="I563" s="58">
        <v>0</v>
      </c>
      <c r="J563" s="57">
        <v>0</v>
      </c>
      <c r="K563" s="57">
        <v>0</v>
      </c>
      <c r="L563" s="57" t="s">
        <v>115</v>
      </c>
      <c r="M563" s="59"/>
      <c r="N563" s="57"/>
      <c r="O563" s="57" t="s">
        <v>115</v>
      </c>
      <c r="P563" s="58"/>
      <c r="Q563" s="57">
        <v>181</v>
      </c>
      <c r="R563" s="57">
        <v>316</v>
      </c>
      <c r="S563" s="57"/>
      <c r="T563" s="57"/>
      <c r="U563" s="57"/>
      <c r="V563" s="57"/>
      <c r="W563" s="57"/>
      <c r="X563" s="57">
        <v>90060505</v>
      </c>
      <c r="Y563" s="57" t="s">
        <v>115</v>
      </c>
      <c r="Z563" s="57" t="s">
        <v>115</v>
      </c>
      <c r="AA563" s="57" t="s">
        <v>115</v>
      </c>
      <c r="AB563" s="57" t="s">
        <v>115</v>
      </c>
      <c r="AC563" s="57" t="s">
        <v>115</v>
      </c>
      <c r="AD563" s="57"/>
      <c r="AE563" s="57"/>
      <c r="AF563" s="57"/>
      <c r="AG563" s="57"/>
      <c r="AH563" s="57"/>
      <c r="AI563" s="57" t="s">
        <v>115</v>
      </c>
      <c r="AJ563" s="57"/>
      <c r="AK563" s="57"/>
      <c r="AL563" s="57"/>
      <c r="AM563" s="57"/>
      <c r="AN563" s="57"/>
      <c r="AO563" s="57"/>
      <c r="AP563" s="60" t="s">
        <v>115</v>
      </c>
      <c r="AR563" s="4"/>
      <c r="AS563" s="4"/>
    </row>
    <row r="564" spans="1:45" s="60" customFormat="1" x14ac:dyDescent="0.15">
      <c r="A564" s="57" t="s">
        <v>1</v>
      </c>
      <c r="B564" s="58">
        <v>90060505</v>
      </c>
      <c r="C564" s="58">
        <v>605</v>
      </c>
      <c r="D564" s="58">
        <v>6</v>
      </c>
      <c r="E564" s="58"/>
      <c r="F564" s="58" t="s">
        <v>1182</v>
      </c>
      <c r="G564" s="58" t="s">
        <v>115</v>
      </c>
      <c r="H564" s="58" t="s">
        <v>2263</v>
      </c>
      <c r="I564" s="58">
        <v>3</v>
      </c>
      <c r="J564" s="57">
        <v>0</v>
      </c>
      <c r="K564" s="57">
        <v>2</v>
      </c>
      <c r="L564" s="57" t="s">
        <v>115</v>
      </c>
      <c r="M564" s="59"/>
      <c r="N564" s="57"/>
      <c r="O564" s="57">
        <v>1</v>
      </c>
      <c r="P564" s="58"/>
      <c r="Q564" s="57">
        <v>181</v>
      </c>
      <c r="R564" s="57">
        <v>316</v>
      </c>
      <c r="S564" s="57"/>
      <c r="T564" s="57"/>
      <c r="U564" s="57"/>
      <c r="V564" s="57"/>
      <c r="W564" s="57"/>
      <c r="X564" s="57" t="s">
        <v>115</v>
      </c>
      <c r="Y564" s="57" t="s">
        <v>115</v>
      </c>
      <c r="Z564" s="57">
        <v>1</v>
      </c>
      <c r="AA564" s="57" t="s">
        <v>115</v>
      </c>
      <c r="AB564" s="57" t="s">
        <v>115</v>
      </c>
      <c r="AC564" s="57" t="s">
        <v>115</v>
      </c>
      <c r="AD564" s="57"/>
      <c r="AE564" s="57"/>
      <c r="AF564" s="57"/>
      <c r="AG564" s="57"/>
      <c r="AH564" s="57"/>
      <c r="AI564" s="57" t="s">
        <v>115</v>
      </c>
      <c r="AJ564" s="57"/>
      <c r="AK564" s="57"/>
      <c r="AL564" s="57"/>
      <c r="AM564" s="57"/>
      <c r="AN564" s="57"/>
      <c r="AO564" s="57"/>
      <c r="AP564" s="60" t="s">
        <v>115</v>
      </c>
      <c r="AR564" s="4"/>
      <c r="AS564" s="4"/>
    </row>
    <row r="565" spans="1:45" s="60" customFormat="1" x14ac:dyDescent="0.15">
      <c r="A565" s="57" t="s">
        <v>1</v>
      </c>
      <c r="B565" s="58" t="s">
        <v>954</v>
      </c>
      <c r="C565" s="58">
        <v>606</v>
      </c>
      <c r="D565" s="58">
        <v>6</v>
      </c>
      <c r="E565" s="58"/>
      <c r="F565" s="58" t="s">
        <v>115</v>
      </c>
      <c r="G565" s="58" t="s">
        <v>115</v>
      </c>
      <c r="H565" s="58" t="s">
        <v>816</v>
      </c>
      <c r="I565" s="58">
        <v>4</v>
      </c>
      <c r="J565" s="57">
        <v>1</v>
      </c>
      <c r="K565" s="57">
        <v>1</v>
      </c>
      <c r="L565" s="57" t="s">
        <v>115</v>
      </c>
      <c r="M565" s="59"/>
      <c r="N565" s="57"/>
      <c r="O565" s="57" t="s">
        <v>115</v>
      </c>
      <c r="P565" s="58"/>
      <c r="Q565" s="57">
        <v>185</v>
      </c>
      <c r="R565" s="57" t="s">
        <v>115</v>
      </c>
      <c r="S565" s="57"/>
      <c r="T565" s="57"/>
      <c r="U565" s="57"/>
      <c r="V565" s="57"/>
      <c r="W565" s="57"/>
      <c r="X565" s="57">
        <v>90060602</v>
      </c>
      <c r="Y565" s="57" t="s">
        <v>115</v>
      </c>
      <c r="Z565" s="57" t="s">
        <v>115</v>
      </c>
      <c r="AA565" s="57" t="s">
        <v>115</v>
      </c>
      <c r="AB565" s="57" t="s">
        <v>115</v>
      </c>
      <c r="AC565" s="57" t="s">
        <v>115</v>
      </c>
      <c r="AD565" s="57"/>
      <c r="AE565" s="57"/>
      <c r="AF565" s="57"/>
      <c r="AG565" s="57"/>
      <c r="AH565" s="57"/>
      <c r="AI565" s="57" t="s">
        <v>115</v>
      </c>
      <c r="AJ565" s="57"/>
      <c r="AK565" s="57"/>
      <c r="AL565" s="57"/>
      <c r="AM565" s="57"/>
      <c r="AN565" s="57"/>
      <c r="AO565" s="57"/>
      <c r="AP565" s="60" t="s">
        <v>115</v>
      </c>
      <c r="AR565" s="4"/>
      <c r="AS565" s="4"/>
    </row>
    <row r="566" spans="1:45" s="60" customFormat="1" x14ac:dyDescent="0.15">
      <c r="A566" s="57" t="s">
        <v>1</v>
      </c>
      <c r="B566" s="58">
        <v>90060602</v>
      </c>
      <c r="C566" s="58">
        <v>606</v>
      </c>
      <c r="D566" s="58">
        <v>6</v>
      </c>
      <c r="E566" s="58"/>
      <c r="F566" s="58" t="s">
        <v>115</v>
      </c>
      <c r="G566" s="58" t="s">
        <v>115</v>
      </c>
      <c r="H566" s="58" t="s">
        <v>817</v>
      </c>
      <c r="I566" s="58">
        <v>4</v>
      </c>
      <c r="J566" s="57">
        <v>0</v>
      </c>
      <c r="K566" s="57">
        <v>0</v>
      </c>
      <c r="L566" s="57" t="s">
        <v>115</v>
      </c>
      <c r="M566" s="59"/>
      <c r="N566" s="57"/>
      <c r="O566" s="57" t="s">
        <v>115</v>
      </c>
      <c r="P566" s="58"/>
      <c r="Q566" s="57">
        <v>185</v>
      </c>
      <c r="R566" s="57" t="s">
        <v>115</v>
      </c>
      <c r="S566" s="57"/>
      <c r="T566" s="57"/>
      <c r="U566" s="57"/>
      <c r="V566" s="57"/>
      <c r="W566" s="57"/>
      <c r="X566" s="57">
        <v>90060603</v>
      </c>
      <c r="Y566" s="57" t="s">
        <v>115</v>
      </c>
      <c r="Z566" s="57" t="s">
        <v>115</v>
      </c>
      <c r="AA566" s="57" t="s">
        <v>115</v>
      </c>
      <c r="AB566" s="57" t="s">
        <v>115</v>
      </c>
      <c r="AC566" s="57" t="s">
        <v>115</v>
      </c>
      <c r="AD566" s="57"/>
      <c r="AE566" s="57"/>
      <c r="AF566" s="57"/>
      <c r="AG566" s="57"/>
      <c r="AH566" s="57"/>
      <c r="AI566" s="57" t="s">
        <v>115</v>
      </c>
      <c r="AJ566" s="57"/>
      <c r="AK566" s="57"/>
      <c r="AL566" s="57"/>
      <c r="AM566" s="57"/>
      <c r="AN566" s="57"/>
      <c r="AO566" s="57"/>
      <c r="AP566" s="60" t="s">
        <v>115</v>
      </c>
      <c r="AR566" s="4"/>
      <c r="AS566" s="4"/>
    </row>
    <row r="567" spans="1:45" x14ac:dyDescent="0.15">
      <c r="A567" s="40" t="s">
        <v>1</v>
      </c>
      <c r="B567" s="23">
        <v>90060603</v>
      </c>
      <c r="C567" s="23">
        <v>606</v>
      </c>
      <c r="D567" s="23">
        <v>6</v>
      </c>
      <c r="F567" s="23" t="s">
        <v>116</v>
      </c>
      <c r="G567" s="23">
        <v>312</v>
      </c>
      <c r="H567" s="23" t="s">
        <v>818</v>
      </c>
      <c r="I567" s="23">
        <v>0</v>
      </c>
      <c r="J567" s="40">
        <v>0</v>
      </c>
      <c r="K567" s="40">
        <v>0</v>
      </c>
      <c r="L567" s="40" t="s">
        <v>115</v>
      </c>
      <c r="O567" s="40" t="s">
        <v>115</v>
      </c>
      <c r="Q567" s="40">
        <v>185</v>
      </c>
      <c r="R567" s="40" t="s">
        <v>115</v>
      </c>
      <c r="X567" s="40">
        <v>90060604</v>
      </c>
      <c r="Y567" s="40" t="s">
        <v>115</v>
      </c>
      <c r="Z567" s="40" t="s">
        <v>115</v>
      </c>
      <c r="AA567" s="40" t="s">
        <v>115</v>
      </c>
      <c r="AB567" s="40" t="s">
        <v>115</v>
      </c>
      <c r="AC567" s="40" t="s">
        <v>115</v>
      </c>
      <c r="AI567" s="40" t="s">
        <v>115</v>
      </c>
      <c r="AP567" s="40" t="s">
        <v>115</v>
      </c>
    </row>
    <row r="568" spans="1:45" x14ac:dyDescent="0.15">
      <c r="A568" s="40" t="s">
        <v>1</v>
      </c>
      <c r="B568" s="23">
        <v>90060604</v>
      </c>
      <c r="C568" s="23">
        <v>606</v>
      </c>
      <c r="D568" s="23">
        <v>6</v>
      </c>
      <c r="F568" s="23" t="s">
        <v>819</v>
      </c>
      <c r="G568" s="23" t="s">
        <v>115</v>
      </c>
      <c r="H568" s="23" t="s">
        <v>820</v>
      </c>
      <c r="I568" s="23">
        <v>3</v>
      </c>
      <c r="J568" s="40">
        <v>0</v>
      </c>
      <c r="K568" s="40">
        <v>0</v>
      </c>
      <c r="L568" s="40" t="s">
        <v>115</v>
      </c>
      <c r="O568" s="40" t="s">
        <v>115</v>
      </c>
      <c r="Q568" s="40">
        <v>185</v>
      </c>
      <c r="R568" s="40">
        <v>241</v>
      </c>
      <c r="X568" s="40">
        <v>90060605</v>
      </c>
      <c r="Y568" s="40" t="s">
        <v>115</v>
      </c>
      <c r="Z568" s="40" t="s">
        <v>115</v>
      </c>
      <c r="AA568" s="40" t="s">
        <v>115</v>
      </c>
      <c r="AB568" s="40" t="s">
        <v>115</v>
      </c>
      <c r="AC568" s="40" t="s">
        <v>115</v>
      </c>
      <c r="AI568" s="40" t="s">
        <v>115</v>
      </c>
      <c r="AP568" s="40" t="s">
        <v>115</v>
      </c>
    </row>
    <row r="569" spans="1:45" x14ac:dyDescent="0.15">
      <c r="A569" s="40" t="s">
        <v>1</v>
      </c>
      <c r="B569" s="23">
        <v>90060605</v>
      </c>
      <c r="C569" s="23">
        <v>606</v>
      </c>
      <c r="D569" s="23">
        <v>6</v>
      </c>
      <c r="F569" s="23" t="s">
        <v>116</v>
      </c>
      <c r="G569" s="23">
        <v>308</v>
      </c>
      <c r="H569" s="23" t="s">
        <v>821</v>
      </c>
      <c r="I569" s="23">
        <v>2</v>
      </c>
      <c r="J569" s="40">
        <v>0</v>
      </c>
      <c r="K569" s="40">
        <v>0</v>
      </c>
      <c r="L569" s="40" t="s">
        <v>115</v>
      </c>
      <c r="O569" s="40" t="s">
        <v>115</v>
      </c>
      <c r="Q569" s="40">
        <v>185</v>
      </c>
      <c r="R569" s="40">
        <v>241</v>
      </c>
      <c r="X569" s="40">
        <v>90060606</v>
      </c>
      <c r="Y569" s="40" t="s">
        <v>115</v>
      </c>
      <c r="Z569" s="40" t="s">
        <v>115</v>
      </c>
      <c r="AA569" s="40" t="s">
        <v>115</v>
      </c>
      <c r="AB569" s="40" t="s">
        <v>115</v>
      </c>
      <c r="AC569" s="40" t="s">
        <v>115</v>
      </c>
      <c r="AI569" s="40" t="s">
        <v>115</v>
      </c>
      <c r="AP569" s="40" t="s">
        <v>115</v>
      </c>
    </row>
    <row r="570" spans="1:45" x14ac:dyDescent="0.15">
      <c r="A570" s="40" t="s">
        <v>1</v>
      </c>
      <c r="B570" s="23">
        <v>90060606</v>
      </c>
      <c r="C570" s="23">
        <v>606</v>
      </c>
      <c r="D570" s="23">
        <v>6</v>
      </c>
      <c r="F570" s="23" t="s">
        <v>115</v>
      </c>
      <c r="G570" s="23" t="s">
        <v>115</v>
      </c>
      <c r="H570" s="23" t="s">
        <v>822</v>
      </c>
      <c r="I570" s="23">
        <v>4</v>
      </c>
      <c r="J570" s="40">
        <v>0</v>
      </c>
      <c r="K570" s="40">
        <v>2</v>
      </c>
      <c r="L570" s="40" t="s">
        <v>115</v>
      </c>
      <c r="O570" s="40" t="s">
        <v>115</v>
      </c>
      <c r="Q570" s="40">
        <v>185</v>
      </c>
      <c r="R570" s="40">
        <v>241</v>
      </c>
      <c r="X570" s="40" t="s">
        <v>984</v>
      </c>
      <c r="Y570" s="40">
        <v>1</v>
      </c>
      <c r="Z570" s="40">
        <v>1</v>
      </c>
      <c r="AA570" s="40" t="s">
        <v>115</v>
      </c>
      <c r="AB570" s="40" t="s">
        <v>115</v>
      </c>
      <c r="AC570" s="40" t="s">
        <v>115</v>
      </c>
      <c r="AI570" s="40" t="s">
        <v>115</v>
      </c>
      <c r="AP570" s="40" t="s">
        <v>115</v>
      </c>
    </row>
    <row r="571" spans="1:45" ht="14.25" customHeight="1" x14ac:dyDescent="0.15">
      <c r="A571" s="40" t="s">
        <v>1</v>
      </c>
      <c r="B571" s="23">
        <v>90060607</v>
      </c>
      <c r="C571" s="23">
        <v>606</v>
      </c>
      <c r="D571" s="23">
        <v>6</v>
      </c>
      <c r="F571" s="23" t="s">
        <v>115</v>
      </c>
      <c r="G571" s="23" t="s">
        <v>115</v>
      </c>
      <c r="H571" s="23" t="s">
        <v>823</v>
      </c>
      <c r="I571" s="23">
        <v>4</v>
      </c>
      <c r="J571" s="40">
        <v>0</v>
      </c>
      <c r="K571" s="40">
        <v>3</v>
      </c>
      <c r="L571" s="40" t="s">
        <v>115</v>
      </c>
      <c r="O571" s="40" t="s">
        <v>115</v>
      </c>
      <c r="Q571" s="40">
        <v>185</v>
      </c>
      <c r="R571" s="40">
        <v>241</v>
      </c>
      <c r="X571" s="40">
        <v>90060609</v>
      </c>
      <c r="Y571" s="40">
        <v>-1</v>
      </c>
      <c r="Z571" s="40">
        <v>2</v>
      </c>
      <c r="AA571" s="40" t="s">
        <v>115</v>
      </c>
      <c r="AB571" s="40" t="s">
        <v>115</v>
      </c>
      <c r="AC571" s="40" t="s">
        <v>115</v>
      </c>
      <c r="AI571" s="40" t="s">
        <v>115</v>
      </c>
      <c r="AP571" s="4" t="s">
        <v>115</v>
      </c>
    </row>
    <row r="572" spans="1:45" x14ac:dyDescent="0.15">
      <c r="A572" s="40" t="s">
        <v>1</v>
      </c>
      <c r="B572" s="23">
        <v>90060608</v>
      </c>
      <c r="C572" s="23">
        <v>606</v>
      </c>
      <c r="D572" s="23">
        <v>6</v>
      </c>
      <c r="F572" s="23" t="s">
        <v>115</v>
      </c>
      <c r="G572" s="23" t="s">
        <v>115</v>
      </c>
      <c r="H572" s="23" t="s">
        <v>824</v>
      </c>
      <c r="I572" s="23">
        <v>4</v>
      </c>
      <c r="J572" s="40">
        <v>0</v>
      </c>
      <c r="K572" s="40">
        <v>4</v>
      </c>
      <c r="L572" s="40" t="s">
        <v>115</v>
      </c>
      <c r="O572" s="40" t="s">
        <v>115</v>
      </c>
      <c r="Q572" s="40">
        <v>185</v>
      </c>
      <c r="R572" s="40">
        <v>241</v>
      </c>
      <c r="X572" s="40">
        <v>90060612</v>
      </c>
      <c r="Y572" s="40">
        <v>-1</v>
      </c>
      <c r="Z572" s="40">
        <v>2</v>
      </c>
      <c r="AA572" s="40" t="s">
        <v>115</v>
      </c>
      <c r="AB572" s="40" t="s">
        <v>115</v>
      </c>
      <c r="AC572" s="40" t="s">
        <v>946</v>
      </c>
      <c r="AI572" s="40" t="s">
        <v>115</v>
      </c>
      <c r="AP572" s="4" t="s">
        <v>115</v>
      </c>
    </row>
    <row r="573" spans="1:45" x14ac:dyDescent="0.15">
      <c r="A573" s="40" t="s">
        <v>1</v>
      </c>
      <c r="B573" s="23">
        <v>90060609</v>
      </c>
      <c r="C573" s="23">
        <v>606</v>
      </c>
      <c r="D573" s="23">
        <v>6</v>
      </c>
      <c r="F573" s="23" t="s">
        <v>819</v>
      </c>
      <c r="G573" s="23" t="s">
        <v>115</v>
      </c>
      <c r="H573" s="23" t="s">
        <v>825</v>
      </c>
      <c r="I573" s="23">
        <v>3</v>
      </c>
      <c r="J573" s="40">
        <v>0</v>
      </c>
      <c r="K573" s="40">
        <v>0</v>
      </c>
      <c r="L573" s="40" t="s">
        <v>115</v>
      </c>
      <c r="O573" s="40" t="s">
        <v>115</v>
      </c>
      <c r="Q573" s="40">
        <v>185</v>
      </c>
      <c r="R573" s="40">
        <v>241</v>
      </c>
      <c r="X573" s="40">
        <v>90060610</v>
      </c>
      <c r="Y573" s="40" t="s">
        <v>115</v>
      </c>
      <c r="Z573" s="40" t="s">
        <v>115</v>
      </c>
      <c r="AA573" s="40" t="s">
        <v>115</v>
      </c>
      <c r="AB573" s="40" t="s">
        <v>115</v>
      </c>
      <c r="AC573" s="40" t="s">
        <v>115</v>
      </c>
      <c r="AI573" s="40" t="s">
        <v>115</v>
      </c>
      <c r="AP573" s="4" t="s">
        <v>115</v>
      </c>
    </row>
    <row r="574" spans="1:45" x14ac:dyDescent="0.15">
      <c r="A574" s="40" t="s">
        <v>1</v>
      </c>
      <c r="B574" s="23">
        <v>90060610</v>
      </c>
      <c r="C574" s="23">
        <v>606</v>
      </c>
      <c r="D574" s="23">
        <v>6</v>
      </c>
      <c r="F574" s="23" t="s">
        <v>819</v>
      </c>
      <c r="G574" s="23" t="s">
        <v>115</v>
      </c>
      <c r="H574" s="23" t="s">
        <v>826</v>
      </c>
      <c r="I574" s="23">
        <v>3</v>
      </c>
      <c r="J574" s="40">
        <v>0</v>
      </c>
      <c r="K574" s="40">
        <v>0</v>
      </c>
      <c r="L574" s="40" t="s">
        <v>115</v>
      </c>
      <c r="O574" s="40" t="s">
        <v>115</v>
      </c>
      <c r="Q574" s="40">
        <v>185</v>
      </c>
      <c r="R574" s="40">
        <v>241</v>
      </c>
      <c r="X574" s="40">
        <v>90060611</v>
      </c>
      <c r="Y574" s="40" t="s">
        <v>115</v>
      </c>
      <c r="Z574" s="40" t="s">
        <v>115</v>
      </c>
      <c r="AA574" s="40" t="s">
        <v>115</v>
      </c>
      <c r="AB574" s="40" t="s">
        <v>115</v>
      </c>
      <c r="AC574" s="40" t="s">
        <v>115</v>
      </c>
      <c r="AI574" s="40" t="s">
        <v>115</v>
      </c>
      <c r="AP574" s="4" t="s">
        <v>115</v>
      </c>
    </row>
    <row r="575" spans="1:45" x14ac:dyDescent="0.15">
      <c r="A575" s="40" t="s">
        <v>1</v>
      </c>
      <c r="B575" s="23">
        <v>90060611</v>
      </c>
      <c r="C575" s="23">
        <v>606</v>
      </c>
      <c r="D575" s="23">
        <v>6</v>
      </c>
      <c r="F575" s="23" t="s">
        <v>819</v>
      </c>
      <c r="G575" s="23" t="s">
        <v>115</v>
      </c>
      <c r="H575" s="23" t="s">
        <v>827</v>
      </c>
      <c r="I575" s="23">
        <v>3</v>
      </c>
      <c r="J575" s="40">
        <v>0</v>
      </c>
      <c r="K575" s="40">
        <v>0</v>
      </c>
      <c r="L575" s="40" t="s">
        <v>115</v>
      </c>
      <c r="O575" s="40" t="s">
        <v>115</v>
      </c>
      <c r="Q575" s="40">
        <v>185</v>
      </c>
      <c r="R575" s="40">
        <v>241</v>
      </c>
      <c r="X575" s="40">
        <v>90060606</v>
      </c>
      <c r="Y575" s="40" t="s">
        <v>115</v>
      </c>
      <c r="Z575" s="40" t="s">
        <v>115</v>
      </c>
      <c r="AA575" s="40" t="s">
        <v>115</v>
      </c>
      <c r="AB575" s="40" t="s">
        <v>115</v>
      </c>
      <c r="AC575" s="40" t="s">
        <v>115</v>
      </c>
      <c r="AI575" s="40" t="s">
        <v>115</v>
      </c>
      <c r="AP575" s="4" t="s">
        <v>115</v>
      </c>
    </row>
    <row r="576" spans="1:45" x14ac:dyDescent="0.15">
      <c r="A576" s="40" t="s">
        <v>1</v>
      </c>
      <c r="B576" s="23">
        <v>90060612</v>
      </c>
      <c r="C576" s="23">
        <v>606</v>
      </c>
      <c r="D576" s="23">
        <v>6</v>
      </c>
      <c r="F576" s="23" t="s">
        <v>819</v>
      </c>
      <c r="G576" s="23" t="s">
        <v>115</v>
      </c>
      <c r="H576" s="23" t="s">
        <v>927</v>
      </c>
      <c r="I576" s="23">
        <v>3</v>
      </c>
      <c r="J576" s="40">
        <v>0</v>
      </c>
      <c r="K576" s="40">
        <v>0</v>
      </c>
      <c r="L576" s="40" t="s">
        <v>115</v>
      </c>
      <c r="O576" s="40" t="s">
        <v>115</v>
      </c>
      <c r="Q576" s="40">
        <v>185</v>
      </c>
      <c r="R576" s="40">
        <v>241</v>
      </c>
      <c r="X576" s="40">
        <v>90060613</v>
      </c>
      <c r="Y576" s="40" t="s">
        <v>115</v>
      </c>
      <c r="Z576" s="40" t="s">
        <v>115</v>
      </c>
      <c r="AA576" s="40" t="s">
        <v>115</v>
      </c>
      <c r="AB576" s="40" t="s">
        <v>115</v>
      </c>
      <c r="AC576" s="40" t="s">
        <v>115</v>
      </c>
      <c r="AI576" s="40" t="s">
        <v>115</v>
      </c>
      <c r="AP576" s="4" t="s">
        <v>115</v>
      </c>
    </row>
    <row r="577" spans="1:42" x14ac:dyDescent="0.15">
      <c r="A577" s="40" t="s">
        <v>1</v>
      </c>
      <c r="B577" s="23">
        <v>90060613</v>
      </c>
      <c r="C577" s="23">
        <v>606</v>
      </c>
      <c r="D577" s="23">
        <v>6</v>
      </c>
      <c r="F577" s="23" t="s">
        <v>819</v>
      </c>
      <c r="G577" s="23" t="s">
        <v>115</v>
      </c>
      <c r="H577" s="23" t="s">
        <v>828</v>
      </c>
      <c r="I577" s="23">
        <v>3</v>
      </c>
      <c r="J577" s="40">
        <v>0</v>
      </c>
      <c r="K577" s="40">
        <v>0</v>
      </c>
      <c r="L577" s="40" t="s">
        <v>115</v>
      </c>
      <c r="O577" s="40" t="s">
        <v>115</v>
      </c>
      <c r="Q577" s="40">
        <v>185</v>
      </c>
      <c r="R577" s="40">
        <v>241</v>
      </c>
      <c r="X577" s="40">
        <v>90060614</v>
      </c>
      <c r="Y577" s="40" t="s">
        <v>115</v>
      </c>
      <c r="Z577" s="40" t="s">
        <v>115</v>
      </c>
      <c r="AA577" s="40" t="s">
        <v>115</v>
      </c>
      <c r="AB577" s="40" t="s">
        <v>115</v>
      </c>
      <c r="AC577" s="40" t="s">
        <v>115</v>
      </c>
      <c r="AI577" s="40" t="s">
        <v>115</v>
      </c>
      <c r="AP577" s="4" t="s">
        <v>115</v>
      </c>
    </row>
    <row r="578" spans="1:42" x14ac:dyDescent="0.15">
      <c r="A578" s="40" t="s">
        <v>1</v>
      </c>
      <c r="B578" s="23">
        <v>90060614</v>
      </c>
      <c r="C578" s="23">
        <v>606</v>
      </c>
      <c r="D578" s="23">
        <v>6</v>
      </c>
      <c r="F578" s="23" t="s">
        <v>819</v>
      </c>
      <c r="G578" s="23" t="s">
        <v>115</v>
      </c>
      <c r="H578" s="23" t="s">
        <v>829</v>
      </c>
      <c r="I578" s="23">
        <v>3</v>
      </c>
      <c r="J578" s="40">
        <v>0</v>
      </c>
      <c r="K578" s="40">
        <v>5</v>
      </c>
      <c r="L578" s="40" t="s">
        <v>115</v>
      </c>
      <c r="O578" s="40">
        <v>1</v>
      </c>
      <c r="Q578" s="40">
        <v>185</v>
      </c>
      <c r="R578" s="40">
        <v>241</v>
      </c>
      <c r="X578" s="40" t="s">
        <v>115</v>
      </c>
      <c r="Y578" s="40" t="s">
        <v>115</v>
      </c>
      <c r="Z578" s="40">
        <v>4</v>
      </c>
      <c r="AA578" s="40" t="s">
        <v>115</v>
      </c>
      <c r="AB578" s="40" t="s">
        <v>115</v>
      </c>
      <c r="AC578" s="40" t="s">
        <v>115</v>
      </c>
      <c r="AI578" s="40" t="s">
        <v>115</v>
      </c>
      <c r="AP578" s="4" t="s">
        <v>2264</v>
      </c>
    </row>
    <row r="579" spans="1:42" x14ac:dyDescent="0.15">
      <c r="A579" s="40" t="s">
        <v>1</v>
      </c>
      <c r="B579" s="23" t="s">
        <v>2265</v>
      </c>
      <c r="C579" s="23">
        <v>607</v>
      </c>
      <c r="D579" s="23">
        <v>6</v>
      </c>
      <c r="F579" s="23" t="s">
        <v>115</v>
      </c>
      <c r="G579" s="23" t="s">
        <v>115</v>
      </c>
      <c r="H579" s="23" t="s">
        <v>1001</v>
      </c>
      <c r="I579" s="23">
        <v>4</v>
      </c>
      <c r="J579" s="40">
        <v>1</v>
      </c>
      <c r="K579" s="40">
        <v>1</v>
      </c>
      <c r="L579" s="40" t="s">
        <v>115</v>
      </c>
      <c r="O579" s="40" t="s">
        <v>115</v>
      </c>
      <c r="Q579" s="40">
        <v>187</v>
      </c>
      <c r="R579" s="40" t="s">
        <v>115</v>
      </c>
      <c r="X579" s="40">
        <v>90060702</v>
      </c>
      <c r="Y579" s="40" t="s">
        <v>115</v>
      </c>
      <c r="Z579" s="40" t="s">
        <v>115</v>
      </c>
      <c r="AA579" s="40" t="s">
        <v>115</v>
      </c>
      <c r="AB579" s="40" t="s">
        <v>115</v>
      </c>
      <c r="AC579" s="40" t="s">
        <v>115</v>
      </c>
      <c r="AI579" s="40" t="s">
        <v>115</v>
      </c>
      <c r="AP579" s="4" t="s">
        <v>115</v>
      </c>
    </row>
    <row r="580" spans="1:42" x14ac:dyDescent="0.15">
      <c r="A580" s="40" t="s">
        <v>1</v>
      </c>
      <c r="B580" s="23">
        <v>90060702</v>
      </c>
      <c r="C580" s="23">
        <v>607</v>
      </c>
      <c r="D580" s="23">
        <v>6</v>
      </c>
      <c r="F580" s="23" t="s">
        <v>116</v>
      </c>
      <c r="G580" s="23">
        <v>314</v>
      </c>
      <c r="H580" s="23" t="s">
        <v>2266</v>
      </c>
      <c r="I580" s="23">
        <v>2</v>
      </c>
      <c r="J580" s="40">
        <v>0</v>
      </c>
      <c r="K580" s="40">
        <v>2</v>
      </c>
      <c r="L580" s="40" t="s">
        <v>115</v>
      </c>
      <c r="O580" s="40" t="s">
        <v>115</v>
      </c>
      <c r="Q580" s="40">
        <v>187</v>
      </c>
      <c r="R580" s="40" t="s">
        <v>115</v>
      </c>
      <c r="X580" s="40" t="s">
        <v>2267</v>
      </c>
      <c r="Y580" s="40">
        <v>1</v>
      </c>
      <c r="Z580" s="40">
        <v>1</v>
      </c>
      <c r="AA580" s="40" t="s">
        <v>115</v>
      </c>
      <c r="AB580" s="40" t="s">
        <v>115</v>
      </c>
      <c r="AC580" s="40" t="s">
        <v>115</v>
      </c>
      <c r="AI580" s="40" t="s">
        <v>115</v>
      </c>
      <c r="AP580" s="4" t="s">
        <v>115</v>
      </c>
    </row>
    <row r="581" spans="1:42" x14ac:dyDescent="0.15">
      <c r="A581" s="40" t="s">
        <v>1</v>
      </c>
      <c r="B581" s="23">
        <v>90060703</v>
      </c>
      <c r="C581" s="23">
        <v>607</v>
      </c>
      <c r="D581" s="23">
        <v>6</v>
      </c>
      <c r="F581" s="23" t="s">
        <v>115</v>
      </c>
      <c r="G581" s="23" t="s">
        <v>115</v>
      </c>
      <c r="H581" s="23" t="s">
        <v>830</v>
      </c>
      <c r="I581" s="23">
        <v>4</v>
      </c>
      <c r="J581" s="40">
        <v>0</v>
      </c>
      <c r="K581" s="40">
        <v>3</v>
      </c>
      <c r="L581" s="40" t="s">
        <v>115</v>
      </c>
      <c r="O581" s="40" t="s">
        <v>115</v>
      </c>
      <c r="Q581" s="40">
        <v>187</v>
      </c>
      <c r="R581" s="40" t="s">
        <v>115</v>
      </c>
      <c r="X581" s="40">
        <v>90060705</v>
      </c>
      <c r="Y581" s="40">
        <v>-1</v>
      </c>
      <c r="Z581" s="40">
        <v>2</v>
      </c>
      <c r="AA581" s="40" t="s">
        <v>115</v>
      </c>
      <c r="AB581" s="40" t="s">
        <v>115</v>
      </c>
      <c r="AC581" s="40" t="s">
        <v>115</v>
      </c>
      <c r="AI581" s="40" t="s">
        <v>115</v>
      </c>
      <c r="AP581" s="4" t="s">
        <v>115</v>
      </c>
    </row>
    <row r="582" spans="1:42" x14ac:dyDescent="0.15">
      <c r="A582" s="40" t="s">
        <v>1</v>
      </c>
      <c r="B582" s="23">
        <v>90060704</v>
      </c>
      <c r="C582" s="23">
        <v>607</v>
      </c>
      <c r="D582" s="23">
        <v>6</v>
      </c>
      <c r="F582" s="23" t="s">
        <v>115</v>
      </c>
      <c r="G582" s="23" t="s">
        <v>115</v>
      </c>
      <c r="H582" s="23" t="s">
        <v>831</v>
      </c>
      <c r="I582" s="23">
        <v>4</v>
      </c>
      <c r="J582" s="40">
        <v>0</v>
      </c>
      <c r="K582" s="40">
        <v>4</v>
      </c>
      <c r="L582" s="40" t="s">
        <v>115</v>
      </c>
      <c r="O582" s="40" t="s">
        <v>115</v>
      </c>
      <c r="Q582" s="40">
        <v>187</v>
      </c>
      <c r="R582" s="40" t="s">
        <v>115</v>
      </c>
      <c r="X582" s="40">
        <v>90060707</v>
      </c>
      <c r="Y582" s="40">
        <v>-1</v>
      </c>
      <c r="Z582" s="40">
        <v>2</v>
      </c>
      <c r="AA582" s="40" t="s">
        <v>115</v>
      </c>
      <c r="AB582" s="40" t="s">
        <v>115</v>
      </c>
      <c r="AC582" s="40" t="s">
        <v>955</v>
      </c>
      <c r="AI582" s="40" t="s">
        <v>115</v>
      </c>
      <c r="AP582" s="4" t="s">
        <v>115</v>
      </c>
    </row>
    <row r="583" spans="1:42" x14ac:dyDescent="0.15">
      <c r="A583" s="40" t="s">
        <v>1</v>
      </c>
      <c r="B583" s="23">
        <v>90060705</v>
      </c>
      <c r="C583" s="23">
        <v>607</v>
      </c>
      <c r="D583" s="23">
        <v>6</v>
      </c>
      <c r="F583" s="23" t="s">
        <v>116</v>
      </c>
      <c r="G583" s="23">
        <v>314</v>
      </c>
      <c r="H583" s="23" t="s">
        <v>2268</v>
      </c>
      <c r="I583" s="23">
        <v>2</v>
      </c>
      <c r="J583" s="40">
        <v>0</v>
      </c>
      <c r="K583" s="40">
        <v>0</v>
      </c>
      <c r="L583" s="40" t="s">
        <v>115</v>
      </c>
      <c r="O583" s="40" t="s">
        <v>115</v>
      </c>
      <c r="Q583" s="40">
        <v>187</v>
      </c>
      <c r="R583" s="40" t="s">
        <v>115</v>
      </c>
      <c r="X583" s="40">
        <v>90060706</v>
      </c>
      <c r="Y583" s="40" t="s">
        <v>115</v>
      </c>
      <c r="Z583" s="40" t="s">
        <v>115</v>
      </c>
      <c r="AA583" s="40" t="s">
        <v>115</v>
      </c>
      <c r="AB583" s="40" t="s">
        <v>115</v>
      </c>
      <c r="AC583" s="40" t="s">
        <v>115</v>
      </c>
      <c r="AI583" s="40" t="s">
        <v>115</v>
      </c>
      <c r="AP583" s="4" t="s">
        <v>115</v>
      </c>
    </row>
    <row r="584" spans="1:42" x14ac:dyDescent="0.15">
      <c r="A584" s="40" t="s">
        <v>1</v>
      </c>
      <c r="B584" s="23">
        <v>90060706</v>
      </c>
      <c r="C584" s="23">
        <v>607</v>
      </c>
      <c r="D584" s="23">
        <v>6</v>
      </c>
      <c r="F584" s="23" t="s">
        <v>116</v>
      </c>
      <c r="G584" s="23">
        <v>313</v>
      </c>
      <c r="H584" s="23" t="s">
        <v>832</v>
      </c>
      <c r="I584" s="23">
        <v>2</v>
      </c>
      <c r="J584" s="40">
        <v>0</v>
      </c>
      <c r="K584" s="40">
        <v>0</v>
      </c>
      <c r="L584" s="40" t="s">
        <v>115</v>
      </c>
      <c r="O584" s="40" t="s">
        <v>115</v>
      </c>
      <c r="Q584" s="40">
        <v>187</v>
      </c>
      <c r="R584" s="40" t="s">
        <v>115</v>
      </c>
      <c r="X584" s="40">
        <v>90060702</v>
      </c>
      <c r="Y584" s="40" t="s">
        <v>115</v>
      </c>
      <c r="Z584" s="40" t="s">
        <v>115</v>
      </c>
      <c r="AA584" s="40" t="s">
        <v>115</v>
      </c>
      <c r="AB584" s="40" t="s">
        <v>115</v>
      </c>
      <c r="AC584" s="40" t="s">
        <v>115</v>
      </c>
      <c r="AI584" s="40" t="s">
        <v>115</v>
      </c>
      <c r="AP584" s="4" t="s">
        <v>115</v>
      </c>
    </row>
    <row r="585" spans="1:42" x14ac:dyDescent="0.15">
      <c r="A585" s="40" t="s">
        <v>1</v>
      </c>
      <c r="B585" s="23">
        <v>90060707</v>
      </c>
      <c r="C585" s="23">
        <v>607</v>
      </c>
      <c r="D585" s="23">
        <v>6</v>
      </c>
      <c r="F585" s="23" t="s">
        <v>115</v>
      </c>
      <c r="G585" s="23" t="s">
        <v>115</v>
      </c>
      <c r="H585" s="23" t="s">
        <v>833</v>
      </c>
      <c r="I585" s="23">
        <v>4</v>
      </c>
      <c r="J585" s="40">
        <v>0</v>
      </c>
      <c r="K585" s="40">
        <v>0</v>
      </c>
      <c r="L585" s="40" t="s">
        <v>115</v>
      </c>
      <c r="O585" s="40" t="s">
        <v>115</v>
      </c>
      <c r="Q585" s="40">
        <v>187</v>
      </c>
      <c r="R585" s="40" t="s">
        <v>115</v>
      </c>
      <c r="X585" s="40">
        <v>90060708</v>
      </c>
      <c r="Y585" s="40" t="s">
        <v>115</v>
      </c>
      <c r="Z585" s="40" t="s">
        <v>115</v>
      </c>
      <c r="AA585" s="40" t="s">
        <v>115</v>
      </c>
      <c r="AB585" s="40" t="s">
        <v>115</v>
      </c>
      <c r="AC585" s="40" t="s">
        <v>115</v>
      </c>
      <c r="AI585" s="40" t="s">
        <v>115</v>
      </c>
      <c r="AP585" s="4" t="s">
        <v>115</v>
      </c>
    </row>
    <row r="586" spans="1:42" x14ac:dyDescent="0.15">
      <c r="A586" s="40" t="s">
        <v>1</v>
      </c>
      <c r="B586" s="23">
        <v>90060708</v>
      </c>
      <c r="C586" s="23">
        <v>607</v>
      </c>
      <c r="D586" s="23">
        <v>6</v>
      </c>
      <c r="F586" s="23" t="s">
        <v>116</v>
      </c>
      <c r="G586" s="23">
        <v>312</v>
      </c>
      <c r="H586" s="23" t="s">
        <v>2269</v>
      </c>
      <c r="I586" s="23">
        <v>2</v>
      </c>
      <c r="J586" s="40">
        <v>0</v>
      </c>
      <c r="K586" s="40">
        <v>5</v>
      </c>
      <c r="L586" s="40" t="s">
        <v>115</v>
      </c>
      <c r="O586" s="40">
        <v>1</v>
      </c>
      <c r="Q586" s="40">
        <v>187</v>
      </c>
      <c r="R586" s="40" t="s">
        <v>115</v>
      </c>
      <c r="X586" s="40" t="s">
        <v>115</v>
      </c>
      <c r="Y586" s="40" t="s">
        <v>115</v>
      </c>
      <c r="Z586" s="40">
        <v>4</v>
      </c>
      <c r="AA586" s="40" t="s">
        <v>115</v>
      </c>
      <c r="AB586" s="40" t="s">
        <v>115</v>
      </c>
      <c r="AC586" s="40" t="s">
        <v>115</v>
      </c>
      <c r="AI586" s="40" t="s">
        <v>115</v>
      </c>
      <c r="AP586" s="4" t="s">
        <v>115</v>
      </c>
    </row>
    <row r="587" spans="1:42" x14ac:dyDescent="0.15">
      <c r="A587" s="40" t="s">
        <v>1</v>
      </c>
      <c r="B587" s="23" t="s">
        <v>266</v>
      </c>
      <c r="C587" s="23">
        <v>701</v>
      </c>
      <c r="D587" s="23">
        <v>7</v>
      </c>
      <c r="F587" s="23" t="s">
        <v>116</v>
      </c>
      <c r="G587" s="23">
        <v>312</v>
      </c>
      <c r="H587" s="23" t="s">
        <v>711</v>
      </c>
      <c r="I587" s="23">
        <v>2</v>
      </c>
      <c r="J587" s="40">
        <v>1</v>
      </c>
      <c r="K587" s="40">
        <v>1</v>
      </c>
      <c r="L587" s="40" t="s">
        <v>115</v>
      </c>
      <c r="O587" s="40" t="s">
        <v>115</v>
      </c>
      <c r="Q587" s="40">
        <v>34</v>
      </c>
      <c r="R587" s="40" t="s">
        <v>115</v>
      </c>
      <c r="X587" s="40">
        <v>90070102</v>
      </c>
      <c r="Y587" s="40" t="s">
        <v>115</v>
      </c>
      <c r="Z587" s="40" t="s">
        <v>115</v>
      </c>
      <c r="AA587" s="40" t="s">
        <v>115</v>
      </c>
      <c r="AB587" s="40" t="s">
        <v>115</v>
      </c>
      <c r="AC587" s="40" t="s">
        <v>115</v>
      </c>
      <c r="AI587" s="40" t="s">
        <v>115</v>
      </c>
      <c r="AP587" s="4" t="s">
        <v>115</v>
      </c>
    </row>
    <row r="588" spans="1:42" x14ac:dyDescent="0.15">
      <c r="A588" s="40" t="s">
        <v>1</v>
      </c>
      <c r="B588" s="23">
        <v>90070102</v>
      </c>
      <c r="C588" s="23">
        <v>701</v>
      </c>
      <c r="D588" s="23">
        <v>7</v>
      </c>
      <c r="F588" s="23" t="s">
        <v>116</v>
      </c>
      <c r="G588" s="23">
        <v>312</v>
      </c>
      <c r="H588" s="23" t="s">
        <v>321</v>
      </c>
      <c r="I588" s="23">
        <v>0</v>
      </c>
      <c r="J588" s="40">
        <v>0</v>
      </c>
      <c r="K588" s="40">
        <v>0</v>
      </c>
      <c r="L588" s="40" t="s">
        <v>115</v>
      </c>
      <c r="O588" s="40" t="s">
        <v>115</v>
      </c>
      <c r="Q588" s="40">
        <v>34</v>
      </c>
      <c r="R588" s="40">
        <v>243</v>
      </c>
      <c r="X588" s="40">
        <v>90070103</v>
      </c>
      <c r="Y588" s="40" t="s">
        <v>115</v>
      </c>
      <c r="Z588" s="40" t="s">
        <v>115</v>
      </c>
      <c r="AA588" s="40" t="s">
        <v>115</v>
      </c>
      <c r="AB588" s="40" t="s">
        <v>115</v>
      </c>
      <c r="AC588" s="40" t="s">
        <v>115</v>
      </c>
      <c r="AI588" s="40" t="s">
        <v>115</v>
      </c>
      <c r="AP588" s="4" t="s">
        <v>115</v>
      </c>
    </row>
    <row r="589" spans="1:42" x14ac:dyDescent="0.15">
      <c r="A589" s="40" t="s">
        <v>1</v>
      </c>
      <c r="B589" s="23">
        <v>90070103</v>
      </c>
      <c r="C589" s="23">
        <v>701</v>
      </c>
      <c r="D589" s="23">
        <v>7</v>
      </c>
      <c r="F589" s="23" t="s">
        <v>322</v>
      </c>
      <c r="G589" s="23" t="s">
        <v>115</v>
      </c>
      <c r="H589" s="23" t="s">
        <v>323</v>
      </c>
      <c r="I589" s="23">
        <v>3</v>
      </c>
      <c r="J589" s="40">
        <v>0</v>
      </c>
      <c r="K589" s="40">
        <v>0</v>
      </c>
      <c r="L589" s="40" t="s">
        <v>115</v>
      </c>
      <c r="O589" s="40" t="s">
        <v>115</v>
      </c>
      <c r="Q589" s="40">
        <v>34</v>
      </c>
      <c r="R589" s="40">
        <v>243</v>
      </c>
      <c r="X589" s="40">
        <v>90070104</v>
      </c>
      <c r="Y589" s="40" t="s">
        <v>115</v>
      </c>
      <c r="Z589" s="40" t="s">
        <v>115</v>
      </c>
      <c r="AA589" s="40" t="s">
        <v>115</v>
      </c>
      <c r="AB589" s="40" t="s">
        <v>115</v>
      </c>
      <c r="AC589" s="40" t="s">
        <v>115</v>
      </c>
      <c r="AI589" s="40" t="s">
        <v>115</v>
      </c>
      <c r="AP589" s="4" t="s">
        <v>115</v>
      </c>
    </row>
    <row r="590" spans="1:42" x14ac:dyDescent="0.15">
      <c r="A590" s="40" t="s">
        <v>1</v>
      </c>
      <c r="B590" s="23">
        <v>90070104</v>
      </c>
      <c r="C590" s="23">
        <v>701</v>
      </c>
      <c r="D590" s="23">
        <v>7</v>
      </c>
      <c r="F590" s="23" t="s">
        <v>322</v>
      </c>
      <c r="G590" s="23" t="s">
        <v>115</v>
      </c>
      <c r="H590" s="23" t="s">
        <v>2270</v>
      </c>
      <c r="I590" s="23">
        <v>3</v>
      </c>
      <c r="J590" s="40">
        <v>0</v>
      </c>
      <c r="K590" s="40">
        <v>0</v>
      </c>
      <c r="L590" s="40" t="s">
        <v>115</v>
      </c>
      <c r="O590" s="40" t="s">
        <v>115</v>
      </c>
      <c r="Q590" s="40">
        <v>34</v>
      </c>
      <c r="R590" s="40">
        <v>243</v>
      </c>
      <c r="X590" s="40">
        <v>90070105</v>
      </c>
      <c r="Y590" s="40" t="s">
        <v>115</v>
      </c>
      <c r="Z590" s="40" t="s">
        <v>115</v>
      </c>
      <c r="AA590" s="40" t="s">
        <v>115</v>
      </c>
      <c r="AB590" s="40" t="s">
        <v>115</v>
      </c>
      <c r="AC590" s="40" t="s">
        <v>115</v>
      </c>
      <c r="AI590" s="40" t="s">
        <v>115</v>
      </c>
      <c r="AP590" s="40" t="s">
        <v>115</v>
      </c>
    </row>
    <row r="591" spans="1:42" x14ac:dyDescent="0.15">
      <c r="A591" s="40" t="s">
        <v>1</v>
      </c>
      <c r="B591" s="23">
        <v>90070105</v>
      </c>
      <c r="C591" s="23">
        <v>701</v>
      </c>
      <c r="D591" s="23">
        <v>7</v>
      </c>
      <c r="F591" s="23" t="s">
        <v>116</v>
      </c>
      <c r="G591" s="23">
        <v>312</v>
      </c>
      <c r="H591" s="23" t="s">
        <v>324</v>
      </c>
      <c r="I591" s="23">
        <v>0</v>
      </c>
      <c r="J591" s="40">
        <v>0</v>
      </c>
      <c r="K591" s="40">
        <v>0</v>
      </c>
      <c r="L591" s="40" t="s">
        <v>115</v>
      </c>
      <c r="O591" s="40" t="s">
        <v>115</v>
      </c>
      <c r="Q591" s="40">
        <v>34</v>
      </c>
      <c r="R591" s="40">
        <v>243</v>
      </c>
      <c r="X591" s="40">
        <v>90070106</v>
      </c>
      <c r="Y591" s="40" t="s">
        <v>115</v>
      </c>
      <c r="Z591" s="40" t="s">
        <v>115</v>
      </c>
      <c r="AA591" s="40" t="s">
        <v>115</v>
      </c>
      <c r="AB591" s="40" t="s">
        <v>115</v>
      </c>
      <c r="AC591" s="40" t="s">
        <v>115</v>
      </c>
      <c r="AI591" s="40" t="s">
        <v>115</v>
      </c>
      <c r="AP591" s="4" t="s">
        <v>115</v>
      </c>
    </row>
    <row r="592" spans="1:42" x14ac:dyDescent="0.15">
      <c r="A592" s="40" t="s">
        <v>1</v>
      </c>
      <c r="B592" s="23">
        <v>90070106</v>
      </c>
      <c r="C592" s="23">
        <v>701</v>
      </c>
      <c r="D592" s="23">
        <v>7</v>
      </c>
      <c r="F592" s="23" t="s">
        <v>322</v>
      </c>
      <c r="G592" s="23" t="s">
        <v>115</v>
      </c>
      <c r="H592" s="23" t="s">
        <v>1232</v>
      </c>
      <c r="I592" s="23">
        <v>3</v>
      </c>
      <c r="J592" s="40">
        <v>0</v>
      </c>
      <c r="K592" s="40">
        <v>0</v>
      </c>
      <c r="L592" s="40" t="s">
        <v>115</v>
      </c>
      <c r="O592" s="40" t="s">
        <v>115</v>
      </c>
      <c r="Q592" s="40">
        <v>34</v>
      </c>
      <c r="R592" s="40">
        <v>243</v>
      </c>
      <c r="X592" s="40">
        <v>90070107</v>
      </c>
      <c r="Y592" s="40" t="s">
        <v>115</v>
      </c>
      <c r="Z592" s="40" t="s">
        <v>115</v>
      </c>
      <c r="AA592" s="40" t="s">
        <v>115</v>
      </c>
      <c r="AB592" s="40" t="s">
        <v>115</v>
      </c>
      <c r="AC592" s="40" t="s">
        <v>115</v>
      </c>
      <c r="AI592" s="40" t="s">
        <v>115</v>
      </c>
      <c r="AP592" s="4" t="s">
        <v>115</v>
      </c>
    </row>
    <row r="593" spans="1:42" x14ac:dyDescent="0.15">
      <c r="A593" s="40" t="s">
        <v>1</v>
      </c>
      <c r="B593" s="23">
        <v>90070107</v>
      </c>
      <c r="C593" s="23">
        <v>701</v>
      </c>
      <c r="D593" s="23">
        <v>7</v>
      </c>
      <c r="F593" s="23" t="s">
        <v>116</v>
      </c>
      <c r="G593" s="23">
        <v>309</v>
      </c>
      <c r="H593" s="23" t="s">
        <v>2271</v>
      </c>
      <c r="I593" s="23">
        <v>0</v>
      </c>
      <c r="J593" s="40">
        <v>0</v>
      </c>
      <c r="K593" s="40">
        <v>0</v>
      </c>
      <c r="L593" s="40" t="s">
        <v>115</v>
      </c>
      <c r="O593" s="40" t="s">
        <v>115</v>
      </c>
      <c r="Q593" s="40">
        <v>34</v>
      </c>
      <c r="R593" s="40">
        <v>243</v>
      </c>
      <c r="X593" s="40">
        <v>90070108</v>
      </c>
      <c r="Y593" s="40" t="s">
        <v>115</v>
      </c>
      <c r="Z593" s="40" t="s">
        <v>115</v>
      </c>
      <c r="AA593" s="40" t="s">
        <v>115</v>
      </c>
      <c r="AB593" s="40" t="s">
        <v>115</v>
      </c>
      <c r="AC593" s="40" t="s">
        <v>115</v>
      </c>
      <c r="AI593" s="40" t="s">
        <v>115</v>
      </c>
      <c r="AP593" s="4" t="s">
        <v>115</v>
      </c>
    </row>
    <row r="594" spans="1:42" x14ac:dyDescent="0.15">
      <c r="A594" s="40" t="s">
        <v>1</v>
      </c>
      <c r="B594" s="23">
        <v>90070108</v>
      </c>
      <c r="C594" s="23">
        <v>701</v>
      </c>
      <c r="D594" s="23">
        <v>7</v>
      </c>
      <c r="F594" s="23" t="s">
        <v>322</v>
      </c>
      <c r="G594" s="23" t="s">
        <v>115</v>
      </c>
      <c r="H594" s="23" t="s">
        <v>1233</v>
      </c>
      <c r="I594" s="23">
        <v>3</v>
      </c>
      <c r="J594" s="40">
        <v>0</v>
      </c>
      <c r="K594" s="40">
        <v>2</v>
      </c>
      <c r="L594" s="40" t="s">
        <v>115</v>
      </c>
      <c r="O594" s="40">
        <v>1</v>
      </c>
      <c r="Q594" s="40">
        <v>34</v>
      </c>
      <c r="R594" s="40">
        <v>243</v>
      </c>
      <c r="X594" s="40" t="s">
        <v>115</v>
      </c>
      <c r="Y594" s="40" t="s">
        <v>115</v>
      </c>
      <c r="Z594" s="40">
        <v>1</v>
      </c>
      <c r="AA594" s="40" t="s">
        <v>115</v>
      </c>
      <c r="AB594" s="40" t="s">
        <v>115</v>
      </c>
      <c r="AC594" s="40" t="s">
        <v>115</v>
      </c>
      <c r="AI594" s="40" t="s">
        <v>115</v>
      </c>
      <c r="AP594" s="4" t="s">
        <v>678</v>
      </c>
    </row>
    <row r="595" spans="1:42" x14ac:dyDescent="0.15">
      <c r="A595" s="40" t="s">
        <v>1</v>
      </c>
      <c r="B595" s="23" t="s">
        <v>268</v>
      </c>
      <c r="C595" s="23">
        <v>702</v>
      </c>
      <c r="D595" s="23">
        <v>7</v>
      </c>
      <c r="F595" s="23" t="s">
        <v>115</v>
      </c>
      <c r="G595" s="23" t="s">
        <v>115</v>
      </c>
      <c r="H595" s="23" t="s">
        <v>325</v>
      </c>
      <c r="I595" s="23">
        <v>4</v>
      </c>
      <c r="J595" s="40">
        <v>1</v>
      </c>
      <c r="K595" s="40">
        <v>1</v>
      </c>
      <c r="L595" s="40" t="s">
        <v>115</v>
      </c>
      <c r="O595" s="40" t="s">
        <v>115</v>
      </c>
      <c r="Q595" s="40">
        <v>34</v>
      </c>
      <c r="R595" s="40" t="s">
        <v>115</v>
      </c>
      <c r="X595" s="40">
        <v>90070202</v>
      </c>
      <c r="Y595" s="40" t="s">
        <v>115</v>
      </c>
      <c r="Z595" s="40" t="s">
        <v>115</v>
      </c>
      <c r="AA595" s="40" t="s">
        <v>115</v>
      </c>
      <c r="AB595" s="40" t="s">
        <v>115</v>
      </c>
      <c r="AC595" s="40" t="s">
        <v>115</v>
      </c>
      <c r="AI595" s="40" t="s">
        <v>115</v>
      </c>
      <c r="AP595" s="4" t="s">
        <v>115</v>
      </c>
    </row>
    <row r="596" spans="1:42" x14ac:dyDescent="0.15">
      <c r="A596" s="40" t="s">
        <v>1</v>
      </c>
      <c r="B596" s="23">
        <v>90070202</v>
      </c>
      <c r="C596" s="23">
        <v>702</v>
      </c>
      <c r="D596" s="23">
        <v>7</v>
      </c>
      <c r="F596" s="23" t="s">
        <v>115</v>
      </c>
      <c r="G596" s="23" t="s">
        <v>115</v>
      </c>
      <c r="H596" s="23" t="s">
        <v>1234</v>
      </c>
      <c r="I596" s="23">
        <v>4</v>
      </c>
      <c r="J596" s="40">
        <v>0</v>
      </c>
      <c r="K596" s="40">
        <v>2</v>
      </c>
      <c r="L596" s="40" t="s">
        <v>757</v>
      </c>
      <c r="O596" s="40" t="s">
        <v>115</v>
      </c>
      <c r="Q596" s="40">
        <v>34</v>
      </c>
      <c r="R596" s="40" t="s">
        <v>115</v>
      </c>
      <c r="X596" s="40">
        <v>90070203</v>
      </c>
      <c r="Y596" s="40" t="s">
        <v>115</v>
      </c>
      <c r="Z596" s="40">
        <v>1</v>
      </c>
      <c r="AA596" s="40" t="s">
        <v>115</v>
      </c>
      <c r="AB596" s="40" t="s">
        <v>115</v>
      </c>
      <c r="AC596" s="40" t="s">
        <v>115</v>
      </c>
      <c r="AI596" s="40" t="s">
        <v>115</v>
      </c>
      <c r="AP596" s="4" t="s">
        <v>115</v>
      </c>
    </row>
    <row r="597" spans="1:42" x14ac:dyDescent="0.15">
      <c r="A597" s="40" t="s">
        <v>1</v>
      </c>
      <c r="B597" s="23">
        <v>90070203</v>
      </c>
      <c r="C597" s="23">
        <v>702</v>
      </c>
      <c r="D597" s="23">
        <v>7</v>
      </c>
      <c r="F597" s="23" t="s">
        <v>115</v>
      </c>
      <c r="G597" s="23" t="s">
        <v>115</v>
      </c>
      <c r="H597" s="23" t="s">
        <v>1235</v>
      </c>
      <c r="I597" s="23">
        <v>4</v>
      </c>
      <c r="J597" s="40">
        <v>0</v>
      </c>
      <c r="K597" s="40">
        <v>3</v>
      </c>
      <c r="L597" s="40" t="s">
        <v>115</v>
      </c>
      <c r="O597" s="40" t="s">
        <v>115</v>
      </c>
      <c r="Q597" s="40">
        <v>34</v>
      </c>
      <c r="R597" s="40" t="s">
        <v>115</v>
      </c>
      <c r="X597" s="40" t="s">
        <v>2272</v>
      </c>
      <c r="Y597" s="40">
        <v>1</v>
      </c>
      <c r="Z597" s="40">
        <v>2</v>
      </c>
      <c r="AA597" s="40" t="s">
        <v>115</v>
      </c>
      <c r="AB597" s="40" t="s">
        <v>115</v>
      </c>
      <c r="AC597" s="40" t="s">
        <v>115</v>
      </c>
      <c r="AI597" s="40" t="s">
        <v>115</v>
      </c>
      <c r="AP597" s="4" t="s">
        <v>115</v>
      </c>
    </row>
    <row r="598" spans="1:42" x14ac:dyDescent="0.15">
      <c r="A598" s="40" t="s">
        <v>1</v>
      </c>
      <c r="B598" s="23">
        <v>90070204</v>
      </c>
      <c r="C598" s="23">
        <v>702</v>
      </c>
      <c r="D598" s="23">
        <v>7</v>
      </c>
      <c r="F598" s="23" t="s">
        <v>115</v>
      </c>
      <c r="G598" s="23" t="s">
        <v>115</v>
      </c>
      <c r="H598" s="23" t="s">
        <v>911</v>
      </c>
      <c r="I598" s="23">
        <v>4</v>
      </c>
      <c r="J598" s="40">
        <v>0</v>
      </c>
      <c r="K598" s="40">
        <v>4</v>
      </c>
      <c r="L598" s="40" t="s">
        <v>115</v>
      </c>
      <c r="O598" s="40" t="s">
        <v>115</v>
      </c>
      <c r="Q598" s="40">
        <v>34</v>
      </c>
      <c r="R598" s="40" t="s">
        <v>115</v>
      </c>
      <c r="X598" s="40">
        <v>90070206</v>
      </c>
      <c r="Y598" s="40">
        <v>-1</v>
      </c>
      <c r="Z598" s="40">
        <v>3</v>
      </c>
      <c r="AA598" s="40" t="s">
        <v>327</v>
      </c>
      <c r="AB598" s="40" t="s">
        <v>115</v>
      </c>
      <c r="AC598" s="40" t="s">
        <v>115</v>
      </c>
      <c r="AI598" s="40" t="s">
        <v>115</v>
      </c>
      <c r="AP598" s="4" t="s">
        <v>115</v>
      </c>
    </row>
    <row r="599" spans="1:42" x14ac:dyDescent="0.15">
      <c r="A599" s="40" t="s">
        <v>1</v>
      </c>
      <c r="B599" s="23">
        <v>90070205</v>
      </c>
      <c r="C599" s="23">
        <v>702</v>
      </c>
      <c r="D599" s="23">
        <v>7</v>
      </c>
      <c r="F599" s="23" t="s">
        <v>115</v>
      </c>
      <c r="G599" s="23" t="s">
        <v>115</v>
      </c>
      <c r="H599" s="23" t="s">
        <v>912</v>
      </c>
      <c r="I599" s="23">
        <v>4</v>
      </c>
      <c r="J599" s="40">
        <v>0</v>
      </c>
      <c r="K599" s="40">
        <v>5</v>
      </c>
      <c r="L599" s="40" t="s">
        <v>115</v>
      </c>
      <c r="O599" s="40" t="s">
        <v>115</v>
      </c>
      <c r="Q599" s="40">
        <v>34</v>
      </c>
      <c r="R599" s="40" t="s">
        <v>115</v>
      </c>
      <c r="X599" s="40">
        <v>90070209</v>
      </c>
      <c r="Y599" s="40">
        <v>-1</v>
      </c>
      <c r="Z599" s="40">
        <v>3</v>
      </c>
      <c r="AA599" s="40" t="s">
        <v>115</v>
      </c>
      <c r="AB599" s="40" t="s">
        <v>115</v>
      </c>
      <c r="AC599" s="40" t="s">
        <v>288</v>
      </c>
      <c r="AI599" s="40" t="s">
        <v>115</v>
      </c>
      <c r="AP599" s="4" t="s">
        <v>115</v>
      </c>
    </row>
    <row r="600" spans="1:42" x14ac:dyDescent="0.15">
      <c r="A600" s="40" t="s">
        <v>1</v>
      </c>
      <c r="B600" s="23">
        <v>90070206</v>
      </c>
      <c r="C600" s="23">
        <v>702</v>
      </c>
      <c r="D600" s="23">
        <v>7</v>
      </c>
      <c r="F600" s="23" t="s">
        <v>116</v>
      </c>
      <c r="G600" s="23">
        <v>312</v>
      </c>
      <c r="H600" s="23" t="s">
        <v>1236</v>
      </c>
      <c r="I600" s="23">
        <v>0</v>
      </c>
      <c r="J600" s="40">
        <v>0</v>
      </c>
      <c r="K600" s="40">
        <v>0</v>
      </c>
      <c r="L600" s="40" t="s">
        <v>115</v>
      </c>
      <c r="O600" s="40" t="s">
        <v>115</v>
      </c>
      <c r="Q600" s="40">
        <v>34</v>
      </c>
      <c r="R600" s="40">
        <v>243</v>
      </c>
      <c r="X600" s="40">
        <v>90070207</v>
      </c>
      <c r="Y600" s="40" t="s">
        <v>115</v>
      </c>
      <c r="Z600" s="40" t="s">
        <v>115</v>
      </c>
      <c r="AA600" s="40" t="s">
        <v>115</v>
      </c>
      <c r="AB600" s="40" t="s">
        <v>115</v>
      </c>
      <c r="AC600" s="40" t="s">
        <v>115</v>
      </c>
      <c r="AI600" s="40" t="s">
        <v>115</v>
      </c>
      <c r="AP600" s="4" t="s">
        <v>115</v>
      </c>
    </row>
    <row r="601" spans="1:42" x14ac:dyDescent="0.15">
      <c r="A601" s="40" t="s">
        <v>1</v>
      </c>
      <c r="B601" s="23">
        <v>90070207</v>
      </c>
      <c r="C601" s="23">
        <v>702</v>
      </c>
      <c r="D601" s="23">
        <v>7</v>
      </c>
      <c r="F601" s="23" t="s">
        <v>322</v>
      </c>
      <c r="G601" s="23" t="s">
        <v>115</v>
      </c>
      <c r="H601" s="23" t="s">
        <v>2273</v>
      </c>
      <c r="I601" s="23">
        <v>3</v>
      </c>
      <c r="J601" s="40">
        <v>0</v>
      </c>
      <c r="K601" s="40">
        <v>6</v>
      </c>
      <c r="L601" s="40" t="s">
        <v>759</v>
      </c>
      <c r="O601" s="40" t="s">
        <v>115</v>
      </c>
      <c r="Q601" s="40">
        <v>34</v>
      </c>
      <c r="R601" s="40">
        <v>243</v>
      </c>
      <c r="X601" s="40">
        <v>90070208</v>
      </c>
      <c r="Y601" s="40" t="s">
        <v>115</v>
      </c>
      <c r="Z601" s="40">
        <v>5</v>
      </c>
      <c r="AA601" s="40" t="s">
        <v>115</v>
      </c>
      <c r="AB601" s="40" t="s">
        <v>115</v>
      </c>
      <c r="AC601" s="40" t="s">
        <v>115</v>
      </c>
      <c r="AI601" s="40" t="s">
        <v>115</v>
      </c>
      <c r="AP601" s="4" t="s">
        <v>115</v>
      </c>
    </row>
    <row r="602" spans="1:42" x14ac:dyDescent="0.15">
      <c r="A602" s="40" t="s">
        <v>1</v>
      </c>
      <c r="B602" s="23">
        <v>90070208</v>
      </c>
      <c r="C602" s="23">
        <v>702</v>
      </c>
      <c r="D602" s="23">
        <v>7</v>
      </c>
      <c r="F602" s="23" t="s">
        <v>116</v>
      </c>
      <c r="G602" s="23">
        <v>312</v>
      </c>
      <c r="H602" s="23" t="s">
        <v>2274</v>
      </c>
      <c r="I602" s="23">
        <v>0</v>
      </c>
      <c r="J602" s="40">
        <v>0</v>
      </c>
      <c r="K602" s="40">
        <v>7</v>
      </c>
      <c r="L602" s="40" t="s">
        <v>115</v>
      </c>
      <c r="O602" s="40">
        <v>1</v>
      </c>
      <c r="Q602" s="40">
        <v>34</v>
      </c>
      <c r="R602" s="40" t="s">
        <v>115</v>
      </c>
      <c r="X602" s="40" t="s">
        <v>115</v>
      </c>
      <c r="Y602" s="40" t="s">
        <v>115</v>
      </c>
      <c r="Z602" s="40">
        <v>6</v>
      </c>
      <c r="AA602" s="40" t="s">
        <v>115</v>
      </c>
      <c r="AB602" s="40" t="s">
        <v>115</v>
      </c>
      <c r="AC602" s="40" t="s">
        <v>115</v>
      </c>
      <c r="AI602" s="40" t="s">
        <v>115</v>
      </c>
      <c r="AP602" s="40" t="s">
        <v>2275</v>
      </c>
    </row>
    <row r="603" spans="1:42" x14ac:dyDescent="0.15">
      <c r="A603" s="40" t="s">
        <v>1</v>
      </c>
      <c r="B603" s="23">
        <v>90070209</v>
      </c>
      <c r="C603" s="23">
        <v>702</v>
      </c>
      <c r="D603" s="23">
        <v>7</v>
      </c>
      <c r="F603" s="23" t="s">
        <v>115</v>
      </c>
      <c r="G603" s="23" t="s">
        <v>115</v>
      </c>
      <c r="H603" s="23" t="s">
        <v>329</v>
      </c>
      <c r="I603" s="23">
        <v>4</v>
      </c>
      <c r="J603" s="40">
        <v>0</v>
      </c>
      <c r="K603" s="40">
        <v>0</v>
      </c>
      <c r="L603" s="40" t="s">
        <v>115</v>
      </c>
      <c r="O603" s="40" t="s">
        <v>115</v>
      </c>
      <c r="Q603" s="40">
        <v>34</v>
      </c>
      <c r="R603" s="40" t="s">
        <v>115</v>
      </c>
      <c r="X603" s="40">
        <v>90070210</v>
      </c>
      <c r="Y603" s="40" t="s">
        <v>115</v>
      </c>
      <c r="Z603" s="40" t="s">
        <v>115</v>
      </c>
      <c r="AA603" s="40" t="s">
        <v>115</v>
      </c>
      <c r="AB603" s="40" t="s">
        <v>115</v>
      </c>
      <c r="AC603" s="40" t="s">
        <v>115</v>
      </c>
      <c r="AI603" s="40" t="s">
        <v>115</v>
      </c>
      <c r="AP603" s="4" t="s">
        <v>115</v>
      </c>
    </row>
    <row r="604" spans="1:42" x14ac:dyDescent="0.15">
      <c r="A604" s="40" t="s">
        <v>1</v>
      </c>
      <c r="B604" s="23">
        <v>90070210</v>
      </c>
      <c r="C604" s="23">
        <v>702</v>
      </c>
      <c r="D604" s="23">
        <v>7</v>
      </c>
      <c r="F604" s="23" t="s">
        <v>115</v>
      </c>
      <c r="G604" s="23" t="s">
        <v>115</v>
      </c>
      <c r="H604" s="23" t="s">
        <v>330</v>
      </c>
      <c r="I604" s="23">
        <v>4</v>
      </c>
      <c r="J604" s="40">
        <v>0</v>
      </c>
      <c r="K604" s="40">
        <v>0</v>
      </c>
      <c r="L604" s="40" t="s">
        <v>115</v>
      </c>
      <c r="O604" s="40" t="s">
        <v>115</v>
      </c>
      <c r="Q604" s="40">
        <v>34</v>
      </c>
      <c r="R604" s="40">
        <v>243</v>
      </c>
      <c r="X604" s="40">
        <v>90070211</v>
      </c>
      <c r="Y604" s="40" t="s">
        <v>115</v>
      </c>
      <c r="Z604" s="40" t="s">
        <v>115</v>
      </c>
      <c r="AA604" s="40" t="s">
        <v>115</v>
      </c>
      <c r="AB604" s="40" t="s">
        <v>115</v>
      </c>
      <c r="AC604" s="40" t="s">
        <v>115</v>
      </c>
      <c r="AI604" s="40" t="s">
        <v>115</v>
      </c>
      <c r="AP604" s="4" t="s">
        <v>115</v>
      </c>
    </row>
    <row r="605" spans="1:42" x14ac:dyDescent="0.15">
      <c r="A605" s="40" t="s">
        <v>1</v>
      </c>
      <c r="B605" s="23">
        <v>90070211</v>
      </c>
      <c r="C605" s="23">
        <v>702</v>
      </c>
      <c r="D605" s="23">
        <v>7</v>
      </c>
      <c r="F605" s="23" t="s">
        <v>322</v>
      </c>
      <c r="G605" s="23" t="s">
        <v>115</v>
      </c>
      <c r="H605" s="23" t="s">
        <v>2276</v>
      </c>
      <c r="I605" s="23">
        <v>3</v>
      </c>
      <c r="J605" s="40">
        <v>0</v>
      </c>
      <c r="K605" s="40">
        <v>8</v>
      </c>
      <c r="L605" s="40" t="s">
        <v>759</v>
      </c>
      <c r="O605" s="40">
        <v>1</v>
      </c>
      <c r="Q605" s="40">
        <v>34</v>
      </c>
      <c r="R605" s="40">
        <v>243</v>
      </c>
      <c r="X605" s="40" t="s">
        <v>115</v>
      </c>
      <c r="Y605" s="40" t="s">
        <v>115</v>
      </c>
      <c r="Z605" s="40">
        <v>7</v>
      </c>
      <c r="AA605" s="40" t="s">
        <v>115</v>
      </c>
      <c r="AB605" s="40" t="s">
        <v>115</v>
      </c>
      <c r="AC605" s="40" t="s">
        <v>115</v>
      </c>
      <c r="AI605" s="40" t="s">
        <v>115</v>
      </c>
      <c r="AP605" s="4" t="s">
        <v>2275</v>
      </c>
    </row>
    <row r="606" spans="1:42" x14ac:dyDescent="0.15">
      <c r="A606" s="40" t="s">
        <v>1</v>
      </c>
      <c r="B606" s="23" t="s">
        <v>269</v>
      </c>
      <c r="C606" s="23">
        <v>703</v>
      </c>
      <c r="D606" s="23">
        <v>7</v>
      </c>
      <c r="F606" s="23" t="s">
        <v>115</v>
      </c>
      <c r="G606" s="23" t="s">
        <v>115</v>
      </c>
      <c r="H606" s="23" t="s">
        <v>331</v>
      </c>
      <c r="I606" s="23">
        <v>4</v>
      </c>
      <c r="J606" s="40">
        <v>1</v>
      </c>
      <c r="K606" s="40">
        <v>1</v>
      </c>
      <c r="L606" s="40" t="s">
        <v>115</v>
      </c>
      <c r="O606" s="40" t="s">
        <v>115</v>
      </c>
      <c r="Q606" s="40">
        <v>118</v>
      </c>
      <c r="R606" s="40" t="s">
        <v>115</v>
      </c>
      <c r="X606" s="40">
        <v>90070302</v>
      </c>
      <c r="Y606" s="40" t="s">
        <v>115</v>
      </c>
      <c r="Z606" s="40" t="s">
        <v>115</v>
      </c>
      <c r="AA606" s="40" t="s">
        <v>115</v>
      </c>
      <c r="AB606" s="40" t="s">
        <v>115</v>
      </c>
      <c r="AC606" s="40" t="s">
        <v>115</v>
      </c>
      <c r="AI606" s="40" t="s">
        <v>115</v>
      </c>
      <c r="AP606" s="4" t="s">
        <v>115</v>
      </c>
    </row>
    <row r="607" spans="1:42" x14ac:dyDescent="0.15">
      <c r="A607" s="40" t="s">
        <v>1</v>
      </c>
      <c r="B607" s="23">
        <v>90070302</v>
      </c>
      <c r="C607" s="23">
        <v>703</v>
      </c>
      <c r="D607" s="23">
        <v>7</v>
      </c>
      <c r="F607" s="23" t="s">
        <v>116</v>
      </c>
      <c r="G607" s="23">
        <v>313</v>
      </c>
      <c r="H607" s="23" t="s">
        <v>332</v>
      </c>
      <c r="I607" s="23">
        <v>0</v>
      </c>
      <c r="J607" s="40">
        <v>0</v>
      </c>
      <c r="K607" s="40">
        <v>0</v>
      </c>
      <c r="L607" s="40" t="s">
        <v>115</v>
      </c>
      <c r="O607" s="40" t="s">
        <v>115</v>
      </c>
      <c r="Q607" s="40">
        <v>118</v>
      </c>
      <c r="R607" s="40" t="s">
        <v>115</v>
      </c>
      <c r="X607" s="40">
        <v>90070303</v>
      </c>
      <c r="Y607" s="40" t="s">
        <v>115</v>
      </c>
      <c r="Z607" s="40" t="s">
        <v>115</v>
      </c>
      <c r="AA607" s="40" t="s">
        <v>115</v>
      </c>
      <c r="AB607" s="40" t="s">
        <v>115</v>
      </c>
      <c r="AC607" s="40" t="s">
        <v>115</v>
      </c>
      <c r="AI607" s="40" t="s">
        <v>115</v>
      </c>
      <c r="AP607" s="4" t="s">
        <v>115</v>
      </c>
    </row>
    <row r="608" spans="1:42" x14ac:dyDescent="0.15">
      <c r="A608" s="40" t="s">
        <v>1</v>
      </c>
      <c r="B608" s="23">
        <v>90070303</v>
      </c>
      <c r="C608" s="23">
        <v>703</v>
      </c>
      <c r="D608" s="23">
        <v>7</v>
      </c>
      <c r="F608" s="23" t="s">
        <v>115</v>
      </c>
      <c r="G608" s="23" t="s">
        <v>115</v>
      </c>
      <c r="H608" s="23" t="s">
        <v>333</v>
      </c>
      <c r="I608" s="23">
        <v>4</v>
      </c>
      <c r="J608" s="40">
        <v>0</v>
      </c>
      <c r="K608" s="40">
        <v>0</v>
      </c>
      <c r="L608" s="40" t="s">
        <v>115</v>
      </c>
      <c r="O608" s="40" t="s">
        <v>115</v>
      </c>
      <c r="Q608" s="40">
        <v>118</v>
      </c>
      <c r="R608" s="40" t="s">
        <v>115</v>
      </c>
      <c r="X608" s="40">
        <v>90070304</v>
      </c>
      <c r="Y608" s="40" t="s">
        <v>115</v>
      </c>
      <c r="Z608" s="40" t="s">
        <v>115</v>
      </c>
      <c r="AA608" s="40" t="s">
        <v>115</v>
      </c>
      <c r="AB608" s="40" t="s">
        <v>115</v>
      </c>
      <c r="AC608" s="40" t="s">
        <v>115</v>
      </c>
      <c r="AI608" s="40" t="s">
        <v>115</v>
      </c>
      <c r="AP608" s="4" t="s">
        <v>115</v>
      </c>
    </row>
    <row r="609" spans="1:42" x14ac:dyDescent="0.15">
      <c r="A609" s="40" t="s">
        <v>1</v>
      </c>
      <c r="B609" s="23">
        <v>90070304</v>
      </c>
      <c r="C609" s="23">
        <v>703</v>
      </c>
      <c r="D609" s="23">
        <v>7</v>
      </c>
      <c r="F609" s="23" t="s">
        <v>115</v>
      </c>
      <c r="G609" s="23" t="s">
        <v>115</v>
      </c>
      <c r="H609" s="23" t="s">
        <v>334</v>
      </c>
      <c r="I609" s="23">
        <v>4</v>
      </c>
      <c r="J609" s="40">
        <v>0</v>
      </c>
      <c r="K609" s="40">
        <v>0</v>
      </c>
      <c r="L609" s="40" t="s">
        <v>115</v>
      </c>
      <c r="O609" s="40" t="s">
        <v>115</v>
      </c>
      <c r="Q609" s="40">
        <v>118</v>
      </c>
      <c r="R609" s="40" t="s">
        <v>115</v>
      </c>
      <c r="X609" s="40">
        <v>90070305</v>
      </c>
      <c r="Y609" s="40" t="s">
        <v>115</v>
      </c>
      <c r="Z609" s="40" t="s">
        <v>115</v>
      </c>
      <c r="AA609" s="40" t="s">
        <v>115</v>
      </c>
      <c r="AB609" s="40" t="s">
        <v>115</v>
      </c>
      <c r="AC609" s="40" t="s">
        <v>115</v>
      </c>
      <c r="AI609" s="40" t="s">
        <v>115</v>
      </c>
      <c r="AP609" s="40" t="s">
        <v>115</v>
      </c>
    </row>
    <row r="610" spans="1:42" x14ac:dyDescent="0.15">
      <c r="A610" s="40" t="s">
        <v>1</v>
      </c>
      <c r="B610" s="23">
        <v>90070305</v>
      </c>
      <c r="C610" s="23">
        <v>703</v>
      </c>
      <c r="D610" s="23">
        <v>7</v>
      </c>
      <c r="F610" s="23" t="s">
        <v>116</v>
      </c>
      <c r="G610" s="23">
        <v>312</v>
      </c>
      <c r="H610" s="23" t="s">
        <v>1237</v>
      </c>
      <c r="I610" s="23">
        <v>0</v>
      </c>
      <c r="J610" s="40">
        <v>0</v>
      </c>
      <c r="K610" s="40">
        <v>0</v>
      </c>
      <c r="L610" s="40" t="s">
        <v>115</v>
      </c>
      <c r="O610" s="40" t="s">
        <v>115</v>
      </c>
      <c r="Q610" s="40">
        <v>118</v>
      </c>
      <c r="R610" s="40">
        <v>239</v>
      </c>
      <c r="X610" s="40">
        <v>90070306</v>
      </c>
      <c r="Y610" s="40" t="s">
        <v>115</v>
      </c>
      <c r="Z610" s="40" t="s">
        <v>115</v>
      </c>
      <c r="AA610" s="40" t="s">
        <v>115</v>
      </c>
      <c r="AB610" s="40" t="s">
        <v>115</v>
      </c>
      <c r="AC610" s="40" t="s">
        <v>115</v>
      </c>
      <c r="AI610" s="40" t="s">
        <v>115</v>
      </c>
      <c r="AP610" s="4" t="s">
        <v>115</v>
      </c>
    </row>
    <row r="611" spans="1:42" x14ac:dyDescent="0.15">
      <c r="A611" s="40" t="s">
        <v>1</v>
      </c>
      <c r="B611" s="23">
        <v>90070306</v>
      </c>
      <c r="C611" s="23">
        <v>703</v>
      </c>
      <c r="D611" s="23">
        <v>7</v>
      </c>
      <c r="F611" s="23" t="s">
        <v>335</v>
      </c>
      <c r="G611" s="23" t="s">
        <v>115</v>
      </c>
      <c r="H611" s="23" t="s">
        <v>1238</v>
      </c>
      <c r="I611" s="23">
        <v>3</v>
      </c>
      <c r="J611" s="40">
        <v>0</v>
      </c>
      <c r="K611" s="40">
        <v>2</v>
      </c>
      <c r="L611" s="40" t="s">
        <v>115</v>
      </c>
      <c r="O611" s="40" t="s">
        <v>115</v>
      </c>
      <c r="Q611" s="40">
        <v>118</v>
      </c>
      <c r="R611" s="40">
        <v>239</v>
      </c>
      <c r="X611" s="40" t="s">
        <v>2277</v>
      </c>
      <c r="Y611" s="40">
        <v>1</v>
      </c>
      <c r="Z611" s="40">
        <v>1</v>
      </c>
      <c r="AA611" s="40" t="s">
        <v>115</v>
      </c>
      <c r="AB611" s="40" t="s">
        <v>115</v>
      </c>
      <c r="AC611" s="40" t="s">
        <v>115</v>
      </c>
      <c r="AI611" s="40" t="s">
        <v>115</v>
      </c>
      <c r="AP611" s="4" t="s">
        <v>115</v>
      </c>
    </row>
    <row r="612" spans="1:42" x14ac:dyDescent="0.15">
      <c r="A612" s="40" t="s">
        <v>1</v>
      </c>
      <c r="B612" s="23">
        <v>90070307</v>
      </c>
      <c r="C612" s="23">
        <v>703</v>
      </c>
      <c r="D612" s="23">
        <v>7</v>
      </c>
      <c r="F612" s="23" t="s">
        <v>115</v>
      </c>
      <c r="G612" s="23" t="s">
        <v>115</v>
      </c>
      <c r="H612" s="23" t="s">
        <v>336</v>
      </c>
      <c r="I612" s="23">
        <v>4</v>
      </c>
      <c r="J612" s="40">
        <v>0</v>
      </c>
      <c r="K612" s="40">
        <v>3</v>
      </c>
      <c r="L612" s="40" t="s">
        <v>115</v>
      </c>
      <c r="O612" s="40" t="s">
        <v>115</v>
      </c>
      <c r="Q612" s="40">
        <v>118</v>
      </c>
      <c r="R612" s="40">
        <v>239</v>
      </c>
      <c r="X612" s="40">
        <v>90070308</v>
      </c>
      <c r="Y612" s="40">
        <v>-1</v>
      </c>
      <c r="Z612" s="40">
        <v>2</v>
      </c>
      <c r="AA612" s="40" t="s">
        <v>115</v>
      </c>
      <c r="AB612" s="40" t="s">
        <v>115</v>
      </c>
      <c r="AC612" s="40" t="s">
        <v>289</v>
      </c>
      <c r="AI612" s="40" t="s">
        <v>115</v>
      </c>
      <c r="AP612" s="4" t="s">
        <v>115</v>
      </c>
    </row>
    <row r="613" spans="1:42" x14ac:dyDescent="0.15">
      <c r="A613" s="40" t="s">
        <v>1</v>
      </c>
      <c r="B613" s="23">
        <v>90070308</v>
      </c>
      <c r="C613" s="23">
        <v>703</v>
      </c>
      <c r="D613" s="23">
        <v>7</v>
      </c>
      <c r="F613" s="23" t="s">
        <v>335</v>
      </c>
      <c r="G613" s="23" t="s">
        <v>115</v>
      </c>
      <c r="H613" s="23" t="s">
        <v>1239</v>
      </c>
      <c r="I613" s="23">
        <v>3</v>
      </c>
      <c r="J613" s="40">
        <v>0</v>
      </c>
      <c r="K613" s="40">
        <v>0</v>
      </c>
      <c r="L613" s="40" t="s">
        <v>115</v>
      </c>
      <c r="O613" s="40" t="s">
        <v>115</v>
      </c>
      <c r="Q613" s="40">
        <v>118</v>
      </c>
      <c r="R613" s="40">
        <v>239</v>
      </c>
      <c r="X613" s="40">
        <v>90070309</v>
      </c>
      <c r="Y613" s="40" t="s">
        <v>115</v>
      </c>
      <c r="Z613" s="40" t="s">
        <v>115</v>
      </c>
      <c r="AA613" s="40" t="s">
        <v>115</v>
      </c>
      <c r="AB613" s="40" t="s">
        <v>115</v>
      </c>
      <c r="AC613" s="40" t="s">
        <v>115</v>
      </c>
      <c r="AI613" s="40" t="s">
        <v>115</v>
      </c>
      <c r="AP613" s="4" t="s">
        <v>115</v>
      </c>
    </row>
    <row r="614" spans="1:42" x14ac:dyDescent="0.15">
      <c r="A614" s="40" t="s">
        <v>1</v>
      </c>
      <c r="B614" s="23">
        <v>90070309</v>
      </c>
      <c r="C614" s="23">
        <v>703</v>
      </c>
      <c r="D614" s="23">
        <v>7</v>
      </c>
      <c r="F614" s="23" t="s">
        <v>116</v>
      </c>
      <c r="G614" s="23">
        <v>314</v>
      </c>
      <c r="H614" s="23" t="s">
        <v>1240</v>
      </c>
      <c r="I614" s="23">
        <v>0</v>
      </c>
      <c r="J614" s="40">
        <v>0</v>
      </c>
      <c r="K614" s="40">
        <v>0</v>
      </c>
      <c r="L614" s="40" t="s">
        <v>115</v>
      </c>
      <c r="O614" s="40" t="s">
        <v>115</v>
      </c>
      <c r="Q614" s="40">
        <v>118</v>
      </c>
      <c r="R614" s="40">
        <v>239</v>
      </c>
      <c r="X614" s="40">
        <v>90070310</v>
      </c>
      <c r="Y614" s="40" t="s">
        <v>115</v>
      </c>
      <c r="Z614" s="40" t="s">
        <v>115</v>
      </c>
      <c r="AA614" s="40" t="s">
        <v>115</v>
      </c>
      <c r="AB614" s="40" t="s">
        <v>115</v>
      </c>
      <c r="AC614" s="40" t="s">
        <v>115</v>
      </c>
      <c r="AI614" s="40" t="s">
        <v>115</v>
      </c>
      <c r="AP614" s="4" t="s">
        <v>115</v>
      </c>
    </row>
    <row r="615" spans="1:42" x14ac:dyDescent="0.15">
      <c r="A615" s="40" t="s">
        <v>1</v>
      </c>
      <c r="B615" s="23">
        <v>90070310</v>
      </c>
      <c r="C615" s="23">
        <v>703</v>
      </c>
      <c r="D615" s="23">
        <v>7</v>
      </c>
      <c r="F615" s="23" t="s">
        <v>116</v>
      </c>
      <c r="G615" s="23">
        <v>312</v>
      </c>
      <c r="H615" s="23" t="s">
        <v>1241</v>
      </c>
      <c r="I615" s="23">
        <v>2</v>
      </c>
      <c r="J615" s="40">
        <v>0</v>
      </c>
      <c r="K615" s="40">
        <v>4</v>
      </c>
      <c r="L615" s="40" t="s">
        <v>115</v>
      </c>
      <c r="O615" s="40">
        <v>1</v>
      </c>
      <c r="Q615" s="40">
        <v>118</v>
      </c>
      <c r="R615" s="40">
        <v>239</v>
      </c>
      <c r="X615" s="40" t="s">
        <v>115</v>
      </c>
      <c r="Y615" s="40" t="s">
        <v>115</v>
      </c>
      <c r="Z615" s="40">
        <v>3</v>
      </c>
      <c r="AA615" s="40" t="s">
        <v>115</v>
      </c>
      <c r="AB615" s="40" t="s">
        <v>115</v>
      </c>
      <c r="AC615" s="40" t="s">
        <v>115</v>
      </c>
      <c r="AI615" s="40" t="s">
        <v>115</v>
      </c>
      <c r="AP615" s="4" t="s">
        <v>2278</v>
      </c>
    </row>
    <row r="616" spans="1:42" x14ac:dyDescent="0.15">
      <c r="A616" s="40" t="s">
        <v>1</v>
      </c>
      <c r="B616" s="23" t="s">
        <v>270</v>
      </c>
      <c r="C616" s="23">
        <v>704</v>
      </c>
      <c r="D616" s="23">
        <v>7</v>
      </c>
      <c r="F616" s="23" t="s">
        <v>115</v>
      </c>
      <c r="G616" s="23" t="s">
        <v>115</v>
      </c>
      <c r="H616" s="23" t="s">
        <v>1242</v>
      </c>
      <c r="I616" s="23">
        <v>4</v>
      </c>
      <c r="J616" s="40">
        <v>1</v>
      </c>
      <c r="K616" s="40">
        <v>1</v>
      </c>
      <c r="L616" s="40" t="s">
        <v>115</v>
      </c>
      <c r="O616" s="40" t="s">
        <v>115</v>
      </c>
      <c r="Q616" s="40">
        <v>118</v>
      </c>
      <c r="R616" s="40" t="s">
        <v>115</v>
      </c>
      <c r="X616" s="40">
        <v>90070402</v>
      </c>
      <c r="Y616" s="40" t="s">
        <v>115</v>
      </c>
      <c r="Z616" s="40" t="s">
        <v>115</v>
      </c>
      <c r="AA616" s="40" t="s">
        <v>115</v>
      </c>
      <c r="AB616" s="40" t="s">
        <v>115</v>
      </c>
      <c r="AC616" s="40" t="s">
        <v>115</v>
      </c>
      <c r="AI616" s="40" t="s">
        <v>115</v>
      </c>
      <c r="AP616" s="4" t="s">
        <v>115</v>
      </c>
    </row>
    <row r="617" spans="1:42" x14ac:dyDescent="0.15">
      <c r="A617" s="40" t="s">
        <v>1</v>
      </c>
      <c r="B617" s="23">
        <v>90070402</v>
      </c>
      <c r="C617" s="23">
        <v>704</v>
      </c>
      <c r="D617" s="23">
        <v>7</v>
      </c>
      <c r="F617" s="23" t="s">
        <v>116</v>
      </c>
      <c r="G617" s="23">
        <v>314</v>
      </c>
      <c r="H617" s="23" t="s">
        <v>1243</v>
      </c>
      <c r="I617" s="23">
        <v>0</v>
      </c>
      <c r="J617" s="40">
        <v>0</v>
      </c>
      <c r="K617" s="40">
        <v>0</v>
      </c>
      <c r="L617" s="40" t="s">
        <v>115</v>
      </c>
      <c r="O617" s="40" t="s">
        <v>115</v>
      </c>
      <c r="Q617" s="40">
        <v>118</v>
      </c>
      <c r="R617" s="40" t="s">
        <v>115</v>
      </c>
      <c r="X617" s="40">
        <v>90070403</v>
      </c>
      <c r="Y617" s="40" t="s">
        <v>115</v>
      </c>
      <c r="Z617" s="40" t="s">
        <v>115</v>
      </c>
      <c r="AA617" s="40" t="s">
        <v>115</v>
      </c>
      <c r="AB617" s="40" t="s">
        <v>115</v>
      </c>
      <c r="AC617" s="40" t="s">
        <v>115</v>
      </c>
      <c r="AI617" s="40" t="s">
        <v>115</v>
      </c>
      <c r="AP617" s="4" t="s">
        <v>115</v>
      </c>
    </row>
    <row r="618" spans="1:42" x14ac:dyDescent="0.15">
      <c r="A618" s="40" t="s">
        <v>1</v>
      </c>
      <c r="B618" s="23">
        <v>90070403</v>
      </c>
      <c r="C618" s="23">
        <v>704</v>
      </c>
      <c r="D618" s="23">
        <v>7</v>
      </c>
      <c r="F618" s="23" t="s">
        <v>115</v>
      </c>
      <c r="G618" s="23" t="s">
        <v>115</v>
      </c>
      <c r="H618" s="23" t="s">
        <v>1244</v>
      </c>
      <c r="I618" s="23">
        <v>4</v>
      </c>
      <c r="J618" s="40">
        <v>0</v>
      </c>
      <c r="K618" s="40">
        <v>0</v>
      </c>
      <c r="L618" s="40" t="s">
        <v>115</v>
      </c>
      <c r="O618" s="40" t="s">
        <v>115</v>
      </c>
      <c r="Q618" s="40">
        <v>118</v>
      </c>
      <c r="R618" s="40" t="s">
        <v>115</v>
      </c>
      <c r="X618" s="40">
        <v>90070404</v>
      </c>
      <c r="Y618" s="40" t="s">
        <v>115</v>
      </c>
      <c r="Z618" s="40" t="s">
        <v>115</v>
      </c>
      <c r="AA618" s="40" t="s">
        <v>115</v>
      </c>
      <c r="AB618" s="40" t="s">
        <v>115</v>
      </c>
      <c r="AC618" s="40" t="s">
        <v>115</v>
      </c>
      <c r="AI618" s="40" t="s">
        <v>115</v>
      </c>
      <c r="AP618" s="4" t="s">
        <v>115</v>
      </c>
    </row>
    <row r="619" spans="1:42" x14ac:dyDescent="0.15">
      <c r="A619" s="40" t="s">
        <v>1</v>
      </c>
      <c r="B619" s="23">
        <v>90070404</v>
      </c>
      <c r="C619" s="23">
        <v>704</v>
      </c>
      <c r="D619" s="23">
        <v>7</v>
      </c>
      <c r="F619" s="23" t="s">
        <v>115</v>
      </c>
      <c r="G619" s="23" t="s">
        <v>115</v>
      </c>
      <c r="H619" s="23" t="s">
        <v>1245</v>
      </c>
      <c r="I619" s="23">
        <v>4</v>
      </c>
      <c r="J619" s="40">
        <v>0</v>
      </c>
      <c r="K619" s="40">
        <v>2</v>
      </c>
      <c r="L619" s="40" t="s">
        <v>115</v>
      </c>
      <c r="O619" s="40" t="s">
        <v>115</v>
      </c>
      <c r="Q619" s="40">
        <v>118</v>
      </c>
      <c r="R619" s="40" t="s">
        <v>115</v>
      </c>
      <c r="X619" s="40" t="s">
        <v>2279</v>
      </c>
      <c r="Y619" s="40">
        <v>1</v>
      </c>
      <c r="Z619" s="40">
        <v>1</v>
      </c>
      <c r="AA619" s="40" t="s">
        <v>115</v>
      </c>
      <c r="AB619" s="40" t="s">
        <v>115</v>
      </c>
      <c r="AC619" s="40" t="s">
        <v>115</v>
      </c>
      <c r="AI619" s="40" t="s">
        <v>115</v>
      </c>
      <c r="AP619" s="4" t="s">
        <v>115</v>
      </c>
    </row>
    <row r="620" spans="1:42" x14ac:dyDescent="0.15">
      <c r="A620" s="40" t="s">
        <v>1</v>
      </c>
      <c r="B620" s="23">
        <v>90070405</v>
      </c>
      <c r="C620" s="23">
        <v>704</v>
      </c>
      <c r="D620" s="23">
        <v>7</v>
      </c>
      <c r="F620" s="23" t="s">
        <v>115</v>
      </c>
      <c r="G620" s="23" t="s">
        <v>115</v>
      </c>
      <c r="H620" s="23" t="s">
        <v>339</v>
      </c>
      <c r="I620" s="23">
        <v>4</v>
      </c>
      <c r="J620" s="40">
        <v>0</v>
      </c>
      <c r="K620" s="40">
        <v>3</v>
      </c>
      <c r="L620" s="40" t="s">
        <v>115</v>
      </c>
      <c r="O620" s="40" t="s">
        <v>115</v>
      </c>
      <c r="Q620" s="40">
        <v>118</v>
      </c>
      <c r="R620" s="40" t="s">
        <v>115</v>
      </c>
      <c r="X620" s="40">
        <v>90070406</v>
      </c>
      <c r="Y620" s="40">
        <v>-1</v>
      </c>
      <c r="Z620" s="40">
        <v>2</v>
      </c>
      <c r="AA620" s="40" t="s">
        <v>115</v>
      </c>
      <c r="AB620" s="40" t="s">
        <v>115</v>
      </c>
      <c r="AC620" s="40" t="s">
        <v>290</v>
      </c>
      <c r="AI620" s="40" t="s">
        <v>115</v>
      </c>
      <c r="AP620" s="4" t="s">
        <v>115</v>
      </c>
    </row>
    <row r="621" spans="1:42" x14ac:dyDescent="0.15">
      <c r="A621" s="40" t="s">
        <v>1</v>
      </c>
      <c r="B621" s="23">
        <v>90070406</v>
      </c>
      <c r="C621" s="23">
        <v>704</v>
      </c>
      <c r="D621" s="23">
        <v>7</v>
      </c>
      <c r="F621" s="23" t="s">
        <v>115</v>
      </c>
      <c r="G621" s="23" t="s">
        <v>115</v>
      </c>
      <c r="H621" s="23" t="s">
        <v>2280</v>
      </c>
      <c r="I621" s="23">
        <v>4</v>
      </c>
      <c r="J621" s="40">
        <v>0</v>
      </c>
      <c r="K621" s="40">
        <v>0</v>
      </c>
      <c r="L621" s="40" t="s">
        <v>115</v>
      </c>
      <c r="O621" s="40" t="s">
        <v>115</v>
      </c>
      <c r="Q621" s="40">
        <v>118</v>
      </c>
      <c r="R621" s="40" t="s">
        <v>115</v>
      </c>
      <c r="X621" s="40">
        <v>90070407</v>
      </c>
      <c r="Y621" s="40" t="s">
        <v>115</v>
      </c>
      <c r="Z621" s="40" t="s">
        <v>115</v>
      </c>
      <c r="AA621" s="40" t="s">
        <v>115</v>
      </c>
      <c r="AB621" s="40" t="s">
        <v>115</v>
      </c>
      <c r="AC621" s="40" t="s">
        <v>115</v>
      </c>
      <c r="AI621" s="40" t="s">
        <v>115</v>
      </c>
      <c r="AP621" s="4" t="s">
        <v>115</v>
      </c>
    </row>
    <row r="622" spans="1:42" x14ac:dyDescent="0.15">
      <c r="A622" s="40" t="s">
        <v>1</v>
      </c>
      <c r="B622" s="23">
        <v>90070407</v>
      </c>
      <c r="C622" s="23">
        <v>704</v>
      </c>
      <c r="D622" s="23">
        <v>7</v>
      </c>
      <c r="F622" s="23" t="s">
        <v>116</v>
      </c>
      <c r="G622" s="23">
        <v>312</v>
      </c>
      <c r="H622" s="23" t="s">
        <v>2281</v>
      </c>
      <c r="I622" s="23">
        <v>2</v>
      </c>
      <c r="J622" s="40">
        <v>0</v>
      </c>
      <c r="K622" s="40">
        <v>0</v>
      </c>
      <c r="L622" s="40" t="s">
        <v>115</v>
      </c>
      <c r="O622" s="40" t="s">
        <v>115</v>
      </c>
      <c r="Q622" s="40">
        <v>118</v>
      </c>
      <c r="R622" s="40" t="s">
        <v>115</v>
      </c>
      <c r="X622" s="40">
        <v>90070408</v>
      </c>
      <c r="Y622" s="40" t="s">
        <v>115</v>
      </c>
      <c r="Z622" s="40" t="s">
        <v>115</v>
      </c>
      <c r="AA622" s="40" t="s">
        <v>115</v>
      </c>
      <c r="AB622" s="40" t="s">
        <v>115</v>
      </c>
      <c r="AC622" s="40" t="s">
        <v>115</v>
      </c>
      <c r="AI622" s="40" t="s">
        <v>115</v>
      </c>
      <c r="AP622" s="4" t="s">
        <v>115</v>
      </c>
    </row>
    <row r="623" spans="1:42" x14ac:dyDescent="0.15">
      <c r="A623" s="40" t="s">
        <v>1</v>
      </c>
      <c r="B623" s="23">
        <v>90070408</v>
      </c>
      <c r="C623" s="23">
        <v>704</v>
      </c>
      <c r="D623" s="23">
        <v>7</v>
      </c>
      <c r="F623" s="23" t="s">
        <v>116</v>
      </c>
      <c r="G623" s="23">
        <v>312</v>
      </c>
      <c r="H623" s="23" t="s">
        <v>2282</v>
      </c>
      <c r="I623" s="23">
        <v>2</v>
      </c>
      <c r="J623" s="40">
        <v>0</v>
      </c>
      <c r="K623" s="40">
        <v>4</v>
      </c>
      <c r="L623" s="40" t="s">
        <v>115</v>
      </c>
      <c r="O623" s="40">
        <v>1</v>
      </c>
      <c r="Q623" s="40">
        <v>118</v>
      </c>
      <c r="R623" s="40" t="s">
        <v>115</v>
      </c>
      <c r="X623" s="40" t="s">
        <v>115</v>
      </c>
      <c r="Y623" s="40" t="s">
        <v>115</v>
      </c>
      <c r="Z623" s="40">
        <v>3</v>
      </c>
      <c r="AA623" s="40" t="s">
        <v>115</v>
      </c>
      <c r="AB623" s="40" t="s">
        <v>115</v>
      </c>
      <c r="AC623" s="40" t="s">
        <v>115</v>
      </c>
      <c r="AI623" s="40" t="s">
        <v>115</v>
      </c>
      <c r="AP623" s="4" t="s">
        <v>2283</v>
      </c>
    </row>
    <row r="624" spans="1:42" x14ac:dyDescent="0.15">
      <c r="A624" s="40" t="s">
        <v>1</v>
      </c>
      <c r="B624" s="23" t="s">
        <v>2284</v>
      </c>
      <c r="C624" s="23">
        <v>705</v>
      </c>
      <c r="D624" s="23">
        <v>7</v>
      </c>
      <c r="F624" s="23" t="s">
        <v>115</v>
      </c>
      <c r="G624" s="23" t="s">
        <v>115</v>
      </c>
      <c r="H624" s="23" t="s">
        <v>341</v>
      </c>
      <c r="I624" s="23">
        <v>4</v>
      </c>
      <c r="J624" s="40">
        <v>1</v>
      </c>
      <c r="K624" s="40">
        <v>1</v>
      </c>
      <c r="L624" s="40" t="s">
        <v>115</v>
      </c>
      <c r="O624" s="40" t="s">
        <v>115</v>
      </c>
      <c r="Q624" s="40">
        <v>205</v>
      </c>
      <c r="R624" s="40" t="s">
        <v>115</v>
      </c>
      <c r="X624" s="40">
        <v>90070502</v>
      </c>
      <c r="Y624" s="40" t="s">
        <v>115</v>
      </c>
      <c r="Z624" s="40" t="s">
        <v>115</v>
      </c>
      <c r="AA624" s="40" t="s">
        <v>115</v>
      </c>
      <c r="AB624" s="40" t="s">
        <v>115</v>
      </c>
      <c r="AC624" s="40" t="s">
        <v>115</v>
      </c>
      <c r="AI624" s="40" t="s">
        <v>115</v>
      </c>
      <c r="AP624" s="4" t="s">
        <v>115</v>
      </c>
    </row>
    <row r="625" spans="1:42" x14ac:dyDescent="0.15">
      <c r="A625" s="40" t="s">
        <v>1</v>
      </c>
      <c r="B625" s="23">
        <v>90070502</v>
      </c>
      <c r="C625" s="23">
        <v>705</v>
      </c>
      <c r="D625" s="23">
        <v>7</v>
      </c>
      <c r="F625" s="23" t="s">
        <v>116</v>
      </c>
      <c r="G625" s="23">
        <v>314</v>
      </c>
      <c r="H625" s="23" t="s">
        <v>1246</v>
      </c>
      <c r="I625" s="23">
        <v>0</v>
      </c>
      <c r="J625" s="40">
        <v>0</v>
      </c>
      <c r="K625" s="40">
        <v>0</v>
      </c>
      <c r="L625" s="40" t="s">
        <v>115</v>
      </c>
      <c r="O625" s="40" t="s">
        <v>115</v>
      </c>
      <c r="Q625" s="40">
        <v>205</v>
      </c>
      <c r="R625" s="40" t="s">
        <v>115</v>
      </c>
      <c r="X625" s="40">
        <v>90070503</v>
      </c>
      <c r="Y625" s="40" t="s">
        <v>115</v>
      </c>
      <c r="Z625" s="40" t="s">
        <v>115</v>
      </c>
      <c r="AA625" s="40" t="s">
        <v>115</v>
      </c>
      <c r="AB625" s="40" t="s">
        <v>115</v>
      </c>
      <c r="AC625" s="40" t="s">
        <v>115</v>
      </c>
      <c r="AI625" s="40" t="s">
        <v>115</v>
      </c>
      <c r="AP625" s="4" t="s">
        <v>115</v>
      </c>
    </row>
    <row r="626" spans="1:42" x14ac:dyDescent="0.15">
      <c r="A626" s="40" t="s">
        <v>1</v>
      </c>
      <c r="B626" s="23">
        <v>90070503</v>
      </c>
      <c r="C626" s="23">
        <v>705</v>
      </c>
      <c r="D626" s="23">
        <v>7</v>
      </c>
      <c r="F626" s="23" t="s">
        <v>115</v>
      </c>
      <c r="G626" s="23" t="s">
        <v>115</v>
      </c>
      <c r="H626" s="23" t="s">
        <v>342</v>
      </c>
      <c r="I626" s="23">
        <v>4</v>
      </c>
      <c r="J626" s="40">
        <v>0</v>
      </c>
      <c r="K626" s="40">
        <v>2</v>
      </c>
      <c r="L626" s="40" t="s">
        <v>115</v>
      </c>
      <c r="O626" s="40" t="s">
        <v>115</v>
      </c>
      <c r="Q626" s="40">
        <v>205</v>
      </c>
      <c r="R626" s="40" t="s">
        <v>115</v>
      </c>
      <c r="X626" s="40" t="s">
        <v>2285</v>
      </c>
      <c r="Y626" s="40">
        <v>1</v>
      </c>
      <c r="Z626" s="40">
        <v>1</v>
      </c>
      <c r="AA626" s="40" t="s">
        <v>115</v>
      </c>
      <c r="AB626" s="40" t="s">
        <v>115</v>
      </c>
      <c r="AC626" s="40" t="s">
        <v>115</v>
      </c>
      <c r="AI626" s="40" t="s">
        <v>115</v>
      </c>
      <c r="AP626" s="4" t="s">
        <v>115</v>
      </c>
    </row>
    <row r="627" spans="1:42" x14ac:dyDescent="0.15">
      <c r="A627" s="40" t="s">
        <v>1</v>
      </c>
      <c r="B627" s="23">
        <v>90070504</v>
      </c>
      <c r="C627" s="23">
        <v>705</v>
      </c>
      <c r="D627" s="23">
        <v>7</v>
      </c>
      <c r="F627" s="23" t="s">
        <v>115</v>
      </c>
      <c r="G627" s="23" t="s">
        <v>115</v>
      </c>
      <c r="H627" s="23" t="s">
        <v>913</v>
      </c>
      <c r="I627" s="23">
        <v>4</v>
      </c>
      <c r="J627" s="40">
        <v>0</v>
      </c>
      <c r="K627" s="40">
        <v>3</v>
      </c>
      <c r="L627" s="40" t="s">
        <v>115</v>
      </c>
      <c r="O627" s="40" t="s">
        <v>115</v>
      </c>
      <c r="Q627" s="40">
        <v>205</v>
      </c>
      <c r="R627" s="40" t="s">
        <v>115</v>
      </c>
      <c r="X627" s="40">
        <v>90070506</v>
      </c>
      <c r="Y627" s="40">
        <v>-1</v>
      </c>
      <c r="Z627" s="40">
        <v>2</v>
      </c>
      <c r="AA627" s="40" t="s">
        <v>115</v>
      </c>
      <c r="AB627" s="40" t="s">
        <v>115</v>
      </c>
      <c r="AC627" s="40" t="s">
        <v>2286</v>
      </c>
      <c r="AI627" s="40" t="s">
        <v>115</v>
      </c>
      <c r="AP627" s="4" t="s">
        <v>115</v>
      </c>
    </row>
    <row r="628" spans="1:42" x14ac:dyDescent="0.15">
      <c r="A628" s="40" t="s">
        <v>1</v>
      </c>
      <c r="B628" s="23">
        <v>90070505</v>
      </c>
      <c r="C628" s="23">
        <v>705</v>
      </c>
      <c r="D628" s="23">
        <v>7</v>
      </c>
      <c r="F628" s="23" t="s">
        <v>115</v>
      </c>
      <c r="G628" s="23" t="s">
        <v>115</v>
      </c>
      <c r="H628" s="23" t="s">
        <v>914</v>
      </c>
      <c r="I628" s="23">
        <v>4</v>
      </c>
      <c r="J628" s="40">
        <v>0</v>
      </c>
      <c r="K628" s="40">
        <v>4</v>
      </c>
      <c r="L628" s="40" t="s">
        <v>115</v>
      </c>
      <c r="O628" s="40" t="s">
        <v>115</v>
      </c>
      <c r="Q628" s="40">
        <v>205</v>
      </c>
      <c r="R628" s="40" t="s">
        <v>115</v>
      </c>
      <c r="X628" s="40">
        <v>90070510</v>
      </c>
      <c r="Y628" s="40">
        <v>-1</v>
      </c>
      <c r="Z628" s="40">
        <v>2</v>
      </c>
      <c r="AA628" s="40" t="s">
        <v>2287</v>
      </c>
      <c r="AB628" s="40" t="s">
        <v>115</v>
      </c>
      <c r="AC628" s="40" t="s">
        <v>115</v>
      </c>
      <c r="AI628" s="40" t="s">
        <v>115</v>
      </c>
      <c r="AP628" s="4" t="s">
        <v>115</v>
      </c>
    </row>
    <row r="629" spans="1:42" x14ac:dyDescent="0.15">
      <c r="A629" s="40" t="s">
        <v>1</v>
      </c>
      <c r="B629" s="23">
        <v>90070506</v>
      </c>
      <c r="C629" s="23">
        <v>705</v>
      </c>
      <c r="D629" s="23">
        <v>7</v>
      </c>
      <c r="F629" s="23" t="s">
        <v>115</v>
      </c>
      <c r="G629" s="23" t="s">
        <v>115</v>
      </c>
      <c r="H629" s="23" t="s">
        <v>343</v>
      </c>
      <c r="I629" s="23">
        <v>4</v>
      </c>
      <c r="J629" s="40">
        <v>0</v>
      </c>
      <c r="K629" s="40">
        <v>0</v>
      </c>
      <c r="L629" s="40" t="s">
        <v>115</v>
      </c>
      <c r="O629" s="40" t="s">
        <v>115</v>
      </c>
      <c r="Q629" s="40">
        <v>205</v>
      </c>
      <c r="R629" s="40">
        <v>15</v>
      </c>
      <c r="X629" s="40">
        <v>90070507</v>
      </c>
      <c r="Y629" s="40" t="s">
        <v>115</v>
      </c>
      <c r="Z629" s="40" t="s">
        <v>115</v>
      </c>
      <c r="AA629" s="40" t="s">
        <v>115</v>
      </c>
      <c r="AB629" s="40" t="s">
        <v>115</v>
      </c>
      <c r="AC629" s="40" t="s">
        <v>115</v>
      </c>
      <c r="AI629" s="40" t="s">
        <v>115</v>
      </c>
      <c r="AP629" s="4" t="s">
        <v>115</v>
      </c>
    </row>
    <row r="630" spans="1:42" x14ac:dyDescent="0.15">
      <c r="A630" s="40" t="s">
        <v>1</v>
      </c>
      <c r="B630" s="23">
        <v>90070507</v>
      </c>
      <c r="C630" s="23">
        <v>705</v>
      </c>
      <c r="D630" s="23">
        <v>7</v>
      </c>
      <c r="F630" s="23" t="s">
        <v>116</v>
      </c>
      <c r="G630" s="23">
        <v>312</v>
      </c>
      <c r="H630" s="23" t="s">
        <v>1247</v>
      </c>
      <c r="I630" s="23">
        <v>0</v>
      </c>
      <c r="J630" s="40">
        <v>0</v>
      </c>
      <c r="K630" s="40">
        <v>0</v>
      </c>
      <c r="L630" s="40" t="s">
        <v>115</v>
      </c>
      <c r="O630" s="40" t="s">
        <v>115</v>
      </c>
      <c r="Q630" s="40">
        <v>205</v>
      </c>
      <c r="R630" s="40">
        <v>15</v>
      </c>
      <c r="X630" s="40">
        <v>90070508</v>
      </c>
      <c r="Y630" s="40" t="s">
        <v>115</v>
      </c>
      <c r="Z630" s="40" t="s">
        <v>115</v>
      </c>
      <c r="AA630" s="40" t="s">
        <v>115</v>
      </c>
      <c r="AB630" s="40" t="s">
        <v>115</v>
      </c>
      <c r="AC630" s="40" t="s">
        <v>115</v>
      </c>
      <c r="AI630" s="40" t="s">
        <v>115</v>
      </c>
      <c r="AP630" s="4" t="s">
        <v>115</v>
      </c>
    </row>
    <row r="631" spans="1:42" x14ac:dyDescent="0.15">
      <c r="A631" s="40" t="s">
        <v>1</v>
      </c>
      <c r="B631" s="23">
        <v>90070508</v>
      </c>
      <c r="C631" s="23">
        <v>705</v>
      </c>
      <c r="D631" s="23">
        <v>7</v>
      </c>
      <c r="F631" s="23" t="s">
        <v>344</v>
      </c>
      <c r="G631" s="23" t="s">
        <v>115</v>
      </c>
      <c r="H631" s="23" t="s">
        <v>2288</v>
      </c>
      <c r="I631" s="23">
        <v>3</v>
      </c>
      <c r="J631" s="40">
        <v>0</v>
      </c>
      <c r="K631" s="40">
        <v>5</v>
      </c>
      <c r="L631" s="40" t="s">
        <v>761</v>
      </c>
      <c r="O631" s="40" t="s">
        <v>115</v>
      </c>
      <c r="Q631" s="40">
        <v>205</v>
      </c>
      <c r="R631" s="40">
        <v>15</v>
      </c>
      <c r="X631" s="40">
        <v>90070509</v>
      </c>
      <c r="Y631" s="40" t="s">
        <v>115</v>
      </c>
      <c r="Z631" s="40">
        <v>4</v>
      </c>
      <c r="AA631" s="40" t="s">
        <v>115</v>
      </c>
      <c r="AB631" s="40" t="s">
        <v>115</v>
      </c>
      <c r="AC631" s="40" t="s">
        <v>115</v>
      </c>
      <c r="AI631" s="40" t="s">
        <v>115</v>
      </c>
      <c r="AP631" s="4" t="s">
        <v>115</v>
      </c>
    </row>
    <row r="632" spans="1:42" x14ac:dyDescent="0.15">
      <c r="A632" s="40" t="s">
        <v>1</v>
      </c>
      <c r="B632" s="23">
        <v>90070509</v>
      </c>
      <c r="C632" s="23">
        <v>705</v>
      </c>
      <c r="D632" s="23">
        <v>7</v>
      </c>
      <c r="F632" s="23" t="s">
        <v>115</v>
      </c>
      <c r="G632" s="23" t="s">
        <v>115</v>
      </c>
      <c r="H632" s="23" t="s">
        <v>345</v>
      </c>
      <c r="I632" s="23">
        <v>4</v>
      </c>
      <c r="J632" s="40">
        <v>0</v>
      </c>
      <c r="K632" s="40">
        <v>6</v>
      </c>
      <c r="L632" s="40" t="s">
        <v>115</v>
      </c>
      <c r="O632" s="40">
        <v>1</v>
      </c>
      <c r="Q632" s="40">
        <v>205</v>
      </c>
      <c r="R632" s="40" t="s">
        <v>115</v>
      </c>
      <c r="X632" s="40" t="s">
        <v>115</v>
      </c>
      <c r="Y632" s="40" t="s">
        <v>115</v>
      </c>
      <c r="Z632" s="40">
        <v>5</v>
      </c>
      <c r="AA632" s="40" t="s">
        <v>115</v>
      </c>
      <c r="AB632" s="40" t="s">
        <v>115</v>
      </c>
      <c r="AC632" s="40" t="s">
        <v>115</v>
      </c>
      <c r="AI632" s="40" t="s">
        <v>115</v>
      </c>
      <c r="AP632" s="4" t="s">
        <v>115</v>
      </c>
    </row>
    <row r="633" spans="1:42" x14ac:dyDescent="0.15">
      <c r="A633" s="40" t="s">
        <v>1</v>
      </c>
      <c r="B633" s="23">
        <v>90070510</v>
      </c>
      <c r="C633" s="23">
        <v>705</v>
      </c>
      <c r="D633" s="23">
        <v>7</v>
      </c>
      <c r="F633" s="23" t="s">
        <v>116</v>
      </c>
      <c r="G633" s="23">
        <v>312</v>
      </c>
      <c r="H633" s="23" t="s">
        <v>346</v>
      </c>
      <c r="I633" s="23">
        <v>0</v>
      </c>
      <c r="J633" s="40">
        <v>0</v>
      </c>
      <c r="K633" s="40">
        <v>0</v>
      </c>
      <c r="L633" s="40" t="s">
        <v>115</v>
      </c>
      <c r="O633" s="40" t="s">
        <v>115</v>
      </c>
      <c r="Q633" s="40">
        <v>205</v>
      </c>
      <c r="R633" s="40">
        <v>255</v>
      </c>
      <c r="X633" s="40">
        <v>90070511</v>
      </c>
      <c r="Y633" s="40" t="s">
        <v>115</v>
      </c>
      <c r="Z633" s="40" t="s">
        <v>115</v>
      </c>
      <c r="AA633" s="40" t="s">
        <v>115</v>
      </c>
      <c r="AB633" s="40" t="s">
        <v>115</v>
      </c>
      <c r="AC633" s="40" t="s">
        <v>115</v>
      </c>
      <c r="AI633" s="40" t="s">
        <v>115</v>
      </c>
      <c r="AP633" s="4" t="s">
        <v>115</v>
      </c>
    </row>
    <row r="634" spans="1:42" x14ac:dyDescent="0.15">
      <c r="A634" s="40" t="s">
        <v>1</v>
      </c>
      <c r="B634" s="23">
        <v>90070511</v>
      </c>
      <c r="C634" s="23">
        <v>705</v>
      </c>
      <c r="D634" s="23">
        <v>7</v>
      </c>
      <c r="F634" s="23" t="s">
        <v>347</v>
      </c>
      <c r="G634" s="23" t="s">
        <v>115</v>
      </c>
      <c r="H634" s="23" t="s">
        <v>348</v>
      </c>
      <c r="I634" s="23">
        <v>3</v>
      </c>
      <c r="J634" s="40">
        <v>0</v>
      </c>
      <c r="K634" s="40">
        <v>0</v>
      </c>
      <c r="L634" s="40" t="s">
        <v>115</v>
      </c>
      <c r="O634" s="40" t="s">
        <v>115</v>
      </c>
      <c r="Q634" s="40">
        <v>205</v>
      </c>
      <c r="R634" s="40">
        <v>255</v>
      </c>
      <c r="X634" s="40">
        <v>90070512</v>
      </c>
      <c r="Y634" s="40" t="s">
        <v>115</v>
      </c>
      <c r="Z634" s="40" t="s">
        <v>115</v>
      </c>
      <c r="AA634" s="40" t="s">
        <v>115</v>
      </c>
      <c r="AB634" s="40" t="s">
        <v>115</v>
      </c>
      <c r="AC634" s="40" t="s">
        <v>115</v>
      </c>
      <c r="AI634" s="40" t="s">
        <v>115</v>
      </c>
      <c r="AP634" s="4" t="s">
        <v>115</v>
      </c>
    </row>
    <row r="635" spans="1:42" x14ac:dyDescent="0.15">
      <c r="A635" s="40" t="s">
        <v>1</v>
      </c>
      <c r="B635" s="23">
        <v>90070512</v>
      </c>
      <c r="C635" s="23">
        <v>705</v>
      </c>
      <c r="D635" s="23">
        <v>7</v>
      </c>
      <c r="F635" s="23" t="s">
        <v>116</v>
      </c>
      <c r="G635" s="23">
        <v>314</v>
      </c>
      <c r="H635" s="23" t="s">
        <v>349</v>
      </c>
      <c r="I635" s="23">
        <v>0</v>
      </c>
      <c r="J635" s="40">
        <v>0</v>
      </c>
      <c r="K635" s="40">
        <v>0</v>
      </c>
      <c r="L635" s="40" t="s">
        <v>115</v>
      </c>
      <c r="O635" s="40" t="s">
        <v>115</v>
      </c>
      <c r="Q635" s="40">
        <v>205</v>
      </c>
      <c r="R635" s="40">
        <v>255</v>
      </c>
      <c r="X635" s="40">
        <v>90070513</v>
      </c>
      <c r="Y635" s="40" t="s">
        <v>115</v>
      </c>
      <c r="Z635" s="40" t="s">
        <v>115</v>
      </c>
      <c r="AA635" s="40" t="s">
        <v>115</v>
      </c>
      <c r="AB635" s="40" t="s">
        <v>115</v>
      </c>
      <c r="AC635" s="40" t="s">
        <v>115</v>
      </c>
      <c r="AI635" s="40" t="s">
        <v>115</v>
      </c>
      <c r="AP635" s="4" t="s">
        <v>115</v>
      </c>
    </row>
    <row r="636" spans="1:42" x14ac:dyDescent="0.15">
      <c r="A636" s="40" t="s">
        <v>1</v>
      </c>
      <c r="B636" s="23">
        <v>90070513</v>
      </c>
      <c r="C636" s="23">
        <v>705</v>
      </c>
      <c r="D636" s="23">
        <v>7</v>
      </c>
      <c r="F636" s="23" t="s">
        <v>347</v>
      </c>
      <c r="G636" s="23" t="s">
        <v>115</v>
      </c>
      <c r="H636" s="23" t="s">
        <v>2289</v>
      </c>
      <c r="I636" s="23">
        <v>3</v>
      </c>
      <c r="J636" s="40">
        <v>0</v>
      </c>
      <c r="K636" s="40">
        <v>7</v>
      </c>
      <c r="L636" s="40" t="s">
        <v>761</v>
      </c>
      <c r="O636" s="40" t="s">
        <v>115</v>
      </c>
      <c r="Q636" s="40">
        <v>205</v>
      </c>
      <c r="R636" s="40">
        <v>255</v>
      </c>
      <c r="X636" s="40">
        <v>90070514</v>
      </c>
      <c r="Y636" s="40" t="s">
        <v>115</v>
      </c>
      <c r="Z636" s="40">
        <v>6</v>
      </c>
      <c r="AA636" s="40" t="s">
        <v>115</v>
      </c>
      <c r="AB636" s="40" t="s">
        <v>115</v>
      </c>
      <c r="AC636" s="40" t="s">
        <v>115</v>
      </c>
      <c r="AI636" s="40" t="s">
        <v>115</v>
      </c>
      <c r="AP636" s="4" t="s">
        <v>115</v>
      </c>
    </row>
    <row r="637" spans="1:42" x14ac:dyDescent="0.15">
      <c r="A637" s="40" t="s">
        <v>1</v>
      </c>
      <c r="B637" s="23">
        <v>90070514</v>
      </c>
      <c r="C637" s="23">
        <v>705</v>
      </c>
      <c r="D637" s="23">
        <v>7</v>
      </c>
      <c r="F637" s="23" t="s">
        <v>115</v>
      </c>
      <c r="G637" s="23" t="s">
        <v>115</v>
      </c>
      <c r="H637" s="23" t="s">
        <v>915</v>
      </c>
      <c r="I637" s="23">
        <v>4</v>
      </c>
      <c r="J637" s="40">
        <v>0</v>
      </c>
      <c r="K637" s="40">
        <v>8</v>
      </c>
      <c r="L637" s="40" t="s">
        <v>115</v>
      </c>
      <c r="O637" s="40">
        <v>1</v>
      </c>
      <c r="Q637" s="40">
        <v>205</v>
      </c>
      <c r="R637" s="40" t="s">
        <v>115</v>
      </c>
      <c r="X637" s="40" t="s">
        <v>115</v>
      </c>
      <c r="Y637" s="40" t="s">
        <v>115</v>
      </c>
      <c r="Z637" s="40">
        <v>7</v>
      </c>
      <c r="AA637" s="40" t="s">
        <v>115</v>
      </c>
      <c r="AB637" s="40" t="s">
        <v>115</v>
      </c>
      <c r="AC637" s="40" t="s">
        <v>115</v>
      </c>
      <c r="AI637" s="40" t="s">
        <v>115</v>
      </c>
      <c r="AP637" s="4" t="s">
        <v>115</v>
      </c>
    </row>
    <row r="638" spans="1:42" x14ac:dyDescent="0.15">
      <c r="A638" s="40" t="s">
        <v>1</v>
      </c>
      <c r="B638" s="23" t="s">
        <v>2290</v>
      </c>
      <c r="C638" s="23">
        <v>706</v>
      </c>
      <c r="D638" s="23">
        <v>7</v>
      </c>
      <c r="F638" s="23" t="s">
        <v>115</v>
      </c>
      <c r="G638" s="23" t="s">
        <v>115</v>
      </c>
      <c r="H638" s="23" t="s">
        <v>350</v>
      </c>
      <c r="I638" s="23">
        <v>4</v>
      </c>
      <c r="J638" s="40">
        <v>1</v>
      </c>
      <c r="K638" s="40">
        <v>1</v>
      </c>
      <c r="L638" s="40" t="s">
        <v>115</v>
      </c>
      <c r="O638" s="40" t="s">
        <v>115</v>
      </c>
      <c r="Q638" s="40">
        <v>105</v>
      </c>
      <c r="R638" s="40" t="s">
        <v>115</v>
      </c>
      <c r="X638" s="40">
        <v>90070602</v>
      </c>
      <c r="Y638" s="40" t="s">
        <v>115</v>
      </c>
      <c r="Z638" s="40" t="s">
        <v>115</v>
      </c>
      <c r="AA638" s="40" t="s">
        <v>115</v>
      </c>
      <c r="AB638" s="40" t="s">
        <v>115</v>
      </c>
      <c r="AC638" s="40" t="s">
        <v>115</v>
      </c>
      <c r="AI638" s="40" t="s">
        <v>115</v>
      </c>
      <c r="AP638" s="4" t="s">
        <v>115</v>
      </c>
    </row>
    <row r="639" spans="1:42" x14ac:dyDescent="0.15">
      <c r="A639" s="40" t="s">
        <v>1</v>
      </c>
      <c r="B639" s="23">
        <v>90070602</v>
      </c>
      <c r="C639" s="23">
        <v>706</v>
      </c>
      <c r="D639" s="23">
        <v>7</v>
      </c>
      <c r="F639" s="23" t="s">
        <v>115</v>
      </c>
      <c r="G639" s="23" t="s">
        <v>115</v>
      </c>
      <c r="H639" s="23" t="s">
        <v>352</v>
      </c>
      <c r="I639" s="23">
        <v>4</v>
      </c>
      <c r="J639" s="40">
        <v>0</v>
      </c>
      <c r="K639" s="40">
        <v>2</v>
      </c>
      <c r="L639" s="40" t="s">
        <v>115</v>
      </c>
      <c r="O639" s="40">
        <v>1</v>
      </c>
      <c r="Q639" s="40">
        <v>105</v>
      </c>
      <c r="R639" s="40" t="s">
        <v>115</v>
      </c>
      <c r="X639" s="40" t="s">
        <v>115</v>
      </c>
      <c r="Y639" s="40" t="s">
        <v>115</v>
      </c>
      <c r="Z639" s="40">
        <v>1</v>
      </c>
      <c r="AA639" s="40" t="s">
        <v>115</v>
      </c>
      <c r="AB639" s="40" t="s">
        <v>115</v>
      </c>
      <c r="AC639" s="40" t="s">
        <v>115</v>
      </c>
      <c r="AI639" s="40" t="s">
        <v>115</v>
      </c>
      <c r="AP639" s="4" t="s">
        <v>115</v>
      </c>
    </row>
    <row r="640" spans="1:42" x14ac:dyDescent="0.15">
      <c r="A640" s="40" t="s">
        <v>1</v>
      </c>
      <c r="B640" s="23" t="s">
        <v>2291</v>
      </c>
      <c r="C640" s="23">
        <v>707</v>
      </c>
      <c r="D640" s="23">
        <v>7</v>
      </c>
      <c r="F640" s="23" t="s">
        <v>115</v>
      </c>
      <c r="G640" s="23" t="s">
        <v>115</v>
      </c>
      <c r="H640" s="23" t="s">
        <v>353</v>
      </c>
      <c r="I640" s="23">
        <v>4</v>
      </c>
      <c r="J640" s="40">
        <v>1</v>
      </c>
      <c r="K640" s="40">
        <v>1</v>
      </c>
      <c r="L640" s="40" t="s">
        <v>115</v>
      </c>
      <c r="O640" s="40" t="s">
        <v>115</v>
      </c>
      <c r="Q640" s="40">
        <v>197</v>
      </c>
      <c r="R640" s="40">
        <v>213</v>
      </c>
      <c r="X640" s="40">
        <v>90070702</v>
      </c>
      <c r="Y640" s="40" t="s">
        <v>115</v>
      </c>
      <c r="Z640" s="40" t="s">
        <v>115</v>
      </c>
      <c r="AA640" s="40" t="s">
        <v>115</v>
      </c>
      <c r="AB640" s="40" t="s">
        <v>115</v>
      </c>
      <c r="AC640" s="40" t="s">
        <v>115</v>
      </c>
      <c r="AI640" s="40" t="s">
        <v>115</v>
      </c>
      <c r="AP640" s="4" t="s">
        <v>115</v>
      </c>
    </row>
    <row r="641" spans="1:42" x14ac:dyDescent="0.15">
      <c r="A641" s="40" t="s">
        <v>1</v>
      </c>
      <c r="B641" s="23">
        <v>90070702</v>
      </c>
      <c r="C641" s="23">
        <v>707</v>
      </c>
      <c r="D641" s="23">
        <v>7</v>
      </c>
      <c r="F641" s="23" t="s">
        <v>354</v>
      </c>
      <c r="G641" s="23" t="s">
        <v>115</v>
      </c>
      <c r="H641" s="23" t="s">
        <v>355</v>
      </c>
      <c r="I641" s="23">
        <v>3</v>
      </c>
      <c r="J641" s="40">
        <v>0</v>
      </c>
      <c r="K641" s="40">
        <v>0</v>
      </c>
      <c r="L641" s="40" t="s">
        <v>115</v>
      </c>
      <c r="O641" s="40" t="s">
        <v>115</v>
      </c>
      <c r="Q641" s="40">
        <v>197</v>
      </c>
      <c r="R641" s="40">
        <v>213</v>
      </c>
      <c r="X641" s="40">
        <v>90070703</v>
      </c>
      <c r="Y641" s="40" t="s">
        <v>115</v>
      </c>
      <c r="Z641" s="40" t="s">
        <v>115</v>
      </c>
      <c r="AA641" s="40" t="s">
        <v>115</v>
      </c>
      <c r="AB641" s="40" t="s">
        <v>115</v>
      </c>
      <c r="AC641" s="40" t="s">
        <v>115</v>
      </c>
      <c r="AI641" s="40" t="s">
        <v>115</v>
      </c>
      <c r="AP641" s="4" t="s">
        <v>115</v>
      </c>
    </row>
    <row r="642" spans="1:42" x14ac:dyDescent="0.15">
      <c r="A642" s="40" t="s">
        <v>1</v>
      </c>
      <c r="B642" s="23">
        <v>90070703</v>
      </c>
      <c r="C642" s="23">
        <v>707</v>
      </c>
      <c r="D642" s="23">
        <v>7</v>
      </c>
      <c r="F642" s="23" t="s">
        <v>116</v>
      </c>
      <c r="G642" s="23">
        <v>312</v>
      </c>
      <c r="H642" s="23" t="s">
        <v>356</v>
      </c>
      <c r="I642" s="23">
        <v>0</v>
      </c>
      <c r="J642" s="40">
        <v>0</v>
      </c>
      <c r="K642" s="40">
        <v>2</v>
      </c>
      <c r="L642" s="40" t="s">
        <v>115</v>
      </c>
      <c r="O642" s="40" t="s">
        <v>115</v>
      </c>
      <c r="Q642" s="40">
        <v>197</v>
      </c>
      <c r="R642" s="40">
        <v>213</v>
      </c>
      <c r="X642" s="40" t="s">
        <v>2292</v>
      </c>
      <c r="Y642" s="40">
        <v>1</v>
      </c>
      <c r="Z642" s="40">
        <v>1</v>
      </c>
      <c r="AA642" s="40" t="s">
        <v>115</v>
      </c>
      <c r="AB642" s="40" t="s">
        <v>115</v>
      </c>
      <c r="AC642" s="40" t="s">
        <v>115</v>
      </c>
      <c r="AI642" s="40" t="s">
        <v>115</v>
      </c>
      <c r="AP642" s="4" t="s">
        <v>115</v>
      </c>
    </row>
    <row r="643" spans="1:42" x14ac:dyDescent="0.15">
      <c r="A643" s="40" t="s">
        <v>1</v>
      </c>
      <c r="B643" s="23">
        <v>90070704</v>
      </c>
      <c r="C643" s="23">
        <v>707</v>
      </c>
      <c r="D643" s="23">
        <v>7</v>
      </c>
      <c r="F643" s="23" t="s">
        <v>115</v>
      </c>
      <c r="G643" s="23" t="s">
        <v>115</v>
      </c>
      <c r="H643" s="23" t="s">
        <v>357</v>
      </c>
      <c r="I643" s="23">
        <v>4</v>
      </c>
      <c r="J643" s="40">
        <v>0</v>
      </c>
      <c r="K643" s="40">
        <v>3</v>
      </c>
      <c r="L643" s="40" t="s">
        <v>115</v>
      </c>
      <c r="O643" s="40" t="s">
        <v>115</v>
      </c>
      <c r="Q643" s="40">
        <v>197</v>
      </c>
      <c r="R643" s="40">
        <v>213</v>
      </c>
      <c r="X643" s="40">
        <v>90070706</v>
      </c>
      <c r="Y643" s="40">
        <v>-1</v>
      </c>
      <c r="Z643" s="40">
        <v>2</v>
      </c>
      <c r="AA643" s="40" t="s">
        <v>115</v>
      </c>
      <c r="AB643" s="40" t="s">
        <v>115</v>
      </c>
      <c r="AC643" s="40" t="s">
        <v>115</v>
      </c>
      <c r="AI643" s="40" t="s">
        <v>115</v>
      </c>
      <c r="AP643" s="4" t="s">
        <v>115</v>
      </c>
    </row>
    <row r="644" spans="1:42" x14ac:dyDescent="0.15">
      <c r="A644" s="40" t="s">
        <v>1</v>
      </c>
      <c r="B644" s="23">
        <v>90070705</v>
      </c>
      <c r="C644" s="23">
        <v>707</v>
      </c>
      <c r="D644" s="23">
        <v>7</v>
      </c>
      <c r="F644" s="23" t="s">
        <v>115</v>
      </c>
      <c r="G644" s="23" t="s">
        <v>115</v>
      </c>
      <c r="H644" s="23" t="s">
        <v>358</v>
      </c>
      <c r="I644" s="23">
        <v>4</v>
      </c>
      <c r="J644" s="40">
        <v>0</v>
      </c>
      <c r="K644" s="40">
        <v>4</v>
      </c>
      <c r="L644" s="40" t="s">
        <v>115</v>
      </c>
      <c r="O644" s="40" t="s">
        <v>115</v>
      </c>
      <c r="Q644" s="40">
        <v>197</v>
      </c>
      <c r="R644" s="40">
        <v>213</v>
      </c>
      <c r="X644" s="40">
        <v>90070707</v>
      </c>
      <c r="Y644" s="40">
        <v>-1</v>
      </c>
      <c r="Z644" s="40">
        <v>2</v>
      </c>
      <c r="AA644" s="40" t="s">
        <v>2293</v>
      </c>
      <c r="AB644" s="40" t="s">
        <v>115</v>
      </c>
      <c r="AC644" s="40" t="s">
        <v>115</v>
      </c>
      <c r="AI644" s="40" t="s">
        <v>115</v>
      </c>
      <c r="AP644" s="4" t="s">
        <v>115</v>
      </c>
    </row>
    <row r="645" spans="1:42" x14ac:dyDescent="0.15">
      <c r="A645" s="40" t="s">
        <v>1</v>
      </c>
      <c r="B645" s="23">
        <v>90070706</v>
      </c>
      <c r="C645" s="23">
        <v>707</v>
      </c>
      <c r="D645" s="23">
        <v>7</v>
      </c>
      <c r="F645" s="23" t="s">
        <v>115</v>
      </c>
      <c r="G645" s="23" t="s">
        <v>115</v>
      </c>
      <c r="H645" s="23" t="s">
        <v>359</v>
      </c>
      <c r="I645" s="23">
        <v>4</v>
      </c>
      <c r="J645" s="40">
        <v>0</v>
      </c>
      <c r="K645" s="40">
        <v>0</v>
      </c>
      <c r="L645" s="40" t="s">
        <v>115</v>
      </c>
      <c r="O645" s="40" t="s">
        <v>115</v>
      </c>
      <c r="Q645" s="40">
        <v>197</v>
      </c>
      <c r="R645" s="40">
        <v>213</v>
      </c>
      <c r="X645" s="40">
        <v>90070710</v>
      </c>
      <c r="Y645" s="40" t="s">
        <v>115</v>
      </c>
      <c r="Z645" s="40" t="s">
        <v>115</v>
      </c>
      <c r="AA645" s="40" t="s">
        <v>115</v>
      </c>
      <c r="AB645" s="40" t="s">
        <v>115</v>
      </c>
      <c r="AC645" s="40" t="s">
        <v>115</v>
      </c>
      <c r="AI645" s="40" t="s">
        <v>115</v>
      </c>
      <c r="AP645" s="4" t="s">
        <v>115</v>
      </c>
    </row>
    <row r="646" spans="1:42" x14ac:dyDescent="0.15">
      <c r="A646" s="40" t="s">
        <v>1</v>
      </c>
      <c r="B646" s="23">
        <v>90070707</v>
      </c>
      <c r="C646" s="23">
        <v>707</v>
      </c>
      <c r="D646" s="23">
        <v>7</v>
      </c>
      <c r="F646" s="23" t="s">
        <v>116</v>
      </c>
      <c r="G646" s="23">
        <v>312</v>
      </c>
      <c r="H646" s="23" t="s">
        <v>360</v>
      </c>
      <c r="I646" s="23">
        <v>0</v>
      </c>
      <c r="J646" s="40">
        <v>0</v>
      </c>
      <c r="K646" s="40">
        <v>0</v>
      </c>
      <c r="L646" s="40" t="s">
        <v>115</v>
      </c>
      <c r="O646" s="40" t="s">
        <v>115</v>
      </c>
      <c r="Q646" s="40">
        <v>197</v>
      </c>
      <c r="R646" s="40">
        <v>213</v>
      </c>
      <c r="X646" s="40">
        <v>90070708</v>
      </c>
      <c r="Y646" s="40" t="s">
        <v>115</v>
      </c>
      <c r="Z646" s="40" t="s">
        <v>115</v>
      </c>
      <c r="AA646" s="40" t="s">
        <v>115</v>
      </c>
      <c r="AB646" s="40" t="s">
        <v>115</v>
      </c>
      <c r="AC646" s="40" t="s">
        <v>115</v>
      </c>
      <c r="AI646" s="40" t="s">
        <v>115</v>
      </c>
      <c r="AP646" s="4" t="s">
        <v>115</v>
      </c>
    </row>
    <row r="647" spans="1:42" x14ac:dyDescent="0.15">
      <c r="A647" s="40" t="s">
        <v>1</v>
      </c>
      <c r="B647" s="23">
        <v>90070708</v>
      </c>
      <c r="C647" s="23">
        <v>707</v>
      </c>
      <c r="D647" s="23">
        <v>7</v>
      </c>
      <c r="F647" s="23" t="s">
        <v>354</v>
      </c>
      <c r="G647" s="23" t="s">
        <v>115</v>
      </c>
      <c r="H647" s="23" t="s">
        <v>361</v>
      </c>
      <c r="I647" s="23">
        <v>3</v>
      </c>
      <c r="J647" s="40">
        <v>0</v>
      </c>
      <c r="K647" s="40">
        <v>5</v>
      </c>
      <c r="L647" s="40" t="s">
        <v>762</v>
      </c>
      <c r="O647" s="40" t="s">
        <v>115</v>
      </c>
      <c r="Q647" s="40">
        <v>197</v>
      </c>
      <c r="R647" s="40">
        <v>213</v>
      </c>
      <c r="X647" s="40">
        <v>90070709</v>
      </c>
      <c r="Y647" s="40" t="s">
        <v>115</v>
      </c>
      <c r="Z647" s="40">
        <v>4</v>
      </c>
      <c r="AA647" s="40" t="s">
        <v>115</v>
      </c>
      <c r="AB647" s="40" t="s">
        <v>115</v>
      </c>
      <c r="AC647" s="40" t="s">
        <v>115</v>
      </c>
      <c r="AI647" s="40" t="s">
        <v>115</v>
      </c>
      <c r="AP647" s="4" t="s">
        <v>115</v>
      </c>
    </row>
    <row r="648" spans="1:42" x14ac:dyDescent="0.15">
      <c r="A648" s="40" t="s">
        <v>1</v>
      </c>
      <c r="B648" s="23">
        <v>90070709</v>
      </c>
      <c r="C648" s="23">
        <v>707</v>
      </c>
      <c r="D648" s="23">
        <v>7</v>
      </c>
      <c r="F648" s="23" t="s">
        <v>354</v>
      </c>
      <c r="G648" s="23" t="s">
        <v>115</v>
      </c>
      <c r="H648" s="23" t="s">
        <v>362</v>
      </c>
      <c r="I648" s="23">
        <v>3</v>
      </c>
      <c r="J648" s="40">
        <v>0</v>
      </c>
      <c r="K648" s="40">
        <v>0</v>
      </c>
      <c r="L648" s="40" t="s">
        <v>115</v>
      </c>
      <c r="O648" s="40" t="s">
        <v>115</v>
      </c>
      <c r="Q648" s="40">
        <v>197</v>
      </c>
      <c r="R648" s="40">
        <v>213</v>
      </c>
      <c r="X648" s="40">
        <v>90070710</v>
      </c>
      <c r="Y648" s="40" t="s">
        <v>115</v>
      </c>
      <c r="Z648" s="40" t="s">
        <v>115</v>
      </c>
      <c r="AA648" s="40" t="s">
        <v>115</v>
      </c>
      <c r="AB648" s="40" t="s">
        <v>115</v>
      </c>
      <c r="AC648" s="40" t="s">
        <v>115</v>
      </c>
      <c r="AI648" s="40" t="s">
        <v>115</v>
      </c>
      <c r="AP648" s="4" t="s">
        <v>115</v>
      </c>
    </row>
    <row r="649" spans="1:42" x14ac:dyDescent="0.15">
      <c r="A649" s="40" t="s">
        <v>1</v>
      </c>
      <c r="B649" s="23">
        <v>90070710</v>
      </c>
      <c r="C649" s="23">
        <v>707</v>
      </c>
      <c r="D649" s="23">
        <v>7</v>
      </c>
      <c r="F649" s="23" t="s">
        <v>116</v>
      </c>
      <c r="G649" s="23">
        <v>312</v>
      </c>
      <c r="H649" s="23" t="s">
        <v>363</v>
      </c>
      <c r="I649" s="23">
        <v>0</v>
      </c>
      <c r="J649" s="40">
        <v>0</v>
      </c>
      <c r="K649" s="40">
        <v>0</v>
      </c>
      <c r="L649" s="40" t="s">
        <v>115</v>
      </c>
      <c r="O649" s="40" t="s">
        <v>115</v>
      </c>
      <c r="Q649" s="40">
        <v>197</v>
      </c>
      <c r="R649" s="40" t="s">
        <v>115</v>
      </c>
      <c r="X649" s="40">
        <v>90070711</v>
      </c>
      <c r="Y649" s="40" t="s">
        <v>115</v>
      </c>
      <c r="Z649" s="40" t="s">
        <v>115</v>
      </c>
      <c r="AA649" s="40" t="s">
        <v>115</v>
      </c>
      <c r="AB649" s="40" t="s">
        <v>115</v>
      </c>
      <c r="AC649" s="40" t="s">
        <v>115</v>
      </c>
      <c r="AI649" s="40" t="s">
        <v>115</v>
      </c>
      <c r="AP649" s="4" t="s">
        <v>115</v>
      </c>
    </row>
    <row r="650" spans="1:42" x14ac:dyDescent="0.15">
      <c r="A650" s="40" t="s">
        <v>1</v>
      </c>
      <c r="B650" s="23">
        <v>90070711</v>
      </c>
      <c r="C650" s="23">
        <v>707</v>
      </c>
      <c r="D650" s="23">
        <v>7</v>
      </c>
      <c r="F650" s="23" t="s">
        <v>115</v>
      </c>
      <c r="G650" s="23" t="s">
        <v>115</v>
      </c>
      <c r="H650" s="23" t="s">
        <v>364</v>
      </c>
      <c r="I650" s="23">
        <v>4</v>
      </c>
      <c r="J650" s="40">
        <v>0</v>
      </c>
      <c r="K650" s="40">
        <v>0</v>
      </c>
      <c r="L650" s="40" t="s">
        <v>115</v>
      </c>
      <c r="O650" s="40" t="s">
        <v>115</v>
      </c>
      <c r="Q650" s="40">
        <v>197</v>
      </c>
      <c r="R650" s="40" t="s">
        <v>115</v>
      </c>
      <c r="X650" s="40">
        <v>90070712</v>
      </c>
      <c r="Y650" s="40" t="s">
        <v>115</v>
      </c>
      <c r="Z650" s="40" t="s">
        <v>115</v>
      </c>
      <c r="AA650" s="40" t="s">
        <v>115</v>
      </c>
      <c r="AB650" s="40" t="s">
        <v>115</v>
      </c>
      <c r="AC650" s="40" t="s">
        <v>115</v>
      </c>
      <c r="AI650" s="40" t="s">
        <v>115</v>
      </c>
      <c r="AP650" s="4" t="s">
        <v>115</v>
      </c>
    </row>
    <row r="651" spans="1:42" x14ac:dyDescent="0.15">
      <c r="A651" s="40" t="s">
        <v>1</v>
      </c>
      <c r="B651" s="23">
        <v>90070712</v>
      </c>
      <c r="C651" s="23">
        <v>707</v>
      </c>
      <c r="D651" s="23">
        <v>7</v>
      </c>
      <c r="F651" s="23" t="s">
        <v>115</v>
      </c>
      <c r="G651" s="23" t="s">
        <v>115</v>
      </c>
      <c r="H651" s="23" t="s">
        <v>365</v>
      </c>
      <c r="I651" s="23">
        <v>4</v>
      </c>
      <c r="J651" s="40">
        <v>0</v>
      </c>
      <c r="K651" s="40">
        <v>6</v>
      </c>
      <c r="L651" s="40" t="s">
        <v>115</v>
      </c>
      <c r="O651" s="40" t="s">
        <v>115</v>
      </c>
      <c r="Q651" s="40">
        <v>197</v>
      </c>
      <c r="R651" s="40" t="s">
        <v>115</v>
      </c>
      <c r="X651" s="40" t="s">
        <v>2294</v>
      </c>
      <c r="Y651" s="40">
        <v>1</v>
      </c>
      <c r="Z651" s="40">
        <v>2</v>
      </c>
      <c r="AA651" s="40" t="s">
        <v>115</v>
      </c>
      <c r="AB651" s="40" t="s">
        <v>115</v>
      </c>
      <c r="AC651" s="40" t="s">
        <v>115</v>
      </c>
      <c r="AI651" s="40" t="s">
        <v>115</v>
      </c>
      <c r="AP651" s="4" t="s">
        <v>115</v>
      </c>
    </row>
    <row r="652" spans="1:42" x14ac:dyDescent="0.15">
      <c r="A652" s="40" t="s">
        <v>1</v>
      </c>
      <c r="B652" s="23">
        <v>90070713</v>
      </c>
      <c r="C652" s="23">
        <v>707</v>
      </c>
      <c r="D652" s="23">
        <v>7</v>
      </c>
      <c r="F652" s="23" t="s">
        <v>115</v>
      </c>
      <c r="G652" s="23" t="s">
        <v>115</v>
      </c>
      <c r="H652" s="23" t="s">
        <v>366</v>
      </c>
      <c r="I652" s="23">
        <v>4</v>
      </c>
      <c r="J652" s="40">
        <v>0</v>
      </c>
      <c r="K652" s="40">
        <v>7</v>
      </c>
      <c r="L652" s="40" t="s">
        <v>115</v>
      </c>
      <c r="O652" s="40" t="s">
        <v>115</v>
      </c>
      <c r="Q652" s="40">
        <v>197</v>
      </c>
      <c r="R652" s="40" t="s">
        <v>115</v>
      </c>
      <c r="X652" s="40">
        <v>90070714</v>
      </c>
      <c r="Y652" s="40">
        <v>-1</v>
      </c>
      <c r="Z652" s="40">
        <v>6</v>
      </c>
      <c r="AA652" s="40" t="s">
        <v>115</v>
      </c>
      <c r="AB652" s="40" t="s">
        <v>115</v>
      </c>
      <c r="AC652" s="40" t="s">
        <v>2295</v>
      </c>
      <c r="AI652" s="40" t="s">
        <v>115</v>
      </c>
      <c r="AP652" s="4" t="s">
        <v>115</v>
      </c>
    </row>
    <row r="653" spans="1:42" x14ac:dyDescent="0.15">
      <c r="A653" s="40" t="s">
        <v>1</v>
      </c>
      <c r="B653" s="23">
        <v>90070714</v>
      </c>
      <c r="C653" s="23">
        <v>707</v>
      </c>
      <c r="D653" s="23">
        <v>7</v>
      </c>
      <c r="F653" s="23" t="s">
        <v>354</v>
      </c>
      <c r="G653" s="23" t="s">
        <v>115</v>
      </c>
      <c r="H653" s="23" t="s">
        <v>1248</v>
      </c>
      <c r="I653" s="23">
        <v>3</v>
      </c>
      <c r="J653" s="40">
        <v>0</v>
      </c>
      <c r="K653" s="40">
        <v>0</v>
      </c>
      <c r="L653" s="40" t="s">
        <v>115</v>
      </c>
      <c r="O653" s="40" t="s">
        <v>115</v>
      </c>
      <c r="Q653" s="40">
        <v>197</v>
      </c>
      <c r="R653" s="40">
        <v>213</v>
      </c>
      <c r="X653" s="40">
        <v>90070715</v>
      </c>
      <c r="Y653" s="40" t="s">
        <v>115</v>
      </c>
      <c r="Z653" s="40" t="s">
        <v>115</v>
      </c>
      <c r="AA653" s="40" t="s">
        <v>115</v>
      </c>
      <c r="AB653" s="40" t="s">
        <v>115</v>
      </c>
      <c r="AC653" s="40" t="s">
        <v>115</v>
      </c>
      <c r="AI653" s="40" t="s">
        <v>115</v>
      </c>
      <c r="AP653" s="4" t="s">
        <v>115</v>
      </c>
    </row>
    <row r="654" spans="1:42" x14ac:dyDescent="0.15">
      <c r="A654" s="40" t="s">
        <v>1</v>
      </c>
      <c r="B654" s="23">
        <v>90070715</v>
      </c>
      <c r="C654" s="23">
        <v>707</v>
      </c>
      <c r="D654" s="23">
        <v>7</v>
      </c>
      <c r="F654" s="23" t="s">
        <v>354</v>
      </c>
      <c r="G654" s="23" t="s">
        <v>115</v>
      </c>
      <c r="H654" s="23" t="s">
        <v>1249</v>
      </c>
      <c r="I654" s="23">
        <v>3</v>
      </c>
      <c r="J654" s="40">
        <v>0</v>
      </c>
      <c r="K654" s="40">
        <v>8</v>
      </c>
      <c r="L654" s="40" t="s">
        <v>763</v>
      </c>
      <c r="O654" s="40">
        <v>1</v>
      </c>
      <c r="Q654" s="40">
        <v>197</v>
      </c>
      <c r="R654" s="40">
        <v>213</v>
      </c>
      <c r="X654" s="40" t="s">
        <v>115</v>
      </c>
      <c r="Y654" s="40" t="s">
        <v>115</v>
      </c>
      <c r="Z654" s="40">
        <v>7</v>
      </c>
      <c r="AA654" s="40" t="s">
        <v>115</v>
      </c>
      <c r="AB654" s="40" t="s">
        <v>115</v>
      </c>
      <c r="AC654" s="40" t="s">
        <v>115</v>
      </c>
      <c r="AI654" s="40" t="s">
        <v>115</v>
      </c>
      <c r="AP654" s="4" t="s">
        <v>2296</v>
      </c>
    </row>
    <row r="655" spans="1:42" x14ac:dyDescent="0.15">
      <c r="A655" s="40" t="s">
        <v>1</v>
      </c>
      <c r="B655" s="23" t="s">
        <v>2297</v>
      </c>
      <c r="C655" s="23">
        <v>708</v>
      </c>
      <c r="D655" s="23">
        <v>7</v>
      </c>
      <c r="F655" s="23" t="s">
        <v>115</v>
      </c>
      <c r="G655" s="23" t="s">
        <v>115</v>
      </c>
      <c r="H655" s="23" t="s">
        <v>916</v>
      </c>
      <c r="I655" s="23">
        <v>4</v>
      </c>
      <c r="J655" s="40">
        <v>1</v>
      </c>
      <c r="K655" s="40">
        <v>1</v>
      </c>
      <c r="L655" s="40" t="s">
        <v>115</v>
      </c>
      <c r="O655" s="40" t="s">
        <v>115</v>
      </c>
      <c r="Q655" s="40">
        <v>34</v>
      </c>
      <c r="R655" s="40" t="s">
        <v>115</v>
      </c>
      <c r="X655" s="40">
        <v>90070802</v>
      </c>
      <c r="Y655" s="40" t="s">
        <v>115</v>
      </c>
      <c r="Z655" s="40" t="s">
        <v>115</v>
      </c>
      <c r="AA655" s="40" t="s">
        <v>115</v>
      </c>
      <c r="AB655" s="40" t="s">
        <v>115</v>
      </c>
      <c r="AC655" s="40" t="s">
        <v>115</v>
      </c>
      <c r="AI655" s="40" t="s">
        <v>115</v>
      </c>
      <c r="AP655" s="4" t="s">
        <v>115</v>
      </c>
    </row>
    <row r="656" spans="1:42" x14ac:dyDescent="0.15">
      <c r="A656" s="40" t="s">
        <v>1</v>
      </c>
      <c r="B656" s="23">
        <v>90070802</v>
      </c>
      <c r="C656" s="23">
        <v>708</v>
      </c>
      <c r="D656" s="23">
        <v>7</v>
      </c>
      <c r="F656" s="23" t="s">
        <v>115</v>
      </c>
      <c r="G656" s="23" t="s">
        <v>115</v>
      </c>
      <c r="H656" s="23" t="s">
        <v>917</v>
      </c>
      <c r="I656" s="23">
        <v>4</v>
      </c>
      <c r="J656" s="40">
        <v>0</v>
      </c>
      <c r="K656" s="40">
        <v>0</v>
      </c>
      <c r="L656" s="40" t="s">
        <v>115</v>
      </c>
      <c r="O656" s="40" t="s">
        <v>115</v>
      </c>
      <c r="Q656" s="40">
        <v>34</v>
      </c>
      <c r="R656" s="40">
        <v>213</v>
      </c>
      <c r="X656" s="40">
        <v>90070803</v>
      </c>
      <c r="Y656" s="40" t="s">
        <v>115</v>
      </c>
      <c r="Z656" s="40" t="s">
        <v>115</v>
      </c>
      <c r="AA656" s="40" t="s">
        <v>115</v>
      </c>
      <c r="AB656" s="40" t="s">
        <v>115</v>
      </c>
      <c r="AC656" s="40" t="s">
        <v>115</v>
      </c>
      <c r="AI656" s="40" t="s">
        <v>115</v>
      </c>
      <c r="AP656" s="4" t="s">
        <v>115</v>
      </c>
    </row>
    <row r="657" spans="1:42" x14ac:dyDescent="0.15">
      <c r="A657" s="40" t="s">
        <v>1</v>
      </c>
      <c r="B657" s="23">
        <v>90070803</v>
      </c>
      <c r="C657" s="23">
        <v>708</v>
      </c>
      <c r="D657" s="23">
        <v>7</v>
      </c>
      <c r="F657" s="23" t="s">
        <v>354</v>
      </c>
      <c r="G657" s="23" t="s">
        <v>115</v>
      </c>
      <c r="H657" s="23" t="s">
        <v>367</v>
      </c>
      <c r="I657" s="23">
        <v>3</v>
      </c>
      <c r="J657" s="40">
        <v>0</v>
      </c>
      <c r="K657" s="40">
        <v>2</v>
      </c>
      <c r="L657" s="40" t="s">
        <v>115</v>
      </c>
      <c r="O657" s="40" t="s">
        <v>115</v>
      </c>
      <c r="Q657" s="40">
        <v>34</v>
      </c>
      <c r="R657" s="40">
        <v>213</v>
      </c>
      <c r="X657" s="40" t="s">
        <v>2298</v>
      </c>
      <c r="Y657" s="40">
        <v>1</v>
      </c>
      <c r="Z657" s="40">
        <v>1</v>
      </c>
      <c r="AA657" s="40" t="s">
        <v>115</v>
      </c>
      <c r="AB657" s="40" t="s">
        <v>115</v>
      </c>
      <c r="AC657" s="40" t="s">
        <v>115</v>
      </c>
      <c r="AI657" s="40" t="s">
        <v>115</v>
      </c>
      <c r="AP657" s="4" t="s">
        <v>115</v>
      </c>
    </row>
    <row r="658" spans="1:42" x14ac:dyDescent="0.15">
      <c r="A658" s="40" t="s">
        <v>1</v>
      </c>
      <c r="B658" s="23">
        <v>90070804</v>
      </c>
      <c r="C658" s="23">
        <v>708</v>
      </c>
      <c r="D658" s="23">
        <v>7</v>
      </c>
      <c r="F658" s="23" t="s">
        <v>115</v>
      </c>
      <c r="G658" s="23" t="s">
        <v>115</v>
      </c>
      <c r="H658" s="23" t="s">
        <v>368</v>
      </c>
      <c r="I658" s="23">
        <v>4</v>
      </c>
      <c r="J658" s="40">
        <v>0</v>
      </c>
      <c r="K658" s="40">
        <v>3</v>
      </c>
      <c r="L658" s="40" t="s">
        <v>115</v>
      </c>
      <c r="O658" s="40" t="s">
        <v>115</v>
      </c>
      <c r="Q658" s="40">
        <v>34</v>
      </c>
      <c r="R658" s="40" t="s">
        <v>115</v>
      </c>
      <c r="X658" s="40">
        <v>90070805</v>
      </c>
      <c r="Y658" s="40">
        <v>-1</v>
      </c>
      <c r="Z658" s="40">
        <v>2</v>
      </c>
      <c r="AA658" s="40" t="s">
        <v>2299</v>
      </c>
      <c r="AB658" s="40" t="s">
        <v>115</v>
      </c>
      <c r="AC658" s="40" t="s">
        <v>115</v>
      </c>
      <c r="AI658" s="40" t="s">
        <v>115</v>
      </c>
      <c r="AP658" s="4" t="s">
        <v>115</v>
      </c>
    </row>
    <row r="659" spans="1:42" x14ac:dyDescent="0.15">
      <c r="A659" s="40" t="s">
        <v>1</v>
      </c>
      <c r="B659" s="23">
        <v>90070805</v>
      </c>
      <c r="C659" s="23">
        <v>708</v>
      </c>
      <c r="D659" s="23">
        <v>7</v>
      </c>
      <c r="F659" s="23" t="s">
        <v>116</v>
      </c>
      <c r="G659" s="23">
        <v>312</v>
      </c>
      <c r="H659" s="23" t="s">
        <v>1250</v>
      </c>
      <c r="I659" s="23">
        <v>0</v>
      </c>
      <c r="J659" s="40">
        <v>0</v>
      </c>
      <c r="K659" s="40">
        <v>0</v>
      </c>
      <c r="L659" s="40" t="s">
        <v>115</v>
      </c>
      <c r="O659" s="40" t="s">
        <v>115</v>
      </c>
      <c r="Q659" s="40">
        <v>34</v>
      </c>
      <c r="R659" s="40">
        <v>243</v>
      </c>
      <c r="X659" s="40">
        <v>90070806</v>
      </c>
      <c r="Y659" s="40" t="s">
        <v>115</v>
      </c>
      <c r="Z659" s="40" t="s">
        <v>115</v>
      </c>
      <c r="AA659" s="40" t="s">
        <v>115</v>
      </c>
      <c r="AB659" s="40" t="s">
        <v>115</v>
      </c>
      <c r="AC659" s="40" t="s">
        <v>115</v>
      </c>
      <c r="AI659" s="40" t="s">
        <v>115</v>
      </c>
      <c r="AP659" s="4" t="s">
        <v>115</v>
      </c>
    </row>
    <row r="660" spans="1:42" x14ac:dyDescent="0.15">
      <c r="A660" s="40" t="s">
        <v>1</v>
      </c>
      <c r="B660" s="23">
        <v>90070806</v>
      </c>
      <c r="C660" s="23">
        <v>708</v>
      </c>
      <c r="D660" s="23">
        <v>7</v>
      </c>
      <c r="F660" s="23" t="s">
        <v>322</v>
      </c>
      <c r="G660" s="23" t="s">
        <v>115</v>
      </c>
      <c r="H660" s="23" t="s">
        <v>369</v>
      </c>
      <c r="I660" s="23">
        <v>3</v>
      </c>
      <c r="J660" s="40">
        <v>0</v>
      </c>
      <c r="K660" s="40">
        <v>0</v>
      </c>
      <c r="L660" s="40" t="s">
        <v>115</v>
      </c>
      <c r="O660" s="40" t="s">
        <v>115</v>
      </c>
      <c r="Q660" s="40">
        <v>34</v>
      </c>
      <c r="R660" s="40">
        <v>243</v>
      </c>
      <c r="X660" s="40">
        <v>90070807</v>
      </c>
      <c r="Y660" s="40" t="s">
        <v>115</v>
      </c>
      <c r="Z660" s="40" t="s">
        <v>115</v>
      </c>
      <c r="AA660" s="40" t="s">
        <v>115</v>
      </c>
      <c r="AB660" s="40" t="s">
        <v>115</v>
      </c>
      <c r="AC660" s="40" t="s">
        <v>115</v>
      </c>
      <c r="AI660" s="40" t="s">
        <v>115</v>
      </c>
      <c r="AP660" s="4" t="s">
        <v>115</v>
      </c>
    </row>
    <row r="661" spans="1:42" x14ac:dyDescent="0.15">
      <c r="A661" s="40" t="s">
        <v>1</v>
      </c>
      <c r="B661" s="23">
        <v>90070807</v>
      </c>
      <c r="C661" s="23">
        <v>708</v>
      </c>
      <c r="D661" s="23">
        <v>7</v>
      </c>
      <c r="F661" s="23" t="s">
        <v>354</v>
      </c>
      <c r="G661" s="23" t="s">
        <v>115</v>
      </c>
      <c r="H661" s="23" t="s">
        <v>370</v>
      </c>
      <c r="I661" s="23">
        <v>3</v>
      </c>
      <c r="J661" s="40">
        <v>0</v>
      </c>
      <c r="K661" s="40">
        <v>0</v>
      </c>
      <c r="L661" s="40" t="s">
        <v>115</v>
      </c>
      <c r="O661" s="40" t="s">
        <v>115</v>
      </c>
      <c r="Q661" s="40">
        <v>34</v>
      </c>
      <c r="R661" s="40">
        <v>243</v>
      </c>
      <c r="X661" s="40">
        <v>90070808</v>
      </c>
      <c r="Y661" s="40" t="s">
        <v>115</v>
      </c>
      <c r="Z661" s="40" t="s">
        <v>115</v>
      </c>
      <c r="AA661" s="40" t="s">
        <v>115</v>
      </c>
      <c r="AB661" s="40" t="s">
        <v>115</v>
      </c>
      <c r="AC661" s="40" t="s">
        <v>115</v>
      </c>
      <c r="AI661" s="40" t="s">
        <v>115</v>
      </c>
      <c r="AP661" s="4" t="s">
        <v>115</v>
      </c>
    </row>
    <row r="662" spans="1:42" x14ac:dyDescent="0.15">
      <c r="A662" s="40" t="s">
        <v>1</v>
      </c>
      <c r="B662" s="23">
        <v>90070808</v>
      </c>
      <c r="C662" s="23">
        <v>708</v>
      </c>
      <c r="D662" s="23">
        <v>7</v>
      </c>
      <c r="F662" s="23" t="s">
        <v>322</v>
      </c>
      <c r="G662" s="23" t="s">
        <v>115</v>
      </c>
      <c r="H662" s="23" t="s">
        <v>371</v>
      </c>
      <c r="I662" s="23">
        <v>3</v>
      </c>
      <c r="J662" s="40">
        <v>0</v>
      </c>
      <c r="K662" s="40">
        <v>0</v>
      </c>
      <c r="L662" s="40" t="s">
        <v>115</v>
      </c>
      <c r="O662" s="40" t="s">
        <v>115</v>
      </c>
      <c r="Q662" s="40">
        <v>34</v>
      </c>
      <c r="R662" s="40">
        <v>243</v>
      </c>
      <c r="X662" s="40">
        <v>90070809</v>
      </c>
      <c r="Y662" s="40" t="s">
        <v>115</v>
      </c>
      <c r="Z662" s="40" t="s">
        <v>115</v>
      </c>
      <c r="AA662" s="40" t="s">
        <v>115</v>
      </c>
      <c r="AB662" s="40" t="s">
        <v>115</v>
      </c>
      <c r="AC662" s="40" t="s">
        <v>115</v>
      </c>
      <c r="AI662" s="40" t="s">
        <v>115</v>
      </c>
      <c r="AP662" s="4" t="s">
        <v>115</v>
      </c>
    </row>
    <row r="663" spans="1:42" x14ac:dyDescent="0.15">
      <c r="A663" s="40" t="s">
        <v>1</v>
      </c>
      <c r="B663" s="23">
        <v>90070809</v>
      </c>
      <c r="C663" s="23">
        <v>708</v>
      </c>
      <c r="D663" s="23">
        <v>7</v>
      </c>
      <c r="F663" s="23" t="s">
        <v>322</v>
      </c>
      <c r="G663" s="23" t="s">
        <v>115</v>
      </c>
      <c r="H663" s="23" t="s">
        <v>918</v>
      </c>
      <c r="I663" s="23">
        <v>3</v>
      </c>
      <c r="J663" s="40">
        <v>0</v>
      </c>
      <c r="K663" s="40">
        <v>4</v>
      </c>
      <c r="L663" s="40" t="s">
        <v>115</v>
      </c>
      <c r="O663" s="40">
        <v>1</v>
      </c>
      <c r="Q663" s="40">
        <v>34</v>
      </c>
      <c r="R663" s="40">
        <v>243</v>
      </c>
      <c r="X663" s="40" t="s">
        <v>115</v>
      </c>
      <c r="Y663" s="40" t="s">
        <v>115</v>
      </c>
      <c r="Z663" s="40">
        <v>3</v>
      </c>
      <c r="AA663" s="40" t="s">
        <v>115</v>
      </c>
      <c r="AB663" s="40" t="s">
        <v>115</v>
      </c>
      <c r="AC663" s="40" t="s">
        <v>115</v>
      </c>
      <c r="AI663" s="40" t="s">
        <v>115</v>
      </c>
      <c r="AP663" s="4" t="s">
        <v>115</v>
      </c>
    </row>
    <row r="664" spans="1:42" x14ac:dyDescent="0.15">
      <c r="A664" s="40" t="s">
        <v>1</v>
      </c>
      <c r="B664" s="23" t="s">
        <v>850</v>
      </c>
      <c r="C664" s="23">
        <v>801</v>
      </c>
      <c r="D664" s="23">
        <v>8</v>
      </c>
      <c r="F664" s="23" t="s">
        <v>115</v>
      </c>
      <c r="G664" s="23" t="s">
        <v>115</v>
      </c>
      <c r="H664" s="23" t="s">
        <v>2300</v>
      </c>
      <c r="I664" s="23">
        <v>4</v>
      </c>
      <c r="J664" s="40">
        <v>1</v>
      </c>
      <c r="K664" s="40">
        <v>1</v>
      </c>
      <c r="L664" s="40" t="s">
        <v>115</v>
      </c>
      <c r="O664" s="40" t="s">
        <v>115</v>
      </c>
      <c r="Q664" s="40">
        <v>190</v>
      </c>
      <c r="R664" s="40" t="s">
        <v>115</v>
      </c>
      <c r="X664" s="40">
        <v>90080102</v>
      </c>
      <c r="Y664" s="40" t="s">
        <v>115</v>
      </c>
      <c r="Z664" s="40" t="s">
        <v>115</v>
      </c>
      <c r="AA664" s="40" t="s">
        <v>115</v>
      </c>
      <c r="AB664" s="40" t="s">
        <v>115</v>
      </c>
      <c r="AC664" s="40" t="s">
        <v>115</v>
      </c>
      <c r="AI664" s="40" t="s">
        <v>115</v>
      </c>
      <c r="AP664" s="4" t="s">
        <v>115</v>
      </c>
    </row>
    <row r="665" spans="1:42" x14ac:dyDescent="0.15">
      <c r="A665" s="40" t="s">
        <v>1</v>
      </c>
      <c r="B665" s="23">
        <v>90080102</v>
      </c>
      <c r="C665" s="23">
        <v>801</v>
      </c>
      <c r="D665" s="23">
        <v>8</v>
      </c>
      <c r="F665" s="23" t="s">
        <v>116</v>
      </c>
      <c r="G665" s="23">
        <v>312</v>
      </c>
      <c r="H665" s="23" t="s">
        <v>2301</v>
      </c>
      <c r="I665" s="23">
        <v>2</v>
      </c>
      <c r="J665" s="40">
        <v>0</v>
      </c>
      <c r="K665" s="40">
        <v>0</v>
      </c>
      <c r="L665" s="40" t="s">
        <v>115</v>
      </c>
      <c r="O665" s="40" t="s">
        <v>115</v>
      </c>
      <c r="Q665" s="40">
        <v>190</v>
      </c>
      <c r="R665" s="40" t="s">
        <v>115</v>
      </c>
      <c r="X665" s="40">
        <v>90080103</v>
      </c>
      <c r="Y665" s="40" t="s">
        <v>115</v>
      </c>
      <c r="Z665" s="40" t="s">
        <v>115</v>
      </c>
      <c r="AA665" s="40" t="s">
        <v>115</v>
      </c>
      <c r="AB665" s="40" t="s">
        <v>115</v>
      </c>
      <c r="AC665" s="40" t="s">
        <v>115</v>
      </c>
      <c r="AI665" s="40" t="s">
        <v>115</v>
      </c>
      <c r="AP665" s="4" t="s">
        <v>115</v>
      </c>
    </row>
    <row r="666" spans="1:42" x14ac:dyDescent="0.15">
      <c r="A666" s="40" t="s">
        <v>1</v>
      </c>
      <c r="B666" s="23">
        <v>90080103</v>
      </c>
      <c r="C666" s="23">
        <v>801</v>
      </c>
      <c r="D666" s="23">
        <v>8</v>
      </c>
      <c r="F666" s="23" t="s">
        <v>116</v>
      </c>
      <c r="G666" s="23">
        <v>312</v>
      </c>
      <c r="H666" s="23" t="s">
        <v>2302</v>
      </c>
      <c r="I666" s="23">
        <v>2</v>
      </c>
      <c r="J666" s="40">
        <v>0</v>
      </c>
      <c r="K666" s="40">
        <v>0</v>
      </c>
      <c r="L666" s="40" t="s">
        <v>115</v>
      </c>
      <c r="O666" s="40" t="s">
        <v>115</v>
      </c>
      <c r="Q666" s="40">
        <v>190</v>
      </c>
      <c r="R666" s="40" t="s">
        <v>115</v>
      </c>
      <c r="X666" s="40">
        <v>90080104</v>
      </c>
      <c r="Y666" s="40" t="s">
        <v>115</v>
      </c>
      <c r="Z666" s="40" t="s">
        <v>115</v>
      </c>
      <c r="AA666" s="40" t="s">
        <v>115</v>
      </c>
      <c r="AB666" s="40" t="s">
        <v>115</v>
      </c>
      <c r="AC666" s="40" t="s">
        <v>115</v>
      </c>
      <c r="AI666" s="40" t="s">
        <v>115</v>
      </c>
      <c r="AP666" s="4" t="s">
        <v>115</v>
      </c>
    </row>
    <row r="667" spans="1:42" x14ac:dyDescent="0.15">
      <c r="A667" s="40" t="s">
        <v>1</v>
      </c>
      <c r="B667" s="23">
        <v>90080104</v>
      </c>
      <c r="C667" s="23">
        <v>801</v>
      </c>
      <c r="D667" s="23">
        <v>8</v>
      </c>
      <c r="F667" s="23" t="s">
        <v>1059</v>
      </c>
      <c r="G667" s="23" t="s">
        <v>115</v>
      </c>
      <c r="H667" s="23" t="s">
        <v>2303</v>
      </c>
      <c r="I667" s="23">
        <v>1</v>
      </c>
      <c r="J667" s="40">
        <v>0</v>
      </c>
      <c r="K667" s="40">
        <v>0</v>
      </c>
      <c r="L667" s="40" t="s">
        <v>115</v>
      </c>
      <c r="O667" s="40" t="s">
        <v>115</v>
      </c>
      <c r="Q667" s="40">
        <v>190</v>
      </c>
      <c r="R667" s="40" t="s">
        <v>115</v>
      </c>
      <c r="X667" s="40">
        <v>90080105</v>
      </c>
      <c r="Y667" s="40" t="s">
        <v>115</v>
      </c>
      <c r="Z667" s="40" t="s">
        <v>115</v>
      </c>
      <c r="AA667" s="40" t="s">
        <v>115</v>
      </c>
      <c r="AB667" s="40" t="s">
        <v>115</v>
      </c>
      <c r="AC667" s="40" t="s">
        <v>115</v>
      </c>
      <c r="AI667" s="40">
        <v>106</v>
      </c>
      <c r="AP667" s="4" t="s">
        <v>115</v>
      </c>
    </row>
    <row r="668" spans="1:42" x14ac:dyDescent="0.15">
      <c r="A668" s="40" t="s">
        <v>1</v>
      </c>
      <c r="B668" s="23">
        <v>90080105</v>
      </c>
      <c r="C668" s="23">
        <v>801</v>
      </c>
      <c r="D668" s="23">
        <v>8</v>
      </c>
      <c r="F668" s="23" t="s">
        <v>116</v>
      </c>
      <c r="G668" s="23">
        <v>312</v>
      </c>
      <c r="H668" s="23" t="s">
        <v>2304</v>
      </c>
      <c r="I668" s="23">
        <v>0</v>
      </c>
      <c r="J668" s="40">
        <v>0</v>
      </c>
      <c r="K668" s="40">
        <v>0</v>
      </c>
      <c r="L668" s="40" t="s">
        <v>115</v>
      </c>
      <c r="O668" s="40" t="s">
        <v>115</v>
      </c>
      <c r="Q668" s="40">
        <v>190</v>
      </c>
      <c r="R668" s="40" t="s">
        <v>115</v>
      </c>
      <c r="X668" s="40">
        <v>90080106</v>
      </c>
      <c r="Y668" s="40" t="s">
        <v>115</v>
      </c>
      <c r="Z668" s="40" t="s">
        <v>115</v>
      </c>
      <c r="AA668" s="40" t="s">
        <v>115</v>
      </c>
      <c r="AB668" s="40" t="s">
        <v>115</v>
      </c>
      <c r="AC668" s="40" t="s">
        <v>115</v>
      </c>
      <c r="AI668" s="40" t="s">
        <v>1060</v>
      </c>
      <c r="AP668" s="4" t="s">
        <v>115</v>
      </c>
    </row>
    <row r="669" spans="1:42" x14ac:dyDescent="0.15">
      <c r="A669" s="40" t="s">
        <v>1</v>
      </c>
      <c r="B669" s="23">
        <v>90080106</v>
      </c>
      <c r="C669" s="23">
        <v>801</v>
      </c>
      <c r="D669" s="23">
        <v>8</v>
      </c>
      <c r="F669" s="23" t="s">
        <v>115</v>
      </c>
      <c r="G669" s="23" t="s">
        <v>115</v>
      </c>
      <c r="H669" s="23" t="s">
        <v>2305</v>
      </c>
      <c r="I669" s="23">
        <v>4</v>
      </c>
      <c r="J669" s="40">
        <v>0</v>
      </c>
      <c r="K669" s="40">
        <v>0</v>
      </c>
      <c r="L669" s="40" t="s">
        <v>115</v>
      </c>
      <c r="O669" s="40" t="s">
        <v>115</v>
      </c>
      <c r="Q669" s="40">
        <v>190</v>
      </c>
      <c r="R669" s="40" t="s">
        <v>115</v>
      </c>
      <c r="X669" s="40">
        <v>90080107</v>
      </c>
      <c r="Y669" s="40" t="s">
        <v>115</v>
      </c>
      <c r="Z669" s="40" t="s">
        <v>115</v>
      </c>
      <c r="AA669" s="40" t="s">
        <v>115</v>
      </c>
      <c r="AB669" s="40" t="s">
        <v>115</v>
      </c>
      <c r="AC669" s="40" t="s">
        <v>115</v>
      </c>
      <c r="AI669" s="40">
        <v>100</v>
      </c>
      <c r="AP669" s="4" t="s">
        <v>115</v>
      </c>
    </row>
    <row r="670" spans="1:42" x14ac:dyDescent="0.15">
      <c r="A670" s="40" t="s">
        <v>1</v>
      </c>
      <c r="B670" s="23">
        <v>90080107</v>
      </c>
      <c r="C670" s="23">
        <v>801</v>
      </c>
      <c r="D670" s="23">
        <v>8</v>
      </c>
      <c r="F670" s="23" t="s">
        <v>116</v>
      </c>
      <c r="G670" s="23">
        <v>313</v>
      </c>
      <c r="H670" s="23" t="s">
        <v>2306</v>
      </c>
      <c r="I670" s="23">
        <v>2</v>
      </c>
      <c r="J670" s="40">
        <v>0</v>
      </c>
      <c r="K670" s="40">
        <v>0</v>
      </c>
      <c r="L670" s="40" t="s">
        <v>115</v>
      </c>
      <c r="O670" s="40" t="s">
        <v>115</v>
      </c>
      <c r="Q670" s="40">
        <v>190</v>
      </c>
      <c r="R670" s="40" t="s">
        <v>115</v>
      </c>
      <c r="X670" s="40">
        <v>90080108</v>
      </c>
      <c r="Y670" s="40" t="s">
        <v>115</v>
      </c>
      <c r="Z670" s="40" t="s">
        <v>115</v>
      </c>
      <c r="AA670" s="40" t="s">
        <v>115</v>
      </c>
      <c r="AB670" s="40" t="s">
        <v>115</v>
      </c>
      <c r="AC670" s="40" t="s">
        <v>115</v>
      </c>
      <c r="AI670" s="40">
        <v>100</v>
      </c>
      <c r="AP670" s="4" t="s">
        <v>115</v>
      </c>
    </row>
    <row r="671" spans="1:42" x14ac:dyDescent="0.15">
      <c r="A671" s="40" t="s">
        <v>1</v>
      </c>
      <c r="B671" s="23">
        <v>90080108</v>
      </c>
      <c r="C671" s="23">
        <v>801</v>
      </c>
      <c r="D671" s="23">
        <v>8</v>
      </c>
      <c r="F671" s="23" t="s">
        <v>115</v>
      </c>
      <c r="G671" s="23" t="s">
        <v>115</v>
      </c>
      <c r="H671" s="23" t="s">
        <v>2307</v>
      </c>
      <c r="I671" s="23">
        <v>4</v>
      </c>
      <c r="J671" s="40">
        <v>0</v>
      </c>
      <c r="K671" s="40">
        <v>0</v>
      </c>
      <c r="L671" s="40" t="s">
        <v>115</v>
      </c>
      <c r="O671" s="40" t="s">
        <v>115</v>
      </c>
      <c r="Q671" s="40">
        <v>190</v>
      </c>
      <c r="R671" s="40" t="s">
        <v>115</v>
      </c>
      <c r="X671" s="40">
        <v>90080109</v>
      </c>
      <c r="Y671" s="40" t="s">
        <v>115</v>
      </c>
      <c r="Z671" s="40" t="s">
        <v>115</v>
      </c>
      <c r="AA671" s="40" t="s">
        <v>115</v>
      </c>
      <c r="AB671" s="40" t="s">
        <v>115</v>
      </c>
      <c r="AC671" s="40" t="s">
        <v>115</v>
      </c>
      <c r="AI671" s="40">
        <v>100</v>
      </c>
      <c r="AP671" s="4" t="s">
        <v>115</v>
      </c>
    </row>
    <row r="672" spans="1:42" x14ac:dyDescent="0.15">
      <c r="A672" s="40" t="s">
        <v>1</v>
      </c>
      <c r="B672" s="23">
        <v>90080109</v>
      </c>
      <c r="C672" s="23">
        <v>801</v>
      </c>
      <c r="D672" s="23">
        <v>8</v>
      </c>
      <c r="F672" s="23" t="s">
        <v>1059</v>
      </c>
      <c r="G672" s="23" t="s">
        <v>115</v>
      </c>
      <c r="H672" s="23" t="s">
        <v>2308</v>
      </c>
      <c r="I672" s="23">
        <v>1</v>
      </c>
      <c r="J672" s="40">
        <v>0</v>
      </c>
      <c r="K672" s="40">
        <v>0</v>
      </c>
      <c r="L672" s="40" t="s">
        <v>115</v>
      </c>
      <c r="O672" s="40" t="s">
        <v>115</v>
      </c>
      <c r="Q672" s="40">
        <v>190</v>
      </c>
      <c r="R672" s="40" t="s">
        <v>115</v>
      </c>
      <c r="X672" s="40">
        <v>90080110</v>
      </c>
      <c r="Y672" s="40" t="s">
        <v>115</v>
      </c>
      <c r="Z672" s="40" t="s">
        <v>115</v>
      </c>
      <c r="AA672" s="40" t="s">
        <v>115</v>
      </c>
      <c r="AB672" s="40" t="s">
        <v>115</v>
      </c>
      <c r="AC672" s="40" t="s">
        <v>115</v>
      </c>
      <c r="AI672" s="40" t="s">
        <v>1087</v>
      </c>
      <c r="AP672" s="4" t="s">
        <v>115</v>
      </c>
    </row>
    <row r="673" spans="1:42" x14ac:dyDescent="0.15">
      <c r="A673" s="40" t="s">
        <v>1</v>
      </c>
      <c r="B673" s="23">
        <v>90080110</v>
      </c>
      <c r="C673" s="23">
        <v>801</v>
      </c>
      <c r="D673" s="23">
        <v>8</v>
      </c>
      <c r="F673" s="23" t="s">
        <v>1059</v>
      </c>
      <c r="G673" s="23" t="s">
        <v>115</v>
      </c>
      <c r="H673" s="23" t="s">
        <v>2309</v>
      </c>
      <c r="I673" s="23">
        <v>1</v>
      </c>
      <c r="J673" s="40">
        <v>0</v>
      </c>
      <c r="K673" s="40">
        <v>0</v>
      </c>
      <c r="L673" s="40" t="s">
        <v>115</v>
      </c>
      <c r="O673" s="40" t="s">
        <v>115</v>
      </c>
      <c r="Q673" s="40">
        <v>190</v>
      </c>
      <c r="R673" s="40" t="s">
        <v>115</v>
      </c>
      <c r="X673" s="40">
        <v>90080111</v>
      </c>
      <c r="Y673" s="40" t="s">
        <v>115</v>
      </c>
      <c r="Z673" s="40" t="s">
        <v>115</v>
      </c>
      <c r="AA673" s="40" t="s">
        <v>115</v>
      </c>
      <c r="AB673" s="40" t="s">
        <v>115</v>
      </c>
      <c r="AC673" s="40" t="s">
        <v>115</v>
      </c>
      <c r="AI673" s="40" t="s">
        <v>1087</v>
      </c>
      <c r="AP673" s="4" t="s">
        <v>115</v>
      </c>
    </row>
    <row r="674" spans="1:42" x14ac:dyDescent="0.15">
      <c r="A674" s="40" t="s">
        <v>1</v>
      </c>
      <c r="B674" s="23">
        <v>90080111</v>
      </c>
      <c r="C674" s="23">
        <v>801</v>
      </c>
      <c r="D674" s="23">
        <v>8</v>
      </c>
      <c r="F674" s="23" t="s">
        <v>1059</v>
      </c>
      <c r="G674" s="23" t="s">
        <v>115</v>
      </c>
      <c r="H674" s="23" t="s">
        <v>2310</v>
      </c>
      <c r="I674" s="23">
        <v>1</v>
      </c>
      <c r="J674" s="40">
        <v>0</v>
      </c>
      <c r="K674" s="40">
        <v>2</v>
      </c>
      <c r="L674" s="40" t="s">
        <v>115</v>
      </c>
      <c r="O674" s="40">
        <v>1</v>
      </c>
      <c r="Q674" s="40">
        <v>190</v>
      </c>
      <c r="R674" s="40" t="s">
        <v>115</v>
      </c>
      <c r="X674" s="40" t="s">
        <v>115</v>
      </c>
      <c r="Y674" s="40" t="s">
        <v>115</v>
      </c>
      <c r="Z674" s="40">
        <v>1</v>
      </c>
      <c r="AA674" s="40" t="s">
        <v>115</v>
      </c>
      <c r="AB674" s="40" t="s">
        <v>115</v>
      </c>
      <c r="AC674" s="40" t="s">
        <v>115</v>
      </c>
      <c r="AI674" s="40" t="s">
        <v>1087</v>
      </c>
      <c r="AP674" s="4" t="s">
        <v>2311</v>
      </c>
    </row>
    <row r="675" spans="1:42" x14ac:dyDescent="0.15">
      <c r="A675" s="40" t="s">
        <v>1</v>
      </c>
      <c r="B675" s="23" t="s">
        <v>852</v>
      </c>
      <c r="C675" s="23">
        <v>802</v>
      </c>
      <c r="D675" s="23">
        <v>8</v>
      </c>
      <c r="F675" s="23" t="s">
        <v>115</v>
      </c>
      <c r="G675" s="23" t="s">
        <v>115</v>
      </c>
      <c r="H675" s="23" t="s">
        <v>2312</v>
      </c>
      <c r="I675" s="23">
        <v>4</v>
      </c>
      <c r="J675" s="40">
        <v>1</v>
      </c>
      <c r="K675" s="40">
        <v>1</v>
      </c>
      <c r="L675" s="40" t="s">
        <v>115</v>
      </c>
      <c r="O675" s="40" t="s">
        <v>115</v>
      </c>
      <c r="Q675" s="40">
        <v>198</v>
      </c>
      <c r="R675" s="40" t="s">
        <v>115</v>
      </c>
      <c r="X675" s="40">
        <v>90080202</v>
      </c>
      <c r="Y675" s="40" t="s">
        <v>115</v>
      </c>
      <c r="Z675" s="40" t="s">
        <v>115</v>
      </c>
      <c r="AA675" s="40" t="s">
        <v>115</v>
      </c>
      <c r="AB675" s="40" t="s">
        <v>115</v>
      </c>
      <c r="AC675" s="40" t="s">
        <v>115</v>
      </c>
      <c r="AI675" s="40">
        <v>100</v>
      </c>
      <c r="AP675" s="4" t="s">
        <v>115</v>
      </c>
    </row>
    <row r="676" spans="1:42" x14ac:dyDescent="0.15">
      <c r="A676" s="40" t="s">
        <v>1</v>
      </c>
      <c r="B676" s="23">
        <v>90080202</v>
      </c>
      <c r="C676" s="23">
        <v>802</v>
      </c>
      <c r="D676" s="23">
        <v>8</v>
      </c>
      <c r="F676" s="23" t="s">
        <v>116</v>
      </c>
      <c r="G676" s="23">
        <v>312</v>
      </c>
      <c r="H676" s="23" t="s">
        <v>2313</v>
      </c>
      <c r="I676" s="23">
        <v>0</v>
      </c>
      <c r="J676" s="40">
        <v>0</v>
      </c>
      <c r="K676" s="40">
        <v>0</v>
      </c>
      <c r="L676" s="40" t="s">
        <v>115</v>
      </c>
      <c r="O676" s="40" t="s">
        <v>115</v>
      </c>
      <c r="Q676" s="40">
        <v>198</v>
      </c>
      <c r="R676" s="40" t="s">
        <v>115</v>
      </c>
      <c r="X676" s="40">
        <v>90080203</v>
      </c>
      <c r="Y676" s="40" t="s">
        <v>115</v>
      </c>
      <c r="Z676" s="40" t="s">
        <v>115</v>
      </c>
      <c r="AA676" s="40" t="s">
        <v>115</v>
      </c>
      <c r="AB676" s="40" t="s">
        <v>115</v>
      </c>
      <c r="AC676" s="40" t="s">
        <v>115</v>
      </c>
      <c r="AI676" s="40">
        <v>100</v>
      </c>
      <c r="AP676" s="4" t="s">
        <v>115</v>
      </c>
    </row>
    <row r="677" spans="1:42" x14ac:dyDescent="0.15">
      <c r="A677" s="40" t="s">
        <v>1</v>
      </c>
      <c r="B677" s="23">
        <v>90080203</v>
      </c>
      <c r="C677" s="23">
        <v>802</v>
      </c>
      <c r="D677" s="23">
        <v>8</v>
      </c>
      <c r="F677" s="23" t="s">
        <v>1059</v>
      </c>
      <c r="G677" s="23" t="s">
        <v>115</v>
      </c>
      <c r="H677" s="23" t="s">
        <v>2314</v>
      </c>
      <c r="I677" s="23">
        <v>1</v>
      </c>
      <c r="J677" s="40">
        <v>0</v>
      </c>
      <c r="K677" s="40">
        <v>0</v>
      </c>
      <c r="L677" s="40" t="s">
        <v>115</v>
      </c>
      <c r="O677" s="40" t="s">
        <v>115</v>
      </c>
      <c r="Q677" s="40">
        <v>198</v>
      </c>
      <c r="R677" s="40" t="s">
        <v>115</v>
      </c>
      <c r="X677" s="40">
        <v>90080204</v>
      </c>
      <c r="Y677" s="40" t="s">
        <v>115</v>
      </c>
      <c r="Z677" s="40" t="s">
        <v>115</v>
      </c>
      <c r="AA677" s="40" t="s">
        <v>115</v>
      </c>
      <c r="AB677" s="40" t="s">
        <v>115</v>
      </c>
      <c r="AC677" s="40" t="s">
        <v>115</v>
      </c>
      <c r="AI677" s="40" t="s">
        <v>1087</v>
      </c>
      <c r="AP677" s="4" t="s">
        <v>115</v>
      </c>
    </row>
    <row r="678" spans="1:42" x14ac:dyDescent="0.15">
      <c r="A678" s="40" t="s">
        <v>1</v>
      </c>
      <c r="B678" s="23">
        <v>90080204</v>
      </c>
      <c r="C678" s="23">
        <v>802</v>
      </c>
      <c r="D678" s="23">
        <v>8</v>
      </c>
      <c r="F678" s="23" t="s">
        <v>116</v>
      </c>
      <c r="G678" s="23">
        <v>314</v>
      </c>
      <c r="H678" s="23" t="s">
        <v>2315</v>
      </c>
      <c r="I678" s="23">
        <v>2</v>
      </c>
      <c r="J678" s="40">
        <v>0</v>
      </c>
      <c r="K678" s="40">
        <v>0</v>
      </c>
      <c r="L678" s="40" t="s">
        <v>115</v>
      </c>
      <c r="O678" s="40" t="s">
        <v>115</v>
      </c>
      <c r="Q678" s="40">
        <v>198</v>
      </c>
      <c r="R678" s="40" t="s">
        <v>115</v>
      </c>
      <c r="X678" s="40">
        <v>90080205</v>
      </c>
      <c r="Y678" s="40" t="s">
        <v>115</v>
      </c>
      <c r="Z678" s="40" t="s">
        <v>115</v>
      </c>
      <c r="AA678" s="40" t="s">
        <v>115</v>
      </c>
      <c r="AB678" s="40" t="s">
        <v>115</v>
      </c>
      <c r="AC678" s="40" t="s">
        <v>115</v>
      </c>
      <c r="AI678" s="40">
        <v>100</v>
      </c>
      <c r="AP678" s="4" t="s">
        <v>115</v>
      </c>
    </row>
    <row r="679" spans="1:42" x14ac:dyDescent="0.15">
      <c r="A679" s="40" t="s">
        <v>1</v>
      </c>
      <c r="B679" s="23">
        <v>90080205</v>
      </c>
      <c r="C679" s="23">
        <v>802</v>
      </c>
      <c r="D679" s="23">
        <v>8</v>
      </c>
      <c r="F679" s="23" t="s">
        <v>116</v>
      </c>
      <c r="G679" s="23">
        <v>312</v>
      </c>
      <c r="H679" s="23" t="s">
        <v>2316</v>
      </c>
      <c r="I679" s="23">
        <v>0</v>
      </c>
      <c r="J679" s="40">
        <v>0</v>
      </c>
      <c r="K679" s="40">
        <v>0</v>
      </c>
      <c r="L679" s="40" t="s">
        <v>115</v>
      </c>
      <c r="O679" s="40" t="s">
        <v>115</v>
      </c>
      <c r="Q679" s="40">
        <v>198</v>
      </c>
      <c r="R679" s="40" t="s">
        <v>115</v>
      </c>
      <c r="X679" s="40">
        <v>90080206</v>
      </c>
      <c r="Y679" s="40" t="s">
        <v>115</v>
      </c>
      <c r="Z679" s="40" t="s">
        <v>115</v>
      </c>
      <c r="AA679" s="40" t="s">
        <v>115</v>
      </c>
      <c r="AB679" s="40" t="s">
        <v>115</v>
      </c>
      <c r="AC679" s="40" t="s">
        <v>115</v>
      </c>
      <c r="AI679" s="40">
        <v>100</v>
      </c>
      <c r="AP679" s="4" t="s">
        <v>115</v>
      </c>
    </row>
    <row r="680" spans="1:42" x14ac:dyDescent="0.15">
      <c r="A680" s="40" t="s">
        <v>1</v>
      </c>
      <c r="B680" s="23">
        <v>90080206</v>
      </c>
      <c r="C680" s="23">
        <v>802</v>
      </c>
      <c r="D680" s="23">
        <v>8</v>
      </c>
      <c r="F680" s="23" t="s">
        <v>1059</v>
      </c>
      <c r="G680" s="23" t="s">
        <v>115</v>
      </c>
      <c r="H680" s="23" t="s">
        <v>2317</v>
      </c>
      <c r="I680" s="23">
        <v>1</v>
      </c>
      <c r="J680" s="40">
        <v>0</v>
      </c>
      <c r="K680" s="40">
        <v>0</v>
      </c>
      <c r="L680" s="40" t="s">
        <v>115</v>
      </c>
      <c r="O680" s="40" t="s">
        <v>115</v>
      </c>
      <c r="Q680" s="40">
        <v>198</v>
      </c>
      <c r="R680" s="40" t="s">
        <v>115</v>
      </c>
      <c r="X680" s="40">
        <v>90080207</v>
      </c>
      <c r="Y680" s="40" t="s">
        <v>115</v>
      </c>
      <c r="Z680" s="40" t="s">
        <v>115</v>
      </c>
      <c r="AA680" s="40" t="s">
        <v>115</v>
      </c>
      <c r="AB680" s="40" t="s">
        <v>115</v>
      </c>
      <c r="AC680" s="40" t="s">
        <v>115</v>
      </c>
      <c r="AI680" s="40" t="s">
        <v>1062</v>
      </c>
      <c r="AP680" s="4" t="s">
        <v>115</v>
      </c>
    </row>
    <row r="681" spans="1:42" x14ac:dyDescent="0.15">
      <c r="A681" s="40" t="s">
        <v>1</v>
      </c>
      <c r="B681" s="23">
        <v>90080207</v>
      </c>
      <c r="C681" s="23">
        <v>802</v>
      </c>
      <c r="D681" s="23">
        <v>8</v>
      </c>
      <c r="F681" s="23" t="s">
        <v>115</v>
      </c>
      <c r="G681" s="23" t="s">
        <v>115</v>
      </c>
      <c r="H681" s="23" t="s">
        <v>2318</v>
      </c>
      <c r="I681" s="23">
        <v>4</v>
      </c>
      <c r="J681" s="40">
        <v>0</v>
      </c>
      <c r="K681" s="40">
        <v>0</v>
      </c>
      <c r="L681" s="40" t="s">
        <v>115</v>
      </c>
      <c r="O681" s="40" t="s">
        <v>115</v>
      </c>
      <c r="Q681" s="40">
        <v>198</v>
      </c>
      <c r="R681" s="40" t="s">
        <v>115</v>
      </c>
      <c r="X681" s="40">
        <v>90080208</v>
      </c>
      <c r="Y681" s="40" t="s">
        <v>115</v>
      </c>
      <c r="Z681" s="40" t="s">
        <v>115</v>
      </c>
      <c r="AA681" s="40" t="s">
        <v>115</v>
      </c>
      <c r="AB681" s="40" t="s">
        <v>115</v>
      </c>
      <c r="AC681" s="40" t="s">
        <v>115</v>
      </c>
      <c r="AI681" s="40">
        <v>110</v>
      </c>
      <c r="AP681" s="4" t="s">
        <v>115</v>
      </c>
    </row>
    <row r="682" spans="1:42" x14ac:dyDescent="0.15">
      <c r="A682" s="40" t="s">
        <v>1</v>
      </c>
      <c r="B682" s="23">
        <v>90080208</v>
      </c>
      <c r="C682" s="23">
        <v>802</v>
      </c>
      <c r="D682" s="23">
        <v>8</v>
      </c>
      <c r="F682" s="23" t="s">
        <v>1059</v>
      </c>
      <c r="G682" s="23" t="s">
        <v>115</v>
      </c>
      <c r="H682" s="23" t="s">
        <v>2319</v>
      </c>
      <c r="I682" s="23">
        <v>1</v>
      </c>
      <c r="J682" s="40">
        <v>0</v>
      </c>
      <c r="K682" s="40">
        <v>0</v>
      </c>
      <c r="L682" s="40" t="s">
        <v>115</v>
      </c>
      <c r="O682" s="40" t="s">
        <v>115</v>
      </c>
      <c r="Q682" s="40">
        <v>198</v>
      </c>
      <c r="R682" s="40" t="s">
        <v>115</v>
      </c>
      <c r="X682" s="40">
        <v>90080209</v>
      </c>
      <c r="Y682" s="40" t="s">
        <v>115</v>
      </c>
      <c r="Z682" s="40" t="s">
        <v>115</v>
      </c>
      <c r="AA682" s="40" t="s">
        <v>115</v>
      </c>
      <c r="AB682" s="40" t="s">
        <v>115</v>
      </c>
      <c r="AC682" s="40" t="s">
        <v>115</v>
      </c>
      <c r="AI682" s="40" t="s">
        <v>1062</v>
      </c>
      <c r="AP682" s="4" t="s">
        <v>115</v>
      </c>
    </row>
    <row r="683" spans="1:42" x14ac:dyDescent="0.15">
      <c r="A683" s="40" t="s">
        <v>1</v>
      </c>
      <c r="B683" s="23">
        <v>90080209</v>
      </c>
      <c r="C683" s="23">
        <v>802</v>
      </c>
      <c r="D683" s="23">
        <v>8</v>
      </c>
      <c r="F683" s="23" t="s">
        <v>115</v>
      </c>
      <c r="G683" s="23" t="s">
        <v>115</v>
      </c>
      <c r="H683" s="23" t="s">
        <v>2320</v>
      </c>
      <c r="I683" s="23">
        <v>4</v>
      </c>
      <c r="J683" s="40">
        <v>0</v>
      </c>
      <c r="K683" s="40">
        <v>0</v>
      </c>
      <c r="L683" s="40" t="s">
        <v>115</v>
      </c>
      <c r="O683" s="40" t="s">
        <v>115</v>
      </c>
      <c r="Q683" s="40">
        <v>198</v>
      </c>
      <c r="R683" s="40" t="s">
        <v>115</v>
      </c>
      <c r="X683" s="40">
        <v>90080210</v>
      </c>
      <c r="Y683" s="40" t="s">
        <v>115</v>
      </c>
      <c r="Z683" s="40" t="s">
        <v>115</v>
      </c>
      <c r="AA683" s="40" t="s">
        <v>115</v>
      </c>
      <c r="AB683" s="40" t="s">
        <v>115</v>
      </c>
      <c r="AC683" s="40" t="s">
        <v>115</v>
      </c>
      <c r="AI683" s="40">
        <v>110</v>
      </c>
      <c r="AP683" s="4" t="s">
        <v>115</v>
      </c>
    </row>
    <row r="684" spans="1:42" x14ac:dyDescent="0.15">
      <c r="A684" s="40" t="s">
        <v>1</v>
      </c>
      <c r="B684" s="23">
        <v>90080210</v>
      </c>
      <c r="C684" s="23">
        <v>802</v>
      </c>
      <c r="D684" s="23">
        <v>8</v>
      </c>
      <c r="F684" s="23" t="s">
        <v>1059</v>
      </c>
      <c r="G684" s="23" t="s">
        <v>115</v>
      </c>
      <c r="H684" s="23" t="s">
        <v>2550</v>
      </c>
      <c r="I684" s="23">
        <v>1</v>
      </c>
      <c r="J684" s="40">
        <v>0</v>
      </c>
      <c r="K684" s="40">
        <v>0</v>
      </c>
      <c r="L684" s="40" t="s">
        <v>115</v>
      </c>
      <c r="O684" s="40" t="s">
        <v>115</v>
      </c>
      <c r="Q684" s="40">
        <v>198</v>
      </c>
      <c r="R684" s="40" t="s">
        <v>115</v>
      </c>
      <c r="X684" s="40">
        <v>90080211</v>
      </c>
      <c r="Y684" s="40" t="s">
        <v>115</v>
      </c>
      <c r="Z684" s="40" t="s">
        <v>115</v>
      </c>
      <c r="AA684" s="40" t="s">
        <v>115</v>
      </c>
      <c r="AB684" s="40" t="s">
        <v>115</v>
      </c>
      <c r="AC684" s="40" t="s">
        <v>115</v>
      </c>
      <c r="AI684" s="40" t="s">
        <v>1062</v>
      </c>
      <c r="AP684" s="4" t="s">
        <v>115</v>
      </c>
    </row>
    <row r="685" spans="1:42" x14ac:dyDescent="0.15">
      <c r="A685" s="40" t="s">
        <v>1</v>
      </c>
      <c r="B685" s="23">
        <v>90080211</v>
      </c>
      <c r="C685" s="23">
        <v>802</v>
      </c>
      <c r="D685" s="23">
        <v>8</v>
      </c>
      <c r="F685" s="23" t="s">
        <v>116</v>
      </c>
      <c r="G685" s="23">
        <v>312</v>
      </c>
      <c r="H685" s="23" t="s">
        <v>2321</v>
      </c>
      <c r="I685" s="23">
        <v>0</v>
      </c>
      <c r="J685" s="40">
        <v>0</v>
      </c>
      <c r="K685" s="40">
        <v>0</v>
      </c>
      <c r="L685" s="40" t="s">
        <v>115</v>
      </c>
      <c r="O685" s="40" t="s">
        <v>115</v>
      </c>
      <c r="Q685" s="40">
        <v>198</v>
      </c>
      <c r="R685" s="40" t="s">
        <v>115</v>
      </c>
      <c r="X685" s="40">
        <v>90080212</v>
      </c>
      <c r="Y685" s="40" t="s">
        <v>115</v>
      </c>
      <c r="Z685" s="40" t="s">
        <v>115</v>
      </c>
      <c r="AA685" s="40" t="s">
        <v>115</v>
      </c>
      <c r="AB685" s="40" t="s">
        <v>115</v>
      </c>
      <c r="AC685" s="40" t="s">
        <v>115</v>
      </c>
      <c r="AI685" s="40">
        <v>110</v>
      </c>
      <c r="AP685" s="4" t="s">
        <v>115</v>
      </c>
    </row>
    <row r="686" spans="1:42" x14ac:dyDescent="0.15">
      <c r="A686" s="40" t="s">
        <v>1</v>
      </c>
      <c r="B686" s="23">
        <v>90080212</v>
      </c>
      <c r="C686" s="23">
        <v>802</v>
      </c>
      <c r="D686" s="23">
        <v>8</v>
      </c>
      <c r="F686" s="23" t="s">
        <v>115</v>
      </c>
      <c r="G686" s="23" t="s">
        <v>115</v>
      </c>
      <c r="H686" s="23" t="s">
        <v>2322</v>
      </c>
      <c r="I686" s="23">
        <v>4</v>
      </c>
      <c r="J686" s="40">
        <v>0</v>
      </c>
      <c r="K686" s="40">
        <v>0</v>
      </c>
      <c r="L686" s="40" t="s">
        <v>115</v>
      </c>
      <c r="O686" s="40" t="s">
        <v>115</v>
      </c>
      <c r="Q686" s="40">
        <v>198</v>
      </c>
      <c r="R686" s="40" t="s">
        <v>115</v>
      </c>
      <c r="X686" s="40">
        <v>90080213</v>
      </c>
      <c r="Y686" s="40" t="s">
        <v>115</v>
      </c>
      <c r="Z686" s="40" t="s">
        <v>115</v>
      </c>
      <c r="AA686" s="40" t="s">
        <v>115</v>
      </c>
      <c r="AB686" s="40" t="s">
        <v>115</v>
      </c>
      <c r="AC686" s="40" t="s">
        <v>115</v>
      </c>
      <c r="AI686" s="40" t="s">
        <v>115</v>
      </c>
      <c r="AP686" s="4" t="s">
        <v>115</v>
      </c>
    </row>
    <row r="687" spans="1:42" x14ac:dyDescent="0.15">
      <c r="A687" s="40" t="s">
        <v>1</v>
      </c>
      <c r="B687" s="23">
        <v>90080213</v>
      </c>
      <c r="C687" s="23">
        <v>802</v>
      </c>
      <c r="D687" s="23">
        <v>8</v>
      </c>
      <c r="F687" s="23" t="s">
        <v>115</v>
      </c>
      <c r="G687" s="23" t="s">
        <v>115</v>
      </c>
      <c r="H687" s="23" t="s">
        <v>2323</v>
      </c>
      <c r="I687" s="23">
        <v>4</v>
      </c>
      <c r="J687" s="40">
        <v>0</v>
      </c>
      <c r="K687" s="40">
        <v>0</v>
      </c>
      <c r="L687" s="40" t="s">
        <v>115</v>
      </c>
      <c r="O687" s="40" t="s">
        <v>115</v>
      </c>
      <c r="Q687" s="40">
        <v>198</v>
      </c>
      <c r="R687" s="40" t="s">
        <v>115</v>
      </c>
      <c r="X687" s="40">
        <v>90080214</v>
      </c>
      <c r="Y687" s="40" t="s">
        <v>115</v>
      </c>
      <c r="Z687" s="40" t="s">
        <v>115</v>
      </c>
      <c r="AA687" s="40" t="s">
        <v>115</v>
      </c>
      <c r="AB687" s="40" t="s">
        <v>115</v>
      </c>
      <c r="AC687" s="40" t="s">
        <v>115</v>
      </c>
      <c r="AI687" s="40" t="s">
        <v>115</v>
      </c>
      <c r="AP687" s="4" t="s">
        <v>115</v>
      </c>
    </row>
    <row r="688" spans="1:42" x14ac:dyDescent="0.15">
      <c r="A688" s="40" t="s">
        <v>1</v>
      </c>
      <c r="B688" s="23">
        <v>90080214</v>
      </c>
      <c r="C688" s="23">
        <v>802</v>
      </c>
      <c r="D688" s="23">
        <v>8</v>
      </c>
      <c r="F688" s="23" t="s">
        <v>115</v>
      </c>
      <c r="G688" s="23" t="s">
        <v>115</v>
      </c>
      <c r="H688" s="23" t="s">
        <v>929</v>
      </c>
      <c r="I688" s="23">
        <v>4</v>
      </c>
      <c r="J688" s="40">
        <v>0</v>
      </c>
      <c r="K688" s="40">
        <v>2</v>
      </c>
      <c r="L688" s="40" t="s">
        <v>115</v>
      </c>
      <c r="O688" s="40" t="s">
        <v>115</v>
      </c>
      <c r="Q688" s="40">
        <v>198</v>
      </c>
      <c r="R688" s="40" t="s">
        <v>115</v>
      </c>
      <c r="X688" s="40" t="s">
        <v>2324</v>
      </c>
      <c r="Y688" s="40">
        <v>1</v>
      </c>
      <c r="Z688" s="40">
        <v>1</v>
      </c>
      <c r="AA688" s="40" t="s">
        <v>115</v>
      </c>
      <c r="AB688" s="40" t="s">
        <v>115</v>
      </c>
      <c r="AC688" s="40" t="s">
        <v>115</v>
      </c>
      <c r="AI688" s="40" t="s">
        <v>115</v>
      </c>
      <c r="AP688" s="4" t="s">
        <v>115</v>
      </c>
    </row>
    <row r="689" spans="1:42" x14ac:dyDescent="0.15">
      <c r="A689" s="40" t="s">
        <v>1</v>
      </c>
      <c r="B689" s="23">
        <v>90080215</v>
      </c>
      <c r="C689" s="23">
        <v>802</v>
      </c>
      <c r="D689" s="23">
        <v>8</v>
      </c>
      <c r="F689" s="23" t="s">
        <v>115</v>
      </c>
      <c r="G689" s="23" t="s">
        <v>115</v>
      </c>
      <c r="H689" s="23" t="s">
        <v>2325</v>
      </c>
      <c r="I689" s="23">
        <v>4</v>
      </c>
      <c r="J689" s="40">
        <v>0</v>
      </c>
      <c r="K689" s="40">
        <v>3</v>
      </c>
      <c r="L689" s="40" t="s">
        <v>115</v>
      </c>
      <c r="O689" s="40" t="s">
        <v>115</v>
      </c>
      <c r="Q689" s="40">
        <v>198</v>
      </c>
      <c r="R689" s="40" t="s">
        <v>115</v>
      </c>
      <c r="X689" s="40">
        <v>90080217</v>
      </c>
      <c r="Y689" s="40">
        <v>-1</v>
      </c>
      <c r="Z689" s="40">
        <v>2</v>
      </c>
      <c r="AA689" s="40" t="s">
        <v>115</v>
      </c>
      <c r="AB689" s="40" t="s">
        <v>115</v>
      </c>
      <c r="AC689" s="40" t="s">
        <v>115</v>
      </c>
      <c r="AI689" s="40" t="s">
        <v>115</v>
      </c>
      <c r="AP689" s="4" t="s">
        <v>115</v>
      </c>
    </row>
    <row r="690" spans="1:42" x14ac:dyDescent="0.15">
      <c r="A690" s="40" t="s">
        <v>1</v>
      </c>
      <c r="B690" s="23">
        <v>90080216</v>
      </c>
      <c r="C690" s="23">
        <v>802</v>
      </c>
      <c r="D690" s="23">
        <v>8</v>
      </c>
      <c r="F690" s="23" t="s">
        <v>115</v>
      </c>
      <c r="G690" s="23" t="s">
        <v>115</v>
      </c>
      <c r="H690" s="23" t="s">
        <v>2326</v>
      </c>
      <c r="I690" s="23">
        <v>4</v>
      </c>
      <c r="J690" s="40">
        <v>0</v>
      </c>
      <c r="K690" s="40">
        <v>4</v>
      </c>
      <c r="L690" s="40" t="s">
        <v>115</v>
      </c>
      <c r="O690" s="40" t="s">
        <v>115</v>
      </c>
      <c r="Q690" s="40">
        <v>198</v>
      </c>
      <c r="R690" s="40" t="s">
        <v>115</v>
      </c>
      <c r="X690" s="40">
        <v>90080219</v>
      </c>
      <c r="Y690" s="40">
        <v>-1</v>
      </c>
      <c r="Z690" s="40">
        <v>2</v>
      </c>
      <c r="AA690" s="40" t="s">
        <v>115</v>
      </c>
      <c r="AB690" s="40" t="s">
        <v>115</v>
      </c>
      <c r="AC690" s="40" t="s">
        <v>862</v>
      </c>
      <c r="AI690" s="40" t="s">
        <v>115</v>
      </c>
      <c r="AP690" s="4" t="s">
        <v>115</v>
      </c>
    </row>
    <row r="691" spans="1:42" x14ac:dyDescent="0.15">
      <c r="A691" s="40" t="s">
        <v>1</v>
      </c>
      <c r="B691" s="23">
        <v>90080217</v>
      </c>
      <c r="C691" s="23">
        <v>802</v>
      </c>
      <c r="D691" s="23">
        <v>8</v>
      </c>
      <c r="F691" s="23" t="s">
        <v>115</v>
      </c>
      <c r="G691" s="23" t="s">
        <v>115</v>
      </c>
      <c r="H691" s="23" t="s">
        <v>2327</v>
      </c>
      <c r="I691" s="23">
        <v>4</v>
      </c>
      <c r="J691" s="40">
        <v>0</v>
      </c>
      <c r="K691" s="40">
        <v>0</v>
      </c>
      <c r="L691" s="40" t="s">
        <v>115</v>
      </c>
      <c r="O691" s="40" t="s">
        <v>115</v>
      </c>
      <c r="Q691" s="40">
        <v>198</v>
      </c>
      <c r="R691" s="40" t="s">
        <v>115</v>
      </c>
      <c r="X691" s="40">
        <v>90080218</v>
      </c>
      <c r="Y691" s="40" t="s">
        <v>115</v>
      </c>
      <c r="Z691" s="40" t="s">
        <v>115</v>
      </c>
      <c r="AA691" s="40" t="s">
        <v>115</v>
      </c>
      <c r="AB691" s="40" t="s">
        <v>115</v>
      </c>
      <c r="AC691" s="40" t="s">
        <v>115</v>
      </c>
      <c r="AI691" s="40" t="s">
        <v>115</v>
      </c>
      <c r="AP691" s="4" t="s">
        <v>115</v>
      </c>
    </row>
    <row r="692" spans="1:42" x14ac:dyDescent="0.15">
      <c r="A692" s="40" t="s">
        <v>1</v>
      </c>
      <c r="B692" s="23">
        <v>90080218</v>
      </c>
      <c r="C692" s="23">
        <v>802</v>
      </c>
      <c r="D692" s="23">
        <v>8</v>
      </c>
      <c r="F692" s="23" t="s">
        <v>116</v>
      </c>
      <c r="G692" s="23">
        <v>314</v>
      </c>
      <c r="H692" s="23" t="s">
        <v>2328</v>
      </c>
      <c r="I692" s="23">
        <v>2</v>
      </c>
      <c r="J692" s="40">
        <v>0</v>
      </c>
      <c r="K692" s="40">
        <v>0</v>
      </c>
      <c r="L692" s="40" t="s">
        <v>115</v>
      </c>
      <c r="O692" s="40" t="s">
        <v>115</v>
      </c>
      <c r="Q692" s="40">
        <v>198</v>
      </c>
      <c r="R692" s="40" t="s">
        <v>115</v>
      </c>
      <c r="X692" s="40">
        <v>90080214</v>
      </c>
      <c r="Y692" s="40" t="s">
        <v>115</v>
      </c>
      <c r="Z692" s="40" t="s">
        <v>115</v>
      </c>
      <c r="AA692" s="40" t="s">
        <v>115</v>
      </c>
      <c r="AB692" s="40" t="s">
        <v>115</v>
      </c>
      <c r="AC692" s="40" t="s">
        <v>115</v>
      </c>
      <c r="AI692" s="40" t="s">
        <v>115</v>
      </c>
      <c r="AP692" s="4" t="s">
        <v>115</v>
      </c>
    </row>
    <row r="693" spans="1:42" x14ac:dyDescent="0.15">
      <c r="A693" s="40" t="s">
        <v>1</v>
      </c>
      <c r="B693" s="23">
        <v>90080219</v>
      </c>
      <c r="C693" s="23">
        <v>802</v>
      </c>
      <c r="D693" s="23">
        <v>8</v>
      </c>
      <c r="F693" s="23" t="s">
        <v>529</v>
      </c>
      <c r="G693" s="23" t="s">
        <v>115</v>
      </c>
      <c r="H693" s="23" t="s">
        <v>2329</v>
      </c>
      <c r="I693" s="23">
        <v>3</v>
      </c>
      <c r="J693" s="40">
        <v>0</v>
      </c>
      <c r="K693" s="40">
        <v>0</v>
      </c>
      <c r="L693" s="40" t="s">
        <v>115</v>
      </c>
      <c r="O693" s="40" t="s">
        <v>115</v>
      </c>
      <c r="Q693" s="40">
        <v>198</v>
      </c>
      <c r="R693" s="40">
        <v>213</v>
      </c>
      <c r="X693" s="40">
        <v>90080220</v>
      </c>
      <c r="Y693" s="40" t="s">
        <v>115</v>
      </c>
      <c r="Z693" s="40" t="s">
        <v>115</v>
      </c>
      <c r="AA693" s="40" t="s">
        <v>115</v>
      </c>
      <c r="AB693" s="40" t="s">
        <v>115</v>
      </c>
      <c r="AC693" s="40" t="s">
        <v>115</v>
      </c>
      <c r="AI693" s="40" t="s">
        <v>115</v>
      </c>
      <c r="AP693" s="4" t="s">
        <v>115</v>
      </c>
    </row>
    <row r="694" spans="1:42" x14ac:dyDescent="0.15">
      <c r="A694" s="40" t="s">
        <v>1</v>
      </c>
      <c r="B694" s="23">
        <v>90080220</v>
      </c>
      <c r="C694" s="23">
        <v>802</v>
      </c>
      <c r="D694" s="23">
        <v>8</v>
      </c>
      <c r="F694" s="23" t="s">
        <v>529</v>
      </c>
      <c r="G694" s="23" t="s">
        <v>115</v>
      </c>
      <c r="H694" s="23" t="s">
        <v>2330</v>
      </c>
      <c r="I694" s="23">
        <v>3</v>
      </c>
      <c r="J694" s="40">
        <v>0</v>
      </c>
      <c r="K694" s="40">
        <v>0</v>
      </c>
      <c r="L694" s="40" t="s">
        <v>115</v>
      </c>
      <c r="O694" s="40" t="s">
        <v>115</v>
      </c>
      <c r="Q694" s="40">
        <v>198</v>
      </c>
      <c r="R694" s="40">
        <v>213</v>
      </c>
      <c r="X694" s="40">
        <v>90080221</v>
      </c>
      <c r="Y694" s="40" t="s">
        <v>115</v>
      </c>
      <c r="Z694" s="40" t="s">
        <v>115</v>
      </c>
      <c r="AA694" s="40" t="s">
        <v>115</v>
      </c>
      <c r="AB694" s="40" t="s">
        <v>115</v>
      </c>
      <c r="AC694" s="40" t="s">
        <v>115</v>
      </c>
      <c r="AI694" s="40" t="s">
        <v>115</v>
      </c>
      <c r="AP694" s="4" t="s">
        <v>115</v>
      </c>
    </row>
    <row r="695" spans="1:42" x14ac:dyDescent="0.15">
      <c r="A695" s="40" t="s">
        <v>1</v>
      </c>
      <c r="B695" s="23">
        <v>90080221</v>
      </c>
      <c r="C695" s="23">
        <v>802</v>
      </c>
      <c r="D695" s="23">
        <v>8</v>
      </c>
      <c r="F695" s="23" t="s">
        <v>116</v>
      </c>
      <c r="G695" s="23">
        <v>312</v>
      </c>
      <c r="H695" s="23" t="s">
        <v>2331</v>
      </c>
      <c r="I695" s="23">
        <v>0</v>
      </c>
      <c r="J695" s="40">
        <v>0</v>
      </c>
      <c r="K695" s="40">
        <v>5</v>
      </c>
      <c r="L695" s="40" t="s">
        <v>115</v>
      </c>
      <c r="O695" s="40">
        <v>1</v>
      </c>
      <c r="Q695" s="40">
        <v>198</v>
      </c>
      <c r="R695" s="40">
        <v>213</v>
      </c>
      <c r="X695" s="40" t="s">
        <v>115</v>
      </c>
      <c r="Y695" s="40" t="s">
        <v>115</v>
      </c>
      <c r="Z695" s="40">
        <v>4</v>
      </c>
      <c r="AA695" s="40" t="s">
        <v>115</v>
      </c>
      <c r="AB695" s="40" t="s">
        <v>115</v>
      </c>
      <c r="AC695" s="40" t="s">
        <v>115</v>
      </c>
      <c r="AI695" s="40" t="s">
        <v>115</v>
      </c>
      <c r="AP695" s="4" t="s">
        <v>2332</v>
      </c>
    </row>
    <row r="696" spans="1:42" x14ac:dyDescent="0.15">
      <c r="A696" s="40" t="s">
        <v>1</v>
      </c>
      <c r="B696" s="23" t="s">
        <v>853</v>
      </c>
      <c r="C696" s="23">
        <v>803</v>
      </c>
      <c r="D696" s="23">
        <v>8</v>
      </c>
      <c r="F696" s="23" t="s">
        <v>115</v>
      </c>
      <c r="G696" s="23" t="s">
        <v>115</v>
      </c>
      <c r="H696" s="23" t="s">
        <v>2333</v>
      </c>
      <c r="I696" s="23">
        <v>4</v>
      </c>
      <c r="J696" s="40">
        <v>1</v>
      </c>
      <c r="K696" s="40">
        <v>1</v>
      </c>
      <c r="L696" s="40" t="s">
        <v>115</v>
      </c>
      <c r="O696" s="40" t="s">
        <v>115</v>
      </c>
      <c r="Q696" s="40">
        <v>201</v>
      </c>
      <c r="R696" s="40" t="s">
        <v>115</v>
      </c>
      <c r="X696" s="40">
        <v>90080302</v>
      </c>
      <c r="Y696" s="40" t="s">
        <v>115</v>
      </c>
      <c r="Z696" s="40" t="s">
        <v>115</v>
      </c>
      <c r="AA696" s="40" t="s">
        <v>115</v>
      </c>
      <c r="AB696" s="40" t="s">
        <v>115</v>
      </c>
      <c r="AC696" s="40" t="s">
        <v>115</v>
      </c>
      <c r="AI696" s="40" t="s">
        <v>115</v>
      </c>
      <c r="AP696" s="4" t="s">
        <v>115</v>
      </c>
    </row>
    <row r="697" spans="1:42" x14ac:dyDescent="0.15">
      <c r="A697" s="40" t="s">
        <v>1</v>
      </c>
      <c r="B697" s="23">
        <v>90080302</v>
      </c>
      <c r="C697" s="23">
        <v>803</v>
      </c>
      <c r="D697" s="23">
        <v>8</v>
      </c>
      <c r="F697" s="23" t="s">
        <v>116</v>
      </c>
      <c r="G697" s="23">
        <v>314</v>
      </c>
      <c r="H697" s="23" t="s">
        <v>2334</v>
      </c>
      <c r="I697" s="23">
        <v>2</v>
      </c>
      <c r="J697" s="40">
        <v>0</v>
      </c>
      <c r="K697" s="40">
        <v>2</v>
      </c>
      <c r="L697" s="40" t="s">
        <v>764</v>
      </c>
      <c r="O697" s="40" t="s">
        <v>115</v>
      </c>
      <c r="Q697" s="40">
        <v>201</v>
      </c>
      <c r="R697" s="40" t="s">
        <v>115</v>
      </c>
      <c r="X697" s="40">
        <v>90080303</v>
      </c>
      <c r="Y697" s="40" t="s">
        <v>115</v>
      </c>
      <c r="Z697" s="40">
        <v>1</v>
      </c>
      <c r="AA697" s="40" t="s">
        <v>115</v>
      </c>
      <c r="AB697" s="40" t="s">
        <v>115</v>
      </c>
      <c r="AC697" s="40" t="s">
        <v>115</v>
      </c>
      <c r="AI697" s="40" t="s">
        <v>115</v>
      </c>
      <c r="AP697" s="4" t="s">
        <v>115</v>
      </c>
    </row>
    <row r="698" spans="1:42" x14ac:dyDescent="0.15">
      <c r="A698" s="40" t="s">
        <v>1</v>
      </c>
      <c r="B698" s="23">
        <v>90080303</v>
      </c>
      <c r="C698" s="23">
        <v>803</v>
      </c>
      <c r="D698" s="23">
        <v>8</v>
      </c>
      <c r="F698" s="23" t="s">
        <v>115</v>
      </c>
      <c r="G698" s="23" t="s">
        <v>115</v>
      </c>
      <c r="H698" s="23" t="s">
        <v>2335</v>
      </c>
      <c r="I698" s="23">
        <v>4</v>
      </c>
      <c r="J698" s="40">
        <v>0</v>
      </c>
      <c r="K698" s="40">
        <v>0</v>
      </c>
      <c r="L698" s="40" t="s">
        <v>115</v>
      </c>
      <c r="O698" s="40" t="s">
        <v>115</v>
      </c>
      <c r="Q698" s="40">
        <v>201</v>
      </c>
      <c r="R698" s="40" t="s">
        <v>115</v>
      </c>
      <c r="X698" s="40">
        <v>90080304</v>
      </c>
      <c r="Y698" s="40" t="s">
        <v>115</v>
      </c>
      <c r="Z698" s="40" t="s">
        <v>115</v>
      </c>
      <c r="AA698" s="40" t="s">
        <v>115</v>
      </c>
      <c r="AB698" s="40" t="s">
        <v>115</v>
      </c>
      <c r="AC698" s="40" t="s">
        <v>115</v>
      </c>
      <c r="AI698" s="40" t="s">
        <v>115</v>
      </c>
      <c r="AP698" s="4" t="s">
        <v>115</v>
      </c>
    </row>
    <row r="699" spans="1:42" x14ac:dyDescent="0.15">
      <c r="A699" s="40" t="s">
        <v>1</v>
      </c>
      <c r="B699" s="23">
        <v>90080304</v>
      </c>
      <c r="C699" s="23">
        <v>803</v>
      </c>
      <c r="D699" s="23">
        <v>8</v>
      </c>
      <c r="F699" s="23" t="s">
        <v>2336</v>
      </c>
      <c r="G699" s="23" t="s">
        <v>115</v>
      </c>
      <c r="H699" s="23" t="s">
        <v>2337</v>
      </c>
      <c r="I699" s="23">
        <v>3</v>
      </c>
      <c r="J699" s="40">
        <v>0</v>
      </c>
      <c r="K699" s="40">
        <v>0</v>
      </c>
      <c r="L699" s="40" t="s">
        <v>115</v>
      </c>
      <c r="O699" s="40" t="s">
        <v>115</v>
      </c>
      <c r="Q699" s="40">
        <v>201</v>
      </c>
      <c r="R699" s="40">
        <v>252</v>
      </c>
      <c r="X699" s="40">
        <v>90080305</v>
      </c>
      <c r="Y699" s="40" t="s">
        <v>115</v>
      </c>
      <c r="Z699" s="40" t="s">
        <v>115</v>
      </c>
      <c r="AA699" s="40" t="s">
        <v>115</v>
      </c>
      <c r="AB699" s="40" t="s">
        <v>115</v>
      </c>
      <c r="AC699" s="40" t="s">
        <v>115</v>
      </c>
      <c r="AI699" s="40" t="s">
        <v>115</v>
      </c>
      <c r="AP699" s="4" t="s">
        <v>115</v>
      </c>
    </row>
    <row r="700" spans="1:42" x14ac:dyDescent="0.15">
      <c r="A700" s="40" t="s">
        <v>1</v>
      </c>
      <c r="B700" s="23">
        <v>90080305</v>
      </c>
      <c r="C700" s="23">
        <v>803</v>
      </c>
      <c r="D700" s="23">
        <v>8</v>
      </c>
      <c r="F700" s="23" t="s">
        <v>2336</v>
      </c>
      <c r="G700" s="23" t="s">
        <v>115</v>
      </c>
      <c r="H700" s="23" t="s">
        <v>2338</v>
      </c>
      <c r="I700" s="23">
        <v>3</v>
      </c>
      <c r="J700" s="40">
        <v>0</v>
      </c>
      <c r="K700" s="40">
        <v>0</v>
      </c>
      <c r="L700" s="40" t="s">
        <v>115</v>
      </c>
      <c r="O700" s="40" t="s">
        <v>115</v>
      </c>
      <c r="Q700" s="40">
        <v>201</v>
      </c>
      <c r="R700" s="40">
        <v>252</v>
      </c>
      <c r="X700" s="40">
        <v>90080306</v>
      </c>
      <c r="Y700" s="40" t="s">
        <v>115</v>
      </c>
      <c r="Z700" s="40" t="s">
        <v>115</v>
      </c>
      <c r="AA700" s="40" t="s">
        <v>115</v>
      </c>
      <c r="AB700" s="40" t="s">
        <v>115</v>
      </c>
      <c r="AC700" s="40" t="s">
        <v>115</v>
      </c>
      <c r="AI700" s="40" t="s">
        <v>115</v>
      </c>
      <c r="AP700" s="4" t="s">
        <v>115</v>
      </c>
    </row>
    <row r="701" spans="1:42" x14ac:dyDescent="0.15">
      <c r="A701" s="40" t="s">
        <v>1</v>
      </c>
      <c r="B701" s="23">
        <v>90080306</v>
      </c>
      <c r="C701" s="23">
        <v>803</v>
      </c>
      <c r="D701" s="23">
        <v>8</v>
      </c>
      <c r="F701" s="23" t="s">
        <v>2339</v>
      </c>
      <c r="G701" s="23" t="s">
        <v>115</v>
      </c>
      <c r="H701" s="23" t="s">
        <v>2340</v>
      </c>
      <c r="I701" s="23">
        <v>3</v>
      </c>
      <c r="J701" s="40">
        <v>0</v>
      </c>
      <c r="K701" s="40">
        <v>0</v>
      </c>
      <c r="L701" s="40" t="s">
        <v>115</v>
      </c>
      <c r="O701" s="40" t="s">
        <v>115</v>
      </c>
      <c r="Q701" s="40">
        <v>201</v>
      </c>
      <c r="R701" s="40">
        <v>167</v>
      </c>
      <c r="X701" s="40">
        <v>90080307</v>
      </c>
      <c r="Y701" s="40" t="s">
        <v>115</v>
      </c>
      <c r="Z701" s="40" t="s">
        <v>115</v>
      </c>
      <c r="AA701" s="40" t="s">
        <v>115</v>
      </c>
      <c r="AB701" s="40" t="s">
        <v>115</v>
      </c>
      <c r="AC701" s="40" t="s">
        <v>115</v>
      </c>
      <c r="AI701" s="40" t="s">
        <v>115</v>
      </c>
      <c r="AP701" s="4" t="s">
        <v>115</v>
      </c>
    </row>
    <row r="702" spans="1:42" x14ac:dyDescent="0.15">
      <c r="A702" s="40" t="s">
        <v>1</v>
      </c>
      <c r="B702" s="23">
        <v>90080307</v>
      </c>
      <c r="C702" s="23">
        <v>803</v>
      </c>
      <c r="D702" s="23">
        <v>8</v>
      </c>
      <c r="F702" s="23" t="s">
        <v>2336</v>
      </c>
      <c r="G702" s="23" t="s">
        <v>115</v>
      </c>
      <c r="H702" s="23" t="s">
        <v>2341</v>
      </c>
      <c r="I702" s="23">
        <v>3</v>
      </c>
      <c r="J702" s="40">
        <v>0</v>
      </c>
      <c r="K702" s="40">
        <v>0</v>
      </c>
      <c r="L702" s="40" t="s">
        <v>115</v>
      </c>
      <c r="O702" s="40" t="s">
        <v>115</v>
      </c>
      <c r="Q702" s="40">
        <v>201</v>
      </c>
      <c r="R702" s="40">
        <v>252</v>
      </c>
      <c r="X702" s="40">
        <v>90080308</v>
      </c>
      <c r="Y702" s="40" t="s">
        <v>115</v>
      </c>
      <c r="Z702" s="40" t="s">
        <v>115</v>
      </c>
      <c r="AA702" s="40" t="s">
        <v>115</v>
      </c>
      <c r="AB702" s="40" t="s">
        <v>115</v>
      </c>
      <c r="AC702" s="40" t="s">
        <v>115</v>
      </c>
      <c r="AI702" s="40" t="s">
        <v>115</v>
      </c>
      <c r="AP702" s="4" t="s">
        <v>115</v>
      </c>
    </row>
    <row r="703" spans="1:42" x14ac:dyDescent="0.15">
      <c r="A703" s="40" t="s">
        <v>1</v>
      </c>
      <c r="B703" s="23">
        <v>90080308</v>
      </c>
      <c r="C703" s="23">
        <v>803</v>
      </c>
      <c r="D703" s="23">
        <v>8</v>
      </c>
      <c r="F703" s="23" t="s">
        <v>2339</v>
      </c>
      <c r="G703" s="23" t="s">
        <v>115</v>
      </c>
      <c r="H703" s="23" t="s">
        <v>2342</v>
      </c>
      <c r="I703" s="23">
        <v>3</v>
      </c>
      <c r="J703" s="40">
        <v>0</v>
      </c>
      <c r="K703" s="40">
        <v>0</v>
      </c>
      <c r="L703" s="40" t="s">
        <v>115</v>
      </c>
      <c r="O703" s="40" t="s">
        <v>115</v>
      </c>
      <c r="Q703" s="40">
        <v>201</v>
      </c>
      <c r="R703" s="40">
        <v>167</v>
      </c>
      <c r="X703" s="40">
        <v>90080309</v>
      </c>
      <c r="Y703" s="40" t="s">
        <v>115</v>
      </c>
      <c r="Z703" s="40" t="s">
        <v>115</v>
      </c>
      <c r="AA703" s="40" t="s">
        <v>115</v>
      </c>
      <c r="AB703" s="40" t="s">
        <v>115</v>
      </c>
      <c r="AC703" s="40" t="s">
        <v>115</v>
      </c>
      <c r="AI703" s="40" t="s">
        <v>115</v>
      </c>
      <c r="AP703" s="4" t="s">
        <v>115</v>
      </c>
    </row>
    <row r="704" spans="1:42" x14ac:dyDescent="0.15">
      <c r="A704" s="40" t="s">
        <v>1</v>
      </c>
      <c r="B704" s="23">
        <v>90080309</v>
      </c>
      <c r="C704" s="23">
        <v>803</v>
      </c>
      <c r="D704" s="23">
        <v>8</v>
      </c>
      <c r="F704" s="23" t="s">
        <v>115</v>
      </c>
      <c r="G704" s="23" t="s">
        <v>115</v>
      </c>
      <c r="H704" s="23" t="s">
        <v>2343</v>
      </c>
      <c r="I704" s="23">
        <v>4</v>
      </c>
      <c r="J704" s="40">
        <v>0</v>
      </c>
      <c r="K704" s="40">
        <v>0</v>
      </c>
      <c r="L704" s="40" t="s">
        <v>115</v>
      </c>
      <c r="O704" s="40" t="s">
        <v>115</v>
      </c>
      <c r="Q704" s="40">
        <v>201</v>
      </c>
      <c r="R704" s="40" t="s">
        <v>115</v>
      </c>
      <c r="X704" s="40">
        <v>90080310</v>
      </c>
      <c r="Y704" s="40" t="s">
        <v>115</v>
      </c>
      <c r="Z704" s="40" t="s">
        <v>115</v>
      </c>
      <c r="AA704" s="40" t="s">
        <v>115</v>
      </c>
      <c r="AB704" s="40" t="s">
        <v>115</v>
      </c>
      <c r="AC704" s="40" t="s">
        <v>115</v>
      </c>
      <c r="AI704" s="40" t="s">
        <v>115</v>
      </c>
      <c r="AP704" s="4" t="s">
        <v>115</v>
      </c>
    </row>
    <row r="705" spans="1:42" x14ac:dyDescent="0.15">
      <c r="A705" s="40" t="s">
        <v>1</v>
      </c>
      <c r="B705" s="23">
        <v>90080310</v>
      </c>
      <c r="C705" s="23">
        <v>803</v>
      </c>
      <c r="D705" s="23">
        <v>8</v>
      </c>
      <c r="F705" s="23" t="s">
        <v>115</v>
      </c>
      <c r="G705" s="23" t="s">
        <v>115</v>
      </c>
      <c r="H705" s="23" t="s">
        <v>2344</v>
      </c>
      <c r="I705" s="23">
        <v>4</v>
      </c>
      <c r="J705" s="40">
        <v>0</v>
      </c>
      <c r="K705" s="40">
        <v>0</v>
      </c>
      <c r="L705" s="40" t="s">
        <v>115</v>
      </c>
      <c r="O705" s="40" t="s">
        <v>115</v>
      </c>
      <c r="Q705" s="40">
        <v>201</v>
      </c>
      <c r="R705" s="40" t="s">
        <v>115</v>
      </c>
      <c r="X705" s="40">
        <v>90080311</v>
      </c>
      <c r="Y705" s="40" t="s">
        <v>115</v>
      </c>
      <c r="Z705" s="40" t="s">
        <v>115</v>
      </c>
      <c r="AA705" s="40" t="s">
        <v>115</v>
      </c>
      <c r="AB705" s="40" t="s">
        <v>115</v>
      </c>
      <c r="AC705" s="40" t="s">
        <v>115</v>
      </c>
      <c r="AI705" s="40" t="s">
        <v>115</v>
      </c>
      <c r="AP705" s="4" t="s">
        <v>115</v>
      </c>
    </row>
    <row r="706" spans="1:42" x14ac:dyDescent="0.15">
      <c r="A706" s="40" t="s">
        <v>1</v>
      </c>
      <c r="B706" s="23">
        <v>90080311</v>
      </c>
      <c r="C706" s="23">
        <v>803</v>
      </c>
      <c r="D706" s="23">
        <v>8</v>
      </c>
      <c r="F706" s="23" t="s">
        <v>2336</v>
      </c>
      <c r="G706" s="23" t="s">
        <v>115</v>
      </c>
      <c r="H706" s="23" t="s">
        <v>2345</v>
      </c>
      <c r="I706" s="23">
        <v>3</v>
      </c>
      <c r="J706" s="40">
        <v>0</v>
      </c>
      <c r="K706" s="40">
        <v>0</v>
      </c>
      <c r="L706" s="40" t="s">
        <v>115</v>
      </c>
      <c r="O706" s="40" t="s">
        <v>115</v>
      </c>
      <c r="Q706" s="40">
        <v>201</v>
      </c>
      <c r="R706" s="40">
        <v>252</v>
      </c>
      <c r="X706" s="40">
        <v>90080312</v>
      </c>
      <c r="Y706" s="40" t="s">
        <v>115</v>
      </c>
      <c r="Z706" s="40" t="s">
        <v>115</v>
      </c>
      <c r="AA706" s="40" t="s">
        <v>115</v>
      </c>
      <c r="AB706" s="40" t="s">
        <v>115</v>
      </c>
      <c r="AC706" s="40" t="s">
        <v>115</v>
      </c>
      <c r="AI706" s="40" t="s">
        <v>115</v>
      </c>
      <c r="AP706" s="4" t="s">
        <v>115</v>
      </c>
    </row>
    <row r="707" spans="1:42" x14ac:dyDescent="0.15">
      <c r="A707" s="40" t="s">
        <v>1</v>
      </c>
      <c r="B707" s="23">
        <v>90080312</v>
      </c>
      <c r="C707" s="23">
        <v>803</v>
      </c>
      <c r="D707" s="23">
        <v>8</v>
      </c>
      <c r="F707" s="23" t="s">
        <v>115</v>
      </c>
      <c r="G707" s="23" t="s">
        <v>115</v>
      </c>
      <c r="H707" s="23" t="s">
        <v>2346</v>
      </c>
      <c r="I707" s="23">
        <v>4</v>
      </c>
      <c r="J707" s="40">
        <v>0</v>
      </c>
      <c r="K707" s="40">
        <v>3</v>
      </c>
      <c r="L707" s="40" t="s">
        <v>115</v>
      </c>
      <c r="O707" s="40" t="s">
        <v>115</v>
      </c>
      <c r="Q707" s="40">
        <v>201</v>
      </c>
      <c r="R707" s="40">
        <v>252</v>
      </c>
      <c r="X707" s="40" t="s">
        <v>2347</v>
      </c>
      <c r="Y707" s="40">
        <v>1</v>
      </c>
      <c r="Z707" s="40">
        <v>2</v>
      </c>
      <c r="AA707" s="40" t="s">
        <v>115</v>
      </c>
      <c r="AB707" s="40" t="s">
        <v>115</v>
      </c>
      <c r="AC707" s="40" t="s">
        <v>115</v>
      </c>
      <c r="AI707" s="40" t="s">
        <v>115</v>
      </c>
      <c r="AP707" s="4" t="s">
        <v>115</v>
      </c>
    </row>
    <row r="708" spans="1:42" x14ac:dyDescent="0.15">
      <c r="A708" s="40" t="s">
        <v>1</v>
      </c>
      <c r="B708" s="23">
        <v>90080313</v>
      </c>
      <c r="C708" s="23">
        <v>803</v>
      </c>
      <c r="D708" s="23">
        <v>8</v>
      </c>
      <c r="F708" s="23" t="s">
        <v>115</v>
      </c>
      <c r="G708" s="23" t="s">
        <v>115</v>
      </c>
      <c r="H708" s="23" t="s">
        <v>2348</v>
      </c>
      <c r="I708" s="23">
        <v>4</v>
      </c>
      <c r="J708" s="40">
        <v>0</v>
      </c>
      <c r="K708" s="40">
        <v>4</v>
      </c>
      <c r="L708" s="40" t="s">
        <v>115</v>
      </c>
      <c r="O708" s="40" t="s">
        <v>115</v>
      </c>
      <c r="Q708" s="40">
        <v>201</v>
      </c>
      <c r="R708" s="40">
        <v>252</v>
      </c>
      <c r="X708" s="40">
        <v>90080315</v>
      </c>
      <c r="Y708" s="40">
        <v>-1</v>
      </c>
      <c r="Z708" s="40">
        <v>3</v>
      </c>
      <c r="AA708" s="40" t="s">
        <v>115</v>
      </c>
      <c r="AB708" s="40" t="s">
        <v>115</v>
      </c>
      <c r="AC708" s="40" t="s">
        <v>115</v>
      </c>
      <c r="AI708" s="40" t="s">
        <v>115</v>
      </c>
      <c r="AP708" s="4" t="s">
        <v>115</v>
      </c>
    </row>
    <row r="709" spans="1:42" x14ac:dyDescent="0.15">
      <c r="A709" s="40" t="s">
        <v>1</v>
      </c>
      <c r="B709" s="23">
        <v>90080314</v>
      </c>
      <c r="C709" s="23">
        <v>803</v>
      </c>
      <c r="D709" s="23">
        <v>8</v>
      </c>
      <c r="F709" s="23" t="s">
        <v>115</v>
      </c>
      <c r="G709" s="23" t="s">
        <v>115</v>
      </c>
      <c r="H709" s="23" t="s">
        <v>2349</v>
      </c>
      <c r="I709" s="23">
        <v>4</v>
      </c>
      <c r="J709" s="40">
        <v>0</v>
      </c>
      <c r="K709" s="40">
        <v>5</v>
      </c>
      <c r="L709" s="40" t="s">
        <v>115</v>
      </c>
      <c r="O709" s="40" t="s">
        <v>115</v>
      </c>
      <c r="Q709" s="40">
        <v>201</v>
      </c>
      <c r="R709" s="40">
        <v>252</v>
      </c>
      <c r="X709" s="40">
        <v>90080317</v>
      </c>
      <c r="Y709" s="40">
        <v>-1</v>
      </c>
      <c r="Z709" s="40">
        <v>3</v>
      </c>
      <c r="AA709" s="40" t="s">
        <v>115</v>
      </c>
      <c r="AB709" s="40" t="s">
        <v>115</v>
      </c>
      <c r="AC709" s="40" t="s">
        <v>875</v>
      </c>
      <c r="AI709" s="40" t="s">
        <v>115</v>
      </c>
      <c r="AP709" s="4" t="s">
        <v>115</v>
      </c>
    </row>
    <row r="710" spans="1:42" x14ac:dyDescent="0.15">
      <c r="A710" s="40" t="s">
        <v>1</v>
      </c>
      <c r="B710" s="23">
        <v>90080315</v>
      </c>
      <c r="C710" s="23">
        <v>803</v>
      </c>
      <c r="D710" s="23">
        <v>8</v>
      </c>
      <c r="F710" s="23" t="s">
        <v>115</v>
      </c>
      <c r="G710" s="23" t="s">
        <v>115</v>
      </c>
      <c r="H710" s="23" t="s">
        <v>2350</v>
      </c>
      <c r="I710" s="23">
        <v>4</v>
      </c>
      <c r="J710" s="40">
        <v>0</v>
      </c>
      <c r="K710" s="40">
        <v>0</v>
      </c>
      <c r="L710" s="40" t="s">
        <v>115</v>
      </c>
      <c r="O710" s="40" t="s">
        <v>115</v>
      </c>
      <c r="Q710" s="40">
        <v>201</v>
      </c>
      <c r="R710" s="40">
        <v>252</v>
      </c>
      <c r="X710" s="40">
        <v>90080316</v>
      </c>
      <c r="Y710" s="40" t="s">
        <v>115</v>
      </c>
      <c r="Z710" s="40" t="s">
        <v>115</v>
      </c>
      <c r="AA710" s="40" t="s">
        <v>115</v>
      </c>
      <c r="AB710" s="40" t="s">
        <v>115</v>
      </c>
      <c r="AC710" s="40" t="s">
        <v>115</v>
      </c>
      <c r="AI710" s="40" t="s">
        <v>115</v>
      </c>
      <c r="AP710" s="4" t="s">
        <v>115</v>
      </c>
    </row>
    <row r="711" spans="1:42" x14ac:dyDescent="0.15">
      <c r="A711" s="40" t="s">
        <v>1</v>
      </c>
      <c r="B711" s="23">
        <v>90080316</v>
      </c>
      <c r="C711" s="23">
        <v>803</v>
      </c>
      <c r="D711" s="23">
        <v>8</v>
      </c>
      <c r="F711" s="23" t="s">
        <v>116</v>
      </c>
      <c r="G711" s="23">
        <v>368</v>
      </c>
      <c r="H711" s="23" t="s">
        <v>2351</v>
      </c>
      <c r="I711" s="23">
        <v>2</v>
      </c>
      <c r="J711" s="40">
        <v>0</v>
      </c>
      <c r="K711" s="40">
        <v>0</v>
      </c>
      <c r="L711" s="40" t="s">
        <v>115</v>
      </c>
      <c r="O711" s="40" t="s">
        <v>115</v>
      </c>
      <c r="Q711" s="40">
        <v>201</v>
      </c>
      <c r="R711" s="40">
        <v>252</v>
      </c>
      <c r="X711" s="40">
        <v>90080312</v>
      </c>
      <c r="Y711" s="40" t="s">
        <v>115</v>
      </c>
      <c r="Z711" s="40" t="s">
        <v>115</v>
      </c>
      <c r="AA711" s="40" t="s">
        <v>115</v>
      </c>
      <c r="AB711" s="40" t="s">
        <v>115</v>
      </c>
      <c r="AC711" s="40" t="s">
        <v>115</v>
      </c>
      <c r="AI711" s="40" t="s">
        <v>115</v>
      </c>
      <c r="AP711" s="4" t="s">
        <v>115</v>
      </c>
    </row>
    <row r="712" spans="1:42" x14ac:dyDescent="0.15">
      <c r="A712" s="40" t="s">
        <v>1</v>
      </c>
      <c r="B712" s="23">
        <v>90080317</v>
      </c>
      <c r="C712" s="23">
        <v>803</v>
      </c>
      <c r="D712" s="23">
        <v>8</v>
      </c>
      <c r="F712" s="23" t="s">
        <v>115</v>
      </c>
      <c r="G712" s="23" t="s">
        <v>115</v>
      </c>
      <c r="H712" s="23" t="s">
        <v>2352</v>
      </c>
      <c r="I712" s="23">
        <v>4</v>
      </c>
      <c r="J712" s="40">
        <v>0</v>
      </c>
      <c r="K712" s="40">
        <v>0</v>
      </c>
      <c r="L712" s="40" t="s">
        <v>115</v>
      </c>
      <c r="O712" s="40" t="s">
        <v>115</v>
      </c>
      <c r="Q712" s="40">
        <v>201</v>
      </c>
      <c r="R712" s="40">
        <v>252</v>
      </c>
      <c r="X712" s="40">
        <v>90080318</v>
      </c>
      <c r="Y712" s="40" t="s">
        <v>115</v>
      </c>
      <c r="Z712" s="40" t="s">
        <v>115</v>
      </c>
      <c r="AA712" s="40" t="s">
        <v>115</v>
      </c>
      <c r="AB712" s="40" t="s">
        <v>115</v>
      </c>
      <c r="AC712" s="40" t="s">
        <v>115</v>
      </c>
      <c r="AI712" s="40" t="s">
        <v>115</v>
      </c>
      <c r="AP712" s="4" t="s">
        <v>115</v>
      </c>
    </row>
    <row r="713" spans="1:42" x14ac:dyDescent="0.15">
      <c r="A713" s="40" t="s">
        <v>1</v>
      </c>
      <c r="B713" s="23">
        <v>90080318</v>
      </c>
      <c r="C713" s="23">
        <v>803</v>
      </c>
      <c r="D713" s="23">
        <v>8</v>
      </c>
      <c r="F713" s="23" t="s">
        <v>2336</v>
      </c>
      <c r="G713" s="23" t="s">
        <v>115</v>
      </c>
      <c r="H713" s="23" t="s">
        <v>2551</v>
      </c>
      <c r="I713" s="23">
        <v>3</v>
      </c>
      <c r="J713" s="40">
        <v>0</v>
      </c>
      <c r="K713" s="40">
        <v>0</v>
      </c>
      <c r="L713" s="40" t="s">
        <v>115</v>
      </c>
      <c r="O713" s="40" t="s">
        <v>115</v>
      </c>
      <c r="Q713" s="40">
        <v>201</v>
      </c>
      <c r="R713" s="40">
        <v>252</v>
      </c>
      <c r="X713" s="40">
        <v>90080319</v>
      </c>
      <c r="Y713" s="40" t="s">
        <v>115</v>
      </c>
      <c r="Z713" s="40" t="s">
        <v>115</v>
      </c>
      <c r="AA713" s="40" t="s">
        <v>115</v>
      </c>
      <c r="AB713" s="40" t="s">
        <v>115</v>
      </c>
      <c r="AC713" s="40" t="s">
        <v>115</v>
      </c>
      <c r="AI713" s="40" t="s">
        <v>115</v>
      </c>
      <c r="AP713" s="4" t="s">
        <v>115</v>
      </c>
    </row>
    <row r="714" spans="1:42" x14ac:dyDescent="0.15">
      <c r="A714" s="40" t="s">
        <v>1</v>
      </c>
      <c r="B714" s="23">
        <v>90080319</v>
      </c>
      <c r="C714" s="23">
        <v>803</v>
      </c>
      <c r="D714" s="23">
        <v>8</v>
      </c>
      <c r="F714" s="23" t="s">
        <v>2353</v>
      </c>
      <c r="G714" s="23" t="s">
        <v>115</v>
      </c>
      <c r="H714" s="23" t="s">
        <v>2552</v>
      </c>
      <c r="I714" s="23">
        <v>3</v>
      </c>
      <c r="J714" s="40">
        <v>0</v>
      </c>
      <c r="K714" s="40">
        <v>0</v>
      </c>
      <c r="L714" s="40" t="s">
        <v>115</v>
      </c>
      <c r="O714" s="40" t="s">
        <v>115</v>
      </c>
      <c r="Q714" s="40">
        <v>201</v>
      </c>
      <c r="R714" s="40">
        <v>252</v>
      </c>
      <c r="X714" s="40">
        <v>90080320</v>
      </c>
      <c r="Y714" s="40" t="s">
        <v>115</v>
      </c>
      <c r="Z714" s="40" t="s">
        <v>115</v>
      </c>
      <c r="AA714" s="40" t="s">
        <v>115</v>
      </c>
      <c r="AB714" s="40" t="s">
        <v>115</v>
      </c>
      <c r="AC714" s="40" t="s">
        <v>115</v>
      </c>
      <c r="AI714" s="40" t="s">
        <v>115</v>
      </c>
      <c r="AP714" s="4" t="s">
        <v>115</v>
      </c>
    </row>
    <row r="715" spans="1:42" x14ac:dyDescent="0.15">
      <c r="A715" s="40" t="s">
        <v>1</v>
      </c>
      <c r="B715" s="23">
        <v>90080320</v>
      </c>
      <c r="C715" s="23">
        <v>803</v>
      </c>
      <c r="D715" s="23">
        <v>8</v>
      </c>
      <c r="F715" s="23" t="s">
        <v>2353</v>
      </c>
      <c r="G715" s="23" t="s">
        <v>115</v>
      </c>
      <c r="H715" s="23" t="s">
        <v>2354</v>
      </c>
      <c r="I715" s="23">
        <v>3</v>
      </c>
      <c r="J715" s="40">
        <v>0</v>
      </c>
      <c r="K715" s="40">
        <v>6</v>
      </c>
      <c r="L715" s="40" t="s">
        <v>765</v>
      </c>
      <c r="O715" s="40" t="s">
        <v>115</v>
      </c>
      <c r="Q715" s="40">
        <v>201</v>
      </c>
      <c r="R715" s="40">
        <v>252</v>
      </c>
      <c r="X715" s="40">
        <v>90080321</v>
      </c>
      <c r="Y715" s="40" t="s">
        <v>115</v>
      </c>
      <c r="Z715" s="40">
        <v>5</v>
      </c>
      <c r="AA715" s="40" t="s">
        <v>115</v>
      </c>
      <c r="AB715" s="40" t="s">
        <v>115</v>
      </c>
      <c r="AC715" s="40" t="s">
        <v>115</v>
      </c>
      <c r="AI715" s="40" t="s">
        <v>115</v>
      </c>
      <c r="AP715" s="4" t="s">
        <v>115</v>
      </c>
    </row>
    <row r="716" spans="1:42" x14ac:dyDescent="0.15">
      <c r="A716" s="40" t="s">
        <v>1</v>
      </c>
      <c r="B716" s="23">
        <v>90080321</v>
      </c>
      <c r="C716" s="23">
        <v>803</v>
      </c>
      <c r="D716" s="23">
        <v>8</v>
      </c>
      <c r="F716" s="23" t="s">
        <v>2336</v>
      </c>
      <c r="G716" s="23" t="s">
        <v>115</v>
      </c>
      <c r="H716" s="23" t="s">
        <v>2355</v>
      </c>
      <c r="I716" s="23">
        <v>3</v>
      </c>
      <c r="J716" s="40">
        <v>0</v>
      </c>
      <c r="K716" s="40">
        <v>0</v>
      </c>
      <c r="L716" s="40" t="s">
        <v>115</v>
      </c>
      <c r="O716" s="40" t="s">
        <v>115</v>
      </c>
      <c r="Q716" s="40">
        <v>201</v>
      </c>
      <c r="R716" s="40">
        <v>252</v>
      </c>
      <c r="X716" s="40">
        <v>90080322</v>
      </c>
      <c r="Y716" s="40" t="s">
        <v>115</v>
      </c>
      <c r="Z716" s="40" t="s">
        <v>115</v>
      </c>
      <c r="AA716" s="40" t="s">
        <v>115</v>
      </c>
      <c r="AB716" s="40" t="s">
        <v>115</v>
      </c>
      <c r="AC716" s="40" t="s">
        <v>115</v>
      </c>
      <c r="AI716" s="40" t="s">
        <v>115</v>
      </c>
      <c r="AP716" s="4" t="s">
        <v>115</v>
      </c>
    </row>
    <row r="717" spans="1:42" x14ac:dyDescent="0.15">
      <c r="A717" s="40" t="s">
        <v>1</v>
      </c>
      <c r="B717" s="23">
        <v>90080322</v>
      </c>
      <c r="C717" s="23">
        <v>803</v>
      </c>
      <c r="D717" s="23">
        <v>8</v>
      </c>
      <c r="F717" s="23" t="s">
        <v>116</v>
      </c>
      <c r="G717" s="23">
        <v>312</v>
      </c>
      <c r="H717" s="23" t="s">
        <v>2356</v>
      </c>
      <c r="I717" s="23">
        <v>0</v>
      </c>
      <c r="J717" s="40">
        <v>0</v>
      </c>
      <c r="K717" s="40">
        <v>0</v>
      </c>
      <c r="L717" s="40" t="s">
        <v>115</v>
      </c>
      <c r="O717" s="40" t="s">
        <v>115</v>
      </c>
      <c r="Q717" s="40">
        <v>201</v>
      </c>
      <c r="R717" s="40">
        <v>252</v>
      </c>
      <c r="X717" s="40">
        <v>90080323</v>
      </c>
      <c r="Y717" s="40" t="s">
        <v>115</v>
      </c>
      <c r="Z717" s="40" t="s">
        <v>115</v>
      </c>
      <c r="AA717" s="40" t="s">
        <v>115</v>
      </c>
      <c r="AB717" s="40" t="s">
        <v>115</v>
      </c>
      <c r="AC717" s="40" t="s">
        <v>115</v>
      </c>
      <c r="AI717" s="40" t="s">
        <v>115</v>
      </c>
      <c r="AP717" s="4" t="s">
        <v>115</v>
      </c>
    </row>
    <row r="718" spans="1:42" x14ac:dyDescent="0.15">
      <c r="A718" s="40" t="s">
        <v>1</v>
      </c>
      <c r="B718" s="23">
        <v>90080323</v>
      </c>
      <c r="C718" s="23">
        <v>803</v>
      </c>
      <c r="D718" s="23">
        <v>8</v>
      </c>
      <c r="F718" s="23" t="s">
        <v>2336</v>
      </c>
      <c r="G718" s="23" t="s">
        <v>115</v>
      </c>
      <c r="H718" s="23" t="s">
        <v>2357</v>
      </c>
      <c r="I718" s="23">
        <v>3</v>
      </c>
      <c r="J718" s="40">
        <v>0</v>
      </c>
      <c r="K718" s="40">
        <v>0</v>
      </c>
      <c r="L718" s="40" t="s">
        <v>115</v>
      </c>
      <c r="O718" s="40" t="s">
        <v>115</v>
      </c>
      <c r="Q718" s="40">
        <v>201</v>
      </c>
      <c r="R718" s="40">
        <v>252</v>
      </c>
      <c r="X718" s="40">
        <v>90080324</v>
      </c>
      <c r="Y718" s="40" t="s">
        <v>115</v>
      </c>
      <c r="Z718" s="40" t="s">
        <v>115</v>
      </c>
      <c r="AA718" s="40" t="s">
        <v>115</v>
      </c>
      <c r="AB718" s="40" t="s">
        <v>115</v>
      </c>
      <c r="AC718" s="40" t="s">
        <v>115</v>
      </c>
      <c r="AI718" s="40" t="s">
        <v>115</v>
      </c>
      <c r="AP718" s="4" t="s">
        <v>115</v>
      </c>
    </row>
    <row r="719" spans="1:42" x14ac:dyDescent="0.15">
      <c r="A719" s="40" t="s">
        <v>1</v>
      </c>
      <c r="B719" s="23">
        <v>90080324</v>
      </c>
      <c r="C719" s="23">
        <v>803</v>
      </c>
      <c r="D719" s="23">
        <v>8</v>
      </c>
      <c r="F719" s="23" t="s">
        <v>116</v>
      </c>
      <c r="G719" s="23">
        <v>312</v>
      </c>
      <c r="H719" s="23" t="s">
        <v>2358</v>
      </c>
      <c r="I719" s="23">
        <v>0</v>
      </c>
      <c r="J719" s="40">
        <v>0</v>
      </c>
      <c r="K719" s="40">
        <v>0</v>
      </c>
      <c r="L719" s="40" t="s">
        <v>115</v>
      </c>
      <c r="O719" s="40" t="s">
        <v>115</v>
      </c>
      <c r="Q719" s="40">
        <v>201</v>
      </c>
      <c r="R719" s="40">
        <v>252</v>
      </c>
      <c r="X719" s="40">
        <v>90080325</v>
      </c>
      <c r="Y719" s="40" t="s">
        <v>115</v>
      </c>
      <c r="Z719" s="40" t="s">
        <v>115</v>
      </c>
      <c r="AA719" s="40" t="s">
        <v>115</v>
      </c>
      <c r="AB719" s="40" t="s">
        <v>115</v>
      </c>
      <c r="AC719" s="40" t="s">
        <v>115</v>
      </c>
      <c r="AI719" s="40" t="s">
        <v>115</v>
      </c>
      <c r="AP719" s="4" t="s">
        <v>115</v>
      </c>
    </row>
    <row r="720" spans="1:42" x14ac:dyDescent="0.15">
      <c r="A720" s="40" t="s">
        <v>1</v>
      </c>
      <c r="B720" s="23">
        <v>90080325</v>
      </c>
      <c r="C720" s="23">
        <v>803</v>
      </c>
      <c r="D720" s="23">
        <v>8</v>
      </c>
      <c r="F720" s="23" t="s">
        <v>116</v>
      </c>
      <c r="G720" s="23">
        <v>312</v>
      </c>
      <c r="H720" s="23" t="s">
        <v>2359</v>
      </c>
      <c r="I720" s="23">
        <v>2</v>
      </c>
      <c r="J720" s="40">
        <v>0</v>
      </c>
      <c r="K720" s="40">
        <v>7</v>
      </c>
      <c r="L720" s="40" t="s">
        <v>115</v>
      </c>
      <c r="O720" s="40">
        <v>1</v>
      </c>
      <c r="Q720" s="40">
        <v>201</v>
      </c>
      <c r="R720" s="40" t="s">
        <v>115</v>
      </c>
      <c r="X720" s="40" t="s">
        <v>115</v>
      </c>
      <c r="Y720" s="40" t="s">
        <v>115</v>
      </c>
      <c r="Z720" s="40">
        <v>6</v>
      </c>
      <c r="AA720" s="40" t="s">
        <v>115</v>
      </c>
      <c r="AB720" s="40" t="s">
        <v>115</v>
      </c>
      <c r="AC720" s="40" t="s">
        <v>115</v>
      </c>
      <c r="AI720" s="40" t="s">
        <v>115</v>
      </c>
      <c r="AP720" s="4" t="s">
        <v>2360</v>
      </c>
    </row>
    <row r="721" spans="1:42" x14ac:dyDescent="0.15">
      <c r="A721" s="40" t="s">
        <v>1</v>
      </c>
      <c r="B721" s="23" t="s">
        <v>854</v>
      </c>
      <c r="C721" s="23">
        <v>804</v>
      </c>
      <c r="D721" s="23">
        <v>8</v>
      </c>
      <c r="F721" s="23" t="s">
        <v>116</v>
      </c>
      <c r="G721" s="23">
        <v>314</v>
      </c>
      <c r="H721" s="23" t="s">
        <v>2361</v>
      </c>
      <c r="I721" s="23">
        <v>2</v>
      </c>
      <c r="J721" s="40">
        <v>1</v>
      </c>
      <c r="K721" s="40">
        <v>1</v>
      </c>
      <c r="L721" s="40" t="s">
        <v>115</v>
      </c>
      <c r="O721" s="40" t="s">
        <v>115</v>
      </c>
      <c r="Q721" s="40">
        <v>198</v>
      </c>
      <c r="R721" s="40" t="s">
        <v>115</v>
      </c>
      <c r="X721" s="40">
        <v>90080402</v>
      </c>
      <c r="Y721" s="40" t="s">
        <v>115</v>
      </c>
      <c r="Z721" s="40" t="s">
        <v>115</v>
      </c>
      <c r="AA721" s="40" t="s">
        <v>115</v>
      </c>
      <c r="AB721" s="40" t="s">
        <v>115</v>
      </c>
      <c r="AC721" s="40" t="s">
        <v>115</v>
      </c>
      <c r="AI721" s="40" t="s">
        <v>115</v>
      </c>
      <c r="AP721" s="4" t="s">
        <v>115</v>
      </c>
    </row>
    <row r="722" spans="1:42" x14ac:dyDescent="0.15">
      <c r="A722" s="40" t="s">
        <v>1</v>
      </c>
      <c r="B722" s="23">
        <v>90080402</v>
      </c>
      <c r="C722" s="23">
        <v>804</v>
      </c>
      <c r="D722" s="23">
        <v>8</v>
      </c>
      <c r="F722" s="23" t="s">
        <v>116</v>
      </c>
      <c r="G722" s="23">
        <v>314</v>
      </c>
      <c r="H722" s="23" t="s">
        <v>2362</v>
      </c>
      <c r="I722" s="23">
        <v>2</v>
      </c>
      <c r="J722" s="40">
        <v>0</v>
      </c>
      <c r="K722" s="40">
        <v>0</v>
      </c>
      <c r="L722" s="40" t="s">
        <v>115</v>
      </c>
      <c r="O722" s="40" t="s">
        <v>115</v>
      </c>
      <c r="Q722" s="40">
        <v>198</v>
      </c>
      <c r="R722" s="40" t="s">
        <v>115</v>
      </c>
      <c r="X722" s="40">
        <v>90080403</v>
      </c>
      <c r="Y722" s="40" t="s">
        <v>115</v>
      </c>
      <c r="Z722" s="40" t="s">
        <v>115</v>
      </c>
      <c r="AA722" s="40" t="s">
        <v>115</v>
      </c>
      <c r="AB722" s="40" t="s">
        <v>115</v>
      </c>
      <c r="AC722" s="40" t="s">
        <v>115</v>
      </c>
      <c r="AI722" s="40" t="s">
        <v>115</v>
      </c>
      <c r="AP722" s="4" t="s">
        <v>115</v>
      </c>
    </row>
    <row r="723" spans="1:42" x14ac:dyDescent="0.15">
      <c r="A723" s="40" t="s">
        <v>1</v>
      </c>
      <c r="B723" s="23">
        <v>90080403</v>
      </c>
      <c r="C723" s="23">
        <v>804</v>
      </c>
      <c r="D723" s="23">
        <v>8</v>
      </c>
      <c r="F723" s="23" t="s">
        <v>115</v>
      </c>
      <c r="G723" s="23" t="s">
        <v>115</v>
      </c>
      <c r="H723" s="23" t="s">
        <v>2363</v>
      </c>
      <c r="I723" s="23">
        <v>4</v>
      </c>
      <c r="J723" s="40">
        <v>0</v>
      </c>
      <c r="K723" s="40">
        <v>0</v>
      </c>
      <c r="L723" s="40" t="s">
        <v>115</v>
      </c>
      <c r="O723" s="40" t="s">
        <v>115</v>
      </c>
      <c r="Q723" s="40">
        <v>198</v>
      </c>
      <c r="R723" s="40">
        <v>127</v>
      </c>
      <c r="X723" s="40">
        <v>90080404</v>
      </c>
      <c r="Y723" s="40" t="s">
        <v>115</v>
      </c>
      <c r="Z723" s="40" t="s">
        <v>115</v>
      </c>
      <c r="AA723" s="40" t="s">
        <v>115</v>
      </c>
      <c r="AB723" s="40" t="s">
        <v>115</v>
      </c>
      <c r="AC723" s="40" t="s">
        <v>115</v>
      </c>
      <c r="AI723" s="40" t="s">
        <v>115</v>
      </c>
      <c r="AP723" s="4" t="s">
        <v>115</v>
      </c>
    </row>
    <row r="724" spans="1:42" x14ac:dyDescent="0.15">
      <c r="A724" s="40" t="s">
        <v>1</v>
      </c>
      <c r="B724" s="23">
        <v>90080404</v>
      </c>
      <c r="C724" s="23">
        <v>804</v>
      </c>
      <c r="D724" s="23">
        <v>8</v>
      </c>
      <c r="F724" s="23" t="s">
        <v>116</v>
      </c>
      <c r="G724" s="23">
        <v>312</v>
      </c>
      <c r="H724" s="23" t="s">
        <v>2364</v>
      </c>
      <c r="I724" s="23">
        <v>0</v>
      </c>
      <c r="J724" s="40">
        <v>0</v>
      </c>
      <c r="K724" s="40">
        <v>0</v>
      </c>
      <c r="L724" s="40" t="s">
        <v>115</v>
      </c>
      <c r="O724" s="40" t="s">
        <v>115</v>
      </c>
      <c r="Q724" s="40">
        <v>198</v>
      </c>
      <c r="R724" s="40">
        <v>127</v>
      </c>
      <c r="X724" s="40">
        <v>90080405</v>
      </c>
      <c r="Y724" s="40" t="s">
        <v>115</v>
      </c>
      <c r="Z724" s="40" t="s">
        <v>115</v>
      </c>
      <c r="AA724" s="40" t="s">
        <v>115</v>
      </c>
      <c r="AB724" s="40" t="s">
        <v>115</v>
      </c>
      <c r="AC724" s="40" t="s">
        <v>115</v>
      </c>
      <c r="AI724" s="40" t="s">
        <v>115</v>
      </c>
      <c r="AP724" s="4" t="s">
        <v>115</v>
      </c>
    </row>
    <row r="725" spans="1:42" x14ac:dyDescent="0.15">
      <c r="A725" s="40" t="s">
        <v>1</v>
      </c>
      <c r="B725" s="23">
        <v>90080405</v>
      </c>
      <c r="C725" s="23">
        <v>804</v>
      </c>
      <c r="D725" s="23">
        <v>8</v>
      </c>
      <c r="F725" s="23" t="s">
        <v>115</v>
      </c>
      <c r="G725" s="23" t="s">
        <v>115</v>
      </c>
      <c r="H725" s="23" t="s">
        <v>2365</v>
      </c>
      <c r="I725" s="23">
        <v>4</v>
      </c>
      <c r="J725" s="40">
        <v>0</v>
      </c>
      <c r="K725" s="40">
        <v>0</v>
      </c>
      <c r="L725" s="40" t="s">
        <v>115</v>
      </c>
      <c r="O725" s="40" t="s">
        <v>115</v>
      </c>
      <c r="Q725" s="40">
        <v>198</v>
      </c>
      <c r="R725" s="40">
        <v>127</v>
      </c>
      <c r="X725" s="40">
        <v>90080406</v>
      </c>
      <c r="Y725" s="40" t="s">
        <v>115</v>
      </c>
      <c r="Z725" s="40" t="s">
        <v>115</v>
      </c>
      <c r="AA725" s="40" t="s">
        <v>115</v>
      </c>
      <c r="AB725" s="40" t="s">
        <v>115</v>
      </c>
      <c r="AC725" s="40" t="s">
        <v>115</v>
      </c>
      <c r="AI725" s="40" t="s">
        <v>115</v>
      </c>
      <c r="AP725" s="4" t="s">
        <v>115</v>
      </c>
    </row>
    <row r="726" spans="1:42" x14ac:dyDescent="0.15">
      <c r="A726" s="40" t="s">
        <v>1</v>
      </c>
      <c r="B726" s="23">
        <v>90080406</v>
      </c>
      <c r="C726" s="23">
        <v>804</v>
      </c>
      <c r="D726" s="23">
        <v>8</v>
      </c>
      <c r="F726" s="23" t="s">
        <v>2366</v>
      </c>
      <c r="G726" s="23" t="s">
        <v>115</v>
      </c>
      <c r="H726" s="23" t="s">
        <v>2367</v>
      </c>
      <c r="I726" s="23">
        <v>3</v>
      </c>
      <c r="J726" s="40">
        <v>0</v>
      </c>
      <c r="K726" s="40">
        <v>0</v>
      </c>
      <c r="L726" s="40" t="s">
        <v>115</v>
      </c>
      <c r="O726" s="40" t="s">
        <v>115</v>
      </c>
      <c r="Q726" s="40">
        <v>198</v>
      </c>
      <c r="R726" s="40">
        <v>127</v>
      </c>
      <c r="X726" s="40">
        <v>90080407</v>
      </c>
      <c r="Y726" s="40" t="s">
        <v>115</v>
      </c>
      <c r="Z726" s="40" t="s">
        <v>115</v>
      </c>
      <c r="AA726" s="40" t="s">
        <v>115</v>
      </c>
      <c r="AB726" s="40" t="s">
        <v>115</v>
      </c>
      <c r="AC726" s="40" t="s">
        <v>115</v>
      </c>
      <c r="AI726" s="40" t="s">
        <v>115</v>
      </c>
      <c r="AP726" s="4" t="s">
        <v>115</v>
      </c>
    </row>
    <row r="727" spans="1:42" x14ac:dyDescent="0.15">
      <c r="A727" s="40" t="s">
        <v>1</v>
      </c>
      <c r="B727" s="23">
        <v>90080407</v>
      </c>
      <c r="C727" s="23">
        <v>804</v>
      </c>
      <c r="D727" s="23">
        <v>8</v>
      </c>
      <c r="F727" s="23" t="s">
        <v>116</v>
      </c>
      <c r="G727" s="23">
        <v>360</v>
      </c>
      <c r="H727" s="23" t="s">
        <v>2368</v>
      </c>
      <c r="I727" s="23">
        <v>0</v>
      </c>
      <c r="J727" s="40">
        <v>0</v>
      </c>
      <c r="K727" s="40">
        <v>0</v>
      </c>
      <c r="L727" s="40" t="s">
        <v>115</v>
      </c>
      <c r="O727" s="40" t="s">
        <v>115</v>
      </c>
      <c r="Q727" s="40">
        <v>198</v>
      </c>
      <c r="R727" s="40">
        <v>127</v>
      </c>
      <c r="X727" s="40">
        <v>90080408</v>
      </c>
      <c r="Y727" s="40" t="s">
        <v>115</v>
      </c>
      <c r="Z727" s="40" t="s">
        <v>115</v>
      </c>
      <c r="AA727" s="40" t="s">
        <v>115</v>
      </c>
      <c r="AB727" s="40" t="s">
        <v>115</v>
      </c>
      <c r="AC727" s="40" t="s">
        <v>115</v>
      </c>
      <c r="AI727" s="40" t="s">
        <v>115</v>
      </c>
      <c r="AP727" s="4" t="s">
        <v>115</v>
      </c>
    </row>
    <row r="728" spans="1:42" x14ac:dyDescent="0.15">
      <c r="A728" s="40" t="s">
        <v>1</v>
      </c>
      <c r="B728" s="23">
        <v>90080408</v>
      </c>
      <c r="C728" s="23">
        <v>804</v>
      </c>
      <c r="D728" s="23">
        <v>8</v>
      </c>
      <c r="F728" s="23" t="s">
        <v>2366</v>
      </c>
      <c r="G728" s="23" t="s">
        <v>115</v>
      </c>
      <c r="H728" s="23" t="s">
        <v>2369</v>
      </c>
      <c r="I728" s="23">
        <v>3</v>
      </c>
      <c r="J728" s="40">
        <v>0</v>
      </c>
      <c r="K728" s="40">
        <v>0</v>
      </c>
      <c r="L728" s="40" t="s">
        <v>115</v>
      </c>
      <c r="O728" s="40" t="s">
        <v>115</v>
      </c>
      <c r="Q728" s="40">
        <v>198</v>
      </c>
      <c r="R728" s="40">
        <v>127</v>
      </c>
      <c r="X728" s="40">
        <v>90080409</v>
      </c>
      <c r="Y728" s="40" t="s">
        <v>115</v>
      </c>
      <c r="Z728" s="40" t="s">
        <v>115</v>
      </c>
      <c r="AA728" s="40" t="s">
        <v>115</v>
      </c>
      <c r="AB728" s="40" t="s">
        <v>115</v>
      </c>
      <c r="AC728" s="40" t="s">
        <v>115</v>
      </c>
      <c r="AI728" s="40" t="s">
        <v>115</v>
      </c>
      <c r="AP728" s="4" t="s">
        <v>115</v>
      </c>
    </row>
    <row r="729" spans="1:42" x14ac:dyDescent="0.15">
      <c r="A729" s="40" t="s">
        <v>1</v>
      </c>
      <c r="B729" s="23">
        <v>90080409</v>
      </c>
      <c r="C729" s="23">
        <v>804</v>
      </c>
      <c r="D729" s="23">
        <v>8</v>
      </c>
      <c r="F729" s="23" t="s">
        <v>116</v>
      </c>
      <c r="G729" s="23">
        <v>313</v>
      </c>
      <c r="H729" s="23" t="s">
        <v>2370</v>
      </c>
      <c r="I729" s="23">
        <v>2</v>
      </c>
      <c r="J729" s="40">
        <v>0</v>
      </c>
      <c r="K729" s="40">
        <v>0</v>
      </c>
      <c r="L729" s="40" t="s">
        <v>115</v>
      </c>
      <c r="O729" s="40" t="s">
        <v>115</v>
      </c>
      <c r="Q729" s="40">
        <v>198</v>
      </c>
      <c r="R729" s="40">
        <v>127</v>
      </c>
      <c r="X729" s="40">
        <v>90080410</v>
      </c>
      <c r="Y729" s="40" t="s">
        <v>115</v>
      </c>
      <c r="Z729" s="40" t="s">
        <v>115</v>
      </c>
      <c r="AA729" s="40" t="s">
        <v>115</v>
      </c>
      <c r="AB729" s="40" t="s">
        <v>115</v>
      </c>
      <c r="AC729" s="40" t="s">
        <v>115</v>
      </c>
      <c r="AI729" s="40" t="s">
        <v>115</v>
      </c>
      <c r="AP729" s="4" t="s">
        <v>115</v>
      </c>
    </row>
    <row r="730" spans="1:42" x14ac:dyDescent="0.15">
      <c r="A730" s="40" t="s">
        <v>1</v>
      </c>
      <c r="B730" s="23">
        <v>90080410</v>
      </c>
      <c r="C730" s="23">
        <v>804</v>
      </c>
      <c r="D730" s="23">
        <v>8</v>
      </c>
      <c r="F730" s="23" t="s">
        <v>115</v>
      </c>
      <c r="G730" s="23" t="s">
        <v>115</v>
      </c>
      <c r="H730" s="23" t="s">
        <v>2371</v>
      </c>
      <c r="I730" s="23">
        <v>4</v>
      </c>
      <c r="J730" s="40">
        <v>0</v>
      </c>
      <c r="K730" s="40">
        <v>2</v>
      </c>
      <c r="L730" s="40" t="s">
        <v>115</v>
      </c>
      <c r="O730" s="40" t="s">
        <v>115</v>
      </c>
      <c r="Q730" s="40">
        <v>198</v>
      </c>
      <c r="R730" s="40">
        <v>127</v>
      </c>
      <c r="X730" s="40" t="s">
        <v>896</v>
      </c>
      <c r="Y730" s="40">
        <v>1</v>
      </c>
      <c r="Z730" s="40">
        <v>1</v>
      </c>
      <c r="AA730" s="40" t="s">
        <v>115</v>
      </c>
      <c r="AB730" s="40" t="s">
        <v>115</v>
      </c>
      <c r="AC730" s="40" t="s">
        <v>115</v>
      </c>
      <c r="AI730" s="40" t="s">
        <v>115</v>
      </c>
      <c r="AP730" s="4" t="s">
        <v>115</v>
      </c>
    </row>
    <row r="731" spans="1:42" x14ac:dyDescent="0.15">
      <c r="A731" s="40" t="s">
        <v>1</v>
      </c>
      <c r="B731" s="23">
        <v>90080411</v>
      </c>
      <c r="C731" s="23">
        <v>804</v>
      </c>
      <c r="D731" s="23">
        <v>8</v>
      </c>
      <c r="F731" s="23" t="s">
        <v>115</v>
      </c>
      <c r="G731" s="23" t="s">
        <v>115</v>
      </c>
      <c r="H731" s="23" t="s">
        <v>2372</v>
      </c>
      <c r="I731" s="23">
        <v>4</v>
      </c>
      <c r="J731" s="40">
        <v>0</v>
      </c>
      <c r="K731" s="40">
        <v>3</v>
      </c>
      <c r="L731" s="40" t="s">
        <v>115</v>
      </c>
      <c r="O731" s="40" t="s">
        <v>115</v>
      </c>
      <c r="Q731" s="40">
        <v>198</v>
      </c>
      <c r="R731" s="40">
        <v>127</v>
      </c>
      <c r="X731" s="40">
        <v>90080412</v>
      </c>
      <c r="Y731" s="40">
        <v>-1</v>
      </c>
      <c r="Z731" s="40">
        <v>2</v>
      </c>
      <c r="AA731" s="40" t="s">
        <v>115</v>
      </c>
      <c r="AB731" s="40" t="s">
        <v>115</v>
      </c>
      <c r="AC731" s="40" t="s">
        <v>893</v>
      </c>
      <c r="AI731" s="40" t="s">
        <v>115</v>
      </c>
      <c r="AP731" s="4" t="s">
        <v>115</v>
      </c>
    </row>
    <row r="732" spans="1:42" x14ac:dyDescent="0.15">
      <c r="A732" s="40" t="s">
        <v>1</v>
      </c>
      <c r="B732" s="23">
        <v>90080412</v>
      </c>
      <c r="C732" s="23">
        <v>804</v>
      </c>
      <c r="D732" s="23">
        <v>8</v>
      </c>
      <c r="F732" s="23" t="s">
        <v>2366</v>
      </c>
      <c r="G732" s="23" t="s">
        <v>115</v>
      </c>
      <c r="H732" s="23" t="s">
        <v>2373</v>
      </c>
      <c r="I732" s="23">
        <v>3</v>
      </c>
      <c r="J732" s="40">
        <v>0</v>
      </c>
      <c r="K732" s="40">
        <v>0</v>
      </c>
      <c r="L732" s="40" t="s">
        <v>115</v>
      </c>
      <c r="O732" s="40" t="s">
        <v>115</v>
      </c>
      <c r="Q732" s="40">
        <v>198</v>
      </c>
      <c r="R732" s="40">
        <v>127</v>
      </c>
      <c r="X732" s="40">
        <v>90080413</v>
      </c>
      <c r="Y732" s="40" t="s">
        <v>115</v>
      </c>
      <c r="Z732" s="40" t="s">
        <v>115</v>
      </c>
      <c r="AA732" s="40" t="s">
        <v>115</v>
      </c>
      <c r="AB732" s="40" t="s">
        <v>115</v>
      </c>
      <c r="AC732" s="40" t="s">
        <v>115</v>
      </c>
      <c r="AI732" s="40" t="s">
        <v>115</v>
      </c>
      <c r="AP732" s="4" t="s">
        <v>115</v>
      </c>
    </row>
    <row r="733" spans="1:42" x14ac:dyDescent="0.15">
      <c r="A733" s="40" t="s">
        <v>1</v>
      </c>
      <c r="B733" s="23">
        <v>90080413</v>
      </c>
      <c r="C733" s="23">
        <v>804</v>
      </c>
      <c r="D733" s="23">
        <v>8</v>
      </c>
      <c r="F733" s="23" t="s">
        <v>116</v>
      </c>
      <c r="G733" s="23">
        <v>309</v>
      </c>
      <c r="H733" s="23" t="s">
        <v>2374</v>
      </c>
      <c r="I733" s="23">
        <v>0</v>
      </c>
      <c r="J733" s="40">
        <v>0</v>
      </c>
      <c r="K733" s="40">
        <v>0</v>
      </c>
      <c r="L733" s="40" t="s">
        <v>115</v>
      </c>
      <c r="O733" s="40" t="s">
        <v>115</v>
      </c>
      <c r="Q733" s="40">
        <v>198</v>
      </c>
      <c r="R733" s="40">
        <v>127</v>
      </c>
      <c r="X733" s="40">
        <v>90080414</v>
      </c>
      <c r="Y733" s="40" t="s">
        <v>115</v>
      </c>
      <c r="Z733" s="40" t="s">
        <v>115</v>
      </c>
      <c r="AA733" s="40" t="s">
        <v>115</v>
      </c>
      <c r="AB733" s="40" t="s">
        <v>115</v>
      </c>
      <c r="AC733" s="40" t="s">
        <v>115</v>
      </c>
      <c r="AI733" s="40" t="s">
        <v>115</v>
      </c>
      <c r="AP733" s="4" t="s">
        <v>115</v>
      </c>
    </row>
    <row r="734" spans="1:42" x14ac:dyDescent="0.15">
      <c r="A734" s="40" t="s">
        <v>1</v>
      </c>
      <c r="B734" s="23">
        <v>90080414</v>
      </c>
      <c r="C734" s="23">
        <v>804</v>
      </c>
      <c r="D734" s="23">
        <v>8</v>
      </c>
      <c r="F734" s="23" t="s">
        <v>2366</v>
      </c>
      <c r="G734" s="23" t="s">
        <v>115</v>
      </c>
      <c r="H734" s="23" t="s">
        <v>2375</v>
      </c>
      <c r="I734" s="23">
        <v>3</v>
      </c>
      <c r="J734" s="40">
        <v>0</v>
      </c>
      <c r="K734" s="40">
        <v>4</v>
      </c>
      <c r="L734" s="40" t="s">
        <v>766</v>
      </c>
      <c r="O734" s="40" t="s">
        <v>115</v>
      </c>
      <c r="Q734" s="40">
        <v>198</v>
      </c>
      <c r="R734" s="40">
        <v>127</v>
      </c>
      <c r="X734" s="40">
        <v>90080415</v>
      </c>
      <c r="Y734" s="40" t="s">
        <v>115</v>
      </c>
      <c r="Z734" s="40">
        <v>3</v>
      </c>
      <c r="AA734" s="40" t="s">
        <v>115</v>
      </c>
      <c r="AB734" s="40" t="s">
        <v>115</v>
      </c>
      <c r="AC734" s="40" t="s">
        <v>115</v>
      </c>
      <c r="AI734" s="40" t="s">
        <v>115</v>
      </c>
      <c r="AP734" s="4" t="s">
        <v>115</v>
      </c>
    </row>
    <row r="735" spans="1:42" x14ac:dyDescent="0.15">
      <c r="A735" s="40" t="s">
        <v>1</v>
      </c>
      <c r="B735" s="23">
        <v>90080415</v>
      </c>
      <c r="C735" s="23">
        <v>804</v>
      </c>
      <c r="D735" s="23">
        <v>8</v>
      </c>
      <c r="F735" s="23" t="s">
        <v>2366</v>
      </c>
      <c r="G735" s="23" t="s">
        <v>115</v>
      </c>
      <c r="H735" s="23" t="s">
        <v>2376</v>
      </c>
      <c r="I735" s="23">
        <v>3</v>
      </c>
      <c r="J735" s="40">
        <v>0</v>
      </c>
      <c r="K735" s="40">
        <v>0</v>
      </c>
      <c r="L735" s="40" t="s">
        <v>115</v>
      </c>
      <c r="O735" s="40" t="s">
        <v>115</v>
      </c>
      <c r="Q735" s="40">
        <v>198</v>
      </c>
      <c r="R735" s="40">
        <v>127</v>
      </c>
      <c r="X735" s="40">
        <v>90080416</v>
      </c>
      <c r="Y735" s="40" t="s">
        <v>115</v>
      </c>
      <c r="Z735" s="40" t="s">
        <v>115</v>
      </c>
      <c r="AA735" s="40" t="s">
        <v>115</v>
      </c>
      <c r="AB735" s="40" t="s">
        <v>115</v>
      </c>
      <c r="AC735" s="40" t="s">
        <v>115</v>
      </c>
      <c r="AI735" s="40" t="s">
        <v>115</v>
      </c>
      <c r="AP735" s="4" t="s">
        <v>115</v>
      </c>
    </row>
    <row r="736" spans="1:42" x14ac:dyDescent="0.15">
      <c r="A736" s="40" t="s">
        <v>1</v>
      </c>
      <c r="B736" s="23">
        <v>90080416</v>
      </c>
      <c r="C736" s="23">
        <v>804</v>
      </c>
      <c r="D736" s="23">
        <v>8</v>
      </c>
      <c r="F736" s="23" t="s">
        <v>116</v>
      </c>
      <c r="G736" s="23">
        <v>309</v>
      </c>
      <c r="H736" s="23" t="s">
        <v>2377</v>
      </c>
      <c r="I736" s="23">
        <v>2</v>
      </c>
      <c r="J736" s="40">
        <v>0</v>
      </c>
      <c r="K736" s="40">
        <v>0</v>
      </c>
      <c r="L736" s="40" t="s">
        <v>115</v>
      </c>
      <c r="O736" s="40" t="s">
        <v>115</v>
      </c>
      <c r="Q736" s="40">
        <v>198</v>
      </c>
      <c r="R736" s="40">
        <v>127</v>
      </c>
      <c r="X736" s="40">
        <v>90080417</v>
      </c>
      <c r="Y736" s="40" t="s">
        <v>115</v>
      </c>
      <c r="Z736" s="40" t="s">
        <v>115</v>
      </c>
      <c r="AA736" s="40" t="s">
        <v>115</v>
      </c>
      <c r="AB736" s="40" t="s">
        <v>115</v>
      </c>
      <c r="AC736" s="40" t="s">
        <v>115</v>
      </c>
      <c r="AI736" s="40" t="s">
        <v>115</v>
      </c>
      <c r="AP736" s="4" t="s">
        <v>115</v>
      </c>
    </row>
    <row r="737" spans="1:42" x14ac:dyDescent="0.15">
      <c r="A737" s="40" t="s">
        <v>1</v>
      </c>
      <c r="B737" s="23">
        <v>90080417</v>
      </c>
      <c r="C737" s="23">
        <v>804</v>
      </c>
      <c r="D737" s="23">
        <v>8</v>
      </c>
      <c r="F737" s="23" t="s">
        <v>115</v>
      </c>
      <c r="G737" s="23" t="s">
        <v>115</v>
      </c>
      <c r="H737" s="23" t="s">
        <v>2378</v>
      </c>
      <c r="I737" s="23">
        <v>4</v>
      </c>
      <c r="J737" s="40">
        <v>0</v>
      </c>
      <c r="K737" s="40">
        <v>5</v>
      </c>
      <c r="L737" s="40" t="s">
        <v>115</v>
      </c>
      <c r="O737" s="40">
        <v>1</v>
      </c>
      <c r="Q737" s="40">
        <v>198</v>
      </c>
      <c r="R737" s="40" t="s">
        <v>115</v>
      </c>
      <c r="X737" s="40" t="s">
        <v>115</v>
      </c>
      <c r="Y737" s="40" t="s">
        <v>115</v>
      </c>
      <c r="Z737" s="40">
        <v>4</v>
      </c>
      <c r="AA737" s="40" t="s">
        <v>115</v>
      </c>
      <c r="AB737" s="40" t="s">
        <v>115</v>
      </c>
      <c r="AC737" s="40" t="s">
        <v>115</v>
      </c>
      <c r="AI737" s="40" t="s">
        <v>115</v>
      </c>
      <c r="AP737" s="4" t="s">
        <v>887</v>
      </c>
    </row>
    <row r="738" spans="1:42" x14ac:dyDescent="0.15">
      <c r="A738" s="40" t="s">
        <v>1</v>
      </c>
      <c r="B738" s="23" t="s">
        <v>855</v>
      </c>
      <c r="C738" s="23">
        <v>805</v>
      </c>
      <c r="D738" s="23">
        <v>8</v>
      </c>
      <c r="F738" s="23" t="s">
        <v>115</v>
      </c>
      <c r="G738" s="23" t="s">
        <v>115</v>
      </c>
      <c r="H738" s="23" t="s">
        <v>2379</v>
      </c>
      <c r="I738" s="23">
        <v>4</v>
      </c>
      <c r="J738" s="40">
        <v>1</v>
      </c>
      <c r="K738" s="40">
        <v>1</v>
      </c>
      <c r="L738" s="40" t="s">
        <v>115</v>
      </c>
      <c r="O738" s="40" t="s">
        <v>115</v>
      </c>
      <c r="Q738" s="40">
        <v>190</v>
      </c>
      <c r="R738" s="40" t="s">
        <v>115</v>
      </c>
      <c r="X738" s="40">
        <v>90080502</v>
      </c>
      <c r="Y738" s="40" t="s">
        <v>115</v>
      </c>
      <c r="Z738" s="40" t="s">
        <v>115</v>
      </c>
      <c r="AA738" s="40" t="s">
        <v>115</v>
      </c>
      <c r="AB738" s="40" t="s">
        <v>115</v>
      </c>
      <c r="AC738" s="40" t="s">
        <v>115</v>
      </c>
      <c r="AI738" s="40" t="s">
        <v>115</v>
      </c>
      <c r="AP738" s="4" t="s">
        <v>115</v>
      </c>
    </row>
    <row r="739" spans="1:42" x14ac:dyDescent="0.15">
      <c r="A739" s="40" t="s">
        <v>1</v>
      </c>
      <c r="B739" s="23">
        <v>90080502</v>
      </c>
      <c r="C739" s="23">
        <v>805</v>
      </c>
      <c r="D739" s="23">
        <v>8</v>
      </c>
      <c r="F739" s="23" t="s">
        <v>1059</v>
      </c>
      <c r="G739" s="23" t="s">
        <v>115</v>
      </c>
      <c r="H739" s="23" t="s">
        <v>2380</v>
      </c>
      <c r="I739" s="23">
        <v>1</v>
      </c>
      <c r="J739" s="40">
        <v>0</v>
      </c>
      <c r="K739" s="40">
        <v>0</v>
      </c>
      <c r="L739" s="40" t="s">
        <v>115</v>
      </c>
      <c r="O739" s="40" t="s">
        <v>115</v>
      </c>
      <c r="Q739" s="40">
        <v>190</v>
      </c>
      <c r="R739" s="40" t="s">
        <v>115</v>
      </c>
      <c r="X739" s="40">
        <v>90080503</v>
      </c>
      <c r="Y739" s="40" t="s">
        <v>115</v>
      </c>
      <c r="Z739" s="40" t="s">
        <v>115</v>
      </c>
      <c r="AA739" s="40" t="s">
        <v>115</v>
      </c>
      <c r="AB739" s="40" t="s">
        <v>115</v>
      </c>
      <c r="AC739" s="40" t="s">
        <v>115</v>
      </c>
      <c r="AI739" s="40" t="s">
        <v>1087</v>
      </c>
      <c r="AP739" s="4" t="s">
        <v>115</v>
      </c>
    </row>
    <row r="740" spans="1:42" x14ac:dyDescent="0.15">
      <c r="A740" s="40" t="s">
        <v>1</v>
      </c>
      <c r="B740" s="23">
        <v>90080503</v>
      </c>
      <c r="C740" s="23">
        <v>805</v>
      </c>
      <c r="D740" s="23">
        <v>8</v>
      </c>
      <c r="F740" s="23" t="s">
        <v>115</v>
      </c>
      <c r="G740" s="23" t="s">
        <v>115</v>
      </c>
      <c r="H740" s="23" t="s">
        <v>2381</v>
      </c>
      <c r="I740" s="23">
        <v>4</v>
      </c>
      <c r="J740" s="40">
        <v>0</v>
      </c>
      <c r="K740" s="40">
        <v>2</v>
      </c>
      <c r="L740" s="40" t="s">
        <v>115</v>
      </c>
      <c r="O740" s="40" t="s">
        <v>115</v>
      </c>
      <c r="Q740" s="40">
        <v>190</v>
      </c>
      <c r="R740" s="40" t="s">
        <v>115</v>
      </c>
      <c r="X740" s="40" t="s">
        <v>2382</v>
      </c>
      <c r="Y740" s="40">
        <v>1</v>
      </c>
      <c r="Z740" s="40">
        <v>1</v>
      </c>
      <c r="AA740" s="40" t="s">
        <v>115</v>
      </c>
      <c r="AB740" s="40" t="s">
        <v>115</v>
      </c>
      <c r="AC740" s="40" t="s">
        <v>115</v>
      </c>
      <c r="AI740" s="40">
        <v>100</v>
      </c>
      <c r="AP740" s="4" t="s">
        <v>115</v>
      </c>
    </row>
    <row r="741" spans="1:42" x14ac:dyDescent="0.15">
      <c r="A741" s="40" t="s">
        <v>1</v>
      </c>
      <c r="B741" s="23">
        <v>90080504</v>
      </c>
      <c r="C741" s="23">
        <v>805</v>
      </c>
      <c r="D741" s="23">
        <v>8</v>
      </c>
      <c r="F741" s="23" t="s">
        <v>115</v>
      </c>
      <c r="G741" s="23" t="s">
        <v>115</v>
      </c>
      <c r="H741" s="23" t="s">
        <v>2383</v>
      </c>
      <c r="I741" s="23">
        <v>4</v>
      </c>
      <c r="J741" s="40">
        <v>0</v>
      </c>
      <c r="K741" s="40">
        <v>3</v>
      </c>
      <c r="L741" s="40" t="s">
        <v>115</v>
      </c>
      <c r="O741" s="40" t="s">
        <v>115</v>
      </c>
      <c r="Q741" s="40">
        <v>190</v>
      </c>
      <c r="R741" s="40" t="s">
        <v>115</v>
      </c>
      <c r="X741" s="40">
        <v>90080506</v>
      </c>
      <c r="Y741" s="40">
        <v>-1</v>
      </c>
      <c r="Z741" s="40">
        <v>2</v>
      </c>
      <c r="AA741" s="40" t="s">
        <v>2384</v>
      </c>
      <c r="AB741" s="40" t="s">
        <v>115</v>
      </c>
      <c r="AC741" s="40" t="s">
        <v>115</v>
      </c>
      <c r="AI741" s="40">
        <v>100</v>
      </c>
      <c r="AP741" s="4" t="s">
        <v>115</v>
      </c>
    </row>
    <row r="742" spans="1:42" x14ac:dyDescent="0.15">
      <c r="A742" s="40" t="s">
        <v>1</v>
      </c>
      <c r="B742" s="23">
        <v>90080505</v>
      </c>
      <c r="C742" s="23">
        <v>805</v>
      </c>
      <c r="D742" s="23">
        <v>8</v>
      </c>
      <c r="F742" s="23" t="s">
        <v>115</v>
      </c>
      <c r="G742" s="23" t="s">
        <v>115</v>
      </c>
      <c r="H742" s="23" t="s">
        <v>2385</v>
      </c>
      <c r="I742" s="23">
        <v>4</v>
      </c>
      <c r="J742" s="40">
        <v>0</v>
      </c>
      <c r="K742" s="40">
        <v>4</v>
      </c>
      <c r="L742" s="40" t="s">
        <v>115</v>
      </c>
      <c r="O742" s="40" t="s">
        <v>115</v>
      </c>
      <c r="Q742" s="40">
        <v>190</v>
      </c>
      <c r="R742" s="40" t="s">
        <v>115</v>
      </c>
      <c r="X742" s="40">
        <v>90080508</v>
      </c>
      <c r="Y742" s="40">
        <v>-1</v>
      </c>
      <c r="Z742" s="40">
        <v>2</v>
      </c>
      <c r="AA742" s="40" t="s">
        <v>2386</v>
      </c>
      <c r="AB742" s="40" t="s">
        <v>115</v>
      </c>
      <c r="AC742" s="40" t="s">
        <v>115</v>
      </c>
      <c r="AI742" s="40">
        <v>100</v>
      </c>
      <c r="AP742" s="4" t="s">
        <v>115</v>
      </c>
    </row>
    <row r="743" spans="1:42" x14ac:dyDescent="0.15">
      <c r="A743" s="40" t="s">
        <v>1</v>
      </c>
      <c r="B743" s="23">
        <v>90080506</v>
      </c>
      <c r="C743" s="23">
        <v>805</v>
      </c>
      <c r="D743" s="23">
        <v>8</v>
      </c>
      <c r="F743" s="23" t="s">
        <v>1059</v>
      </c>
      <c r="G743" s="23" t="s">
        <v>115</v>
      </c>
      <c r="H743" s="23" t="s">
        <v>2387</v>
      </c>
      <c r="I743" s="23">
        <v>1</v>
      </c>
      <c r="J743" s="40">
        <v>0</v>
      </c>
      <c r="K743" s="40">
        <v>0</v>
      </c>
      <c r="L743" s="40" t="s">
        <v>115</v>
      </c>
      <c r="O743" s="40" t="s">
        <v>115</v>
      </c>
      <c r="Q743" s="40">
        <v>190</v>
      </c>
      <c r="R743" s="40" t="s">
        <v>115</v>
      </c>
      <c r="X743" s="40">
        <v>90080507</v>
      </c>
      <c r="Y743" s="40" t="s">
        <v>115</v>
      </c>
      <c r="Z743" s="40" t="s">
        <v>115</v>
      </c>
      <c r="AA743" s="40" t="s">
        <v>115</v>
      </c>
      <c r="AB743" s="40" t="s">
        <v>115</v>
      </c>
      <c r="AC743" s="40" t="s">
        <v>115</v>
      </c>
      <c r="AI743" s="40" t="s">
        <v>1062</v>
      </c>
      <c r="AP743" s="4" t="s">
        <v>115</v>
      </c>
    </row>
    <row r="744" spans="1:42" x14ac:dyDescent="0.15">
      <c r="A744" s="40" t="s">
        <v>1</v>
      </c>
      <c r="B744" s="23">
        <v>90080507</v>
      </c>
      <c r="C744" s="23">
        <v>805</v>
      </c>
      <c r="D744" s="23">
        <v>8</v>
      </c>
      <c r="F744" s="23" t="s">
        <v>1059</v>
      </c>
      <c r="G744" s="23" t="s">
        <v>115</v>
      </c>
      <c r="H744" s="23" t="s">
        <v>2388</v>
      </c>
      <c r="I744" s="23">
        <v>1</v>
      </c>
      <c r="J744" s="40">
        <v>0</v>
      </c>
      <c r="K744" s="40">
        <v>0</v>
      </c>
      <c r="L744" s="40" t="s">
        <v>115</v>
      </c>
      <c r="O744" s="40" t="s">
        <v>115</v>
      </c>
      <c r="Q744" s="40">
        <v>190</v>
      </c>
      <c r="R744" s="40" t="s">
        <v>115</v>
      </c>
      <c r="X744" s="40">
        <v>90080511</v>
      </c>
      <c r="Y744" s="40" t="s">
        <v>115</v>
      </c>
      <c r="Z744" s="40" t="s">
        <v>115</v>
      </c>
      <c r="AA744" s="40" t="s">
        <v>115</v>
      </c>
      <c r="AB744" s="40" t="s">
        <v>115</v>
      </c>
      <c r="AC744" s="40" t="s">
        <v>115</v>
      </c>
      <c r="AI744" s="40" t="s">
        <v>1087</v>
      </c>
      <c r="AP744" s="4" t="s">
        <v>115</v>
      </c>
    </row>
    <row r="745" spans="1:42" x14ac:dyDescent="0.15">
      <c r="A745" s="40" t="s">
        <v>1</v>
      </c>
      <c r="B745" s="23">
        <v>90080508</v>
      </c>
      <c r="C745" s="23">
        <v>805</v>
      </c>
      <c r="D745" s="23">
        <v>8</v>
      </c>
      <c r="F745" s="23" t="s">
        <v>1059</v>
      </c>
      <c r="G745" s="23" t="s">
        <v>115</v>
      </c>
      <c r="H745" s="23" t="s">
        <v>2389</v>
      </c>
      <c r="I745" s="23">
        <v>1</v>
      </c>
      <c r="J745" s="40">
        <v>0</v>
      </c>
      <c r="K745" s="40">
        <v>0</v>
      </c>
      <c r="L745" s="40" t="s">
        <v>115</v>
      </c>
      <c r="O745" s="40" t="s">
        <v>115</v>
      </c>
      <c r="Q745" s="40">
        <v>190</v>
      </c>
      <c r="R745" s="40" t="s">
        <v>115</v>
      </c>
      <c r="X745" s="40">
        <v>90080509</v>
      </c>
      <c r="Y745" s="40" t="s">
        <v>115</v>
      </c>
      <c r="Z745" s="40" t="s">
        <v>115</v>
      </c>
      <c r="AA745" s="40" t="s">
        <v>115</v>
      </c>
      <c r="AB745" s="40" t="s">
        <v>115</v>
      </c>
      <c r="AC745" s="40" t="s">
        <v>115</v>
      </c>
      <c r="AI745" s="40" t="s">
        <v>1062</v>
      </c>
      <c r="AP745" s="4" t="s">
        <v>115</v>
      </c>
    </row>
    <row r="746" spans="1:42" x14ac:dyDescent="0.15">
      <c r="A746" s="40" t="s">
        <v>1</v>
      </c>
      <c r="B746" s="23">
        <v>90080509</v>
      </c>
      <c r="C746" s="23">
        <v>805</v>
      </c>
      <c r="D746" s="23">
        <v>8</v>
      </c>
      <c r="F746" s="23" t="s">
        <v>116</v>
      </c>
      <c r="G746" s="23">
        <v>313</v>
      </c>
      <c r="H746" s="23" t="s">
        <v>2390</v>
      </c>
      <c r="I746" s="23">
        <v>0</v>
      </c>
      <c r="J746" s="40">
        <v>0</v>
      </c>
      <c r="K746" s="40">
        <v>0</v>
      </c>
      <c r="L746" s="40" t="s">
        <v>115</v>
      </c>
      <c r="O746" s="40" t="s">
        <v>115</v>
      </c>
      <c r="Q746" s="40">
        <v>190</v>
      </c>
      <c r="R746" s="40" t="s">
        <v>115</v>
      </c>
      <c r="X746" s="40">
        <v>90080510</v>
      </c>
      <c r="Y746" s="40" t="s">
        <v>115</v>
      </c>
      <c r="Z746" s="40" t="s">
        <v>115</v>
      </c>
      <c r="AA746" s="40" t="s">
        <v>115</v>
      </c>
      <c r="AB746" s="40" t="s">
        <v>115</v>
      </c>
      <c r="AC746" s="40" t="s">
        <v>115</v>
      </c>
      <c r="AI746" s="40">
        <v>110</v>
      </c>
      <c r="AP746" s="4" t="s">
        <v>115</v>
      </c>
    </row>
    <row r="747" spans="1:42" x14ac:dyDescent="0.15">
      <c r="A747" s="40" t="s">
        <v>1</v>
      </c>
      <c r="B747" s="23">
        <v>90080510</v>
      </c>
      <c r="C747" s="23">
        <v>805</v>
      </c>
      <c r="D747" s="23">
        <v>8</v>
      </c>
      <c r="F747" s="23" t="s">
        <v>1059</v>
      </c>
      <c r="G747" s="23" t="s">
        <v>115</v>
      </c>
      <c r="H747" s="23" t="s">
        <v>2391</v>
      </c>
      <c r="I747" s="23">
        <v>1</v>
      </c>
      <c r="J747" s="40">
        <v>0</v>
      </c>
      <c r="K747" s="40">
        <v>0</v>
      </c>
      <c r="L747" s="40" t="s">
        <v>115</v>
      </c>
      <c r="O747" s="40" t="s">
        <v>115</v>
      </c>
      <c r="Q747" s="40">
        <v>190</v>
      </c>
      <c r="R747" s="40" t="s">
        <v>115</v>
      </c>
      <c r="X747" s="40">
        <v>90080511</v>
      </c>
      <c r="Y747" s="40" t="s">
        <v>115</v>
      </c>
      <c r="Z747" s="40" t="s">
        <v>115</v>
      </c>
      <c r="AA747" s="40" t="s">
        <v>115</v>
      </c>
      <c r="AB747" s="40" t="s">
        <v>115</v>
      </c>
      <c r="AC747" s="40" t="s">
        <v>115</v>
      </c>
      <c r="AI747" s="40" t="s">
        <v>1087</v>
      </c>
      <c r="AP747" s="4" t="s">
        <v>115</v>
      </c>
    </row>
    <row r="748" spans="1:42" x14ac:dyDescent="0.15">
      <c r="A748" s="40" t="s">
        <v>1</v>
      </c>
      <c r="B748" s="23">
        <v>90080511</v>
      </c>
      <c r="C748" s="23">
        <v>805</v>
      </c>
      <c r="D748" s="23">
        <v>8</v>
      </c>
      <c r="F748" s="23" t="s">
        <v>116</v>
      </c>
      <c r="G748" s="23">
        <v>312</v>
      </c>
      <c r="H748" s="23" t="s">
        <v>2392</v>
      </c>
      <c r="I748" s="23">
        <v>0</v>
      </c>
      <c r="J748" s="40">
        <v>0</v>
      </c>
      <c r="K748" s="40">
        <v>0</v>
      </c>
      <c r="L748" s="40" t="s">
        <v>115</v>
      </c>
      <c r="O748" s="40" t="s">
        <v>115</v>
      </c>
      <c r="Q748" s="40">
        <v>190</v>
      </c>
      <c r="R748" s="40" t="s">
        <v>115</v>
      </c>
      <c r="X748" s="40">
        <v>90080512</v>
      </c>
      <c r="Y748" s="40" t="s">
        <v>115</v>
      </c>
      <c r="Z748" s="40" t="s">
        <v>115</v>
      </c>
      <c r="AA748" s="40" t="s">
        <v>115</v>
      </c>
      <c r="AB748" s="40" t="s">
        <v>115</v>
      </c>
      <c r="AC748" s="40" t="s">
        <v>115</v>
      </c>
      <c r="AI748" s="40">
        <v>100</v>
      </c>
      <c r="AP748" s="4" t="s">
        <v>115</v>
      </c>
    </row>
    <row r="749" spans="1:42" x14ac:dyDescent="0.15">
      <c r="A749" s="40" t="s">
        <v>1</v>
      </c>
      <c r="B749" s="23">
        <v>90080512</v>
      </c>
      <c r="C749" s="23">
        <v>805</v>
      </c>
      <c r="D749" s="23">
        <v>8</v>
      </c>
      <c r="F749" s="23" t="s">
        <v>1059</v>
      </c>
      <c r="G749" s="23" t="s">
        <v>115</v>
      </c>
      <c r="H749" s="23" t="s">
        <v>2393</v>
      </c>
      <c r="I749" s="23">
        <v>1</v>
      </c>
      <c r="J749" s="40">
        <v>0</v>
      </c>
      <c r="K749" s="40">
        <v>0</v>
      </c>
      <c r="L749" s="40" t="s">
        <v>115</v>
      </c>
      <c r="O749" s="40" t="s">
        <v>115</v>
      </c>
      <c r="Q749" s="40">
        <v>190</v>
      </c>
      <c r="R749" s="40" t="s">
        <v>115</v>
      </c>
      <c r="X749" s="40">
        <v>90080513</v>
      </c>
      <c r="Y749" s="40" t="s">
        <v>115</v>
      </c>
      <c r="Z749" s="40" t="s">
        <v>115</v>
      </c>
      <c r="AA749" s="40" t="s">
        <v>115</v>
      </c>
      <c r="AB749" s="40" t="s">
        <v>115</v>
      </c>
      <c r="AC749" s="40" t="s">
        <v>115</v>
      </c>
      <c r="AI749" s="40" t="s">
        <v>1087</v>
      </c>
      <c r="AP749" s="4" t="s">
        <v>115</v>
      </c>
    </row>
    <row r="750" spans="1:42" x14ac:dyDescent="0.15">
      <c r="A750" s="40" t="s">
        <v>1</v>
      </c>
      <c r="B750" s="23">
        <v>90080513</v>
      </c>
      <c r="C750" s="23">
        <v>805</v>
      </c>
      <c r="D750" s="23">
        <v>8</v>
      </c>
      <c r="F750" s="23" t="s">
        <v>116</v>
      </c>
      <c r="G750" s="23">
        <v>360</v>
      </c>
      <c r="H750" s="23" t="s">
        <v>2394</v>
      </c>
      <c r="I750" s="23">
        <v>0</v>
      </c>
      <c r="J750" s="40">
        <v>0</v>
      </c>
      <c r="K750" s="40">
        <v>0</v>
      </c>
      <c r="L750" s="40" t="s">
        <v>115</v>
      </c>
      <c r="O750" s="40" t="s">
        <v>115</v>
      </c>
      <c r="Q750" s="40">
        <v>190</v>
      </c>
      <c r="R750" s="40" t="s">
        <v>115</v>
      </c>
      <c r="X750" s="40">
        <v>90080514</v>
      </c>
      <c r="Y750" s="40" t="s">
        <v>115</v>
      </c>
      <c r="Z750" s="40" t="s">
        <v>115</v>
      </c>
      <c r="AA750" s="40" t="s">
        <v>115</v>
      </c>
      <c r="AB750" s="40" t="s">
        <v>115</v>
      </c>
      <c r="AC750" s="40" t="s">
        <v>115</v>
      </c>
      <c r="AI750" s="40">
        <v>100</v>
      </c>
      <c r="AP750" s="4" t="s">
        <v>115</v>
      </c>
    </row>
    <row r="751" spans="1:42" x14ac:dyDescent="0.15">
      <c r="A751" s="40" t="s">
        <v>1</v>
      </c>
      <c r="B751" s="23">
        <v>90080514</v>
      </c>
      <c r="C751" s="23">
        <v>805</v>
      </c>
      <c r="D751" s="23">
        <v>8</v>
      </c>
      <c r="F751" s="23" t="s">
        <v>1059</v>
      </c>
      <c r="G751" s="23" t="s">
        <v>115</v>
      </c>
      <c r="H751" s="23" t="s">
        <v>2395</v>
      </c>
      <c r="I751" s="23">
        <v>1</v>
      </c>
      <c r="J751" s="40">
        <v>0</v>
      </c>
      <c r="K751" s="40">
        <v>0</v>
      </c>
      <c r="L751" s="40" t="s">
        <v>115</v>
      </c>
      <c r="O751" s="40" t="s">
        <v>115</v>
      </c>
      <c r="Q751" s="40">
        <v>190</v>
      </c>
      <c r="R751" s="40" t="s">
        <v>115</v>
      </c>
      <c r="X751" s="40">
        <v>90080515</v>
      </c>
      <c r="Y751" s="40" t="s">
        <v>115</v>
      </c>
      <c r="Z751" s="40" t="s">
        <v>115</v>
      </c>
      <c r="AA751" s="40" t="s">
        <v>115</v>
      </c>
      <c r="AB751" s="40" t="s">
        <v>115</v>
      </c>
      <c r="AC751" s="40" t="s">
        <v>115</v>
      </c>
      <c r="AI751" s="40" t="s">
        <v>1087</v>
      </c>
      <c r="AP751" s="4" t="s">
        <v>115</v>
      </c>
    </row>
    <row r="752" spans="1:42" x14ac:dyDescent="0.15">
      <c r="A752" s="40" t="s">
        <v>1</v>
      </c>
      <c r="B752" s="23">
        <v>90080515</v>
      </c>
      <c r="C752" s="23">
        <v>805</v>
      </c>
      <c r="D752" s="23">
        <v>8</v>
      </c>
      <c r="F752" s="23" t="s">
        <v>1059</v>
      </c>
      <c r="G752" s="23" t="s">
        <v>115</v>
      </c>
      <c r="H752" s="23" t="s">
        <v>2396</v>
      </c>
      <c r="I752" s="23">
        <v>1</v>
      </c>
      <c r="J752" s="40">
        <v>0</v>
      </c>
      <c r="K752" s="40">
        <v>0</v>
      </c>
      <c r="L752" s="40" t="s">
        <v>115</v>
      </c>
      <c r="O752" s="40" t="s">
        <v>115</v>
      </c>
      <c r="Q752" s="40">
        <v>190</v>
      </c>
      <c r="R752" s="40" t="s">
        <v>115</v>
      </c>
      <c r="X752" s="40">
        <v>90080516</v>
      </c>
      <c r="Y752" s="40" t="s">
        <v>115</v>
      </c>
      <c r="Z752" s="40" t="s">
        <v>115</v>
      </c>
      <c r="AA752" s="40" t="s">
        <v>115</v>
      </c>
      <c r="AB752" s="40" t="s">
        <v>115</v>
      </c>
      <c r="AC752" s="40" t="s">
        <v>115</v>
      </c>
      <c r="AI752" s="40" t="s">
        <v>1087</v>
      </c>
      <c r="AP752" s="4" t="s">
        <v>115</v>
      </c>
    </row>
    <row r="753" spans="1:42" x14ac:dyDescent="0.15">
      <c r="A753" s="40" t="s">
        <v>1</v>
      </c>
      <c r="B753" s="23">
        <v>90080516</v>
      </c>
      <c r="C753" s="23">
        <v>805</v>
      </c>
      <c r="D753" s="23">
        <v>8</v>
      </c>
      <c r="F753" s="23" t="s">
        <v>116</v>
      </c>
      <c r="G753" s="23">
        <v>314</v>
      </c>
      <c r="H753" s="23" t="s">
        <v>2397</v>
      </c>
      <c r="I753" s="23">
        <v>2</v>
      </c>
      <c r="J753" s="40">
        <v>0</v>
      </c>
      <c r="K753" s="40">
        <v>0</v>
      </c>
      <c r="L753" s="40" t="s">
        <v>115</v>
      </c>
      <c r="O753" s="40" t="s">
        <v>115</v>
      </c>
      <c r="Q753" s="40">
        <v>190</v>
      </c>
      <c r="R753" s="40" t="s">
        <v>115</v>
      </c>
      <c r="X753" s="40">
        <v>90080517</v>
      </c>
      <c r="Y753" s="40" t="s">
        <v>115</v>
      </c>
      <c r="Z753" s="40" t="s">
        <v>115</v>
      </c>
      <c r="AA753" s="40" t="s">
        <v>115</v>
      </c>
      <c r="AB753" s="40" t="s">
        <v>115</v>
      </c>
      <c r="AC753" s="40" t="s">
        <v>115</v>
      </c>
      <c r="AI753" s="40">
        <v>100</v>
      </c>
      <c r="AP753" s="4" t="s">
        <v>115</v>
      </c>
    </row>
    <row r="754" spans="1:42" x14ac:dyDescent="0.15">
      <c r="A754" s="40" t="s">
        <v>1</v>
      </c>
      <c r="B754" s="23">
        <v>90080517</v>
      </c>
      <c r="C754" s="23">
        <v>805</v>
      </c>
      <c r="D754" s="23">
        <v>8</v>
      </c>
      <c r="F754" s="23" t="s">
        <v>1059</v>
      </c>
      <c r="G754" s="23" t="s">
        <v>115</v>
      </c>
      <c r="H754" s="23" t="s">
        <v>2398</v>
      </c>
      <c r="I754" s="23">
        <v>1</v>
      </c>
      <c r="J754" s="40">
        <v>0</v>
      </c>
      <c r="K754" s="40">
        <v>0</v>
      </c>
      <c r="L754" s="40" t="s">
        <v>115</v>
      </c>
      <c r="O754" s="40" t="s">
        <v>115</v>
      </c>
      <c r="Q754" s="40">
        <v>190</v>
      </c>
      <c r="R754" s="40" t="s">
        <v>115</v>
      </c>
      <c r="X754" s="40">
        <v>90080518</v>
      </c>
      <c r="Y754" s="40" t="s">
        <v>115</v>
      </c>
      <c r="Z754" s="40" t="s">
        <v>115</v>
      </c>
      <c r="AA754" s="40" t="s">
        <v>115</v>
      </c>
      <c r="AB754" s="40" t="s">
        <v>115</v>
      </c>
      <c r="AC754" s="40" t="s">
        <v>115</v>
      </c>
      <c r="AI754" s="40" t="s">
        <v>1062</v>
      </c>
      <c r="AP754" s="4" t="s">
        <v>115</v>
      </c>
    </row>
    <row r="755" spans="1:42" x14ac:dyDescent="0.15">
      <c r="A755" s="40" t="s">
        <v>1</v>
      </c>
      <c r="B755" s="23">
        <v>90080518</v>
      </c>
      <c r="C755" s="23">
        <v>805</v>
      </c>
      <c r="D755" s="23">
        <v>8</v>
      </c>
      <c r="F755" s="23" t="s">
        <v>116</v>
      </c>
      <c r="G755" s="23">
        <v>312</v>
      </c>
      <c r="H755" s="23" t="s">
        <v>2399</v>
      </c>
      <c r="I755" s="23">
        <v>0</v>
      </c>
      <c r="J755" s="40">
        <v>0</v>
      </c>
      <c r="K755" s="40">
        <v>0</v>
      </c>
      <c r="L755" s="40" t="s">
        <v>115</v>
      </c>
      <c r="O755" s="40" t="s">
        <v>115</v>
      </c>
      <c r="Q755" s="40">
        <v>190</v>
      </c>
      <c r="R755" s="40" t="s">
        <v>115</v>
      </c>
      <c r="X755" s="40">
        <v>90080519</v>
      </c>
      <c r="Y755" s="40" t="s">
        <v>115</v>
      </c>
      <c r="Z755" s="40" t="s">
        <v>115</v>
      </c>
      <c r="AA755" s="40" t="s">
        <v>115</v>
      </c>
      <c r="AB755" s="40" t="s">
        <v>115</v>
      </c>
      <c r="AC755" s="40" t="s">
        <v>115</v>
      </c>
      <c r="AI755" s="40">
        <v>100</v>
      </c>
      <c r="AP755" s="4" t="s">
        <v>115</v>
      </c>
    </row>
    <row r="756" spans="1:42" x14ac:dyDescent="0.15">
      <c r="A756" s="40" t="s">
        <v>1</v>
      </c>
      <c r="B756" s="23">
        <v>90080519</v>
      </c>
      <c r="C756" s="23">
        <v>805</v>
      </c>
      <c r="D756" s="23">
        <v>8</v>
      </c>
      <c r="F756" s="23" t="s">
        <v>1059</v>
      </c>
      <c r="G756" s="23" t="s">
        <v>115</v>
      </c>
      <c r="H756" s="23" t="s">
        <v>2400</v>
      </c>
      <c r="I756" s="23">
        <v>1</v>
      </c>
      <c r="J756" s="40">
        <v>0</v>
      </c>
      <c r="K756" s="40">
        <v>5</v>
      </c>
      <c r="L756" s="40" t="s">
        <v>115</v>
      </c>
      <c r="O756" s="40">
        <v>1</v>
      </c>
      <c r="Q756" s="40">
        <v>190</v>
      </c>
      <c r="R756" s="40" t="s">
        <v>115</v>
      </c>
      <c r="X756" s="40" t="s">
        <v>115</v>
      </c>
      <c r="Y756" s="40" t="s">
        <v>115</v>
      </c>
      <c r="Z756" s="40">
        <v>4</v>
      </c>
      <c r="AA756" s="40" t="s">
        <v>115</v>
      </c>
      <c r="AB756" s="40" t="s">
        <v>115</v>
      </c>
      <c r="AC756" s="40" t="s">
        <v>115</v>
      </c>
      <c r="AI756" s="40" t="s">
        <v>1087</v>
      </c>
      <c r="AP756" s="4" t="s">
        <v>115</v>
      </c>
    </row>
    <row r="757" spans="1:42" x14ac:dyDescent="0.15">
      <c r="A757" s="40" t="s">
        <v>1</v>
      </c>
      <c r="B757" s="23" t="s">
        <v>1018</v>
      </c>
      <c r="C757" s="23">
        <v>901</v>
      </c>
      <c r="D757" s="23">
        <v>9</v>
      </c>
      <c r="F757" s="23" t="s">
        <v>116</v>
      </c>
      <c r="G757" s="23">
        <v>312</v>
      </c>
      <c r="H757" s="23" t="s">
        <v>858</v>
      </c>
      <c r="I757" s="23">
        <v>0</v>
      </c>
      <c r="J757" s="40">
        <v>1</v>
      </c>
      <c r="K757" s="40">
        <v>1</v>
      </c>
      <c r="L757" s="40" t="s">
        <v>115</v>
      </c>
      <c r="O757" s="40" t="s">
        <v>115</v>
      </c>
      <c r="Q757" s="40">
        <v>140</v>
      </c>
      <c r="R757" s="40">
        <v>268</v>
      </c>
      <c r="X757" s="40">
        <v>90090102</v>
      </c>
      <c r="Y757" s="40" t="s">
        <v>115</v>
      </c>
      <c r="Z757" s="40" t="s">
        <v>115</v>
      </c>
      <c r="AA757" s="40" t="s">
        <v>115</v>
      </c>
      <c r="AB757" s="40" t="s">
        <v>115</v>
      </c>
      <c r="AC757" s="40" t="s">
        <v>115</v>
      </c>
      <c r="AI757" s="40" t="s">
        <v>115</v>
      </c>
      <c r="AP757" s="4" t="s">
        <v>115</v>
      </c>
    </row>
    <row r="758" spans="1:42" x14ac:dyDescent="0.15">
      <c r="A758" s="40" t="s">
        <v>1</v>
      </c>
      <c r="B758" s="23">
        <v>90090102</v>
      </c>
      <c r="C758" s="23">
        <v>901</v>
      </c>
      <c r="D758" s="23">
        <v>9</v>
      </c>
      <c r="F758" s="23" t="s">
        <v>115</v>
      </c>
      <c r="G758" s="23" t="s">
        <v>115</v>
      </c>
      <c r="H758" s="23" t="s">
        <v>2401</v>
      </c>
      <c r="I758" s="23">
        <v>4</v>
      </c>
      <c r="J758" s="40">
        <v>0</v>
      </c>
      <c r="K758" s="40">
        <v>0</v>
      </c>
      <c r="L758" s="40" t="s">
        <v>115</v>
      </c>
      <c r="O758" s="40" t="s">
        <v>115</v>
      </c>
      <c r="Q758" s="40">
        <v>140</v>
      </c>
      <c r="R758" s="40">
        <v>268</v>
      </c>
      <c r="X758" s="40">
        <v>90090103</v>
      </c>
      <c r="Y758" s="40" t="s">
        <v>115</v>
      </c>
      <c r="Z758" s="40" t="s">
        <v>115</v>
      </c>
      <c r="AA758" s="40" t="s">
        <v>115</v>
      </c>
      <c r="AB758" s="40" t="s">
        <v>115</v>
      </c>
      <c r="AC758" s="40" t="s">
        <v>115</v>
      </c>
      <c r="AI758" s="40" t="s">
        <v>115</v>
      </c>
      <c r="AP758" s="4" t="s">
        <v>115</v>
      </c>
    </row>
    <row r="759" spans="1:42" x14ac:dyDescent="0.15">
      <c r="A759" s="40" t="s">
        <v>1</v>
      </c>
      <c r="B759" s="23">
        <v>90090103</v>
      </c>
      <c r="C759" s="23">
        <v>901</v>
      </c>
      <c r="D759" s="23">
        <v>9</v>
      </c>
      <c r="F759" s="23" t="s">
        <v>115</v>
      </c>
      <c r="G759" s="23" t="s">
        <v>115</v>
      </c>
      <c r="H759" s="23" t="s">
        <v>2402</v>
      </c>
      <c r="I759" s="23">
        <v>4</v>
      </c>
      <c r="J759" s="40">
        <v>0</v>
      </c>
      <c r="K759" s="40">
        <v>0</v>
      </c>
      <c r="L759" s="40" t="s">
        <v>115</v>
      </c>
      <c r="O759" s="40" t="s">
        <v>115</v>
      </c>
      <c r="Q759" s="40">
        <v>140</v>
      </c>
      <c r="R759" s="40" t="s">
        <v>115</v>
      </c>
      <c r="X759" s="40">
        <v>90090104</v>
      </c>
      <c r="Y759" s="40" t="s">
        <v>115</v>
      </c>
      <c r="Z759" s="40" t="s">
        <v>115</v>
      </c>
      <c r="AA759" s="40" t="s">
        <v>115</v>
      </c>
      <c r="AB759" s="40" t="s">
        <v>115</v>
      </c>
      <c r="AC759" s="40" t="s">
        <v>115</v>
      </c>
      <c r="AI759" s="40" t="s">
        <v>115</v>
      </c>
      <c r="AP759" s="4" t="s">
        <v>115</v>
      </c>
    </row>
    <row r="760" spans="1:42" x14ac:dyDescent="0.15">
      <c r="A760" s="40" t="s">
        <v>1</v>
      </c>
      <c r="B760" s="23">
        <v>90090104</v>
      </c>
      <c r="C760" s="23">
        <v>901</v>
      </c>
      <c r="D760" s="23">
        <v>9</v>
      </c>
      <c r="F760" s="23" t="s">
        <v>859</v>
      </c>
      <c r="G760" s="23" t="s">
        <v>115</v>
      </c>
      <c r="H760" s="23" t="s">
        <v>2403</v>
      </c>
      <c r="I760" s="23">
        <v>3</v>
      </c>
      <c r="J760" s="40">
        <v>0</v>
      </c>
      <c r="K760" s="40">
        <v>0</v>
      </c>
      <c r="L760" s="40" t="s">
        <v>115</v>
      </c>
      <c r="O760" s="40" t="s">
        <v>115</v>
      </c>
      <c r="Q760" s="40">
        <v>140</v>
      </c>
      <c r="R760" s="40">
        <v>268</v>
      </c>
      <c r="X760" s="40">
        <v>90090105</v>
      </c>
      <c r="Y760" s="40" t="s">
        <v>115</v>
      </c>
      <c r="Z760" s="40" t="s">
        <v>115</v>
      </c>
      <c r="AA760" s="40" t="s">
        <v>115</v>
      </c>
      <c r="AB760" s="40" t="s">
        <v>115</v>
      </c>
      <c r="AC760" s="40" t="s">
        <v>115</v>
      </c>
      <c r="AI760" s="40" t="s">
        <v>115</v>
      </c>
      <c r="AP760" s="4" t="s">
        <v>115</v>
      </c>
    </row>
    <row r="761" spans="1:42" x14ac:dyDescent="0.15">
      <c r="A761" s="40" t="s">
        <v>1</v>
      </c>
      <c r="B761" s="23">
        <v>90090105</v>
      </c>
      <c r="C761" s="23">
        <v>901</v>
      </c>
      <c r="D761" s="23">
        <v>9</v>
      </c>
      <c r="F761" s="23" t="s">
        <v>116</v>
      </c>
      <c r="G761" s="23">
        <v>314</v>
      </c>
      <c r="H761" s="23" t="s">
        <v>2404</v>
      </c>
      <c r="I761" s="23">
        <v>0</v>
      </c>
      <c r="J761" s="40">
        <v>0</v>
      </c>
      <c r="K761" s="40">
        <v>0</v>
      </c>
      <c r="L761" s="40" t="s">
        <v>115</v>
      </c>
      <c r="O761" s="40" t="s">
        <v>115</v>
      </c>
      <c r="Q761" s="40">
        <v>140</v>
      </c>
      <c r="R761" s="40">
        <v>268</v>
      </c>
      <c r="X761" s="40">
        <v>90090106</v>
      </c>
      <c r="Y761" s="40" t="s">
        <v>115</v>
      </c>
      <c r="Z761" s="40" t="s">
        <v>115</v>
      </c>
      <c r="AA761" s="40" t="s">
        <v>115</v>
      </c>
      <c r="AB761" s="40" t="s">
        <v>115</v>
      </c>
      <c r="AC761" s="40" t="s">
        <v>115</v>
      </c>
      <c r="AI761" s="40" t="s">
        <v>115</v>
      </c>
      <c r="AP761" s="4" t="s">
        <v>115</v>
      </c>
    </row>
    <row r="762" spans="1:42" x14ac:dyDescent="0.15">
      <c r="A762" s="40" t="s">
        <v>1</v>
      </c>
      <c r="B762" s="23">
        <v>90090106</v>
      </c>
      <c r="C762" s="23">
        <v>901</v>
      </c>
      <c r="D762" s="23">
        <v>9</v>
      </c>
      <c r="F762" s="23" t="s">
        <v>859</v>
      </c>
      <c r="G762" s="23" t="s">
        <v>115</v>
      </c>
      <c r="H762" s="23" t="s">
        <v>2405</v>
      </c>
      <c r="I762" s="23">
        <v>3</v>
      </c>
      <c r="J762" s="40">
        <v>0</v>
      </c>
      <c r="K762" s="40">
        <v>0</v>
      </c>
      <c r="L762" s="40" t="s">
        <v>115</v>
      </c>
      <c r="O762" s="40" t="s">
        <v>115</v>
      </c>
      <c r="Q762" s="40">
        <v>140</v>
      </c>
      <c r="R762" s="40">
        <v>268</v>
      </c>
      <c r="X762" s="40">
        <v>90090107</v>
      </c>
      <c r="Y762" s="40" t="s">
        <v>115</v>
      </c>
      <c r="Z762" s="40" t="s">
        <v>115</v>
      </c>
      <c r="AA762" s="40" t="s">
        <v>115</v>
      </c>
      <c r="AB762" s="40" t="s">
        <v>115</v>
      </c>
      <c r="AC762" s="40" t="s">
        <v>115</v>
      </c>
      <c r="AI762" s="40" t="s">
        <v>115</v>
      </c>
      <c r="AP762" s="4" t="s">
        <v>115</v>
      </c>
    </row>
    <row r="763" spans="1:42" x14ac:dyDescent="0.15">
      <c r="A763" s="40" t="s">
        <v>1</v>
      </c>
      <c r="B763" s="23">
        <v>90090107</v>
      </c>
      <c r="C763" s="23">
        <v>901</v>
      </c>
      <c r="D763" s="23">
        <v>9</v>
      </c>
      <c r="F763" s="23" t="s">
        <v>115</v>
      </c>
      <c r="G763" s="23" t="s">
        <v>115</v>
      </c>
      <c r="H763" s="23" t="s">
        <v>2406</v>
      </c>
      <c r="I763" s="23">
        <v>4</v>
      </c>
      <c r="J763" s="40">
        <v>0</v>
      </c>
      <c r="K763" s="40">
        <v>0</v>
      </c>
      <c r="L763" s="40" t="s">
        <v>115</v>
      </c>
      <c r="O763" s="40" t="s">
        <v>115</v>
      </c>
      <c r="Q763" s="40">
        <v>140</v>
      </c>
      <c r="R763" s="40">
        <v>268</v>
      </c>
      <c r="X763" s="40">
        <v>90090108</v>
      </c>
      <c r="Y763" s="40" t="s">
        <v>115</v>
      </c>
      <c r="Z763" s="40" t="s">
        <v>115</v>
      </c>
      <c r="AA763" s="40" t="s">
        <v>115</v>
      </c>
      <c r="AB763" s="40" t="s">
        <v>115</v>
      </c>
      <c r="AC763" s="40" t="s">
        <v>115</v>
      </c>
      <c r="AI763" s="40" t="s">
        <v>115</v>
      </c>
      <c r="AP763" s="4" t="s">
        <v>115</v>
      </c>
    </row>
    <row r="764" spans="1:42" x14ac:dyDescent="0.15">
      <c r="A764" s="40" t="s">
        <v>1</v>
      </c>
      <c r="B764" s="23">
        <v>90090108</v>
      </c>
      <c r="C764" s="23">
        <v>901</v>
      </c>
      <c r="D764" s="23">
        <v>9</v>
      </c>
      <c r="F764" s="23" t="s">
        <v>116</v>
      </c>
      <c r="G764" s="23">
        <v>360</v>
      </c>
      <c r="H764" s="23" t="s">
        <v>2407</v>
      </c>
      <c r="I764" s="23">
        <v>0</v>
      </c>
      <c r="J764" s="40">
        <v>0</v>
      </c>
      <c r="K764" s="40">
        <v>0</v>
      </c>
      <c r="L764" s="40" t="s">
        <v>115</v>
      </c>
      <c r="O764" s="40" t="s">
        <v>115</v>
      </c>
      <c r="Q764" s="40">
        <v>140</v>
      </c>
      <c r="R764" s="40">
        <v>268</v>
      </c>
      <c r="X764" s="40">
        <v>90090109</v>
      </c>
      <c r="Y764" s="40" t="s">
        <v>115</v>
      </c>
      <c r="Z764" s="40" t="s">
        <v>115</v>
      </c>
      <c r="AA764" s="40" t="s">
        <v>115</v>
      </c>
      <c r="AB764" s="40" t="s">
        <v>115</v>
      </c>
      <c r="AC764" s="40" t="s">
        <v>115</v>
      </c>
      <c r="AI764" s="40" t="s">
        <v>115</v>
      </c>
      <c r="AP764" s="4" t="s">
        <v>115</v>
      </c>
    </row>
    <row r="765" spans="1:42" x14ac:dyDescent="0.15">
      <c r="A765" s="40" t="s">
        <v>1</v>
      </c>
      <c r="B765" s="23">
        <v>90090109</v>
      </c>
      <c r="C765" s="23">
        <v>901</v>
      </c>
      <c r="D765" s="23">
        <v>9</v>
      </c>
      <c r="F765" s="23" t="s">
        <v>115</v>
      </c>
      <c r="G765" s="23" t="s">
        <v>115</v>
      </c>
      <c r="H765" s="23" t="s">
        <v>2408</v>
      </c>
      <c r="I765" s="23">
        <v>4</v>
      </c>
      <c r="J765" s="40">
        <v>0</v>
      </c>
      <c r="K765" s="40">
        <v>0</v>
      </c>
      <c r="L765" s="40" t="s">
        <v>115</v>
      </c>
      <c r="O765" s="40" t="s">
        <v>115</v>
      </c>
      <c r="Q765" s="40">
        <v>140</v>
      </c>
      <c r="R765" s="40">
        <v>268</v>
      </c>
      <c r="X765" s="40">
        <v>90090110</v>
      </c>
      <c r="Y765" s="40" t="s">
        <v>115</v>
      </c>
      <c r="Z765" s="40" t="s">
        <v>115</v>
      </c>
      <c r="AA765" s="40" t="s">
        <v>115</v>
      </c>
      <c r="AB765" s="40" t="s">
        <v>115</v>
      </c>
      <c r="AC765" s="40" t="s">
        <v>115</v>
      </c>
      <c r="AI765" s="40" t="s">
        <v>115</v>
      </c>
      <c r="AP765" s="4" t="s">
        <v>115</v>
      </c>
    </row>
    <row r="766" spans="1:42" x14ac:dyDescent="0.15">
      <c r="A766" s="40" t="s">
        <v>1</v>
      </c>
      <c r="B766" s="23">
        <v>90090110</v>
      </c>
      <c r="C766" s="23">
        <v>901</v>
      </c>
      <c r="D766" s="23">
        <v>9</v>
      </c>
      <c r="F766" s="23" t="s">
        <v>859</v>
      </c>
      <c r="G766" s="23" t="s">
        <v>115</v>
      </c>
      <c r="H766" s="23" t="s">
        <v>2409</v>
      </c>
      <c r="I766" s="23">
        <v>3</v>
      </c>
      <c r="J766" s="40">
        <v>0</v>
      </c>
      <c r="K766" s="40">
        <v>0</v>
      </c>
      <c r="L766" s="40" t="s">
        <v>115</v>
      </c>
      <c r="O766" s="40" t="s">
        <v>115</v>
      </c>
      <c r="Q766" s="40">
        <v>140</v>
      </c>
      <c r="R766" s="40">
        <v>268</v>
      </c>
      <c r="X766" s="40">
        <v>90090111</v>
      </c>
      <c r="Y766" s="40" t="s">
        <v>115</v>
      </c>
      <c r="Z766" s="40" t="s">
        <v>115</v>
      </c>
      <c r="AA766" s="40" t="s">
        <v>115</v>
      </c>
      <c r="AB766" s="40" t="s">
        <v>115</v>
      </c>
      <c r="AC766" s="40" t="s">
        <v>115</v>
      </c>
      <c r="AI766" s="40" t="s">
        <v>115</v>
      </c>
      <c r="AP766" s="4" t="s">
        <v>115</v>
      </c>
    </row>
    <row r="767" spans="1:42" x14ac:dyDescent="0.15">
      <c r="A767" s="40" t="s">
        <v>1</v>
      </c>
      <c r="B767" s="23">
        <v>90090111</v>
      </c>
      <c r="C767" s="23">
        <v>901</v>
      </c>
      <c r="D767" s="23">
        <v>9</v>
      </c>
      <c r="F767" s="23" t="s">
        <v>859</v>
      </c>
      <c r="G767" s="23" t="s">
        <v>115</v>
      </c>
      <c r="H767" s="23" t="s">
        <v>2410</v>
      </c>
      <c r="I767" s="23">
        <v>3</v>
      </c>
      <c r="J767" s="40">
        <v>0</v>
      </c>
      <c r="K767" s="40">
        <v>0</v>
      </c>
      <c r="L767" s="40" t="s">
        <v>115</v>
      </c>
      <c r="O767" s="40" t="s">
        <v>115</v>
      </c>
      <c r="Q767" s="40">
        <v>140</v>
      </c>
      <c r="R767" s="40">
        <v>268</v>
      </c>
      <c r="X767" s="40">
        <v>90090112</v>
      </c>
      <c r="Y767" s="40" t="s">
        <v>115</v>
      </c>
      <c r="Z767" s="40" t="s">
        <v>115</v>
      </c>
      <c r="AA767" s="40" t="s">
        <v>115</v>
      </c>
      <c r="AB767" s="40" t="s">
        <v>115</v>
      </c>
      <c r="AC767" s="40" t="s">
        <v>115</v>
      </c>
      <c r="AI767" s="40" t="s">
        <v>115</v>
      </c>
      <c r="AP767" s="4" t="s">
        <v>115</v>
      </c>
    </row>
    <row r="768" spans="1:42" x14ac:dyDescent="0.15">
      <c r="A768" s="40" t="s">
        <v>1</v>
      </c>
      <c r="B768" s="23">
        <v>90090112</v>
      </c>
      <c r="C768" s="23">
        <v>901</v>
      </c>
      <c r="D768" s="23">
        <v>9</v>
      </c>
      <c r="F768" s="23" t="s">
        <v>116</v>
      </c>
      <c r="G768" s="23">
        <v>360</v>
      </c>
      <c r="H768" s="23" t="s">
        <v>2411</v>
      </c>
      <c r="I768" s="23">
        <v>0</v>
      </c>
      <c r="J768" s="40">
        <v>0</v>
      </c>
      <c r="K768" s="40">
        <v>0</v>
      </c>
      <c r="L768" s="40" t="s">
        <v>115</v>
      </c>
      <c r="O768" s="40" t="s">
        <v>115</v>
      </c>
      <c r="Q768" s="40">
        <v>140</v>
      </c>
      <c r="R768" s="40">
        <v>268</v>
      </c>
      <c r="X768" s="40">
        <v>90090113</v>
      </c>
      <c r="Y768" s="40" t="s">
        <v>115</v>
      </c>
      <c r="Z768" s="40" t="s">
        <v>115</v>
      </c>
      <c r="AA768" s="40" t="s">
        <v>115</v>
      </c>
      <c r="AB768" s="40" t="s">
        <v>115</v>
      </c>
      <c r="AC768" s="40" t="s">
        <v>115</v>
      </c>
      <c r="AI768" s="40" t="s">
        <v>115</v>
      </c>
      <c r="AP768" s="4" t="s">
        <v>115</v>
      </c>
    </row>
    <row r="769" spans="1:42" x14ac:dyDescent="0.15">
      <c r="A769" s="40" t="s">
        <v>1</v>
      </c>
      <c r="B769" s="23">
        <v>90090113</v>
      </c>
      <c r="C769" s="23">
        <v>901</v>
      </c>
      <c r="D769" s="23">
        <v>9</v>
      </c>
      <c r="F769" s="23" t="s">
        <v>859</v>
      </c>
      <c r="G769" s="23" t="s">
        <v>115</v>
      </c>
      <c r="H769" s="23" t="s">
        <v>2412</v>
      </c>
      <c r="I769" s="23">
        <v>3</v>
      </c>
      <c r="J769" s="40">
        <v>0</v>
      </c>
      <c r="K769" s="40">
        <v>0</v>
      </c>
      <c r="L769" s="40" t="s">
        <v>115</v>
      </c>
      <c r="O769" s="40" t="s">
        <v>115</v>
      </c>
      <c r="Q769" s="40">
        <v>140</v>
      </c>
      <c r="R769" s="40">
        <v>268</v>
      </c>
      <c r="X769" s="40">
        <v>90090114</v>
      </c>
      <c r="Y769" s="40" t="s">
        <v>115</v>
      </c>
      <c r="Z769" s="40" t="s">
        <v>115</v>
      </c>
      <c r="AA769" s="40" t="s">
        <v>115</v>
      </c>
      <c r="AB769" s="40" t="s">
        <v>115</v>
      </c>
      <c r="AC769" s="40" t="s">
        <v>115</v>
      </c>
      <c r="AI769" s="40" t="s">
        <v>115</v>
      </c>
      <c r="AP769" s="4" t="s">
        <v>115</v>
      </c>
    </row>
    <row r="770" spans="1:42" x14ac:dyDescent="0.15">
      <c r="A770" s="40" t="s">
        <v>1</v>
      </c>
      <c r="B770" s="23">
        <v>90090114</v>
      </c>
      <c r="C770" s="23">
        <v>901</v>
      </c>
      <c r="D770" s="23">
        <v>9</v>
      </c>
      <c r="F770" s="23" t="s">
        <v>116</v>
      </c>
      <c r="G770" s="23">
        <v>313</v>
      </c>
      <c r="H770" s="23" t="s">
        <v>967</v>
      </c>
      <c r="I770" s="23">
        <v>2</v>
      </c>
      <c r="J770" s="40">
        <v>0</v>
      </c>
      <c r="K770" s="40">
        <v>0</v>
      </c>
      <c r="L770" s="40" t="s">
        <v>115</v>
      </c>
      <c r="O770" s="40" t="s">
        <v>115</v>
      </c>
      <c r="Q770" s="40">
        <v>140</v>
      </c>
      <c r="R770" s="40">
        <v>268</v>
      </c>
      <c r="X770" s="40">
        <v>90090115</v>
      </c>
      <c r="Y770" s="40" t="s">
        <v>115</v>
      </c>
      <c r="Z770" s="40" t="s">
        <v>115</v>
      </c>
      <c r="AA770" s="40" t="s">
        <v>115</v>
      </c>
      <c r="AB770" s="40" t="s">
        <v>115</v>
      </c>
      <c r="AC770" s="40" t="s">
        <v>115</v>
      </c>
      <c r="AI770" s="40" t="s">
        <v>115</v>
      </c>
      <c r="AP770" s="4" t="s">
        <v>115</v>
      </c>
    </row>
    <row r="771" spans="1:42" x14ac:dyDescent="0.15">
      <c r="A771" s="40" t="s">
        <v>1</v>
      </c>
      <c r="B771" s="23">
        <v>90090115</v>
      </c>
      <c r="C771" s="23">
        <v>901</v>
      </c>
      <c r="D771" s="23">
        <v>9</v>
      </c>
      <c r="F771" s="23" t="s">
        <v>116</v>
      </c>
      <c r="G771" s="23">
        <v>313</v>
      </c>
      <c r="H771" s="23" t="s">
        <v>860</v>
      </c>
      <c r="I771" s="23">
        <v>0</v>
      </c>
      <c r="J771" s="40">
        <v>0</v>
      </c>
      <c r="K771" s="40">
        <v>0</v>
      </c>
      <c r="L771" s="40" t="s">
        <v>115</v>
      </c>
      <c r="O771" s="40" t="s">
        <v>115</v>
      </c>
      <c r="Q771" s="40">
        <v>140</v>
      </c>
      <c r="R771" s="40">
        <v>268</v>
      </c>
      <c r="X771" s="40">
        <v>90090116</v>
      </c>
      <c r="Y771" s="40" t="s">
        <v>115</v>
      </c>
      <c r="Z771" s="40" t="s">
        <v>115</v>
      </c>
      <c r="AA771" s="40" t="s">
        <v>115</v>
      </c>
      <c r="AB771" s="40" t="s">
        <v>115</v>
      </c>
      <c r="AC771" s="40" t="s">
        <v>115</v>
      </c>
      <c r="AI771" s="40" t="s">
        <v>115</v>
      </c>
      <c r="AP771" s="4" t="s">
        <v>115</v>
      </c>
    </row>
    <row r="772" spans="1:42" x14ac:dyDescent="0.15">
      <c r="A772" s="40" t="s">
        <v>1</v>
      </c>
      <c r="B772" s="23">
        <v>90090116</v>
      </c>
      <c r="C772" s="23">
        <v>901</v>
      </c>
      <c r="D772" s="23">
        <v>9</v>
      </c>
      <c r="F772" s="23" t="s">
        <v>859</v>
      </c>
      <c r="G772" s="23" t="s">
        <v>115</v>
      </c>
      <c r="H772" s="23" t="s">
        <v>338</v>
      </c>
      <c r="I772" s="23">
        <v>3</v>
      </c>
      <c r="J772" s="40">
        <v>0</v>
      </c>
      <c r="K772" s="40">
        <v>0</v>
      </c>
      <c r="L772" s="40" t="s">
        <v>115</v>
      </c>
      <c r="O772" s="40" t="s">
        <v>115</v>
      </c>
      <c r="Q772" s="40">
        <v>140</v>
      </c>
      <c r="R772" s="40">
        <v>268</v>
      </c>
      <c r="X772" s="40">
        <v>90090117</v>
      </c>
      <c r="Y772" s="40" t="s">
        <v>115</v>
      </c>
      <c r="Z772" s="40" t="s">
        <v>115</v>
      </c>
      <c r="AA772" s="40" t="s">
        <v>115</v>
      </c>
      <c r="AB772" s="40" t="s">
        <v>115</v>
      </c>
      <c r="AC772" s="40" t="s">
        <v>115</v>
      </c>
      <c r="AI772" s="40" t="s">
        <v>115</v>
      </c>
      <c r="AP772" s="4" t="s">
        <v>115</v>
      </c>
    </row>
    <row r="773" spans="1:42" x14ac:dyDescent="0.15">
      <c r="A773" s="40" t="s">
        <v>1</v>
      </c>
      <c r="B773" s="23">
        <v>90090117</v>
      </c>
      <c r="C773" s="23">
        <v>901</v>
      </c>
      <c r="D773" s="23">
        <v>9</v>
      </c>
      <c r="F773" s="23" t="s">
        <v>116</v>
      </c>
      <c r="G773" s="23">
        <v>360</v>
      </c>
      <c r="H773" s="23" t="s">
        <v>2413</v>
      </c>
      <c r="I773" s="23">
        <v>2</v>
      </c>
      <c r="J773" s="40">
        <v>0</v>
      </c>
      <c r="K773" s="40">
        <v>2</v>
      </c>
      <c r="L773" s="40" t="s">
        <v>115</v>
      </c>
      <c r="O773" s="40" t="s">
        <v>115</v>
      </c>
      <c r="Q773" s="40">
        <v>140</v>
      </c>
      <c r="R773" s="40">
        <v>268</v>
      </c>
      <c r="X773" s="40" t="s">
        <v>2414</v>
      </c>
      <c r="Y773" s="40">
        <v>1</v>
      </c>
      <c r="Z773" s="40">
        <v>1</v>
      </c>
      <c r="AA773" s="40" t="s">
        <v>115</v>
      </c>
      <c r="AB773" s="40" t="s">
        <v>115</v>
      </c>
      <c r="AC773" s="40" t="s">
        <v>115</v>
      </c>
      <c r="AI773" s="40" t="s">
        <v>115</v>
      </c>
      <c r="AP773" s="4" t="s">
        <v>115</v>
      </c>
    </row>
    <row r="774" spans="1:42" x14ac:dyDescent="0.15">
      <c r="A774" s="40" t="s">
        <v>1</v>
      </c>
      <c r="B774" s="23">
        <v>90090118</v>
      </c>
      <c r="C774" s="23">
        <v>901</v>
      </c>
      <c r="D774" s="23">
        <v>9</v>
      </c>
      <c r="F774" s="23" t="s">
        <v>115</v>
      </c>
      <c r="G774" s="23" t="s">
        <v>115</v>
      </c>
      <c r="H774" s="23" t="s">
        <v>861</v>
      </c>
      <c r="I774" s="23">
        <v>4</v>
      </c>
      <c r="J774" s="40">
        <v>0</v>
      </c>
      <c r="K774" s="40">
        <v>3</v>
      </c>
      <c r="L774" s="40" t="s">
        <v>115</v>
      </c>
      <c r="O774" s="40" t="s">
        <v>115</v>
      </c>
      <c r="Q774" s="40">
        <v>140</v>
      </c>
      <c r="R774" s="40">
        <v>268</v>
      </c>
      <c r="X774" s="40">
        <v>90090119</v>
      </c>
      <c r="Y774" s="40">
        <v>-1</v>
      </c>
      <c r="Z774" s="40">
        <v>2</v>
      </c>
      <c r="AA774" s="40" t="s">
        <v>115</v>
      </c>
      <c r="AB774" s="40" t="s">
        <v>115</v>
      </c>
      <c r="AC774" s="40" t="s">
        <v>1025</v>
      </c>
      <c r="AI774" s="40" t="s">
        <v>115</v>
      </c>
      <c r="AP774" s="4" t="s">
        <v>115</v>
      </c>
    </row>
    <row r="775" spans="1:42" x14ac:dyDescent="0.15">
      <c r="A775" s="40" t="s">
        <v>1</v>
      </c>
      <c r="B775" s="23">
        <v>90090119</v>
      </c>
      <c r="C775" s="23">
        <v>901</v>
      </c>
      <c r="D775" s="23">
        <v>9</v>
      </c>
      <c r="F775" s="23" t="s">
        <v>859</v>
      </c>
      <c r="G775" s="23" t="s">
        <v>115</v>
      </c>
      <c r="H775" s="23" t="s">
        <v>863</v>
      </c>
      <c r="I775" s="23">
        <v>3</v>
      </c>
      <c r="J775" s="40">
        <v>0</v>
      </c>
      <c r="K775" s="40">
        <v>0</v>
      </c>
      <c r="L775" s="40" t="s">
        <v>115</v>
      </c>
      <c r="O775" s="40" t="s">
        <v>115</v>
      </c>
      <c r="Q775" s="40">
        <v>140</v>
      </c>
      <c r="R775" s="40">
        <v>268</v>
      </c>
      <c r="X775" s="40">
        <v>90090120</v>
      </c>
      <c r="Y775" s="40" t="s">
        <v>115</v>
      </c>
      <c r="Z775" s="40" t="s">
        <v>115</v>
      </c>
      <c r="AA775" s="40" t="s">
        <v>115</v>
      </c>
      <c r="AB775" s="40" t="s">
        <v>115</v>
      </c>
      <c r="AC775" s="40" t="s">
        <v>115</v>
      </c>
      <c r="AI775" s="40" t="s">
        <v>115</v>
      </c>
      <c r="AP775" s="4" t="s">
        <v>115</v>
      </c>
    </row>
    <row r="776" spans="1:42" x14ac:dyDescent="0.15">
      <c r="A776" s="40" t="s">
        <v>1</v>
      </c>
      <c r="B776" s="23">
        <v>90090120</v>
      </c>
      <c r="C776" s="23">
        <v>901</v>
      </c>
      <c r="D776" s="23">
        <v>9</v>
      </c>
      <c r="F776" s="23" t="s">
        <v>116</v>
      </c>
      <c r="G776" s="23">
        <v>312</v>
      </c>
      <c r="H776" s="23" t="s">
        <v>2415</v>
      </c>
      <c r="I776" s="23">
        <v>0</v>
      </c>
      <c r="J776" s="40">
        <v>0</v>
      </c>
      <c r="K776" s="40">
        <v>0</v>
      </c>
      <c r="L776" s="40" t="s">
        <v>115</v>
      </c>
      <c r="O776" s="40" t="s">
        <v>115</v>
      </c>
      <c r="Q776" s="40">
        <v>140</v>
      </c>
      <c r="R776" s="40">
        <v>268</v>
      </c>
      <c r="X776" s="40">
        <v>90090121</v>
      </c>
      <c r="Y776" s="40" t="s">
        <v>115</v>
      </c>
      <c r="Z776" s="40" t="s">
        <v>115</v>
      </c>
      <c r="AA776" s="40" t="s">
        <v>115</v>
      </c>
      <c r="AB776" s="40" t="s">
        <v>115</v>
      </c>
      <c r="AC776" s="40" t="s">
        <v>115</v>
      </c>
      <c r="AI776" s="40" t="s">
        <v>115</v>
      </c>
      <c r="AP776" s="4" t="s">
        <v>115</v>
      </c>
    </row>
    <row r="777" spans="1:42" x14ac:dyDescent="0.15">
      <c r="A777" s="40" t="s">
        <v>1</v>
      </c>
      <c r="B777" s="23">
        <v>90090121</v>
      </c>
      <c r="C777" s="23">
        <v>901</v>
      </c>
      <c r="D777" s="23">
        <v>9</v>
      </c>
      <c r="F777" s="23" t="s">
        <v>859</v>
      </c>
      <c r="G777" s="23" t="s">
        <v>115</v>
      </c>
      <c r="H777" s="23" t="s">
        <v>2416</v>
      </c>
      <c r="I777" s="23">
        <v>3</v>
      </c>
      <c r="J777" s="40">
        <v>0</v>
      </c>
      <c r="K777" s="40">
        <v>0</v>
      </c>
      <c r="L777" s="40" t="s">
        <v>115</v>
      </c>
      <c r="O777" s="40" t="s">
        <v>115</v>
      </c>
      <c r="Q777" s="40">
        <v>140</v>
      </c>
      <c r="R777" s="40">
        <v>268</v>
      </c>
      <c r="X777" s="40">
        <v>90090122</v>
      </c>
      <c r="Y777" s="40" t="s">
        <v>115</v>
      </c>
      <c r="Z777" s="40" t="s">
        <v>115</v>
      </c>
      <c r="AA777" s="40" t="s">
        <v>115</v>
      </c>
      <c r="AB777" s="40" t="s">
        <v>115</v>
      </c>
      <c r="AC777" s="40" t="s">
        <v>115</v>
      </c>
      <c r="AI777" s="40" t="s">
        <v>115</v>
      </c>
      <c r="AP777" s="4" t="s">
        <v>115</v>
      </c>
    </row>
    <row r="778" spans="1:42" x14ac:dyDescent="0.15">
      <c r="A778" s="40" t="s">
        <v>1</v>
      </c>
      <c r="B778" s="23">
        <v>90090122</v>
      </c>
      <c r="C778" s="23">
        <v>901</v>
      </c>
      <c r="D778" s="23">
        <v>9</v>
      </c>
      <c r="F778" s="23" t="s">
        <v>116</v>
      </c>
      <c r="G778" s="23">
        <v>360</v>
      </c>
      <c r="H778" s="23" t="s">
        <v>2417</v>
      </c>
      <c r="I778" s="23">
        <v>0</v>
      </c>
      <c r="J778" s="40">
        <v>0</v>
      </c>
      <c r="K778" s="40">
        <v>0</v>
      </c>
      <c r="L778" s="40" t="s">
        <v>115</v>
      </c>
      <c r="O778" s="40" t="s">
        <v>115</v>
      </c>
      <c r="Q778" s="40">
        <v>140</v>
      </c>
      <c r="R778" s="40">
        <v>268</v>
      </c>
      <c r="X778" s="40">
        <v>90090123</v>
      </c>
      <c r="Y778" s="40" t="s">
        <v>115</v>
      </c>
      <c r="Z778" s="40" t="s">
        <v>115</v>
      </c>
      <c r="AA778" s="40" t="s">
        <v>115</v>
      </c>
      <c r="AB778" s="40" t="s">
        <v>115</v>
      </c>
      <c r="AC778" s="40" t="s">
        <v>115</v>
      </c>
      <c r="AI778" s="40" t="s">
        <v>115</v>
      </c>
      <c r="AP778" s="4" t="s">
        <v>115</v>
      </c>
    </row>
    <row r="779" spans="1:42" x14ac:dyDescent="0.15">
      <c r="A779" s="40" t="s">
        <v>1</v>
      </c>
      <c r="B779" s="23">
        <v>90090123</v>
      </c>
      <c r="C779" s="23">
        <v>901</v>
      </c>
      <c r="D779" s="23">
        <v>9</v>
      </c>
      <c r="F779" s="23" t="s">
        <v>859</v>
      </c>
      <c r="G779" s="23" t="s">
        <v>115</v>
      </c>
      <c r="H779" s="23" t="s">
        <v>2418</v>
      </c>
      <c r="I779" s="23">
        <v>3</v>
      </c>
      <c r="J779" s="40">
        <v>0</v>
      </c>
      <c r="K779" s="40">
        <v>0</v>
      </c>
      <c r="L779" s="40" t="s">
        <v>115</v>
      </c>
      <c r="O779" s="40" t="s">
        <v>115</v>
      </c>
      <c r="Q779" s="40">
        <v>140</v>
      </c>
      <c r="R779" s="40">
        <v>268</v>
      </c>
      <c r="X779" s="40">
        <v>90090124</v>
      </c>
      <c r="Y779" s="40" t="s">
        <v>115</v>
      </c>
      <c r="Z779" s="40" t="s">
        <v>115</v>
      </c>
      <c r="AA779" s="40" t="s">
        <v>115</v>
      </c>
      <c r="AB779" s="40" t="s">
        <v>115</v>
      </c>
      <c r="AC779" s="40" t="s">
        <v>115</v>
      </c>
      <c r="AI779" s="40" t="s">
        <v>115</v>
      </c>
      <c r="AP779" s="4" t="s">
        <v>115</v>
      </c>
    </row>
    <row r="780" spans="1:42" x14ac:dyDescent="0.15">
      <c r="A780" s="40" t="s">
        <v>1</v>
      </c>
      <c r="B780" s="23">
        <v>90090124</v>
      </c>
      <c r="C780" s="23">
        <v>901</v>
      </c>
      <c r="D780" s="23">
        <v>9</v>
      </c>
      <c r="F780" s="23" t="s">
        <v>116</v>
      </c>
      <c r="G780" s="23">
        <v>312</v>
      </c>
      <c r="H780" s="23" t="s">
        <v>2419</v>
      </c>
      <c r="I780" s="23">
        <v>2</v>
      </c>
      <c r="J780" s="40">
        <v>0</v>
      </c>
      <c r="K780" s="40">
        <v>0</v>
      </c>
      <c r="L780" s="40" t="s">
        <v>115</v>
      </c>
      <c r="O780" s="40" t="s">
        <v>115</v>
      </c>
      <c r="Q780" s="40">
        <v>140</v>
      </c>
      <c r="R780" s="40">
        <v>268</v>
      </c>
      <c r="X780" s="40">
        <v>90090125</v>
      </c>
      <c r="Y780" s="40" t="s">
        <v>115</v>
      </c>
      <c r="Z780" s="40" t="s">
        <v>115</v>
      </c>
      <c r="AA780" s="40" t="s">
        <v>115</v>
      </c>
      <c r="AB780" s="40" t="s">
        <v>115</v>
      </c>
      <c r="AC780" s="40" t="s">
        <v>115</v>
      </c>
      <c r="AI780" s="40" t="s">
        <v>115</v>
      </c>
      <c r="AP780" s="4" t="s">
        <v>115</v>
      </c>
    </row>
    <row r="781" spans="1:42" x14ac:dyDescent="0.15">
      <c r="A781" s="40" t="s">
        <v>1</v>
      </c>
      <c r="B781" s="23">
        <v>90090125</v>
      </c>
      <c r="C781" s="23">
        <v>901</v>
      </c>
      <c r="D781" s="23">
        <v>9</v>
      </c>
      <c r="F781" s="23" t="s">
        <v>116</v>
      </c>
      <c r="G781" s="23">
        <v>261</v>
      </c>
      <c r="H781" s="23" t="s">
        <v>864</v>
      </c>
      <c r="I781" s="23">
        <v>0</v>
      </c>
      <c r="J781" s="40">
        <v>0</v>
      </c>
      <c r="K781" s="40">
        <v>4</v>
      </c>
      <c r="L781" s="40" t="s">
        <v>115</v>
      </c>
      <c r="O781" s="40">
        <v>1</v>
      </c>
      <c r="Q781" s="40">
        <v>140</v>
      </c>
      <c r="R781" s="40">
        <v>268</v>
      </c>
      <c r="X781" s="40" t="s">
        <v>115</v>
      </c>
      <c r="Y781" s="40" t="s">
        <v>115</v>
      </c>
      <c r="Z781" s="40">
        <v>3</v>
      </c>
      <c r="AA781" s="40" t="s">
        <v>115</v>
      </c>
      <c r="AB781" s="40" t="s">
        <v>115</v>
      </c>
      <c r="AC781" s="40" t="s">
        <v>115</v>
      </c>
      <c r="AI781" s="40" t="s">
        <v>115</v>
      </c>
      <c r="AP781" s="4" t="s">
        <v>2420</v>
      </c>
    </row>
    <row r="782" spans="1:42" x14ac:dyDescent="0.15">
      <c r="A782" s="40" t="s">
        <v>1</v>
      </c>
      <c r="B782" s="23" t="s">
        <v>1020</v>
      </c>
      <c r="C782" s="23">
        <v>902</v>
      </c>
      <c r="D782" s="23">
        <v>9</v>
      </c>
      <c r="F782" s="23" t="s">
        <v>116</v>
      </c>
      <c r="G782" s="23">
        <v>261</v>
      </c>
      <c r="H782" s="23" t="s">
        <v>2421</v>
      </c>
      <c r="I782" s="23">
        <v>0</v>
      </c>
      <c r="J782" s="40">
        <v>1</v>
      </c>
      <c r="K782" s="40">
        <v>1</v>
      </c>
      <c r="L782" s="40" t="s">
        <v>115</v>
      </c>
      <c r="O782" s="40" t="s">
        <v>115</v>
      </c>
      <c r="Q782" s="40">
        <v>162</v>
      </c>
      <c r="R782" s="40">
        <v>263</v>
      </c>
      <c r="X782" s="40">
        <v>90090202</v>
      </c>
      <c r="Y782" s="40" t="s">
        <v>115</v>
      </c>
      <c r="Z782" s="40" t="s">
        <v>115</v>
      </c>
      <c r="AA782" s="40" t="s">
        <v>115</v>
      </c>
      <c r="AB782" s="40" t="s">
        <v>115</v>
      </c>
      <c r="AC782" s="40" t="s">
        <v>115</v>
      </c>
      <c r="AI782" s="40" t="s">
        <v>115</v>
      </c>
      <c r="AP782" s="4" t="s">
        <v>115</v>
      </c>
    </row>
    <row r="783" spans="1:42" x14ac:dyDescent="0.15">
      <c r="A783" s="40" t="s">
        <v>1</v>
      </c>
      <c r="B783" s="23">
        <v>90090202</v>
      </c>
      <c r="C783" s="23">
        <v>902</v>
      </c>
      <c r="D783" s="23">
        <v>9</v>
      </c>
      <c r="F783" s="23" t="s">
        <v>271</v>
      </c>
      <c r="G783" s="23" t="s">
        <v>115</v>
      </c>
      <c r="H783" s="23" t="s">
        <v>865</v>
      </c>
      <c r="I783" s="23">
        <v>3</v>
      </c>
      <c r="J783" s="40">
        <v>0</v>
      </c>
      <c r="K783" s="40">
        <v>0</v>
      </c>
      <c r="L783" s="40" t="s">
        <v>115</v>
      </c>
      <c r="O783" s="40" t="s">
        <v>115</v>
      </c>
      <c r="Q783" s="40">
        <v>162</v>
      </c>
      <c r="R783" s="40">
        <v>263</v>
      </c>
      <c r="X783" s="40">
        <v>90090203</v>
      </c>
      <c r="Y783" s="40" t="s">
        <v>115</v>
      </c>
      <c r="Z783" s="40" t="s">
        <v>115</v>
      </c>
      <c r="AA783" s="40" t="s">
        <v>115</v>
      </c>
      <c r="AB783" s="40" t="s">
        <v>115</v>
      </c>
      <c r="AC783" s="40" t="s">
        <v>115</v>
      </c>
      <c r="AI783" s="40" t="s">
        <v>115</v>
      </c>
      <c r="AP783" s="4" t="s">
        <v>115</v>
      </c>
    </row>
    <row r="784" spans="1:42" x14ac:dyDescent="0.15">
      <c r="A784" s="40" t="s">
        <v>1</v>
      </c>
      <c r="B784" s="23">
        <v>90090203</v>
      </c>
      <c r="C784" s="23">
        <v>902</v>
      </c>
      <c r="D784" s="23">
        <v>9</v>
      </c>
      <c r="F784" s="23" t="s">
        <v>271</v>
      </c>
      <c r="G784" s="23" t="s">
        <v>115</v>
      </c>
      <c r="H784" s="23" t="s">
        <v>866</v>
      </c>
      <c r="I784" s="23">
        <v>3</v>
      </c>
      <c r="J784" s="40">
        <v>0</v>
      </c>
      <c r="K784" s="40">
        <v>0</v>
      </c>
      <c r="L784" s="40" t="s">
        <v>115</v>
      </c>
      <c r="O784" s="40" t="s">
        <v>115</v>
      </c>
      <c r="Q784" s="40">
        <v>162</v>
      </c>
      <c r="R784" s="40">
        <v>263</v>
      </c>
      <c r="X784" s="40">
        <v>90090204</v>
      </c>
      <c r="Y784" s="40" t="s">
        <v>115</v>
      </c>
      <c r="Z784" s="40" t="s">
        <v>115</v>
      </c>
      <c r="AA784" s="40" t="s">
        <v>115</v>
      </c>
      <c r="AB784" s="40" t="s">
        <v>115</v>
      </c>
      <c r="AC784" s="40" t="s">
        <v>115</v>
      </c>
      <c r="AI784" s="40" t="s">
        <v>115</v>
      </c>
      <c r="AP784" s="4" t="s">
        <v>115</v>
      </c>
    </row>
    <row r="785" spans="1:42" x14ac:dyDescent="0.15">
      <c r="A785" s="40" t="s">
        <v>1</v>
      </c>
      <c r="B785" s="23">
        <v>90090204</v>
      </c>
      <c r="C785" s="23">
        <v>902</v>
      </c>
      <c r="D785" s="23">
        <v>9</v>
      </c>
      <c r="F785" s="23" t="s">
        <v>116</v>
      </c>
      <c r="G785" s="23">
        <v>261</v>
      </c>
      <c r="H785" s="23" t="s">
        <v>2422</v>
      </c>
      <c r="I785" s="23">
        <v>0</v>
      </c>
      <c r="J785" s="40">
        <v>0</v>
      </c>
      <c r="K785" s="40">
        <v>0</v>
      </c>
      <c r="L785" s="40" t="s">
        <v>115</v>
      </c>
      <c r="O785" s="40" t="s">
        <v>115</v>
      </c>
      <c r="Q785" s="40">
        <v>162</v>
      </c>
      <c r="R785" s="40">
        <v>263</v>
      </c>
      <c r="X785" s="40">
        <v>90090205</v>
      </c>
      <c r="Y785" s="40" t="s">
        <v>115</v>
      </c>
      <c r="Z785" s="40" t="s">
        <v>115</v>
      </c>
      <c r="AA785" s="40" t="s">
        <v>115</v>
      </c>
      <c r="AB785" s="40" t="s">
        <v>115</v>
      </c>
      <c r="AC785" s="40" t="s">
        <v>115</v>
      </c>
      <c r="AI785" s="40" t="s">
        <v>115</v>
      </c>
      <c r="AP785" s="4" t="s">
        <v>115</v>
      </c>
    </row>
    <row r="786" spans="1:42" x14ac:dyDescent="0.15">
      <c r="A786" s="40" t="s">
        <v>1</v>
      </c>
      <c r="B786" s="23">
        <v>90090205</v>
      </c>
      <c r="C786" s="23">
        <v>902</v>
      </c>
      <c r="D786" s="23">
        <v>9</v>
      </c>
      <c r="F786" s="23" t="s">
        <v>116</v>
      </c>
      <c r="G786" s="23">
        <v>261</v>
      </c>
      <c r="H786" s="23" t="s">
        <v>2423</v>
      </c>
      <c r="I786" s="23">
        <v>0</v>
      </c>
      <c r="J786" s="40">
        <v>0</v>
      </c>
      <c r="K786" s="40">
        <v>0</v>
      </c>
      <c r="L786" s="40" t="s">
        <v>115</v>
      </c>
      <c r="O786" s="40" t="s">
        <v>115</v>
      </c>
      <c r="Q786" s="40">
        <v>162</v>
      </c>
      <c r="R786" s="40">
        <v>263</v>
      </c>
      <c r="X786" s="40">
        <v>90090206</v>
      </c>
      <c r="Y786" s="40" t="s">
        <v>115</v>
      </c>
      <c r="Z786" s="40" t="s">
        <v>115</v>
      </c>
      <c r="AA786" s="40" t="s">
        <v>115</v>
      </c>
      <c r="AB786" s="40" t="s">
        <v>115</v>
      </c>
      <c r="AC786" s="40" t="s">
        <v>115</v>
      </c>
      <c r="AI786" s="40" t="s">
        <v>115</v>
      </c>
      <c r="AP786" s="4" t="s">
        <v>115</v>
      </c>
    </row>
    <row r="787" spans="1:42" x14ac:dyDescent="0.15">
      <c r="A787" s="40" t="s">
        <v>1</v>
      </c>
      <c r="B787" s="23">
        <v>90090206</v>
      </c>
      <c r="C787" s="23">
        <v>902</v>
      </c>
      <c r="D787" s="23">
        <v>9</v>
      </c>
      <c r="F787" s="23" t="s">
        <v>271</v>
      </c>
      <c r="G787" s="23" t="s">
        <v>115</v>
      </c>
      <c r="H787" s="23" t="s">
        <v>2424</v>
      </c>
      <c r="I787" s="23">
        <v>3</v>
      </c>
      <c r="J787" s="40">
        <v>0</v>
      </c>
      <c r="K787" s="40">
        <v>0</v>
      </c>
      <c r="L787" s="40" t="s">
        <v>115</v>
      </c>
      <c r="O787" s="40" t="s">
        <v>115</v>
      </c>
      <c r="Q787" s="40">
        <v>162</v>
      </c>
      <c r="R787" s="40">
        <v>263</v>
      </c>
      <c r="X787" s="40">
        <v>90090207</v>
      </c>
      <c r="Y787" s="40" t="s">
        <v>115</v>
      </c>
      <c r="Z787" s="40" t="s">
        <v>115</v>
      </c>
      <c r="AA787" s="40" t="s">
        <v>115</v>
      </c>
      <c r="AB787" s="40" t="s">
        <v>115</v>
      </c>
      <c r="AC787" s="40" t="s">
        <v>115</v>
      </c>
      <c r="AI787" s="40" t="s">
        <v>115</v>
      </c>
      <c r="AP787" s="4" t="s">
        <v>115</v>
      </c>
    </row>
    <row r="788" spans="1:42" x14ac:dyDescent="0.15">
      <c r="A788" s="40" t="s">
        <v>1</v>
      </c>
      <c r="B788" s="23">
        <v>90090207</v>
      </c>
      <c r="C788" s="23">
        <v>902</v>
      </c>
      <c r="D788" s="23">
        <v>9</v>
      </c>
      <c r="F788" s="23" t="s">
        <v>115</v>
      </c>
      <c r="G788" s="23" t="s">
        <v>115</v>
      </c>
      <c r="H788" s="23" t="s">
        <v>2425</v>
      </c>
      <c r="I788" s="23">
        <v>4</v>
      </c>
      <c r="J788" s="40">
        <v>0</v>
      </c>
      <c r="K788" s="40">
        <v>0</v>
      </c>
      <c r="L788" s="40" t="s">
        <v>115</v>
      </c>
      <c r="O788" s="40" t="s">
        <v>115</v>
      </c>
      <c r="Q788" s="40">
        <v>162</v>
      </c>
      <c r="R788" s="40">
        <v>263</v>
      </c>
      <c r="X788" s="40">
        <v>90090208</v>
      </c>
      <c r="Y788" s="40" t="s">
        <v>115</v>
      </c>
      <c r="Z788" s="40" t="s">
        <v>115</v>
      </c>
      <c r="AA788" s="40" t="s">
        <v>115</v>
      </c>
      <c r="AB788" s="40" t="s">
        <v>115</v>
      </c>
      <c r="AC788" s="40" t="s">
        <v>115</v>
      </c>
      <c r="AI788" s="40" t="s">
        <v>115</v>
      </c>
      <c r="AP788" s="4" t="s">
        <v>115</v>
      </c>
    </row>
    <row r="789" spans="1:42" x14ac:dyDescent="0.15">
      <c r="A789" s="40" t="s">
        <v>1</v>
      </c>
      <c r="B789" s="23">
        <v>90090208</v>
      </c>
      <c r="C789" s="23">
        <v>902</v>
      </c>
      <c r="D789" s="23">
        <v>9</v>
      </c>
      <c r="F789" s="23" t="s">
        <v>271</v>
      </c>
      <c r="G789" s="23" t="s">
        <v>115</v>
      </c>
      <c r="H789" s="23" t="s">
        <v>867</v>
      </c>
      <c r="I789" s="23">
        <v>3</v>
      </c>
      <c r="J789" s="40">
        <v>0</v>
      </c>
      <c r="K789" s="40">
        <v>0</v>
      </c>
      <c r="L789" s="40" t="s">
        <v>115</v>
      </c>
      <c r="O789" s="40" t="s">
        <v>115</v>
      </c>
      <c r="Q789" s="40">
        <v>162</v>
      </c>
      <c r="R789" s="40">
        <v>263</v>
      </c>
      <c r="X789" s="40">
        <v>90090209</v>
      </c>
      <c r="Y789" s="40" t="s">
        <v>115</v>
      </c>
      <c r="Z789" s="40" t="s">
        <v>115</v>
      </c>
      <c r="AA789" s="40" t="s">
        <v>115</v>
      </c>
      <c r="AB789" s="40" t="s">
        <v>115</v>
      </c>
      <c r="AC789" s="40" t="s">
        <v>115</v>
      </c>
      <c r="AI789" s="40" t="s">
        <v>115</v>
      </c>
      <c r="AP789" s="4" t="s">
        <v>115</v>
      </c>
    </row>
    <row r="790" spans="1:42" x14ac:dyDescent="0.15">
      <c r="A790" s="40" t="s">
        <v>1</v>
      </c>
      <c r="B790" s="23">
        <v>90090209</v>
      </c>
      <c r="C790" s="23">
        <v>902</v>
      </c>
      <c r="D790" s="23">
        <v>9</v>
      </c>
      <c r="F790" s="23" t="s">
        <v>115</v>
      </c>
      <c r="G790" s="23" t="s">
        <v>115</v>
      </c>
      <c r="H790" s="23" t="s">
        <v>2426</v>
      </c>
      <c r="I790" s="23">
        <v>4</v>
      </c>
      <c r="J790" s="40">
        <v>0</v>
      </c>
      <c r="K790" s="40">
        <v>0</v>
      </c>
      <c r="L790" s="40" t="s">
        <v>115</v>
      </c>
      <c r="O790" s="40" t="s">
        <v>115</v>
      </c>
      <c r="Q790" s="40">
        <v>162</v>
      </c>
      <c r="R790" s="40">
        <v>263</v>
      </c>
      <c r="X790" s="40">
        <v>90090210</v>
      </c>
      <c r="Y790" s="40" t="s">
        <v>115</v>
      </c>
      <c r="Z790" s="40" t="s">
        <v>115</v>
      </c>
      <c r="AA790" s="40" t="s">
        <v>115</v>
      </c>
      <c r="AB790" s="40" t="s">
        <v>115</v>
      </c>
      <c r="AC790" s="40" t="s">
        <v>115</v>
      </c>
      <c r="AI790" s="40" t="s">
        <v>115</v>
      </c>
      <c r="AP790" s="4" t="s">
        <v>115</v>
      </c>
    </row>
    <row r="791" spans="1:42" x14ac:dyDescent="0.15">
      <c r="A791" s="40" t="s">
        <v>1</v>
      </c>
      <c r="B791" s="23">
        <v>90090210</v>
      </c>
      <c r="C791" s="23">
        <v>902</v>
      </c>
      <c r="D791" s="23">
        <v>9</v>
      </c>
      <c r="F791" s="23" t="s">
        <v>116</v>
      </c>
      <c r="G791" s="23">
        <v>275</v>
      </c>
      <c r="H791" s="23" t="s">
        <v>2427</v>
      </c>
      <c r="I791" s="23">
        <v>0</v>
      </c>
      <c r="J791" s="40">
        <v>0</v>
      </c>
      <c r="K791" s="40">
        <v>2</v>
      </c>
      <c r="L791" s="40" t="s">
        <v>115</v>
      </c>
      <c r="O791" s="40" t="s">
        <v>115</v>
      </c>
      <c r="Q791" s="40">
        <v>162</v>
      </c>
      <c r="R791" s="40">
        <v>263</v>
      </c>
      <c r="X791" s="40" t="s">
        <v>2428</v>
      </c>
      <c r="Y791" s="40">
        <v>1</v>
      </c>
      <c r="Z791" s="40">
        <v>1</v>
      </c>
      <c r="AA791" s="40" t="s">
        <v>115</v>
      </c>
      <c r="AB791" s="40" t="s">
        <v>115</v>
      </c>
      <c r="AC791" s="40" t="s">
        <v>115</v>
      </c>
      <c r="AI791" s="40" t="s">
        <v>115</v>
      </c>
      <c r="AP791" s="4" t="s">
        <v>115</v>
      </c>
    </row>
    <row r="792" spans="1:42" x14ac:dyDescent="0.15">
      <c r="A792" s="40" t="s">
        <v>1</v>
      </c>
      <c r="B792" s="23">
        <v>90090211</v>
      </c>
      <c r="C792" s="23">
        <v>902</v>
      </c>
      <c r="D792" s="23">
        <v>9</v>
      </c>
      <c r="F792" s="23" t="s">
        <v>115</v>
      </c>
      <c r="G792" s="23" t="s">
        <v>115</v>
      </c>
      <c r="H792" s="23" t="s">
        <v>868</v>
      </c>
      <c r="I792" s="23">
        <v>4</v>
      </c>
      <c r="J792" s="40">
        <v>0</v>
      </c>
      <c r="K792" s="40">
        <v>3</v>
      </c>
      <c r="L792" s="40" t="s">
        <v>115</v>
      </c>
      <c r="O792" s="40" t="s">
        <v>115</v>
      </c>
      <c r="Q792" s="40">
        <v>162</v>
      </c>
      <c r="R792" s="40">
        <v>263</v>
      </c>
      <c r="X792" s="40">
        <v>90090213</v>
      </c>
      <c r="Y792" s="40">
        <v>-1</v>
      </c>
      <c r="Z792" s="40">
        <v>2</v>
      </c>
      <c r="AA792" s="40" t="s">
        <v>115</v>
      </c>
      <c r="AB792" s="40" t="s">
        <v>115</v>
      </c>
      <c r="AC792" s="40" t="s">
        <v>115</v>
      </c>
      <c r="AI792" s="40" t="s">
        <v>115</v>
      </c>
      <c r="AP792" s="4" t="s">
        <v>115</v>
      </c>
    </row>
    <row r="793" spans="1:42" x14ac:dyDescent="0.15">
      <c r="A793" s="40" t="s">
        <v>1</v>
      </c>
      <c r="B793" s="23">
        <v>90090212</v>
      </c>
      <c r="C793" s="23">
        <v>902</v>
      </c>
      <c r="D793" s="23">
        <v>9</v>
      </c>
      <c r="F793" s="23" t="s">
        <v>115</v>
      </c>
      <c r="G793" s="23" t="s">
        <v>115</v>
      </c>
      <c r="H793" s="23" t="s">
        <v>869</v>
      </c>
      <c r="I793" s="23">
        <v>4</v>
      </c>
      <c r="J793" s="40">
        <v>0</v>
      </c>
      <c r="K793" s="40">
        <v>4</v>
      </c>
      <c r="L793" s="40" t="s">
        <v>115</v>
      </c>
      <c r="O793" s="40" t="s">
        <v>115</v>
      </c>
      <c r="Q793" s="40">
        <v>162</v>
      </c>
      <c r="R793" s="40">
        <v>263</v>
      </c>
      <c r="X793" s="40">
        <v>90090214</v>
      </c>
      <c r="Y793" s="40">
        <v>-1</v>
      </c>
      <c r="Z793" s="40">
        <v>2</v>
      </c>
      <c r="AA793" s="40" t="s">
        <v>115</v>
      </c>
      <c r="AB793" s="40" t="s">
        <v>115</v>
      </c>
      <c r="AC793" s="40" t="s">
        <v>115</v>
      </c>
      <c r="AI793" s="40" t="s">
        <v>115</v>
      </c>
      <c r="AP793" s="4" t="s">
        <v>115</v>
      </c>
    </row>
    <row r="794" spans="1:42" x14ac:dyDescent="0.15">
      <c r="A794" s="40" t="s">
        <v>1</v>
      </c>
      <c r="B794" s="23">
        <v>90090213</v>
      </c>
      <c r="C794" s="23">
        <v>902</v>
      </c>
      <c r="D794" s="23">
        <v>9</v>
      </c>
      <c r="F794" s="23" t="s">
        <v>271</v>
      </c>
      <c r="G794" s="23" t="s">
        <v>115</v>
      </c>
      <c r="H794" s="23" t="s">
        <v>870</v>
      </c>
      <c r="I794" s="23">
        <v>3</v>
      </c>
      <c r="J794" s="40">
        <v>0</v>
      </c>
      <c r="K794" s="40">
        <v>0</v>
      </c>
      <c r="L794" s="40" t="s">
        <v>115</v>
      </c>
      <c r="O794" s="40" t="s">
        <v>115</v>
      </c>
      <c r="Q794" s="40">
        <v>162</v>
      </c>
      <c r="R794" s="40">
        <v>263</v>
      </c>
      <c r="X794" s="40">
        <v>90090215</v>
      </c>
      <c r="Y794" s="40" t="s">
        <v>115</v>
      </c>
      <c r="Z794" s="40" t="s">
        <v>115</v>
      </c>
      <c r="AA794" s="40" t="s">
        <v>115</v>
      </c>
      <c r="AB794" s="40" t="s">
        <v>115</v>
      </c>
      <c r="AC794" s="40" t="s">
        <v>115</v>
      </c>
      <c r="AI794" s="40" t="s">
        <v>115</v>
      </c>
      <c r="AP794" s="4" t="s">
        <v>115</v>
      </c>
    </row>
    <row r="795" spans="1:42" x14ac:dyDescent="0.15">
      <c r="A795" s="40" t="s">
        <v>1</v>
      </c>
      <c r="B795" s="23">
        <v>90090214</v>
      </c>
      <c r="C795" s="23">
        <v>902</v>
      </c>
      <c r="D795" s="23">
        <v>9</v>
      </c>
      <c r="F795" s="23" t="s">
        <v>271</v>
      </c>
      <c r="G795" s="23" t="s">
        <v>115</v>
      </c>
      <c r="H795" s="23" t="s">
        <v>872</v>
      </c>
      <c r="I795" s="23">
        <v>3</v>
      </c>
      <c r="J795" s="40">
        <v>0</v>
      </c>
      <c r="K795" s="40">
        <v>0</v>
      </c>
      <c r="L795" s="40" t="s">
        <v>115</v>
      </c>
      <c r="O795" s="40" t="s">
        <v>115</v>
      </c>
      <c r="Q795" s="40">
        <v>162</v>
      </c>
      <c r="R795" s="40">
        <v>263</v>
      </c>
      <c r="X795" s="40">
        <v>90090215</v>
      </c>
      <c r="Y795" s="40" t="s">
        <v>115</v>
      </c>
      <c r="Z795" s="40" t="s">
        <v>115</v>
      </c>
      <c r="AA795" s="40" t="s">
        <v>115</v>
      </c>
      <c r="AB795" s="40" t="s">
        <v>115</v>
      </c>
      <c r="AC795" s="40" t="s">
        <v>115</v>
      </c>
      <c r="AI795" s="40" t="s">
        <v>115</v>
      </c>
      <c r="AP795" s="4" t="s">
        <v>115</v>
      </c>
    </row>
    <row r="796" spans="1:42" x14ac:dyDescent="0.15">
      <c r="A796" s="40" t="s">
        <v>1</v>
      </c>
      <c r="B796" s="23">
        <v>90090215</v>
      </c>
      <c r="C796" s="23">
        <v>902</v>
      </c>
      <c r="D796" s="23">
        <v>9</v>
      </c>
      <c r="F796" s="23" t="s">
        <v>271</v>
      </c>
      <c r="G796" s="23" t="s">
        <v>115</v>
      </c>
      <c r="H796" s="23" t="s">
        <v>2429</v>
      </c>
      <c r="I796" s="23">
        <v>3</v>
      </c>
      <c r="J796" s="40">
        <v>0</v>
      </c>
      <c r="K796" s="40">
        <v>0</v>
      </c>
      <c r="L796" s="40" t="s">
        <v>115</v>
      </c>
      <c r="O796" s="40" t="s">
        <v>115</v>
      </c>
      <c r="Q796" s="40">
        <v>162</v>
      </c>
      <c r="R796" s="40">
        <v>263</v>
      </c>
      <c r="X796" s="40">
        <v>90090216</v>
      </c>
      <c r="Y796" s="40" t="s">
        <v>115</v>
      </c>
      <c r="Z796" s="40" t="s">
        <v>115</v>
      </c>
      <c r="AA796" s="40" t="s">
        <v>115</v>
      </c>
      <c r="AB796" s="40" t="s">
        <v>115</v>
      </c>
      <c r="AC796" s="40" t="s">
        <v>115</v>
      </c>
      <c r="AI796" s="40" t="s">
        <v>115</v>
      </c>
      <c r="AP796" s="4" t="s">
        <v>115</v>
      </c>
    </row>
    <row r="797" spans="1:42" x14ac:dyDescent="0.15">
      <c r="A797" s="40" t="s">
        <v>1</v>
      </c>
      <c r="B797" s="23">
        <v>90090216</v>
      </c>
      <c r="C797" s="23">
        <v>902</v>
      </c>
      <c r="D797" s="23">
        <v>9</v>
      </c>
      <c r="F797" s="23" t="s">
        <v>115</v>
      </c>
      <c r="G797" s="23" t="s">
        <v>115</v>
      </c>
      <c r="H797" s="23" t="s">
        <v>873</v>
      </c>
      <c r="I797" s="23">
        <v>4</v>
      </c>
      <c r="J797" s="40">
        <v>0</v>
      </c>
      <c r="K797" s="40">
        <v>5</v>
      </c>
      <c r="L797" s="40" t="s">
        <v>115</v>
      </c>
      <c r="O797" s="40" t="s">
        <v>115</v>
      </c>
      <c r="Q797" s="40">
        <v>162</v>
      </c>
      <c r="R797" s="40">
        <v>263</v>
      </c>
      <c r="X797" s="40" t="s">
        <v>2430</v>
      </c>
      <c r="Y797" s="40">
        <v>1</v>
      </c>
      <c r="Z797" s="40">
        <v>2</v>
      </c>
      <c r="AA797" s="40" t="s">
        <v>115</v>
      </c>
      <c r="AB797" s="40" t="s">
        <v>115</v>
      </c>
      <c r="AC797" s="40" t="s">
        <v>115</v>
      </c>
      <c r="AI797" s="40" t="s">
        <v>115</v>
      </c>
      <c r="AP797" s="4" t="s">
        <v>115</v>
      </c>
    </row>
    <row r="798" spans="1:42" x14ac:dyDescent="0.15">
      <c r="A798" s="40" t="s">
        <v>1</v>
      </c>
      <c r="B798" s="23">
        <v>90090217</v>
      </c>
      <c r="C798" s="23">
        <v>902</v>
      </c>
      <c r="D798" s="23">
        <v>9</v>
      </c>
      <c r="F798" s="23" t="s">
        <v>115</v>
      </c>
      <c r="G798" s="23" t="s">
        <v>115</v>
      </c>
      <c r="H798" s="23" t="s">
        <v>874</v>
      </c>
      <c r="I798" s="23">
        <v>4</v>
      </c>
      <c r="J798" s="40">
        <v>0</v>
      </c>
      <c r="K798" s="40">
        <v>6</v>
      </c>
      <c r="L798" s="40" t="s">
        <v>115</v>
      </c>
      <c r="O798" s="40" t="s">
        <v>115</v>
      </c>
      <c r="Q798" s="40">
        <v>162</v>
      </c>
      <c r="R798" s="40">
        <v>263</v>
      </c>
      <c r="X798" s="40">
        <v>90090218</v>
      </c>
      <c r="Y798" s="40">
        <v>-1</v>
      </c>
      <c r="Z798" s="40">
        <v>5</v>
      </c>
      <c r="AA798" s="40" t="s">
        <v>115</v>
      </c>
      <c r="AB798" s="40" t="s">
        <v>115</v>
      </c>
      <c r="AC798" s="40" t="s">
        <v>1027</v>
      </c>
      <c r="AI798" s="40" t="s">
        <v>115</v>
      </c>
      <c r="AP798" s="4" t="s">
        <v>115</v>
      </c>
    </row>
    <row r="799" spans="1:42" x14ac:dyDescent="0.15">
      <c r="A799" s="40" t="s">
        <v>1</v>
      </c>
      <c r="B799" s="23">
        <v>90090218</v>
      </c>
      <c r="C799" s="23">
        <v>902</v>
      </c>
      <c r="D799" s="23">
        <v>9</v>
      </c>
      <c r="F799" s="23" t="s">
        <v>116</v>
      </c>
      <c r="G799" s="23">
        <v>261</v>
      </c>
      <c r="H799" s="23" t="s">
        <v>2431</v>
      </c>
      <c r="I799" s="23">
        <v>0</v>
      </c>
      <c r="J799" s="40">
        <v>0</v>
      </c>
      <c r="K799" s="40">
        <v>0</v>
      </c>
      <c r="L799" s="40" t="s">
        <v>115</v>
      </c>
      <c r="O799" s="40" t="s">
        <v>115</v>
      </c>
      <c r="Q799" s="40">
        <v>162</v>
      </c>
      <c r="R799" s="40">
        <v>263</v>
      </c>
      <c r="X799" s="40">
        <v>90090219</v>
      </c>
      <c r="Y799" s="40" t="s">
        <v>115</v>
      </c>
      <c r="Z799" s="40" t="s">
        <v>115</v>
      </c>
      <c r="AA799" s="40" t="s">
        <v>115</v>
      </c>
      <c r="AB799" s="40" t="s">
        <v>115</v>
      </c>
      <c r="AC799" s="40" t="s">
        <v>115</v>
      </c>
      <c r="AI799" s="40" t="s">
        <v>115</v>
      </c>
      <c r="AP799" s="4" t="s">
        <v>115</v>
      </c>
    </row>
    <row r="800" spans="1:42" x14ac:dyDescent="0.15">
      <c r="A800" s="40" t="s">
        <v>1</v>
      </c>
      <c r="B800" s="23">
        <v>90090219</v>
      </c>
      <c r="C800" s="23">
        <v>902</v>
      </c>
      <c r="D800" s="23">
        <v>9</v>
      </c>
      <c r="F800" s="23" t="s">
        <v>271</v>
      </c>
      <c r="G800" s="23" t="s">
        <v>115</v>
      </c>
      <c r="H800" s="23" t="s">
        <v>2432</v>
      </c>
      <c r="I800" s="23">
        <v>3</v>
      </c>
      <c r="J800" s="40">
        <v>0</v>
      </c>
      <c r="K800" s="40">
        <v>7</v>
      </c>
      <c r="L800" s="40" t="s">
        <v>871</v>
      </c>
      <c r="O800" s="40" t="s">
        <v>115</v>
      </c>
      <c r="Q800" s="40">
        <v>162</v>
      </c>
      <c r="R800" s="40">
        <v>263</v>
      </c>
      <c r="X800" s="40">
        <v>90090220</v>
      </c>
      <c r="Y800" s="40" t="s">
        <v>115</v>
      </c>
      <c r="Z800" s="40">
        <v>6</v>
      </c>
      <c r="AA800" s="40" t="s">
        <v>115</v>
      </c>
      <c r="AB800" s="40" t="s">
        <v>115</v>
      </c>
      <c r="AC800" s="40" t="s">
        <v>115</v>
      </c>
      <c r="AI800" s="40" t="s">
        <v>115</v>
      </c>
      <c r="AP800" s="4" t="s">
        <v>115</v>
      </c>
    </row>
    <row r="801" spans="1:42" x14ac:dyDescent="0.15">
      <c r="A801" s="40" t="s">
        <v>1</v>
      </c>
      <c r="B801" s="23">
        <v>90090220</v>
      </c>
      <c r="C801" s="23">
        <v>902</v>
      </c>
      <c r="D801" s="23">
        <v>9</v>
      </c>
      <c r="F801" s="23" t="s">
        <v>116</v>
      </c>
      <c r="G801" s="23">
        <v>261</v>
      </c>
      <c r="H801" s="23" t="s">
        <v>876</v>
      </c>
      <c r="I801" s="23">
        <v>0</v>
      </c>
      <c r="J801" s="40">
        <v>0</v>
      </c>
      <c r="K801" s="40">
        <v>0</v>
      </c>
      <c r="L801" s="40" t="s">
        <v>115</v>
      </c>
      <c r="O801" s="40" t="s">
        <v>115</v>
      </c>
      <c r="Q801" s="40">
        <v>162</v>
      </c>
      <c r="R801" s="40">
        <v>263</v>
      </c>
      <c r="X801" s="40">
        <v>90090221</v>
      </c>
      <c r="Y801" s="40" t="s">
        <v>115</v>
      </c>
      <c r="Z801" s="40" t="s">
        <v>115</v>
      </c>
      <c r="AA801" s="40" t="s">
        <v>115</v>
      </c>
      <c r="AB801" s="40" t="s">
        <v>115</v>
      </c>
      <c r="AC801" s="40" t="s">
        <v>115</v>
      </c>
      <c r="AI801" s="40" t="s">
        <v>115</v>
      </c>
      <c r="AP801" s="4" t="s">
        <v>115</v>
      </c>
    </row>
    <row r="802" spans="1:42" x14ac:dyDescent="0.15">
      <c r="A802" s="40" t="s">
        <v>1</v>
      </c>
      <c r="B802" s="23">
        <v>90090221</v>
      </c>
      <c r="C802" s="23">
        <v>902</v>
      </c>
      <c r="D802" s="23">
        <v>9</v>
      </c>
      <c r="F802" s="23" t="s">
        <v>271</v>
      </c>
      <c r="G802" s="23" t="s">
        <v>115</v>
      </c>
      <c r="H802" s="23" t="s">
        <v>2433</v>
      </c>
      <c r="I802" s="23">
        <v>3</v>
      </c>
      <c r="J802" s="40">
        <v>0</v>
      </c>
      <c r="K802" s="40">
        <v>0</v>
      </c>
      <c r="L802" s="40" t="s">
        <v>115</v>
      </c>
      <c r="O802" s="40" t="s">
        <v>115</v>
      </c>
      <c r="Q802" s="40">
        <v>162</v>
      </c>
      <c r="R802" s="40">
        <v>263</v>
      </c>
      <c r="X802" s="40">
        <v>90090222</v>
      </c>
      <c r="Y802" s="40" t="s">
        <v>115</v>
      </c>
      <c r="Z802" s="40" t="s">
        <v>115</v>
      </c>
      <c r="AA802" s="40" t="s">
        <v>115</v>
      </c>
      <c r="AB802" s="40" t="s">
        <v>115</v>
      </c>
      <c r="AC802" s="40" t="s">
        <v>115</v>
      </c>
      <c r="AI802" s="40" t="s">
        <v>115</v>
      </c>
      <c r="AP802" s="4" t="s">
        <v>115</v>
      </c>
    </row>
    <row r="803" spans="1:42" x14ac:dyDescent="0.15">
      <c r="A803" s="40" t="s">
        <v>1</v>
      </c>
      <c r="B803" s="23">
        <v>90090222</v>
      </c>
      <c r="C803" s="23">
        <v>902</v>
      </c>
      <c r="D803" s="23">
        <v>9</v>
      </c>
      <c r="F803" s="23" t="s">
        <v>271</v>
      </c>
      <c r="G803" s="23" t="s">
        <v>115</v>
      </c>
      <c r="H803" s="23" t="s">
        <v>2434</v>
      </c>
      <c r="I803" s="23">
        <v>3</v>
      </c>
      <c r="J803" s="40">
        <v>0</v>
      </c>
      <c r="K803" s="40">
        <v>0</v>
      </c>
      <c r="L803" s="40" t="s">
        <v>115</v>
      </c>
      <c r="O803" s="40" t="s">
        <v>115</v>
      </c>
      <c r="Q803" s="40">
        <v>162</v>
      </c>
      <c r="R803" s="40">
        <v>263</v>
      </c>
      <c r="X803" s="40">
        <v>90090223</v>
      </c>
      <c r="Y803" s="40" t="s">
        <v>115</v>
      </c>
      <c r="Z803" s="40" t="s">
        <v>115</v>
      </c>
      <c r="AA803" s="40" t="s">
        <v>115</v>
      </c>
      <c r="AB803" s="40" t="s">
        <v>115</v>
      </c>
      <c r="AC803" s="40" t="s">
        <v>115</v>
      </c>
      <c r="AI803" s="40" t="s">
        <v>115</v>
      </c>
      <c r="AP803" s="4" t="s">
        <v>115</v>
      </c>
    </row>
    <row r="804" spans="1:42" x14ac:dyDescent="0.15">
      <c r="A804" s="40" t="s">
        <v>1</v>
      </c>
      <c r="B804" s="23">
        <v>90090223</v>
      </c>
      <c r="C804" s="23">
        <v>902</v>
      </c>
      <c r="D804" s="23">
        <v>9</v>
      </c>
      <c r="F804" s="23" t="s">
        <v>116</v>
      </c>
      <c r="G804" s="23">
        <v>261</v>
      </c>
      <c r="H804" s="23" t="s">
        <v>2435</v>
      </c>
      <c r="I804" s="23">
        <v>0</v>
      </c>
      <c r="J804" s="40">
        <v>0</v>
      </c>
      <c r="K804" s="40">
        <v>0</v>
      </c>
      <c r="L804" s="40" t="s">
        <v>115</v>
      </c>
      <c r="O804" s="40" t="s">
        <v>115</v>
      </c>
      <c r="Q804" s="40">
        <v>162</v>
      </c>
      <c r="R804" s="40">
        <v>263</v>
      </c>
      <c r="X804" s="40">
        <v>90090224</v>
      </c>
      <c r="Y804" s="40" t="s">
        <v>115</v>
      </c>
      <c r="Z804" s="40" t="s">
        <v>115</v>
      </c>
      <c r="AA804" s="40" t="s">
        <v>115</v>
      </c>
      <c r="AB804" s="40" t="s">
        <v>115</v>
      </c>
      <c r="AC804" s="40" t="s">
        <v>115</v>
      </c>
      <c r="AI804" s="40" t="s">
        <v>115</v>
      </c>
      <c r="AP804" s="4" t="s">
        <v>115</v>
      </c>
    </row>
    <row r="805" spans="1:42" x14ac:dyDescent="0.15">
      <c r="A805" s="40" t="s">
        <v>1</v>
      </c>
      <c r="B805" s="23">
        <v>90090224</v>
      </c>
      <c r="C805" s="23">
        <v>902</v>
      </c>
      <c r="D805" s="23">
        <v>9</v>
      </c>
      <c r="F805" s="23" t="s">
        <v>271</v>
      </c>
      <c r="G805" s="23" t="s">
        <v>115</v>
      </c>
      <c r="H805" s="23" t="s">
        <v>877</v>
      </c>
      <c r="I805" s="23">
        <v>3</v>
      </c>
      <c r="J805" s="40">
        <v>0</v>
      </c>
      <c r="K805" s="40">
        <v>0</v>
      </c>
      <c r="L805" s="40" t="s">
        <v>115</v>
      </c>
      <c r="O805" s="40" t="s">
        <v>115</v>
      </c>
      <c r="Q805" s="40">
        <v>162</v>
      </c>
      <c r="R805" s="40">
        <v>263</v>
      </c>
      <c r="X805" s="40">
        <v>90090225</v>
      </c>
      <c r="Y805" s="40" t="s">
        <v>115</v>
      </c>
      <c r="Z805" s="40" t="s">
        <v>115</v>
      </c>
      <c r="AA805" s="40" t="s">
        <v>115</v>
      </c>
      <c r="AB805" s="40" t="s">
        <v>115</v>
      </c>
      <c r="AC805" s="40" t="s">
        <v>115</v>
      </c>
      <c r="AI805" s="40" t="s">
        <v>115</v>
      </c>
      <c r="AP805" s="4" t="s">
        <v>115</v>
      </c>
    </row>
    <row r="806" spans="1:42" x14ac:dyDescent="0.15">
      <c r="A806" s="40" t="s">
        <v>1</v>
      </c>
      <c r="B806" s="23">
        <v>90090225</v>
      </c>
      <c r="C806" s="23">
        <v>902</v>
      </c>
      <c r="D806" s="23">
        <v>9</v>
      </c>
      <c r="F806" s="23" t="s">
        <v>116</v>
      </c>
      <c r="G806" s="23">
        <v>261</v>
      </c>
      <c r="H806" s="23" t="s">
        <v>968</v>
      </c>
      <c r="I806" s="23">
        <v>0</v>
      </c>
      <c r="J806" s="40">
        <v>0</v>
      </c>
      <c r="K806" s="40">
        <v>8</v>
      </c>
      <c r="L806" s="40" t="s">
        <v>115</v>
      </c>
      <c r="O806" s="40">
        <v>1</v>
      </c>
      <c r="Q806" s="40">
        <v>162</v>
      </c>
      <c r="R806" s="40" t="s">
        <v>115</v>
      </c>
      <c r="X806" s="40" t="s">
        <v>115</v>
      </c>
      <c r="Y806" s="40" t="s">
        <v>115</v>
      </c>
      <c r="Z806" s="40">
        <v>7</v>
      </c>
      <c r="AA806" s="40" t="s">
        <v>115</v>
      </c>
      <c r="AB806" s="40" t="s">
        <v>115</v>
      </c>
      <c r="AC806" s="40" t="s">
        <v>115</v>
      </c>
      <c r="AI806" s="40" t="s">
        <v>115</v>
      </c>
      <c r="AP806" s="4" t="s">
        <v>1055</v>
      </c>
    </row>
    <row r="807" spans="1:42" x14ac:dyDescent="0.15">
      <c r="A807" s="40" t="s">
        <v>1</v>
      </c>
      <c r="B807" s="23" t="s">
        <v>1021</v>
      </c>
      <c r="C807" s="23">
        <v>903</v>
      </c>
      <c r="D807" s="23">
        <v>9</v>
      </c>
      <c r="F807" s="23" t="s">
        <v>115</v>
      </c>
      <c r="G807" s="23" t="s">
        <v>115</v>
      </c>
      <c r="H807" s="23" t="s">
        <v>878</v>
      </c>
      <c r="I807" s="23">
        <v>4</v>
      </c>
      <c r="J807" s="40">
        <v>1</v>
      </c>
      <c r="K807" s="40">
        <v>1</v>
      </c>
      <c r="L807" s="40" t="s">
        <v>115</v>
      </c>
      <c r="O807" s="40" t="s">
        <v>115</v>
      </c>
      <c r="Q807" s="40">
        <v>163</v>
      </c>
      <c r="R807" s="40" t="s">
        <v>115</v>
      </c>
      <c r="X807" s="40">
        <v>90090302</v>
      </c>
      <c r="Y807" s="40" t="s">
        <v>115</v>
      </c>
      <c r="Z807" s="40" t="s">
        <v>115</v>
      </c>
      <c r="AA807" s="40" t="s">
        <v>115</v>
      </c>
      <c r="AB807" s="40" t="s">
        <v>115</v>
      </c>
      <c r="AC807" s="40" t="s">
        <v>115</v>
      </c>
      <c r="AI807" s="40" t="s">
        <v>115</v>
      </c>
      <c r="AP807" s="4" t="s">
        <v>115</v>
      </c>
    </row>
    <row r="808" spans="1:42" x14ac:dyDescent="0.15">
      <c r="A808" s="40" t="s">
        <v>1</v>
      </c>
      <c r="B808" s="23">
        <v>90090302</v>
      </c>
      <c r="C808" s="23">
        <v>903</v>
      </c>
      <c r="D808" s="23">
        <v>9</v>
      </c>
      <c r="F808" s="23" t="s">
        <v>256</v>
      </c>
      <c r="G808" s="23" t="s">
        <v>115</v>
      </c>
      <c r="H808" s="23" t="s">
        <v>879</v>
      </c>
      <c r="I808" s="23">
        <v>3</v>
      </c>
      <c r="J808" s="40">
        <v>0</v>
      </c>
      <c r="K808" s="40">
        <v>0</v>
      </c>
      <c r="L808" s="40" t="s">
        <v>115</v>
      </c>
      <c r="O808" s="40" t="s">
        <v>115</v>
      </c>
      <c r="Q808" s="40">
        <v>163</v>
      </c>
      <c r="R808" s="40">
        <v>269</v>
      </c>
      <c r="X808" s="40">
        <v>90090303</v>
      </c>
      <c r="Y808" s="40" t="s">
        <v>115</v>
      </c>
      <c r="Z808" s="40" t="s">
        <v>115</v>
      </c>
      <c r="AA808" s="40" t="s">
        <v>115</v>
      </c>
      <c r="AB808" s="40" t="s">
        <v>115</v>
      </c>
      <c r="AC808" s="40" t="s">
        <v>115</v>
      </c>
      <c r="AI808" s="40" t="s">
        <v>115</v>
      </c>
      <c r="AP808" s="4" t="s">
        <v>115</v>
      </c>
    </row>
    <row r="809" spans="1:42" x14ac:dyDescent="0.15">
      <c r="A809" s="40" t="s">
        <v>1</v>
      </c>
      <c r="B809" s="23">
        <v>90090303</v>
      </c>
      <c r="C809" s="23">
        <v>903</v>
      </c>
      <c r="D809" s="23">
        <v>9</v>
      </c>
      <c r="F809" s="23" t="s">
        <v>116</v>
      </c>
      <c r="G809" s="23">
        <v>274</v>
      </c>
      <c r="H809" s="23" t="s">
        <v>880</v>
      </c>
      <c r="I809" s="23">
        <v>0</v>
      </c>
      <c r="J809" s="40">
        <v>0</v>
      </c>
      <c r="K809" s="40">
        <v>0</v>
      </c>
      <c r="L809" s="40" t="s">
        <v>115</v>
      </c>
      <c r="O809" s="40" t="s">
        <v>115</v>
      </c>
      <c r="Q809" s="40">
        <v>163</v>
      </c>
      <c r="R809" s="40">
        <v>269</v>
      </c>
      <c r="X809" s="40">
        <v>90090304</v>
      </c>
      <c r="Y809" s="40" t="s">
        <v>115</v>
      </c>
      <c r="Z809" s="40" t="s">
        <v>115</v>
      </c>
      <c r="AA809" s="40" t="s">
        <v>115</v>
      </c>
      <c r="AB809" s="40" t="s">
        <v>115</v>
      </c>
      <c r="AC809" s="40" t="s">
        <v>115</v>
      </c>
      <c r="AI809" s="40" t="s">
        <v>115</v>
      </c>
      <c r="AP809" s="4" t="s">
        <v>115</v>
      </c>
    </row>
    <row r="810" spans="1:42" x14ac:dyDescent="0.15">
      <c r="A810" s="40" t="s">
        <v>1</v>
      </c>
      <c r="B810" s="23">
        <v>90090304</v>
      </c>
      <c r="C810" s="23">
        <v>903</v>
      </c>
      <c r="D810" s="23">
        <v>9</v>
      </c>
      <c r="F810" s="23" t="s">
        <v>256</v>
      </c>
      <c r="G810" s="23" t="s">
        <v>115</v>
      </c>
      <c r="H810" s="23" t="s">
        <v>881</v>
      </c>
      <c r="I810" s="23">
        <v>3</v>
      </c>
      <c r="J810" s="40">
        <v>0</v>
      </c>
      <c r="K810" s="40">
        <v>0</v>
      </c>
      <c r="L810" s="40" t="s">
        <v>115</v>
      </c>
      <c r="O810" s="40" t="s">
        <v>115</v>
      </c>
      <c r="Q810" s="40">
        <v>163</v>
      </c>
      <c r="R810" s="40">
        <v>269</v>
      </c>
      <c r="X810" s="40">
        <v>90090305</v>
      </c>
      <c r="Y810" s="40" t="s">
        <v>115</v>
      </c>
      <c r="Z810" s="40" t="s">
        <v>115</v>
      </c>
      <c r="AA810" s="40" t="s">
        <v>115</v>
      </c>
      <c r="AB810" s="40" t="s">
        <v>115</v>
      </c>
      <c r="AC810" s="40" t="s">
        <v>115</v>
      </c>
      <c r="AI810" s="40" t="s">
        <v>115</v>
      </c>
      <c r="AP810" s="4" t="s">
        <v>115</v>
      </c>
    </row>
    <row r="811" spans="1:42" x14ac:dyDescent="0.15">
      <c r="A811" s="40" t="s">
        <v>1</v>
      </c>
      <c r="B811" s="23">
        <v>90090305</v>
      </c>
      <c r="C811" s="23">
        <v>903</v>
      </c>
      <c r="D811" s="23">
        <v>9</v>
      </c>
      <c r="F811" s="23" t="s">
        <v>256</v>
      </c>
      <c r="G811" s="23" t="s">
        <v>115</v>
      </c>
      <c r="H811" s="23" t="s">
        <v>2436</v>
      </c>
      <c r="I811" s="23">
        <v>3</v>
      </c>
      <c r="J811" s="40">
        <v>0</v>
      </c>
      <c r="K811" s="40">
        <v>0</v>
      </c>
      <c r="L811" s="40" t="s">
        <v>115</v>
      </c>
      <c r="O811" s="40" t="s">
        <v>115</v>
      </c>
      <c r="Q811" s="40">
        <v>163</v>
      </c>
      <c r="R811" s="40">
        <v>269</v>
      </c>
      <c r="X811" s="40">
        <v>90090306</v>
      </c>
      <c r="Y811" s="40" t="s">
        <v>115</v>
      </c>
      <c r="Z811" s="40" t="s">
        <v>115</v>
      </c>
      <c r="AA811" s="40" t="s">
        <v>115</v>
      </c>
      <c r="AB811" s="40" t="s">
        <v>115</v>
      </c>
      <c r="AC811" s="40" t="s">
        <v>115</v>
      </c>
      <c r="AI811" s="40" t="s">
        <v>115</v>
      </c>
      <c r="AP811" s="4" t="s">
        <v>115</v>
      </c>
    </row>
    <row r="812" spans="1:42" x14ac:dyDescent="0.15">
      <c r="A812" s="40" t="s">
        <v>1</v>
      </c>
      <c r="B812" s="23">
        <v>90090306</v>
      </c>
      <c r="C812" s="23">
        <v>903</v>
      </c>
      <c r="D812" s="23">
        <v>9</v>
      </c>
      <c r="F812" s="23" t="s">
        <v>256</v>
      </c>
      <c r="G812" s="23" t="s">
        <v>115</v>
      </c>
      <c r="H812" s="23" t="s">
        <v>882</v>
      </c>
      <c r="I812" s="23">
        <v>3</v>
      </c>
      <c r="J812" s="40">
        <v>0</v>
      </c>
      <c r="K812" s="40">
        <v>0</v>
      </c>
      <c r="L812" s="40" t="s">
        <v>115</v>
      </c>
      <c r="O812" s="40" t="s">
        <v>115</v>
      </c>
      <c r="Q812" s="40">
        <v>163</v>
      </c>
      <c r="R812" s="40">
        <v>269</v>
      </c>
      <c r="X812" s="40">
        <v>90090307</v>
      </c>
      <c r="Y812" s="40" t="s">
        <v>115</v>
      </c>
      <c r="Z812" s="40" t="s">
        <v>115</v>
      </c>
      <c r="AA812" s="40" t="s">
        <v>115</v>
      </c>
      <c r="AB812" s="40" t="s">
        <v>115</v>
      </c>
      <c r="AC812" s="40" t="s">
        <v>115</v>
      </c>
      <c r="AI812" s="40" t="s">
        <v>115</v>
      </c>
      <c r="AP812" s="4" t="s">
        <v>115</v>
      </c>
    </row>
    <row r="813" spans="1:42" x14ac:dyDescent="0.15">
      <c r="A813" s="40" t="s">
        <v>1</v>
      </c>
      <c r="B813" s="23">
        <v>90090307</v>
      </c>
      <c r="C813" s="23">
        <v>903</v>
      </c>
      <c r="D813" s="23">
        <v>9</v>
      </c>
      <c r="F813" s="23" t="s">
        <v>116</v>
      </c>
      <c r="G813" s="23">
        <v>261</v>
      </c>
      <c r="H813" s="23" t="s">
        <v>883</v>
      </c>
      <c r="I813" s="23">
        <v>0</v>
      </c>
      <c r="J813" s="40">
        <v>0</v>
      </c>
      <c r="K813" s="40">
        <v>0</v>
      </c>
      <c r="L813" s="40" t="s">
        <v>115</v>
      </c>
      <c r="O813" s="40" t="s">
        <v>115</v>
      </c>
      <c r="Q813" s="40">
        <v>163</v>
      </c>
      <c r="R813" s="40">
        <v>269</v>
      </c>
      <c r="X813" s="40">
        <v>90090308</v>
      </c>
      <c r="Y813" s="40" t="s">
        <v>115</v>
      </c>
      <c r="Z813" s="40" t="s">
        <v>115</v>
      </c>
      <c r="AA813" s="40" t="s">
        <v>115</v>
      </c>
      <c r="AB813" s="40" t="s">
        <v>115</v>
      </c>
      <c r="AC813" s="40" t="s">
        <v>115</v>
      </c>
      <c r="AI813" s="40" t="s">
        <v>115</v>
      </c>
      <c r="AP813" s="4" t="s">
        <v>115</v>
      </c>
    </row>
    <row r="814" spans="1:42" x14ac:dyDescent="0.15">
      <c r="A814" s="40" t="s">
        <v>1</v>
      </c>
      <c r="B814" s="23">
        <v>90090308</v>
      </c>
      <c r="C814" s="23">
        <v>903</v>
      </c>
      <c r="D814" s="23">
        <v>9</v>
      </c>
      <c r="F814" s="23" t="s">
        <v>115</v>
      </c>
      <c r="G814" s="23" t="s">
        <v>115</v>
      </c>
      <c r="H814" s="23" t="s">
        <v>2437</v>
      </c>
      <c r="I814" s="23">
        <v>4</v>
      </c>
      <c r="J814" s="40">
        <v>0</v>
      </c>
      <c r="K814" s="40">
        <v>0</v>
      </c>
      <c r="L814" s="40" t="s">
        <v>115</v>
      </c>
      <c r="O814" s="40" t="s">
        <v>115</v>
      </c>
      <c r="Q814" s="40">
        <v>163</v>
      </c>
      <c r="R814" s="40">
        <v>269</v>
      </c>
      <c r="X814" s="40">
        <v>90090309</v>
      </c>
      <c r="Y814" s="40" t="s">
        <v>115</v>
      </c>
      <c r="Z814" s="40" t="s">
        <v>115</v>
      </c>
      <c r="AA814" s="40" t="s">
        <v>115</v>
      </c>
      <c r="AB814" s="40" t="s">
        <v>115</v>
      </c>
      <c r="AC814" s="40" t="s">
        <v>115</v>
      </c>
      <c r="AI814" s="40" t="s">
        <v>115</v>
      </c>
      <c r="AP814" s="4" t="s">
        <v>115</v>
      </c>
    </row>
    <row r="815" spans="1:42" x14ac:dyDescent="0.15">
      <c r="A815" s="40" t="s">
        <v>1</v>
      </c>
      <c r="B815" s="23">
        <v>90090309</v>
      </c>
      <c r="C815" s="23">
        <v>903</v>
      </c>
      <c r="D815" s="23">
        <v>9</v>
      </c>
      <c r="F815" s="23" t="s">
        <v>256</v>
      </c>
      <c r="G815" s="23" t="s">
        <v>115</v>
      </c>
      <c r="H815" s="23" t="s">
        <v>2438</v>
      </c>
      <c r="I815" s="23">
        <v>3</v>
      </c>
      <c r="J815" s="40">
        <v>0</v>
      </c>
      <c r="K815" s="40">
        <v>0</v>
      </c>
      <c r="L815" s="40" t="s">
        <v>115</v>
      </c>
      <c r="O815" s="40" t="s">
        <v>115</v>
      </c>
      <c r="Q815" s="40">
        <v>163</v>
      </c>
      <c r="R815" s="40">
        <v>269</v>
      </c>
      <c r="X815" s="40">
        <v>90090310</v>
      </c>
      <c r="Y815" s="40" t="s">
        <v>115</v>
      </c>
      <c r="Z815" s="40" t="s">
        <v>115</v>
      </c>
      <c r="AA815" s="40" t="s">
        <v>115</v>
      </c>
      <c r="AB815" s="40" t="s">
        <v>115</v>
      </c>
      <c r="AC815" s="40" t="s">
        <v>115</v>
      </c>
      <c r="AI815" s="40" t="s">
        <v>115</v>
      </c>
      <c r="AP815" s="4" t="s">
        <v>115</v>
      </c>
    </row>
    <row r="816" spans="1:42" x14ac:dyDescent="0.15">
      <c r="A816" s="40" t="s">
        <v>1</v>
      </c>
      <c r="B816" s="23">
        <v>90090310</v>
      </c>
      <c r="C816" s="23">
        <v>903</v>
      </c>
      <c r="D816" s="23">
        <v>9</v>
      </c>
      <c r="F816" s="23" t="s">
        <v>116</v>
      </c>
      <c r="G816" s="23">
        <v>261</v>
      </c>
      <c r="H816" s="23" t="s">
        <v>2439</v>
      </c>
      <c r="I816" s="23">
        <v>0</v>
      </c>
      <c r="J816" s="40">
        <v>0</v>
      </c>
      <c r="K816" s="40">
        <v>0</v>
      </c>
      <c r="L816" s="40" t="s">
        <v>115</v>
      </c>
      <c r="O816" s="40" t="s">
        <v>115</v>
      </c>
      <c r="Q816" s="40">
        <v>163</v>
      </c>
      <c r="R816" s="40">
        <v>269</v>
      </c>
      <c r="X816" s="40">
        <v>90090311</v>
      </c>
      <c r="Y816" s="40" t="s">
        <v>115</v>
      </c>
      <c r="Z816" s="40" t="s">
        <v>115</v>
      </c>
      <c r="AA816" s="40" t="s">
        <v>115</v>
      </c>
      <c r="AB816" s="40" t="s">
        <v>115</v>
      </c>
      <c r="AC816" s="40" t="s">
        <v>115</v>
      </c>
      <c r="AI816" s="40" t="s">
        <v>115</v>
      </c>
      <c r="AP816" s="4" t="s">
        <v>115</v>
      </c>
    </row>
    <row r="817" spans="1:42" x14ac:dyDescent="0.15">
      <c r="A817" s="40" t="s">
        <v>1</v>
      </c>
      <c r="B817" s="23">
        <v>90090311</v>
      </c>
      <c r="C817" s="23">
        <v>903</v>
      </c>
      <c r="D817" s="23">
        <v>9</v>
      </c>
      <c r="F817" s="23" t="s">
        <v>115</v>
      </c>
      <c r="G817" s="23" t="s">
        <v>115</v>
      </c>
      <c r="H817" s="23" t="s">
        <v>2440</v>
      </c>
      <c r="I817" s="23">
        <v>4</v>
      </c>
      <c r="J817" s="40">
        <v>0</v>
      </c>
      <c r="K817" s="40">
        <v>2</v>
      </c>
      <c r="L817" s="40" t="s">
        <v>115</v>
      </c>
      <c r="O817" s="40" t="s">
        <v>115</v>
      </c>
      <c r="Q817" s="40">
        <v>163</v>
      </c>
      <c r="R817" s="40">
        <v>269</v>
      </c>
      <c r="X817" s="40" t="s">
        <v>2441</v>
      </c>
      <c r="Y817" s="40">
        <v>1</v>
      </c>
      <c r="Z817" s="40">
        <v>1</v>
      </c>
      <c r="AA817" s="40" t="s">
        <v>115</v>
      </c>
      <c r="AB817" s="40" t="s">
        <v>115</v>
      </c>
      <c r="AC817" s="40" t="s">
        <v>115</v>
      </c>
      <c r="AI817" s="40" t="s">
        <v>115</v>
      </c>
      <c r="AP817" s="4" t="s">
        <v>115</v>
      </c>
    </row>
    <row r="818" spans="1:42" x14ac:dyDescent="0.15">
      <c r="A818" s="40" t="s">
        <v>1</v>
      </c>
      <c r="B818" s="23">
        <v>90090312</v>
      </c>
      <c r="C818" s="23">
        <v>903</v>
      </c>
      <c r="D818" s="23">
        <v>9</v>
      </c>
      <c r="F818" s="23" t="s">
        <v>115</v>
      </c>
      <c r="G818" s="23" t="s">
        <v>115</v>
      </c>
      <c r="H818" s="23" t="s">
        <v>884</v>
      </c>
      <c r="I818" s="23">
        <v>4</v>
      </c>
      <c r="J818" s="40">
        <v>0</v>
      </c>
      <c r="K818" s="40">
        <v>3</v>
      </c>
      <c r="L818" s="40" t="s">
        <v>115</v>
      </c>
      <c r="O818" s="40" t="s">
        <v>115</v>
      </c>
      <c r="Q818" s="40">
        <v>163</v>
      </c>
      <c r="R818" s="40">
        <v>269</v>
      </c>
      <c r="X818" s="40">
        <v>90090313</v>
      </c>
      <c r="Y818" s="40">
        <v>-1</v>
      </c>
      <c r="Z818" s="40">
        <v>2</v>
      </c>
      <c r="AA818" s="40" t="s">
        <v>115</v>
      </c>
      <c r="AB818" s="40" t="s">
        <v>115</v>
      </c>
      <c r="AC818" s="40" t="s">
        <v>1031</v>
      </c>
      <c r="AI818" s="40" t="s">
        <v>115</v>
      </c>
      <c r="AP818" s="4" t="s">
        <v>115</v>
      </c>
    </row>
    <row r="819" spans="1:42" x14ac:dyDescent="0.15">
      <c r="A819" s="40" t="s">
        <v>1</v>
      </c>
      <c r="B819" s="23">
        <v>90090313</v>
      </c>
      <c r="C819" s="23">
        <v>903</v>
      </c>
      <c r="D819" s="23">
        <v>9</v>
      </c>
      <c r="F819" s="23" t="s">
        <v>116</v>
      </c>
      <c r="G819" s="23">
        <v>274</v>
      </c>
      <c r="H819" s="23" t="s">
        <v>885</v>
      </c>
      <c r="I819" s="23">
        <v>0</v>
      </c>
      <c r="J819" s="40">
        <v>0</v>
      </c>
      <c r="K819" s="40">
        <v>0</v>
      </c>
      <c r="L819" s="40" t="s">
        <v>115</v>
      </c>
      <c r="O819" s="40" t="s">
        <v>115</v>
      </c>
      <c r="Q819" s="40">
        <v>163</v>
      </c>
      <c r="R819" s="40">
        <v>269</v>
      </c>
      <c r="X819" s="40">
        <v>90090314</v>
      </c>
      <c r="Y819" s="40" t="s">
        <v>115</v>
      </c>
      <c r="Z819" s="40" t="s">
        <v>115</v>
      </c>
      <c r="AA819" s="40" t="s">
        <v>115</v>
      </c>
      <c r="AB819" s="40" t="s">
        <v>115</v>
      </c>
      <c r="AC819" s="40" t="s">
        <v>115</v>
      </c>
      <c r="AI819" s="40" t="s">
        <v>115</v>
      </c>
      <c r="AP819" s="4" t="s">
        <v>115</v>
      </c>
    </row>
    <row r="820" spans="1:42" x14ac:dyDescent="0.15">
      <c r="A820" s="40" t="s">
        <v>1</v>
      </c>
      <c r="B820" s="23">
        <v>90090314</v>
      </c>
      <c r="C820" s="23">
        <v>903</v>
      </c>
      <c r="D820" s="23">
        <v>9</v>
      </c>
      <c r="F820" s="23" t="s">
        <v>116</v>
      </c>
      <c r="G820" s="23">
        <v>275</v>
      </c>
      <c r="H820" s="23" t="s">
        <v>886</v>
      </c>
      <c r="I820" s="23">
        <v>0</v>
      </c>
      <c r="J820" s="40">
        <v>0</v>
      </c>
      <c r="K820" s="40">
        <v>4</v>
      </c>
      <c r="L820" s="40" t="s">
        <v>115</v>
      </c>
      <c r="O820" s="40">
        <v>1</v>
      </c>
      <c r="Q820" s="40">
        <v>163</v>
      </c>
      <c r="R820" s="40">
        <v>269</v>
      </c>
      <c r="X820" s="40" t="s">
        <v>115</v>
      </c>
      <c r="Y820" s="40" t="s">
        <v>115</v>
      </c>
      <c r="Z820" s="40">
        <v>3</v>
      </c>
      <c r="AA820" s="40" t="s">
        <v>115</v>
      </c>
      <c r="AB820" s="40" t="s">
        <v>115</v>
      </c>
      <c r="AC820" s="40" t="s">
        <v>115</v>
      </c>
      <c r="AI820" s="40" t="s">
        <v>115</v>
      </c>
      <c r="AP820" s="4" t="s">
        <v>1028</v>
      </c>
    </row>
    <row r="821" spans="1:42" x14ac:dyDescent="0.15">
      <c r="A821" s="40" t="s">
        <v>1</v>
      </c>
      <c r="B821" s="23" t="s">
        <v>1022</v>
      </c>
      <c r="C821" s="23">
        <v>904</v>
      </c>
      <c r="D821" s="23">
        <v>9</v>
      </c>
      <c r="F821" s="23" t="s">
        <v>115</v>
      </c>
      <c r="G821" s="23" t="s">
        <v>115</v>
      </c>
      <c r="H821" s="23" t="s">
        <v>888</v>
      </c>
      <c r="I821" s="23">
        <v>4</v>
      </c>
      <c r="J821" s="40">
        <v>1</v>
      </c>
      <c r="K821" s="40">
        <v>1</v>
      </c>
      <c r="L821" s="40" t="s">
        <v>115</v>
      </c>
      <c r="O821" s="40" t="s">
        <v>115</v>
      </c>
      <c r="Q821" s="40">
        <v>197</v>
      </c>
      <c r="R821" s="40">
        <v>263</v>
      </c>
      <c r="X821" s="40">
        <v>90090402</v>
      </c>
      <c r="Y821" s="40" t="s">
        <v>115</v>
      </c>
      <c r="Z821" s="40" t="s">
        <v>115</v>
      </c>
      <c r="AA821" s="40" t="s">
        <v>115</v>
      </c>
      <c r="AB821" s="40" t="s">
        <v>115</v>
      </c>
      <c r="AC821" s="40" t="s">
        <v>115</v>
      </c>
      <c r="AI821" s="40" t="s">
        <v>115</v>
      </c>
      <c r="AP821" s="4" t="s">
        <v>115</v>
      </c>
    </row>
    <row r="822" spans="1:42" x14ac:dyDescent="0.15">
      <c r="A822" s="40" t="s">
        <v>1</v>
      </c>
      <c r="B822" s="23">
        <v>90090402</v>
      </c>
      <c r="C822" s="23">
        <v>904</v>
      </c>
      <c r="D822" s="23">
        <v>9</v>
      </c>
      <c r="F822" s="23" t="s">
        <v>116</v>
      </c>
      <c r="G822" s="23">
        <v>275</v>
      </c>
      <c r="H822" s="23" t="s">
        <v>889</v>
      </c>
      <c r="I822" s="23">
        <v>0</v>
      </c>
      <c r="J822" s="40">
        <v>0</v>
      </c>
      <c r="K822" s="40">
        <v>2</v>
      </c>
      <c r="L822" s="40" t="s">
        <v>115</v>
      </c>
      <c r="O822" s="40" t="s">
        <v>115</v>
      </c>
      <c r="Q822" s="40">
        <v>197</v>
      </c>
      <c r="R822" s="40">
        <v>263</v>
      </c>
      <c r="X822" s="40" t="s">
        <v>2442</v>
      </c>
      <c r="Y822" s="40">
        <v>1</v>
      </c>
      <c r="Z822" s="40">
        <v>1</v>
      </c>
      <c r="AA822" s="40" t="s">
        <v>115</v>
      </c>
      <c r="AB822" s="40" t="s">
        <v>115</v>
      </c>
      <c r="AC822" s="40" t="s">
        <v>115</v>
      </c>
      <c r="AI822" s="40" t="s">
        <v>115</v>
      </c>
      <c r="AP822" s="4" t="s">
        <v>115</v>
      </c>
    </row>
    <row r="823" spans="1:42" x14ac:dyDescent="0.15">
      <c r="A823" s="40" t="s">
        <v>1</v>
      </c>
      <c r="B823" s="23">
        <v>90090403</v>
      </c>
      <c r="C823" s="23">
        <v>904</v>
      </c>
      <c r="D823" s="23">
        <v>9</v>
      </c>
      <c r="F823" s="23" t="s">
        <v>115</v>
      </c>
      <c r="G823" s="23" t="s">
        <v>115</v>
      </c>
      <c r="H823" s="23" t="s">
        <v>890</v>
      </c>
      <c r="I823" s="23">
        <v>4</v>
      </c>
      <c r="J823" s="40">
        <v>0</v>
      </c>
      <c r="K823" s="40">
        <v>3</v>
      </c>
      <c r="L823" s="40" t="s">
        <v>115</v>
      </c>
      <c r="O823" s="40" t="s">
        <v>115</v>
      </c>
      <c r="Q823" s="40">
        <v>197</v>
      </c>
      <c r="R823" s="40">
        <v>263</v>
      </c>
      <c r="X823" s="40">
        <v>90090405</v>
      </c>
      <c r="Y823" s="40">
        <v>-1</v>
      </c>
      <c r="Z823" s="40">
        <v>2</v>
      </c>
      <c r="AA823" s="40" t="s">
        <v>891</v>
      </c>
      <c r="AB823" s="40" t="s">
        <v>115</v>
      </c>
      <c r="AC823" s="40" t="s">
        <v>115</v>
      </c>
      <c r="AI823" s="40" t="s">
        <v>115</v>
      </c>
      <c r="AP823" s="4" t="s">
        <v>115</v>
      </c>
    </row>
    <row r="824" spans="1:42" x14ac:dyDescent="0.15">
      <c r="A824" s="40" t="s">
        <v>1</v>
      </c>
      <c r="B824" s="23">
        <v>90090404</v>
      </c>
      <c r="C824" s="23">
        <v>904</v>
      </c>
      <c r="D824" s="23">
        <v>9</v>
      </c>
      <c r="F824" s="23" t="s">
        <v>115</v>
      </c>
      <c r="G824" s="23" t="s">
        <v>115</v>
      </c>
      <c r="H824" s="23" t="s">
        <v>892</v>
      </c>
      <c r="I824" s="23">
        <v>4</v>
      </c>
      <c r="J824" s="40">
        <v>0</v>
      </c>
      <c r="K824" s="40">
        <v>4</v>
      </c>
      <c r="L824" s="40" t="s">
        <v>115</v>
      </c>
      <c r="O824" s="40" t="s">
        <v>115</v>
      </c>
      <c r="Q824" s="40">
        <v>197</v>
      </c>
      <c r="R824" s="40">
        <v>263</v>
      </c>
      <c r="X824" s="40">
        <v>90090407</v>
      </c>
      <c r="Y824" s="40">
        <v>-1</v>
      </c>
      <c r="Z824" s="40">
        <v>2</v>
      </c>
      <c r="AA824" s="40" t="s">
        <v>115</v>
      </c>
      <c r="AB824" s="40" t="s">
        <v>115</v>
      </c>
      <c r="AC824" s="40" t="s">
        <v>1029</v>
      </c>
      <c r="AI824" s="40" t="s">
        <v>115</v>
      </c>
      <c r="AP824" s="4" t="s">
        <v>115</v>
      </c>
    </row>
    <row r="825" spans="1:42" x14ac:dyDescent="0.15">
      <c r="A825" s="40" t="s">
        <v>1</v>
      </c>
      <c r="B825" s="23">
        <v>90090405</v>
      </c>
      <c r="C825" s="23">
        <v>904</v>
      </c>
      <c r="D825" s="23">
        <v>9</v>
      </c>
      <c r="F825" s="23" t="s">
        <v>271</v>
      </c>
      <c r="G825" s="23" t="s">
        <v>115</v>
      </c>
      <c r="H825" s="23" t="s">
        <v>2443</v>
      </c>
      <c r="I825" s="23">
        <v>3</v>
      </c>
      <c r="J825" s="40">
        <v>0</v>
      </c>
      <c r="K825" s="40">
        <v>0</v>
      </c>
      <c r="L825" s="40" t="s">
        <v>115</v>
      </c>
      <c r="O825" s="40" t="s">
        <v>115</v>
      </c>
      <c r="Q825" s="40">
        <v>197</v>
      </c>
      <c r="R825" s="40">
        <v>263</v>
      </c>
      <c r="X825" s="40">
        <v>90090406</v>
      </c>
      <c r="Y825" s="40" t="s">
        <v>115</v>
      </c>
      <c r="Z825" s="40" t="s">
        <v>115</v>
      </c>
      <c r="AA825" s="40" t="s">
        <v>115</v>
      </c>
      <c r="AB825" s="40" t="s">
        <v>115</v>
      </c>
      <c r="AC825" s="40" t="s">
        <v>115</v>
      </c>
      <c r="AI825" s="40" t="s">
        <v>115</v>
      </c>
      <c r="AP825" s="4" t="s">
        <v>115</v>
      </c>
    </row>
    <row r="826" spans="1:42" x14ac:dyDescent="0.15">
      <c r="A826" s="40" t="s">
        <v>1</v>
      </c>
      <c r="B826" s="23">
        <v>90090406</v>
      </c>
      <c r="C826" s="23">
        <v>904</v>
      </c>
      <c r="D826" s="23">
        <v>9</v>
      </c>
      <c r="F826" s="23" t="s">
        <v>271</v>
      </c>
      <c r="G826" s="23" t="s">
        <v>115</v>
      </c>
      <c r="H826" s="23" t="s">
        <v>894</v>
      </c>
      <c r="I826" s="23">
        <v>3</v>
      </c>
      <c r="J826" s="40">
        <v>0</v>
      </c>
      <c r="K826" s="40">
        <v>0</v>
      </c>
      <c r="L826" s="40" t="s">
        <v>115</v>
      </c>
      <c r="O826" s="40" t="s">
        <v>115</v>
      </c>
      <c r="Q826" s="40">
        <v>197</v>
      </c>
      <c r="R826" s="40">
        <v>263</v>
      </c>
      <c r="X826" s="40">
        <v>90090409</v>
      </c>
      <c r="Y826" s="40" t="s">
        <v>115</v>
      </c>
      <c r="Z826" s="40" t="s">
        <v>115</v>
      </c>
      <c r="AA826" s="40" t="s">
        <v>115</v>
      </c>
      <c r="AB826" s="40" t="s">
        <v>115</v>
      </c>
      <c r="AC826" s="40" t="s">
        <v>115</v>
      </c>
      <c r="AI826" s="40" t="s">
        <v>115</v>
      </c>
      <c r="AP826" s="4" t="s">
        <v>115</v>
      </c>
    </row>
    <row r="827" spans="1:42" x14ac:dyDescent="0.15">
      <c r="A827" s="40" t="s">
        <v>1</v>
      </c>
      <c r="B827" s="23">
        <v>90090407</v>
      </c>
      <c r="C827" s="23">
        <v>904</v>
      </c>
      <c r="D827" s="23">
        <v>9</v>
      </c>
      <c r="F827" s="23" t="s">
        <v>271</v>
      </c>
      <c r="G827" s="23" t="s">
        <v>115</v>
      </c>
      <c r="H827" s="23" t="s">
        <v>2444</v>
      </c>
      <c r="I827" s="23">
        <v>3</v>
      </c>
      <c r="J827" s="40">
        <v>0</v>
      </c>
      <c r="K827" s="40">
        <v>0</v>
      </c>
      <c r="L827" s="40" t="s">
        <v>115</v>
      </c>
      <c r="O827" s="40" t="s">
        <v>115</v>
      </c>
      <c r="Q827" s="40">
        <v>197</v>
      </c>
      <c r="R827" s="40">
        <v>263</v>
      </c>
      <c r="X827" s="40">
        <v>90090408</v>
      </c>
      <c r="Y827" s="40" t="s">
        <v>115</v>
      </c>
      <c r="Z827" s="40" t="s">
        <v>115</v>
      </c>
      <c r="AA827" s="40" t="s">
        <v>115</v>
      </c>
      <c r="AB827" s="40" t="s">
        <v>115</v>
      </c>
      <c r="AC827" s="40" t="s">
        <v>115</v>
      </c>
      <c r="AI827" s="40" t="s">
        <v>115</v>
      </c>
      <c r="AP827" s="4" t="s">
        <v>115</v>
      </c>
    </row>
    <row r="828" spans="1:42" x14ac:dyDescent="0.15">
      <c r="A828" s="40" t="s">
        <v>1</v>
      </c>
      <c r="B828" s="23">
        <v>90090408</v>
      </c>
      <c r="C828" s="23">
        <v>904</v>
      </c>
      <c r="D828" s="23">
        <v>9</v>
      </c>
      <c r="F828" s="23" t="s">
        <v>271</v>
      </c>
      <c r="G828" s="23" t="s">
        <v>115</v>
      </c>
      <c r="H828" s="23" t="s">
        <v>894</v>
      </c>
      <c r="I828" s="23">
        <v>3</v>
      </c>
      <c r="J828" s="40">
        <v>0</v>
      </c>
      <c r="K828" s="40">
        <v>0</v>
      </c>
      <c r="L828" s="40" t="s">
        <v>115</v>
      </c>
      <c r="O828" s="40" t="s">
        <v>115</v>
      </c>
      <c r="Q828" s="40">
        <v>197</v>
      </c>
      <c r="R828" s="40">
        <v>263</v>
      </c>
      <c r="X828" s="40">
        <v>90090409</v>
      </c>
      <c r="Y828" s="40" t="s">
        <v>115</v>
      </c>
      <c r="Z828" s="40" t="s">
        <v>115</v>
      </c>
      <c r="AA828" s="40" t="s">
        <v>115</v>
      </c>
      <c r="AB828" s="40" t="s">
        <v>115</v>
      </c>
      <c r="AC828" s="40" t="s">
        <v>115</v>
      </c>
      <c r="AI828" s="40" t="s">
        <v>115</v>
      </c>
      <c r="AP828" s="4" t="s">
        <v>115</v>
      </c>
    </row>
    <row r="829" spans="1:42" x14ac:dyDescent="0.15">
      <c r="A829" s="40" t="s">
        <v>1</v>
      </c>
      <c r="B829" s="23">
        <v>90090409</v>
      </c>
      <c r="C829" s="23">
        <v>904</v>
      </c>
      <c r="D829" s="23">
        <v>9</v>
      </c>
      <c r="F829" s="23" t="s">
        <v>271</v>
      </c>
      <c r="G829" s="23" t="s">
        <v>115</v>
      </c>
      <c r="H829" s="23" t="s">
        <v>2445</v>
      </c>
      <c r="I829" s="23">
        <v>3</v>
      </c>
      <c r="J829" s="40">
        <v>0</v>
      </c>
      <c r="K829" s="40">
        <v>0</v>
      </c>
      <c r="L829" s="40" t="s">
        <v>115</v>
      </c>
      <c r="O829" s="40" t="s">
        <v>115</v>
      </c>
      <c r="Q829" s="40">
        <v>197</v>
      </c>
      <c r="R829" s="40">
        <v>263</v>
      </c>
      <c r="X829" s="40">
        <v>90090410</v>
      </c>
      <c r="Y829" s="40" t="s">
        <v>115</v>
      </c>
      <c r="Z829" s="40" t="s">
        <v>115</v>
      </c>
      <c r="AA829" s="40" t="s">
        <v>115</v>
      </c>
      <c r="AB829" s="40" t="s">
        <v>115</v>
      </c>
      <c r="AC829" s="40" t="s">
        <v>115</v>
      </c>
      <c r="AI829" s="40" t="s">
        <v>115</v>
      </c>
      <c r="AP829" s="4" t="s">
        <v>115</v>
      </c>
    </row>
    <row r="830" spans="1:42" x14ac:dyDescent="0.15">
      <c r="A830" s="40" t="s">
        <v>1</v>
      </c>
      <c r="B830" s="23">
        <v>90090410</v>
      </c>
      <c r="C830" s="23">
        <v>904</v>
      </c>
      <c r="D830" s="23">
        <v>9</v>
      </c>
      <c r="F830" s="23" t="s">
        <v>116</v>
      </c>
      <c r="G830" s="23">
        <v>274</v>
      </c>
      <c r="H830" s="23" t="s">
        <v>895</v>
      </c>
      <c r="I830" s="23">
        <v>2</v>
      </c>
      <c r="J830" s="40">
        <v>0</v>
      </c>
      <c r="K830" s="40">
        <v>5</v>
      </c>
      <c r="L830" s="40" t="s">
        <v>115</v>
      </c>
      <c r="O830" s="40" t="s">
        <v>115</v>
      </c>
      <c r="Q830" s="40">
        <v>197</v>
      </c>
      <c r="R830" s="40">
        <v>263</v>
      </c>
      <c r="X830" s="40" t="s">
        <v>2446</v>
      </c>
      <c r="Y830" s="40">
        <v>1</v>
      </c>
      <c r="Z830" s="40">
        <v>2</v>
      </c>
      <c r="AA830" s="40" t="s">
        <v>115</v>
      </c>
      <c r="AB830" s="40" t="s">
        <v>115</v>
      </c>
      <c r="AC830" s="40" t="s">
        <v>115</v>
      </c>
      <c r="AI830" s="40" t="s">
        <v>115</v>
      </c>
      <c r="AP830" s="4" t="s">
        <v>115</v>
      </c>
    </row>
    <row r="831" spans="1:42" x14ac:dyDescent="0.15">
      <c r="A831" s="40" t="s">
        <v>1</v>
      </c>
      <c r="B831" s="23">
        <v>90090411</v>
      </c>
      <c r="C831" s="23">
        <v>904</v>
      </c>
      <c r="D831" s="23">
        <v>9</v>
      </c>
      <c r="F831" s="23" t="s">
        <v>115</v>
      </c>
      <c r="G831" s="23" t="s">
        <v>115</v>
      </c>
      <c r="H831" s="23" t="s">
        <v>897</v>
      </c>
      <c r="I831" s="23">
        <v>4</v>
      </c>
      <c r="J831" s="40">
        <v>0</v>
      </c>
      <c r="K831" s="40">
        <v>6</v>
      </c>
      <c r="L831" s="40" t="s">
        <v>115</v>
      </c>
      <c r="O831" s="40" t="s">
        <v>115</v>
      </c>
      <c r="Q831" s="40">
        <v>197</v>
      </c>
      <c r="R831" s="40">
        <v>263</v>
      </c>
      <c r="X831" s="40">
        <v>90090412</v>
      </c>
      <c r="Y831" s="40">
        <v>-1</v>
      </c>
      <c r="Z831" s="40">
        <v>5</v>
      </c>
      <c r="AA831" s="40" t="s">
        <v>115</v>
      </c>
      <c r="AB831" s="40" t="s">
        <v>115</v>
      </c>
      <c r="AC831" s="40" t="s">
        <v>1030</v>
      </c>
      <c r="AI831" s="40" t="s">
        <v>115</v>
      </c>
      <c r="AP831" s="4" t="s">
        <v>115</v>
      </c>
    </row>
    <row r="832" spans="1:42" x14ac:dyDescent="0.15">
      <c r="A832" s="40" t="s">
        <v>1</v>
      </c>
      <c r="B832" s="23">
        <v>90090412</v>
      </c>
      <c r="C832" s="23">
        <v>904</v>
      </c>
      <c r="D832" s="23">
        <v>9</v>
      </c>
      <c r="F832" s="23" t="s">
        <v>271</v>
      </c>
      <c r="G832" s="23" t="s">
        <v>115</v>
      </c>
      <c r="H832" s="23" t="s">
        <v>898</v>
      </c>
      <c r="I832" s="23">
        <v>3</v>
      </c>
      <c r="J832" s="40">
        <v>0</v>
      </c>
      <c r="K832" s="40">
        <v>0</v>
      </c>
      <c r="L832" s="40" t="s">
        <v>115</v>
      </c>
      <c r="O832" s="40" t="s">
        <v>115</v>
      </c>
      <c r="Q832" s="40">
        <v>197</v>
      </c>
      <c r="R832" s="40">
        <v>263</v>
      </c>
      <c r="X832" s="40">
        <v>90090413</v>
      </c>
      <c r="Y832" s="40" t="s">
        <v>115</v>
      </c>
      <c r="Z832" s="40" t="s">
        <v>115</v>
      </c>
      <c r="AA832" s="40" t="s">
        <v>115</v>
      </c>
      <c r="AB832" s="40" t="s">
        <v>115</v>
      </c>
      <c r="AC832" s="40" t="s">
        <v>115</v>
      </c>
      <c r="AI832" s="40" t="s">
        <v>115</v>
      </c>
      <c r="AP832" s="4" t="s">
        <v>115</v>
      </c>
    </row>
    <row r="833" spans="1:42" x14ac:dyDescent="0.15">
      <c r="A833" s="40" t="s">
        <v>1</v>
      </c>
      <c r="B833" s="23">
        <v>90090413</v>
      </c>
      <c r="C833" s="23">
        <v>904</v>
      </c>
      <c r="D833" s="23">
        <v>9</v>
      </c>
      <c r="F833" s="23" t="s">
        <v>116</v>
      </c>
      <c r="G833" s="23">
        <v>274</v>
      </c>
      <c r="H833" s="23" t="s">
        <v>2553</v>
      </c>
      <c r="I833" s="23">
        <v>0</v>
      </c>
      <c r="J833" s="40">
        <v>0</v>
      </c>
      <c r="K833" s="40">
        <v>0</v>
      </c>
      <c r="L833" s="40" t="s">
        <v>115</v>
      </c>
      <c r="O833" s="40" t="s">
        <v>115</v>
      </c>
      <c r="Q833" s="40">
        <v>197</v>
      </c>
      <c r="R833" s="40">
        <v>263</v>
      </c>
      <c r="X833" s="40">
        <v>90090414</v>
      </c>
      <c r="Y833" s="40" t="s">
        <v>115</v>
      </c>
      <c r="Z833" s="40" t="s">
        <v>115</v>
      </c>
      <c r="AA833" s="40" t="s">
        <v>115</v>
      </c>
      <c r="AB833" s="40" t="s">
        <v>115</v>
      </c>
      <c r="AC833" s="40" t="s">
        <v>115</v>
      </c>
      <c r="AI833" s="40" t="s">
        <v>115</v>
      </c>
      <c r="AP833" s="4" t="s">
        <v>115</v>
      </c>
    </row>
    <row r="834" spans="1:42" x14ac:dyDescent="0.15">
      <c r="A834" s="40" t="s">
        <v>1</v>
      </c>
      <c r="B834" s="23">
        <v>90090414</v>
      </c>
      <c r="C834" s="23">
        <v>904</v>
      </c>
      <c r="D834" s="23">
        <v>9</v>
      </c>
      <c r="F834" s="23" t="s">
        <v>271</v>
      </c>
      <c r="G834" s="23" t="s">
        <v>115</v>
      </c>
      <c r="H834" s="23" t="s">
        <v>2554</v>
      </c>
      <c r="I834" s="23">
        <v>3</v>
      </c>
      <c r="J834" s="40">
        <v>0</v>
      </c>
      <c r="K834" s="40">
        <v>0</v>
      </c>
      <c r="L834" s="40" t="s">
        <v>115</v>
      </c>
      <c r="O834" s="40" t="s">
        <v>115</v>
      </c>
      <c r="Q834" s="40">
        <v>197</v>
      </c>
      <c r="R834" s="40">
        <v>263</v>
      </c>
      <c r="X834" s="40">
        <v>90090415</v>
      </c>
      <c r="Y834" s="40" t="s">
        <v>115</v>
      </c>
      <c r="Z834" s="40" t="s">
        <v>115</v>
      </c>
      <c r="AA834" s="40" t="s">
        <v>115</v>
      </c>
      <c r="AB834" s="40" t="s">
        <v>115</v>
      </c>
      <c r="AC834" s="40" t="s">
        <v>115</v>
      </c>
      <c r="AI834" s="40" t="s">
        <v>115</v>
      </c>
      <c r="AP834" s="4" t="s">
        <v>115</v>
      </c>
    </row>
    <row r="835" spans="1:42" x14ac:dyDescent="0.15">
      <c r="A835" s="40" t="s">
        <v>1</v>
      </c>
      <c r="B835" s="23">
        <v>90090415</v>
      </c>
      <c r="C835" s="23">
        <v>904</v>
      </c>
      <c r="D835" s="23">
        <v>9</v>
      </c>
      <c r="F835" s="23" t="s">
        <v>115</v>
      </c>
      <c r="G835" s="23" t="s">
        <v>115</v>
      </c>
      <c r="H835" s="23" t="s">
        <v>2555</v>
      </c>
      <c r="I835" s="23">
        <v>4</v>
      </c>
      <c r="J835" s="40">
        <v>0</v>
      </c>
      <c r="K835" s="40">
        <v>0</v>
      </c>
      <c r="L835" s="40" t="s">
        <v>115</v>
      </c>
      <c r="O835" s="40" t="s">
        <v>115</v>
      </c>
      <c r="Q835" s="40">
        <v>197</v>
      </c>
      <c r="R835" s="40">
        <v>263</v>
      </c>
      <c r="X835" s="40">
        <v>90090416</v>
      </c>
      <c r="Y835" s="40" t="s">
        <v>115</v>
      </c>
      <c r="Z835" s="40" t="s">
        <v>115</v>
      </c>
      <c r="AA835" s="40" t="s">
        <v>115</v>
      </c>
      <c r="AB835" s="40" t="s">
        <v>115</v>
      </c>
      <c r="AC835" s="40" t="s">
        <v>115</v>
      </c>
      <c r="AI835" s="40" t="s">
        <v>115</v>
      </c>
      <c r="AP835" s="4" t="s">
        <v>115</v>
      </c>
    </row>
    <row r="836" spans="1:42" x14ac:dyDescent="0.15">
      <c r="A836" s="40" t="s">
        <v>1</v>
      </c>
      <c r="B836" s="23">
        <v>90090416</v>
      </c>
      <c r="C836" s="23">
        <v>904</v>
      </c>
      <c r="D836" s="23">
        <v>9</v>
      </c>
      <c r="F836" s="23" t="s">
        <v>271</v>
      </c>
      <c r="G836" s="23" t="s">
        <v>115</v>
      </c>
      <c r="H836" s="23" t="s">
        <v>2556</v>
      </c>
      <c r="I836" s="23">
        <v>3</v>
      </c>
      <c r="J836" s="40">
        <v>0</v>
      </c>
      <c r="K836" s="40">
        <v>0</v>
      </c>
      <c r="L836" s="40" t="s">
        <v>115</v>
      </c>
      <c r="O836" s="40" t="s">
        <v>115</v>
      </c>
      <c r="Q836" s="40">
        <v>197</v>
      </c>
      <c r="R836" s="40">
        <v>263</v>
      </c>
      <c r="X836" s="40">
        <v>90090417</v>
      </c>
      <c r="Y836" s="40" t="s">
        <v>115</v>
      </c>
      <c r="Z836" s="40" t="s">
        <v>115</v>
      </c>
      <c r="AA836" s="40" t="s">
        <v>115</v>
      </c>
      <c r="AB836" s="40" t="s">
        <v>115</v>
      </c>
      <c r="AC836" s="40" t="s">
        <v>115</v>
      </c>
      <c r="AI836" s="40" t="s">
        <v>115</v>
      </c>
      <c r="AP836" s="4" t="s">
        <v>115</v>
      </c>
    </row>
    <row r="837" spans="1:42" x14ac:dyDescent="0.15">
      <c r="A837" s="40" t="s">
        <v>1</v>
      </c>
      <c r="B837" s="23">
        <v>90090417</v>
      </c>
      <c r="C837" s="23">
        <v>904</v>
      </c>
      <c r="D837" s="23">
        <v>9</v>
      </c>
      <c r="F837" s="23" t="s">
        <v>116</v>
      </c>
      <c r="G837" s="23">
        <v>274</v>
      </c>
      <c r="H837" s="23" t="s">
        <v>2447</v>
      </c>
      <c r="I837" s="23">
        <v>2</v>
      </c>
      <c r="J837" s="40">
        <v>0</v>
      </c>
      <c r="K837" s="40">
        <v>0</v>
      </c>
      <c r="L837" s="40" t="s">
        <v>115</v>
      </c>
      <c r="O837" s="40" t="s">
        <v>115</v>
      </c>
      <c r="Q837" s="40">
        <v>197</v>
      </c>
      <c r="R837" s="40">
        <v>263</v>
      </c>
      <c r="X837" s="40">
        <v>90090418</v>
      </c>
      <c r="Y837" s="40" t="s">
        <v>115</v>
      </c>
      <c r="Z837" s="40" t="s">
        <v>115</v>
      </c>
      <c r="AA837" s="40" t="s">
        <v>115</v>
      </c>
      <c r="AB837" s="40" t="s">
        <v>115</v>
      </c>
      <c r="AC837" s="40" t="s">
        <v>115</v>
      </c>
      <c r="AI837" s="40" t="s">
        <v>115</v>
      </c>
      <c r="AP837" s="4" t="s">
        <v>115</v>
      </c>
    </row>
    <row r="838" spans="1:42" x14ac:dyDescent="0.15">
      <c r="A838" s="40" t="s">
        <v>1</v>
      </c>
      <c r="B838" s="23">
        <v>90090418</v>
      </c>
      <c r="C838" s="23">
        <v>904</v>
      </c>
      <c r="D838" s="23">
        <v>9</v>
      </c>
      <c r="F838" s="23" t="s">
        <v>116</v>
      </c>
      <c r="G838" s="23">
        <v>275</v>
      </c>
      <c r="H838" s="23" t="s">
        <v>2448</v>
      </c>
      <c r="I838" s="23">
        <v>2</v>
      </c>
      <c r="J838" s="40">
        <v>0</v>
      </c>
      <c r="K838" s="40">
        <v>7</v>
      </c>
      <c r="L838" s="40" t="s">
        <v>115</v>
      </c>
      <c r="O838" s="40">
        <v>1</v>
      </c>
      <c r="Q838" s="40">
        <v>197</v>
      </c>
      <c r="R838" s="40">
        <v>263</v>
      </c>
      <c r="X838" s="40" t="s">
        <v>115</v>
      </c>
      <c r="Y838" s="40" t="s">
        <v>115</v>
      </c>
      <c r="Z838" s="40">
        <v>6</v>
      </c>
      <c r="AA838" s="40" t="s">
        <v>115</v>
      </c>
      <c r="AB838" s="40" t="s">
        <v>115</v>
      </c>
      <c r="AC838" s="40" t="s">
        <v>115</v>
      </c>
      <c r="AI838" s="40" t="s">
        <v>115</v>
      </c>
      <c r="AP838" s="4" t="s">
        <v>1028</v>
      </c>
    </row>
    <row r="839" spans="1:42" x14ac:dyDescent="0.15">
      <c r="A839" s="40" t="s">
        <v>1</v>
      </c>
      <c r="B839" s="23" t="s">
        <v>1023</v>
      </c>
      <c r="C839" s="23">
        <v>905</v>
      </c>
      <c r="D839" s="23">
        <v>9</v>
      </c>
      <c r="F839" s="23" t="s">
        <v>116</v>
      </c>
      <c r="G839" s="23">
        <v>275</v>
      </c>
      <c r="H839" s="23" t="s">
        <v>899</v>
      </c>
      <c r="I839" s="23">
        <v>0</v>
      </c>
      <c r="J839" s="40">
        <v>1</v>
      </c>
      <c r="K839" s="40">
        <v>1</v>
      </c>
      <c r="L839" s="40" t="s">
        <v>115</v>
      </c>
      <c r="O839" s="40" t="s">
        <v>115</v>
      </c>
      <c r="Q839" s="40">
        <v>140</v>
      </c>
      <c r="R839" s="40" t="s">
        <v>115</v>
      </c>
      <c r="X839" s="40">
        <v>90090502</v>
      </c>
      <c r="Y839" s="40" t="s">
        <v>115</v>
      </c>
      <c r="Z839" s="40" t="s">
        <v>115</v>
      </c>
      <c r="AA839" s="40" t="s">
        <v>115</v>
      </c>
      <c r="AB839" s="40" t="s">
        <v>115</v>
      </c>
      <c r="AC839" s="40" t="s">
        <v>115</v>
      </c>
      <c r="AI839" s="40" t="s">
        <v>115</v>
      </c>
      <c r="AP839" s="4" t="s">
        <v>115</v>
      </c>
    </row>
    <row r="840" spans="1:42" x14ac:dyDescent="0.15">
      <c r="A840" s="40" t="s">
        <v>1</v>
      </c>
      <c r="B840" s="23">
        <v>90090502</v>
      </c>
      <c r="C840" s="23">
        <v>905</v>
      </c>
      <c r="D840" s="23">
        <v>9</v>
      </c>
      <c r="F840" s="23" t="s">
        <v>527</v>
      </c>
      <c r="G840" s="23" t="s">
        <v>115</v>
      </c>
      <c r="H840" s="23" t="s">
        <v>900</v>
      </c>
      <c r="I840" s="23">
        <v>3</v>
      </c>
      <c r="J840" s="40">
        <v>0</v>
      </c>
      <c r="K840" s="40">
        <v>0</v>
      </c>
      <c r="L840" s="40" t="s">
        <v>115</v>
      </c>
      <c r="O840" s="40" t="s">
        <v>115</v>
      </c>
      <c r="Q840" s="40">
        <v>140</v>
      </c>
      <c r="R840" s="40">
        <v>229</v>
      </c>
      <c r="X840" s="40">
        <v>90090503</v>
      </c>
      <c r="Y840" s="40" t="s">
        <v>115</v>
      </c>
      <c r="Z840" s="40" t="s">
        <v>115</v>
      </c>
      <c r="AA840" s="40" t="s">
        <v>115</v>
      </c>
      <c r="AB840" s="40" t="s">
        <v>115</v>
      </c>
      <c r="AC840" s="40" t="s">
        <v>115</v>
      </c>
      <c r="AI840" s="40" t="s">
        <v>115</v>
      </c>
      <c r="AP840" s="4" t="s">
        <v>115</v>
      </c>
    </row>
    <row r="841" spans="1:42" x14ac:dyDescent="0.15">
      <c r="A841" s="40" t="s">
        <v>1</v>
      </c>
      <c r="B841" s="23">
        <v>90090503</v>
      </c>
      <c r="C841" s="23">
        <v>905</v>
      </c>
      <c r="D841" s="23">
        <v>9</v>
      </c>
      <c r="F841" s="23" t="s">
        <v>116</v>
      </c>
      <c r="G841" s="23">
        <v>275</v>
      </c>
      <c r="H841" s="23" t="s">
        <v>901</v>
      </c>
      <c r="I841" s="23">
        <v>0</v>
      </c>
      <c r="J841" s="40">
        <v>0</v>
      </c>
      <c r="K841" s="40">
        <v>0</v>
      </c>
      <c r="L841" s="40" t="s">
        <v>115</v>
      </c>
      <c r="O841" s="40" t="s">
        <v>115</v>
      </c>
      <c r="Q841" s="40">
        <v>140</v>
      </c>
      <c r="R841" s="40">
        <v>229</v>
      </c>
      <c r="X841" s="40">
        <v>90090504</v>
      </c>
      <c r="Y841" s="40" t="s">
        <v>115</v>
      </c>
      <c r="Z841" s="40" t="s">
        <v>115</v>
      </c>
      <c r="AA841" s="40" t="s">
        <v>115</v>
      </c>
      <c r="AB841" s="40" t="s">
        <v>115</v>
      </c>
      <c r="AC841" s="40" t="s">
        <v>115</v>
      </c>
      <c r="AI841" s="40" t="s">
        <v>115</v>
      </c>
      <c r="AP841" s="4" t="s">
        <v>115</v>
      </c>
    </row>
    <row r="842" spans="1:42" x14ac:dyDescent="0.15">
      <c r="A842" s="40" t="s">
        <v>1</v>
      </c>
      <c r="B842" s="23">
        <v>90090504</v>
      </c>
      <c r="C842" s="23">
        <v>905</v>
      </c>
      <c r="D842" s="23">
        <v>9</v>
      </c>
      <c r="F842" s="23" t="s">
        <v>116</v>
      </c>
      <c r="G842" s="23">
        <v>275</v>
      </c>
      <c r="H842" s="23" t="s">
        <v>902</v>
      </c>
      <c r="I842" s="23">
        <v>0</v>
      </c>
      <c r="J842" s="40">
        <v>0</v>
      </c>
      <c r="K842" s="40">
        <v>2</v>
      </c>
      <c r="L842" s="40" t="s">
        <v>115</v>
      </c>
      <c r="O842" s="40" t="s">
        <v>115</v>
      </c>
      <c r="Q842" s="40">
        <v>140</v>
      </c>
      <c r="R842" s="40">
        <v>229</v>
      </c>
      <c r="X842" s="40" t="s">
        <v>2449</v>
      </c>
      <c r="Y842" s="40">
        <v>1</v>
      </c>
      <c r="Z842" s="40">
        <v>1</v>
      </c>
      <c r="AA842" s="40" t="s">
        <v>115</v>
      </c>
      <c r="AB842" s="40" t="s">
        <v>115</v>
      </c>
      <c r="AC842" s="40" t="s">
        <v>115</v>
      </c>
      <c r="AI842" s="40" t="s">
        <v>115</v>
      </c>
      <c r="AP842" s="4" t="s">
        <v>115</v>
      </c>
    </row>
    <row r="843" spans="1:42" x14ac:dyDescent="0.15">
      <c r="A843" s="40" t="s">
        <v>1</v>
      </c>
      <c r="B843" s="23">
        <v>90090505</v>
      </c>
      <c r="C843" s="23">
        <v>905</v>
      </c>
      <c r="D843" s="23">
        <v>9</v>
      </c>
      <c r="F843" s="23" t="s">
        <v>115</v>
      </c>
      <c r="G843" s="23" t="s">
        <v>115</v>
      </c>
      <c r="H843" s="23" t="s">
        <v>903</v>
      </c>
      <c r="I843" s="23">
        <v>4</v>
      </c>
      <c r="J843" s="40">
        <v>0</v>
      </c>
      <c r="K843" s="40">
        <v>3</v>
      </c>
      <c r="L843" s="40" t="s">
        <v>115</v>
      </c>
      <c r="O843" s="40" t="s">
        <v>115</v>
      </c>
      <c r="Q843" s="40">
        <v>140</v>
      </c>
      <c r="R843" s="40">
        <v>229</v>
      </c>
      <c r="X843" s="40">
        <v>90090506</v>
      </c>
      <c r="Y843" s="40">
        <v>-1</v>
      </c>
      <c r="Z843" s="40">
        <v>2</v>
      </c>
      <c r="AA843" s="40" t="s">
        <v>115</v>
      </c>
      <c r="AB843" s="40" t="s">
        <v>115</v>
      </c>
      <c r="AC843" s="40" t="s">
        <v>1032</v>
      </c>
      <c r="AI843" s="40" t="s">
        <v>115</v>
      </c>
      <c r="AP843" s="4" t="s">
        <v>115</v>
      </c>
    </row>
    <row r="844" spans="1:42" x14ac:dyDescent="0.15">
      <c r="A844" s="40" t="s">
        <v>1</v>
      </c>
      <c r="B844" s="23">
        <v>90090506</v>
      </c>
      <c r="C844" s="23">
        <v>905</v>
      </c>
      <c r="D844" s="23">
        <v>9</v>
      </c>
      <c r="F844" s="23" t="s">
        <v>527</v>
      </c>
      <c r="G844" s="23" t="s">
        <v>115</v>
      </c>
      <c r="H844" s="23" t="s">
        <v>2450</v>
      </c>
      <c r="I844" s="23">
        <v>3</v>
      </c>
      <c r="J844" s="40">
        <v>0</v>
      </c>
      <c r="K844" s="40">
        <v>0</v>
      </c>
      <c r="L844" s="40" t="s">
        <v>115</v>
      </c>
      <c r="O844" s="40" t="s">
        <v>115</v>
      </c>
      <c r="Q844" s="40">
        <v>140</v>
      </c>
      <c r="R844" s="40">
        <v>229</v>
      </c>
      <c r="X844" s="40">
        <v>90090507</v>
      </c>
      <c r="Y844" s="40" t="s">
        <v>115</v>
      </c>
      <c r="Z844" s="40" t="s">
        <v>115</v>
      </c>
      <c r="AA844" s="40" t="s">
        <v>115</v>
      </c>
      <c r="AB844" s="40" t="s">
        <v>115</v>
      </c>
      <c r="AC844" s="40" t="s">
        <v>115</v>
      </c>
      <c r="AI844" s="40" t="s">
        <v>115</v>
      </c>
      <c r="AP844" s="4" t="s">
        <v>115</v>
      </c>
    </row>
    <row r="845" spans="1:42" x14ac:dyDescent="0.15">
      <c r="A845" s="40" t="s">
        <v>1</v>
      </c>
      <c r="B845" s="23">
        <v>90090507</v>
      </c>
      <c r="C845" s="23">
        <v>905</v>
      </c>
      <c r="D845" s="23">
        <v>9</v>
      </c>
      <c r="F845" s="23" t="s">
        <v>529</v>
      </c>
      <c r="G845" s="23" t="s">
        <v>115</v>
      </c>
      <c r="H845" s="23" t="s">
        <v>2451</v>
      </c>
      <c r="I845" s="23">
        <v>3</v>
      </c>
      <c r="J845" s="40">
        <v>0</v>
      </c>
      <c r="K845" s="40">
        <v>0</v>
      </c>
      <c r="L845" s="40" t="s">
        <v>115</v>
      </c>
      <c r="O845" s="40" t="s">
        <v>115</v>
      </c>
      <c r="Q845" s="40">
        <v>140</v>
      </c>
      <c r="R845" s="40">
        <v>213</v>
      </c>
      <c r="X845" s="40">
        <v>90090508</v>
      </c>
      <c r="Y845" s="40" t="s">
        <v>115</v>
      </c>
      <c r="Z845" s="40" t="s">
        <v>115</v>
      </c>
      <c r="AA845" s="40" t="s">
        <v>115</v>
      </c>
      <c r="AB845" s="40" t="s">
        <v>115</v>
      </c>
      <c r="AC845" s="40" t="s">
        <v>115</v>
      </c>
      <c r="AI845" s="40" t="s">
        <v>115</v>
      </c>
      <c r="AP845" s="4" t="s">
        <v>115</v>
      </c>
    </row>
    <row r="846" spans="1:42" x14ac:dyDescent="0.15">
      <c r="A846" s="40" t="s">
        <v>1</v>
      </c>
      <c r="B846" s="23">
        <v>90090508</v>
      </c>
      <c r="C846" s="23">
        <v>905</v>
      </c>
      <c r="D846" s="23">
        <v>9</v>
      </c>
      <c r="F846" s="23" t="s">
        <v>116</v>
      </c>
      <c r="G846" s="23">
        <v>275</v>
      </c>
      <c r="H846" s="23" t="s">
        <v>2452</v>
      </c>
      <c r="I846" s="23">
        <v>0</v>
      </c>
      <c r="J846" s="40">
        <v>0</v>
      </c>
      <c r="K846" s="40">
        <v>0</v>
      </c>
      <c r="L846" s="40" t="s">
        <v>115</v>
      </c>
      <c r="O846" s="40" t="s">
        <v>115</v>
      </c>
      <c r="Q846" s="40">
        <v>140</v>
      </c>
      <c r="R846" s="40">
        <v>213</v>
      </c>
      <c r="X846" s="40">
        <v>90090509</v>
      </c>
      <c r="Y846" s="40" t="s">
        <v>115</v>
      </c>
      <c r="Z846" s="40" t="s">
        <v>115</v>
      </c>
      <c r="AA846" s="40" t="s">
        <v>115</v>
      </c>
      <c r="AB846" s="40" t="s">
        <v>115</v>
      </c>
      <c r="AC846" s="40" t="s">
        <v>115</v>
      </c>
      <c r="AI846" s="40" t="s">
        <v>115</v>
      </c>
      <c r="AP846" s="4" t="s">
        <v>115</v>
      </c>
    </row>
    <row r="847" spans="1:42" x14ac:dyDescent="0.15">
      <c r="A847" s="40" t="s">
        <v>1</v>
      </c>
      <c r="B847" s="23">
        <v>90090509</v>
      </c>
      <c r="C847" s="23">
        <v>905</v>
      </c>
      <c r="D847" s="23">
        <v>9</v>
      </c>
      <c r="F847" s="23" t="s">
        <v>529</v>
      </c>
      <c r="G847" s="23" t="s">
        <v>115</v>
      </c>
      <c r="H847" s="23" t="s">
        <v>904</v>
      </c>
      <c r="I847" s="23">
        <v>3</v>
      </c>
      <c r="J847" s="40">
        <v>0</v>
      </c>
      <c r="K847" s="40">
        <v>0</v>
      </c>
      <c r="L847" s="40" t="s">
        <v>115</v>
      </c>
      <c r="O847" s="40" t="s">
        <v>115</v>
      </c>
      <c r="Q847" s="40">
        <v>140</v>
      </c>
      <c r="R847" s="40">
        <v>213</v>
      </c>
      <c r="X847" s="40">
        <v>90090510</v>
      </c>
      <c r="Y847" s="40" t="s">
        <v>115</v>
      </c>
      <c r="Z847" s="40" t="s">
        <v>115</v>
      </c>
      <c r="AA847" s="40" t="s">
        <v>115</v>
      </c>
      <c r="AB847" s="40" t="s">
        <v>115</v>
      </c>
      <c r="AC847" s="40" t="s">
        <v>115</v>
      </c>
      <c r="AI847" s="40" t="s">
        <v>115</v>
      </c>
      <c r="AP847" s="4" t="s">
        <v>115</v>
      </c>
    </row>
    <row r="848" spans="1:42" x14ac:dyDescent="0.15">
      <c r="A848" s="40" t="s">
        <v>1</v>
      </c>
      <c r="B848" s="23">
        <v>90090510</v>
      </c>
      <c r="C848" s="23">
        <v>905</v>
      </c>
      <c r="D848" s="23">
        <v>9</v>
      </c>
      <c r="F848" s="23" t="s">
        <v>116</v>
      </c>
      <c r="G848" s="23">
        <v>258</v>
      </c>
      <c r="H848" s="23" t="s">
        <v>905</v>
      </c>
      <c r="I848" s="23">
        <v>0</v>
      </c>
      <c r="J848" s="40">
        <v>0</v>
      </c>
      <c r="K848" s="40">
        <v>0</v>
      </c>
      <c r="L848" s="40" t="s">
        <v>115</v>
      </c>
      <c r="O848" s="40" t="s">
        <v>115</v>
      </c>
      <c r="Q848" s="40">
        <v>140</v>
      </c>
      <c r="R848" s="40">
        <v>213</v>
      </c>
      <c r="X848" s="40">
        <v>90090511</v>
      </c>
      <c r="Y848" s="40" t="s">
        <v>115</v>
      </c>
      <c r="Z848" s="40" t="s">
        <v>115</v>
      </c>
      <c r="AA848" s="40" t="s">
        <v>115</v>
      </c>
      <c r="AB848" s="40" t="s">
        <v>115</v>
      </c>
      <c r="AC848" s="40" t="s">
        <v>115</v>
      </c>
      <c r="AI848" s="40" t="s">
        <v>115</v>
      </c>
      <c r="AP848" s="4" t="s">
        <v>115</v>
      </c>
    </row>
    <row r="849" spans="1:42" x14ac:dyDescent="0.15">
      <c r="A849" s="40" t="s">
        <v>1</v>
      </c>
      <c r="B849" s="23">
        <v>90090511</v>
      </c>
      <c r="C849" s="23">
        <v>905</v>
      </c>
      <c r="D849" s="23">
        <v>9</v>
      </c>
      <c r="F849" s="23" t="s">
        <v>527</v>
      </c>
      <c r="G849" s="23" t="s">
        <v>115</v>
      </c>
      <c r="H849" s="23" t="s">
        <v>2453</v>
      </c>
      <c r="I849" s="23">
        <v>3</v>
      </c>
      <c r="J849" s="40">
        <v>0</v>
      </c>
      <c r="K849" s="40">
        <v>0</v>
      </c>
      <c r="L849" s="40" t="s">
        <v>115</v>
      </c>
      <c r="O849" s="40" t="s">
        <v>115</v>
      </c>
      <c r="Q849" s="40">
        <v>140</v>
      </c>
      <c r="R849" s="40">
        <v>229</v>
      </c>
      <c r="X849" s="40">
        <v>90090512</v>
      </c>
      <c r="Y849" s="40" t="s">
        <v>115</v>
      </c>
      <c r="Z849" s="40" t="s">
        <v>115</v>
      </c>
      <c r="AA849" s="40" t="s">
        <v>115</v>
      </c>
      <c r="AB849" s="40" t="s">
        <v>115</v>
      </c>
      <c r="AC849" s="40" t="s">
        <v>115</v>
      </c>
      <c r="AI849" s="40" t="s">
        <v>115</v>
      </c>
      <c r="AP849" s="4" t="s">
        <v>115</v>
      </c>
    </row>
    <row r="850" spans="1:42" x14ac:dyDescent="0.15">
      <c r="A850" s="40" t="s">
        <v>1</v>
      </c>
      <c r="B850" s="23">
        <v>90090512</v>
      </c>
      <c r="C850" s="23">
        <v>905</v>
      </c>
      <c r="D850" s="23">
        <v>9</v>
      </c>
      <c r="F850" s="23" t="s">
        <v>529</v>
      </c>
      <c r="G850" s="23" t="s">
        <v>115</v>
      </c>
      <c r="H850" s="23" t="s">
        <v>2454</v>
      </c>
      <c r="I850" s="23">
        <v>3</v>
      </c>
      <c r="J850" s="40">
        <v>0</v>
      </c>
      <c r="K850" s="40">
        <v>0</v>
      </c>
      <c r="L850" s="40" t="s">
        <v>115</v>
      </c>
      <c r="O850" s="40" t="s">
        <v>115</v>
      </c>
      <c r="Q850" s="40">
        <v>140</v>
      </c>
      <c r="R850" s="40">
        <v>213</v>
      </c>
      <c r="X850" s="40">
        <v>90090513</v>
      </c>
      <c r="Y850" s="40" t="s">
        <v>115</v>
      </c>
      <c r="Z850" s="40" t="s">
        <v>115</v>
      </c>
      <c r="AA850" s="40" t="s">
        <v>115</v>
      </c>
      <c r="AB850" s="40" t="s">
        <v>115</v>
      </c>
      <c r="AC850" s="40" t="s">
        <v>115</v>
      </c>
      <c r="AI850" s="40" t="s">
        <v>115</v>
      </c>
      <c r="AP850" s="4" t="s">
        <v>115</v>
      </c>
    </row>
    <row r="851" spans="1:42" x14ac:dyDescent="0.15">
      <c r="A851" s="40" t="s">
        <v>1</v>
      </c>
      <c r="B851" s="23">
        <v>90090513</v>
      </c>
      <c r="C851" s="23">
        <v>905</v>
      </c>
      <c r="D851" s="23">
        <v>9</v>
      </c>
      <c r="F851" s="23" t="s">
        <v>116</v>
      </c>
      <c r="G851" s="23">
        <v>261</v>
      </c>
      <c r="H851" s="23" t="s">
        <v>2455</v>
      </c>
      <c r="I851" s="23">
        <v>0</v>
      </c>
      <c r="J851" s="40">
        <v>0</v>
      </c>
      <c r="K851" s="40">
        <v>0</v>
      </c>
      <c r="L851" s="40" t="s">
        <v>115</v>
      </c>
      <c r="O851" s="40" t="s">
        <v>115</v>
      </c>
      <c r="Q851" s="40">
        <v>140</v>
      </c>
      <c r="R851" s="40">
        <v>213</v>
      </c>
      <c r="X851" s="40">
        <v>90090514</v>
      </c>
      <c r="Y851" s="40" t="s">
        <v>115</v>
      </c>
      <c r="Z851" s="40" t="s">
        <v>115</v>
      </c>
      <c r="AA851" s="40" t="s">
        <v>115</v>
      </c>
      <c r="AB851" s="40" t="s">
        <v>115</v>
      </c>
      <c r="AC851" s="40" t="s">
        <v>115</v>
      </c>
      <c r="AI851" s="40" t="s">
        <v>115</v>
      </c>
      <c r="AP851" s="4" t="s">
        <v>115</v>
      </c>
    </row>
    <row r="852" spans="1:42" x14ac:dyDescent="0.15">
      <c r="A852" s="40" t="s">
        <v>1</v>
      </c>
      <c r="B852" s="23">
        <v>90090514</v>
      </c>
      <c r="C852" s="23">
        <v>905</v>
      </c>
      <c r="D852" s="23">
        <v>9</v>
      </c>
      <c r="F852" s="23" t="s">
        <v>529</v>
      </c>
      <c r="G852" s="23" t="s">
        <v>115</v>
      </c>
      <c r="H852" s="23" t="s">
        <v>2456</v>
      </c>
      <c r="I852" s="23">
        <v>3</v>
      </c>
      <c r="J852" s="40">
        <v>0</v>
      </c>
      <c r="K852" s="40">
        <v>0</v>
      </c>
      <c r="L852" s="40" t="s">
        <v>115</v>
      </c>
      <c r="O852" s="40" t="s">
        <v>115</v>
      </c>
      <c r="Q852" s="40">
        <v>140</v>
      </c>
      <c r="R852" s="40">
        <v>213</v>
      </c>
      <c r="X852" s="40">
        <v>90090515</v>
      </c>
      <c r="Y852" s="40" t="s">
        <v>115</v>
      </c>
      <c r="Z852" s="40" t="s">
        <v>115</v>
      </c>
      <c r="AA852" s="40" t="s">
        <v>115</v>
      </c>
      <c r="AB852" s="40" t="s">
        <v>115</v>
      </c>
      <c r="AC852" s="40" t="s">
        <v>115</v>
      </c>
      <c r="AI852" s="40" t="s">
        <v>115</v>
      </c>
      <c r="AP852" s="4" t="s">
        <v>115</v>
      </c>
    </row>
    <row r="853" spans="1:42" x14ac:dyDescent="0.15">
      <c r="A853" s="40" t="s">
        <v>1</v>
      </c>
      <c r="B853" s="23">
        <v>90090515</v>
      </c>
      <c r="C853" s="23">
        <v>905</v>
      </c>
      <c r="D853" s="23">
        <v>9</v>
      </c>
      <c r="F853" s="23" t="s">
        <v>527</v>
      </c>
      <c r="G853" s="23" t="s">
        <v>115</v>
      </c>
      <c r="H853" s="23" t="s">
        <v>906</v>
      </c>
      <c r="I853" s="23">
        <v>3</v>
      </c>
      <c r="J853" s="40">
        <v>0</v>
      </c>
      <c r="K853" s="40">
        <v>0</v>
      </c>
      <c r="L853" s="40" t="s">
        <v>115</v>
      </c>
      <c r="O853" s="40" t="s">
        <v>115</v>
      </c>
      <c r="Q853" s="40">
        <v>140</v>
      </c>
      <c r="R853" s="40">
        <v>229</v>
      </c>
      <c r="X853" s="40">
        <v>90090516</v>
      </c>
      <c r="Y853" s="40" t="s">
        <v>115</v>
      </c>
      <c r="Z853" s="40" t="s">
        <v>115</v>
      </c>
      <c r="AA853" s="40" t="s">
        <v>115</v>
      </c>
      <c r="AB853" s="40" t="s">
        <v>115</v>
      </c>
      <c r="AC853" s="40" t="s">
        <v>115</v>
      </c>
      <c r="AI853" s="40" t="s">
        <v>115</v>
      </c>
      <c r="AP853" s="4" t="s">
        <v>115</v>
      </c>
    </row>
    <row r="854" spans="1:42" x14ac:dyDescent="0.15">
      <c r="A854" s="40" t="s">
        <v>1</v>
      </c>
      <c r="B854" s="23">
        <v>90090516</v>
      </c>
      <c r="C854" s="23">
        <v>905</v>
      </c>
      <c r="D854" s="23">
        <v>9</v>
      </c>
      <c r="F854" s="23" t="s">
        <v>116</v>
      </c>
      <c r="G854" s="23">
        <v>261</v>
      </c>
      <c r="H854" s="23" t="s">
        <v>2457</v>
      </c>
      <c r="I854" s="23">
        <v>0</v>
      </c>
      <c r="J854" s="40">
        <v>0</v>
      </c>
      <c r="K854" s="40">
        <v>4</v>
      </c>
      <c r="L854" s="40" t="s">
        <v>115</v>
      </c>
      <c r="O854" s="40">
        <v>1</v>
      </c>
      <c r="Q854" s="40">
        <v>140</v>
      </c>
      <c r="R854" s="40">
        <v>229</v>
      </c>
      <c r="X854" s="40" t="s">
        <v>115</v>
      </c>
      <c r="Y854" s="40" t="s">
        <v>115</v>
      </c>
      <c r="Z854" s="40">
        <v>3</v>
      </c>
      <c r="AA854" s="40" t="s">
        <v>115</v>
      </c>
      <c r="AB854" s="40" t="s">
        <v>115</v>
      </c>
      <c r="AC854" s="40" t="s">
        <v>115</v>
      </c>
      <c r="AI854" s="40" t="s">
        <v>115</v>
      </c>
      <c r="AP854" s="4" t="s">
        <v>115</v>
      </c>
    </row>
    <row r="855" spans="1:42" x14ac:dyDescent="0.15">
      <c r="A855" s="40" t="s">
        <v>1</v>
      </c>
      <c r="B855" s="23" t="s">
        <v>491</v>
      </c>
      <c r="C855" s="23">
        <v>1001</v>
      </c>
      <c r="D855" s="23">
        <v>10</v>
      </c>
      <c r="F855" s="23" t="s">
        <v>561</v>
      </c>
      <c r="G855" s="23" t="s">
        <v>115</v>
      </c>
      <c r="H855" s="23" t="s">
        <v>562</v>
      </c>
      <c r="I855" s="23">
        <v>3</v>
      </c>
      <c r="J855" s="40">
        <v>1</v>
      </c>
      <c r="K855" s="40">
        <v>1</v>
      </c>
      <c r="L855" s="40" t="s">
        <v>115</v>
      </c>
      <c r="O855" s="40" t="s">
        <v>115</v>
      </c>
      <c r="Q855" s="40">
        <v>135</v>
      </c>
      <c r="R855" s="40">
        <v>24</v>
      </c>
      <c r="X855" s="40">
        <v>90100102</v>
      </c>
      <c r="Y855" s="40" t="s">
        <v>115</v>
      </c>
      <c r="Z855" s="40" t="s">
        <v>115</v>
      </c>
      <c r="AA855" s="40" t="s">
        <v>115</v>
      </c>
      <c r="AB855" s="40" t="s">
        <v>115</v>
      </c>
      <c r="AC855" s="40" t="s">
        <v>115</v>
      </c>
      <c r="AI855" s="40" t="s">
        <v>115</v>
      </c>
      <c r="AP855" s="4" t="s">
        <v>115</v>
      </c>
    </row>
    <row r="856" spans="1:42" x14ac:dyDescent="0.15">
      <c r="A856" s="40" t="s">
        <v>1</v>
      </c>
      <c r="B856" s="23">
        <v>90100102</v>
      </c>
      <c r="C856" s="23">
        <v>1001</v>
      </c>
      <c r="D856" s="23">
        <v>10</v>
      </c>
      <c r="F856" s="23" t="s">
        <v>116</v>
      </c>
      <c r="G856" s="23">
        <v>313</v>
      </c>
      <c r="H856" s="23" t="s">
        <v>563</v>
      </c>
      <c r="I856" s="23">
        <v>0</v>
      </c>
      <c r="J856" s="40">
        <v>0</v>
      </c>
      <c r="K856" s="40">
        <v>0</v>
      </c>
      <c r="L856" s="40" t="s">
        <v>115</v>
      </c>
      <c r="O856" s="40" t="s">
        <v>115</v>
      </c>
      <c r="Q856" s="40">
        <v>135</v>
      </c>
      <c r="R856" s="40">
        <v>24</v>
      </c>
      <c r="X856" s="40">
        <v>90100103</v>
      </c>
      <c r="Y856" s="40" t="s">
        <v>115</v>
      </c>
      <c r="Z856" s="40" t="s">
        <v>115</v>
      </c>
      <c r="AA856" s="40" t="s">
        <v>115</v>
      </c>
      <c r="AB856" s="40" t="s">
        <v>115</v>
      </c>
      <c r="AC856" s="40" t="s">
        <v>115</v>
      </c>
      <c r="AI856" s="40" t="s">
        <v>115</v>
      </c>
      <c r="AP856" s="4" t="s">
        <v>115</v>
      </c>
    </row>
    <row r="857" spans="1:42" x14ac:dyDescent="0.15">
      <c r="A857" s="40" t="s">
        <v>1</v>
      </c>
      <c r="B857" s="23">
        <v>90100103</v>
      </c>
      <c r="C857" s="23">
        <v>1001</v>
      </c>
      <c r="D857" s="23">
        <v>10</v>
      </c>
      <c r="F857" s="23" t="s">
        <v>561</v>
      </c>
      <c r="G857" s="23" t="s">
        <v>115</v>
      </c>
      <c r="H857" s="23" t="s">
        <v>981</v>
      </c>
      <c r="I857" s="23">
        <v>3</v>
      </c>
      <c r="J857" s="40">
        <v>0</v>
      </c>
      <c r="K857" s="40">
        <v>0</v>
      </c>
      <c r="L857" s="40" t="s">
        <v>115</v>
      </c>
      <c r="O857" s="40" t="s">
        <v>115</v>
      </c>
      <c r="Q857" s="40">
        <v>135</v>
      </c>
      <c r="R857" s="40">
        <v>24</v>
      </c>
      <c r="X857" s="40">
        <v>90100104</v>
      </c>
      <c r="Y857" s="40" t="s">
        <v>115</v>
      </c>
      <c r="Z857" s="40" t="s">
        <v>115</v>
      </c>
      <c r="AA857" s="40" t="s">
        <v>115</v>
      </c>
      <c r="AB857" s="40" t="s">
        <v>115</v>
      </c>
      <c r="AC857" s="40" t="s">
        <v>115</v>
      </c>
      <c r="AI857" s="40" t="s">
        <v>115</v>
      </c>
      <c r="AP857" s="4" t="s">
        <v>115</v>
      </c>
    </row>
    <row r="858" spans="1:42" x14ac:dyDescent="0.15">
      <c r="A858" s="40" t="s">
        <v>1</v>
      </c>
      <c r="B858" s="23">
        <v>90100104</v>
      </c>
      <c r="C858" s="23">
        <v>1001</v>
      </c>
      <c r="D858" s="23">
        <v>10</v>
      </c>
      <c r="F858" s="23" t="s">
        <v>116</v>
      </c>
      <c r="G858" s="23">
        <v>314</v>
      </c>
      <c r="H858" s="23" t="s">
        <v>564</v>
      </c>
      <c r="I858" s="23">
        <v>0</v>
      </c>
      <c r="J858" s="40">
        <v>0</v>
      </c>
      <c r="K858" s="40">
        <v>0</v>
      </c>
      <c r="L858" s="40" t="s">
        <v>115</v>
      </c>
      <c r="O858" s="40" t="s">
        <v>115</v>
      </c>
      <c r="Q858" s="40">
        <v>135</v>
      </c>
      <c r="R858" s="40">
        <v>24</v>
      </c>
      <c r="X858" s="40">
        <v>90100105</v>
      </c>
      <c r="Y858" s="40" t="s">
        <v>115</v>
      </c>
      <c r="Z858" s="40" t="s">
        <v>115</v>
      </c>
      <c r="AA858" s="40" t="s">
        <v>115</v>
      </c>
      <c r="AB858" s="40" t="s">
        <v>115</v>
      </c>
      <c r="AC858" s="40" t="s">
        <v>115</v>
      </c>
      <c r="AI858" s="40" t="s">
        <v>115</v>
      </c>
      <c r="AP858" s="4" t="s">
        <v>115</v>
      </c>
    </row>
    <row r="859" spans="1:42" x14ac:dyDescent="0.15">
      <c r="A859" s="40" t="s">
        <v>1</v>
      </c>
      <c r="B859" s="23">
        <v>90100105</v>
      </c>
      <c r="C859" s="23">
        <v>1001</v>
      </c>
      <c r="D859" s="23">
        <v>10</v>
      </c>
      <c r="F859" s="23" t="s">
        <v>561</v>
      </c>
      <c r="G859" s="23" t="s">
        <v>115</v>
      </c>
      <c r="H859" s="23" t="s">
        <v>565</v>
      </c>
      <c r="I859" s="23">
        <v>3</v>
      </c>
      <c r="J859" s="40">
        <v>0</v>
      </c>
      <c r="K859" s="40">
        <v>2</v>
      </c>
      <c r="L859" s="40" t="s">
        <v>115</v>
      </c>
      <c r="O859" s="40">
        <v>1</v>
      </c>
      <c r="Q859" s="40">
        <v>135</v>
      </c>
      <c r="R859" s="40">
        <v>24</v>
      </c>
      <c r="X859" s="40" t="s">
        <v>115</v>
      </c>
      <c r="Y859" s="40" t="s">
        <v>115</v>
      </c>
      <c r="Z859" s="40">
        <v>1</v>
      </c>
      <c r="AA859" s="40" t="s">
        <v>115</v>
      </c>
      <c r="AB859" s="40" t="s">
        <v>115</v>
      </c>
      <c r="AC859" s="40" t="s">
        <v>115</v>
      </c>
      <c r="AI859" s="40" t="s">
        <v>115</v>
      </c>
      <c r="AP859" s="4" t="s">
        <v>2458</v>
      </c>
    </row>
    <row r="860" spans="1:42" x14ac:dyDescent="0.15">
      <c r="A860" s="40" t="s">
        <v>1</v>
      </c>
      <c r="B860" s="23" t="s">
        <v>493</v>
      </c>
      <c r="C860" s="23">
        <v>1002</v>
      </c>
      <c r="D860" s="23">
        <v>10</v>
      </c>
      <c r="F860" s="23" t="s">
        <v>566</v>
      </c>
      <c r="G860" s="23" t="s">
        <v>115</v>
      </c>
      <c r="H860" s="23" t="s">
        <v>1866</v>
      </c>
      <c r="I860" s="23">
        <v>3</v>
      </c>
      <c r="J860" s="40">
        <v>1</v>
      </c>
      <c r="K860" s="40">
        <v>1</v>
      </c>
      <c r="L860" s="40" t="s">
        <v>115</v>
      </c>
      <c r="O860" s="40" t="s">
        <v>115</v>
      </c>
      <c r="Q860" s="40">
        <v>192</v>
      </c>
      <c r="R860" s="40">
        <v>170</v>
      </c>
      <c r="X860" s="40" t="s">
        <v>2459</v>
      </c>
      <c r="Y860" s="40">
        <v>1</v>
      </c>
      <c r="Z860" s="40" t="s">
        <v>115</v>
      </c>
      <c r="AA860" s="40" t="s">
        <v>115</v>
      </c>
      <c r="AB860" s="40" t="s">
        <v>115</v>
      </c>
      <c r="AC860" s="40" t="s">
        <v>115</v>
      </c>
      <c r="AI860" s="40" t="s">
        <v>115</v>
      </c>
      <c r="AP860" s="4" t="s">
        <v>115</v>
      </c>
    </row>
    <row r="861" spans="1:42" x14ac:dyDescent="0.15">
      <c r="A861" s="40" t="s">
        <v>1</v>
      </c>
      <c r="B861" s="23">
        <v>90100202</v>
      </c>
      <c r="C861" s="23">
        <v>1002</v>
      </c>
      <c r="D861" s="23">
        <v>10</v>
      </c>
      <c r="F861" s="23" t="s">
        <v>115</v>
      </c>
      <c r="G861" s="23" t="s">
        <v>115</v>
      </c>
      <c r="H861" s="23" t="s">
        <v>567</v>
      </c>
      <c r="I861" s="23">
        <v>4</v>
      </c>
      <c r="J861" s="40">
        <v>0</v>
      </c>
      <c r="K861" s="40">
        <v>2</v>
      </c>
      <c r="L861" s="40" t="s">
        <v>115</v>
      </c>
      <c r="O861" s="40" t="s">
        <v>115</v>
      </c>
      <c r="Q861" s="40">
        <v>192</v>
      </c>
      <c r="R861" s="40">
        <v>170</v>
      </c>
      <c r="X861" s="40">
        <v>90100204</v>
      </c>
      <c r="Y861" s="40">
        <v>-1</v>
      </c>
      <c r="Z861" s="40">
        <v>1</v>
      </c>
      <c r="AA861" s="40" t="s">
        <v>115</v>
      </c>
      <c r="AB861" s="40" t="s">
        <v>115</v>
      </c>
      <c r="AC861" s="40" t="s">
        <v>568</v>
      </c>
      <c r="AI861" s="40" t="s">
        <v>115</v>
      </c>
      <c r="AP861" s="4" t="s">
        <v>115</v>
      </c>
    </row>
    <row r="862" spans="1:42" x14ac:dyDescent="0.15">
      <c r="A862" s="40" t="s">
        <v>1</v>
      </c>
      <c r="B862" s="23">
        <v>90100203</v>
      </c>
      <c r="C862" s="23">
        <v>1002</v>
      </c>
      <c r="D862" s="23">
        <v>10</v>
      </c>
      <c r="F862" s="23" t="s">
        <v>115</v>
      </c>
      <c r="G862" s="23" t="s">
        <v>115</v>
      </c>
      <c r="H862" s="23" t="s">
        <v>569</v>
      </c>
      <c r="I862" s="23">
        <v>4</v>
      </c>
      <c r="J862" s="40">
        <v>0</v>
      </c>
      <c r="K862" s="40">
        <v>3</v>
      </c>
      <c r="L862" s="40" t="s">
        <v>115</v>
      </c>
      <c r="O862" s="40" t="s">
        <v>115</v>
      </c>
      <c r="Q862" s="40">
        <v>192</v>
      </c>
      <c r="R862" s="40">
        <v>170</v>
      </c>
      <c r="X862" s="40">
        <v>90100206</v>
      </c>
      <c r="Y862" s="40">
        <v>-1</v>
      </c>
      <c r="Z862" s="40">
        <v>1</v>
      </c>
      <c r="AA862" s="40" t="s">
        <v>570</v>
      </c>
      <c r="AB862" s="40" t="s">
        <v>115</v>
      </c>
      <c r="AC862" s="40" t="s">
        <v>115</v>
      </c>
      <c r="AI862" s="40" t="s">
        <v>115</v>
      </c>
      <c r="AP862" s="4" t="s">
        <v>115</v>
      </c>
    </row>
    <row r="863" spans="1:42" x14ac:dyDescent="0.15">
      <c r="A863" s="40" t="s">
        <v>1</v>
      </c>
      <c r="B863" s="23">
        <v>90100204</v>
      </c>
      <c r="C863" s="23">
        <v>1002</v>
      </c>
      <c r="D863" s="23">
        <v>10</v>
      </c>
      <c r="F863" s="23" t="s">
        <v>566</v>
      </c>
      <c r="G863" s="23" t="s">
        <v>115</v>
      </c>
      <c r="H863" s="23" t="s">
        <v>571</v>
      </c>
      <c r="I863" s="23">
        <v>3</v>
      </c>
      <c r="J863" s="40">
        <v>0</v>
      </c>
      <c r="K863" s="40">
        <v>0</v>
      </c>
      <c r="L863" s="40" t="s">
        <v>115</v>
      </c>
      <c r="O863" s="40" t="s">
        <v>115</v>
      </c>
      <c r="Q863" s="40">
        <v>192</v>
      </c>
      <c r="R863" s="40">
        <v>170</v>
      </c>
      <c r="X863" s="40">
        <v>90100205</v>
      </c>
      <c r="Y863" s="40" t="s">
        <v>115</v>
      </c>
      <c r="Z863" s="40" t="s">
        <v>115</v>
      </c>
      <c r="AA863" s="40" t="s">
        <v>115</v>
      </c>
      <c r="AB863" s="40" t="s">
        <v>115</v>
      </c>
      <c r="AC863" s="40" t="s">
        <v>115</v>
      </c>
      <c r="AI863" s="40" t="s">
        <v>115</v>
      </c>
      <c r="AP863" s="4" t="s">
        <v>115</v>
      </c>
    </row>
    <row r="864" spans="1:42" x14ac:dyDescent="0.15">
      <c r="A864" s="40" t="s">
        <v>1</v>
      </c>
      <c r="B864" s="23">
        <v>90100205</v>
      </c>
      <c r="C864" s="23">
        <v>1002</v>
      </c>
      <c r="D864" s="23">
        <v>10</v>
      </c>
      <c r="F864" s="23" t="s">
        <v>116</v>
      </c>
      <c r="G864" s="23">
        <v>312</v>
      </c>
      <c r="H864" s="23" t="s">
        <v>572</v>
      </c>
      <c r="I864" s="23">
        <v>0</v>
      </c>
      <c r="J864" s="40">
        <v>0</v>
      </c>
      <c r="K864" s="40">
        <v>0</v>
      </c>
      <c r="L864" s="40" t="s">
        <v>115</v>
      </c>
      <c r="O864" s="40" t="s">
        <v>115</v>
      </c>
      <c r="Q864" s="40">
        <v>192</v>
      </c>
      <c r="R864" s="40">
        <v>170</v>
      </c>
      <c r="X864" s="40">
        <v>90100208</v>
      </c>
      <c r="Y864" s="40" t="s">
        <v>115</v>
      </c>
      <c r="Z864" s="40" t="s">
        <v>115</v>
      </c>
      <c r="AA864" s="40" t="s">
        <v>115</v>
      </c>
      <c r="AB864" s="40" t="s">
        <v>115</v>
      </c>
      <c r="AC864" s="40" t="s">
        <v>115</v>
      </c>
      <c r="AI864" s="40" t="s">
        <v>115</v>
      </c>
      <c r="AP864" s="4" t="s">
        <v>115</v>
      </c>
    </row>
    <row r="865" spans="1:42" x14ac:dyDescent="0.15">
      <c r="A865" s="40" t="s">
        <v>1</v>
      </c>
      <c r="B865" s="23">
        <v>90100206</v>
      </c>
      <c r="C865" s="23">
        <v>1002</v>
      </c>
      <c r="D865" s="23">
        <v>10</v>
      </c>
      <c r="F865" s="23" t="s">
        <v>566</v>
      </c>
      <c r="G865" s="23" t="s">
        <v>115</v>
      </c>
      <c r="H865" s="23" t="s">
        <v>573</v>
      </c>
      <c r="I865" s="23">
        <v>3</v>
      </c>
      <c r="J865" s="40">
        <v>0</v>
      </c>
      <c r="K865" s="40">
        <v>0</v>
      </c>
      <c r="L865" s="40" t="s">
        <v>115</v>
      </c>
      <c r="O865" s="40" t="s">
        <v>115</v>
      </c>
      <c r="Q865" s="40">
        <v>192</v>
      </c>
      <c r="R865" s="40">
        <v>170</v>
      </c>
      <c r="X865" s="40">
        <v>90100207</v>
      </c>
      <c r="Y865" s="40" t="s">
        <v>115</v>
      </c>
      <c r="Z865" s="40" t="s">
        <v>115</v>
      </c>
      <c r="AA865" s="40" t="s">
        <v>115</v>
      </c>
      <c r="AB865" s="40" t="s">
        <v>115</v>
      </c>
      <c r="AC865" s="40" t="s">
        <v>115</v>
      </c>
      <c r="AI865" s="40" t="s">
        <v>115</v>
      </c>
      <c r="AP865" s="4" t="s">
        <v>115</v>
      </c>
    </row>
    <row r="866" spans="1:42" x14ac:dyDescent="0.15">
      <c r="A866" s="40" t="s">
        <v>1</v>
      </c>
      <c r="B866" s="23">
        <v>90100207</v>
      </c>
      <c r="C866" s="23">
        <v>1002</v>
      </c>
      <c r="D866" s="23">
        <v>10</v>
      </c>
      <c r="F866" s="23" t="s">
        <v>116</v>
      </c>
      <c r="G866" s="23">
        <v>312</v>
      </c>
      <c r="H866" s="23" t="s">
        <v>574</v>
      </c>
      <c r="I866" s="23">
        <v>0</v>
      </c>
      <c r="J866" s="40">
        <v>0</v>
      </c>
      <c r="K866" s="40">
        <v>0</v>
      </c>
      <c r="L866" s="40" t="s">
        <v>115</v>
      </c>
      <c r="O866" s="40" t="s">
        <v>115</v>
      </c>
      <c r="Q866" s="40">
        <v>192</v>
      </c>
      <c r="R866" s="40">
        <v>170</v>
      </c>
      <c r="X866" s="40">
        <v>90100208</v>
      </c>
      <c r="Y866" s="40" t="s">
        <v>115</v>
      </c>
      <c r="Z866" s="40" t="s">
        <v>115</v>
      </c>
      <c r="AA866" s="40" t="s">
        <v>115</v>
      </c>
      <c r="AB866" s="40" t="s">
        <v>115</v>
      </c>
      <c r="AC866" s="40" t="s">
        <v>115</v>
      </c>
      <c r="AI866" s="40" t="s">
        <v>115</v>
      </c>
      <c r="AP866" s="4" t="s">
        <v>115</v>
      </c>
    </row>
    <row r="867" spans="1:42" x14ac:dyDescent="0.15">
      <c r="A867" s="40" t="s">
        <v>1</v>
      </c>
      <c r="B867" s="23">
        <v>90100208</v>
      </c>
      <c r="C867" s="23">
        <v>1002</v>
      </c>
      <c r="D867" s="23">
        <v>10</v>
      </c>
      <c r="F867" s="23" t="s">
        <v>566</v>
      </c>
      <c r="G867" s="23" t="s">
        <v>115</v>
      </c>
      <c r="H867" s="23" t="s">
        <v>575</v>
      </c>
      <c r="I867" s="23">
        <v>3</v>
      </c>
      <c r="J867" s="40">
        <v>0</v>
      </c>
      <c r="K867" s="40">
        <v>0</v>
      </c>
      <c r="L867" s="40" t="s">
        <v>115</v>
      </c>
      <c r="O867" s="40" t="s">
        <v>115</v>
      </c>
      <c r="Q867" s="40">
        <v>192</v>
      </c>
      <c r="R867" s="40">
        <v>170</v>
      </c>
      <c r="X867" s="40">
        <v>90100209</v>
      </c>
      <c r="Y867" s="40" t="s">
        <v>115</v>
      </c>
      <c r="Z867" s="40" t="s">
        <v>115</v>
      </c>
      <c r="AA867" s="40" t="s">
        <v>115</v>
      </c>
      <c r="AB867" s="40" t="s">
        <v>115</v>
      </c>
      <c r="AC867" s="40" t="s">
        <v>115</v>
      </c>
      <c r="AI867" s="40" t="s">
        <v>115</v>
      </c>
      <c r="AP867" s="4" t="s">
        <v>115</v>
      </c>
    </row>
    <row r="868" spans="1:42" x14ac:dyDescent="0.15">
      <c r="A868" s="40" t="s">
        <v>1</v>
      </c>
      <c r="B868" s="23">
        <v>90100209</v>
      </c>
      <c r="C868" s="23">
        <v>1002</v>
      </c>
      <c r="D868" s="23">
        <v>10</v>
      </c>
      <c r="F868" s="23" t="s">
        <v>116</v>
      </c>
      <c r="G868" s="23">
        <v>314</v>
      </c>
      <c r="H868" s="23" t="s">
        <v>576</v>
      </c>
      <c r="I868" s="23">
        <v>0</v>
      </c>
      <c r="J868" s="40">
        <v>0</v>
      </c>
      <c r="K868" s="40">
        <v>0</v>
      </c>
      <c r="L868" s="40" t="s">
        <v>115</v>
      </c>
      <c r="O868" s="40" t="s">
        <v>115</v>
      </c>
      <c r="Q868" s="40">
        <v>192</v>
      </c>
      <c r="R868" s="40">
        <v>170</v>
      </c>
      <c r="X868" s="40">
        <v>90100210</v>
      </c>
      <c r="Y868" s="40" t="s">
        <v>115</v>
      </c>
      <c r="Z868" s="40" t="s">
        <v>115</v>
      </c>
      <c r="AA868" s="40" t="s">
        <v>115</v>
      </c>
      <c r="AB868" s="40" t="s">
        <v>115</v>
      </c>
      <c r="AC868" s="40" t="s">
        <v>115</v>
      </c>
      <c r="AI868" s="40" t="s">
        <v>115</v>
      </c>
      <c r="AP868" s="4" t="s">
        <v>115</v>
      </c>
    </row>
    <row r="869" spans="1:42" x14ac:dyDescent="0.15">
      <c r="A869" s="40" t="s">
        <v>1</v>
      </c>
      <c r="B869" s="23">
        <v>90100210</v>
      </c>
      <c r="C869" s="23">
        <v>1002</v>
      </c>
      <c r="D869" s="23">
        <v>10</v>
      </c>
      <c r="F869" s="23" t="s">
        <v>566</v>
      </c>
      <c r="G869" s="23" t="s">
        <v>115</v>
      </c>
      <c r="H869" s="23" t="s">
        <v>577</v>
      </c>
      <c r="I869" s="23">
        <v>3</v>
      </c>
      <c r="J869" s="40">
        <v>0</v>
      </c>
      <c r="K869" s="40">
        <v>4</v>
      </c>
      <c r="L869" s="40" t="s">
        <v>736</v>
      </c>
      <c r="O869" s="40">
        <v>1</v>
      </c>
      <c r="Q869" s="40">
        <v>192</v>
      </c>
      <c r="R869" s="40">
        <v>170</v>
      </c>
      <c r="X869" s="40" t="s">
        <v>115</v>
      </c>
      <c r="Y869" s="40" t="s">
        <v>115</v>
      </c>
      <c r="Z869" s="40">
        <v>3</v>
      </c>
      <c r="AA869" s="40" t="s">
        <v>115</v>
      </c>
      <c r="AB869" s="40" t="s">
        <v>115</v>
      </c>
      <c r="AC869" s="40" t="s">
        <v>115</v>
      </c>
      <c r="AI869" s="40" t="s">
        <v>115</v>
      </c>
      <c r="AP869" s="4" t="s">
        <v>2460</v>
      </c>
    </row>
    <row r="870" spans="1:42" x14ac:dyDescent="0.15">
      <c r="A870" s="40" t="s">
        <v>1</v>
      </c>
      <c r="B870" s="23" t="s">
        <v>494</v>
      </c>
      <c r="C870" s="23">
        <v>1003</v>
      </c>
      <c r="D870" s="23">
        <v>10</v>
      </c>
      <c r="F870" s="23" t="s">
        <v>1182</v>
      </c>
      <c r="G870" s="23" t="s">
        <v>115</v>
      </c>
      <c r="H870" s="23" t="s">
        <v>578</v>
      </c>
      <c r="I870" s="23">
        <v>3</v>
      </c>
      <c r="J870" s="40">
        <v>1</v>
      </c>
      <c r="K870" s="40">
        <v>1</v>
      </c>
      <c r="L870" s="40" t="s">
        <v>115</v>
      </c>
      <c r="O870" s="40" t="s">
        <v>115</v>
      </c>
      <c r="Q870" s="40">
        <v>181</v>
      </c>
      <c r="R870" s="40">
        <v>316</v>
      </c>
      <c r="X870" s="40">
        <v>90100302</v>
      </c>
      <c r="Y870" s="40" t="s">
        <v>115</v>
      </c>
      <c r="Z870" s="40" t="s">
        <v>115</v>
      </c>
      <c r="AA870" s="40" t="s">
        <v>115</v>
      </c>
      <c r="AB870" s="40" t="s">
        <v>115</v>
      </c>
      <c r="AC870" s="40" t="s">
        <v>115</v>
      </c>
      <c r="AI870" s="40" t="s">
        <v>115</v>
      </c>
      <c r="AP870" s="4" t="s">
        <v>115</v>
      </c>
    </row>
    <row r="871" spans="1:42" x14ac:dyDescent="0.15">
      <c r="A871" s="40" t="s">
        <v>1</v>
      </c>
      <c r="B871" s="23">
        <v>90100302</v>
      </c>
      <c r="C871" s="23">
        <v>1003</v>
      </c>
      <c r="D871" s="23">
        <v>10</v>
      </c>
      <c r="F871" s="23" t="s">
        <v>116</v>
      </c>
      <c r="G871" s="23">
        <v>312</v>
      </c>
      <c r="H871" s="23" t="s">
        <v>579</v>
      </c>
      <c r="I871" s="23">
        <v>0</v>
      </c>
      <c r="J871" s="40">
        <v>0</v>
      </c>
      <c r="K871" s="40">
        <v>0</v>
      </c>
      <c r="L871" s="40" t="s">
        <v>115</v>
      </c>
      <c r="O871" s="40" t="s">
        <v>115</v>
      </c>
      <c r="Q871" s="40">
        <v>181</v>
      </c>
      <c r="R871" s="40">
        <v>316</v>
      </c>
      <c r="X871" s="40">
        <v>90100303</v>
      </c>
      <c r="Y871" s="40" t="s">
        <v>115</v>
      </c>
      <c r="Z871" s="40" t="s">
        <v>115</v>
      </c>
      <c r="AA871" s="40" t="s">
        <v>115</v>
      </c>
      <c r="AB871" s="40" t="s">
        <v>115</v>
      </c>
      <c r="AC871" s="40" t="s">
        <v>115</v>
      </c>
      <c r="AI871" s="40" t="s">
        <v>115</v>
      </c>
      <c r="AP871" s="4" t="s">
        <v>115</v>
      </c>
    </row>
    <row r="872" spans="1:42" x14ac:dyDescent="0.15">
      <c r="A872" s="40" t="s">
        <v>1</v>
      </c>
      <c r="B872" s="23">
        <v>90100303</v>
      </c>
      <c r="C872" s="23">
        <v>1003</v>
      </c>
      <c r="D872" s="23">
        <v>10</v>
      </c>
      <c r="F872" s="23" t="s">
        <v>1182</v>
      </c>
      <c r="G872" s="23" t="s">
        <v>115</v>
      </c>
      <c r="H872" s="23" t="s">
        <v>580</v>
      </c>
      <c r="I872" s="23">
        <v>3</v>
      </c>
      <c r="J872" s="40">
        <v>0</v>
      </c>
      <c r="K872" s="40">
        <v>0</v>
      </c>
      <c r="L872" s="40" t="s">
        <v>115</v>
      </c>
      <c r="O872" s="40" t="s">
        <v>115</v>
      </c>
      <c r="Q872" s="40">
        <v>181</v>
      </c>
      <c r="R872" s="40">
        <v>316</v>
      </c>
      <c r="X872" s="40">
        <v>90100304</v>
      </c>
      <c r="Y872" s="40" t="s">
        <v>115</v>
      </c>
      <c r="Z872" s="40" t="s">
        <v>115</v>
      </c>
      <c r="AA872" s="40" t="s">
        <v>115</v>
      </c>
      <c r="AB872" s="40" t="s">
        <v>115</v>
      </c>
      <c r="AC872" s="40" t="s">
        <v>115</v>
      </c>
      <c r="AI872" s="40" t="s">
        <v>115</v>
      </c>
      <c r="AP872" s="4" t="s">
        <v>115</v>
      </c>
    </row>
    <row r="873" spans="1:42" x14ac:dyDescent="0.15">
      <c r="A873" s="40" t="s">
        <v>1</v>
      </c>
      <c r="B873" s="23">
        <v>90100304</v>
      </c>
      <c r="C873" s="23">
        <v>1003</v>
      </c>
      <c r="D873" s="23">
        <v>10</v>
      </c>
      <c r="F873" s="23" t="s">
        <v>116</v>
      </c>
      <c r="G873" s="23">
        <v>314</v>
      </c>
      <c r="H873" s="23" t="s">
        <v>581</v>
      </c>
      <c r="I873" s="23">
        <v>0</v>
      </c>
      <c r="J873" s="40">
        <v>0</v>
      </c>
      <c r="K873" s="40">
        <v>2</v>
      </c>
      <c r="L873" s="40" t="s">
        <v>115</v>
      </c>
      <c r="O873" s="40" t="s">
        <v>115</v>
      </c>
      <c r="Q873" s="40">
        <v>181</v>
      </c>
      <c r="R873" s="40">
        <v>316</v>
      </c>
      <c r="X873" s="40" t="s">
        <v>2461</v>
      </c>
      <c r="Y873" s="40">
        <v>1</v>
      </c>
      <c r="Z873" s="40">
        <v>1</v>
      </c>
      <c r="AA873" s="40" t="s">
        <v>115</v>
      </c>
      <c r="AB873" s="40" t="s">
        <v>115</v>
      </c>
      <c r="AC873" s="40" t="s">
        <v>115</v>
      </c>
      <c r="AI873" s="40" t="s">
        <v>115</v>
      </c>
      <c r="AP873" s="4" t="s">
        <v>115</v>
      </c>
    </row>
    <row r="874" spans="1:42" x14ac:dyDescent="0.15">
      <c r="A874" s="40" t="s">
        <v>1</v>
      </c>
      <c r="B874" s="23">
        <v>90100305</v>
      </c>
      <c r="C874" s="23">
        <v>1003</v>
      </c>
      <c r="D874" s="23">
        <v>10</v>
      </c>
      <c r="F874" s="23" t="s">
        <v>115</v>
      </c>
      <c r="G874" s="23" t="s">
        <v>115</v>
      </c>
      <c r="H874" s="23" t="s">
        <v>582</v>
      </c>
      <c r="I874" s="23">
        <v>4</v>
      </c>
      <c r="J874" s="40">
        <v>0</v>
      </c>
      <c r="K874" s="40">
        <v>3</v>
      </c>
      <c r="L874" s="40" t="s">
        <v>115</v>
      </c>
      <c r="O874" s="40" t="s">
        <v>115</v>
      </c>
      <c r="Q874" s="40">
        <v>181</v>
      </c>
      <c r="R874" s="40">
        <v>316</v>
      </c>
      <c r="X874" s="40">
        <v>90100307</v>
      </c>
      <c r="Y874" s="40">
        <v>-1</v>
      </c>
      <c r="Z874" s="40">
        <v>2</v>
      </c>
      <c r="AA874" s="40" t="s">
        <v>115</v>
      </c>
      <c r="AB874" s="40" t="s">
        <v>115</v>
      </c>
      <c r="AC874" s="40" t="s">
        <v>2462</v>
      </c>
      <c r="AI874" s="40" t="s">
        <v>115</v>
      </c>
      <c r="AP874" s="4" t="s">
        <v>115</v>
      </c>
    </row>
    <row r="875" spans="1:42" x14ac:dyDescent="0.15">
      <c r="A875" s="40" t="s">
        <v>1</v>
      </c>
      <c r="B875" s="23">
        <v>90100306</v>
      </c>
      <c r="C875" s="23">
        <v>1003</v>
      </c>
      <c r="D875" s="23">
        <v>10</v>
      </c>
      <c r="F875" s="23" t="s">
        <v>115</v>
      </c>
      <c r="G875" s="23" t="s">
        <v>115</v>
      </c>
      <c r="H875" s="23" t="s">
        <v>583</v>
      </c>
      <c r="I875" s="23">
        <v>4</v>
      </c>
      <c r="J875" s="40">
        <v>0</v>
      </c>
      <c r="K875" s="40">
        <v>4</v>
      </c>
      <c r="L875" s="40" t="s">
        <v>115</v>
      </c>
      <c r="O875" s="40" t="s">
        <v>115</v>
      </c>
      <c r="Q875" s="40">
        <v>181</v>
      </c>
      <c r="R875" s="40">
        <v>316</v>
      </c>
      <c r="X875" s="40">
        <v>90100308</v>
      </c>
      <c r="Y875" s="40">
        <v>-1</v>
      </c>
      <c r="Z875" s="40">
        <v>2</v>
      </c>
      <c r="AA875" s="40" t="s">
        <v>115</v>
      </c>
      <c r="AB875" s="40" t="s">
        <v>115</v>
      </c>
      <c r="AC875" s="40" t="s">
        <v>115</v>
      </c>
      <c r="AI875" s="40" t="s">
        <v>115</v>
      </c>
      <c r="AP875" s="4" t="s">
        <v>115</v>
      </c>
    </row>
    <row r="876" spans="1:42" x14ac:dyDescent="0.15">
      <c r="A876" s="40" t="s">
        <v>1</v>
      </c>
      <c r="B876" s="23">
        <v>90100307</v>
      </c>
      <c r="C876" s="23">
        <v>1003</v>
      </c>
      <c r="D876" s="23">
        <v>10</v>
      </c>
      <c r="F876" s="23" t="s">
        <v>1182</v>
      </c>
      <c r="G876" s="23" t="s">
        <v>115</v>
      </c>
      <c r="H876" s="23" t="s">
        <v>1184</v>
      </c>
      <c r="I876" s="23">
        <v>3</v>
      </c>
      <c r="J876" s="40">
        <v>0</v>
      </c>
      <c r="K876" s="40">
        <v>0</v>
      </c>
      <c r="L876" s="40" t="s">
        <v>115</v>
      </c>
      <c r="O876" s="40" t="s">
        <v>115</v>
      </c>
      <c r="Q876" s="40">
        <v>181</v>
      </c>
      <c r="R876" s="40">
        <v>316</v>
      </c>
      <c r="X876" s="40">
        <v>90100312</v>
      </c>
      <c r="Y876" s="40" t="s">
        <v>115</v>
      </c>
      <c r="Z876" s="40" t="s">
        <v>115</v>
      </c>
      <c r="AA876" s="40" t="s">
        <v>115</v>
      </c>
      <c r="AB876" s="40" t="s">
        <v>115</v>
      </c>
      <c r="AC876" s="40" t="s">
        <v>115</v>
      </c>
      <c r="AI876" s="40" t="s">
        <v>115</v>
      </c>
      <c r="AP876" s="4" t="s">
        <v>115</v>
      </c>
    </row>
    <row r="877" spans="1:42" x14ac:dyDescent="0.15">
      <c r="A877" s="40" t="s">
        <v>1</v>
      </c>
      <c r="B877" s="23">
        <v>90100308</v>
      </c>
      <c r="C877" s="23">
        <v>1003</v>
      </c>
      <c r="D877" s="23">
        <v>10</v>
      </c>
      <c r="F877" s="23" t="s">
        <v>116</v>
      </c>
      <c r="G877" s="23">
        <v>309</v>
      </c>
      <c r="H877" s="23" t="s">
        <v>584</v>
      </c>
      <c r="I877" s="23">
        <v>0</v>
      </c>
      <c r="J877" s="40">
        <v>0</v>
      </c>
      <c r="K877" s="40">
        <v>0</v>
      </c>
      <c r="L877" s="40" t="s">
        <v>115</v>
      </c>
      <c r="O877" s="40" t="s">
        <v>115</v>
      </c>
      <c r="Q877" s="40">
        <v>181</v>
      </c>
      <c r="R877" s="40">
        <v>316</v>
      </c>
      <c r="X877" s="40">
        <v>90100309</v>
      </c>
      <c r="Y877" s="40" t="s">
        <v>115</v>
      </c>
      <c r="Z877" s="40" t="s">
        <v>115</v>
      </c>
      <c r="AA877" s="40" t="s">
        <v>115</v>
      </c>
      <c r="AB877" s="40" t="s">
        <v>115</v>
      </c>
      <c r="AC877" s="40" t="s">
        <v>115</v>
      </c>
      <c r="AI877" s="40" t="s">
        <v>115</v>
      </c>
      <c r="AP877" s="4" t="s">
        <v>115</v>
      </c>
    </row>
    <row r="878" spans="1:42" x14ac:dyDescent="0.15">
      <c r="A878" s="40" t="s">
        <v>1</v>
      </c>
      <c r="B878" s="23">
        <v>90100309</v>
      </c>
      <c r="C878" s="23">
        <v>1003</v>
      </c>
      <c r="D878" s="23">
        <v>10</v>
      </c>
      <c r="F878" s="23" t="s">
        <v>116</v>
      </c>
      <c r="G878" s="23">
        <v>309</v>
      </c>
      <c r="H878" s="23" t="s">
        <v>585</v>
      </c>
      <c r="I878" s="23">
        <v>0</v>
      </c>
      <c r="J878" s="40">
        <v>0</v>
      </c>
      <c r="K878" s="40">
        <v>0</v>
      </c>
      <c r="L878" s="40" t="s">
        <v>115</v>
      </c>
      <c r="O878" s="40" t="s">
        <v>115</v>
      </c>
      <c r="Q878" s="40">
        <v>181</v>
      </c>
      <c r="R878" s="40">
        <v>316</v>
      </c>
      <c r="X878" s="40">
        <v>90100310</v>
      </c>
      <c r="Y878" s="40" t="s">
        <v>115</v>
      </c>
      <c r="Z878" s="40" t="s">
        <v>115</v>
      </c>
      <c r="AA878" s="40" t="s">
        <v>115</v>
      </c>
      <c r="AB878" s="40" t="s">
        <v>115</v>
      </c>
      <c r="AC878" s="40" t="s">
        <v>115</v>
      </c>
      <c r="AI878" s="40" t="s">
        <v>115</v>
      </c>
      <c r="AP878" s="4" t="s">
        <v>115</v>
      </c>
    </row>
    <row r="879" spans="1:42" x14ac:dyDescent="0.15">
      <c r="A879" s="40" t="s">
        <v>1</v>
      </c>
      <c r="B879" s="23">
        <v>90100310</v>
      </c>
      <c r="C879" s="23">
        <v>1003</v>
      </c>
      <c r="D879" s="23">
        <v>10</v>
      </c>
      <c r="F879" s="23" t="s">
        <v>116</v>
      </c>
      <c r="G879" s="23">
        <v>309</v>
      </c>
      <c r="H879" s="23" t="s">
        <v>586</v>
      </c>
      <c r="I879" s="23">
        <v>0</v>
      </c>
      <c r="J879" s="40">
        <v>0</v>
      </c>
      <c r="K879" s="40">
        <v>0</v>
      </c>
      <c r="L879" s="40" t="s">
        <v>115</v>
      </c>
      <c r="O879" s="40" t="s">
        <v>115</v>
      </c>
      <c r="Q879" s="40">
        <v>181</v>
      </c>
      <c r="R879" s="40">
        <v>316</v>
      </c>
      <c r="X879" s="40">
        <v>90100311</v>
      </c>
      <c r="Y879" s="40" t="s">
        <v>115</v>
      </c>
      <c r="Z879" s="40" t="s">
        <v>115</v>
      </c>
      <c r="AA879" s="40" t="s">
        <v>115</v>
      </c>
      <c r="AB879" s="40" t="s">
        <v>115</v>
      </c>
      <c r="AC879" s="40" t="s">
        <v>115</v>
      </c>
      <c r="AI879" s="40" t="s">
        <v>115</v>
      </c>
      <c r="AP879" s="4" t="s">
        <v>115</v>
      </c>
    </row>
    <row r="880" spans="1:42" x14ac:dyDescent="0.15">
      <c r="A880" s="40" t="s">
        <v>1</v>
      </c>
      <c r="B880" s="23">
        <v>90100311</v>
      </c>
      <c r="C880" s="23">
        <v>1003</v>
      </c>
      <c r="D880" s="23">
        <v>10</v>
      </c>
      <c r="F880" s="23" t="s">
        <v>1182</v>
      </c>
      <c r="G880" s="23" t="s">
        <v>115</v>
      </c>
      <c r="H880" s="23" t="s">
        <v>587</v>
      </c>
      <c r="I880" s="23">
        <v>3</v>
      </c>
      <c r="J880" s="40">
        <v>0</v>
      </c>
      <c r="K880" s="40">
        <v>0</v>
      </c>
      <c r="L880" s="40" t="s">
        <v>115</v>
      </c>
      <c r="O880" s="40" t="s">
        <v>115</v>
      </c>
      <c r="Q880" s="40">
        <v>181</v>
      </c>
      <c r="R880" s="40">
        <v>316</v>
      </c>
      <c r="X880" s="40">
        <v>90100304</v>
      </c>
      <c r="Y880" s="40" t="s">
        <v>115</v>
      </c>
      <c r="Z880" s="40" t="s">
        <v>115</v>
      </c>
      <c r="AA880" s="40" t="s">
        <v>115</v>
      </c>
      <c r="AB880" s="40" t="s">
        <v>115</v>
      </c>
      <c r="AC880" s="40" t="s">
        <v>115</v>
      </c>
      <c r="AI880" s="40" t="s">
        <v>115</v>
      </c>
      <c r="AP880" s="4" t="s">
        <v>115</v>
      </c>
    </row>
    <row r="881" spans="1:42" x14ac:dyDescent="0.15">
      <c r="A881" s="40" t="s">
        <v>1</v>
      </c>
      <c r="B881" s="23">
        <v>90100312</v>
      </c>
      <c r="C881" s="23">
        <v>1003</v>
      </c>
      <c r="D881" s="23">
        <v>10</v>
      </c>
      <c r="F881" s="23" t="s">
        <v>116</v>
      </c>
      <c r="G881" s="23">
        <v>313</v>
      </c>
      <c r="H881" s="23" t="s">
        <v>588</v>
      </c>
      <c r="I881" s="23">
        <v>0</v>
      </c>
      <c r="J881" s="40">
        <v>0</v>
      </c>
      <c r="K881" s="40">
        <v>0</v>
      </c>
      <c r="L881" s="40" t="s">
        <v>115</v>
      </c>
      <c r="O881" s="40" t="s">
        <v>115</v>
      </c>
      <c r="Q881" s="40">
        <v>181</v>
      </c>
      <c r="R881" s="40">
        <v>316</v>
      </c>
      <c r="X881" s="40">
        <v>90100313</v>
      </c>
      <c r="Y881" s="40" t="s">
        <v>115</v>
      </c>
      <c r="Z881" s="40" t="s">
        <v>115</v>
      </c>
      <c r="AA881" s="40" t="s">
        <v>115</v>
      </c>
      <c r="AB881" s="40" t="s">
        <v>115</v>
      </c>
      <c r="AC881" s="40" t="s">
        <v>115</v>
      </c>
      <c r="AI881" s="40" t="s">
        <v>115</v>
      </c>
      <c r="AP881" s="4" t="s">
        <v>115</v>
      </c>
    </row>
    <row r="882" spans="1:42" x14ac:dyDescent="0.15">
      <c r="A882" s="40" t="s">
        <v>1</v>
      </c>
      <c r="B882" s="23">
        <v>90100313</v>
      </c>
      <c r="C882" s="23">
        <v>1003</v>
      </c>
      <c r="D882" s="23">
        <v>10</v>
      </c>
      <c r="F882" s="23" t="s">
        <v>1182</v>
      </c>
      <c r="G882" s="23" t="s">
        <v>115</v>
      </c>
      <c r="H882" s="23" t="s">
        <v>589</v>
      </c>
      <c r="I882" s="23">
        <v>3</v>
      </c>
      <c r="J882" s="40">
        <v>0</v>
      </c>
      <c r="K882" s="40">
        <v>0</v>
      </c>
      <c r="L882" s="40" t="s">
        <v>115</v>
      </c>
      <c r="O882" s="40" t="s">
        <v>115</v>
      </c>
      <c r="Q882" s="40">
        <v>181</v>
      </c>
      <c r="R882" s="40">
        <v>316</v>
      </c>
      <c r="X882" s="40">
        <v>90100314</v>
      </c>
      <c r="Y882" s="40" t="s">
        <v>115</v>
      </c>
      <c r="Z882" s="40" t="s">
        <v>115</v>
      </c>
      <c r="AA882" s="40" t="s">
        <v>115</v>
      </c>
      <c r="AB882" s="40" t="s">
        <v>115</v>
      </c>
      <c r="AC882" s="40" t="s">
        <v>115</v>
      </c>
      <c r="AI882" s="40" t="s">
        <v>115</v>
      </c>
      <c r="AP882" s="4" t="s">
        <v>115</v>
      </c>
    </row>
    <row r="883" spans="1:42" x14ac:dyDescent="0.15">
      <c r="A883" s="40" t="s">
        <v>1</v>
      </c>
      <c r="B883" s="23">
        <v>90100314</v>
      </c>
      <c r="C883" s="23">
        <v>1003</v>
      </c>
      <c r="D883" s="23">
        <v>10</v>
      </c>
      <c r="F883" s="23" t="s">
        <v>1182</v>
      </c>
      <c r="G883" s="23" t="s">
        <v>115</v>
      </c>
      <c r="H883" s="23" t="s">
        <v>590</v>
      </c>
      <c r="I883" s="23">
        <v>3</v>
      </c>
      <c r="J883" s="40">
        <v>0</v>
      </c>
      <c r="K883" s="40">
        <v>5</v>
      </c>
      <c r="L883" s="40" t="s">
        <v>737</v>
      </c>
      <c r="O883" s="40" t="s">
        <v>115</v>
      </c>
      <c r="Q883" s="40">
        <v>181</v>
      </c>
      <c r="R883" s="40">
        <v>316</v>
      </c>
      <c r="X883" s="40">
        <v>90100315</v>
      </c>
      <c r="Y883" s="40" t="s">
        <v>115</v>
      </c>
      <c r="Z883" s="40">
        <v>4</v>
      </c>
      <c r="AA883" s="40" t="s">
        <v>115</v>
      </c>
      <c r="AB883" s="40" t="s">
        <v>115</v>
      </c>
      <c r="AC883" s="40" t="s">
        <v>115</v>
      </c>
      <c r="AI883" s="40" t="s">
        <v>115</v>
      </c>
      <c r="AP883" s="4" t="s">
        <v>115</v>
      </c>
    </row>
    <row r="884" spans="1:42" x14ac:dyDescent="0.15">
      <c r="A884" s="40" t="s">
        <v>1</v>
      </c>
      <c r="B884" s="23">
        <v>90100315</v>
      </c>
      <c r="C884" s="23">
        <v>1003</v>
      </c>
      <c r="D884" s="23">
        <v>10</v>
      </c>
      <c r="F884" s="23" t="s">
        <v>1182</v>
      </c>
      <c r="G884" s="23" t="s">
        <v>115</v>
      </c>
      <c r="H884" s="23" t="s">
        <v>591</v>
      </c>
      <c r="I884" s="23">
        <v>3</v>
      </c>
      <c r="J884" s="40">
        <v>0</v>
      </c>
      <c r="K884" s="40">
        <v>0</v>
      </c>
      <c r="L884" s="40" t="s">
        <v>115</v>
      </c>
      <c r="O884" s="40" t="s">
        <v>115</v>
      </c>
      <c r="Q884" s="40">
        <v>181</v>
      </c>
      <c r="R884" s="40">
        <v>316</v>
      </c>
      <c r="X884" s="40">
        <v>90100316</v>
      </c>
      <c r="Y884" s="40" t="s">
        <v>115</v>
      </c>
      <c r="Z884" s="40" t="s">
        <v>115</v>
      </c>
      <c r="AA884" s="40" t="s">
        <v>115</v>
      </c>
      <c r="AB884" s="40" t="s">
        <v>115</v>
      </c>
      <c r="AC884" s="40" t="s">
        <v>115</v>
      </c>
      <c r="AI884" s="40" t="s">
        <v>115</v>
      </c>
      <c r="AP884" s="4" t="s">
        <v>115</v>
      </c>
    </row>
    <row r="885" spans="1:42" x14ac:dyDescent="0.15">
      <c r="A885" s="40" t="s">
        <v>1</v>
      </c>
      <c r="B885" s="23">
        <v>90100316</v>
      </c>
      <c r="C885" s="23">
        <v>1003</v>
      </c>
      <c r="D885" s="23">
        <v>10</v>
      </c>
      <c r="F885" s="23" t="s">
        <v>116</v>
      </c>
      <c r="G885" s="23">
        <v>314</v>
      </c>
      <c r="H885" s="23" t="s">
        <v>592</v>
      </c>
      <c r="I885" s="23">
        <v>0</v>
      </c>
      <c r="J885" s="40">
        <v>0</v>
      </c>
      <c r="K885" s="40">
        <v>0</v>
      </c>
      <c r="L885" s="40" t="s">
        <v>115</v>
      </c>
      <c r="O885" s="40" t="s">
        <v>115</v>
      </c>
      <c r="Q885" s="40">
        <v>181</v>
      </c>
      <c r="R885" s="40">
        <v>316</v>
      </c>
      <c r="X885" s="40">
        <v>90100317</v>
      </c>
      <c r="Y885" s="40" t="s">
        <v>115</v>
      </c>
      <c r="Z885" s="40" t="s">
        <v>115</v>
      </c>
      <c r="AA885" s="40" t="s">
        <v>115</v>
      </c>
      <c r="AB885" s="40" t="s">
        <v>115</v>
      </c>
      <c r="AC885" s="40" t="s">
        <v>115</v>
      </c>
      <c r="AI885" s="40" t="s">
        <v>115</v>
      </c>
      <c r="AP885" s="4" t="s">
        <v>115</v>
      </c>
    </row>
    <row r="886" spans="1:42" x14ac:dyDescent="0.15">
      <c r="A886" s="40" t="s">
        <v>1</v>
      </c>
      <c r="B886" s="23">
        <v>90100317</v>
      </c>
      <c r="C886" s="23">
        <v>1003</v>
      </c>
      <c r="D886" s="23">
        <v>10</v>
      </c>
      <c r="F886" s="23" t="s">
        <v>1182</v>
      </c>
      <c r="G886" s="23" t="s">
        <v>115</v>
      </c>
      <c r="H886" s="23" t="s">
        <v>593</v>
      </c>
      <c r="I886" s="23">
        <v>3</v>
      </c>
      <c r="J886" s="40">
        <v>0</v>
      </c>
      <c r="K886" s="40">
        <v>0</v>
      </c>
      <c r="L886" s="40" t="s">
        <v>115</v>
      </c>
      <c r="O886" s="40" t="s">
        <v>115</v>
      </c>
      <c r="Q886" s="40">
        <v>181</v>
      </c>
      <c r="R886" s="40">
        <v>316</v>
      </c>
      <c r="X886" s="40">
        <v>90100318</v>
      </c>
      <c r="Y886" s="40" t="s">
        <v>115</v>
      </c>
      <c r="Z886" s="40" t="s">
        <v>115</v>
      </c>
      <c r="AA886" s="40" t="s">
        <v>115</v>
      </c>
      <c r="AB886" s="40" t="s">
        <v>115</v>
      </c>
      <c r="AC886" s="40" t="s">
        <v>115</v>
      </c>
      <c r="AI886" s="40" t="s">
        <v>115</v>
      </c>
      <c r="AP886" s="4" t="s">
        <v>115</v>
      </c>
    </row>
    <row r="887" spans="1:42" x14ac:dyDescent="0.15">
      <c r="A887" s="40" t="s">
        <v>1</v>
      </c>
      <c r="B887" s="23">
        <v>90100318</v>
      </c>
      <c r="C887" s="23">
        <v>1003</v>
      </c>
      <c r="D887" s="23">
        <v>10</v>
      </c>
      <c r="F887" s="23" t="s">
        <v>116</v>
      </c>
      <c r="G887" s="23">
        <v>312</v>
      </c>
      <c r="H887" s="23" t="s">
        <v>594</v>
      </c>
      <c r="I887" s="23">
        <v>0</v>
      </c>
      <c r="J887" s="40">
        <v>0</v>
      </c>
      <c r="K887" s="40">
        <v>0</v>
      </c>
      <c r="L887" s="40" t="s">
        <v>115</v>
      </c>
      <c r="O887" s="40" t="s">
        <v>115</v>
      </c>
      <c r="Q887" s="40">
        <v>181</v>
      </c>
      <c r="R887" s="40">
        <v>316</v>
      </c>
      <c r="X887" s="40">
        <v>90100319</v>
      </c>
      <c r="Y887" s="40" t="s">
        <v>115</v>
      </c>
      <c r="Z887" s="40" t="s">
        <v>115</v>
      </c>
      <c r="AA887" s="40" t="s">
        <v>115</v>
      </c>
      <c r="AB887" s="40" t="s">
        <v>115</v>
      </c>
      <c r="AC887" s="40" t="s">
        <v>115</v>
      </c>
      <c r="AI887" s="40" t="s">
        <v>115</v>
      </c>
      <c r="AP887" s="4" t="s">
        <v>115</v>
      </c>
    </row>
    <row r="888" spans="1:42" x14ac:dyDescent="0.15">
      <c r="A888" s="40" t="s">
        <v>1</v>
      </c>
      <c r="B888" s="23">
        <v>90100319</v>
      </c>
      <c r="C888" s="23">
        <v>1003</v>
      </c>
      <c r="D888" s="23">
        <v>10</v>
      </c>
      <c r="F888" s="23" t="s">
        <v>1182</v>
      </c>
      <c r="G888" s="23" t="s">
        <v>115</v>
      </c>
      <c r="H888" s="23" t="s">
        <v>595</v>
      </c>
      <c r="I888" s="23">
        <v>3</v>
      </c>
      <c r="J888" s="40">
        <v>0</v>
      </c>
      <c r="K888" s="40">
        <v>0</v>
      </c>
      <c r="L888" s="40" t="s">
        <v>115</v>
      </c>
      <c r="O888" s="40" t="s">
        <v>115</v>
      </c>
      <c r="Q888" s="40">
        <v>181</v>
      </c>
      <c r="R888" s="40">
        <v>316</v>
      </c>
      <c r="X888" s="40">
        <v>90100320</v>
      </c>
      <c r="Y888" s="40" t="s">
        <v>115</v>
      </c>
      <c r="Z888" s="40" t="s">
        <v>115</v>
      </c>
      <c r="AA888" s="40" t="s">
        <v>115</v>
      </c>
      <c r="AB888" s="40" t="s">
        <v>115</v>
      </c>
      <c r="AC888" s="40" t="s">
        <v>115</v>
      </c>
      <c r="AI888" s="40" t="s">
        <v>115</v>
      </c>
      <c r="AP888" s="4" t="s">
        <v>115</v>
      </c>
    </row>
    <row r="889" spans="1:42" x14ac:dyDescent="0.15">
      <c r="A889" s="40" t="s">
        <v>1</v>
      </c>
      <c r="B889" s="23">
        <v>90100320</v>
      </c>
      <c r="C889" s="23">
        <v>1003</v>
      </c>
      <c r="D889" s="23">
        <v>10</v>
      </c>
      <c r="F889" s="23" t="s">
        <v>116</v>
      </c>
      <c r="G889" s="23">
        <v>314</v>
      </c>
      <c r="H889" s="23" t="s">
        <v>596</v>
      </c>
      <c r="I889" s="23">
        <v>0</v>
      </c>
      <c r="J889" s="40">
        <v>0</v>
      </c>
      <c r="K889" s="40">
        <v>0</v>
      </c>
      <c r="L889" s="40" t="s">
        <v>115</v>
      </c>
      <c r="O889" s="40" t="s">
        <v>115</v>
      </c>
      <c r="Q889" s="40">
        <v>181</v>
      </c>
      <c r="R889" s="40">
        <v>316</v>
      </c>
      <c r="X889" s="40">
        <v>90100321</v>
      </c>
      <c r="Y889" s="40" t="s">
        <v>115</v>
      </c>
      <c r="Z889" s="40" t="s">
        <v>115</v>
      </c>
      <c r="AA889" s="40" t="s">
        <v>115</v>
      </c>
      <c r="AB889" s="40" t="s">
        <v>115</v>
      </c>
      <c r="AC889" s="40" t="s">
        <v>115</v>
      </c>
      <c r="AI889" s="40" t="s">
        <v>115</v>
      </c>
      <c r="AP889" s="4" t="s">
        <v>115</v>
      </c>
    </row>
    <row r="890" spans="1:42" x14ac:dyDescent="0.15">
      <c r="A890" s="40" t="s">
        <v>1</v>
      </c>
      <c r="B890" s="23">
        <v>90100321</v>
      </c>
      <c r="C890" s="23">
        <v>1003</v>
      </c>
      <c r="D890" s="23">
        <v>10</v>
      </c>
      <c r="F890" s="23" t="s">
        <v>1182</v>
      </c>
      <c r="G890" s="23" t="s">
        <v>115</v>
      </c>
      <c r="H890" s="23" t="s">
        <v>597</v>
      </c>
      <c r="I890" s="23">
        <v>3</v>
      </c>
      <c r="J890" s="40">
        <v>0</v>
      </c>
      <c r="K890" s="40">
        <v>0</v>
      </c>
      <c r="L890" s="40" t="s">
        <v>115</v>
      </c>
      <c r="O890" s="40" t="s">
        <v>115</v>
      </c>
      <c r="Q890" s="40">
        <v>181</v>
      </c>
      <c r="R890" s="40">
        <v>316</v>
      </c>
      <c r="X890" s="40">
        <v>90100322</v>
      </c>
      <c r="Y890" s="40" t="s">
        <v>115</v>
      </c>
      <c r="Z890" s="40" t="s">
        <v>115</v>
      </c>
      <c r="AA890" s="40" t="s">
        <v>115</v>
      </c>
      <c r="AB890" s="40" t="s">
        <v>115</v>
      </c>
      <c r="AC890" s="40" t="s">
        <v>115</v>
      </c>
      <c r="AI890" s="40" t="s">
        <v>115</v>
      </c>
      <c r="AP890" s="4" t="s">
        <v>115</v>
      </c>
    </row>
    <row r="891" spans="1:42" x14ac:dyDescent="0.15">
      <c r="A891" s="40" t="s">
        <v>1</v>
      </c>
      <c r="B891" s="23">
        <v>90100322</v>
      </c>
      <c r="C891" s="23">
        <v>1003</v>
      </c>
      <c r="D891" s="23">
        <v>10</v>
      </c>
      <c r="F891" s="23" t="s">
        <v>1182</v>
      </c>
      <c r="G891" s="23" t="s">
        <v>115</v>
      </c>
      <c r="H891" s="23" t="s">
        <v>598</v>
      </c>
      <c r="I891" s="23">
        <v>3</v>
      </c>
      <c r="J891" s="40">
        <v>0</v>
      </c>
      <c r="K891" s="40">
        <v>6</v>
      </c>
      <c r="L891" s="40" t="s">
        <v>115</v>
      </c>
      <c r="O891" s="40">
        <v>1</v>
      </c>
      <c r="Q891" s="40">
        <v>181</v>
      </c>
      <c r="R891" s="40">
        <v>316</v>
      </c>
      <c r="X891" s="40" t="s">
        <v>115</v>
      </c>
      <c r="Y891" s="40" t="s">
        <v>115</v>
      </c>
      <c r="Z891" s="40">
        <v>5</v>
      </c>
      <c r="AA891" s="40" t="s">
        <v>115</v>
      </c>
      <c r="AB891" s="40" t="s">
        <v>115</v>
      </c>
      <c r="AC891" s="40" t="s">
        <v>115</v>
      </c>
      <c r="AI891" s="40" t="s">
        <v>115</v>
      </c>
      <c r="AP891" s="4" t="s">
        <v>2463</v>
      </c>
    </row>
    <row r="892" spans="1:42" x14ac:dyDescent="0.15">
      <c r="A892" s="40" t="s">
        <v>1</v>
      </c>
      <c r="B892" s="23" t="s">
        <v>495</v>
      </c>
      <c r="C892" s="23">
        <v>1004</v>
      </c>
      <c r="D892" s="23">
        <v>10</v>
      </c>
      <c r="F892" s="23" t="s">
        <v>599</v>
      </c>
      <c r="G892" s="23" t="s">
        <v>115</v>
      </c>
      <c r="H892" s="23" t="s">
        <v>600</v>
      </c>
      <c r="I892" s="23">
        <v>3</v>
      </c>
      <c r="J892" s="40">
        <v>1</v>
      </c>
      <c r="K892" s="40">
        <v>1</v>
      </c>
      <c r="L892" s="40" t="s">
        <v>115</v>
      </c>
      <c r="O892" s="40" t="s">
        <v>115</v>
      </c>
      <c r="Q892" s="40">
        <v>112</v>
      </c>
      <c r="R892" s="40">
        <v>306</v>
      </c>
      <c r="X892" s="40">
        <v>90100402</v>
      </c>
      <c r="Y892" s="40" t="s">
        <v>115</v>
      </c>
      <c r="Z892" s="40" t="s">
        <v>115</v>
      </c>
      <c r="AA892" s="40" t="s">
        <v>115</v>
      </c>
      <c r="AB892" s="40" t="s">
        <v>115</v>
      </c>
      <c r="AC892" s="40" t="s">
        <v>115</v>
      </c>
      <c r="AI892" s="40" t="s">
        <v>115</v>
      </c>
      <c r="AP892" s="4" t="s">
        <v>115</v>
      </c>
    </row>
    <row r="893" spans="1:42" x14ac:dyDescent="0.15">
      <c r="A893" s="40" t="s">
        <v>1</v>
      </c>
      <c r="B893" s="23">
        <v>90100402</v>
      </c>
      <c r="C893" s="23">
        <v>1004</v>
      </c>
      <c r="D893" s="23">
        <v>10</v>
      </c>
      <c r="F893" s="23" t="s">
        <v>116</v>
      </c>
      <c r="G893" s="23">
        <v>312</v>
      </c>
      <c r="H893" s="23" t="s">
        <v>601</v>
      </c>
      <c r="I893" s="23">
        <v>0</v>
      </c>
      <c r="J893" s="40">
        <v>0</v>
      </c>
      <c r="K893" s="40">
        <v>0</v>
      </c>
      <c r="L893" s="40" t="s">
        <v>115</v>
      </c>
      <c r="O893" s="40" t="s">
        <v>115</v>
      </c>
      <c r="Q893" s="40">
        <v>112</v>
      </c>
      <c r="R893" s="40">
        <v>306</v>
      </c>
      <c r="X893" s="40">
        <v>90100403</v>
      </c>
      <c r="Y893" s="40" t="s">
        <v>115</v>
      </c>
      <c r="Z893" s="40" t="s">
        <v>115</v>
      </c>
      <c r="AA893" s="40" t="s">
        <v>115</v>
      </c>
      <c r="AB893" s="40" t="s">
        <v>115</v>
      </c>
      <c r="AC893" s="40" t="s">
        <v>115</v>
      </c>
      <c r="AI893" s="40" t="s">
        <v>115</v>
      </c>
      <c r="AP893" s="4" t="s">
        <v>115</v>
      </c>
    </row>
    <row r="894" spans="1:42" x14ac:dyDescent="0.15">
      <c r="A894" s="40" t="s">
        <v>1</v>
      </c>
      <c r="B894" s="23">
        <v>90100403</v>
      </c>
      <c r="C894" s="23">
        <v>1004</v>
      </c>
      <c r="D894" s="23">
        <v>10</v>
      </c>
      <c r="F894" s="23" t="s">
        <v>599</v>
      </c>
      <c r="G894" s="23" t="s">
        <v>115</v>
      </c>
      <c r="H894" s="23" t="s">
        <v>602</v>
      </c>
      <c r="I894" s="23">
        <v>3</v>
      </c>
      <c r="J894" s="40">
        <v>0</v>
      </c>
      <c r="K894" s="40">
        <v>2</v>
      </c>
      <c r="L894" s="40" t="s">
        <v>115</v>
      </c>
      <c r="O894" s="40" t="s">
        <v>115</v>
      </c>
      <c r="Q894" s="40">
        <v>112</v>
      </c>
      <c r="R894" s="40">
        <v>306</v>
      </c>
      <c r="X894" s="40" t="s">
        <v>2464</v>
      </c>
      <c r="Y894" s="40">
        <v>1</v>
      </c>
      <c r="Z894" s="40">
        <v>1</v>
      </c>
      <c r="AA894" s="40" t="s">
        <v>115</v>
      </c>
      <c r="AB894" s="40" t="s">
        <v>115</v>
      </c>
      <c r="AC894" s="40" t="s">
        <v>115</v>
      </c>
      <c r="AI894" s="40" t="s">
        <v>115</v>
      </c>
      <c r="AP894" s="4" t="s">
        <v>115</v>
      </c>
    </row>
    <row r="895" spans="1:42" x14ac:dyDescent="0.15">
      <c r="A895" s="40" t="s">
        <v>1</v>
      </c>
      <c r="B895" s="23">
        <v>90100404</v>
      </c>
      <c r="C895" s="23">
        <v>1004</v>
      </c>
      <c r="D895" s="23">
        <v>10</v>
      </c>
      <c r="F895" s="23" t="s">
        <v>115</v>
      </c>
      <c r="G895" s="23" t="s">
        <v>115</v>
      </c>
      <c r="H895" s="23" t="s">
        <v>603</v>
      </c>
      <c r="I895" s="23">
        <v>4</v>
      </c>
      <c r="J895" s="40">
        <v>0</v>
      </c>
      <c r="K895" s="40">
        <v>3</v>
      </c>
      <c r="L895" s="40" t="s">
        <v>115</v>
      </c>
      <c r="O895" s="40" t="s">
        <v>115</v>
      </c>
      <c r="Q895" s="40">
        <v>112</v>
      </c>
      <c r="R895" s="40">
        <v>306</v>
      </c>
      <c r="X895" s="40">
        <v>90100406</v>
      </c>
      <c r="Y895" s="40">
        <v>-1</v>
      </c>
      <c r="Z895" s="40">
        <v>2</v>
      </c>
      <c r="AA895" s="40" t="s">
        <v>115</v>
      </c>
      <c r="AB895" s="40" t="s">
        <v>115</v>
      </c>
      <c r="AC895" s="40" t="s">
        <v>604</v>
      </c>
      <c r="AI895" s="40" t="s">
        <v>115</v>
      </c>
      <c r="AP895" s="4" t="s">
        <v>115</v>
      </c>
    </row>
    <row r="896" spans="1:42" x14ac:dyDescent="0.15">
      <c r="A896" s="40" t="s">
        <v>1</v>
      </c>
      <c r="B896" s="23">
        <v>90100405</v>
      </c>
      <c r="C896" s="23">
        <v>1004</v>
      </c>
      <c r="D896" s="23">
        <v>10</v>
      </c>
      <c r="F896" s="23" t="s">
        <v>115</v>
      </c>
      <c r="G896" s="23" t="s">
        <v>115</v>
      </c>
      <c r="H896" s="23" t="s">
        <v>605</v>
      </c>
      <c r="I896" s="23">
        <v>4</v>
      </c>
      <c r="J896" s="40">
        <v>0</v>
      </c>
      <c r="K896" s="40">
        <v>4</v>
      </c>
      <c r="L896" s="40" t="s">
        <v>115</v>
      </c>
      <c r="O896" s="40" t="s">
        <v>115</v>
      </c>
      <c r="Q896" s="40">
        <v>112</v>
      </c>
      <c r="R896" s="40">
        <v>306</v>
      </c>
      <c r="X896" s="40">
        <v>90100407</v>
      </c>
      <c r="Y896" s="40">
        <v>-1</v>
      </c>
      <c r="Z896" s="40">
        <v>2</v>
      </c>
      <c r="AA896" s="40" t="s">
        <v>115</v>
      </c>
      <c r="AB896" s="40" t="s">
        <v>115</v>
      </c>
      <c r="AC896" s="40" t="s">
        <v>606</v>
      </c>
      <c r="AI896" s="40" t="s">
        <v>115</v>
      </c>
      <c r="AP896" s="4" t="s">
        <v>115</v>
      </c>
    </row>
    <row r="897" spans="1:42" x14ac:dyDescent="0.15">
      <c r="A897" s="40" t="s">
        <v>1</v>
      </c>
      <c r="B897" s="23">
        <v>90100406</v>
      </c>
      <c r="C897" s="23">
        <v>1004</v>
      </c>
      <c r="D897" s="23">
        <v>10</v>
      </c>
      <c r="F897" s="23" t="s">
        <v>599</v>
      </c>
      <c r="G897" s="23" t="s">
        <v>115</v>
      </c>
      <c r="H897" s="23" t="s">
        <v>607</v>
      </c>
      <c r="I897" s="23">
        <v>3</v>
      </c>
      <c r="J897" s="40">
        <v>0</v>
      </c>
      <c r="K897" s="40">
        <v>0</v>
      </c>
      <c r="L897" s="40" t="s">
        <v>115</v>
      </c>
      <c r="O897" s="40" t="s">
        <v>115</v>
      </c>
      <c r="Q897" s="40">
        <v>112</v>
      </c>
      <c r="R897" s="40">
        <v>306</v>
      </c>
      <c r="X897" s="40">
        <v>90100408</v>
      </c>
      <c r="Y897" s="40" t="s">
        <v>115</v>
      </c>
      <c r="Z897" s="40" t="s">
        <v>115</v>
      </c>
      <c r="AA897" s="40" t="s">
        <v>115</v>
      </c>
      <c r="AB897" s="40" t="s">
        <v>115</v>
      </c>
      <c r="AC897" s="40" t="s">
        <v>115</v>
      </c>
      <c r="AI897" s="40" t="s">
        <v>115</v>
      </c>
      <c r="AP897" s="4" t="s">
        <v>115</v>
      </c>
    </row>
    <row r="898" spans="1:42" x14ac:dyDescent="0.15">
      <c r="A898" s="40" t="s">
        <v>1</v>
      </c>
      <c r="B898" s="23">
        <v>90100407</v>
      </c>
      <c r="C898" s="23">
        <v>1004</v>
      </c>
      <c r="D898" s="23">
        <v>10</v>
      </c>
      <c r="F898" s="23" t="s">
        <v>599</v>
      </c>
      <c r="G898" s="23" t="s">
        <v>115</v>
      </c>
      <c r="H898" s="23" t="s">
        <v>608</v>
      </c>
      <c r="I898" s="23">
        <v>3</v>
      </c>
      <c r="J898" s="40">
        <v>0</v>
      </c>
      <c r="K898" s="40">
        <v>0</v>
      </c>
      <c r="L898" s="40" t="s">
        <v>115</v>
      </c>
      <c r="O898" s="40" t="s">
        <v>115</v>
      </c>
      <c r="Q898" s="40">
        <v>112</v>
      </c>
      <c r="R898" s="40">
        <v>306</v>
      </c>
      <c r="X898" s="40">
        <v>90100408</v>
      </c>
      <c r="Y898" s="40" t="s">
        <v>115</v>
      </c>
      <c r="Z898" s="40" t="s">
        <v>115</v>
      </c>
      <c r="AA898" s="40" t="s">
        <v>115</v>
      </c>
      <c r="AB898" s="40" t="s">
        <v>115</v>
      </c>
      <c r="AC898" s="40" t="s">
        <v>115</v>
      </c>
      <c r="AI898" s="40" t="s">
        <v>115</v>
      </c>
      <c r="AP898" s="4" t="s">
        <v>115</v>
      </c>
    </row>
    <row r="899" spans="1:42" x14ac:dyDescent="0.15">
      <c r="A899" s="40" t="s">
        <v>1</v>
      </c>
      <c r="B899" s="23">
        <v>90100408</v>
      </c>
      <c r="C899" s="23">
        <v>1004</v>
      </c>
      <c r="D899" s="23">
        <v>10</v>
      </c>
      <c r="F899" s="23" t="s">
        <v>116</v>
      </c>
      <c r="G899" s="23">
        <v>312</v>
      </c>
      <c r="H899" s="23" t="s">
        <v>609</v>
      </c>
      <c r="I899" s="23">
        <v>0</v>
      </c>
      <c r="J899" s="40">
        <v>0</v>
      </c>
      <c r="K899" s="40">
        <v>0</v>
      </c>
      <c r="L899" s="40" t="s">
        <v>115</v>
      </c>
      <c r="O899" s="40" t="s">
        <v>115</v>
      </c>
      <c r="Q899" s="40">
        <v>112</v>
      </c>
      <c r="R899" s="40">
        <v>306</v>
      </c>
      <c r="X899" s="40">
        <v>90100409</v>
      </c>
      <c r="Y899" s="40" t="s">
        <v>115</v>
      </c>
      <c r="Z899" s="40" t="s">
        <v>115</v>
      </c>
      <c r="AA899" s="40" t="s">
        <v>115</v>
      </c>
      <c r="AB899" s="40" t="s">
        <v>115</v>
      </c>
      <c r="AC899" s="40" t="s">
        <v>115</v>
      </c>
      <c r="AI899" s="40" t="s">
        <v>115</v>
      </c>
      <c r="AP899" s="4" t="s">
        <v>115</v>
      </c>
    </row>
    <row r="900" spans="1:42" x14ac:dyDescent="0.15">
      <c r="A900" s="40" t="s">
        <v>1</v>
      </c>
      <c r="B900" s="23">
        <v>90100409</v>
      </c>
      <c r="C900" s="23">
        <v>1004</v>
      </c>
      <c r="D900" s="23">
        <v>10</v>
      </c>
      <c r="F900" s="23" t="s">
        <v>599</v>
      </c>
      <c r="G900" s="23" t="s">
        <v>115</v>
      </c>
      <c r="H900" s="23" t="s">
        <v>610</v>
      </c>
      <c r="I900" s="23">
        <v>3</v>
      </c>
      <c r="J900" s="40">
        <v>0</v>
      </c>
      <c r="K900" s="40">
        <v>0</v>
      </c>
      <c r="L900" s="40" t="s">
        <v>115</v>
      </c>
      <c r="O900" s="40" t="s">
        <v>115</v>
      </c>
      <c r="Q900" s="40">
        <v>112</v>
      </c>
      <c r="R900" s="40">
        <v>306</v>
      </c>
      <c r="X900" s="40">
        <v>90100410</v>
      </c>
      <c r="Y900" s="40" t="s">
        <v>115</v>
      </c>
      <c r="Z900" s="40" t="s">
        <v>115</v>
      </c>
      <c r="AA900" s="40" t="s">
        <v>115</v>
      </c>
      <c r="AB900" s="40" t="s">
        <v>115</v>
      </c>
      <c r="AC900" s="40" t="s">
        <v>115</v>
      </c>
      <c r="AI900" s="40" t="s">
        <v>115</v>
      </c>
      <c r="AP900" s="4" t="s">
        <v>115</v>
      </c>
    </row>
    <row r="901" spans="1:42" x14ac:dyDescent="0.15">
      <c r="A901" s="40" t="s">
        <v>1</v>
      </c>
      <c r="B901" s="23">
        <v>90100410</v>
      </c>
      <c r="C901" s="23">
        <v>1004</v>
      </c>
      <c r="D901" s="23">
        <v>10</v>
      </c>
      <c r="F901" s="23" t="s">
        <v>116</v>
      </c>
      <c r="G901" s="23">
        <v>312</v>
      </c>
      <c r="H901" s="23" t="s">
        <v>611</v>
      </c>
      <c r="I901" s="23">
        <v>0</v>
      </c>
      <c r="J901" s="40">
        <v>0</v>
      </c>
      <c r="K901" s="40">
        <v>0</v>
      </c>
      <c r="L901" s="40" t="s">
        <v>115</v>
      </c>
      <c r="O901" s="40" t="s">
        <v>115</v>
      </c>
      <c r="Q901" s="40">
        <v>112</v>
      </c>
      <c r="R901" s="40">
        <v>306</v>
      </c>
      <c r="X901" s="40">
        <v>90100411</v>
      </c>
      <c r="Y901" s="40" t="s">
        <v>115</v>
      </c>
      <c r="Z901" s="40" t="s">
        <v>115</v>
      </c>
      <c r="AA901" s="40" t="s">
        <v>115</v>
      </c>
      <c r="AB901" s="40" t="s">
        <v>115</v>
      </c>
      <c r="AC901" s="40" t="s">
        <v>115</v>
      </c>
      <c r="AI901" s="40" t="s">
        <v>115</v>
      </c>
      <c r="AP901" s="4" t="s">
        <v>115</v>
      </c>
    </row>
    <row r="902" spans="1:42" x14ac:dyDescent="0.15">
      <c r="A902" s="40" t="s">
        <v>1</v>
      </c>
      <c r="B902" s="23">
        <v>90100411</v>
      </c>
      <c r="C902" s="23">
        <v>1004</v>
      </c>
      <c r="D902" s="23">
        <v>10</v>
      </c>
      <c r="F902" s="23" t="s">
        <v>599</v>
      </c>
      <c r="G902" s="23" t="s">
        <v>115</v>
      </c>
      <c r="H902" s="23" t="s">
        <v>612</v>
      </c>
      <c r="I902" s="23">
        <v>3</v>
      </c>
      <c r="J902" s="40">
        <v>0</v>
      </c>
      <c r="K902" s="40">
        <v>0</v>
      </c>
      <c r="L902" s="40" t="s">
        <v>115</v>
      </c>
      <c r="O902" s="40" t="s">
        <v>115</v>
      </c>
      <c r="Q902" s="40">
        <v>112</v>
      </c>
      <c r="R902" s="40">
        <v>306</v>
      </c>
      <c r="X902" s="40">
        <v>90100412</v>
      </c>
      <c r="Y902" s="40" t="s">
        <v>115</v>
      </c>
      <c r="Z902" s="40" t="s">
        <v>115</v>
      </c>
      <c r="AA902" s="40" t="s">
        <v>115</v>
      </c>
      <c r="AB902" s="40" t="s">
        <v>115</v>
      </c>
      <c r="AC902" s="40" t="s">
        <v>115</v>
      </c>
      <c r="AI902" s="40" t="s">
        <v>115</v>
      </c>
      <c r="AP902" s="4" t="s">
        <v>115</v>
      </c>
    </row>
    <row r="903" spans="1:42" x14ac:dyDescent="0.15">
      <c r="A903" s="40" t="s">
        <v>1</v>
      </c>
      <c r="B903" s="23">
        <v>90100412</v>
      </c>
      <c r="C903" s="23">
        <v>1004</v>
      </c>
      <c r="D903" s="23">
        <v>10</v>
      </c>
      <c r="F903" s="23" t="s">
        <v>115</v>
      </c>
      <c r="G903" s="23" t="s">
        <v>115</v>
      </c>
      <c r="H903" s="23" t="s">
        <v>613</v>
      </c>
      <c r="I903" s="23">
        <v>4</v>
      </c>
      <c r="J903" s="40">
        <v>0</v>
      </c>
      <c r="K903" s="40">
        <v>5</v>
      </c>
      <c r="L903" s="40" t="s">
        <v>738</v>
      </c>
      <c r="O903" s="40" t="s">
        <v>115</v>
      </c>
      <c r="Q903" s="40">
        <v>112</v>
      </c>
      <c r="R903" s="40">
        <v>306</v>
      </c>
      <c r="X903" s="40">
        <v>90100413</v>
      </c>
      <c r="Y903" s="40" t="s">
        <v>115</v>
      </c>
      <c r="Z903" s="40">
        <v>4</v>
      </c>
      <c r="AA903" s="40" t="s">
        <v>115</v>
      </c>
      <c r="AB903" s="40" t="s">
        <v>115</v>
      </c>
      <c r="AC903" s="40" t="s">
        <v>115</v>
      </c>
      <c r="AI903" s="40" t="s">
        <v>115</v>
      </c>
      <c r="AP903" s="4" t="s">
        <v>115</v>
      </c>
    </row>
    <row r="904" spans="1:42" x14ac:dyDescent="0.15">
      <c r="A904" s="40" t="s">
        <v>1</v>
      </c>
      <c r="B904" s="23">
        <v>90100413</v>
      </c>
      <c r="C904" s="23">
        <v>1004</v>
      </c>
      <c r="D904" s="23">
        <v>10</v>
      </c>
      <c r="F904" s="23" t="s">
        <v>599</v>
      </c>
      <c r="G904" s="23" t="s">
        <v>115</v>
      </c>
      <c r="H904" s="23" t="s">
        <v>614</v>
      </c>
      <c r="I904" s="23">
        <v>3</v>
      </c>
      <c r="J904" s="40">
        <v>0</v>
      </c>
      <c r="K904" s="40">
        <v>0</v>
      </c>
      <c r="L904" s="40" t="s">
        <v>115</v>
      </c>
      <c r="O904" s="40" t="s">
        <v>115</v>
      </c>
      <c r="Q904" s="40">
        <v>112</v>
      </c>
      <c r="R904" s="40">
        <v>306</v>
      </c>
      <c r="X904" s="40">
        <v>90100414</v>
      </c>
      <c r="Y904" s="40" t="s">
        <v>115</v>
      </c>
      <c r="Z904" s="40" t="s">
        <v>115</v>
      </c>
      <c r="AA904" s="40" t="s">
        <v>115</v>
      </c>
      <c r="AB904" s="40" t="s">
        <v>115</v>
      </c>
      <c r="AC904" s="40" t="s">
        <v>115</v>
      </c>
      <c r="AI904" s="40" t="s">
        <v>115</v>
      </c>
      <c r="AP904" s="4" t="s">
        <v>115</v>
      </c>
    </row>
    <row r="905" spans="1:42" x14ac:dyDescent="0.15">
      <c r="A905" s="40" t="s">
        <v>1</v>
      </c>
      <c r="B905" s="23">
        <v>90100414</v>
      </c>
      <c r="C905" s="23">
        <v>1004</v>
      </c>
      <c r="D905" s="23">
        <v>10</v>
      </c>
      <c r="F905" s="23" t="s">
        <v>599</v>
      </c>
      <c r="G905" s="23" t="s">
        <v>115</v>
      </c>
      <c r="H905" s="23" t="s">
        <v>2465</v>
      </c>
      <c r="I905" s="23">
        <v>3</v>
      </c>
      <c r="J905" s="40">
        <v>0</v>
      </c>
      <c r="K905" s="40">
        <v>0</v>
      </c>
      <c r="L905" s="40" t="s">
        <v>115</v>
      </c>
      <c r="O905" s="40" t="s">
        <v>115</v>
      </c>
      <c r="Q905" s="40">
        <v>112</v>
      </c>
      <c r="R905" s="40">
        <v>306</v>
      </c>
      <c r="X905" s="40">
        <v>90100415</v>
      </c>
      <c r="Y905" s="40" t="s">
        <v>115</v>
      </c>
      <c r="Z905" s="40" t="s">
        <v>115</v>
      </c>
      <c r="AA905" s="40" t="s">
        <v>115</v>
      </c>
      <c r="AB905" s="40" t="s">
        <v>115</v>
      </c>
      <c r="AC905" s="40" t="s">
        <v>115</v>
      </c>
      <c r="AI905" s="40" t="s">
        <v>115</v>
      </c>
      <c r="AP905" s="4" t="s">
        <v>115</v>
      </c>
    </row>
    <row r="906" spans="1:42" x14ac:dyDescent="0.15">
      <c r="A906" s="40" t="s">
        <v>1</v>
      </c>
      <c r="B906" s="23">
        <v>90100415</v>
      </c>
      <c r="C906" s="23">
        <v>1004</v>
      </c>
      <c r="D906" s="23">
        <v>10</v>
      </c>
      <c r="F906" s="23" t="s">
        <v>116</v>
      </c>
      <c r="G906" s="23">
        <v>312</v>
      </c>
      <c r="H906" s="23" t="s">
        <v>615</v>
      </c>
      <c r="I906" s="23">
        <v>0</v>
      </c>
      <c r="J906" s="40">
        <v>0</v>
      </c>
      <c r="K906" s="40">
        <v>0</v>
      </c>
      <c r="L906" s="40" t="s">
        <v>115</v>
      </c>
      <c r="O906" s="40" t="s">
        <v>115</v>
      </c>
      <c r="Q906" s="40">
        <v>112</v>
      </c>
      <c r="R906" s="40">
        <v>306</v>
      </c>
      <c r="X906" s="40">
        <v>90100416</v>
      </c>
      <c r="Y906" s="40" t="s">
        <v>115</v>
      </c>
      <c r="Z906" s="40" t="s">
        <v>115</v>
      </c>
      <c r="AA906" s="40" t="s">
        <v>115</v>
      </c>
      <c r="AB906" s="40" t="s">
        <v>115</v>
      </c>
      <c r="AC906" s="40" t="s">
        <v>115</v>
      </c>
      <c r="AI906" s="40" t="s">
        <v>115</v>
      </c>
      <c r="AP906" s="4" t="s">
        <v>115</v>
      </c>
    </row>
    <row r="907" spans="1:42" x14ac:dyDescent="0.15">
      <c r="A907" s="40" t="s">
        <v>1</v>
      </c>
      <c r="B907" s="23">
        <v>90100416</v>
      </c>
      <c r="C907" s="23">
        <v>1004</v>
      </c>
      <c r="D907" s="23">
        <v>10</v>
      </c>
      <c r="F907" s="23" t="s">
        <v>599</v>
      </c>
      <c r="G907" s="23" t="s">
        <v>115</v>
      </c>
      <c r="H907" s="23" t="s">
        <v>616</v>
      </c>
      <c r="I907" s="23">
        <v>3</v>
      </c>
      <c r="J907" s="40">
        <v>0</v>
      </c>
      <c r="K907" s="40">
        <v>0</v>
      </c>
      <c r="L907" s="40" t="s">
        <v>115</v>
      </c>
      <c r="O907" s="40" t="s">
        <v>115</v>
      </c>
      <c r="Q907" s="40">
        <v>112</v>
      </c>
      <c r="R907" s="40">
        <v>306</v>
      </c>
      <c r="X907" s="40">
        <v>90100417</v>
      </c>
      <c r="Y907" s="40" t="s">
        <v>115</v>
      </c>
      <c r="Z907" s="40" t="s">
        <v>115</v>
      </c>
      <c r="AA907" s="40" t="s">
        <v>115</v>
      </c>
      <c r="AB907" s="40" t="s">
        <v>115</v>
      </c>
      <c r="AC907" s="40" t="s">
        <v>115</v>
      </c>
      <c r="AI907" s="40" t="s">
        <v>115</v>
      </c>
      <c r="AP907" s="4" t="s">
        <v>115</v>
      </c>
    </row>
    <row r="908" spans="1:42" x14ac:dyDescent="0.15">
      <c r="A908" s="40" t="s">
        <v>1</v>
      </c>
      <c r="B908" s="23">
        <v>90100417</v>
      </c>
      <c r="C908" s="23">
        <v>1004</v>
      </c>
      <c r="D908" s="23">
        <v>10</v>
      </c>
      <c r="F908" s="23" t="s">
        <v>599</v>
      </c>
      <c r="G908" s="23" t="s">
        <v>115</v>
      </c>
      <c r="H908" s="23" t="s">
        <v>617</v>
      </c>
      <c r="I908" s="23">
        <v>3</v>
      </c>
      <c r="J908" s="40">
        <v>0</v>
      </c>
      <c r="K908" s="40">
        <v>6</v>
      </c>
      <c r="L908" s="40" t="s">
        <v>115</v>
      </c>
      <c r="O908" s="40">
        <v>1</v>
      </c>
      <c r="Q908" s="40">
        <v>112</v>
      </c>
      <c r="R908" s="40">
        <v>306</v>
      </c>
      <c r="X908" s="40" t="s">
        <v>115</v>
      </c>
      <c r="Y908" s="40" t="s">
        <v>115</v>
      </c>
      <c r="Z908" s="40">
        <v>5</v>
      </c>
      <c r="AA908" s="40" t="s">
        <v>115</v>
      </c>
      <c r="AB908" s="40" t="s">
        <v>115</v>
      </c>
      <c r="AC908" s="40" t="s">
        <v>115</v>
      </c>
      <c r="AI908" s="40" t="s">
        <v>115</v>
      </c>
      <c r="AP908" s="4" t="s">
        <v>2466</v>
      </c>
    </row>
    <row r="909" spans="1:42" x14ac:dyDescent="0.15">
      <c r="A909" s="40" t="s">
        <v>1</v>
      </c>
      <c r="B909" s="23" t="s">
        <v>496</v>
      </c>
      <c r="C909" s="23">
        <v>1005</v>
      </c>
      <c r="D909" s="23">
        <v>10</v>
      </c>
      <c r="F909" s="23" t="s">
        <v>373</v>
      </c>
      <c r="G909" s="23" t="s">
        <v>115</v>
      </c>
      <c r="H909" s="23" t="s">
        <v>618</v>
      </c>
      <c r="I909" s="23">
        <v>3</v>
      </c>
      <c r="J909" s="40">
        <v>1</v>
      </c>
      <c r="K909" s="40">
        <v>1</v>
      </c>
      <c r="L909" s="40" t="s">
        <v>115</v>
      </c>
      <c r="O909" s="40" t="s">
        <v>115</v>
      </c>
      <c r="Q909" s="40">
        <v>143</v>
      </c>
      <c r="R909" s="40">
        <v>357</v>
      </c>
      <c r="X909" s="40">
        <v>90100502</v>
      </c>
      <c r="Y909" s="40" t="s">
        <v>115</v>
      </c>
      <c r="Z909" s="40" t="s">
        <v>115</v>
      </c>
      <c r="AA909" s="40" t="s">
        <v>115</v>
      </c>
      <c r="AB909" s="40" t="s">
        <v>115</v>
      </c>
      <c r="AC909" s="40" t="s">
        <v>115</v>
      </c>
      <c r="AI909" s="40" t="s">
        <v>115</v>
      </c>
      <c r="AP909" s="4" t="s">
        <v>115</v>
      </c>
    </row>
    <row r="910" spans="1:42" x14ac:dyDescent="0.15">
      <c r="A910" s="40" t="s">
        <v>1</v>
      </c>
      <c r="B910" s="23">
        <v>90100502</v>
      </c>
      <c r="C910" s="23">
        <v>1005</v>
      </c>
      <c r="D910" s="23">
        <v>10</v>
      </c>
      <c r="F910" s="23" t="s">
        <v>116</v>
      </c>
      <c r="G910" s="23">
        <v>312</v>
      </c>
      <c r="H910" s="23" t="s">
        <v>619</v>
      </c>
      <c r="I910" s="23">
        <v>0</v>
      </c>
      <c r="J910" s="40">
        <v>0</v>
      </c>
      <c r="K910" s="40">
        <v>0</v>
      </c>
      <c r="L910" s="40" t="s">
        <v>115</v>
      </c>
      <c r="O910" s="40" t="s">
        <v>115</v>
      </c>
      <c r="Q910" s="40">
        <v>143</v>
      </c>
      <c r="R910" s="40">
        <v>357</v>
      </c>
      <c r="X910" s="40">
        <v>90100503</v>
      </c>
      <c r="Y910" s="40" t="s">
        <v>115</v>
      </c>
      <c r="Z910" s="40" t="s">
        <v>115</v>
      </c>
      <c r="AA910" s="40" t="s">
        <v>115</v>
      </c>
      <c r="AB910" s="40" t="s">
        <v>115</v>
      </c>
      <c r="AC910" s="40" t="s">
        <v>115</v>
      </c>
      <c r="AI910" s="40" t="s">
        <v>115</v>
      </c>
      <c r="AP910" s="4" t="s">
        <v>115</v>
      </c>
    </row>
    <row r="911" spans="1:42" x14ac:dyDescent="0.15">
      <c r="A911" s="40" t="s">
        <v>1</v>
      </c>
      <c r="B911" s="23">
        <v>90100503</v>
      </c>
      <c r="C911" s="23">
        <v>1005</v>
      </c>
      <c r="D911" s="23">
        <v>10</v>
      </c>
      <c r="F911" s="23" t="s">
        <v>373</v>
      </c>
      <c r="G911" s="23" t="s">
        <v>115</v>
      </c>
      <c r="H911" s="23" t="s">
        <v>620</v>
      </c>
      <c r="I911" s="23">
        <v>3</v>
      </c>
      <c r="J911" s="40">
        <v>0</v>
      </c>
      <c r="K911" s="40">
        <v>0</v>
      </c>
      <c r="L911" s="40" t="s">
        <v>115</v>
      </c>
      <c r="O911" s="40" t="s">
        <v>115</v>
      </c>
      <c r="Q911" s="40">
        <v>143</v>
      </c>
      <c r="R911" s="40">
        <v>357</v>
      </c>
      <c r="X911" s="40">
        <v>90100504</v>
      </c>
      <c r="Y911" s="40" t="s">
        <v>115</v>
      </c>
      <c r="Z911" s="40" t="s">
        <v>115</v>
      </c>
      <c r="AA911" s="40" t="s">
        <v>115</v>
      </c>
      <c r="AB911" s="40" t="s">
        <v>115</v>
      </c>
      <c r="AC911" s="40" t="s">
        <v>115</v>
      </c>
      <c r="AI911" s="40" t="s">
        <v>115</v>
      </c>
      <c r="AP911" s="4" t="s">
        <v>115</v>
      </c>
    </row>
    <row r="912" spans="1:42" x14ac:dyDescent="0.15">
      <c r="A912" s="40" t="s">
        <v>1</v>
      </c>
      <c r="B912" s="23">
        <v>90100504</v>
      </c>
      <c r="C912" s="23">
        <v>1005</v>
      </c>
      <c r="D912" s="23">
        <v>10</v>
      </c>
      <c r="F912" s="23" t="s">
        <v>116</v>
      </c>
      <c r="G912" s="23">
        <v>314</v>
      </c>
      <c r="H912" s="23" t="s">
        <v>621</v>
      </c>
      <c r="I912" s="23">
        <v>0</v>
      </c>
      <c r="J912" s="40">
        <v>0</v>
      </c>
      <c r="K912" s="40">
        <v>2</v>
      </c>
      <c r="L912" s="40" t="s">
        <v>115</v>
      </c>
      <c r="O912" s="40" t="s">
        <v>115</v>
      </c>
      <c r="Q912" s="40">
        <v>143</v>
      </c>
      <c r="R912" s="40">
        <v>357</v>
      </c>
      <c r="X912" s="40" t="s">
        <v>2467</v>
      </c>
      <c r="Y912" s="40">
        <v>1</v>
      </c>
      <c r="Z912" s="40">
        <v>1</v>
      </c>
      <c r="AA912" s="40" t="s">
        <v>115</v>
      </c>
      <c r="AB912" s="40" t="s">
        <v>115</v>
      </c>
      <c r="AC912" s="40" t="s">
        <v>115</v>
      </c>
      <c r="AI912" s="40" t="s">
        <v>115</v>
      </c>
      <c r="AP912" s="4" t="s">
        <v>115</v>
      </c>
    </row>
    <row r="913" spans="1:42" x14ac:dyDescent="0.15">
      <c r="A913" s="40" t="s">
        <v>1</v>
      </c>
      <c r="B913" s="23">
        <v>90100505</v>
      </c>
      <c r="C913" s="23">
        <v>1005</v>
      </c>
      <c r="D913" s="23">
        <v>10</v>
      </c>
      <c r="F913" s="23" t="s">
        <v>115</v>
      </c>
      <c r="G913" s="23" t="s">
        <v>115</v>
      </c>
      <c r="H913" s="23" t="s">
        <v>622</v>
      </c>
      <c r="I913" s="23">
        <v>4</v>
      </c>
      <c r="J913" s="40">
        <v>0</v>
      </c>
      <c r="K913" s="40">
        <v>3</v>
      </c>
      <c r="L913" s="40" t="s">
        <v>115</v>
      </c>
      <c r="O913" s="40" t="s">
        <v>115</v>
      </c>
      <c r="Q913" s="40">
        <v>143</v>
      </c>
      <c r="R913" s="40">
        <v>357</v>
      </c>
      <c r="X913" s="40">
        <v>90100509</v>
      </c>
      <c r="Y913" s="40">
        <v>-1</v>
      </c>
      <c r="Z913" s="40">
        <v>2</v>
      </c>
      <c r="AA913" s="40" t="s">
        <v>115</v>
      </c>
      <c r="AB913" s="40" t="s">
        <v>115</v>
      </c>
      <c r="AC913" s="40" t="s">
        <v>623</v>
      </c>
      <c r="AI913" s="40" t="s">
        <v>115</v>
      </c>
      <c r="AP913" s="4" t="s">
        <v>115</v>
      </c>
    </row>
    <row r="914" spans="1:42" x14ac:dyDescent="0.15">
      <c r="A914" s="40" t="s">
        <v>1</v>
      </c>
      <c r="B914" s="23">
        <v>90100506</v>
      </c>
      <c r="C914" s="23">
        <v>1005</v>
      </c>
      <c r="D914" s="23">
        <v>10</v>
      </c>
      <c r="F914" s="23" t="s">
        <v>115</v>
      </c>
      <c r="G914" s="23" t="s">
        <v>115</v>
      </c>
      <c r="H914" s="23" t="s">
        <v>624</v>
      </c>
      <c r="I914" s="23">
        <v>4</v>
      </c>
      <c r="J914" s="40">
        <v>0</v>
      </c>
      <c r="K914" s="40">
        <v>4</v>
      </c>
      <c r="L914" s="40" t="s">
        <v>115</v>
      </c>
      <c r="O914" s="40" t="s">
        <v>115</v>
      </c>
      <c r="Q914" s="40">
        <v>143</v>
      </c>
      <c r="R914" s="40">
        <v>357</v>
      </c>
      <c r="X914" s="40">
        <v>90100507</v>
      </c>
      <c r="Y914" s="40">
        <v>-1</v>
      </c>
      <c r="Z914" s="40">
        <v>2</v>
      </c>
      <c r="AA914" s="40" t="s">
        <v>115</v>
      </c>
      <c r="AB914" s="40" t="s">
        <v>115</v>
      </c>
      <c r="AC914" s="40" t="s">
        <v>115</v>
      </c>
      <c r="AI914" s="40" t="s">
        <v>115</v>
      </c>
      <c r="AP914" s="4" t="s">
        <v>115</v>
      </c>
    </row>
    <row r="915" spans="1:42" x14ac:dyDescent="0.15">
      <c r="A915" s="40" t="s">
        <v>1</v>
      </c>
      <c r="B915" s="23">
        <v>90100507</v>
      </c>
      <c r="C915" s="23">
        <v>1005</v>
      </c>
      <c r="D915" s="23">
        <v>10</v>
      </c>
      <c r="F915" s="23" t="s">
        <v>116</v>
      </c>
      <c r="G915" s="23">
        <v>312</v>
      </c>
      <c r="H915" s="23" t="s">
        <v>625</v>
      </c>
      <c r="I915" s="23">
        <v>0</v>
      </c>
      <c r="J915" s="40">
        <v>0</v>
      </c>
      <c r="K915" s="40">
        <v>0</v>
      </c>
      <c r="L915" s="40" t="s">
        <v>115</v>
      </c>
      <c r="O915" s="40" t="s">
        <v>115</v>
      </c>
      <c r="Q915" s="40">
        <v>143</v>
      </c>
      <c r="R915" s="40">
        <v>357</v>
      </c>
      <c r="X915" s="40">
        <v>90100508</v>
      </c>
      <c r="Y915" s="40" t="s">
        <v>115</v>
      </c>
      <c r="Z915" s="40" t="s">
        <v>115</v>
      </c>
      <c r="AA915" s="40" t="s">
        <v>115</v>
      </c>
      <c r="AB915" s="40" t="s">
        <v>115</v>
      </c>
      <c r="AC915" s="40" t="s">
        <v>115</v>
      </c>
      <c r="AI915" s="40" t="s">
        <v>115</v>
      </c>
      <c r="AP915" s="4" t="s">
        <v>115</v>
      </c>
    </row>
    <row r="916" spans="1:42" x14ac:dyDescent="0.15">
      <c r="A916" s="40" t="s">
        <v>1</v>
      </c>
      <c r="B916" s="23">
        <v>90100508</v>
      </c>
      <c r="C916" s="23">
        <v>1005</v>
      </c>
      <c r="D916" s="23">
        <v>10</v>
      </c>
      <c r="F916" s="23" t="s">
        <v>373</v>
      </c>
      <c r="G916" s="23" t="s">
        <v>115</v>
      </c>
      <c r="H916" s="23" t="s">
        <v>626</v>
      </c>
      <c r="I916" s="23">
        <v>3</v>
      </c>
      <c r="J916" s="40">
        <v>0</v>
      </c>
      <c r="K916" s="40">
        <v>0</v>
      </c>
      <c r="L916" s="40" t="s">
        <v>115</v>
      </c>
      <c r="O916" s="40" t="s">
        <v>115</v>
      </c>
      <c r="Q916" s="40">
        <v>143</v>
      </c>
      <c r="R916" s="40">
        <v>357</v>
      </c>
      <c r="X916" s="40">
        <v>90100504</v>
      </c>
      <c r="Y916" s="40" t="s">
        <v>115</v>
      </c>
      <c r="Z916" s="40" t="s">
        <v>115</v>
      </c>
      <c r="AA916" s="40" t="s">
        <v>115</v>
      </c>
      <c r="AB916" s="40" t="s">
        <v>115</v>
      </c>
      <c r="AC916" s="40" t="s">
        <v>115</v>
      </c>
      <c r="AI916" s="40" t="s">
        <v>115</v>
      </c>
      <c r="AP916" s="4" t="s">
        <v>115</v>
      </c>
    </row>
    <row r="917" spans="1:42" x14ac:dyDescent="0.15">
      <c r="A917" s="40" t="s">
        <v>1</v>
      </c>
      <c r="B917" s="23">
        <v>90100509</v>
      </c>
      <c r="C917" s="23">
        <v>1005</v>
      </c>
      <c r="D917" s="23">
        <v>10</v>
      </c>
      <c r="F917" s="23" t="s">
        <v>373</v>
      </c>
      <c r="G917" s="23" t="s">
        <v>115</v>
      </c>
      <c r="H917" s="23" t="s">
        <v>627</v>
      </c>
      <c r="I917" s="23">
        <v>3</v>
      </c>
      <c r="J917" s="40">
        <v>0</v>
      </c>
      <c r="K917" s="40">
        <v>0</v>
      </c>
      <c r="L917" s="40" t="s">
        <v>115</v>
      </c>
      <c r="O917" s="40" t="s">
        <v>115</v>
      </c>
      <c r="Q917" s="40">
        <v>143</v>
      </c>
      <c r="R917" s="40">
        <v>357</v>
      </c>
      <c r="X917" s="40">
        <v>90100510</v>
      </c>
      <c r="Y917" s="40" t="s">
        <v>115</v>
      </c>
      <c r="Z917" s="40" t="s">
        <v>115</v>
      </c>
      <c r="AA917" s="40" t="s">
        <v>115</v>
      </c>
      <c r="AB917" s="40" t="s">
        <v>115</v>
      </c>
      <c r="AC917" s="40" t="s">
        <v>115</v>
      </c>
      <c r="AI917" s="40" t="s">
        <v>115</v>
      </c>
      <c r="AP917" s="4" t="s">
        <v>115</v>
      </c>
    </row>
    <row r="918" spans="1:42" x14ac:dyDescent="0.15">
      <c r="A918" s="40" t="s">
        <v>1</v>
      </c>
      <c r="B918" s="23">
        <v>90100510</v>
      </c>
      <c r="C918" s="23">
        <v>1005</v>
      </c>
      <c r="D918" s="23">
        <v>10</v>
      </c>
      <c r="F918" s="23" t="s">
        <v>373</v>
      </c>
      <c r="G918" s="23" t="s">
        <v>115</v>
      </c>
      <c r="H918" s="23" t="s">
        <v>628</v>
      </c>
      <c r="I918" s="23">
        <v>3</v>
      </c>
      <c r="J918" s="40">
        <v>0</v>
      </c>
      <c r="K918" s="40">
        <v>5</v>
      </c>
      <c r="L918" s="40" t="s">
        <v>115</v>
      </c>
      <c r="O918" s="40">
        <v>1</v>
      </c>
      <c r="Q918" s="40">
        <v>143</v>
      </c>
      <c r="R918" s="40">
        <v>357</v>
      </c>
      <c r="X918" s="40" t="s">
        <v>115</v>
      </c>
      <c r="Y918" s="40" t="s">
        <v>115</v>
      </c>
      <c r="Z918" s="40">
        <v>4</v>
      </c>
      <c r="AA918" s="40" t="s">
        <v>115</v>
      </c>
      <c r="AB918" s="40" t="s">
        <v>115</v>
      </c>
      <c r="AC918" s="40" t="s">
        <v>115</v>
      </c>
      <c r="AI918" s="40" t="s">
        <v>115</v>
      </c>
      <c r="AP918" s="4" t="s">
        <v>115</v>
      </c>
    </row>
    <row r="919" spans="1:42" x14ac:dyDescent="0.15">
      <c r="A919" s="40" t="s">
        <v>1</v>
      </c>
      <c r="B919" s="23" t="s">
        <v>497</v>
      </c>
      <c r="C919" s="23">
        <v>1006</v>
      </c>
      <c r="D919" s="23">
        <v>10</v>
      </c>
      <c r="F919" s="23" t="s">
        <v>629</v>
      </c>
      <c r="G919" s="23" t="s">
        <v>115</v>
      </c>
      <c r="H919" s="23" t="s">
        <v>630</v>
      </c>
      <c r="I919" s="23">
        <v>3</v>
      </c>
      <c r="J919" s="40">
        <v>1</v>
      </c>
      <c r="K919" s="40">
        <v>1</v>
      </c>
      <c r="L919" s="40" t="s">
        <v>115</v>
      </c>
      <c r="O919" s="40" t="s">
        <v>115</v>
      </c>
      <c r="Q919" s="40">
        <v>116</v>
      </c>
      <c r="R919" s="40">
        <v>17</v>
      </c>
      <c r="X919" s="40">
        <v>90100602</v>
      </c>
      <c r="Y919" s="40" t="s">
        <v>115</v>
      </c>
      <c r="Z919" s="40" t="s">
        <v>115</v>
      </c>
      <c r="AA919" s="40" t="s">
        <v>115</v>
      </c>
      <c r="AB919" s="40" t="s">
        <v>115</v>
      </c>
      <c r="AC919" s="40" t="s">
        <v>115</v>
      </c>
      <c r="AI919" s="40" t="s">
        <v>115</v>
      </c>
      <c r="AP919" s="4" t="s">
        <v>115</v>
      </c>
    </row>
    <row r="920" spans="1:42" x14ac:dyDescent="0.15">
      <c r="A920" s="40" t="s">
        <v>1</v>
      </c>
      <c r="B920" s="23">
        <v>90100602</v>
      </c>
      <c r="C920" s="23">
        <v>1006</v>
      </c>
      <c r="D920" s="23">
        <v>10</v>
      </c>
      <c r="F920" s="23" t="s">
        <v>116</v>
      </c>
      <c r="G920" s="23">
        <v>308</v>
      </c>
      <c r="H920" s="23" t="s">
        <v>631</v>
      </c>
      <c r="I920" s="23">
        <v>2</v>
      </c>
      <c r="J920" s="40">
        <v>0</v>
      </c>
      <c r="K920" s="40">
        <v>0</v>
      </c>
      <c r="L920" s="40" t="s">
        <v>115</v>
      </c>
      <c r="O920" s="40" t="s">
        <v>115</v>
      </c>
      <c r="Q920" s="40">
        <v>116</v>
      </c>
      <c r="R920" s="40">
        <v>17</v>
      </c>
      <c r="X920" s="40">
        <v>90100603</v>
      </c>
      <c r="Y920" s="40" t="s">
        <v>115</v>
      </c>
      <c r="Z920" s="40" t="s">
        <v>115</v>
      </c>
      <c r="AA920" s="40" t="s">
        <v>115</v>
      </c>
      <c r="AB920" s="40" t="s">
        <v>115</v>
      </c>
      <c r="AC920" s="40" t="s">
        <v>115</v>
      </c>
      <c r="AI920" s="40" t="s">
        <v>115</v>
      </c>
      <c r="AP920" s="4" t="s">
        <v>115</v>
      </c>
    </row>
    <row r="921" spans="1:42" x14ac:dyDescent="0.15">
      <c r="A921" s="40" t="s">
        <v>1</v>
      </c>
      <c r="B921" s="23">
        <v>90100603</v>
      </c>
      <c r="C921" s="23">
        <v>1006</v>
      </c>
      <c r="D921" s="23">
        <v>10</v>
      </c>
      <c r="F921" s="23" t="s">
        <v>116</v>
      </c>
      <c r="G921" s="23">
        <v>312</v>
      </c>
      <c r="H921" s="23" t="s">
        <v>632</v>
      </c>
      <c r="I921" s="23">
        <v>0</v>
      </c>
      <c r="J921" s="40">
        <v>0</v>
      </c>
      <c r="K921" s="40">
        <v>0</v>
      </c>
      <c r="L921" s="40" t="s">
        <v>115</v>
      </c>
      <c r="O921" s="40" t="s">
        <v>115</v>
      </c>
      <c r="Q921" s="40">
        <v>116</v>
      </c>
      <c r="R921" s="40">
        <v>17</v>
      </c>
      <c r="X921" s="40">
        <v>90100604</v>
      </c>
      <c r="Y921" s="40" t="s">
        <v>115</v>
      </c>
      <c r="Z921" s="40" t="s">
        <v>115</v>
      </c>
      <c r="AA921" s="40" t="s">
        <v>115</v>
      </c>
      <c r="AB921" s="40" t="s">
        <v>115</v>
      </c>
      <c r="AC921" s="40" t="s">
        <v>115</v>
      </c>
      <c r="AI921" s="40" t="s">
        <v>115</v>
      </c>
      <c r="AP921" s="4" t="s">
        <v>115</v>
      </c>
    </row>
    <row r="922" spans="1:42" x14ac:dyDescent="0.15">
      <c r="A922" s="40" t="s">
        <v>1</v>
      </c>
      <c r="B922" s="23">
        <v>90100604</v>
      </c>
      <c r="C922" s="23">
        <v>1006</v>
      </c>
      <c r="D922" s="23">
        <v>10</v>
      </c>
      <c r="F922" s="23" t="s">
        <v>629</v>
      </c>
      <c r="G922" s="23" t="s">
        <v>115</v>
      </c>
      <c r="H922" s="23" t="s">
        <v>2468</v>
      </c>
      <c r="I922" s="23">
        <v>3</v>
      </c>
      <c r="J922" s="40">
        <v>0</v>
      </c>
      <c r="K922" s="40">
        <v>0</v>
      </c>
      <c r="L922" s="40" t="s">
        <v>115</v>
      </c>
      <c r="O922" s="40" t="s">
        <v>115</v>
      </c>
      <c r="Q922" s="40">
        <v>116</v>
      </c>
      <c r="R922" s="40">
        <v>17</v>
      </c>
      <c r="X922" s="40">
        <v>90100605</v>
      </c>
      <c r="Y922" s="40" t="s">
        <v>115</v>
      </c>
      <c r="Z922" s="40" t="s">
        <v>115</v>
      </c>
      <c r="AA922" s="40" t="s">
        <v>115</v>
      </c>
      <c r="AB922" s="40" t="s">
        <v>115</v>
      </c>
      <c r="AC922" s="40" t="s">
        <v>115</v>
      </c>
      <c r="AI922" s="40" t="s">
        <v>115</v>
      </c>
      <c r="AP922" s="4" t="s">
        <v>115</v>
      </c>
    </row>
    <row r="923" spans="1:42" x14ac:dyDescent="0.15">
      <c r="A923" s="40" t="s">
        <v>1</v>
      </c>
      <c r="B923" s="23">
        <v>90100605</v>
      </c>
      <c r="C923" s="23">
        <v>1006</v>
      </c>
      <c r="D923" s="23">
        <v>10</v>
      </c>
      <c r="F923" s="23" t="s">
        <v>116</v>
      </c>
      <c r="G923" s="23">
        <v>308</v>
      </c>
      <c r="H923" s="23" t="s">
        <v>2469</v>
      </c>
      <c r="I923" s="23">
        <v>0</v>
      </c>
      <c r="J923" s="40">
        <v>0</v>
      </c>
      <c r="K923" s="40">
        <v>0</v>
      </c>
      <c r="L923" s="40" t="s">
        <v>115</v>
      </c>
      <c r="O923" s="40" t="s">
        <v>115</v>
      </c>
      <c r="Q923" s="40">
        <v>116</v>
      </c>
      <c r="R923" s="40">
        <v>17</v>
      </c>
      <c r="X923" s="40">
        <v>90100606</v>
      </c>
      <c r="Y923" s="40" t="s">
        <v>115</v>
      </c>
      <c r="Z923" s="40" t="s">
        <v>115</v>
      </c>
      <c r="AA923" s="40" t="s">
        <v>115</v>
      </c>
      <c r="AB923" s="40" t="s">
        <v>115</v>
      </c>
      <c r="AC923" s="40" t="s">
        <v>115</v>
      </c>
      <c r="AI923" s="40" t="s">
        <v>115</v>
      </c>
      <c r="AP923" s="4" t="s">
        <v>115</v>
      </c>
    </row>
    <row r="924" spans="1:42" x14ac:dyDescent="0.15">
      <c r="A924" s="40" t="s">
        <v>1</v>
      </c>
      <c r="B924" s="23">
        <v>90100606</v>
      </c>
      <c r="C924" s="23">
        <v>1006</v>
      </c>
      <c r="D924" s="23">
        <v>10</v>
      </c>
      <c r="F924" s="23" t="s">
        <v>629</v>
      </c>
      <c r="G924" s="23" t="s">
        <v>115</v>
      </c>
      <c r="H924" s="23" t="s">
        <v>633</v>
      </c>
      <c r="I924" s="23">
        <v>3</v>
      </c>
      <c r="J924" s="40">
        <v>0</v>
      </c>
      <c r="K924" s="40">
        <v>2</v>
      </c>
      <c r="L924" s="40" t="s">
        <v>115</v>
      </c>
      <c r="O924" s="40" t="s">
        <v>115</v>
      </c>
      <c r="Q924" s="40">
        <v>116</v>
      </c>
      <c r="R924" s="40">
        <v>17</v>
      </c>
      <c r="X924" s="40" t="s">
        <v>2470</v>
      </c>
      <c r="Y924" s="40">
        <v>1</v>
      </c>
      <c r="Z924" s="40">
        <v>1</v>
      </c>
      <c r="AA924" s="40" t="s">
        <v>115</v>
      </c>
      <c r="AB924" s="40" t="s">
        <v>115</v>
      </c>
      <c r="AC924" s="40" t="s">
        <v>115</v>
      </c>
      <c r="AI924" s="40" t="s">
        <v>115</v>
      </c>
      <c r="AP924" s="4" t="s">
        <v>115</v>
      </c>
    </row>
    <row r="925" spans="1:42" x14ac:dyDescent="0.15">
      <c r="A925" s="40" t="s">
        <v>1</v>
      </c>
      <c r="B925" s="23">
        <v>90100607</v>
      </c>
      <c r="C925" s="23">
        <v>1006</v>
      </c>
      <c r="D925" s="23">
        <v>10</v>
      </c>
      <c r="F925" s="23" t="s">
        <v>115</v>
      </c>
      <c r="G925" s="23" t="s">
        <v>115</v>
      </c>
      <c r="H925" s="23" t="s">
        <v>634</v>
      </c>
      <c r="I925" s="23">
        <v>4</v>
      </c>
      <c r="J925" s="40">
        <v>0</v>
      </c>
      <c r="K925" s="40">
        <v>3</v>
      </c>
      <c r="L925" s="40" t="s">
        <v>115</v>
      </c>
      <c r="O925" s="40" t="s">
        <v>115</v>
      </c>
      <c r="Q925" s="40">
        <v>116</v>
      </c>
      <c r="R925" s="40">
        <v>17</v>
      </c>
      <c r="X925" s="40">
        <v>90100609</v>
      </c>
      <c r="Y925" s="40">
        <v>-1</v>
      </c>
      <c r="Z925" s="40">
        <v>2</v>
      </c>
      <c r="AA925" s="40" t="s">
        <v>115</v>
      </c>
      <c r="AB925" s="40" t="s">
        <v>115</v>
      </c>
      <c r="AC925" s="40" t="s">
        <v>635</v>
      </c>
      <c r="AI925" s="40" t="s">
        <v>115</v>
      </c>
      <c r="AP925" s="4" t="s">
        <v>115</v>
      </c>
    </row>
    <row r="926" spans="1:42" x14ac:dyDescent="0.15">
      <c r="A926" s="40" t="s">
        <v>1</v>
      </c>
      <c r="B926" s="23">
        <v>90100608</v>
      </c>
      <c r="C926" s="23">
        <v>1006</v>
      </c>
      <c r="D926" s="23">
        <v>10</v>
      </c>
      <c r="F926" s="23" t="s">
        <v>115</v>
      </c>
      <c r="G926" s="23" t="s">
        <v>115</v>
      </c>
      <c r="H926" s="23" t="s">
        <v>636</v>
      </c>
      <c r="I926" s="23">
        <v>4</v>
      </c>
      <c r="J926" s="40">
        <v>0</v>
      </c>
      <c r="K926" s="40">
        <v>4</v>
      </c>
      <c r="L926" s="40" t="s">
        <v>115</v>
      </c>
      <c r="O926" s="40" t="s">
        <v>115</v>
      </c>
      <c r="Q926" s="40">
        <v>116</v>
      </c>
      <c r="R926" s="40">
        <v>17</v>
      </c>
      <c r="X926" s="40">
        <v>90100613</v>
      </c>
      <c r="Y926" s="40">
        <v>-1</v>
      </c>
      <c r="Z926" s="40">
        <v>2</v>
      </c>
      <c r="AA926" s="40" t="s">
        <v>115</v>
      </c>
      <c r="AB926" s="40" t="s">
        <v>115</v>
      </c>
      <c r="AC926" s="40" t="s">
        <v>637</v>
      </c>
      <c r="AI926" s="40" t="s">
        <v>115</v>
      </c>
      <c r="AP926" s="4" t="s">
        <v>115</v>
      </c>
    </row>
    <row r="927" spans="1:42" x14ac:dyDescent="0.15">
      <c r="A927" s="40" t="s">
        <v>1</v>
      </c>
      <c r="B927" s="23">
        <v>90100609</v>
      </c>
      <c r="C927" s="23">
        <v>1006</v>
      </c>
      <c r="D927" s="23">
        <v>10</v>
      </c>
      <c r="F927" s="23" t="s">
        <v>629</v>
      </c>
      <c r="G927" s="23" t="s">
        <v>115</v>
      </c>
      <c r="H927" s="23" t="s">
        <v>638</v>
      </c>
      <c r="I927" s="23">
        <v>3</v>
      </c>
      <c r="J927" s="40">
        <v>0</v>
      </c>
      <c r="K927" s="40">
        <v>0</v>
      </c>
      <c r="L927" s="40" t="s">
        <v>115</v>
      </c>
      <c r="O927" s="40" t="s">
        <v>115</v>
      </c>
      <c r="Q927" s="40">
        <v>116</v>
      </c>
      <c r="R927" s="40">
        <v>17</v>
      </c>
      <c r="X927" s="40">
        <v>90100610</v>
      </c>
      <c r="Y927" s="40" t="s">
        <v>115</v>
      </c>
      <c r="Z927" s="40" t="s">
        <v>115</v>
      </c>
      <c r="AA927" s="40" t="s">
        <v>115</v>
      </c>
      <c r="AB927" s="40" t="s">
        <v>115</v>
      </c>
      <c r="AC927" s="40" t="s">
        <v>115</v>
      </c>
      <c r="AI927" s="40" t="s">
        <v>115</v>
      </c>
      <c r="AP927" s="4" t="s">
        <v>115</v>
      </c>
    </row>
    <row r="928" spans="1:42" x14ac:dyDescent="0.15">
      <c r="A928" s="40" t="s">
        <v>1</v>
      </c>
      <c r="B928" s="23">
        <v>90100610</v>
      </c>
      <c r="C928" s="23">
        <v>1006</v>
      </c>
      <c r="D928" s="23">
        <v>10</v>
      </c>
      <c r="F928" s="23" t="s">
        <v>116</v>
      </c>
      <c r="G928" s="23">
        <v>312</v>
      </c>
      <c r="H928" s="23" t="s">
        <v>639</v>
      </c>
      <c r="I928" s="23">
        <v>0</v>
      </c>
      <c r="J928" s="40">
        <v>0</v>
      </c>
      <c r="K928" s="40">
        <v>0</v>
      </c>
      <c r="L928" s="40" t="s">
        <v>115</v>
      </c>
      <c r="O928" s="40" t="s">
        <v>115</v>
      </c>
      <c r="Q928" s="40">
        <v>116</v>
      </c>
      <c r="R928" s="40">
        <v>17</v>
      </c>
      <c r="X928" s="40">
        <v>90100611</v>
      </c>
      <c r="Y928" s="40" t="s">
        <v>115</v>
      </c>
      <c r="Z928" s="40" t="s">
        <v>115</v>
      </c>
      <c r="AA928" s="40" t="s">
        <v>115</v>
      </c>
      <c r="AB928" s="40" t="s">
        <v>115</v>
      </c>
      <c r="AC928" s="40" t="s">
        <v>115</v>
      </c>
      <c r="AI928" s="40" t="s">
        <v>115</v>
      </c>
      <c r="AP928" s="4" t="s">
        <v>115</v>
      </c>
    </row>
    <row r="929" spans="1:42" x14ac:dyDescent="0.15">
      <c r="A929" s="40" t="s">
        <v>1</v>
      </c>
      <c r="B929" s="23">
        <v>90100611</v>
      </c>
      <c r="C929" s="23">
        <v>1006</v>
      </c>
      <c r="D929" s="23">
        <v>10</v>
      </c>
      <c r="F929" s="23" t="s">
        <v>629</v>
      </c>
      <c r="G929" s="23" t="s">
        <v>115</v>
      </c>
      <c r="H929" s="23" t="s">
        <v>640</v>
      </c>
      <c r="I929" s="23">
        <v>3</v>
      </c>
      <c r="J929" s="40">
        <v>0</v>
      </c>
      <c r="K929" s="40">
        <v>0</v>
      </c>
      <c r="L929" s="40" t="s">
        <v>115</v>
      </c>
      <c r="O929" s="40" t="s">
        <v>115</v>
      </c>
      <c r="Q929" s="40">
        <v>116</v>
      </c>
      <c r="R929" s="40">
        <v>17</v>
      </c>
      <c r="X929" s="40">
        <v>90100612</v>
      </c>
      <c r="Y929" s="40" t="s">
        <v>115</v>
      </c>
      <c r="Z929" s="40" t="s">
        <v>115</v>
      </c>
      <c r="AA929" s="40" t="s">
        <v>115</v>
      </c>
      <c r="AB929" s="40" t="s">
        <v>115</v>
      </c>
      <c r="AC929" s="40" t="s">
        <v>115</v>
      </c>
      <c r="AI929" s="40" t="s">
        <v>115</v>
      </c>
      <c r="AP929" s="4" t="s">
        <v>115</v>
      </c>
    </row>
    <row r="930" spans="1:42" x14ac:dyDescent="0.15">
      <c r="A930" s="40" t="s">
        <v>1</v>
      </c>
      <c r="B930" s="23">
        <v>90100612</v>
      </c>
      <c r="C930" s="23">
        <v>1006</v>
      </c>
      <c r="D930" s="23">
        <v>10</v>
      </c>
      <c r="F930" s="23" t="s">
        <v>116</v>
      </c>
      <c r="G930" s="23">
        <v>312</v>
      </c>
      <c r="H930" s="23" t="s">
        <v>2589</v>
      </c>
      <c r="I930" s="23">
        <v>0</v>
      </c>
      <c r="J930" s="40">
        <v>0</v>
      </c>
      <c r="K930" s="40">
        <v>0</v>
      </c>
      <c r="L930" s="40" t="s">
        <v>115</v>
      </c>
      <c r="O930" s="40" t="s">
        <v>115</v>
      </c>
      <c r="Q930" s="40">
        <v>116</v>
      </c>
      <c r="R930" s="40">
        <v>17</v>
      </c>
      <c r="X930" s="40">
        <v>90100616</v>
      </c>
      <c r="Y930" s="40" t="s">
        <v>115</v>
      </c>
      <c r="Z930" s="40" t="s">
        <v>115</v>
      </c>
      <c r="AA930" s="40" t="s">
        <v>115</v>
      </c>
      <c r="AB930" s="40" t="s">
        <v>115</v>
      </c>
      <c r="AC930" s="40" t="s">
        <v>115</v>
      </c>
      <c r="AI930" s="40" t="s">
        <v>115</v>
      </c>
      <c r="AP930" s="4" t="s">
        <v>115</v>
      </c>
    </row>
    <row r="931" spans="1:42" x14ac:dyDescent="0.15">
      <c r="A931" s="40" t="s">
        <v>1</v>
      </c>
      <c r="B931" s="23">
        <v>90100613</v>
      </c>
      <c r="C931" s="23">
        <v>1006</v>
      </c>
      <c r="D931" s="23">
        <v>10</v>
      </c>
      <c r="F931" s="23" t="s">
        <v>629</v>
      </c>
      <c r="G931" s="23" t="s">
        <v>115</v>
      </c>
      <c r="H931" s="23" t="s">
        <v>2590</v>
      </c>
      <c r="I931" s="23">
        <v>3</v>
      </c>
      <c r="J931" s="40">
        <v>0</v>
      </c>
      <c r="K931" s="40">
        <v>0</v>
      </c>
      <c r="L931" s="40" t="s">
        <v>115</v>
      </c>
      <c r="O931" s="40" t="s">
        <v>115</v>
      </c>
      <c r="Q931" s="40">
        <v>116</v>
      </c>
      <c r="R931" s="40">
        <v>17</v>
      </c>
      <c r="X931" s="40">
        <v>90100614</v>
      </c>
      <c r="Y931" s="40" t="s">
        <v>115</v>
      </c>
      <c r="Z931" s="40" t="s">
        <v>115</v>
      </c>
      <c r="AA931" s="40" t="s">
        <v>115</v>
      </c>
      <c r="AB931" s="40" t="s">
        <v>115</v>
      </c>
      <c r="AC931" s="40" t="s">
        <v>115</v>
      </c>
      <c r="AI931" s="40" t="s">
        <v>115</v>
      </c>
      <c r="AP931" s="4" t="s">
        <v>115</v>
      </c>
    </row>
    <row r="932" spans="1:42" x14ac:dyDescent="0.15">
      <c r="A932" s="40" t="s">
        <v>1</v>
      </c>
      <c r="B932" s="23">
        <v>90100614</v>
      </c>
      <c r="C932" s="23">
        <v>1006</v>
      </c>
      <c r="D932" s="23">
        <v>10</v>
      </c>
      <c r="F932" s="23" t="s">
        <v>116</v>
      </c>
      <c r="G932" s="23">
        <v>308</v>
      </c>
      <c r="H932" s="23" t="s">
        <v>2591</v>
      </c>
      <c r="I932" s="23">
        <v>0</v>
      </c>
      <c r="J932" s="40">
        <v>0</v>
      </c>
      <c r="K932" s="40">
        <v>0</v>
      </c>
      <c r="L932" s="40" t="s">
        <v>115</v>
      </c>
      <c r="O932" s="40" t="s">
        <v>115</v>
      </c>
      <c r="Q932" s="40">
        <v>116</v>
      </c>
      <c r="R932" s="40">
        <v>17</v>
      </c>
      <c r="X932" s="40">
        <v>90100615</v>
      </c>
      <c r="Y932" s="40" t="s">
        <v>115</v>
      </c>
      <c r="Z932" s="40" t="s">
        <v>115</v>
      </c>
      <c r="AA932" s="40" t="s">
        <v>115</v>
      </c>
      <c r="AB932" s="40" t="s">
        <v>115</v>
      </c>
      <c r="AC932" s="40" t="s">
        <v>115</v>
      </c>
      <c r="AI932" s="40" t="s">
        <v>115</v>
      </c>
      <c r="AP932" s="4" t="s">
        <v>115</v>
      </c>
    </row>
    <row r="933" spans="1:42" x14ac:dyDescent="0.15">
      <c r="A933" s="40" t="s">
        <v>1</v>
      </c>
      <c r="B933" s="23">
        <v>90100615</v>
      </c>
      <c r="C933" s="23">
        <v>1006</v>
      </c>
      <c r="D933" s="23">
        <v>10</v>
      </c>
      <c r="F933" s="23" t="s">
        <v>629</v>
      </c>
      <c r="G933" s="23" t="s">
        <v>115</v>
      </c>
      <c r="H933" s="23" t="s">
        <v>2592</v>
      </c>
      <c r="I933" s="23">
        <v>3</v>
      </c>
      <c r="J933" s="40">
        <v>0</v>
      </c>
      <c r="K933" s="40">
        <v>0</v>
      </c>
      <c r="L933" s="40" t="s">
        <v>115</v>
      </c>
      <c r="O933" s="40" t="s">
        <v>115</v>
      </c>
      <c r="Q933" s="40">
        <v>116</v>
      </c>
      <c r="R933" s="40">
        <v>17</v>
      </c>
      <c r="X933" s="40">
        <v>90100616</v>
      </c>
      <c r="Y933" s="40" t="s">
        <v>115</v>
      </c>
      <c r="Z933" s="40" t="s">
        <v>115</v>
      </c>
      <c r="AA933" s="40" t="s">
        <v>115</v>
      </c>
      <c r="AB933" s="40" t="s">
        <v>115</v>
      </c>
      <c r="AC933" s="40" t="s">
        <v>115</v>
      </c>
      <c r="AI933" s="40" t="s">
        <v>115</v>
      </c>
      <c r="AP933" s="4" t="s">
        <v>115</v>
      </c>
    </row>
    <row r="934" spans="1:42" x14ac:dyDescent="0.15">
      <c r="A934" s="40" t="s">
        <v>1</v>
      </c>
      <c r="B934" s="23">
        <v>90100616</v>
      </c>
      <c r="C934" s="23">
        <v>1006</v>
      </c>
      <c r="D934" s="23">
        <v>10</v>
      </c>
      <c r="F934" s="23" t="s">
        <v>115</v>
      </c>
      <c r="G934" s="23" t="s">
        <v>115</v>
      </c>
      <c r="H934" s="23" t="s">
        <v>2593</v>
      </c>
      <c r="I934" s="23">
        <v>4</v>
      </c>
      <c r="J934" s="40">
        <v>0</v>
      </c>
      <c r="K934" s="40">
        <v>0</v>
      </c>
      <c r="L934" s="40" t="s">
        <v>115</v>
      </c>
      <c r="O934" s="40" t="s">
        <v>115</v>
      </c>
      <c r="Q934" s="40">
        <v>116</v>
      </c>
      <c r="R934" s="40">
        <v>17</v>
      </c>
      <c r="X934" s="40">
        <v>90100617</v>
      </c>
      <c r="Y934" s="40" t="s">
        <v>115</v>
      </c>
      <c r="Z934" s="40" t="s">
        <v>115</v>
      </c>
      <c r="AA934" s="40" t="s">
        <v>115</v>
      </c>
      <c r="AB934" s="40" t="s">
        <v>115</v>
      </c>
      <c r="AC934" s="40" t="s">
        <v>115</v>
      </c>
      <c r="AI934" s="40" t="s">
        <v>115</v>
      </c>
      <c r="AP934" s="4" t="s">
        <v>115</v>
      </c>
    </row>
    <row r="935" spans="1:42" x14ac:dyDescent="0.15">
      <c r="A935" s="40" t="s">
        <v>1</v>
      </c>
      <c r="B935" s="23">
        <v>90100617</v>
      </c>
      <c r="C935" s="23">
        <v>1006</v>
      </c>
      <c r="D935" s="23">
        <v>10</v>
      </c>
      <c r="F935" s="23" t="s">
        <v>116</v>
      </c>
      <c r="G935" s="23">
        <v>312</v>
      </c>
      <c r="H935" s="23" t="s">
        <v>2594</v>
      </c>
      <c r="I935" s="23">
        <v>2</v>
      </c>
      <c r="J935" s="40">
        <v>0</v>
      </c>
      <c r="K935" s="40">
        <v>5</v>
      </c>
      <c r="L935" s="40" t="s">
        <v>115</v>
      </c>
      <c r="O935" s="40">
        <v>1</v>
      </c>
      <c r="Q935" s="40">
        <v>116</v>
      </c>
      <c r="R935" s="40">
        <v>17</v>
      </c>
      <c r="X935" s="40" t="s">
        <v>115</v>
      </c>
      <c r="Y935" s="40" t="s">
        <v>115</v>
      </c>
      <c r="Z935" s="40">
        <v>4</v>
      </c>
      <c r="AA935" s="40" t="s">
        <v>115</v>
      </c>
      <c r="AB935" s="40" t="s">
        <v>115</v>
      </c>
      <c r="AC935" s="40" t="s">
        <v>115</v>
      </c>
      <c r="AI935" s="40" t="s">
        <v>115</v>
      </c>
      <c r="AP935" s="4" t="s">
        <v>115</v>
      </c>
    </row>
    <row r="936" spans="1:42" x14ac:dyDescent="0.15">
      <c r="A936" s="40" t="s">
        <v>1</v>
      </c>
      <c r="B936" s="23" t="s">
        <v>2805</v>
      </c>
      <c r="C936" s="23">
        <v>1101</v>
      </c>
      <c r="D936" s="23">
        <v>11</v>
      </c>
      <c r="F936" s="23" t="s">
        <v>115</v>
      </c>
      <c r="G936" s="23" t="s">
        <v>115</v>
      </c>
      <c r="H936" s="23" t="s">
        <v>2845</v>
      </c>
      <c r="I936" s="23">
        <v>4</v>
      </c>
      <c r="J936" s="40">
        <v>1</v>
      </c>
      <c r="K936" s="40">
        <v>1</v>
      </c>
      <c r="L936" s="40" t="s">
        <v>115</v>
      </c>
      <c r="O936" s="40" t="s">
        <v>115</v>
      </c>
      <c r="Q936" s="40">
        <v>172</v>
      </c>
      <c r="R936" s="40" t="s">
        <v>115</v>
      </c>
      <c r="X936" s="40">
        <v>90110102</v>
      </c>
      <c r="Y936" s="40" t="s">
        <v>115</v>
      </c>
      <c r="Z936" s="40" t="s">
        <v>115</v>
      </c>
      <c r="AA936" s="40" t="s">
        <v>115</v>
      </c>
      <c r="AB936" s="40" t="s">
        <v>115</v>
      </c>
      <c r="AC936" s="40" t="s">
        <v>115</v>
      </c>
      <c r="AI936" s="40" t="s">
        <v>115</v>
      </c>
      <c r="AP936" s="4" t="s">
        <v>115</v>
      </c>
    </row>
    <row r="937" spans="1:42" x14ac:dyDescent="0.15">
      <c r="A937" s="40" t="s">
        <v>1</v>
      </c>
      <c r="B937" s="23">
        <v>90110102</v>
      </c>
      <c r="C937" s="23">
        <v>1101</v>
      </c>
      <c r="D937" s="23">
        <v>11</v>
      </c>
      <c r="F937" s="23" t="s">
        <v>431</v>
      </c>
      <c r="G937" s="23" t="s">
        <v>115</v>
      </c>
      <c r="H937" s="23" t="s">
        <v>2846</v>
      </c>
      <c r="I937" s="23">
        <v>3</v>
      </c>
      <c r="J937" s="40">
        <v>0</v>
      </c>
      <c r="K937" s="40">
        <v>0</v>
      </c>
      <c r="L937" s="40" t="s">
        <v>115</v>
      </c>
      <c r="O937" s="40" t="s">
        <v>115</v>
      </c>
      <c r="Q937" s="40">
        <v>172</v>
      </c>
      <c r="R937" s="40">
        <v>126</v>
      </c>
      <c r="X937" s="40">
        <v>90110103</v>
      </c>
      <c r="Y937" s="40" t="s">
        <v>115</v>
      </c>
      <c r="Z937" s="40" t="s">
        <v>115</v>
      </c>
      <c r="AA937" s="40" t="s">
        <v>115</v>
      </c>
      <c r="AB937" s="40" t="s">
        <v>115</v>
      </c>
      <c r="AC937" s="40" t="s">
        <v>115</v>
      </c>
      <c r="AI937" s="40" t="s">
        <v>115</v>
      </c>
      <c r="AP937" s="4" t="s">
        <v>115</v>
      </c>
    </row>
    <row r="938" spans="1:42" x14ac:dyDescent="0.15">
      <c r="A938" s="40" t="s">
        <v>1</v>
      </c>
      <c r="B938" s="23">
        <v>90110103</v>
      </c>
      <c r="C938" s="23">
        <v>1101</v>
      </c>
      <c r="D938" s="23">
        <v>11</v>
      </c>
      <c r="F938" s="23" t="s">
        <v>116</v>
      </c>
      <c r="G938" s="23">
        <v>314</v>
      </c>
      <c r="H938" s="23" t="s">
        <v>2847</v>
      </c>
      <c r="I938" s="23">
        <v>0</v>
      </c>
      <c r="J938" s="40">
        <v>0</v>
      </c>
      <c r="K938" s="40">
        <v>0</v>
      </c>
      <c r="L938" s="40" t="s">
        <v>115</v>
      </c>
      <c r="O938" s="40" t="s">
        <v>115</v>
      </c>
      <c r="Q938" s="40">
        <v>172</v>
      </c>
      <c r="R938" s="40">
        <v>126</v>
      </c>
      <c r="X938" s="40">
        <v>90110104</v>
      </c>
      <c r="Y938" s="40" t="s">
        <v>115</v>
      </c>
      <c r="Z938" s="40" t="s">
        <v>115</v>
      </c>
      <c r="AA938" s="40" t="s">
        <v>115</v>
      </c>
      <c r="AB938" s="40" t="s">
        <v>115</v>
      </c>
      <c r="AC938" s="40" t="s">
        <v>115</v>
      </c>
      <c r="AI938" s="40" t="s">
        <v>115</v>
      </c>
      <c r="AP938" s="4" t="s">
        <v>115</v>
      </c>
    </row>
    <row r="939" spans="1:42" x14ac:dyDescent="0.15">
      <c r="A939" s="40" t="s">
        <v>1</v>
      </c>
      <c r="B939" s="23">
        <v>90110104</v>
      </c>
      <c r="C939" s="23">
        <v>1101</v>
      </c>
      <c r="D939" s="23">
        <v>11</v>
      </c>
      <c r="F939" s="23" t="s">
        <v>431</v>
      </c>
      <c r="G939" s="23" t="s">
        <v>115</v>
      </c>
      <c r="H939" s="23" t="s">
        <v>2848</v>
      </c>
      <c r="I939" s="23">
        <v>3</v>
      </c>
      <c r="J939" s="40">
        <v>0</v>
      </c>
      <c r="K939" s="40">
        <v>0</v>
      </c>
      <c r="L939" s="40" t="s">
        <v>115</v>
      </c>
      <c r="O939" s="40" t="s">
        <v>115</v>
      </c>
      <c r="Q939" s="40">
        <v>172</v>
      </c>
      <c r="R939" s="40">
        <v>126</v>
      </c>
      <c r="X939" s="40">
        <v>90110105</v>
      </c>
      <c r="Y939" s="40" t="s">
        <v>115</v>
      </c>
      <c r="Z939" s="40" t="s">
        <v>115</v>
      </c>
      <c r="AA939" s="40" t="s">
        <v>115</v>
      </c>
      <c r="AB939" s="40" t="s">
        <v>115</v>
      </c>
      <c r="AC939" s="40" t="s">
        <v>115</v>
      </c>
      <c r="AI939" s="40" t="s">
        <v>115</v>
      </c>
      <c r="AP939" s="4" t="s">
        <v>115</v>
      </c>
    </row>
    <row r="940" spans="1:42" x14ac:dyDescent="0.15">
      <c r="A940" s="40" t="s">
        <v>1</v>
      </c>
      <c r="B940" s="23">
        <v>90110105</v>
      </c>
      <c r="C940" s="23">
        <v>1101</v>
      </c>
      <c r="D940" s="23">
        <v>11</v>
      </c>
      <c r="F940" s="23" t="s">
        <v>115</v>
      </c>
      <c r="G940" s="23" t="s">
        <v>115</v>
      </c>
      <c r="H940" s="23" t="s">
        <v>2849</v>
      </c>
      <c r="I940" s="23">
        <v>4</v>
      </c>
      <c r="J940" s="40">
        <v>0</v>
      </c>
      <c r="K940" s="40">
        <v>0</v>
      </c>
      <c r="L940" s="40" t="s">
        <v>115</v>
      </c>
      <c r="O940" s="40" t="s">
        <v>115</v>
      </c>
      <c r="Q940" s="40">
        <v>172</v>
      </c>
      <c r="R940" s="40">
        <v>126</v>
      </c>
      <c r="X940" s="40">
        <v>90110106</v>
      </c>
      <c r="Y940" s="40" t="s">
        <v>115</v>
      </c>
      <c r="Z940" s="40" t="s">
        <v>115</v>
      </c>
      <c r="AA940" s="40" t="s">
        <v>115</v>
      </c>
      <c r="AB940" s="40" t="s">
        <v>115</v>
      </c>
      <c r="AC940" s="40" t="s">
        <v>115</v>
      </c>
      <c r="AI940" s="40" t="s">
        <v>115</v>
      </c>
      <c r="AP940" s="4" t="s">
        <v>115</v>
      </c>
    </row>
    <row r="941" spans="1:42" x14ac:dyDescent="0.15">
      <c r="A941" s="40" t="s">
        <v>1</v>
      </c>
      <c r="B941" s="23">
        <v>90110106</v>
      </c>
      <c r="C941" s="23">
        <v>1101</v>
      </c>
      <c r="D941" s="23">
        <v>11</v>
      </c>
      <c r="F941" s="23" t="s">
        <v>116</v>
      </c>
      <c r="G941" s="23">
        <v>314</v>
      </c>
      <c r="H941" s="23" t="s">
        <v>2850</v>
      </c>
      <c r="I941" s="23">
        <v>0</v>
      </c>
      <c r="J941" s="40">
        <v>0</v>
      </c>
      <c r="K941" s="40">
        <v>0</v>
      </c>
      <c r="L941" s="40" t="s">
        <v>115</v>
      </c>
      <c r="O941" s="40" t="s">
        <v>115</v>
      </c>
      <c r="Q941" s="40">
        <v>172</v>
      </c>
      <c r="R941" s="40">
        <v>126</v>
      </c>
      <c r="X941" s="40">
        <v>90110107</v>
      </c>
      <c r="Y941" s="40" t="s">
        <v>115</v>
      </c>
      <c r="Z941" s="40" t="s">
        <v>115</v>
      </c>
      <c r="AA941" s="40" t="s">
        <v>115</v>
      </c>
      <c r="AB941" s="40" t="s">
        <v>115</v>
      </c>
      <c r="AC941" s="40" t="s">
        <v>115</v>
      </c>
      <c r="AI941" s="40" t="s">
        <v>115</v>
      </c>
      <c r="AP941" s="4" t="s">
        <v>115</v>
      </c>
    </row>
    <row r="942" spans="1:42" x14ac:dyDescent="0.15">
      <c r="A942" s="40" t="s">
        <v>1</v>
      </c>
      <c r="B942" s="23">
        <v>90110107</v>
      </c>
      <c r="C942" s="23">
        <v>1101</v>
      </c>
      <c r="D942" s="23">
        <v>11</v>
      </c>
      <c r="F942" s="23" t="s">
        <v>2851</v>
      </c>
      <c r="G942" s="23" t="s">
        <v>115</v>
      </c>
      <c r="H942" s="23" t="s">
        <v>2852</v>
      </c>
      <c r="I942" s="23">
        <v>3</v>
      </c>
      <c r="J942" s="40">
        <v>0</v>
      </c>
      <c r="K942" s="40">
        <v>0</v>
      </c>
      <c r="L942" s="40" t="s">
        <v>115</v>
      </c>
      <c r="O942" s="40" t="s">
        <v>115</v>
      </c>
      <c r="Q942" s="40">
        <v>172</v>
      </c>
      <c r="R942" s="40">
        <v>126</v>
      </c>
      <c r="X942" s="40">
        <v>90110108</v>
      </c>
      <c r="Y942" s="40" t="s">
        <v>115</v>
      </c>
      <c r="Z942" s="40" t="s">
        <v>115</v>
      </c>
      <c r="AA942" s="40" t="s">
        <v>115</v>
      </c>
      <c r="AB942" s="40" t="s">
        <v>115</v>
      </c>
      <c r="AC942" s="40" t="s">
        <v>115</v>
      </c>
      <c r="AI942" s="40" t="s">
        <v>115</v>
      </c>
      <c r="AP942" s="4" t="s">
        <v>115</v>
      </c>
    </row>
    <row r="943" spans="1:42" x14ac:dyDescent="0.15">
      <c r="A943" s="40" t="s">
        <v>1</v>
      </c>
      <c r="B943" s="23">
        <v>90110108</v>
      </c>
      <c r="C943" s="23">
        <v>1101</v>
      </c>
      <c r="D943" s="23">
        <v>11</v>
      </c>
      <c r="F943" s="23" t="s">
        <v>116</v>
      </c>
      <c r="G943" s="23">
        <v>312</v>
      </c>
      <c r="H943" s="23" t="s">
        <v>2853</v>
      </c>
      <c r="I943" s="23">
        <v>0</v>
      </c>
      <c r="J943" s="40">
        <v>0</v>
      </c>
      <c r="K943" s="40">
        <v>0</v>
      </c>
      <c r="L943" s="40" t="s">
        <v>115</v>
      </c>
      <c r="O943" s="40" t="s">
        <v>115</v>
      </c>
      <c r="Q943" s="40">
        <v>172</v>
      </c>
      <c r="R943" s="40">
        <v>126</v>
      </c>
      <c r="X943" s="40">
        <v>90110109</v>
      </c>
      <c r="Y943" s="40" t="s">
        <v>115</v>
      </c>
      <c r="Z943" s="40" t="s">
        <v>115</v>
      </c>
      <c r="AA943" s="40" t="s">
        <v>115</v>
      </c>
      <c r="AB943" s="40" t="s">
        <v>115</v>
      </c>
      <c r="AC943" s="40" t="s">
        <v>115</v>
      </c>
      <c r="AI943" s="40" t="s">
        <v>115</v>
      </c>
      <c r="AP943" s="4" t="s">
        <v>115</v>
      </c>
    </row>
    <row r="944" spans="1:42" x14ac:dyDescent="0.15">
      <c r="A944" s="40" t="s">
        <v>1</v>
      </c>
      <c r="B944" s="23">
        <v>90110109</v>
      </c>
      <c r="C944" s="23">
        <v>1101</v>
      </c>
      <c r="D944" s="23">
        <v>11</v>
      </c>
      <c r="F944" s="23" t="s">
        <v>2851</v>
      </c>
      <c r="G944" s="23" t="s">
        <v>115</v>
      </c>
      <c r="H944" s="23" t="s">
        <v>2854</v>
      </c>
      <c r="I944" s="23">
        <v>3</v>
      </c>
      <c r="J944" s="40">
        <v>0</v>
      </c>
      <c r="K944" s="40">
        <v>0</v>
      </c>
      <c r="L944" s="40" t="s">
        <v>115</v>
      </c>
      <c r="O944" s="40" t="s">
        <v>115</v>
      </c>
      <c r="Q944" s="40">
        <v>172</v>
      </c>
      <c r="R944" s="40">
        <v>126</v>
      </c>
      <c r="X944" s="40">
        <v>90110110</v>
      </c>
      <c r="Y944" s="40" t="s">
        <v>115</v>
      </c>
      <c r="Z944" s="40" t="s">
        <v>115</v>
      </c>
      <c r="AA944" s="40" t="s">
        <v>115</v>
      </c>
      <c r="AB944" s="40" t="s">
        <v>115</v>
      </c>
      <c r="AC944" s="40" t="s">
        <v>115</v>
      </c>
      <c r="AI944" s="40" t="s">
        <v>115</v>
      </c>
      <c r="AP944" s="4" t="s">
        <v>115</v>
      </c>
    </row>
    <row r="945" spans="1:42" x14ac:dyDescent="0.15">
      <c r="A945" s="40" t="s">
        <v>1</v>
      </c>
      <c r="B945" s="23">
        <v>90110110</v>
      </c>
      <c r="C945" s="23">
        <v>1101</v>
      </c>
      <c r="D945" s="23">
        <v>11</v>
      </c>
      <c r="F945" s="23" t="s">
        <v>116</v>
      </c>
      <c r="G945" s="23">
        <v>309</v>
      </c>
      <c r="H945" s="23" t="s">
        <v>338</v>
      </c>
      <c r="I945" s="23">
        <v>0</v>
      </c>
      <c r="J945" s="40">
        <v>0</v>
      </c>
      <c r="K945" s="40">
        <v>0</v>
      </c>
      <c r="L945" s="40" t="s">
        <v>115</v>
      </c>
      <c r="O945" s="40" t="s">
        <v>115</v>
      </c>
      <c r="Q945" s="40">
        <v>172</v>
      </c>
      <c r="R945" s="40">
        <v>126</v>
      </c>
      <c r="X945" s="40">
        <v>90110111</v>
      </c>
      <c r="Y945" s="40" t="s">
        <v>115</v>
      </c>
      <c r="Z945" s="40" t="s">
        <v>115</v>
      </c>
      <c r="AA945" s="40" t="s">
        <v>115</v>
      </c>
      <c r="AB945" s="40" t="s">
        <v>115</v>
      </c>
      <c r="AC945" s="40" t="s">
        <v>115</v>
      </c>
      <c r="AI945" s="40" t="s">
        <v>115</v>
      </c>
      <c r="AP945" s="4" t="s">
        <v>115</v>
      </c>
    </row>
    <row r="946" spans="1:42" x14ac:dyDescent="0.15">
      <c r="A946" s="40" t="s">
        <v>1</v>
      </c>
      <c r="B946" s="23">
        <v>90110111</v>
      </c>
      <c r="C946" s="23">
        <v>1101</v>
      </c>
      <c r="D946" s="23">
        <v>11</v>
      </c>
      <c r="F946" s="23" t="s">
        <v>2851</v>
      </c>
      <c r="G946" s="23" t="s">
        <v>115</v>
      </c>
      <c r="H946" s="23" t="s">
        <v>2855</v>
      </c>
      <c r="I946" s="23">
        <v>3</v>
      </c>
      <c r="J946" s="40">
        <v>0</v>
      </c>
      <c r="K946" s="40">
        <v>0</v>
      </c>
      <c r="L946" s="40" t="s">
        <v>115</v>
      </c>
      <c r="O946" s="40" t="s">
        <v>115</v>
      </c>
      <c r="Q946" s="40">
        <v>172</v>
      </c>
      <c r="R946" s="40">
        <v>126</v>
      </c>
      <c r="X946" s="40">
        <v>90110112</v>
      </c>
      <c r="Y946" s="40" t="s">
        <v>115</v>
      </c>
      <c r="Z946" s="40" t="s">
        <v>115</v>
      </c>
      <c r="AA946" s="40" t="s">
        <v>115</v>
      </c>
      <c r="AB946" s="40" t="s">
        <v>115</v>
      </c>
      <c r="AC946" s="40" t="s">
        <v>115</v>
      </c>
      <c r="AI946" s="40" t="s">
        <v>115</v>
      </c>
      <c r="AP946" s="4" t="s">
        <v>115</v>
      </c>
    </row>
    <row r="947" spans="1:42" x14ac:dyDescent="0.15">
      <c r="A947" s="40" t="s">
        <v>1</v>
      </c>
      <c r="B947" s="23">
        <v>90110112</v>
      </c>
      <c r="C947" s="23">
        <v>1101</v>
      </c>
      <c r="D947" s="23">
        <v>11</v>
      </c>
      <c r="F947" s="23" t="s">
        <v>115</v>
      </c>
      <c r="G947" s="23" t="s">
        <v>115</v>
      </c>
      <c r="H947" s="23" t="s">
        <v>2856</v>
      </c>
      <c r="I947" s="23">
        <v>4</v>
      </c>
      <c r="J947" s="40">
        <v>0</v>
      </c>
      <c r="K947" s="40">
        <v>0</v>
      </c>
      <c r="L947" s="40" t="s">
        <v>115</v>
      </c>
      <c r="O947" s="40" t="s">
        <v>115</v>
      </c>
      <c r="Q947" s="40">
        <v>104</v>
      </c>
      <c r="R947" s="40">
        <v>126</v>
      </c>
      <c r="X947" s="40">
        <v>90110113</v>
      </c>
      <c r="Y947" s="40" t="s">
        <v>115</v>
      </c>
      <c r="Z947" s="40" t="s">
        <v>115</v>
      </c>
      <c r="AA947" s="40" t="s">
        <v>115</v>
      </c>
      <c r="AB947" s="40" t="s">
        <v>115</v>
      </c>
      <c r="AC947" s="40" t="s">
        <v>115</v>
      </c>
      <c r="AI947" s="40" t="s">
        <v>115</v>
      </c>
      <c r="AP947" s="4" t="s">
        <v>115</v>
      </c>
    </row>
    <row r="948" spans="1:42" x14ac:dyDescent="0.15">
      <c r="A948" s="40" t="s">
        <v>1</v>
      </c>
      <c r="B948" s="23">
        <v>90110113</v>
      </c>
      <c r="C948" s="23">
        <v>1101</v>
      </c>
      <c r="D948" s="23">
        <v>11</v>
      </c>
      <c r="F948" s="23" t="s">
        <v>2851</v>
      </c>
      <c r="G948" s="23" t="s">
        <v>115</v>
      </c>
      <c r="H948" s="23" t="s">
        <v>2857</v>
      </c>
      <c r="I948" s="23">
        <v>3</v>
      </c>
      <c r="J948" s="40">
        <v>0</v>
      </c>
      <c r="K948" s="40">
        <v>0</v>
      </c>
      <c r="L948" s="40" t="s">
        <v>115</v>
      </c>
      <c r="O948" s="40" t="s">
        <v>115</v>
      </c>
      <c r="Q948" s="40">
        <v>104</v>
      </c>
      <c r="R948" s="40">
        <v>126</v>
      </c>
      <c r="X948" s="40">
        <v>90110114</v>
      </c>
      <c r="Y948" s="40" t="s">
        <v>115</v>
      </c>
      <c r="Z948" s="40" t="s">
        <v>115</v>
      </c>
      <c r="AA948" s="40" t="s">
        <v>115</v>
      </c>
      <c r="AB948" s="40" t="s">
        <v>115</v>
      </c>
      <c r="AC948" s="40" t="s">
        <v>115</v>
      </c>
      <c r="AI948" s="40" t="s">
        <v>115</v>
      </c>
      <c r="AP948" s="4" t="s">
        <v>115</v>
      </c>
    </row>
    <row r="949" spans="1:42" x14ac:dyDescent="0.15">
      <c r="A949" s="40" t="s">
        <v>1</v>
      </c>
      <c r="B949" s="23">
        <v>90110114</v>
      </c>
      <c r="C949" s="23">
        <v>1101</v>
      </c>
      <c r="D949" s="23">
        <v>11</v>
      </c>
      <c r="F949" s="23" t="s">
        <v>116</v>
      </c>
      <c r="G949" s="23">
        <v>317</v>
      </c>
      <c r="H949" s="23" t="s">
        <v>2858</v>
      </c>
      <c r="I949" s="23">
        <v>0</v>
      </c>
      <c r="J949" s="40">
        <v>0</v>
      </c>
      <c r="K949" s="40">
        <v>0</v>
      </c>
      <c r="L949" s="40" t="s">
        <v>115</v>
      </c>
      <c r="O949" s="40" t="s">
        <v>115</v>
      </c>
      <c r="Q949" s="40">
        <v>104</v>
      </c>
      <c r="R949" s="40">
        <v>126</v>
      </c>
      <c r="X949" s="40">
        <v>90110115</v>
      </c>
      <c r="Y949" s="40" t="s">
        <v>115</v>
      </c>
      <c r="Z949" s="40" t="s">
        <v>115</v>
      </c>
      <c r="AA949" s="40" t="s">
        <v>115</v>
      </c>
      <c r="AB949" s="40" t="s">
        <v>115</v>
      </c>
      <c r="AC949" s="40" t="s">
        <v>115</v>
      </c>
      <c r="AI949" s="40" t="s">
        <v>115</v>
      </c>
      <c r="AP949" s="4" t="s">
        <v>115</v>
      </c>
    </row>
    <row r="950" spans="1:42" x14ac:dyDescent="0.15">
      <c r="A950" s="40" t="s">
        <v>1</v>
      </c>
      <c r="B950" s="23">
        <v>90110115</v>
      </c>
      <c r="C950" s="23">
        <v>1101</v>
      </c>
      <c r="D950" s="23">
        <v>11</v>
      </c>
      <c r="F950" s="23" t="s">
        <v>115</v>
      </c>
      <c r="G950" s="23" t="s">
        <v>115</v>
      </c>
      <c r="H950" s="23" t="s">
        <v>2859</v>
      </c>
      <c r="I950" s="23">
        <v>4</v>
      </c>
      <c r="J950" s="40">
        <v>0</v>
      </c>
      <c r="K950" s="40">
        <v>0</v>
      </c>
      <c r="L950" s="40" t="s">
        <v>115</v>
      </c>
      <c r="O950" s="40" t="s">
        <v>115</v>
      </c>
      <c r="Q950" s="40">
        <v>104</v>
      </c>
      <c r="R950" s="40">
        <v>126</v>
      </c>
      <c r="X950" s="40">
        <v>90110116</v>
      </c>
      <c r="Y950" s="40" t="s">
        <v>115</v>
      </c>
      <c r="Z950" s="40" t="s">
        <v>115</v>
      </c>
      <c r="AA950" s="40" t="s">
        <v>115</v>
      </c>
      <c r="AB950" s="40" t="s">
        <v>115</v>
      </c>
      <c r="AC950" s="40" t="s">
        <v>115</v>
      </c>
      <c r="AI950" s="40" t="s">
        <v>115</v>
      </c>
      <c r="AP950" s="4" t="s">
        <v>115</v>
      </c>
    </row>
    <row r="951" spans="1:42" x14ac:dyDescent="0.15">
      <c r="A951" s="40" t="s">
        <v>1</v>
      </c>
      <c r="B951" s="23">
        <v>90110116</v>
      </c>
      <c r="C951" s="23">
        <v>1101</v>
      </c>
      <c r="D951" s="23">
        <v>11</v>
      </c>
      <c r="F951" s="23" t="s">
        <v>116</v>
      </c>
      <c r="G951" s="23">
        <v>314</v>
      </c>
      <c r="H951" s="23" t="s">
        <v>2860</v>
      </c>
      <c r="I951" s="23">
        <v>0</v>
      </c>
      <c r="J951" s="40">
        <v>0</v>
      </c>
      <c r="K951" s="40">
        <v>0</v>
      </c>
      <c r="L951" s="40" t="s">
        <v>115</v>
      </c>
      <c r="O951" s="40" t="s">
        <v>115</v>
      </c>
      <c r="Q951" s="40">
        <v>104</v>
      </c>
      <c r="R951" s="40">
        <v>126</v>
      </c>
      <c r="X951" s="40">
        <v>90110117</v>
      </c>
      <c r="Y951" s="40" t="s">
        <v>115</v>
      </c>
      <c r="Z951" s="40" t="s">
        <v>115</v>
      </c>
      <c r="AA951" s="40" t="s">
        <v>115</v>
      </c>
      <c r="AB951" s="40" t="s">
        <v>115</v>
      </c>
      <c r="AC951" s="40" t="s">
        <v>115</v>
      </c>
      <c r="AI951" s="40" t="s">
        <v>115</v>
      </c>
      <c r="AP951" s="4" t="s">
        <v>115</v>
      </c>
    </row>
    <row r="952" spans="1:42" x14ac:dyDescent="0.15">
      <c r="A952" s="40" t="s">
        <v>1</v>
      </c>
      <c r="B952" s="23">
        <v>90110117</v>
      </c>
      <c r="C952" s="23">
        <v>1101</v>
      </c>
      <c r="D952" s="23">
        <v>11</v>
      </c>
      <c r="F952" s="23" t="s">
        <v>2851</v>
      </c>
      <c r="G952" s="23" t="s">
        <v>115</v>
      </c>
      <c r="H952" s="23" t="s">
        <v>2861</v>
      </c>
      <c r="I952" s="23">
        <v>3</v>
      </c>
      <c r="J952" s="40">
        <v>0</v>
      </c>
      <c r="K952" s="40">
        <v>0</v>
      </c>
      <c r="L952" s="40" t="s">
        <v>115</v>
      </c>
      <c r="O952" s="40" t="s">
        <v>115</v>
      </c>
      <c r="Q952" s="40">
        <v>104</v>
      </c>
      <c r="R952" s="40">
        <v>126</v>
      </c>
      <c r="X952" s="40">
        <v>90110118</v>
      </c>
      <c r="Y952" s="40" t="s">
        <v>115</v>
      </c>
      <c r="Z952" s="40" t="s">
        <v>115</v>
      </c>
      <c r="AA952" s="40" t="s">
        <v>115</v>
      </c>
      <c r="AB952" s="40" t="s">
        <v>115</v>
      </c>
      <c r="AC952" s="40" t="s">
        <v>115</v>
      </c>
      <c r="AI952" s="40" t="s">
        <v>115</v>
      </c>
      <c r="AP952" s="4" t="s">
        <v>115</v>
      </c>
    </row>
    <row r="953" spans="1:42" x14ac:dyDescent="0.15">
      <c r="A953" s="40" t="s">
        <v>1</v>
      </c>
      <c r="B953" s="23">
        <v>90110118</v>
      </c>
      <c r="C953" s="23">
        <v>1101</v>
      </c>
      <c r="D953" s="23">
        <v>11</v>
      </c>
      <c r="F953" s="23" t="s">
        <v>115</v>
      </c>
      <c r="G953" s="23" t="s">
        <v>115</v>
      </c>
      <c r="H953" s="23" t="s">
        <v>2862</v>
      </c>
      <c r="I953" s="23">
        <v>4</v>
      </c>
      <c r="J953" s="40">
        <v>0</v>
      </c>
      <c r="K953" s="40">
        <v>0</v>
      </c>
      <c r="L953" s="40" t="s">
        <v>115</v>
      </c>
      <c r="O953" s="40" t="s">
        <v>115</v>
      </c>
      <c r="Q953" s="40">
        <v>104</v>
      </c>
      <c r="R953" s="40">
        <v>126</v>
      </c>
      <c r="X953" s="40">
        <v>90110119</v>
      </c>
      <c r="Y953" s="40" t="s">
        <v>115</v>
      </c>
      <c r="Z953" s="40" t="s">
        <v>115</v>
      </c>
      <c r="AA953" s="40" t="s">
        <v>115</v>
      </c>
      <c r="AB953" s="40" t="s">
        <v>115</v>
      </c>
      <c r="AC953" s="40" t="s">
        <v>115</v>
      </c>
      <c r="AI953" s="40" t="s">
        <v>115</v>
      </c>
      <c r="AP953" s="4" t="s">
        <v>115</v>
      </c>
    </row>
    <row r="954" spans="1:42" x14ac:dyDescent="0.15">
      <c r="A954" s="40" t="s">
        <v>1</v>
      </c>
      <c r="B954" s="23">
        <v>90110119</v>
      </c>
      <c r="C954" s="23">
        <v>1101</v>
      </c>
      <c r="D954" s="23">
        <v>11</v>
      </c>
      <c r="F954" s="23" t="s">
        <v>116</v>
      </c>
      <c r="G954" s="23">
        <v>312</v>
      </c>
      <c r="H954" s="23" t="s">
        <v>2863</v>
      </c>
      <c r="I954" s="23">
        <v>0</v>
      </c>
      <c r="J954" s="40">
        <v>0</v>
      </c>
      <c r="K954" s="40">
        <v>0</v>
      </c>
      <c r="L954" s="40" t="s">
        <v>115</v>
      </c>
      <c r="O954" s="40" t="s">
        <v>115</v>
      </c>
      <c r="Q954" s="40">
        <v>104</v>
      </c>
      <c r="R954" s="40">
        <v>126</v>
      </c>
      <c r="X954" s="40">
        <v>90110120</v>
      </c>
      <c r="Y954" s="40" t="s">
        <v>115</v>
      </c>
      <c r="Z954" s="40" t="s">
        <v>115</v>
      </c>
      <c r="AA954" s="40" t="s">
        <v>115</v>
      </c>
      <c r="AB954" s="40" t="s">
        <v>115</v>
      </c>
      <c r="AC954" s="40" t="s">
        <v>115</v>
      </c>
      <c r="AI954" s="40" t="s">
        <v>115</v>
      </c>
      <c r="AP954" s="4" t="s">
        <v>115</v>
      </c>
    </row>
    <row r="955" spans="1:42" x14ac:dyDescent="0.15">
      <c r="A955" s="40" t="s">
        <v>1</v>
      </c>
      <c r="B955" s="23">
        <v>90110120</v>
      </c>
      <c r="C955" s="23">
        <v>1101</v>
      </c>
      <c r="D955" s="23">
        <v>11</v>
      </c>
      <c r="F955" s="23" t="s">
        <v>2851</v>
      </c>
      <c r="G955" s="23" t="s">
        <v>115</v>
      </c>
      <c r="H955" s="23" t="s">
        <v>2864</v>
      </c>
      <c r="I955" s="23">
        <v>3</v>
      </c>
      <c r="J955" s="40">
        <v>0</v>
      </c>
      <c r="K955" s="40">
        <v>0</v>
      </c>
      <c r="L955" s="40" t="s">
        <v>115</v>
      </c>
      <c r="O955" s="40" t="s">
        <v>115</v>
      </c>
      <c r="Q955" s="40">
        <v>104</v>
      </c>
      <c r="R955" s="40">
        <v>126</v>
      </c>
      <c r="X955" s="40">
        <v>90110121</v>
      </c>
      <c r="Y955" s="40" t="s">
        <v>115</v>
      </c>
      <c r="Z955" s="40" t="s">
        <v>115</v>
      </c>
      <c r="AA955" s="40" t="s">
        <v>115</v>
      </c>
      <c r="AB955" s="40" t="s">
        <v>115</v>
      </c>
      <c r="AC955" s="40" t="s">
        <v>115</v>
      </c>
      <c r="AI955" s="40" t="s">
        <v>115</v>
      </c>
      <c r="AP955" s="4" t="s">
        <v>115</v>
      </c>
    </row>
    <row r="956" spans="1:42" x14ac:dyDescent="0.15">
      <c r="A956" s="40" t="s">
        <v>1</v>
      </c>
      <c r="B956" s="23">
        <v>90110121</v>
      </c>
      <c r="C956" s="23">
        <v>1101</v>
      </c>
      <c r="D956" s="23">
        <v>11</v>
      </c>
      <c r="F956" s="23" t="s">
        <v>116</v>
      </c>
      <c r="G956" s="23">
        <v>312</v>
      </c>
      <c r="H956" s="23" t="s">
        <v>2865</v>
      </c>
      <c r="I956" s="23">
        <v>0</v>
      </c>
      <c r="J956" s="40">
        <v>0</v>
      </c>
      <c r="K956" s="40">
        <v>0</v>
      </c>
      <c r="L956" s="40" t="s">
        <v>115</v>
      </c>
      <c r="O956" s="40" t="s">
        <v>115</v>
      </c>
      <c r="Q956" s="40">
        <v>104</v>
      </c>
      <c r="R956" s="40">
        <v>126</v>
      </c>
      <c r="X956" s="40">
        <v>90110122</v>
      </c>
      <c r="Y956" s="40" t="s">
        <v>115</v>
      </c>
      <c r="Z956" s="40" t="s">
        <v>115</v>
      </c>
      <c r="AA956" s="40" t="s">
        <v>115</v>
      </c>
      <c r="AB956" s="40" t="s">
        <v>115</v>
      </c>
      <c r="AC956" s="40" t="s">
        <v>115</v>
      </c>
      <c r="AI956" s="40" t="s">
        <v>115</v>
      </c>
      <c r="AP956" s="4" t="s">
        <v>115</v>
      </c>
    </row>
    <row r="957" spans="1:42" x14ac:dyDescent="0.15">
      <c r="A957" s="40" t="s">
        <v>1</v>
      </c>
      <c r="B957" s="23">
        <v>90110122</v>
      </c>
      <c r="C957" s="23">
        <v>1101</v>
      </c>
      <c r="D957" s="23">
        <v>11</v>
      </c>
      <c r="F957" s="23" t="s">
        <v>2851</v>
      </c>
      <c r="G957" s="23" t="s">
        <v>115</v>
      </c>
      <c r="H957" s="23" t="s">
        <v>2866</v>
      </c>
      <c r="I957" s="23">
        <v>3</v>
      </c>
      <c r="J957" s="40">
        <v>0</v>
      </c>
      <c r="K957" s="40">
        <v>0</v>
      </c>
      <c r="L957" s="40" t="s">
        <v>115</v>
      </c>
      <c r="O957" s="40" t="s">
        <v>115</v>
      </c>
      <c r="Q957" s="40">
        <v>104</v>
      </c>
      <c r="R957" s="40">
        <v>126</v>
      </c>
      <c r="X957" s="40">
        <v>90110123</v>
      </c>
      <c r="Y957" s="40" t="s">
        <v>115</v>
      </c>
      <c r="Z957" s="40" t="s">
        <v>115</v>
      </c>
      <c r="AA957" s="40" t="s">
        <v>115</v>
      </c>
      <c r="AB957" s="40" t="s">
        <v>115</v>
      </c>
      <c r="AC957" s="40" t="s">
        <v>115</v>
      </c>
      <c r="AI957" s="40" t="s">
        <v>115</v>
      </c>
      <c r="AP957" s="4" t="s">
        <v>115</v>
      </c>
    </row>
    <row r="958" spans="1:42" x14ac:dyDescent="0.15">
      <c r="A958" s="40" t="s">
        <v>1</v>
      </c>
      <c r="B958" s="23">
        <v>90110123</v>
      </c>
      <c r="C958" s="23">
        <v>1101</v>
      </c>
      <c r="D958" s="23">
        <v>11</v>
      </c>
      <c r="F958" s="23" t="s">
        <v>115</v>
      </c>
      <c r="G958" s="23" t="s">
        <v>115</v>
      </c>
      <c r="H958" s="23" t="s">
        <v>2867</v>
      </c>
      <c r="I958" s="23">
        <v>4</v>
      </c>
      <c r="J958" s="40">
        <v>0</v>
      </c>
      <c r="K958" s="40">
        <v>0</v>
      </c>
      <c r="L958" s="40" t="s">
        <v>115</v>
      </c>
      <c r="O958" s="40" t="s">
        <v>115</v>
      </c>
      <c r="Q958" s="40">
        <v>104</v>
      </c>
      <c r="R958" s="40">
        <v>126</v>
      </c>
      <c r="X958" s="40">
        <v>90110124</v>
      </c>
      <c r="Y958" s="40" t="s">
        <v>115</v>
      </c>
      <c r="Z958" s="40" t="s">
        <v>115</v>
      </c>
      <c r="AA958" s="40" t="s">
        <v>115</v>
      </c>
      <c r="AB958" s="40" t="s">
        <v>115</v>
      </c>
      <c r="AC958" s="40" t="s">
        <v>115</v>
      </c>
      <c r="AI958" s="40" t="s">
        <v>115</v>
      </c>
      <c r="AP958" s="4" t="s">
        <v>115</v>
      </c>
    </row>
    <row r="959" spans="1:42" x14ac:dyDescent="0.15">
      <c r="A959" s="40" t="s">
        <v>1</v>
      </c>
      <c r="B959" s="23">
        <v>90110124</v>
      </c>
      <c r="C959" s="23">
        <v>1101</v>
      </c>
      <c r="D959" s="23">
        <v>11</v>
      </c>
      <c r="F959" s="23" t="s">
        <v>2851</v>
      </c>
      <c r="G959" s="23" t="s">
        <v>115</v>
      </c>
      <c r="H959" s="23" t="s">
        <v>2868</v>
      </c>
      <c r="I959" s="23">
        <v>3</v>
      </c>
      <c r="J959" s="40">
        <v>0</v>
      </c>
      <c r="K959" s="40">
        <v>0</v>
      </c>
      <c r="L959" s="40" t="s">
        <v>115</v>
      </c>
      <c r="O959" s="40" t="s">
        <v>115</v>
      </c>
      <c r="Q959" s="40">
        <v>104</v>
      </c>
      <c r="R959" s="40">
        <v>126</v>
      </c>
      <c r="X959" s="40">
        <v>90110125</v>
      </c>
      <c r="Y959" s="40" t="s">
        <v>115</v>
      </c>
      <c r="Z959" s="40" t="s">
        <v>115</v>
      </c>
      <c r="AA959" s="40" t="s">
        <v>115</v>
      </c>
      <c r="AB959" s="40" t="s">
        <v>115</v>
      </c>
      <c r="AC959" s="40" t="s">
        <v>115</v>
      </c>
      <c r="AI959" s="40" t="s">
        <v>115</v>
      </c>
      <c r="AP959" s="4" t="s">
        <v>115</v>
      </c>
    </row>
    <row r="960" spans="1:42" x14ac:dyDescent="0.15">
      <c r="A960" s="40" t="s">
        <v>1</v>
      </c>
      <c r="B960" s="23">
        <v>90110125</v>
      </c>
      <c r="C960" s="23">
        <v>1101</v>
      </c>
      <c r="D960" s="23">
        <v>11</v>
      </c>
      <c r="F960" s="23" t="s">
        <v>2851</v>
      </c>
      <c r="G960" s="23" t="s">
        <v>115</v>
      </c>
      <c r="H960" s="23" t="s">
        <v>2869</v>
      </c>
      <c r="I960" s="23">
        <v>3</v>
      </c>
      <c r="J960" s="40">
        <v>0</v>
      </c>
      <c r="K960" s="40">
        <v>0</v>
      </c>
      <c r="L960" s="40" t="s">
        <v>115</v>
      </c>
      <c r="O960" s="40" t="s">
        <v>115</v>
      </c>
      <c r="Q960" s="40">
        <v>104</v>
      </c>
      <c r="R960" s="40">
        <v>126</v>
      </c>
      <c r="X960" s="40">
        <v>90110126</v>
      </c>
      <c r="Y960" s="40" t="s">
        <v>115</v>
      </c>
      <c r="Z960" s="40" t="s">
        <v>115</v>
      </c>
      <c r="AA960" s="40" t="s">
        <v>115</v>
      </c>
      <c r="AB960" s="40" t="s">
        <v>115</v>
      </c>
      <c r="AC960" s="40" t="s">
        <v>115</v>
      </c>
      <c r="AI960" s="40" t="s">
        <v>115</v>
      </c>
      <c r="AP960" s="4" t="s">
        <v>115</v>
      </c>
    </row>
    <row r="961" spans="1:42" x14ac:dyDescent="0.15">
      <c r="A961" s="40" t="s">
        <v>1</v>
      </c>
      <c r="B961" s="23">
        <v>90110126</v>
      </c>
      <c r="C961" s="23">
        <v>1101</v>
      </c>
      <c r="D961" s="23">
        <v>11</v>
      </c>
      <c r="F961" s="23" t="s">
        <v>116</v>
      </c>
      <c r="G961" s="23">
        <v>309</v>
      </c>
      <c r="H961" s="23" t="s">
        <v>2870</v>
      </c>
      <c r="I961" s="23">
        <v>0</v>
      </c>
      <c r="J961" s="40">
        <v>0</v>
      </c>
      <c r="K961" s="40">
        <v>0</v>
      </c>
      <c r="L961" s="40" t="s">
        <v>115</v>
      </c>
      <c r="O961" s="40" t="s">
        <v>115</v>
      </c>
      <c r="Q961" s="40">
        <v>104</v>
      </c>
      <c r="R961" s="40">
        <v>126</v>
      </c>
      <c r="X961" s="40">
        <v>90110127</v>
      </c>
      <c r="Y961" s="40" t="s">
        <v>115</v>
      </c>
      <c r="Z961" s="40" t="s">
        <v>115</v>
      </c>
      <c r="AA961" s="40" t="s">
        <v>115</v>
      </c>
      <c r="AB961" s="40" t="s">
        <v>115</v>
      </c>
      <c r="AC961" s="40" t="s">
        <v>115</v>
      </c>
      <c r="AI961" s="40" t="s">
        <v>115</v>
      </c>
      <c r="AP961" s="4" t="s">
        <v>115</v>
      </c>
    </row>
    <row r="962" spans="1:42" x14ac:dyDescent="0.15">
      <c r="A962" s="40" t="s">
        <v>1</v>
      </c>
      <c r="B962" s="23">
        <v>90110127</v>
      </c>
      <c r="C962" s="23">
        <v>1101</v>
      </c>
      <c r="D962" s="23">
        <v>11</v>
      </c>
      <c r="F962" s="23" t="s">
        <v>2851</v>
      </c>
      <c r="G962" s="23" t="s">
        <v>115</v>
      </c>
      <c r="H962" s="23" t="s">
        <v>2871</v>
      </c>
      <c r="I962" s="23">
        <v>3</v>
      </c>
      <c r="J962" s="40">
        <v>0</v>
      </c>
      <c r="K962" s="40">
        <v>0</v>
      </c>
      <c r="L962" s="40" t="s">
        <v>115</v>
      </c>
      <c r="O962" s="40" t="s">
        <v>115</v>
      </c>
      <c r="Q962" s="40">
        <v>104</v>
      </c>
      <c r="R962" s="40">
        <v>126</v>
      </c>
      <c r="X962" s="40">
        <v>90110128</v>
      </c>
      <c r="Y962" s="40" t="s">
        <v>115</v>
      </c>
      <c r="Z962" s="40" t="s">
        <v>115</v>
      </c>
      <c r="AA962" s="40" t="s">
        <v>115</v>
      </c>
      <c r="AB962" s="40" t="s">
        <v>115</v>
      </c>
      <c r="AC962" s="40" t="s">
        <v>115</v>
      </c>
      <c r="AI962" s="40" t="s">
        <v>115</v>
      </c>
      <c r="AP962" s="4" t="s">
        <v>115</v>
      </c>
    </row>
    <row r="963" spans="1:42" x14ac:dyDescent="0.15">
      <c r="A963" s="40" t="s">
        <v>1</v>
      </c>
      <c r="B963" s="23">
        <v>90110128</v>
      </c>
      <c r="C963" s="23">
        <v>1101</v>
      </c>
      <c r="D963" s="23">
        <v>11</v>
      </c>
      <c r="F963" s="23" t="s">
        <v>116</v>
      </c>
      <c r="G963" s="23">
        <v>312</v>
      </c>
      <c r="H963" s="23" t="s">
        <v>2872</v>
      </c>
      <c r="I963" s="23">
        <v>0</v>
      </c>
      <c r="J963" s="40">
        <v>0</v>
      </c>
      <c r="K963" s="40">
        <v>2</v>
      </c>
      <c r="L963" s="40" t="s">
        <v>2873</v>
      </c>
      <c r="O963" s="40" t="s">
        <v>115</v>
      </c>
      <c r="Q963" s="40">
        <v>104</v>
      </c>
      <c r="R963" s="40">
        <v>126</v>
      </c>
      <c r="X963" s="40">
        <v>90110129</v>
      </c>
      <c r="Y963" s="40" t="s">
        <v>115</v>
      </c>
      <c r="Z963" s="40">
        <v>1</v>
      </c>
      <c r="AA963" s="40" t="s">
        <v>115</v>
      </c>
      <c r="AB963" s="40" t="s">
        <v>115</v>
      </c>
      <c r="AC963" s="40" t="s">
        <v>115</v>
      </c>
      <c r="AI963" s="40" t="s">
        <v>115</v>
      </c>
      <c r="AP963" s="4" t="s">
        <v>115</v>
      </c>
    </row>
    <row r="964" spans="1:42" x14ac:dyDescent="0.15">
      <c r="A964" s="40" t="s">
        <v>1</v>
      </c>
      <c r="B964" s="23">
        <v>90110129</v>
      </c>
      <c r="C964" s="23">
        <v>1101</v>
      </c>
      <c r="D964" s="23">
        <v>11</v>
      </c>
      <c r="F964" s="23" t="s">
        <v>115</v>
      </c>
      <c r="G964" s="23" t="s">
        <v>115</v>
      </c>
      <c r="H964" s="23" t="s">
        <v>2874</v>
      </c>
      <c r="I964" s="23">
        <v>4</v>
      </c>
      <c r="J964" s="40">
        <v>0</v>
      </c>
      <c r="K964" s="40">
        <v>0</v>
      </c>
      <c r="L964" s="40" t="s">
        <v>115</v>
      </c>
      <c r="O964" s="40" t="s">
        <v>115</v>
      </c>
      <c r="Q964" s="40">
        <v>104</v>
      </c>
      <c r="R964" s="40">
        <v>126</v>
      </c>
      <c r="X964" s="40">
        <v>90110130</v>
      </c>
      <c r="Y964" s="40" t="s">
        <v>115</v>
      </c>
      <c r="Z964" s="40" t="s">
        <v>115</v>
      </c>
      <c r="AA964" s="40" t="s">
        <v>115</v>
      </c>
      <c r="AB964" s="40" t="s">
        <v>115</v>
      </c>
      <c r="AC964" s="40" t="s">
        <v>115</v>
      </c>
      <c r="AI964" s="40" t="s">
        <v>115</v>
      </c>
      <c r="AP964" s="4" t="s">
        <v>115</v>
      </c>
    </row>
    <row r="965" spans="1:42" x14ac:dyDescent="0.15">
      <c r="A965" s="40" t="s">
        <v>1</v>
      </c>
      <c r="B965" s="23">
        <v>90110130</v>
      </c>
      <c r="C965" s="23">
        <v>1101</v>
      </c>
      <c r="D965" s="23">
        <v>11</v>
      </c>
      <c r="F965" s="23" t="s">
        <v>115</v>
      </c>
      <c r="G965" s="23" t="s">
        <v>115</v>
      </c>
      <c r="H965" s="23" t="s">
        <v>2875</v>
      </c>
      <c r="I965" s="23">
        <v>4</v>
      </c>
      <c r="J965" s="40">
        <v>0</v>
      </c>
      <c r="K965" s="40">
        <v>0</v>
      </c>
      <c r="L965" s="40" t="s">
        <v>115</v>
      </c>
      <c r="O965" s="40" t="s">
        <v>115</v>
      </c>
      <c r="Q965" s="40">
        <v>104</v>
      </c>
      <c r="R965" s="40">
        <v>126</v>
      </c>
      <c r="X965" s="40">
        <v>90110131</v>
      </c>
      <c r="Y965" s="40" t="s">
        <v>115</v>
      </c>
      <c r="Z965" s="40" t="s">
        <v>115</v>
      </c>
      <c r="AA965" s="40" t="s">
        <v>115</v>
      </c>
      <c r="AB965" s="40" t="s">
        <v>115</v>
      </c>
      <c r="AC965" s="40" t="s">
        <v>115</v>
      </c>
      <c r="AI965" s="40" t="s">
        <v>115</v>
      </c>
      <c r="AP965" s="4" t="s">
        <v>115</v>
      </c>
    </row>
    <row r="966" spans="1:42" x14ac:dyDescent="0.15">
      <c r="A966" s="40" t="s">
        <v>1</v>
      </c>
      <c r="B966" s="23">
        <v>90110131</v>
      </c>
      <c r="C966" s="23">
        <v>1101</v>
      </c>
      <c r="D966" s="23">
        <v>11</v>
      </c>
      <c r="F966" s="23" t="s">
        <v>115</v>
      </c>
      <c r="G966" s="23" t="s">
        <v>115</v>
      </c>
      <c r="H966" s="23" t="s">
        <v>2876</v>
      </c>
      <c r="I966" s="23">
        <v>4</v>
      </c>
      <c r="J966" s="40">
        <v>0</v>
      </c>
      <c r="K966" s="40">
        <v>0</v>
      </c>
      <c r="L966" s="40" t="s">
        <v>115</v>
      </c>
      <c r="O966" s="40" t="s">
        <v>115</v>
      </c>
      <c r="Q966" s="40">
        <v>104</v>
      </c>
      <c r="R966" s="40">
        <v>126</v>
      </c>
      <c r="X966" s="40">
        <v>90110132</v>
      </c>
      <c r="Y966" s="40" t="s">
        <v>115</v>
      </c>
      <c r="Z966" s="40" t="s">
        <v>115</v>
      </c>
      <c r="AA966" s="40" t="s">
        <v>115</v>
      </c>
      <c r="AB966" s="40" t="s">
        <v>115</v>
      </c>
      <c r="AC966" s="40" t="s">
        <v>115</v>
      </c>
      <c r="AI966" s="40" t="s">
        <v>115</v>
      </c>
      <c r="AP966" s="4" t="s">
        <v>115</v>
      </c>
    </row>
    <row r="967" spans="1:42" x14ac:dyDescent="0.15">
      <c r="A967" s="40" t="s">
        <v>1</v>
      </c>
      <c r="B967" s="23">
        <v>90110132</v>
      </c>
      <c r="C967" s="23">
        <v>1101</v>
      </c>
      <c r="D967" s="23">
        <v>11</v>
      </c>
      <c r="F967" s="23" t="s">
        <v>2851</v>
      </c>
      <c r="G967" s="23" t="s">
        <v>115</v>
      </c>
      <c r="H967" s="23" t="s">
        <v>2877</v>
      </c>
      <c r="I967" s="23">
        <v>3</v>
      </c>
      <c r="J967" s="40">
        <v>0</v>
      </c>
      <c r="K967" s="40">
        <v>0</v>
      </c>
      <c r="L967" s="40" t="s">
        <v>115</v>
      </c>
      <c r="O967" s="40" t="s">
        <v>115</v>
      </c>
      <c r="Q967" s="40">
        <v>104</v>
      </c>
      <c r="R967" s="40">
        <v>126</v>
      </c>
      <c r="X967" s="40">
        <v>90110133</v>
      </c>
      <c r="Y967" s="40" t="s">
        <v>115</v>
      </c>
      <c r="Z967" s="40" t="s">
        <v>115</v>
      </c>
      <c r="AA967" s="40" t="s">
        <v>115</v>
      </c>
      <c r="AB967" s="40" t="s">
        <v>115</v>
      </c>
      <c r="AC967" s="40" t="s">
        <v>115</v>
      </c>
      <c r="AI967" s="40" t="s">
        <v>115</v>
      </c>
      <c r="AP967" s="4" t="s">
        <v>115</v>
      </c>
    </row>
    <row r="968" spans="1:42" x14ac:dyDescent="0.15">
      <c r="A968" s="40" t="s">
        <v>1</v>
      </c>
      <c r="B968" s="23">
        <v>90110133</v>
      </c>
      <c r="C968" s="23">
        <v>1101</v>
      </c>
      <c r="D968" s="23">
        <v>11</v>
      </c>
      <c r="F968" s="23" t="s">
        <v>116</v>
      </c>
      <c r="G968" s="23">
        <v>312</v>
      </c>
      <c r="H968" s="23" t="s">
        <v>2878</v>
      </c>
      <c r="I968" s="23">
        <v>0</v>
      </c>
      <c r="J968" s="40">
        <v>0</v>
      </c>
      <c r="K968" s="40">
        <v>0</v>
      </c>
      <c r="L968" s="40" t="s">
        <v>115</v>
      </c>
      <c r="O968" s="40" t="s">
        <v>115</v>
      </c>
      <c r="Q968" s="40">
        <v>104</v>
      </c>
      <c r="R968" s="40">
        <v>126</v>
      </c>
      <c r="X968" s="40">
        <v>90110134</v>
      </c>
      <c r="Y968" s="40" t="s">
        <v>115</v>
      </c>
      <c r="Z968" s="40" t="s">
        <v>115</v>
      </c>
      <c r="AA968" s="40" t="s">
        <v>115</v>
      </c>
      <c r="AB968" s="40" t="s">
        <v>115</v>
      </c>
      <c r="AC968" s="40" t="s">
        <v>115</v>
      </c>
      <c r="AI968" s="40" t="s">
        <v>115</v>
      </c>
      <c r="AP968" s="4" t="s">
        <v>115</v>
      </c>
    </row>
    <row r="969" spans="1:42" x14ac:dyDescent="0.15">
      <c r="A969" s="40" t="s">
        <v>1</v>
      </c>
      <c r="B969" s="23">
        <v>90110134</v>
      </c>
      <c r="C969" s="23">
        <v>1101</v>
      </c>
      <c r="D969" s="23">
        <v>11</v>
      </c>
      <c r="F969" s="23" t="s">
        <v>2851</v>
      </c>
      <c r="G969" s="23" t="s">
        <v>115</v>
      </c>
      <c r="H969" s="23" t="s">
        <v>2879</v>
      </c>
      <c r="I969" s="23">
        <v>3</v>
      </c>
      <c r="J969" s="40">
        <v>0</v>
      </c>
      <c r="K969" s="40">
        <v>0</v>
      </c>
      <c r="L969" s="40" t="s">
        <v>115</v>
      </c>
      <c r="O969" s="40" t="s">
        <v>115</v>
      </c>
      <c r="Q969" s="40">
        <v>104</v>
      </c>
      <c r="R969" s="40">
        <v>126</v>
      </c>
      <c r="X969" s="40">
        <v>90110135</v>
      </c>
      <c r="Y969" s="40" t="s">
        <v>115</v>
      </c>
      <c r="Z969" s="40" t="s">
        <v>115</v>
      </c>
      <c r="AA969" s="40" t="s">
        <v>115</v>
      </c>
      <c r="AB969" s="40" t="s">
        <v>115</v>
      </c>
      <c r="AC969" s="40" t="s">
        <v>115</v>
      </c>
      <c r="AI969" s="40" t="s">
        <v>115</v>
      </c>
      <c r="AP969" s="4" t="s">
        <v>115</v>
      </c>
    </row>
    <row r="970" spans="1:42" x14ac:dyDescent="0.15">
      <c r="A970" s="40" t="s">
        <v>1</v>
      </c>
      <c r="B970" s="23">
        <v>90110135</v>
      </c>
      <c r="C970" s="23">
        <v>1101</v>
      </c>
      <c r="D970" s="23">
        <v>11</v>
      </c>
      <c r="F970" s="23" t="s">
        <v>116</v>
      </c>
      <c r="G970" s="23">
        <v>314</v>
      </c>
      <c r="H970" s="23" t="s">
        <v>2880</v>
      </c>
      <c r="I970" s="23">
        <v>0</v>
      </c>
      <c r="J970" s="40">
        <v>0</v>
      </c>
      <c r="K970" s="40">
        <v>0</v>
      </c>
      <c r="L970" s="40" t="s">
        <v>115</v>
      </c>
      <c r="O970" s="40" t="s">
        <v>115</v>
      </c>
      <c r="Q970" s="40">
        <v>104</v>
      </c>
      <c r="R970" s="40">
        <v>126</v>
      </c>
      <c r="X970" s="40">
        <v>90110136</v>
      </c>
      <c r="Y970" s="40" t="s">
        <v>115</v>
      </c>
      <c r="Z970" s="40" t="s">
        <v>115</v>
      </c>
      <c r="AA970" s="40" t="s">
        <v>115</v>
      </c>
      <c r="AB970" s="40" t="s">
        <v>115</v>
      </c>
      <c r="AC970" s="40" t="s">
        <v>115</v>
      </c>
      <c r="AI970" s="40" t="s">
        <v>115</v>
      </c>
      <c r="AP970" s="4" t="s">
        <v>115</v>
      </c>
    </row>
    <row r="971" spans="1:42" x14ac:dyDescent="0.15">
      <c r="A971" s="40" t="s">
        <v>1</v>
      </c>
      <c r="B971" s="23">
        <v>90110136</v>
      </c>
      <c r="C971" s="23">
        <v>1101</v>
      </c>
      <c r="D971" s="23">
        <v>11</v>
      </c>
      <c r="F971" s="23" t="s">
        <v>2851</v>
      </c>
      <c r="G971" s="23" t="s">
        <v>115</v>
      </c>
      <c r="H971" s="23" t="s">
        <v>2881</v>
      </c>
      <c r="I971" s="23">
        <v>3</v>
      </c>
      <c r="J971" s="40">
        <v>0</v>
      </c>
      <c r="K971" s="40">
        <v>0</v>
      </c>
      <c r="L971" s="40" t="s">
        <v>115</v>
      </c>
      <c r="O971" s="40" t="s">
        <v>115</v>
      </c>
      <c r="Q971" s="40">
        <v>104</v>
      </c>
      <c r="R971" s="40">
        <v>126</v>
      </c>
      <c r="X971" s="40">
        <v>90110137</v>
      </c>
      <c r="Y971" s="40" t="s">
        <v>115</v>
      </c>
      <c r="Z971" s="40" t="s">
        <v>115</v>
      </c>
      <c r="AA971" s="40" t="s">
        <v>115</v>
      </c>
      <c r="AB971" s="40" t="s">
        <v>115</v>
      </c>
      <c r="AC971" s="40" t="s">
        <v>115</v>
      </c>
      <c r="AI971" s="40" t="s">
        <v>115</v>
      </c>
      <c r="AP971" s="4" t="s">
        <v>115</v>
      </c>
    </row>
    <row r="972" spans="1:42" x14ac:dyDescent="0.15">
      <c r="A972" s="40" t="s">
        <v>1</v>
      </c>
      <c r="B972" s="23">
        <v>90110137</v>
      </c>
      <c r="C972" s="23">
        <v>1101</v>
      </c>
      <c r="D972" s="23">
        <v>11</v>
      </c>
      <c r="F972" s="23" t="s">
        <v>116</v>
      </c>
      <c r="G972" s="23">
        <v>312</v>
      </c>
      <c r="H972" s="23" t="s">
        <v>2882</v>
      </c>
      <c r="I972" s="23">
        <v>0</v>
      </c>
      <c r="J972" s="40">
        <v>0</v>
      </c>
      <c r="K972" s="40">
        <v>0</v>
      </c>
      <c r="L972" s="40" t="s">
        <v>115</v>
      </c>
      <c r="O972" s="40" t="s">
        <v>115</v>
      </c>
      <c r="Q972" s="40">
        <v>104</v>
      </c>
      <c r="R972" s="40">
        <v>126</v>
      </c>
      <c r="X972" s="40">
        <v>90110138</v>
      </c>
      <c r="Y972" s="40" t="s">
        <v>115</v>
      </c>
      <c r="Z972" s="40" t="s">
        <v>115</v>
      </c>
      <c r="AA972" s="40" t="s">
        <v>115</v>
      </c>
      <c r="AB972" s="40" t="s">
        <v>115</v>
      </c>
      <c r="AC972" s="40" t="s">
        <v>115</v>
      </c>
      <c r="AI972" s="40" t="s">
        <v>115</v>
      </c>
      <c r="AP972" s="4" t="s">
        <v>115</v>
      </c>
    </row>
    <row r="973" spans="1:42" x14ac:dyDescent="0.15">
      <c r="A973" s="40" t="s">
        <v>1</v>
      </c>
      <c r="B973" s="23">
        <v>90110138</v>
      </c>
      <c r="C973" s="23">
        <v>1101</v>
      </c>
      <c r="D973" s="23">
        <v>11</v>
      </c>
      <c r="F973" s="23" t="s">
        <v>115</v>
      </c>
      <c r="G973" s="23" t="s">
        <v>115</v>
      </c>
      <c r="H973" s="23" t="s">
        <v>2883</v>
      </c>
      <c r="I973" s="23">
        <v>4</v>
      </c>
      <c r="J973" s="40">
        <v>0</v>
      </c>
      <c r="K973" s="40">
        <v>0</v>
      </c>
      <c r="L973" s="40" t="s">
        <v>115</v>
      </c>
      <c r="O973" s="40" t="s">
        <v>115</v>
      </c>
      <c r="Q973" s="40">
        <v>104</v>
      </c>
      <c r="R973" s="40">
        <v>126</v>
      </c>
      <c r="X973" s="40">
        <v>90110139</v>
      </c>
      <c r="Y973" s="40" t="s">
        <v>115</v>
      </c>
      <c r="Z973" s="40" t="s">
        <v>115</v>
      </c>
      <c r="AA973" s="40" t="s">
        <v>115</v>
      </c>
      <c r="AB973" s="40" t="s">
        <v>115</v>
      </c>
      <c r="AC973" s="40" t="s">
        <v>115</v>
      </c>
      <c r="AI973" s="40" t="s">
        <v>115</v>
      </c>
      <c r="AP973" s="4" t="s">
        <v>115</v>
      </c>
    </row>
    <row r="974" spans="1:42" x14ac:dyDescent="0.15">
      <c r="A974" s="40" t="s">
        <v>1</v>
      </c>
      <c r="B974" s="23">
        <v>90110139</v>
      </c>
      <c r="C974" s="23">
        <v>1101</v>
      </c>
      <c r="D974" s="23">
        <v>11</v>
      </c>
      <c r="F974" s="23" t="s">
        <v>116</v>
      </c>
      <c r="G974" s="23">
        <v>312</v>
      </c>
      <c r="H974" s="23" t="s">
        <v>2884</v>
      </c>
      <c r="I974" s="23">
        <v>0</v>
      </c>
      <c r="J974" s="40">
        <v>0</v>
      </c>
      <c r="K974" s="40">
        <v>3</v>
      </c>
      <c r="L974" s="40" t="s">
        <v>115</v>
      </c>
      <c r="O974" s="40">
        <v>1</v>
      </c>
      <c r="Q974" s="40">
        <v>104</v>
      </c>
      <c r="R974" s="40" t="s">
        <v>115</v>
      </c>
      <c r="X974" s="40" t="s">
        <v>115</v>
      </c>
      <c r="Y974" s="40" t="s">
        <v>115</v>
      </c>
      <c r="Z974" s="40">
        <v>2</v>
      </c>
      <c r="AA974" s="40" t="s">
        <v>115</v>
      </c>
      <c r="AB974" s="40" t="s">
        <v>115</v>
      </c>
      <c r="AC974" s="40" t="s">
        <v>115</v>
      </c>
      <c r="AI974" s="40" t="s">
        <v>115</v>
      </c>
      <c r="AP974" s="4" t="s">
        <v>2885</v>
      </c>
    </row>
    <row r="975" spans="1:42" x14ac:dyDescent="0.15">
      <c r="A975" s="40" t="s">
        <v>1</v>
      </c>
      <c r="B975" s="23" t="s">
        <v>2808</v>
      </c>
      <c r="C975" s="23">
        <v>1102</v>
      </c>
      <c r="D975" s="23">
        <v>11</v>
      </c>
      <c r="F975" s="23" t="s">
        <v>115</v>
      </c>
      <c r="G975" s="23" t="s">
        <v>115</v>
      </c>
      <c r="H975" s="23" t="s">
        <v>2886</v>
      </c>
      <c r="I975" s="23">
        <v>4</v>
      </c>
      <c r="J975" s="40">
        <v>1</v>
      </c>
      <c r="K975" s="40">
        <v>1</v>
      </c>
      <c r="L975" s="40" t="s">
        <v>115</v>
      </c>
      <c r="O975" s="40" t="s">
        <v>115</v>
      </c>
      <c r="Q975" s="40">
        <v>172</v>
      </c>
      <c r="R975" s="40" t="s">
        <v>115</v>
      </c>
      <c r="X975" s="40">
        <v>90110202</v>
      </c>
      <c r="Y975" s="40" t="s">
        <v>115</v>
      </c>
      <c r="Z975" s="40" t="s">
        <v>115</v>
      </c>
      <c r="AA975" s="40" t="s">
        <v>115</v>
      </c>
      <c r="AB975" s="40" t="s">
        <v>115</v>
      </c>
      <c r="AC975" s="40" t="s">
        <v>115</v>
      </c>
      <c r="AI975" s="40" t="s">
        <v>115</v>
      </c>
      <c r="AP975" s="4" t="s">
        <v>115</v>
      </c>
    </row>
    <row r="976" spans="1:42" x14ac:dyDescent="0.15">
      <c r="A976" s="40" t="s">
        <v>1</v>
      </c>
      <c r="B976" s="23">
        <v>90110202</v>
      </c>
      <c r="C976" s="23">
        <v>1102</v>
      </c>
      <c r="D976" s="23">
        <v>11</v>
      </c>
      <c r="F976" s="23" t="s">
        <v>2887</v>
      </c>
      <c r="G976" s="23" t="s">
        <v>115</v>
      </c>
      <c r="H976" s="23" t="s">
        <v>2888</v>
      </c>
      <c r="I976" s="23">
        <v>3</v>
      </c>
      <c r="J976" s="40">
        <v>0</v>
      </c>
      <c r="K976" s="40">
        <v>0</v>
      </c>
      <c r="L976" s="40" t="s">
        <v>115</v>
      </c>
      <c r="O976" s="40" t="s">
        <v>115</v>
      </c>
      <c r="Q976" s="40">
        <v>172</v>
      </c>
      <c r="R976" s="40">
        <v>307</v>
      </c>
      <c r="X976" s="40">
        <v>90110203</v>
      </c>
      <c r="Y976" s="40" t="s">
        <v>115</v>
      </c>
      <c r="Z976" s="40" t="s">
        <v>115</v>
      </c>
      <c r="AA976" s="40" t="s">
        <v>115</v>
      </c>
      <c r="AB976" s="40" t="s">
        <v>115</v>
      </c>
      <c r="AC976" s="40" t="s">
        <v>115</v>
      </c>
      <c r="AI976" s="40" t="s">
        <v>115</v>
      </c>
      <c r="AP976" s="4" t="s">
        <v>115</v>
      </c>
    </row>
    <row r="977" spans="1:42" x14ac:dyDescent="0.15">
      <c r="A977" s="40" t="s">
        <v>1</v>
      </c>
      <c r="B977" s="23">
        <v>90110203</v>
      </c>
      <c r="C977" s="23">
        <v>1102</v>
      </c>
      <c r="D977" s="23">
        <v>11</v>
      </c>
      <c r="F977" s="23" t="s">
        <v>116</v>
      </c>
      <c r="G977" s="23">
        <v>308</v>
      </c>
      <c r="H977" s="23" t="s">
        <v>2889</v>
      </c>
      <c r="I977" s="23">
        <v>0</v>
      </c>
      <c r="J977" s="40">
        <v>0</v>
      </c>
      <c r="K977" s="40">
        <v>0</v>
      </c>
      <c r="L977" s="40" t="s">
        <v>115</v>
      </c>
      <c r="O977" s="40" t="s">
        <v>115</v>
      </c>
      <c r="Q977" s="40">
        <v>172</v>
      </c>
      <c r="R977" s="40">
        <v>307</v>
      </c>
      <c r="X977" s="40">
        <v>90110204</v>
      </c>
      <c r="Y977" s="40" t="s">
        <v>115</v>
      </c>
      <c r="Z977" s="40" t="s">
        <v>115</v>
      </c>
      <c r="AA977" s="40" t="s">
        <v>115</v>
      </c>
      <c r="AB977" s="40" t="s">
        <v>115</v>
      </c>
      <c r="AC977" s="40" t="s">
        <v>115</v>
      </c>
      <c r="AI977" s="40" t="s">
        <v>115</v>
      </c>
      <c r="AP977" s="4" t="s">
        <v>115</v>
      </c>
    </row>
    <row r="978" spans="1:42" x14ac:dyDescent="0.15">
      <c r="A978" s="40" t="s">
        <v>1</v>
      </c>
      <c r="B978" s="23">
        <v>90110204</v>
      </c>
      <c r="C978" s="23">
        <v>1102</v>
      </c>
      <c r="D978" s="23">
        <v>11</v>
      </c>
      <c r="F978" s="23" t="s">
        <v>115</v>
      </c>
      <c r="G978" s="23" t="s">
        <v>115</v>
      </c>
      <c r="H978" s="23" t="s">
        <v>2890</v>
      </c>
      <c r="I978" s="23">
        <v>4</v>
      </c>
      <c r="J978" s="40">
        <v>0</v>
      </c>
      <c r="K978" s="40">
        <v>0</v>
      </c>
      <c r="L978" s="40" t="s">
        <v>115</v>
      </c>
      <c r="O978" s="40" t="s">
        <v>115</v>
      </c>
      <c r="Q978" s="40">
        <v>172</v>
      </c>
      <c r="R978" s="40">
        <v>307</v>
      </c>
      <c r="X978" s="40">
        <v>90110205</v>
      </c>
      <c r="Y978" s="40" t="s">
        <v>115</v>
      </c>
      <c r="Z978" s="40" t="s">
        <v>115</v>
      </c>
      <c r="AA978" s="40" t="s">
        <v>115</v>
      </c>
      <c r="AB978" s="40" t="s">
        <v>115</v>
      </c>
      <c r="AC978" s="40" t="s">
        <v>115</v>
      </c>
      <c r="AI978" s="40" t="s">
        <v>115</v>
      </c>
      <c r="AP978" s="4" t="s">
        <v>115</v>
      </c>
    </row>
    <row r="979" spans="1:42" x14ac:dyDescent="0.15">
      <c r="A979" s="40" t="s">
        <v>1</v>
      </c>
      <c r="B979" s="23">
        <v>90110205</v>
      </c>
      <c r="C979" s="23">
        <v>1102</v>
      </c>
      <c r="D979" s="23">
        <v>11</v>
      </c>
      <c r="F979" s="23" t="s">
        <v>115</v>
      </c>
      <c r="G979" s="23" t="s">
        <v>115</v>
      </c>
      <c r="H979" s="23" t="s">
        <v>2891</v>
      </c>
      <c r="I979" s="23">
        <v>4</v>
      </c>
      <c r="J979" s="40">
        <v>0</v>
      </c>
      <c r="K979" s="40">
        <v>2</v>
      </c>
      <c r="L979" s="40" t="s">
        <v>115</v>
      </c>
      <c r="O979" s="40" t="s">
        <v>115</v>
      </c>
      <c r="Q979" s="40">
        <v>172</v>
      </c>
      <c r="R979" s="40">
        <v>307</v>
      </c>
      <c r="X979" s="40" t="s">
        <v>2892</v>
      </c>
      <c r="Y979" s="40">
        <v>1</v>
      </c>
      <c r="Z979" s="40">
        <v>1</v>
      </c>
      <c r="AA979" s="40" t="s">
        <v>115</v>
      </c>
      <c r="AB979" s="40" t="s">
        <v>115</v>
      </c>
      <c r="AC979" s="40" t="s">
        <v>115</v>
      </c>
      <c r="AI979" s="40" t="s">
        <v>115</v>
      </c>
      <c r="AP979" s="4" t="s">
        <v>115</v>
      </c>
    </row>
    <row r="980" spans="1:42" x14ac:dyDescent="0.15">
      <c r="A980" s="40" t="s">
        <v>1</v>
      </c>
      <c r="B980" s="23">
        <v>90110206</v>
      </c>
      <c r="C980" s="23">
        <v>1102</v>
      </c>
      <c r="D980" s="23">
        <v>11</v>
      </c>
      <c r="F980" s="23" t="s">
        <v>115</v>
      </c>
      <c r="G980" s="23" t="s">
        <v>115</v>
      </c>
      <c r="H980" s="23" t="s">
        <v>2893</v>
      </c>
      <c r="I980" s="23">
        <v>4</v>
      </c>
      <c r="J980" s="40">
        <v>0</v>
      </c>
      <c r="K980" s="40">
        <v>3</v>
      </c>
      <c r="L980" s="40" t="s">
        <v>115</v>
      </c>
      <c r="O980" s="40" t="s">
        <v>115</v>
      </c>
      <c r="Q980" s="40">
        <v>172</v>
      </c>
      <c r="R980" s="40">
        <v>307</v>
      </c>
      <c r="X980" s="40">
        <v>90110208</v>
      </c>
      <c r="Y980" s="40">
        <v>-1</v>
      </c>
      <c r="Z980" s="40">
        <v>2</v>
      </c>
      <c r="AA980" s="40" t="s">
        <v>115</v>
      </c>
      <c r="AB980" s="40" t="s">
        <v>115</v>
      </c>
      <c r="AC980" s="40" t="s">
        <v>2894</v>
      </c>
      <c r="AI980" s="40" t="s">
        <v>115</v>
      </c>
      <c r="AP980" s="4" t="s">
        <v>115</v>
      </c>
    </row>
    <row r="981" spans="1:42" x14ac:dyDescent="0.15">
      <c r="A981" s="40" t="s">
        <v>1</v>
      </c>
      <c r="B981" s="23">
        <v>90110207</v>
      </c>
      <c r="C981" s="23">
        <v>1102</v>
      </c>
      <c r="D981" s="23">
        <v>11</v>
      </c>
      <c r="F981" s="23" t="s">
        <v>115</v>
      </c>
      <c r="G981" s="23" t="s">
        <v>115</v>
      </c>
      <c r="H981" s="23" t="s">
        <v>2895</v>
      </c>
      <c r="I981" s="23">
        <v>4</v>
      </c>
      <c r="J981" s="40">
        <v>0</v>
      </c>
      <c r="K981" s="40">
        <v>4</v>
      </c>
      <c r="L981" s="40" t="s">
        <v>115</v>
      </c>
      <c r="O981" s="40" t="s">
        <v>115</v>
      </c>
      <c r="Q981" s="40">
        <v>172</v>
      </c>
      <c r="R981" s="40">
        <v>307</v>
      </c>
      <c r="X981" s="40">
        <v>90110234</v>
      </c>
      <c r="Y981" s="40">
        <v>-1</v>
      </c>
      <c r="Z981" s="40">
        <v>2</v>
      </c>
      <c r="AA981" s="40" t="s">
        <v>115</v>
      </c>
      <c r="AB981" s="40" t="s">
        <v>115</v>
      </c>
      <c r="AC981" s="40" t="s">
        <v>115</v>
      </c>
      <c r="AI981" s="40" t="s">
        <v>115</v>
      </c>
      <c r="AP981" s="4" t="s">
        <v>115</v>
      </c>
    </row>
    <row r="982" spans="1:42" x14ac:dyDescent="0.15">
      <c r="A982" s="40" t="s">
        <v>1</v>
      </c>
      <c r="B982" s="23">
        <v>90110208</v>
      </c>
      <c r="C982" s="23">
        <v>1102</v>
      </c>
      <c r="D982" s="23">
        <v>11</v>
      </c>
      <c r="F982" s="23" t="s">
        <v>2887</v>
      </c>
      <c r="G982" s="23" t="s">
        <v>115</v>
      </c>
      <c r="H982" s="23" t="s">
        <v>2896</v>
      </c>
      <c r="I982" s="23">
        <v>3</v>
      </c>
      <c r="J982" s="40">
        <v>0</v>
      </c>
      <c r="K982" s="40">
        <v>0</v>
      </c>
      <c r="L982" s="40" t="s">
        <v>115</v>
      </c>
      <c r="O982" s="40" t="s">
        <v>115</v>
      </c>
      <c r="Q982" s="40">
        <v>172</v>
      </c>
      <c r="R982" s="40">
        <v>307</v>
      </c>
      <c r="X982" s="40">
        <v>90110209</v>
      </c>
      <c r="Y982" s="40" t="s">
        <v>115</v>
      </c>
      <c r="Z982" s="40" t="s">
        <v>115</v>
      </c>
      <c r="AA982" s="40" t="s">
        <v>115</v>
      </c>
      <c r="AB982" s="40" t="s">
        <v>115</v>
      </c>
      <c r="AC982" s="40" t="s">
        <v>115</v>
      </c>
      <c r="AI982" s="40" t="s">
        <v>115</v>
      </c>
      <c r="AP982" s="4" t="s">
        <v>115</v>
      </c>
    </row>
    <row r="983" spans="1:42" x14ac:dyDescent="0.15">
      <c r="A983" s="40" t="s">
        <v>1</v>
      </c>
      <c r="B983" s="23">
        <v>90110209</v>
      </c>
      <c r="C983" s="23">
        <v>1102</v>
      </c>
      <c r="D983" s="23">
        <v>11</v>
      </c>
      <c r="F983" s="23" t="s">
        <v>116</v>
      </c>
      <c r="G983" s="23">
        <v>309</v>
      </c>
      <c r="H983" s="23" t="s">
        <v>2897</v>
      </c>
      <c r="I983" s="23">
        <v>2</v>
      </c>
      <c r="J983" s="40">
        <v>0</v>
      </c>
      <c r="K983" s="40">
        <v>0</v>
      </c>
      <c r="L983" s="40" t="s">
        <v>115</v>
      </c>
      <c r="O983" s="40" t="s">
        <v>115</v>
      </c>
      <c r="Q983" s="40">
        <v>172</v>
      </c>
      <c r="R983" s="40">
        <v>307</v>
      </c>
      <c r="X983" s="40">
        <v>90110210</v>
      </c>
      <c r="Y983" s="40" t="s">
        <v>115</v>
      </c>
      <c r="Z983" s="40" t="s">
        <v>115</v>
      </c>
      <c r="AA983" s="40" t="s">
        <v>115</v>
      </c>
      <c r="AB983" s="40" t="s">
        <v>115</v>
      </c>
      <c r="AC983" s="40" t="s">
        <v>115</v>
      </c>
      <c r="AI983" s="40" t="s">
        <v>115</v>
      </c>
      <c r="AP983" s="4" t="s">
        <v>115</v>
      </c>
    </row>
    <row r="984" spans="1:42" x14ac:dyDescent="0.15">
      <c r="A984" s="40" t="s">
        <v>1</v>
      </c>
      <c r="B984" s="23">
        <v>90110210</v>
      </c>
      <c r="C984" s="23">
        <v>1102</v>
      </c>
      <c r="D984" s="23">
        <v>11</v>
      </c>
      <c r="F984" s="23" t="s">
        <v>116</v>
      </c>
      <c r="G984" s="23">
        <v>312</v>
      </c>
      <c r="H984" s="23" t="s">
        <v>2898</v>
      </c>
      <c r="I984" s="23">
        <v>0</v>
      </c>
      <c r="J984" s="40">
        <v>0</v>
      </c>
      <c r="K984" s="40">
        <v>0</v>
      </c>
      <c r="L984" s="40" t="s">
        <v>115</v>
      </c>
      <c r="O984" s="40" t="s">
        <v>115</v>
      </c>
      <c r="Q984" s="40">
        <v>172</v>
      </c>
      <c r="R984" s="40">
        <v>307</v>
      </c>
      <c r="X984" s="40">
        <v>90110211</v>
      </c>
      <c r="Y984" s="40" t="s">
        <v>115</v>
      </c>
      <c r="Z984" s="40" t="s">
        <v>115</v>
      </c>
      <c r="AA984" s="40" t="s">
        <v>115</v>
      </c>
      <c r="AB984" s="40" t="s">
        <v>115</v>
      </c>
      <c r="AC984" s="40" t="s">
        <v>115</v>
      </c>
      <c r="AI984" s="40" t="s">
        <v>115</v>
      </c>
      <c r="AP984" s="4" t="s">
        <v>115</v>
      </c>
    </row>
    <row r="985" spans="1:42" x14ac:dyDescent="0.15">
      <c r="A985" s="40" t="s">
        <v>1</v>
      </c>
      <c r="B985" s="23">
        <v>90110211</v>
      </c>
      <c r="C985" s="23">
        <v>1102</v>
      </c>
      <c r="D985" s="23">
        <v>11</v>
      </c>
      <c r="F985" s="23" t="s">
        <v>2887</v>
      </c>
      <c r="G985" s="23" t="s">
        <v>115</v>
      </c>
      <c r="H985" s="23" t="s">
        <v>2899</v>
      </c>
      <c r="I985" s="23">
        <v>3</v>
      </c>
      <c r="J985" s="40">
        <v>0</v>
      </c>
      <c r="K985" s="40">
        <v>0</v>
      </c>
      <c r="L985" s="40" t="s">
        <v>115</v>
      </c>
      <c r="O985" s="40" t="s">
        <v>115</v>
      </c>
      <c r="Q985" s="40">
        <v>172</v>
      </c>
      <c r="R985" s="40">
        <v>307</v>
      </c>
      <c r="X985" s="40">
        <v>90110212</v>
      </c>
      <c r="Y985" s="40" t="s">
        <v>115</v>
      </c>
      <c r="Z985" s="40" t="s">
        <v>115</v>
      </c>
      <c r="AA985" s="40" t="s">
        <v>115</v>
      </c>
      <c r="AB985" s="40" t="s">
        <v>115</v>
      </c>
      <c r="AC985" s="40" t="s">
        <v>115</v>
      </c>
      <c r="AI985" s="40" t="s">
        <v>115</v>
      </c>
      <c r="AP985" s="4" t="s">
        <v>115</v>
      </c>
    </row>
    <row r="986" spans="1:42" x14ac:dyDescent="0.15">
      <c r="A986" s="40" t="s">
        <v>1</v>
      </c>
      <c r="B986" s="23">
        <v>90110212</v>
      </c>
      <c r="C986" s="23">
        <v>1102</v>
      </c>
      <c r="D986" s="23">
        <v>11</v>
      </c>
      <c r="F986" s="23" t="s">
        <v>116</v>
      </c>
      <c r="G986" s="23">
        <v>308</v>
      </c>
      <c r="H986" s="23" t="s">
        <v>2900</v>
      </c>
      <c r="I986" s="23">
        <v>0</v>
      </c>
      <c r="J986" s="40">
        <v>0</v>
      </c>
      <c r="K986" s="40">
        <v>0</v>
      </c>
      <c r="L986" s="40" t="s">
        <v>115</v>
      </c>
      <c r="O986" s="40" t="s">
        <v>115</v>
      </c>
      <c r="Q986" s="40">
        <v>172</v>
      </c>
      <c r="R986" s="40">
        <v>307</v>
      </c>
      <c r="X986" s="40">
        <v>90110213</v>
      </c>
      <c r="Y986" s="40" t="s">
        <v>115</v>
      </c>
      <c r="Z986" s="40" t="s">
        <v>115</v>
      </c>
      <c r="AA986" s="40" t="s">
        <v>115</v>
      </c>
      <c r="AB986" s="40" t="s">
        <v>115</v>
      </c>
      <c r="AC986" s="40" t="s">
        <v>115</v>
      </c>
      <c r="AI986" s="40" t="s">
        <v>115</v>
      </c>
      <c r="AP986" s="4" t="s">
        <v>115</v>
      </c>
    </row>
    <row r="987" spans="1:42" x14ac:dyDescent="0.15">
      <c r="A987" s="40" t="s">
        <v>1</v>
      </c>
      <c r="B987" s="23">
        <v>90110213</v>
      </c>
      <c r="C987" s="23">
        <v>1102</v>
      </c>
      <c r="D987" s="23">
        <v>11</v>
      </c>
      <c r="F987" s="23" t="s">
        <v>2887</v>
      </c>
      <c r="G987" s="23" t="s">
        <v>115</v>
      </c>
      <c r="H987" s="23" t="s">
        <v>2901</v>
      </c>
      <c r="I987" s="23">
        <v>3</v>
      </c>
      <c r="J987" s="40">
        <v>0</v>
      </c>
      <c r="K987" s="40">
        <v>0</v>
      </c>
      <c r="L987" s="40" t="s">
        <v>115</v>
      </c>
      <c r="O987" s="40" t="s">
        <v>115</v>
      </c>
      <c r="Q987" s="40">
        <v>172</v>
      </c>
      <c r="R987" s="40">
        <v>307</v>
      </c>
      <c r="X987" s="40">
        <v>90110214</v>
      </c>
      <c r="Y987" s="40" t="s">
        <v>115</v>
      </c>
      <c r="Z987" s="40" t="s">
        <v>115</v>
      </c>
      <c r="AA987" s="40" t="s">
        <v>115</v>
      </c>
      <c r="AB987" s="40" t="s">
        <v>115</v>
      </c>
      <c r="AC987" s="40" t="s">
        <v>115</v>
      </c>
      <c r="AI987" s="40" t="s">
        <v>115</v>
      </c>
      <c r="AP987" s="4" t="s">
        <v>115</v>
      </c>
    </row>
    <row r="988" spans="1:42" x14ac:dyDescent="0.15">
      <c r="A988" s="40" t="s">
        <v>1</v>
      </c>
      <c r="B988" s="23">
        <v>90110214</v>
      </c>
      <c r="C988" s="23">
        <v>1102</v>
      </c>
      <c r="D988" s="23">
        <v>11</v>
      </c>
      <c r="F988" s="23" t="s">
        <v>116</v>
      </c>
      <c r="G988" s="23">
        <v>309</v>
      </c>
      <c r="H988" s="23" t="s">
        <v>2902</v>
      </c>
      <c r="I988" s="23">
        <v>0</v>
      </c>
      <c r="J988" s="40">
        <v>0</v>
      </c>
      <c r="K988" s="40">
        <v>0</v>
      </c>
      <c r="L988" s="40" t="s">
        <v>115</v>
      </c>
      <c r="O988" s="40" t="s">
        <v>115</v>
      </c>
      <c r="Q988" s="40">
        <v>172</v>
      </c>
      <c r="R988" s="40">
        <v>307</v>
      </c>
      <c r="X988" s="40">
        <v>90110215</v>
      </c>
      <c r="Y988" s="40" t="s">
        <v>115</v>
      </c>
      <c r="Z988" s="40" t="s">
        <v>115</v>
      </c>
      <c r="AA988" s="40" t="s">
        <v>115</v>
      </c>
      <c r="AB988" s="40" t="s">
        <v>115</v>
      </c>
      <c r="AC988" s="40" t="s">
        <v>115</v>
      </c>
      <c r="AI988" s="40" t="s">
        <v>115</v>
      </c>
      <c r="AP988" s="4" t="s">
        <v>115</v>
      </c>
    </row>
    <row r="989" spans="1:42" x14ac:dyDescent="0.15">
      <c r="A989" s="40" t="s">
        <v>1</v>
      </c>
      <c r="B989" s="23">
        <v>90110215</v>
      </c>
      <c r="C989" s="23">
        <v>1102</v>
      </c>
      <c r="D989" s="23">
        <v>11</v>
      </c>
      <c r="F989" s="23" t="s">
        <v>2887</v>
      </c>
      <c r="G989" s="23" t="s">
        <v>115</v>
      </c>
      <c r="H989" s="23" t="s">
        <v>2903</v>
      </c>
      <c r="I989" s="23">
        <v>3</v>
      </c>
      <c r="J989" s="40">
        <v>0</v>
      </c>
      <c r="K989" s="40">
        <v>0</v>
      </c>
      <c r="L989" s="40" t="s">
        <v>115</v>
      </c>
      <c r="O989" s="40" t="s">
        <v>115</v>
      </c>
      <c r="Q989" s="40">
        <v>172</v>
      </c>
      <c r="R989" s="40">
        <v>307</v>
      </c>
      <c r="X989" s="40">
        <v>90110216</v>
      </c>
      <c r="Y989" s="40" t="s">
        <v>115</v>
      </c>
      <c r="Z989" s="40" t="s">
        <v>115</v>
      </c>
      <c r="AA989" s="40" t="s">
        <v>115</v>
      </c>
      <c r="AB989" s="40" t="s">
        <v>115</v>
      </c>
      <c r="AC989" s="40" t="s">
        <v>115</v>
      </c>
      <c r="AI989" s="40" t="s">
        <v>115</v>
      </c>
      <c r="AP989" s="4" t="s">
        <v>115</v>
      </c>
    </row>
    <row r="990" spans="1:42" x14ac:dyDescent="0.15">
      <c r="A990" s="40" t="s">
        <v>1</v>
      </c>
      <c r="B990" s="23">
        <v>90110216</v>
      </c>
      <c r="C990" s="23">
        <v>1102</v>
      </c>
      <c r="D990" s="23">
        <v>11</v>
      </c>
      <c r="F990" s="23" t="s">
        <v>932</v>
      </c>
      <c r="G990" s="23" t="s">
        <v>115</v>
      </c>
      <c r="H990" s="23" t="s">
        <v>2904</v>
      </c>
      <c r="I990" s="23">
        <v>1</v>
      </c>
      <c r="J990" s="40">
        <v>0</v>
      </c>
      <c r="K990" s="40">
        <v>0</v>
      </c>
      <c r="L990" s="40" t="s">
        <v>115</v>
      </c>
      <c r="O990" s="40" t="s">
        <v>115</v>
      </c>
      <c r="Q990" s="40">
        <v>185</v>
      </c>
      <c r="R990" s="40" t="s">
        <v>115</v>
      </c>
      <c r="X990" s="40">
        <v>90110217</v>
      </c>
      <c r="Y990" s="40" t="s">
        <v>115</v>
      </c>
      <c r="Z990" s="40" t="s">
        <v>115</v>
      </c>
      <c r="AA990" s="40" t="s">
        <v>115</v>
      </c>
      <c r="AB990" s="40" t="s">
        <v>115</v>
      </c>
      <c r="AC990" s="40" t="s">
        <v>115</v>
      </c>
      <c r="AI990" s="40" t="s">
        <v>960</v>
      </c>
      <c r="AP990" s="4" t="s">
        <v>115</v>
      </c>
    </row>
    <row r="991" spans="1:42" x14ac:dyDescent="0.15">
      <c r="A991" s="40" t="s">
        <v>1</v>
      </c>
      <c r="B991" s="23">
        <v>90110217</v>
      </c>
      <c r="C991" s="23">
        <v>1102</v>
      </c>
      <c r="D991" s="23">
        <v>11</v>
      </c>
      <c r="F991" s="23" t="s">
        <v>116</v>
      </c>
      <c r="G991" s="23">
        <v>312</v>
      </c>
      <c r="H991" s="23" t="s">
        <v>2905</v>
      </c>
      <c r="I991" s="23">
        <v>0</v>
      </c>
      <c r="J991" s="40">
        <v>0</v>
      </c>
      <c r="K991" s="40">
        <v>0</v>
      </c>
      <c r="L991" s="40" t="s">
        <v>115</v>
      </c>
      <c r="O991" s="40" t="s">
        <v>115</v>
      </c>
      <c r="Q991" s="40">
        <v>185</v>
      </c>
      <c r="R991" s="40" t="s">
        <v>115</v>
      </c>
      <c r="X991" s="40">
        <v>90110218</v>
      </c>
      <c r="Y991" s="40" t="s">
        <v>115</v>
      </c>
      <c r="Z991" s="40" t="s">
        <v>115</v>
      </c>
      <c r="AA991" s="40" t="s">
        <v>115</v>
      </c>
      <c r="AB991" s="40" t="s">
        <v>115</v>
      </c>
      <c r="AC991" s="40" t="s">
        <v>115</v>
      </c>
      <c r="AI991" s="40">
        <v>405</v>
      </c>
      <c r="AP991" s="4" t="s">
        <v>115</v>
      </c>
    </row>
    <row r="992" spans="1:42" x14ac:dyDescent="0.15">
      <c r="A992" s="40" t="s">
        <v>1</v>
      </c>
      <c r="B992" s="23">
        <v>90110218</v>
      </c>
      <c r="C992" s="23">
        <v>1102</v>
      </c>
      <c r="D992" s="23">
        <v>11</v>
      </c>
      <c r="F992" s="23" t="s">
        <v>932</v>
      </c>
      <c r="G992" s="23" t="s">
        <v>115</v>
      </c>
      <c r="H992" s="23" t="s">
        <v>2906</v>
      </c>
      <c r="I992" s="23">
        <v>1</v>
      </c>
      <c r="J992" s="40">
        <v>0</v>
      </c>
      <c r="K992" s="40">
        <v>0</v>
      </c>
      <c r="L992" s="40" t="s">
        <v>115</v>
      </c>
      <c r="O992" s="40" t="s">
        <v>115</v>
      </c>
      <c r="Q992" s="40">
        <v>185</v>
      </c>
      <c r="R992" s="40" t="s">
        <v>115</v>
      </c>
      <c r="X992" s="40">
        <v>90110219</v>
      </c>
      <c r="Y992" s="40" t="s">
        <v>115</v>
      </c>
      <c r="Z992" s="40" t="s">
        <v>115</v>
      </c>
      <c r="AA992" s="40" t="s">
        <v>115</v>
      </c>
      <c r="AB992" s="40" t="s">
        <v>115</v>
      </c>
      <c r="AC992" s="40" t="s">
        <v>115</v>
      </c>
      <c r="AI992" s="40" t="s">
        <v>1391</v>
      </c>
      <c r="AP992" s="4" t="s">
        <v>115</v>
      </c>
    </row>
    <row r="993" spans="1:42" x14ac:dyDescent="0.15">
      <c r="A993" s="40" t="s">
        <v>1</v>
      </c>
      <c r="B993" s="23">
        <v>90110219</v>
      </c>
      <c r="C993" s="23">
        <v>1102</v>
      </c>
      <c r="D993" s="23">
        <v>11</v>
      </c>
      <c r="F993" s="23" t="s">
        <v>932</v>
      </c>
      <c r="G993" s="23" t="s">
        <v>115</v>
      </c>
      <c r="H993" s="23" t="s">
        <v>2907</v>
      </c>
      <c r="I993" s="23">
        <v>1</v>
      </c>
      <c r="J993" s="40">
        <v>0</v>
      </c>
      <c r="K993" s="40">
        <v>0</v>
      </c>
      <c r="L993" s="40" t="s">
        <v>115</v>
      </c>
      <c r="O993" s="40" t="s">
        <v>115</v>
      </c>
      <c r="Q993" s="40">
        <v>185</v>
      </c>
      <c r="R993" s="40" t="s">
        <v>115</v>
      </c>
      <c r="X993" s="40">
        <v>90110220</v>
      </c>
      <c r="Y993" s="40" t="s">
        <v>115</v>
      </c>
      <c r="Z993" s="40" t="s">
        <v>115</v>
      </c>
      <c r="AA993" s="40" t="s">
        <v>115</v>
      </c>
      <c r="AB993" s="40" t="s">
        <v>115</v>
      </c>
      <c r="AC993" s="40" t="s">
        <v>115</v>
      </c>
      <c r="AI993" s="40" t="s">
        <v>2908</v>
      </c>
      <c r="AP993" s="4" t="s">
        <v>115</v>
      </c>
    </row>
    <row r="994" spans="1:42" x14ac:dyDescent="0.15">
      <c r="A994" s="40" t="s">
        <v>1</v>
      </c>
      <c r="B994" s="23">
        <v>90110220</v>
      </c>
      <c r="C994" s="23">
        <v>1102</v>
      </c>
      <c r="D994" s="23">
        <v>11</v>
      </c>
      <c r="F994" s="23" t="s">
        <v>116</v>
      </c>
      <c r="G994" s="23" t="s">
        <v>115</v>
      </c>
      <c r="H994" s="23" t="s">
        <v>2909</v>
      </c>
      <c r="I994" s="23">
        <v>2</v>
      </c>
      <c r="J994" s="40">
        <v>0</v>
      </c>
      <c r="K994" s="40">
        <v>0</v>
      </c>
      <c r="L994" s="40" t="s">
        <v>115</v>
      </c>
      <c r="O994" s="40" t="s">
        <v>115</v>
      </c>
      <c r="Q994" s="40">
        <v>185</v>
      </c>
      <c r="R994" s="40" t="s">
        <v>115</v>
      </c>
      <c r="X994" s="40">
        <v>90110221</v>
      </c>
      <c r="Y994" s="40" t="s">
        <v>115</v>
      </c>
      <c r="Z994" s="40" t="s">
        <v>115</v>
      </c>
      <c r="AA994" s="40" t="s">
        <v>115</v>
      </c>
      <c r="AB994" s="40" t="s">
        <v>115</v>
      </c>
      <c r="AC994" s="40" t="s">
        <v>115</v>
      </c>
      <c r="AI994" s="40" t="s">
        <v>1391</v>
      </c>
      <c r="AP994" s="4" t="s">
        <v>115</v>
      </c>
    </row>
    <row r="995" spans="1:42" x14ac:dyDescent="0.15">
      <c r="A995" s="40" t="s">
        <v>1</v>
      </c>
      <c r="B995" s="23">
        <v>90110221</v>
      </c>
      <c r="C995" s="23">
        <v>1102</v>
      </c>
      <c r="D995" s="23">
        <v>11</v>
      </c>
      <c r="F995" s="23" t="s">
        <v>116</v>
      </c>
      <c r="G995" s="23">
        <v>312</v>
      </c>
      <c r="H995" s="23" t="s">
        <v>2910</v>
      </c>
      <c r="I995" s="23">
        <v>0</v>
      </c>
      <c r="J995" s="40">
        <v>0</v>
      </c>
      <c r="K995" s="40">
        <v>0</v>
      </c>
      <c r="L995" s="40" t="s">
        <v>115</v>
      </c>
      <c r="O995" s="40" t="s">
        <v>115</v>
      </c>
      <c r="Q995" s="40">
        <v>185</v>
      </c>
      <c r="R995" s="40" t="s">
        <v>115</v>
      </c>
      <c r="X995" s="40">
        <v>90110222</v>
      </c>
      <c r="Y995" s="40" t="s">
        <v>115</v>
      </c>
      <c r="Z995" s="40" t="s">
        <v>115</v>
      </c>
      <c r="AA995" s="40" t="s">
        <v>115</v>
      </c>
      <c r="AB995" s="40" t="s">
        <v>115</v>
      </c>
      <c r="AC995" s="40" t="s">
        <v>115</v>
      </c>
      <c r="AI995" s="40">
        <v>405</v>
      </c>
      <c r="AP995" s="4" t="s">
        <v>115</v>
      </c>
    </row>
    <row r="996" spans="1:42" x14ac:dyDescent="0.15">
      <c r="A996" s="40" t="s">
        <v>1</v>
      </c>
      <c r="B996" s="23">
        <v>90110222</v>
      </c>
      <c r="C996" s="23">
        <v>1102</v>
      </c>
      <c r="D996" s="23">
        <v>11</v>
      </c>
      <c r="F996" s="23" t="s">
        <v>932</v>
      </c>
      <c r="G996" s="23" t="s">
        <v>115</v>
      </c>
      <c r="H996" s="23" t="s">
        <v>2911</v>
      </c>
      <c r="I996" s="23">
        <v>1</v>
      </c>
      <c r="J996" s="40">
        <v>0</v>
      </c>
      <c r="K996" s="40">
        <v>0</v>
      </c>
      <c r="L996" s="40" t="s">
        <v>115</v>
      </c>
      <c r="O996" s="40" t="s">
        <v>115</v>
      </c>
      <c r="Q996" s="40">
        <v>185</v>
      </c>
      <c r="R996" s="40" t="s">
        <v>115</v>
      </c>
      <c r="X996" s="40">
        <v>90110223</v>
      </c>
      <c r="Y996" s="40" t="s">
        <v>115</v>
      </c>
      <c r="Z996" s="40" t="s">
        <v>115</v>
      </c>
      <c r="AA996" s="40" t="s">
        <v>115</v>
      </c>
      <c r="AB996" s="40" t="s">
        <v>115</v>
      </c>
      <c r="AC996" s="40" t="s">
        <v>115</v>
      </c>
      <c r="AI996" s="40">
        <v>405</v>
      </c>
      <c r="AP996" s="4" t="s">
        <v>115</v>
      </c>
    </row>
    <row r="997" spans="1:42" x14ac:dyDescent="0.15">
      <c r="A997" s="40" t="s">
        <v>1</v>
      </c>
      <c r="B997" s="23">
        <v>90110223</v>
      </c>
      <c r="C997" s="23">
        <v>1102</v>
      </c>
      <c r="D997" s="23">
        <v>11</v>
      </c>
      <c r="F997" s="23" t="s">
        <v>116</v>
      </c>
      <c r="G997" s="23">
        <v>312</v>
      </c>
      <c r="H997" s="23" t="s">
        <v>2912</v>
      </c>
      <c r="I997" s="23">
        <v>0</v>
      </c>
      <c r="J997" s="40">
        <v>0</v>
      </c>
      <c r="K997" s="40">
        <v>0</v>
      </c>
      <c r="L997" s="40" t="s">
        <v>115</v>
      </c>
      <c r="O997" s="40" t="s">
        <v>115</v>
      </c>
      <c r="Q997" s="40">
        <v>185</v>
      </c>
      <c r="R997" s="40" t="s">
        <v>115</v>
      </c>
      <c r="X997" s="40">
        <v>90110224</v>
      </c>
      <c r="Y997" s="40" t="s">
        <v>115</v>
      </c>
      <c r="Z997" s="40" t="s">
        <v>115</v>
      </c>
      <c r="AA997" s="40" t="s">
        <v>115</v>
      </c>
      <c r="AB997" s="40" t="s">
        <v>115</v>
      </c>
      <c r="AC997" s="40" t="s">
        <v>115</v>
      </c>
      <c r="AI997" s="40">
        <v>403</v>
      </c>
      <c r="AP997" s="4" t="s">
        <v>115</v>
      </c>
    </row>
    <row r="998" spans="1:42" x14ac:dyDescent="0.15">
      <c r="A998" s="40" t="s">
        <v>1</v>
      </c>
      <c r="B998" s="23">
        <v>90110224</v>
      </c>
      <c r="C998" s="23">
        <v>1102</v>
      </c>
      <c r="D998" s="23">
        <v>11</v>
      </c>
      <c r="F998" s="23" t="s">
        <v>932</v>
      </c>
      <c r="G998" s="23" t="s">
        <v>115</v>
      </c>
      <c r="H998" s="23" t="s">
        <v>2913</v>
      </c>
      <c r="I998" s="23">
        <v>1</v>
      </c>
      <c r="J998" s="40">
        <v>0</v>
      </c>
      <c r="K998" s="40">
        <v>0</v>
      </c>
      <c r="L998" s="40" t="s">
        <v>115</v>
      </c>
      <c r="O998" s="40" t="s">
        <v>115</v>
      </c>
      <c r="Q998" s="40">
        <v>185</v>
      </c>
      <c r="R998" s="40" t="s">
        <v>115</v>
      </c>
      <c r="X998" s="40">
        <v>90110225</v>
      </c>
      <c r="Y998" s="40" t="s">
        <v>115</v>
      </c>
      <c r="Z998" s="40" t="s">
        <v>115</v>
      </c>
      <c r="AA998" s="40" t="s">
        <v>115</v>
      </c>
      <c r="AB998" s="40" t="s">
        <v>115</v>
      </c>
      <c r="AC998" s="40" t="s">
        <v>115</v>
      </c>
      <c r="AI998" s="40" t="s">
        <v>960</v>
      </c>
      <c r="AP998" s="4" t="s">
        <v>115</v>
      </c>
    </row>
    <row r="999" spans="1:42" x14ac:dyDescent="0.15">
      <c r="A999" s="40" t="s">
        <v>1</v>
      </c>
      <c r="B999" s="23">
        <v>90110225</v>
      </c>
      <c r="C999" s="23">
        <v>1102</v>
      </c>
      <c r="D999" s="23">
        <v>11</v>
      </c>
      <c r="F999" s="23" t="s">
        <v>116</v>
      </c>
      <c r="G999" s="23">
        <v>312</v>
      </c>
      <c r="H999" s="23" t="s">
        <v>2914</v>
      </c>
      <c r="I999" s="23">
        <v>0</v>
      </c>
      <c r="J999" s="40">
        <v>0</v>
      </c>
      <c r="K999" s="40">
        <v>0</v>
      </c>
      <c r="L999" s="40" t="s">
        <v>115</v>
      </c>
      <c r="O999" s="40" t="s">
        <v>115</v>
      </c>
      <c r="Q999" s="40">
        <v>185</v>
      </c>
      <c r="R999" s="40" t="s">
        <v>115</v>
      </c>
      <c r="X999" s="40">
        <v>90110226</v>
      </c>
      <c r="Y999" s="40" t="s">
        <v>115</v>
      </c>
      <c r="Z999" s="40" t="s">
        <v>115</v>
      </c>
      <c r="AA999" s="40" t="s">
        <v>115</v>
      </c>
      <c r="AB999" s="40" t="s">
        <v>115</v>
      </c>
      <c r="AC999" s="40" t="s">
        <v>115</v>
      </c>
      <c r="AI999" s="40">
        <v>403</v>
      </c>
      <c r="AP999" s="4" t="s">
        <v>115</v>
      </c>
    </row>
    <row r="1000" spans="1:42" x14ac:dyDescent="0.15">
      <c r="A1000" s="40" t="s">
        <v>1</v>
      </c>
      <c r="B1000" s="23">
        <v>90110226</v>
      </c>
      <c r="C1000" s="23">
        <v>1102</v>
      </c>
      <c r="D1000" s="23">
        <v>11</v>
      </c>
      <c r="F1000" s="23" t="s">
        <v>932</v>
      </c>
      <c r="G1000" s="23" t="s">
        <v>115</v>
      </c>
      <c r="H1000" s="23" t="s">
        <v>2915</v>
      </c>
      <c r="I1000" s="23">
        <v>1</v>
      </c>
      <c r="J1000" s="40">
        <v>0</v>
      </c>
      <c r="K1000" s="40">
        <v>0</v>
      </c>
      <c r="L1000" s="40" t="s">
        <v>115</v>
      </c>
      <c r="O1000" s="40" t="s">
        <v>115</v>
      </c>
      <c r="Q1000" s="40">
        <v>185</v>
      </c>
      <c r="R1000" s="40" t="s">
        <v>115</v>
      </c>
      <c r="X1000" s="40">
        <v>90110227</v>
      </c>
      <c r="Y1000" s="40" t="s">
        <v>115</v>
      </c>
      <c r="Z1000" s="40" t="s">
        <v>115</v>
      </c>
      <c r="AA1000" s="40" t="s">
        <v>115</v>
      </c>
      <c r="AB1000" s="40" t="s">
        <v>115</v>
      </c>
      <c r="AC1000" s="40" t="s">
        <v>115</v>
      </c>
      <c r="AI1000" s="40">
        <v>407</v>
      </c>
      <c r="AP1000" s="4" t="s">
        <v>115</v>
      </c>
    </row>
    <row r="1001" spans="1:42" x14ac:dyDescent="0.15">
      <c r="A1001" s="40" t="s">
        <v>1</v>
      </c>
      <c r="B1001" s="23">
        <v>90110227</v>
      </c>
      <c r="C1001" s="23">
        <v>1102</v>
      </c>
      <c r="D1001" s="23">
        <v>11</v>
      </c>
      <c r="F1001" s="23" t="s">
        <v>116</v>
      </c>
      <c r="G1001" s="23">
        <v>312</v>
      </c>
      <c r="H1001" s="23" t="s">
        <v>2916</v>
      </c>
      <c r="I1001" s="23">
        <v>0</v>
      </c>
      <c r="J1001" s="40">
        <v>0</v>
      </c>
      <c r="K1001" s="40">
        <v>0</v>
      </c>
      <c r="L1001" s="40" t="s">
        <v>115</v>
      </c>
      <c r="O1001" s="40" t="s">
        <v>115</v>
      </c>
      <c r="Q1001" s="40">
        <v>185</v>
      </c>
      <c r="R1001" s="40" t="s">
        <v>115</v>
      </c>
      <c r="X1001" s="40">
        <v>90110228</v>
      </c>
      <c r="Y1001" s="40" t="s">
        <v>115</v>
      </c>
      <c r="Z1001" s="40" t="s">
        <v>115</v>
      </c>
      <c r="AA1001" s="40" t="s">
        <v>115</v>
      </c>
      <c r="AB1001" s="40" t="s">
        <v>115</v>
      </c>
      <c r="AC1001" s="40" t="s">
        <v>115</v>
      </c>
      <c r="AI1001" s="40">
        <v>407</v>
      </c>
      <c r="AP1001" s="4" t="s">
        <v>115</v>
      </c>
    </row>
    <row r="1002" spans="1:42" x14ac:dyDescent="0.15">
      <c r="A1002" s="40" t="s">
        <v>1</v>
      </c>
      <c r="B1002" s="23">
        <v>90110228</v>
      </c>
      <c r="C1002" s="23">
        <v>1102</v>
      </c>
      <c r="D1002" s="23">
        <v>11</v>
      </c>
      <c r="F1002" s="23" t="s">
        <v>932</v>
      </c>
      <c r="G1002" s="23" t="s">
        <v>115</v>
      </c>
      <c r="H1002" s="23" t="s">
        <v>2917</v>
      </c>
      <c r="I1002" s="23">
        <v>1</v>
      </c>
      <c r="J1002" s="40">
        <v>0</v>
      </c>
      <c r="K1002" s="40">
        <v>0</v>
      </c>
      <c r="L1002" s="40" t="s">
        <v>115</v>
      </c>
      <c r="O1002" s="40" t="s">
        <v>115</v>
      </c>
      <c r="Q1002" s="40">
        <v>185</v>
      </c>
      <c r="R1002" s="40" t="s">
        <v>115</v>
      </c>
      <c r="X1002" s="40">
        <v>90110229</v>
      </c>
      <c r="Y1002" s="40" t="s">
        <v>115</v>
      </c>
      <c r="Z1002" s="40" t="s">
        <v>115</v>
      </c>
      <c r="AA1002" s="40" t="s">
        <v>115</v>
      </c>
      <c r="AB1002" s="40" t="s">
        <v>115</v>
      </c>
      <c r="AC1002" s="40" t="s">
        <v>115</v>
      </c>
      <c r="AI1002" s="40" t="s">
        <v>2918</v>
      </c>
      <c r="AP1002" s="4" t="s">
        <v>115</v>
      </c>
    </row>
    <row r="1003" spans="1:42" x14ac:dyDescent="0.15">
      <c r="A1003" s="40" t="s">
        <v>1</v>
      </c>
      <c r="B1003" s="23">
        <v>90110229</v>
      </c>
      <c r="C1003" s="23">
        <v>1102</v>
      </c>
      <c r="D1003" s="23">
        <v>11</v>
      </c>
      <c r="F1003" s="23" t="s">
        <v>116</v>
      </c>
      <c r="G1003" s="23">
        <v>317</v>
      </c>
      <c r="H1003" s="23" t="s">
        <v>2919</v>
      </c>
      <c r="I1003" s="23">
        <v>0</v>
      </c>
      <c r="J1003" s="40">
        <v>0</v>
      </c>
      <c r="K1003" s="40">
        <v>0</v>
      </c>
      <c r="L1003" s="40" t="s">
        <v>115</v>
      </c>
      <c r="O1003" s="40" t="s">
        <v>115</v>
      </c>
      <c r="Q1003" s="40">
        <v>185</v>
      </c>
      <c r="R1003" s="40" t="s">
        <v>115</v>
      </c>
      <c r="X1003" s="40">
        <v>90110230</v>
      </c>
      <c r="Y1003" s="40" t="s">
        <v>115</v>
      </c>
      <c r="Z1003" s="40" t="s">
        <v>115</v>
      </c>
      <c r="AA1003" s="40" t="s">
        <v>115</v>
      </c>
      <c r="AB1003" s="40" t="s">
        <v>115</v>
      </c>
      <c r="AC1003" s="40" t="s">
        <v>115</v>
      </c>
      <c r="AI1003" s="40">
        <v>400</v>
      </c>
      <c r="AP1003" s="4" t="s">
        <v>115</v>
      </c>
    </row>
    <row r="1004" spans="1:42" x14ac:dyDescent="0.15">
      <c r="A1004" s="40" t="s">
        <v>1</v>
      </c>
      <c r="B1004" s="23">
        <v>90110230</v>
      </c>
      <c r="C1004" s="23">
        <v>1102</v>
      </c>
      <c r="D1004" s="23">
        <v>11</v>
      </c>
      <c r="F1004" s="23" t="s">
        <v>932</v>
      </c>
      <c r="G1004" s="23" t="s">
        <v>115</v>
      </c>
      <c r="H1004" s="23" t="s">
        <v>2920</v>
      </c>
      <c r="I1004" s="23">
        <v>1</v>
      </c>
      <c r="J1004" s="40">
        <v>0</v>
      </c>
      <c r="K1004" s="40">
        <v>0</v>
      </c>
      <c r="L1004" s="40" t="s">
        <v>115</v>
      </c>
      <c r="O1004" s="40" t="s">
        <v>115</v>
      </c>
      <c r="Q1004" s="40">
        <v>185</v>
      </c>
      <c r="R1004" s="40" t="s">
        <v>115</v>
      </c>
      <c r="X1004" s="40">
        <v>90110231</v>
      </c>
      <c r="Y1004" s="40" t="s">
        <v>115</v>
      </c>
      <c r="Z1004" s="40" t="s">
        <v>115</v>
      </c>
      <c r="AA1004" s="40" t="s">
        <v>115</v>
      </c>
      <c r="AB1004" s="40" t="s">
        <v>115</v>
      </c>
      <c r="AC1004" s="40" t="s">
        <v>115</v>
      </c>
      <c r="AI1004" s="40" t="s">
        <v>1391</v>
      </c>
      <c r="AP1004" s="4" t="s">
        <v>115</v>
      </c>
    </row>
    <row r="1005" spans="1:42" x14ac:dyDescent="0.15">
      <c r="A1005" s="40" t="s">
        <v>1</v>
      </c>
      <c r="B1005" s="23">
        <v>90110231</v>
      </c>
      <c r="C1005" s="23">
        <v>1102</v>
      </c>
      <c r="D1005" s="23">
        <v>11</v>
      </c>
      <c r="F1005" s="23" t="s">
        <v>116</v>
      </c>
      <c r="G1005" s="23">
        <v>309</v>
      </c>
      <c r="H1005" s="23" t="s">
        <v>2921</v>
      </c>
      <c r="I1005" s="23">
        <v>0</v>
      </c>
      <c r="J1005" s="40">
        <v>0</v>
      </c>
      <c r="K1005" s="40">
        <v>0</v>
      </c>
      <c r="L1005" s="40" t="s">
        <v>115</v>
      </c>
      <c r="O1005" s="40" t="s">
        <v>115</v>
      </c>
      <c r="Q1005" s="40">
        <v>185</v>
      </c>
      <c r="R1005" s="40" t="s">
        <v>115</v>
      </c>
      <c r="X1005" s="40">
        <v>90110232</v>
      </c>
      <c r="Y1005" s="40" t="s">
        <v>115</v>
      </c>
      <c r="Z1005" s="40" t="s">
        <v>115</v>
      </c>
      <c r="AA1005" s="40" t="s">
        <v>115</v>
      </c>
      <c r="AB1005" s="40" t="s">
        <v>115</v>
      </c>
      <c r="AC1005" s="40" t="s">
        <v>115</v>
      </c>
      <c r="AI1005" s="40">
        <v>405</v>
      </c>
      <c r="AP1005" s="4" t="s">
        <v>115</v>
      </c>
    </row>
    <row r="1006" spans="1:42" x14ac:dyDescent="0.15">
      <c r="A1006" s="40" t="s">
        <v>1</v>
      </c>
      <c r="B1006" s="23">
        <v>90110232</v>
      </c>
      <c r="C1006" s="23">
        <v>1102</v>
      </c>
      <c r="D1006" s="23">
        <v>11</v>
      </c>
      <c r="F1006" s="23" t="s">
        <v>932</v>
      </c>
      <c r="G1006" s="23" t="s">
        <v>115</v>
      </c>
      <c r="H1006" s="23" t="s">
        <v>2922</v>
      </c>
      <c r="I1006" s="23">
        <v>1</v>
      </c>
      <c r="J1006" s="40">
        <v>0</v>
      </c>
      <c r="K1006" s="40">
        <v>0</v>
      </c>
      <c r="L1006" s="40" t="s">
        <v>115</v>
      </c>
      <c r="O1006" s="40" t="s">
        <v>115</v>
      </c>
      <c r="Q1006" s="40">
        <v>185</v>
      </c>
      <c r="R1006" s="40" t="s">
        <v>115</v>
      </c>
      <c r="X1006" s="40">
        <v>90110233</v>
      </c>
      <c r="Y1006" s="40" t="s">
        <v>115</v>
      </c>
      <c r="Z1006" s="40" t="s">
        <v>115</v>
      </c>
      <c r="AA1006" s="40" t="s">
        <v>115</v>
      </c>
      <c r="AB1006" s="40" t="s">
        <v>115</v>
      </c>
      <c r="AC1006" s="40" t="s">
        <v>115</v>
      </c>
      <c r="AI1006" s="40" t="s">
        <v>960</v>
      </c>
      <c r="AP1006" s="4" t="s">
        <v>115</v>
      </c>
    </row>
    <row r="1007" spans="1:42" x14ac:dyDescent="0.15">
      <c r="A1007" s="40" t="s">
        <v>1</v>
      </c>
      <c r="B1007" s="23">
        <v>90110233</v>
      </c>
      <c r="C1007" s="23">
        <v>1102</v>
      </c>
      <c r="D1007" s="23">
        <v>11</v>
      </c>
      <c r="F1007" s="23" t="s">
        <v>116</v>
      </c>
      <c r="G1007" s="23">
        <v>312</v>
      </c>
      <c r="H1007" s="23" t="s">
        <v>2923</v>
      </c>
      <c r="I1007" s="23">
        <v>0</v>
      </c>
      <c r="J1007" s="40">
        <v>0</v>
      </c>
      <c r="K1007" s="40">
        <v>5</v>
      </c>
      <c r="L1007" s="40" t="s">
        <v>115</v>
      </c>
      <c r="O1007" s="40">
        <v>1</v>
      </c>
      <c r="Q1007" s="40">
        <v>185</v>
      </c>
      <c r="R1007" s="40" t="s">
        <v>115</v>
      </c>
      <c r="X1007" s="40" t="s">
        <v>115</v>
      </c>
      <c r="Y1007" s="40" t="s">
        <v>115</v>
      </c>
      <c r="Z1007" s="40">
        <v>4</v>
      </c>
      <c r="AA1007" s="40" t="s">
        <v>115</v>
      </c>
      <c r="AB1007" s="40" t="s">
        <v>115</v>
      </c>
      <c r="AC1007" s="40" t="s">
        <v>115</v>
      </c>
      <c r="AI1007" s="40">
        <v>403</v>
      </c>
      <c r="AP1007" s="4" t="s">
        <v>2924</v>
      </c>
    </row>
    <row r="1008" spans="1:42" x14ac:dyDescent="0.15">
      <c r="A1008" s="40" t="s">
        <v>1</v>
      </c>
      <c r="B1008" s="23">
        <v>90110234</v>
      </c>
      <c r="C1008" s="23">
        <v>1102</v>
      </c>
      <c r="D1008" s="23">
        <v>11</v>
      </c>
      <c r="F1008" s="23" t="s">
        <v>116</v>
      </c>
      <c r="G1008" s="23">
        <v>308</v>
      </c>
      <c r="H1008" s="23" t="s">
        <v>2925</v>
      </c>
      <c r="I1008" s="23">
        <v>0</v>
      </c>
      <c r="J1008" s="40">
        <v>0</v>
      </c>
      <c r="K1008" s="40">
        <v>0</v>
      </c>
      <c r="L1008" s="40" t="s">
        <v>115</v>
      </c>
      <c r="O1008" s="40" t="s">
        <v>115</v>
      </c>
      <c r="Q1008" s="40">
        <v>185</v>
      </c>
      <c r="R1008" s="40" t="s">
        <v>115</v>
      </c>
      <c r="X1008" s="40">
        <v>90110205</v>
      </c>
      <c r="Y1008" s="40" t="s">
        <v>115</v>
      </c>
      <c r="Z1008" s="40" t="s">
        <v>115</v>
      </c>
      <c r="AA1008" s="40" t="s">
        <v>115</v>
      </c>
      <c r="AB1008" s="40" t="s">
        <v>115</v>
      </c>
      <c r="AC1008" s="40" t="s">
        <v>115</v>
      </c>
      <c r="AI1008" s="40" t="s">
        <v>115</v>
      </c>
      <c r="AP1008" s="4" t="s">
        <v>115</v>
      </c>
    </row>
    <row r="1009" spans="1:42" x14ac:dyDescent="0.15">
      <c r="A1009" s="40" t="s">
        <v>1</v>
      </c>
      <c r="B1009" s="23" t="s">
        <v>2809</v>
      </c>
      <c r="C1009" s="23">
        <v>1103</v>
      </c>
      <c r="D1009" s="23">
        <v>11</v>
      </c>
      <c r="F1009" s="23" t="s">
        <v>932</v>
      </c>
      <c r="G1009" s="23" t="s">
        <v>115</v>
      </c>
      <c r="H1009" s="23" t="s">
        <v>2926</v>
      </c>
      <c r="I1009" s="23">
        <v>1</v>
      </c>
      <c r="J1009" s="40">
        <v>1</v>
      </c>
      <c r="K1009" s="40">
        <v>1</v>
      </c>
      <c r="L1009" s="40" t="s">
        <v>115</v>
      </c>
      <c r="O1009" s="40" t="s">
        <v>115</v>
      </c>
      <c r="Q1009" s="40">
        <v>185</v>
      </c>
      <c r="R1009" s="40" t="s">
        <v>115</v>
      </c>
      <c r="X1009" s="40">
        <v>90110302</v>
      </c>
      <c r="Y1009" s="40" t="s">
        <v>115</v>
      </c>
      <c r="Z1009" s="40" t="s">
        <v>115</v>
      </c>
      <c r="AA1009" s="40" t="s">
        <v>115</v>
      </c>
      <c r="AB1009" s="40" t="s">
        <v>115</v>
      </c>
      <c r="AC1009" s="40" t="s">
        <v>115</v>
      </c>
      <c r="AI1009" s="40" t="s">
        <v>960</v>
      </c>
      <c r="AP1009" s="4" t="s">
        <v>115</v>
      </c>
    </row>
    <row r="1010" spans="1:42" x14ac:dyDescent="0.15">
      <c r="A1010" s="40" t="s">
        <v>1</v>
      </c>
      <c r="B1010" s="23">
        <v>90110302</v>
      </c>
      <c r="C1010" s="23">
        <v>1103</v>
      </c>
      <c r="D1010" s="23">
        <v>11</v>
      </c>
      <c r="F1010" s="23" t="s">
        <v>116</v>
      </c>
      <c r="G1010" s="23">
        <v>312</v>
      </c>
      <c r="H1010" s="23" t="s">
        <v>2927</v>
      </c>
      <c r="I1010" s="23">
        <v>0</v>
      </c>
      <c r="J1010" s="40">
        <v>0</v>
      </c>
      <c r="K1010" s="40">
        <v>0</v>
      </c>
      <c r="L1010" s="40" t="s">
        <v>115</v>
      </c>
      <c r="O1010" s="40" t="s">
        <v>115</v>
      </c>
      <c r="Q1010" s="40">
        <v>185</v>
      </c>
      <c r="R1010" s="40" t="s">
        <v>115</v>
      </c>
      <c r="X1010" s="40">
        <v>90110303</v>
      </c>
      <c r="Y1010" s="40" t="s">
        <v>115</v>
      </c>
      <c r="Z1010" s="40" t="s">
        <v>115</v>
      </c>
      <c r="AA1010" s="40" t="s">
        <v>115</v>
      </c>
      <c r="AB1010" s="40" t="s">
        <v>115</v>
      </c>
      <c r="AC1010" s="40" t="s">
        <v>115</v>
      </c>
      <c r="AI1010" s="40">
        <v>403</v>
      </c>
      <c r="AP1010" s="4" t="s">
        <v>115</v>
      </c>
    </row>
    <row r="1011" spans="1:42" x14ac:dyDescent="0.15">
      <c r="A1011" s="40" t="s">
        <v>1</v>
      </c>
      <c r="B1011" s="23">
        <v>90110303</v>
      </c>
      <c r="C1011" s="23">
        <v>1103</v>
      </c>
      <c r="D1011" s="23">
        <v>11</v>
      </c>
      <c r="F1011" s="23" t="s">
        <v>115</v>
      </c>
      <c r="G1011" s="23" t="s">
        <v>115</v>
      </c>
      <c r="H1011" s="23" t="s">
        <v>2928</v>
      </c>
      <c r="I1011" s="23">
        <v>4</v>
      </c>
      <c r="J1011" s="40">
        <v>0</v>
      </c>
      <c r="K1011" s="40">
        <v>0</v>
      </c>
      <c r="L1011" s="40" t="s">
        <v>115</v>
      </c>
      <c r="O1011" s="40" t="s">
        <v>115</v>
      </c>
      <c r="Q1011" s="40">
        <v>185</v>
      </c>
      <c r="R1011" s="40" t="s">
        <v>115</v>
      </c>
      <c r="X1011" s="40">
        <v>90110304</v>
      </c>
      <c r="Y1011" s="40" t="s">
        <v>115</v>
      </c>
      <c r="Z1011" s="40" t="s">
        <v>115</v>
      </c>
      <c r="AA1011" s="40" t="s">
        <v>115</v>
      </c>
      <c r="AB1011" s="40" t="s">
        <v>115</v>
      </c>
      <c r="AC1011" s="40" t="s">
        <v>115</v>
      </c>
      <c r="AI1011" s="40" t="s">
        <v>115</v>
      </c>
      <c r="AP1011" s="4" t="s">
        <v>115</v>
      </c>
    </row>
    <row r="1012" spans="1:42" x14ac:dyDescent="0.15">
      <c r="A1012" s="40" t="s">
        <v>1</v>
      </c>
      <c r="B1012" s="23">
        <v>90110304</v>
      </c>
      <c r="C1012" s="23">
        <v>1103</v>
      </c>
      <c r="D1012" s="23">
        <v>11</v>
      </c>
      <c r="F1012" s="23" t="s">
        <v>116</v>
      </c>
      <c r="G1012" s="23">
        <v>309</v>
      </c>
      <c r="H1012" s="23" t="s">
        <v>2929</v>
      </c>
      <c r="I1012" s="23">
        <v>0</v>
      </c>
      <c r="J1012" s="40">
        <v>0</v>
      </c>
      <c r="K1012" s="40">
        <v>0</v>
      </c>
      <c r="L1012" s="40" t="s">
        <v>115</v>
      </c>
      <c r="O1012" s="40" t="s">
        <v>115</v>
      </c>
      <c r="Q1012" s="40">
        <v>185</v>
      </c>
      <c r="R1012" s="40" t="s">
        <v>115</v>
      </c>
      <c r="X1012" s="40">
        <v>90110305</v>
      </c>
      <c r="Y1012" s="40" t="s">
        <v>115</v>
      </c>
      <c r="Z1012" s="40" t="s">
        <v>115</v>
      </c>
      <c r="AA1012" s="40" t="s">
        <v>115</v>
      </c>
      <c r="AB1012" s="40" t="s">
        <v>115</v>
      </c>
      <c r="AC1012" s="40" t="s">
        <v>115</v>
      </c>
      <c r="AI1012" s="40" t="s">
        <v>115</v>
      </c>
      <c r="AP1012" s="4" t="s">
        <v>115</v>
      </c>
    </row>
    <row r="1013" spans="1:42" x14ac:dyDescent="0.15">
      <c r="A1013" s="40" t="s">
        <v>1</v>
      </c>
      <c r="B1013" s="23">
        <v>90110305</v>
      </c>
      <c r="C1013" s="23">
        <v>1103</v>
      </c>
      <c r="D1013" s="23">
        <v>11</v>
      </c>
      <c r="F1013" s="23" t="s">
        <v>932</v>
      </c>
      <c r="G1013" s="23" t="s">
        <v>115</v>
      </c>
      <c r="H1013" s="23" t="s">
        <v>2930</v>
      </c>
      <c r="I1013" s="23">
        <v>1</v>
      </c>
      <c r="J1013" s="40">
        <v>0</v>
      </c>
      <c r="K1013" s="40">
        <v>0</v>
      </c>
      <c r="L1013" s="40" t="s">
        <v>115</v>
      </c>
      <c r="O1013" s="40" t="s">
        <v>115</v>
      </c>
      <c r="Q1013" s="40">
        <v>185</v>
      </c>
      <c r="R1013" s="40" t="s">
        <v>115</v>
      </c>
      <c r="X1013" s="40">
        <v>90110306</v>
      </c>
      <c r="Y1013" s="40" t="s">
        <v>115</v>
      </c>
      <c r="Z1013" s="40" t="s">
        <v>115</v>
      </c>
      <c r="AA1013" s="40" t="s">
        <v>115</v>
      </c>
      <c r="AB1013" s="40" t="s">
        <v>115</v>
      </c>
      <c r="AC1013" s="40" t="s">
        <v>115</v>
      </c>
      <c r="AI1013" s="40" t="s">
        <v>1391</v>
      </c>
      <c r="AP1013" s="4" t="s">
        <v>115</v>
      </c>
    </row>
    <row r="1014" spans="1:42" x14ac:dyDescent="0.15">
      <c r="A1014" s="40" t="s">
        <v>1</v>
      </c>
      <c r="B1014" s="23">
        <v>90110306</v>
      </c>
      <c r="C1014" s="23">
        <v>1103</v>
      </c>
      <c r="D1014" s="23">
        <v>11</v>
      </c>
      <c r="F1014" s="23" t="s">
        <v>116</v>
      </c>
      <c r="G1014" s="23">
        <v>317</v>
      </c>
      <c r="H1014" s="23" t="s">
        <v>2931</v>
      </c>
      <c r="I1014" s="23">
        <v>0</v>
      </c>
      <c r="J1014" s="40">
        <v>0</v>
      </c>
      <c r="K1014" s="40">
        <v>0</v>
      </c>
      <c r="L1014" s="40" t="s">
        <v>115</v>
      </c>
      <c r="O1014" s="40" t="s">
        <v>115</v>
      </c>
      <c r="Q1014" s="40">
        <v>185</v>
      </c>
      <c r="R1014" s="40" t="s">
        <v>115</v>
      </c>
      <c r="X1014" s="40">
        <v>90110307</v>
      </c>
      <c r="Y1014" s="40" t="s">
        <v>115</v>
      </c>
      <c r="Z1014" s="40" t="s">
        <v>115</v>
      </c>
      <c r="AA1014" s="40" t="s">
        <v>115</v>
      </c>
      <c r="AB1014" s="40" t="s">
        <v>115</v>
      </c>
      <c r="AC1014" s="40" t="s">
        <v>115</v>
      </c>
      <c r="AI1014" s="40">
        <v>405</v>
      </c>
      <c r="AP1014" s="4" t="s">
        <v>115</v>
      </c>
    </row>
    <row r="1015" spans="1:42" x14ac:dyDescent="0.15">
      <c r="A1015" s="40" t="s">
        <v>1</v>
      </c>
      <c r="B1015" s="23">
        <v>90110307</v>
      </c>
      <c r="C1015" s="23">
        <v>1103</v>
      </c>
      <c r="D1015" s="23">
        <v>11</v>
      </c>
      <c r="F1015" s="23" t="s">
        <v>115</v>
      </c>
      <c r="G1015" s="23" t="s">
        <v>115</v>
      </c>
      <c r="H1015" s="23" t="s">
        <v>2932</v>
      </c>
      <c r="I1015" s="23">
        <v>4</v>
      </c>
      <c r="J1015" s="40">
        <v>0</v>
      </c>
      <c r="K1015" s="40">
        <v>2</v>
      </c>
      <c r="L1015" s="40" t="s">
        <v>115</v>
      </c>
      <c r="O1015" s="40" t="s">
        <v>115</v>
      </c>
      <c r="Q1015" s="40">
        <v>185</v>
      </c>
      <c r="R1015" s="40" t="s">
        <v>115</v>
      </c>
      <c r="X1015" s="40" t="s">
        <v>2933</v>
      </c>
      <c r="Y1015" s="40">
        <v>1</v>
      </c>
      <c r="Z1015" s="40">
        <v>1</v>
      </c>
      <c r="AA1015" s="40" t="s">
        <v>115</v>
      </c>
      <c r="AB1015" s="40" t="s">
        <v>115</v>
      </c>
      <c r="AC1015" s="40" t="s">
        <v>115</v>
      </c>
      <c r="AI1015" s="40">
        <v>405</v>
      </c>
      <c r="AP1015" s="4" t="s">
        <v>115</v>
      </c>
    </row>
    <row r="1016" spans="1:42" x14ac:dyDescent="0.15">
      <c r="A1016" s="40" t="s">
        <v>1</v>
      </c>
      <c r="B1016" s="23">
        <v>90110308</v>
      </c>
      <c r="C1016" s="23">
        <v>1103</v>
      </c>
      <c r="D1016" s="23">
        <v>11</v>
      </c>
      <c r="F1016" s="23" t="s">
        <v>115</v>
      </c>
      <c r="G1016" s="23" t="s">
        <v>115</v>
      </c>
      <c r="H1016" s="23" t="s">
        <v>2934</v>
      </c>
      <c r="I1016" s="23">
        <v>4</v>
      </c>
      <c r="J1016" s="40">
        <v>0</v>
      </c>
      <c r="K1016" s="40">
        <v>3</v>
      </c>
      <c r="L1016" s="40" t="s">
        <v>115</v>
      </c>
      <c r="O1016" s="40" t="s">
        <v>115</v>
      </c>
      <c r="Q1016" s="40">
        <v>185</v>
      </c>
      <c r="R1016" s="40" t="s">
        <v>115</v>
      </c>
      <c r="X1016" s="40">
        <v>90110310</v>
      </c>
      <c r="Y1016" s="40">
        <v>-1</v>
      </c>
      <c r="Z1016" s="40">
        <v>2</v>
      </c>
      <c r="AA1016" s="40" t="s">
        <v>115</v>
      </c>
      <c r="AB1016" s="40" t="s">
        <v>115</v>
      </c>
      <c r="AC1016" s="40" t="s">
        <v>115</v>
      </c>
      <c r="AI1016" s="40">
        <v>405</v>
      </c>
      <c r="AP1016" s="4" t="s">
        <v>115</v>
      </c>
    </row>
    <row r="1017" spans="1:42" x14ac:dyDescent="0.15">
      <c r="A1017" s="40" t="s">
        <v>1</v>
      </c>
      <c r="B1017" s="23">
        <v>90110309</v>
      </c>
      <c r="C1017" s="23">
        <v>1103</v>
      </c>
      <c r="D1017" s="23">
        <v>11</v>
      </c>
      <c r="F1017" s="23" t="s">
        <v>115</v>
      </c>
      <c r="G1017" s="23" t="s">
        <v>115</v>
      </c>
      <c r="H1017" s="23" t="s">
        <v>2935</v>
      </c>
      <c r="I1017" s="23">
        <v>4</v>
      </c>
      <c r="J1017" s="40">
        <v>0</v>
      </c>
      <c r="K1017" s="40">
        <v>4</v>
      </c>
      <c r="L1017" s="40" t="s">
        <v>115</v>
      </c>
      <c r="O1017" s="40" t="s">
        <v>115</v>
      </c>
      <c r="Q1017" s="40">
        <v>185</v>
      </c>
      <c r="R1017" s="40" t="s">
        <v>115</v>
      </c>
      <c r="X1017" s="40">
        <v>90110312</v>
      </c>
      <c r="Y1017" s="40">
        <v>-1</v>
      </c>
      <c r="Z1017" s="40">
        <v>2</v>
      </c>
      <c r="AA1017" s="40" t="s">
        <v>115</v>
      </c>
      <c r="AB1017" s="40" t="s">
        <v>115</v>
      </c>
      <c r="AC1017" s="40" t="s">
        <v>2936</v>
      </c>
      <c r="AI1017" s="40">
        <v>405</v>
      </c>
      <c r="AP1017" s="4" t="s">
        <v>115</v>
      </c>
    </row>
    <row r="1018" spans="1:42" x14ac:dyDescent="0.15">
      <c r="A1018" s="40" t="s">
        <v>1</v>
      </c>
      <c r="B1018" s="23">
        <v>90110310</v>
      </c>
      <c r="C1018" s="23">
        <v>1103</v>
      </c>
      <c r="D1018" s="23">
        <v>11</v>
      </c>
      <c r="F1018" s="23" t="s">
        <v>116</v>
      </c>
      <c r="G1018" s="23">
        <v>312</v>
      </c>
      <c r="H1018" s="23" t="s">
        <v>2937</v>
      </c>
      <c r="I1018" s="23">
        <v>0</v>
      </c>
      <c r="J1018" s="40">
        <v>0</v>
      </c>
      <c r="K1018" s="40">
        <v>0</v>
      </c>
      <c r="L1018" s="40" t="s">
        <v>115</v>
      </c>
      <c r="O1018" s="40" t="s">
        <v>115</v>
      </c>
      <c r="Q1018" s="40">
        <v>185</v>
      </c>
      <c r="R1018" s="40" t="s">
        <v>115</v>
      </c>
      <c r="X1018" s="40">
        <v>90110311</v>
      </c>
      <c r="Y1018" s="40" t="s">
        <v>115</v>
      </c>
      <c r="Z1018" s="40" t="s">
        <v>115</v>
      </c>
      <c r="AA1018" s="40" t="s">
        <v>115</v>
      </c>
      <c r="AB1018" s="40" t="s">
        <v>115</v>
      </c>
      <c r="AC1018" s="40" t="s">
        <v>115</v>
      </c>
      <c r="AI1018" s="40">
        <v>405</v>
      </c>
      <c r="AP1018" s="4" t="s">
        <v>115</v>
      </c>
    </row>
    <row r="1019" spans="1:42" x14ac:dyDescent="0.15">
      <c r="A1019" s="40" t="s">
        <v>1</v>
      </c>
      <c r="B1019" s="23">
        <v>90110311</v>
      </c>
      <c r="C1019" s="23">
        <v>1103</v>
      </c>
      <c r="D1019" s="23">
        <v>11</v>
      </c>
      <c r="F1019" s="23" t="s">
        <v>116</v>
      </c>
      <c r="G1019" s="23">
        <v>312</v>
      </c>
      <c r="H1019" s="23" t="s">
        <v>2938</v>
      </c>
      <c r="I1019" s="23">
        <v>0</v>
      </c>
      <c r="J1019" s="40">
        <v>0</v>
      </c>
      <c r="K1019" s="40">
        <v>0</v>
      </c>
      <c r="L1019" s="40" t="s">
        <v>115</v>
      </c>
      <c r="O1019" s="40" t="s">
        <v>115</v>
      </c>
      <c r="Q1019" s="40">
        <v>185</v>
      </c>
      <c r="R1019" s="40" t="s">
        <v>115</v>
      </c>
      <c r="X1019" s="40">
        <v>90110307</v>
      </c>
      <c r="Y1019" s="40" t="s">
        <v>115</v>
      </c>
      <c r="Z1019" s="40" t="s">
        <v>115</v>
      </c>
      <c r="AA1019" s="40" t="s">
        <v>115</v>
      </c>
      <c r="AB1019" s="40" t="s">
        <v>115</v>
      </c>
      <c r="AC1019" s="40" t="s">
        <v>115</v>
      </c>
      <c r="AI1019" s="40">
        <v>405</v>
      </c>
      <c r="AP1019" s="4" t="s">
        <v>115</v>
      </c>
    </row>
    <row r="1020" spans="1:42" x14ac:dyDescent="0.15">
      <c r="A1020" s="40" t="s">
        <v>1</v>
      </c>
      <c r="B1020" s="23">
        <v>90110312</v>
      </c>
      <c r="C1020" s="23">
        <v>1103</v>
      </c>
      <c r="D1020" s="23">
        <v>11</v>
      </c>
      <c r="F1020" s="23" t="s">
        <v>116</v>
      </c>
      <c r="G1020" s="23">
        <v>312</v>
      </c>
      <c r="H1020" s="23" t="s">
        <v>2939</v>
      </c>
      <c r="I1020" s="23">
        <v>0</v>
      </c>
      <c r="J1020" s="40">
        <v>0</v>
      </c>
      <c r="K1020" s="40">
        <v>0</v>
      </c>
      <c r="L1020" s="40" t="s">
        <v>115</v>
      </c>
      <c r="O1020" s="40" t="s">
        <v>115</v>
      </c>
      <c r="Q1020" s="40">
        <v>185</v>
      </c>
      <c r="R1020" s="40" t="s">
        <v>115</v>
      </c>
      <c r="X1020" s="40">
        <v>90110313</v>
      </c>
      <c r="Y1020" s="40" t="s">
        <v>115</v>
      </c>
      <c r="Z1020" s="40" t="s">
        <v>115</v>
      </c>
      <c r="AA1020" s="40" t="s">
        <v>115</v>
      </c>
      <c r="AB1020" s="40" t="s">
        <v>115</v>
      </c>
      <c r="AC1020" s="40" t="s">
        <v>115</v>
      </c>
      <c r="AI1020" s="40">
        <v>405</v>
      </c>
      <c r="AP1020" s="4" t="s">
        <v>115</v>
      </c>
    </row>
    <row r="1021" spans="1:42" x14ac:dyDescent="0.15">
      <c r="A1021" s="40" t="s">
        <v>1</v>
      </c>
      <c r="B1021" s="23">
        <v>90110313</v>
      </c>
      <c r="C1021" s="23">
        <v>1103</v>
      </c>
      <c r="D1021" s="23">
        <v>11</v>
      </c>
      <c r="F1021" s="23" t="s">
        <v>932</v>
      </c>
      <c r="G1021" s="23" t="s">
        <v>115</v>
      </c>
      <c r="H1021" s="23" t="s">
        <v>338</v>
      </c>
      <c r="I1021" s="23">
        <v>1</v>
      </c>
      <c r="J1021" s="40">
        <v>0</v>
      </c>
      <c r="K1021" s="40">
        <v>0</v>
      </c>
      <c r="L1021" s="40" t="s">
        <v>115</v>
      </c>
      <c r="O1021" s="40" t="s">
        <v>115</v>
      </c>
      <c r="Q1021" s="40">
        <v>185</v>
      </c>
      <c r="R1021" s="40" t="s">
        <v>115</v>
      </c>
      <c r="X1021" s="40">
        <v>90110314</v>
      </c>
      <c r="Y1021" s="40" t="s">
        <v>115</v>
      </c>
      <c r="Z1021" s="40" t="s">
        <v>115</v>
      </c>
      <c r="AA1021" s="40" t="s">
        <v>115</v>
      </c>
      <c r="AB1021" s="40" t="s">
        <v>115</v>
      </c>
      <c r="AC1021" s="40" t="s">
        <v>115</v>
      </c>
      <c r="AI1021" s="40">
        <v>407</v>
      </c>
      <c r="AP1021" s="4" t="s">
        <v>115</v>
      </c>
    </row>
    <row r="1022" spans="1:42" x14ac:dyDescent="0.15">
      <c r="A1022" s="40" t="s">
        <v>1</v>
      </c>
      <c r="B1022" s="23">
        <v>90110314</v>
      </c>
      <c r="C1022" s="23">
        <v>1103</v>
      </c>
      <c r="D1022" s="23">
        <v>11</v>
      </c>
      <c r="F1022" s="23" t="s">
        <v>116</v>
      </c>
      <c r="G1022" s="23">
        <v>312</v>
      </c>
      <c r="H1022" s="23" t="s">
        <v>2940</v>
      </c>
      <c r="I1022" s="23">
        <v>0</v>
      </c>
      <c r="J1022" s="40">
        <v>0</v>
      </c>
      <c r="K1022" s="40">
        <v>0</v>
      </c>
      <c r="L1022" s="40" t="s">
        <v>115</v>
      </c>
      <c r="O1022" s="40" t="s">
        <v>115</v>
      </c>
      <c r="Q1022" s="40">
        <v>185</v>
      </c>
      <c r="R1022" s="40" t="s">
        <v>115</v>
      </c>
      <c r="X1022" s="40">
        <v>90110315</v>
      </c>
      <c r="Y1022" s="40" t="s">
        <v>115</v>
      </c>
      <c r="Z1022" s="40" t="s">
        <v>115</v>
      </c>
      <c r="AA1022" s="40" t="s">
        <v>115</v>
      </c>
      <c r="AB1022" s="40" t="s">
        <v>115</v>
      </c>
      <c r="AC1022" s="40" t="s">
        <v>115</v>
      </c>
      <c r="AI1022" s="40">
        <v>407</v>
      </c>
      <c r="AP1022" s="4" t="s">
        <v>115</v>
      </c>
    </row>
    <row r="1023" spans="1:42" x14ac:dyDescent="0.15">
      <c r="A1023" s="40" t="s">
        <v>1</v>
      </c>
      <c r="B1023" s="23">
        <v>90110315</v>
      </c>
      <c r="C1023" s="23">
        <v>1103</v>
      </c>
      <c r="D1023" s="23">
        <v>11</v>
      </c>
      <c r="F1023" s="23" t="s">
        <v>932</v>
      </c>
      <c r="G1023" s="23" t="s">
        <v>115</v>
      </c>
      <c r="H1023" s="23" t="s">
        <v>338</v>
      </c>
      <c r="I1023" s="23">
        <v>1</v>
      </c>
      <c r="J1023" s="40">
        <v>0</v>
      </c>
      <c r="K1023" s="40">
        <v>0</v>
      </c>
      <c r="L1023" s="40" t="s">
        <v>115</v>
      </c>
      <c r="O1023" s="40" t="s">
        <v>115</v>
      </c>
      <c r="Q1023" s="40">
        <v>185</v>
      </c>
      <c r="R1023" s="40" t="s">
        <v>115</v>
      </c>
      <c r="X1023" s="40">
        <v>90110316</v>
      </c>
      <c r="Y1023" s="40" t="s">
        <v>115</v>
      </c>
      <c r="Z1023" s="40" t="s">
        <v>115</v>
      </c>
      <c r="AA1023" s="40" t="s">
        <v>115</v>
      </c>
      <c r="AB1023" s="40" t="s">
        <v>115</v>
      </c>
      <c r="AC1023" s="40" t="s">
        <v>115</v>
      </c>
      <c r="AI1023" s="40">
        <v>407</v>
      </c>
      <c r="AP1023" s="4" t="s">
        <v>115</v>
      </c>
    </row>
    <row r="1024" spans="1:42" x14ac:dyDescent="0.15">
      <c r="A1024" s="40" t="s">
        <v>1</v>
      </c>
      <c r="B1024" s="23">
        <v>90110316</v>
      </c>
      <c r="C1024" s="23">
        <v>1103</v>
      </c>
      <c r="D1024" s="23">
        <v>11</v>
      </c>
      <c r="F1024" s="23" t="s">
        <v>116</v>
      </c>
      <c r="G1024" s="23">
        <v>309</v>
      </c>
      <c r="H1024" s="23" t="s">
        <v>2941</v>
      </c>
      <c r="I1024" s="23">
        <v>0</v>
      </c>
      <c r="J1024" s="40">
        <v>0</v>
      </c>
      <c r="K1024" s="40">
        <v>0</v>
      </c>
      <c r="L1024" s="40" t="s">
        <v>115</v>
      </c>
      <c r="O1024" s="40" t="s">
        <v>115</v>
      </c>
      <c r="Q1024" s="40">
        <v>185</v>
      </c>
      <c r="R1024" s="40" t="s">
        <v>115</v>
      </c>
      <c r="X1024" s="40">
        <v>90110317</v>
      </c>
      <c r="Y1024" s="40" t="s">
        <v>115</v>
      </c>
      <c r="Z1024" s="40" t="s">
        <v>115</v>
      </c>
      <c r="AA1024" s="40" t="s">
        <v>115</v>
      </c>
      <c r="AB1024" s="40" t="s">
        <v>115</v>
      </c>
      <c r="AC1024" s="40" t="s">
        <v>115</v>
      </c>
      <c r="AI1024" s="40">
        <v>407</v>
      </c>
      <c r="AP1024" s="4" t="s">
        <v>115</v>
      </c>
    </row>
    <row r="1025" spans="1:42" x14ac:dyDescent="0.15">
      <c r="A1025" s="40" t="s">
        <v>1</v>
      </c>
      <c r="B1025" s="23">
        <v>90110317</v>
      </c>
      <c r="C1025" s="23">
        <v>1103</v>
      </c>
      <c r="D1025" s="23">
        <v>11</v>
      </c>
      <c r="F1025" s="23" t="s">
        <v>932</v>
      </c>
      <c r="G1025" s="23" t="s">
        <v>115</v>
      </c>
      <c r="H1025" s="23" t="s">
        <v>2942</v>
      </c>
      <c r="I1025" s="23">
        <v>1</v>
      </c>
      <c r="J1025" s="40">
        <v>0</v>
      </c>
      <c r="K1025" s="40">
        <v>0</v>
      </c>
      <c r="L1025" s="40" t="s">
        <v>115</v>
      </c>
      <c r="O1025" s="40" t="s">
        <v>115</v>
      </c>
      <c r="Q1025" s="40">
        <v>185</v>
      </c>
      <c r="R1025" s="40" t="s">
        <v>115</v>
      </c>
      <c r="X1025" s="40">
        <v>90110318</v>
      </c>
      <c r="Y1025" s="40" t="s">
        <v>115</v>
      </c>
      <c r="Z1025" s="40" t="s">
        <v>115</v>
      </c>
      <c r="AA1025" s="40" t="s">
        <v>115</v>
      </c>
      <c r="AB1025" s="40" t="s">
        <v>115</v>
      </c>
      <c r="AC1025" s="40" t="s">
        <v>115</v>
      </c>
      <c r="AI1025" s="40">
        <v>407</v>
      </c>
      <c r="AP1025" s="4" t="s">
        <v>115</v>
      </c>
    </row>
    <row r="1026" spans="1:42" x14ac:dyDescent="0.15">
      <c r="A1026" s="40" t="s">
        <v>1</v>
      </c>
      <c r="B1026" s="23">
        <v>90110318</v>
      </c>
      <c r="C1026" s="23">
        <v>1103</v>
      </c>
      <c r="D1026" s="23">
        <v>11</v>
      </c>
      <c r="F1026" s="23" t="s">
        <v>932</v>
      </c>
      <c r="G1026" s="23" t="s">
        <v>115</v>
      </c>
      <c r="H1026" s="23" t="s">
        <v>2943</v>
      </c>
      <c r="I1026" s="23">
        <v>1</v>
      </c>
      <c r="J1026" s="40">
        <v>0</v>
      </c>
      <c r="K1026" s="40">
        <v>0</v>
      </c>
      <c r="L1026" s="40" t="s">
        <v>115</v>
      </c>
      <c r="O1026" s="40" t="s">
        <v>115</v>
      </c>
      <c r="Q1026" s="40">
        <v>185</v>
      </c>
      <c r="R1026" s="40" t="s">
        <v>115</v>
      </c>
      <c r="X1026" s="40">
        <v>90110319</v>
      </c>
      <c r="Y1026" s="40" t="s">
        <v>115</v>
      </c>
      <c r="Z1026" s="40" t="s">
        <v>115</v>
      </c>
      <c r="AA1026" s="40" t="s">
        <v>115</v>
      </c>
      <c r="AB1026" s="40" t="s">
        <v>115</v>
      </c>
      <c r="AC1026" s="40" t="s">
        <v>115</v>
      </c>
      <c r="AI1026" s="40">
        <v>407</v>
      </c>
      <c r="AP1026" s="4" t="s">
        <v>115</v>
      </c>
    </row>
    <row r="1027" spans="1:42" x14ac:dyDescent="0.15">
      <c r="A1027" s="40" t="s">
        <v>1</v>
      </c>
      <c r="B1027" s="23">
        <v>90110319</v>
      </c>
      <c r="C1027" s="23">
        <v>1103</v>
      </c>
      <c r="D1027" s="23">
        <v>11</v>
      </c>
      <c r="F1027" s="23" t="s">
        <v>115</v>
      </c>
      <c r="G1027" s="23" t="s">
        <v>115</v>
      </c>
      <c r="H1027" s="23" t="s">
        <v>2944</v>
      </c>
      <c r="I1027" s="23">
        <v>4</v>
      </c>
      <c r="J1027" s="40">
        <v>0</v>
      </c>
      <c r="K1027" s="40">
        <v>0</v>
      </c>
      <c r="L1027" s="40" t="s">
        <v>115</v>
      </c>
      <c r="O1027" s="40" t="s">
        <v>115</v>
      </c>
      <c r="Q1027" s="40">
        <v>185</v>
      </c>
      <c r="R1027" s="40" t="s">
        <v>115</v>
      </c>
      <c r="X1027" s="40">
        <v>90110320</v>
      </c>
      <c r="Y1027" s="40" t="s">
        <v>115</v>
      </c>
      <c r="Z1027" s="40" t="s">
        <v>115</v>
      </c>
      <c r="AA1027" s="40" t="s">
        <v>115</v>
      </c>
      <c r="AB1027" s="40" t="s">
        <v>115</v>
      </c>
      <c r="AC1027" s="40" t="s">
        <v>115</v>
      </c>
      <c r="AI1027" s="40">
        <v>407</v>
      </c>
      <c r="AP1027" s="4" t="s">
        <v>115</v>
      </c>
    </row>
    <row r="1028" spans="1:42" x14ac:dyDescent="0.15">
      <c r="A1028" s="40" t="s">
        <v>1</v>
      </c>
      <c r="B1028" s="23">
        <v>90110320</v>
      </c>
      <c r="C1028" s="23">
        <v>1103</v>
      </c>
      <c r="D1028" s="23">
        <v>11</v>
      </c>
      <c r="F1028" s="23" t="s">
        <v>932</v>
      </c>
      <c r="G1028" s="23" t="s">
        <v>115</v>
      </c>
      <c r="H1028" s="23" t="s">
        <v>2945</v>
      </c>
      <c r="I1028" s="23">
        <v>1</v>
      </c>
      <c r="J1028" s="40">
        <v>0</v>
      </c>
      <c r="K1028" s="40">
        <v>0</v>
      </c>
      <c r="L1028" s="40" t="s">
        <v>115</v>
      </c>
      <c r="O1028" s="40" t="s">
        <v>115</v>
      </c>
      <c r="Q1028" s="40">
        <v>185</v>
      </c>
      <c r="R1028" s="40" t="s">
        <v>115</v>
      </c>
      <c r="X1028" s="40">
        <v>90110321</v>
      </c>
      <c r="Y1028" s="40" t="s">
        <v>115</v>
      </c>
      <c r="Z1028" s="40" t="s">
        <v>115</v>
      </c>
      <c r="AA1028" s="40" t="s">
        <v>115</v>
      </c>
      <c r="AB1028" s="40" t="s">
        <v>115</v>
      </c>
      <c r="AC1028" s="40" t="s">
        <v>115</v>
      </c>
      <c r="AI1028" s="40">
        <v>407</v>
      </c>
      <c r="AP1028" s="4" t="s">
        <v>115</v>
      </c>
    </row>
    <row r="1029" spans="1:42" x14ac:dyDescent="0.15">
      <c r="A1029" s="40" t="s">
        <v>1</v>
      </c>
      <c r="B1029" s="23">
        <v>90110321</v>
      </c>
      <c r="C1029" s="23">
        <v>1103</v>
      </c>
      <c r="D1029" s="23">
        <v>11</v>
      </c>
      <c r="F1029" s="23" t="s">
        <v>115</v>
      </c>
      <c r="G1029" s="23" t="s">
        <v>115</v>
      </c>
      <c r="H1029" s="23" t="s">
        <v>2946</v>
      </c>
      <c r="I1029" s="23">
        <v>4</v>
      </c>
      <c r="J1029" s="40">
        <v>0</v>
      </c>
      <c r="K1029" s="40">
        <v>0</v>
      </c>
      <c r="L1029" s="40" t="s">
        <v>115</v>
      </c>
      <c r="O1029" s="40" t="s">
        <v>115</v>
      </c>
      <c r="Q1029" s="40">
        <v>185</v>
      </c>
      <c r="R1029" s="40" t="s">
        <v>115</v>
      </c>
      <c r="X1029" s="40">
        <v>90110322</v>
      </c>
      <c r="Y1029" s="40" t="s">
        <v>115</v>
      </c>
      <c r="Z1029" s="40" t="s">
        <v>115</v>
      </c>
      <c r="AA1029" s="40" t="s">
        <v>115</v>
      </c>
      <c r="AB1029" s="40" t="s">
        <v>115</v>
      </c>
      <c r="AC1029" s="40" t="s">
        <v>115</v>
      </c>
      <c r="AI1029" s="40" t="s">
        <v>115</v>
      </c>
      <c r="AP1029" s="4" t="s">
        <v>115</v>
      </c>
    </row>
    <row r="1030" spans="1:42" x14ac:dyDescent="0.15">
      <c r="A1030" s="40" t="s">
        <v>1</v>
      </c>
      <c r="B1030" s="23">
        <v>90110322</v>
      </c>
      <c r="C1030" s="23">
        <v>1103</v>
      </c>
      <c r="D1030" s="23">
        <v>11</v>
      </c>
      <c r="F1030" s="23" t="s">
        <v>116</v>
      </c>
      <c r="G1030" s="23">
        <v>317</v>
      </c>
      <c r="H1030" s="23" t="s">
        <v>2847</v>
      </c>
      <c r="I1030" s="23">
        <v>0</v>
      </c>
      <c r="J1030" s="40">
        <v>0</v>
      </c>
      <c r="K1030" s="40">
        <v>0</v>
      </c>
      <c r="L1030" s="40" t="s">
        <v>115</v>
      </c>
      <c r="O1030" s="40" t="s">
        <v>115</v>
      </c>
      <c r="Q1030" s="40">
        <v>185</v>
      </c>
      <c r="R1030" s="40" t="s">
        <v>115</v>
      </c>
      <c r="X1030" s="40">
        <v>90110323</v>
      </c>
      <c r="Y1030" s="40" t="s">
        <v>115</v>
      </c>
      <c r="Z1030" s="40" t="s">
        <v>115</v>
      </c>
      <c r="AA1030" s="40" t="s">
        <v>115</v>
      </c>
      <c r="AB1030" s="40" t="s">
        <v>115</v>
      </c>
      <c r="AC1030" s="40" t="s">
        <v>115</v>
      </c>
      <c r="AI1030" s="40" t="s">
        <v>115</v>
      </c>
      <c r="AP1030" s="4" t="s">
        <v>115</v>
      </c>
    </row>
    <row r="1031" spans="1:42" x14ac:dyDescent="0.15">
      <c r="A1031" s="40" t="s">
        <v>1</v>
      </c>
      <c r="B1031" s="23">
        <v>90110323</v>
      </c>
      <c r="C1031" s="23">
        <v>1103</v>
      </c>
      <c r="D1031" s="23">
        <v>11</v>
      </c>
      <c r="F1031" s="23" t="s">
        <v>115</v>
      </c>
      <c r="G1031" s="23" t="s">
        <v>115</v>
      </c>
      <c r="H1031" s="23" t="s">
        <v>2947</v>
      </c>
      <c r="I1031" s="23">
        <v>4</v>
      </c>
      <c r="J1031" s="40">
        <v>0</v>
      </c>
      <c r="K1031" s="40">
        <v>0</v>
      </c>
      <c r="L1031" s="40" t="s">
        <v>115</v>
      </c>
      <c r="O1031" s="40" t="s">
        <v>115</v>
      </c>
      <c r="Q1031" s="40">
        <v>185</v>
      </c>
      <c r="R1031" s="40" t="s">
        <v>115</v>
      </c>
      <c r="X1031" s="40">
        <v>90110324</v>
      </c>
      <c r="Y1031" s="40" t="s">
        <v>115</v>
      </c>
      <c r="Z1031" s="40" t="s">
        <v>115</v>
      </c>
      <c r="AA1031" s="40" t="s">
        <v>115</v>
      </c>
      <c r="AB1031" s="40" t="s">
        <v>115</v>
      </c>
      <c r="AC1031" s="40" t="s">
        <v>115</v>
      </c>
      <c r="AI1031" s="40" t="s">
        <v>115</v>
      </c>
      <c r="AP1031" s="4" t="s">
        <v>115</v>
      </c>
    </row>
    <row r="1032" spans="1:42" x14ac:dyDescent="0.15">
      <c r="A1032" s="40" t="s">
        <v>1</v>
      </c>
      <c r="B1032" s="23">
        <v>90110324</v>
      </c>
      <c r="C1032" s="23">
        <v>1103</v>
      </c>
      <c r="D1032" s="23">
        <v>11</v>
      </c>
      <c r="F1032" s="23" t="s">
        <v>116</v>
      </c>
      <c r="G1032" s="23">
        <v>312</v>
      </c>
      <c r="H1032" s="23" t="s">
        <v>2948</v>
      </c>
      <c r="I1032" s="23">
        <v>0</v>
      </c>
      <c r="J1032" s="40">
        <v>0</v>
      </c>
      <c r="K1032" s="40">
        <v>0</v>
      </c>
      <c r="L1032" s="40" t="s">
        <v>115</v>
      </c>
      <c r="O1032" s="40" t="s">
        <v>115</v>
      </c>
      <c r="Q1032" s="40">
        <v>185</v>
      </c>
      <c r="R1032" s="40" t="s">
        <v>115</v>
      </c>
      <c r="X1032" s="40">
        <v>90110325</v>
      </c>
      <c r="Y1032" s="40" t="s">
        <v>115</v>
      </c>
      <c r="Z1032" s="40" t="s">
        <v>115</v>
      </c>
      <c r="AA1032" s="40" t="s">
        <v>115</v>
      </c>
      <c r="AB1032" s="40" t="s">
        <v>115</v>
      </c>
      <c r="AC1032" s="40" t="s">
        <v>115</v>
      </c>
      <c r="AI1032" s="40" t="s">
        <v>115</v>
      </c>
      <c r="AP1032" s="4" t="s">
        <v>115</v>
      </c>
    </row>
    <row r="1033" spans="1:42" x14ac:dyDescent="0.15">
      <c r="A1033" s="40" t="s">
        <v>1</v>
      </c>
      <c r="B1033" s="23">
        <v>90110325</v>
      </c>
      <c r="C1033" s="23">
        <v>1103</v>
      </c>
      <c r="D1033" s="23">
        <v>11</v>
      </c>
      <c r="F1033" s="23" t="s">
        <v>116</v>
      </c>
      <c r="G1033" s="23">
        <v>312</v>
      </c>
      <c r="H1033" s="23" t="s">
        <v>2949</v>
      </c>
      <c r="I1033" s="23">
        <v>0</v>
      </c>
      <c r="J1033" s="40">
        <v>0</v>
      </c>
      <c r="K1033" s="40">
        <v>0</v>
      </c>
      <c r="L1033" s="40" t="s">
        <v>115</v>
      </c>
      <c r="O1033" s="40" t="s">
        <v>115</v>
      </c>
      <c r="Q1033" s="40">
        <v>185</v>
      </c>
      <c r="R1033" s="40" t="s">
        <v>115</v>
      </c>
      <c r="X1033" s="40">
        <v>90110326</v>
      </c>
      <c r="Y1033" s="40" t="s">
        <v>115</v>
      </c>
      <c r="Z1033" s="40" t="s">
        <v>115</v>
      </c>
      <c r="AA1033" s="40" t="s">
        <v>115</v>
      </c>
      <c r="AB1033" s="40" t="s">
        <v>115</v>
      </c>
      <c r="AC1033" s="40" t="s">
        <v>115</v>
      </c>
      <c r="AI1033" s="40" t="s">
        <v>115</v>
      </c>
      <c r="AP1033" s="4" t="s">
        <v>115</v>
      </c>
    </row>
    <row r="1034" spans="1:42" x14ac:dyDescent="0.15">
      <c r="A1034" s="40" t="s">
        <v>1</v>
      </c>
      <c r="B1034" s="23">
        <v>90110326</v>
      </c>
      <c r="C1034" s="23">
        <v>1103</v>
      </c>
      <c r="D1034" s="23">
        <v>11</v>
      </c>
      <c r="F1034" s="23" t="s">
        <v>527</v>
      </c>
      <c r="G1034" s="23" t="s">
        <v>115</v>
      </c>
      <c r="H1034" s="23" t="s">
        <v>2950</v>
      </c>
      <c r="I1034" s="23">
        <v>3</v>
      </c>
      <c r="J1034" s="40">
        <v>0</v>
      </c>
      <c r="K1034" s="40">
        <v>0</v>
      </c>
      <c r="L1034" s="40" t="s">
        <v>115</v>
      </c>
      <c r="O1034" s="40" t="s">
        <v>115</v>
      </c>
      <c r="Q1034" s="40">
        <v>185</v>
      </c>
      <c r="R1034" s="40">
        <v>229</v>
      </c>
      <c r="X1034" s="40">
        <v>90110327</v>
      </c>
      <c r="Y1034" s="40" t="s">
        <v>115</v>
      </c>
      <c r="Z1034" s="40" t="s">
        <v>115</v>
      </c>
      <c r="AA1034" s="40" t="s">
        <v>115</v>
      </c>
      <c r="AB1034" s="40" t="s">
        <v>115</v>
      </c>
      <c r="AC1034" s="40" t="s">
        <v>115</v>
      </c>
      <c r="AI1034" s="40" t="s">
        <v>115</v>
      </c>
      <c r="AP1034" s="4" t="s">
        <v>115</v>
      </c>
    </row>
    <row r="1035" spans="1:42" x14ac:dyDescent="0.15">
      <c r="A1035" s="40" t="s">
        <v>1</v>
      </c>
      <c r="B1035" s="23">
        <v>90110327</v>
      </c>
      <c r="C1035" s="23">
        <v>1103</v>
      </c>
      <c r="D1035" s="23">
        <v>11</v>
      </c>
      <c r="F1035" s="23" t="s">
        <v>116</v>
      </c>
      <c r="G1035" s="23">
        <v>314</v>
      </c>
      <c r="H1035" s="23" t="s">
        <v>2951</v>
      </c>
      <c r="I1035" s="23">
        <v>0</v>
      </c>
      <c r="J1035" s="40">
        <v>0</v>
      </c>
      <c r="K1035" s="40">
        <v>0</v>
      </c>
      <c r="L1035" s="40" t="s">
        <v>115</v>
      </c>
      <c r="O1035" s="40" t="s">
        <v>115</v>
      </c>
      <c r="Q1035" s="40">
        <v>185</v>
      </c>
      <c r="R1035" s="40">
        <v>229</v>
      </c>
      <c r="X1035" s="40">
        <v>90110328</v>
      </c>
      <c r="Y1035" s="40" t="s">
        <v>115</v>
      </c>
      <c r="Z1035" s="40" t="s">
        <v>115</v>
      </c>
      <c r="AA1035" s="40" t="s">
        <v>115</v>
      </c>
      <c r="AB1035" s="40" t="s">
        <v>115</v>
      </c>
      <c r="AC1035" s="40" t="s">
        <v>115</v>
      </c>
      <c r="AI1035" s="40" t="s">
        <v>115</v>
      </c>
      <c r="AP1035" s="4" t="s">
        <v>115</v>
      </c>
    </row>
    <row r="1036" spans="1:42" x14ac:dyDescent="0.15">
      <c r="A1036" s="40" t="s">
        <v>1</v>
      </c>
      <c r="B1036" s="23">
        <v>90110328</v>
      </c>
      <c r="C1036" s="23">
        <v>1103</v>
      </c>
      <c r="D1036" s="23">
        <v>11</v>
      </c>
      <c r="F1036" s="23" t="s">
        <v>527</v>
      </c>
      <c r="G1036" s="23" t="s">
        <v>115</v>
      </c>
      <c r="H1036" s="23" t="s">
        <v>2952</v>
      </c>
      <c r="I1036" s="23">
        <v>3</v>
      </c>
      <c r="J1036" s="40">
        <v>0</v>
      </c>
      <c r="K1036" s="40">
        <v>0</v>
      </c>
      <c r="L1036" s="40" t="s">
        <v>115</v>
      </c>
      <c r="O1036" s="40" t="s">
        <v>115</v>
      </c>
      <c r="Q1036" s="40">
        <v>185</v>
      </c>
      <c r="R1036" s="40">
        <v>229</v>
      </c>
      <c r="X1036" s="40">
        <v>90110329</v>
      </c>
      <c r="Y1036" s="40" t="s">
        <v>115</v>
      </c>
      <c r="Z1036" s="40" t="s">
        <v>115</v>
      </c>
      <c r="AA1036" s="40" t="s">
        <v>115</v>
      </c>
      <c r="AB1036" s="40" t="s">
        <v>115</v>
      </c>
      <c r="AC1036" s="40" t="s">
        <v>115</v>
      </c>
      <c r="AI1036" s="40" t="s">
        <v>115</v>
      </c>
      <c r="AP1036" s="4" t="s">
        <v>115</v>
      </c>
    </row>
    <row r="1037" spans="1:42" x14ac:dyDescent="0.15">
      <c r="A1037" s="40" t="s">
        <v>1</v>
      </c>
      <c r="B1037" s="23">
        <v>90110329</v>
      </c>
      <c r="C1037" s="23">
        <v>1103</v>
      </c>
      <c r="D1037" s="23">
        <v>11</v>
      </c>
      <c r="F1037" s="23" t="s">
        <v>116</v>
      </c>
      <c r="G1037" s="23">
        <v>314</v>
      </c>
      <c r="H1037" s="23" t="s">
        <v>2953</v>
      </c>
      <c r="I1037" s="23">
        <v>0</v>
      </c>
      <c r="J1037" s="40">
        <v>0</v>
      </c>
      <c r="K1037" s="40">
        <v>0</v>
      </c>
      <c r="L1037" s="40" t="s">
        <v>115</v>
      </c>
      <c r="O1037" s="40" t="s">
        <v>115</v>
      </c>
      <c r="Q1037" s="40">
        <v>185</v>
      </c>
      <c r="R1037" s="40">
        <v>229</v>
      </c>
      <c r="X1037" s="40">
        <v>90110330</v>
      </c>
      <c r="Y1037" s="40" t="s">
        <v>115</v>
      </c>
      <c r="Z1037" s="40" t="s">
        <v>115</v>
      </c>
      <c r="AA1037" s="40" t="s">
        <v>115</v>
      </c>
      <c r="AB1037" s="40" t="s">
        <v>115</v>
      </c>
      <c r="AC1037" s="40" t="s">
        <v>115</v>
      </c>
      <c r="AI1037" s="40" t="s">
        <v>115</v>
      </c>
      <c r="AP1037" s="4" t="s">
        <v>115</v>
      </c>
    </row>
    <row r="1038" spans="1:42" x14ac:dyDescent="0.15">
      <c r="A1038" s="40" t="s">
        <v>1</v>
      </c>
      <c r="B1038" s="23">
        <v>90110330</v>
      </c>
      <c r="C1038" s="23">
        <v>1103</v>
      </c>
      <c r="D1038" s="23">
        <v>11</v>
      </c>
      <c r="F1038" s="23" t="s">
        <v>932</v>
      </c>
      <c r="G1038" s="23" t="s">
        <v>115</v>
      </c>
      <c r="H1038" s="23" t="s">
        <v>2954</v>
      </c>
      <c r="I1038" s="23">
        <v>1</v>
      </c>
      <c r="J1038" s="40">
        <v>0</v>
      </c>
      <c r="K1038" s="40">
        <v>0</v>
      </c>
      <c r="L1038" s="40" t="s">
        <v>115</v>
      </c>
      <c r="O1038" s="40" t="s">
        <v>115</v>
      </c>
      <c r="Q1038" s="40">
        <v>185</v>
      </c>
      <c r="R1038" s="40" t="s">
        <v>115</v>
      </c>
      <c r="X1038" s="40">
        <v>90110331</v>
      </c>
      <c r="Y1038" s="40" t="s">
        <v>115</v>
      </c>
      <c r="Z1038" s="40" t="s">
        <v>115</v>
      </c>
      <c r="AA1038" s="40" t="s">
        <v>115</v>
      </c>
      <c r="AB1038" s="40" t="s">
        <v>115</v>
      </c>
      <c r="AC1038" s="40" t="s">
        <v>115</v>
      </c>
      <c r="AI1038" s="40" t="s">
        <v>960</v>
      </c>
      <c r="AP1038" s="4" t="s">
        <v>115</v>
      </c>
    </row>
    <row r="1039" spans="1:42" x14ac:dyDescent="0.15">
      <c r="A1039" s="40" t="s">
        <v>1</v>
      </c>
      <c r="B1039" s="23">
        <v>90110331</v>
      </c>
      <c r="C1039" s="23">
        <v>1103</v>
      </c>
      <c r="D1039" s="23">
        <v>11</v>
      </c>
      <c r="F1039" s="23" t="s">
        <v>116</v>
      </c>
      <c r="G1039" s="23">
        <v>312</v>
      </c>
      <c r="H1039" s="23" t="s">
        <v>2955</v>
      </c>
      <c r="I1039" s="23">
        <v>0</v>
      </c>
      <c r="J1039" s="40">
        <v>0</v>
      </c>
      <c r="K1039" s="40">
        <v>0</v>
      </c>
      <c r="L1039" s="40" t="s">
        <v>115</v>
      </c>
      <c r="O1039" s="40" t="s">
        <v>115</v>
      </c>
      <c r="Q1039" s="40">
        <v>185</v>
      </c>
      <c r="R1039" s="40" t="s">
        <v>115</v>
      </c>
      <c r="X1039" s="40">
        <v>90110332</v>
      </c>
      <c r="Y1039" s="40" t="s">
        <v>115</v>
      </c>
      <c r="Z1039" s="40" t="s">
        <v>115</v>
      </c>
      <c r="AA1039" s="40" t="s">
        <v>115</v>
      </c>
      <c r="AB1039" s="40" t="s">
        <v>115</v>
      </c>
      <c r="AC1039" s="40" t="s">
        <v>115</v>
      </c>
      <c r="AI1039" s="40">
        <v>403</v>
      </c>
      <c r="AP1039" s="4" t="s">
        <v>115</v>
      </c>
    </row>
    <row r="1040" spans="1:42" x14ac:dyDescent="0.15">
      <c r="A1040" s="40" t="s">
        <v>1</v>
      </c>
      <c r="B1040" s="23">
        <v>90110332</v>
      </c>
      <c r="C1040" s="23">
        <v>1103</v>
      </c>
      <c r="D1040" s="23">
        <v>11</v>
      </c>
      <c r="F1040" s="23" t="s">
        <v>116</v>
      </c>
      <c r="G1040" s="23">
        <v>314</v>
      </c>
      <c r="H1040" s="23" t="s">
        <v>2956</v>
      </c>
      <c r="I1040" s="23">
        <v>0</v>
      </c>
      <c r="J1040" s="40">
        <v>0</v>
      </c>
      <c r="K1040" s="40">
        <v>0</v>
      </c>
      <c r="L1040" s="40" t="s">
        <v>115</v>
      </c>
      <c r="O1040" s="40" t="s">
        <v>115</v>
      </c>
      <c r="Q1040" s="40">
        <v>185</v>
      </c>
      <c r="R1040" s="40" t="s">
        <v>115</v>
      </c>
      <c r="X1040" s="40">
        <v>90110333</v>
      </c>
      <c r="Y1040" s="40" t="s">
        <v>115</v>
      </c>
      <c r="Z1040" s="40" t="s">
        <v>115</v>
      </c>
      <c r="AA1040" s="40" t="s">
        <v>115</v>
      </c>
      <c r="AB1040" s="40" t="s">
        <v>115</v>
      </c>
      <c r="AC1040" s="40" t="s">
        <v>115</v>
      </c>
      <c r="AI1040" s="40">
        <v>403</v>
      </c>
      <c r="AP1040" s="4" t="s">
        <v>115</v>
      </c>
    </row>
    <row r="1041" spans="1:42" x14ac:dyDescent="0.15">
      <c r="A1041" s="40" t="s">
        <v>1</v>
      </c>
      <c r="B1041" s="23">
        <v>90110333</v>
      </c>
      <c r="C1041" s="23">
        <v>1103</v>
      </c>
      <c r="D1041" s="23">
        <v>11</v>
      </c>
      <c r="F1041" s="23" t="s">
        <v>932</v>
      </c>
      <c r="G1041" s="23" t="s">
        <v>115</v>
      </c>
      <c r="H1041" s="23" t="s">
        <v>2957</v>
      </c>
      <c r="I1041" s="23">
        <v>1</v>
      </c>
      <c r="J1041" s="40">
        <v>0</v>
      </c>
      <c r="K1041" s="40">
        <v>0</v>
      </c>
      <c r="L1041" s="40" t="s">
        <v>115</v>
      </c>
      <c r="O1041" s="40" t="s">
        <v>115</v>
      </c>
      <c r="Q1041" s="40">
        <v>185</v>
      </c>
      <c r="R1041" s="40" t="s">
        <v>115</v>
      </c>
      <c r="X1041" s="40">
        <v>90110334</v>
      </c>
      <c r="Y1041" s="40" t="s">
        <v>115</v>
      </c>
      <c r="Z1041" s="40" t="s">
        <v>115</v>
      </c>
      <c r="AA1041" s="40" t="s">
        <v>115</v>
      </c>
      <c r="AB1041" s="40" t="s">
        <v>115</v>
      </c>
      <c r="AC1041" s="40" t="s">
        <v>115</v>
      </c>
      <c r="AI1041" s="40" t="s">
        <v>960</v>
      </c>
      <c r="AP1041" s="4" t="s">
        <v>115</v>
      </c>
    </row>
    <row r="1042" spans="1:42" x14ac:dyDescent="0.15">
      <c r="A1042" s="40" t="s">
        <v>1</v>
      </c>
      <c r="B1042" s="23">
        <v>90110334</v>
      </c>
      <c r="C1042" s="23">
        <v>1103</v>
      </c>
      <c r="D1042" s="23">
        <v>11</v>
      </c>
      <c r="F1042" s="23" t="s">
        <v>116</v>
      </c>
      <c r="G1042" s="23">
        <v>314</v>
      </c>
      <c r="H1042" s="23" t="s">
        <v>2958</v>
      </c>
      <c r="I1042" s="23">
        <v>0</v>
      </c>
      <c r="J1042" s="40">
        <v>0</v>
      </c>
      <c r="K1042" s="40">
        <v>0</v>
      </c>
      <c r="L1042" s="40" t="s">
        <v>115</v>
      </c>
      <c r="O1042" s="40" t="s">
        <v>115</v>
      </c>
      <c r="Q1042" s="40">
        <v>185</v>
      </c>
      <c r="R1042" s="40" t="s">
        <v>115</v>
      </c>
      <c r="X1042" s="40">
        <v>90110335</v>
      </c>
      <c r="Y1042" s="40" t="s">
        <v>115</v>
      </c>
      <c r="Z1042" s="40" t="s">
        <v>115</v>
      </c>
      <c r="AA1042" s="40" t="s">
        <v>115</v>
      </c>
      <c r="AB1042" s="40" t="s">
        <v>115</v>
      </c>
      <c r="AC1042" s="40" t="s">
        <v>115</v>
      </c>
      <c r="AI1042" s="40">
        <v>403</v>
      </c>
      <c r="AP1042" s="4" t="s">
        <v>115</v>
      </c>
    </row>
    <row r="1043" spans="1:42" x14ac:dyDescent="0.15">
      <c r="A1043" s="40" t="s">
        <v>1</v>
      </c>
      <c r="B1043" s="23">
        <v>90110335</v>
      </c>
      <c r="C1043" s="23">
        <v>1103</v>
      </c>
      <c r="D1043" s="23">
        <v>11</v>
      </c>
      <c r="F1043" s="23" t="s">
        <v>116</v>
      </c>
      <c r="G1043" s="23">
        <v>314</v>
      </c>
      <c r="H1043" s="23" t="s">
        <v>2959</v>
      </c>
      <c r="I1043" s="23">
        <v>0</v>
      </c>
      <c r="J1043" s="40">
        <v>0</v>
      </c>
      <c r="K1043" s="40">
        <v>5</v>
      </c>
      <c r="L1043" s="40" t="s">
        <v>2960</v>
      </c>
      <c r="O1043" s="40" t="s">
        <v>115</v>
      </c>
      <c r="Q1043" s="40">
        <v>185</v>
      </c>
      <c r="R1043" s="40" t="s">
        <v>115</v>
      </c>
      <c r="X1043" s="40">
        <v>90110336</v>
      </c>
      <c r="Y1043" s="40" t="s">
        <v>115</v>
      </c>
      <c r="Z1043" s="40">
        <v>4</v>
      </c>
      <c r="AA1043" s="40" t="s">
        <v>115</v>
      </c>
      <c r="AB1043" s="40" t="s">
        <v>115</v>
      </c>
      <c r="AC1043" s="40" t="s">
        <v>115</v>
      </c>
      <c r="AI1043" s="40">
        <v>403</v>
      </c>
      <c r="AP1043" s="4" t="s">
        <v>115</v>
      </c>
    </row>
    <row r="1044" spans="1:42" x14ac:dyDescent="0.15">
      <c r="A1044" s="40" t="s">
        <v>1</v>
      </c>
      <c r="B1044" s="23">
        <v>90110336</v>
      </c>
      <c r="C1044" s="23">
        <v>1103</v>
      </c>
      <c r="D1044" s="23">
        <v>11</v>
      </c>
      <c r="F1044" s="23" t="s">
        <v>932</v>
      </c>
      <c r="G1044" s="23" t="s">
        <v>115</v>
      </c>
      <c r="H1044" s="23" t="s">
        <v>2961</v>
      </c>
      <c r="I1044" s="23">
        <v>1</v>
      </c>
      <c r="J1044" s="40">
        <v>0</v>
      </c>
      <c r="K1044" s="40">
        <v>0</v>
      </c>
      <c r="L1044" s="40" t="s">
        <v>115</v>
      </c>
      <c r="O1044" s="40" t="s">
        <v>115</v>
      </c>
      <c r="Q1044" s="40">
        <v>185</v>
      </c>
      <c r="R1044" s="40" t="s">
        <v>115</v>
      </c>
      <c r="X1044" s="40">
        <v>90110337</v>
      </c>
      <c r="Y1044" s="40" t="s">
        <v>115</v>
      </c>
      <c r="Z1044" s="40" t="s">
        <v>115</v>
      </c>
      <c r="AA1044" s="40" t="s">
        <v>115</v>
      </c>
      <c r="AB1044" s="40" t="s">
        <v>115</v>
      </c>
      <c r="AC1044" s="40" t="s">
        <v>115</v>
      </c>
      <c r="AI1044" s="40" t="s">
        <v>1391</v>
      </c>
      <c r="AP1044" s="4" t="s">
        <v>115</v>
      </c>
    </row>
    <row r="1045" spans="1:42" x14ac:dyDescent="0.15">
      <c r="A1045" s="40" t="s">
        <v>1</v>
      </c>
      <c r="B1045" s="23">
        <v>90110337</v>
      </c>
      <c r="C1045" s="23">
        <v>1103</v>
      </c>
      <c r="D1045" s="23">
        <v>11</v>
      </c>
      <c r="F1045" s="23" t="s">
        <v>116</v>
      </c>
      <c r="G1045" s="23">
        <v>314</v>
      </c>
      <c r="H1045" s="23" t="s">
        <v>2962</v>
      </c>
      <c r="I1045" s="23">
        <v>0</v>
      </c>
      <c r="J1045" s="40">
        <v>0</v>
      </c>
      <c r="K1045" s="40">
        <v>0</v>
      </c>
      <c r="L1045" s="40" t="s">
        <v>115</v>
      </c>
      <c r="O1045" s="40" t="s">
        <v>115</v>
      </c>
      <c r="Q1045" s="40">
        <v>185</v>
      </c>
      <c r="R1045" s="40" t="s">
        <v>115</v>
      </c>
      <c r="X1045" s="40">
        <v>90110338</v>
      </c>
      <c r="Y1045" s="40" t="s">
        <v>115</v>
      </c>
      <c r="Z1045" s="40" t="s">
        <v>115</v>
      </c>
      <c r="AA1045" s="40" t="s">
        <v>115</v>
      </c>
      <c r="AB1045" s="40" t="s">
        <v>115</v>
      </c>
      <c r="AC1045" s="40" t="s">
        <v>115</v>
      </c>
      <c r="AI1045" s="40">
        <v>403</v>
      </c>
      <c r="AP1045" s="4" t="s">
        <v>115</v>
      </c>
    </row>
    <row r="1046" spans="1:42" x14ac:dyDescent="0.15">
      <c r="A1046" s="40" t="s">
        <v>1</v>
      </c>
      <c r="B1046" s="23">
        <v>90110338</v>
      </c>
      <c r="C1046" s="23">
        <v>1103</v>
      </c>
      <c r="D1046" s="23">
        <v>11</v>
      </c>
      <c r="F1046" s="23" t="s">
        <v>116</v>
      </c>
      <c r="G1046" s="23">
        <v>314</v>
      </c>
      <c r="H1046" s="23" t="s">
        <v>2963</v>
      </c>
      <c r="I1046" s="23">
        <v>0</v>
      </c>
      <c r="J1046" s="40">
        <v>0</v>
      </c>
      <c r="K1046" s="40">
        <v>6</v>
      </c>
      <c r="L1046" s="40" t="s">
        <v>115</v>
      </c>
      <c r="O1046" s="40">
        <v>1</v>
      </c>
      <c r="Q1046" s="40">
        <v>185</v>
      </c>
      <c r="R1046" s="40" t="s">
        <v>115</v>
      </c>
      <c r="X1046" s="40" t="s">
        <v>115</v>
      </c>
      <c r="Y1046" s="40" t="s">
        <v>115</v>
      </c>
      <c r="Z1046" s="40">
        <v>5</v>
      </c>
      <c r="AA1046" s="40" t="s">
        <v>115</v>
      </c>
      <c r="AB1046" s="40" t="s">
        <v>115</v>
      </c>
      <c r="AC1046" s="40" t="s">
        <v>115</v>
      </c>
      <c r="AI1046" s="40" t="s">
        <v>115</v>
      </c>
      <c r="AP1046" s="4" t="s">
        <v>115</v>
      </c>
    </row>
    <row r="1047" spans="1:42" x14ac:dyDescent="0.15">
      <c r="A1047" s="40" t="s">
        <v>1</v>
      </c>
      <c r="B1047" s="23" t="s">
        <v>2810</v>
      </c>
      <c r="C1047" s="23">
        <v>1104</v>
      </c>
      <c r="D1047" s="23">
        <v>11</v>
      </c>
      <c r="F1047" s="23" t="s">
        <v>115</v>
      </c>
      <c r="G1047" s="23" t="s">
        <v>115</v>
      </c>
      <c r="H1047" s="23" t="s">
        <v>2964</v>
      </c>
      <c r="I1047" s="23">
        <v>4</v>
      </c>
      <c r="J1047" s="40">
        <v>1</v>
      </c>
      <c r="K1047" s="40">
        <v>1</v>
      </c>
      <c r="L1047" s="40" t="s">
        <v>115</v>
      </c>
      <c r="O1047" s="40" t="s">
        <v>115</v>
      </c>
      <c r="Q1047" s="40">
        <v>116</v>
      </c>
      <c r="R1047" s="40" t="s">
        <v>115</v>
      </c>
      <c r="X1047" s="40">
        <v>90110402</v>
      </c>
      <c r="Y1047" s="40" t="s">
        <v>115</v>
      </c>
      <c r="Z1047" s="40" t="s">
        <v>115</v>
      </c>
      <c r="AA1047" s="40" t="s">
        <v>115</v>
      </c>
      <c r="AB1047" s="40" t="s">
        <v>115</v>
      </c>
      <c r="AC1047" s="40" t="s">
        <v>115</v>
      </c>
      <c r="AI1047" s="40" t="s">
        <v>115</v>
      </c>
      <c r="AP1047" s="4" t="s">
        <v>115</v>
      </c>
    </row>
    <row r="1048" spans="1:42" x14ac:dyDescent="0.15">
      <c r="A1048" s="40" t="s">
        <v>1</v>
      </c>
      <c r="B1048" s="23">
        <v>90110402</v>
      </c>
      <c r="C1048" s="23">
        <v>1104</v>
      </c>
      <c r="D1048" s="23">
        <v>11</v>
      </c>
      <c r="F1048" s="23" t="s">
        <v>629</v>
      </c>
      <c r="G1048" s="23" t="s">
        <v>115</v>
      </c>
      <c r="H1048" s="23" t="s">
        <v>2965</v>
      </c>
      <c r="I1048" s="23">
        <v>3</v>
      </c>
      <c r="J1048" s="40">
        <v>0</v>
      </c>
      <c r="K1048" s="40">
        <v>0</v>
      </c>
      <c r="L1048" s="40" t="s">
        <v>115</v>
      </c>
      <c r="O1048" s="40" t="s">
        <v>115</v>
      </c>
      <c r="Q1048" s="40">
        <v>116</v>
      </c>
      <c r="R1048" s="40">
        <v>17</v>
      </c>
      <c r="X1048" s="40">
        <v>90110403</v>
      </c>
      <c r="Y1048" s="40" t="s">
        <v>115</v>
      </c>
      <c r="Z1048" s="40" t="s">
        <v>115</v>
      </c>
      <c r="AA1048" s="40" t="s">
        <v>115</v>
      </c>
      <c r="AB1048" s="40" t="s">
        <v>115</v>
      </c>
      <c r="AC1048" s="40" t="s">
        <v>115</v>
      </c>
      <c r="AI1048" s="40" t="s">
        <v>115</v>
      </c>
      <c r="AP1048" s="4" t="s">
        <v>115</v>
      </c>
    </row>
    <row r="1049" spans="1:42" x14ac:dyDescent="0.15">
      <c r="A1049" s="40" t="s">
        <v>1</v>
      </c>
      <c r="B1049" s="23">
        <v>90110403</v>
      </c>
      <c r="C1049" s="23">
        <v>1104</v>
      </c>
      <c r="D1049" s="23">
        <v>11</v>
      </c>
      <c r="F1049" s="23" t="s">
        <v>116</v>
      </c>
      <c r="G1049" s="23">
        <v>317</v>
      </c>
      <c r="H1049" s="23" t="s">
        <v>587</v>
      </c>
      <c r="I1049" s="23">
        <v>0</v>
      </c>
      <c r="J1049" s="40">
        <v>0</v>
      </c>
      <c r="K1049" s="40">
        <v>0</v>
      </c>
      <c r="L1049" s="40" t="s">
        <v>115</v>
      </c>
      <c r="O1049" s="40" t="s">
        <v>115</v>
      </c>
      <c r="Q1049" s="40">
        <v>116</v>
      </c>
      <c r="R1049" s="40">
        <v>17</v>
      </c>
      <c r="X1049" s="40">
        <v>90110404</v>
      </c>
      <c r="Y1049" s="40" t="s">
        <v>115</v>
      </c>
      <c r="Z1049" s="40" t="s">
        <v>115</v>
      </c>
      <c r="AA1049" s="40" t="s">
        <v>115</v>
      </c>
      <c r="AB1049" s="40" t="s">
        <v>115</v>
      </c>
      <c r="AC1049" s="40" t="s">
        <v>115</v>
      </c>
      <c r="AI1049" s="40" t="s">
        <v>115</v>
      </c>
      <c r="AP1049" s="4" t="s">
        <v>115</v>
      </c>
    </row>
    <row r="1050" spans="1:42" x14ac:dyDescent="0.15">
      <c r="A1050" s="40" t="s">
        <v>1</v>
      </c>
      <c r="B1050" s="23">
        <v>90110404</v>
      </c>
      <c r="C1050" s="23">
        <v>1104</v>
      </c>
      <c r="D1050" s="23">
        <v>11</v>
      </c>
      <c r="F1050" s="23" t="s">
        <v>932</v>
      </c>
      <c r="G1050" s="23" t="s">
        <v>115</v>
      </c>
      <c r="H1050" s="23" t="s">
        <v>2966</v>
      </c>
      <c r="I1050" s="23">
        <v>1</v>
      </c>
      <c r="J1050" s="40">
        <v>0</v>
      </c>
      <c r="K1050" s="40">
        <v>0</v>
      </c>
      <c r="L1050" s="40" t="s">
        <v>115</v>
      </c>
      <c r="O1050" s="40" t="s">
        <v>115</v>
      </c>
      <c r="Q1050" s="40">
        <v>116</v>
      </c>
      <c r="R1050" s="40" t="s">
        <v>115</v>
      </c>
      <c r="X1050" s="40">
        <v>90110405</v>
      </c>
      <c r="Y1050" s="40" t="s">
        <v>115</v>
      </c>
      <c r="Z1050" s="40" t="s">
        <v>115</v>
      </c>
      <c r="AA1050" s="40" t="s">
        <v>115</v>
      </c>
      <c r="AB1050" s="40" t="s">
        <v>115</v>
      </c>
      <c r="AC1050" s="40" t="s">
        <v>115</v>
      </c>
      <c r="AI1050" s="40">
        <v>407</v>
      </c>
      <c r="AP1050" s="4" t="s">
        <v>115</v>
      </c>
    </row>
    <row r="1051" spans="1:42" x14ac:dyDescent="0.15">
      <c r="A1051" s="40" t="s">
        <v>1</v>
      </c>
      <c r="B1051" s="23">
        <v>90110405</v>
      </c>
      <c r="C1051" s="23">
        <v>1104</v>
      </c>
      <c r="D1051" s="23">
        <v>11</v>
      </c>
      <c r="F1051" s="23" t="s">
        <v>116</v>
      </c>
      <c r="G1051" s="23">
        <v>312</v>
      </c>
      <c r="H1051" s="23" t="s">
        <v>2967</v>
      </c>
      <c r="I1051" s="23">
        <v>0</v>
      </c>
      <c r="J1051" s="40">
        <v>0</v>
      </c>
      <c r="K1051" s="40">
        <v>0</v>
      </c>
      <c r="L1051" s="40" t="s">
        <v>115</v>
      </c>
      <c r="O1051" s="40" t="s">
        <v>115</v>
      </c>
      <c r="Q1051" s="40">
        <v>116</v>
      </c>
      <c r="R1051" s="40">
        <v>17</v>
      </c>
      <c r="X1051" s="40">
        <v>90110406</v>
      </c>
      <c r="Y1051" s="40" t="s">
        <v>115</v>
      </c>
      <c r="Z1051" s="40" t="s">
        <v>115</v>
      </c>
      <c r="AA1051" s="40" t="s">
        <v>115</v>
      </c>
      <c r="AB1051" s="40" t="s">
        <v>115</v>
      </c>
      <c r="AC1051" s="40" t="s">
        <v>115</v>
      </c>
      <c r="AI1051" s="40" t="s">
        <v>115</v>
      </c>
      <c r="AP1051" s="4" t="s">
        <v>115</v>
      </c>
    </row>
    <row r="1052" spans="1:42" x14ac:dyDescent="0.15">
      <c r="A1052" s="40" t="s">
        <v>1</v>
      </c>
      <c r="B1052" s="23">
        <v>90110406</v>
      </c>
      <c r="C1052" s="23">
        <v>1104</v>
      </c>
      <c r="D1052" s="23">
        <v>11</v>
      </c>
      <c r="F1052" s="23" t="s">
        <v>629</v>
      </c>
      <c r="G1052" s="23" t="s">
        <v>115</v>
      </c>
      <c r="H1052" s="23" t="s">
        <v>2968</v>
      </c>
      <c r="I1052" s="23">
        <v>3</v>
      </c>
      <c r="J1052" s="40">
        <v>0</v>
      </c>
      <c r="K1052" s="40">
        <v>0</v>
      </c>
      <c r="L1052" s="40" t="s">
        <v>115</v>
      </c>
      <c r="O1052" s="40" t="s">
        <v>115</v>
      </c>
      <c r="Q1052" s="40">
        <v>116</v>
      </c>
      <c r="R1052" s="40">
        <v>17</v>
      </c>
      <c r="X1052" s="40">
        <v>90110407</v>
      </c>
      <c r="Y1052" s="40" t="s">
        <v>115</v>
      </c>
      <c r="Z1052" s="40" t="s">
        <v>115</v>
      </c>
      <c r="AA1052" s="40" t="s">
        <v>115</v>
      </c>
      <c r="AB1052" s="40" t="s">
        <v>115</v>
      </c>
      <c r="AC1052" s="40" t="s">
        <v>115</v>
      </c>
      <c r="AI1052" s="40" t="s">
        <v>115</v>
      </c>
      <c r="AP1052" s="4" t="s">
        <v>115</v>
      </c>
    </row>
    <row r="1053" spans="1:42" x14ac:dyDescent="0.15">
      <c r="A1053" s="40" t="s">
        <v>1</v>
      </c>
      <c r="B1053" s="23">
        <v>90110407</v>
      </c>
      <c r="C1053" s="23">
        <v>1104</v>
      </c>
      <c r="D1053" s="23">
        <v>11</v>
      </c>
      <c r="F1053" s="23" t="s">
        <v>115</v>
      </c>
      <c r="G1053" s="23" t="s">
        <v>115</v>
      </c>
      <c r="H1053" s="23" t="s">
        <v>2969</v>
      </c>
      <c r="I1053" s="23">
        <v>4</v>
      </c>
      <c r="J1053" s="40">
        <v>0</v>
      </c>
      <c r="K1053" s="40">
        <v>2</v>
      </c>
      <c r="L1053" s="40" t="s">
        <v>115</v>
      </c>
      <c r="O1053" s="40" t="s">
        <v>115</v>
      </c>
      <c r="Q1053" s="40">
        <v>116</v>
      </c>
      <c r="R1053" s="40">
        <v>17</v>
      </c>
      <c r="X1053" s="40" t="s">
        <v>2970</v>
      </c>
      <c r="Y1053" s="40">
        <v>1</v>
      </c>
      <c r="Z1053" s="40">
        <v>1</v>
      </c>
      <c r="AA1053" s="40" t="s">
        <v>115</v>
      </c>
      <c r="AB1053" s="40" t="s">
        <v>115</v>
      </c>
      <c r="AC1053" s="40" t="s">
        <v>115</v>
      </c>
      <c r="AI1053" s="40" t="s">
        <v>115</v>
      </c>
      <c r="AP1053" s="4" t="s">
        <v>115</v>
      </c>
    </row>
    <row r="1054" spans="1:42" x14ac:dyDescent="0.15">
      <c r="A1054" s="40" t="s">
        <v>1</v>
      </c>
      <c r="B1054" s="23">
        <v>90110408</v>
      </c>
      <c r="C1054" s="23">
        <v>1104</v>
      </c>
      <c r="D1054" s="23">
        <v>11</v>
      </c>
      <c r="F1054" s="23" t="s">
        <v>115</v>
      </c>
      <c r="G1054" s="23" t="s">
        <v>115</v>
      </c>
      <c r="H1054" s="23" t="s">
        <v>2971</v>
      </c>
      <c r="I1054" s="23">
        <v>4</v>
      </c>
      <c r="J1054" s="40">
        <v>0</v>
      </c>
      <c r="K1054" s="40">
        <v>3</v>
      </c>
      <c r="L1054" s="40" t="s">
        <v>115</v>
      </c>
      <c r="O1054" s="40" t="s">
        <v>115</v>
      </c>
      <c r="Q1054" s="40">
        <v>116</v>
      </c>
      <c r="R1054" s="40">
        <v>17</v>
      </c>
      <c r="X1054" s="40">
        <v>90110410</v>
      </c>
      <c r="Y1054" s="40">
        <v>-1</v>
      </c>
      <c r="Z1054" s="40">
        <v>2</v>
      </c>
      <c r="AA1054" s="40" t="s">
        <v>115</v>
      </c>
      <c r="AB1054" s="40" t="s">
        <v>115</v>
      </c>
      <c r="AC1054" s="40" t="s">
        <v>2972</v>
      </c>
      <c r="AI1054" s="40" t="s">
        <v>115</v>
      </c>
      <c r="AP1054" s="4" t="s">
        <v>115</v>
      </c>
    </row>
    <row r="1055" spans="1:42" x14ac:dyDescent="0.15">
      <c r="A1055" s="40" t="s">
        <v>1</v>
      </c>
      <c r="B1055" s="23">
        <v>90110409</v>
      </c>
      <c r="C1055" s="23">
        <v>1104</v>
      </c>
      <c r="D1055" s="23">
        <v>11</v>
      </c>
      <c r="F1055" s="23" t="s">
        <v>115</v>
      </c>
      <c r="G1055" s="23" t="s">
        <v>115</v>
      </c>
      <c r="H1055" s="23" t="s">
        <v>2973</v>
      </c>
      <c r="I1055" s="23">
        <v>4</v>
      </c>
      <c r="J1055" s="40">
        <v>0</v>
      </c>
      <c r="K1055" s="40">
        <v>4</v>
      </c>
      <c r="L1055" s="40" t="s">
        <v>115</v>
      </c>
      <c r="O1055" s="40" t="s">
        <v>115</v>
      </c>
      <c r="Q1055" s="40">
        <v>116</v>
      </c>
      <c r="R1055" s="40">
        <v>17</v>
      </c>
      <c r="X1055" s="40">
        <v>90110423</v>
      </c>
      <c r="Y1055" s="40">
        <v>-1</v>
      </c>
      <c r="Z1055" s="40">
        <v>2</v>
      </c>
      <c r="AA1055" s="40" t="s">
        <v>115</v>
      </c>
      <c r="AB1055" s="40" t="s">
        <v>115</v>
      </c>
      <c r="AC1055" s="40" t="s">
        <v>115</v>
      </c>
      <c r="AI1055" s="40" t="s">
        <v>115</v>
      </c>
      <c r="AP1055" s="4" t="s">
        <v>115</v>
      </c>
    </row>
    <row r="1056" spans="1:42" x14ac:dyDescent="0.15">
      <c r="A1056" s="40" t="s">
        <v>1</v>
      </c>
      <c r="B1056" s="23">
        <v>90110410</v>
      </c>
      <c r="C1056" s="23">
        <v>1104</v>
      </c>
      <c r="D1056" s="23">
        <v>11</v>
      </c>
      <c r="F1056" s="23" t="s">
        <v>116</v>
      </c>
      <c r="G1056" s="23">
        <v>312</v>
      </c>
      <c r="H1056" s="23" t="s">
        <v>2974</v>
      </c>
      <c r="I1056" s="23">
        <v>0</v>
      </c>
      <c r="J1056" s="40">
        <v>0</v>
      </c>
      <c r="K1056" s="40">
        <v>0</v>
      </c>
      <c r="L1056" s="40" t="s">
        <v>115</v>
      </c>
      <c r="O1056" s="40" t="s">
        <v>115</v>
      </c>
      <c r="Q1056" s="40">
        <v>116</v>
      </c>
      <c r="R1056" s="40">
        <v>17</v>
      </c>
      <c r="X1056" s="40">
        <v>90110411</v>
      </c>
      <c r="Y1056" s="40" t="s">
        <v>115</v>
      </c>
      <c r="Z1056" s="40" t="s">
        <v>115</v>
      </c>
      <c r="AA1056" s="40" t="s">
        <v>115</v>
      </c>
      <c r="AB1056" s="40" t="s">
        <v>115</v>
      </c>
      <c r="AC1056" s="40" t="s">
        <v>115</v>
      </c>
      <c r="AI1056" s="40" t="s">
        <v>115</v>
      </c>
      <c r="AP1056" s="4" t="s">
        <v>115</v>
      </c>
    </row>
    <row r="1057" spans="1:42" x14ac:dyDescent="0.15">
      <c r="A1057" s="40" t="s">
        <v>1</v>
      </c>
      <c r="B1057" s="23">
        <v>90110411</v>
      </c>
      <c r="C1057" s="23">
        <v>1104</v>
      </c>
      <c r="D1057" s="23">
        <v>11</v>
      </c>
      <c r="F1057" s="23" t="s">
        <v>629</v>
      </c>
      <c r="G1057" s="23" t="s">
        <v>115</v>
      </c>
      <c r="H1057" s="23" t="s">
        <v>2975</v>
      </c>
      <c r="I1057" s="23">
        <v>3</v>
      </c>
      <c r="J1057" s="40">
        <v>0</v>
      </c>
      <c r="K1057" s="40">
        <v>0</v>
      </c>
      <c r="L1057" s="40" t="s">
        <v>115</v>
      </c>
      <c r="O1057" s="40" t="s">
        <v>115</v>
      </c>
      <c r="Q1057" s="40">
        <v>116</v>
      </c>
      <c r="R1057" s="40">
        <v>17</v>
      </c>
      <c r="X1057" s="40">
        <v>90110412</v>
      </c>
      <c r="Y1057" s="40" t="s">
        <v>115</v>
      </c>
      <c r="Z1057" s="40" t="s">
        <v>115</v>
      </c>
      <c r="AA1057" s="40" t="s">
        <v>115</v>
      </c>
      <c r="AB1057" s="40" t="s">
        <v>115</v>
      </c>
      <c r="AC1057" s="40" t="s">
        <v>115</v>
      </c>
      <c r="AI1057" s="40" t="s">
        <v>115</v>
      </c>
      <c r="AP1057" s="4" t="s">
        <v>115</v>
      </c>
    </row>
    <row r="1058" spans="1:42" x14ac:dyDescent="0.15">
      <c r="A1058" s="40" t="s">
        <v>1</v>
      </c>
      <c r="B1058" s="23">
        <v>90110412</v>
      </c>
      <c r="C1058" s="23">
        <v>1104</v>
      </c>
      <c r="D1058" s="23">
        <v>11</v>
      </c>
      <c r="F1058" s="23" t="s">
        <v>116</v>
      </c>
      <c r="G1058" s="23">
        <v>312</v>
      </c>
      <c r="H1058" s="23" t="s">
        <v>2976</v>
      </c>
      <c r="I1058" s="23">
        <v>0</v>
      </c>
      <c r="J1058" s="40">
        <v>0</v>
      </c>
      <c r="K1058" s="40">
        <v>0</v>
      </c>
      <c r="L1058" s="40" t="s">
        <v>115</v>
      </c>
      <c r="O1058" s="40" t="s">
        <v>115</v>
      </c>
      <c r="Q1058" s="40">
        <v>116</v>
      </c>
      <c r="R1058" s="40">
        <v>17</v>
      </c>
      <c r="X1058" s="40">
        <v>90110413</v>
      </c>
      <c r="Y1058" s="40" t="s">
        <v>115</v>
      </c>
      <c r="Z1058" s="40" t="s">
        <v>115</v>
      </c>
      <c r="AA1058" s="40" t="s">
        <v>115</v>
      </c>
      <c r="AB1058" s="40" t="s">
        <v>115</v>
      </c>
      <c r="AC1058" s="40" t="s">
        <v>115</v>
      </c>
      <c r="AI1058" s="40" t="s">
        <v>115</v>
      </c>
      <c r="AP1058" s="4" t="s">
        <v>115</v>
      </c>
    </row>
    <row r="1059" spans="1:42" x14ac:dyDescent="0.15">
      <c r="A1059" s="40" t="s">
        <v>1</v>
      </c>
      <c r="B1059" s="23">
        <v>90110413</v>
      </c>
      <c r="C1059" s="23">
        <v>1104</v>
      </c>
      <c r="D1059" s="23">
        <v>11</v>
      </c>
      <c r="F1059" s="23" t="s">
        <v>629</v>
      </c>
      <c r="G1059" s="23" t="s">
        <v>115</v>
      </c>
      <c r="H1059" s="23" t="s">
        <v>2977</v>
      </c>
      <c r="I1059" s="23">
        <v>3</v>
      </c>
      <c r="J1059" s="40">
        <v>0</v>
      </c>
      <c r="K1059" s="40">
        <v>0</v>
      </c>
      <c r="L1059" s="40" t="s">
        <v>115</v>
      </c>
      <c r="O1059" s="40" t="s">
        <v>115</v>
      </c>
      <c r="Q1059" s="40">
        <v>116</v>
      </c>
      <c r="R1059" s="40">
        <v>17</v>
      </c>
      <c r="X1059" s="40">
        <v>90110414</v>
      </c>
      <c r="Y1059" s="40" t="s">
        <v>115</v>
      </c>
      <c r="Z1059" s="40" t="s">
        <v>115</v>
      </c>
      <c r="AA1059" s="40" t="s">
        <v>115</v>
      </c>
      <c r="AB1059" s="40" t="s">
        <v>115</v>
      </c>
      <c r="AC1059" s="40" t="s">
        <v>115</v>
      </c>
      <c r="AI1059" s="40" t="s">
        <v>115</v>
      </c>
      <c r="AP1059" s="4" t="s">
        <v>115</v>
      </c>
    </row>
    <row r="1060" spans="1:42" x14ac:dyDescent="0.15">
      <c r="A1060" s="40" t="s">
        <v>1</v>
      </c>
      <c r="B1060" s="23">
        <v>90110414</v>
      </c>
      <c r="C1060" s="23">
        <v>1104</v>
      </c>
      <c r="D1060" s="23">
        <v>11</v>
      </c>
      <c r="F1060" s="23" t="s">
        <v>629</v>
      </c>
      <c r="G1060" s="23" t="s">
        <v>115</v>
      </c>
      <c r="H1060" s="23" t="s">
        <v>2978</v>
      </c>
      <c r="I1060" s="23">
        <v>3</v>
      </c>
      <c r="J1060" s="40">
        <v>0</v>
      </c>
      <c r="K1060" s="40">
        <v>0</v>
      </c>
      <c r="L1060" s="40" t="s">
        <v>115</v>
      </c>
      <c r="O1060" s="40" t="s">
        <v>115</v>
      </c>
      <c r="Q1060" s="40">
        <v>116</v>
      </c>
      <c r="R1060" s="40">
        <v>17</v>
      </c>
      <c r="X1060" s="40">
        <v>90110415</v>
      </c>
      <c r="Y1060" s="40" t="s">
        <v>115</v>
      </c>
      <c r="Z1060" s="40" t="s">
        <v>115</v>
      </c>
      <c r="AA1060" s="40" t="s">
        <v>115</v>
      </c>
      <c r="AB1060" s="40" t="s">
        <v>115</v>
      </c>
      <c r="AC1060" s="40" t="s">
        <v>115</v>
      </c>
      <c r="AI1060" s="40" t="s">
        <v>115</v>
      </c>
      <c r="AP1060" s="4" t="s">
        <v>115</v>
      </c>
    </row>
    <row r="1061" spans="1:42" x14ac:dyDescent="0.15">
      <c r="A1061" s="40" t="s">
        <v>1</v>
      </c>
      <c r="B1061" s="23">
        <v>90110415</v>
      </c>
      <c r="C1061" s="23">
        <v>1104</v>
      </c>
      <c r="D1061" s="23">
        <v>11</v>
      </c>
      <c r="F1061" s="23" t="s">
        <v>115</v>
      </c>
      <c r="G1061" s="23" t="s">
        <v>115</v>
      </c>
      <c r="H1061" s="23" t="s">
        <v>2979</v>
      </c>
      <c r="I1061" s="23">
        <v>4</v>
      </c>
      <c r="J1061" s="40">
        <v>0</v>
      </c>
      <c r="K1061" s="40">
        <v>0</v>
      </c>
      <c r="L1061" s="40" t="s">
        <v>115</v>
      </c>
      <c r="O1061" s="40" t="s">
        <v>115</v>
      </c>
      <c r="Q1061" s="40">
        <v>116</v>
      </c>
      <c r="R1061" s="40" t="s">
        <v>115</v>
      </c>
      <c r="X1061" s="40">
        <v>90110416</v>
      </c>
      <c r="Y1061" s="40" t="s">
        <v>115</v>
      </c>
      <c r="Z1061" s="40" t="s">
        <v>115</v>
      </c>
      <c r="AA1061" s="40" t="s">
        <v>115</v>
      </c>
      <c r="AB1061" s="40" t="s">
        <v>115</v>
      </c>
      <c r="AC1061" s="40" t="s">
        <v>115</v>
      </c>
      <c r="AI1061" s="40" t="s">
        <v>115</v>
      </c>
      <c r="AP1061" s="4" t="s">
        <v>115</v>
      </c>
    </row>
    <row r="1062" spans="1:42" x14ac:dyDescent="0.15">
      <c r="A1062" s="40" t="s">
        <v>1</v>
      </c>
      <c r="B1062" s="23">
        <v>90110416</v>
      </c>
      <c r="C1062" s="23">
        <v>1104</v>
      </c>
      <c r="D1062" s="23">
        <v>11</v>
      </c>
      <c r="F1062" s="23" t="s">
        <v>2980</v>
      </c>
      <c r="G1062" s="23" t="s">
        <v>115</v>
      </c>
      <c r="H1062" s="23" t="s">
        <v>2981</v>
      </c>
      <c r="I1062" s="23">
        <v>3</v>
      </c>
      <c r="J1062" s="40">
        <v>0</v>
      </c>
      <c r="K1062" s="40">
        <v>0</v>
      </c>
      <c r="L1062" s="40" t="s">
        <v>115</v>
      </c>
      <c r="O1062" s="40" t="s">
        <v>115</v>
      </c>
      <c r="Q1062" s="40">
        <v>116</v>
      </c>
      <c r="R1062" s="40">
        <v>133</v>
      </c>
      <c r="X1062" s="40">
        <v>90110417</v>
      </c>
      <c r="Y1062" s="40" t="s">
        <v>115</v>
      </c>
      <c r="Z1062" s="40" t="s">
        <v>115</v>
      </c>
      <c r="AA1062" s="40" t="s">
        <v>115</v>
      </c>
      <c r="AB1062" s="40" t="s">
        <v>115</v>
      </c>
      <c r="AC1062" s="40" t="s">
        <v>115</v>
      </c>
      <c r="AI1062" s="40" t="s">
        <v>115</v>
      </c>
      <c r="AP1062" s="4" t="s">
        <v>115</v>
      </c>
    </row>
    <row r="1063" spans="1:42" x14ac:dyDescent="0.15">
      <c r="A1063" s="40" t="s">
        <v>1</v>
      </c>
      <c r="B1063" s="23">
        <v>90110417</v>
      </c>
      <c r="C1063" s="23">
        <v>1104</v>
      </c>
      <c r="D1063" s="23">
        <v>11</v>
      </c>
      <c r="F1063" s="23" t="s">
        <v>629</v>
      </c>
      <c r="G1063" s="23" t="s">
        <v>115</v>
      </c>
      <c r="H1063" s="23" t="s">
        <v>2982</v>
      </c>
      <c r="I1063" s="23">
        <v>3</v>
      </c>
      <c r="J1063" s="40">
        <v>0</v>
      </c>
      <c r="K1063" s="40">
        <v>0</v>
      </c>
      <c r="L1063" s="40" t="s">
        <v>115</v>
      </c>
      <c r="O1063" s="40" t="s">
        <v>115</v>
      </c>
      <c r="Q1063" s="40">
        <v>116</v>
      </c>
      <c r="R1063" s="40">
        <v>17</v>
      </c>
      <c r="X1063" s="40">
        <v>90110418</v>
      </c>
      <c r="Y1063" s="40" t="s">
        <v>115</v>
      </c>
      <c r="Z1063" s="40" t="s">
        <v>115</v>
      </c>
      <c r="AA1063" s="40" t="s">
        <v>115</v>
      </c>
      <c r="AB1063" s="40" t="s">
        <v>115</v>
      </c>
      <c r="AC1063" s="40" t="s">
        <v>115</v>
      </c>
      <c r="AI1063" s="40" t="s">
        <v>115</v>
      </c>
      <c r="AP1063" s="4" t="s">
        <v>115</v>
      </c>
    </row>
    <row r="1064" spans="1:42" x14ac:dyDescent="0.15">
      <c r="A1064" s="40" t="s">
        <v>1</v>
      </c>
      <c r="B1064" s="23">
        <v>90110418</v>
      </c>
      <c r="C1064" s="23">
        <v>1104</v>
      </c>
      <c r="D1064" s="23">
        <v>11</v>
      </c>
      <c r="F1064" s="23" t="s">
        <v>115</v>
      </c>
      <c r="G1064" s="23" t="s">
        <v>115</v>
      </c>
      <c r="H1064" s="23" t="s">
        <v>2983</v>
      </c>
      <c r="I1064" s="23">
        <v>4</v>
      </c>
      <c r="J1064" s="40">
        <v>0</v>
      </c>
      <c r="K1064" s="40">
        <v>5</v>
      </c>
      <c r="L1064" s="40" t="s">
        <v>2984</v>
      </c>
      <c r="O1064" s="40" t="s">
        <v>115</v>
      </c>
      <c r="Q1064" s="40">
        <v>116</v>
      </c>
      <c r="R1064" s="40" t="s">
        <v>115</v>
      </c>
      <c r="X1064" s="40">
        <v>90110419</v>
      </c>
      <c r="Y1064" s="40" t="s">
        <v>115</v>
      </c>
      <c r="Z1064" s="40">
        <v>4</v>
      </c>
      <c r="AA1064" s="40" t="s">
        <v>115</v>
      </c>
      <c r="AB1064" s="40" t="s">
        <v>115</v>
      </c>
      <c r="AC1064" s="40" t="s">
        <v>115</v>
      </c>
      <c r="AI1064" s="40" t="s">
        <v>115</v>
      </c>
      <c r="AP1064" s="4" t="s">
        <v>115</v>
      </c>
    </row>
    <row r="1065" spans="1:42" x14ac:dyDescent="0.15">
      <c r="A1065" s="40" t="s">
        <v>1</v>
      </c>
      <c r="B1065" s="23">
        <v>90110419</v>
      </c>
      <c r="C1065" s="23">
        <v>1104</v>
      </c>
      <c r="D1065" s="23">
        <v>11</v>
      </c>
      <c r="F1065" s="23" t="s">
        <v>116</v>
      </c>
      <c r="G1065" s="23">
        <v>317</v>
      </c>
      <c r="H1065" s="23" t="s">
        <v>2985</v>
      </c>
      <c r="I1065" s="23">
        <v>0</v>
      </c>
      <c r="J1065" s="40">
        <v>0</v>
      </c>
      <c r="K1065" s="40">
        <v>0</v>
      </c>
      <c r="L1065" s="40" t="s">
        <v>115</v>
      </c>
      <c r="O1065" s="40" t="s">
        <v>115</v>
      </c>
      <c r="Q1065" s="40">
        <v>116</v>
      </c>
      <c r="R1065" s="40" t="s">
        <v>115</v>
      </c>
      <c r="X1065" s="40">
        <v>90110420</v>
      </c>
      <c r="Y1065" s="40" t="s">
        <v>115</v>
      </c>
      <c r="Z1065" s="40" t="s">
        <v>115</v>
      </c>
      <c r="AA1065" s="40" t="s">
        <v>115</v>
      </c>
      <c r="AB1065" s="40" t="s">
        <v>115</v>
      </c>
      <c r="AC1065" s="40" t="s">
        <v>115</v>
      </c>
      <c r="AI1065" s="40" t="s">
        <v>115</v>
      </c>
      <c r="AP1065" s="4" t="s">
        <v>115</v>
      </c>
    </row>
    <row r="1066" spans="1:42" x14ac:dyDescent="0.15">
      <c r="A1066" s="40" t="s">
        <v>1</v>
      </c>
      <c r="B1066" s="23">
        <v>90110420</v>
      </c>
      <c r="C1066" s="23">
        <v>1104</v>
      </c>
      <c r="D1066" s="23">
        <v>11</v>
      </c>
      <c r="F1066" s="23" t="s">
        <v>932</v>
      </c>
      <c r="G1066" s="23" t="s">
        <v>115</v>
      </c>
      <c r="H1066" s="23" t="s">
        <v>338</v>
      </c>
      <c r="I1066" s="23">
        <v>1</v>
      </c>
      <c r="J1066" s="40">
        <v>0</v>
      </c>
      <c r="K1066" s="40">
        <v>0</v>
      </c>
      <c r="L1066" s="40" t="s">
        <v>115</v>
      </c>
      <c r="O1066" s="40" t="s">
        <v>115</v>
      </c>
      <c r="Q1066" s="40">
        <v>116</v>
      </c>
      <c r="R1066" s="40" t="s">
        <v>115</v>
      </c>
      <c r="X1066" s="40">
        <v>90110421</v>
      </c>
      <c r="Y1066" s="40" t="s">
        <v>115</v>
      </c>
      <c r="Z1066" s="40" t="s">
        <v>115</v>
      </c>
      <c r="AA1066" s="40" t="s">
        <v>115</v>
      </c>
      <c r="AB1066" s="40" t="s">
        <v>115</v>
      </c>
      <c r="AC1066" s="40" t="s">
        <v>115</v>
      </c>
      <c r="AI1066" s="40">
        <v>407</v>
      </c>
      <c r="AP1066" s="4" t="s">
        <v>115</v>
      </c>
    </row>
    <row r="1067" spans="1:42" x14ac:dyDescent="0.15">
      <c r="A1067" s="40" t="s">
        <v>1</v>
      </c>
      <c r="B1067" s="23">
        <v>90110421</v>
      </c>
      <c r="C1067" s="23">
        <v>1104</v>
      </c>
      <c r="D1067" s="23">
        <v>11</v>
      </c>
      <c r="F1067" s="23" t="s">
        <v>932</v>
      </c>
      <c r="G1067" s="23" t="s">
        <v>115</v>
      </c>
      <c r="H1067" s="23" t="s">
        <v>2986</v>
      </c>
      <c r="I1067" s="23">
        <v>1</v>
      </c>
      <c r="J1067" s="40">
        <v>0</v>
      </c>
      <c r="K1067" s="40">
        <v>0</v>
      </c>
      <c r="L1067" s="40" t="s">
        <v>115</v>
      </c>
      <c r="O1067" s="40" t="s">
        <v>115</v>
      </c>
      <c r="Q1067" s="40">
        <v>116</v>
      </c>
      <c r="R1067" s="40" t="s">
        <v>115</v>
      </c>
      <c r="X1067" s="40">
        <v>90110422</v>
      </c>
      <c r="Y1067" s="40" t="s">
        <v>115</v>
      </c>
      <c r="Z1067" s="40" t="s">
        <v>115</v>
      </c>
      <c r="AA1067" s="40" t="s">
        <v>115</v>
      </c>
      <c r="AB1067" s="40" t="s">
        <v>115</v>
      </c>
      <c r="AC1067" s="40" t="s">
        <v>115</v>
      </c>
      <c r="AI1067" s="40" t="s">
        <v>1391</v>
      </c>
      <c r="AP1067" s="4" t="s">
        <v>115</v>
      </c>
    </row>
    <row r="1068" spans="1:42" x14ac:dyDescent="0.15">
      <c r="A1068" s="40" t="s">
        <v>1</v>
      </c>
      <c r="B1068" s="23">
        <v>90110422</v>
      </c>
      <c r="C1068" s="23">
        <v>1104</v>
      </c>
      <c r="D1068" s="23">
        <v>11</v>
      </c>
      <c r="F1068" s="23" t="s">
        <v>116</v>
      </c>
      <c r="G1068" s="23">
        <v>308</v>
      </c>
      <c r="H1068" s="23" t="s">
        <v>2987</v>
      </c>
      <c r="I1068" s="23">
        <v>0</v>
      </c>
      <c r="J1068" s="40">
        <v>0</v>
      </c>
      <c r="K1068" s="40">
        <v>6</v>
      </c>
      <c r="L1068" s="40" t="s">
        <v>115</v>
      </c>
      <c r="O1068" s="40">
        <v>1</v>
      </c>
      <c r="Q1068" s="40">
        <v>116</v>
      </c>
      <c r="R1068" s="40" t="s">
        <v>115</v>
      </c>
      <c r="X1068" s="40" t="s">
        <v>115</v>
      </c>
      <c r="Y1068" s="40" t="s">
        <v>115</v>
      </c>
      <c r="Z1068" s="40">
        <v>5</v>
      </c>
      <c r="AA1068" s="40" t="s">
        <v>115</v>
      </c>
      <c r="AB1068" s="40" t="s">
        <v>115</v>
      </c>
      <c r="AC1068" s="40" t="s">
        <v>115</v>
      </c>
      <c r="AI1068" s="40">
        <v>405</v>
      </c>
      <c r="AP1068" s="4" t="s">
        <v>115</v>
      </c>
    </row>
    <row r="1069" spans="1:42" x14ac:dyDescent="0.15">
      <c r="A1069" s="40" t="s">
        <v>1</v>
      </c>
      <c r="B1069" s="23">
        <v>90110423</v>
      </c>
      <c r="C1069" s="23">
        <v>1104</v>
      </c>
      <c r="D1069" s="23">
        <v>11</v>
      </c>
      <c r="F1069" s="23" t="s">
        <v>116</v>
      </c>
      <c r="G1069" s="23">
        <v>309</v>
      </c>
      <c r="H1069" s="23" t="s">
        <v>2988</v>
      </c>
      <c r="I1069" s="23">
        <v>0</v>
      </c>
      <c r="J1069" s="40">
        <v>0</v>
      </c>
      <c r="K1069" s="40">
        <v>0</v>
      </c>
      <c r="L1069" s="40" t="s">
        <v>115</v>
      </c>
      <c r="O1069" s="40" t="s">
        <v>115</v>
      </c>
      <c r="Q1069" s="40">
        <v>116</v>
      </c>
      <c r="R1069" s="40" t="s">
        <v>115</v>
      </c>
      <c r="X1069" s="40">
        <v>90110424</v>
      </c>
      <c r="Y1069" s="40" t="s">
        <v>115</v>
      </c>
      <c r="Z1069" s="40" t="s">
        <v>115</v>
      </c>
      <c r="AA1069" s="40" t="s">
        <v>115</v>
      </c>
      <c r="AB1069" s="40" t="s">
        <v>115</v>
      </c>
      <c r="AC1069" s="40" t="s">
        <v>115</v>
      </c>
      <c r="AI1069" s="40" t="s">
        <v>115</v>
      </c>
      <c r="AP1069" s="4" t="s">
        <v>115</v>
      </c>
    </row>
    <row r="1070" spans="1:42" x14ac:dyDescent="0.15">
      <c r="A1070" s="40" t="s">
        <v>1</v>
      </c>
      <c r="B1070" s="23">
        <v>90110424</v>
      </c>
      <c r="C1070" s="23">
        <v>1104</v>
      </c>
      <c r="D1070" s="23">
        <v>11</v>
      </c>
      <c r="F1070" s="23" t="s">
        <v>932</v>
      </c>
      <c r="G1070" s="23" t="s">
        <v>115</v>
      </c>
      <c r="H1070" s="23" t="s">
        <v>2989</v>
      </c>
      <c r="I1070" s="23">
        <v>1</v>
      </c>
      <c r="J1070" s="40">
        <v>0</v>
      </c>
      <c r="K1070" s="40">
        <v>0</v>
      </c>
      <c r="L1070" s="40" t="s">
        <v>115</v>
      </c>
      <c r="O1070" s="40" t="s">
        <v>115</v>
      </c>
      <c r="Q1070" s="40">
        <v>116</v>
      </c>
      <c r="R1070" s="40" t="s">
        <v>115</v>
      </c>
      <c r="X1070" s="40">
        <v>90110407</v>
      </c>
      <c r="Y1070" s="40" t="s">
        <v>115</v>
      </c>
      <c r="Z1070" s="40" t="s">
        <v>115</v>
      </c>
      <c r="AA1070" s="40" t="s">
        <v>115</v>
      </c>
      <c r="AB1070" s="40" t="s">
        <v>115</v>
      </c>
      <c r="AC1070" s="40" t="s">
        <v>115</v>
      </c>
      <c r="AI1070" s="40" t="s">
        <v>1391</v>
      </c>
      <c r="AP1070" s="4" t="s">
        <v>115</v>
      </c>
    </row>
    <row r="1071" spans="1:42" x14ac:dyDescent="0.15">
      <c r="A1071" s="40" t="s">
        <v>1</v>
      </c>
      <c r="B1071" s="23" t="s">
        <v>2812</v>
      </c>
      <c r="C1071" s="23">
        <v>1105</v>
      </c>
      <c r="D1071" s="23">
        <v>11</v>
      </c>
      <c r="F1071" s="23" t="s">
        <v>115</v>
      </c>
      <c r="G1071" s="23" t="s">
        <v>115</v>
      </c>
      <c r="H1071" s="23" t="s">
        <v>2990</v>
      </c>
      <c r="I1071" s="23">
        <v>4</v>
      </c>
      <c r="J1071" s="40">
        <v>1</v>
      </c>
      <c r="K1071" s="40">
        <v>1</v>
      </c>
      <c r="L1071" s="40" t="s">
        <v>115</v>
      </c>
      <c r="O1071" s="40" t="s">
        <v>115</v>
      </c>
      <c r="Q1071" s="40">
        <v>172</v>
      </c>
      <c r="R1071" s="40" t="s">
        <v>115</v>
      </c>
      <c r="X1071" s="40">
        <v>90110502</v>
      </c>
      <c r="Y1071" s="40" t="s">
        <v>115</v>
      </c>
      <c r="Z1071" s="40" t="s">
        <v>115</v>
      </c>
      <c r="AA1071" s="40" t="s">
        <v>115</v>
      </c>
      <c r="AB1071" s="40" t="s">
        <v>115</v>
      </c>
      <c r="AC1071" s="40" t="s">
        <v>115</v>
      </c>
      <c r="AI1071" s="40" t="s">
        <v>115</v>
      </c>
      <c r="AP1071" s="4" t="s">
        <v>115</v>
      </c>
    </row>
    <row r="1072" spans="1:42" x14ac:dyDescent="0.15">
      <c r="A1072" s="40" t="s">
        <v>1</v>
      </c>
      <c r="B1072" s="23">
        <v>90110502</v>
      </c>
      <c r="C1072" s="23">
        <v>1105</v>
      </c>
      <c r="D1072" s="23">
        <v>11</v>
      </c>
      <c r="F1072" s="23" t="s">
        <v>116</v>
      </c>
      <c r="G1072" s="23">
        <v>317</v>
      </c>
      <c r="H1072" s="23" t="s">
        <v>2991</v>
      </c>
      <c r="I1072" s="23">
        <v>0</v>
      </c>
      <c r="J1072" s="40">
        <v>0</v>
      </c>
      <c r="K1072" s="40">
        <v>0</v>
      </c>
      <c r="L1072" s="40" t="s">
        <v>115</v>
      </c>
      <c r="O1072" s="40" t="s">
        <v>115</v>
      </c>
      <c r="Q1072" s="40">
        <v>172</v>
      </c>
      <c r="R1072" s="40" t="s">
        <v>115</v>
      </c>
      <c r="X1072" s="40">
        <v>90110503</v>
      </c>
      <c r="Y1072" s="40" t="s">
        <v>115</v>
      </c>
      <c r="Z1072" s="40" t="s">
        <v>115</v>
      </c>
      <c r="AA1072" s="40" t="s">
        <v>115</v>
      </c>
      <c r="AB1072" s="40" t="s">
        <v>115</v>
      </c>
      <c r="AC1072" s="40" t="s">
        <v>115</v>
      </c>
      <c r="AI1072" s="40" t="s">
        <v>115</v>
      </c>
      <c r="AP1072" s="4" t="s">
        <v>115</v>
      </c>
    </row>
    <row r="1073" spans="1:42" x14ac:dyDescent="0.15">
      <c r="A1073" s="40" t="s">
        <v>1</v>
      </c>
      <c r="B1073" s="23">
        <v>90110503</v>
      </c>
      <c r="C1073" s="23">
        <v>1105</v>
      </c>
      <c r="D1073" s="23">
        <v>11</v>
      </c>
      <c r="F1073" s="23" t="s">
        <v>932</v>
      </c>
      <c r="G1073" s="23" t="s">
        <v>115</v>
      </c>
      <c r="H1073" s="23" t="s">
        <v>2992</v>
      </c>
      <c r="I1073" s="23">
        <v>1</v>
      </c>
      <c r="J1073" s="40">
        <v>0</v>
      </c>
      <c r="K1073" s="40">
        <v>0</v>
      </c>
      <c r="L1073" s="40" t="s">
        <v>115</v>
      </c>
      <c r="O1073" s="40" t="s">
        <v>115</v>
      </c>
      <c r="Q1073" s="40">
        <v>172</v>
      </c>
      <c r="R1073" s="40" t="s">
        <v>115</v>
      </c>
      <c r="X1073" s="40">
        <v>90110504</v>
      </c>
      <c r="Y1073" s="40" t="s">
        <v>115</v>
      </c>
      <c r="Z1073" s="40" t="s">
        <v>115</v>
      </c>
      <c r="AA1073" s="40" t="s">
        <v>115</v>
      </c>
      <c r="AB1073" s="40" t="s">
        <v>115</v>
      </c>
      <c r="AC1073" s="40" t="s">
        <v>115</v>
      </c>
      <c r="AI1073" s="40" t="s">
        <v>960</v>
      </c>
      <c r="AP1073" s="4" t="s">
        <v>115</v>
      </c>
    </row>
    <row r="1074" spans="1:42" x14ac:dyDescent="0.15">
      <c r="A1074" s="40" t="s">
        <v>1</v>
      </c>
      <c r="B1074" s="23">
        <v>90110504</v>
      </c>
      <c r="C1074" s="23">
        <v>1105</v>
      </c>
      <c r="D1074" s="23">
        <v>11</v>
      </c>
      <c r="F1074" s="23" t="s">
        <v>116</v>
      </c>
      <c r="G1074" s="23">
        <v>317</v>
      </c>
      <c r="H1074" s="23" t="s">
        <v>2993</v>
      </c>
      <c r="I1074" s="23">
        <v>0</v>
      </c>
      <c r="J1074" s="40">
        <v>0</v>
      </c>
      <c r="K1074" s="40">
        <v>0</v>
      </c>
      <c r="L1074" s="40" t="s">
        <v>115</v>
      </c>
      <c r="O1074" s="40" t="s">
        <v>115</v>
      </c>
      <c r="Q1074" s="40">
        <v>172</v>
      </c>
      <c r="R1074" s="40" t="s">
        <v>115</v>
      </c>
      <c r="X1074" s="40">
        <v>90110505</v>
      </c>
      <c r="Y1074" s="40" t="s">
        <v>115</v>
      </c>
      <c r="Z1074" s="40" t="s">
        <v>115</v>
      </c>
      <c r="AA1074" s="40" t="s">
        <v>115</v>
      </c>
      <c r="AB1074" s="40" t="s">
        <v>115</v>
      </c>
      <c r="AC1074" s="40" t="s">
        <v>115</v>
      </c>
      <c r="AI1074" s="40">
        <v>403</v>
      </c>
      <c r="AP1074" s="4" t="s">
        <v>115</v>
      </c>
    </row>
    <row r="1075" spans="1:42" x14ac:dyDescent="0.15">
      <c r="A1075" s="40" t="s">
        <v>1</v>
      </c>
      <c r="B1075" s="23">
        <v>90110505</v>
      </c>
      <c r="C1075" s="23">
        <v>1105</v>
      </c>
      <c r="D1075" s="23">
        <v>11</v>
      </c>
      <c r="F1075" s="23" t="s">
        <v>932</v>
      </c>
      <c r="G1075" s="23" t="s">
        <v>115</v>
      </c>
      <c r="H1075" s="23" t="s">
        <v>2994</v>
      </c>
      <c r="I1075" s="23">
        <v>1</v>
      </c>
      <c r="J1075" s="40">
        <v>0</v>
      </c>
      <c r="K1075" s="40">
        <v>0</v>
      </c>
      <c r="L1075" s="40" t="s">
        <v>115</v>
      </c>
      <c r="O1075" s="40" t="s">
        <v>115</v>
      </c>
      <c r="Q1075" s="40">
        <v>172</v>
      </c>
      <c r="R1075" s="40" t="s">
        <v>115</v>
      </c>
      <c r="X1075" s="40">
        <v>90110506</v>
      </c>
      <c r="Y1075" s="40" t="s">
        <v>115</v>
      </c>
      <c r="Z1075" s="40" t="s">
        <v>115</v>
      </c>
      <c r="AA1075" s="40" t="s">
        <v>115</v>
      </c>
      <c r="AB1075" s="40" t="s">
        <v>115</v>
      </c>
      <c r="AC1075" s="40" t="s">
        <v>115</v>
      </c>
      <c r="AI1075" s="40" t="s">
        <v>960</v>
      </c>
      <c r="AP1075" s="4" t="s">
        <v>115</v>
      </c>
    </row>
    <row r="1076" spans="1:42" x14ac:dyDescent="0.15">
      <c r="A1076" s="40" t="s">
        <v>1</v>
      </c>
      <c r="B1076" s="23">
        <v>90110506</v>
      </c>
      <c r="C1076" s="23">
        <v>1105</v>
      </c>
      <c r="D1076" s="23">
        <v>11</v>
      </c>
      <c r="F1076" s="23" t="s">
        <v>2995</v>
      </c>
      <c r="G1076" s="23" t="s">
        <v>115</v>
      </c>
      <c r="H1076" s="23" t="s">
        <v>2996</v>
      </c>
      <c r="I1076" s="23">
        <v>3</v>
      </c>
      <c r="J1076" s="40">
        <v>0</v>
      </c>
      <c r="K1076" s="40">
        <v>0</v>
      </c>
      <c r="L1076" s="40" t="s">
        <v>115</v>
      </c>
      <c r="O1076" s="40" t="s">
        <v>115</v>
      </c>
      <c r="Q1076" s="40">
        <v>172</v>
      </c>
      <c r="R1076" s="40">
        <v>283</v>
      </c>
      <c r="X1076" s="40">
        <v>90110507</v>
      </c>
      <c r="Y1076" s="40" t="s">
        <v>115</v>
      </c>
      <c r="Z1076" s="40" t="s">
        <v>115</v>
      </c>
      <c r="AA1076" s="40" t="s">
        <v>115</v>
      </c>
      <c r="AB1076" s="40" t="s">
        <v>115</v>
      </c>
      <c r="AC1076" s="40" t="s">
        <v>115</v>
      </c>
      <c r="AI1076" s="40" t="s">
        <v>115</v>
      </c>
      <c r="AP1076" s="4" t="s">
        <v>115</v>
      </c>
    </row>
    <row r="1077" spans="1:42" x14ac:dyDescent="0.15">
      <c r="A1077" s="40" t="s">
        <v>1</v>
      </c>
      <c r="B1077" s="23">
        <v>90110507</v>
      </c>
      <c r="C1077" s="23">
        <v>1105</v>
      </c>
      <c r="D1077" s="23">
        <v>11</v>
      </c>
      <c r="F1077" s="23" t="s">
        <v>116</v>
      </c>
      <c r="G1077" s="23">
        <v>309</v>
      </c>
      <c r="H1077" s="23" t="s">
        <v>2997</v>
      </c>
      <c r="I1077" s="23">
        <v>0</v>
      </c>
      <c r="J1077" s="40">
        <v>0</v>
      </c>
      <c r="K1077" s="40">
        <v>0</v>
      </c>
      <c r="L1077" s="40" t="s">
        <v>115</v>
      </c>
      <c r="O1077" s="40" t="s">
        <v>115</v>
      </c>
      <c r="Q1077" s="40">
        <v>172</v>
      </c>
      <c r="R1077" s="40">
        <v>283</v>
      </c>
      <c r="X1077" s="40">
        <v>90110508</v>
      </c>
      <c r="Y1077" s="40" t="s">
        <v>115</v>
      </c>
      <c r="Z1077" s="40" t="s">
        <v>115</v>
      </c>
      <c r="AA1077" s="40" t="s">
        <v>115</v>
      </c>
      <c r="AB1077" s="40" t="s">
        <v>115</v>
      </c>
      <c r="AC1077" s="40" t="s">
        <v>115</v>
      </c>
      <c r="AI1077" s="40" t="s">
        <v>115</v>
      </c>
      <c r="AP1077" s="4" t="s">
        <v>115</v>
      </c>
    </row>
    <row r="1078" spans="1:42" x14ac:dyDescent="0.15">
      <c r="A1078" s="40" t="s">
        <v>1</v>
      </c>
      <c r="B1078" s="23">
        <v>90110508</v>
      </c>
      <c r="C1078" s="23">
        <v>1105</v>
      </c>
      <c r="D1078" s="23">
        <v>11</v>
      </c>
      <c r="F1078" s="23" t="s">
        <v>2995</v>
      </c>
      <c r="G1078" s="23" t="s">
        <v>115</v>
      </c>
      <c r="H1078" s="23" t="s">
        <v>2998</v>
      </c>
      <c r="I1078" s="23">
        <v>3</v>
      </c>
      <c r="J1078" s="40">
        <v>0</v>
      </c>
      <c r="K1078" s="40">
        <v>0</v>
      </c>
      <c r="L1078" s="40" t="s">
        <v>115</v>
      </c>
      <c r="O1078" s="40" t="s">
        <v>115</v>
      </c>
      <c r="Q1078" s="40">
        <v>172</v>
      </c>
      <c r="R1078" s="40">
        <v>283</v>
      </c>
      <c r="X1078" s="40">
        <v>90110509</v>
      </c>
      <c r="Y1078" s="40" t="s">
        <v>115</v>
      </c>
      <c r="Z1078" s="40" t="s">
        <v>115</v>
      </c>
      <c r="AA1078" s="40" t="s">
        <v>115</v>
      </c>
      <c r="AB1078" s="40" t="s">
        <v>115</v>
      </c>
      <c r="AC1078" s="40" t="s">
        <v>115</v>
      </c>
      <c r="AI1078" s="40" t="s">
        <v>115</v>
      </c>
      <c r="AP1078" s="4" t="s">
        <v>115</v>
      </c>
    </row>
    <row r="1079" spans="1:42" x14ac:dyDescent="0.15">
      <c r="A1079" s="40" t="s">
        <v>1</v>
      </c>
      <c r="B1079" s="23">
        <v>90110509</v>
      </c>
      <c r="C1079" s="23">
        <v>1105</v>
      </c>
      <c r="D1079" s="23">
        <v>11</v>
      </c>
      <c r="F1079" s="23" t="s">
        <v>116</v>
      </c>
      <c r="G1079" s="23">
        <v>309</v>
      </c>
      <c r="H1079" s="23" t="s">
        <v>2999</v>
      </c>
      <c r="I1079" s="23">
        <v>0</v>
      </c>
      <c r="J1079" s="40">
        <v>0</v>
      </c>
      <c r="K1079" s="40">
        <v>0</v>
      </c>
      <c r="L1079" s="40" t="s">
        <v>115</v>
      </c>
      <c r="O1079" s="40" t="s">
        <v>115</v>
      </c>
      <c r="Q1079" s="40">
        <v>172</v>
      </c>
      <c r="R1079" s="40">
        <v>283</v>
      </c>
      <c r="X1079" s="40">
        <v>90110510</v>
      </c>
      <c r="Y1079" s="40" t="s">
        <v>115</v>
      </c>
      <c r="Z1079" s="40" t="s">
        <v>115</v>
      </c>
      <c r="AA1079" s="40" t="s">
        <v>115</v>
      </c>
      <c r="AB1079" s="40" t="s">
        <v>115</v>
      </c>
      <c r="AC1079" s="40" t="s">
        <v>115</v>
      </c>
      <c r="AI1079" s="40" t="s">
        <v>115</v>
      </c>
      <c r="AP1079" s="4" t="s">
        <v>115</v>
      </c>
    </row>
    <row r="1080" spans="1:42" x14ac:dyDescent="0.15">
      <c r="A1080" s="40" t="s">
        <v>1</v>
      </c>
      <c r="B1080" s="23">
        <v>90110510</v>
      </c>
      <c r="C1080" s="23">
        <v>1105</v>
      </c>
      <c r="D1080" s="23">
        <v>11</v>
      </c>
      <c r="F1080" s="23" t="s">
        <v>115</v>
      </c>
      <c r="G1080" s="23" t="s">
        <v>115</v>
      </c>
      <c r="H1080" s="23" t="s">
        <v>3000</v>
      </c>
      <c r="I1080" s="23">
        <v>4</v>
      </c>
      <c r="J1080" s="40">
        <v>0</v>
      </c>
      <c r="K1080" s="40">
        <v>2</v>
      </c>
      <c r="L1080" s="40" t="s">
        <v>115</v>
      </c>
      <c r="O1080" s="40" t="s">
        <v>115</v>
      </c>
      <c r="Q1080" s="40">
        <v>172</v>
      </c>
      <c r="R1080" s="40">
        <v>283</v>
      </c>
      <c r="X1080" s="40" t="s">
        <v>3001</v>
      </c>
      <c r="Y1080" s="40">
        <v>1</v>
      </c>
      <c r="Z1080" s="40">
        <v>1</v>
      </c>
      <c r="AA1080" s="40" t="s">
        <v>115</v>
      </c>
      <c r="AB1080" s="40" t="s">
        <v>115</v>
      </c>
      <c r="AC1080" s="40" t="s">
        <v>115</v>
      </c>
      <c r="AI1080" s="40" t="s">
        <v>115</v>
      </c>
      <c r="AP1080" s="4" t="s">
        <v>115</v>
      </c>
    </row>
    <row r="1081" spans="1:42" x14ac:dyDescent="0.15">
      <c r="A1081" s="40" t="s">
        <v>1</v>
      </c>
      <c r="B1081" s="23">
        <v>90110511</v>
      </c>
      <c r="C1081" s="23">
        <v>1105</v>
      </c>
      <c r="D1081" s="23">
        <v>11</v>
      </c>
      <c r="F1081" s="23" t="s">
        <v>115</v>
      </c>
      <c r="G1081" s="23" t="s">
        <v>115</v>
      </c>
      <c r="H1081" s="23" t="s">
        <v>3002</v>
      </c>
      <c r="I1081" s="23">
        <v>4</v>
      </c>
      <c r="J1081" s="40">
        <v>0</v>
      </c>
      <c r="K1081" s="40">
        <v>3</v>
      </c>
      <c r="L1081" s="40" t="s">
        <v>115</v>
      </c>
      <c r="O1081" s="40" t="s">
        <v>115</v>
      </c>
      <c r="Q1081" s="40">
        <v>172</v>
      </c>
      <c r="R1081" s="40">
        <v>283</v>
      </c>
      <c r="X1081" s="40">
        <v>90110513</v>
      </c>
      <c r="Y1081" s="40">
        <v>-1</v>
      </c>
      <c r="Z1081" s="40">
        <v>2</v>
      </c>
      <c r="AA1081" s="40" t="s">
        <v>3003</v>
      </c>
      <c r="AB1081" s="40" t="s">
        <v>115</v>
      </c>
      <c r="AC1081" s="40" t="s">
        <v>115</v>
      </c>
      <c r="AI1081" s="40" t="s">
        <v>115</v>
      </c>
      <c r="AP1081" s="4" t="s">
        <v>115</v>
      </c>
    </row>
    <row r="1082" spans="1:42" x14ac:dyDescent="0.15">
      <c r="A1082" s="40" t="s">
        <v>1</v>
      </c>
      <c r="B1082" s="23">
        <v>90110512</v>
      </c>
      <c r="C1082" s="23">
        <v>1105</v>
      </c>
      <c r="D1082" s="23">
        <v>11</v>
      </c>
      <c r="F1082" s="23" t="s">
        <v>115</v>
      </c>
      <c r="G1082" s="23" t="s">
        <v>115</v>
      </c>
      <c r="H1082" s="23" t="s">
        <v>3004</v>
      </c>
      <c r="I1082" s="23">
        <v>4</v>
      </c>
      <c r="J1082" s="40">
        <v>0</v>
      </c>
      <c r="K1082" s="40">
        <v>4</v>
      </c>
      <c r="L1082" s="40" t="s">
        <v>115</v>
      </c>
      <c r="O1082" s="40" t="s">
        <v>115</v>
      </c>
      <c r="Q1082" s="40">
        <v>172</v>
      </c>
      <c r="R1082" s="40">
        <v>283</v>
      </c>
      <c r="X1082" s="40">
        <v>90110521</v>
      </c>
      <c r="Y1082" s="40">
        <v>-1</v>
      </c>
      <c r="Z1082" s="40">
        <v>2</v>
      </c>
      <c r="AA1082" s="40" t="s">
        <v>115</v>
      </c>
      <c r="AB1082" s="40" t="s">
        <v>115</v>
      </c>
      <c r="AC1082" s="40" t="s">
        <v>115</v>
      </c>
      <c r="AI1082" s="40" t="s">
        <v>115</v>
      </c>
      <c r="AP1082" s="4" t="s">
        <v>115</v>
      </c>
    </row>
    <row r="1083" spans="1:42" x14ac:dyDescent="0.15">
      <c r="A1083" s="40" t="s">
        <v>1</v>
      </c>
      <c r="B1083" s="23">
        <v>90110513</v>
      </c>
      <c r="C1083" s="23">
        <v>1105</v>
      </c>
      <c r="D1083" s="23">
        <v>11</v>
      </c>
      <c r="F1083" s="23" t="s">
        <v>116</v>
      </c>
      <c r="G1083" s="23">
        <v>312</v>
      </c>
      <c r="H1083" s="23" t="s">
        <v>3005</v>
      </c>
      <c r="I1083" s="23">
        <v>0</v>
      </c>
      <c r="J1083" s="40">
        <v>0</v>
      </c>
      <c r="K1083" s="40">
        <v>0</v>
      </c>
      <c r="L1083" s="40" t="s">
        <v>115</v>
      </c>
      <c r="O1083" s="40" t="s">
        <v>115</v>
      </c>
      <c r="Q1083" s="40">
        <v>172</v>
      </c>
      <c r="R1083" s="40">
        <v>283</v>
      </c>
      <c r="X1083" s="40">
        <v>90110514</v>
      </c>
      <c r="Y1083" s="40" t="s">
        <v>115</v>
      </c>
      <c r="Z1083" s="40" t="s">
        <v>115</v>
      </c>
      <c r="AA1083" s="40" t="s">
        <v>115</v>
      </c>
      <c r="AB1083" s="40" t="s">
        <v>115</v>
      </c>
      <c r="AC1083" s="40" t="s">
        <v>115</v>
      </c>
      <c r="AI1083" s="40" t="s">
        <v>115</v>
      </c>
      <c r="AP1083" s="4" t="s">
        <v>115</v>
      </c>
    </row>
    <row r="1084" spans="1:42" x14ac:dyDescent="0.15">
      <c r="A1084" s="40" t="s">
        <v>1</v>
      </c>
      <c r="B1084" s="23">
        <v>90110514</v>
      </c>
      <c r="C1084" s="23">
        <v>1105</v>
      </c>
      <c r="D1084" s="23">
        <v>11</v>
      </c>
      <c r="F1084" s="23" t="s">
        <v>2995</v>
      </c>
      <c r="G1084" s="23" t="s">
        <v>115</v>
      </c>
      <c r="H1084" s="23" t="s">
        <v>3006</v>
      </c>
      <c r="I1084" s="23">
        <v>3</v>
      </c>
      <c r="J1084" s="40">
        <v>0</v>
      </c>
      <c r="K1084" s="40">
        <v>0</v>
      </c>
      <c r="L1084" s="40" t="s">
        <v>115</v>
      </c>
      <c r="O1084" s="40" t="s">
        <v>115</v>
      </c>
      <c r="Q1084" s="40">
        <v>172</v>
      </c>
      <c r="R1084" s="40">
        <v>283</v>
      </c>
      <c r="X1084" s="40">
        <v>90110515</v>
      </c>
      <c r="Y1084" s="40" t="s">
        <v>115</v>
      </c>
      <c r="Z1084" s="40" t="s">
        <v>115</v>
      </c>
      <c r="AA1084" s="40" t="s">
        <v>115</v>
      </c>
      <c r="AB1084" s="40" t="s">
        <v>115</v>
      </c>
      <c r="AC1084" s="40" t="s">
        <v>115</v>
      </c>
      <c r="AI1084" s="40" t="s">
        <v>115</v>
      </c>
      <c r="AP1084" s="4" t="s">
        <v>115</v>
      </c>
    </row>
    <row r="1085" spans="1:42" x14ac:dyDescent="0.15">
      <c r="A1085" s="40" t="s">
        <v>1</v>
      </c>
      <c r="B1085" s="23">
        <v>90110515</v>
      </c>
      <c r="C1085" s="23">
        <v>1105</v>
      </c>
      <c r="D1085" s="23">
        <v>11</v>
      </c>
      <c r="F1085" s="23" t="s">
        <v>116</v>
      </c>
      <c r="G1085" s="23">
        <v>315</v>
      </c>
      <c r="H1085" s="23" t="s">
        <v>3007</v>
      </c>
      <c r="I1085" s="23">
        <v>0</v>
      </c>
      <c r="J1085" s="40">
        <v>0</v>
      </c>
      <c r="K1085" s="40">
        <v>0</v>
      </c>
      <c r="L1085" s="40" t="s">
        <v>115</v>
      </c>
      <c r="O1085" s="40" t="s">
        <v>115</v>
      </c>
      <c r="Q1085" s="40">
        <v>172</v>
      </c>
      <c r="R1085" s="40">
        <v>283</v>
      </c>
      <c r="X1085" s="40">
        <v>90110516</v>
      </c>
      <c r="Y1085" s="40" t="s">
        <v>115</v>
      </c>
      <c r="Z1085" s="40" t="s">
        <v>115</v>
      </c>
      <c r="AA1085" s="40" t="s">
        <v>115</v>
      </c>
      <c r="AB1085" s="40" t="s">
        <v>115</v>
      </c>
      <c r="AC1085" s="40" t="s">
        <v>115</v>
      </c>
      <c r="AI1085" s="40" t="s">
        <v>115</v>
      </c>
      <c r="AP1085" s="4" t="s">
        <v>115</v>
      </c>
    </row>
    <row r="1086" spans="1:42" x14ac:dyDescent="0.15">
      <c r="A1086" s="40" t="s">
        <v>1</v>
      </c>
      <c r="B1086" s="23">
        <v>90110516</v>
      </c>
      <c r="C1086" s="23">
        <v>1105</v>
      </c>
      <c r="D1086" s="23">
        <v>11</v>
      </c>
      <c r="F1086" s="23" t="s">
        <v>2995</v>
      </c>
      <c r="G1086" s="23" t="s">
        <v>115</v>
      </c>
      <c r="H1086" s="23" t="s">
        <v>3008</v>
      </c>
      <c r="I1086" s="23">
        <v>3</v>
      </c>
      <c r="J1086" s="40">
        <v>0</v>
      </c>
      <c r="K1086" s="40">
        <v>0</v>
      </c>
      <c r="L1086" s="40" t="s">
        <v>115</v>
      </c>
      <c r="O1086" s="40" t="s">
        <v>115</v>
      </c>
      <c r="Q1086" s="40">
        <v>172</v>
      </c>
      <c r="R1086" s="40">
        <v>283</v>
      </c>
      <c r="X1086" s="40">
        <v>90110517</v>
      </c>
      <c r="Y1086" s="40" t="s">
        <v>115</v>
      </c>
      <c r="Z1086" s="40" t="s">
        <v>115</v>
      </c>
      <c r="AA1086" s="40" t="s">
        <v>115</v>
      </c>
      <c r="AB1086" s="40" t="s">
        <v>115</v>
      </c>
      <c r="AC1086" s="40" t="s">
        <v>115</v>
      </c>
      <c r="AI1086" s="40" t="s">
        <v>115</v>
      </c>
      <c r="AP1086" s="4" t="s">
        <v>115</v>
      </c>
    </row>
    <row r="1087" spans="1:42" x14ac:dyDescent="0.15">
      <c r="A1087" s="40" t="s">
        <v>1</v>
      </c>
      <c r="B1087" s="23">
        <v>90110517</v>
      </c>
      <c r="C1087" s="23">
        <v>1105</v>
      </c>
      <c r="D1087" s="23">
        <v>11</v>
      </c>
      <c r="F1087" s="23" t="s">
        <v>2995</v>
      </c>
      <c r="G1087" s="23" t="s">
        <v>115</v>
      </c>
      <c r="H1087" s="23" t="s">
        <v>3009</v>
      </c>
      <c r="I1087" s="23">
        <v>3</v>
      </c>
      <c r="J1087" s="40">
        <v>0</v>
      </c>
      <c r="K1087" s="40">
        <v>0</v>
      </c>
      <c r="L1087" s="40" t="s">
        <v>115</v>
      </c>
      <c r="O1087" s="40" t="s">
        <v>115</v>
      </c>
      <c r="Q1087" s="40">
        <v>172</v>
      </c>
      <c r="R1087" s="40">
        <v>283</v>
      </c>
      <c r="X1087" s="40">
        <v>90110518</v>
      </c>
      <c r="Y1087" s="40" t="s">
        <v>115</v>
      </c>
      <c r="Z1087" s="40" t="s">
        <v>115</v>
      </c>
      <c r="AA1087" s="40" t="s">
        <v>115</v>
      </c>
      <c r="AB1087" s="40" t="s">
        <v>115</v>
      </c>
      <c r="AC1087" s="40" t="s">
        <v>115</v>
      </c>
      <c r="AI1087" s="40" t="s">
        <v>115</v>
      </c>
      <c r="AP1087" s="4" t="s">
        <v>115</v>
      </c>
    </row>
    <row r="1088" spans="1:42" x14ac:dyDescent="0.15">
      <c r="A1088" s="40" t="s">
        <v>1</v>
      </c>
      <c r="B1088" s="23">
        <v>90110518</v>
      </c>
      <c r="C1088" s="23">
        <v>1105</v>
      </c>
      <c r="D1088" s="23">
        <v>11</v>
      </c>
      <c r="F1088" s="23" t="s">
        <v>116</v>
      </c>
      <c r="G1088" s="23">
        <v>315</v>
      </c>
      <c r="H1088" s="23" t="s">
        <v>3010</v>
      </c>
      <c r="I1088" s="23">
        <v>0</v>
      </c>
      <c r="J1088" s="40">
        <v>0</v>
      </c>
      <c r="K1088" s="40">
        <v>0</v>
      </c>
      <c r="L1088" s="40" t="s">
        <v>115</v>
      </c>
      <c r="O1088" s="40" t="s">
        <v>115</v>
      </c>
      <c r="Q1088" s="40">
        <v>172</v>
      </c>
      <c r="R1088" s="40">
        <v>283</v>
      </c>
      <c r="X1088" s="40">
        <v>90110519</v>
      </c>
      <c r="Y1088" s="40" t="s">
        <v>115</v>
      </c>
      <c r="Z1088" s="40" t="s">
        <v>115</v>
      </c>
      <c r="AA1088" s="40" t="s">
        <v>115</v>
      </c>
      <c r="AB1088" s="40" t="s">
        <v>115</v>
      </c>
      <c r="AC1088" s="40" t="s">
        <v>115</v>
      </c>
      <c r="AI1088" s="40" t="s">
        <v>115</v>
      </c>
      <c r="AP1088" s="4" t="s">
        <v>115</v>
      </c>
    </row>
    <row r="1089" spans="1:42" x14ac:dyDescent="0.15">
      <c r="A1089" s="40" t="s">
        <v>1</v>
      </c>
      <c r="B1089" s="23">
        <v>90110519</v>
      </c>
      <c r="C1089" s="23">
        <v>1105</v>
      </c>
      <c r="D1089" s="23">
        <v>11</v>
      </c>
      <c r="F1089" s="23" t="s">
        <v>115</v>
      </c>
      <c r="G1089" s="23" t="s">
        <v>115</v>
      </c>
      <c r="H1089" s="23" t="s">
        <v>3011</v>
      </c>
      <c r="I1089" s="23">
        <v>4</v>
      </c>
      <c r="J1089" s="40">
        <v>0</v>
      </c>
      <c r="K1089" s="40">
        <v>0</v>
      </c>
      <c r="L1089" s="40" t="s">
        <v>115</v>
      </c>
      <c r="O1089" s="40" t="s">
        <v>115</v>
      </c>
      <c r="Q1089" s="40">
        <v>172</v>
      </c>
      <c r="R1089" s="40">
        <v>283</v>
      </c>
      <c r="X1089" s="40">
        <v>90110520</v>
      </c>
      <c r="Y1089" s="40" t="s">
        <v>115</v>
      </c>
      <c r="Z1089" s="40" t="s">
        <v>115</v>
      </c>
      <c r="AA1089" s="40" t="s">
        <v>115</v>
      </c>
      <c r="AB1089" s="40" t="s">
        <v>115</v>
      </c>
      <c r="AC1089" s="40" t="s">
        <v>115</v>
      </c>
      <c r="AI1089" s="40" t="s">
        <v>115</v>
      </c>
      <c r="AP1089" s="4" t="s">
        <v>115</v>
      </c>
    </row>
    <row r="1090" spans="1:42" x14ac:dyDescent="0.15">
      <c r="A1090" s="40" t="s">
        <v>1</v>
      </c>
      <c r="B1090" s="23">
        <v>90110520</v>
      </c>
      <c r="C1090" s="23">
        <v>1105</v>
      </c>
      <c r="D1090" s="23">
        <v>11</v>
      </c>
      <c r="F1090" s="23" t="s">
        <v>2995</v>
      </c>
      <c r="G1090" s="23" t="s">
        <v>115</v>
      </c>
      <c r="H1090" s="23" t="s">
        <v>3012</v>
      </c>
      <c r="I1090" s="23">
        <v>3</v>
      </c>
      <c r="J1090" s="40">
        <v>0</v>
      </c>
      <c r="K1090" s="40">
        <v>5</v>
      </c>
      <c r="L1090" s="40" t="s">
        <v>3013</v>
      </c>
      <c r="O1090" s="40">
        <v>1</v>
      </c>
      <c r="Q1090" s="40">
        <v>172</v>
      </c>
      <c r="R1090" s="40">
        <v>283</v>
      </c>
      <c r="X1090" s="40" t="s">
        <v>115</v>
      </c>
      <c r="Y1090" s="40" t="s">
        <v>115</v>
      </c>
      <c r="Z1090" s="40">
        <v>4</v>
      </c>
      <c r="AA1090" s="40" t="s">
        <v>115</v>
      </c>
      <c r="AB1090" s="40" t="s">
        <v>115</v>
      </c>
      <c r="AC1090" s="40" t="s">
        <v>115</v>
      </c>
      <c r="AI1090" s="40" t="s">
        <v>115</v>
      </c>
      <c r="AP1090" s="4" t="s">
        <v>115</v>
      </c>
    </row>
    <row r="1091" spans="1:42" x14ac:dyDescent="0.15">
      <c r="A1091" s="40" t="s">
        <v>1</v>
      </c>
      <c r="B1091" s="23">
        <v>90110521</v>
      </c>
      <c r="C1091" s="23">
        <v>1105</v>
      </c>
      <c r="D1091" s="23">
        <v>11</v>
      </c>
      <c r="F1091" s="23" t="s">
        <v>116</v>
      </c>
      <c r="G1091" s="23">
        <v>313</v>
      </c>
      <c r="H1091" s="23" t="s">
        <v>3004</v>
      </c>
      <c r="I1091" s="23">
        <v>0</v>
      </c>
      <c r="J1091" s="40">
        <v>0</v>
      </c>
      <c r="K1091" s="40">
        <v>0</v>
      </c>
      <c r="L1091" s="40" t="s">
        <v>115</v>
      </c>
      <c r="O1091" s="40" t="s">
        <v>115</v>
      </c>
      <c r="Q1091" s="40">
        <v>172</v>
      </c>
      <c r="R1091" s="40">
        <v>283</v>
      </c>
      <c r="X1091" s="40">
        <v>90110522</v>
      </c>
      <c r="Y1091" s="40" t="s">
        <v>115</v>
      </c>
      <c r="Z1091" s="40" t="s">
        <v>115</v>
      </c>
      <c r="AA1091" s="40" t="s">
        <v>115</v>
      </c>
      <c r="AB1091" s="40" t="s">
        <v>115</v>
      </c>
      <c r="AC1091" s="40" t="s">
        <v>115</v>
      </c>
      <c r="AI1091" s="40" t="s">
        <v>115</v>
      </c>
      <c r="AP1091" s="4" t="s">
        <v>115</v>
      </c>
    </row>
    <row r="1092" spans="1:42" x14ac:dyDescent="0.15">
      <c r="A1092" s="40" t="s">
        <v>1</v>
      </c>
      <c r="B1092" s="23">
        <v>90110522</v>
      </c>
      <c r="C1092" s="23">
        <v>1105</v>
      </c>
      <c r="D1092" s="23">
        <v>11</v>
      </c>
      <c r="F1092" s="23" t="s">
        <v>2995</v>
      </c>
      <c r="G1092" s="23" t="s">
        <v>115</v>
      </c>
      <c r="H1092" s="23" t="s">
        <v>3014</v>
      </c>
      <c r="I1092" s="23">
        <v>3</v>
      </c>
      <c r="J1092" s="40">
        <v>0</v>
      </c>
      <c r="K1092" s="40">
        <v>0</v>
      </c>
      <c r="L1092" s="40" t="s">
        <v>115</v>
      </c>
      <c r="O1092" s="40" t="s">
        <v>115</v>
      </c>
      <c r="Q1092" s="40">
        <v>172</v>
      </c>
      <c r="R1092" s="40">
        <v>283</v>
      </c>
      <c r="X1092" s="40">
        <v>90110523</v>
      </c>
      <c r="Y1092" s="40" t="s">
        <v>115</v>
      </c>
      <c r="Z1092" s="40" t="s">
        <v>115</v>
      </c>
      <c r="AA1092" s="40" t="s">
        <v>115</v>
      </c>
      <c r="AB1092" s="40" t="s">
        <v>115</v>
      </c>
      <c r="AC1092" s="40" t="s">
        <v>115</v>
      </c>
      <c r="AI1092" s="40" t="s">
        <v>115</v>
      </c>
      <c r="AP1092" s="4" t="s">
        <v>115</v>
      </c>
    </row>
    <row r="1093" spans="1:42" x14ac:dyDescent="0.15">
      <c r="A1093" s="40" t="s">
        <v>1</v>
      </c>
      <c r="B1093" s="23">
        <v>90110523</v>
      </c>
      <c r="C1093" s="23">
        <v>1105</v>
      </c>
      <c r="D1093" s="23">
        <v>11</v>
      </c>
      <c r="F1093" s="23" t="s">
        <v>2995</v>
      </c>
      <c r="G1093" s="23" t="s">
        <v>115</v>
      </c>
      <c r="H1093" s="23" t="s">
        <v>3015</v>
      </c>
      <c r="I1093" s="23">
        <v>3</v>
      </c>
      <c r="J1093" s="40">
        <v>0</v>
      </c>
      <c r="K1093" s="40">
        <v>0</v>
      </c>
      <c r="L1093" s="40" t="s">
        <v>115</v>
      </c>
      <c r="O1093" s="40" t="s">
        <v>115</v>
      </c>
      <c r="Q1093" s="40">
        <v>172</v>
      </c>
      <c r="R1093" s="40">
        <v>283</v>
      </c>
      <c r="X1093" s="40">
        <v>90110510</v>
      </c>
      <c r="Y1093" s="40" t="s">
        <v>115</v>
      </c>
      <c r="Z1093" s="40" t="s">
        <v>115</v>
      </c>
      <c r="AA1093" s="40" t="s">
        <v>115</v>
      </c>
      <c r="AB1093" s="40" t="s">
        <v>115</v>
      </c>
      <c r="AC1093" s="40" t="s">
        <v>115</v>
      </c>
      <c r="AI1093" s="40" t="s">
        <v>115</v>
      </c>
      <c r="AP1093" s="4" t="s">
        <v>115</v>
      </c>
    </row>
    <row r="1094" spans="1:42" x14ac:dyDescent="0.15">
      <c r="A1094" s="40" t="s">
        <v>1</v>
      </c>
      <c r="B1094" s="23" t="s">
        <v>2814</v>
      </c>
      <c r="C1094" s="23">
        <v>1106</v>
      </c>
      <c r="D1094" s="23">
        <v>11</v>
      </c>
      <c r="F1094" s="23" t="s">
        <v>2851</v>
      </c>
      <c r="G1094" s="23" t="s">
        <v>115</v>
      </c>
      <c r="H1094" s="23" t="s">
        <v>3016</v>
      </c>
      <c r="I1094" s="23">
        <v>3</v>
      </c>
      <c r="J1094" s="40">
        <v>1</v>
      </c>
      <c r="K1094" s="40">
        <v>1</v>
      </c>
      <c r="L1094" s="40" t="s">
        <v>115</v>
      </c>
      <c r="O1094" s="40" t="s">
        <v>115</v>
      </c>
      <c r="Q1094" s="40">
        <v>104</v>
      </c>
      <c r="R1094" s="40">
        <v>126</v>
      </c>
      <c r="X1094" s="40">
        <v>90110602</v>
      </c>
      <c r="Y1094" s="40" t="s">
        <v>115</v>
      </c>
      <c r="Z1094" s="40" t="s">
        <v>115</v>
      </c>
      <c r="AA1094" s="40" t="s">
        <v>115</v>
      </c>
      <c r="AB1094" s="40" t="s">
        <v>115</v>
      </c>
      <c r="AC1094" s="40" t="s">
        <v>115</v>
      </c>
      <c r="AI1094" s="40" t="s">
        <v>115</v>
      </c>
      <c r="AP1094" s="4" t="s">
        <v>115</v>
      </c>
    </row>
    <row r="1095" spans="1:42" x14ac:dyDescent="0.15">
      <c r="A1095" s="40" t="s">
        <v>1</v>
      </c>
      <c r="B1095" s="23">
        <v>90110602</v>
      </c>
      <c r="C1095" s="23">
        <v>1106</v>
      </c>
      <c r="D1095" s="23">
        <v>11</v>
      </c>
      <c r="F1095" s="23" t="s">
        <v>115</v>
      </c>
      <c r="G1095" s="23" t="s">
        <v>115</v>
      </c>
      <c r="H1095" s="23" t="s">
        <v>3017</v>
      </c>
      <c r="I1095" s="23">
        <v>4</v>
      </c>
      <c r="J1095" s="40">
        <v>0</v>
      </c>
      <c r="K1095" s="40">
        <v>2</v>
      </c>
      <c r="L1095" s="40" t="s">
        <v>115</v>
      </c>
      <c r="O1095" s="40" t="s">
        <v>115</v>
      </c>
      <c r="Q1095" s="40">
        <v>104</v>
      </c>
      <c r="R1095" s="40">
        <v>126</v>
      </c>
      <c r="X1095" s="40" t="s">
        <v>3018</v>
      </c>
      <c r="Y1095" s="40">
        <v>1</v>
      </c>
      <c r="Z1095" s="40">
        <v>1</v>
      </c>
      <c r="AA1095" s="40" t="s">
        <v>115</v>
      </c>
      <c r="AB1095" s="40" t="s">
        <v>115</v>
      </c>
      <c r="AC1095" s="40" t="s">
        <v>115</v>
      </c>
      <c r="AI1095" s="40" t="s">
        <v>115</v>
      </c>
      <c r="AP1095" s="4" t="s">
        <v>115</v>
      </c>
    </row>
    <row r="1096" spans="1:42" x14ac:dyDescent="0.15">
      <c r="A1096" s="40" t="s">
        <v>1</v>
      </c>
      <c r="B1096" s="23">
        <v>90110603</v>
      </c>
      <c r="C1096" s="23">
        <v>1106</v>
      </c>
      <c r="D1096" s="23">
        <v>11</v>
      </c>
      <c r="F1096" s="23" t="s">
        <v>115</v>
      </c>
      <c r="G1096" s="23" t="s">
        <v>115</v>
      </c>
      <c r="H1096" s="23" t="s">
        <v>3019</v>
      </c>
      <c r="I1096" s="23">
        <v>4</v>
      </c>
      <c r="J1096" s="40">
        <v>0</v>
      </c>
      <c r="K1096" s="40">
        <v>3</v>
      </c>
      <c r="L1096" s="40" t="s">
        <v>115</v>
      </c>
      <c r="O1096" s="40" t="s">
        <v>115</v>
      </c>
      <c r="Q1096" s="40">
        <v>104</v>
      </c>
      <c r="R1096" s="40">
        <v>126</v>
      </c>
      <c r="X1096" s="40">
        <v>90110605</v>
      </c>
      <c r="Y1096" s="40">
        <v>-1</v>
      </c>
      <c r="Z1096" s="40">
        <v>2</v>
      </c>
      <c r="AA1096" s="40" t="s">
        <v>115</v>
      </c>
      <c r="AB1096" s="40" t="s">
        <v>115</v>
      </c>
      <c r="AC1096" s="40" t="s">
        <v>115</v>
      </c>
      <c r="AI1096" s="40" t="s">
        <v>115</v>
      </c>
      <c r="AP1096" s="4" t="s">
        <v>115</v>
      </c>
    </row>
    <row r="1097" spans="1:42" x14ac:dyDescent="0.15">
      <c r="A1097" s="40" t="s">
        <v>1</v>
      </c>
      <c r="B1097" s="23">
        <v>90110604</v>
      </c>
      <c r="C1097" s="23">
        <v>1106</v>
      </c>
      <c r="D1097" s="23">
        <v>11</v>
      </c>
      <c r="F1097" s="23" t="s">
        <v>115</v>
      </c>
      <c r="G1097" s="23" t="s">
        <v>115</v>
      </c>
      <c r="H1097" s="23" t="s">
        <v>2787</v>
      </c>
      <c r="I1097" s="23">
        <v>4</v>
      </c>
      <c r="J1097" s="40">
        <v>0</v>
      </c>
      <c r="K1097" s="40">
        <v>4</v>
      </c>
      <c r="L1097" s="40" t="s">
        <v>115</v>
      </c>
      <c r="O1097" s="40" t="s">
        <v>115</v>
      </c>
      <c r="Q1097" s="40">
        <v>104</v>
      </c>
      <c r="R1097" s="40">
        <v>126</v>
      </c>
      <c r="X1097" s="40">
        <v>90110608</v>
      </c>
      <c r="Y1097" s="40">
        <v>-1</v>
      </c>
      <c r="Z1097" s="40">
        <v>2</v>
      </c>
      <c r="AA1097" s="40" t="s">
        <v>3020</v>
      </c>
      <c r="AB1097" s="40" t="s">
        <v>115</v>
      </c>
      <c r="AC1097" s="40" t="s">
        <v>115</v>
      </c>
      <c r="AI1097" s="40" t="s">
        <v>115</v>
      </c>
      <c r="AP1097" s="4" t="s">
        <v>115</v>
      </c>
    </row>
    <row r="1098" spans="1:42" x14ac:dyDescent="0.15">
      <c r="A1098" s="40" t="s">
        <v>1</v>
      </c>
      <c r="B1098" s="23">
        <v>90110605</v>
      </c>
      <c r="C1098" s="23">
        <v>1106</v>
      </c>
      <c r="D1098" s="23">
        <v>11</v>
      </c>
      <c r="F1098" s="23" t="s">
        <v>116</v>
      </c>
      <c r="G1098" s="23">
        <v>309</v>
      </c>
      <c r="H1098" s="23" t="s">
        <v>3021</v>
      </c>
      <c r="I1098" s="23">
        <v>0</v>
      </c>
      <c r="J1098" s="40">
        <v>0</v>
      </c>
      <c r="K1098" s="40">
        <v>0</v>
      </c>
      <c r="L1098" s="40" t="s">
        <v>115</v>
      </c>
      <c r="O1098" s="40" t="s">
        <v>115</v>
      </c>
      <c r="Q1098" s="40">
        <v>104</v>
      </c>
      <c r="R1098" s="40">
        <v>126</v>
      </c>
      <c r="X1098" s="40">
        <v>90110606</v>
      </c>
      <c r="Y1098" s="40" t="s">
        <v>115</v>
      </c>
      <c r="Z1098" s="40" t="s">
        <v>115</v>
      </c>
      <c r="AA1098" s="40" t="s">
        <v>115</v>
      </c>
      <c r="AB1098" s="40" t="s">
        <v>115</v>
      </c>
      <c r="AC1098" s="40" t="s">
        <v>115</v>
      </c>
      <c r="AI1098" s="40" t="s">
        <v>115</v>
      </c>
      <c r="AP1098" s="4" t="s">
        <v>115</v>
      </c>
    </row>
    <row r="1099" spans="1:42" x14ac:dyDescent="0.15">
      <c r="A1099" s="40" t="s">
        <v>1</v>
      </c>
      <c r="B1099" s="23">
        <v>90110606</v>
      </c>
      <c r="C1099" s="23">
        <v>1106</v>
      </c>
      <c r="D1099" s="23">
        <v>11</v>
      </c>
      <c r="F1099" s="23" t="s">
        <v>2851</v>
      </c>
      <c r="G1099" s="23" t="s">
        <v>115</v>
      </c>
      <c r="H1099" s="23" t="s">
        <v>3022</v>
      </c>
      <c r="I1099" s="23">
        <v>3</v>
      </c>
      <c r="J1099" s="40">
        <v>0</v>
      </c>
      <c r="K1099" s="40">
        <v>0</v>
      </c>
      <c r="L1099" s="40" t="s">
        <v>115</v>
      </c>
      <c r="O1099" s="40" t="s">
        <v>115</v>
      </c>
      <c r="Q1099" s="40">
        <v>104</v>
      </c>
      <c r="R1099" s="40">
        <v>126</v>
      </c>
      <c r="X1099" s="40">
        <v>90110607</v>
      </c>
      <c r="Y1099" s="40" t="s">
        <v>115</v>
      </c>
      <c r="Z1099" s="40" t="s">
        <v>115</v>
      </c>
      <c r="AA1099" s="40" t="s">
        <v>115</v>
      </c>
      <c r="AB1099" s="40" t="s">
        <v>115</v>
      </c>
      <c r="AC1099" s="40" t="s">
        <v>115</v>
      </c>
      <c r="AI1099" s="40" t="s">
        <v>115</v>
      </c>
      <c r="AP1099" s="4" t="s">
        <v>115</v>
      </c>
    </row>
    <row r="1100" spans="1:42" x14ac:dyDescent="0.15">
      <c r="A1100" s="40" t="s">
        <v>1</v>
      </c>
      <c r="B1100" s="23">
        <v>90110607</v>
      </c>
      <c r="C1100" s="23">
        <v>1106</v>
      </c>
      <c r="D1100" s="23">
        <v>11</v>
      </c>
      <c r="F1100" s="23" t="s">
        <v>2851</v>
      </c>
      <c r="G1100" s="23" t="s">
        <v>115</v>
      </c>
      <c r="H1100" s="23" t="s">
        <v>3023</v>
      </c>
      <c r="I1100" s="23">
        <v>3</v>
      </c>
      <c r="J1100" s="40">
        <v>0</v>
      </c>
      <c r="K1100" s="40">
        <v>5</v>
      </c>
      <c r="L1100" s="40" t="s">
        <v>115</v>
      </c>
      <c r="O1100" s="40">
        <v>2</v>
      </c>
      <c r="Q1100" s="40">
        <v>104</v>
      </c>
      <c r="R1100" s="40">
        <v>126</v>
      </c>
      <c r="X1100" s="40" t="s">
        <v>115</v>
      </c>
      <c r="Y1100" s="40" t="s">
        <v>115</v>
      </c>
      <c r="Z1100" s="40">
        <v>4</v>
      </c>
      <c r="AA1100" s="40" t="s">
        <v>115</v>
      </c>
      <c r="AB1100" s="40" t="s">
        <v>115</v>
      </c>
      <c r="AC1100" s="40" t="s">
        <v>115</v>
      </c>
      <c r="AI1100" s="40" t="s">
        <v>115</v>
      </c>
      <c r="AP1100" s="4" t="s">
        <v>115</v>
      </c>
    </row>
    <row r="1101" spans="1:42" x14ac:dyDescent="0.15">
      <c r="A1101" s="40" t="s">
        <v>1</v>
      </c>
      <c r="B1101" s="23">
        <v>90110608</v>
      </c>
      <c r="C1101" s="23">
        <v>1106</v>
      </c>
      <c r="D1101" s="23">
        <v>11</v>
      </c>
      <c r="F1101" s="23" t="s">
        <v>116</v>
      </c>
      <c r="G1101" s="23">
        <v>312</v>
      </c>
      <c r="H1101" s="23" t="s">
        <v>3024</v>
      </c>
      <c r="I1101" s="23">
        <v>0</v>
      </c>
      <c r="J1101" s="40">
        <v>0</v>
      </c>
      <c r="K1101" s="40">
        <v>0</v>
      </c>
      <c r="L1101" s="40" t="s">
        <v>115</v>
      </c>
      <c r="O1101" s="40" t="s">
        <v>115</v>
      </c>
      <c r="Q1101" s="40">
        <v>104</v>
      </c>
      <c r="R1101" s="40">
        <v>126</v>
      </c>
      <c r="X1101" s="40">
        <v>90110609</v>
      </c>
      <c r="Y1101" s="40" t="s">
        <v>115</v>
      </c>
      <c r="Z1101" s="40" t="s">
        <v>115</v>
      </c>
      <c r="AA1101" s="40" t="s">
        <v>115</v>
      </c>
      <c r="AB1101" s="40" t="s">
        <v>115</v>
      </c>
      <c r="AC1101" s="40" t="s">
        <v>115</v>
      </c>
      <c r="AI1101" s="40" t="s">
        <v>115</v>
      </c>
      <c r="AP1101" s="4" t="s">
        <v>115</v>
      </c>
    </row>
    <row r="1102" spans="1:42" x14ac:dyDescent="0.15">
      <c r="A1102" s="40" t="s">
        <v>1</v>
      </c>
      <c r="B1102" s="23">
        <v>90110609</v>
      </c>
      <c r="C1102" s="23">
        <v>1106</v>
      </c>
      <c r="D1102" s="23">
        <v>11</v>
      </c>
      <c r="F1102" s="23" t="s">
        <v>2851</v>
      </c>
      <c r="G1102" s="23" t="s">
        <v>115</v>
      </c>
      <c r="H1102" s="23" t="s">
        <v>3025</v>
      </c>
      <c r="I1102" s="23">
        <v>3</v>
      </c>
      <c r="J1102" s="40">
        <v>0</v>
      </c>
      <c r="K1102" s="40">
        <v>0</v>
      </c>
      <c r="L1102" s="40" t="s">
        <v>115</v>
      </c>
      <c r="O1102" s="40" t="s">
        <v>115</v>
      </c>
      <c r="Q1102" s="40">
        <v>104</v>
      </c>
      <c r="R1102" s="40">
        <v>126</v>
      </c>
      <c r="X1102" s="40">
        <v>90110610</v>
      </c>
      <c r="Y1102" s="40" t="s">
        <v>115</v>
      </c>
      <c r="Z1102" s="40" t="s">
        <v>115</v>
      </c>
      <c r="AA1102" s="40" t="s">
        <v>115</v>
      </c>
      <c r="AB1102" s="40" t="s">
        <v>115</v>
      </c>
      <c r="AC1102" s="40" t="s">
        <v>115</v>
      </c>
      <c r="AI1102" s="40" t="s">
        <v>115</v>
      </c>
      <c r="AP1102" s="4" t="s">
        <v>115</v>
      </c>
    </row>
    <row r="1103" spans="1:42" x14ac:dyDescent="0.15">
      <c r="A1103" s="40" t="s">
        <v>1</v>
      </c>
      <c r="B1103" s="23">
        <v>90110610</v>
      </c>
      <c r="C1103" s="23">
        <v>1106</v>
      </c>
      <c r="D1103" s="23">
        <v>11</v>
      </c>
      <c r="F1103" s="23" t="s">
        <v>932</v>
      </c>
      <c r="G1103" s="23" t="s">
        <v>115</v>
      </c>
      <c r="H1103" s="23" t="s">
        <v>3026</v>
      </c>
      <c r="I1103" s="23">
        <v>1</v>
      </c>
      <c r="J1103" s="40">
        <v>0</v>
      </c>
      <c r="K1103" s="40">
        <v>0</v>
      </c>
      <c r="L1103" s="40" t="s">
        <v>115</v>
      </c>
      <c r="O1103" s="40" t="s">
        <v>115</v>
      </c>
      <c r="Q1103" s="40">
        <v>104</v>
      </c>
      <c r="R1103" s="40" t="s">
        <v>115</v>
      </c>
      <c r="X1103" s="40">
        <v>90110611</v>
      </c>
      <c r="Y1103" s="40" t="s">
        <v>115</v>
      </c>
      <c r="Z1103" s="40" t="s">
        <v>115</v>
      </c>
      <c r="AA1103" s="40" t="s">
        <v>115</v>
      </c>
      <c r="AB1103" s="40" t="s">
        <v>115</v>
      </c>
      <c r="AC1103" s="40" t="s">
        <v>115</v>
      </c>
      <c r="AI1103" s="40" t="s">
        <v>1391</v>
      </c>
      <c r="AP1103" s="4" t="s">
        <v>115</v>
      </c>
    </row>
    <row r="1104" spans="1:42" x14ac:dyDescent="0.15">
      <c r="A1104" s="40" t="s">
        <v>1</v>
      </c>
      <c r="B1104" s="23">
        <v>90110611</v>
      </c>
      <c r="C1104" s="23">
        <v>1106</v>
      </c>
      <c r="D1104" s="23">
        <v>11</v>
      </c>
      <c r="F1104" s="23" t="s">
        <v>2851</v>
      </c>
      <c r="G1104" s="23" t="s">
        <v>115</v>
      </c>
      <c r="H1104" s="23" t="s">
        <v>3027</v>
      </c>
      <c r="I1104" s="23">
        <v>3</v>
      </c>
      <c r="J1104" s="40">
        <v>0</v>
      </c>
      <c r="K1104" s="40">
        <v>0</v>
      </c>
      <c r="L1104" s="40" t="s">
        <v>115</v>
      </c>
      <c r="O1104" s="40" t="s">
        <v>115</v>
      </c>
      <c r="Q1104" s="40">
        <v>104</v>
      </c>
      <c r="R1104" s="40">
        <v>126</v>
      </c>
      <c r="X1104" s="40">
        <v>90110612</v>
      </c>
      <c r="Y1104" s="40" t="s">
        <v>115</v>
      </c>
      <c r="Z1104" s="40" t="s">
        <v>115</v>
      </c>
      <c r="AA1104" s="40" t="s">
        <v>115</v>
      </c>
      <c r="AB1104" s="40" t="s">
        <v>115</v>
      </c>
      <c r="AC1104" s="40" t="s">
        <v>115</v>
      </c>
      <c r="AI1104" s="40" t="s">
        <v>115</v>
      </c>
      <c r="AP1104" s="4" t="s">
        <v>115</v>
      </c>
    </row>
    <row r="1105" spans="1:42" x14ac:dyDescent="0.15">
      <c r="A1105" s="40" t="s">
        <v>1</v>
      </c>
      <c r="B1105" s="23">
        <v>90110612</v>
      </c>
      <c r="C1105" s="23">
        <v>1106</v>
      </c>
      <c r="D1105" s="23">
        <v>11</v>
      </c>
      <c r="F1105" s="23" t="s">
        <v>116</v>
      </c>
      <c r="G1105" s="23">
        <v>312</v>
      </c>
      <c r="H1105" s="23" t="s">
        <v>3028</v>
      </c>
      <c r="I1105" s="23">
        <v>0</v>
      </c>
      <c r="J1105" s="40">
        <v>0</v>
      </c>
      <c r="K1105" s="40">
        <v>0</v>
      </c>
      <c r="L1105" s="40" t="s">
        <v>115</v>
      </c>
      <c r="O1105" s="40" t="s">
        <v>115</v>
      </c>
      <c r="Q1105" s="40">
        <v>104</v>
      </c>
      <c r="R1105" s="40">
        <v>126</v>
      </c>
      <c r="X1105" s="40">
        <v>90110613</v>
      </c>
      <c r="Y1105" s="40" t="s">
        <v>115</v>
      </c>
      <c r="Z1105" s="40" t="s">
        <v>115</v>
      </c>
      <c r="AA1105" s="40" t="s">
        <v>115</v>
      </c>
      <c r="AB1105" s="40" t="s">
        <v>115</v>
      </c>
      <c r="AC1105" s="40" t="s">
        <v>115</v>
      </c>
      <c r="AI1105" s="40" t="s">
        <v>115</v>
      </c>
      <c r="AP1105" s="4" t="s">
        <v>115</v>
      </c>
    </row>
    <row r="1106" spans="1:42" x14ac:dyDescent="0.15">
      <c r="A1106" s="40" t="s">
        <v>1</v>
      </c>
      <c r="B1106" s="23">
        <v>90110613</v>
      </c>
      <c r="C1106" s="23">
        <v>1106</v>
      </c>
      <c r="D1106" s="23">
        <v>11</v>
      </c>
      <c r="F1106" s="23" t="s">
        <v>2851</v>
      </c>
      <c r="G1106" s="23" t="s">
        <v>115</v>
      </c>
      <c r="H1106" s="23" t="s">
        <v>3029</v>
      </c>
      <c r="I1106" s="23">
        <v>3</v>
      </c>
      <c r="J1106" s="40">
        <v>0</v>
      </c>
      <c r="K1106" s="40">
        <v>0</v>
      </c>
      <c r="L1106" s="40" t="s">
        <v>115</v>
      </c>
      <c r="O1106" s="40" t="s">
        <v>115</v>
      </c>
      <c r="Q1106" s="40">
        <v>104</v>
      </c>
      <c r="R1106" s="40">
        <v>126</v>
      </c>
      <c r="X1106" s="40">
        <v>90110614</v>
      </c>
      <c r="Y1106" s="40" t="s">
        <v>115</v>
      </c>
      <c r="Z1106" s="40" t="s">
        <v>115</v>
      </c>
      <c r="AA1106" s="40" t="s">
        <v>115</v>
      </c>
      <c r="AB1106" s="40" t="s">
        <v>115</v>
      </c>
      <c r="AC1106" s="40" t="s">
        <v>115</v>
      </c>
      <c r="AI1106" s="40" t="s">
        <v>115</v>
      </c>
      <c r="AP1106" s="4" t="s">
        <v>115</v>
      </c>
    </row>
    <row r="1107" spans="1:42" x14ac:dyDescent="0.15">
      <c r="A1107" s="40" t="s">
        <v>1</v>
      </c>
      <c r="B1107" s="23">
        <v>90110614</v>
      </c>
      <c r="C1107" s="23">
        <v>1106</v>
      </c>
      <c r="D1107" s="23">
        <v>11</v>
      </c>
      <c r="F1107" s="23" t="s">
        <v>116</v>
      </c>
      <c r="G1107" s="23">
        <v>317</v>
      </c>
      <c r="H1107" s="23" t="s">
        <v>3030</v>
      </c>
      <c r="I1107" s="23">
        <v>0</v>
      </c>
      <c r="J1107" s="40">
        <v>0</v>
      </c>
      <c r="K1107" s="40">
        <v>0</v>
      </c>
      <c r="L1107" s="40" t="s">
        <v>115</v>
      </c>
      <c r="O1107" s="40" t="s">
        <v>115</v>
      </c>
      <c r="Q1107" s="40">
        <v>104</v>
      </c>
      <c r="R1107" s="40">
        <v>126</v>
      </c>
      <c r="X1107" s="40">
        <v>90110615</v>
      </c>
      <c r="Y1107" s="40" t="s">
        <v>115</v>
      </c>
      <c r="Z1107" s="40" t="s">
        <v>115</v>
      </c>
      <c r="AA1107" s="40" t="s">
        <v>115</v>
      </c>
      <c r="AB1107" s="40" t="s">
        <v>115</v>
      </c>
      <c r="AC1107" s="40" t="s">
        <v>115</v>
      </c>
      <c r="AI1107" s="40" t="s">
        <v>115</v>
      </c>
      <c r="AP1107" s="4" t="s">
        <v>115</v>
      </c>
    </row>
    <row r="1108" spans="1:42" x14ac:dyDescent="0.15">
      <c r="A1108" s="40" t="s">
        <v>1</v>
      </c>
      <c r="B1108" s="23">
        <v>90110615</v>
      </c>
      <c r="C1108" s="23">
        <v>1106</v>
      </c>
      <c r="D1108" s="23">
        <v>11</v>
      </c>
      <c r="F1108" s="23" t="s">
        <v>115</v>
      </c>
      <c r="G1108" s="23" t="s">
        <v>115</v>
      </c>
      <c r="H1108" s="23" t="s">
        <v>3031</v>
      </c>
      <c r="I1108" s="23">
        <v>4</v>
      </c>
      <c r="J1108" s="40">
        <v>0</v>
      </c>
      <c r="K1108" s="40">
        <v>0</v>
      </c>
      <c r="L1108" s="40" t="s">
        <v>115</v>
      </c>
      <c r="O1108" s="40" t="s">
        <v>115</v>
      </c>
      <c r="Q1108" s="40">
        <v>104</v>
      </c>
      <c r="R1108" s="40">
        <v>126</v>
      </c>
      <c r="X1108" s="40">
        <v>90110616</v>
      </c>
      <c r="Y1108" s="40" t="s">
        <v>115</v>
      </c>
      <c r="Z1108" s="40" t="s">
        <v>115</v>
      </c>
      <c r="AA1108" s="40" t="s">
        <v>115</v>
      </c>
      <c r="AB1108" s="40" t="s">
        <v>115</v>
      </c>
      <c r="AC1108" s="40" t="s">
        <v>115</v>
      </c>
      <c r="AI1108" s="40" t="s">
        <v>115</v>
      </c>
      <c r="AP1108" s="4" t="s">
        <v>115</v>
      </c>
    </row>
    <row r="1109" spans="1:42" x14ac:dyDescent="0.15">
      <c r="A1109" s="40" t="s">
        <v>1</v>
      </c>
      <c r="B1109" s="23">
        <v>90110616</v>
      </c>
      <c r="C1109" s="23">
        <v>1106</v>
      </c>
      <c r="D1109" s="23">
        <v>11</v>
      </c>
      <c r="F1109" s="23" t="s">
        <v>115</v>
      </c>
      <c r="G1109" s="23" t="s">
        <v>115</v>
      </c>
      <c r="H1109" s="23" t="s">
        <v>3032</v>
      </c>
      <c r="I1109" s="23">
        <v>4</v>
      </c>
      <c r="J1109" s="40">
        <v>0</v>
      </c>
      <c r="K1109" s="40">
        <v>0</v>
      </c>
      <c r="L1109" s="40" t="s">
        <v>115</v>
      </c>
      <c r="O1109" s="40" t="s">
        <v>115</v>
      </c>
      <c r="Q1109" s="40">
        <v>104</v>
      </c>
      <c r="R1109" s="40">
        <v>126</v>
      </c>
      <c r="X1109" s="40">
        <v>90110617</v>
      </c>
      <c r="Y1109" s="40" t="s">
        <v>115</v>
      </c>
      <c r="Z1109" s="40" t="s">
        <v>115</v>
      </c>
      <c r="AA1109" s="40" t="s">
        <v>115</v>
      </c>
      <c r="AB1109" s="40" t="s">
        <v>115</v>
      </c>
      <c r="AC1109" s="40" t="s">
        <v>115</v>
      </c>
      <c r="AI1109" s="40" t="s">
        <v>115</v>
      </c>
      <c r="AP1109" s="4" t="s">
        <v>115</v>
      </c>
    </row>
    <row r="1110" spans="1:42" x14ac:dyDescent="0.15">
      <c r="A1110" s="40" t="s">
        <v>1</v>
      </c>
      <c r="B1110" s="23">
        <v>90110617</v>
      </c>
      <c r="C1110" s="23">
        <v>1106</v>
      </c>
      <c r="D1110" s="23">
        <v>11</v>
      </c>
      <c r="F1110" s="23" t="s">
        <v>2851</v>
      </c>
      <c r="G1110" s="23" t="s">
        <v>115</v>
      </c>
      <c r="H1110" s="23" t="s">
        <v>3033</v>
      </c>
      <c r="I1110" s="23">
        <v>3</v>
      </c>
      <c r="J1110" s="40">
        <v>0</v>
      </c>
      <c r="K1110" s="40">
        <v>0</v>
      </c>
      <c r="L1110" s="40" t="s">
        <v>115</v>
      </c>
      <c r="O1110" s="40" t="s">
        <v>115</v>
      </c>
      <c r="Q1110" s="40">
        <v>104</v>
      </c>
      <c r="R1110" s="40">
        <v>126</v>
      </c>
      <c r="X1110" s="40">
        <v>90110618</v>
      </c>
      <c r="Y1110" s="40" t="s">
        <v>115</v>
      </c>
      <c r="Z1110" s="40" t="s">
        <v>115</v>
      </c>
      <c r="AA1110" s="40" t="s">
        <v>115</v>
      </c>
      <c r="AB1110" s="40" t="s">
        <v>115</v>
      </c>
      <c r="AC1110" s="40" t="s">
        <v>115</v>
      </c>
      <c r="AI1110" s="40" t="s">
        <v>115</v>
      </c>
      <c r="AP1110" s="4" t="s">
        <v>115</v>
      </c>
    </row>
    <row r="1111" spans="1:42" x14ac:dyDescent="0.15">
      <c r="A1111" s="40" t="s">
        <v>1</v>
      </c>
      <c r="B1111" s="23">
        <v>90110618</v>
      </c>
      <c r="C1111" s="23">
        <v>1106</v>
      </c>
      <c r="D1111" s="23">
        <v>11</v>
      </c>
      <c r="F1111" s="23" t="s">
        <v>2851</v>
      </c>
      <c r="G1111" s="23" t="s">
        <v>115</v>
      </c>
      <c r="H1111" s="23" t="s">
        <v>3034</v>
      </c>
      <c r="I1111" s="23">
        <v>3</v>
      </c>
      <c r="J1111" s="40">
        <v>0</v>
      </c>
      <c r="K1111" s="40">
        <v>0</v>
      </c>
      <c r="L1111" s="40" t="s">
        <v>115</v>
      </c>
      <c r="O1111" s="40" t="s">
        <v>115</v>
      </c>
      <c r="Q1111" s="40">
        <v>104</v>
      </c>
      <c r="R1111" s="40">
        <v>126</v>
      </c>
      <c r="X1111" s="40">
        <v>90110619</v>
      </c>
      <c r="Y1111" s="40" t="s">
        <v>115</v>
      </c>
      <c r="Z1111" s="40" t="s">
        <v>115</v>
      </c>
      <c r="AA1111" s="40" t="s">
        <v>115</v>
      </c>
      <c r="AB1111" s="40" t="s">
        <v>115</v>
      </c>
      <c r="AC1111" s="40" t="s">
        <v>115</v>
      </c>
      <c r="AI1111" s="40" t="s">
        <v>115</v>
      </c>
      <c r="AP1111" s="4" t="s">
        <v>115</v>
      </c>
    </row>
    <row r="1112" spans="1:42" x14ac:dyDescent="0.15">
      <c r="A1112" s="40" t="s">
        <v>1</v>
      </c>
      <c r="B1112" s="23">
        <v>90110619</v>
      </c>
      <c r="C1112" s="23">
        <v>1106</v>
      </c>
      <c r="D1112" s="23">
        <v>11</v>
      </c>
      <c r="F1112" s="23" t="s">
        <v>115</v>
      </c>
      <c r="G1112" s="23" t="s">
        <v>115</v>
      </c>
      <c r="H1112" s="23" t="s">
        <v>3035</v>
      </c>
      <c r="I1112" s="23">
        <v>4</v>
      </c>
      <c r="J1112" s="40">
        <v>0</v>
      </c>
      <c r="K1112" s="40">
        <v>0</v>
      </c>
      <c r="L1112" s="40" t="s">
        <v>115</v>
      </c>
      <c r="O1112" s="40" t="s">
        <v>115</v>
      </c>
      <c r="Q1112" s="40">
        <v>104</v>
      </c>
      <c r="R1112" s="40">
        <v>126</v>
      </c>
      <c r="X1112" s="40">
        <v>90110620</v>
      </c>
      <c r="Y1112" s="40" t="s">
        <v>115</v>
      </c>
      <c r="Z1112" s="40" t="s">
        <v>115</v>
      </c>
      <c r="AA1112" s="40" t="s">
        <v>115</v>
      </c>
      <c r="AB1112" s="40" t="s">
        <v>115</v>
      </c>
      <c r="AC1112" s="40" t="s">
        <v>115</v>
      </c>
      <c r="AI1112" s="40" t="s">
        <v>115</v>
      </c>
      <c r="AP1112" s="4" t="s">
        <v>115</v>
      </c>
    </row>
    <row r="1113" spans="1:42" x14ac:dyDescent="0.15">
      <c r="A1113" s="40" t="s">
        <v>1</v>
      </c>
      <c r="B1113" s="23">
        <v>90110620</v>
      </c>
      <c r="C1113" s="23">
        <v>1106</v>
      </c>
      <c r="D1113" s="23">
        <v>11</v>
      </c>
      <c r="F1113" s="23" t="s">
        <v>115</v>
      </c>
      <c r="G1113" s="23" t="s">
        <v>115</v>
      </c>
      <c r="H1113" s="23" t="s">
        <v>2932</v>
      </c>
      <c r="I1113" s="23">
        <v>4</v>
      </c>
      <c r="J1113" s="40">
        <v>0</v>
      </c>
      <c r="K1113" s="40">
        <v>6</v>
      </c>
      <c r="L1113" s="40" t="s">
        <v>115</v>
      </c>
      <c r="O1113" s="40" t="s">
        <v>115</v>
      </c>
      <c r="Q1113" s="40">
        <v>104</v>
      </c>
      <c r="R1113" s="40">
        <v>126</v>
      </c>
      <c r="X1113" s="40" t="s">
        <v>3036</v>
      </c>
      <c r="Y1113" s="40">
        <v>1</v>
      </c>
      <c r="Z1113" s="40">
        <v>2</v>
      </c>
      <c r="AA1113" s="40" t="s">
        <v>115</v>
      </c>
      <c r="AB1113" s="40" t="s">
        <v>115</v>
      </c>
      <c r="AC1113" s="40" t="s">
        <v>115</v>
      </c>
      <c r="AI1113" s="40" t="s">
        <v>115</v>
      </c>
      <c r="AP1113" s="4" t="s">
        <v>115</v>
      </c>
    </row>
    <row r="1114" spans="1:42" x14ac:dyDescent="0.15">
      <c r="A1114" s="40" t="s">
        <v>1</v>
      </c>
      <c r="B1114" s="23">
        <v>90110621</v>
      </c>
      <c r="C1114" s="23">
        <v>1106</v>
      </c>
      <c r="D1114" s="23">
        <v>11</v>
      </c>
      <c r="F1114" s="23" t="s">
        <v>115</v>
      </c>
      <c r="G1114" s="23" t="s">
        <v>115</v>
      </c>
      <c r="H1114" s="23" t="s">
        <v>3037</v>
      </c>
      <c r="I1114" s="23">
        <v>4</v>
      </c>
      <c r="J1114" s="40">
        <v>0</v>
      </c>
      <c r="K1114" s="40">
        <v>7</v>
      </c>
      <c r="L1114" s="40" t="s">
        <v>115</v>
      </c>
      <c r="O1114" s="40" t="s">
        <v>115</v>
      </c>
      <c r="Q1114" s="40">
        <v>104</v>
      </c>
      <c r="R1114" s="40">
        <v>126</v>
      </c>
      <c r="X1114" s="40">
        <v>90110623</v>
      </c>
      <c r="Y1114" s="40">
        <v>-1</v>
      </c>
      <c r="Z1114" s="40">
        <v>6</v>
      </c>
      <c r="AA1114" s="40" t="s">
        <v>3038</v>
      </c>
      <c r="AB1114" s="40" t="s">
        <v>115</v>
      </c>
      <c r="AC1114" s="40" t="s">
        <v>115</v>
      </c>
      <c r="AI1114" s="40" t="s">
        <v>115</v>
      </c>
      <c r="AP1114" s="4" t="s">
        <v>115</v>
      </c>
    </row>
    <row r="1115" spans="1:42" x14ac:dyDescent="0.15">
      <c r="A1115" s="40" t="s">
        <v>1</v>
      </c>
      <c r="B1115" s="23">
        <v>90110622</v>
      </c>
      <c r="C1115" s="23">
        <v>1106</v>
      </c>
      <c r="D1115" s="23">
        <v>11</v>
      </c>
      <c r="F1115" s="23" t="s">
        <v>115</v>
      </c>
      <c r="G1115" s="23" t="s">
        <v>115</v>
      </c>
      <c r="H1115" s="23" t="s">
        <v>3039</v>
      </c>
      <c r="I1115" s="23">
        <v>4</v>
      </c>
      <c r="J1115" s="40">
        <v>0</v>
      </c>
      <c r="K1115" s="40">
        <v>8</v>
      </c>
      <c r="L1115" s="40" t="s">
        <v>115</v>
      </c>
      <c r="O1115" s="40" t="s">
        <v>115</v>
      </c>
      <c r="Q1115" s="40">
        <v>104</v>
      </c>
      <c r="R1115" s="40">
        <v>126</v>
      </c>
      <c r="X1115" s="40">
        <v>90110632</v>
      </c>
      <c r="Y1115" s="40">
        <v>-1</v>
      </c>
      <c r="Z1115" s="40">
        <v>6</v>
      </c>
      <c r="AA1115" s="40" t="s">
        <v>115</v>
      </c>
      <c r="AB1115" s="40" t="s">
        <v>115</v>
      </c>
      <c r="AC1115" s="40" t="s">
        <v>3040</v>
      </c>
      <c r="AI1115" s="40" t="s">
        <v>115</v>
      </c>
      <c r="AP1115" s="4" t="s">
        <v>115</v>
      </c>
    </row>
    <row r="1116" spans="1:42" x14ac:dyDescent="0.15">
      <c r="A1116" s="40" t="s">
        <v>1</v>
      </c>
      <c r="B1116" s="23">
        <v>90110623</v>
      </c>
      <c r="C1116" s="23">
        <v>1106</v>
      </c>
      <c r="D1116" s="23">
        <v>11</v>
      </c>
      <c r="F1116" s="23" t="s">
        <v>116</v>
      </c>
      <c r="G1116" s="23">
        <v>312</v>
      </c>
      <c r="H1116" s="23" t="s">
        <v>3041</v>
      </c>
      <c r="I1116" s="23">
        <v>0</v>
      </c>
      <c r="J1116" s="40">
        <v>0</v>
      </c>
      <c r="K1116" s="40">
        <v>0</v>
      </c>
      <c r="L1116" s="40" t="s">
        <v>115</v>
      </c>
      <c r="O1116" s="40" t="s">
        <v>115</v>
      </c>
      <c r="Q1116" s="40">
        <v>104</v>
      </c>
      <c r="R1116" s="40">
        <v>126</v>
      </c>
      <c r="X1116" s="40">
        <v>90110624</v>
      </c>
      <c r="Y1116" s="40" t="s">
        <v>115</v>
      </c>
      <c r="Z1116" s="40" t="s">
        <v>115</v>
      </c>
      <c r="AA1116" s="40" t="s">
        <v>115</v>
      </c>
      <c r="AB1116" s="40" t="s">
        <v>115</v>
      </c>
      <c r="AC1116" s="40" t="s">
        <v>115</v>
      </c>
      <c r="AI1116" s="40" t="s">
        <v>115</v>
      </c>
      <c r="AP1116" s="4" t="s">
        <v>115</v>
      </c>
    </row>
    <row r="1117" spans="1:42" x14ac:dyDescent="0.15">
      <c r="A1117" s="40" t="s">
        <v>1</v>
      </c>
      <c r="B1117" s="23">
        <v>90110624</v>
      </c>
      <c r="C1117" s="23">
        <v>1106</v>
      </c>
      <c r="D1117" s="23">
        <v>11</v>
      </c>
      <c r="F1117" s="23" t="s">
        <v>115</v>
      </c>
      <c r="G1117" s="23" t="s">
        <v>115</v>
      </c>
      <c r="H1117" s="23" t="s">
        <v>3042</v>
      </c>
      <c r="I1117" s="23">
        <v>4</v>
      </c>
      <c r="J1117" s="40">
        <v>0</v>
      </c>
      <c r="K1117" s="40">
        <v>0</v>
      </c>
      <c r="L1117" s="40" t="s">
        <v>115</v>
      </c>
      <c r="O1117" s="40" t="s">
        <v>115</v>
      </c>
      <c r="Q1117" s="40">
        <v>104</v>
      </c>
      <c r="R1117" s="40">
        <v>126</v>
      </c>
      <c r="X1117" s="40">
        <v>90110625</v>
      </c>
      <c r="Y1117" s="40" t="s">
        <v>115</v>
      </c>
      <c r="Z1117" s="40" t="s">
        <v>115</v>
      </c>
      <c r="AA1117" s="40" t="s">
        <v>115</v>
      </c>
      <c r="AB1117" s="40" t="s">
        <v>115</v>
      </c>
      <c r="AC1117" s="40" t="s">
        <v>115</v>
      </c>
      <c r="AI1117" s="40" t="s">
        <v>115</v>
      </c>
      <c r="AP1117" s="4" t="s">
        <v>115</v>
      </c>
    </row>
    <row r="1118" spans="1:42" x14ac:dyDescent="0.15">
      <c r="A1118" s="40" t="s">
        <v>1</v>
      </c>
      <c r="B1118" s="23">
        <v>90110625</v>
      </c>
      <c r="C1118" s="23">
        <v>1106</v>
      </c>
      <c r="D1118" s="23">
        <v>11</v>
      </c>
      <c r="F1118" s="23" t="s">
        <v>115</v>
      </c>
      <c r="G1118" s="23" t="s">
        <v>115</v>
      </c>
      <c r="H1118" s="23" t="s">
        <v>3043</v>
      </c>
      <c r="I1118" s="23">
        <v>4</v>
      </c>
      <c r="J1118" s="40">
        <v>0</v>
      </c>
      <c r="K1118" s="40">
        <v>0</v>
      </c>
      <c r="L1118" s="40" t="s">
        <v>115</v>
      </c>
      <c r="O1118" s="40" t="s">
        <v>115</v>
      </c>
      <c r="Q1118" s="40">
        <v>104</v>
      </c>
      <c r="R1118" s="40">
        <v>126</v>
      </c>
      <c r="X1118" s="40">
        <v>90110626</v>
      </c>
      <c r="Y1118" s="40" t="s">
        <v>115</v>
      </c>
      <c r="Z1118" s="40" t="s">
        <v>115</v>
      </c>
      <c r="AA1118" s="40" t="s">
        <v>115</v>
      </c>
      <c r="AB1118" s="40" t="s">
        <v>115</v>
      </c>
      <c r="AC1118" s="40" t="s">
        <v>115</v>
      </c>
      <c r="AI1118" s="40" t="s">
        <v>115</v>
      </c>
      <c r="AP1118" s="4" t="s">
        <v>115</v>
      </c>
    </row>
    <row r="1119" spans="1:42" x14ac:dyDescent="0.15">
      <c r="A1119" s="40" t="s">
        <v>1</v>
      </c>
      <c r="B1119" s="23">
        <v>90110626</v>
      </c>
      <c r="C1119" s="23">
        <v>1106</v>
      </c>
      <c r="D1119" s="23">
        <v>11</v>
      </c>
      <c r="F1119" s="23" t="s">
        <v>115</v>
      </c>
      <c r="G1119" s="23" t="s">
        <v>115</v>
      </c>
      <c r="H1119" s="23" t="s">
        <v>3044</v>
      </c>
      <c r="I1119" s="23">
        <v>4</v>
      </c>
      <c r="J1119" s="40">
        <v>0</v>
      </c>
      <c r="K1119" s="40">
        <v>0</v>
      </c>
      <c r="L1119" s="40" t="s">
        <v>115</v>
      </c>
      <c r="O1119" s="40" t="s">
        <v>115</v>
      </c>
      <c r="Q1119" s="40">
        <v>104</v>
      </c>
      <c r="R1119" s="40">
        <v>126</v>
      </c>
      <c r="X1119" s="40">
        <v>90110627</v>
      </c>
      <c r="Y1119" s="40" t="s">
        <v>115</v>
      </c>
      <c r="Z1119" s="40" t="s">
        <v>115</v>
      </c>
      <c r="AA1119" s="40" t="s">
        <v>115</v>
      </c>
      <c r="AB1119" s="40" t="s">
        <v>115</v>
      </c>
      <c r="AC1119" s="40" t="s">
        <v>115</v>
      </c>
      <c r="AI1119" s="40" t="s">
        <v>115</v>
      </c>
      <c r="AP1119" s="4" t="s">
        <v>115</v>
      </c>
    </row>
    <row r="1120" spans="1:42" x14ac:dyDescent="0.15">
      <c r="A1120" s="40" t="s">
        <v>1</v>
      </c>
      <c r="B1120" s="23">
        <v>90110627</v>
      </c>
      <c r="C1120" s="23">
        <v>1106</v>
      </c>
      <c r="D1120" s="23">
        <v>11</v>
      </c>
      <c r="F1120" s="23" t="s">
        <v>115</v>
      </c>
      <c r="G1120" s="23" t="s">
        <v>115</v>
      </c>
      <c r="H1120" s="23" t="s">
        <v>3045</v>
      </c>
      <c r="I1120" s="23">
        <v>4</v>
      </c>
      <c r="J1120" s="40">
        <v>0</v>
      </c>
      <c r="K1120" s="40">
        <v>0</v>
      </c>
      <c r="L1120" s="40" t="s">
        <v>115</v>
      </c>
      <c r="O1120" s="40" t="s">
        <v>115</v>
      </c>
      <c r="Q1120" s="40">
        <v>104</v>
      </c>
      <c r="R1120" s="40">
        <v>126</v>
      </c>
      <c r="X1120" s="40">
        <v>90110628</v>
      </c>
      <c r="Y1120" s="40" t="s">
        <v>115</v>
      </c>
      <c r="Z1120" s="40" t="s">
        <v>115</v>
      </c>
      <c r="AA1120" s="40" t="s">
        <v>115</v>
      </c>
      <c r="AB1120" s="40" t="s">
        <v>115</v>
      </c>
      <c r="AC1120" s="40" t="s">
        <v>115</v>
      </c>
      <c r="AI1120" s="40" t="s">
        <v>115</v>
      </c>
      <c r="AP1120" s="4" t="s">
        <v>115</v>
      </c>
    </row>
    <row r="1121" spans="1:42" x14ac:dyDescent="0.15">
      <c r="A1121" s="40" t="s">
        <v>1</v>
      </c>
      <c r="B1121" s="23">
        <v>90110628</v>
      </c>
      <c r="C1121" s="23">
        <v>1106</v>
      </c>
      <c r="D1121" s="23">
        <v>11</v>
      </c>
      <c r="F1121" s="23" t="s">
        <v>115</v>
      </c>
      <c r="G1121" s="23" t="s">
        <v>115</v>
      </c>
      <c r="H1121" s="23" t="s">
        <v>3046</v>
      </c>
      <c r="I1121" s="23">
        <v>4</v>
      </c>
      <c r="J1121" s="40">
        <v>0</v>
      </c>
      <c r="K1121" s="40">
        <v>0</v>
      </c>
      <c r="L1121" s="40" t="s">
        <v>115</v>
      </c>
      <c r="O1121" s="40" t="s">
        <v>115</v>
      </c>
      <c r="Q1121" s="40">
        <v>104</v>
      </c>
      <c r="R1121" s="40">
        <v>126</v>
      </c>
      <c r="X1121" s="40">
        <v>90110629</v>
      </c>
      <c r="Y1121" s="40" t="s">
        <v>115</v>
      </c>
      <c r="Z1121" s="40" t="s">
        <v>115</v>
      </c>
      <c r="AA1121" s="40" t="s">
        <v>115</v>
      </c>
      <c r="AB1121" s="40" t="s">
        <v>115</v>
      </c>
      <c r="AC1121" s="40" t="s">
        <v>115</v>
      </c>
      <c r="AI1121" s="40" t="s">
        <v>115</v>
      </c>
      <c r="AP1121" s="4" t="s">
        <v>115</v>
      </c>
    </row>
    <row r="1122" spans="1:42" x14ac:dyDescent="0.15">
      <c r="A1122" s="40" t="s">
        <v>1</v>
      </c>
      <c r="B1122" s="23">
        <v>90110629</v>
      </c>
      <c r="C1122" s="23">
        <v>1106</v>
      </c>
      <c r="D1122" s="23">
        <v>11</v>
      </c>
      <c r="F1122" s="23" t="s">
        <v>116</v>
      </c>
      <c r="G1122" s="23">
        <v>312</v>
      </c>
      <c r="H1122" s="23" t="s">
        <v>3047</v>
      </c>
      <c r="I1122" s="23">
        <v>0</v>
      </c>
      <c r="J1122" s="40">
        <v>0</v>
      </c>
      <c r="K1122" s="40">
        <v>0</v>
      </c>
      <c r="L1122" s="40" t="s">
        <v>115</v>
      </c>
      <c r="O1122" s="40" t="s">
        <v>115</v>
      </c>
      <c r="Q1122" s="40">
        <v>104</v>
      </c>
      <c r="R1122" s="40">
        <v>126</v>
      </c>
      <c r="X1122" s="40">
        <v>90110630</v>
      </c>
      <c r="Y1122" s="40" t="s">
        <v>115</v>
      </c>
      <c r="Z1122" s="40" t="s">
        <v>115</v>
      </c>
      <c r="AA1122" s="40" t="s">
        <v>115</v>
      </c>
      <c r="AB1122" s="40" t="s">
        <v>115</v>
      </c>
      <c r="AC1122" s="40" t="s">
        <v>115</v>
      </c>
      <c r="AI1122" s="40" t="s">
        <v>115</v>
      </c>
      <c r="AP1122" s="4" t="s">
        <v>115</v>
      </c>
    </row>
    <row r="1123" spans="1:42" x14ac:dyDescent="0.15">
      <c r="A1123" s="40" t="s">
        <v>1</v>
      </c>
      <c r="B1123" s="23">
        <v>90110630</v>
      </c>
      <c r="C1123" s="23">
        <v>1106</v>
      </c>
      <c r="D1123" s="23">
        <v>11</v>
      </c>
      <c r="F1123" s="23" t="s">
        <v>932</v>
      </c>
      <c r="G1123" s="23" t="s">
        <v>115</v>
      </c>
      <c r="H1123" s="23" t="s">
        <v>3048</v>
      </c>
      <c r="I1123" s="23">
        <v>1</v>
      </c>
      <c r="J1123" s="40">
        <v>0</v>
      </c>
      <c r="K1123" s="40">
        <v>0</v>
      </c>
      <c r="L1123" s="40" t="s">
        <v>115</v>
      </c>
      <c r="O1123" s="40" t="s">
        <v>115</v>
      </c>
      <c r="Q1123" s="40">
        <v>104</v>
      </c>
      <c r="R1123" s="40" t="s">
        <v>115</v>
      </c>
      <c r="X1123" s="40">
        <v>90110631</v>
      </c>
      <c r="Y1123" s="40" t="s">
        <v>115</v>
      </c>
      <c r="Z1123" s="40" t="s">
        <v>115</v>
      </c>
      <c r="AA1123" s="40" t="s">
        <v>115</v>
      </c>
      <c r="AB1123" s="40" t="s">
        <v>115</v>
      </c>
      <c r="AC1123" s="40" t="s">
        <v>115</v>
      </c>
      <c r="AI1123" s="40" t="s">
        <v>1391</v>
      </c>
      <c r="AP1123" s="4" t="s">
        <v>115</v>
      </c>
    </row>
    <row r="1124" spans="1:42" x14ac:dyDescent="0.15">
      <c r="A1124" s="40" t="s">
        <v>1</v>
      </c>
      <c r="B1124" s="23">
        <v>90110631</v>
      </c>
      <c r="C1124" s="23">
        <v>1106</v>
      </c>
      <c r="D1124" s="23">
        <v>11</v>
      </c>
      <c r="F1124" s="23" t="s">
        <v>116</v>
      </c>
      <c r="G1124" s="23">
        <v>309</v>
      </c>
      <c r="H1124" s="23" t="s">
        <v>338</v>
      </c>
      <c r="I1124" s="23">
        <v>0</v>
      </c>
      <c r="J1124" s="40">
        <v>0</v>
      </c>
      <c r="K1124" s="40">
        <v>0</v>
      </c>
      <c r="L1124" s="40" t="s">
        <v>115</v>
      </c>
      <c r="O1124" s="40" t="s">
        <v>115</v>
      </c>
      <c r="Q1124" s="40">
        <v>104</v>
      </c>
      <c r="R1124" s="40">
        <v>126</v>
      </c>
      <c r="X1124" s="40">
        <v>90110635</v>
      </c>
      <c r="Y1124" s="40" t="s">
        <v>115</v>
      </c>
      <c r="Z1124" s="40" t="s">
        <v>115</v>
      </c>
      <c r="AA1124" s="40" t="s">
        <v>115</v>
      </c>
      <c r="AB1124" s="40" t="s">
        <v>115</v>
      </c>
      <c r="AC1124" s="40" t="s">
        <v>115</v>
      </c>
      <c r="AI1124" s="40" t="s">
        <v>115</v>
      </c>
      <c r="AP1124" s="4" t="s">
        <v>115</v>
      </c>
    </row>
    <row r="1125" spans="1:42" x14ac:dyDescent="0.15">
      <c r="A1125" s="40" t="s">
        <v>1</v>
      </c>
      <c r="B1125" s="23">
        <v>90110632</v>
      </c>
      <c r="C1125" s="23">
        <v>1106</v>
      </c>
      <c r="D1125" s="23">
        <v>11</v>
      </c>
      <c r="F1125" s="23" t="s">
        <v>116</v>
      </c>
      <c r="G1125" s="23">
        <v>312</v>
      </c>
      <c r="H1125" s="23" t="s">
        <v>3049</v>
      </c>
      <c r="I1125" s="23">
        <v>0</v>
      </c>
      <c r="J1125" s="40">
        <v>0</v>
      </c>
      <c r="K1125" s="40">
        <v>0</v>
      </c>
      <c r="L1125" s="40" t="s">
        <v>115</v>
      </c>
      <c r="O1125" s="40" t="s">
        <v>115</v>
      </c>
      <c r="Q1125" s="40">
        <v>104</v>
      </c>
      <c r="R1125" s="40">
        <v>126</v>
      </c>
      <c r="X1125" s="40">
        <v>90110633</v>
      </c>
      <c r="Y1125" s="40" t="s">
        <v>115</v>
      </c>
      <c r="Z1125" s="40" t="s">
        <v>115</v>
      </c>
      <c r="AA1125" s="40" t="s">
        <v>115</v>
      </c>
      <c r="AB1125" s="40" t="s">
        <v>115</v>
      </c>
      <c r="AC1125" s="40" t="s">
        <v>115</v>
      </c>
      <c r="AI1125" s="40" t="s">
        <v>115</v>
      </c>
      <c r="AP1125" s="4" t="s">
        <v>115</v>
      </c>
    </row>
    <row r="1126" spans="1:42" x14ac:dyDescent="0.15">
      <c r="A1126" s="40" t="s">
        <v>1</v>
      </c>
      <c r="B1126" s="23">
        <v>90110633</v>
      </c>
      <c r="C1126" s="23">
        <v>1106</v>
      </c>
      <c r="D1126" s="23">
        <v>11</v>
      </c>
      <c r="F1126" s="23" t="s">
        <v>115</v>
      </c>
      <c r="G1126" s="23" t="s">
        <v>115</v>
      </c>
      <c r="H1126" s="23" t="s">
        <v>3050</v>
      </c>
      <c r="I1126" s="23">
        <v>4</v>
      </c>
      <c r="J1126" s="40">
        <v>0</v>
      </c>
      <c r="K1126" s="40">
        <v>0</v>
      </c>
      <c r="L1126" s="40" t="s">
        <v>115</v>
      </c>
      <c r="O1126" s="40" t="s">
        <v>115</v>
      </c>
      <c r="Q1126" s="40">
        <v>104</v>
      </c>
      <c r="R1126" s="40">
        <v>126</v>
      </c>
      <c r="X1126" s="40">
        <v>90110634</v>
      </c>
      <c r="Y1126" s="40" t="s">
        <v>115</v>
      </c>
      <c r="Z1126" s="40" t="s">
        <v>115</v>
      </c>
      <c r="AA1126" s="40" t="s">
        <v>115</v>
      </c>
      <c r="AB1126" s="40" t="s">
        <v>115</v>
      </c>
      <c r="AC1126" s="40" t="s">
        <v>115</v>
      </c>
      <c r="AI1126" s="40" t="s">
        <v>115</v>
      </c>
      <c r="AP1126" s="4" t="s">
        <v>115</v>
      </c>
    </row>
    <row r="1127" spans="1:42" x14ac:dyDescent="0.15">
      <c r="A1127" s="40" t="s">
        <v>1</v>
      </c>
      <c r="B1127" s="23">
        <v>90110634</v>
      </c>
      <c r="C1127" s="23">
        <v>1106</v>
      </c>
      <c r="D1127" s="23">
        <v>11</v>
      </c>
      <c r="F1127" s="23" t="s">
        <v>115</v>
      </c>
      <c r="G1127" s="23" t="s">
        <v>115</v>
      </c>
      <c r="H1127" s="23" t="s">
        <v>3051</v>
      </c>
      <c r="I1127" s="23">
        <v>4</v>
      </c>
      <c r="J1127" s="40">
        <v>0</v>
      </c>
      <c r="K1127" s="40">
        <v>0</v>
      </c>
      <c r="L1127" s="40" t="s">
        <v>115</v>
      </c>
      <c r="O1127" s="40" t="s">
        <v>115</v>
      </c>
      <c r="Q1127" s="40">
        <v>104</v>
      </c>
      <c r="R1127" s="40">
        <v>126</v>
      </c>
      <c r="X1127" s="40">
        <v>90110635</v>
      </c>
      <c r="Y1127" s="40" t="s">
        <v>115</v>
      </c>
      <c r="Z1127" s="40" t="s">
        <v>115</v>
      </c>
      <c r="AA1127" s="40" t="s">
        <v>115</v>
      </c>
      <c r="AB1127" s="40" t="s">
        <v>115</v>
      </c>
      <c r="AC1127" s="40" t="s">
        <v>115</v>
      </c>
      <c r="AI1127" s="40" t="s">
        <v>115</v>
      </c>
      <c r="AP1127" s="4" t="s">
        <v>115</v>
      </c>
    </row>
    <row r="1128" spans="1:42" x14ac:dyDescent="0.15">
      <c r="A1128" s="40" t="s">
        <v>1</v>
      </c>
      <c r="B1128" s="23">
        <v>90110635</v>
      </c>
      <c r="C1128" s="23">
        <v>1106</v>
      </c>
      <c r="D1128" s="23">
        <v>11</v>
      </c>
      <c r="F1128" s="23" t="s">
        <v>2851</v>
      </c>
      <c r="G1128" s="23" t="s">
        <v>115</v>
      </c>
      <c r="H1128" s="23" t="s">
        <v>3052</v>
      </c>
      <c r="I1128" s="23">
        <v>3</v>
      </c>
      <c r="J1128" s="40">
        <v>0</v>
      </c>
      <c r="K1128" s="40">
        <v>0</v>
      </c>
      <c r="L1128" s="40" t="s">
        <v>115</v>
      </c>
      <c r="O1128" s="40" t="s">
        <v>115</v>
      </c>
      <c r="Q1128" s="40">
        <v>104</v>
      </c>
      <c r="R1128" s="40">
        <v>126</v>
      </c>
      <c r="X1128" s="40">
        <v>90110636</v>
      </c>
      <c r="Y1128" s="40" t="s">
        <v>115</v>
      </c>
      <c r="Z1128" s="40" t="s">
        <v>115</v>
      </c>
      <c r="AA1128" s="40" t="s">
        <v>115</v>
      </c>
      <c r="AB1128" s="40" t="s">
        <v>115</v>
      </c>
      <c r="AC1128" s="40" t="s">
        <v>115</v>
      </c>
      <c r="AI1128" s="40" t="s">
        <v>115</v>
      </c>
      <c r="AP1128" s="4" t="s">
        <v>115</v>
      </c>
    </row>
    <row r="1129" spans="1:42" x14ac:dyDescent="0.15">
      <c r="A1129" s="40" t="s">
        <v>1</v>
      </c>
      <c r="B1129" s="23">
        <v>90110636</v>
      </c>
      <c r="C1129" s="23">
        <v>1106</v>
      </c>
      <c r="D1129" s="23">
        <v>11</v>
      </c>
      <c r="F1129" s="23" t="s">
        <v>115</v>
      </c>
      <c r="G1129" s="23" t="s">
        <v>115</v>
      </c>
      <c r="H1129" s="23" t="s">
        <v>3053</v>
      </c>
      <c r="I1129" s="23">
        <v>4</v>
      </c>
      <c r="J1129" s="40">
        <v>0</v>
      </c>
      <c r="K1129" s="40">
        <v>0</v>
      </c>
      <c r="L1129" s="40" t="s">
        <v>115</v>
      </c>
      <c r="O1129" s="40" t="s">
        <v>115</v>
      </c>
      <c r="Q1129" s="40">
        <v>104</v>
      </c>
      <c r="R1129" s="40">
        <v>126</v>
      </c>
      <c r="X1129" s="40">
        <v>90110637</v>
      </c>
      <c r="Y1129" s="40" t="s">
        <v>115</v>
      </c>
      <c r="Z1129" s="40" t="s">
        <v>115</v>
      </c>
      <c r="AA1129" s="40" t="s">
        <v>115</v>
      </c>
      <c r="AB1129" s="40" t="s">
        <v>115</v>
      </c>
      <c r="AC1129" s="40" t="s">
        <v>115</v>
      </c>
      <c r="AI1129" s="40" t="s">
        <v>115</v>
      </c>
      <c r="AP1129" s="4" t="s">
        <v>115</v>
      </c>
    </row>
    <row r="1130" spans="1:42" x14ac:dyDescent="0.15">
      <c r="A1130" s="40" t="s">
        <v>1</v>
      </c>
      <c r="B1130" s="23">
        <v>90110637</v>
      </c>
      <c r="C1130" s="23">
        <v>1106</v>
      </c>
      <c r="D1130" s="23">
        <v>11</v>
      </c>
      <c r="F1130" s="23" t="s">
        <v>115</v>
      </c>
      <c r="G1130" s="23" t="s">
        <v>115</v>
      </c>
      <c r="H1130" s="23" t="s">
        <v>3054</v>
      </c>
      <c r="I1130" s="23">
        <v>4</v>
      </c>
      <c r="J1130" s="40">
        <v>0</v>
      </c>
      <c r="K1130" s="40">
        <v>0</v>
      </c>
      <c r="L1130" s="40" t="s">
        <v>115</v>
      </c>
      <c r="O1130" s="40" t="s">
        <v>115</v>
      </c>
      <c r="Q1130" s="40">
        <v>192</v>
      </c>
      <c r="R1130" s="40" t="s">
        <v>115</v>
      </c>
      <c r="X1130" s="40">
        <v>90110638</v>
      </c>
      <c r="Y1130" s="40" t="s">
        <v>115</v>
      </c>
      <c r="Z1130" s="40" t="s">
        <v>115</v>
      </c>
      <c r="AA1130" s="40" t="s">
        <v>115</v>
      </c>
      <c r="AB1130" s="40" t="s">
        <v>115</v>
      </c>
      <c r="AC1130" s="40" t="s">
        <v>115</v>
      </c>
      <c r="AI1130" s="40" t="s">
        <v>115</v>
      </c>
      <c r="AP1130" s="4" t="s">
        <v>115</v>
      </c>
    </row>
    <row r="1131" spans="1:42" x14ac:dyDescent="0.15">
      <c r="A1131" s="40" t="s">
        <v>1</v>
      </c>
      <c r="B1131" s="23">
        <v>90110638</v>
      </c>
      <c r="C1131" s="23">
        <v>1106</v>
      </c>
      <c r="D1131" s="23">
        <v>11</v>
      </c>
      <c r="F1131" s="23" t="s">
        <v>115</v>
      </c>
      <c r="G1131" s="23" t="s">
        <v>115</v>
      </c>
      <c r="H1131" s="23" t="s">
        <v>3055</v>
      </c>
      <c r="I1131" s="23">
        <v>4</v>
      </c>
      <c r="J1131" s="40">
        <v>0</v>
      </c>
      <c r="K1131" s="40">
        <v>0</v>
      </c>
      <c r="L1131" s="40" t="s">
        <v>115</v>
      </c>
      <c r="O1131" s="40" t="s">
        <v>115</v>
      </c>
      <c r="Q1131" s="40">
        <v>192</v>
      </c>
      <c r="R1131" s="40" t="s">
        <v>115</v>
      </c>
      <c r="X1131" s="40">
        <v>90110639</v>
      </c>
      <c r="Y1131" s="40" t="s">
        <v>115</v>
      </c>
      <c r="Z1131" s="40" t="s">
        <v>115</v>
      </c>
      <c r="AA1131" s="40" t="s">
        <v>115</v>
      </c>
      <c r="AB1131" s="40" t="s">
        <v>115</v>
      </c>
      <c r="AC1131" s="40" t="s">
        <v>115</v>
      </c>
      <c r="AI1131" s="40" t="s">
        <v>115</v>
      </c>
      <c r="AP1131" s="4" t="s">
        <v>115</v>
      </c>
    </row>
    <row r="1132" spans="1:42" x14ac:dyDescent="0.15">
      <c r="A1132" s="40" t="s">
        <v>1</v>
      </c>
      <c r="B1132" s="23">
        <v>90110639</v>
      </c>
      <c r="C1132" s="23">
        <v>1106</v>
      </c>
      <c r="D1132" s="23">
        <v>11</v>
      </c>
      <c r="F1132" s="23" t="s">
        <v>115</v>
      </c>
      <c r="G1132" s="23" t="s">
        <v>115</v>
      </c>
      <c r="H1132" s="23" t="s">
        <v>3056</v>
      </c>
      <c r="I1132" s="23">
        <v>4</v>
      </c>
      <c r="J1132" s="40">
        <v>0</v>
      </c>
      <c r="K1132" s="40">
        <v>9</v>
      </c>
      <c r="L1132" s="40" t="s">
        <v>115</v>
      </c>
      <c r="O1132" s="40">
        <v>1</v>
      </c>
      <c r="Q1132" s="40">
        <v>192</v>
      </c>
      <c r="R1132" s="40" t="s">
        <v>115</v>
      </c>
      <c r="X1132" s="40" t="s">
        <v>115</v>
      </c>
      <c r="Y1132" s="40" t="s">
        <v>115</v>
      </c>
      <c r="Z1132" s="40">
        <v>8</v>
      </c>
      <c r="AA1132" s="40" t="s">
        <v>115</v>
      </c>
      <c r="AB1132" s="40" t="s">
        <v>115</v>
      </c>
      <c r="AC1132" s="40" t="s">
        <v>115</v>
      </c>
      <c r="AI1132" s="40" t="s">
        <v>115</v>
      </c>
      <c r="AP1132" s="4" t="s">
        <v>115</v>
      </c>
    </row>
    <row r="1133" spans="1:42" x14ac:dyDescent="0.15">
      <c r="A1133" s="40" t="s">
        <v>1</v>
      </c>
      <c r="B1133" s="23" t="s">
        <v>2815</v>
      </c>
      <c r="C1133" s="23">
        <v>1107</v>
      </c>
      <c r="D1133" s="23">
        <v>11</v>
      </c>
      <c r="F1133" s="23" t="s">
        <v>115</v>
      </c>
      <c r="G1133" s="23" t="s">
        <v>115</v>
      </c>
      <c r="H1133" s="23" t="s">
        <v>3057</v>
      </c>
      <c r="I1133" s="23">
        <v>4</v>
      </c>
      <c r="J1133" s="40">
        <v>1</v>
      </c>
      <c r="K1133" s="40">
        <v>1</v>
      </c>
      <c r="L1133" s="40" t="s">
        <v>115</v>
      </c>
      <c r="O1133" s="40" t="s">
        <v>115</v>
      </c>
      <c r="Q1133" s="40">
        <v>111</v>
      </c>
      <c r="R1133" s="40" t="s">
        <v>115</v>
      </c>
      <c r="X1133" s="40">
        <v>90110702</v>
      </c>
      <c r="Y1133" s="40" t="s">
        <v>115</v>
      </c>
      <c r="Z1133" s="40" t="s">
        <v>115</v>
      </c>
      <c r="AA1133" s="40" t="s">
        <v>115</v>
      </c>
      <c r="AB1133" s="40" t="s">
        <v>115</v>
      </c>
      <c r="AC1133" s="40" t="s">
        <v>115</v>
      </c>
      <c r="AI1133" s="40" t="s">
        <v>115</v>
      </c>
      <c r="AP1133" s="4" t="s">
        <v>115</v>
      </c>
    </row>
    <row r="1134" spans="1:42" x14ac:dyDescent="0.15">
      <c r="A1134" s="40" t="s">
        <v>1</v>
      </c>
      <c r="B1134" s="23">
        <v>90110702</v>
      </c>
      <c r="C1134" s="23">
        <v>1107</v>
      </c>
      <c r="D1134" s="23">
        <v>11</v>
      </c>
      <c r="F1134" s="23" t="s">
        <v>116</v>
      </c>
      <c r="G1134" s="23">
        <v>312</v>
      </c>
      <c r="H1134" s="23" t="s">
        <v>3058</v>
      </c>
      <c r="I1134" s="23">
        <v>0</v>
      </c>
      <c r="J1134" s="40">
        <v>0</v>
      </c>
      <c r="K1134" s="40">
        <v>0</v>
      </c>
      <c r="L1134" s="40" t="s">
        <v>115</v>
      </c>
      <c r="O1134" s="40" t="s">
        <v>115</v>
      </c>
      <c r="Q1134" s="40">
        <v>111</v>
      </c>
      <c r="R1134" s="40" t="s">
        <v>115</v>
      </c>
      <c r="X1134" s="40">
        <v>90110703</v>
      </c>
      <c r="Y1134" s="40" t="s">
        <v>115</v>
      </c>
      <c r="Z1134" s="40" t="s">
        <v>115</v>
      </c>
      <c r="AA1134" s="40" t="s">
        <v>115</v>
      </c>
      <c r="AB1134" s="40" t="s">
        <v>115</v>
      </c>
      <c r="AC1134" s="40" t="s">
        <v>115</v>
      </c>
      <c r="AI1134" s="40" t="s">
        <v>115</v>
      </c>
      <c r="AP1134" s="4" t="s">
        <v>115</v>
      </c>
    </row>
    <row r="1135" spans="1:42" x14ac:dyDescent="0.15">
      <c r="A1135" s="40" t="s">
        <v>1</v>
      </c>
      <c r="B1135" s="23">
        <v>90110703</v>
      </c>
      <c r="C1135" s="23">
        <v>1107</v>
      </c>
      <c r="D1135" s="23">
        <v>11</v>
      </c>
      <c r="F1135" s="23" t="s">
        <v>859</v>
      </c>
      <c r="G1135" s="23" t="s">
        <v>115</v>
      </c>
      <c r="H1135" s="23" t="s">
        <v>3059</v>
      </c>
      <c r="I1135" s="23">
        <v>3</v>
      </c>
      <c r="J1135" s="40">
        <v>0</v>
      </c>
      <c r="K1135" s="40">
        <v>0</v>
      </c>
      <c r="L1135" s="40" t="s">
        <v>115</v>
      </c>
      <c r="O1135" s="40" t="s">
        <v>115</v>
      </c>
      <c r="Q1135" s="40">
        <v>111</v>
      </c>
      <c r="R1135" s="40">
        <v>268</v>
      </c>
      <c r="X1135" s="40">
        <v>90110704</v>
      </c>
      <c r="Y1135" s="40" t="s">
        <v>115</v>
      </c>
      <c r="Z1135" s="40" t="s">
        <v>115</v>
      </c>
      <c r="AA1135" s="40" t="s">
        <v>115</v>
      </c>
      <c r="AB1135" s="40" t="s">
        <v>115</v>
      </c>
      <c r="AC1135" s="40" t="s">
        <v>115</v>
      </c>
      <c r="AI1135" s="40" t="s">
        <v>115</v>
      </c>
      <c r="AP1135" s="4" t="s">
        <v>115</v>
      </c>
    </row>
    <row r="1136" spans="1:42" x14ac:dyDescent="0.15">
      <c r="A1136" s="40" t="s">
        <v>1</v>
      </c>
      <c r="B1136" s="23">
        <v>90110704</v>
      </c>
      <c r="C1136" s="23">
        <v>1107</v>
      </c>
      <c r="D1136" s="23">
        <v>11</v>
      </c>
      <c r="F1136" s="23" t="s">
        <v>116</v>
      </c>
      <c r="G1136" s="23">
        <v>317</v>
      </c>
      <c r="H1136" s="23" t="s">
        <v>3060</v>
      </c>
      <c r="I1136" s="23">
        <v>0</v>
      </c>
      <c r="J1136" s="40">
        <v>0</v>
      </c>
      <c r="K1136" s="40">
        <v>0</v>
      </c>
      <c r="L1136" s="40" t="s">
        <v>115</v>
      </c>
      <c r="O1136" s="40" t="s">
        <v>115</v>
      </c>
      <c r="Q1136" s="40">
        <v>111</v>
      </c>
      <c r="R1136" s="40">
        <v>268</v>
      </c>
      <c r="X1136" s="40">
        <v>90110705</v>
      </c>
      <c r="Y1136" s="40" t="s">
        <v>115</v>
      </c>
      <c r="Z1136" s="40" t="s">
        <v>115</v>
      </c>
      <c r="AA1136" s="40" t="s">
        <v>115</v>
      </c>
      <c r="AB1136" s="40" t="s">
        <v>115</v>
      </c>
      <c r="AC1136" s="40" t="s">
        <v>115</v>
      </c>
      <c r="AI1136" s="40" t="s">
        <v>115</v>
      </c>
      <c r="AP1136" s="4" t="s">
        <v>115</v>
      </c>
    </row>
    <row r="1137" spans="1:42" x14ac:dyDescent="0.15">
      <c r="A1137" s="40" t="s">
        <v>1</v>
      </c>
      <c r="B1137" s="23">
        <v>90110705</v>
      </c>
      <c r="C1137" s="23">
        <v>1107</v>
      </c>
      <c r="D1137" s="23">
        <v>11</v>
      </c>
      <c r="F1137" s="23" t="s">
        <v>859</v>
      </c>
      <c r="G1137" s="23" t="s">
        <v>115</v>
      </c>
      <c r="H1137" s="23" t="s">
        <v>3061</v>
      </c>
      <c r="I1137" s="23">
        <v>3</v>
      </c>
      <c r="J1137" s="40">
        <v>0</v>
      </c>
      <c r="K1137" s="40">
        <v>0</v>
      </c>
      <c r="L1137" s="40" t="s">
        <v>115</v>
      </c>
      <c r="O1137" s="40" t="s">
        <v>115</v>
      </c>
      <c r="Q1137" s="40">
        <v>111</v>
      </c>
      <c r="R1137" s="40">
        <v>268</v>
      </c>
      <c r="X1137" s="40">
        <v>90110706</v>
      </c>
      <c r="Y1137" s="40" t="s">
        <v>115</v>
      </c>
      <c r="Z1137" s="40" t="s">
        <v>115</v>
      </c>
      <c r="AA1137" s="40" t="s">
        <v>115</v>
      </c>
      <c r="AB1137" s="40" t="s">
        <v>115</v>
      </c>
      <c r="AC1137" s="40" t="s">
        <v>115</v>
      </c>
      <c r="AI1137" s="40" t="s">
        <v>115</v>
      </c>
      <c r="AP1137" s="4" t="s">
        <v>115</v>
      </c>
    </row>
    <row r="1138" spans="1:42" x14ac:dyDescent="0.15">
      <c r="A1138" s="40" t="s">
        <v>1</v>
      </c>
      <c r="B1138" s="23">
        <v>90110706</v>
      </c>
      <c r="C1138" s="23">
        <v>1107</v>
      </c>
      <c r="D1138" s="23">
        <v>11</v>
      </c>
      <c r="F1138" s="23" t="s">
        <v>116</v>
      </c>
      <c r="G1138" s="23">
        <v>312</v>
      </c>
      <c r="H1138" s="23" t="s">
        <v>3062</v>
      </c>
      <c r="I1138" s="23">
        <v>0</v>
      </c>
      <c r="J1138" s="40">
        <v>0</v>
      </c>
      <c r="K1138" s="40">
        <v>0</v>
      </c>
      <c r="L1138" s="40" t="s">
        <v>115</v>
      </c>
      <c r="O1138" s="40" t="s">
        <v>115</v>
      </c>
      <c r="Q1138" s="40">
        <v>111</v>
      </c>
      <c r="R1138" s="40">
        <v>268</v>
      </c>
      <c r="X1138" s="40">
        <v>90110707</v>
      </c>
      <c r="Y1138" s="40" t="s">
        <v>115</v>
      </c>
      <c r="Z1138" s="40" t="s">
        <v>115</v>
      </c>
      <c r="AA1138" s="40" t="s">
        <v>115</v>
      </c>
      <c r="AB1138" s="40" t="s">
        <v>115</v>
      </c>
      <c r="AC1138" s="40" t="s">
        <v>115</v>
      </c>
      <c r="AI1138" s="40" t="s">
        <v>115</v>
      </c>
      <c r="AP1138" s="4" t="s">
        <v>115</v>
      </c>
    </row>
    <row r="1139" spans="1:42" x14ac:dyDescent="0.15">
      <c r="A1139" s="40" t="s">
        <v>1</v>
      </c>
      <c r="B1139" s="23">
        <v>90110707</v>
      </c>
      <c r="C1139" s="23">
        <v>1107</v>
      </c>
      <c r="D1139" s="23">
        <v>11</v>
      </c>
      <c r="F1139" s="23" t="s">
        <v>115</v>
      </c>
      <c r="G1139" s="23" t="s">
        <v>115</v>
      </c>
      <c r="H1139" s="23" t="s">
        <v>3063</v>
      </c>
      <c r="I1139" s="23">
        <v>4</v>
      </c>
      <c r="J1139" s="40">
        <v>0</v>
      </c>
      <c r="K1139" s="40">
        <v>2</v>
      </c>
      <c r="L1139" s="40" t="s">
        <v>115</v>
      </c>
      <c r="O1139" s="40" t="s">
        <v>115</v>
      </c>
      <c r="Q1139" s="40">
        <v>111</v>
      </c>
      <c r="R1139" s="40">
        <v>268</v>
      </c>
      <c r="X1139" s="40" t="s">
        <v>3064</v>
      </c>
      <c r="Y1139" s="40">
        <v>1</v>
      </c>
      <c r="Z1139" s="40">
        <v>1</v>
      </c>
      <c r="AA1139" s="40" t="s">
        <v>115</v>
      </c>
      <c r="AB1139" s="40" t="s">
        <v>115</v>
      </c>
      <c r="AC1139" s="40" t="s">
        <v>115</v>
      </c>
      <c r="AI1139" s="40" t="s">
        <v>115</v>
      </c>
      <c r="AP1139" s="4" t="s">
        <v>115</v>
      </c>
    </row>
    <row r="1140" spans="1:42" x14ac:dyDescent="0.15">
      <c r="A1140" s="40" t="s">
        <v>1</v>
      </c>
      <c r="B1140" s="23">
        <v>90110708</v>
      </c>
      <c r="C1140" s="23">
        <v>1107</v>
      </c>
      <c r="D1140" s="23">
        <v>11</v>
      </c>
      <c r="F1140" s="23" t="s">
        <v>115</v>
      </c>
      <c r="G1140" s="23" t="s">
        <v>115</v>
      </c>
      <c r="H1140" s="23" t="s">
        <v>3065</v>
      </c>
      <c r="I1140" s="23">
        <v>4</v>
      </c>
      <c r="J1140" s="40">
        <v>0</v>
      </c>
      <c r="K1140" s="40">
        <v>3</v>
      </c>
      <c r="L1140" s="40" t="s">
        <v>115</v>
      </c>
      <c r="O1140" s="40" t="s">
        <v>115</v>
      </c>
      <c r="Q1140" s="40">
        <v>111</v>
      </c>
      <c r="R1140" s="40">
        <v>268</v>
      </c>
      <c r="X1140" s="40">
        <v>90110711</v>
      </c>
      <c r="Y1140" s="40">
        <v>-1</v>
      </c>
      <c r="Z1140" s="40">
        <v>2</v>
      </c>
      <c r="AA1140" s="40" t="s">
        <v>115</v>
      </c>
      <c r="AB1140" s="40" t="s">
        <v>115</v>
      </c>
      <c r="AC1140" s="40" t="s">
        <v>115</v>
      </c>
      <c r="AI1140" s="40" t="s">
        <v>115</v>
      </c>
      <c r="AP1140" s="4" t="s">
        <v>115</v>
      </c>
    </row>
    <row r="1141" spans="1:42" x14ac:dyDescent="0.15">
      <c r="A1141" s="40" t="s">
        <v>1</v>
      </c>
      <c r="B1141" s="23">
        <v>90110709</v>
      </c>
      <c r="C1141" s="23">
        <v>1107</v>
      </c>
      <c r="D1141" s="23">
        <v>11</v>
      </c>
      <c r="F1141" s="23" t="s">
        <v>115</v>
      </c>
      <c r="G1141" s="23" t="s">
        <v>115</v>
      </c>
      <c r="H1141" s="23" t="s">
        <v>1179</v>
      </c>
      <c r="I1141" s="23">
        <v>4</v>
      </c>
      <c r="J1141" s="40">
        <v>0</v>
      </c>
      <c r="K1141" s="40">
        <v>4</v>
      </c>
      <c r="L1141" s="40" t="s">
        <v>115</v>
      </c>
      <c r="O1141" s="40" t="s">
        <v>115</v>
      </c>
      <c r="Q1141" s="40">
        <v>111</v>
      </c>
      <c r="R1141" s="40">
        <v>268</v>
      </c>
      <c r="X1141" s="40">
        <v>90110713</v>
      </c>
      <c r="Y1141" s="40">
        <v>-1</v>
      </c>
      <c r="Z1141" s="40">
        <v>2</v>
      </c>
      <c r="AA1141" s="40" t="s">
        <v>115</v>
      </c>
      <c r="AB1141" s="40" t="s">
        <v>115</v>
      </c>
      <c r="AC1141" s="40" t="s">
        <v>3066</v>
      </c>
      <c r="AI1141" s="40" t="s">
        <v>115</v>
      </c>
      <c r="AP1141" s="4" t="s">
        <v>115</v>
      </c>
    </row>
    <row r="1142" spans="1:42" x14ac:dyDescent="0.15">
      <c r="A1142" s="40" t="s">
        <v>1</v>
      </c>
      <c r="B1142" s="23">
        <v>90110710</v>
      </c>
      <c r="C1142" s="23">
        <v>1107</v>
      </c>
      <c r="D1142" s="23">
        <v>11</v>
      </c>
      <c r="F1142" s="23" t="s">
        <v>115</v>
      </c>
      <c r="G1142" s="23" t="s">
        <v>115</v>
      </c>
      <c r="H1142" s="23" t="s">
        <v>3067</v>
      </c>
      <c r="I1142" s="23">
        <v>4</v>
      </c>
      <c r="J1142" s="40">
        <v>0</v>
      </c>
      <c r="K1142" s="40">
        <v>5</v>
      </c>
      <c r="L1142" s="40" t="s">
        <v>115</v>
      </c>
      <c r="O1142" s="40" t="s">
        <v>115</v>
      </c>
      <c r="Q1142" s="40">
        <v>111</v>
      </c>
      <c r="R1142" s="40">
        <v>268</v>
      </c>
      <c r="X1142" s="40">
        <v>90110715</v>
      </c>
      <c r="Y1142" s="40">
        <v>-1</v>
      </c>
      <c r="Z1142" s="40">
        <v>2</v>
      </c>
      <c r="AA1142" s="40" t="s">
        <v>115</v>
      </c>
      <c r="AB1142" s="40" t="s">
        <v>115</v>
      </c>
      <c r="AC1142" s="40" t="s">
        <v>115</v>
      </c>
      <c r="AI1142" s="40" t="s">
        <v>115</v>
      </c>
      <c r="AP1142" s="4" t="s">
        <v>115</v>
      </c>
    </row>
    <row r="1143" spans="1:42" x14ac:dyDescent="0.15">
      <c r="A1143" s="40" t="s">
        <v>1</v>
      </c>
      <c r="B1143" s="23">
        <v>90110711</v>
      </c>
      <c r="C1143" s="23">
        <v>1107</v>
      </c>
      <c r="D1143" s="23">
        <v>11</v>
      </c>
      <c r="F1143" s="23" t="s">
        <v>116</v>
      </c>
      <c r="G1143" s="23">
        <v>312</v>
      </c>
      <c r="H1143" s="23" t="s">
        <v>3068</v>
      </c>
      <c r="I1143" s="23">
        <v>0</v>
      </c>
      <c r="J1143" s="40">
        <v>0</v>
      </c>
      <c r="K1143" s="40">
        <v>0</v>
      </c>
      <c r="L1143" s="40" t="s">
        <v>115</v>
      </c>
      <c r="O1143" s="40" t="s">
        <v>115</v>
      </c>
      <c r="Q1143" s="40">
        <v>111</v>
      </c>
      <c r="R1143" s="40">
        <v>268</v>
      </c>
      <c r="X1143" s="40">
        <v>90110712</v>
      </c>
      <c r="Y1143" s="40" t="s">
        <v>115</v>
      </c>
      <c r="Z1143" s="40" t="s">
        <v>115</v>
      </c>
      <c r="AA1143" s="40" t="s">
        <v>115</v>
      </c>
      <c r="AB1143" s="40" t="s">
        <v>115</v>
      </c>
      <c r="AC1143" s="40" t="s">
        <v>115</v>
      </c>
      <c r="AI1143" s="40" t="s">
        <v>115</v>
      </c>
      <c r="AP1143" s="4" t="s">
        <v>115</v>
      </c>
    </row>
    <row r="1144" spans="1:42" x14ac:dyDescent="0.15">
      <c r="A1144" s="40" t="s">
        <v>1</v>
      </c>
      <c r="B1144" s="23">
        <v>90110712</v>
      </c>
      <c r="C1144" s="23">
        <v>1107</v>
      </c>
      <c r="D1144" s="23">
        <v>11</v>
      </c>
      <c r="F1144" s="23" t="s">
        <v>859</v>
      </c>
      <c r="G1144" s="23" t="s">
        <v>115</v>
      </c>
      <c r="H1144" s="23" t="s">
        <v>3069</v>
      </c>
      <c r="I1144" s="23">
        <v>3</v>
      </c>
      <c r="J1144" s="40">
        <v>0</v>
      </c>
      <c r="K1144" s="40">
        <v>6</v>
      </c>
      <c r="L1144" s="40" t="s">
        <v>115</v>
      </c>
      <c r="O1144" s="40">
        <v>2</v>
      </c>
      <c r="Q1144" s="40">
        <v>111</v>
      </c>
      <c r="R1144" s="40">
        <v>268</v>
      </c>
      <c r="X1144" s="40" t="s">
        <v>115</v>
      </c>
      <c r="Y1144" s="40" t="s">
        <v>115</v>
      </c>
      <c r="Z1144" s="40">
        <v>5</v>
      </c>
      <c r="AA1144" s="40" t="s">
        <v>115</v>
      </c>
      <c r="AB1144" s="40" t="s">
        <v>115</v>
      </c>
      <c r="AC1144" s="40" t="s">
        <v>115</v>
      </c>
      <c r="AI1144" s="40" t="s">
        <v>115</v>
      </c>
      <c r="AP1144" s="4" t="s">
        <v>115</v>
      </c>
    </row>
    <row r="1145" spans="1:42" x14ac:dyDescent="0.15">
      <c r="A1145" s="40" t="s">
        <v>1</v>
      </c>
      <c r="B1145" s="23">
        <v>90110713</v>
      </c>
      <c r="C1145" s="23">
        <v>1107</v>
      </c>
      <c r="D1145" s="23">
        <v>11</v>
      </c>
      <c r="F1145" s="23" t="s">
        <v>116</v>
      </c>
      <c r="G1145" s="23">
        <v>312</v>
      </c>
      <c r="H1145" s="23" t="s">
        <v>3070</v>
      </c>
      <c r="I1145" s="23">
        <v>0</v>
      </c>
      <c r="J1145" s="40">
        <v>0</v>
      </c>
      <c r="K1145" s="40">
        <v>0</v>
      </c>
      <c r="L1145" s="40" t="s">
        <v>115</v>
      </c>
      <c r="O1145" s="40" t="s">
        <v>115</v>
      </c>
      <c r="Q1145" s="40">
        <v>111</v>
      </c>
      <c r="R1145" s="40">
        <v>268</v>
      </c>
      <c r="X1145" s="40">
        <v>90110714</v>
      </c>
      <c r="Y1145" s="40" t="s">
        <v>115</v>
      </c>
      <c r="Z1145" s="40" t="s">
        <v>115</v>
      </c>
      <c r="AA1145" s="40" t="s">
        <v>115</v>
      </c>
      <c r="AB1145" s="40" t="s">
        <v>115</v>
      </c>
      <c r="AC1145" s="40" t="s">
        <v>115</v>
      </c>
      <c r="AI1145" s="40" t="s">
        <v>115</v>
      </c>
      <c r="AP1145" s="4" t="s">
        <v>115</v>
      </c>
    </row>
    <row r="1146" spans="1:42" x14ac:dyDescent="0.15">
      <c r="A1146" s="40" t="s">
        <v>1</v>
      </c>
      <c r="B1146" s="23">
        <v>90110714</v>
      </c>
      <c r="C1146" s="23">
        <v>1107</v>
      </c>
      <c r="D1146" s="23">
        <v>11</v>
      </c>
      <c r="F1146" s="23" t="s">
        <v>859</v>
      </c>
      <c r="G1146" s="23" t="s">
        <v>115</v>
      </c>
      <c r="H1146" s="23" t="s">
        <v>3071</v>
      </c>
      <c r="I1146" s="23">
        <v>3</v>
      </c>
      <c r="J1146" s="40">
        <v>0</v>
      </c>
      <c r="K1146" s="40">
        <v>7</v>
      </c>
      <c r="L1146" s="40" t="s">
        <v>3072</v>
      </c>
      <c r="O1146" s="40">
        <v>1</v>
      </c>
      <c r="Q1146" s="40">
        <v>111</v>
      </c>
      <c r="R1146" s="40">
        <v>268</v>
      </c>
      <c r="X1146" s="40" t="s">
        <v>115</v>
      </c>
      <c r="Y1146" s="40" t="s">
        <v>115</v>
      </c>
      <c r="Z1146" s="40">
        <v>6</v>
      </c>
      <c r="AA1146" s="40" t="s">
        <v>115</v>
      </c>
      <c r="AB1146" s="40" t="s">
        <v>115</v>
      </c>
      <c r="AC1146" s="40" t="s">
        <v>115</v>
      </c>
      <c r="AI1146" s="40" t="s">
        <v>115</v>
      </c>
      <c r="AP1146" s="4" t="s">
        <v>115</v>
      </c>
    </row>
    <row r="1147" spans="1:42" x14ac:dyDescent="0.15">
      <c r="A1147" s="40" t="s">
        <v>1</v>
      </c>
      <c r="B1147" s="23">
        <v>90110715</v>
      </c>
      <c r="C1147" s="23">
        <v>1107</v>
      </c>
      <c r="D1147" s="23">
        <v>11</v>
      </c>
      <c r="F1147" s="23" t="s">
        <v>116</v>
      </c>
      <c r="G1147" s="23">
        <v>312</v>
      </c>
      <c r="H1147" s="23" t="s">
        <v>3073</v>
      </c>
      <c r="I1147" s="23">
        <v>0</v>
      </c>
      <c r="J1147" s="40">
        <v>0</v>
      </c>
      <c r="K1147" s="40">
        <v>8</v>
      </c>
      <c r="L1147" s="40" t="s">
        <v>115</v>
      </c>
      <c r="O1147" s="40">
        <v>2</v>
      </c>
      <c r="Q1147" s="40">
        <v>111</v>
      </c>
      <c r="R1147" s="40">
        <v>268</v>
      </c>
      <c r="X1147" s="40" t="s">
        <v>115</v>
      </c>
      <c r="Y1147" s="40" t="s">
        <v>115</v>
      </c>
      <c r="Z1147" s="40">
        <v>7</v>
      </c>
      <c r="AA1147" s="40" t="s">
        <v>115</v>
      </c>
      <c r="AB1147" s="40" t="s">
        <v>115</v>
      </c>
      <c r="AC1147" s="40" t="s">
        <v>115</v>
      </c>
      <c r="AI1147" s="40" t="s">
        <v>115</v>
      </c>
      <c r="AP1147" s="4" t="s">
        <v>115</v>
      </c>
    </row>
    <row r="1148" spans="1:42" x14ac:dyDescent="0.15">
      <c r="A1148" s="40" t="s">
        <v>1</v>
      </c>
      <c r="B1148" s="23" t="s">
        <v>2816</v>
      </c>
      <c r="C1148" s="23">
        <v>1201</v>
      </c>
      <c r="D1148" s="23">
        <v>12</v>
      </c>
      <c r="F1148" s="23" t="s">
        <v>116</v>
      </c>
      <c r="G1148" s="23">
        <v>275</v>
      </c>
      <c r="H1148" s="23" t="s">
        <v>3294</v>
      </c>
      <c r="I1148" s="23">
        <v>0</v>
      </c>
      <c r="J1148" s="40">
        <v>1</v>
      </c>
      <c r="K1148" s="40">
        <v>1</v>
      </c>
      <c r="L1148" s="40" t="s">
        <v>115</v>
      </c>
      <c r="O1148" s="40" t="s">
        <v>115</v>
      </c>
      <c r="Q1148" s="40">
        <v>198</v>
      </c>
      <c r="R1148" s="40" t="s">
        <v>115</v>
      </c>
      <c r="X1148" s="40">
        <v>90120102</v>
      </c>
      <c r="Y1148" s="40" t="s">
        <v>115</v>
      </c>
      <c r="Z1148" s="40" t="s">
        <v>115</v>
      </c>
      <c r="AA1148" s="40" t="s">
        <v>115</v>
      </c>
      <c r="AB1148" s="40" t="s">
        <v>115</v>
      </c>
      <c r="AC1148" s="40" t="s">
        <v>115</v>
      </c>
      <c r="AI1148" s="40" t="s">
        <v>115</v>
      </c>
      <c r="AP1148" s="4" t="s">
        <v>115</v>
      </c>
    </row>
    <row r="1149" spans="1:42" x14ac:dyDescent="0.15">
      <c r="A1149" s="40" t="s">
        <v>1</v>
      </c>
      <c r="B1149" s="23">
        <v>90120102</v>
      </c>
      <c r="C1149" s="23">
        <v>1201</v>
      </c>
      <c r="D1149" s="23">
        <v>12</v>
      </c>
      <c r="F1149" s="23" t="s">
        <v>3074</v>
      </c>
      <c r="G1149" s="23" t="s">
        <v>115</v>
      </c>
      <c r="H1149" s="23" t="s">
        <v>3075</v>
      </c>
      <c r="I1149" s="23">
        <v>3</v>
      </c>
      <c r="J1149" s="40">
        <v>0</v>
      </c>
      <c r="K1149" s="40">
        <v>0</v>
      </c>
      <c r="L1149" s="40" t="s">
        <v>115</v>
      </c>
      <c r="O1149" s="40" t="s">
        <v>115</v>
      </c>
      <c r="Q1149" s="40">
        <v>198</v>
      </c>
      <c r="R1149" s="40">
        <v>229</v>
      </c>
      <c r="X1149" s="40">
        <v>90120103</v>
      </c>
      <c r="Y1149" s="40" t="s">
        <v>115</v>
      </c>
      <c r="Z1149" s="40" t="s">
        <v>115</v>
      </c>
      <c r="AA1149" s="40" t="s">
        <v>115</v>
      </c>
      <c r="AB1149" s="40" t="s">
        <v>115</v>
      </c>
      <c r="AC1149" s="40" t="s">
        <v>115</v>
      </c>
      <c r="AI1149" s="40" t="s">
        <v>115</v>
      </c>
      <c r="AP1149" s="4" t="s">
        <v>115</v>
      </c>
    </row>
    <row r="1150" spans="1:42" x14ac:dyDescent="0.15">
      <c r="A1150" s="40" t="s">
        <v>1</v>
      </c>
      <c r="B1150" s="23">
        <v>90120103</v>
      </c>
      <c r="C1150" s="23">
        <v>1201</v>
      </c>
      <c r="D1150" s="23">
        <v>12</v>
      </c>
      <c r="F1150" s="23" t="s">
        <v>116</v>
      </c>
      <c r="G1150" s="23">
        <v>275</v>
      </c>
      <c r="H1150" s="23" t="s">
        <v>3295</v>
      </c>
      <c r="I1150" s="23">
        <v>0</v>
      </c>
      <c r="J1150" s="40">
        <v>0</v>
      </c>
      <c r="K1150" s="40">
        <v>0</v>
      </c>
      <c r="L1150" s="40" t="s">
        <v>115</v>
      </c>
      <c r="O1150" s="40" t="s">
        <v>115</v>
      </c>
      <c r="Q1150" s="40">
        <v>198</v>
      </c>
      <c r="R1150" s="40">
        <v>229</v>
      </c>
      <c r="X1150" s="40">
        <v>90120104</v>
      </c>
      <c r="Y1150" s="40" t="s">
        <v>115</v>
      </c>
      <c r="Z1150" s="40" t="s">
        <v>115</v>
      </c>
      <c r="AA1150" s="40" t="s">
        <v>115</v>
      </c>
      <c r="AB1150" s="40" t="s">
        <v>115</v>
      </c>
      <c r="AC1150" s="40" t="s">
        <v>115</v>
      </c>
      <c r="AI1150" s="40" t="s">
        <v>115</v>
      </c>
      <c r="AP1150" s="4" t="s">
        <v>115</v>
      </c>
    </row>
    <row r="1151" spans="1:42" x14ac:dyDescent="0.15">
      <c r="A1151" s="40" t="s">
        <v>1</v>
      </c>
      <c r="B1151" s="23">
        <v>90120104</v>
      </c>
      <c r="C1151" s="23">
        <v>1201</v>
      </c>
      <c r="D1151" s="23">
        <v>12</v>
      </c>
      <c r="F1151" s="23" t="s">
        <v>3074</v>
      </c>
      <c r="G1151" s="23" t="s">
        <v>115</v>
      </c>
      <c r="H1151" s="23" t="s">
        <v>3296</v>
      </c>
      <c r="I1151" s="23">
        <v>3</v>
      </c>
      <c r="J1151" s="40">
        <v>0</v>
      </c>
      <c r="K1151" s="40">
        <v>0</v>
      </c>
      <c r="L1151" s="40" t="s">
        <v>115</v>
      </c>
      <c r="O1151" s="40" t="s">
        <v>115</v>
      </c>
      <c r="Q1151" s="40">
        <v>198</v>
      </c>
      <c r="R1151" s="40">
        <v>229</v>
      </c>
      <c r="X1151" s="40">
        <v>90120105</v>
      </c>
      <c r="Y1151" s="40" t="s">
        <v>115</v>
      </c>
      <c r="Z1151" s="40" t="s">
        <v>115</v>
      </c>
      <c r="AA1151" s="40" t="s">
        <v>115</v>
      </c>
      <c r="AB1151" s="40" t="s">
        <v>115</v>
      </c>
      <c r="AC1151" s="40" t="s">
        <v>115</v>
      </c>
      <c r="AI1151" s="40" t="s">
        <v>115</v>
      </c>
      <c r="AP1151" s="4" t="s">
        <v>115</v>
      </c>
    </row>
    <row r="1152" spans="1:42" x14ac:dyDescent="0.15">
      <c r="A1152" s="40" t="s">
        <v>1</v>
      </c>
      <c r="B1152" s="23">
        <v>90120105</v>
      </c>
      <c r="C1152" s="23">
        <v>1201</v>
      </c>
      <c r="D1152" s="23">
        <v>12</v>
      </c>
      <c r="F1152" s="23" t="s">
        <v>116</v>
      </c>
      <c r="G1152" s="23">
        <v>274</v>
      </c>
      <c r="H1152" s="23" t="s">
        <v>3297</v>
      </c>
      <c r="I1152" s="23">
        <v>0</v>
      </c>
      <c r="J1152" s="40">
        <v>0</v>
      </c>
      <c r="K1152" s="40">
        <v>0</v>
      </c>
      <c r="L1152" s="40" t="s">
        <v>115</v>
      </c>
      <c r="O1152" s="40" t="s">
        <v>115</v>
      </c>
      <c r="Q1152" s="40">
        <v>198</v>
      </c>
      <c r="R1152" s="40">
        <v>229</v>
      </c>
      <c r="X1152" s="40">
        <v>90120106</v>
      </c>
      <c r="Y1152" s="40" t="s">
        <v>115</v>
      </c>
      <c r="Z1152" s="40" t="s">
        <v>115</v>
      </c>
      <c r="AA1152" s="40" t="s">
        <v>115</v>
      </c>
      <c r="AB1152" s="40" t="s">
        <v>115</v>
      </c>
      <c r="AC1152" s="40" t="s">
        <v>115</v>
      </c>
      <c r="AI1152" s="40" t="s">
        <v>115</v>
      </c>
      <c r="AP1152" s="4" t="s">
        <v>115</v>
      </c>
    </row>
    <row r="1153" spans="1:42" x14ac:dyDescent="0.15">
      <c r="A1153" s="40" t="s">
        <v>1</v>
      </c>
      <c r="B1153" s="23">
        <v>90120106</v>
      </c>
      <c r="C1153" s="23">
        <v>1201</v>
      </c>
      <c r="D1153" s="23">
        <v>12</v>
      </c>
      <c r="F1153" s="23" t="s">
        <v>529</v>
      </c>
      <c r="G1153" s="23" t="s">
        <v>115</v>
      </c>
      <c r="H1153" s="23" t="s">
        <v>3298</v>
      </c>
      <c r="I1153" s="23">
        <v>3</v>
      </c>
      <c r="J1153" s="40">
        <v>0</v>
      </c>
      <c r="K1153" s="40">
        <v>0</v>
      </c>
      <c r="L1153" s="40" t="s">
        <v>115</v>
      </c>
      <c r="O1153" s="40" t="s">
        <v>115</v>
      </c>
      <c r="Q1153" s="40">
        <v>198</v>
      </c>
      <c r="R1153" s="40">
        <v>213</v>
      </c>
      <c r="X1153" s="40">
        <v>90120107</v>
      </c>
      <c r="Y1153" s="40" t="s">
        <v>115</v>
      </c>
      <c r="Z1153" s="40" t="s">
        <v>115</v>
      </c>
      <c r="AA1153" s="40" t="s">
        <v>115</v>
      </c>
      <c r="AB1153" s="40" t="s">
        <v>115</v>
      </c>
      <c r="AC1153" s="40" t="s">
        <v>115</v>
      </c>
      <c r="AI1153" s="40" t="s">
        <v>115</v>
      </c>
      <c r="AP1153" s="4" t="s">
        <v>115</v>
      </c>
    </row>
    <row r="1154" spans="1:42" x14ac:dyDescent="0.15">
      <c r="A1154" s="40" t="s">
        <v>1</v>
      </c>
      <c r="B1154" s="23">
        <v>90120107</v>
      </c>
      <c r="C1154" s="23">
        <v>1201</v>
      </c>
      <c r="D1154" s="23">
        <v>12</v>
      </c>
      <c r="F1154" s="23" t="s">
        <v>116</v>
      </c>
      <c r="G1154" s="23">
        <v>259</v>
      </c>
      <c r="H1154" s="23" t="s">
        <v>3299</v>
      </c>
      <c r="I1154" s="23">
        <v>0</v>
      </c>
      <c r="J1154" s="40">
        <v>0</v>
      </c>
      <c r="K1154" s="40">
        <v>0</v>
      </c>
      <c r="L1154" s="40" t="s">
        <v>115</v>
      </c>
      <c r="O1154" s="40" t="s">
        <v>115</v>
      </c>
      <c r="Q1154" s="40">
        <v>198</v>
      </c>
      <c r="R1154" s="40">
        <v>213</v>
      </c>
      <c r="X1154" s="40">
        <v>90120108</v>
      </c>
      <c r="Y1154" s="40" t="s">
        <v>115</v>
      </c>
      <c r="Z1154" s="40" t="s">
        <v>115</v>
      </c>
      <c r="AA1154" s="40" t="s">
        <v>115</v>
      </c>
      <c r="AB1154" s="40" t="s">
        <v>115</v>
      </c>
      <c r="AC1154" s="40" t="s">
        <v>115</v>
      </c>
      <c r="AI1154" s="40" t="s">
        <v>115</v>
      </c>
      <c r="AP1154" s="4" t="s">
        <v>115</v>
      </c>
    </row>
    <row r="1155" spans="1:42" x14ac:dyDescent="0.15">
      <c r="A1155" s="40" t="s">
        <v>1</v>
      </c>
      <c r="B1155" s="23">
        <v>90120108</v>
      </c>
      <c r="C1155" s="23">
        <v>1201</v>
      </c>
      <c r="D1155" s="23">
        <v>12</v>
      </c>
      <c r="F1155" s="23" t="s">
        <v>116</v>
      </c>
      <c r="G1155" s="23">
        <v>261</v>
      </c>
      <c r="H1155" s="23" t="s">
        <v>3300</v>
      </c>
      <c r="I1155" s="23">
        <v>0</v>
      </c>
      <c r="J1155" s="40">
        <v>0</v>
      </c>
      <c r="K1155" s="40">
        <v>2</v>
      </c>
      <c r="L1155" s="40" t="s">
        <v>115</v>
      </c>
      <c r="O1155" s="40">
        <v>1</v>
      </c>
      <c r="Q1155" s="40">
        <v>198</v>
      </c>
      <c r="R1155" s="40" t="s">
        <v>115</v>
      </c>
      <c r="X1155" s="40" t="s">
        <v>115</v>
      </c>
      <c r="Y1155" s="40" t="s">
        <v>115</v>
      </c>
      <c r="Z1155" s="40">
        <v>1</v>
      </c>
      <c r="AA1155" s="40" t="s">
        <v>115</v>
      </c>
      <c r="AB1155" s="40" t="s">
        <v>115</v>
      </c>
      <c r="AC1155" s="40" t="s">
        <v>115</v>
      </c>
      <c r="AI1155" s="40" t="s">
        <v>115</v>
      </c>
      <c r="AP1155" s="4" t="s">
        <v>3076</v>
      </c>
    </row>
    <row r="1156" spans="1:42" x14ac:dyDescent="0.15">
      <c r="A1156" s="40" t="s">
        <v>1</v>
      </c>
      <c r="B1156" s="23" t="s">
        <v>2819</v>
      </c>
      <c r="C1156" s="23">
        <v>1202</v>
      </c>
      <c r="D1156" s="23">
        <v>12</v>
      </c>
      <c r="F1156" s="23" t="s">
        <v>115</v>
      </c>
      <c r="G1156" s="23" t="s">
        <v>115</v>
      </c>
      <c r="H1156" s="23" t="s">
        <v>3077</v>
      </c>
      <c r="I1156" s="23">
        <v>4</v>
      </c>
      <c r="J1156" s="40">
        <v>1</v>
      </c>
      <c r="K1156" s="40">
        <v>1</v>
      </c>
      <c r="L1156" s="40" t="s">
        <v>115</v>
      </c>
      <c r="O1156" s="40" t="s">
        <v>115</v>
      </c>
      <c r="Q1156" s="40">
        <v>118</v>
      </c>
      <c r="R1156" s="40" t="s">
        <v>115</v>
      </c>
      <c r="X1156" s="40">
        <v>90120202</v>
      </c>
      <c r="Y1156" s="40" t="s">
        <v>115</v>
      </c>
      <c r="Z1156" s="40" t="s">
        <v>115</v>
      </c>
      <c r="AA1156" s="40" t="s">
        <v>115</v>
      </c>
      <c r="AB1156" s="40" t="s">
        <v>115</v>
      </c>
      <c r="AC1156" s="40" t="s">
        <v>115</v>
      </c>
      <c r="AI1156" s="40" t="s">
        <v>115</v>
      </c>
      <c r="AP1156" s="4" t="s">
        <v>115</v>
      </c>
    </row>
    <row r="1157" spans="1:42" x14ac:dyDescent="0.15">
      <c r="A1157" s="40" t="s">
        <v>1</v>
      </c>
      <c r="B1157" s="23">
        <v>90120202</v>
      </c>
      <c r="C1157" s="23">
        <v>1202</v>
      </c>
      <c r="D1157" s="23">
        <v>12</v>
      </c>
      <c r="F1157" s="23" t="s">
        <v>1071</v>
      </c>
      <c r="G1157" s="23" t="s">
        <v>115</v>
      </c>
      <c r="H1157" s="23" t="s">
        <v>3301</v>
      </c>
      <c r="I1157" s="23">
        <v>3</v>
      </c>
      <c r="J1157" s="40">
        <v>0</v>
      </c>
      <c r="K1157" s="40">
        <v>0</v>
      </c>
      <c r="L1157" s="40" t="s">
        <v>115</v>
      </c>
      <c r="O1157" s="40" t="s">
        <v>115</v>
      </c>
      <c r="Q1157" s="40">
        <v>118</v>
      </c>
      <c r="R1157" s="40">
        <v>284</v>
      </c>
      <c r="X1157" s="40">
        <v>90120203</v>
      </c>
      <c r="Y1157" s="40" t="s">
        <v>115</v>
      </c>
      <c r="Z1157" s="40" t="s">
        <v>115</v>
      </c>
      <c r="AA1157" s="40" t="s">
        <v>115</v>
      </c>
      <c r="AB1157" s="40" t="s">
        <v>115</v>
      </c>
      <c r="AC1157" s="40" t="s">
        <v>115</v>
      </c>
      <c r="AI1157" s="40" t="s">
        <v>115</v>
      </c>
      <c r="AP1157" s="4" t="s">
        <v>115</v>
      </c>
    </row>
    <row r="1158" spans="1:42" x14ac:dyDescent="0.15">
      <c r="A1158" s="40" t="s">
        <v>1</v>
      </c>
      <c r="B1158" s="23">
        <v>90120203</v>
      </c>
      <c r="C1158" s="23">
        <v>1202</v>
      </c>
      <c r="D1158" s="23">
        <v>12</v>
      </c>
      <c r="F1158" s="23" t="s">
        <v>116</v>
      </c>
      <c r="G1158" s="23">
        <v>261</v>
      </c>
      <c r="H1158" s="23" t="s">
        <v>3302</v>
      </c>
      <c r="I1158" s="23">
        <v>0</v>
      </c>
      <c r="J1158" s="40">
        <v>0</v>
      </c>
      <c r="K1158" s="40">
        <v>0</v>
      </c>
      <c r="L1158" s="40" t="s">
        <v>115</v>
      </c>
      <c r="O1158" s="40" t="s">
        <v>115</v>
      </c>
      <c r="Q1158" s="40">
        <v>118</v>
      </c>
      <c r="R1158" s="40">
        <v>284</v>
      </c>
      <c r="X1158" s="40">
        <v>90120204</v>
      </c>
      <c r="Y1158" s="40" t="s">
        <v>115</v>
      </c>
      <c r="Z1158" s="40" t="s">
        <v>115</v>
      </c>
      <c r="AA1158" s="40" t="s">
        <v>115</v>
      </c>
      <c r="AB1158" s="40" t="s">
        <v>115</v>
      </c>
      <c r="AC1158" s="40" t="s">
        <v>115</v>
      </c>
      <c r="AI1158" s="40" t="s">
        <v>115</v>
      </c>
      <c r="AP1158" s="4" t="s">
        <v>115</v>
      </c>
    </row>
    <row r="1159" spans="1:42" x14ac:dyDescent="0.15">
      <c r="A1159" s="40" t="s">
        <v>1</v>
      </c>
      <c r="B1159" s="23">
        <v>90120204</v>
      </c>
      <c r="C1159" s="23">
        <v>1202</v>
      </c>
      <c r="D1159" s="23">
        <v>12</v>
      </c>
      <c r="F1159" s="23" t="s">
        <v>1071</v>
      </c>
      <c r="G1159" s="23" t="s">
        <v>115</v>
      </c>
      <c r="H1159" s="23" t="s">
        <v>3303</v>
      </c>
      <c r="I1159" s="23">
        <v>3</v>
      </c>
      <c r="J1159" s="40">
        <v>0</v>
      </c>
      <c r="K1159" s="40">
        <v>0</v>
      </c>
      <c r="L1159" s="40" t="s">
        <v>115</v>
      </c>
      <c r="O1159" s="40" t="s">
        <v>115</v>
      </c>
      <c r="Q1159" s="40">
        <v>118</v>
      </c>
      <c r="R1159" s="40">
        <v>284</v>
      </c>
      <c r="X1159" s="40">
        <v>90120205</v>
      </c>
      <c r="Y1159" s="40" t="s">
        <v>115</v>
      </c>
      <c r="Z1159" s="40" t="s">
        <v>115</v>
      </c>
      <c r="AA1159" s="40" t="s">
        <v>115</v>
      </c>
      <c r="AB1159" s="40" t="s">
        <v>115</v>
      </c>
      <c r="AC1159" s="40" t="s">
        <v>115</v>
      </c>
      <c r="AI1159" s="40" t="s">
        <v>115</v>
      </c>
      <c r="AP1159" s="4" t="s">
        <v>115</v>
      </c>
    </row>
    <row r="1160" spans="1:42" x14ac:dyDescent="0.15">
      <c r="A1160" s="40" t="s">
        <v>1</v>
      </c>
      <c r="B1160" s="23">
        <v>90120205</v>
      </c>
      <c r="C1160" s="23">
        <v>1202</v>
      </c>
      <c r="D1160" s="23">
        <v>12</v>
      </c>
      <c r="F1160" s="23" t="s">
        <v>116</v>
      </c>
      <c r="G1160" s="23">
        <v>261</v>
      </c>
      <c r="H1160" s="23" t="s">
        <v>3304</v>
      </c>
      <c r="I1160" s="23">
        <v>0</v>
      </c>
      <c r="J1160" s="40">
        <v>0</v>
      </c>
      <c r="K1160" s="40">
        <v>0</v>
      </c>
      <c r="L1160" s="40" t="s">
        <v>115</v>
      </c>
      <c r="O1160" s="40" t="s">
        <v>115</v>
      </c>
      <c r="Q1160" s="40">
        <v>118</v>
      </c>
      <c r="R1160" s="40">
        <v>284</v>
      </c>
      <c r="X1160" s="40">
        <v>90120206</v>
      </c>
      <c r="Y1160" s="40" t="s">
        <v>115</v>
      </c>
      <c r="Z1160" s="40" t="s">
        <v>115</v>
      </c>
      <c r="AA1160" s="40" t="s">
        <v>115</v>
      </c>
      <c r="AB1160" s="40" t="s">
        <v>115</v>
      </c>
      <c r="AC1160" s="40" t="s">
        <v>115</v>
      </c>
      <c r="AI1160" s="40" t="s">
        <v>115</v>
      </c>
      <c r="AP1160" s="4" t="s">
        <v>115</v>
      </c>
    </row>
    <row r="1161" spans="1:42" x14ac:dyDescent="0.15">
      <c r="A1161" s="40" t="s">
        <v>1</v>
      </c>
      <c r="B1161" s="23">
        <v>90120206</v>
      </c>
      <c r="C1161" s="23">
        <v>1202</v>
      </c>
      <c r="D1161" s="23">
        <v>12</v>
      </c>
      <c r="F1161" s="23" t="s">
        <v>116</v>
      </c>
      <c r="G1161" s="23" t="s">
        <v>115</v>
      </c>
      <c r="H1161" s="23" t="s">
        <v>3305</v>
      </c>
      <c r="I1161" s="23">
        <v>0</v>
      </c>
      <c r="J1161" s="40">
        <v>0</v>
      </c>
      <c r="K1161" s="40">
        <v>2</v>
      </c>
      <c r="L1161" s="40" t="s">
        <v>115</v>
      </c>
      <c r="O1161" s="40" t="s">
        <v>115</v>
      </c>
      <c r="Q1161" s="40">
        <v>118</v>
      </c>
      <c r="R1161" s="40">
        <v>284</v>
      </c>
      <c r="X1161" s="40" t="s">
        <v>3306</v>
      </c>
      <c r="Y1161" s="40">
        <v>1</v>
      </c>
      <c r="Z1161" s="40">
        <v>1</v>
      </c>
      <c r="AA1161" s="40" t="s">
        <v>115</v>
      </c>
      <c r="AB1161" s="40" t="s">
        <v>115</v>
      </c>
      <c r="AC1161" s="40" t="s">
        <v>115</v>
      </c>
      <c r="AI1161" s="40" t="s">
        <v>115</v>
      </c>
      <c r="AP1161" s="4" t="s">
        <v>115</v>
      </c>
    </row>
    <row r="1162" spans="1:42" x14ac:dyDescent="0.15">
      <c r="A1162" s="40" t="s">
        <v>1</v>
      </c>
      <c r="B1162" s="23">
        <v>90120207</v>
      </c>
      <c r="C1162" s="23">
        <v>1202</v>
      </c>
      <c r="D1162" s="23">
        <v>12</v>
      </c>
      <c r="F1162" s="23" t="s">
        <v>115</v>
      </c>
      <c r="G1162" s="23" t="s">
        <v>115</v>
      </c>
      <c r="H1162" s="23" t="s">
        <v>3078</v>
      </c>
      <c r="I1162" s="23">
        <v>4</v>
      </c>
      <c r="J1162" s="40">
        <v>0</v>
      </c>
      <c r="K1162" s="40">
        <v>3</v>
      </c>
      <c r="L1162" s="40" t="s">
        <v>115</v>
      </c>
      <c r="O1162" s="40" t="s">
        <v>115</v>
      </c>
      <c r="Q1162" s="40">
        <v>118</v>
      </c>
      <c r="R1162" s="40">
        <v>284</v>
      </c>
      <c r="X1162" s="40">
        <v>90120208</v>
      </c>
      <c r="Y1162" s="40">
        <v>-1</v>
      </c>
      <c r="Z1162" s="40">
        <v>2</v>
      </c>
      <c r="AA1162" s="40" t="s">
        <v>115</v>
      </c>
      <c r="AB1162" s="40" t="s">
        <v>115</v>
      </c>
      <c r="AC1162" s="40" t="s">
        <v>3079</v>
      </c>
      <c r="AI1162" s="40" t="s">
        <v>115</v>
      </c>
      <c r="AP1162" s="4" t="s">
        <v>115</v>
      </c>
    </row>
    <row r="1163" spans="1:42" x14ac:dyDescent="0.15">
      <c r="A1163" s="40" t="s">
        <v>1</v>
      </c>
      <c r="B1163" s="23">
        <v>90120208</v>
      </c>
      <c r="C1163" s="23">
        <v>1202</v>
      </c>
      <c r="D1163" s="23">
        <v>12</v>
      </c>
      <c r="F1163" s="23" t="s">
        <v>1071</v>
      </c>
      <c r="G1163" s="23" t="s">
        <v>115</v>
      </c>
      <c r="H1163" s="23" t="s">
        <v>3307</v>
      </c>
      <c r="I1163" s="23">
        <v>3</v>
      </c>
      <c r="J1163" s="40">
        <v>0</v>
      </c>
      <c r="K1163" s="40">
        <v>0</v>
      </c>
      <c r="L1163" s="40" t="s">
        <v>115</v>
      </c>
      <c r="O1163" s="40" t="s">
        <v>115</v>
      </c>
      <c r="Q1163" s="40">
        <v>118</v>
      </c>
      <c r="R1163" s="40">
        <v>284</v>
      </c>
      <c r="X1163" s="40">
        <v>90120209</v>
      </c>
      <c r="Y1163" s="40" t="s">
        <v>115</v>
      </c>
      <c r="Z1163" s="40" t="s">
        <v>115</v>
      </c>
      <c r="AA1163" s="40" t="s">
        <v>115</v>
      </c>
      <c r="AB1163" s="40" t="s">
        <v>115</v>
      </c>
      <c r="AC1163" s="40" t="s">
        <v>115</v>
      </c>
      <c r="AI1163" s="40" t="s">
        <v>115</v>
      </c>
      <c r="AP1163" s="4" t="s">
        <v>115</v>
      </c>
    </row>
    <row r="1164" spans="1:42" x14ac:dyDescent="0.15">
      <c r="A1164" s="40" t="s">
        <v>1</v>
      </c>
      <c r="B1164" s="23">
        <v>90120209</v>
      </c>
      <c r="C1164" s="23">
        <v>1202</v>
      </c>
      <c r="D1164" s="23">
        <v>12</v>
      </c>
      <c r="F1164" s="23" t="s">
        <v>1071</v>
      </c>
      <c r="G1164" s="23" t="s">
        <v>115</v>
      </c>
      <c r="H1164" s="23" t="s">
        <v>3308</v>
      </c>
      <c r="I1164" s="23">
        <v>3</v>
      </c>
      <c r="J1164" s="40">
        <v>0</v>
      </c>
      <c r="K1164" s="40">
        <v>0</v>
      </c>
      <c r="L1164" s="40" t="s">
        <v>115</v>
      </c>
      <c r="O1164" s="40" t="s">
        <v>115</v>
      </c>
      <c r="Q1164" s="40">
        <v>118</v>
      </c>
      <c r="R1164" s="40">
        <v>284</v>
      </c>
      <c r="X1164" s="40">
        <v>90120210</v>
      </c>
      <c r="Y1164" s="40" t="s">
        <v>115</v>
      </c>
      <c r="Z1164" s="40" t="s">
        <v>115</v>
      </c>
      <c r="AA1164" s="40" t="s">
        <v>115</v>
      </c>
      <c r="AB1164" s="40" t="s">
        <v>115</v>
      </c>
      <c r="AC1164" s="40" t="s">
        <v>115</v>
      </c>
      <c r="AI1164" s="40" t="s">
        <v>115</v>
      </c>
      <c r="AP1164" s="4" t="s">
        <v>115</v>
      </c>
    </row>
    <row r="1165" spans="1:42" x14ac:dyDescent="0.15">
      <c r="A1165" s="40" t="s">
        <v>1</v>
      </c>
      <c r="B1165" s="23">
        <v>90120210</v>
      </c>
      <c r="C1165" s="23">
        <v>1202</v>
      </c>
      <c r="D1165" s="23">
        <v>12</v>
      </c>
      <c r="F1165" s="23" t="s">
        <v>116</v>
      </c>
      <c r="G1165" s="23">
        <v>274</v>
      </c>
      <c r="H1165" s="23" t="s">
        <v>3309</v>
      </c>
      <c r="I1165" s="23">
        <v>2</v>
      </c>
      <c r="J1165" s="40">
        <v>0</v>
      </c>
      <c r="K1165" s="40">
        <v>0</v>
      </c>
      <c r="L1165" s="40" t="s">
        <v>115</v>
      </c>
      <c r="O1165" s="40" t="s">
        <v>115</v>
      </c>
      <c r="Q1165" s="40">
        <v>118</v>
      </c>
      <c r="R1165" s="40">
        <v>284</v>
      </c>
      <c r="X1165" s="40">
        <v>90120211</v>
      </c>
      <c r="Y1165" s="40" t="s">
        <v>115</v>
      </c>
      <c r="Z1165" s="40" t="s">
        <v>115</v>
      </c>
      <c r="AA1165" s="40" t="s">
        <v>115</v>
      </c>
      <c r="AB1165" s="40" t="s">
        <v>115</v>
      </c>
      <c r="AC1165" s="40" t="s">
        <v>115</v>
      </c>
      <c r="AI1165" s="40" t="s">
        <v>115</v>
      </c>
      <c r="AP1165" s="4" t="s">
        <v>115</v>
      </c>
    </row>
    <row r="1166" spans="1:42" x14ac:dyDescent="0.15">
      <c r="A1166" s="40" t="s">
        <v>1</v>
      </c>
      <c r="B1166" s="23">
        <v>90120211</v>
      </c>
      <c r="C1166" s="23">
        <v>1202</v>
      </c>
      <c r="D1166" s="23">
        <v>12</v>
      </c>
      <c r="F1166" s="23" t="s">
        <v>1071</v>
      </c>
      <c r="G1166" s="23" t="s">
        <v>115</v>
      </c>
      <c r="H1166" s="23" t="s">
        <v>3310</v>
      </c>
      <c r="I1166" s="23">
        <v>3</v>
      </c>
      <c r="J1166" s="40">
        <v>0</v>
      </c>
      <c r="K1166" s="40">
        <v>0</v>
      </c>
      <c r="L1166" s="40" t="s">
        <v>115</v>
      </c>
      <c r="O1166" s="40" t="s">
        <v>115</v>
      </c>
      <c r="Q1166" s="40">
        <v>118</v>
      </c>
      <c r="R1166" s="40">
        <v>284</v>
      </c>
      <c r="X1166" s="40">
        <v>90120212</v>
      </c>
      <c r="Y1166" s="40" t="s">
        <v>115</v>
      </c>
      <c r="Z1166" s="40" t="s">
        <v>115</v>
      </c>
      <c r="AA1166" s="40" t="s">
        <v>115</v>
      </c>
      <c r="AB1166" s="40" t="s">
        <v>115</v>
      </c>
      <c r="AC1166" s="40" t="s">
        <v>115</v>
      </c>
      <c r="AI1166" s="40" t="s">
        <v>115</v>
      </c>
      <c r="AP1166" s="4" t="s">
        <v>115</v>
      </c>
    </row>
    <row r="1167" spans="1:42" x14ac:dyDescent="0.15">
      <c r="A1167" s="40" t="s">
        <v>1</v>
      </c>
      <c r="B1167" s="23">
        <v>90120212</v>
      </c>
      <c r="C1167" s="23">
        <v>1202</v>
      </c>
      <c r="D1167" s="23">
        <v>12</v>
      </c>
      <c r="F1167" s="23" t="s">
        <v>1071</v>
      </c>
      <c r="G1167" s="23" t="s">
        <v>115</v>
      </c>
      <c r="H1167" s="23" t="s">
        <v>3311</v>
      </c>
      <c r="I1167" s="23">
        <v>3</v>
      </c>
      <c r="J1167" s="40">
        <v>0</v>
      </c>
      <c r="K1167" s="40">
        <v>0</v>
      </c>
      <c r="L1167" s="40" t="s">
        <v>115</v>
      </c>
      <c r="O1167" s="40" t="s">
        <v>115</v>
      </c>
      <c r="Q1167" s="40">
        <v>118</v>
      </c>
      <c r="R1167" s="40">
        <v>284</v>
      </c>
      <c r="X1167" s="40">
        <v>90120213</v>
      </c>
      <c r="Y1167" s="40" t="s">
        <v>115</v>
      </c>
      <c r="Z1167" s="40" t="s">
        <v>115</v>
      </c>
      <c r="AA1167" s="40" t="s">
        <v>115</v>
      </c>
      <c r="AB1167" s="40" t="s">
        <v>115</v>
      </c>
      <c r="AC1167" s="40" t="s">
        <v>115</v>
      </c>
      <c r="AI1167" s="40" t="s">
        <v>115</v>
      </c>
      <c r="AP1167" s="4" t="s">
        <v>115</v>
      </c>
    </row>
    <row r="1168" spans="1:42" x14ac:dyDescent="0.15">
      <c r="A1168" s="40" t="s">
        <v>1</v>
      </c>
      <c r="B1168" s="23">
        <v>90120213</v>
      </c>
      <c r="C1168" s="23">
        <v>1202</v>
      </c>
      <c r="D1168" s="23">
        <v>12</v>
      </c>
      <c r="F1168" s="23" t="s">
        <v>116</v>
      </c>
      <c r="G1168" s="23">
        <v>274</v>
      </c>
      <c r="H1168" s="23" t="s">
        <v>3312</v>
      </c>
      <c r="I1168" s="23">
        <v>0</v>
      </c>
      <c r="J1168" s="40">
        <v>0</v>
      </c>
      <c r="K1168" s="40">
        <v>0</v>
      </c>
      <c r="L1168" s="40" t="s">
        <v>115</v>
      </c>
      <c r="O1168" s="40" t="s">
        <v>115</v>
      </c>
      <c r="Q1168" s="40">
        <v>118</v>
      </c>
      <c r="R1168" s="40">
        <v>284</v>
      </c>
      <c r="X1168" s="40">
        <v>90120214</v>
      </c>
      <c r="Y1168" s="40" t="s">
        <v>115</v>
      </c>
      <c r="Z1168" s="40" t="s">
        <v>115</v>
      </c>
      <c r="AA1168" s="40" t="s">
        <v>115</v>
      </c>
      <c r="AB1168" s="40" t="s">
        <v>115</v>
      </c>
      <c r="AC1168" s="40" t="s">
        <v>115</v>
      </c>
      <c r="AI1168" s="40" t="s">
        <v>115</v>
      </c>
      <c r="AP1168" s="4" t="s">
        <v>115</v>
      </c>
    </row>
    <row r="1169" spans="1:42" x14ac:dyDescent="0.15">
      <c r="A1169" s="40" t="s">
        <v>1</v>
      </c>
      <c r="B1169" s="23">
        <v>90120214</v>
      </c>
      <c r="C1169" s="23">
        <v>1202</v>
      </c>
      <c r="D1169" s="23">
        <v>12</v>
      </c>
      <c r="F1169" s="23" t="s">
        <v>1071</v>
      </c>
      <c r="G1169" s="23" t="s">
        <v>115</v>
      </c>
      <c r="H1169" s="23" t="s">
        <v>3313</v>
      </c>
      <c r="I1169" s="23">
        <v>3</v>
      </c>
      <c r="J1169" s="40">
        <v>0</v>
      </c>
      <c r="K1169" s="40">
        <v>0</v>
      </c>
      <c r="L1169" s="40" t="s">
        <v>115</v>
      </c>
      <c r="O1169" s="40" t="s">
        <v>115</v>
      </c>
      <c r="Q1169" s="40">
        <v>118</v>
      </c>
      <c r="R1169" s="40">
        <v>284</v>
      </c>
      <c r="X1169" s="40">
        <v>90120215</v>
      </c>
      <c r="Y1169" s="40" t="s">
        <v>115</v>
      </c>
      <c r="Z1169" s="40" t="s">
        <v>115</v>
      </c>
      <c r="AA1169" s="40" t="s">
        <v>115</v>
      </c>
      <c r="AB1169" s="40" t="s">
        <v>115</v>
      </c>
      <c r="AC1169" s="40" t="s">
        <v>115</v>
      </c>
      <c r="AI1169" s="40" t="s">
        <v>115</v>
      </c>
      <c r="AP1169" s="4" t="s">
        <v>115</v>
      </c>
    </row>
    <row r="1170" spans="1:42" x14ac:dyDescent="0.15">
      <c r="A1170" s="40" t="s">
        <v>1</v>
      </c>
      <c r="B1170" s="23">
        <v>90120215</v>
      </c>
      <c r="C1170" s="23">
        <v>1202</v>
      </c>
      <c r="D1170" s="23">
        <v>12</v>
      </c>
      <c r="F1170" s="23" t="s">
        <v>1071</v>
      </c>
      <c r="G1170" s="23" t="s">
        <v>115</v>
      </c>
      <c r="H1170" s="23" t="s">
        <v>3314</v>
      </c>
      <c r="I1170" s="23">
        <v>3</v>
      </c>
      <c r="J1170" s="40">
        <v>0</v>
      </c>
      <c r="K1170" s="40">
        <v>0</v>
      </c>
      <c r="L1170" s="40" t="s">
        <v>115</v>
      </c>
      <c r="O1170" s="40" t="s">
        <v>115</v>
      </c>
      <c r="Q1170" s="40">
        <v>118</v>
      </c>
      <c r="R1170" s="40">
        <v>284</v>
      </c>
      <c r="X1170" s="40">
        <v>90120216</v>
      </c>
      <c r="Y1170" s="40" t="s">
        <v>115</v>
      </c>
      <c r="Z1170" s="40" t="s">
        <v>115</v>
      </c>
      <c r="AA1170" s="40" t="s">
        <v>115</v>
      </c>
      <c r="AB1170" s="40" t="s">
        <v>115</v>
      </c>
      <c r="AC1170" s="40" t="s">
        <v>115</v>
      </c>
      <c r="AI1170" s="40" t="s">
        <v>115</v>
      </c>
      <c r="AP1170" s="4" t="s">
        <v>115</v>
      </c>
    </row>
    <row r="1171" spans="1:42" x14ac:dyDescent="0.15">
      <c r="A1171" s="40" t="s">
        <v>1</v>
      </c>
      <c r="B1171" s="23">
        <v>90120216</v>
      </c>
      <c r="C1171" s="23">
        <v>1202</v>
      </c>
      <c r="D1171" s="23">
        <v>12</v>
      </c>
      <c r="F1171" s="23" t="s">
        <v>115</v>
      </c>
      <c r="G1171" s="23" t="s">
        <v>115</v>
      </c>
      <c r="H1171" s="23" t="s">
        <v>3315</v>
      </c>
      <c r="I1171" s="23">
        <v>4</v>
      </c>
      <c r="J1171" s="40">
        <v>0</v>
      </c>
      <c r="K1171" s="40">
        <v>0</v>
      </c>
      <c r="L1171" s="40" t="s">
        <v>115</v>
      </c>
      <c r="O1171" s="40" t="s">
        <v>115</v>
      </c>
      <c r="Q1171" s="40">
        <v>118</v>
      </c>
      <c r="R1171" s="40" t="s">
        <v>115</v>
      </c>
      <c r="X1171" s="40">
        <v>90120217</v>
      </c>
      <c r="Y1171" s="40" t="s">
        <v>115</v>
      </c>
      <c r="Z1171" s="40" t="s">
        <v>115</v>
      </c>
      <c r="AA1171" s="40" t="s">
        <v>115</v>
      </c>
      <c r="AB1171" s="40" t="s">
        <v>115</v>
      </c>
      <c r="AC1171" s="40" t="s">
        <v>115</v>
      </c>
      <c r="AI1171" s="40" t="s">
        <v>115</v>
      </c>
      <c r="AP1171" s="4" t="s">
        <v>115</v>
      </c>
    </row>
    <row r="1172" spans="1:42" x14ac:dyDescent="0.15">
      <c r="A1172" s="40" t="s">
        <v>1</v>
      </c>
      <c r="B1172" s="23">
        <v>90120217</v>
      </c>
      <c r="C1172" s="23">
        <v>1202</v>
      </c>
      <c r="D1172" s="23">
        <v>12</v>
      </c>
      <c r="F1172" s="23" t="s">
        <v>116</v>
      </c>
      <c r="G1172" s="23">
        <v>275</v>
      </c>
      <c r="H1172" s="23" t="s">
        <v>3316</v>
      </c>
      <c r="I1172" s="23">
        <v>0</v>
      </c>
      <c r="J1172" s="40">
        <v>0</v>
      </c>
      <c r="K1172" s="40">
        <v>0</v>
      </c>
      <c r="L1172" s="40" t="s">
        <v>115</v>
      </c>
      <c r="O1172" s="40" t="s">
        <v>115</v>
      </c>
      <c r="Q1172" s="40">
        <v>118</v>
      </c>
      <c r="R1172" s="40" t="s">
        <v>115</v>
      </c>
      <c r="X1172" s="40">
        <v>90120218</v>
      </c>
      <c r="Y1172" s="40" t="s">
        <v>115</v>
      </c>
      <c r="Z1172" s="40" t="s">
        <v>115</v>
      </c>
      <c r="AA1172" s="40" t="s">
        <v>115</v>
      </c>
      <c r="AB1172" s="40" t="s">
        <v>115</v>
      </c>
      <c r="AC1172" s="40" t="s">
        <v>115</v>
      </c>
      <c r="AI1172" s="40" t="s">
        <v>115</v>
      </c>
      <c r="AP1172" s="4" t="s">
        <v>115</v>
      </c>
    </row>
    <row r="1173" spans="1:42" x14ac:dyDescent="0.15">
      <c r="A1173" s="40" t="s">
        <v>1</v>
      </c>
      <c r="B1173" s="23">
        <v>90120218</v>
      </c>
      <c r="C1173" s="23">
        <v>1202</v>
      </c>
      <c r="D1173" s="23">
        <v>12</v>
      </c>
      <c r="F1173" s="23" t="s">
        <v>116</v>
      </c>
      <c r="G1173" s="23">
        <v>275</v>
      </c>
      <c r="H1173" s="23" t="s">
        <v>3317</v>
      </c>
      <c r="I1173" s="23">
        <v>2</v>
      </c>
      <c r="J1173" s="40">
        <v>0</v>
      </c>
      <c r="K1173" s="40">
        <v>4</v>
      </c>
      <c r="L1173" s="40" t="s">
        <v>115</v>
      </c>
      <c r="O1173" s="40">
        <v>1</v>
      </c>
      <c r="Q1173" s="40">
        <v>118</v>
      </c>
      <c r="R1173" s="40" t="s">
        <v>115</v>
      </c>
      <c r="X1173" s="40" t="s">
        <v>115</v>
      </c>
      <c r="Y1173" s="40" t="s">
        <v>115</v>
      </c>
      <c r="Z1173" s="40">
        <v>3</v>
      </c>
      <c r="AA1173" s="40" t="s">
        <v>115</v>
      </c>
      <c r="AB1173" s="40" t="s">
        <v>115</v>
      </c>
      <c r="AC1173" s="40" t="s">
        <v>115</v>
      </c>
      <c r="AI1173" s="40" t="s">
        <v>115</v>
      </c>
      <c r="AP1173" s="4" t="s">
        <v>3080</v>
      </c>
    </row>
    <row r="1174" spans="1:42" x14ac:dyDescent="0.15">
      <c r="A1174" s="40" t="s">
        <v>1</v>
      </c>
      <c r="B1174" s="23" t="s">
        <v>2820</v>
      </c>
      <c r="C1174" s="23">
        <v>1203</v>
      </c>
      <c r="D1174" s="23">
        <v>12</v>
      </c>
      <c r="F1174" s="23" t="s">
        <v>115</v>
      </c>
      <c r="G1174" s="23" t="s">
        <v>115</v>
      </c>
      <c r="H1174" s="23" t="s">
        <v>3318</v>
      </c>
      <c r="I1174" s="23">
        <v>4</v>
      </c>
      <c r="J1174" s="40">
        <v>1</v>
      </c>
      <c r="K1174" s="40">
        <v>1</v>
      </c>
      <c r="L1174" s="40" t="s">
        <v>115</v>
      </c>
      <c r="O1174" s="40" t="s">
        <v>115</v>
      </c>
      <c r="Q1174" s="40">
        <v>185</v>
      </c>
      <c r="R1174" s="40" t="s">
        <v>115</v>
      </c>
      <c r="X1174" s="40">
        <v>90120302</v>
      </c>
      <c r="Y1174" s="40" t="s">
        <v>115</v>
      </c>
      <c r="Z1174" s="40" t="s">
        <v>115</v>
      </c>
      <c r="AA1174" s="40" t="s">
        <v>115</v>
      </c>
      <c r="AB1174" s="40" t="s">
        <v>115</v>
      </c>
      <c r="AC1174" s="40" t="s">
        <v>115</v>
      </c>
      <c r="AI1174" s="40">
        <v>202</v>
      </c>
      <c r="AP1174" s="4" t="s">
        <v>115</v>
      </c>
    </row>
    <row r="1175" spans="1:42" x14ac:dyDescent="0.15">
      <c r="A1175" s="40" t="s">
        <v>1</v>
      </c>
      <c r="B1175" s="23">
        <v>90120302</v>
      </c>
      <c r="C1175" s="23">
        <v>1203</v>
      </c>
      <c r="D1175" s="23">
        <v>12</v>
      </c>
      <c r="F1175" s="23" t="s">
        <v>1072</v>
      </c>
      <c r="G1175" s="23" t="s">
        <v>115</v>
      </c>
      <c r="H1175" s="23" t="s">
        <v>3081</v>
      </c>
      <c r="I1175" s="23">
        <v>1</v>
      </c>
      <c r="J1175" s="40">
        <v>0</v>
      </c>
      <c r="K1175" s="40">
        <v>0</v>
      </c>
      <c r="L1175" s="40" t="s">
        <v>115</v>
      </c>
      <c r="O1175" s="40" t="s">
        <v>115</v>
      </c>
      <c r="Q1175" s="40">
        <v>185</v>
      </c>
      <c r="R1175" s="40" t="s">
        <v>115</v>
      </c>
      <c r="X1175" s="40">
        <v>90120303</v>
      </c>
      <c r="Y1175" s="40" t="s">
        <v>115</v>
      </c>
      <c r="Z1175" s="40" t="s">
        <v>115</v>
      </c>
      <c r="AA1175" s="40" t="s">
        <v>115</v>
      </c>
      <c r="AB1175" s="40" t="s">
        <v>115</v>
      </c>
      <c r="AC1175" s="40" t="s">
        <v>115</v>
      </c>
      <c r="AI1175" s="40" t="s">
        <v>7432</v>
      </c>
      <c r="AP1175" s="4" t="s">
        <v>115</v>
      </c>
    </row>
    <row r="1176" spans="1:42" x14ac:dyDescent="0.15">
      <c r="A1176" s="40" t="s">
        <v>1</v>
      </c>
      <c r="B1176" s="23">
        <v>90120303</v>
      </c>
      <c r="C1176" s="23">
        <v>1203</v>
      </c>
      <c r="D1176" s="23">
        <v>12</v>
      </c>
      <c r="F1176" s="23" t="s">
        <v>116</v>
      </c>
      <c r="G1176" s="23">
        <v>261</v>
      </c>
      <c r="H1176" s="23" t="s">
        <v>3319</v>
      </c>
      <c r="I1176" s="23">
        <v>0</v>
      </c>
      <c r="J1176" s="40">
        <v>0</v>
      </c>
      <c r="K1176" s="40">
        <v>0</v>
      </c>
      <c r="L1176" s="40" t="s">
        <v>115</v>
      </c>
      <c r="O1176" s="40" t="s">
        <v>115</v>
      </c>
      <c r="Q1176" s="40">
        <v>185</v>
      </c>
      <c r="R1176" s="40" t="s">
        <v>115</v>
      </c>
      <c r="X1176" s="40">
        <v>90120304</v>
      </c>
      <c r="Y1176" s="40" t="s">
        <v>115</v>
      </c>
      <c r="Z1176" s="40" t="s">
        <v>115</v>
      </c>
      <c r="AA1176" s="40" t="s">
        <v>115</v>
      </c>
      <c r="AB1176" s="40" t="s">
        <v>115</v>
      </c>
      <c r="AC1176" s="40" t="s">
        <v>115</v>
      </c>
      <c r="AI1176" s="40">
        <v>204</v>
      </c>
      <c r="AP1176" s="4" t="s">
        <v>115</v>
      </c>
    </row>
    <row r="1177" spans="1:42" x14ac:dyDescent="0.15">
      <c r="A1177" s="40" t="s">
        <v>1</v>
      </c>
      <c r="B1177" s="23">
        <v>90120304</v>
      </c>
      <c r="C1177" s="23">
        <v>1203</v>
      </c>
      <c r="D1177" s="23">
        <v>12</v>
      </c>
      <c r="F1177" s="23" t="s">
        <v>1072</v>
      </c>
      <c r="G1177" s="23" t="s">
        <v>115</v>
      </c>
      <c r="H1177" s="23" t="s">
        <v>3320</v>
      </c>
      <c r="I1177" s="23">
        <v>1</v>
      </c>
      <c r="J1177" s="40">
        <v>0</v>
      </c>
      <c r="K1177" s="40">
        <v>0</v>
      </c>
      <c r="L1177" s="40" t="s">
        <v>115</v>
      </c>
      <c r="O1177" s="40" t="s">
        <v>115</v>
      </c>
      <c r="Q1177" s="40">
        <v>185</v>
      </c>
      <c r="R1177" s="40" t="s">
        <v>115</v>
      </c>
      <c r="X1177" s="40">
        <v>90120305</v>
      </c>
      <c r="Y1177" s="40" t="s">
        <v>115</v>
      </c>
      <c r="Z1177" s="40" t="s">
        <v>115</v>
      </c>
      <c r="AA1177" s="40" t="s">
        <v>115</v>
      </c>
      <c r="AB1177" s="40" t="s">
        <v>115</v>
      </c>
      <c r="AC1177" s="40" t="s">
        <v>115</v>
      </c>
      <c r="AI1177" s="40" t="s">
        <v>7432</v>
      </c>
      <c r="AP1177" s="4" t="s">
        <v>115</v>
      </c>
    </row>
    <row r="1178" spans="1:42" x14ac:dyDescent="0.15">
      <c r="A1178" s="40" t="s">
        <v>1</v>
      </c>
      <c r="B1178" s="23">
        <v>90120305</v>
      </c>
      <c r="C1178" s="23">
        <v>1203</v>
      </c>
      <c r="D1178" s="23">
        <v>12</v>
      </c>
      <c r="F1178" s="23" t="s">
        <v>116</v>
      </c>
      <c r="G1178" s="23">
        <v>261</v>
      </c>
      <c r="H1178" s="23" t="s">
        <v>3321</v>
      </c>
      <c r="I1178" s="23">
        <v>0</v>
      </c>
      <c r="J1178" s="40">
        <v>0</v>
      </c>
      <c r="K1178" s="40">
        <v>0</v>
      </c>
      <c r="L1178" s="40" t="s">
        <v>115</v>
      </c>
      <c r="O1178" s="40" t="s">
        <v>115</v>
      </c>
      <c r="Q1178" s="40">
        <v>185</v>
      </c>
      <c r="R1178" s="40" t="s">
        <v>115</v>
      </c>
      <c r="X1178" s="40">
        <v>90120306</v>
      </c>
      <c r="Y1178" s="40" t="s">
        <v>115</v>
      </c>
      <c r="Z1178" s="40" t="s">
        <v>115</v>
      </c>
      <c r="AA1178" s="40" t="s">
        <v>115</v>
      </c>
      <c r="AB1178" s="40" t="s">
        <v>115</v>
      </c>
      <c r="AC1178" s="40" t="s">
        <v>115</v>
      </c>
      <c r="AI1178" s="40">
        <v>204</v>
      </c>
      <c r="AP1178" s="4" t="s">
        <v>115</v>
      </c>
    </row>
    <row r="1179" spans="1:42" x14ac:dyDescent="0.15">
      <c r="A1179" s="40" t="s">
        <v>1</v>
      </c>
      <c r="B1179" s="23">
        <v>90120306</v>
      </c>
      <c r="C1179" s="23">
        <v>1203</v>
      </c>
      <c r="D1179" s="23">
        <v>12</v>
      </c>
      <c r="F1179" s="23" t="s">
        <v>1072</v>
      </c>
      <c r="G1179" s="23" t="s">
        <v>115</v>
      </c>
      <c r="H1179" s="23" t="s">
        <v>3322</v>
      </c>
      <c r="I1179" s="23">
        <v>1</v>
      </c>
      <c r="J1179" s="40">
        <v>0</v>
      </c>
      <c r="K1179" s="40">
        <v>0</v>
      </c>
      <c r="L1179" s="40" t="s">
        <v>115</v>
      </c>
      <c r="O1179" s="40" t="s">
        <v>115</v>
      </c>
      <c r="Q1179" s="40">
        <v>185</v>
      </c>
      <c r="R1179" s="40" t="s">
        <v>115</v>
      </c>
      <c r="X1179" s="40">
        <v>90120307</v>
      </c>
      <c r="Y1179" s="40" t="s">
        <v>115</v>
      </c>
      <c r="Z1179" s="40" t="s">
        <v>115</v>
      </c>
      <c r="AA1179" s="40" t="s">
        <v>115</v>
      </c>
      <c r="AB1179" s="40" t="s">
        <v>115</v>
      </c>
      <c r="AC1179" s="40" t="s">
        <v>115</v>
      </c>
      <c r="AI1179" s="40" t="s">
        <v>7432</v>
      </c>
      <c r="AP1179" s="4" t="s">
        <v>115</v>
      </c>
    </row>
    <row r="1180" spans="1:42" x14ac:dyDescent="0.15">
      <c r="A1180" s="40" t="s">
        <v>1</v>
      </c>
      <c r="B1180" s="23">
        <v>90120307</v>
      </c>
      <c r="C1180" s="23">
        <v>1203</v>
      </c>
      <c r="D1180" s="23">
        <v>12</v>
      </c>
      <c r="F1180" s="23" t="s">
        <v>116</v>
      </c>
      <c r="G1180" s="23">
        <v>274</v>
      </c>
      <c r="H1180" s="23" t="s">
        <v>3323</v>
      </c>
      <c r="I1180" s="23">
        <v>0</v>
      </c>
      <c r="J1180" s="40">
        <v>0</v>
      </c>
      <c r="K1180" s="40">
        <v>0</v>
      </c>
      <c r="L1180" s="40" t="s">
        <v>115</v>
      </c>
      <c r="O1180" s="40" t="s">
        <v>115</v>
      </c>
      <c r="Q1180" s="40">
        <v>185</v>
      </c>
      <c r="R1180" s="40" t="s">
        <v>115</v>
      </c>
      <c r="X1180" s="40">
        <v>90120308</v>
      </c>
      <c r="Y1180" s="40" t="s">
        <v>115</v>
      </c>
      <c r="Z1180" s="40" t="s">
        <v>115</v>
      </c>
      <c r="AA1180" s="40" t="s">
        <v>115</v>
      </c>
      <c r="AB1180" s="40" t="s">
        <v>115</v>
      </c>
      <c r="AC1180" s="40" t="s">
        <v>115</v>
      </c>
      <c r="AI1180" s="40">
        <v>204</v>
      </c>
      <c r="AP1180" s="4" t="s">
        <v>115</v>
      </c>
    </row>
    <row r="1181" spans="1:42" x14ac:dyDescent="0.15">
      <c r="A1181" s="40" t="s">
        <v>1</v>
      </c>
      <c r="B1181" s="23">
        <v>90120308</v>
      </c>
      <c r="C1181" s="23">
        <v>1203</v>
      </c>
      <c r="D1181" s="23">
        <v>12</v>
      </c>
      <c r="F1181" s="23" t="s">
        <v>1072</v>
      </c>
      <c r="G1181" s="23" t="s">
        <v>115</v>
      </c>
      <c r="H1181" s="23" t="s">
        <v>3324</v>
      </c>
      <c r="I1181" s="23">
        <v>1</v>
      </c>
      <c r="J1181" s="40">
        <v>0</v>
      </c>
      <c r="K1181" s="40">
        <v>0</v>
      </c>
      <c r="L1181" s="40" t="s">
        <v>115</v>
      </c>
      <c r="O1181" s="40" t="s">
        <v>115</v>
      </c>
      <c r="Q1181" s="40">
        <v>185</v>
      </c>
      <c r="R1181" s="40" t="s">
        <v>115</v>
      </c>
      <c r="X1181" s="40">
        <v>90120309</v>
      </c>
      <c r="Y1181" s="40" t="s">
        <v>115</v>
      </c>
      <c r="Z1181" s="40" t="s">
        <v>115</v>
      </c>
      <c r="AA1181" s="40" t="s">
        <v>115</v>
      </c>
      <c r="AB1181" s="40" t="s">
        <v>115</v>
      </c>
      <c r="AC1181" s="40" t="s">
        <v>115</v>
      </c>
      <c r="AI1181" s="40" t="s">
        <v>7432</v>
      </c>
      <c r="AP1181" s="4" t="s">
        <v>115</v>
      </c>
    </row>
    <row r="1182" spans="1:42" x14ac:dyDescent="0.15">
      <c r="A1182" s="40" t="s">
        <v>1</v>
      </c>
      <c r="B1182" s="23">
        <v>90120309</v>
      </c>
      <c r="C1182" s="23">
        <v>1203</v>
      </c>
      <c r="D1182" s="23">
        <v>12</v>
      </c>
      <c r="F1182" s="23" t="s">
        <v>1072</v>
      </c>
      <c r="G1182" s="23" t="s">
        <v>115</v>
      </c>
      <c r="H1182" s="23" t="s">
        <v>3325</v>
      </c>
      <c r="I1182" s="23">
        <v>1</v>
      </c>
      <c r="J1182" s="40">
        <v>0</v>
      </c>
      <c r="K1182" s="40">
        <v>0</v>
      </c>
      <c r="L1182" s="40" t="s">
        <v>115</v>
      </c>
      <c r="O1182" s="40" t="s">
        <v>115</v>
      </c>
      <c r="Q1182" s="40">
        <v>185</v>
      </c>
      <c r="R1182" s="40" t="s">
        <v>115</v>
      </c>
      <c r="X1182" s="40">
        <v>90120310</v>
      </c>
      <c r="Y1182" s="40" t="s">
        <v>115</v>
      </c>
      <c r="Z1182" s="40" t="s">
        <v>115</v>
      </c>
      <c r="AA1182" s="40" t="s">
        <v>115</v>
      </c>
      <c r="AB1182" s="40" t="s">
        <v>115</v>
      </c>
      <c r="AC1182" s="40" t="s">
        <v>115</v>
      </c>
      <c r="AI1182" s="40" t="s">
        <v>1073</v>
      </c>
      <c r="AP1182" s="4" t="s">
        <v>115</v>
      </c>
    </row>
    <row r="1183" spans="1:42" x14ac:dyDescent="0.15">
      <c r="A1183" s="40" t="s">
        <v>1</v>
      </c>
      <c r="B1183" s="23">
        <v>90120310</v>
      </c>
      <c r="C1183" s="23">
        <v>1203</v>
      </c>
      <c r="D1183" s="23">
        <v>12</v>
      </c>
      <c r="F1183" s="23" t="s">
        <v>115</v>
      </c>
      <c r="G1183" s="23" t="s">
        <v>115</v>
      </c>
      <c r="H1183" s="23" t="s">
        <v>3326</v>
      </c>
      <c r="I1183" s="23">
        <v>4</v>
      </c>
      <c r="J1183" s="40">
        <v>0</v>
      </c>
      <c r="K1183" s="40">
        <v>0</v>
      </c>
      <c r="L1183" s="40" t="s">
        <v>115</v>
      </c>
      <c r="O1183" s="40" t="s">
        <v>115</v>
      </c>
      <c r="Q1183" s="40">
        <v>185</v>
      </c>
      <c r="R1183" s="40" t="s">
        <v>115</v>
      </c>
      <c r="X1183" s="40">
        <v>90120311</v>
      </c>
      <c r="Y1183" s="40" t="s">
        <v>115</v>
      </c>
      <c r="Z1183" s="40" t="s">
        <v>115</v>
      </c>
      <c r="AA1183" s="40" t="s">
        <v>115</v>
      </c>
      <c r="AB1183" s="40" t="s">
        <v>115</v>
      </c>
      <c r="AC1183" s="40" t="s">
        <v>115</v>
      </c>
      <c r="AI1183" s="40">
        <v>202</v>
      </c>
      <c r="AP1183" s="4" t="s">
        <v>115</v>
      </c>
    </row>
    <row r="1184" spans="1:42" x14ac:dyDescent="0.15">
      <c r="A1184" s="40" t="s">
        <v>1</v>
      </c>
      <c r="B1184" s="23">
        <v>90120311</v>
      </c>
      <c r="C1184" s="23">
        <v>1203</v>
      </c>
      <c r="D1184" s="23">
        <v>12</v>
      </c>
      <c r="F1184" s="23" t="s">
        <v>116</v>
      </c>
      <c r="G1184" s="23">
        <v>261</v>
      </c>
      <c r="H1184" s="23" t="s">
        <v>3327</v>
      </c>
      <c r="I1184" s="23">
        <v>0</v>
      </c>
      <c r="J1184" s="40">
        <v>0</v>
      </c>
      <c r="K1184" s="40">
        <v>0</v>
      </c>
      <c r="L1184" s="40" t="s">
        <v>115</v>
      </c>
      <c r="O1184" s="40" t="s">
        <v>115</v>
      </c>
      <c r="Q1184" s="40">
        <v>185</v>
      </c>
      <c r="R1184" s="40" t="s">
        <v>115</v>
      </c>
      <c r="X1184" s="40">
        <v>90120312</v>
      </c>
      <c r="Y1184" s="40" t="s">
        <v>115</v>
      </c>
      <c r="Z1184" s="40" t="s">
        <v>115</v>
      </c>
      <c r="AA1184" s="40" t="s">
        <v>115</v>
      </c>
      <c r="AB1184" s="40" t="s">
        <v>115</v>
      </c>
      <c r="AC1184" s="40" t="s">
        <v>115</v>
      </c>
      <c r="AI1184" s="40">
        <v>202</v>
      </c>
      <c r="AP1184" s="4" t="s">
        <v>115</v>
      </c>
    </row>
    <row r="1185" spans="1:42" x14ac:dyDescent="0.15">
      <c r="A1185" s="40" t="s">
        <v>1</v>
      </c>
      <c r="B1185" s="23">
        <v>90120312</v>
      </c>
      <c r="C1185" s="23">
        <v>1203</v>
      </c>
      <c r="D1185" s="23">
        <v>12</v>
      </c>
      <c r="F1185" s="23" t="s">
        <v>1072</v>
      </c>
      <c r="G1185" s="23" t="s">
        <v>115</v>
      </c>
      <c r="H1185" s="23" t="s">
        <v>3328</v>
      </c>
      <c r="I1185" s="23">
        <v>1</v>
      </c>
      <c r="J1185" s="40">
        <v>0</v>
      </c>
      <c r="K1185" s="40">
        <v>0</v>
      </c>
      <c r="L1185" s="40" t="s">
        <v>115</v>
      </c>
      <c r="O1185" s="40" t="s">
        <v>115</v>
      </c>
      <c r="Q1185" s="40">
        <v>185</v>
      </c>
      <c r="R1185" s="40" t="s">
        <v>115</v>
      </c>
      <c r="X1185" s="40">
        <v>90120313</v>
      </c>
      <c r="Y1185" s="40" t="s">
        <v>115</v>
      </c>
      <c r="Z1185" s="40" t="s">
        <v>115</v>
      </c>
      <c r="AA1185" s="40" t="s">
        <v>115</v>
      </c>
      <c r="AB1185" s="40" t="s">
        <v>115</v>
      </c>
      <c r="AC1185" s="40" t="s">
        <v>115</v>
      </c>
      <c r="AI1185" s="40" t="s">
        <v>1073</v>
      </c>
      <c r="AP1185" s="4" t="s">
        <v>115</v>
      </c>
    </row>
    <row r="1186" spans="1:42" x14ac:dyDescent="0.15">
      <c r="A1186" s="40" t="s">
        <v>1</v>
      </c>
      <c r="B1186" s="23">
        <v>90120313</v>
      </c>
      <c r="C1186" s="23">
        <v>1203</v>
      </c>
      <c r="D1186" s="23">
        <v>12</v>
      </c>
      <c r="F1186" s="23" t="s">
        <v>1072</v>
      </c>
      <c r="G1186" s="23" t="s">
        <v>115</v>
      </c>
      <c r="H1186" s="23" t="s">
        <v>3329</v>
      </c>
      <c r="I1186" s="23">
        <v>1</v>
      </c>
      <c r="J1186" s="40">
        <v>0</v>
      </c>
      <c r="K1186" s="40">
        <v>0</v>
      </c>
      <c r="L1186" s="40" t="s">
        <v>115</v>
      </c>
      <c r="O1186" s="40" t="s">
        <v>115</v>
      </c>
      <c r="Q1186" s="40">
        <v>185</v>
      </c>
      <c r="R1186" s="40" t="s">
        <v>115</v>
      </c>
      <c r="X1186" s="40">
        <v>90120314</v>
      </c>
      <c r="Y1186" s="40" t="s">
        <v>115</v>
      </c>
      <c r="Z1186" s="40" t="s">
        <v>115</v>
      </c>
      <c r="AA1186" s="40" t="s">
        <v>115</v>
      </c>
      <c r="AB1186" s="40" t="s">
        <v>115</v>
      </c>
      <c r="AC1186" s="40" t="s">
        <v>115</v>
      </c>
      <c r="AI1186" s="40" t="s">
        <v>1073</v>
      </c>
      <c r="AP1186" s="4" t="s">
        <v>115</v>
      </c>
    </row>
    <row r="1187" spans="1:42" x14ac:dyDescent="0.15">
      <c r="A1187" s="40" t="s">
        <v>1</v>
      </c>
      <c r="B1187" s="23">
        <v>90120314</v>
      </c>
      <c r="C1187" s="23">
        <v>1203</v>
      </c>
      <c r="D1187" s="23">
        <v>12</v>
      </c>
      <c r="F1187" s="23" t="s">
        <v>116</v>
      </c>
      <c r="G1187" s="23" t="s">
        <v>115</v>
      </c>
      <c r="H1187" s="23" t="s">
        <v>3330</v>
      </c>
      <c r="I1187" s="23">
        <v>0</v>
      </c>
      <c r="J1187" s="40">
        <v>0</v>
      </c>
      <c r="K1187" s="40">
        <v>0</v>
      </c>
      <c r="L1187" s="40" t="s">
        <v>115</v>
      </c>
      <c r="O1187" s="40" t="s">
        <v>115</v>
      </c>
      <c r="Q1187" s="40">
        <v>185</v>
      </c>
      <c r="R1187" s="40" t="s">
        <v>115</v>
      </c>
      <c r="X1187" s="40">
        <v>90120315</v>
      </c>
      <c r="Y1187" s="40" t="s">
        <v>115</v>
      </c>
      <c r="Z1187" s="40" t="s">
        <v>115</v>
      </c>
      <c r="AA1187" s="40" t="s">
        <v>115</v>
      </c>
      <c r="AB1187" s="40" t="s">
        <v>115</v>
      </c>
      <c r="AC1187" s="40" t="s">
        <v>115</v>
      </c>
      <c r="AI1187" s="40">
        <v>202</v>
      </c>
      <c r="AP1187" s="4" t="s">
        <v>115</v>
      </c>
    </row>
    <row r="1188" spans="1:42" x14ac:dyDescent="0.15">
      <c r="A1188" s="40" t="s">
        <v>1</v>
      </c>
      <c r="B1188" s="23">
        <v>90120315</v>
      </c>
      <c r="C1188" s="23">
        <v>1203</v>
      </c>
      <c r="D1188" s="23">
        <v>12</v>
      </c>
      <c r="F1188" s="23" t="s">
        <v>115</v>
      </c>
      <c r="G1188" s="23" t="s">
        <v>115</v>
      </c>
      <c r="H1188" s="23" t="s">
        <v>3331</v>
      </c>
      <c r="I1188" s="23">
        <v>4</v>
      </c>
      <c r="J1188" s="40">
        <v>0</v>
      </c>
      <c r="K1188" s="40">
        <v>0</v>
      </c>
      <c r="L1188" s="40" t="s">
        <v>115</v>
      </c>
      <c r="O1188" s="40" t="s">
        <v>115</v>
      </c>
      <c r="Q1188" s="40">
        <v>185</v>
      </c>
      <c r="R1188" s="40" t="s">
        <v>115</v>
      </c>
      <c r="X1188" s="40">
        <v>90120316</v>
      </c>
      <c r="Y1188" s="40" t="s">
        <v>115</v>
      </c>
      <c r="Z1188" s="40" t="s">
        <v>115</v>
      </c>
      <c r="AA1188" s="40" t="s">
        <v>115</v>
      </c>
      <c r="AB1188" s="40" t="s">
        <v>115</v>
      </c>
      <c r="AC1188" s="40" t="s">
        <v>115</v>
      </c>
      <c r="AI1188" s="40">
        <v>202</v>
      </c>
      <c r="AP1188" s="4" t="s">
        <v>115</v>
      </c>
    </row>
    <row r="1189" spans="1:42" x14ac:dyDescent="0.15">
      <c r="A1189" s="40" t="s">
        <v>1</v>
      </c>
      <c r="B1189" s="23">
        <v>90120316</v>
      </c>
      <c r="C1189" s="23">
        <v>1203</v>
      </c>
      <c r="D1189" s="23">
        <v>12</v>
      </c>
      <c r="F1189" s="23" t="s">
        <v>116</v>
      </c>
      <c r="G1189" s="23" t="s">
        <v>115</v>
      </c>
      <c r="H1189" s="23" t="s">
        <v>3332</v>
      </c>
      <c r="I1189" s="23">
        <v>0</v>
      </c>
      <c r="J1189" s="40">
        <v>0</v>
      </c>
      <c r="K1189" s="40">
        <v>2</v>
      </c>
      <c r="L1189" s="40" t="s">
        <v>115</v>
      </c>
      <c r="O1189" s="40" t="s">
        <v>115</v>
      </c>
      <c r="Q1189" s="40">
        <v>185</v>
      </c>
      <c r="R1189" s="40" t="s">
        <v>115</v>
      </c>
      <c r="X1189" s="40" t="s">
        <v>3333</v>
      </c>
      <c r="Y1189" s="40">
        <v>1</v>
      </c>
      <c r="Z1189" s="40">
        <v>1</v>
      </c>
      <c r="AA1189" s="40" t="s">
        <v>115</v>
      </c>
      <c r="AB1189" s="40" t="s">
        <v>115</v>
      </c>
      <c r="AC1189" s="40" t="s">
        <v>115</v>
      </c>
      <c r="AI1189" s="40">
        <v>202</v>
      </c>
      <c r="AP1189" s="4" t="s">
        <v>115</v>
      </c>
    </row>
    <row r="1190" spans="1:42" x14ac:dyDescent="0.15">
      <c r="A1190" s="40" t="s">
        <v>1</v>
      </c>
      <c r="B1190" s="23">
        <v>90120317</v>
      </c>
      <c r="C1190" s="23">
        <v>1203</v>
      </c>
      <c r="D1190" s="23">
        <v>12</v>
      </c>
      <c r="F1190" s="23" t="s">
        <v>115</v>
      </c>
      <c r="G1190" s="23" t="s">
        <v>115</v>
      </c>
      <c r="H1190" s="23" t="s">
        <v>3082</v>
      </c>
      <c r="I1190" s="23">
        <v>4</v>
      </c>
      <c r="J1190" s="40">
        <v>0</v>
      </c>
      <c r="K1190" s="40">
        <v>3</v>
      </c>
      <c r="L1190" s="40" t="s">
        <v>115</v>
      </c>
      <c r="O1190" s="40" t="s">
        <v>115</v>
      </c>
      <c r="Q1190" s="40">
        <v>185</v>
      </c>
      <c r="R1190" s="40" t="s">
        <v>115</v>
      </c>
      <c r="X1190" s="40">
        <v>90120318</v>
      </c>
      <c r="Y1190" s="40">
        <v>-1</v>
      </c>
      <c r="Z1190" s="40">
        <v>2</v>
      </c>
      <c r="AA1190" s="40" t="s">
        <v>115</v>
      </c>
      <c r="AB1190" s="40" t="s">
        <v>115</v>
      </c>
      <c r="AC1190" s="40" t="s">
        <v>3083</v>
      </c>
      <c r="AI1190" s="40">
        <v>202</v>
      </c>
      <c r="AP1190" s="4" t="s">
        <v>115</v>
      </c>
    </row>
    <row r="1191" spans="1:42" x14ac:dyDescent="0.15">
      <c r="A1191" s="40" t="s">
        <v>1</v>
      </c>
      <c r="B1191" s="23">
        <v>90120318</v>
      </c>
      <c r="C1191" s="23">
        <v>1203</v>
      </c>
      <c r="D1191" s="23">
        <v>12</v>
      </c>
      <c r="F1191" s="23" t="s">
        <v>115</v>
      </c>
      <c r="G1191" s="23" t="s">
        <v>115</v>
      </c>
      <c r="H1191" s="23" t="s">
        <v>3084</v>
      </c>
      <c r="I1191" s="23">
        <v>4</v>
      </c>
      <c r="J1191" s="40">
        <v>0</v>
      </c>
      <c r="K1191" s="40">
        <v>0</v>
      </c>
      <c r="L1191" s="40" t="s">
        <v>115</v>
      </c>
      <c r="O1191" s="40" t="s">
        <v>115</v>
      </c>
      <c r="Q1191" s="40">
        <v>185</v>
      </c>
      <c r="R1191" s="40" t="s">
        <v>115</v>
      </c>
      <c r="X1191" s="40">
        <v>90120319</v>
      </c>
      <c r="Y1191" s="40" t="s">
        <v>115</v>
      </c>
      <c r="Z1191" s="40" t="s">
        <v>115</v>
      </c>
      <c r="AA1191" s="40" t="s">
        <v>115</v>
      </c>
      <c r="AB1191" s="40" t="s">
        <v>115</v>
      </c>
      <c r="AC1191" s="40" t="s">
        <v>115</v>
      </c>
      <c r="AI1191" s="40">
        <v>202</v>
      </c>
      <c r="AP1191" s="4" t="s">
        <v>115</v>
      </c>
    </row>
    <row r="1192" spans="1:42" x14ac:dyDescent="0.15">
      <c r="A1192" s="40" t="s">
        <v>1</v>
      </c>
      <c r="B1192" s="23">
        <v>90120319</v>
      </c>
      <c r="C1192" s="23">
        <v>1203</v>
      </c>
      <c r="D1192" s="23">
        <v>12</v>
      </c>
      <c r="F1192" s="23" t="s">
        <v>1072</v>
      </c>
      <c r="G1192" s="23" t="s">
        <v>115</v>
      </c>
      <c r="H1192" s="23" t="s">
        <v>3334</v>
      </c>
      <c r="I1192" s="23">
        <v>1</v>
      </c>
      <c r="J1192" s="40">
        <v>0</v>
      </c>
      <c r="K1192" s="40">
        <v>0</v>
      </c>
      <c r="L1192" s="40" t="s">
        <v>115</v>
      </c>
      <c r="O1192" s="40" t="s">
        <v>115</v>
      </c>
      <c r="Q1192" s="40">
        <v>185</v>
      </c>
      <c r="R1192" s="40" t="s">
        <v>115</v>
      </c>
      <c r="X1192" s="40">
        <v>90120320</v>
      </c>
      <c r="Y1192" s="40" t="s">
        <v>115</v>
      </c>
      <c r="Z1192" s="40" t="s">
        <v>115</v>
      </c>
      <c r="AA1192" s="40" t="s">
        <v>115</v>
      </c>
      <c r="AB1192" s="40" t="s">
        <v>115</v>
      </c>
      <c r="AC1192" s="40" t="s">
        <v>115</v>
      </c>
      <c r="AI1192" s="40" t="s">
        <v>1073</v>
      </c>
      <c r="AP1192" s="4" t="s">
        <v>115</v>
      </c>
    </row>
    <row r="1193" spans="1:42" x14ac:dyDescent="0.15">
      <c r="A1193" s="40" t="s">
        <v>1</v>
      </c>
      <c r="B1193" s="23">
        <v>90120320</v>
      </c>
      <c r="C1193" s="23">
        <v>1203</v>
      </c>
      <c r="D1193" s="23">
        <v>12</v>
      </c>
      <c r="F1193" s="23" t="s">
        <v>116</v>
      </c>
      <c r="G1193" s="23">
        <v>261</v>
      </c>
      <c r="H1193" s="23" t="s">
        <v>3335</v>
      </c>
      <c r="I1193" s="23">
        <v>0</v>
      </c>
      <c r="J1193" s="40">
        <v>0</v>
      </c>
      <c r="K1193" s="40">
        <v>0</v>
      </c>
      <c r="L1193" s="40" t="s">
        <v>115</v>
      </c>
      <c r="O1193" s="40" t="s">
        <v>115</v>
      </c>
      <c r="Q1193" s="40">
        <v>185</v>
      </c>
      <c r="R1193" s="40" t="s">
        <v>115</v>
      </c>
      <c r="X1193" s="40">
        <v>90120321</v>
      </c>
      <c r="Y1193" s="40" t="s">
        <v>115</v>
      </c>
      <c r="Z1193" s="40" t="s">
        <v>115</v>
      </c>
      <c r="AA1193" s="40" t="s">
        <v>115</v>
      </c>
      <c r="AB1193" s="40" t="s">
        <v>115</v>
      </c>
      <c r="AC1193" s="40" t="s">
        <v>115</v>
      </c>
      <c r="AI1193" s="40">
        <v>202</v>
      </c>
      <c r="AP1193" s="4" t="s">
        <v>115</v>
      </c>
    </row>
    <row r="1194" spans="1:42" x14ac:dyDescent="0.15">
      <c r="A1194" s="40" t="s">
        <v>1</v>
      </c>
      <c r="B1194" s="23">
        <v>90120321</v>
      </c>
      <c r="C1194" s="23">
        <v>1203</v>
      </c>
      <c r="D1194" s="23">
        <v>12</v>
      </c>
      <c r="F1194" s="23" t="s">
        <v>1072</v>
      </c>
      <c r="G1194" s="23" t="s">
        <v>115</v>
      </c>
      <c r="H1194" s="23" t="s">
        <v>3336</v>
      </c>
      <c r="I1194" s="23">
        <v>1</v>
      </c>
      <c r="J1194" s="40">
        <v>0</v>
      </c>
      <c r="K1194" s="40">
        <v>4</v>
      </c>
      <c r="L1194" s="40" t="s">
        <v>115</v>
      </c>
      <c r="O1194" s="40">
        <v>1</v>
      </c>
      <c r="Q1194" s="40">
        <v>185</v>
      </c>
      <c r="R1194" s="40" t="s">
        <v>115</v>
      </c>
      <c r="X1194" s="40" t="s">
        <v>115</v>
      </c>
      <c r="Y1194" s="40" t="s">
        <v>115</v>
      </c>
      <c r="Z1194" s="40">
        <v>3</v>
      </c>
      <c r="AA1194" s="40" t="s">
        <v>115</v>
      </c>
      <c r="AB1194" s="40" t="s">
        <v>115</v>
      </c>
      <c r="AC1194" s="40" t="s">
        <v>115</v>
      </c>
      <c r="AI1194" s="40" t="s">
        <v>1073</v>
      </c>
      <c r="AP1194" s="4" t="s">
        <v>3085</v>
      </c>
    </row>
    <row r="1195" spans="1:42" x14ac:dyDescent="0.15">
      <c r="A1195" s="40" t="s">
        <v>1</v>
      </c>
      <c r="B1195" s="23" t="s">
        <v>2821</v>
      </c>
      <c r="C1195" s="23">
        <v>1204</v>
      </c>
      <c r="D1195" s="23">
        <v>12</v>
      </c>
      <c r="F1195" s="23" t="s">
        <v>115</v>
      </c>
      <c r="G1195" s="23" t="s">
        <v>115</v>
      </c>
      <c r="H1195" s="23" t="s">
        <v>3337</v>
      </c>
      <c r="I1195" s="23">
        <v>4</v>
      </c>
      <c r="J1195" s="40">
        <v>1</v>
      </c>
      <c r="K1195" s="40">
        <v>1</v>
      </c>
      <c r="L1195" s="40" t="s">
        <v>115</v>
      </c>
      <c r="O1195" s="40" t="s">
        <v>115</v>
      </c>
      <c r="Q1195" s="40">
        <v>163</v>
      </c>
      <c r="R1195" s="40" t="s">
        <v>115</v>
      </c>
      <c r="X1195" s="40">
        <v>90120402</v>
      </c>
      <c r="Y1195" s="40" t="s">
        <v>115</v>
      </c>
      <c r="Z1195" s="40" t="s">
        <v>115</v>
      </c>
      <c r="AA1195" s="40" t="s">
        <v>115</v>
      </c>
      <c r="AB1195" s="40" t="s">
        <v>115</v>
      </c>
      <c r="AC1195" s="40" t="s">
        <v>115</v>
      </c>
      <c r="AI1195" s="40" t="s">
        <v>115</v>
      </c>
      <c r="AP1195" s="4" t="s">
        <v>115</v>
      </c>
    </row>
    <row r="1196" spans="1:42" x14ac:dyDescent="0.15">
      <c r="A1196" s="40" t="s">
        <v>1</v>
      </c>
      <c r="B1196" s="23">
        <v>90120402</v>
      </c>
      <c r="C1196" s="23">
        <v>1204</v>
      </c>
      <c r="D1196" s="23">
        <v>12</v>
      </c>
      <c r="F1196" s="23" t="s">
        <v>116</v>
      </c>
      <c r="G1196" s="23">
        <v>275</v>
      </c>
      <c r="H1196" s="23" t="s">
        <v>3086</v>
      </c>
      <c r="I1196" s="23">
        <v>0</v>
      </c>
      <c r="J1196" s="40">
        <v>0</v>
      </c>
      <c r="K1196" s="40">
        <v>0</v>
      </c>
      <c r="L1196" s="40" t="s">
        <v>115</v>
      </c>
      <c r="O1196" s="40" t="s">
        <v>115</v>
      </c>
      <c r="Q1196" s="40">
        <v>163</v>
      </c>
      <c r="R1196" s="40">
        <v>269</v>
      </c>
      <c r="X1196" s="40">
        <v>90120403</v>
      </c>
      <c r="Y1196" s="40" t="s">
        <v>115</v>
      </c>
      <c r="Z1196" s="40" t="s">
        <v>115</v>
      </c>
      <c r="AA1196" s="40" t="s">
        <v>115</v>
      </c>
      <c r="AB1196" s="40" t="s">
        <v>115</v>
      </c>
      <c r="AC1196" s="40" t="s">
        <v>115</v>
      </c>
      <c r="AI1196" s="40" t="s">
        <v>115</v>
      </c>
      <c r="AP1196" s="4" t="s">
        <v>115</v>
      </c>
    </row>
    <row r="1197" spans="1:42" x14ac:dyDescent="0.15">
      <c r="A1197" s="40" t="s">
        <v>1</v>
      </c>
      <c r="B1197" s="23">
        <v>90120403</v>
      </c>
      <c r="C1197" s="23">
        <v>1204</v>
      </c>
      <c r="D1197" s="23">
        <v>12</v>
      </c>
      <c r="F1197" s="23" t="s">
        <v>256</v>
      </c>
      <c r="G1197" s="23" t="s">
        <v>115</v>
      </c>
      <c r="H1197" s="23" t="s">
        <v>3338</v>
      </c>
      <c r="I1197" s="23">
        <v>3</v>
      </c>
      <c r="J1197" s="40">
        <v>0</v>
      </c>
      <c r="K1197" s="40">
        <v>0</v>
      </c>
      <c r="L1197" s="40" t="s">
        <v>115</v>
      </c>
      <c r="O1197" s="40" t="s">
        <v>115</v>
      </c>
      <c r="Q1197" s="40">
        <v>163</v>
      </c>
      <c r="R1197" s="40">
        <v>269</v>
      </c>
      <c r="X1197" s="40">
        <v>90120404</v>
      </c>
      <c r="Y1197" s="40" t="s">
        <v>115</v>
      </c>
      <c r="Z1197" s="40" t="s">
        <v>115</v>
      </c>
      <c r="AA1197" s="40" t="s">
        <v>115</v>
      </c>
      <c r="AB1197" s="40" t="s">
        <v>115</v>
      </c>
      <c r="AC1197" s="40" t="s">
        <v>115</v>
      </c>
      <c r="AI1197" s="40" t="s">
        <v>115</v>
      </c>
      <c r="AP1197" s="4" t="s">
        <v>115</v>
      </c>
    </row>
    <row r="1198" spans="1:42" x14ac:dyDescent="0.15">
      <c r="A1198" s="40" t="s">
        <v>1</v>
      </c>
      <c r="B1198" s="23">
        <v>90120404</v>
      </c>
      <c r="C1198" s="23">
        <v>1204</v>
      </c>
      <c r="D1198" s="23">
        <v>12</v>
      </c>
      <c r="F1198" s="23" t="s">
        <v>116</v>
      </c>
      <c r="G1198" s="23">
        <v>261</v>
      </c>
      <c r="H1198" s="23" t="s">
        <v>3339</v>
      </c>
      <c r="I1198" s="23">
        <v>0</v>
      </c>
      <c r="J1198" s="40">
        <v>0</v>
      </c>
      <c r="K1198" s="40">
        <v>0</v>
      </c>
      <c r="L1198" s="40" t="s">
        <v>115</v>
      </c>
      <c r="O1198" s="40" t="s">
        <v>115</v>
      </c>
      <c r="Q1198" s="40">
        <v>163</v>
      </c>
      <c r="R1198" s="40">
        <v>269</v>
      </c>
      <c r="X1198" s="40">
        <v>90120405</v>
      </c>
      <c r="Y1198" s="40" t="s">
        <v>115</v>
      </c>
      <c r="Z1198" s="40" t="s">
        <v>115</v>
      </c>
      <c r="AA1198" s="40" t="s">
        <v>115</v>
      </c>
      <c r="AB1198" s="40" t="s">
        <v>115</v>
      </c>
      <c r="AC1198" s="40" t="s">
        <v>115</v>
      </c>
      <c r="AI1198" s="40" t="s">
        <v>115</v>
      </c>
      <c r="AP1198" s="4" t="s">
        <v>115</v>
      </c>
    </row>
    <row r="1199" spans="1:42" x14ac:dyDescent="0.15">
      <c r="A1199" s="40" t="s">
        <v>1</v>
      </c>
      <c r="B1199" s="23">
        <v>90120405</v>
      </c>
      <c r="C1199" s="23">
        <v>1204</v>
      </c>
      <c r="D1199" s="23">
        <v>12</v>
      </c>
      <c r="F1199" s="23" t="s">
        <v>115</v>
      </c>
      <c r="G1199" s="23" t="s">
        <v>115</v>
      </c>
      <c r="H1199" s="23" t="s">
        <v>3340</v>
      </c>
      <c r="I1199" s="23">
        <v>4</v>
      </c>
      <c r="J1199" s="40">
        <v>0</v>
      </c>
      <c r="K1199" s="40">
        <v>0</v>
      </c>
      <c r="L1199" s="40" t="s">
        <v>115</v>
      </c>
      <c r="O1199" s="40" t="s">
        <v>115</v>
      </c>
      <c r="Q1199" s="40">
        <v>163</v>
      </c>
      <c r="R1199" s="40">
        <v>269</v>
      </c>
      <c r="X1199" s="40">
        <v>90120406</v>
      </c>
      <c r="Y1199" s="40" t="s">
        <v>115</v>
      </c>
      <c r="Z1199" s="40" t="s">
        <v>115</v>
      </c>
      <c r="AA1199" s="40" t="s">
        <v>115</v>
      </c>
      <c r="AB1199" s="40" t="s">
        <v>115</v>
      </c>
      <c r="AC1199" s="40" t="s">
        <v>115</v>
      </c>
      <c r="AI1199" s="40" t="s">
        <v>115</v>
      </c>
      <c r="AP1199" s="4" t="s">
        <v>115</v>
      </c>
    </row>
    <row r="1200" spans="1:42" x14ac:dyDescent="0.15">
      <c r="A1200" s="40" t="s">
        <v>1</v>
      </c>
      <c r="B1200" s="23">
        <v>90120406</v>
      </c>
      <c r="C1200" s="23">
        <v>1204</v>
      </c>
      <c r="D1200" s="23">
        <v>12</v>
      </c>
      <c r="F1200" s="23" t="s">
        <v>256</v>
      </c>
      <c r="G1200" s="23" t="s">
        <v>115</v>
      </c>
      <c r="H1200" s="23" t="s">
        <v>3341</v>
      </c>
      <c r="I1200" s="23">
        <v>3</v>
      </c>
      <c r="J1200" s="40">
        <v>0</v>
      </c>
      <c r="K1200" s="40">
        <v>0</v>
      </c>
      <c r="L1200" s="40" t="s">
        <v>115</v>
      </c>
      <c r="O1200" s="40" t="s">
        <v>115</v>
      </c>
      <c r="Q1200" s="40">
        <v>163</v>
      </c>
      <c r="R1200" s="40">
        <v>269</v>
      </c>
      <c r="X1200" s="40">
        <v>90120407</v>
      </c>
      <c r="Y1200" s="40" t="s">
        <v>115</v>
      </c>
      <c r="Z1200" s="40" t="s">
        <v>115</v>
      </c>
      <c r="AA1200" s="40" t="s">
        <v>115</v>
      </c>
      <c r="AB1200" s="40" t="s">
        <v>115</v>
      </c>
      <c r="AC1200" s="40" t="s">
        <v>115</v>
      </c>
      <c r="AI1200" s="40" t="s">
        <v>115</v>
      </c>
      <c r="AP1200" s="4" t="s">
        <v>115</v>
      </c>
    </row>
    <row r="1201" spans="1:42" x14ac:dyDescent="0.15">
      <c r="A1201" s="40" t="s">
        <v>1</v>
      </c>
      <c r="B1201" s="23">
        <v>90120407</v>
      </c>
      <c r="C1201" s="23">
        <v>1204</v>
      </c>
      <c r="D1201" s="23">
        <v>12</v>
      </c>
      <c r="F1201" s="23" t="s">
        <v>116</v>
      </c>
      <c r="G1201" s="23">
        <v>274</v>
      </c>
      <c r="H1201" s="23" t="s">
        <v>3342</v>
      </c>
      <c r="I1201" s="23">
        <v>0</v>
      </c>
      <c r="J1201" s="40">
        <v>0</v>
      </c>
      <c r="K1201" s="40">
        <v>0</v>
      </c>
      <c r="L1201" s="40" t="s">
        <v>115</v>
      </c>
      <c r="O1201" s="40" t="s">
        <v>115</v>
      </c>
      <c r="Q1201" s="40">
        <v>163</v>
      </c>
      <c r="R1201" s="40">
        <v>269</v>
      </c>
      <c r="X1201" s="40">
        <v>90120408</v>
      </c>
      <c r="Y1201" s="40" t="s">
        <v>115</v>
      </c>
      <c r="Z1201" s="40" t="s">
        <v>115</v>
      </c>
      <c r="AA1201" s="40" t="s">
        <v>115</v>
      </c>
      <c r="AB1201" s="40" t="s">
        <v>115</v>
      </c>
      <c r="AC1201" s="40" t="s">
        <v>115</v>
      </c>
      <c r="AI1201" s="40" t="s">
        <v>115</v>
      </c>
      <c r="AP1201" s="4" t="s">
        <v>115</v>
      </c>
    </row>
    <row r="1202" spans="1:42" x14ac:dyDescent="0.15">
      <c r="A1202" s="40" t="s">
        <v>1</v>
      </c>
      <c r="B1202" s="23">
        <v>90120408</v>
      </c>
      <c r="C1202" s="23">
        <v>1204</v>
      </c>
      <c r="D1202" s="23">
        <v>12</v>
      </c>
      <c r="F1202" s="23" t="s">
        <v>256</v>
      </c>
      <c r="G1202" s="23" t="s">
        <v>115</v>
      </c>
      <c r="H1202" s="23" t="s">
        <v>3343</v>
      </c>
      <c r="I1202" s="23">
        <v>3</v>
      </c>
      <c r="J1202" s="40">
        <v>0</v>
      </c>
      <c r="K1202" s="40">
        <v>0</v>
      </c>
      <c r="L1202" s="40" t="s">
        <v>115</v>
      </c>
      <c r="O1202" s="40" t="s">
        <v>115</v>
      </c>
      <c r="Q1202" s="40">
        <v>163</v>
      </c>
      <c r="R1202" s="40">
        <v>269</v>
      </c>
      <c r="X1202" s="40">
        <v>90120409</v>
      </c>
      <c r="Y1202" s="40" t="s">
        <v>115</v>
      </c>
      <c r="Z1202" s="40" t="s">
        <v>115</v>
      </c>
      <c r="AA1202" s="40" t="s">
        <v>115</v>
      </c>
      <c r="AB1202" s="40" t="s">
        <v>115</v>
      </c>
      <c r="AC1202" s="40" t="s">
        <v>115</v>
      </c>
      <c r="AI1202" s="40" t="s">
        <v>115</v>
      </c>
      <c r="AP1202" s="4" t="s">
        <v>115</v>
      </c>
    </row>
    <row r="1203" spans="1:42" x14ac:dyDescent="0.15">
      <c r="A1203" s="40" t="s">
        <v>1</v>
      </c>
      <c r="B1203" s="23">
        <v>90120409</v>
      </c>
      <c r="C1203" s="23">
        <v>1204</v>
      </c>
      <c r="D1203" s="23">
        <v>12</v>
      </c>
      <c r="F1203" s="23" t="s">
        <v>115</v>
      </c>
      <c r="G1203" s="23" t="s">
        <v>115</v>
      </c>
      <c r="H1203" s="23" t="s">
        <v>3344</v>
      </c>
      <c r="I1203" s="23">
        <v>4</v>
      </c>
      <c r="J1203" s="40">
        <v>0</v>
      </c>
      <c r="K1203" s="40">
        <v>0</v>
      </c>
      <c r="L1203" s="40" t="s">
        <v>115</v>
      </c>
      <c r="O1203" s="40" t="s">
        <v>115</v>
      </c>
      <c r="Q1203" s="40">
        <v>163</v>
      </c>
      <c r="R1203" s="40">
        <v>269</v>
      </c>
      <c r="X1203" s="40">
        <v>90120410</v>
      </c>
      <c r="Y1203" s="40" t="s">
        <v>115</v>
      </c>
      <c r="Z1203" s="40" t="s">
        <v>115</v>
      </c>
      <c r="AA1203" s="40" t="s">
        <v>115</v>
      </c>
      <c r="AB1203" s="40" t="s">
        <v>115</v>
      </c>
      <c r="AC1203" s="40" t="s">
        <v>115</v>
      </c>
      <c r="AI1203" s="40" t="s">
        <v>115</v>
      </c>
      <c r="AP1203" s="4" t="s">
        <v>115</v>
      </c>
    </row>
    <row r="1204" spans="1:42" x14ac:dyDescent="0.15">
      <c r="A1204" s="40" t="s">
        <v>1</v>
      </c>
      <c r="B1204" s="23">
        <v>90120410</v>
      </c>
      <c r="C1204" s="23">
        <v>1204</v>
      </c>
      <c r="D1204" s="23">
        <v>12</v>
      </c>
      <c r="F1204" s="23" t="s">
        <v>115</v>
      </c>
      <c r="G1204" s="23" t="s">
        <v>115</v>
      </c>
      <c r="H1204" s="23" t="s">
        <v>3345</v>
      </c>
      <c r="I1204" s="23">
        <v>4</v>
      </c>
      <c r="J1204" s="40">
        <v>0</v>
      </c>
      <c r="K1204" s="40">
        <v>2</v>
      </c>
      <c r="L1204" s="40" t="s">
        <v>115</v>
      </c>
      <c r="O1204" s="40" t="s">
        <v>115</v>
      </c>
      <c r="Q1204" s="40">
        <v>163</v>
      </c>
      <c r="R1204" s="40">
        <v>269</v>
      </c>
      <c r="X1204" s="40" t="s">
        <v>3346</v>
      </c>
      <c r="Y1204" s="40">
        <v>1</v>
      </c>
      <c r="Z1204" s="40">
        <v>1</v>
      </c>
      <c r="AA1204" s="40" t="s">
        <v>115</v>
      </c>
      <c r="AB1204" s="40" t="s">
        <v>115</v>
      </c>
      <c r="AC1204" s="40" t="s">
        <v>115</v>
      </c>
      <c r="AI1204" s="40" t="s">
        <v>115</v>
      </c>
      <c r="AP1204" s="4" t="s">
        <v>115</v>
      </c>
    </row>
    <row r="1205" spans="1:42" x14ac:dyDescent="0.15">
      <c r="A1205" s="40" t="s">
        <v>1</v>
      </c>
      <c r="B1205" s="23">
        <v>90120411</v>
      </c>
      <c r="C1205" s="23">
        <v>1204</v>
      </c>
      <c r="D1205" s="23">
        <v>12</v>
      </c>
      <c r="F1205" s="23" t="s">
        <v>115</v>
      </c>
      <c r="G1205" s="23" t="s">
        <v>115</v>
      </c>
      <c r="H1205" s="23" t="s">
        <v>3347</v>
      </c>
      <c r="I1205" s="23">
        <v>4</v>
      </c>
      <c r="J1205" s="40">
        <v>0</v>
      </c>
      <c r="K1205" s="40">
        <v>3</v>
      </c>
      <c r="L1205" s="40" t="s">
        <v>115</v>
      </c>
      <c r="O1205" s="40" t="s">
        <v>115</v>
      </c>
      <c r="Q1205" s="40">
        <v>163</v>
      </c>
      <c r="R1205" s="40">
        <v>269</v>
      </c>
      <c r="X1205" s="40">
        <v>90120412</v>
      </c>
      <c r="Y1205" s="40">
        <v>-1</v>
      </c>
      <c r="Z1205" s="40">
        <v>2</v>
      </c>
      <c r="AA1205" s="40" t="s">
        <v>115</v>
      </c>
      <c r="AB1205" s="40" t="s">
        <v>115</v>
      </c>
      <c r="AC1205" s="40" t="s">
        <v>3088</v>
      </c>
      <c r="AI1205" s="40" t="s">
        <v>115</v>
      </c>
      <c r="AP1205" s="4" t="s">
        <v>115</v>
      </c>
    </row>
    <row r="1206" spans="1:42" x14ac:dyDescent="0.15">
      <c r="A1206" s="40" t="s">
        <v>1</v>
      </c>
      <c r="B1206" s="23">
        <v>90120412</v>
      </c>
      <c r="C1206" s="23">
        <v>1204</v>
      </c>
      <c r="D1206" s="23">
        <v>12</v>
      </c>
      <c r="F1206" s="23" t="s">
        <v>256</v>
      </c>
      <c r="G1206" s="23" t="s">
        <v>115</v>
      </c>
      <c r="H1206" s="23" t="s">
        <v>3348</v>
      </c>
      <c r="I1206" s="23">
        <v>3</v>
      </c>
      <c r="J1206" s="40">
        <v>0</v>
      </c>
      <c r="K1206" s="40">
        <v>0</v>
      </c>
      <c r="L1206" s="40" t="s">
        <v>115</v>
      </c>
      <c r="O1206" s="40" t="s">
        <v>115</v>
      </c>
      <c r="Q1206" s="40">
        <v>163</v>
      </c>
      <c r="R1206" s="40">
        <v>269</v>
      </c>
      <c r="X1206" s="40">
        <v>90120413</v>
      </c>
      <c r="Y1206" s="40" t="s">
        <v>115</v>
      </c>
      <c r="Z1206" s="40" t="s">
        <v>115</v>
      </c>
      <c r="AA1206" s="40" t="s">
        <v>115</v>
      </c>
      <c r="AB1206" s="40" t="s">
        <v>115</v>
      </c>
      <c r="AC1206" s="40" t="s">
        <v>115</v>
      </c>
      <c r="AI1206" s="40" t="s">
        <v>115</v>
      </c>
      <c r="AP1206" s="4" t="s">
        <v>115</v>
      </c>
    </row>
    <row r="1207" spans="1:42" x14ac:dyDescent="0.15">
      <c r="A1207" s="40" t="s">
        <v>1</v>
      </c>
      <c r="B1207" s="23">
        <v>90120413</v>
      </c>
      <c r="C1207" s="23">
        <v>1204</v>
      </c>
      <c r="D1207" s="23">
        <v>12</v>
      </c>
      <c r="F1207" s="23" t="s">
        <v>116</v>
      </c>
      <c r="G1207" s="23">
        <v>261</v>
      </c>
      <c r="H1207" s="23" t="s">
        <v>3349</v>
      </c>
      <c r="I1207" s="23">
        <v>0</v>
      </c>
      <c r="J1207" s="40">
        <v>0</v>
      </c>
      <c r="K1207" s="40">
        <v>0</v>
      </c>
      <c r="L1207" s="40" t="s">
        <v>115</v>
      </c>
      <c r="O1207" s="40" t="s">
        <v>115</v>
      </c>
      <c r="Q1207" s="40">
        <v>163</v>
      </c>
      <c r="R1207" s="40">
        <v>269</v>
      </c>
      <c r="X1207" s="40">
        <v>90120414</v>
      </c>
      <c r="Y1207" s="40" t="s">
        <v>115</v>
      </c>
      <c r="Z1207" s="40" t="s">
        <v>115</v>
      </c>
      <c r="AA1207" s="40" t="s">
        <v>115</v>
      </c>
      <c r="AB1207" s="40" t="s">
        <v>115</v>
      </c>
      <c r="AC1207" s="40" t="s">
        <v>115</v>
      </c>
      <c r="AI1207" s="40" t="s">
        <v>115</v>
      </c>
      <c r="AP1207" s="4" t="s">
        <v>115</v>
      </c>
    </row>
    <row r="1208" spans="1:42" x14ac:dyDescent="0.15">
      <c r="A1208" s="40" t="s">
        <v>1</v>
      </c>
      <c r="B1208" s="23">
        <v>90120414</v>
      </c>
      <c r="C1208" s="23">
        <v>1204</v>
      </c>
      <c r="D1208" s="23">
        <v>12</v>
      </c>
      <c r="F1208" s="23" t="s">
        <v>256</v>
      </c>
      <c r="G1208" s="23" t="s">
        <v>115</v>
      </c>
      <c r="H1208" s="23" t="s">
        <v>3350</v>
      </c>
      <c r="I1208" s="23">
        <v>3</v>
      </c>
      <c r="J1208" s="40">
        <v>0</v>
      </c>
      <c r="K1208" s="40">
        <v>0</v>
      </c>
      <c r="L1208" s="40" t="s">
        <v>115</v>
      </c>
      <c r="O1208" s="40" t="s">
        <v>115</v>
      </c>
      <c r="Q1208" s="40">
        <v>163</v>
      </c>
      <c r="R1208" s="40">
        <v>269</v>
      </c>
      <c r="X1208" s="40">
        <v>90120415</v>
      </c>
      <c r="Y1208" s="40" t="s">
        <v>115</v>
      </c>
      <c r="Z1208" s="40" t="s">
        <v>115</v>
      </c>
      <c r="AA1208" s="40" t="s">
        <v>115</v>
      </c>
      <c r="AB1208" s="40" t="s">
        <v>115</v>
      </c>
      <c r="AC1208" s="40" t="s">
        <v>115</v>
      </c>
      <c r="AI1208" s="40" t="s">
        <v>115</v>
      </c>
      <c r="AP1208" s="4" t="s">
        <v>115</v>
      </c>
    </row>
    <row r="1209" spans="1:42" x14ac:dyDescent="0.15">
      <c r="A1209" s="40" t="s">
        <v>1</v>
      </c>
      <c r="B1209" s="23">
        <v>90120415</v>
      </c>
      <c r="C1209" s="23">
        <v>1204</v>
      </c>
      <c r="D1209" s="23">
        <v>12</v>
      </c>
      <c r="F1209" s="23" t="s">
        <v>256</v>
      </c>
      <c r="G1209" s="23" t="s">
        <v>115</v>
      </c>
      <c r="H1209" s="23" t="s">
        <v>3351</v>
      </c>
      <c r="I1209" s="23">
        <v>3</v>
      </c>
      <c r="J1209" s="40">
        <v>0</v>
      </c>
      <c r="K1209" s="40">
        <v>0</v>
      </c>
      <c r="L1209" s="40" t="s">
        <v>115</v>
      </c>
      <c r="O1209" s="40" t="s">
        <v>115</v>
      </c>
      <c r="Q1209" s="40">
        <v>163</v>
      </c>
      <c r="R1209" s="40">
        <v>269</v>
      </c>
      <c r="X1209" s="40">
        <v>90120416</v>
      </c>
      <c r="Y1209" s="40" t="s">
        <v>115</v>
      </c>
      <c r="Z1209" s="40" t="s">
        <v>115</v>
      </c>
      <c r="AA1209" s="40" t="s">
        <v>115</v>
      </c>
      <c r="AB1209" s="40" t="s">
        <v>115</v>
      </c>
      <c r="AC1209" s="40" t="s">
        <v>115</v>
      </c>
      <c r="AI1209" s="40" t="s">
        <v>115</v>
      </c>
      <c r="AP1209" s="4" t="s">
        <v>115</v>
      </c>
    </row>
    <row r="1210" spans="1:42" x14ac:dyDescent="0.15">
      <c r="A1210" s="40" t="s">
        <v>1</v>
      </c>
      <c r="B1210" s="23">
        <v>90120416</v>
      </c>
      <c r="C1210" s="23">
        <v>1204</v>
      </c>
      <c r="D1210" s="23">
        <v>12</v>
      </c>
      <c r="F1210" s="23" t="s">
        <v>116</v>
      </c>
      <c r="G1210" s="23">
        <v>274</v>
      </c>
      <c r="H1210" s="23" t="s">
        <v>3352</v>
      </c>
      <c r="I1210" s="23">
        <v>0</v>
      </c>
      <c r="J1210" s="40">
        <v>0</v>
      </c>
      <c r="K1210" s="40">
        <v>0</v>
      </c>
      <c r="L1210" s="40" t="s">
        <v>115</v>
      </c>
      <c r="O1210" s="40" t="s">
        <v>115</v>
      </c>
      <c r="Q1210" s="40">
        <v>163</v>
      </c>
      <c r="R1210" s="40">
        <v>269</v>
      </c>
      <c r="X1210" s="40">
        <v>90120417</v>
      </c>
      <c r="Y1210" s="40" t="s">
        <v>115</v>
      </c>
      <c r="Z1210" s="40" t="s">
        <v>115</v>
      </c>
      <c r="AA1210" s="40" t="s">
        <v>115</v>
      </c>
      <c r="AB1210" s="40" t="s">
        <v>115</v>
      </c>
      <c r="AC1210" s="40" t="s">
        <v>115</v>
      </c>
      <c r="AI1210" s="40" t="s">
        <v>115</v>
      </c>
      <c r="AP1210" s="4" t="s">
        <v>115</v>
      </c>
    </row>
    <row r="1211" spans="1:42" x14ac:dyDescent="0.15">
      <c r="A1211" s="40" t="s">
        <v>1</v>
      </c>
      <c r="B1211" s="23">
        <v>90120417</v>
      </c>
      <c r="C1211" s="23">
        <v>1204</v>
      </c>
      <c r="D1211" s="23">
        <v>12</v>
      </c>
      <c r="F1211" s="23" t="s">
        <v>115</v>
      </c>
      <c r="G1211" s="23" t="s">
        <v>115</v>
      </c>
      <c r="H1211" s="23" t="s">
        <v>3353</v>
      </c>
      <c r="I1211" s="23">
        <v>4</v>
      </c>
      <c r="J1211" s="40">
        <v>0</v>
      </c>
      <c r="K1211" s="40">
        <v>0</v>
      </c>
      <c r="L1211" s="40" t="s">
        <v>115</v>
      </c>
      <c r="O1211" s="40" t="s">
        <v>115</v>
      </c>
      <c r="Q1211" s="40">
        <v>163</v>
      </c>
      <c r="R1211" s="40">
        <v>269</v>
      </c>
      <c r="X1211" s="40">
        <v>90120418</v>
      </c>
      <c r="Y1211" s="40" t="s">
        <v>115</v>
      </c>
      <c r="Z1211" s="40" t="s">
        <v>115</v>
      </c>
      <c r="AA1211" s="40" t="s">
        <v>115</v>
      </c>
      <c r="AB1211" s="40" t="s">
        <v>115</v>
      </c>
      <c r="AC1211" s="40" t="s">
        <v>115</v>
      </c>
      <c r="AI1211" s="40" t="s">
        <v>115</v>
      </c>
      <c r="AP1211" s="4" t="s">
        <v>115</v>
      </c>
    </row>
    <row r="1212" spans="1:42" x14ac:dyDescent="0.15">
      <c r="A1212" s="40" t="s">
        <v>1</v>
      </c>
      <c r="B1212" s="23">
        <v>90120418</v>
      </c>
      <c r="C1212" s="23">
        <v>1204</v>
      </c>
      <c r="D1212" s="23">
        <v>12</v>
      </c>
      <c r="F1212" s="23" t="s">
        <v>116</v>
      </c>
      <c r="G1212" s="23">
        <v>275</v>
      </c>
      <c r="H1212" s="23" t="s">
        <v>3354</v>
      </c>
      <c r="I1212" s="23">
        <v>0</v>
      </c>
      <c r="J1212" s="40">
        <v>0</v>
      </c>
      <c r="K1212" s="40">
        <v>4</v>
      </c>
      <c r="L1212" s="40" t="s">
        <v>115</v>
      </c>
      <c r="O1212" s="40">
        <v>1</v>
      </c>
      <c r="Q1212" s="40">
        <v>163</v>
      </c>
      <c r="R1212" s="40">
        <v>269</v>
      </c>
      <c r="X1212" s="40" t="s">
        <v>115</v>
      </c>
      <c r="Y1212" s="40" t="s">
        <v>115</v>
      </c>
      <c r="Z1212" s="40">
        <v>3</v>
      </c>
      <c r="AA1212" s="40" t="s">
        <v>115</v>
      </c>
      <c r="AB1212" s="40" t="s">
        <v>115</v>
      </c>
      <c r="AC1212" s="40" t="s">
        <v>115</v>
      </c>
      <c r="AI1212" s="40" t="s">
        <v>115</v>
      </c>
      <c r="AP1212" s="4" t="s">
        <v>115</v>
      </c>
    </row>
    <row r="1213" spans="1:42" x14ac:dyDescent="0.15">
      <c r="A1213" s="40" t="s">
        <v>1</v>
      </c>
      <c r="B1213" s="23" t="s">
        <v>2823</v>
      </c>
      <c r="C1213" s="23">
        <v>1205</v>
      </c>
      <c r="D1213" s="23">
        <v>12</v>
      </c>
      <c r="F1213" s="23" t="s">
        <v>115</v>
      </c>
      <c r="G1213" s="23" t="s">
        <v>115</v>
      </c>
      <c r="H1213" s="23" t="s">
        <v>3089</v>
      </c>
      <c r="I1213" s="23">
        <v>4</v>
      </c>
      <c r="J1213" s="40">
        <v>1</v>
      </c>
      <c r="K1213" s="40">
        <v>1</v>
      </c>
      <c r="L1213" s="40" t="s">
        <v>115</v>
      </c>
      <c r="O1213" s="40" t="s">
        <v>115</v>
      </c>
      <c r="Q1213" s="40">
        <v>182</v>
      </c>
      <c r="R1213" s="40" t="s">
        <v>115</v>
      </c>
      <c r="X1213" s="40">
        <v>90120502</v>
      </c>
      <c r="Y1213" s="40" t="s">
        <v>115</v>
      </c>
      <c r="Z1213" s="40" t="s">
        <v>115</v>
      </c>
      <c r="AA1213" s="40" t="s">
        <v>115</v>
      </c>
      <c r="AB1213" s="40" t="s">
        <v>115</v>
      </c>
      <c r="AC1213" s="40" t="s">
        <v>115</v>
      </c>
      <c r="AI1213" s="40" t="s">
        <v>115</v>
      </c>
      <c r="AP1213" s="4" t="s">
        <v>115</v>
      </c>
    </row>
    <row r="1214" spans="1:42" x14ac:dyDescent="0.15">
      <c r="A1214" s="40" t="s">
        <v>1</v>
      </c>
      <c r="B1214" s="23">
        <v>90120502</v>
      </c>
      <c r="C1214" s="23">
        <v>1205</v>
      </c>
      <c r="D1214" s="23">
        <v>12</v>
      </c>
      <c r="F1214" s="23" t="s">
        <v>115</v>
      </c>
      <c r="G1214" s="23" t="s">
        <v>115</v>
      </c>
      <c r="H1214" s="23" t="s">
        <v>3091</v>
      </c>
      <c r="I1214" s="23">
        <v>4</v>
      </c>
      <c r="J1214" s="40">
        <v>0</v>
      </c>
      <c r="K1214" s="40">
        <v>0</v>
      </c>
      <c r="L1214" s="40" t="s">
        <v>115</v>
      </c>
      <c r="O1214" s="40" t="s">
        <v>115</v>
      </c>
      <c r="Q1214" s="40">
        <v>18</v>
      </c>
      <c r="R1214" s="40" t="s">
        <v>115</v>
      </c>
      <c r="X1214" s="40">
        <v>90120503</v>
      </c>
      <c r="Y1214" s="40" t="s">
        <v>115</v>
      </c>
      <c r="Z1214" s="40" t="s">
        <v>115</v>
      </c>
      <c r="AA1214" s="40" t="s">
        <v>115</v>
      </c>
      <c r="AB1214" s="40" t="s">
        <v>115</v>
      </c>
      <c r="AC1214" s="40" t="s">
        <v>115</v>
      </c>
      <c r="AI1214" s="40" t="s">
        <v>115</v>
      </c>
      <c r="AP1214" s="4" t="s">
        <v>115</v>
      </c>
    </row>
    <row r="1215" spans="1:42" x14ac:dyDescent="0.15">
      <c r="A1215" s="40" t="s">
        <v>1</v>
      </c>
      <c r="B1215" s="23">
        <v>90120503</v>
      </c>
      <c r="C1215" s="23">
        <v>1205</v>
      </c>
      <c r="D1215" s="23">
        <v>12</v>
      </c>
      <c r="F1215" s="23" t="s">
        <v>3090</v>
      </c>
      <c r="G1215" s="23" t="s">
        <v>115</v>
      </c>
      <c r="H1215" s="23" t="s">
        <v>3355</v>
      </c>
      <c r="I1215" s="23">
        <v>3</v>
      </c>
      <c r="J1215" s="40">
        <v>0</v>
      </c>
      <c r="K1215" s="40">
        <v>0</v>
      </c>
      <c r="L1215" s="40" t="s">
        <v>115</v>
      </c>
      <c r="O1215" s="40" t="s">
        <v>115</v>
      </c>
      <c r="Q1215" s="40">
        <v>18</v>
      </c>
      <c r="R1215" s="40">
        <v>283</v>
      </c>
      <c r="X1215" s="40">
        <v>90120504</v>
      </c>
      <c r="Y1215" s="40" t="s">
        <v>115</v>
      </c>
      <c r="Z1215" s="40" t="s">
        <v>115</v>
      </c>
      <c r="AA1215" s="40" t="s">
        <v>115</v>
      </c>
      <c r="AB1215" s="40" t="s">
        <v>115</v>
      </c>
      <c r="AC1215" s="40" t="s">
        <v>115</v>
      </c>
      <c r="AI1215" s="40" t="s">
        <v>115</v>
      </c>
      <c r="AP1215" s="4" t="s">
        <v>115</v>
      </c>
    </row>
    <row r="1216" spans="1:42" x14ac:dyDescent="0.15">
      <c r="A1216" s="40" t="s">
        <v>1</v>
      </c>
      <c r="B1216" s="23">
        <v>90120504</v>
      </c>
      <c r="C1216" s="23">
        <v>1205</v>
      </c>
      <c r="D1216" s="23">
        <v>12</v>
      </c>
      <c r="F1216" s="23" t="s">
        <v>116</v>
      </c>
      <c r="G1216" s="23">
        <v>261</v>
      </c>
      <c r="H1216" s="23" t="s">
        <v>3356</v>
      </c>
      <c r="I1216" s="23">
        <v>0</v>
      </c>
      <c r="J1216" s="40">
        <v>0</v>
      </c>
      <c r="K1216" s="40">
        <v>0</v>
      </c>
      <c r="L1216" s="40" t="s">
        <v>115</v>
      </c>
      <c r="O1216" s="40" t="s">
        <v>115</v>
      </c>
      <c r="Q1216" s="40">
        <v>18</v>
      </c>
      <c r="R1216" s="40">
        <v>283</v>
      </c>
      <c r="X1216" s="40">
        <v>90120505</v>
      </c>
      <c r="Y1216" s="40" t="s">
        <v>115</v>
      </c>
      <c r="Z1216" s="40" t="s">
        <v>115</v>
      </c>
      <c r="AA1216" s="40" t="s">
        <v>115</v>
      </c>
      <c r="AB1216" s="40" t="s">
        <v>115</v>
      </c>
      <c r="AC1216" s="40" t="s">
        <v>115</v>
      </c>
      <c r="AI1216" s="40" t="s">
        <v>115</v>
      </c>
      <c r="AP1216" s="4" t="s">
        <v>115</v>
      </c>
    </row>
    <row r="1217" spans="1:42" x14ac:dyDescent="0.15">
      <c r="A1217" s="40" t="s">
        <v>1</v>
      </c>
      <c r="B1217" s="23">
        <v>90120505</v>
      </c>
      <c r="C1217" s="23">
        <v>1205</v>
      </c>
      <c r="D1217" s="23">
        <v>12</v>
      </c>
      <c r="F1217" s="23" t="s">
        <v>3092</v>
      </c>
      <c r="G1217" s="23" t="s">
        <v>115</v>
      </c>
      <c r="H1217" s="23" t="s">
        <v>3357</v>
      </c>
      <c r="I1217" s="23">
        <v>3</v>
      </c>
      <c r="J1217" s="40">
        <v>0</v>
      </c>
      <c r="K1217" s="40">
        <v>0</v>
      </c>
      <c r="L1217" s="40" t="s">
        <v>115</v>
      </c>
      <c r="O1217" s="40" t="s">
        <v>115</v>
      </c>
      <c r="Q1217" s="40">
        <v>18</v>
      </c>
      <c r="R1217" s="40">
        <v>283</v>
      </c>
      <c r="X1217" s="40">
        <v>90120506</v>
      </c>
      <c r="Y1217" s="40" t="s">
        <v>115</v>
      </c>
      <c r="Z1217" s="40" t="s">
        <v>115</v>
      </c>
      <c r="AA1217" s="40" t="s">
        <v>115</v>
      </c>
      <c r="AB1217" s="40" t="s">
        <v>115</v>
      </c>
      <c r="AC1217" s="40" t="s">
        <v>115</v>
      </c>
      <c r="AI1217" s="40" t="s">
        <v>115</v>
      </c>
      <c r="AP1217" s="4" t="s">
        <v>115</v>
      </c>
    </row>
    <row r="1218" spans="1:42" x14ac:dyDescent="0.15">
      <c r="A1218" s="40" t="s">
        <v>1</v>
      </c>
      <c r="B1218" s="23">
        <v>90120506</v>
      </c>
      <c r="C1218" s="23">
        <v>1205</v>
      </c>
      <c r="D1218" s="23">
        <v>12</v>
      </c>
      <c r="F1218" s="23" t="s">
        <v>115</v>
      </c>
      <c r="G1218" s="23" t="s">
        <v>115</v>
      </c>
      <c r="H1218" s="23" t="s">
        <v>3358</v>
      </c>
      <c r="I1218" s="23">
        <v>4</v>
      </c>
      <c r="J1218" s="40">
        <v>0</v>
      </c>
      <c r="K1218" s="40">
        <v>0</v>
      </c>
      <c r="L1218" s="40" t="s">
        <v>115</v>
      </c>
      <c r="O1218" s="40" t="s">
        <v>115</v>
      </c>
      <c r="Q1218" s="40">
        <v>18</v>
      </c>
      <c r="R1218" s="40">
        <v>283</v>
      </c>
      <c r="X1218" s="40">
        <v>90120507</v>
      </c>
      <c r="Y1218" s="40" t="s">
        <v>115</v>
      </c>
      <c r="Z1218" s="40" t="s">
        <v>115</v>
      </c>
      <c r="AA1218" s="40" t="s">
        <v>115</v>
      </c>
      <c r="AB1218" s="40" t="s">
        <v>115</v>
      </c>
      <c r="AC1218" s="40" t="s">
        <v>115</v>
      </c>
      <c r="AI1218" s="40" t="s">
        <v>115</v>
      </c>
      <c r="AP1218" s="4" t="s">
        <v>115</v>
      </c>
    </row>
    <row r="1219" spans="1:42" x14ac:dyDescent="0.15">
      <c r="A1219" s="40" t="s">
        <v>1</v>
      </c>
      <c r="B1219" s="23">
        <v>90120507</v>
      </c>
      <c r="C1219" s="23">
        <v>1205</v>
      </c>
      <c r="D1219" s="23">
        <v>12</v>
      </c>
      <c r="F1219" s="23" t="s">
        <v>115</v>
      </c>
      <c r="G1219" s="23" t="s">
        <v>115</v>
      </c>
      <c r="H1219" s="23" t="s">
        <v>3359</v>
      </c>
      <c r="I1219" s="23">
        <v>4</v>
      </c>
      <c r="J1219" s="40">
        <v>0</v>
      </c>
      <c r="K1219" s="40">
        <v>2</v>
      </c>
      <c r="L1219" s="40" t="s">
        <v>115</v>
      </c>
      <c r="O1219" s="40" t="s">
        <v>115</v>
      </c>
      <c r="Q1219" s="40">
        <v>18</v>
      </c>
      <c r="R1219" s="40">
        <v>283</v>
      </c>
      <c r="X1219" s="40" t="s">
        <v>3360</v>
      </c>
      <c r="Y1219" s="40">
        <v>1</v>
      </c>
      <c r="Z1219" s="40">
        <v>1</v>
      </c>
      <c r="AA1219" s="40" t="s">
        <v>115</v>
      </c>
      <c r="AB1219" s="40" t="s">
        <v>115</v>
      </c>
      <c r="AC1219" s="40" t="s">
        <v>115</v>
      </c>
      <c r="AI1219" s="40" t="s">
        <v>115</v>
      </c>
      <c r="AP1219" s="4" t="s">
        <v>115</v>
      </c>
    </row>
    <row r="1220" spans="1:42" x14ac:dyDescent="0.15">
      <c r="A1220" s="40" t="s">
        <v>1</v>
      </c>
      <c r="B1220" s="23">
        <v>90120508</v>
      </c>
      <c r="C1220" s="23">
        <v>1205</v>
      </c>
      <c r="D1220" s="23">
        <v>12</v>
      </c>
      <c r="F1220" s="23" t="s">
        <v>115</v>
      </c>
      <c r="G1220" s="23" t="s">
        <v>115</v>
      </c>
      <c r="H1220" s="23" t="s">
        <v>3093</v>
      </c>
      <c r="I1220" s="23">
        <v>4</v>
      </c>
      <c r="J1220" s="40">
        <v>0</v>
      </c>
      <c r="K1220" s="40">
        <v>3</v>
      </c>
      <c r="L1220" s="40" t="s">
        <v>115</v>
      </c>
      <c r="O1220" s="40" t="s">
        <v>115</v>
      </c>
      <c r="Q1220" s="40">
        <v>18</v>
      </c>
      <c r="R1220" s="40">
        <v>283</v>
      </c>
      <c r="X1220" s="40">
        <v>90120510</v>
      </c>
      <c r="Y1220" s="40">
        <v>-1</v>
      </c>
      <c r="Z1220" s="40">
        <v>2</v>
      </c>
      <c r="AA1220" s="40" t="s">
        <v>115</v>
      </c>
      <c r="AB1220" s="40" t="s">
        <v>115</v>
      </c>
      <c r="AC1220" s="40" t="s">
        <v>115</v>
      </c>
      <c r="AI1220" s="40" t="s">
        <v>115</v>
      </c>
      <c r="AP1220" s="4" t="s">
        <v>115</v>
      </c>
    </row>
    <row r="1221" spans="1:42" x14ac:dyDescent="0.15">
      <c r="A1221" s="40" t="s">
        <v>1</v>
      </c>
      <c r="B1221" s="23">
        <v>90120509</v>
      </c>
      <c r="C1221" s="23">
        <v>1205</v>
      </c>
      <c r="D1221" s="23">
        <v>12</v>
      </c>
      <c r="F1221" s="23" t="s">
        <v>115</v>
      </c>
      <c r="G1221" s="23" t="s">
        <v>115</v>
      </c>
      <c r="H1221" s="23" t="s">
        <v>3361</v>
      </c>
      <c r="I1221" s="23">
        <v>4</v>
      </c>
      <c r="J1221" s="40">
        <v>0</v>
      </c>
      <c r="K1221" s="40">
        <v>4</v>
      </c>
      <c r="L1221" s="40" t="s">
        <v>115</v>
      </c>
      <c r="O1221" s="40" t="s">
        <v>115</v>
      </c>
      <c r="Q1221" s="40">
        <v>18</v>
      </c>
      <c r="R1221" s="40">
        <v>283</v>
      </c>
      <c r="X1221" s="40">
        <v>90120512</v>
      </c>
      <c r="Y1221" s="40">
        <v>-1</v>
      </c>
      <c r="Z1221" s="40">
        <v>2</v>
      </c>
      <c r="AA1221" s="40" t="s">
        <v>115</v>
      </c>
      <c r="AB1221" s="40" t="s">
        <v>115</v>
      </c>
      <c r="AC1221" s="40" t="s">
        <v>3094</v>
      </c>
      <c r="AI1221" s="40" t="s">
        <v>115</v>
      </c>
      <c r="AP1221" s="4" t="s">
        <v>115</v>
      </c>
    </row>
    <row r="1222" spans="1:42" x14ac:dyDescent="0.15">
      <c r="A1222" s="40" t="s">
        <v>1</v>
      </c>
      <c r="B1222" s="23">
        <v>90120510</v>
      </c>
      <c r="C1222" s="23">
        <v>1205</v>
      </c>
      <c r="D1222" s="23">
        <v>12</v>
      </c>
      <c r="F1222" s="23" t="s">
        <v>3092</v>
      </c>
      <c r="G1222" s="23" t="s">
        <v>115</v>
      </c>
      <c r="H1222" s="23" t="s">
        <v>3362</v>
      </c>
      <c r="I1222" s="23">
        <v>3</v>
      </c>
      <c r="J1222" s="40">
        <v>0</v>
      </c>
      <c r="K1222" s="40">
        <v>0</v>
      </c>
      <c r="L1222" s="40" t="s">
        <v>115</v>
      </c>
      <c r="O1222" s="40" t="s">
        <v>115</v>
      </c>
      <c r="Q1222" s="40">
        <v>18</v>
      </c>
      <c r="R1222" s="40">
        <v>283</v>
      </c>
      <c r="X1222" s="40">
        <v>90120511</v>
      </c>
      <c r="Y1222" s="40" t="s">
        <v>115</v>
      </c>
      <c r="Z1222" s="40" t="s">
        <v>115</v>
      </c>
      <c r="AA1222" s="40" t="s">
        <v>115</v>
      </c>
      <c r="AB1222" s="40" t="s">
        <v>115</v>
      </c>
      <c r="AC1222" s="40" t="s">
        <v>115</v>
      </c>
      <c r="AI1222" s="40" t="s">
        <v>115</v>
      </c>
      <c r="AP1222" s="4" t="s">
        <v>115</v>
      </c>
    </row>
    <row r="1223" spans="1:42" x14ac:dyDescent="0.15">
      <c r="A1223" s="40" t="s">
        <v>1</v>
      </c>
      <c r="B1223" s="23">
        <v>90120511</v>
      </c>
      <c r="C1223" s="23">
        <v>1205</v>
      </c>
      <c r="D1223" s="23">
        <v>12</v>
      </c>
      <c r="F1223" s="23" t="s">
        <v>3092</v>
      </c>
      <c r="G1223" s="23" t="s">
        <v>115</v>
      </c>
      <c r="H1223" s="23" t="s">
        <v>3363</v>
      </c>
      <c r="I1223" s="23">
        <v>3</v>
      </c>
      <c r="J1223" s="40">
        <v>0</v>
      </c>
      <c r="K1223" s="40">
        <v>0</v>
      </c>
      <c r="L1223" s="40" t="s">
        <v>115</v>
      </c>
      <c r="O1223" s="40" t="s">
        <v>115</v>
      </c>
      <c r="Q1223" s="40">
        <v>18</v>
      </c>
      <c r="R1223" s="40">
        <v>283</v>
      </c>
      <c r="X1223" s="40">
        <v>90120507</v>
      </c>
      <c r="Y1223" s="40" t="s">
        <v>115</v>
      </c>
      <c r="Z1223" s="40" t="s">
        <v>115</v>
      </c>
      <c r="AA1223" s="40" t="s">
        <v>115</v>
      </c>
      <c r="AB1223" s="40" t="s">
        <v>115</v>
      </c>
      <c r="AC1223" s="40" t="s">
        <v>115</v>
      </c>
      <c r="AI1223" s="40" t="s">
        <v>115</v>
      </c>
      <c r="AP1223" s="4" t="s">
        <v>115</v>
      </c>
    </row>
    <row r="1224" spans="1:42" x14ac:dyDescent="0.15">
      <c r="A1224" s="40" t="s">
        <v>1</v>
      </c>
      <c r="B1224" s="23">
        <v>90120512</v>
      </c>
      <c r="C1224" s="23">
        <v>1205</v>
      </c>
      <c r="D1224" s="23">
        <v>12</v>
      </c>
      <c r="F1224" s="23" t="s">
        <v>3095</v>
      </c>
      <c r="G1224" s="23" t="s">
        <v>115</v>
      </c>
      <c r="H1224" s="23" t="s">
        <v>3364</v>
      </c>
      <c r="I1224" s="23">
        <v>3</v>
      </c>
      <c r="J1224" s="40">
        <v>0</v>
      </c>
      <c r="K1224" s="40">
        <v>0</v>
      </c>
      <c r="L1224" s="40" t="s">
        <v>115</v>
      </c>
      <c r="O1224" s="40" t="s">
        <v>115</v>
      </c>
      <c r="Q1224" s="40">
        <v>192</v>
      </c>
      <c r="R1224" s="40">
        <v>167</v>
      </c>
      <c r="X1224" s="40">
        <v>90120513</v>
      </c>
      <c r="Y1224" s="40" t="s">
        <v>115</v>
      </c>
      <c r="Z1224" s="40" t="s">
        <v>115</v>
      </c>
      <c r="AA1224" s="40" t="s">
        <v>115</v>
      </c>
      <c r="AB1224" s="40" t="s">
        <v>115</v>
      </c>
      <c r="AC1224" s="40" t="s">
        <v>115</v>
      </c>
      <c r="AI1224" s="40" t="s">
        <v>115</v>
      </c>
      <c r="AP1224" s="4" t="s">
        <v>115</v>
      </c>
    </row>
    <row r="1225" spans="1:42" x14ac:dyDescent="0.15">
      <c r="A1225" s="40" t="s">
        <v>1</v>
      </c>
      <c r="B1225" s="23">
        <v>90120513</v>
      </c>
      <c r="C1225" s="23">
        <v>1205</v>
      </c>
      <c r="D1225" s="23">
        <v>12</v>
      </c>
      <c r="F1225" s="23" t="s">
        <v>3095</v>
      </c>
      <c r="G1225" s="23" t="s">
        <v>115</v>
      </c>
      <c r="H1225" s="23" t="s">
        <v>3365</v>
      </c>
      <c r="I1225" s="23">
        <v>3</v>
      </c>
      <c r="J1225" s="40">
        <v>0</v>
      </c>
      <c r="K1225" s="40">
        <v>0</v>
      </c>
      <c r="L1225" s="40" t="s">
        <v>115</v>
      </c>
      <c r="O1225" s="40" t="s">
        <v>115</v>
      </c>
      <c r="Q1225" s="40">
        <v>192</v>
      </c>
      <c r="R1225" s="40">
        <v>167</v>
      </c>
      <c r="X1225" s="40">
        <v>90120514</v>
      </c>
      <c r="Y1225" s="40" t="s">
        <v>115</v>
      </c>
      <c r="Z1225" s="40" t="s">
        <v>115</v>
      </c>
      <c r="AA1225" s="40" t="s">
        <v>115</v>
      </c>
      <c r="AB1225" s="40" t="s">
        <v>115</v>
      </c>
      <c r="AC1225" s="40" t="s">
        <v>115</v>
      </c>
      <c r="AI1225" s="40" t="s">
        <v>115</v>
      </c>
      <c r="AP1225" s="4" t="s">
        <v>115</v>
      </c>
    </row>
    <row r="1226" spans="1:42" x14ac:dyDescent="0.15">
      <c r="A1226" s="40" t="s">
        <v>1</v>
      </c>
      <c r="B1226" s="23">
        <v>90120514</v>
      </c>
      <c r="C1226" s="23">
        <v>1205</v>
      </c>
      <c r="D1226" s="23">
        <v>12</v>
      </c>
      <c r="F1226" s="23" t="s">
        <v>3095</v>
      </c>
      <c r="G1226" s="23" t="s">
        <v>115</v>
      </c>
      <c r="H1226" s="23" t="s">
        <v>3366</v>
      </c>
      <c r="I1226" s="23">
        <v>3</v>
      </c>
      <c r="J1226" s="40">
        <v>0</v>
      </c>
      <c r="K1226" s="40">
        <v>0</v>
      </c>
      <c r="L1226" s="40" t="s">
        <v>115</v>
      </c>
      <c r="O1226" s="40" t="s">
        <v>115</v>
      </c>
      <c r="Q1226" s="40">
        <v>192</v>
      </c>
      <c r="R1226" s="40">
        <v>167</v>
      </c>
      <c r="X1226" s="40">
        <v>90120515</v>
      </c>
      <c r="Y1226" s="40" t="s">
        <v>115</v>
      </c>
      <c r="Z1226" s="40" t="s">
        <v>115</v>
      </c>
      <c r="AA1226" s="40" t="s">
        <v>115</v>
      </c>
      <c r="AB1226" s="40" t="s">
        <v>115</v>
      </c>
      <c r="AC1226" s="40" t="s">
        <v>115</v>
      </c>
      <c r="AI1226" s="40" t="s">
        <v>115</v>
      </c>
      <c r="AP1226" s="4" t="s">
        <v>115</v>
      </c>
    </row>
    <row r="1227" spans="1:42" x14ac:dyDescent="0.15">
      <c r="A1227" s="40" t="s">
        <v>1</v>
      </c>
      <c r="B1227" s="23">
        <v>90120515</v>
      </c>
      <c r="C1227" s="23">
        <v>1205</v>
      </c>
      <c r="D1227" s="23">
        <v>12</v>
      </c>
      <c r="F1227" s="23" t="s">
        <v>3095</v>
      </c>
      <c r="G1227" s="23" t="s">
        <v>115</v>
      </c>
      <c r="H1227" s="23" t="s">
        <v>3367</v>
      </c>
      <c r="I1227" s="23">
        <v>3</v>
      </c>
      <c r="J1227" s="40">
        <v>0</v>
      </c>
      <c r="K1227" s="40">
        <v>5</v>
      </c>
      <c r="L1227" s="40" t="s">
        <v>3087</v>
      </c>
      <c r="O1227" s="40" t="s">
        <v>115</v>
      </c>
      <c r="Q1227" s="40">
        <v>192</v>
      </c>
      <c r="R1227" s="40">
        <v>167</v>
      </c>
      <c r="X1227" s="40">
        <v>90120516</v>
      </c>
      <c r="Y1227" s="40" t="s">
        <v>115</v>
      </c>
      <c r="Z1227" s="40">
        <v>4</v>
      </c>
      <c r="AA1227" s="40" t="s">
        <v>115</v>
      </c>
      <c r="AB1227" s="40" t="s">
        <v>115</v>
      </c>
      <c r="AC1227" s="40" t="s">
        <v>115</v>
      </c>
      <c r="AI1227" s="40" t="s">
        <v>115</v>
      </c>
      <c r="AP1227" s="4" t="s">
        <v>115</v>
      </c>
    </row>
    <row r="1228" spans="1:42" x14ac:dyDescent="0.15">
      <c r="A1228" s="40" t="s">
        <v>1</v>
      </c>
      <c r="B1228" s="23">
        <v>90120516</v>
      </c>
      <c r="C1228" s="23">
        <v>1205</v>
      </c>
      <c r="D1228" s="23">
        <v>12</v>
      </c>
      <c r="F1228" s="23" t="s">
        <v>116</v>
      </c>
      <c r="G1228" s="23">
        <v>261</v>
      </c>
      <c r="H1228" s="23" t="s">
        <v>3368</v>
      </c>
      <c r="I1228" s="23">
        <v>0</v>
      </c>
      <c r="J1228" s="40">
        <v>0</v>
      </c>
      <c r="K1228" s="40">
        <v>6</v>
      </c>
      <c r="L1228" s="40" t="s">
        <v>115</v>
      </c>
      <c r="O1228" s="40">
        <v>1</v>
      </c>
      <c r="Q1228" s="40">
        <v>192</v>
      </c>
      <c r="R1228" s="40">
        <v>167</v>
      </c>
      <c r="X1228" s="40" t="s">
        <v>115</v>
      </c>
      <c r="Y1228" s="40" t="s">
        <v>115</v>
      </c>
      <c r="Z1228" s="40">
        <v>5</v>
      </c>
      <c r="AA1228" s="40" t="s">
        <v>115</v>
      </c>
      <c r="AB1228" s="40" t="s">
        <v>115</v>
      </c>
      <c r="AC1228" s="40" t="s">
        <v>115</v>
      </c>
      <c r="AI1228" s="40" t="s">
        <v>115</v>
      </c>
      <c r="AP1228" s="4" t="s">
        <v>3097</v>
      </c>
    </row>
    <row r="1229" spans="1:42" x14ac:dyDescent="0.15">
      <c r="A1229" s="40" t="s">
        <v>1</v>
      </c>
      <c r="B1229" s="23" t="s">
        <v>2825</v>
      </c>
      <c r="C1229" s="23">
        <v>1206</v>
      </c>
      <c r="D1229" s="23">
        <v>12</v>
      </c>
      <c r="F1229" s="23" t="s">
        <v>529</v>
      </c>
      <c r="G1229" s="23" t="s">
        <v>115</v>
      </c>
      <c r="H1229" s="23" t="s">
        <v>3369</v>
      </c>
      <c r="I1229" s="23">
        <v>3</v>
      </c>
      <c r="J1229" s="40">
        <v>1</v>
      </c>
      <c r="K1229" s="40">
        <v>1</v>
      </c>
      <c r="L1229" s="40" t="s">
        <v>115</v>
      </c>
      <c r="O1229" s="40" t="s">
        <v>115</v>
      </c>
      <c r="Q1229" s="40">
        <v>12</v>
      </c>
      <c r="R1229" s="40">
        <v>213</v>
      </c>
      <c r="X1229" s="40">
        <v>90120602</v>
      </c>
      <c r="Y1229" s="40" t="s">
        <v>115</v>
      </c>
      <c r="Z1229" s="40" t="s">
        <v>115</v>
      </c>
      <c r="AA1229" s="40" t="s">
        <v>115</v>
      </c>
      <c r="AB1229" s="40" t="s">
        <v>115</v>
      </c>
      <c r="AC1229" s="40" t="s">
        <v>115</v>
      </c>
      <c r="AI1229" s="40" t="s">
        <v>115</v>
      </c>
      <c r="AP1229" s="4" t="s">
        <v>115</v>
      </c>
    </row>
    <row r="1230" spans="1:42" x14ac:dyDescent="0.15">
      <c r="A1230" s="40" t="s">
        <v>1</v>
      </c>
      <c r="B1230" s="23">
        <v>90120602</v>
      </c>
      <c r="C1230" s="23">
        <v>1206</v>
      </c>
      <c r="D1230" s="23">
        <v>12</v>
      </c>
      <c r="F1230" s="23" t="s">
        <v>116</v>
      </c>
      <c r="G1230" s="23">
        <v>259</v>
      </c>
      <c r="H1230" s="23" t="s">
        <v>3370</v>
      </c>
      <c r="I1230" s="23">
        <v>0</v>
      </c>
      <c r="J1230" s="40">
        <v>0</v>
      </c>
      <c r="K1230" s="40">
        <v>0</v>
      </c>
      <c r="L1230" s="40" t="s">
        <v>115</v>
      </c>
      <c r="O1230" s="40" t="s">
        <v>115</v>
      </c>
      <c r="Q1230" s="40">
        <v>12</v>
      </c>
      <c r="R1230" s="40">
        <v>213</v>
      </c>
      <c r="X1230" s="40">
        <v>90120603</v>
      </c>
      <c r="Y1230" s="40" t="s">
        <v>115</v>
      </c>
      <c r="Z1230" s="40" t="s">
        <v>115</v>
      </c>
      <c r="AA1230" s="40" t="s">
        <v>115</v>
      </c>
      <c r="AB1230" s="40" t="s">
        <v>115</v>
      </c>
      <c r="AC1230" s="40" t="s">
        <v>115</v>
      </c>
      <c r="AI1230" s="40" t="s">
        <v>115</v>
      </c>
      <c r="AP1230" s="4" t="s">
        <v>115</v>
      </c>
    </row>
    <row r="1231" spans="1:42" x14ac:dyDescent="0.15">
      <c r="A1231" s="40" t="s">
        <v>1</v>
      </c>
      <c r="B1231" s="23">
        <v>90120603</v>
      </c>
      <c r="C1231" s="23">
        <v>1206</v>
      </c>
      <c r="D1231" s="23">
        <v>12</v>
      </c>
      <c r="F1231" s="23" t="s">
        <v>115</v>
      </c>
      <c r="G1231" s="23" t="s">
        <v>115</v>
      </c>
      <c r="H1231" s="23" t="s">
        <v>3098</v>
      </c>
      <c r="I1231" s="23">
        <v>4</v>
      </c>
      <c r="J1231" s="40">
        <v>0</v>
      </c>
      <c r="K1231" s="40">
        <v>0</v>
      </c>
      <c r="L1231" s="40" t="s">
        <v>115</v>
      </c>
      <c r="O1231" s="40" t="s">
        <v>115</v>
      </c>
      <c r="Q1231" s="40">
        <v>143</v>
      </c>
      <c r="R1231" s="40" t="s">
        <v>115</v>
      </c>
      <c r="X1231" s="40">
        <v>90120604</v>
      </c>
      <c r="Y1231" s="40" t="s">
        <v>115</v>
      </c>
      <c r="Z1231" s="40" t="s">
        <v>115</v>
      </c>
      <c r="AA1231" s="40" t="s">
        <v>115</v>
      </c>
      <c r="AB1231" s="40" t="s">
        <v>115</v>
      </c>
      <c r="AC1231" s="40" t="s">
        <v>115</v>
      </c>
      <c r="AI1231" s="40" t="s">
        <v>115</v>
      </c>
      <c r="AP1231" s="4" t="s">
        <v>115</v>
      </c>
    </row>
    <row r="1232" spans="1:42" x14ac:dyDescent="0.15">
      <c r="A1232" s="40" t="s">
        <v>1</v>
      </c>
      <c r="B1232" s="23">
        <v>90120604</v>
      </c>
      <c r="C1232" s="23">
        <v>1206</v>
      </c>
      <c r="D1232" s="23">
        <v>12</v>
      </c>
      <c r="F1232" s="23" t="s">
        <v>116</v>
      </c>
      <c r="G1232" s="23">
        <v>261</v>
      </c>
      <c r="H1232" s="23" t="s">
        <v>3099</v>
      </c>
      <c r="I1232" s="23">
        <v>0</v>
      </c>
      <c r="J1232" s="40">
        <v>0</v>
      </c>
      <c r="K1232" s="40">
        <v>0</v>
      </c>
      <c r="L1232" s="40" t="s">
        <v>115</v>
      </c>
      <c r="O1232" s="40" t="s">
        <v>115</v>
      </c>
      <c r="Q1232" s="40">
        <v>143</v>
      </c>
      <c r="R1232" s="40">
        <v>19</v>
      </c>
      <c r="X1232" s="40">
        <v>90120605</v>
      </c>
      <c r="Y1232" s="40" t="s">
        <v>115</v>
      </c>
      <c r="Z1232" s="40" t="s">
        <v>115</v>
      </c>
      <c r="AA1232" s="40" t="s">
        <v>115</v>
      </c>
      <c r="AB1232" s="40" t="s">
        <v>115</v>
      </c>
      <c r="AC1232" s="40" t="s">
        <v>115</v>
      </c>
      <c r="AI1232" s="40" t="s">
        <v>115</v>
      </c>
      <c r="AP1232" s="4" t="s">
        <v>115</v>
      </c>
    </row>
    <row r="1233" spans="1:42" x14ac:dyDescent="0.15">
      <c r="A1233" s="40" t="s">
        <v>1</v>
      </c>
      <c r="B1233" s="23">
        <v>90120605</v>
      </c>
      <c r="C1233" s="23">
        <v>1206</v>
      </c>
      <c r="D1233" s="23">
        <v>12</v>
      </c>
      <c r="F1233" s="23" t="s">
        <v>373</v>
      </c>
      <c r="G1233" s="23" t="s">
        <v>115</v>
      </c>
      <c r="H1233" s="23" t="s">
        <v>3100</v>
      </c>
      <c r="I1233" s="23">
        <v>3</v>
      </c>
      <c r="J1233" s="40">
        <v>0</v>
      </c>
      <c r="K1233" s="40">
        <v>0</v>
      </c>
      <c r="L1233" s="40" t="s">
        <v>115</v>
      </c>
      <c r="O1233" s="40" t="s">
        <v>115</v>
      </c>
      <c r="Q1233" s="40">
        <v>143</v>
      </c>
      <c r="R1233" s="40">
        <v>19</v>
      </c>
      <c r="X1233" s="40">
        <v>90120606</v>
      </c>
      <c r="Y1233" s="40" t="s">
        <v>115</v>
      </c>
      <c r="Z1233" s="40" t="s">
        <v>115</v>
      </c>
      <c r="AA1233" s="40" t="s">
        <v>115</v>
      </c>
      <c r="AB1233" s="40" t="s">
        <v>115</v>
      </c>
      <c r="AC1233" s="40" t="s">
        <v>115</v>
      </c>
      <c r="AI1233" s="40" t="s">
        <v>115</v>
      </c>
      <c r="AP1233" s="4" t="s">
        <v>115</v>
      </c>
    </row>
    <row r="1234" spans="1:42" x14ac:dyDescent="0.15">
      <c r="A1234" s="40" t="s">
        <v>1</v>
      </c>
      <c r="B1234" s="23">
        <v>90120606</v>
      </c>
      <c r="C1234" s="23">
        <v>1206</v>
      </c>
      <c r="D1234" s="23">
        <v>12</v>
      </c>
      <c r="F1234" s="23" t="s">
        <v>116</v>
      </c>
      <c r="G1234" s="23">
        <v>273</v>
      </c>
      <c r="H1234" s="23" t="s">
        <v>3101</v>
      </c>
      <c r="I1234" s="23">
        <v>0</v>
      </c>
      <c r="J1234" s="40">
        <v>0</v>
      </c>
      <c r="K1234" s="40">
        <v>0</v>
      </c>
      <c r="L1234" s="40" t="s">
        <v>115</v>
      </c>
      <c r="O1234" s="40" t="s">
        <v>115</v>
      </c>
      <c r="Q1234" s="40">
        <v>143</v>
      </c>
      <c r="R1234" s="40">
        <v>19</v>
      </c>
      <c r="X1234" s="40">
        <v>90120607</v>
      </c>
      <c r="Y1234" s="40" t="s">
        <v>115</v>
      </c>
      <c r="Z1234" s="40" t="s">
        <v>115</v>
      </c>
      <c r="AA1234" s="40" t="s">
        <v>115</v>
      </c>
      <c r="AB1234" s="40" t="s">
        <v>115</v>
      </c>
      <c r="AC1234" s="40" t="s">
        <v>115</v>
      </c>
      <c r="AI1234" s="40" t="s">
        <v>115</v>
      </c>
      <c r="AP1234" s="4" t="s">
        <v>115</v>
      </c>
    </row>
    <row r="1235" spans="1:42" x14ac:dyDescent="0.15">
      <c r="A1235" s="40" t="s">
        <v>1</v>
      </c>
      <c r="B1235" s="23">
        <v>90120607</v>
      </c>
      <c r="C1235" s="23">
        <v>1206</v>
      </c>
      <c r="D1235" s="23">
        <v>12</v>
      </c>
      <c r="F1235" s="23" t="s">
        <v>373</v>
      </c>
      <c r="G1235" s="23" t="s">
        <v>115</v>
      </c>
      <c r="H1235" s="23" t="s">
        <v>3102</v>
      </c>
      <c r="I1235" s="23">
        <v>3</v>
      </c>
      <c r="J1235" s="40">
        <v>0</v>
      </c>
      <c r="K1235" s="40">
        <v>0</v>
      </c>
      <c r="L1235" s="40" t="s">
        <v>115</v>
      </c>
      <c r="O1235" s="40" t="s">
        <v>115</v>
      </c>
      <c r="Q1235" s="40">
        <v>143</v>
      </c>
      <c r="R1235" s="40">
        <v>19</v>
      </c>
      <c r="X1235" s="40">
        <v>90120608</v>
      </c>
      <c r="Y1235" s="40" t="s">
        <v>115</v>
      </c>
      <c r="Z1235" s="40" t="s">
        <v>115</v>
      </c>
      <c r="AA1235" s="40" t="s">
        <v>115</v>
      </c>
      <c r="AB1235" s="40" t="s">
        <v>115</v>
      </c>
      <c r="AC1235" s="40" t="s">
        <v>115</v>
      </c>
      <c r="AI1235" s="40" t="s">
        <v>115</v>
      </c>
      <c r="AP1235" s="4" t="s">
        <v>115</v>
      </c>
    </row>
    <row r="1236" spans="1:42" x14ac:dyDescent="0.15">
      <c r="A1236" s="40" t="s">
        <v>1</v>
      </c>
      <c r="B1236" s="23">
        <v>90120608</v>
      </c>
      <c r="C1236" s="23">
        <v>1206</v>
      </c>
      <c r="D1236" s="23">
        <v>12</v>
      </c>
      <c r="F1236" s="23" t="s">
        <v>115</v>
      </c>
      <c r="G1236" s="23" t="s">
        <v>115</v>
      </c>
      <c r="H1236" s="23" t="s">
        <v>3371</v>
      </c>
      <c r="I1236" s="23">
        <v>4</v>
      </c>
      <c r="J1236" s="40">
        <v>0</v>
      </c>
      <c r="K1236" s="40">
        <v>2</v>
      </c>
      <c r="L1236" s="40" t="s">
        <v>115</v>
      </c>
      <c r="O1236" s="40" t="s">
        <v>115</v>
      </c>
      <c r="Q1236" s="40">
        <v>143</v>
      </c>
      <c r="R1236" s="40">
        <v>19</v>
      </c>
      <c r="X1236" s="40" t="s">
        <v>3372</v>
      </c>
      <c r="Y1236" s="40">
        <v>1</v>
      </c>
      <c r="Z1236" s="40">
        <v>1</v>
      </c>
      <c r="AA1236" s="40" t="s">
        <v>115</v>
      </c>
      <c r="AB1236" s="40" t="s">
        <v>115</v>
      </c>
      <c r="AC1236" s="40" t="s">
        <v>115</v>
      </c>
      <c r="AI1236" s="40" t="s">
        <v>115</v>
      </c>
      <c r="AP1236" s="4" t="s">
        <v>115</v>
      </c>
    </row>
    <row r="1237" spans="1:42" x14ac:dyDescent="0.15">
      <c r="A1237" s="40" t="s">
        <v>1</v>
      </c>
      <c r="B1237" s="23">
        <v>90120609</v>
      </c>
      <c r="C1237" s="23">
        <v>1206</v>
      </c>
      <c r="D1237" s="23">
        <v>12</v>
      </c>
      <c r="F1237" s="23" t="s">
        <v>115</v>
      </c>
      <c r="G1237" s="23" t="s">
        <v>115</v>
      </c>
      <c r="H1237" s="23" t="s">
        <v>3373</v>
      </c>
      <c r="I1237" s="23">
        <v>4</v>
      </c>
      <c r="J1237" s="40">
        <v>0</v>
      </c>
      <c r="K1237" s="40">
        <v>3</v>
      </c>
      <c r="L1237" s="40" t="s">
        <v>115</v>
      </c>
      <c r="O1237" s="40" t="s">
        <v>115</v>
      </c>
      <c r="Q1237" s="40">
        <v>143</v>
      </c>
      <c r="R1237" s="40">
        <v>19</v>
      </c>
      <c r="X1237" s="40">
        <v>90120611</v>
      </c>
      <c r="Y1237" s="40">
        <v>-1</v>
      </c>
      <c r="Z1237" s="40">
        <v>2</v>
      </c>
      <c r="AA1237" s="40" t="s">
        <v>3142</v>
      </c>
      <c r="AB1237" s="40" t="s">
        <v>115</v>
      </c>
      <c r="AC1237" s="40" t="s">
        <v>115</v>
      </c>
      <c r="AI1237" s="40" t="s">
        <v>115</v>
      </c>
      <c r="AP1237" s="4" t="s">
        <v>115</v>
      </c>
    </row>
    <row r="1238" spans="1:42" x14ac:dyDescent="0.15">
      <c r="A1238" s="40" t="s">
        <v>1</v>
      </c>
      <c r="B1238" s="23">
        <v>90120610</v>
      </c>
      <c r="C1238" s="23">
        <v>1206</v>
      </c>
      <c r="D1238" s="23">
        <v>12</v>
      </c>
      <c r="F1238" s="23" t="s">
        <v>115</v>
      </c>
      <c r="G1238" s="23" t="s">
        <v>115</v>
      </c>
      <c r="H1238" s="23" t="s">
        <v>3374</v>
      </c>
      <c r="I1238" s="23">
        <v>4</v>
      </c>
      <c r="J1238" s="40">
        <v>0</v>
      </c>
      <c r="K1238" s="40">
        <v>4</v>
      </c>
      <c r="L1238" s="40" t="s">
        <v>115</v>
      </c>
      <c r="O1238" s="40" t="s">
        <v>115</v>
      </c>
      <c r="Q1238" s="40">
        <v>143</v>
      </c>
      <c r="R1238" s="40">
        <v>19</v>
      </c>
      <c r="X1238" s="40">
        <v>90120614</v>
      </c>
      <c r="Y1238" s="40">
        <v>-1</v>
      </c>
      <c r="Z1238" s="40">
        <v>2</v>
      </c>
      <c r="AA1238" s="40" t="s">
        <v>115</v>
      </c>
      <c r="AB1238" s="40" t="s">
        <v>115</v>
      </c>
      <c r="AC1238" s="40" t="s">
        <v>3103</v>
      </c>
      <c r="AI1238" s="40" t="s">
        <v>115</v>
      </c>
      <c r="AP1238" s="4" t="s">
        <v>115</v>
      </c>
    </row>
    <row r="1239" spans="1:42" x14ac:dyDescent="0.15">
      <c r="A1239" s="40" t="s">
        <v>1</v>
      </c>
      <c r="B1239" s="23">
        <v>90120611</v>
      </c>
      <c r="C1239" s="23">
        <v>1206</v>
      </c>
      <c r="D1239" s="23">
        <v>12</v>
      </c>
      <c r="F1239" s="23" t="s">
        <v>373</v>
      </c>
      <c r="G1239" s="23" t="s">
        <v>115</v>
      </c>
      <c r="H1239" s="23" t="s">
        <v>3375</v>
      </c>
      <c r="I1239" s="23">
        <v>3</v>
      </c>
      <c r="J1239" s="40">
        <v>0</v>
      </c>
      <c r="K1239" s="40">
        <v>0</v>
      </c>
      <c r="L1239" s="40" t="s">
        <v>115</v>
      </c>
      <c r="O1239" s="40" t="s">
        <v>115</v>
      </c>
      <c r="Q1239" s="40">
        <v>143</v>
      </c>
      <c r="R1239" s="40">
        <v>19</v>
      </c>
      <c r="X1239" s="40">
        <v>90120612</v>
      </c>
      <c r="Y1239" s="40" t="s">
        <v>115</v>
      </c>
      <c r="Z1239" s="40" t="s">
        <v>115</v>
      </c>
      <c r="AA1239" s="40" t="s">
        <v>115</v>
      </c>
      <c r="AB1239" s="40" t="s">
        <v>115</v>
      </c>
      <c r="AC1239" s="40" t="s">
        <v>115</v>
      </c>
      <c r="AI1239" s="40" t="s">
        <v>115</v>
      </c>
      <c r="AP1239" s="4" t="s">
        <v>115</v>
      </c>
    </row>
    <row r="1240" spans="1:42" x14ac:dyDescent="0.15">
      <c r="A1240" s="40" t="s">
        <v>1</v>
      </c>
      <c r="B1240" s="23">
        <v>90120612</v>
      </c>
      <c r="C1240" s="23">
        <v>1206</v>
      </c>
      <c r="D1240" s="23">
        <v>12</v>
      </c>
      <c r="F1240" s="23" t="s">
        <v>373</v>
      </c>
      <c r="G1240" s="23" t="s">
        <v>115</v>
      </c>
      <c r="H1240" s="23" t="s">
        <v>3376</v>
      </c>
      <c r="I1240" s="23">
        <v>3</v>
      </c>
      <c r="J1240" s="40">
        <v>0</v>
      </c>
      <c r="K1240" s="40">
        <v>5</v>
      </c>
      <c r="L1240" s="40" t="s">
        <v>3096</v>
      </c>
      <c r="O1240" s="40" t="s">
        <v>115</v>
      </c>
      <c r="Q1240" s="40">
        <v>143</v>
      </c>
      <c r="R1240" s="40">
        <v>19</v>
      </c>
      <c r="X1240" s="40">
        <v>90120613</v>
      </c>
      <c r="Y1240" s="40" t="s">
        <v>115</v>
      </c>
      <c r="Z1240" s="40">
        <v>4</v>
      </c>
      <c r="AA1240" s="40" t="s">
        <v>115</v>
      </c>
      <c r="AB1240" s="40" t="s">
        <v>115</v>
      </c>
      <c r="AC1240" s="40" t="s">
        <v>115</v>
      </c>
      <c r="AI1240" s="40" t="s">
        <v>115</v>
      </c>
      <c r="AP1240" s="4" t="s">
        <v>115</v>
      </c>
    </row>
    <row r="1241" spans="1:42" x14ac:dyDescent="0.15">
      <c r="A1241" s="40" t="s">
        <v>1</v>
      </c>
      <c r="B1241" s="23">
        <v>90120613</v>
      </c>
      <c r="C1241" s="23">
        <v>1206</v>
      </c>
      <c r="D1241" s="23">
        <v>12</v>
      </c>
      <c r="F1241" s="23" t="s">
        <v>116</v>
      </c>
      <c r="G1241" s="23" t="s">
        <v>115</v>
      </c>
      <c r="H1241" s="23" t="s">
        <v>3106</v>
      </c>
      <c r="I1241" s="23">
        <v>0</v>
      </c>
      <c r="J1241" s="40">
        <v>0</v>
      </c>
      <c r="K1241" s="40">
        <v>6</v>
      </c>
      <c r="L1241" s="40" t="s">
        <v>115</v>
      </c>
      <c r="O1241" s="40">
        <v>1</v>
      </c>
      <c r="Q1241" s="40">
        <v>143</v>
      </c>
      <c r="R1241" s="40">
        <v>19</v>
      </c>
      <c r="X1241" s="40" t="s">
        <v>115</v>
      </c>
      <c r="Y1241" s="40" t="s">
        <v>115</v>
      </c>
      <c r="Z1241" s="40">
        <v>5</v>
      </c>
      <c r="AA1241" s="40" t="s">
        <v>115</v>
      </c>
      <c r="AB1241" s="40" t="s">
        <v>115</v>
      </c>
      <c r="AC1241" s="40" t="s">
        <v>115</v>
      </c>
      <c r="AI1241" s="40" t="s">
        <v>115</v>
      </c>
      <c r="AP1241" s="4" t="s">
        <v>115</v>
      </c>
    </row>
    <row r="1242" spans="1:42" x14ac:dyDescent="0.15">
      <c r="A1242" s="40" t="s">
        <v>1</v>
      </c>
      <c r="B1242" s="23">
        <v>90120614</v>
      </c>
      <c r="C1242" s="23">
        <v>1206</v>
      </c>
      <c r="D1242" s="23">
        <v>12</v>
      </c>
      <c r="F1242" s="23" t="s">
        <v>373</v>
      </c>
      <c r="G1242" s="23" t="s">
        <v>115</v>
      </c>
      <c r="H1242" s="23" t="s">
        <v>3377</v>
      </c>
      <c r="I1242" s="23">
        <v>3</v>
      </c>
      <c r="J1242" s="40">
        <v>0</v>
      </c>
      <c r="K1242" s="40">
        <v>0</v>
      </c>
      <c r="L1242" s="40" t="s">
        <v>115</v>
      </c>
      <c r="O1242" s="40" t="s">
        <v>115</v>
      </c>
      <c r="Q1242" s="40">
        <v>143</v>
      </c>
      <c r="R1242" s="40">
        <v>19</v>
      </c>
      <c r="X1242" s="40">
        <v>90120615</v>
      </c>
      <c r="Y1242" s="40" t="s">
        <v>115</v>
      </c>
      <c r="Z1242" s="40" t="s">
        <v>115</v>
      </c>
      <c r="AA1242" s="40" t="s">
        <v>115</v>
      </c>
      <c r="AB1242" s="40" t="s">
        <v>115</v>
      </c>
      <c r="AC1242" s="40" t="s">
        <v>115</v>
      </c>
      <c r="AI1242" s="40" t="s">
        <v>115</v>
      </c>
      <c r="AP1242" s="4" t="s">
        <v>115</v>
      </c>
    </row>
    <row r="1243" spans="1:42" x14ac:dyDescent="0.15">
      <c r="A1243" s="40" t="s">
        <v>1</v>
      </c>
      <c r="B1243" s="23">
        <v>90120615</v>
      </c>
      <c r="C1243" s="23">
        <v>1206</v>
      </c>
      <c r="D1243" s="23">
        <v>12</v>
      </c>
      <c r="F1243" s="23" t="s">
        <v>373</v>
      </c>
      <c r="G1243" s="23" t="s">
        <v>115</v>
      </c>
      <c r="H1243" s="23" t="s">
        <v>3105</v>
      </c>
      <c r="I1243" s="23">
        <v>3</v>
      </c>
      <c r="J1243" s="40">
        <v>0</v>
      </c>
      <c r="K1243" s="40">
        <v>7</v>
      </c>
      <c r="L1243" s="40" t="s">
        <v>3096</v>
      </c>
      <c r="O1243" s="40" t="s">
        <v>115</v>
      </c>
      <c r="Q1243" s="40">
        <v>143</v>
      </c>
      <c r="R1243" s="40">
        <v>19</v>
      </c>
      <c r="X1243" s="40">
        <v>90120616</v>
      </c>
      <c r="Y1243" s="40" t="s">
        <v>115</v>
      </c>
      <c r="Z1243" s="40">
        <v>6</v>
      </c>
      <c r="AA1243" s="40" t="s">
        <v>115</v>
      </c>
      <c r="AB1243" s="40" t="s">
        <v>115</v>
      </c>
      <c r="AC1243" s="40" t="s">
        <v>115</v>
      </c>
      <c r="AI1243" s="40" t="s">
        <v>115</v>
      </c>
      <c r="AP1243" s="4" t="s">
        <v>115</v>
      </c>
    </row>
    <row r="1244" spans="1:42" x14ac:dyDescent="0.15">
      <c r="A1244" s="40" t="s">
        <v>1</v>
      </c>
      <c r="B1244" s="23">
        <v>90120616</v>
      </c>
      <c r="C1244" s="23">
        <v>1206</v>
      </c>
      <c r="D1244" s="23">
        <v>12</v>
      </c>
      <c r="F1244" s="23" t="s">
        <v>116</v>
      </c>
      <c r="G1244" s="23">
        <v>261</v>
      </c>
      <c r="H1244" s="23" t="s">
        <v>3106</v>
      </c>
      <c r="I1244" s="23">
        <v>0</v>
      </c>
      <c r="J1244" s="40">
        <v>0</v>
      </c>
      <c r="K1244" s="40">
        <v>8</v>
      </c>
      <c r="L1244" s="40" t="s">
        <v>115</v>
      </c>
      <c r="O1244" s="40">
        <v>1</v>
      </c>
      <c r="Q1244" s="40">
        <v>143</v>
      </c>
      <c r="R1244" s="40">
        <v>19</v>
      </c>
      <c r="X1244" s="40" t="s">
        <v>115</v>
      </c>
      <c r="Y1244" s="40" t="s">
        <v>115</v>
      </c>
      <c r="Z1244" s="40">
        <v>7</v>
      </c>
      <c r="AA1244" s="40" t="s">
        <v>115</v>
      </c>
      <c r="AB1244" s="40" t="s">
        <v>115</v>
      </c>
      <c r="AC1244" s="40" t="s">
        <v>115</v>
      </c>
      <c r="AI1244" s="40" t="s">
        <v>115</v>
      </c>
      <c r="AP1244" s="4" t="s">
        <v>3107</v>
      </c>
    </row>
    <row r="1245" spans="1:42" x14ac:dyDescent="0.15">
      <c r="A1245" s="40" t="s">
        <v>1</v>
      </c>
      <c r="B1245" s="23" t="s">
        <v>2827</v>
      </c>
      <c r="C1245" s="23">
        <v>1207</v>
      </c>
      <c r="D1245" s="23">
        <v>12</v>
      </c>
      <c r="F1245" s="23" t="s">
        <v>335</v>
      </c>
      <c r="G1245" s="23" t="s">
        <v>115</v>
      </c>
      <c r="H1245" s="23" t="s">
        <v>3108</v>
      </c>
      <c r="I1245" s="23">
        <v>3</v>
      </c>
      <c r="J1245" s="40">
        <v>1</v>
      </c>
      <c r="K1245" s="40">
        <v>1</v>
      </c>
      <c r="L1245" s="40" t="s">
        <v>115</v>
      </c>
      <c r="O1245" s="40" t="s">
        <v>115</v>
      </c>
      <c r="Q1245" s="40">
        <v>197</v>
      </c>
      <c r="R1245" s="40">
        <v>239</v>
      </c>
      <c r="X1245" s="40">
        <v>90120702</v>
      </c>
      <c r="Y1245" s="40" t="s">
        <v>115</v>
      </c>
      <c r="Z1245" s="40" t="s">
        <v>115</v>
      </c>
      <c r="AA1245" s="40" t="s">
        <v>115</v>
      </c>
      <c r="AB1245" s="40" t="s">
        <v>115</v>
      </c>
      <c r="AC1245" s="40" t="s">
        <v>115</v>
      </c>
      <c r="AI1245" s="40" t="s">
        <v>115</v>
      </c>
      <c r="AP1245" s="4" t="s">
        <v>115</v>
      </c>
    </row>
    <row r="1246" spans="1:42" x14ac:dyDescent="0.15">
      <c r="A1246" s="40" t="s">
        <v>1</v>
      </c>
      <c r="B1246" s="23">
        <v>90120702</v>
      </c>
      <c r="C1246" s="23">
        <v>1207</v>
      </c>
      <c r="D1246" s="23">
        <v>12</v>
      </c>
      <c r="F1246" s="23" t="s">
        <v>116</v>
      </c>
      <c r="G1246" s="23">
        <v>261</v>
      </c>
      <c r="H1246" s="23" t="s">
        <v>3378</v>
      </c>
      <c r="I1246" s="23">
        <v>0</v>
      </c>
      <c r="J1246" s="40">
        <v>0</v>
      </c>
      <c r="K1246" s="40">
        <v>0</v>
      </c>
      <c r="L1246" s="40" t="s">
        <v>115</v>
      </c>
      <c r="O1246" s="40" t="s">
        <v>115</v>
      </c>
      <c r="Q1246" s="40">
        <v>197</v>
      </c>
      <c r="R1246" s="40">
        <v>239</v>
      </c>
      <c r="X1246" s="40">
        <v>90120703</v>
      </c>
      <c r="Y1246" s="40" t="s">
        <v>115</v>
      </c>
      <c r="Z1246" s="40" t="s">
        <v>115</v>
      </c>
      <c r="AA1246" s="40" t="s">
        <v>115</v>
      </c>
      <c r="AB1246" s="40" t="s">
        <v>115</v>
      </c>
      <c r="AC1246" s="40" t="s">
        <v>115</v>
      </c>
      <c r="AI1246" s="40" t="s">
        <v>115</v>
      </c>
      <c r="AP1246" s="4" t="s">
        <v>115</v>
      </c>
    </row>
    <row r="1247" spans="1:42" x14ac:dyDescent="0.15">
      <c r="A1247" s="40" t="s">
        <v>1</v>
      </c>
      <c r="B1247" s="23">
        <v>90120703</v>
      </c>
      <c r="C1247" s="23">
        <v>1207</v>
      </c>
      <c r="D1247" s="23">
        <v>12</v>
      </c>
      <c r="F1247" s="23" t="s">
        <v>335</v>
      </c>
      <c r="G1247" s="23" t="s">
        <v>115</v>
      </c>
      <c r="H1247" s="23" t="s">
        <v>3109</v>
      </c>
      <c r="I1247" s="23">
        <v>3</v>
      </c>
      <c r="J1247" s="40">
        <v>0</v>
      </c>
      <c r="K1247" s="40">
        <v>0</v>
      </c>
      <c r="L1247" s="40" t="s">
        <v>115</v>
      </c>
      <c r="O1247" s="40" t="s">
        <v>115</v>
      </c>
      <c r="Q1247" s="40">
        <v>197</v>
      </c>
      <c r="R1247" s="40">
        <v>239</v>
      </c>
      <c r="X1247" s="40">
        <v>90120704</v>
      </c>
      <c r="Y1247" s="40" t="s">
        <v>115</v>
      </c>
      <c r="Z1247" s="40" t="s">
        <v>115</v>
      </c>
      <c r="AA1247" s="40" t="s">
        <v>115</v>
      </c>
      <c r="AB1247" s="40" t="s">
        <v>115</v>
      </c>
      <c r="AC1247" s="40" t="s">
        <v>115</v>
      </c>
      <c r="AI1247" s="40" t="s">
        <v>115</v>
      </c>
      <c r="AP1247" s="4" t="s">
        <v>115</v>
      </c>
    </row>
    <row r="1248" spans="1:42" x14ac:dyDescent="0.15">
      <c r="A1248" s="40" t="s">
        <v>1</v>
      </c>
      <c r="B1248" s="23">
        <v>90120704</v>
      </c>
      <c r="C1248" s="23">
        <v>1207</v>
      </c>
      <c r="D1248" s="23">
        <v>12</v>
      </c>
      <c r="F1248" s="23" t="s">
        <v>335</v>
      </c>
      <c r="G1248" s="23" t="s">
        <v>115</v>
      </c>
      <c r="H1248" s="23" t="s">
        <v>3379</v>
      </c>
      <c r="I1248" s="23">
        <v>3</v>
      </c>
      <c r="J1248" s="40">
        <v>0</v>
      </c>
      <c r="K1248" s="40">
        <v>2</v>
      </c>
      <c r="L1248" s="40" t="s">
        <v>115</v>
      </c>
      <c r="O1248" s="40" t="s">
        <v>115</v>
      </c>
      <c r="Q1248" s="40">
        <v>197</v>
      </c>
      <c r="R1248" s="40" t="s">
        <v>115</v>
      </c>
      <c r="X1248" s="40" t="s">
        <v>3110</v>
      </c>
      <c r="Y1248" s="40">
        <v>1</v>
      </c>
      <c r="Z1248" s="40">
        <v>1</v>
      </c>
      <c r="AA1248" s="40" t="s">
        <v>115</v>
      </c>
      <c r="AB1248" s="40" t="s">
        <v>115</v>
      </c>
      <c r="AC1248" s="40" t="s">
        <v>115</v>
      </c>
      <c r="AI1248" s="40" t="s">
        <v>115</v>
      </c>
      <c r="AP1248" s="4" t="s">
        <v>115</v>
      </c>
    </row>
    <row r="1249" spans="1:42" x14ac:dyDescent="0.15">
      <c r="A1249" s="40" t="s">
        <v>1</v>
      </c>
      <c r="B1249" s="23">
        <v>90120705</v>
      </c>
      <c r="C1249" s="23">
        <v>1207</v>
      </c>
      <c r="D1249" s="23">
        <v>12</v>
      </c>
      <c r="F1249" s="23" t="s">
        <v>335</v>
      </c>
      <c r="G1249" s="23" t="s">
        <v>115</v>
      </c>
      <c r="H1249" s="23" t="s">
        <v>3380</v>
      </c>
      <c r="I1249" s="23">
        <v>3</v>
      </c>
      <c r="J1249" s="40">
        <v>0</v>
      </c>
      <c r="K1249" s="40">
        <v>3</v>
      </c>
      <c r="L1249" s="40" t="s">
        <v>115</v>
      </c>
      <c r="O1249" s="40" t="s">
        <v>115</v>
      </c>
      <c r="Q1249" s="40">
        <v>197</v>
      </c>
      <c r="R1249" s="40" t="s">
        <v>115</v>
      </c>
      <c r="X1249" s="40">
        <v>90120706</v>
      </c>
      <c r="Y1249" s="40">
        <v>-1</v>
      </c>
      <c r="Z1249" s="40">
        <v>2</v>
      </c>
      <c r="AA1249" s="40" t="s">
        <v>3111</v>
      </c>
      <c r="AB1249" s="40" t="s">
        <v>115</v>
      </c>
      <c r="AC1249" s="40" t="s">
        <v>115</v>
      </c>
      <c r="AI1249" s="40" t="s">
        <v>115</v>
      </c>
      <c r="AP1249" s="4" t="s">
        <v>115</v>
      </c>
    </row>
    <row r="1250" spans="1:42" x14ac:dyDescent="0.15">
      <c r="A1250" s="40" t="s">
        <v>1</v>
      </c>
      <c r="B1250" s="23">
        <v>90120706</v>
      </c>
      <c r="C1250" s="23">
        <v>1207</v>
      </c>
      <c r="D1250" s="23">
        <v>12</v>
      </c>
      <c r="F1250" s="23" t="s">
        <v>335</v>
      </c>
      <c r="G1250" s="23" t="s">
        <v>115</v>
      </c>
      <c r="H1250" s="23" t="s">
        <v>3381</v>
      </c>
      <c r="I1250" s="23">
        <v>3</v>
      </c>
      <c r="J1250" s="40">
        <v>0</v>
      </c>
      <c r="K1250" s="40">
        <v>0</v>
      </c>
      <c r="L1250" s="40" t="s">
        <v>115</v>
      </c>
      <c r="O1250" s="40" t="s">
        <v>115</v>
      </c>
      <c r="Q1250" s="40">
        <v>197</v>
      </c>
      <c r="R1250" s="40">
        <v>239</v>
      </c>
      <c r="X1250" s="40">
        <v>90120707</v>
      </c>
      <c r="Y1250" s="40" t="s">
        <v>115</v>
      </c>
      <c r="Z1250" s="40" t="s">
        <v>115</v>
      </c>
      <c r="AA1250" s="40" t="s">
        <v>115</v>
      </c>
      <c r="AB1250" s="40" t="s">
        <v>115</v>
      </c>
      <c r="AC1250" s="40" t="s">
        <v>115</v>
      </c>
      <c r="AI1250" s="40" t="s">
        <v>115</v>
      </c>
      <c r="AP1250" s="4" t="s">
        <v>115</v>
      </c>
    </row>
    <row r="1251" spans="1:42" x14ac:dyDescent="0.15">
      <c r="A1251" s="40" t="s">
        <v>1</v>
      </c>
      <c r="B1251" s="23">
        <v>90120707</v>
      </c>
      <c r="C1251" s="23">
        <v>1207</v>
      </c>
      <c r="D1251" s="23">
        <v>12</v>
      </c>
      <c r="F1251" s="23" t="s">
        <v>116</v>
      </c>
      <c r="G1251" s="23">
        <v>259</v>
      </c>
      <c r="H1251" s="23" t="s">
        <v>3382</v>
      </c>
      <c r="I1251" s="23">
        <v>0</v>
      </c>
      <c r="J1251" s="40">
        <v>0</v>
      </c>
      <c r="K1251" s="40">
        <v>0</v>
      </c>
      <c r="L1251" s="40" t="s">
        <v>115</v>
      </c>
      <c r="O1251" s="40" t="s">
        <v>115</v>
      </c>
      <c r="Q1251" s="40">
        <v>197</v>
      </c>
      <c r="R1251" s="40">
        <v>239</v>
      </c>
      <c r="X1251" s="40">
        <v>90120708</v>
      </c>
      <c r="Y1251" s="40" t="s">
        <v>115</v>
      </c>
      <c r="Z1251" s="40" t="s">
        <v>115</v>
      </c>
      <c r="AA1251" s="40" t="s">
        <v>115</v>
      </c>
      <c r="AB1251" s="40" t="s">
        <v>115</v>
      </c>
      <c r="AC1251" s="40" t="s">
        <v>115</v>
      </c>
      <c r="AI1251" s="40" t="s">
        <v>115</v>
      </c>
      <c r="AP1251" s="4" t="s">
        <v>115</v>
      </c>
    </row>
    <row r="1252" spans="1:42" x14ac:dyDescent="0.15">
      <c r="A1252" s="40" t="s">
        <v>1</v>
      </c>
      <c r="B1252" s="23">
        <v>90120708</v>
      </c>
      <c r="C1252" s="23">
        <v>1207</v>
      </c>
      <c r="D1252" s="23">
        <v>12</v>
      </c>
      <c r="F1252" s="23" t="s">
        <v>335</v>
      </c>
      <c r="G1252" s="23" t="s">
        <v>115</v>
      </c>
      <c r="H1252" s="23" t="s">
        <v>3383</v>
      </c>
      <c r="I1252" s="23">
        <v>3</v>
      </c>
      <c r="J1252" s="40">
        <v>0</v>
      </c>
      <c r="K1252" s="40">
        <v>0</v>
      </c>
      <c r="L1252" s="40" t="s">
        <v>115</v>
      </c>
      <c r="O1252" s="40" t="s">
        <v>115</v>
      </c>
      <c r="Q1252" s="40">
        <v>197</v>
      </c>
      <c r="R1252" s="40">
        <v>239</v>
      </c>
      <c r="X1252" s="40">
        <v>90120709</v>
      </c>
      <c r="Y1252" s="40" t="s">
        <v>115</v>
      </c>
      <c r="Z1252" s="40" t="s">
        <v>115</v>
      </c>
      <c r="AA1252" s="40" t="s">
        <v>115</v>
      </c>
      <c r="AB1252" s="40" t="s">
        <v>115</v>
      </c>
      <c r="AC1252" s="40" t="s">
        <v>115</v>
      </c>
      <c r="AI1252" s="40" t="s">
        <v>115</v>
      </c>
      <c r="AP1252" s="4" t="s">
        <v>115</v>
      </c>
    </row>
    <row r="1253" spans="1:42" x14ac:dyDescent="0.15">
      <c r="A1253" s="40" t="s">
        <v>1</v>
      </c>
      <c r="B1253" s="23">
        <v>90120709</v>
      </c>
      <c r="C1253" s="23">
        <v>1207</v>
      </c>
      <c r="D1253" s="23">
        <v>12</v>
      </c>
      <c r="F1253" s="23" t="s">
        <v>335</v>
      </c>
      <c r="G1253" s="23" t="s">
        <v>115</v>
      </c>
      <c r="H1253" s="23" t="s">
        <v>3384</v>
      </c>
      <c r="I1253" s="23">
        <v>3</v>
      </c>
      <c r="J1253" s="40">
        <v>0</v>
      </c>
      <c r="K1253" s="40">
        <v>0</v>
      </c>
      <c r="L1253" s="40" t="s">
        <v>115</v>
      </c>
      <c r="O1253" s="40" t="s">
        <v>115</v>
      </c>
      <c r="Q1253" s="40">
        <v>197</v>
      </c>
      <c r="R1253" s="40">
        <v>239</v>
      </c>
      <c r="X1253" s="40">
        <v>90120710</v>
      </c>
      <c r="Y1253" s="40" t="s">
        <v>115</v>
      </c>
      <c r="Z1253" s="40" t="s">
        <v>115</v>
      </c>
      <c r="AA1253" s="40" t="s">
        <v>115</v>
      </c>
      <c r="AB1253" s="40" t="s">
        <v>115</v>
      </c>
      <c r="AC1253" s="40" t="s">
        <v>115</v>
      </c>
      <c r="AI1253" s="40" t="s">
        <v>115</v>
      </c>
      <c r="AP1253" s="4" t="s">
        <v>115</v>
      </c>
    </row>
    <row r="1254" spans="1:42" x14ac:dyDescent="0.15">
      <c r="A1254" s="40" t="s">
        <v>1</v>
      </c>
      <c r="B1254" s="23">
        <v>90120710</v>
      </c>
      <c r="C1254" s="23">
        <v>1207</v>
      </c>
      <c r="D1254" s="23">
        <v>12</v>
      </c>
      <c r="F1254" s="23" t="s">
        <v>116</v>
      </c>
      <c r="G1254" s="23">
        <v>259</v>
      </c>
      <c r="H1254" s="23" t="s">
        <v>3385</v>
      </c>
      <c r="I1254" s="23">
        <v>0</v>
      </c>
      <c r="J1254" s="40">
        <v>0</v>
      </c>
      <c r="K1254" s="40">
        <v>4</v>
      </c>
      <c r="L1254" s="40" t="s">
        <v>115</v>
      </c>
      <c r="O1254" s="40">
        <v>1</v>
      </c>
      <c r="Q1254" s="40">
        <v>197</v>
      </c>
      <c r="R1254" s="40">
        <v>239</v>
      </c>
      <c r="X1254" s="40" t="s">
        <v>115</v>
      </c>
      <c r="Y1254" s="40" t="s">
        <v>115</v>
      </c>
      <c r="Z1254" s="40">
        <v>3</v>
      </c>
      <c r="AA1254" s="40" t="s">
        <v>115</v>
      </c>
      <c r="AB1254" s="40" t="s">
        <v>115</v>
      </c>
      <c r="AC1254" s="40" t="s">
        <v>115</v>
      </c>
      <c r="AI1254" s="40" t="s">
        <v>115</v>
      </c>
      <c r="AP1254" s="4" t="s">
        <v>115</v>
      </c>
    </row>
    <row r="1255" spans="1:42" x14ac:dyDescent="0.15">
      <c r="A1255" s="40" t="s">
        <v>1</v>
      </c>
      <c r="B1255" s="23" t="s">
        <v>2828</v>
      </c>
      <c r="C1255" s="23">
        <v>1208</v>
      </c>
      <c r="D1255" s="23">
        <v>12</v>
      </c>
      <c r="F1255" s="23" t="s">
        <v>1071</v>
      </c>
      <c r="G1255" s="23" t="s">
        <v>115</v>
      </c>
      <c r="H1255" s="23" t="s">
        <v>3386</v>
      </c>
      <c r="I1255" s="23">
        <v>3</v>
      </c>
      <c r="J1255" s="40">
        <v>1</v>
      </c>
      <c r="K1255" s="40">
        <v>1</v>
      </c>
      <c r="L1255" s="40" t="s">
        <v>115</v>
      </c>
      <c r="O1255" s="40" t="s">
        <v>115</v>
      </c>
      <c r="Q1255" s="40">
        <v>118</v>
      </c>
      <c r="R1255" s="40">
        <v>284</v>
      </c>
      <c r="X1255" s="40">
        <v>90120802</v>
      </c>
      <c r="Y1255" s="40" t="s">
        <v>115</v>
      </c>
      <c r="Z1255" s="40" t="s">
        <v>115</v>
      </c>
      <c r="AA1255" s="40" t="s">
        <v>115</v>
      </c>
      <c r="AB1255" s="40" t="s">
        <v>115</v>
      </c>
      <c r="AC1255" s="40" t="s">
        <v>115</v>
      </c>
      <c r="AI1255" s="40" t="s">
        <v>115</v>
      </c>
      <c r="AP1255" s="4" t="s">
        <v>115</v>
      </c>
    </row>
    <row r="1256" spans="1:42" x14ac:dyDescent="0.15">
      <c r="A1256" s="40" t="s">
        <v>1</v>
      </c>
      <c r="B1256" s="23">
        <v>90120802</v>
      </c>
      <c r="C1256" s="23">
        <v>1208</v>
      </c>
      <c r="D1256" s="23">
        <v>12</v>
      </c>
      <c r="F1256" s="23" t="s">
        <v>115</v>
      </c>
      <c r="G1256" s="23" t="s">
        <v>115</v>
      </c>
      <c r="H1256" s="23" t="s">
        <v>3387</v>
      </c>
      <c r="I1256" s="23">
        <v>4</v>
      </c>
      <c r="J1256" s="40">
        <v>0</v>
      </c>
      <c r="K1256" s="40">
        <v>2</v>
      </c>
      <c r="L1256" s="40" t="s">
        <v>115</v>
      </c>
      <c r="O1256" s="40" t="s">
        <v>115</v>
      </c>
      <c r="Q1256" s="40">
        <v>118</v>
      </c>
      <c r="R1256" s="40">
        <v>284</v>
      </c>
      <c r="X1256" s="40" t="s">
        <v>3388</v>
      </c>
      <c r="Y1256" s="40">
        <v>1</v>
      </c>
      <c r="Z1256" s="40">
        <v>1</v>
      </c>
      <c r="AA1256" s="40" t="s">
        <v>115</v>
      </c>
      <c r="AB1256" s="40" t="s">
        <v>115</v>
      </c>
      <c r="AC1256" s="40" t="s">
        <v>115</v>
      </c>
      <c r="AI1256" s="40" t="s">
        <v>115</v>
      </c>
      <c r="AP1256" s="4" t="s">
        <v>115</v>
      </c>
    </row>
    <row r="1257" spans="1:42" x14ac:dyDescent="0.15">
      <c r="A1257" s="40" t="s">
        <v>1</v>
      </c>
      <c r="B1257" s="23">
        <v>90120803</v>
      </c>
      <c r="C1257" s="23">
        <v>1208</v>
      </c>
      <c r="D1257" s="23">
        <v>12</v>
      </c>
      <c r="F1257" s="23" t="s">
        <v>115</v>
      </c>
      <c r="G1257" s="23" t="s">
        <v>115</v>
      </c>
      <c r="H1257" s="23" t="s">
        <v>3389</v>
      </c>
      <c r="I1257" s="23">
        <v>4</v>
      </c>
      <c r="J1257" s="40">
        <v>0</v>
      </c>
      <c r="K1257" s="40">
        <v>3</v>
      </c>
      <c r="L1257" s="40" t="s">
        <v>115</v>
      </c>
      <c r="O1257" s="40" t="s">
        <v>115</v>
      </c>
      <c r="Q1257" s="40">
        <v>118</v>
      </c>
      <c r="R1257" s="40">
        <v>284</v>
      </c>
      <c r="X1257" s="40">
        <v>90120804</v>
      </c>
      <c r="Y1257" s="40">
        <v>-1</v>
      </c>
      <c r="Z1257" s="40">
        <v>2</v>
      </c>
      <c r="AA1257" s="40" t="s">
        <v>115</v>
      </c>
      <c r="AB1257" s="40" t="s">
        <v>115</v>
      </c>
      <c r="AC1257" s="40" t="s">
        <v>3104</v>
      </c>
      <c r="AI1257" s="40" t="s">
        <v>115</v>
      </c>
      <c r="AP1257" s="4" t="s">
        <v>115</v>
      </c>
    </row>
    <row r="1258" spans="1:42" x14ac:dyDescent="0.15">
      <c r="A1258" s="40" t="s">
        <v>1</v>
      </c>
      <c r="B1258" s="23">
        <v>90120804</v>
      </c>
      <c r="C1258" s="23">
        <v>1208</v>
      </c>
      <c r="D1258" s="23">
        <v>12</v>
      </c>
      <c r="F1258" s="23" t="s">
        <v>116</v>
      </c>
      <c r="G1258" s="23">
        <v>261</v>
      </c>
      <c r="H1258" s="23" t="s">
        <v>3390</v>
      </c>
      <c r="I1258" s="23">
        <v>0</v>
      </c>
      <c r="J1258" s="40">
        <v>0</v>
      </c>
      <c r="K1258" s="40">
        <v>0</v>
      </c>
      <c r="L1258" s="40" t="s">
        <v>115</v>
      </c>
      <c r="O1258" s="40" t="s">
        <v>115</v>
      </c>
      <c r="Q1258" s="40">
        <v>118</v>
      </c>
      <c r="R1258" s="40">
        <v>284</v>
      </c>
      <c r="X1258" s="40">
        <v>90120805</v>
      </c>
      <c r="Y1258" s="40" t="s">
        <v>115</v>
      </c>
      <c r="Z1258" s="40" t="s">
        <v>115</v>
      </c>
      <c r="AA1258" s="40" t="s">
        <v>115</v>
      </c>
      <c r="AB1258" s="40" t="s">
        <v>115</v>
      </c>
      <c r="AC1258" s="40" t="s">
        <v>115</v>
      </c>
      <c r="AI1258" s="40" t="s">
        <v>115</v>
      </c>
      <c r="AP1258" s="4" t="s">
        <v>115</v>
      </c>
    </row>
    <row r="1259" spans="1:42" x14ac:dyDescent="0.15">
      <c r="A1259" s="40" t="s">
        <v>1</v>
      </c>
      <c r="B1259" s="23">
        <v>90120805</v>
      </c>
      <c r="C1259" s="23">
        <v>1208</v>
      </c>
      <c r="D1259" s="23">
        <v>12</v>
      </c>
      <c r="F1259" s="23" t="s">
        <v>1071</v>
      </c>
      <c r="G1259" s="23" t="s">
        <v>115</v>
      </c>
      <c r="H1259" s="23" t="s">
        <v>3391</v>
      </c>
      <c r="I1259" s="23">
        <v>3</v>
      </c>
      <c r="J1259" s="40">
        <v>0</v>
      </c>
      <c r="K1259" s="40">
        <v>0</v>
      </c>
      <c r="L1259" s="40" t="s">
        <v>115</v>
      </c>
      <c r="O1259" s="40" t="s">
        <v>115</v>
      </c>
      <c r="Q1259" s="40">
        <v>118</v>
      </c>
      <c r="R1259" s="40">
        <v>284</v>
      </c>
      <c r="X1259" s="40">
        <v>90120806</v>
      </c>
      <c r="Y1259" s="40" t="s">
        <v>115</v>
      </c>
      <c r="Z1259" s="40" t="s">
        <v>115</v>
      </c>
      <c r="AA1259" s="40" t="s">
        <v>115</v>
      </c>
      <c r="AB1259" s="40" t="s">
        <v>115</v>
      </c>
      <c r="AC1259" s="40" t="s">
        <v>115</v>
      </c>
      <c r="AI1259" s="40" t="s">
        <v>115</v>
      </c>
      <c r="AP1259" s="4" t="s">
        <v>115</v>
      </c>
    </row>
    <row r="1260" spans="1:42" x14ac:dyDescent="0.15">
      <c r="A1260" s="40" t="s">
        <v>1</v>
      </c>
      <c r="B1260" s="23">
        <v>90120806</v>
      </c>
      <c r="C1260" s="23">
        <v>1208</v>
      </c>
      <c r="D1260" s="23">
        <v>12</v>
      </c>
      <c r="F1260" s="23" t="s">
        <v>116</v>
      </c>
      <c r="G1260" s="23" t="s">
        <v>115</v>
      </c>
      <c r="H1260" s="23" t="s">
        <v>3392</v>
      </c>
      <c r="I1260" s="23">
        <v>0</v>
      </c>
      <c r="J1260" s="40">
        <v>0</v>
      </c>
      <c r="K1260" s="40">
        <v>0</v>
      </c>
      <c r="L1260" s="40" t="s">
        <v>115</v>
      </c>
      <c r="O1260" s="40" t="s">
        <v>115</v>
      </c>
      <c r="Q1260" s="40">
        <v>118</v>
      </c>
      <c r="R1260" s="40">
        <v>284</v>
      </c>
      <c r="X1260" s="40">
        <v>90120807</v>
      </c>
      <c r="Y1260" s="40" t="s">
        <v>115</v>
      </c>
      <c r="Z1260" s="40" t="s">
        <v>115</v>
      </c>
      <c r="AA1260" s="40" t="s">
        <v>115</v>
      </c>
      <c r="AB1260" s="40" t="s">
        <v>115</v>
      </c>
      <c r="AC1260" s="40" t="s">
        <v>115</v>
      </c>
      <c r="AI1260" s="40" t="s">
        <v>115</v>
      </c>
      <c r="AP1260" s="4" t="s">
        <v>115</v>
      </c>
    </row>
    <row r="1261" spans="1:42" x14ac:dyDescent="0.15">
      <c r="A1261" s="40" t="s">
        <v>1</v>
      </c>
      <c r="B1261" s="23">
        <v>90120807</v>
      </c>
      <c r="C1261" s="23">
        <v>1208</v>
      </c>
      <c r="D1261" s="23">
        <v>12</v>
      </c>
      <c r="F1261" s="23" t="s">
        <v>115</v>
      </c>
      <c r="G1261" s="23" t="s">
        <v>115</v>
      </c>
      <c r="H1261" s="23" t="s">
        <v>3393</v>
      </c>
      <c r="I1261" s="23">
        <v>4</v>
      </c>
      <c r="J1261" s="40">
        <v>0</v>
      </c>
      <c r="K1261" s="40">
        <v>4</v>
      </c>
      <c r="L1261" s="40" t="s">
        <v>115</v>
      </c>
      <c r="O1261" s="40" t="s">
        <v>115</v>
      </c>
      <c r="Q1261" s="40">
        <v>118</v>
      </c>
      <c r="R1261" s="40">
        <v>284</v>
      </c>
      <c r="X1261" s="40" t="s">
        <v>3394</v>
      </c>
      <c r="Y1261" s="40">
        <v>1</v>
      </c>
      <c r="Z1261" s="40">
        <v>2</v>
      </c>
      <c r="AA1261" s="40" t="s">
        <v>115</v>
      </c>
      <c r="AB1261" s="40" t="s">
        <v>115</v>
      </c>
      <c r="AC1261" s="40" t="s">
        <v>115</v>
      </c>
      <c r="AI1261" s="40" t="s">
        <v>115</v>
      </c>
      <c r="AP1261" s="4" t="s">
        <v>115</v>
      </c>
    </row>
    <row r="1262" spans="1:42" x14ac:dyDescent="0.15">
      <c r="A1262" s="40" t="s">
        <v>1</v>
      </c>
      <c r="B1262" s="23">
        <v>90120808</v>
      </c>
      <c r="C1262" s="23">
        <v>1208</v>
      </c>
      <c r="D1262" s="23">
        <v>12</v>
      </c>
      <c r="F1262" s="23" t="s">
        <v>115</v>
      </c>
      <c r="G1262" s="23" t="s">
        <v>115</v>
      </c>
      <c r="H1262" s="23" t="s">
        <v>3395</v>
      </c>
      <c r="I1262" s="23">
        <v>4</v>
      </c>
      <c r="J1262" s="40">
        <v>0</v>
      </c>
      <c r="K1262" s="40">
        <v>5</v>
      </c>
      <c r="L1262" s="40" t="s">
        <v>115</v>
      </c>
      <c r="O1262" s="40" t="s">
        <v>115</v>
      </c>
      <c r="Q1262" s="40">
        <v>118</v>
      </c>
      <c r="R1262" s="40">
        <v>284</v>
      </c>
      <c r="X1262" s="40">
        <v>90120809</v>
      </c>
      <c r="Y1262" s="40">
        <v>-1</v>
      </c>
      <c r="Z1262" s="40">
        <v>4</v>
      </c>
      <c r="AA1262" s="40" t="s">
        <v>3396</v>
      </c>
      <c r="AB1262" s="40" t="s">
        <v>115</v>
      </c>
      <c r="AC1262" s="40" t="s">
        <v>115</v>
      </c>
      <c r="AI1262" s="40" t="s">
        <v>115</v>
      </c>
      <c r="AP1262" s="4" t="s">
        <v>115</v>
      </c>
    </row>
    <row r="1263" spans="1:42" x14ac:dyDescent="0.15">
      <c r="A1263" s="40" t="s">
        <v>1</v>
      </c>
      <c r="B1263" s="23">
        <v>90120809</v>
      </c>
      <c r="C1263" s="23">
        <v>1208</v>
      </c>
      <c r="D1263" s="23">
        <v>12</v>
      </c>
      <c r="F1263" s="23" t="s">
        <v>1071</v>
      </c>
      <c r="G1263" s="23" t="s">
        <v>115</v>
      </c>
      <c r="H1263" s="23" t="s">
        <v>3397</v>
      </c>
      <c r="I1263" s="23">
        <v>3</v>
      </c>
      <c r="J1263" s="40">
        <v>0</v>
      </c>
      <c r="K1263" s="40">
        <v>0</v>
      </c>
      <c r="L1263" s="40" t="s">
        <v>115</v>
      </c>
      <c r="O1263" s="40" t="s">
        <v>115</v>
      </c>
      <c r="Q1263" s="40">
        <v>118</v>
      </c>
      <c r="R1263" s="40">
        <v>284</v>
      </c>
      <c r="X1263" s="40">
        <v>90120810</v>
      </c>
      <c r="Y1263" s="40" t="s">
        <v>115</v>
      </c>
      <c r="Z1263" s="40" t="s">
        <v>115</v>
      </c>
      <c r="AA1263" s="40" t="s">
        <v>115</v>
      </c>
      <c r="AB1263" s="40" t="s">
        <v>115</v>
      </c>
      <c r="AC1263" s="40" t="s">
        <v>115</v>
      </c>
      <c r="AI1263" s="40" t="s">
        <v>115</v>
      </c>
      <c r="AP1263" s="4" t="s">
        <v>115</v>
      </c>
    </row>
    <row r="1264" spans="1:42" x14ac:dyDescent="0.15">
      <c r="A1264" s="40" t="s">
        <v>1</v>
      </c>
      <c r="B1264" s="23">
        <v>90120810</v>
      </c>
      <c r="C1264" s="23">
        <v>1208</v>
      </c>
      <c r="D1264" s="23">
        <v>12</v>
      </c>
      <c r="F1264" s="23" t="s">
        <v>115</v>
      </c>
      <c r="G1264" s="23" t="s">
        <v>115</v>
      </c>
      <c r="H1264" s="23" t="s">
        <v>3398</v>
      </c>
      <c r="I1264" s="23">
        <v>4</v>
      </c>
      <c r="J1264" s="40">
        <v>0</v>
      </c>
      <c r="K1264" s="40">
        <v>0</v>
      </c>
      <c r="L1264" s="40" t="s">
        <v>115</v>
      </c>
      <c r="O1264" s="40" t="s">
        <v>115</v>
      </c>
      <c r="Q1264" s="40">
        <v>118</v>
      </c>
      <c r="R1264" s="40">
        <v>284</v>
      </c>
      <c r="X1264" s="40">
        <v>90120811</v>
      </c>
      <c r="Y1264" s="40" t="s">
        <v>115</v>
      </c>
      <c r="Z1264" s="40" t="s">
        <v>115</v>
      </c>
      <c r="AA1264" s="40" t="s">
        <v>115</v>
      </c>
      <c r="AB1264" s="40" t="s">
        <v>115</v>
      </c>
      <c r="AC1264" s="40" t="s">
        <v>115</v>
      </c>
      <c r="AI1264" s="40" t="s">
        <v>115</v>
      </c>
      <c r="AP1264" s="4" t="s">
        <v>115</v>
      </c>
    </row>
    <row r="1265" spans="1:42" x14ac:dyDescent="0.15">
      <c r="A1265" s="40" t="s">
        <v>1</v>
      </c>
      <c r="B1265" s="23">
        <v>90120811</v>
      </c>
      <c r="C1265" s="23">
        <v>1208</v>
      </c>
      <c r="D1265" s="23">
        <v>12</v>
      </c>
      <c r="F1265" s="23" t="s">
        <v>116</v>
      </c>
      <c r="G1265" s="23">
        <v>261</v>
      </c>
      <c r="H1265" s="23" t="s">
        <v>3112</v>
      </c>
      <c r="I1265" s="23">
        <v>0</v>
      </c>
      <c r="J1265" s="40">
        <v>0</v>
      </c>
      <c r="K1265" s="40">
        <v>0</v>
      </c>
      <c r="L1265" s="40" t="s">
        <v>115</v>
      </c>
      <c r="O1265" s="40" t="s">
        <v>115</v>
      </c>
      <c r="Q1265" s="40">
        <v>118</v>
      </c>
      <c r="R1265" s="40">
        <v>284</v>
      </c>
      <c r="X1265" s="40">
        <v>90120812</v>
      </c>
      <c r="Y1265" s="40" t="s">
        <v>115</v>
      </c>
      <c r="Z1265" s="40" t="s">
        <v>115</v>
      </c>
      <c r="AA1265" s="40" t="s">
        <v>115</v>
      </c>
      <c r="AB1265" s="40" t="s">
        <v>115</v>
      </c>
      <c r="AC1265" s="40" t="s">
        <v>115</v>
      </c>
      <c r="AI1265" s="40" t="s">
        <v>115</v>
      </c>
      <c r="AP1265" s="4" t="s">
        <v>115</v>
      </c>
    </row>
    <row r="1266" spans="1:42" x14ac:dyDescent="0.15">
      <c r="A1266" s="40" t="s">
        <v>1</v>
      </c>
      <c r="B1266" s="23">
        <v>90120812</v>
      </c>
      <c r="C1266" s="23">
        <v>1208</v>
      </c>
      <c r="D1266" s="23">
        <v>12</v>
      </c>
      <c r="F1266" s="23" t="s">
        <v>1071</v>
      </c>
      <c r="G1266" s="23" t="s">
        <v>115</v>
      </c>
      <c r="H1266" s="23" t="s">
        <v>3399</v>
      </c>
      <c r="I1266" s="23">
        <v>3</v>
      </c>
      <c r="J1266" s="40">
        <v>0</v>
      </c>
      <c r="K1266" s="40">
        <v>0</v>
      </c>
      <c r="L1266" s="40" t="s">
        <v>115</v>
      </c>
      <c r="O1266" s="40" t="s">
        <v>115</v>
      </c>
      <c r="Q1266" s="40">
        <v>118</v>
      </c>
      <c r="R1266" s="40">
        <v>284</v>
      </c>
      <c r="X1266" s="40">
        <v>90120813</v>
      </c>
      <c r="Y1266" s="40" t="s">
        <v>115</v>
      </c>
      <c r="Z1266" s="40" t="s">
        <v>115</v>
      </c>
      <c r="AA1266" s="40" t="s">
        <v>115</v>
      </c>
      <c r="AB1266" s="40" t="s">
        <v>115</v>
      </c>
      <c r="AC1266" s="40" t="s">
        <v>115</v>
      </c>
      <c r="AI1266" s="40" t="s">
        <v>115</v>
      </c>
      <c r="AP1266" s="4" t="s">
        <v>115</v>
      </c>
    </row>
    <row r="1267" spans="1:42" x14ac:dyDescent="0.15">
      <c r="A1267" s="40" t="s">
        <v>1</v>
      </c>
      <c r="B1267" s="23">
        <v>90120813</v>
      </c>
      <c r="C1267" s="23">
        <v>1208</v>
      </c>
      <c r="D1267" s="23">
        <v>12</v>
      </c>
      <c r="F1267" s="23" t="s">
        <v>115</v>
      </c>
      <c r="G1267" s="23" t="s">
        <v>115</v>
      </c>
      <c r="H1267" s="23" t="s">
        <v>3400</v>
      </c>
      <c r="I1267" s="23">
        <v>4</v>
      </c>
      <c r="J1267" s="40">
        <v>0</v>
      </c>
      <c r="K1267" s="40">
        <v>6</v>
      </c>
      <c r="L1267" s="40" t="s">
        <v>115</v>
      </c>
      <c r="O1267" s="40">
        <v>1</v>
      </c>
      <c r="Q1267" s="40">
        <v>118</v>
      </c>
      <c r="R1267" s="40" t="s">
        <v>115</v>
      </c>
      <c r="X1267" s="40" t="s">
        <v>115</v>
      </c>
      <c r="Y1267" s="40" t="s">
        <v>115</v>
      </c>
      <c r="Z1267" s="40">
        <v>5</v>
      </c>
      <c r="AA1267" s="40" t="s">
        <v>115</v>
      </c>
      <c r="AB1267" s="40" t="s">
        <v>115</v>
      </c>
      <c r="AC1267" s="40" t="s">
        <v>115</v>
      </c>
      <c r="AI1267" s="40" t="s">
        <v>115</v>
      </c>
      <c r="AP1267" s="4" t="s">
        <v>115</v>
      </c>
    </row>
    <row r="1268" spans="1:42" x14ac:dyDescent="0.15">
      <c r="A1268" s="40" t="s">
        <v>1</v>
      </c>
      <c r="B1268" s="23" t="s">
        <v>2830</v>
      </c>
      <c r="C1268" s="23">
        <v>1301</v>
      </c>
      <c r="D1268" s="23">
        <v>13</v>
      </c>
      <c r="F1268" s="23" t="s">
        <v>115</v>
      </c>
      <c r="G1268" s="23" t="s">
        <v>115</v>
      </c>
      <c r="H1268" s="23" t="s">
        <v>3113</v>
      </c>
      <c r="I1268" s="23">
        <v>4</v>
      </c>
      <c r="J1268" s="40">
        <v>1</v>
      </c>
      <c r="K1268" s="40">
        <v>1</v>
      </c>
      <c r="L1268" s="40" t="s">
        <v>115</v>
      </c>
      <c r="O1268" s="40" t="s">
        <v>115</v>
      </c>
      <c r="Q1268" s="40">
        <v>192</v>
      </c>
      <c r="R1268" s="40" t="s">
        <v>115</v>
      </c>
      <c r="X1268" s="40">
        <v>90130102</v>
      </c>
      <c r="Y1268" s="40" t="s">
        <v>115</v>
      </c>
      <c r="Z1268" s="40" t="s">
        <v>115</v>
      </c>
      <c r="AA1268" s="40" t="s">
        <v>115</v>
      </c>
      <c r="AB1268" s="40" t="s">
        <v>115</v>
      </c>
      <c r="AC1268" s="40" t="s">
        <v>115</v>
      </c>
      <c r="AI1268" s="40" t="s">
        <v>115</v>
      </c>
      <c r="AP1268" s="4" t="s">
        <v>115</v>
      </c>
    </row>
    <row r="1269" spans="1:42" x14ac:dyDescent="0.15">
      <c r="A1269" s="40" t="s">
        <v>1</v>
      </c>
      <c r="B1269" s="23">
        <v>90130102</v>
      </c>
      <c r="C1269" s="23">
        <v>1301</v>
      </c>
      <c r="D1269" s="23">
        <v>13</v>
      </c>
      <c r="F1269" s="23" t="s">
        <v>115</v>
      </c>
      <c r="G1269" s="23" t="s">
        <v>115</v>
      </c>
      <c r="H1269" s="23" t="s">
        <v>3114</v>
      </c>
      <c r="I1269" s="23">
        <v>4</v>
      </c>
      <c r="J1269" s="40">
        <v>0</v>
      </c>
      <c r="K1269" s="40">
        <v>0</v>
      </c>
      <c r="L1269" s="40" t="s">
        <v>115</v>
      </c>
      <c r="O1269" s="40" t="s">
        <v>115</v>
      </c>
      <c r="Q1269" s="40">
        <v>192</v>
      </c>
      <c r="R1269" s="40" t="s">
        <v>115</v>
      </c>
      <c r="X1269" s="40">
        <v>90130103</v>
      </c>
      <c r="Y1269" s="40" t="s">
        <v>115</v>
      </c>
      <c r="Z1269" s="40" t="s">
        <v>115</v>
      </c>
      <c r="AA1269" s="40" t="s">
        <v>115</v>
      </c>
      <c r="AB1269" s="40" t="s">
        <v>115</v>
      </c>
      <c r="AC1269" s="40" t="s">
        <v>115</v>
      </c>
      <c r="AI1269" s="40" t="s">
        <v>115</v>
      </c>
      <c r="AP1269" s="4" t="s">
        <v>115</v>
      </c>
    </row>
    <row r="1270" spans="1:42" x14ac:dyDescent="0.15">
      <c r="A1270" s="40" t="s">
        <v>1</v>
      </c>
      <c r="B1270" s="23">
        <v>90130103</v>
      </c>
      <c r="C1270" s="23">
        <v>1301</v>
      </c>
      <c r="D1270" s="23">
        <v>13</v>
      </c>
      <c r="F1270" s="23" t="s">
        <v>3115</v>
      </c>
      <c r="G1270" s="23" t="s">
        <v>115</v>
      </c>
      <c r="H1270" s="23" t="s">
        <v>3116</v>
      </c>
      <c r="I1270" s="23">
        <v>3</v>
      </c>
      <c r="J1270" s="40">
        <v>0</v>
      </c>
      <c r="K1270" s="40">
        <v>0</v>
      </c>
      <c r="L1270" s="40" t="s">
        <v>115</v>
      </c>
      <c r="O1270" s="40" t="s">
        <v>115</v>
      </c>
      <c r="Q1270" s="40">
        <v>192</v>
      </c>
      <c r="R1270" s="40">
        <v>252</v>
      </c>
      <c r="X1270" s="40">
        <v>90130104</v>
      </c>
      <c r="Y1270" s="40" t="s">
        <v>115</v>
      </c>
      <c r="Z1270" s="40" t="s">
        <v>115</v>
      </c>
      <c r="AA1270" s="40" t="s">
        <v>115</v>
      </c>
      <c r="AB1270" s="40" t="s">
        <v>115</v>
      </c>
      <c r="AC1270" s="40" t="s">
        <v>115</v>
      </c>
      <c r="AI1270" s="40" t="s">
        <v>115</v>
      </c>
      <c r="AP1270" s="4" t="s">
        <v>115</v>
      </c>
    </row>
    <row r="1271" spans="1:42" x14ac:dyDescent="0.15">
      <c r="A1271" s="40" t="s">
        <v>1</v>
      </c>
      <c r="B1271" s="23">
        <v>90130104</v>
      </c>
      <c r="C1271" s="23">
        <v>1301</v>
      </c>
      <c r="D1271" s="23">
        <v>13</v>
      </c>
      <c r="F1271" s="23" t="s">
        <v>116</v>
      </c>
      <c r="G1271" s="23" t="s">
        <v>115</v>
      </c>
      <c r="H1271" s="23" t="s">
        <v>3117</v>
      </c>
      <c r="I1271" s="23">
        <v>2</v>
      </c>
      <c r="J1271" s="40">
        <v>0</v>
      </c>
      <c r="K1271" s="40">
        <v>0</v>
      </c>
      <c r="L1271" s="40" t="s">
        <v>115</v>
      </c>
      <c r="O1271" s="40" t="s">
        <v>115</v>
      </c>
      <c r="Q1271" s="40">
        <v>192</v>
      </c>
      <c r="R1271" s="40">
        <v>252</v>
      </c>
      <c r="X1271" s="40">
        <v>90130105</v>
      </c>
      <c r="Y1271" s="40" t="s">
        <v>115</v>
      </c>
      <c r="Z1271" s="40" t="s">
        <v>115</v>
      </c>
      <c r="AA1271" s="40" t="s">
        <v>115</v>
      </c>
      <c r="AB1271" s="40" t="s">
        <v>115</v>
      </c>
      <c r="AC1271" s="40" t="s">
        <v>115</v>
      </c>
      <c r="AI1271" s="40" t="s">
        <v>115</v>
      </c>
      <c r="AP1271" s="4" t="s">
        <v>115</v>
      </c>
    </row>
    <row r="1272" spans="1:42" x14ac:dyDescent="0.15">
      <c r="A1272" s="40" t="s">
        <v>1</v>
      </c>
      <c r="B1272" s="23">
        <v>90130105</v>
      </c>
      <c r="C1272" s="23">
        <v>1301</v>
      </c>
      <c r="D1272" s="23">
        <v>13</v>
      </c>
      <c r="F1272" s="23" t="s">
        <v>116</v>
      </c>
      <c r="G1272" s="23" t="s">
        <v>115</v>
      </c>
      <c r="H1272" s="23" t="s">
        <v>3118</v>
      </c>
      <c r="I1272" s="23">
        <v>0</v>
      </c>
      <c r="J1272" s="40">
        <v>0</v>
      </c>
      <c r="K1272" s="40">
        <v>0</v>
      </c>
      <c r="L1272" s="40" t="s">
        <v>115</v>
      </c>
      <c r="O1272" s="40" t="s">
        <v>115</v>
      </c>
      <c r="Q1272" s="40">
        <v>192</v>
      </c>
      <c r="R1272" s="40">
        <v>252</v>
      </c>
      <c r="X1272" s="40">
        <v>90130106</v>
      </c>
      <c r="Y1272" s="40" t="s">
        <v>115</v>
      </c>
      <c r="Z1272" s="40" t="s">
        <v>115</v>
      </c>
      <c r="AA1272" s="40" t="s">
        <v>115</v>
      </c>
      <c r="AB1272" s="40" t="s">
        <v>115</v>
      </c>
      <c r="AC1272" s="40" t="s">
        <v>115</v>
      </c>
      <c r="AI1272" s="40" t="s">
        <v>115</v>
      </c>
      <c r="AP1272" s="4" t="s">
        <v>115</v>
      </c>
    </row>
    <row r="1273" spans="1:42" x14ac:dyDescent="0.15">
      <c r="A1273" s="40" t="s">
        <v>1</v>
      </c>
      <c r="B1273" s="23">
        <v>90130106</v>
      </c>
      <c r="C1273" s="23">
        <v>1301</v>
      </c>
      <c r="D1273" s="23">
        <v>13</v>
      </c>
      <c r="F1273" s="23" t="s">
        <v>3115</v>
      </c>
      <c r="G1273" s="23" t="s">
        <v>115</v>
      </c>
      <c r="H1273" s="23" t="s">
        <v>3119</v>
      </c>
      <c r="I1273" s="23">
        <v>3</v>
      </c>
      <c r="J1273" s="40">
        <v>0</v>
      </c>
      <c r="K1273" s="40">
        <v>0</v>
      </c>
      <c r="L1273" s="40" t="s">
        <v>115</v>
      </c>
      <c r="O1273" s="40" t="s">
        <v>115</v>
      </c>
      <c r="Q1273" s="40">
        <v>192</v>
      </c>
      <c r="R1273" s="40">
        <v>252</v>
      </c>
      <c r="X1273" s="40">
        <v>90130107</v>
      </c>
      <c r="Y1273" s="40" t="s">
        <v>115</v>
      </c>
      <c r="Z1273" s="40" t="s">
        <v>115</v>
      </c>
      <c r="AA1273" s="40" t="s">
        <v>115</v>
      </c>
      <c r="AB1273" s="40" t="s">
        <v>115</v>
      </c>
      <c r="AC1273" s="40" t="s">
        <v>115</v>
      </c>
      <c r="AI1273" s="40" t="s">
        <v>115</v>
      </c>
      <c r="AP1273" s="4" t="s">
        <v>115</v>
      </c>
    </row>
    <row r="1274" spans="1:42" x14ac:dyDescent="0.15">
      <c r="A1274" s="40" t="s">
        <v>1</v>
      </c>
      <c r="B1274" s="23">
        <v>90130107</v>
      </c>
      <c r="C1274" s="23">
        <v>1301</v>
      </c>
      <c r="D1274" s="23">
        <v>13</v>
      </c>
      <c r="F1274" s="23" t="s">
        <v>116</v>
      </c>
      <c r="G1274" s="23" t="s">
        <v>115</v>
      </c>
      <c r="H1274" s="23" t="s">
        <v>3120</v>
      </c>
      <c r="I1274" s="23">
        <v>0</v>
      </c>
      <c r="J1274" s="40">
        <v>0</v>
      </c>
      <c r="K1274" s="40">
        <v>0</v>
      </c>
      <c r="L1274" s="40" t="s">
        <v>115</v>
      </c>
      <c r="O1274" s="40" t="s">
        <v>115</v>
      </c>
      <c r="Q1274" s="40">
        <v>192</v>
      </c>
      <c r="R1274" s="40">
        <v>252</v>
      </c>
      <c r="X1274" s="40">
        <v>90130108</v>
      </c>
      <c r="Y1274" s="40" t="s">
        <v>115</v>
      </c>
      <c r="Z1274" s="40" t="s">
        <v>115</v>
      </c>
      <c r="AA1274" s="40" t="s">
        <v>115</v>
      </c>
      <c r="AB1274" s="40" t="s">
        <v>115</v>
      </c>
      <c r="AC1274" s="40" t="s">
        <v>115</v>
      </c>
      <c r="AI1274" s="40" t="s">
        <v>115</v>
      </c>
      <c r="AP1274" s="4" t="s">
        <v>115</v>
      </c>
    </row>
    <row r="1275" spans="1:42" x14ac:dyDescent="0.15">
      <c r="A1275" s="40" t="s">
        <v>1</v>
      </c>
      <c r="B1275" s="23">
        <v>90130108</v>
      </c>
      <c r="C1275" s="23">
        <v>1301</v>
      </c>
      <c r="D1275" s="23">
        <v>13</v>
      </c>
      <c r="F1275" s="23" t="s">
        <v>3115</v>
      </c>
      <c r="G1275" s="23" t="s">
        <v>115</v>
      </c>
      <c r="H1275" s="23" t="s">
        <v>3121</v>
      </c>
      <c r="I1275" s="23">
        <v>3</v>
      </c>
      <c r="J1275" s="40">
        <v>0</v>
      </c>
      <c r="K1275" s="40">
        <v>0</v>
      </c>
      <c r="L1275" s="40" t="s">
        <v>115</v>
      </c>
      <c r="O1275" s="40" t="s">
        <v>115</v>
      </c>
      <c r="Q1275" s="40">
        <v>192</v>
      </c>
      <c r="R1275" s="40">
        <v>252</v>
      </c>
      <c r="X1275" s="40">
        <v>90130109</v>
      </c>
      <c r="Y1275" s="40" t="s">
        <v>115</v>
      </c>
      <c r="Z1275" s="40" t="s">
        <v>115</v>
      </c>
      <c r="AA1275" s="40" t="s">
        <v>115</v>
      </c>
      <c r="AB1275" s="40" t="s">
        <v>115</v>
      </c>
      <c r="AC1275" s="40" t="s">
        <v>115</v>
      </c>
      <c r="AI1275" s="40" t="s">
        <v>115</v>
      </c>
      <c r="AP1275" s="4" t="s">
        <v>115</v>
      </c>
    </row>
    <row r="1276" spans="1:42" x14ac:dyDescent="0.15">
      <c r="A1276" s="40" t="s">
        <v>1</v>
      </c>
      <c r="B1276" s="23">
        <v>90130109</v>
      </c>
      <c r="C1276" s="23">
        <v>1301</v>
      </c>
      <c r="D1276" s="23">
        <v>13</v>
      </c>
      <c r="F1276" s="23" t="s">
        <v>3115</v>
      </c>
      <c r="G1276" s="23" t="s">
        <v>115</v>
      </c>
      <c r="H1276" s="23" t="s">
        <v>3122</v>
      </c>
      <c r="I1276" s="23">
        <v>3</v>
      </c>
      <c r="J1276" s="40">
        <v>0</v>
      </c>
      <c r="K1276" s="40">
        <v>2</v>
      </c>
      <c r="L1276" s="40" t="s">
        <v>3123</v>
      </c>
      <c r="O1276" s="40" t="s">
        <v>115</v>
      </c>
      <c r="Q1276" s="40">
        <v>192</v>
      </c>
      <c r="R1276" s="40">
        <v>252</v>
      </c>
      <c r="X1276" s="40">
        <v>90130110</v>
      </c>
      <c r="Y1276" s="40" t="s">
        <v>115</v>
      </c>
      <c r="Z1276" s="40">
        <v>1</v>
      </c>
      <c r="AA1276" s="40" t="s">
        <v>115</v>
      </c>
      <c r="AB1276" s="40" t="s">
        <v>115</v>
      </c>
      <c r="AC1276" s="40" t="s">
        <v>115</v>
      </c>
      <c r="AI1276" s="40" t="s">
        <v>115</v>
      </c>
      <c r="AP1276" s="4" t="s">
        <v>115</v>
      </c>
    </row>
    <row r="1277" spans="1:42" x14ac:dyDescent="0.15">
      <c r="A1277" s="40" t="s">
        <v>1</v>
      </c>
      <c r="B1277" s="23">
        <v>90130110</v>
      </c>
      <c r="C1277" s="23">
        <v>1301</v>
      </c>
      <c r="D1277" s="23">
        <v>13</v>
      </c>
      <c r="F1277" s="23" t="s">
        <v>116</v>
      </c>
      <c r="G1277" s="23" t="s">
        <v>115</v>
      </c>
      <c r="H1277" s="23" t="s">
        <v>3124</v>
      </c>
      <c r="I1277" s="23">
        <v>0</v>
      </c>
      <c r="J1277" s="40">
        <v>0</v>
      </c>
      <c r="K1277" s="40">
        <v>0</v>
      </c>
      <c r="L1277" s="40" t="s">
        <v>115</v>
      </c>
      <c r="O1277" s="40" t="s">
        <v>115</v>
      </c>
      <c r="Q1277" s="40">
        <v>192</v>
      </c>
      <c r="R1277" s="40">
        <v>252</v>
      </c>
      <c r="X1277" s="40">
        <v>90130111</v>
      </c>
      <c r="Y1277" s="40" t="s">
        <v>115</v>
      </c>
      <c r="Z1277" s="40" t="s">
        <v>115</v>
      </c>
      <c r="AA1277" s="40" t="s">
        <v>115</v>
      </c>
      <c r="AB1277" s="40" t="s">
        <v>115</v>
      </c>
      <c r="AC1277" s="40" t="s">
        <v>115</v>
      </c>
      <c r="AI1277" s="40" t="s">
        <v>115</v>
      </c>
      <c r="AP1277" s="4" t="s">
        <v>115</v>
      </c>
    </row>
    <row r="1278" spans="1:42" x14ac:dyDescent="0.15">
      <c r="A1278" s="40" t="s">
        <v>1</v>
      </c>
      <c r="B1278" s="23">
        <v>90130111</v>
      </c>
      <c r="C1278" s="23">
        <v>1301</v>
      </c>
      <c r="D1278" s="23">
        <v>13</v>
      </c>
      <c r="F1278" s="23" t="s">
        <v>3115</v>
      </c>
      <c r="G1278" s="23" t="s">
        <v>115</v>
      </c>
      <c r="H1278" s="23" t="s">
        <v>3125</v>
      </c>
      <c r="I1278" s="23">
        <v>3</v>
      </c>
      <c r="J1278" s="40">
        <v>0</v>
      </c>
      <c r="K1278" s="40">
        <v>3</v>
      </c>
      <c r="L1278" s="40" t="s">
        <v>115</v>
      </c>
      <c r="O1278" s="40" t="s">
        <v>115</v>
      </c>
      <c r="Q1278" s="40">
        <v>192</v>
      </c>
      <c r="R1278" s="40">
        <v>252</v>
      </c>
      <c r="X1278" s="40" t="s">
        <v>3126</v>
      </c>
      <c r="Y1278" s="40">
        <v>1</v>
      </c>
      <c r="Z1278" s="40">
        <v>2</v>
      </c>
      <c r="AA1278" s="40" t="s">
        <v>115</v>
      </c>
      <c r="AB1278" s="40" t="s">
        <v>115</v>
      </c>
      <c r="AC1278" s="40" t="s">
        <v>115</v>
      </c>
      <c r="AI1278" s="40" t="s">
        <v>115</v>
      </c>
      <c r="AP1278" s="4" t="s">
        <v>115</v>
      </c>
    </row>
    <row r="1279" spans="1:42" x14ac:dyDescent="0.15">
      <c r="A1279" s="40" t="s">
        <v>1</v>
      </c>
      <c r="B1279" s="23">
        <v>90130112</v>
      </c>
      <c r="C1279" s="23">
        <v>1301</v>
      </c>
      <c r="D1279" s="23">
        <v>13</v>
      </c>
      <c r="F1279" s="23" t="s">
        <v>115</v>
      </c>
      <c r="G1279" s="23" t="s">
        <v>115</v>
      </c>
      <c r="H1279" s="23" t="s">
        <v>3127</v>
      </c>
      <c r="I1279" s="23">
        <v>4</v>
      </c>
      <c r="J1279" s="40">
        <v>0</v>
      </c>
      <c r="K1279" s="40">
        <v>4</v>
      </c>
      <c r="L1279" s="40" t="s">
        <v>115</v>
      </c>
      <c r="O1279" s="40" t="s">
        <v>115</v>
      </c>
      <c r="Q1279" s="40">
        <v>192</v>
      </c>
      <c r="R1279" s="40">
        <v>252</v>
      </c>
      <c r="X1279" s="40">
        <v>90130113</v>
      </c>
      <c r="Y1279" s="40">
        <v>-1</v>
      </c>
      <c r="Z1279" s="40">
        <v>3</v>
      </c>
      <c r="AA1279" s="40" t="s">
        <v>115</v>
      </c>
      <c r="AB1279" s="40" t="s">
        <v>115</v>
      </c>
      <c r="AC1279" s="40" t="s">
        <v>3128</v>
      </c>
      <c r="AI1279" s="40" t="s">
        <v>115</v>
      </c>
      <c r="AP1279" s="4" t="s">
        <v>115</v>
      </c>
    </row>
    <row r="1280" spans="1:42" x14ac:dyDescent="0.15">
      <c r="A1280" s="40" t="s">
        <v>1</v>
      </c>
      <c r="B1280" s="23">
        <v>90130113</v>
      </c>
      <c r="C1280" s="23">
        <v>1301</v>
      </c>
      <c r="D1280" s="23">
        <v>13</v>
      </c>
      <c r="F1280" s="23" t="s">
        <v>3115</v>
      </c>
      <c r="G1280" s="23" t="s">
        <v>115</v>
      </c>
      <c r="H1280" s="23" t="s">
        <v>3129</v>
      </c>
      <c r="I1280" s="23">
        <v>3</v>
      </c>
      <c r="J1280" s="40">
        <v>0</v>
      </c>
      <c r="K1280" s="40">
        <v>0</v>
      </c>
      <c r="L1280" s="40" t="s">
        <v>115</v>
      </c>
      <c r="O1280" s="40" t="s">
        <v>115</v>
      </c>
      <c r="Q1280" s="40">
        <v>192</v>
      </c>
      <c r="R1280" s="40">
        <v>252</v>
      </c>
      <c r="X1280" s="40">
        <v>90130114</v>
      </c>
      <c r="Y1280" s="40" t="s">
        <v>115</v>
      </c>
      <c r="Z1280" s="40" t="s">
        <v>115</v>
      </c>
      <c r="AA1280" s="40" t="s">
        <v>115</v>
      </c>
      <c r="AB1280" s="40" t="s">
        <v>115</v>
      </c>
      <c r="AC1280" s="40" t="s">
        <v>115</v>
      </c>
      <c r="AI1280" s="40" t="s">
        <v>115</v>
      </c>
      <c r="AP1280" s="4" t="s">
        <v>115</v>
      </c>
    </row>
    <row r="1281" spans="1:42" x14ac:dyDescent="0.15">
      <c r="A1281" s="40" t="s">
        <v>1</v>
      </c>
      <c r="B1281" s="23">
        <v>90130114</v>
      </c>
      <c r="C1281" s="23">
        <v>1301</v>
      </c>
      <c r="D1281" s="23">
        <v>13</v>
      </c>
      <c r="F1281" s="23" t="s">
        <v>3115</v>
      </c>
      <c r="G1281" s="23" t="s">
        <v>115</v>
      </c>
      <c r="H1281" s="23" t="s">
        <v>3130</v>
      </c>
      <c r="I1281" s="23">
        <v>3</v>
      </c>
      <c r="J1281" s="40">
        <v>0</v>
      </c>
      <c r="K1281" s="40">
        <v>0</v>
      </c>
      <c r="L1281" s="40" t="s">
        <v>115</v>
      </c>
      <c r="O1281" s="40" t="s">
        <v>115</v>
      </c>
      <c r="Q1281" s="40">
        <v>192</v>
      </c>
      <c r="R1281" s="40">
        <v>252</v>
      </c>
      <c r="X1281" s="40">
        <v>90130115</v>
      </c>
      <c r="Y1281" s="40" t="s">
        <v>115</v>
      </c>
      <c r="Z1281" s="40" t="s">
        <v>115</v>
      </c>
      <c r="AA1281" s="40" t="s">
        <v>115</v>
      </c>
      <c r="AB1281" s="40" t="s">
        <v>115</v>
      </c>
      <c r="AC1281" s="40" t="s">
        <v>115</v>
      </c>
      <c r="AI1281" s="40" t="s">
        <v>115</v>
      </c>
      <c r="AP1281" s="4" t="s">
        <v>115</v>
      </c>
    </row>
    <row r="1282" spans="1:42" x14ac:dyDescent="0.15">
      <c r="A1282" s="40" t="s">
        <v>1</v>
      </c>
      <c r="B1282" s="23">
        <v>90130115</v>
      </c>
      <c r="C1282" s="23">
        <v>1301</v>
      </c>
      <c r="D1282" s="23">
        <v>13</v>
      </c>
      <c r="F1282" s="23" t="s">
        <v>3115</v>
      </c>
      <c r="G1282" s="23" t="s">
        <v>115</v>
      </c>
      <c r="H1282" s="23" t="s">
        <v>3131</v>
      </c>
      <c r="I1282" s="23">
        <v>3</v>
      </c>
      <c r="J1282" s="40">
        <v>0</v>
      </c>
      <c r="K1282" s="40">
        <v>5</v>
      </c>
      <c r="L1282" s="40" t="s">
        <v>3132</v>
      </c>
      <c r="O1282" s="40" t="s">
        <v>115</v>
      </c>
      <c r="Q1282" s="40">
        <v>192</v>
      </c>
      <c r="R1282" s="40">
        <v>252</v>
      </c>
      <c r="X1282" s="40">
        <v>90130116</v>
      </c>
      <c r="Y1282" s="40" t="s">
        <v>115</v>
      </c>
      <c r="Z1282" s="40">
        <v>4</v>
      </c>
      <c r="AA1282" s="40" t="s">
        <v>115</v>
      </c>
      <c r="AB1282" s="40" t="s">
        <v>115</v>
      </c>
      <c r="AC1282" s="40" t="s">
        <v>115</v>
      </c>
      <c r="AI1282" s="40" t="s">
        <v>115</v>
      </c>
      <c r="AP1282" s="4" t="s">
        <v>115</v>
      </c>
    </row>
    <row r="1283" spans="1:42" x14ac:dyDescent="0.15">
      <c r="A1283" s="40" t="s">
        <v>1</v>
      </c>
      <c r="B1283" s="23">
        <v>90130116</v>
      </c>
      <c r="C1283" s="23">
        <v>1301</v>
      </c>
      <c r="D1283" s="23">
        <v>13</v>
      </c>
      <c r="F1283" s="23" t="s">
        <v>115</v>
      </c>
      <c r="G1283" s="23" t="s">
        <v>115</v>
      </c>
      <c r="H1283" s="23" t="s">
        <v>3133</v>
      </c>
      <c r="I1283" s="23">
        <v>4</v>
      </c>
      <c r="J1283" s="40">
        <v>0</v>
      </c>
      <c r="K1283" s="40">
        <v>6</v>
      </c>
      <c r="L1283" s="40" t="s">
        <v>115</v>
      </c>
      <c r="O1283" s="40">
        <v>1</v>
      </c>
      <c r="Q1283" s="40">
        <v>192</v>
      </c>
      <c r="R1283" s="40" t="s">
        <v>115</v>
      </c>
      <c r="X1283" s="40" t="s">
        <v>115</v>
      </c>
      <c r="Y1283" s="40" t="s">
        <v>115</v>
      </c>
      <c r="Z1283" s="40">
        <v>5</v>
      </c>
      <c r="AA1283" s="40" t="s">
        <v>115</v>
      </c>
      <c r="AB1283" s="40" t="s">
        <v>115</v>
      </c>
      <c r="AC1283" s="40" t="s">
        <v>115</v>
      </c>
      <c r="AI1283" s="40" t="s">
        <v>115</v>
      </c>
      <c r="AP1283" s="4" t="s">
        <v>3134</v>
      </c>
    </row>
    <row r="1284" spans="1:42" x14ac:dyDescent="0.15">
      <c r="A1284" s="40" t="s">
        <v>1</v>
      </c>
      <c r="B1284" s="23" t="s">
        <v>2833</v>
      </c>
      <c r="C1284" s="23">
        <v>1302</v>
      </c>
      <c r="D1284" s="23">
        <v>13</v>
      </c>
      <c r="F1284" s="23" t="s">
        <v>116</v>
      </c>
      <c r="G1284" s="23">
        <v>314</v>
      </c>
      <c r="H1284" s="23" t="s">
        <v>3135</v>
      </c>
      <c r="I1284" s="23">
        <v>0</v>
      </c>
      <c r="J1284" s="40">
        <v>1</v>
      </c>
      <c r="K1284" s="40">
        <v>1</v>
      </c>
      <c r="L1284" s="40" t="s">
        <v>115</v>
      </c>
      <c r="O1284" s="40" t="s">
        <v>115</v>
      </c>
      <c r="Q1284" s="40">
        <v>143</v>
      </c>
      <c r="R1284" s="40" t="s">
        <v>115</v>
      </c>
      <c r="X1284" s="40">
        <v>90130202</v>
      </c>
      <c r="Y1284" s="40" t="s">
        <v>115</v>
      </c>
      <c r="Z1284" s="40" t="s">
        <v>115</v>
      </c>
      <c r="AA1284" s="40" t="s">
        <v>115</v>
      </c>
      <c r="AB1284" s="40" t="s">
        <v>115</v>
      </c>
      <c r="AC1284" s="40" t="s">
        <v>115</v>
      </c>
      <c r="AI1284" s="40" t="s">
        <v>115</v>
      </c>
      <c r="AP1284" s="4" t="s">
        <v>115</v>
      </c>
    </row>
    <row r="1285" spans="1:42" x14ac:dyDescent="0.15">
      <c r="A1285" s="40" t="s">
        <v>1</v>
      </c>
      <c r="B1285" s="23">
        <v>90130202</v>
      </c>
      <c r="C1285" s="23">
        <v>1302</v>
      </c>
      <c r="D1285" s="23">
        <v>13</v>
      </c>
      <c r="F1285" s="23" t="s">
        <v>373</v>
      </c>
      <c r="G1285" s="23" t="s">
        <v>115</v>
      </c>
      <c r="H1285" s="23" t="s">
        <v>3136</v>
      </c>
      <c r="I1285" s="23">
        <v>3</v>
      </c>
      <c r="J1285" s="40">
        <v>0</v>
      </c>
      <c r="K1285" s="40">
        <v>0</v>
      </c>
      <c r="L1285" s="40" t="s">
        <v>115</v>
      </c>
      <c r="O1285" s="40" t="s">
        <v>115</v>
      </c>
      <c r="Q1285" s="40">
        <v>143</v>
      </c>
      <c r="R1285" s="40">
        <v>357</v>
      </c>
      <c r="X1285" s="40">
        <v>90130203</v>
      </c>
      <c r="Y1285" s="40" t="s">
        <v>115</v>
      </c>
      <c r="Z1285" s="40" t="s">
        <v>115</v>
      </c>
      <c r="AA1285" s="40" t="s">
        <v>115</v>
      </c>
      <c r="AB1285" s="40" t="s">
        <v>115</v>
      </c>
      <c r="AC1285" s="40" t="s">
        <v>115</v>
      </c>
      <c r="AI1285" s="40" t="s">
        <v>115</v>
      </c>
      <c r="AP1285" s="4" t="s">
        <v>115</v>
      </c>
    </row>
    <row r="1286" spans="1:42" x14ac:dyDescent="0.15">
      <c r="A1286" s="40" t="s">
        <v>1</v>
      </c>
      <c r="B1286" s="23">
        <v>90130203</v>
      </c>
      <c r="C1286" s="23">
        <v>1302</v>
      </c>
      <c r="D1286" s="23">
        <v>13</v>
      </c>
      <c r="F1286" s="23" t="s">
        <v>116</v>
      </c>
      <c r="G1286" s="23">
        <v>312</v>
      </c>
      <c r="H1286" s="23" t="s">
        <v>3137</v>
      </c>
      <c r="I1286" s="23">
        <v>0</v>
      </c>
      <c r="J1286" s="40">
        <v>0</v>
      </c>
      <c r="K1286" s="40">
        <v>0</v>
      </c>
      <c r="L1286" s="40" t="s">
        <v>115</v>
      </c>
      <c r="O1286" s="40" t="s">
        <v>115</v>
      </c>
      <c r="Q1286" s="40">
        <v>143</v>
      </c>
      <c r="R1286" s="40">
        <v>357</v>
      </c>
      <c r="X1286" s="40">
        <v>90130204</v>
      </c>
      <c r="Y1286" s="40" t="s">
        <v>115</v>
      </c>
      <c r="Z1286" s="40" t="s">
        <v>115</v>
      </c>
      <c r="AA1286" s="40" t="s">
        <v>115</v>
      </c>
      <c r="AB1286" s="40" t="s">
        <v>115</v>
      </c>
      <c r="AC1286" s="40" t="s">
        <v>115</v>
      </c>
      <c r="AI1286" s="40" t="s">
        <v>115</v>
      </c>
      <c r="AP1286" s="4" t="s">
        <v>115</v>
      </c>
    </row>
    <row r="1287" spans="1:42" x14ac:dyDescent="0.15">
      <c r="A1287" s="40" t="s">
        <v>1</v>
      </c>
      <c r="B1287" s="23">
        <v>90130204</v>
      </c>
      <c r="C1287" s="23">
        <v>1302</v>
      </c>
      <c r="D1287" s="23">
        <v>13</v>
      </c>
      <c r="F1287" s="23" t="s">
        <v>373</v>
      </c>
      <c r="G1287" s="23" t="s">
        <v>115</v>
      </c>
      <c r="H1287" s="23" t="s">
        <v>3138</v>
      </c>
      <c r="I1287" s="23">
        <v>3</v>
      </c>
      <c r="J1287" s="40">
        <v>0</v>
      </c>
      <c r="K1287" s="40">
        <v>0</v>
      </c>
      <c r="L1287" s="40" t="s">
        <v>115</v>
      </c>
      <c r="O1287" s="40" t="s">
        <v>115</v>
      </c>
      <c r="Q1287" s="40">
        <v>143</v>
      </c>
      <c r="R1287" s="40">
        <v>357</v>
      </c>
      <c r="X1287" s="40">
        <v>90130205</v>
      </c>
      <c r="Y1287" s="40" t="s">
        <v>115</v>
      </c>
      <c r="Z1287" s="40" t="s">
        <v>115</v>
      </c>
      <c r="AA1287" s="40" t="s">
        <v>115</v>
      </c>
      <c r="AB1287" s="40" t="s">
        <v>115</v>
      </c>
      <c r="AC1287" s="40" t="s">
        <v>115</v>
      </c>
      <c r="AI1287" s="40" t="s">
        <v>115</v>
      </c>
      <c r="AP1287" s="4" t="s">
        <v>115</v>
      </c>
    </row>
    <row r="1288" spans="1:42" x14ac:dyDescent="0.15">
      <c r="A1288" s="40" t="s">
        <v>1</v>
      </c>
      <c r="B1288" s="23">
        <v>90130205</v>
      </c>
      <c r="C1288" s="23">
        <v>1302</v>
      </c>
      <c r="D1288" s="23">
        <v>13</v>
      </c>
      <c r="F1288" s="23" t="s">
        <v>373</v>
      </c>
      <c r="G1288" s="23" t="s">
        <v>115</v>
      </c>
      <c r="H1288" s="23" t="s">
        <v>3139</v>
      </c>
      <c r="I1288" s="23">
        <v>3</v>
      </c>
      <c r="J1288" s="40">
        <v>0</v>
      </c>
      <c r="K1288" s="40">
        <v>2</v>
      </c>
      <c r="L1288" s="40" t="s">
        <v>115</v>
      </c>
      <c r="O1288" s="40" t="s">
        <v>115</v>
      </c>
      <c r="Q1288" s="40">
        <v>143</v>
      </c>
      <c r="R1288" s="40">
        <v>357</v>
      </c>
      <c r="X1288" s="40" t="s">
        <v>3140</v>
      </c>
      <c r="Y1288" s="40">
        <v>1</v>
      </c>
      <c r="Z1288" s="40">
        <v>1</v>
      </c>
      <c r="AA1288" s="40" t="s">
        <v>115</v>
      </c>
      <c r="AB1288" s="40" t="s">
        <v>115</v>
      </c>
      <c r="AC1288" s="40" t="s">
        <v>115</v>
      </c>
      <c r="AI1288" s="40" t="s">
        <v>115</v>
      </c>
      <c r="AP1288" s="4" t="s">
        <v>115</v>
      </c>
    </row>
    <row r="1289" spans="1:42" x14ac:dyDescent="0.15">
      <c r="A1289" s="40" t="s">
        <v>1</v>
      </c>
      <c r="B1289" s="23">
        <v>90130206</v>
      </c>
      <c r="C1289" s="23">
        <v>1302</v>
      </c>
      <c r="D1289" s="23">
        <v>13</v>
      </c>
      <c r="F1289" s="23" t="s">
        <v>115</v>
      </c>
      <c r="G1289" s="23" t="s">
        <v>115</v>
      </c>
      <c r="H1289" s="23" t="s">
        <v>3141</v>
      </c>
      <c r="I1289" s="23">
        <v>4</v>
      </c>
      <c r="J1289" s="40">
        <v>0</v>
      </c>
      <c r="K1289" s="40">
        <v>3</v>
      </c>
      <c r="L1289" s="40" t="s">
        <v>115</v>
      </c>
      <c r="O1289" s="40" t="s">
        <v>115</v>
      </c>
      <c r="Q1289" s="40">
        <v>143</v>
      </c>
      <c r="R1289" s="40">
        <v>357</v>
      </c>
      <c r="X1289" s="40">
        <v>90130208</v>
      </c>
      <c r="Y1289" s="40">
        <v>-1</v>
      </c>
      <c r="Z1289" s="40">
        <v>2</v>
      </c>
      <c r="AA1289" s="40" t="s">
        <v>3142</v>
      </c>
      <c r="AB1289" s="40" t="s">
        <v>115</v>
      </c>
      <c r="AC1289" s="40" t="s">
        <v>115</v>
      </c>
      <c r="AI1289" s="40" t="s">
        <v>115</v>
      </c>
      <c r="AP1289" s="4" t="s">
        <v>115</v>
      </c>
    </row>
    <row r="1290" spans="1:42" x14ac:dyDescent="0.15">
      <c r="A1290" s="40" t="s">
        <v>1</v>
      </c>
      <c r="B1290" s="23">
        <v>90130207</v>
      </c>
      <c r="C1290" s="23">
        <v>1302</v>
      </c>
      <c r="D1290" s="23">
        <v>13</v>
      </c>
      <c r="F1290" s="23" t="s">
        <v>115</v>
      </c>
      <c r="G1290" s="23" t="s">
        <v>115</v>
      </c>
      <c r="H1290" s="23" t="s">
        <v>3143</v>
      </c>
      <c r="I1290" s="23">
        <v>4</v>
      </c>
      <c r="J1290" s="40">
        <v>0</v>
      </c>
      <c r="K1290" s="40">
        <v>4</v>
      </c>
      <c r="L1290" s="40" t="s">
        <v>115</v>
      </c>
      <c r="O1290" s="40" t="s">
        <v>115</v>
      </c>
      <c r="Q1290" s="40">
        <v>143</v>
      </c>
      <c r="R1290" s="40">
        <v>357</v>
      </c>
      <c r="X1290" s="40">
        <v>90130209</v>
      </c>
      <c r="Y1290" s="40">
        <v>-1</v>
      </c>
      <c r="Z1290" s="40">
        <v>2</v>
      </c>
      <c r="AA1290" s="40" t="s">
        <v>115</v>
      </c>
      <c r="AB1290" s="40" t="s">
        <v>115</v>
      </c>
      <c r="AC1290" s="40" t="s">
        <v>3144</v>
      </c>
      <c r="AI1290" s="40" t="s">
        <v>115</v>
      </c>
      <c r="AP1290" s="4" t="s">
        <v>115</v>
      </c>
    </row>
    <row r="1291" spans="1:42" x14ac:dyDescent="0.15">
      <c r="A1291" s="40" t="s">
        <v>1</v>
      </c>
      <c r="B1291" s="23">
        <v>90130208</v>
      </c>
      <c r="C1291" s="23">
        <v>1302</v>
      </c>
      <c r="D1291" s="23">
        <v>13</v>
      </c>
      <c r="F1291" s="23" t="s">
        <v>373</v>
      </c>
      <c r="G1291" s="23" t="s">
        <v>115</v>
      </c>
      <c r="H1291" s="23" t="s">
        <v>3145</v>
      </c>
      <c r="I1291" s="23">
        <v>3</v>
      </c>
      <c r="J1291" s="40">
        <v>0</v>
      </c>
      <c r="K1291" s="40">
        <v>0</v>
      </c>
      <c r="L1291" s="40" t="s">
        <v>115</v>
      </c>
      <c r="O1291" s="40" t="s">
        <v>115</v>
      </c>
      <c r="Q1291" s="40">
        <v>143</v>
      </c>
      <c r="R1291" s="40">
        <v>357</v>
      </c>
      <c r="X1291" s="40">
        <v>90130210</v>
      </c>
      <c r="Y1291" s="40" t="s">
        <v>115</v>
      </c>
      <c r="Z1291" s="40" t="s">
        <v>115</v>
      </c>
      <c r="AA1291" s="40" t="s">
        <v>115</v>
      </c>
      <c r="AB1291" s="40" t="s">
        <v>115</v>
      </c>
      <c r="AC1291" s="40" t="s">
        <v>115</v>
      </c>
      <c r="AI1291" s="40" t="s">
        <v>115</v>
      </c>
      <c r="AP1291" s="4" t="s">
        <v>115</v>
      </c>
    </row>
    <row r="1292" spans="1:42" x14ac:dyDescent="0.15">
      <c r="A1292" s="40" t="s">
        <v>1</v>
      </c>
      <c r="B1292" s="23">
        <v>90130209</v>
      </c>
      <c r="C1292" s="23">
        <v>1302</v>
      </c>
      <c r="D1292" s="23">
        <v>13</v>
      </c>
      <c r="F1292" s="23" t="s">
        <v>373</v>
      </c>
      <c r="G1292" s="23" t="s">
        <v>115</v>
      </c>
      <c r="H1292" s="23" t="s">
        <v>3145</v>
      </c>
      <c r="I1292" s="23">
        <v>3</v>
      </c>
      <c r="J1292" s="40">
        <v>0</v>
      </c>
      <c r="K1292" s="40">
        <v>0</v>
      </c>
      <c r="L1292" s="40" t="s">
        <v>115</v>
      </c>
      <c r="O1292" s="40" t="s">
        <v>115</v>
      </c>
      <c r="Q1292" s="40">
        <v>143</v>
      </c>
      <c r="R1292" s="40">
        <v>357</v>
      </c>
      <c r="X1292" s="40">
        <v>90130210</v>
      </c>
      <c r="Y1292" s="40" t="s">
        <v>115</v>
      </c>
      <c r="Z1292" s="40" t="s">
        <v>115</v>
      </c>
      <c r="AA1292" s="40" t="s">
        <v>115</v>
      </c>
      <c r="AB1292" s="40" t="s">
        <v>115</v>
      </c>
      <c r="AC1292" s="40" t="s">
        <v>115</v>
      </c>
      <c r="AI1292" s="40" t="s">
        <v>115</v>
      </c>
      <c r="AP1292" s="4" t="s">
        <v>115</v>
      </c>
    </row>
    <row r="1293" spans="1:42" x14ac:dyDescent="0.15">
      <c r="A1293" s="40" t="s">
        <v>1</v>
      </c>
      <c r="B1293" s="23">
        <v>90130210</v>
      </c>
      <c r="C1293" s="23">
        <v>1302</v>
      </c>
      <c r="D1293" s="23">
        <v>13</v>
      </c>
      <c r="F1293" s="23" t="s">
        <v>373</v>
      </c>
      <c r="G1293" s="23" t="s">
        <v>115</v>
      </c>
      <c r="H1293" s="23" t="s">
        <v>3146</v>
      </c>
      <c r="I1293" s="23">
        <v>3</v>
      </c>
      <c r="J1293" s="40">
        <v>0</v>
      </c>
      <c r="K1293" s="40">
        <v>0</v>
      </c>
      <c r="L1293" s="40" t="s">
        <v>115</v>
      </c>
      <c r="O1293" s="40" t="s">
        <v>115</v>
      </c>
      <c r="Q1293" s="40">
        <v>143</v>
      </c>
      <c r="R1293" s="40">
        <v>357</v>
      </c>
      <c r="X1293" s="40">
        <v>90130211</v>
      </c>
      <c r="Y1293" s="40" t="s">
        <v>115</v>
      </c>
      <c r="Z1293" s="40" t="s">
        <v>115</v>
      </c>
      <c r="AA1293" s="40" t="s">
        <v>115</v>
      </c>
      <c r="AB1293" s="40" t="s">
        <v>115</v>
      </c>
      <c r="AC1293" s="40" t="s">
        <v>115</v>
      </c>
      <c r="AI1293" s="40" t="s">
        <v>115</v>
      </c>
      <c r="AP1293" s="4" t="s">
        <v>115</v>
      </c>
    </row>
    <row r="1294" spans="1:42" x14ac:dyDescent="0.15">
      <c r="A1294" s="40" t="s">
        <v>1</v>
      </c>
      <c r="B1294" s="23">
        <v>90130211</v>
      </c>
      <c r="C1294" s="23">
        <v>1302</v>
      </c>
      <c r="D1294" s="23">
        <v>13</v>
      </c>
      <c r="F1294" s="23" t="s">
        <v>373</v>
      </c>
      <c r="G1294" s="23" t="s">
        <v>115</v>
      </c>
      <c r="H1294" s="23" t="s">
        <v>3147</v>
      </c>
      <c r="I1294" s="23">
        <v>3</v>
      </c>
      <c r="J1294" s="40">
        <v>0</v>
      </c>
      <c r="K1294" s="40">
        <v>0</v>
      </c>
      <c r="L1294" s="40" t="s">
        <v>115</v>
      </c>
      <c r="O1294" s="40" t="s">
        <v>115</v>
      </c>
      <c r="Q1294" s="40">
        <v>143</v>
      </c>
      <c r="R1294" s="40">
        <v>357</v>
      </c>
      <c r="X1294" s="40">
        <v>90130212</v>
      </c>
      <c r="Y1294" s="40" t="s">
        <v>115</v>
      </c>
      <c r="Z1294" s="40" t="s">
        <v>115</v>
      </c>
      <c r="AA1294" s="40" t="s">
        <v>115</v>
      </c>
      <c r="AB1294" s="40" t="s">
        <v>115</v>
      </c>
      <c r="AC1294" s="40" t="s">
        <v>115</v>
      </c>
      <c r="AI1294" s="40" t="s">
        <v>115</v>
      </c>
      <c r="AP1294" s="4" t="s">
        <v>115</v>
      </c>
    </row>
    <row r="1295" spans="1:42" x14ac:dyDescent="0.15">
      <c r="A1295" s="40" t="s">
        <v>1</v>
      </c>
      <c r="B1295" s="23">
        <v>90130212</v>
      </c>
      <c r="C1295" s="23">
        <v>1302</v>
      </c>
      <c r="D1295" s="23">
        <v>13</v>
      </c>
      <c r="F1295" s="23" t="s">
        <v>373</v>
      </c>
      <c r="G1295" s="23" t="s">
        <v>115</v>
      </c>
      <c r="H1295" s="23" t="s">
        <v>3148</v>
      </c>
      <c r="I1295" s="23">
        <v>3</v>
      </c>
      <c r="J1295" s="40">
        <v>0</v>
      </c>
      <c r="K1295" s="40">
        <v>0</v>
      </c>
      <c r="L1295" s="40" t="s">
        <v>115</v>
      </c>
      <c r="O1295" s="40" t="s">
        <v>115</v>
      </c>
      <c r="Q1295" s="40">
        <v>143</v>
      </c>
      <c r="R1295" s="40">
        <v>357</v>
      </c>
      <c r="X1295" s="40">
        <v>90130213</v>
      </c>
      <c r="Y1295" s="40" t="s">
        <v>115</v>
      </c>
      <c r="Z1295" s="40" t="s">
        <v>115</v>
      </c>
      <c r="AA1295" s="40" t="s">
        <v>115</v>
      </c>
      <c r="AB1295" s="40" t="s">
        <v>115</v>
      </c>
      <c r="AC1295" s="40" t="s">
        <v>115</v>
      </c>
      <c r="AI1295" s="40" t="s">
        <v>115</v>
      </c>
      <c r="AP1295" s="4" t="s">
        <v>115</v>
      </c>
    </row>
    <row r="1296" spans="1:42" x14ac:dyDescent="0.15">
      <c r="A1296" s="40" t="s">
        <v>1</v>
      </c>
      <c r="B1296" s="23">
        <v>90130213</v>
      </c>
      <c r="C1296" s="23">
        <v>1302</v>
      </c>
      <c r="D1296" s="23">
        <v>13</v>
      </c>
      <c r="F1296" s="23" t="s">
        <v>373</v>
      </c>
      <c r="G1296" s="23" t="s">
        <v>115</v>
      </c>
      <c r="H1296" s="23" t="s">
        <v>3149</v>
      </c>
      <c r="I1296" s="23">
        <v>3</v>
      </c>
      <c r="J1296" s="40">
        <v>0</v>
      </c>
      <c r="K1296" s="40">
        <v>0</v>
      </c>
      <c r="L1296" s="40" t="s">
        <v>115</v>
      </c>
      <c r="O1296" s="40" t="s">
        <v>115</v>
      </c>
      <c r="Q1296" s="40">
        <v>143</v>
      </c>
      <c r="R1296" s="40">
        <v>357</v>
      </c>
      <c r="X1296" s="40">
        <v>90130214</v>
      </c>
      <c r="Y1296" s="40" t="s">
        <v>115</v>
      </c>
      <c r="Z1296" s="40" t="s">
        <v>115</v>
      </c>
      <c r="AA1296" s="40" t="s">
        <v>115</v>
      </c>
      <c r="AB1296" s="40" t="s">
        <v>115</v>
      </c>
      <c r="AC1296" s="40" t="s">
        <v>115</v>
      </c>
      <c r="AI1296" s="40" t="s">
        <v>115</v>
      </c>
      <c r="AP1296" s="4" t="s">
        <v>115</v>
      </c>
    </row>
    <row r="1297" spans="1:42" x14ac:dyDescent="0.15">
      <c r="A1297" s="40" t="s">
        <v>1</v>
      </c>
      <c r="B1297" s="23">
        <v>90130214</v>
      </c>
      <c r="C1297" s="23">
        <v>1302</v>
      </c>
      <c r="D1297" s="23">
        <v>13</v>
      </c>
      <c r="F1297" s="23" t="s">
        <v>373</v>
      </c>
      <c r="G1297" s="23" t="s">
        <v>115</v>
      </c>
      <c r="H1297" s="23" t="s">
        <v>3150</v>
      </c>
      <c r="I1297" s="23">
        <v>3</v>
      </c>
      <c r="J1297" s="40">
        <v>0</v>
      </c>
      <c r="K1297" s="40">
        <v>5</v>
      </c>
      <c r="L1297" s="40" t="s">
        <v>3151</v>
      </c>
      <c r="O1297" s="40" t="s">
        <v>115</v>
      </c>
      <c r="Q1297" s="40">
        <v>143</v>
      </c>
      <c r="R1297" s="40">
        <v>357</v>
      </c>
      <c r="X1297" s="40">
        <v>90130215</v>
      </c>
      <c r="Y1297" s="40" t="s">
        <v>115</v>
      </c>
      <c r="Z1297" s="40">
        <v>4</v>
      </c>
      <c r="AA1297" s="40" t="s">
        <v>115</v>
      </c>
      <c r="AB1297" s="40" t="s">
        <v>115</v>
      </c>
      <c r="AC1297" s="40" t="s">
        <v>115</v>
      </c>
      <c r="AI1297" s="40" t="s">
        <v>115</v>
      </c>
      <c r="AP1297" s="4" t="s">
        <v>115</v>
      </c>
    </row>
    <row r="1298" spans="1:42" x14ac:dyDescent="0.15">
      <c r="A1298" s="40" t="s">
        <v>1</v>
      </c>
      <c r="B1298" s="23">
        <v>90130215</v>
      </c>
      <c r="C1298" s="23">
        <v>1302</v>
      </c>
      <c r="D1298" s="23">
        <v>13</v>
      </c>
      <c r="F1298" s="23" t="s">
        <v>116</v>
      </c>
      <c r="G1298" s="23">
        <v>314</v>
      </c>
      <c r="H1298" s="23" t="s">
        <v>3152</v>
      </c>
      <c r="I1298" s="23">
        <v>0</v>
      </c>
      <c r="J1298" s="40">
        <v>0</v>
      </c>
      <c r="K1298" s="40">
        <v>0</v>
      </c>
      <c r="L1298" s="40" t="s">
        <v>115</v>
      </c>
      <c r="O1298" s="40" t="s">
        <v>115</v>
      </c>
      <c r="Q1298" s="40">
        <v>143</v>
      </c>
      <c r="R1298" s="40">
        <v>357</v>
      </c>
      <c r="X1298" s="40">
        <v>90130216</v>
      </c>
      <c r="Y1298" s="40" t="s">
        <v>115</v>
      </c>
      <c r="Z1298" s="40" t="s">
        <v>115</v>
      </c>
      <c r="AA1298" s="40" t="s">
        <v>115</v>
      </c>
      <c r="AB1298" s="40" t="s">
        <v>115</v>
      </c>
      <c r="AC1298" s="40" t="s">
        <v>115</v>
      </c>
      <c r="AI1298" s="40" t="s">
        <v>115</v>
      </c>
      <c r="AP1298" s="4" t="s">
        <v>115</v>
      </c>
    </row>
    <row r="1299" spans="1:42" x14ac:dyDescent="0.15">
      <c r="A1299" s="40" t="s">
        <v>1</v>
      </c>
      <c r="B1299" s="23">
        <v>90130216</v>
      </c>
      <c r="C1299" s="23">
        <v>1302</v>
      </c>
      <c r="D1299" s="23">
        <v>13</v>
      </c>
      <c r="F1299" s="23" t="s">
        <v>115</v>
      </c>
      <c r="G1299" s="23" t="s">
        <v>115</v>
      </c>
      <c r="H1299" s="23" t="s">
        <v>3153</v>
      </c>
      <c r="I1299" s="23">
        <v>4</v>
      </c>
      <c r="J1299" s="40">
        <v>0</v>
      </c>
      <c r="K1299" s="40">
        <v>0</v>
      </c>
      <c r="L1299" s="40" t="s">
        <v>115</v>
      </c>
      <c r="O1299" s="40" t="s">
        <v>115</v>
      </c>
      <c r="Q1299" s="40">
        <v>143</v>
      </c>
      <c r="R1299" s="40">
        <v>357</v>
      </c>
      <c r="X1299" s="40">
        <v>90130217</v>
      </c>
      <c r="Y1299" s="40" t="s">
        <v>115</v>
      </c>
      <c r="Z1299" s="40" t="s">
        <v>115</v>
      </c>
      <c r="AA1299" s="40" t="s">
        <v>115</v>
      </c>
      <c r="AB1299" s="40" t="s">
        <v>115</v>
      </c>
      <c r="AC1299" s="40" t="s">
        <v>115</v>
      </c>
      <c r="AI1299" s="40" t="s">
        <v>115</v>
      </c>
      <c r="AP1299" s="4" t="s">
        <v>115</v>
      </c>
    </row>
    <row r="1300" spans="1:42" x14ac:dyDescent="0.15">
      <c r="A1300" s="40" t="s">
        <v>1</v>
      </c>
      <c r="B1300" s="23">
        <v>90130217</v>
      </c>
      <c r="C1300" s="23">
        <v>1302</v>
      </c>
      <c r="D1300" s="23">
        <v>13</v>
      </c>
      <c r="F1300" s="23" t="s">
        <v>115</v>
      </c>
      <c r="G1300" s="23" t="s">
        <v>115</v>
      </c>
      <c r="H1300" s="23" t="s">
        <v>3154</v>
      </c>
      <c r="I1300" s="23">
        <v>4</v>
      </c>
      <c r="J1300" s="40">
        <v>0</v>
      </c>
      <c r="K1300" s="40">
        <v>6</v>
      </c>
      <c r="L1300" s="40" t="s">
        <v>115</v>
      </c>
      <c r="O1300" s="40">
        <v>1</v>
      </c>
      <c r="Q1300" s="40">
        <v>143</v>
      </c>
      <c r="R1300" s="40" t="s">
        <v>115</v>
      </c>
      <c r="X1300" s="40" t="s">
        <v>115</v>
      </c>
      <c r="Y1300" s="40" t="s">
        <v>115</v>
      </c>
      <c r="Z1300" s="40">
        <v>5</v>
      </c>
      <c r="AA1300" s="40" t="s">
        <v>115</v>
      </c>
      <c r="AB1300" s="40" t="s">
        <v>115</v>
      </c>
      <c r="AC1300" s="40" t="s">
        <v>115</v>
      </c>
      <c r="AI1300" s="40" t="s">
        <v>115</v>
      </c>
      <c r="AP1300" s="4" t="s">
        <v>3155</v>
      </c>
    </row>
    <row r="1301" spans="1:42" x14ac:dyDescent="0.15">
      <c r="A1301" s="40" t="s">
        <v>1</v>
      </c>
      <c r="B1301" s="23" t="s">
        <v>2835</v>
      </c>
      <c r="C1301" s="23">
        <v>1303</v>
      </c>
      <c r="D1301" s="23">
        <v>13</v>
      </c>
      <c r="F1301" s="23" t="s">
        <v>115</v>
      </c>
      <c r="G1301" s="23" t="s">
        <v>115</v>
      </c>
      <c r="H1301" s="23" t="s">
        <v>3156</v>
      </c>
      <c r="I1301" s="23">
        <v>4</v>
      </c>
      <c r="J1301" s="40">
        <v>1</v>
      </c>
      <c r="K1301" s="40">
        <v>1</v>
      </c>
      <c r="L1301" s="40" t="s">
        <v>115</v>
      </c>
      <c r="O1301" s="40" t="s">
        <v>115</v>
      </c>
      <c r="Q1301" s="40">
        <v>112</v>
      </c>
      <c r="R1301" s="40" t="s">
        <v>115</v>
      </c>
      <c r="X1301" s="40">
        <v>90130302</v>
      </c>
      <c r="Y1301" s="40" t="s">
        <v>115</v>
      </c>
      <c r="Z1301" s="40" t="s">
        <v>115</v>
      </c>
      <c r="AA1301" s="40" t="s">
        <v>115</v>
      </c>
      <c r="AB1301" s="40" t="s">
        <v>115</v>
      </c>
      <c r="AC1301" s="40" t="s">
        <v>115</v>
      </c>
      <c r="AI1301" s="40" t="s">
        <v>115</v>
      </c>
      <c r="AP1301" s="4" t="s">
        <v>115</v>
      </c>
    </row>
    <row r="1302" spans="1:42" x14ac:dyDescent="0.15">
      <c r="A1302" s="40" t="s">
        <v>1</v>
      </c>
      <c r="B1302" s="23">
        <v>90130302</v>
      </c>
      <c r="C1302" s="23">
        <v>1303</v>
      </c>
      <c r="D1302" s="23">
        <v>13</v>
      </c>
      <c r="F1302" s="23" t="s">
        <v>116</v>
      </c>
      <c r="G1302" s="23">
        <v>314</v>
      </c>
      <c r="H1302" s="23" t="s">
        <v>3157</v>
      </c>
      <c r="I1302" s="23">
        <v>0</v>
      </c>
      <c r="J1302" s="40">
        <v>0</v>
      </c>
      <c r="K1302" s="40">
        <v>2</v>
      </c>
      <c r="L1302" s="40" t="s">
        <v>115</v>
      </c>
      <c r="O1302" s="40" t="s">
        <v>115</v>
      </c>
      <c r="Q1302" s="40">
        <v>112</v>
      </c>
      <c r="R1302" s="40" t="s">
        <v>115</v>
      </c>
      <c r="X1302" s="40" t="s">
        <v>3158</v>
      </c>
      <c r="Y1302" s="40">
        <v>1</v>
      </c>
      <c r="Z1302" s="40">
        <v>1</v>
      </c>
      <c r="AA1302" s="40" t="s">
        <v>115</v>
      </c>
      <c r="AB1302" s="40" t="s">
        <v>115</v>
      </c>
      <c r="AC1302" s="40" t="s">
        <v>115</v>
      </c>
      <c r="AI1302" s="40" t="s">
        <v>115</v>
      </c>
      <c r="AP1302" s="4" t="s">
        <v>115</v>
      </c>
    </row>
    <row r="1303" spans="1:42" x14ac:dyDescent="0.15">
      <c r="A1303" s="40" t="s">
        <v>1</v>
      </c>
      <c r="B1303" s="23">
        <v>90130303</v>
      </c>
      <c r="C1303" s="23">
        <v>1303</v>
      </c>
      <c r="D1303" s="23">
        <v>13</v>
      </c>
      <c r="F1303" s="23" t="s">
        <v>115</v>
      </c>
      <c r="G1303" s="23" t="s">
        <v>115</v>
      </c>
      <c r="H1303" s="23" t="s">
        <v>3159</v>
      </c>
      <c r="I1303" s="23">
        <v>4</v>
      </c>
      <c r="J1303" s="40">
        <v>0</v>
      </c>
      <c r="K1303" s="40">
        <v>3</v>
      </c>
      <c r="L1303" s="40" t="s">
        <v>115</v>
      </c>
      <c r="O1303" s="40" t="s">
        <v>115</v>
      </c>
      <c r="Q1303" s="40">
        <v>112</v>
      </c>
      <c r="R1303" s="40" t="s">
        <v>115</v>
      </c>
      <c r="X1303" s="40">
        <v>90130304</v>
      </c>
      <c r="Y1303" s="40">
        <v>-1</v>
      </c>
      <c r="Z1303" s="40">
        <v>2</v>
      </c>
      <c r="AA1303" s="40" t="s">
        <v>115</v>
      </c>
      <c r="AB1303" s="40" t="s">
        <v>115</v>
      </c>
      <c r="AC1303" s="40" t="s">
        <v>3160</v>
      </c>
      <c r="AI1303" s="40" t="s">
        <v>115</v>
      </c>
      <c r="AP1303" s="4" t="s">
        <v>115</v>
      </c>
    </row>
    <row r="1304" spans="1:42" x14ac:dyDescent="0.15">
      <c r="A1304" s="40" t="s">
        <v>1</v>
      </c>
      <c r="B1304" s="23">
        <v>90130304</v>
      </c>
      <c r="C1304" s="23">
        <v>1303</v>
      </c>
      <c r="D1304" s="23">
        <v>13</v>
      </c>
      <c r="F1304" s="23" t="s">
        <v>3161</v>
      </c>
      <c r="G1304" s="23" t="s">
        <v>115</v>
      </c>
      <c r="H1304" s="23" t="s">
        <v>3162</v>
      </c>
      <c r="I1304" s="23">
        <v>3</v>
      </c>
      <c r="J1304" s="40">
        <v>0</v>
      </c>
      <c r="K1304" s="40">
        <v>0</v>
      </c>
      <c r="L1304" s="40" t="s">
        <v>115</v>
      </c>
      <c r="O1304" s="40" t="s">
        <v>115</v>
      </c>
      <c r="Q1304" s="40">
        <v>112</v>
      </c>
      <c r="R1304" s="40" t="s">
        <v>115</v>
      </c>
      <c r="X1304" s="40">
        <v>90130305</v>
      </c>
      <c r="Y1304" s="40" t="s">
        <v>115</v>
      </c>
      <c r="Z1304" s="40" t="s">
        <v>115</v>
      </c>
      <c r="AA1304" s="40" t="s">
        <v>115</v>
      </c>
      <c r="AB1304" s="40" t="s">
        <v>115</v>
      </c>
      <c r="AC1304" s="40" t="s">
        <v>115</v>
      </c>
      <c r="AI1304" s="40" t="s">
        <v>115</v>
      </c>
      <c r="AP1304" s="4" t="s">
        <v>115</v>
      </c>
    </row>
    <row r="1305" spans="1:42" x14ac:dyDescent="0.15">
      <c r="A1305" s="40" t="s">
        <v>1</v>
      </c>
      <c r="B1305" s="23">
        <v>90130305</v>
      </c>
      <c r="C1305" s="23">
        <v>1303</v>
      </c>
      <c r="D1305" s="23">
        <v>13</v>
      </c>
      <c r="F1305" s="23" t="s">
        <v>3163</v>
      </c>
      <c r="G1305" s="23" t="s">
        <v>115</v>
      </c>
      <c r="H1305" s="23" t="s">
        <v>3164</v>
      </c>
      <c r="I1305" s="23">
        <v>3</v>
      </c>
      <c r="J1305" s="40">
        <v>0</v>
      </c>
      <c r="K1305" s="40">
        <v>0</v>
      </c>
      <c r="L1305" s="40" t="s">
        <v>115</v>
      </c>
      <c r="O1305" s="40" t="s">
        <v>115</v>
      </c>
      <c r="Q1305" s="40">
        <v>112</v>
      </c>
      <c r="R1305" s="40" t="s">
        <v>115</v>
      </c>
      <c r="X1305" s="40">
        <v>90130306</v>
      </c>
      <c r="Y1305" s="40" t="s">
        <v>115</v>
      </c>
      <c r="Z1305" s="40" t="s">
        <v>115</v>
      </c>
      <c r="AA1305" s="40" t="s">
        <v>115</v>
      </c>
      <c r="AB1305" s="40" t="s">
        <v>115</v>
      </c>
      <c r="AC1305" s="40" t="s">
        <v>115</v>
      </c>
      <c r="AI1305" s="40" t="s">
        <v>115</v>
      </c>
      <c r="AP1305" s="4" t="s">
        <v>115</v>
      </c>
    </row>
    <row r="1306" spans="1:42" x14ac:dyDescent="0.15">
      <c r="A1306" s="40" t="s">
        <v>1</v>
      </c>
      <c r="B1306" s="23">
        <v>90130306</v>
      </c>
      <c r="C1306" s="23">
        <v>1303</v>
      </c>
      <c r="D1306" s="23">
        <v>13</v>
      </c>
      <c r="F1306" s="23" t="s">
        <v>3165</v>
      </c>
      <c r="G1306" s="23" t="s">
        <v>115</v>
      </c>
      <c r="H1306" s="23" t="s">
        <v>3166</v>
      </c>
      <c r="I1306" s="23">
        <v>3</v>
      </c>
      <c r="J1306" s="40">
        <v>0</v>
      </c>
      <c r="K1306" s="40">
        <v>0</v>
      </c>
      <c r="L1306" s="40" t="s">
        <v>115</v>
      </c>
      <c r="O1306" s="40" t="s">
        <v>115</v>
      </c>
      <c r="Q1306" s="40">
        <v>112</v>
      </c>
      <c r="R1306" s="40" t="s">
        <v>115</v>
      </c>
      <c r="X1306" s="40">
        <v>90130307</v>
      </c>
      <c r="Y1306" s="40" t="s">
        <v>115</v>
      </c>
      <c r="Z1306" s="40" t="s">
        <v>115</v>
      </c>
      <c r="AA1306" s="40" t="s">
        <v>115</v>
      </c>
      <c r="AB1306" s="40" t="s">
        <v>115</v>
      </c>
      <c r="AC1306" s="40" t="s">
        <v>115</v>
      </c>
      <c r="AI1306" s="40" t="s">
        <v>115</v>
      </c>
      <c r="AP1306" s="4" t="s">
        <v>115</v>
      </c>
    </row>
    <row r="1307" spans="1:42" x14ac:dyDescent="0.15">
      <c r="A1307" s="40" t="s">
        <v>1</v>
      </c>
      <c r="B1307" s="23">
        <v>90130307</v>
      </c>
      <c r="C1307" s="23">
        <v>1303</v>
      </c>
      <c r="D1307" s="23">
        <v>13</v>
      </c>
      <c r="F1307" s="23" t="s">
        <v>115</v>
      </c>
      <c r="G1307" s="23" t="s">
        <v>115</v>
      </c>
      <c r="H1307" s="23" t="s">
        <v>3167</v>
      </c>
      <c r="I1307" s="23">
        <v>4</v>
      </c>
      <c r="J1307" s="40">
        <v>0</v>
      </c>
      <c r="K1307" s="40">
        <v>4</v>
      </c>
      <c r="L1307" s="40" t="s">
        <v>115</v>
      </c>
      <c r="O1307" s="40">
        <v>1</v>
      </c>
      <c r="Q1307" s="40">
        <v>112</v>
      </c>
      <c r="R1307" s="40" t="s">
        <v>115</v>
      </c>
      <c r="X1307" s="40" t="s">
        <v>115</v>
      </c>
      <c r="Y1307" s="40" t="s">
        <v>115</v>
      </c>
      <c r="Z1307" s="40">
        <v>3</v>
      </c>
      <c r="AA1307" s="40" t="s">
        <v>115</v>
      </c>
      <c r="AB1307" s="40" t="s">
        <v>115</v>
      </c>
      <c r="AC1307" s="40" t="s">
        <v>115</v>
      </c>
      <c r="AI1307" s="40" t="s">
        <v>115</v>
      </c>
      <c r="AP1307" s="4" t="s">
        <v>115</v>
      </c>
    </row>
    <row r="1308" spans="1:42" x14ac:dyDescent="0.15">
      <c r="A1308" s="40" t="s">
        <v>1</v>
      </c>
      <c r="B1308" s="23" t="s">
        <v>2837</v>
      </c>
      <c r="C1308" s="23">
        <v>1304</v>
      </c>
      <c r="D1308" s="23">
        <v>13</v>
      </c>
      <c r="F1308" s="23" t="s">
        <v>115</v>
      </c>
      <c r="G1308" s="23" t="s">
        <v>115</v>
      </c>
      <c r="H1308" s="23" t="s">
        <v>3168</v>
      </c>
      <c r="I1308" s="23">
        <v>4</v>
      </c>
      <c r="J1308" s="40">
        <v>1</v>
      </c>
      <c r="K1308" s="40">
        <v>1</v>
      </c>
      <c r="L1308" s="40" t="s">
        <v>115</v>
      </c>
      <c r="O1308" s="40" t="s">
        <v>115</v>
      </c>
      <c r="Q1308" s="40">
        <v>198</v>
      </c>
      <c r="R1308" s="40" t="s">
        <v>115</v>
      </c>
      <c r="X1308" s="40">
        <v>90130402</v>
      </c>
      <c r="Y1308" s="40" t="s">
        <v>115</v>
      </c>
      <c r="Z1308" s="40" t="s">
        <v>115</v>
      </c>
      <c r="AA1308" s="40" t="s">
        <v>115</v>
      </c>
      <c r="AB1308" s="40" t="s">
        <v>115</v>
      </c>
      <c r="AC1308" s="40" t="s">
        <v>115</v>
      </c>
      <c r="AI1308" s="40" t="s">
        <v>115</v>
      </c>
      <c r="AP1308" s="4" t="s">
        <v>115</v>
      </c>
    </row>
    <row r="1309" spans="1:42" x14ac:dyDescent="0.15">
      <c r="A1309" s="40" t="s">
        <v>1</v>
      </c>
      <c r="B1309" s="23">
        <v>90130402</v>
      </c>
      <c r="C1309" s="23">
        <v>1304</v>
      </c>
      <c r="D1309" s="23">
        <v>13</v>
      </c>
      <c r="F1309" s="23" t="s">
        <v>344</v>
      </c>
      <c r="G1309" s="23" t="s">
        <v>115</v>
      </c>
      <c r="H1309" s="23" t="s">
        <v>3169</v>
      </c>
      <c r="I1309" s="23">
        <v>3</v>
      </c>
      <c r="J1309" s="40">
        <v>0</v>
      </c>
      <c r="K1309" s="40">
        <v>0</v>
      </c>
      <c r="L1309" s="40" t="s">
        <v>115</v>
      </c>
      <c r="O1309" s="40" t="s">
        <v>115</v>
      </c>
      <c r="Q1309" s="40">
        <v>198</v>
      </c>
      <c r="R1309" s="40">
        <v>15</v>
      </c>
      <c r="X1309" s="40">
        <v>90130403</v>
      </c>
      <c r="Y1309" s="40" t="s">
        <v>115</v>
      </c>
      <c r="Z1309" s="40" t="s">
        <v>115</v>
      </c>
      <c r="AA1309" s="40" t="s">
        <v>115</v>
      </c>
      <c r="AB1309" s="40" t="s">
        <v>115</v>
      </c>
      <c r="AC1309" s="40" t="s">
        <v>115</v>
      </c>
      <c r="AI1309" s="40" t="s">
        <v>115</v>
      </c>
      <c r="AP1309" s="4" t="s">
        <v>115</v>
      </c>
    </row>
    <row r="1310" spans="1:42" x14ac:dyDescent="0.15">
      <c r="A1310" s="40" t="s">
        <v>1</v>
      </c>
      <c r="B1310" s="23">
        <v>90130403</v>
      </c>
      <c r="C1310" s="23">
        <v>1304</v>
      </c>
      <c r="D1310" s="23">
        <v>13</v>
      </c>
      <c r="F1310" s="23" t="s">
        <v>115</v>
      </c>
      <c r="G1310" s="23" t="s">
        <v>115</v>
      </c>
      <c r="H1310" s="23" t="s">
        <v>7462</v>
      </c>
      <c r="I1310" s="23">
        <v>4</v>
      </c>
      <c r="J1310" s="40">
        <v>0</v>
      </c>
      <c r="K1310" s="40">
        <v>2</v>
      </c>
      <c r="L1310" s="40" t="s">
        <v>115</v>
      </c>
      <c r="O1310" s="40" t="s">
        <v>115</v>
      </c>
      <c r="Q1310" s="40">
        <v>198</v>
      </c>
      <c r="R1310" s="40">
        <v>15</v>
      </c>
      <c r="X1310" s="40" t="s">
        <v>3170</v>
      </c>
      <c r="Y1310" s="40">
        <v>1</v>
      </c>
      <c r="Z1310" s="40">
        <v>1</v>
      </c>
      <c r="AA1310" s="40" t="s">
        <v>115</v>
      </c>
      <c r="AB1310" s="40" t="s">
        <v>115</v>
      </c>
      <c r="AC1310" s="40" t="s">
        <v>115</v>
      </c>
      <c r="AI1310" s="40" t="s">
        <v>115</v>
      </c>
      <c r="AP1310" s="4" t="s">
        <v>115</v>
      </c>
    </row>
    <row r="1311" spans="1:42" x14ac:dyDescent="0.15">
      <c r="A1311" s="40" t="s">
        <v>1</v>
      </c>
      <c r="B1311" s="23">
        <v>90130404</v>
      </c>
      <c r="C1311" s="23">
        <v>1304</v>
      </c>
      <c r="D1311" s="23">
        <v>13</v>
      </c>
      <c r="F1311" s="23" t="s">
        <v>115</v>
      </c>
      <c r="G1311" s="23" t="s">
        <v>115</v>
      </c>
      <c r="H1311" s="23" t="s">
        <v>3171</v>
      </c>
      <c r="I1311" s="23">
        <v>4</v>
      </c>
      <c r="J1311" s="40">
        <v>0</v>
      </c>
      <c r="K1311" s="40">
        <v>3</v>
      </c>
      <c r="L1311" s="40" t="s">
        <v>115</v>
      </c>
      <c r="O1311" s="40" t="s">
        <v>115</v>
      </c>
      <c r="Q1311" s="40">
        <v>198</v>
      </c>
      <c r="R1311" s="40">
        <v>15</v>
      </c>
      <c r="X1311" s="40">
        <v>90130406</v>
      </c>
      <c r="Y1311" s="40">
        <v>-1</v>
      </c>
      <c r="Z1311" s="40">
        <v>2</v>
      </c>
      <c r="AA1311" s="40" t="s">
        <v>115</v>
      </c>
      <c r="AB1311" s="40" t="s">
        <v>115</v>
      </c>
      <c r="AC1311" s="40" t="s">
        <v>115</v>
      </c>
      <c r="AI1311" s="40" t="s">
        <v>115</v>
      </c>
      <c r="AP1311" s="4" t="s">
        <v>115</v>
      </c>
    </row>
    <row r="1312" spans="1:42" x14ac:dyDescent="0.15">
      <c r="A1312" s="40" t="s">
        <v>1</v>
      </c>
      <c r="B1312" s="23">
        <v>90130405</v>
      </c>
      <c r="C1312" s="23">
        <v>1304</v>
      </c>
      <c r="D1312" s="23">
        <v>13</v>
      </c>
      <c r="F1312" s="23" t="s">
        <v>115</v>
      </c>
      <c r="G1312" s="23" t="s">
        <v>115</v>
      </c>
      <c r="H1312" s="23" t="s">
        <v>3172</v>
      </c>
      <c r="I1312" s="23">
        <v>4</v>
      </c>
      <c r="J1312" s="40">
        <v>0</v>
      </c>
      <c r="K1312" s="40">
        <v>4</v>
      </c>
      <c r="L1312" s="40" t="s">
        <v>115</v>
      </c>
      <c r="O1312" s="40" t="s">
        <v>115</v>
      </c>
      <c r="Q1312" s="40">
        <v>198</v>
      </c>
      <c r="R1312" s="40">
        <v>15</v>
      </c>
      <c r="X1312" s="40">
        <v>90130408</v>
      </c>
      <c r="Y1312" s="40">
        <v>-1</v>
      </c>
      <c r="Z1312" s="40">
        <v>2</v>
      </c>
      <c r="AA1312" s="40" t="s">
        <v>115</v>
      </c>
      <c r="AB1312" s="40" t="s">
        <v>115</v>
      </c>
      <c r="AC1312" s="40" t="s">
        <v>115</v>
      </c>
      <c r="AI1312" s="40" t="s">
        <v>115</v>
      </c>
      <c r="AP1312" s="4" t="s">
        <v>115</v>
      </c>
    </row>
    <row r="1313" spans="1:42" x14ac:dyDescent="0.15">
      <c r="A1313" s="40" t="s">
        <v>1</v>
      </c>
      <c r="B1313" s="23">
        <v>90130406</v>
      </c>
      <c r="C1313" s="23">
        <v>1304</v>
      </c>
      <c r="D1313" s="23">
        <v>13</v>
      </c>
      <c r="F1313" s="23" t="s">
        <v>116</v>
      </c>
      <c r="G1313" s="23">
        <v>312</v>
      </c>
      <c r="H1313" s="23" t="s">
        <v>3173</v>
      </c>
      <c r="I1313" s="23">
        <v>0</v>
      </c>
      <c r="J1313" s="40">
        <v>0</v>
      </c>
      <c r="K1313" s="40">
        <v>0</v>
      </c>
      <c r="L1313" s="40" t="s">
        <v>115</v>
      </c>
      <c r="O1313" s="40" t="s">
        <v>115</v>
      </c>
      <c r="Q1313" s="40">
        <v>198</v>
      </c>
      <c r="R1313" s="40">
        <v>15</v>
      </c>
      <c r="X1313" s="40">
        <v>90130407</v>
      </c>
      <c r="Y1313" s="40" t="s">
        <v>115</v>
      </c>
      <c r="Z1313" s="40" t="s">
        <v>115</v>
      </c>
      <c r="AA1313" s="40" t="s">
        <v>115</v>
      </c>
      <c r="AB1313" s="40" t="s">
        <v>115</v>
      </c>
      <c r="AC1313" s="40" t="s">
        <v>115</v>
      </c>
      <c r="AI1313" s="40" t="s">
        <v>115</v>
      </c>
      <c r="AP1313" s="4" t="s">
        <v>115</v>
      </c>
    </row>
    <row r="1314" spans="1:42" x14ac:dyDescent="0.15">
      <c r="A1314" s="40" t="s">
        <v>1</v>
      </c>
      <c r="B1314" s="23">
        <v>90130407</v>
      </c>
      <c r="C1314" s="23">
        <v>1304</v>
      </c>
      <c r="D1314" s="23">
        <v>13</v>
      </c>
      <c r="F1314" s="23" t="s">
        <v>344</v>
      </c>
      <c r="G1314" s="23" t="s">
        <v>115</v>
      </c>
      <c r="H1314" s="23" t="s">
        <v>3174</v>
      </c>
      <c r="I1314" s="23">
        <v>3</v>
      </c>
      <c r="J1314" s="40">
        <v>0</v>
      </c>
      <c r="K1314" s="40">
        <v>0</v>
      </c>
      <c r="L1314" s="40" t="s">
        <v>115</v>
      </c>
      <c r="O1314" s="40" t="s">
        <v>115</v>
      </c>
      <c r="Q1314" s="40">
        <v>198</v>
      </c>
      <c r="R1314" s="40">
        <v>15</v>
      </c>
      <c r="X1314" s="40">
        <v>90130410</v>
      </c>
      <c r="Y1314" s="40" t="s">
        <v>115</v>
      </c>
      <c r="Z1314" s="40" t="s">
        <v>115</v>
      </c>
      <c r="AA1314" s="40" t="s">
        <v>115</v>
      </c>
      <c r="AB1314" s="40" t="s">
        <v>115</v>
      </c>
      <c r="AC1314" s="40" t="s">
        <v>115</v>
      </c>
      <c r="AI1314" s="40" t="s">
        <v>115</v>
      </c>
      <c r="AP1314" s="4" t="s">
        <v>115</v>
      </c>
    </row>
    <row r="1315" spans="1:42" x14ac:dyDescent="0.15">
      <c r="A1315" s="40" t="s">
        <v>1</v>
      </c>
      <c r="B1315" s="23">
        <v>90130408</v>
      </c>
      <c r="C1315" s="23">
        <v>1304</v>
      </c>
      <c r="D1315" s="23">
        <v>13</v>
      </c>
      <c r="F1315" s="23" t="s">
        <v>116</v>
      </c>
      <c r="G1315" s="23">
        <v>312</v>
      </c>
      <c r="H1315" s="23" t="s">
        <v>3175</v>
      </c>
      <c r="I1315" s="23">
        <v>2</v>
      </c>
      <c r="J1315" s="40">
        <v>0</v>
      </c>
      <c r="K1315" s="40">
        <v>0</v>
      </c>
      <c r="L1315" s="40" t="s">
        <v>115</v>
      </c>
      <c r="O1315" s="40" t="s">
        <v>115</v>
      </c>
      <c r="Q1315" s="40">
        <v>198</v>
      </c>
      <c r="R1315" s="40">
        <v>15</v>
      </c>
      <c r="X1315" s="40">
        <v>90130409</v>
      </c>
      <c r="Y1315" s="40" t="s">
        <v>115</v>
      </c>
      <c r="Z1315" s="40" t="s">
        <v>115</v>
      </c>
      <c r="AA1315" s="40" t="s">
        <v>115</v>
      </c>
      <c r="AB1315" s="40" t="s">
        <v>115</v>
      </c>
      <c r="AC1315" s="40" t="s">
        <v>115</v>
      </c>
      <c r="AI1315" s="40" t="s">
        <v>115</v>
      </c>
      <c r="AP1315" s="4" t="s">
        <v>115</v>
      </c>
    </row>
    <row r="1316" spans="1:42" x14ac:dyDescent="0.15">
      <c r="A1316" s="40" t="s">
        <v>1</v>
      </c>
      <c r="B1316" s="23">
        <v>90130409</v>
      </c>
      <c r="C1316" s="23">
        <v>1304</v>
      </c>
      <c r="D1316" s="23">
        <v>13</v>
      </c>
      <c r="F1316" s="23" t="s">
        <v>115</v>
      </c>
      <c r="G1316" s="23" t="s">
        <v>115</v>
      </c>
      <c r="H1316" s="23" t="s">
        <v>3176</v>
      </c>
      <c r="I1316" s="23">
        <v>4</v>
      </c>
      <c r="J1316" s="40">
        <v>0</v>
      </c>
      <c r="K1316" s="40">
        <v>0</v>
      </c>
      <c r="L1316" s="40" t="s">
        <v>115</v>
      </c>
      <c r="O1316" s="40" t="s">
        <v>115</v>
      </c>
      <c r="Q1316" s="40">
        <v>198</v>
      </c>
      <c r="R1316" s="40">
        <v>15</v>
      </c>
      <c r="X1316" s="40">
        <v>90130403</v>
      </c>
      <c r="Y1316" s="40" t="s">
        <v>115</v>
      </c>
      <c r="Z1316" s="40" t="s">
        <v>115</v>
      </c>
      <c r="AA1316" s="40" t="s">
        <v>115</v>
      </c>
      <c r="AB1316" s="40" t="s">
        <v>115</v>
      </c>
      <c r="AC1316" s="40" t="s">
        <v>115</v>
      </c>
      <c r="AI1316" s="40" t="s">
        <v>115</v>
      </c>
      <c r="AP1316" s="4" t="s">
        <v>115</v>
      </c>
    </row>
    <row r="1317" spans="1:42" x14ac:dyDescent="0.15">
      <c r="A1317" s="40" t="s">
        <v>1</v>
      </c>
      <c r="B1317" s="23">
        <v>90130410</v>
      </c>
      <c r="C1317" s="23">
        <v>1304</v>
      </c>
      <c r="D1317" s="23">
        <v>13</v>
      </c>
      <c r="F1317" s="23" t="s">
        <v>344</v>
      </c>
      <c r="G1317" s="23" t="s">
        <v>115</v>
      </c>
      <c r="H1317" s="23" t="s">
        <v>3177</v>
      </c>
      <c r="I1317" s="23">
        <v>3</v>
      </c>
      <c r="J1317" s="40">
        <v>0</v>
      </c>
      <c r="K1317" s="40">
        <v>0</v>
      </c>
      <c r="L1317" s="40" t="s">
        <v>115</v>
      </c>
      <c r="O1317" s="40" t="s">
        <v>115</v>
      </c>
      <c r="Q1317" s="40">
        <v>198</v>
      </c>
      <c r="R1317" s="40">
        <v>15</v>
      </c>
      <c r="X1317" s="40">
        <v>90130411</v>
      </c>
      <c r="Y1317" s="40" t="s">
        <v>115</v>
      </c>
      <c r="Z1317" s="40" t="s">
        <v>115</v>
      </c>
      <c r="AA1317" s="40" t="s">
        <v>115</v>
      </c>
      <c r="AB1317" s="40" t="s">
        <v>115</v>
      </c>
      <c r="AC1317" s="40" t="s">
        <v>115</v>
      </c>
      <c r="AI1317" s="40" t="s">
        <v>115</v>
      </c>
      <c r="AP1317" s="4" t="s">
        <v>115</v>
      </c>
    </row>
    <row r="1318" spans="1:42" x14ac:dyDescent="0.15">
      <c r="A1318" s="40" t="s">
        <v>1</v>
      </c>
      <c r="B1318" s="23">
        <v>90130411</v>
      </c>
      <c r="C1318" s="23">
        <v>1304</v>
      </c>
      <c r="D1318" s="23">
        <v>13</v>
      </c>
      <c r="F1318" s="23" t="s">
        <v>116</v>
      </c>
      <c r="G1318" s="23">
        <v>312</v>
      </c>
      <c r="H1318" s="23" t="s">
        <v>3178</v>
      </c>
      <c r="I1318" s="23">
        <v>0</v>
      </c>
      <c r="J1318" s="40">
        <v>0</v>
      </c>
      <c r="K1318" s="40">
        <v>0</v>
      </c>
      <c r="L1318" s="40" t="s">
        <v>115</v>
      </c>
      <c r="O1318" s="40" t="s">
        <v>115</v>
      </c>
      <c r="Q1318" s="40">
        <v>198</v>
      </c>
      <c r="R1318" s="40">
        <v>15</v>
      </c>
      <c r="X1318" s="40">
        <v>90130412</v>
      </c>
      <c r="Y1318" s="40" t="s">
        <v>115</v>
      </c>
      <c r="Z1318" s="40" t="s">
        <v>115</v>
      </c>
      <c r="AA1318" s="40" t="s">
        <v>115</v>
      </c>
      <c r="AB1318" s="40" t="s">
        <v>115</v>
      </c>
      <c r="AC1318" s="40" t="s">
        <v>115</v>
      </c>
      <c r="AI1318" s="40" t="s">
        <v>115</v>
      </c>
      <c r="AP1318" s="4" t="s">
        <v>115</v>
      </c>
    </row>
    <row r="1319" spans="1:42" x14ac:dyDescent="0.15">
      <c r="A1319" s="40" t="s">
        <v>1</v>
      </c>
      <c r="B1319" s="23">
        <v>90130412</v>
      </c>
      <c r="C1319" s="23">
        <v>1304</v>
      </c>
      <c r="D1319" s="23">
        <v>13</v>
      </c>
      <c r="F1319" s="23" t="s">
        <v>344</v>
      </c>
      <c r="G1319" s="23" t="s">
        <v>115</v>
      </c>
      <c r="H1319" s="23" t="s">
        <v>3179</v>
      </c>
      <c r="I1319" s="23">
        <v>3</v>
      </c>
      <c r="J1319" s="40">
        <v>0</v>
      </c>
      <c r="K1319" s="40">
        <v>0</v>
      </c>
      <c r="L1319" s="40" t="s">
        <v>115</v>
      </c>
      <c r="O1319" s="40" t="s">
        <v>115</v>
      </c>
      <c r="Q1319" s="40">
        <v>198</v>
      </c>
      <c r="R1319" s="40">
        <v>15</v>
      </c>
      <c r="X1319" s="40">
        <v>90130413</v>
      </c>
      <c r="Y1319" s="40" t="s">
        <v>115</v>
      </c>
      <c r="Z1319" s="40" t="s">
        <v>115</v>
      </c>
      <c r="AA1319" s="40" t="s">
        <v>115</v>
      </c>
      <c r="AB1319" s="40" t="s">
        <v>115</v>
      </c>
      <c r="AC1319" s="40" t="s">
        <v>115</v>
      </c>
      <c r="AI1319" s="40" t="s">
        <v>115</v>
      </c>
      <c r="AP1319" s="4" t="s">
        <v>115</v>
      </c>
    </row>
    <row r="1320" spans="1:42" x14ac:dyDescent="0.15">
      <c r="A1320" s="40" t="s">
        <v>1</v>
      </c>
      <c r="B1320" s="23">
        <v>90130413</v>
      </c>
      <c r="C1320" s="23">
        <v>1304</v>
      </c>
      <c r="D1320" s="23">
        <v>13</v>
      </c>
      <c r="F1320" s="23" t="s">
        <v>344</v>
      </c>
      <c r="G1320" s="23" t="s">
        <v>115</v>
      </c>
      <c r="H1320" s="23" t="s">
        <v>3180</v>
      </c>
      <c r="I1320" s="23">
        <v>3</v>
      </c>
      <c r="J1320" s="40">
        <v>0</v>
      </c>
      <c r="K1320" s="40">
        <v>0</v>
      </c>
      <c r="L1320" s="40" t="s">
        <v>115</v>
      </c>
      <c r="O1320" s="40" t="s">
        <v>115</v>
      </c>
      <c r="Q1320" s="40">
        <v>198</v>
      </c>
      <c r="R1320" s="40">
        <v>15</v>
      </c>
      <c r="X1320" s="40">
        <v>90130414</v>
      </c>
      <c r="Y1320" s="40" t="s">
        <v>115</v>
      </c>
      <c r="Z1320" s="40" t="s">
        <v>115</v>
      </c>
      <c r="AA1320" s="40" t="s">
        <v>115</v>
      </c>
      <c r="AB1320" s="40" t="s">
        <v>115</v>
      </c>
      <c r="AC1320" s="40" t="s">
        <v>115</v>
      </c>
      <c r="AI1320" s="40" t="s">
        <v>115</v>
      </c>
      <c r="AP1320" s="4" t="s">
        <v>115</v>
      </c>
    </row>
    <row r="1321" spans="1:42" x14ac:dyDescent="0.15">
      <c r="A1321" s="40" t="s">
        <v>1</v>
      </c>
      <c r="B1321" s="23">
        <v>90130414</v>
      </c>
      <c r="C1321" s="23">
        <v>1304</v>
      </c>
      <c r="D1321" s="23">
        <v>13</v>
      </c>
      <c r="F1321" s="23" t="s">
        <v>344</v>
      </c>
      <c r="G1321" s="23" t="s">
        <v>115</v>
      </c>
      <c r="H1321" s="23" t="s">
        <v>3181</v>
      </c>
      <c r="I1321" s="23">
        <v>3</v>
      </c>
      <c r="J1321" s="40">
        <v>0</v>
      </c>
      <c r="K1321" s="40">
        <v>5</v>
      </c>
      <c r="L1321" s="40" t="s">
        <v>3182</v>
      </c>
      <c r="O1321" s="40" t="s">
        <v>115</v>
      </c>
      <c r="Q1321" s="40">
        <v>198</v>
      </c>
      <c r="R1321" s="40">
        <v>15</v>
      </c>
      <c r="X1321" s="40">
        <v>90130415</v>
      </c>
      <c r="Y1321" s="40" t="s">
        <v>115</v>
      </c>
      <c r="Z1321" s="40">
        <v>4</v>
      </c>
      <c r="AA1321" s="40" t="s">
        <v>115</v>
      </c>
      <c r="AB1321" s="40" t="s">
        <v>115</v>
      </c>
      <c r="AC1321" s="40" t="s">
        <v>115</v>
      </c>
      <c r="AI1321" s="40" t="s">
        <v>115</v>
      </c>
      <c r="AP1321" s="4" t="s">
        <v>115</v>
      </c>
    </row>
    <row r="1322" spans="1:42" x14ac:dyDescent="0.15">
      <c r="A1322" s="40" t="s">
        <v>1</v>
      </c>
      <c r="B1322" s="23">
        <v>90130415</v>
      </c>
      <c r="C1322" s="23">
        <v>1304</v>
      </c>
      <c r="D1322" s="23">
        <v>13</v>
      </c>
      <c r="F1322" s="23" t="s">
        <v>115</v>
      </c>
      <c r="G1322" s="23" t="s">
        <v>115</v>
      </c>
      <c r="H1322" s="23" t="s">
        <v>3183</v>
      </c>
      <c r="I1322" s="23">
        <v>4</v>
      </c>
      <c r="J1322" s="40">
        <v>0</v>
      </c>
      <c r="K1322" s="40">
        <v>6</v>
      </c>
      <c r="L1322" s="40" t="s">
        <v>115</v>
      </c>
      <c r="O1322" s="40">
        <v>1</v>
      </c>
      <c r="Q1322" s="40">
        <v>198</v>
      </c>
      <c r="R1322" s="40" t="s">
        <v>115</v>
      </c>
      <c r="X1322" s="40" t="s">
        <v>115</v>
      </c>
      <c r="Y1322" s="40" t="s">
        <v>115</v>
      </c>
      <c r="Z1322" s="40">
        <v>5</v>
      </c>
      <c r="AA1322" s="40" t="s">
        <v>115</v>
      </c>
      <c r="AB1322" s="40" t="s">
        <v>115</v>
      </c>
      <c r="AC1322" s="40" t="s">
        <v>115</v>
      </c>
      <c r="AI1322" s="40" t="s">
        <v>115</v>
      </c>
      <c r="AP1322" s="4" t="s">
        <v>3184</v>
      </c>
    </row>
    <row r="1323" spans="1:42" x14ac:dyDescent="0.15">
      <c r="A1323" s="40" t="s">
        <v>1</v>
      </c>
      <c r="B1323" s="23" t="s">
        <v>2839</v>
      </c>
      <c r="C1323" s="23">
        <v>1305</v>
      </c>
      <c r="D1323" s="23">
        <v>13</v>
      </c>
      <c r="F1323" s="23" t="s">
        <v>115</v>
      </c>
      <c r="G1323" s="23" t="s">
        <v>115</v>
      </c>
      <c r="H1323" s="23" t="s">
        <v>3185</v>
      </c>
      <c r="I1323" s="23">
        <v>4</v>
      </c>
      <c r="J1323" s="40">
        <v>1</v>
      </c>
      <c r="K1323" s="40">
        <v>1</v>
      </c>
      <c r="L1323" s="40" t="s">
        <v>115</v>
      </c>
      <c r="O1323" s="40" t="s">
        <v>115</v>
      </c>
      <c r="Q1323" s="40">
        <v>136</v>
      </c>
      <c r="R1323" s="40" t="s">
        <v>115</v>
      </c>
      <c r="X1323" s="40">
        <v>90130502</v>
      </c>
      <c r="Y1323" s="40" t="s">
        <v>115</v>
      </c>
      <c r="Z1323" s="40" t="s">
        <v>115</v>
      </c>
      <c r="AA1323" s="40" t="s">
        <v>115</v>
      </c>
      <c r="AB1323" s="40" t="s">
        <v>115</v>
      </c>
      <c r="AC1323" s="40" t="s">
        <v>115</v>
      </c>
      <c r="AI1323" s="40" t="s">
        <v>115</v>
      </c>
      <c r="AP1323" s="4" t="s">
        <v>115</v>
      </c>
    </row>
    <row r="1324" spans="1:42" x14ac:dyDescent="0.15">
      <c r="A1324" s="40" t="s">
        <v>1</v>
      </c>
      <c r="B1324" s="23">
        <v>90130502</v>
      </c>
      <c r="C1324" s="23">
        <v>1305</v>
      </c>
      <c r="D1324" s="23">
        <v>13</v>
      </c>
      <c r="F1324" s="23" t="s">
        <v>115</v>
      </c>
      <c r="G1324" s="23" t="s">
        <v>115</v>
      </c>
      <c r="H1324" s="23" t="s">
        <v>3186</v>
      </c>
      <c r="I1324" s="23">
        <v>4</v>
      </c>
      <c r="J1324" s="40">
        <v>0</v>
      </c>
      <c r="K1324" s="40">
        <v>2</v>
      </c>
      <c r="L1324" s="40" t="s">
        <v>115</v>
      </c>
      <c r="O1324" s="40" t="s">
        <v>115</v>
      </c>
      <c r="Q1324" s="40">
        <v>136</v>
      </c>
      <c r="R1324" s="40" t="s">
        <v>115</v>
      </c>
      <c r="X1324" s="40" t="s">
        <v>3187</v>
      </c>
      <c r="Y1324" s="40">
        <v>1</v>
      </c>
      <c r="Z1324" s="40">
        <v>1</v>
      </c>
      <c r="AA1324" s="40" t="s">
        <v>115</v>
      </c>
      <c r="AB1324" s="40" t="s">
        <v>115</v>
      </c>
      <c r="AC1324" s="40" t="s">
        <v>115</v>
      </c>
      <c r="AI1324" s="40" t="s">
        <v>115</v>
      </c>
      <c r="AP1324" s="4" t="s">
        <v>115</v>
      </c>
    </row>
    <row r="1325" spans="1:42" x14ac:dyDescent="0.15">
      <c r="A1325" s="40" t="s">
        <v>1</v>
      </c>
      <c r="B1325" s="23">
        <v>90130503</v>
      </c>
      <c r="C1325" s="23">
        <v>1305</v>
      </c>
      <c r="D1325" s="23">
        <v>13</v>
      </c>
      <c r="F1325" s="23" t="s">
        <v>115</v>
      </c>
      <c r="G1325" s="23" t="s">
        <v>115</v>
      </c>
      <c r="H1325" s="23" t="s">
        <v>3188</v>
      </c>
      <c r="I1325" s="23">
        <v>4</v>
      </c>
      <c r="J1325" s="40">
        <v>0</v>
      </c>
      <c r="K1325" s="40">
        <v>3</v>
      </c>
      <c r="L1325" s="40" t="s">
        <v>115</v>
      </c>
      <c r="O1325" s="40" t="s">
        <v>115</v>
      </c>
      <c r="Q1325" s="40">
        <v>136</v>
      </c>
      <c r="R1325" s="40" t="s">
        <v>115</v>
      </c>
      <c r="X1325" s="40">
        <v>90130504</v>
      </c>
      <c r="Y1325" s="40">
        <v>-1</v>
      </c>
      <c r="Z1325" s="40">
        <v>2</v>
      </c>
      <c r="AA1325" s="40" t="s">
        <v>115</v>
      </c>
      <c r="AB1325" s="40" t="s">
        <v>115</v>
      </c>
      <c r="AC1325" s="40" t="s">
        <v>3189</v>
      </c>
      <c r="AI1325" s="40" t="s">
        <v>115</v>
      </c>
      <c r="AP1325" s="4" t="s">
        <v>115</v>
      </c>
    </row>
    <row r="1326" spans="1:42" x14ac:dyDescent="0.15">
      <c r="A1326" s="40" t="s">
        <v>1</v>
      </c>
      <c r="B1326" s="23">
        <v>90130504</v>
      </c>
      <c r="C1326" s="23">
        <v>1305</v>
      </c>
      <c r="D1326" s="23">
        <v>13</v>
      </c>
      <c r="F1326" s="23" t="s">
        <v>115</v>
      </c>
      <c r="G1326" s="23" t="s">
        <v>115</v>
      </c>
      <c r="H1326" s="23" t="s">
        <v>3190</v>
      </c>
      <c r="I1326" s="23">
        <v>4</v>
      </c>
      <c r="J1326" s="40">
        <v>0</v>
      </c>
      <c r="K1326" s="40">
        <v>0</v>
      </c>
      <c r="L1326" s="40" t="s">
        <v>115</v>
      </c>
      <c r="O1326" s="40" t="s">
        <v>115</v>
      </c>
      <c r="Q1326" s="40">
        <v>136</v>
      </c>
      <c r="R1326" s="40" t="s">
        <v>115</v>
      </c>
      <c r="X1326" s="40">
        <v>90130505</v>
      </c>
      <c r="Y1326" s="40" t="s">
        <v>115</v>
      </c>
      <c r="Z1326" s="40" t="s">
        <v>115</v>
      </c>
      <c r="AA1326" s="40" t="s">
        <v>115</v>
      </c>
      <c r="AB1326" s="40" t="s">
        <v>115</v>
      </c>
      <c r="AC1326" s="40" t="s">
        <v>115</v>
      </c>
      <c r="AI1326" s="40" t="s">
        <v>115</v>
      </c>
      <c r="AP1326" s="4" t="s">
        <v>115</v>
      </c>
    </row>
    <row r="1327" spans="1:42" x14ac:dyDescent="0.15">
      <c r="A1327" s="40" t="s">
        <v>1</v>
      </c>
      <c r="B1327" s="23">
        <v>90130505</v>
      </c>
      <c r="C1327" s="23">
        <v>1305</v>
      </c>
      <c r="D1327" s="23">
        <v>13</v>
      </c>
      <c r="F1327" s="23" t="s">
        <v>115</v>
      </c>
      <c r="G1327" s="23" t="s">
        <v>115</v>
      </c>
      <c r="H1327" s="23" t="s">
        <v>3191</v>
      </c>
      <c r="I1327" s="23">
        <v>4</v>
      </c>
      <c r="J1327" s="40">
        <v>0</v>
      </c>
      <c r="K1327" s="40">
        <v>0</v>
      </c>
      <c r="L1327" s="40" t="s">
        <v>115</v>
      </c>
      <c r="O1327" s="40" t="s">
        <v>115</v>
      </c>
      <c r="Q1327" s="40">
        <v>136</v>
      </c>
      <c r="R1327" s="40" t="s">
        <v>115</v>
      </c>
      <c r="X1327" s="40">
        <v>90130506</v>
      </c>
      <c r="Y1327" s="40" t="s">
        <v>115</v>
      </c>
      <c r="Z1327" s="40" t="s">
        <v>115</v>
      </c>
      <c r="AA1327" s="40" t="s">
        <v>115</v>
      </c>
      <c r="AB1327" s="40" t="s">
        <v>115</v>
      </c>
      <c r="AC1327" s="40" t="s">
        <v>115</v>
      </c>
      <c r="AI1327" s="40" t="s">
        <v>115</v>
      </c>
      <c r="AP1327" s="4" t="s">
        <v>115</v>
      </c>
    </row>
    <row r="1328" spans="1:42" x14ac:dyDescent="0.15">
      <c r="A1328" s="40" t="s">
        <v>1</v>
      </c>
      <c r="B1328" s="23">
        <v>90130506</v>
      </c>
      <c r="C1328" s="23">
        <v>1305</v>
      </c>
      <c r="D1328" s="23">
        <v>13</v>
      </c>
      <c r="F1328" s="23" t="s">
        <v>115</v>
      </c>
      <c r="G1328" s="23" t="s">
        <v>115</v>
      </c>
      <c r="H1328" s="23" t="s">
        <v>3192</v>
      </c>
      <c r="I1328" s="23">
        <v>4</v>
      </c>
      <c r="J1328" s="40">
        <v>0</v>
      </c>
      <c r="K1328" s="40">
        <v>4</v>
      </c>
      <c r="L1328" s="40" t="s">
        <v>3193</v>
      </c>
      <c r="O1328" s="40" t="s">
        <v>115</v>
      </c>
      <c r="Q1328" s="40">
        <v>136</v>
      </c>
      <c r="R1328" s="40" t="s">
        <v>115</v>
      </c>
      <c r="X1328" s="40">
        <v>90130507</v>
      </c>
      <c r="Y1328" s="40" t="s">
        <v>115</v>
      </c>
      <c r="Z1328" s="40">
        <v>3</v>
      </c>
      <c r="AA1328" s="40" t="s">
        <v>115</v>
      </c>
      <c r="AB1328" s="40" t="s">
        <v>115</v>
      </c>
      <c r="AC1328" s="40" t="s">
        <v>115</v>
      </c>
      <c r="AI1328" s="40" t="s">
        <v>115</v>
      </c>
      <c r="AP1328" s="4" t="s">
        <v>115</v>
      </c>
    </row>
    <row r="1329" spans="1:42" x14ac:dyDescent="0.15">
      <c r="A1329" s="40" t="s">
        <v>1</v>
      </c>
      <c r="B1329" s="23">
        <v>90130507</v>
      </c>
      <c r="C1329" s="23">
        <v>1305</v>
      </c>
      <c r="D1329" s="23">
        <v>13</v>
      </c>
      <c r="F1329" s="23" t="s">
        <v>115</v>
      </c>
      <c r="G1329" s="23" t="s">
        <v>115</v>
      </c>
      <c r="H1329" s="23" t="s">
        <v>3194</v>
      </c>
      <c r="I1329" s="23">
        <v>4</v>
      </c>
      <c r="J1329" s="40">
        <v>0</v>
      </c>
      <c r="K1329" s="40">
        <v>5</v>
      </c>
      <c r="L1329" s="40" t="s">
        <v>115</v>
      </c>
      <c r="O1329" s="40">
        <v>1</v>
      </c>
      <c r="Q1329" s="40">
        <v>136</v>
      </c>
      <c r="R1329" s="40" t="s">
        <v>115</v>
      </c>
      <c r="X1329" s="40" t="s">
        <v>115</v>
      </c>
      <c r="Y1329" s="40" t="s">
        <v>115</v>
      </c>
      <c r="Z1329" s="40">
        <v>4</v>
      </c>
      <c r="AA1329" s="40" t="s">
        <v>115</v>
      </c>
      <c r="AB1329" s="40" t="s">
        <v>115</v>
      </c>
      <c r="AC1329" s="40" t="s">
        <v>115</v>
      </c>
      <c r="AI1329" s="40" t="s">
        <v>115</v>
      </c>
      <c r="AP1329" s="4" t="s">
        <v>3195</v>
      </c>
    </row>
    <row r="1330" spans="1:42" x14ac:dyDescent="0.15">
      <c r="A1330" s="40" t="s">
        <v>1</v>
      </c>
      <c r="B1330" s="23" t="s">
        <v>2841</v>
      </c>
      <c r="C1330" s="23">
        <v>1306</v>
      </c>
      <c r="D1330" s="23">
        <v>13</v>
      </c>
      <c r="F1330" s="23" t="s">
        <v>115</v>
      </c>
      <c r="G1330" s="23" t="s">
        <v>115</v>
      </c>
      <c r="H1330" s="23" t="s">
        <v>3196</v>
      </c>
      <c r="I1330" s="23">
        <v>4</v>
      </c>
      <c r="J1330" s="40">
        <v>1</v>
      </c>
      <c r="K1330" s="40">
        <v>1</v>
      </c>
      <c r="L1330" s="40" t="s">
        <v>115</v>
      </c>
      <c r="O1330" s="40" t="s">
        <v>115</v>
      </c>
      <c r="Q1330" s="40">
        <v>137</v>
      </c>
      <c r="R1330" s="40" t="s">
        <v>115</v>
      </c>
      <c r="X1330" s="40">
        <v>90130602</v>
      </c>
      <c r="Y1330" s="40" t="s">
        <v>115</v>
      </c>
      <c r="Z1330" s="40" t="s">
        <v>115</v>
      </c>
      <c r="AA1330" s="40" t="s">
        <v>115</v>
      </c>
      <c r="AB1330" s="40" t="s">
        <v>115</v>
      </c>
      <c r="AC1330" s="40" t="s">
        <v>115</v>
      </c>
      <c r="AI1330" s="40" t="s">
        <v>115</v>
      </c>
      <c r="AP1330" s="4" t="s">
        <v>115</v>
      </c>
    </row>
    <row r="1331" spans="1:42" x14ac:dyDescent="0.15">
      <c r="A1331" s="40" t="s">
        <v>1</v>
      </c>
      <c r="B1331" s="23">
        <v>90130602</v>
      </c>
      <c r="C1331" s="23">
        <v>1306</v>
      </c>
      <c r="D1331" s="23">
        <v>13</v>
      </c>
      <c r="F1331" s="23" t="s">
        <v>116</v>
      </c>
      <c r="G1331" s="23">
        <v>312</v>
      </c>
      <c r="H1331" s="23" t="s">
        <v>3197</v>
      </c>
      <c r="I1331" s="23">
        <v>2</v>
      </c>
      <c r="J1331" s="40">
        <v>0</v>
      </c>
      <c r="K1331" s="40">
        <v>0</v>
      </c>
      <c r="L1331" s="40" t="s">
        <v>115</v>
      </c>
      <c r="O1331" s="40" t="s">
        <v>115</v>
      </c>
      <c r="Q1331" s="40">
        <v>137</v>
      </c>
      <c r="R1331" s="40" t="s">
        <v>115</v>
      </c>
      <c r="X1331" s="40">
        <v>90130603</v>
      </c>
      <c r="Y1331" s="40" t="s">
        <v>115</v>
      </c>
      <c r="Z1331" s="40" t="s">
        <v>115</v>
      </c>
      <c r="AA1331" s="40" t="s">
        <v>115</v>
      </c>
      <c r="AB1331" s="40" t="s">
        <v>115</v>
      </c>
      <c r="AC1331" s="40" t="s">
        <v>115</v>
      </c>
      <c r="AI1331" s="40" t="s">
        <v>115</v>
      </c>
      <c r="AP1331" s="4" t="s">
        <v>115</v>
      </c>
    </row>
    <row r="1332" spans="1:42" x14ac:dyDescent="0.15">
      <c r="A1332" s="40" t="s">
        <v>1</v>
      </c>
      <c r="B1332" s="23">
        <v>90130603</v>
      </c>
      <c r="C1332" s="23">
        <v>1306</v>
      </c>
      <c r="D1332" s="23">
        <v>13</v>
      </c>
      <c r="F1332" s="23" t="s">
        <v>115</v>
      </c>
      <c r="G1332" s="23" t="s">
        <v>115</v>
      </c>
      <c r="H1332" s="23" t="s">
        <v>3198</v>
      </c>
      <c r="I1332" s="23">
        <v>4</v>
      </c>
      <c r="J1332" s="40">
        <v>0</v>
      </c>
      <c r="K1332" s="40">
        <v>2</v>
      </c>
      <c r="L1332" s="40" t="s">
        <v>115</v>
      </c>
      <c r="O1332" s="40" t="s">
        <v>115</v>
      </c>
      <c r="Q1332" s="40">
        <v>137</v>
      </c>
      <c r="R1332" s="40" t="s">
        <v>115</v>
      </c>
      <c r="X1332" s="40" t="s">
        <v>3199</v>
      </c>
      <c r="Y1332" s="40">
        <v>1</v>
      </c>
      <c r="Z1332" s="40">
        <v>1</v>
      </c>
      <c r="AA1332" s="40" t="s">
        <v>115</v>
      </c>
      <c r="AB1332" s="40" t="s">
        <v>115</v>
      </c>
      <c r="AC1332" s="40" t="s">
        <v>115</v>
      </c>
      <c r="AI1332" s="40" t="s">
        <v>115</v>
      </c>
      <c r="AP1332" s="4" t="s">
        <v>115</v>
      </c>
    </row>
    <row r="1333" spans="1:42" x14ac:dyDescent="0.15">
      <c r="A1333" s="40" t="s">
        <v>1</v>
      </c>
      <c r="B1333" s="23">
        <v>90130604</v>
      </c>
      <c r="C1333" s="23">
        <v>1306</v>
      </c>
      <c r="D1333" s="23">
        <v>13</v>
      </c>
      <c r="F1333" s="23" t="s">
        <v>115</v>
      </c>
      <c r="G1333" s="23" t="s">
        <v>115</v>
      </c>
      <c r="H1333" s="23" t="s">
        <v>3200</v>
      </c>
      <c r="I1333" s="23">
        <v>4</v>
      </c>
      <c r="J1333" s="40">
        <v>0</v>
      </c>
      <c r="K1333" s="40">
        <v>3</v>
      </c>
      <c r="L1333" s="40" t="s">
        <v>115</v>
      </c>
      <c r="O1333" s="40" t="s">
        <v>115</v>
      </c>
      <c r="Q1333" s="40">
        <v>137</v>
      </c>
      <c r="R1333" s="40" t="s">
        <v>115</v>
      </c>
      <c r="X1333" s="40">
        <v>90130605</v>
      </c>
      <c r="Y1333" s="40">
        <v>-1</v>
      </c>
      <c r="Z1333" s="40">
        <v>2</v>
      </c>
      <c r="AA1333" s="40" t="s">
        <v>115</v>
      </c>
      <c r="AB1333" s="40" t="s">
        <v>115</v>
      </c>
      <c r="AC1333" s="40" t="s">
        <v>3201</v>
      </c>
      <c r="AI1333" s="40" t="s">
        <v>115</v>
      </c>
      <c r="AP1333" s="4" t="s">
        <v>115</v>
      </c>
    </row>
    <row r="1334" spans="1:42" x14ac:dyDescent="0.15">
      <c r="A1334" s="40" t="s">
        <v>1</v>
      </c>
      <c r="B1334" s="23">
        <v>90130605</v>
      </c>
      <c r="C1334" s="23">
        <v>1306</v>
      </c>
      <c r="D1334" s="23">
        <v>13</v>
      </c>
      <c r="F1334" s="23" t="s">
        <v>115</v>
      </c>
      <c r="G1334" s="23" t="s">
        <v>115</v>
      </c>
      <c r="H1334" s="23" t="s">
        <v>3202</v>
      </c>
      <c r="I1334" s="23">
        <v>4</v>
      </c>
      <c r="J1334" s="40">
        <v>0</v>
      </c>
      <c r="K1334" s="40">
        <v>0</v>
      </c>
      <c r="L1334" s="40" t="s">
        <v>115</v>
      </c>
      <c r="O1334" s="40" t="s">
        <v>115</v>
      </c>
      <c r="Q1334" s="40">
        <v>137</v>
      </c>
      <c r="R1334" s="40" t="s">
        <v>115</v>
      </c>
      <c r="X1334" s="40">
        <v>90130606</v>
      </c>
      <c r="Y1334" s="40" t="s">
        <v>115</v>
      </c>
      <c r="Z1334" s="40" t="s">
        <v>115</v>
      </c>
      <c r="AA1334" s="40" t="s">
        <v>115</v>
      </c>
      <c r="AB1334" s="40" t="s">
        <v>115</v>
      </c>
      <c r="AC1334" s="40" t="s">
        <v>115</v>
      </c>
      <c r="AI1334" s="40" t="s">
        <v>115</v>
      </c>
      <c r="AP1334" s="4" t="s">
        <v>115</v>
      </c>
    </row>
    <row r="1335" spans="1:42" x14ac:dyDescent="0.15">
      <c r="A1335" s="40" t="s">
        <v>1</v>
      </c>
      <c r="B1335" s="23">
        <v>90130606</v>
      </c>
      <c r="C1335" s="23">
        <v>1306</v>
      </c>
      <c r="D1335" s="23">
        <v>13</v>
      </c>
      <c r="F1335" s="23" t="s">
        <v>431</v>
      </c>
      <c r="G1335" s="23" t="s">
        <v>115</v>
      </c>
      <c r="H1335" s="23" t="s">
        <v>3203</v>
      </c>
      <c r="I1335" s="23">
        <v>3</v>
      </c>
      <c r="J1335" s="40">
        <v>0</v>
      </c>
      <c r="K1335" s="40">
        <v>0</v>
      </c>
      <c r="L1335" s="40" t="s">
        <v>115</v>
      </c>
      <c r="O1335" s="40" t="s">
        <v>115</v>
      </c>
      <c r="Q1335" s="40">
        <v>137</v>
      </c>
      <c r="R1335" s="40" t="s">
        <v>115</v>
      </c>
      <c r="X1335" s="40">
        <v>90130607</v>
      </c>
      <c r="Y1335" s="40" t="s">
        <v>115</v>
      </c>
      <c r="Z1335" s="40" t="s">
        <v>115</v>
      </c>
      <c r="AA1335" s="40" t="s">
        <v>115</v>
      </c>
      <c r="AB1335" s="40" t="s">
        <v>115</v>
      </c>
      <c r="AC1335" s="40" t="s">
        <v>115</v>
      </c>
      <c r="AI1335" s="40" t="s">
        <v>115</v>
      </c>
      <c r="AP1335" s="4" t="s">
        <v>115</v>
      </c>
    </row>
    <row r="1336" spans="1:42" x14ac:dyDescent="0.15">
      <c r="A1336" s="40" t="s">
        <v>1</v>
      </c>
      <c r="B1336" s="23">
        <v>90130607</v>
      </c>
      <c r="C1336" s="23">
        <v>1306</v>
      </c>
      <c r="D1336" s="23">
        <v>13</v>
      </c>
      <c r="F1336" s="23" t="s">
        <v>3204</v>
      </c>
      <c r="G1336" s="23" t="s">
        <v>115</v>
      </c>
      <c r="H1336" s="23" t="s">
        <v>3205</v>
      </c>
      <c r="I1336" s="23">
        <v>3</v>
      </c>
      <c r="J1336" s="40">
        <v>0</v>
      </c>
      <c r="K1336" s="40">
        <v>0</v>
      </c>
      <c r="L1336" s="40" t="s">
        <v>115</v>
      </c>
      <c r="O1336" s="40" t="s">
        <v>115</v>
      </c>
      <c r="Q1336" s="40">
        <v>137</v>
      </c>
      <c r="R1336" s="40" t="s">
        <v>115</v>
      </c>
      <c r="X1336" s="40">
        <v>90130608</v>
      </c>
      <c r="Y1336" s="40" t="s">
        <v>115</v>
      </c>
      <c r="Z1336" s="40" t="s">
        <v>115</v>
      </c>
      <c r="AA1336" s="40" t="s">
        <v>115</v>
      </c>
      <c r="AB1336" s="40" t="s">
        <v>115</v>
      </c>
      <c r="AC1336" s="40" t="s">
        <v>115</v>
      </c>
      <c r="AI1336" s="40" t="s">
        <v>115</v>
      </c>
      <c r="AP1336" s="4" t="s">
        <v>115</v>
      </c>
    </row>
    <row r="1337" spans="1:42" x14ac:dyDescent="0.15">
      <c r="A1337" s="40" t="s">
        <v>1</v>
      </c>
      <c r="B1337" s="23">
        <v>90130608</v>
      </c>
      <c r="C1337" s="23">
        <v>1306</v>
      </c>
      <c r="D1337" s="23">
        <v>13</v>
      </c>
      <c r="F1337" s="23" t="s">
        <v>3206</v>
      </c>
      <c r="G1337" s="23" t="s">
        <v>115</v>
      </c>
      <c r="H1337" s="23" t="s">
        <v>3207</v>
      </c>
      <c r="I1337" s="23">
        <v>3</v>
      </c>
      <c r="J1337" s="40">
        <v>0</v>
      </c>
      <c r="K1337" s="40">
        <v>0</v>
      </c>
      <c r="L1337" s="40" t="s">
        <v>115</v>
      </c>
      <c r="O1337" s="40" t="s">
        <v>115</v>
      </c>
      <c r="Q1337" s="40">
        <v>137</v>
      </c>
      <c r="R1337" s="40" t="s">
        <v>115</v>
      </c>
      <c r="X1337" s="40">
        <v>90130609</v>
      </c>
      <c r="Y1337" s="40" t="s">
        <v>115</v>
      </c>
      <c r="Z1337" s="40" t="s">
        <v>115</v>
      </c>
      <c r="AA1337" s="40" t="s">
        <v>115</v>
      </c>
      <c r="AB1337" s="40" t="s">
        <v>115</v>
      </c>
      <c r="AC1337" s="40" t="s">
        <v>115</v>
      </c>
      <c r="AI1337" s="40" t="s">
        <v>115</v>
      </c>
      <c r="AP1337" s="4" t="s">
        <v>115</v>
      </c>
    </row>
    <row r="1338" spans="1:42" x14ac:dyDescent="0.15">
      <c r="A1338" s="40" t="s">
        <v>1</v>
      </c>
      <c r="B1338" s="23">
        <v>90130609</v>
      </c>
      <c r="C1338" s="23">
        <v>1306</v>
      </c>
      <c r="D1338" s="23">
        <v>13</v>
      </c>
      <c r="F1338" s="23" t="s">
        <v>3206</v>
      </c>
      <c r="G1338" s="23" t="s">
        <v>115</v>
      </c>
      <c r="H1338" s="23" t="s">
        <v>3208</v>
      </c>
      <c r="I1338" s="23">
        <v>3</v>
      </c>
      <c r="J1338" s="40">
        <v>0</v>
      </c>
      <c r="K1338" s="40">
        <v>0</v>
      </c>
      <c r="L1338" s="40" t="s">
        <v>115</v>
      </c>
      <c r="O1338" s="40" t="s">
        <v>115</v>
      </c>
      <c r="Q1338" s="40">
        <v>137</v>
      </c>
      <c r="R1338" s="40" t="s">
        <v>115</v>
      </c>
      <c r="X1338" s="40">
        <v>90130610</v>
      </c>
      <c r="Y1338" s="40" t="s">
        <v>115</v>
      </c>
      <c r="Z1338" s="40" t="s">
        <v>115</v>
      </c>
      <c r="AA1338" s="40" t="s">
        <v>115</v>
      </c>
      <c r="AB1338" s="40" t="s">
        <v>115</v>
      </c>
      <c r="AC1338" s="40" t="s">
        <v>115</v>
      </c>
      <c r="AI1338" s="40" t="s">
        <v>115</v>
      </c>
      <c r="AP1338" s="4" t="s">
        <v>115</v>
      </c>
    </row>
    <row r="1339" spans="1:42" x14ac:dyDescent="0.15">
      <c r="A1339" s="40" t="s">
        <v>1</v>
      </c>
      <c r="B1339" s="23">
        <v>90130610</v>
      </c>
      <c r="C1339" s="23">
        <v>1306</v>
      </c>
      <c r="D1339" s="23">
        <v>13</v>
      </c>
      <c r="F1339" s="23" t="s">
        <v>116</v>
      </c>
      <c r="G1339" s="23">
        <v>314</v>
      </c>
      <c r="H1339" s="23" t="s">
        <v>3209</v>
      </c>
      <c r="I1339" s="23">
        <v>2</v>
      </c>
      <c r="J1339" s="40">
        <v>0</v>
      </c>
      <c r="K1339" s="40">
        <v>0</v>
      </c>
      <c r="L1339" s="40" t="s">
        <v>115</v>
      </c>
      <c r="O1339" s="40" t="s">
        <v>115</v>
      </c>
      <c r="Q1339" s="40">
        <v>137</v>
      </c>
      <c r="R1339" s="40" t="s">
        <v>115</v>
      </c>
      <c r="X1339" s="40">
        <v>90130611</v>
      </c>
      <c r="Y1339" s="40" t="s">
        <v>115</v>
      </c>
      <c r="Z1339" s="40" t="s">
        <v>115</v>
      </c>
      <c r="AA1339" s="40" t="s">
        <v>115</v>
      </c>
      <c r="AB1339" s="40" t="s">
        <v>115</v>
      </c>
      <c r="AC1339" s="40" t="s">
        <v>115</v>
      </c>
      <c r="AI1339" s="40" t="s">
        <v>115</v>
      </c>
      <c r="AP1339" s="4" t="s">
        <v>115</v>
      </c>
    </row>
    <row r="1340" spans="1:42" x14ac:dyDescent="0.15">
      <c r="A1340" s="40" t="s">
        <v>1</v>
      </c>
      <c r="B1340" s="23">
        <v>90130611</v>
      </c>
      <c r="C1340" s="23">
        <v>1306</v>
      </c>
      <c r="D1340" s="23">
        <v>13</v>
      </c>
      <c r="F1340" s="23" t="s">
        <v>115</v>
      </c>
      <c r="G1340" s="23" t="s">
        <v>115</v>
      </c>
      <c r="H1340" s="23" t="s">
        <v>3210</v>
      </c>
      <c r="I1340" s="23">
        <v>4</v>
      </c>
      <c r="J1340" s="40">
        <v>0</v>
      </c>
      <c r="K1340" s="40">
        <v>4</v>
      </c>
      <c r="L1340" s="40" t="s">
        <v>115</v>
      </c>
      <c r="O1340" s="40" t="s">
        <v>115</v>
      </c>
      <c r="Q1340" s="40">
        <v>137</v>
      </c>
      <c r="R1340" s="40" t="s">
        <v>115</v>
      </c>
      <c r="X1340" s="40" t="s">
        <v>3211</v>
      </c>
      <c r="Y1340" s="40">
        <v>1</v>
      </c>
      <c r="Z1340" s="40">
        <v>2</v>
      </c>
      <c r="AA1340" s="40" t="s">
        <v>115</v>
      </c>
      <c r="AB1340" s="40" t="s">
        <v>115</v>
      </c>
      <c r="AC1340" s="40" t="s">
        <v>115</v>
      </c>
      <c r="AI1340" s="40" t="s">
        <v>115</v>
      </c>
      <c r="AP1340" s="4" t="s">
        <v>115</v>
      </c>
    </row>
    <row r="1341" spans="1:42" x14ac:dyDescent="0.15">
      <c r="A1341" s="40" t="s">
        <v>1</v>
      </c>
      <c r="B1341" s="23">
        <v>90130612</v>
      </c>
      <c r="C1341" s="23">
        <v>1306</v>
      </c>
      <c r="D1341" s="23">
        <v>13</v>
      </c>
      <c r="F1341" s="23" t="s">
        <v>115</v>
      </c>
      <c r="G1341" s="23" t="s">
        <v>115</v>
      </c>
      <c r="H1341" s="23" t="s">
        <v>3212</v>
      </c>
      <c r="I1341" s="23">
        <v>4</v>
      </c>
      <c r="J1341" s="40">
        <v>0</v>
      </c>
      <c r="K1341" s="40">
        <v>5</v>
      </c>
      <c r="L1341" s="40" t="s">
        <v>115</v>
      </c>
      <c r="O1341" s="40" t="s">
        <v>115</v>
      </c>
      <c r="Q1341" s="40">
        <v>137</v>
      </c>
      <c r="R1341" s="40" t="s">
        <v>115</v>
      </c>
      <c r="X1341" s="40">
        <v>90130613</v>
      </c>
      <c r="Y1341" s="40">
        <v>-1</v>
      </c>
      <c r="Z1341" s="40">
        <v>4</v>
      </c>
      <c r="AA1341" s="40" t="s">
        <v>3213</v>
      </c>
      <c r="AB1341" s="40" t="s">
        <v>115</v>
      </c>
      <c r="AC1341" s="40" t="s">
        <v>115</v>
      </c>
      <c r="AI1341" s="40" t="s">
        <v>115</v>
      </c>
      <c r="AP1341" s="4" t="s">
        <v>115</v>
      </c>
    </row>
    <row r="1342" spans="1:42" x14ac:dyDescent="0.15">
      <c r="A1342" s="40" t="s">
        <v>1</v>
      </c>
      <c r="B1342" s="23">
        <v>90130613</v>
      </c>
      <c r="C1342" s="23">
        <v>1306</v>
      </c>
      <c r="D1342" s="23">
        <v>13</v>
      </c>
      <c r="F1342" s="23" t="s">
        <v>115</v>
      </c>
      <c r="G1342" s="23" t="s">
        <v>115</v>
      </c>
      <c r="H1342" s="23" t="s">
        <v>3214</v>
      </c>
      <c r="I1342" s="23">
        <v>4</v>
      </c>
      <c r="J1342" s="40">
        <v>0</v>
      </c>
      <c r="K1342" s="40">
        <v>0</v>
      </c>
      <c r="L1342" s="40" t="s">
        <v>115</v>
      </c>
      <c r="O1342" s="40" t="s">
        <v>115</v>
      </c>
      <c r="Q1342" s="40">
        <v>137</v>
      </c>
      <c r="R1342" s="40" t="s">
        <v>115</v>
      </c>
      <c r="X1342" s="40">
        <v>90130614</v>
      </c>
      <c r="Y1342" s="40" t="s">
        <v>115</v>
      </c>
      <c r="Z1342" s="40" t="s">
        <v>115</v>
      </c>
      <c r="AA1342" s="40" t="s">
        <v>115</v>
      </c>
      <c r="AB1342" s="40" t="s">
        <v>115</v>
      </c>
      <c r="AC1342" s="40" t="s">
        <v>115</v>
      </c>
      <c r="AI1342" s="40" t="s">
        <v>115</v>
      </c>
      <c r="AP1342" s="4" t="s">
        <v>115</v>
      </c>
    </row>
    <row r="1343" spans="1:42" x14ac:dyDescent="0.15">
      <c r="A1343" s="40" t="s">
        <v>1</v>
      </c>
      <c r="B1343" s="23">
        <v>90130614</v>
      </c>
      <c r="C1343" s="23">
        <v>1306</v>
      </c>
      <c r="D1343" s="23">
        <v>13</v>
      </c>
      <c r="F1343" s="23" t="s">
        <v>116</v>
      </c>
      <c r="G1343" s="23">
        <v>314</v>
      </c>
      <c r="H1343" s="23" t="s">
        <v>3215</v>
      </c>
      <c r="I1343" s="23">
        <v>0</v>
      </c>
      <c r="J1343" s="40">
        <v>0</v>
      </c>
      <c r="K1343" s="40">
        <v>6</v>
      </c>
      <c r="L1343" s="40" t="s">
        <v>3216</v>
      </c>
      <c r="O1343" s="40" t="s">
        <v>115</v>
      </c>
      <c r="Q1343" s="40">
        <v>137</v>
      </c>
      <c r="R1343" s="40" t="s">
        <v>115</v>
      </c>
      <c r="X1343" s="40">
        <v>90130615</v>
      </c>
      <c r="Y1343" s="40" t="s">
        <v>115</v>
      </c>
      <c r="Z1343" s="40">
        <v>5</v>
      </c>
      <c r="AA1343" s="40" t="s">
        <v>115</v>
      </c>
      <c r="AB1343" s="40" t="s">
        <v>115</v>
      </c>
      <c r="AC1343" s="40" t="s">
        <v>115</v>
      </c>
      <c r="AI1343" s="40" t="s">
        <v>115</v>
      </c>
      <c r="AP1343" s="4" t="s">
        <v>115</v>
      </c>
    </row>
    <row r="1344" spans="1:42" x14ac:dyDescent="0.15">
      <c r="A1344" s="40" t="s">
        <v>1</v>
      </c>
      <c r="B1344" s="23">
        <v>90130615</v>
      </c>
      <c r="C1344" s="23">
        <v>1306</v>
      </c>
      <c r="D1344" s="23">
        <v>13</v>
      </c>
      <c r="F1344" s="23" t="s">
        <v>116</v>
      </c>
      <c r="G1344" s="23">
        <v>312</v>
      </c>
      <c r="H1344" s="23" t="s">
        <v>3217</v>
      </c>
      <c r="I1344" s="23">
        <v>0</v>
      </c>
      <c r="J1344" s="40">
        <v>0</v>
      </c>
      <c r="K1344" s="40">
        <v>7</v>
      </c>
      <c r="L1344" s="40" t="s">
        <v>115</v>
      </c>
      <c r="O1344" s="40">
        <v>1</v>
      </c>
      <c r="Q1344" s="40">
        <v>137</v>
      </c>
      <c r="R1344" s="40" t="s">
        <v>115</v>
      </c>
      <c r="X1344" s="40" t="s">
        <v>115</v>
      </c>
      <c r="Y1344" s="40" t="s">
        <v>115</v>
      </c>
      <c r="Z1344" s="40">
        <v>6</v>
      </c>
      <c r="AA1344" s="40" t="s">
        <v>115</v>
      </c>
      <c r="AB1344" s="40" t="s">
        <v>115</v>
      </c>
      <c r="AC1344" s="40" t="s">
        <v>115</v>
      </c>
      <c r="AI1344" s="40" t="s">
        <v>115</v>
      </c>
      <c r="AP1344" s="4" t="s">
        <v>115</v>
      </c>
    </row>
    <row r="1345" spans="1:42" x14ac:dyDescent="0.15">
      <c r="A1345" s="40" t="s">
        <v>1</v>
      </c>
      <c r="B1345" s="23" t="s">
        <v>2843</v>
      </c>
      <c r="C1345" s="23">
        <v>1307</v>
      </c>
      <c r="D1345" s="23">
        <v>13</v>
      </c>
      <c r="F1345" s="23" t="s">
        <v>115</v>
      </c>
      <c r="G1345" s="23" t="s">
        <v>115</v>
      </c>
      <c r="H1345" s="23" t="s">
        <v>3218</v>
      </c>
      <c r="I1345" s="23">
        <v>4</v>
      </c>
      <c r="J1345" s="40">
        <v>1</v>
      </c>
      <c r="K1345" s="40">
        <v>1</v>
      </c>
      <c r="L1345" s="40" t="s">
        <v>115</v>
      </c>
      <c r="O1345" s="40" t="s">
        <v>115</v>
      </c>
      <c r="Q1345" s="40">
        <v>118</v>
      </c>
      <c r="R1345" s="40" t="s">
        <v>115</v>
      </c>
      <c r="X1345" s="40">
        <v>90130702</v>
      </c>
      <c r="Y1345" s="40" t="s">
        <v>115</v>
      </c>
      <c r="Z1345" s="40" t="s">
        <v>115</v>
      </c>
      <c r="AA1345" s="40" t="s">
        <v>115</v>
      </c>
      <c r="AB1345" s="40" t="s">
        <v>115</v>
      </c>
      <c r="AC1345" s="40" t="s">
        <v>115</v>
      </c>
      <c r="AI1345" s="40" t="s">
        <v>115</v>
      </c>
      <c r="AP1345" s="4" t="s">
        <v>115</v>
      </c>
    </row>
    <row r="1346" spans="1:42" x14ac:dyDescent="0.15">
      <c r="A1346" s="40" t="s">
        <v>1</v>
      </c>
      <c r="B1346" s="23">
        <v>90130702</v>
      </c>
      <c r="C1346" s="23">
        <v>1307</v>
      </c>
      <c r="D1346" s="23">
        <v>13</v>
      </c>
      <c r="F1346" s="23" t="s">
        <v>115</v>
      </c>
      <c r="G1346" s="23" t="s">
        <v>115</v>
      </c>
      <c r="H1346" s="23" t="s">
        <v>3219</v>
      </c>
      <c r="I1346" s="23">
        <v>4</v>
      </c>
      <c r="J1346" s="40">
        <v>0</v>
      </c>
      <c r="K1346" s="40">
        <v>0</v>
      </c>
      <c r="L1346" s="40" t="s">
        <v>115</v>
      </c>
      <c r="O1346" s="40" t="s">
        <v>115</v>
      </c>
      <c r="Q1346" s="40">
        <v>118</v>
      </c>
      <c r="R1346" s="40" t="s">
        <v>115</v>
      </c>
      <c r="X1346" s="40">
        <v>90130703</v>
      </c>
      <c r="Y1346" s="40" t="s">
        <v>115</v>
      </c>
      <c r="Z1346" s="40" t="s">
        <v>115</v>
      </c>
      <c r="AA1346" s="40" t="s">
        <v>115</v>
      </c>
      <c r="AB1346" s="40" t="s">
        <v>115</v>
      </c>
      <c r="AC1346" s="40" t="s">
        <v>115</v>
      </c>
      <c r="AI1346" s="40" t="s">
        <v>115</v>
      </c>
      <c r="AP1346" s="4" t="s">
        <v>115</v>
      </c>
    </row>
    <row r="1347" spans="1:42" x14ac:dyDescent="0.15">
      <c r="A1347" s="40" t="s">
        <v>1</v>
      </c>
      <c r="B1347" s="23">
        <v>90130703</v>
      </c>
      <c r="C1347" s="23">
        <v>1307</v>
      </c>
      <c r="D1347" s="23">
        <v>13</v>
      </c>
      <c r="F1347" s="23" t="s">
        <v>115</v>
      </c>
      <c r="G1347" s="23" t="s">
        <v>115</v>
      </c>
      <c r="H1347" s="23" t="s">
        <v>3220</v>
      </c>
      <c r="I1347" s="23">
        <v>4</v>
      </c>
      <c r="J1347" s="40">
        <v>0</v>
      </c>
      <c r="K1347" s="40">
        <v>2</v>
      </c>
      <c r="L1347" s="40" t="s">
        <v>115</v>
      </c>
      <c r="O1347" s="40" t="s">
        <v>115</v>
      </c>
      <c r="Q1347" s="40">
        <v>118</v>
      </c>
      <c r="R1347" s="40" t="s">
        <v>115</v>
      </c>
      <c r="X1347" s="40" t="s">
        <v>3221</v>
      </c>
      <c r="Y1347" s="40">
        <v>1</v>
      </c>
      <c r="Z1347" s="40">
        <v>1</v>
      </c>
      <c r="AA1347" s="40" t="s">
        <v>115</v>
      </c>
      <c r="AB1347" s="40" t="s">
        <v>115</v>
      </c>
      <c r="AC1347" s="40" t="s">
        <v>115</v>
      </c>
      <c r="AI1347" s="40" t="s">
        <v>115</v>
      </c>
      <c r="AP1347" s="4" t="s">
        <v>115</v>
      </c>
    </row>
    <row r="1348" spans="1:42" x14ac:dyDescent="0.15">
      <c r="A1348" s="40" t="s">
        <v>1</v>
      </c>
      <c r="B1348" s="23">
        <v>90130704</v>
      </c>
      <c r="C1348" s="23">
        <v>1307</v>
      </c>
      <c r="D1348" s="23">
        <v>13</v>
      </c>
      <c r="F1348" s="23" t="s">
        <v>115</v>
      </c>
      <c r="G1348" s="23" t="s">
        <v>115</v>
      </c>
      <c r="H1348" s="23" t="s">
        <v>3222</v>
      </c>
      <c r="I1348" s="23">
        <v>4</v>
      </c>
      <c r="J1348" s="40">
        <v>0</v>
      </c>
      <c r="K1348" s="40">
        <v>3</v>
      </c>
      <c r="L1348" s="40" t="s">
        <v>115</v>
      </c>
      <c r="O1348" s="40" t="s">
        <v>115</v>
      </c>
      <c r="Q1348" s="40">
        <v>118</v>
      </c>
      <c r="R1348" s="40" t="s">
        <v>115</v>
      </c>
      <c r="X1348" s="40">
        <v>90130705</v>
      </c>
      <c r="Y1348" s="40">
        <v>-1</v>
      </c>
      <c r="Z1348" s="40">
        <v>2</v>
      </c>
      <c r="AA1348" s="40" t="s">
        <v>3223</v>
      </c>
      <c r="AB1348" s="40" t="s">
        <v>115</v>
      </c>
      <c r="AC1348" s="40" t="s">
        <v>115</v>
      </c>
      <c r="AI1348" s="40" t="s">
        <v>115</v>
      </c>
      <c r="AP1348" s="4" t="s">
        <v>115</v>
      </c>
    </row>
    <row r="1349" spans="1:42" x14ac:dyDescent="0.15">
      <c r="A1349" s="40" t="s">
        <v>1</v>
      </c>
      <c r="B1349" s="23">
        <v>90130705</v>
      </c>
      <c r="C1349" s="23">
        <v>1307</v>
      </c>
      <c r="D1349" s="23">
        <v>13</v>
      </c>
      <c r="F1349" s="23" t="s">
        <v>116</v>
      </c>
      <c r="G1349" s="23">
        <v>312</v>
      </c>
      <c r="H1349" s="23" t="s">
        <v>3224</v>
      </c>
      <c r="I1349" s="23">
        <v>0</v>
      </c>
      <c r="J1349" s="40">
        <v>0</v>
      </c>
      <c r="K1349" s="40">
        <v>0</v>
      </c>
      <c r="L1349" s="40" t="s">
        <v>115</v>
      </c>
      <c r="O1349" s="40" t="s">
        <v>115</v>
      </c>
      <c r="Q1349" s="40">
        <v>118</v>
      </c>
      <c r="R1349" s="40">
        <v>15</v>
      </c>
      <c r="X1349" s="40">
        <v>90130706</v>
      </c>
      <c r="Y1349" s="40" t="s">
        <v>115</v>
      </c>
      <c r="Z1349" s="40" t="s">
        <v>115</v>
      </c>
      <c r="AA1349" s="40" t="s">
        <v>115</v>
      </c>
      <c r="AB1349" s="40" t="s">
        <v>115</v>
      </c>
      <c r="AC1349" s="40" t="s">
        <v>115</v>
      </c>
      <c r="AI1349" s="40" t="s">
        <v>115</v>
      </c>
      <c r="AP1349" s="4" t="s">
        <v>115</v>
      </c>
    </row>
    <row r="1350" spans="1:42" x14ac:dyDescent="0.15">
      <c r="A1350" s="40" t="s">
        <v>1</v>
      </c>
      <c r="B1350" s="23">
        <v>90130706</v>
      </c>
      <c r="C1350" s="23">
        <v>1307</v>
      </c>
      <c r="D1350" s="23">
        <v>13</v>
      </c>
      <c r="F1350" s="23" t="s">
        <v>3225</v>
      </c>
      <c r="G1350" s="23" t="s">
        <v>115</v>
      </c>
      <c r="H1350" s="23" t="s">
        <v>3226</v>
      </c>
      <c r="I1350" s="23">
        <v>3</v>
      </c>
      <c r="J1350" s="40">
        <v>0</v>
      </c>
      <c r="K1350" s="40">
        <v>0</v>
      </c>
      <c r="L1350" s="40" t="s">
        <v>115</v>
      </c>
      <c r="O1350" s="40" t="s">
        <v>115</v>
      </c>
      <c r="Q1350" s="40">
        <v>118</v>
      </c>
      <c r="R1350" s="40">
        <v>15</v>
      </c>
      <c r="X1350" s="40">
        <v>90130707</v>
      </c>
      <c r="Y1350" s="40" t="s">
        <v>115</v>
      </c>
      <c r="Z1350" s="40" t="s">
        <v>115</v>
      </c>
      <c r="AA1350" s="40" t="s">
        <v>115</v>
      </c>
      <c r="AB1350" s="40" t="s">
        <v>115</v>
      </c>
      <c r="AC1350" s="40" t="s">
        <v>115</v>
      </c>
      <c r="AI1350" s="40" t="s">
        <v>115</v>
      </c>
      <c r="AP1350" s="4" t="s">
        <v>115</v>
      </c>
    </row>
    <row r="1351" spans="1:42" x14ac:dyDescent="0.15">
      <c r="A1351" s="40" t="s">
        <v>1</v>
      </c>
      <c r="B1351" s="23">
        <v>90130707</v>
      </c>
      <c r="C1351" s="23">
        <v>1307</v>
      </c>
      <c r="D1351" s="23">
        <v>13</v>
      </c>
      <c r="F1351" s="23" t="s">
        <v>3225</v>
      </c>
      <c r="G1351" s="23" t="s">
        <v>115</v>
      </c>
      <c r="H1351" s="23" t="s">
        <v>3227</v>
      </c>
      <c r="I1351" s="23">
        <v>3</v>
      </c>
      <c r="J1351" s="40">
        <v>0</v>
      </c>
      <c r="K1351" s="40">
        <v>0</v>
      </c>
      <c r="L1351" s="40" t="s">
        <v>115</v>
      </c>
      <c r="O1351" s="40" t="s">
        <v>115</v>
      </c>
      <c r="Q1351" s="40">
        <v>118</v>
      </c>
      <c r="R1351" s="40">
        <v>15</v>
      </c>
      <c r="X1351" s="40">
        <v>90130708</v>
      </c>
      <c r="Y1351" s="40" t="s">
        <v>115</v>
      </c>
      <c r="Z1351" s="40" t="s">
        <v>115</v>
      </c>
      <c r="AA1351" s="40" t="s">
        <v>115</v>
      </c>
      <c r="AB1351" s="40" t="s">
        <v>115</v>
      </c>
      <c r="AC1351" s="40" t="s">
        <v>115</v>
      </c>
      <c r="AI1351" s="40" t="s">
        <v>115</v>
      </c>
      <c r="AP1351" s="4" t="s">
        <v>115</v>
      </c>
    </row>
    <row r="1352" spans="1:42" x14ac:dyDescent="0.15">
      <c r="A1352" s="40" t="s">
        <v>1</v>
      </c>
      <c r="B1352" s="23">
        <v>90130708</v>
      </c>
      <c r="C1352" s="23">
        <v>1307</v>
      </c>
      <c r="D1352" s="23">
        <v>13</v>
      </c>
      <c r="F1352" s="23" t="s">
        <v>3225</v>
      </c>
      <c r="G1352" s="23" t="s">
        <v>115</v>
      </c>
      <c r="H1352" s="23" t="s">
        <v>3228</v>
      </c>
      <c r="I1352" s="23">
        <v>3</v>
      </c>
      <c r="J1352" s="40">
        <v>0</v>
      </c>
      <c r="K1352" s="40">
        <v>4</v>
      </c>
      <c r="L1352" s="40" t="s">
        <v>3229</v>
      </c>
      <c r="O1352" s="40" t="s">
        <v>115</v>
      </c>
      <c r="Q1352" s="40">
        <v>118</v>
      </c>
      <c r="R1352" s="40">
        <v>15</v>
      </c>
      <c r="X1352" s="40">
        <v>90130709</v>
      </c>
      <c r="Y1352" s="40" t="s">
        <v>115</v>
      </c>
      <c r="Z1352" s="40">
        <v>3</v>
      </c>
      <c r="AA1352" s="40" t="s">
        <v>115</v>
      </c>
      <c r="AB1352" s="40" t="s">
        <v>115</v>
      </c>
      <c r="AC1352" s="40" t="s">
        <v>115</v>
      </c>
      <c r="AI1352" s="40" t="s">
        <v>115</v>
      </c>
      <c r="AP1352" s="4" t="s">
        <v>115</v>
      </c>
    </row>
    <row r="1353" spans="1:42" x14ac:dyDescent="0.15">
      <c r="A1353" s="40" t="s">
        <v>1</v>
      </c>
      <c r="B1353" s="23">
        <v>90130709</v>
      </c>
      <c r="C1353" s="23">
        <v>1307</v>
      </c>
      <c r="D1353" s="23">
        <v>13</v>
      </c>
      <c r="F1353" s="23" t="s">
        <v>115</v>
      </c>
      <c r="G1353" s="23" t="s">
        <v>115</v>
      </c>
      <c r="H1353" s="23" t="s">
        <v>3230</v>
      </c>
      <c r="I1353" s="23">
        <v>4</v>
      </c>
      <c r="J1353" s="40">
        <v>0</v>
      </c>
      <c r="K1353" s="40">
        <v>0</v>
      </c>
      <c r="L1353" s="40" t="s">
        <v>115</v>
      </c>
      <c r="O1353" s="40" t="s">
        <v>115</v>
      </c>
      <c r="Q1353" s="40">
        <v>118</v>
      </c>
      <c r="R1353" s="40" t="s">
        <v>115</v>
      </c>
      <c r="X1353" s="40">
        <v>90130710</v>
      </c>
      <c r="Y1353" s="40" t="s">
        <v>115</v>
      </c>
      <c r="Z1353" s="40" t="s">
        <v>115</v>
      </c>
      <c r="AA1353" s="40" t="s">
        <v>115</v>
      </c>
      <c r="AB1353" s="40" t="s">
        <v>115</v>
      </c>
      <c r="AC1353" s="40" t="s">
        <v>115</v>
      </c>
      <c r="AI1353" s="40" t="s">
        <v>115</v>
      </c>
      <c r="AP1353" s="4" t="s">
        <v>115</v>
      </c>
    </row>
    <row r="1354" spans="1:42" x14ac:dyDescent="0.15">
      <c r="A1354" s="40" t="s">
        <v>1</v>
      </c>
      <c r="B1354" s="23">
        <v>90130710</v>
      </c>
      <c r="C1354" s="23">
        <v>1307</v>
      </c>
      <c r="D1354" s="23">
        <v>13</v>
      </c>
      <c r="F1354" s="23" t="s">
        <v>115</v>
      </c>
      <c r="G1354" s="23" t="s">
        <v>115</v>
      </c>
      <c r="H1354" s="23" t="s">
        <v>3231</v>
      </c>
      <c r="I1354" s="23">
        <v>4</v>
      </c>
      <c r="J1354" s="40">
        <v>0</v>
      </c>
      <c r="K1354" s="40">
        <v>5</v>
      </c>
      <c r="L1354" s="40" t="s">
        <v>115</v>
      </c>
      <c r="O1354" s="40">
        <v>1</v>
      </c>
      <c r="Q1354" s="40">
        <v>118</v>
      </c>
      <c r="R1354" s="40" t="s">
        <v>115</v>
      </c>
      <c r="X1354" s="40" t="s">
        <v>115</v>
      </c>
      <c r="Y1354" s="40" t="s">
        <v>115</v>
      </c>
      <c r="Z1354" s="40">
        <v>4</v>
      </c>
      <c r="AA1354" s="40" t="s">
        <v>115</v>
      </c>
      <c r="AB1354" s="40" t="s">
        <v>115</v>
      </c>
      <c r="AC1354" s="40" t="s">
        <v>115</v>
      </c>
      <c r="AI1354" s="40" t="s">
        <v>115</v>
      </c>
      <c r="AP1354" s="4" t="s">
        <v>3232</v>
      </c>
    </row>
    <row r="1355" spans="1:42" x14ac:dyDescent="0.15">
      <c r="A1355" s="40" t="s">
        <v>1</v>
      </c>
      <c r="B1355" s="23" t="s">
        <v>2844</v>
      </c>
      <c r="C1355" s="23">
        <v>1308</v>
      </c>
      <c r="D1355" s="23">
        <v>13</v>
      </c>
      <c r="F1355" s="23" t="s">
        <v>115</v>
      </c>
      <c r="G1355" s="23" t="s">
        <v>115</v>
      </c>
      <c r="H1355" s="23" t="s">
        <v>3233</v>
      </c>
      <c r="I1355" s="23">
        <v>4</v>
      </c>
      <c r="J1355" s="40">
        <v>1</v>
      </c>
      <c r="K1355" s="40">
        <v>1</v>
      </c>
      <c r="L1355" s="40" t="s">
        <v>115</v>
      </c>
      <c r="O1355" s="40" t="s">
        <v>115</v>
      </c>
      <c r="Q1355" s="40">
        <v>192</v>
      </c>
      <c r="R1355" s="40" t="s">
        <v>115</v>
      </c>
      <c r="X1355" s="40">
        <v>90130802</v>
      </c>
      <c r="Y1355" s="40" t="s">
        <v>115</v>
      </c>
      <c r="Z1355" s="40" t="s">
        <v>115</v>
      </c>
      <c r="AA1355" s="40" t="s">
        <v>115</v>
      </c>
      <c r="AB1355" s="40" t="s">
        <v>115</v>
      </c>
      <c r="AC1355" s="40" t="s">
        <v>115</v>
      </c>
      <c r="AI1355" s="40" t="s">
        <v>115</v>
      </c>
      <c r="AP1355" s="4" t="s">
        <v>115</v>
      </c>
    </row>
    <row r="1356" spans="1:42" x14ac:dyDescent="0.15">
      <c r="A1356" s="40" t="s">
        <v>1</v>
      </c>
      <c r="B1356" s="23">
        <v>90130802</v>
      </c>
      <c r="C1356" s="23">
        <v>1308</v>
      </c>
      <c r="D1356" s="23">
        <v>13</v>
      </c>
      <c r="F1356" s="23" t="s">
        <v>116</v>
      </c>
      <c r="G1356" s="23">
        <v>312</v>
      </c>
      <c r="H1356" s="23" t="s">
        <v>3234</v>
      </c>
      <c r="I1356" s="23">
        <v>0</v>
      </c>
      <c r="J1356" s="40">
        <v>0</v>
      </c>
      <c r="K1356" s="40">
        <v>0</v>
      </c>
      <c r="L1356" s="40" t="s">
        <v>115</v>
      </c>
      <c r="O1356" s="40" t="s">
        <v>115</v>
      </c>
      <c r="Q1356" s="40">
        <v>192</v>
      </c>
      <c r="R1356" s="40">
        <v>166</v>
      </c>
      <c r="X1356" s="40">
        <v>90130803</v>
      </c>
      <c r="Y1356" s="40" t="s">
        <v>115</v>
      </c>
      <c r="Z1356" s="40" t="s">
        <v>115</v>
      </c>
      <c r="AA1356" s="40" t="s">
        <v>115</v>
      </c>
      <c r="AB1356" s="40" t="s">
        <v>115</v>
      </c>
      <c r="AC1356" s="40" t="s">
        <v>115</v>
      </c>
      <c r="AI1356" s="40" t="s">
        <v>115</v>
      </c>
      <c r="AP1356" s="4" t="s">
        <v>115</v>
      </c>
    </row>
    <row r="1357" spans="1:42" x14ac:dyDescent="0.15">
      <c r="A1357" s="40" t="s">
        <v>1</v>
      </c>
      <c r="B1357" s="23">
        <v>90130803</v>
      </c>
      <c r="C1357" s="23">
        <v>1308</v>
      </c>
      <c r="D1357" s="23">
        <v>13</v>
      </c>
      <c r="F1357" s="23" t="s">
        <v>3235</v>
      </c>
      <c r="G1357" s="23" t="s">
        <v>115</v>
      </c>
      <c r="H1357" s="23" t="s">
        <v>3236</v>
      </c>
      <c r="I1357" s="23">
        <v>3</v>
      </c>
      <c r="J1357" s="40">
        <v>0</v>
      </c>
      <c r="K1357" s="40">
        <v>0</v>
      </c>
      <c r="L1357" s="40" t="s">
        <v>115</v>
      </c>
      <c r="O1357" s="40" t="s">
        <v>115</v>
      </c>
      <c r="Q1357" s="40">
        <v>192</v>
      </c>
      <c r="R1357" s="40">
        <v>166</v>
      </c>
      <c r="X1357" s="40">
        <v>90130804</v>
      </c>
      <c r="Y1357" s="40" t="s">
        <v>115</v>
      </c>
      <c r="Z1357" s="40" t="s">
        <v>115</v>
      </c>
      <c r="AA1357" s="40" t="s">
        <v>115</v>
      </c>
      <c r="AB1357" s="40" t="s">
        <v>115</v>
      </c>
      <c r="AC1357" s="40" t="s">
        <v>115</v>
      </c>
      <c r="AI1357" s="40" t="s">
        <v>115</v>
      </c>
      <c r="AP1357" s="4" t="s">
        <v>115</v>
      </c>
    </row>
    <row r="1358" spans="1:42" x14ac:dyDescent="0.15">
      <c r="A1358" s="40" t="s">
        <v>1</v>
      </c>
      <c r="B1358" s="23">
        <v>90130804</v>
      </c>
      <c r="C1358" s="23">
        <v>1308</v>
      </c>
      <c r="D1358" s="23">
        <v>13</v>
      </c>
      <c r="F1358" s="23" t="s">
        <v>115</v>
      </c>
      <c r="G1358" s="23" t="s">
        <v>115</v>
      </c>
      <c r="H1358" s="23" t="s">
        <v>3237</v>
      </c>
      <c r="I1358" s="23">
        <v>4</v>
      </c>
      <c r="J1358" s="40">
        <v>0</v>
      </c>
      <c r="K1358" s="40">
        <v>0</v>
      </c>
      <c r="L1358" s="40" t="s">
        <v>115</v>
      </c>
      <c r="O1358" s="40" t="s">
        <v>115</v>
      </c>
      <c r="Q1358" s="40">
        <v>104</v>
      </c>
      <c r="R1358" s="40">
        <v>166</v>
      </c>
      <c r="X1358" s="40">
        <v>90130805</v>
      </c>
      <c r="Y1358" s="40" t="s">
        <v>115</v>
      </c>
      <c r="Z1358" s="40" t="s">
        <v>115</v>
      </c>
      <c r="AA1358" s="40" t="s">
        <v>115</v>
      </c>
      <c r="AB1358" s="40" t="s">
        <v>115</v>
      </c>
      <c r="AC1358" s="40" t="s">
        <v>115</v>
      </c>
      <c r="AI1358" s="40" t="s">
        <v>115</v>
      </c>
      <c r="AP1358" s="4" t="s">
        <v>115</v>
      </c>
    </row>
    <row r="1359" spans="1:42" x14ac:dyDescent="0.15">
      <c r="A1359" s="40" t="s">
        <v>1</v>
      </c>
      <c r="B1359" s="23">
        <v>90130805</v>
      </c>
      <c r="C1359" s="23">
        <v>1308</v>
      </c>
      <c r="D1359" s="23">
        <v>13</v>
      </c>
      <c r="F1359" s="23" t="s">
        <v>115</v>
      </c>
      <c r="G1359" s="23" t="s">
        <v>115</v>
      </c>
      <c r="H1359" s="23" t="s">
        <v>3238</v>
      </c>
      <c r="I1359" s="23">
        <v>4</v>
      </c>
      <c r="J1359" s="40">
        <v>0</v>
      </c>
      <c r="K1359" s="40">
        <v>2</v>
      </c>
      <c r="L1359" s="40" t="s">
        <v>115</v>
      </c>
      <c r="O1359" s="40" t="s">
        <v>115</v>
      </c>
      <c r="Q1359" s="40">
        <v>104</v>
      </c>
      <c r="R1359" s="40">
        <v>166</v>
      </c>
      <c r="X1359" s="40" t="s">
        <v>3239</v>
      </c>
      <c r="Y1359" s="40">
        <v>1</v>
      </c>
      <c r="Z1359" s="40">
        <v>1</v>
      </c>
      <c r="AA1359" s="40" t="s">
        <v>115</v>
      </c>
      <c r="AB1359" s="40" t="s">
        <v>115</v>
      </c>
      <c r="AC1359" s="40" t="s">
        <v>115</v>
      </c>
      <c r="AI1359" s="40" t="s">
        <v>115</v>
      </c>
      <c r="AP1359" s="4" t="s">
        <v>115</v>
      </c>
    </row>
    <row r="1360" spans="1:42" x14ac:dyDescent="0.15">
      <c r="A1360" s="40" t="s">
        <v>1</v>
      </c>
      <c r="B1360" s="23">
        <v>90130806</v>
      </c>
      <c r="C1360" s="23">
        <v>1308</v>
      </c>
      <c r="D1360" s="23">
        <v>13</v>
      </c>
      <c r="F1360" s="23" t="s">
        <v>115</v>
      </c>
      <c r="G1360" s="23" t="s">
        <v>115</v>
      </c>
      <c r="H1360" s="23" t="s">
        <v>3240</v>
      </c>
      <c r="I1360" s="23">
        <v>4</v>
      </c>
      <c r="J1360" s="40">
        <v>0</v>
      </c>
      <c r="K1360" s="40">
        <v>3</v>
      </c>
      <c r="L1360" s="40" t="s">
        <v>115</v>
      </c>
      <c r="O1360" s="40" t="s">
        <v>115</v>
      </c>
      <c r="Q1360" s="40">
        <v>104</v>
      </c>
      <c r="R1360" s="40">
        <v>166</v>
      </c>
      <c r="X1360" s="40">
        <v>90130807</v>
      </c>
      <c r="Y1360" s="40">
        <v>-1</v>
      </c>
      <c r="Z1360" s="40">
        <v>2</v>
      </c>
      <c r="AA1360" s="40" t="s">
        <v>115</v>
      </c>
      <c r="AB1360" s="40" t="s">
        <v>3241</v>
      </c>
      <c r="AC1360" s="40" t="s">
        <v>115</v>
      </c>
      <c r="AI1360" s="40" t="s">
        <v>115</v>
      </c>
      <c r="AP1360" s="4" t="s">
        <v>115</v>
      </c>
    </row>
    <row r="1361" spans="1:42" x14ac:dyDescent="0.15">
      <c r="A1361" s="40" t="s">
        <v>1</v>
      </c>
      <c r="B1361" s="23">
        <v>90130807</v>
      </c>
      <c r="C1361" s="23">
        <v>1308</v>
      </c>
      <c r="D1361" s="23">
        <v>13</v>
      </c>
      <c r="F1361" s="23" t="s">
        <v>3235</v>
      </c>
      <c r="G1361" s="23" t="s">
        <v>115</v>
      </c>
      <c r="H1361" s="23" t="s">
        <v>3242</v>
      </c>
      <c r="I1361" s="23">
        <v>3</v>
      </c>
      <c r="J1361" s="40">
        <v>0</v>
      </c>
      <c r="K1361" s="40">
        <v>0</v>
      </c>
      <c r="L1361" s="40" t="s">
        <v>115</v>
      </c>
      <c r="O1361" s="40" t="s">
        <v>115</v>
      </c>
      <c r="Q1361" s="40">
        <v>104</v>
      </c>
      <c r="R1361" s="40">
        <v>166</v>
      </c>
      <c r="X1361" s="40">
        <v>90130808</v>
      </c>
      <c r="Y1361" s="40" t="s">
        <v>115</v>
      </c>
      <c r="Z1361" s="40" t="s">
        <v>115</v>
      </c>
      <c r="AA1361" s="40" t="s">
        <v>115</v>
      </c>
      <c r="AB1361" s="40" t="s">
        <v>115</v>
      </c>
      <c r="AC1361" s="40" t="s">
        <v>115</v>
      </c>
      <c r="AI1361" s="40" t="s">
        <v>115</v>
      </c>
      <c r="AP1361" s="4" t="s">
        <v>115</v>
      </c>
    </row>
    <row r="1362" spans="1:42" x14ac:dyDescent="0.15">
      <c r="A1362" s="40" t="s">
        <v>1</v>
      </c>
      <c r="B1362" s="23">
        <v>90130808</v>
      </c>
      <c r="C1362" s="23">
        <v>1308</v>
      </c>
      <c r="D1362" s="23">
        <v>13</v>
      </c>
      <c r="F1362" s="23" t="s">
        <v>3235</v>
      </c>
      <c r="G1362" s="23" t="s">
        <v>115</v>
      </c>
      <c r="H1362" s="23" t="s">
        <v>3243</v>
      </c>
      <c r="I1362" s="23">
        <v>3</v>
      </c>
      <c r="J1362" s="40">
        <v>0</v>
      </c>
      <c r="K1362" s="40">
        <v>0</v>
      </c>
      <c r="L1362" s="40" t="s">
        <v>115</v>
      </c>
      <c r="O1362" s="40" t="s">
        <v>115</v>
      </c>
      <c r="Q1362" s="40">
        <v>104</v>
      </c>
      <c r="R1362" s="40">
        <v>166</v>
      </c>
      <c r="X1362" s="40">
        <v>90130809</v>
      </c>
      <c r="Y1362" s="40" t="s">
        <v>115</v>
      </c>
      <c r="Z1362" s="40" t="s">
        <v>115</v>
      </c>
      <c r="AA1362" s="40" t="s">
        <v>115</v>
      </c>
      <c r="AB1362" s="40" t="s">
        <v>115</v>
      </c>
      <c r="AC1362" s="40" t="s">
        <v>115</v>
      </c>
      <c r="AI1362" s="40" t="s">
        <v>115</v>
      </c>
      <c r="AP1362" s="4" t="s">
        <v>115</v>
      </c>
    </row>
    <row r="1363" spans="1:42" x14ac:dyDescent="0.15">
      <c r="A1363" s="40" t="s">
        <v>1</v>
      </c>
      <c r="B1363" s="23">
        <v>90130809</v>
      </c>
      <c r="C1363" s="23">
        <v>1308</v>
      </c>
      <c r="D1363" s="23">
        <v>13</v>
      </c>
      <c r="F1363" s="23" t="s">
        <v>3235</v>
      </c>
      <c r="G1363" s="23" t="s">
        <v>115</v>
      </c>
      <c r="H1363" s="23" t="s">
        <v>3244</v>
      </c>
      <c r="I1363" s="23">
        <v>3</v>
      </c>
      <c r="J1363" s="40">
        <v>0</v>
      </c>
      <c r="K1363" s="40">
        <v>0</v>
      </c>
      <c r="L1363" s="40" t="s">
        <v>115</v>
      </c>
      <c r="O1363" s="40" t="s">
        <v>115</v>
      </c>
      <c r="Q1363" s="40">
        <v>104</v>
      </c>
      <c r="R1363" s="40">
        <v>166</v>
      </c>
      <c r="X1363" s="40">
        <v>90130810</v>
      </c>
      <c r="Y1363" s="40" t="s">
        <v>115</v>
      </c>
      <c r="Z1363" s="40" t="s">
        <v>115</v>
      </c>
      <c r="AA1363" s="40" t="s">
        <v>115</v>
      </c>
      <c r="AB1363" s="40" t="s">
        <v>115</v>
      </c>
      <c r="AC1363" s="40" t="s">
        <v>115</v>
      </c>
      <c r="AI1363" s="40" t="s">
        <v>115</v>
      </c>
      <c r="AP1363" s="4" t="s">
        <v>115</v>
      </c>
    </row>
    <row r="1364" spans="1:42" x14ac:dyDescent="0.15">
      <c r="A1364" s="40" t="s">
        <v>1</v>
      </c>
      <c r="B1364" s="23">
        <v>90130810</v>
      </c>
      <c r="C1364" s="23">
        <v>1308</v>
      </c>
      <c r="D1364" s="23">
        <v>13</v>
      </c>
      <c r="F1364" s="23" t="s">
        <v>3235</v>
      </c>
      <c r="G1364" s="23" t="s">
        <v>115</v>
      </c>
      <c r="H1364" s="23" t="s">
        <v>3245</v>
      </c>
      <c r="I1364" s="23">
        <v>3</v>
      </c>
      <c r="J1364" s="40">
        <v>0</v>
      </c>
      <c r="K1364" s="40">
        <v>0</v>
      </c>
      <c r="L1364" s="40" t="s">
        <v>115</v>
      </c>
      <c r="O1364" s="40" t="s">
        <v>115</v>
      </c>
      <c r="Q1364" s="40">
        <v>104</v>
      </c>
      <c r="R1364" s="40">
        <v>166</v>
      </c>
      <c r="X1364" s="40">
        <v>90130811</v>
      </c>
      <c r="Y1364" s="40" t="s">
        <v>115</v>
      </c>
      <c r="Z1364" s="40" t="s">
        <v>115</v>
      </c>
      <c r="AA1364" s="40" t="s">
        <v>115</v>
      </c>
      <c r="AB1364" s="40" t="s">
        <v>115</v>
      </c>
      <c r="AC1364" s="40" t="s">
        <v>115</v>
      </c>
      <c r="AI1364" s="40" t="s">
        <v>115</v>
      </c>
      <c r="AP1364" s="4" t="s">
        <v>115</v>
      </c>
    </row>
    <row r="1365" spans="1:42" x14ac:dyDescent="0.15">
      <c r="A1365" s="40" t="s">
        <v>1</v>
      </c>
      <c r="B1365" s="23">
        <v>90130811</v>
      </c>
      <c r="C1365" s="23">
        <v>1308</v>
      </c>
      <c r="D1365" s="23">
        <v>13</v>
      </c>
      <c r="F1365" s="23" t="s">
        <v>116</v>
      </c>
      <c r="G1365" s="23">
        <v>362</v>
      </c>
      <c r="H1365" s="23" t="s">
        <v>3246</v>
      </c>
      <c r="I1365" s="23">
        <v>0</v>
      </c>
      <c r="J1365" s="40">
        <v>0</v>
      </c>
      <c r="K1365" s="40">
        <v>0</v>
      </c>
      <c r="L1365" s="40" t="s">
        <v>115</v>
      </c>
      <c r="O1365" s="40" t="s">
        <v>115</v>
      </c>
      <c r="Q1365" s="40">
        <v>104</v>
      </c>
      <c r="R1365" s="40">
        <v>166</v>
      </c>
      <c r="X1365" s="40">
        <v>90130812</v>
      </c>
      <c r="Y1365" s="40" t="s">
        <v>115</v>
      </c>
      <c r="Z1365" s="40" t="s">
        <v>115</v>
      </c>
      <c r="AA1365" s="40" t="s">
        <v>115</v>
      </c>
      <c r="AB1365" s="40" t="s">
        <v>115</v>
      </c>
      <c r="AC1365" s="40" t="s">
        <v>115</v>
      </c>
      <c r="AI1365" s="40" t="s">
        <v>115</v>
      </c>
      <c r="AP1365" s="4" t="s">
        <v>115</v>
      </c>
    </row>
    <row r="1366" spans="1:42" x14ac:dyDescent="0.15">
      <c r="A1366" s="40" t="s">
        <v>1</v>
      </c>
      <c r="B1366" s="23">
        <v>90130812</v>
      </c>
      <c r="C1366" s="23">
        <v>1308</v>
      </c>
      <c r="D1366" s="23">
        <v>13</v>
      </c>
      <c r="F1366" s="23" t="s">
        <v>3235</v>
      </c>
      <c r="G1366" s="23" t="s">
        <v>115</v>
      </c>
      <c r="H1366" s="23" t="s">
        <v>3247</v>
      </c>
      <c r="I1366" s="23">
        <v>3</v>
      </c>
      <c r="J1366" s="40">
        <v>0</v>
      </c>
      <c r="K1366" s="40">
        <v>4</v>
      </c>
      <c r="L1366" s="40" t="s">
        <v>115</v>
      </c>
      <c r="O1366" s="40">
        <v>1</v>
      </c>
      <c r="Q1366" s="40">
        <v>104</v>
      </c>
      <c r="R1366" s="40">
        <v>166</v>
      </c>
      <c r="X1366" s="40" t="s">
        <v>115</v>
      </c>
      <c r="Y1366" s="40" t="s">
        <v>115</v>
      </c>
      <c r="Z1366" s="40">
        <v>3</v>
      </c>
      <c r="AA1366" s="40" t="s">
        <v>115</v>
      </c>
      <c r="AB1366" s="40" t="s">
        <v>115</v>
      </c>
      <c r="AC1366" s="40" t="s">
        <v>115</v>
      </c>
      <c r="AI1366" s="40" t="s">
        <v>115</v>
      </c>
      <c r="AP1366" s="4" t="s">
        <v>115</v>
      </c>
    </row>
    <row r="1367" spans="1:42" x14ac:dyDescent="0.15">
      <c r="A1367" s="40" t="s">
        <v>1</v>
      </c>
      <c r="B1367" s="23">
        <v>90130813</v>
      </c>
      <c r="C1367" s="23">
        <v>1308</v>
      </c>
      <c r="D1367" s="23">
        <v>13</v>
      </c>
      <c r="F1367" s="23" t="s">
        <v>116</v>
      </c>
      <c r="G1367" s="23">
        <v>312</v>
      </c>
      <c r="H1367" s="23" t="s">
        <v>3248</v>
      </c>
      <c r="I1367" s="23">
        <v>2</v>
      </c>
      <c r="J1367" s="40">
        <v>0</v>
      </c>
      <c r="K1367" s="40">
        <v>0</v>
      </c>
      <c r="L1367" s="40" t="s">
        <v>115</v>
      </c>
      <c r="O1367" s="40" t="s">
        <v>115</v>
      </c>
      <c r="Q1367" s="40">
        <v>104</v>
      </c>
      <c r="R1367" s="40" t="s">
        <v>115</v>
      </c>
      <c r="X1367" s="40">
        <v>90130814</v>
      </c>
      <c r="Y1367" s="40" t="s">
        <v>115</v>
      </c>
      <c r="Z1367" s="40" t="s">
        <v>115</v>
      </c>
      <c r="AA1367" s="40" t="s">
        <v>115</v>
      </c>
      <c r="AB1367" s="40" t="s">
        <v>115</v>
      </c>
      <c r="AC1367" s="40" t="s">
        <v>115</v>
      </c>
      <c r="AI1367" s="40" t="s">
        <v>115</v>
      </c>
      <c r="AP1367" s="4" t="s">
        <v>115</v>
      </c>
    </row>
    <row r="1368" spans="1:42" x14ac:dyDescent="0.15">
      <c r="A1368" s="40" t="s">
        <v>1</v>
      </c>
      <c r="B1368" s="23">
        <v>90130814</v>
      </c>
      <c r="C1368" s="23">
        <v>1308</v>
      </c>
      <c r="D1368" s="23">
        <v>13</v>
      </c>
      <c r="F1368" s="23" t="s">
        <v>116</v>
      </c>
      <c r="G1368" s="23">
        <v>312</v>
      </c>
      <c r="H1368" s="23" t="s">
        <v>3249</v>
      </c>
      <c r="I1368" s="23">
        <v>2</v>
      </c>
      <c r="J1368" s="40">
        <v>0</v>
      </c>
      <c r="K1368" s="40">
        <v>5</v>
      </c>
      <c r="L1368" s="40" t="s">
        <v>115</v>
      </c>
      <c r="O1368" s="40">
        <v>1</v>
      </c>
      <c r="Q1368" s="40">
        <v>104</v>
      </c>
      <c r="R1368" s="40" t="s">
        <v>115</v>
      </c>
      <c r="X1368" s="40" t="s">
        <v>115</v>
      </c>
      <c r="Y1368" s="40" t="s">
        <v>115</v>
      </c>
      <c r="Z1368" s="40">
        <v>4</v>
      </c>
      <c r="AA1368" s="40" t="s">
        <v>115</v>
      </c>
      <c r="AB1368" s="40" t="s">
        <v>115</v>
      </c>
      <c r="AC1368" s="40" t="s">
        <v>115</v>
      </c>
      <c r="AI1368" s="40" t="s">
        <v>115</v>
      </c>
      <c r="AP1368" s="4" t="s">
        <v>115</v>
      </c>
    </row>
    <row r="1369" spans="1:42" x14ac:dyDescent="0.15">
      <c r="A1369" s="40" t="s">
        <v>1</v>
      </c>
      <c r="B1369" s="23" t="s">
        <v>3424</v>
      </c>
      <c r="C1369" s="23">
        <v>1401</v>
      </c>
      <c r="D1369" s="23">
        <v>14</v>
      </c>
      <c r="F1369" s="23" t="s">
        <v>115</v>
      </c>
      <c r="G1369" s="23" t="s">
        <v>115</v>
      </c>
      <c r="H1369" s="23" t="s">
        <v>3462</v>
      </c>
      <c r="I1369" s="23">
        <v>4</v>
      </c>
      <c r="J1369" s="40">
        <v>1</v>
      </c>
      <c r="K1369" s="40">
        <v>1</v>
      </c>
      <c r="L1369" s="40" t="s">
        <v>115</v>
      </c>
      <c r="O1369" s="40" t="s">
        <v>115</v>
      </c>
      <c r="Q1369" s="40">
        <v>137</v>
      </c>
      <c r="R1369" s="40" t="s">
        <v>115</v>
      </c>
      <c r="X1369" s="40">
        <v>90140102</v>
      </c>
      <c r="Y1369" s="40" t="s">
        <v>115</v>
      </c>
      <c r="Z1369" s="40" t="s">
        <v>115</v>
      </c>
      <c r="AA1369" s="40" t="s">
        <v>115</v>
      </c>
      <c r="AB1369" s="40" t="s">
        <v>115</v>
      </c>
      <c r="AC1369" s="40" t="s">
        <v>115</v>
      </c>
      <c r="AI1369" s="40" t="s">
        <v>115</v>
      </c>
      <c r="AP1369" s="4" t="s">
        <v>115</v>
      </c>
    </row>
    <row r="1370" spans="1:42" x14ac:dyDescent="0.15">
      <c r="A1370" s="40" t="s">
        <v>1</v>
      </c>
      <c r="B1370" s="23">
        <v>90140102</v>
      </c>
      <c r="C1370" s="23">
        <v>1401</v>
      </c>
      <c r="D1370" s="23">
        <v>14</v>
      </c>
      <c r="F1370" s="23" t="s">
        <v>115</v>
      </c>
      <c r="G1370" s="23" t="s">
        <v>115</v>
      </c>
      <c r="H1370" s="23" t="s">
        <v>3463</v>
      </c>
      <c r="I1370" s="23">
        <v>4</v>
      </c>
      <c r="J1370" s="40">
        <v>0</v>
      </c>
      <c r="K1370" s="40">
        <v>0</v>
      </c>
      <c r="L1370" s="40" t="s">
        <v>115</v>
      </c>
      <c r="O1370" s="40" t="s">
        <v>115</v>
      </c>
      <c r="Q1370" s="40">
        <v>137</v>
      </c>
      <c r="R1370" s="40" t="s">
        <v>115</v>
      </c>
      <c r="X1370" s="40">
        <v>90140103</v>
      </c>
      <c r="Y1370" s="40" t="s">
        <v>115</v>
      </c>
      <c r="Z1370" s="40" t="s">
        <v>115</v>
      </c>
      <c r="AA1370" s="40" t="s">
        <v>115</v>
      </c>
      <c r="AB1370" s="40" t="s">
        <v>115</v>
      </c>
      <c r="AC1370" s="40" t="s">
        <v>115</v>
      </c>
      <c r="AI1370" s="40" t="s">
        <v>115</v>
      </c>
      <c r="AP1370" s="4" t="s">
        <v>115</v>
      </c>
    </row>
    <row r="1371" spans="1:42" x14ac:dyDescent="0.15">
      <c r="A1371" s="40" t="s">
        <v>1</v>
      </c>
      <c r="B1371" s="23">
        <v>90140103</v>
      </c>
      <c r="C1371" s="23">
        <v>1401</v>
      </c>
      <c r="D1371" s="23">
        <v>14</v>
      </c>
      <c r="F1371" s="23" t="s">
        <v>116</v>
      </c>
      <c r="G1371" s="23">
        <v>313</v>
      </c>
      <c r="H1371" s="23" t="s">
        <v>3464</v>
      </c>
      <c r="I1371" s="23">
        <v>0</v>
      </c>
      <c r="J1371" s="40">
        <v>0</v>
      </c>
      <c r="K1371" s="40">
        <v>0</v>
      </c>
      <c r="L1371" s="40" t="s">
        <v>115</v>
      </c>
      <c r="O1371" s="40" t="s">
        <v>115</v>
      </c>
      <c r="Q1371" s="40">
        <v>137</v>
      </c>
      <c r="R1371" s="40" t="s">
        <v>115</v>
      </c>
      <c r="X1371" s="40">
        <v>90140104</v>
      </c>
      <c r="Y1371" s="40" t="s">
        <v>115</v>
      </c>
      <c r="Z1371" s="40" t="s">
        <v>115</v>
      </c>
      <c r="AA1371" s="40" t="s">
        <v>115</v>
      </c>
      <c r="AB1371" s="40" t="s">
        <v>115</v>
      </c>
      <c r="AC1371" s="40" t="s">
        <v>115</v>
      </c>
      <c r="AI1371" s="40" t="s">
        <v>115</v>
      </c>
      <c r="AP1371" s="4" t="s">
        <v>115</v>
      </c>
    </row>
    <row r="1372" spans="1:42" x14ac:dyDescent="0.15">
      <c r="A1372" s="40" t="s">
        <v>1</v>
      </c>
      <c r="B1372" s="23">
        <v>90140104</v>
      </c>
      <c r="C1372" s="23">
        <v>1401</v>
      </c>
      <c r="D1372" s="23">
        <v>14</v>
      </c>
      <c r="F1372" s="23" t="s">
        <v>1072</v>
      </c>
      <c r="G1372" s="23" t="s">
        <v>115</v>
      </c>
      <c r="H1372" s="23" t="s">
        <v>3465</v>
      </c>
      <c r="I1372" s="23">
        <v>1</v>
      </c>
      <c r="J1372" s="40">
        <v>0</v>
      </c>
      <c r="K1372" s="40">
        <v>0</v>
      </c>
      <c r="L1372" s="40" t="s">
        <v>115</v>
      </c>
      <c r="O1372" s="40" t="s">
        <v>115</v>
      </c>
      <c r="Q1372" s="40">
        <v>137</v>
      </c>
      <c r="R1372" s="40" t="s">
        <v>115</v>
      </c>
      <c r="X1372" s="40">
        <v>90140105</v>
      </c>
      <c r="Y1372" s="40" t="s">
        <v>115</v>
      </c>
      <c r="Z1372" s="40" t="s">
        <v>115</v>
      </c>
      <c r="AA1372" s="40" t="s">
        <v>115</v>
      </c>
      <c r="AB1372" s="40" t="s">
        <v>115</v>
      </c>
      <c r="AC1372" s="40" t="s">
        <v>115</v>
      </c>
      <c r="AI1372" s="40">
        <v>204</v>
      </c>
      <c r="AP1372" s="4" t="s">
        <v>115</v>
      </c>
    </row>
    <row r="1373" spans="1:42" x14ac:dyDescent="0.15">
      <c r="A1373" s="40" t="s">
        <v>1</v>
      </c>
      <c r="B1373" s="23">
        <v>90140105</v>
      </c>
      <c r="C1373" s="23">
        <v>1401</v>
      </c>
      <c r="D1373" s="23">
        <v>14</v>
      </c>
      <c r="F1373" s="23" t="s">
        <v>115</v>
      </c>
      <c r="G1373" s="23" t="s">
        <v>115</v>
      </c>
      <c r="H1373" s="23" t="s">
        <v>3466</v>
      </c>
      <c r="I1373" s="23">
        <v>4</v>
      </c>
      <c r="J1373" s="40">
        <v>0</v>
      </c>
      <c r="K1373" s="40">
        <v>0</v>
      </c>
      <c r="L1373" s="40" t="s">
        <v>115</v>
      </c>
      <c r="O1373" s="40" t="s">
        <v>115</v>
      </c>
      <c r="Q1373" s="40">
        <v>137</v>
      </c>
      <c r="R1373" s="40" t="s">
        <v>115</v>
      </c>
      <c r="X1373" s="40">
        <v>90140106</v>
      </c>
      <c r="Y1373" s="40" t="s">
        <v>115</v>
      </c>
      <c r="Z1373" s="40" t="s">
        <v>115</v>
      </c>
      <c r="AA1373" s="40" t="s">
        <v>115</v>
      </c>
      <c r="AB1373" s="40" t="s">
        <v>115</v>
      </c>
      <c r="AC1373" s="40" t="s">
        <v>115</v>
      </c>
      <c r="AI1373" s="40">
        <v>204</v>
      </c>
      <c r="AP1373" s="4" t="s">
        <v>115</v>
      </c>
    </row>
    <row r="1374" spans="1:42" x14ac:dyDescent="0.15">
      <c r="A1374" s="40" t="s">
        <v>1</v>
      </c>
      <c r="B1374" s="23">
        <v>90140106</v>
      </c>
      <c r="C1374" s="23">
        <v>1401</v>
      </c>
      <c r="D1374" s="23">
        <v>14</v>
      </c>
      <c r="F1374" s="23" t="s">
        <v>116</v>
      </c>
      <c r="G1374" s="23">
        <v>313</v>
      </c>
      <c r="H1374" s="23" t="s">
        <v>3467</v>
      </c>
      <c r="I1374" s="23">
        <v>2</v>
      </c>
      <c r="J1374" s="40">
        <v>0</v>
      </c>
      <c r="K1374" s="40">
        <v>2</v>
      </c>
      <c r="L1374" s="40" t="s">
        <v>115</v>
      </c>
      <c r="O1374" s="40" t="s">
        <v>115</v>
      </c>
      <c r="Q1374" s="40">
        <v>137</v>
      </c>
      <c r="R1374" s="40" t="s">
        <v>115</v>
      </c>
      <c r="X1374" s="40" t="s">
        <v>3468</v>
      </c>
      <c r="Y1374" s="40">
        <v>1</v>
      </c>
      <c r="Z1374" s="40">
        <v>1</v>
      </c>
      <c r="AA1374" s="40" t="s">
        <v>115</v>
      </c>
      <c r="AB1374" s="40" t="s">
        <v>115</v>
      </c>
      <c r="AC1374" s="40" t="s">
        <v>115</v>
      </c>
      <c r="AI1374" s="40">
        <v>204</v>
      </c>
      <c r="AP1374" s="4" t="s">
        <v>115</v>
      </c>
    </row>
    <row r="1375" spans="1:42" x14ac:dyDescent="0.15">
      <c r="A1375" s="40" t="s">
        <v>1</v>
      </c>
      <c r="B1375" s="23">
        <v>90140107</v>
      </c>
      <c r="C1375" s="23">
        <v>1401</v>
      </c>
      <c r="D1375" s="23">
        <v>14</v>
      </c>
      <c r="F1375" s="23" t="s">
        <v>115</v>
      </c>
      <c r="G1375" s="23" t="s">
        <v>115</v>
      </c>
      <c r="H1375" s="23" t="s">
        <v>3469</v>
      </c>
      <c r="I1375" s="23">
        <v>4</v>
      </c>
      <c r="J1375" s="40">
        <v>0</v>
      </c>
      <c r="K1375" s="40">
        <v>3</v>
      </c>
      <c r="L1375" s="40" t="s">
        <v>115</v>
      </c>
      <c r="O1375" s="40" t="s">
        <v>115</v>
      </c>
      <c r="Q1375" s="40">
        <v>137</v>
      </c>
      <c r="R1375" s="40" t="s">
        <v>115</v>
      </c>
      <c r="X1375" s="40">
        <v>90140109</v>
      </c>
      <c r="Y1375" s="40">
        <v>-1</v>
      </c>
      <c r="Z1375" s="40">
        <v>2</v>
      </c>
      <c r="AA1375" s="40" t="s">
        <v>115</v>
      </c>
      <c r="AB1375" s="40" t="s">
        <v>115</v>
      </c>
      <c r="AC1375" s="40" t="s">
        <v>115</v>
      </c>
      <c r="AI1375" s="40">
        <v>204</v>
      </c>
      <c r="AP1375" s="4" t="s">
        <v>115</v>
      </c>
    </row>
    <row r="1376" spans="1:42" x14ac:dyDescent="0.15">
      <c r="A1376" s="40" t="s">
        <v>1</v>
      </c>
      <c r="B1376" s="23">
        <v>90140108</v>
      </c>
      <c r="C1376" s="23">
        <v>1401</v>
      </c>
      <c r="D1376" s="23">
        <v>14</v>
      </c>
      <c r="F1376" s="23" t="s">
        <v>115</v>
      </c>
      <c r="G1376" s="23" t="s">
        <v>115</v>
      </c>
      <c r="H1376" s="23" t="s">
        <v>3470</v>
      </c>
      <c r="I1376" s="23">
        <v>4</v>
      </c>
      <c r="J1376" s="40">
        <v>0</v>
      </c>
      <c r="K1376" s="40">
        <v>4</v>
      </c>
      <c r="L1376" s="40" t="s">
        <v>115</v>
      </c>
      <c r="O1376" s="40" t="s">
        <v>115</v>
      </c>
      <c r="Q1376" s="40">
        <v>137</v>
      </c>
      <c r="R1376" s="40" t="s">
        <v>115</v>
      </c>
      <c r="X1376" s="40">
        <v>90140112</v>
      </c>
      <c r="Y1376" s="40">
        <v>-1</v>
      </c>
      <c r="Z1376" s="40">
        <v>2</v>
      </c>
      <c r="AA1376" s="40" t="s">
        <v>115</v>
      </c>
      <c r="AB1376" s="40" t="s">
        <v>115</v>
      </c>
      <c r="AC1376" s="40" t="s">
        <v>115</v>
      </c>
      <c r="AI1376" s="40">
        <v>204</v>
      </c>
      <c r="AP1376" s="4" t="s">
        <v>115</v>
      </c>
    </row>
    <row r="1377" spans="1:42" x14ac:dyDescent="0.15">
      <c r="A1377" s="40" t="s">
        <v>1</v>
      </c>
      <c r="B1377" s="23">
        <v>90140109</v>
      </c>
      <c r="C1377" s="23">
        <v>1401</v>
      </c>
      <c r="D1377" s="23">
        <v>14</v>
      </c>
      <c r="F1377" s="23" t="s">
        <v>1072</v>
      </c>
      <c r="G1377" s="23" t="s">
        <v>115</v>
      </c>
      <c r="H1377" s="23" t="s">
        <v>3471</v>
      </c>
      <c r="I1377" s="23">
        <v>1</v>
      </c>
      <c r="J1377" s="40">
        <v>0</v>
      </c>
      <c r="K1377" s="40">
        <v>0</v>
      </c>
      <c r="L1377" s="40" t="s">
        <v>115</v>
      </c>
      <c r="O1377" s="40" t="s">
        <v>115</v>
      </c>
      <c r="Q1377" s="40">
        <v>137</v>
      </c>
      <c r="R1377" s="40" t="s">
        <v>115</v>
      </c>
      <c r="X1377" s="40">
        <v>90140110</v>
      </c>
      <c r="Y1377" s="40" t="s">
        <v>115</v>
      </c>
      <c r="Z1377" s="40" t="s">
        <v>115</v>
      </c>
      <c r="AA1377" s="40" t="s">
        <v>115</v>
      </c>
      <c r="AB1377" s="40" t="s">
        <v>115</v>
      </c>
      <c r="AC1377" s="40" t="s">
        <v>115</v>
      </c>
      <c r="AI1377" s="40">
        <v>204</v>
      </c>
      <c r="AP1377" s="4" t="s">
        <v>115</v>
      </c>
    </row>
    <row r="1378" spans="1:42" x14ac:dyDescent="0.15">
      <c r="A1378" s="40" t="s">
        <v>1</v>
      </c>
      <c r="B1378" s="23">
        <v>90140110</v>
      </c>
      <c r="C1378" s="23">
        <v>1401</v>
      </c>
      <c r="D1378" s="23">
        <v>14</v>
      </c>
      <c r="F1378" s="23" t="s">
        <v>1072</v>
      </c>
      <c r="G1378" s="23" t="s">
        <v>115</v>
      </c>
      <c r="H1378" s="23" t="s">
        <v>3472</v>
      </c>
      <c r="I1378" s="23">
        <v>1</v>
      </c>
      <c r="J1378" s="40">
        <v>0</v>
      </c>
      <c r="K1378" s="40">
        <v>0</v>
      </c>
      <c r="L1378" s="40" t="s">
        <v>115</v>
      </c>
      <c r="O1378" s="40" t="s">
        <v>115</v>
      </c>
      <c r="Q1378" s="40">
        <v>137</v>
      </c>
      <c r="R1378" s="40" t="s">
        <v>115</v>
      </c>
      <c r="X1378" s="40">
        <v>90140111</v>
      </c>
      <c r="Y1378" s="40" t="s">
        <v>115</v>
      </c>
      <c r="Z1378" s="40" t="s">
        <v>115</v>
      </c>
      <c r="AA1378" s="40" t="s">
        <v>115</v>
      </c>
      <c r="AB1378" s="40" t="s">
        <v>115</v>
      </c>
      <c r="AC1378" s="40" t="s">
        <v>115</v>
      </c>
      <c r="AI1378" s="40">
        <v>204</v>
      </c>
      <c r="AP1378" s="4" t="s">
        <v>115</v>
      </c>
    </row>
    <row r="1379" spans="1:42" x14ac:dyDescent="0.15">
      <c r="A1379" s="40" t="s">
        <v>1</v>
      </c>
      <c r="B1379" s="23">
        <v>90140111</v>
      </c>
      <c r="C1379" s="23">
        <v>1401</v>
      </c>
      <c r="D1379" s="23">
        <v>14</v>
      </c>
      <c r="F1379" s="23" t="s">
        <v>116</v>
      </c>
      <c r="G1379" s="23">
        <v>312</v>
      </c>
      <c r="H1379" s="23" t="s">
        <v>3473</v>
      </c>
      <c r="I1379" s="23">
        <v>0</v>
      </c>
      <c r="J1379" s="40">
        <v>0</v>
      </c>
      <c r="K1379" s="40">
        <v>0</v>
      </c>
      <c r="L1379" s="40" t="s">
        <v>115</v>
      </c>
      <c r="O1379" s="40" t="s">
        <v>115</v>
      </c>
      <c r="Q1379" s="40">
        <v>137</v>
      </c>
      <c r="R1379" s="40" t="s">
        <v>115</v>
      </c>
      <c r="X1379" s="40">
        <v>90140118</v>
      </c>
      <c r="Y1379" s="40" t="s">
        <v>115</v>
      </c>
      <c r="Z1379" s="40" t="s">
        <v>115</v>
      </c>
      <c r="AA1379" s="40" t="s">
        <v>115</v>
      </c>
      <c r="AB1379" s="40" t="s">
        <v>115</v>
      </c>
      <c r="AC1379" s="40" t="s">
        <v>115</v>
      </c>
      <c r="AI1379" s="40">
        <v>204</v>
      </c>
      <c r="AP1379" s="4" t="s">
        <v>115</v>
      </c>
    </row>
    <row r="1380" spans="1:42" x14ac:dyDescent="0.15">
      <c r="A1380" s="40" t="s">
        <v>1</v>
      </c>
      <c r="B1380" s="23">
        <v>90140112</v>
      </c>
      <c r="C1380" s="23">
        <v>1401</v>
      </c>
      <c r="D1380" s="23">
        <v>14</v>
      </c>
      <c r="F1380" s="23" t="s">
        <v>115</v>
      </c>
      <c r="G1380" s="23" t="s">
        <v>115</v>
      </c>
      <c r="H1380" s="23" t="s">
        <v>3474</v>
      </c>
      <c r="I1380" s="23">
        <v>4</v>
      </c>
      <c r="J1380" s="40">
        <v>0</v>
      </c>
      <c r="K1380" s="40">
        <v>0</v>
      </c>
      <c r="L1380" s="40" t="s">
        <v>115</v>
      </c>
      <c r="O1380" s="40" t="s">
        <v>115</v>
      </c>
      <c r="Q1380" s="40">
        <v>137</v>
      </c>
      <c r="R1380" s="40" t="s">
        <v>115</v>
      </c>
      <c r="X1380" s="40">
        <v>90140113</v>
      </c>
      <c r="Y1380" s="40" t="s">
        <v>115</v>
      </c>
      <c r="Z1380" s="40" t="s">
        <v>115</v>
      </c>
      <c r="AA1380" s="40" t="s">
        <v>115</v>
      </c>
      <c r="AB1380" s="40" t="s">
        <v>115</v>
      </c>
      <c r="AC1380" s="40" t="s">
        <v>115</v>
      </c>
      <c r="AI1380" s="40">
        <v>204</v>
      </c>
      <c r="AP1380" s="4" t="s">
        <v>115</v>
      </c>
    </row>
    <row r="1381" spans="1:42" x14ac:dyDescent="0.15">
      <c r="A1381" s="40" t="s">
        <v>1</v>
      </c>
      <c r="B1381" s="23">
        <v>90140113</v>
      </c>
      <c r="C1381" s="23">
        <v>1401</v>
      </c>
      <c r="D1381" s="23">
        <v>14</v>
      </c>
      <c r="F1381" s="23" t="s">
        <v>1072</v>
      </c>
      <c r="G1381" s="23" t="s">
        <v>115</v>
      </c>
      <c r="H1381" s="23" t="s">
        <v>3475</v>
      </c>
      <c r="I1381" s="23">
        <v>1</v>
      </c>
      <c r="J1381" s="40">
        <v>0</v>
      </c>
      <c r="K1381" s="40">
        <v>0</v>
      </c>
      <c r="L1381" s="40" t="s">
        <v>115</v>
      </c>
      <c r="O1381" s="40" t="s">
        <v>115</v>
      </c>
      <c r="Q1381" s="40">
        <v>137</v>
      </c>
      <c r="R1381" s="40" t="s">
        <v>115</v>
      </c>
      <c r="X1381" s="40">
        <v>90140114</v>
      </c>
      <c r="Y1381" s="40" t="s">
        <v>115</v>
      </c>
      <c r="Z1381" s="40" t="s">
        <v>115</v>
      </c>
      <c r="AA1381" s="40" t="s">
        <v>115</v>
      </c>
      <c r="AB1381" s="40" t="s">
        <v>115</v>
      </c>
      <c r="AC1381" s="40" t="s">
        <v>115</v>
      </c>
      <c r="AI1381" s="40">
        <v>204</v>
      </c>
      <c r="AP1381" s="4" t="s">
        <v>115</v>
      </c>
    </row>
    <row r="1382" spans="1:42" x14ac:dyDescent="0.15">
      <c r="A1382" s="40" t="s">
        <v>1</v>
      </c>
      <c r="B1382" s="23">
        <v>90140114</v>
      </c>
      <c r="C1382" s="23">
        <v>1401</v>
      </c>
      <c r="D1382" s="23">
        <v>14</v>
      </c>
      <c r="F1382" s="23" t="s">
        <v>115</v>
      </c>
      <c r="G1382" s="23" t="s">
        <v>115</v>
      </c>
      <c r="H1382" s="23" t="s">
        <v>3476</v>
      </c>
      <c r="I1382" s="23">
        <v>4</v>
      </c>
      <c r="J1382" s="40">
        <v>0</v>
      </c>
      <c r="K1382" s="40">
        <v>0</v>
      </c>
      <c r="L1382" s="40" t="s">
        <v>115</v>
      </c>
      <c r="O1382" s="40" t="s">
        <v>115</v>
      </c>
      <c r="Q1382" s="40">
        <v>137</v>
      </c>
      <c r="R1382" s="40" t="s">
        <v>115</v>
      </c>
      <c r="X1382" s="40">
        <v>90140115</v>
      </c>
      <c r="Y1382" s="40" t="s">
        <v>115</v>
      </c>
      <c r="Z1382" s="40" t="s">
        <v>115</v>
      </c>
      <c r="AA1382" s="40" t="s">
        <v>115</v>
      </c>
      <c r="AB1382" s="40" t="s">
        <v>115</v>
      </c>
      <c r="AC1382" s="40" t="s">
        <v>115</v>
      </c>
      <c r="AI1382" s="40">
        <v>204</v>
      </c>
      <c r="AP1382" s="4" t="s">
        <v>115</v>
      </c>
    </row>
    <row r="1383" spans="1:42" x14ac:dyDescent="0.15">
      <c r="A1383" s="40" t="s">
        <v>1</v>
      </c>
      <c r="B1383" s="23">
        <v>90140115</v>
      </c>
      <c r="C1383" s="23">
        <v>1401</v>
      </c>
      <c r="D1383" s="23">
        <v>14</v>
      </c>
      <c r="F1383" s="23" t="s">
        <v>116</v>
      </c>
      <c r="G1383" s="23">
        <v>312</v>
      </c>
      <c r="H1383" s="23" t="s">
        <v>3477</v>
      </c>
      <c r="I1383" s="23">
        <v>0</v>
      </c>
      <c r="J1383" s="40">
        <v>0</v>
      </c>
      <c r="K1383" s="40">
        <v>0</v>
      </c>
      <c r="L1383" s="40" t="s">
        <v>115</v>
      </c>
      <c r="O1383" s="40" t="s">
        <v>115</v>
      </c>
      <c r="Q1383" s="40">
        <v>137</v>
      </c>
      <c r="R1383" s="40" t="s">
        <v>115</v>
      </c>
      <c r="X1383" s="40">
        <v>90140116</v>
      </c>
      <c r="Y1383" s="40" t="s">
        <v>115</v>
      </c>
      <c r="Z1383" s="40" t="s">
        <v>115</v>
      </c>
      <c r="AA1383" s="40" t="s">
        <v>115</v>
      </c>
      <c r="AB1383" s="40" t="s">
        <v>115</v>
      </c>
      <c r="AC1383" s="40" t="s">
        <v>115</v>
      </c>
      <c r="AI1383" s="40">
        <v>204</v>
      </c>
      <c r="AP1383" s="4" t="s">
        <v>115</v>
      </c>
    </row>
    <row r="1384" spans="1:42" x14ac:dyDescent="0.15">
      <c r="A1384" s="40" t="s">
        <v>1</v>
      </c>
      <c r="B1384" s="23">
        <v>90140116</v>
      </c>
      <c r="C1384" s="23">
        <v>1401</v>
      </c>
      <c r="D1384" s="23">
        <v>14</v>
      </c>
      <c r="F1384" s="23" t="s">
        <v>1072</v>
      </c>
      <c r="G1384" s="23" t="s">
        <v>115</v>
      </c>
      <c r="H1384" s="23" t="s">
        <v>3478</v>
      </c>
      <c r="I1384" s="23">
        <v>1</v>
      </c>
      <c r="J1384" s="40">
        <v>0</v>
      </c>
      <c r="K1384" s="40">
        <v>5</v>
      </c>
      <c r="L1384" s="40" t="s">
        <v>4801</v>
      </c>
      <c r="O1384" s="40" t="s">
        <v>115</v>
      </c>
      <c r="Q1384" s="40">
        <v>137</v>
      </c>
      <c r="R1384" s="40" t="s">
        <v>115</v>
      </c>
      <c r="X1384" s="40">
        <v>90140117</v>
      </c>
      <c r="Y1384" s="40" t="s">
        <v>115</v>
      </c>
      <c r="Z1384" s="40">
        <v>4</v>
      </c>
      <c r="AA1384" s="40" t="s">
        <v>115</v>
      </c>
      <c r="AB1384" s="40" t="s">
        <v>115</v>
      </c>
      <c r="AC1384" s="40" t="s">
        <v>115</v>
      </c>
      <c r="AI1384" s="40">
        <v>204</v>
      </c>
      <c r="AP1384" s="4" t="s">
        <v>115</v>
      </c>
    </row>
    <row r="1385" spans="1:42" x14ac:dyDescent="0.15">
      <c r="A1385" s="40" t="s">
        <v>1</v>
      </c>
      <c r="B1385" s="23">
        <v>90140117</v>
      </c>
      <c r="C1385" s="23">
        <v>1401</v>
      </c>
      <c r="D1385" s="23">
        <v>14</v>
      </c>
      <c r="F1385" s="23" t="s">
        <v>116</v>
      </c>
      <c r="G1385" s="23">
        <v>314</v>
      </c>
      <c r="H1385" s="23" t="s">
        <v>3479</v>
      </c>
      <c r="I1385" s="23">
        <v>2</v>
      </c>
      <c r="J1385" s="40">
        <v>0</v>
      </c>
      <c r="K1385" s="40">
        <v>0</v>
      </c>
      <c r="L1385" s="40" t="s">
        <v>115</v>
      </c>
      <c r="O1385" s="40" t="s">
        <v>115</v>
      </c>
      <c r="Q1385" s="40">
        <v>137</v>
      </c>
      <c r="R1385" s="40" t="s">
        <v>115</v>
      </c>
      <c r="X1385" s="40">
        <v>90140118</v>
      </c>
      <c r="Y1385" s="40" t="s">
        <v>115</v>
      </c>
      <c r="Z1385" s="40" t="s">
        <v>115</v>
      </c>
      <c r="AA1385" s="40" t="s">
        <v>115</v>
      </c>
      <c r="AB1385" s="40" t="s">
        <v>115</v>
      </c>
      <c r="AC1385" s="40" t="s">
        <v>115</v>
      </c>
      <c r="AI1385" s="40">
        <v>204</v>
      </c>
      <c r="AP1385" s="4" t="s">
        <v>115</v>
      </c>
    </row>
    <row r="1386" spans="1:42" x14ac:dyDescent="0.15">
      <c r="A1386" s="40" t="s">
        <v>1</v>
      </c>
      <c r="B1386" s="23">
        <v>90140118</v>
      </c>
      <c r="C1386" s="23">
        <v>1401</v>
      </c>
      <c r="D1386" s="23">
        <v>14</v>
      </c>
      <c r="F1386" s="23" t="s">
        <v>1072</v>
      </c>
      <c r="G1386" s="23" t="s">
        <v>115</v>
      </c>
      <c r="H1386" s="23" t="s">
        <v>3480</v>
      </c>
      <c r="I1386" s="23">
        <v>1</v>
      </c>
      <c r="J1386" s="40">
        <v>0</v>
      </c>
      <c r="K1386" s="40">
        <v>0</v>
      </c>
      <c r="L1386" s="40" t="s">
        <v>115</v>
      </c>
      <c r="O1386" s="40" t="s">
        <v>115</v>
      </c>
      <c r="Q1386" s="40">
        <v>137</v>
      </c>
      <c r="R1386" s="40" t="s">
        <v>115</v>
      </c>
      <c r="X1386" s="40">
        <v>90140119</v>
      </c>
      <c r="Y1386" s="40" t="s">
        <v>115</v>
      </c>
      <c r="Z1386" s="40" t="s">
        <v>115</v>
      </c>
      <c r="AA1386" s="40" t="s">
        <v>115</v>
      </c>
      <c r="AB1386" s="40" t="s">
        <v>115</v>
      </c>
      <c r="AC1386" s="40" t="s">
        <v>115</v>
      </c>
      <c r="AI1386" s="40">
        <v>204</v>
      </c>
      <c r="AP1386" s="4" t="s">
        <v>115</v>
      </c>
    </row>
    <row r="1387" spans="1:42" x14ac:dyDescent="0.15">
      <c r="A1387" s="40" t="s">
        <v>1</v>
      </c>
      <c r="B1387" s="23">
        <v>90140119</v>
      </c>
      <c r="C1387" s="23">
        <v>1401</v>
      </c>
      <c r="D1387" s="23">
        <v>14</v>
      </c>
      <c r="F1387" s="23" t="s">
        <v>115</v>
      </c>
      <c r="G1387" s="23" t="s">
        <v>115</v>
      </c>
      <c r="H1387" s="23" t="s">
        <v>3481</v>
      </c>
      <c r="I1387" s="23">
        <v>4</v>
      </c>
      <c r="J1387" s="40">
        <v>0</v>
      </c>
      <c r="K1387" s="40">
        <v>6</v>
      </c>
      <c r="L1387" s="40" t="s">
        <v>115</v>
      </c>
      <c r="O1387" s="40">
        <v>1</v>
      </c>
      <c r="Q1387" s="40">
        <v>137</v>
      </c>
      <c r="R1387" s="40" t="s">
        <v>115</v>
      </c>
      <c r="X1387" s="40" t="s">
        <v>115</v>
      </c>
      <c r="Y1387" s="40" t="s">
        <v>115</v>
      </c>
      <c r="Z1387" s="40">
        <v>5</v>
      </c>
      <c r="AA1387" s="40" t="s">
        <v>115</v>
      </c>
      <c r="AB1387" s="40" t="s">
        <v>115</v>
      </c>
      <c r="AC1387" s="40" t="s">
        <v>115</v>
      </c>
      <c r="AI1387" s="40">
        <v>204</v>
      </c>
      <c r="AP1387" s="4" t="s">
        <v>3482</v>
      </c>
    </row>
    <row r="1388" spans="1:42" x14ac:dyDescent="0.15">
      <c r="A1388" s="40" t="s">
        <v>1</v>
      </c>
      <c r="B1388" s="23" t="s">
        <v>3427</v>
      </c>
      <c r="C1388" s="23">
        <v>1402</v>
      </c>
      <c r="D1388" s="23">
        <v>14</v>
      </c>
      <c r="F1388" s="23" t="s">
        <v>115</v>
      </c>
      <c r="G1388" s="23" t="s">
        <v>115</v>
      </c>
      <c r="H1388" s="23" t="s">
        <v>3483</v>
      </c>
      <c r="I1388" s="23">
        <v>4</v>
      </c>
      <c r="J1388" s="40">
        <v>1</v>
      </c>
      <c r="K1388" s="40">
        <v>1</v>
      </c>
      <c r="L1388" s="40" t="s">
        <v>115</v>
      </c>
      <c r="O1388" s="40" t="s">
        <v>115</v>
      </c>
      <c r="Q1388" s="40">
        <v>104</v>
      </c>
      <c r="R1388" s="40">
        <v>157</v>
      </c>
      <c r="X1388" s="40">
        <v>90140202</v>
      </c>
      <c r="Y1388" s="40" t="s">
        <v>115</v>
      </c>
      <c r="Z1388" s="40" t="s">
        <v>115</v>
      </c>
      <c r="AA1388" s="40" t="s">
        <v>115</v>
      </c>
      <c r="AB1388" s="40" t="s">
        <v>115</v>
      </c>
      <c r="AC1388" s="40" t="s">
        <v>115</v>
      </c>
      <c r="AI1388" s="40" t="s">
        <v>115</v>
      </c>
      <c r="AP1388" s="4" t="s">
        <v>115</v>
      </c>
    </row>
    <row r="1389" spans="1:42" x14ac:dyDescent="0.15">
      <c r="A1389" s="40" t="s">
        <v>1</v>
      </c>
      <c r="B1389" s="23">
        <v>90140202</v>
      </c>
      <c r="C1389" s="23">
        <v>1402</v>
      </c>
      <c r="D1389" s="23">
        <v>14</v>
      </c>
      <c r="F1389" s="23" t="s">
        <v>115</v>
      </c>
      <c r="G1389" s="23" t="s">
        <v>115</v>
      </c>
      <c r="H1389" s="23" t="s">
        <v>3484</v>
      </c>
      <c r="I1389" s="23">
        <v>4</v>
      </c>
      <c r="J1389" s="40">
        <v>0</v>
      </c>
      <c r="K1389" s="40">
        <v>0</v>
      </c>
      <c r="L1389" s="40" t="s">
        <v>115</v>
      </c>
      <c r="O1389" s="40" t="s">
        <v>115</v>
      </c>
      <c r="Q1389" s="40">
        <v>104</v>
      </c>
      <c r="R1389" s="40" t="s">
        <v>115</v>
      </c>
      <c r="X1389" s="40">
        <v>90140203</v>
      </c>
      <c r="Y1389" s="40" t="s">
        <v>115</v>
      </c>
      <c r="Z1389" s="40" t="s">
        <v>115</v>
      </c>
      <c r="AA1389" s="40" t="s">
        <v>115</v>
      </c>
      <c r="AB1389" s="40" t="s">
        <v>115</v>
      </c>
      <c r="AC1389" s="40" t="s">
        <v>115</v>
      </c>
      <c r="AI1389" s="40">
        <v>204</v>
      </c>
      <c r="AP1389" s="4" t="s">
        <v>115</v>
      </c>
    </row>
    <row r="1390" spans="1:42" x14ac:dyDescent="0.15">
      <c r="A1390" s="40" t="s">
        <v>1</v>
      </c>
      <c r="B1390" s="23">
        <v>90140203</v>
      </c>
      <c r="C1390" s="23">
        <v>1402</v>
      </c>
      <c r="D1390" s="23">
        <v>14</v>
      </c>
      <c r="F1390" s="23" t="s">
        <v>116</v>
      </c>
      <c r="G1390" s="23">
        <v>314</v>
      </c>
      <c r="H1390" s="23" t="s">
        <v>3485</v>
      </c>
      <c r="I1390" s="23">
        <v>2</v>
      </c>
      <c r="J1390" s="40">
        <v>0</v>
      </c>
      <c r="K1390" s="40">
        <v>0</v>
      </c>
      <c r="L1390" s="40" t="s">
        <v>115</v>
      </c>
      <c r="O1390" s="40" t="s">
        <v>115</v>
      </c>
      <c r="Q1390" s="40">
        <v>104</v>
      </c>
      <c r="R1390" s="40" t="s">
        <v>115</v>
      </c>
      <c r="X1390" s="40">
        <v>90140204</v>
      </c>
      <c r="Y1390" s="40" t="s">
        <v>115</v>
      </c>
      <c r="Z1390" s="40" t="s">
        <v>115</v>
      </c>
      <c r="AA1390" s="40" t="s">
        <v>115</v>
      </c>
      <c r="AB1390" s="40" t="s">
        <v>115</v>
      </c>
      <c r="AC1390" s="40" t="s">
        <v>115</v>
      </c>
      <c r="AI1390" s="40">
        <v>204</v>
      </c>
      <c r="AP1390" s="4" t="s">
        <v>115</v>
      </c>
    </row>
    <row r="1391" spans="1:42" x14ac:dyDescent="0.15">
      <c r="A1391" s="40" t="s">
        <v>1</v>
      </c>
      <c r="B1391" s="23">
        <v>90140204</v>
      </c>
      <c r="C1391" s="23">
        <v>1402</v>
      </c>
      <c r="D1391" s="23">
        <v>14</v>
      </c>
      <c r="F1391" s="23" t="s">
        <v>1061</v>
      </c>
      <c r="G1391" s="23" t="s">
        <v>115</v>
      </c>
      <c r="H1391" s="23" t="s">
        <v>3486</v>
      </c>
      <c r="I1391" s="23">
        <v>3</v>
      </c>
      <c r="J1391" s="40">
        <v>0</v>
      </c>
      <c r="K1391" s="40">
        <v>0</v>
      </c>
      <c r="L1391" s="40" t="s">
        <v>115</v>
      </c>
      <c r="O1391" s="40" t="s">
        <v>115</v>
      </c>
      <c r="Q1391" s="40">
        <v>104</v>
      </c>
      <c r="R1391" s="40">
        <v>157</v>
      </c>
      <c r="X1391" s="40">
        <v>90140205</v>
      </c>
      <c r="Y1391" s="40" t="s">
        <v>115</v>
      </c>
      <c r="Z1391" s="40" t="s">
        <v>115</v>
      </c>
      <c r="AA1391" s="40" t="s">
        <v>115</v>
      </c>
      <c r="AB1391" s="40" t="s">
        <v>115</v>
      </c>
      <c r="AC1391" s="40" t="s">
        <v>115</v>
      </c>
      <c r="AI1391" s="40" t="s">
        <v>115</v>
      </c>
      <c r="AP1391" s="4" t="s">
        <v>115</v>
      </c>
    </row>
    <row r="1392" spans="1:42" x14ac:dyDescent="0.15">
      <c r="A1392" s="40" t="s">
        <v>1</v>
      </c>
      <c r="B1392" s="23">
        <v>90140205</v>
      </c>
      <c r="C1392" s="23">
        <v>1402</v>
      </c>
      <c r="D1392" s="23">
        <v>14</v>
      </c>
      <c r="F1392" s="23" t="s">
        <v>116</v>
      </c>
      <c r="G1392" s="23">
        <v>312</v>
      </c>
      <c r="H1392" s="23" t="s">
        <v>3487</v>
      </c>
      <c r="I1392" s="23">
        <v>0</v>
      </c>
      <c r="J1392" s="40">
        <v>0</v>
      </c>
      <c r="K1392" s="40">
        <v>2</v>
      </c>
      <c r="L1392" s="40" t="s">
        <v>115</v>
      </c>
      <c r="O1392" s="40" t="s">
        <v>115</v>
      </c>
      <c r="Q1392" s="40">
        <v>104</v>
      </c>
      <c r="R1392" s="40">
        <v>157</v>
      </c>
      <c r="X1392" s="40" t="s">
        <v>3488</v>
      </c>
      <c r="Y1392" s="40">
        <v>1</v>
      </c>
      <c r="Z1392" s="40">
        <v>1</v>
      </c>
      <c r="AA1392" s="40" t="s">
        <v>115</v>
      </c>
      <c r="AB1392" s="40" t="s">
        <v>115</v>
      </c>
      <c r="AC1392" s="40" t="s">
        <v>115</v>
      </c>
      <c r="AI1392" s="40" t="s">
        <v>115</v>
      </c>
      <c r="AP1392" s="4" t="s">
        <v>115</v>
      </c>
    </row>
    <row r="1393" spans="1:42" x14ac:dyDescent="0.15">
      <c r="A1393" s="40" t="s">
        <v>1</v>
      </c>
      <c r="B1393" s="23">
        <v>90140206</v>
      </c>
      <c r="C1393" s="23">
        <v>1402</v>
      </c>
      <c r="D1393" s="23">
        <v>14</v>
      </c>
      <c r="F1393" s="23" t="s">
        <v>115</v>
      </c>
      <c r="G1393" s="23" t="s">
        <v>115</v>
      </c>
      <c r="H1393" s="23" t="s">
        <v>3489</v>
      </c>
      <c r="I1393" s="23">
        <v>4</v>
      </c>
      <c r="J1393" s="40">
        <v>0</v>
      </c>
      <c r="K1393" s="40">
        <v>3</v>
      </c>
      <c r="L1393" s="40" t="s">
        <v>115</v>
      </c>
      <c r="O1393" s="40" t="s">
        <v>115</v>
      </c>
      <c r="Q1393" s="40">
        <v>104</v>
      </c>
      <c r="R1393" s="40">
        <v>157</v>
      </c>
      <c r="X1393" s="40">
        <v>90140208</v>
      </c>
      <c r="Y1393" s="40">
        <v>-1</v>
      </c>
      <c r="Z1393" s="40">
        <v>2</v>
      </c>
      <c r="AA1393" s="40" t="s">
        <v>115</v>
      </c>
      <c r="AB1393" s="40" t="s">
        <v>115</v>
      </c>
      <c r="AC1393" s="40" t="s">
        <v>3490</v>
      </c>
      <c r="AI1393" s="40" t="s">
        <v>115</v>
      </c>
      <c r="AP1393" s="4" t="s">
        <v>115</v>
      </c>
    </row>
    <row r="1394" spans="1:42" x14ac:dyDescent="0.15">
      <c r="A1394" s="40" t="s">
        <v>1</v>
      </c>
      <c r="B1394" s="23">
        <v>90140207</v>
      </c>
      <c r="C1394" s="23">
        <v>1402</v>
      </c>
      <c r="D1394" s="23">
        <v>14</v>
      </c>
      <c r="F1394" s="23" t="s">
        <v>115</v>
      </c>
      <c r="G1394" s="23" t="s">
        <v>115</v>
      </c>
      <c r="H1394" s="23" t="s">
        <v>3491</v>
      </c>
      <c r="I1394" s="23">
        <v>4</v>
      </c>
      <c r="J1394" s="40">
        <v>0</v>
      </c>
      <c r="K1394" s="40">
        <v>4</v>
      </c>
      <c r="L1394" s="40" t="s">
        <v>115</v>
      </c>
      <c r="O1394" s="40" t="s">
        <v>115</v>
      </c>
      <c r="Q1394" s="40">
        <v>104</v>
      </c>
      <c r="R1394" s="40">
        <v>157</v>
      </c>
      <c r="X1394" s="40">
        <v>90140211</v>
      </c>
      <c r="Y1394" s="40">
        <v>-1</v>
      </c>
      <c r="Z1394" s="40">
        <v>2</v>
      </c>
      <c r="AA1394" s="40" t="s">
        <v>4802</v>
      </c>
      <c r="AB1394" s="40" t="s">
        <v>115</v>
      </c>
      <c r="AC1394" s="40" t="s">
        <v>115</v>
      </c>
      <c r="AI1394" s="40" t="s">
        <v>115</v>
      </c>
      <c r="AP1394" s="4" t="s">
        <v>115</v>
      </c>
    </row>
    <row r="1395" spans="1:42" x14ac:dyDescent="0.15">
      <c r="A1395" s="40" t="s">
        <v>1</v>
      </c>
      <c r="B1395" s="23">
        <v>90140208</v>
      </c>
      <c r="C1395" s="23">
        <v>1402</v>
      </c>
      <c r="D1395" s="23">
        <v>14</v>
      </c>
      <c r="F1395" s="23" t="s">
        <v>115</v>
      </c>
      <c r="G1395" s="23" t="s">
        <v>115</v>
      </c>
      <c r="H1395" s="23" t="s">
        <v>3492</v>
      </c>
      <c r="I1395" s="23">
        <v>4</v>
      </c>
      <c r="J1395" s="40">
        <v>0</v>
      </c>
      <c r="K1395" s="40">
        <v>0</v>
      </c>
      <c r="L1395" s="40" t="s">
        <v>115</v>
      </c>
      <c r="O1395" s="40" t="s">
        <v>115</v>
      </c>
      <c r="Q1395" s="40">
        <v>104</v>
      </c>
      <c r="R1395" s="40">
        <v>157</v>
      </c>
      <c r="X1395" s="40">
        <v>90140209</v>
      </c>
      <c r="Y1395" s="40" t="s">
        <v>115</v>
      </c>
      <c r="Z1395" s="40" t="s">
        <v>115</v>
      </c>
      <c r="AA1395" s="40" t="s">
        <v>115</v>
      </c>
      <c r="AB1395" s="40" t="s">
        <v>115</v>
      </c>
      <c r="AC1395" s="40" t="s">
        <v>115</v>
      </c>
      <c r="AI1395" s="40" t="s">
        <v>115</v>
      </c>
      <c r="AP1395" s="4" t="s">
        <v>115</v>
      </c>
    </row>
    <row r="1396" spans="1:42" x14ac:dyDescent="0.15">
      <c r="A1396" s="40" t="s">
        <v>1</v>
      </c>
      <c r="B1396" s="23">
        <v>90140209</v>
      </c>
      <c r="C1396" s="23">
        <v>1402</v>
      </c>
      <c r="D1396" s="23">
        <v>14</v>
      </c>
      <c r="F1396" s="23" t="s">
        <v>116</v>
      </c>
      <c r="G1396" s="23">
        <v>312</v>
      </c>
      <c r="H1396" s="23" t="s">
        <v>3493</v>
      </c>
      <c r="I1396" s="23">
        <v>0</v>
      </c>
      <c r="J1396" s="40">
        <v>0</v>
      </c>
      <c r="K1396" s="40">
        <v>0</v>
      </c>
      <c r="L1396" s="40" t="s">
        <v>115</v>
      </c>
      <c r="O1396" s="40" t="s">
        <v>115</v>
      </c>
      <c r="Q1396" s="40">
        <v>104</v>
      </c>
      <c r="R1396" s="40">
        <v>157</v>
      </c>
      <c r="X1396" s="40">
        <v>90140210</v>
      </c>
      <c r="Y1396" s="40" t="s">
        <v>115</v>
      </c>
      <c r="Z1396" s="40" t="s">
        <v>115</v>
      </c>
      <c r="AA1396" s="40" t="s">
        <v>115</v>
      </c>
      <c r="AB1396" s="40" t="s">
        <v>115</v>
      </c>
      <c r="AC1396" s="40" t="s">
        <v>115</v>
      </c>
      <c r="AI1396" s="40" t="s">
        <v>115</v>
      </c>
      <c r="AP1396" s="4" t="s">
        <v>115</v>
      </c>
    </row>
    <row r="1397" spans="1:42" x14ac:dyDescent="0.15">
      <c r="A1397" s="40" t="s">
        <v>1</v>
      </c>
      <c r="B1397" s="23">
        <v>90140210</v>
      </c>
      <c r="C1397" s="23">
        <v>1402</v>
      </c>
      <c r="D1397" s="23">
        <v>14</v>
      </c>
      <c r="F1397" s="23" t="s">
        <v>1061</v>
      </c>
      <c r="G1397" s="23" t="s">
        <v>115</v>
      </c>
      <c r="H1397" s="23" t="s">
        <v>3494</v>
      </c>
      <c r="I1397" s="23">
        <v>3</v>
      </c>
      <c r="J1397" s="40">
        <v>0</v>
      </c>
      <c r="K1397" s="40">
        <v>0</v>
      </c>
      <c r="L1397" s="40" t="s">
        <v>115</v>
      </c>
      <c r="O1397" s="40" t="s">
        <v>115</v>
      </c>
      <c r="Q1397" s="40">
        <v>104</v>
      </c>
      <c r="R1397" s="40">
        <v>157</v>
      </c>
      <c r="X1397" s="40">
        <v>90140213</v>
      </c>
      <c r="Y1397" s="40" t="s">
        <v>115</v>
      </c>
      <c r="Z1397" s="40" t="s">
        <v>115</v>
      </c>
      <c r="AA1397" s="40" t="s">
        <v>115</v>
      </c>
      <c r="AB1397" s="40" t="s">
        <v>115</v>
      </c>
      <c r="AC1397" s="40" t="s">
        <v>115</v>
      </c>
      <c r="AI1397" s="40" t="s">
        <v>115</v>
      </c>
      <c r="AP1397" s="4" t="s">
        <v>115</v>
      </c>
    </row>
    <row r="1398" spans="1:42" x14ac:dyDescent="0.15">
      <c r="A1398" s="40" t="s">
        <v>1</v>
      </c>
      <c r="B1398" s="23">
        <v>90140211</v>
      </c>
      <c r="C1398" s="23">
        <v>1402</v>
      </c>
      <c r="D1398" s="23">
        <v>14</v>
      </c>
      <c r="F1398" s="23" t="s">
        <v>116</v>
      </c>
      <c r="G1398" s="23">
        <v>312</v>
      </c>
      <c r="H1398" s="23" t="s">
        <v>3495</v>
      </c>
      <c r="I1398" s="23">
        <v>0</v>
      </c>
      <c r="J1398" s="40">
        <v>0</v>
      </c>
      <c r="K1398" s="40">
        <v>0</v>
      </c>
      <c r="L1398" s="40" t="s">
        <v>115</v>
      </c>
      <c r="O1398" s="40" t="s">
        <v>115</v>
      </c>
      <c r="Q1398" s="40">
        <v>104</v>
      </c>
      <c r="R1398" s="40">
        <v>157</v>
      </c>
      <c r="X1398" s="40">
        <v>90140212</v>
      </c>
      <c r="Y1398" s="40" t="s">
        <v>115</v>
      </c>
      <c r="Z1398" s="40" t="s">
        <v>115</v>
      </c>
      <c r="AA1398" s="40" t="s">
        <v>115</v>
      </c>
      <c r="AB1398" s="40" t="s">
        <v>115</v>
      </c>
      <c r="AC1398" s="40" t="s">
        <v>115</v>
      </c>
      <c r="AI1398" s="40" t="s">
        <v>115</v>
      </c>
      <c r="AP1398" s="4" t="s">
        <v>115</v>
      </c>
    </row>
    <row r="1399" spans="1:42" x14ac:dyDescent="0.15">
      <c r="A1399" s="40" t="s">
        <v>1</v>
      </c>
      <c r="B1399" s="23">
        <v>90140212</v>
      </c>
      <c r="C1399" s="23">
        <v>1402</v>
      </c>
      <c r="D1399" s="23">
        <v>14</v>
      </c>
      <c r="F1399" s="23" t="s">
        <v>1061</v>
      </c>
      <c r="G1399" s="23" t="s">
        <v>115</v>
      </c>
      <c r="H1399" s="23" t="s">
        <v>3496</v>
      </c>
      <c r="I1399" s="23">
        <v>3</v>
      </c>
      <c r="J1399" s="40">
        <v>0</v>
      </c>
      <c r="K1399" s="40">
        <v>0</v>
      </c>
      <c r="L1399" s="40" t="s">
        <v>115</v>
      </c>
      <c r="O1399" s="40" t="s">
        <v>115</v>
      </c>
      <c r="Q1399" s="40">
        <v>104</v>
      </c>
      <c r="R1399" s="40">
        <v>157</v>
      </c>
      <c r="X1399" s="40">
        <v>90140213</v>
      </c>
      <c r="Y1399" s="40" t="s">
        <v>115</v>
      </c>
      <c r="Z1399" s="40" t="s">
        <v>115</v>
      </c>
      <c r="AA1399" s="40" t="s">
        <v>115</v>
      </c>
      <c r="AB1399" s="40" t="s">
        <v>115</v>
      </c>
      <c r="AC1399" s="40" t="s">
        <v>115</v>
      </c>
      <c r="AI1399" s="40" t="s">
        <v>115</v>
      </c>
      <c r="AP1399" s="4" t="s">
        <v>115</v>
      </c>
    </row>
    <row r="1400" spans="1:42" x14ac:dyDescent="0.15">
      <c r="A1400" s="40" t="s">
        <v>1</v>
      </c>
      <c r="B1400" s="23">
        <v>90140213</v>
      </c>
      <c r="C1400" s="23">
        <v>1402</v>
      </c>
      <c r="D1400" s="23">
        <v>14</v>
      </c>
      <c r="F1400" s="23" t="s">
        <v>115</v>
      </c>
      <c r="G1400" s="23" t="s">
        <v>115</v>
      </c>
      <c r="H1400" s="23" t="s">
        <v>3497</v>
      </c>
      <c r="I1400" s="23">
        <v>4</v>
      </c>
      <c r="J1400" s="40">
        <v>0</v>
      </c>
      <c r="K1400" s="40">
        <v>0</v>
      </c>
      <c r="L1400" s="40" t="s">
        <v>115</v>
      </c>
      <c r="O1400" s="40" t="s">
        <v>115</v>
      </c>
      <c r="Q1400" s="40">
        <v>104</v>
      </c>
      <c r="R1400" s="40">
        <v>157</v>
      </c>
      <c r="X1400" s="40">
        <v>90140214</v>
      </c>
      <c r="Y1400" s="40" t="s">
        <v>115</v>
      </c>
      <c r="Z1400" s="40" t="s">
        <v>115</v>
      </c>
      <c r="AA1400" s="40" t="s">
        <v>115</v>
      </c>
      <c r="AB1400" s="40" t="s">
        <v>115</v>
      </c>
      <c r="AC1400" s="40" t="s">
        <v>115</v>
      </c>
      <c r="AI1400" s="40" t="s">
        <v>115</v>
      </c>
      <c r="AP1400" s="4" t="s">
        <v>115</v>
      </c>
    </row>
    <row r="1401" spans="1:42" x14ac:dyDescent="0.15">
      <c r="A1401" s="40" t="s">
        <v>1</v>
      </c>
      <c r="B1401" s="23">
        <v>90140214</v>
      </c>
      <c r="C1401" s="23">
        <v>1402</v>
      </c>
      <c r="D1401" s="23">
        <v>14</v>
      </c>
      <c r="F1401" s="23" t="s">
        <v>1061</v>
      </c>
      <c r="G1401" s="23" t="s">
        <v>115</v>
      </c>
      <c r="H1401" s="23" t="s">
        <v>3498</v>
      </c>
      <c r="I1401" s="23">
        <v>3</v>
      </c>
      <c r="J1401" s="40">
        <v>0</v>
      </c>
      <c r="K1401" s="40">
        <v>0</v>
      </c>
      <c r="L1401" s="40" t="s">
        <v>115</v>
      </c>
      <c r="O1401" s="40" t="s">
        <v>115</v>
      </c>
      <c r="Q1401" s="40">
        <v>104</v>
      </c>
      <c r="R1401" s="40">
        <v>157</v>
      </c>
      <c r="X1401" s="40">
        <v>90140215</v>
      </c>
      <c r="Y1401" s="40" t="s">
        <v>115</v>
      </c>
      <c r="Z1401" s="40" t="s">
        <v>115</v>
      </c>
      <c r="AA1401" s="40" t="s">
        <v>115</v>
      </c>
      <c r="AB1401" s="40" t="s">
        <v>115</v>
      </c>
      <c r="AC1401" s="40" t="s">
        <v>115</v>
      </c>
      <c r="AI1401" s="40" t="s">
        <v>115</v>
      </c>
      <c r="AP1401" s="4" t="s">
        <v>115</v>
      </c>
    </row>
    <row r="1402" spans="1:42" x14ac:dyDescent="0.15">
      <c r="A1402" s="40" t="s">
        <v>1</v>
      </c>
      <c r="B1402" s="23">
        <v>90140215</v>
      </c>
      <c r="C1402" s="23">
        <v>1402</v>
      </c>
      <c r="D1402" s="23">
        <v>14</v>
      </c>
      <c r="F1402" s="23" t="s">
        <v>1072</v>
      </c>
      <c r="G1402" s="23" t="s">
        <v>115</v>
      </c>
      <c r="H1402" s="23" t="s">
        <v>3499</v>
      </c>
      <c r="I1402" s="23">
        <v>1</v>
      </c>
      <c r="J1402" s="40">
        <v>0</v>
      </c>
      <c r="K1402" s="40">
        <v>0</v>
      </c>
      <c r="L1402" s="40" t="s">
        <v>115</v>
      </c>
      <c r="O1402" s="40" t="s">
        <v>115</v>
      </c>
      <c r="Q1402" s="40">
        <v>104</v>
      </c>
      <c r="R1402" s="40" t="s">
        <v>115</v>
      </c>
      <c r="X1402" s="40">
        <v>90140216</v>
      </c>
      <c r="Y1402" s="40" t="s">
        <v>115</v>
      </c>
      <c r="Z1402" s="40" t="s">
        <v>115</v>
      </c>
      <c r="AA1402" s="40" t="s">
        <v>115</v>
      </c>
      <c r="AB1402" s="40" t="s">
        <v>115</v>
      </c>
      <c r="AC1402" s="40" t="s">
        <v>115</v>
      </c>
      <c r="AI1402" s="40">
        <v>204</v>
      </c>
      <c r="AP1402" s="4" t="s">
        <v>115</v>
      </c>
    </row>
    <row r="1403" spans="1:42" x14ac:dyDescent="0.15">
      <c r="A1403" s="40" t="s">
        <v>1</v>
      </c>
      <c r="B1403" s="23">
        <v>90140216</v>
      </c>
      <c r="C1403" s="23">
        <v>1402</v>
      </c>
      <c r="D1403" s="23">
        <v>14</v>
      </c>
      <c r="F1403" s="23" t="s">
        <v>115</v>
      </c>
      <c r="G1403" s="23" t="s">
        <v>115</v>
      </c>
      <c r="H1403" s="23" t="s">
        <v>3500</v>
      </c>
      <c r="I1403" s="23">
        <v>4</v>
      </c>
      <c r="J1403" s="40">
        <v>0</v>
      </c>
      <c r="K1403" s="40">
        <v>0</v>
      </c>
      <c r="L1403" s="40" t="s">
        <v>115</v>
      </c>
      <c r="O1403" s="40" t="s">
        <v>115</v>
      </c>
      <c r="Q1403" s="40">
        <v>104</v>
      </c>
      <c r="R1403" s="40">
        <v>157</v>
      </c>
      <c r="X1403" s="40">
        <v>90140217</v>
      </c>
      <c r="Y1403" s="40" t="s">
        <v>115</v>
      </c>
      <c r="Z1403" s="40" t="s">
        <v>115</v>
      </c>
      <c r="AA1403" s="40" t="s">
        <v>115</v>
      </c>
      <c r="AB1403" s="40" t="s">
        <v>115</v>
      </c>
      <c r="AC1403" s="40" t="s">
        <v>115</v>
      </c>
      <c r="AI1403" s="40" t="s">
        <v>115</v>
      </c>
      <c r="AP1403" s="4" t="s">
        <v>115</v>
      </c>
    </row>
    <row r="1404" spans="1:42" x14ac:dyDescent="0.15">
      <c r="A1404" s="40" t="s">
        <v>1</v>
      </c>
      <c r="B1404" s="23">
        <v>90140217</v>
      </c>
      <c r="C1404" s="23">
        <v>1402</v>
      </c>
      <c r="D1404" s="23">
        <v>14</v>
      </c>
      <c r="F1404" s="23" t="s">
        <v>1061</v>
      </c>
      <c r="G1404" s="23" t="s">
        <v>115</v>
      </c>
      <c r="H1404" s="23" t="s">
        <v>3501</v>
      </c>
      <c r="I1404" s="23">
        <v>3</v>
      </c>
      <c r="J1404" s="40">
        <v>0</v>
      </c>
      <c r="K1404" s="40">
        <v>0</v>
      </c>
      <c r="L1404" s="40" t="s">
        <v>115</v>
      </c>
      <c r="O1404" s="40" t="s">
        <v>115</v>
      </c>
      <c r="Q1404" s="40">
        <v>104</v>
      </c>
      <c r="R1404" s="40">
        <v>157</v>
      </c>
      <c r="X1404" s="40">
        <v>90140218</v>
      </c>
      <c r="Y1404" s="40" t="s">
        <v>115</v>
      </c>
      <c r="Z1404" s="40" t="s">
        <v>115</v>
      </c>
      <c r="AA1404" s="40" t="s">
        <v>115</v>
      </c>
      <c r="AB1404" s="40" t="s">
        <v>115</v>
      </c>
      <c r="AC1404" s="40" t="s">
        <v>115</v>
      </c>
      <c r="AI1404" s="40" t="s">
        <v>115</v>
      </c>
      <c r="AP1404" s="4" t="s">
        <v>115</v>
      </c>
    </row>
    <row r="1405" spans="1:42" ht="15" customHeight="1" x14ac:dyDescent="0.15">
      <c r="A1405" s="40" t="s">
        <v>1</v>
      </c>
      <c r="B1405" s="23">
        <v>90140218</v>
      </c>
      <c r="C1405" s="23">
        <v>1402</v>
      </c>
      <c r="D1405" s="23">
        <v>14</v>
      </c>
      <c r="F1405" s="23" t="s">
        <v>115</v>
      </c>
      <c r="G1405" s="23" t="s">
        <v>115</v>
      </c>
      <c r="H1405" s="23" t="s">
        <v>3502</v>
      </c>
      <c r="I1405" s="23">
        <v>4</v>
      </c>
      <c r="J1405" s="40">
        <v>0</v>
      </c>
      <c r="K1405" s="40">
        <v>5</v>
      </c>
      <c r="L1405" s="40" t="s">
        <v>115</v>
      </c>
      <c r="O1405" s="40" t="s">
        <v>115</v>
      </c>
      <c r="Q1405" s="40">
        <v>104</v>
      </c>
      <c r="R1405" s="40">
        <v>157</v>
      </c>
      <c r="X1405" s="40" t="s">
        <v>3503</v>
      </c>
      <c r="Y1405" s="40">
        <v>1</v>
      </c>
      <c r="Z1405" s="40">
        <v>2</v>
      </c>
      <c r="AA1405" s="40" t="s">
        <v>115</v>
      </c>
      <c r="AB1405" s="40" t="s">
        <v>115</v>
      </c>
      <c r="AC1405" s="40" t="s">
        <v>115</v>
      </c>
      <c r="AI1405" s="40" t="s">
        <v>115</v>
      </c>
      <c r="AP1405" s="4" t="s">
        <v>115</v>
      </c>
    </row>
    <row r="1406" spans="1:42" x14ac:dyDescent="0.15">
      <c r="A1406" s="40" t="s">
        <v>1</v>
      </c>
      <c r="B1406" s="23">
        <v>90140219</v>
      </c>
      <c r="C1406" s="23">
        <v>1402</v>
      </c>
      <c r="D1406" s="23">
        <v>14</v>
      </c>
      <c r="F1406" s="23" t="s">
        <v>115</v>
      </c>
      <c r="G1406" s="23" t="s">
        <v>115</v>
      </c>
      <c r="H1406" s="23" t="s">
        <v>3504</v>
      </c>
      <c r="I1406" s="23">
        <v>4</v>
      </c>
      <c r="J1406" s="40">
        <v>0</v>
      </c>
      <c r="K1406" s="40">
        <v>6</v>
      </c>
      <c r="L1406" s="40" t="s">
        <v>115</v>
      </c>
      <c r="O1406" s="40" t="s">
        <v>115</v>
      </c>
      <c r="Q1406" s="40">
        <v>104</v>
      </c>
      <c r="R1406" s="40">
        <v>157</v>
      </c>
      <c r="X1406" s="40">
        <v>90140221</v>
      </c>
      <c r="Y1406" s="40">
        <v>-1</v>
      </c>
      <c r="Z1406" s="40">
        <v>5</v>
      </c>
      <c r="AA1406" s="40" t="s">
        <v>115</v>
      </c>
      <c r="AB1406" s="40" t="s">
        <v>115</v>
      </c>
      <c r="AC1406" s="40" t="s">
        <v>115</v>
      </c>
      <c r="AI1406" s="40" t="s">
        <v>115</v>
      </c>
      <c r="AP1406" s="4" t="s">
        <v>115</v>
      </c>
    </row>
    <row r="1407" spans="1:42" x14ac:dyDescent="0.15">
      <c r="A1407" s="40" t="s">
        <v>1</v>
      </c>
      <c r="B1407" s="23">
        <v>90140220</v>
      </c>
      <c r="C1407" s="23">
        <v>1402</v>
      </c>
      <c r="D1407" s="23">
        <v>14</v>
      </c>
      <c r="F1407" s="23" t="s">
        <v>115</v>
      </c>
      <c r="G1407" s="23" t="s">
        <v>115</v>
      </c>
      <c r="H1407" s="23" t="s">
        <v>3505</v>
      </c>
      <c r="I1407" s="23">
        <v>4</v>
      </c>
      <c r="J1407" s="40">
        <v>0</v>
      </c>
      <c r="K1407" s="40">
        <v>7</v>
      </c>
      <c r="L1407" s="40" t="s">
        <v>115</v>
      </c>
      <c r="O1407" s="40" t="s">
        <v>115</v>
      </c>
      <c r="Q1407" s="40">
        <v>104</v>
      </c>
      <c r="R1407" s="40">
        <v>157</v>
      </c>
      <c r="X1407" s="40">
        <v>90140223</v>
      </c>
      <c r="Y1407" s="40">
        <v>-1</v>
      </c>
      <c r="Z1407" s="40">
        <v>5</v>
      </c>
      <c r="AA1407" s="40" t="s">
        <v>115</v>
      </c>
      <c r="AB1407" s="40" t="s">
        <v>115</v>
      </c>
      <c r="AC1407" s="40" t="s">
        <v>3520</v>
      </c>
      <c r="AI1407" s="40" t="s">
        <v>115</v>
      </c>
      <c r="AP1407" s="4" t="s">
        <v>115</v>
      </c>
    </row>
    <row r="1408" spans="1:42" x14ac:dyDescent="0.15">
      <c r="A1408" s="40" t="s">
        <v>1</v>
      </c>
      <c r="B1408" s="23">
        <v>90140221</v>
      </c>
      <c r="C1408" s="23">
        <v>1402</v>
      </c>
      <c r="D1408" s="23">
        <v>14</v>
      </c>
      <c r="F1408" s="23" t="s">
        <v>1061</v>
      </c>
      <c r="G1408" s="23" t="s">
        <v>115</v>
      </c>
      <c r="H1408" s="23" t="s">
        <v>3506</v>
      </c>
      <c r="I1408" s="23">
        <v>3</v>
      </c>
      <c r="J1408" s="40">
        <v>0</v>
      </c>
      <c r="K1408" s="40">
        <v>0</v>
      </c>
      <c r="L1408" s="40" t="s">
        <v>115</v>
      </c>
      <c r="O1408" s="40" t="s">
        <v>115</v>
      </c>
      <c r="Q1408" s="40">
        <v>104</v>
      </c>
      <c r="R1408" s="40">
        <v>157</v>
      </c>
      <c r="X1408" s="40">
        <v>90140222</v>
      </c>
      <c r="Y1408" s="40" t="s">
        <v>115</v>
      </c>
      <c r="Z1408" s="40" t="s">
        <v>115</v>
      </c>
      <c r="AA1408" s="40" t="s">
        <v>115</v>
      </c>
      <c r="AB1408" s="40" t="s">
        <v>115</v>
      </c>
      <c r="AC1408" s="40" t="s">
        <v>115</v>
      </c>
      <c r="AI1408" s="40" t="s">
        <v>115</v>
      </c>
      <c r="AP1408" s="4" t="s">
        <v>115</v>
      </c>
    </row>
    <row r="1409" spans="1:42" x14ac:dyDescent="0.15">
      <c r="A1409" s="40" t="s">
        <v>1</v>
      </c>
      <c r="B1409" s="23">
        <v>90140222</v>
      </c>
      <c r="C1409" s="23">
        <v>1402</v>
      </c>
      <c r="D1409" s="23">
        <v>14</v>
      </c>
      <c r="F1409" s="23" t="s">
        <v>116</v>
      </c>
      <c r="G1409" s="23">
        <v>314</v>
      </c>
      <c r="H1409" s="23" t="s">
        <v>3507</v>
      </c>
      <c r="I1409" s="23">
        <v>2</v>
      </c>
      <c r="J1409" s="40">
        <v>0</v>
      </c>
      <c r="K1409" s="40">
        <v>0</v>
      </c>
      <c r="L1409" s="40" t="s">
        <v>115</v>
      </c>
      <c r="O1409" s="40" t="s">
        <v>115</v>
      </c>
      <c r="Q1409" s="40">
        <v>104</v>
      </c>
      <c r="R1409" s="40">
        <v>157</v>
      </c>
      <c r="X1409" s="40">
        <v>90140218</v>
      </c>
      <c r="Y1409" s="40" t="s">
        <v>115</v>
      </c>
      <c r="Z1409" s="40" t="s">
        <v>115</v>
      </c>
      <c r="AA1409" s="40" t="s">
        <v>115</v>
      </c>
      <c r="AB1409" s="40" t="s">
        <v>115</v>
      </c>
      <c r="AC1409" s="40" t="s">
        <v>115</v>
      </c>
      <c r="AI1409" s="40" t="s">
        <v>115</v>
      </c>
      <c r="AP1409" s="4" t="s">
        <v>115</v>
      </c>
    </row>
    <row r="1410" spans="1:42" x14ac:dyDescent="0.15">
      <c r="A1410" s="40" t="s">
        <v>1</v>
      </c>
      <c r="B1410" s="23">
        <v>90140223</v>
      </c>
      <c r="C1410" s="23">
        <v>1402</v>
      </c>
      <c r="D1410" s="23">
        <v>14</v>
      </c>
      <c r="F1410" s="23" t="s">
        <v>1061</v>
      </c>
      <c r="G1410" s="23" t="s">
        <v>115</v>
      </c>
      <c r="H1410" s="23" t="s">
        <v>3508</v>
      </c>
      <c r="I1410" s="23">
        <v>3</v>
      </c>
      <c r="J1410" s="40">
        <v>0</v>
      </c>
      <c r="K1410" s="40">
        <v>0</v>
      </c>
      <c r="L1410" s="40" t="s">
        <v>115</v>
      </c>
      <c r="O1410" s="40" t="s">
        <v>115</v>
      </c>
      <c r="Q1410" s="40">
        <v>104</v>
      </c>
      <c r="R1410" s="40">
        <v>157</v>
      </c>
      <c r="X1410" s="40">
        <v>90140224</v>
      </c>
      <c r="Y1410" s="40" t="s">
        <v>115</v>
      </c>
      <c r="Z1410" s="40" t="s">
        <v>115</v>
      </c>
      <c r="AA1410" s="40" t="s">
        <v>115</v>
      </c>
      <c r="AB1410" s="40" t="s">
        <v>115</v>
      </c>
      <c r="AC1410" s="40" t="s">
        <v>115</v>
      </c>
      <c r="AI1410" s="40" t="s">
        <v>115</v>
      </c>
      <c r="AP1410" s="4" t="s">
        <v>115</v>
      </c>
    </row>
    <row r="1411" spans="1:42" x14ac:dyDescent="0.15">
      <c r="A1411" s="40" t="s">
        <v>1</v>
      </c>
      <c r="B1411" s="23">
        <v>90140224</v>
      </c>
      <c r="C1411" s="23">
        <v>1402</v>
      </c>
      <c r="D1411" s="23">
        <v>14</v>
      </c>
      <c r="F1411" s="23" t="s">
        <v>115</v>
      </c>
      <c r="G1411" s="23" t="s">
        <v>115</v>
      </c>
      <c r="H1411" s="23" t="s">
        <v>3509</v>
      </c>
      <c r="I1411" s="23">
        <v>4</v>
      </c>
      <c r="J1411" s="40">
        <v>0</v>
      </c>
      <c r="K1411" s="40">
        <v>0</v>
      </c>
      <c r="L1411" s="40" t="s">
        <v>115</v>
      </c>
      <c r="O1411" s="40" t="s">
        <v>115</v>
      </c>
      <c r="Q1411" s="40">
        <v>104</v>
      </c>
      <c r="R1411" s="40" t="s">
        <v>115</v>
      </c>
      <c r="X1411" s="40">
        <v>90140225</v>
      </c>
      <c r="Y1411" s="40" t="s">
        <v>115</v>
      </c>
      <c r="Z1411" s="40" t="s">
        <v>115</v>
      </c>
      <c r="AA1411" s="40" t="s">
        <v>115</v>
      </c>
      <c r="AB1411" s="40" t="s">
        <v>115</v>
      </c>
      <c r="AC1411" s="40" t="s">
        <v>115</v>
      </c>
      <c r="AI1411" s="40">
        <v>204</v>
      </c>
      <c r="AP1411" s="4" t="s">
        <v>115</v>
      </c>
    </row>
    <row r="1412" spans="1:42" x14ac:dyDescent="0.15">
      <c r="A1412" s="40" t="s">
        <v>1</v>
      </c>
      <c r="B1412" s="23">
        <v>90140225</v>
      </c>
      <c r="C1412" s="23">
        <v>1402</v>
      </c>
      <c r="D1412" s="23">
        <v>14</v>
      </c>
      <c r="F1412" s="23" t="s">
        <v>1072</v>
      </c>
      <c r="G1412" s="23" t="s">
        <v>115</v>
      </c>
      <c r="H1412" s="23" t="s">
        <v>3510</v>
      </c>
      <c r="I1412" s="23">
        <v>1</v>
      </c>
      <c r="J1412" s="40">
        <v>0</v>
      </c>
      <c r="K1412" s="40">
        <v>8</v>
      </c>
      <c r="L1412" s="40" t="s">
        <v>4803</v>
      </c>
      <c r="O1412" s="40" t="s">
        <v>115</v>
      </c>
      <c r="Q1412" s="40">
        <v>104</v>
      </c>
      <c r="R1412" s="40" t="s">
        <v>115</v>
      </c>
      <c r="X1412" s="40">
        <v>90140226</v>
      </c>
      <c r="Y1412" s="40" t="s">
        <v>115</v>
      </c>
      <c r="Z1412" s="40">
        <v>7</v>
      </c>
      <c r="AA1412" s="40" t="s">
        <v>115</v>
      </c>
      <c r="AB1412" s="40" t="s">
        <v>115</v>
      </c>
      <c r="AC1412" s="40" t="s">
        <v>115</v>
      </c>
      <c r="AI1412" s="40" t="s">
        <v>7432</v>
      </c>
      <c r="AP1412" s="4" t="s">
        <v>115</v>
      </c>
    </row>
    <row r="1413" spans="1:42" x14ac:dyDescent="0.15">
      <c r="A1413" s="40" t="s">
        <v>1</v>
      </c>
      <c r="B1413" s="23">
        <v>90140226</v>
      </c>
      <c r="C1413" s="23">
        <v>1402</v>
      </c>
      <c r="D1413" s="23">
        <v>14</v>
      </c>
      <c r="F1413" s="23" t="s">
        <v>115</v>
      </c>
      <c r="G1413" s="23" t="s">
        <v>115</v>
      </c>
      <c r="H1413" s="23" t="s">
        <v>3511</v>
      </c>
      <c r="I1413" s="23">
        <v>4</v>
      </c>
      <c r="J1413" s="40">
        <v>0</v>
      </c>
      <c r="K1413" s="40">
        <v>0</v>
      </c>
      <c r="L1413" s="40" t="s">
        <v>115</v>
      </c>
      <c r="O1413" s="40" t="s">
        <v>115</v>
      </c>
      <c r="Q1413" s="40">
        <v>104</v>
      </c>
      <c r="R1413" s="40" t="s">
        <v>115</v>
      </c>
      <c r="X1413" s="40">
        <v>90140227</v>
      </c>
      <c r="Y1413" s="40" t="s">
        <v>115</v>
      </c>
      <c r="Z1413" s="40" t="s">
        <v>115</v>
      </c>
      <c r="AA1413" s="40" t="s">
        <v>115</v>
      </c>
      <c r="AB1413" s="40" t="s">
        <v>115</v>
      </c>
      <c r="AC1413" s="40" t="s">
        <v>115</v>
      </c>
      <c r="AI1413" s="40">
        <v>204</v>
      </c>
      <c r="AP1413" s="4" t="s">
        <v>115</v>
      </c>
    </row>
    <row r="1414" spans="1:42" x14ac:dyDescent="0.15">
      <c r="A1414" s="40" t="s">
        <v>1</v>
      </c>
      <c r="B1414" s="23">
        <v>90140227</v>
      </c>
      <c r="C1414" s="23">
        <v>1402</v>
      </c>
      <c r="D1414" s="23">
        <v>14</v>
      </c>
      <c r="F1414" s="23" t="s">
        <v>115</v>
      </c>
      <c r="G1414" s="23" t="s">
        <v>115</v>
      </c>
      <c r="H1414" s="23" t="s">
        <v>3512</v>
      </c>
      <c r="I1414" s="23">
        <v>4</v>
      </c>
      <c r="J1414" s="40">
        <v>0</v>
      </c>
      <c r="K1414" s="40">
        <v>9</v>
      </c>
      <c r="L1414" s="40" t="s">
        <v>115</v>
      </c>
      <c r="O1414" s="40">
        <v>1</v>
      </c>
      <c r="Q1414" s="40">
        <v>104</v>
      </c>
      <c r="R1414" s="40" t="s">
        <v>115</v>
      </c>
      <c r="X1414" s="40" t="s">
        <v>115</v>
      </c>
      <c r="Y1414" s="40" t="s">
        <v>115</v>
      </c>
      <c r="Z1414" s="40">
        <v>8</v>
      </c>
      <c r="AA1414" s="40" t="s">
        <v>115</v>
      </c>
      <c r="AB1414" s="40" t="s">
        <v>115</v>
      </c>
      <c r="AC1414" s="40" t="s">
        <v>115</v>
      </c>
      <c r="AI1414" s="40">
        <v>204</v>
      </c>
      <c r="AP1414" s="4" t="s">
        <v>3513</v>
      </c>
    </row>
    <row r="1415" spans="1:42" x14ac:dyDescent="0.15">
      <c r="A1415" s="40" t="s">
        <v>1</v>
      </c>
      <c r="B1415" s="23" t="s">
        <v>3429</v>
      </c>
      <c r="C1415" s="23">
        <v>1403</v>
      </c>
      <c r="D1415" s="23">
        <v>14</v>
      </c>
      <c r="F1415" s="23" t="s">
        <v>115</v>
      </c>
      <c r="G1415" s="23" t="s">
        <v>115</v>
      </c>
      <c r="H1415" s="23" t="s">
        <v>3514</v>
      </c>
      <c r="I1415" s="23">
        <v>4</v>
      </c>
      <c r="J1415" s="40">
        <v>1</v>
      </c>
      <c r="K1415" s="40">
        <v>1</v>
      </c>
      <c r="L1415" s="40" t="s">
        <v>115</v>
      </c>
      <c r="O1415" s="40" t="s">
        <v>115</v>
      </c>
      <c r="Q1415" s="40">
        <v>110</v>
      </c>
      <c r="R1415" s="40" t="s">
        <v>115</v>
      </c>
      <c r="X1415" s="40">
        <v>90140302</v>
      </c>
      <c r="Y1415" s="40" t="s">
        <v>115</v>
      </c>
      <c r="Z1415" s="40" t="s">
        <v>115</v>
      </c>
      <c r="AA1415" s="40" t="s">
        <v>115</v>
      </c>
      <c r="AB1415" s="40" t="s">
        <v>115</v>
      </c>
      <c r="AC1415" s="40" t="s">
        <v>115</v>
      </c>
      <c r="AI1415" s="40" t="s">
        <v>115</v>
      </c>
      <c r="AP1415" s="4" t="s">
        <v>115</v>
      </c>
    </row>
    <row r="1416" spans="1:42" x14ac:dyDescent="0.15">
      <c r="A1416" s="40" t="s">
        <v>1</v>
      </c>
      <c r="B1416" s="23">
        <v>90140302</v>
      </c>
      <c r="C1416" s="23">
        <v>1403</v>
      </c>
      <c r="D1416" s="23">
        <v>14</v>
      </c>
      <c r="F1416" s="23" t="s">
        <v>116</v>
      </c>
      <c r="G1416" s="23">
        <v>314</v>
      </c>
      <c r="H1416" s="23" t="s">
        <v>3515</v>
      </c>
      <c r="I1416" s="23">
        <v>2</v>
      </c>
      <c r="J1416" s="40">
        <v>0</v>
      </c>
      <c r="K1416" s="40">
        <v>0</v>
      </c>
      <c r="L1416" s="40" t="s">
        <v>115</v>
      </c>
      <c r="O1416" s="40" t="s">
        <v>115</v>
      </c>
      <c r="Q1416" s="40">
        <v>110</v>
      </c>
      <c r="R1416" s="40" t="s">
        <v>115</v>
      </c>
      <c r="X1416" s="40">
        <v>90140303</v>
      </c>
      <c r="Y1416" s="40" t="s">
        <v>115</v>
      </c>
      <c r="Z1416" s="40" t="s">
        <v>115</v>
      </c>
      <c r="AA1416" s="40" t="s">
        <v>115</v>
      </c>
      <c r="AB1416" s="40" t="s">
        <v>115</v>
      </c>
      <c r="AC1416" s="40" t="s">
        <v>115</v>
      </c>
      <c r="AI1416" s="40" t="s">
        <v>115</v>
      </c>
      <c r="AP1416" s="4" t="s">
        <v>115</v>
      </c>
    </row>
    <row r="1417" spans="1:42" x14ac:dyDescent="0.15">
      <c r="A1417" s="40" t="s">
        <v>1</v>
      </c>
      <c r="B1417" s="23">
        <v>90140303</v>
      </c>
      <c r="C1417" s="23">
        <v>1403</v>
      </c>
      <c r="D1417" s="23">
        <v>14</v>
      </c>
      <c r="F1417" s="23" t="s">
        <v>116</v>
      </c>
      <c r="G1417" s="23">
        <v>314</v>
      </c>
      <c r="H1417" s="23" t="s">
        <v>3516</v>
      </c>
      <c r="I1417" s="23">
        <v>2</v>
      </c>
      <c r="J1417" s="40">
        <v>0</v>
      </c>
      <c r="K1417" s="40">
        <v>0</v>
      </c>
      <c r="L1417" s="40" t="s">
        <v>115</v>
      </c>
      <c r="O1417" s="40" t="s">
        <v>115</v>
      </c>
      <c r="Q1417" s="40">
        <v>110</v>
      </c>
      <c r="R1417" s="40" t="s">
        <v>115</v>
      </c>
      <c r="X1417" s="40">
        <v>90140304</v>
      </c>
      <c r="Y1417" s="40" t="s">
        <v>115</v>
      </c>
      <c r="Z1417" s="40" t="s">
        <v>115</v>
      </c>
      <c r="AA1417" s="40" t="s">
        <v>115</v>
      </c>
      <c r="AB1417" s="40" t="s">
        <v>115</v>
      </c>
      <c r="AC1417" s="40" t="s">
        <v>115</v>
      </c>
      <c r="AI1417" s="40" t="s">
        <v>115</v>
      </c>
      <c r="AP1417" s="4" t="s">
        <v>115</v>
      </c>
    </row>
    <row r="1418" spans="1:42" x14ac:dyDescent="0.15">
      <c r="A1418" s="40" t="s">
        <v>1</v>
      </c>
      <c r="B1418" s="23">
        <v>90140304</v>
      </c>
      <c r="C1418" s="23">
        <v>1403</v>
      </c>
      <c r="D1418" s="23">
        <v>14</v>
      </c>
      <c r="F1418" s="23" t="s">
        <v>115</v>
      </c>
      <c r="G1418" s="23" t="s">
        <v>115</v>
      </c>
      <c r="H1418" s="23" t="s">
        <v>3517</v>
      </c>
      <c r="I1418" s="23">
        <v>4</v>
      </c>
      <c r="J1418" s="40">
        <v>0</v>
      </c>
      <c r="K1418" s="40">
        <v>2</v>
      </c>
      <c r="L1418" s="40" t="s">
        <v>115</v>
      </c>
      <c r="O1418" s="40" t="s">
        <v>115</v>
      </c>
      <c r="Q1418" s="40">
        <v>110</v>
      </c>
      <c r="R1418" s="40" t="s">
        <v>115</v>
      </c>
      <c r="X1418" s="40" t="s">
        <v>3518</v>
      </c>
      <c r="Y1418" s="40">
        <v>1</v>
      </c>
      <c r="Z1418" s="40">
        <v>1</v>
      </c>
      <c r="AA1418" s="40" t="s">
        <v>115</v>
      </c>
      <c r="AB1418" s="40" t="s">
        <v>115</v>
      </c>
      <c r="AC1418" s="40" t="s">
        <v>115</v>
      </c>
      <c r="AI1418" s="40" t="s">
        <v>115</v>
      </c>
      <c r="AP1418" s="4" t="s">
        <v>115</v>
      </c>
    </row>
    <row r="1419" spans="1:42" x14ac:dyDescent="0.15">
      <c r="A1419" s="40" t="s">
        <v>1</v>
      </c>
      <c r="B1419" s="23">
        <v>90140305</v>
      </c>
      <c r="C1419" s="23">
        <v>1403</v>
      </c>
      <c r="D1419" s="23">
        <v>14</v>
      </c>
      <c r="F1419" s="23" t="s">
        <v>115</v>
      </c>
      <c r="G1419" s="23" t="s">
        <v>115</v>
      </c>
      <c r="H1419" s="23" t="s">
        <v>3519</v>
      </c>
      <c r="I1419" s="23">
        <v>4</v>
      </c>
      <c r="J1419" s="40">
        <v>0</v>
      </c>
      <c r="K1419" s="40">
        <v>3</v>
      </c>
      <c r="L1419" s="40" t="s">
        <v>115</v>
      </c>
      <c r="O1419" s="40" t="s">
        <v>115</v>
      </c>
      <c r="Q1419" s="40">
        <v>110</v>
      </c>
      <c r="R1419" s="40" t="s">
        <v>115</v>
      </c>
      <c r="X1419" s="40">
        <v>90140307</v>
      </c>
      <c r="Y1419" s="40">
        <v>-1</v>
      </c>
      <c r="Z1419" s="40">
        <v>2</v>
      </c>
      <c r="AA1419" s="40" t="s">
        <v>115</v>
      </c>
      <c r="AB1419" s="40" t="s">
        <v>115</v>
      </c>
      <c r="AC1419" s="40" t="s">
        <v>7296</v>
      </c>
      <c r="AI1419" s="40" t="s">
        <v>115</v>
      </c>
      <c r="AP1419" s="4" t="s">
        <v>115</v>
      </c>
    </row>
    <row r="1420" spans="1:42" x14ac:dyDescent="0.15">
      <c r="A1420" s="40" t="s">
        <v>1</v>
      </c>
      <c r="B1420" s="23">
        <v>90140306</v>
      </c>
      <c r="C1420" s="23">
        <v>1403</v>
      </c>
      <c r="D1420" s="23">
        <v>14</v>
      </c>
      <c r="F1420" s="23" t="s">
        <v>115</v>
      </c>
      <c r="G1420" s="23" t="s">
        <v>115</v>
      </c>
      <c r="H1420" s="23" t="s">
        <v>3521</v>
      </c>
      <c r="I1420" s="23">
        <v>4</v>
      </c>
      <c r="J1420" s="40">
        <v>0</v>
      </c>
      <c r="K1420" s="40">
        <v>4</v>
      </c>
      <c r="L1420" s="40" t="s">
        <v>115</v>
      </c>
      <c r="O1420" s="40" t="s">
        <v>115</v>
      </c>
      <c r="Q1420" s="40">
        <v>110</v>
      </c>
      <c r="R1420" s="40" t="s">
        <v>115</v>
      </c>
      <c r="X1420" s="40">
        <v>90140311</v>
      </c>
      <c r="Y1420" s="40">
        <v>-1</v>
      </c>
      <c r="Z1420" s="40">
        <v>2</v>
      </c>
      <c r="AA1420" s="40" t="s">
        <v>4804</v>
      </c>
      <c r="AB1420" s="40" t="s">
        <v>115</v>
      </c>
      <c r="AC1420" s="40" t="s">
        <v>115</v>
      </c>
      <c r="AI1420" s="40" t="s">
        <v>115</v>
      </c>
      <c r="AP1420" s="4" t="s">
        <v>115</v>
      </c>
    </row>
    <row r="1421" spans="1:42" x14ac:dyDescent="0.15">
      <c r="A1421" s="40" t="s">
        <v>1</v>
      </c>
      <c r="B1421" s="23">
        <v>90140307</v>
      </c>
      <c r="C1421" s="23">
        <v>1403</v>
      </c>
      <c r="D1421" s="23">
        <v>14</v>
      </c>
      <c r="F1421" s="23" t="s">
        <v>116</v>
      </c>
      <c r="G1421" s="23">
        <v>315</v>
      </c>
      <c r="H1421" s="23" t="s">
        <v>3522</v>
      </c>
      <c r="I1421" s="23">
        <v>0</v>
      </c>
      <c r="J1421" s="40">
        <v>0</v>
      </c>
      <c r="K1421" s="40">
        <v>0</v>
      </c>
      <c r="L1421" s="40" t="s">
        <v>115</v>
      </c>
      <c r="O1421" s="40" t="s">
        <v>115</v>
      </c>
      <c r="Q1421" s="40">
        <v>110</v>
      </c>
      <c r="R1421" s="40">
        <v>247</v>
      </c>
      <c r="X1421" s="40">
        <v>90140308</v>
      </c>
      <c r="Y1421" s="40" t="s">
        <v>115</v>
      </c>
      <c r="Z1421" s="40" t="s">
        <v>115</v>
      </c>
      <c r="AA1421" s="40" t="s">
        <v>115</v>
      </c>
      <c r="AB1421" s="40" t="s">
        <v>115</v>
      </c>
      <c r="AC1421" s="40" t="s">
        <v>115</v>
      </c>
      <c r="AI1421" s="40" t="s">
        <v>115</v>
      </c>
      <c r="AP1421" s="4" t="s">
        <v>115</v>
      </c>
    </row>
    <row r="1422" spans="1:42" x14ac:dyDescent="0.15">
      <c r="A1422" s="40" t="s">
        <v>1</v>
      </c>
      <c r="B1422" s="23">
        <v>90140308</v>
      </c>
      <c r="C1422" s="23">
        <v>1403</v>
      </c>
      <c r="D1422" s="23">
        <v>14</v>
      </c>
      <c r="F1422" s="23" t="s">
        <v>3523</v>
      </c>
      <c r="G1422" s="23" t="s">
        <v>115</v>
      </c>
      <c r="H1422" s="23" t="s">
        <v>3524</v>
      </c>
      <c r="I1422" s="23">
        <v>3</v>
      </c>
      <c r="J1422" s="40">
        <v>0</v>
      </c>
      <c r="K1422" s="40">
        <v>0</v>
      </c>
      <c r="L1422" s="40" t="s">
        <v>115</v>
      </c>
      <c r="O1422" s="40" t="s">
        <v>115</v>
      </c>
      <c r="Q1422" s="40">
        <v>110</v>
      </c>
      <c r="R1422" s="40">
        <v>247</v>
      </c>
      <c r="X1422" s="40">
        <v>90140309</v>
      </c>
      <c r="Y1422" s="40" t="s">
        <v>115</v>
      </c>
      <c r="Z1422" s="40" t="s">
        <v>115</v>
      </c>
      <c r="AA1422" s="40" t="s">
        <v>115</v>
      </c>
      <c r="AB1422" s="40" t="s">
        <v>115</v>
      </c>
      <c r="AC1422" s="40" t="s">
        <v>115</v>
      </c>
      <c r="AI1422" s="40" t="s">
        <v>115</v>
      </c>
      <c r="AP1422" s="4" t="s">
        <v>115</v>
      </c>
    </row>
    <row r="1423" spans="1:42" x14ac:dyDescent="0.15">
      <c r="A1423" s="40" t="s">
        <v>1</v>
      </c>
      <c r="B1423" s="23">
        <v>90140309</v>
      </c>
      <c r="C1423" s="23">
        <v>1403</v>
      </c>
      <c r="D1423" s="23">
        <v>14</v>
      </c>
      <c r="F1423" s="23" t="s">
        <v>116</v>
      </c>
      <c r="G1423" s="23">
        <v>314</v>
      </c>
      <c r="H1423" s="23" t="s">
        <v>3525</v>
      </c>
      <c r="I1423" s="23">
        <v>0</v>
      </c>
      <c r="J1423" s="40">
        <v>0</v>
      </c>
      <c r="K1423" s="40">
        <v>0</v>
      </c>
      <c r="L1423" s="40" t="s">
        <v>115</v>
      </c>
      <c r="O1423" s="40" t="s">
        <v>115</v>
      </c>
      <c r="Q1423" s="40">
        <v>110</v>
      </c>
      <c r="R1423" s="40">
        <v>247</v>
      </c>
      <c r="X1423" s="40">
        <v>90140310</v>
      </c>
      <c r="Y1423" s="40" t="s">
        <v>115</v>
      </c>
      <c r="Z1423" s="40" t="s">
        <v>115</v>
      </c>
      <c r="AA1423" s="40" t="s">
        <v>115</v>
      </c>
      <c r="AB1423" s="40" t="s">
        <v>115</v>
      </c>
      <c r="AC1423" s="40" t="s">
        <v>115</v>
      </c>
      <c r="AI1423" s="40" t="s">
        <v>115</v>
      </c>
      <c r="AP1423" s="4" t="s">
        <v>115</v>
      </c>
    </row>
    <row r="1424" spans="1:42" x14ac:dyDescent="0.15">
      <c r="A1424" s="40" t="s">
        <v>1</v>
      </c>
      <c r="B1424" s="23">
        <v>90140310</v>
      </c>
      <c r="C1424" s="23">
        <v>1403</v>
      </c>
      <c r="D1424" s="23">
        <v>14</v>
      </c>
      <c r="F1424" s="23" t="s">
        <v>3523</v>
      </c>
      <c r="G1424" s="23" t="s">
        <v>115</v>
      </c>
      <c r="H1424" s="23" t="s">
        <v>3526</v>
      </c>
      <c r="I1424" s="23">
        <v>3</v>
      </c>
      <c r="J1424" s="40">
        <v>0</v>
      </c>
      <c r="K1424" s="40">
        <v>0</v>
      </c>
      <c r="L1424" s="40" t="s">
        <v>115</v>
      </c>
      <c r="O1424" s="40" t="s">
        <v>115</v>
      </c>
      <c r="Q1424" s="40">
        <v>110</v>
      </c>
      <c r="R1424" s="40">
        <v>247</v>
      </c>
      <c r="X1424" s="40">
        <v>90140318</v>
      </c>
      <c r="Y1424" s="40" t="s">
        <v>115</v>
      </c>
      <c r="Z1424" s="40" t="s">
        <v>115</v>
      </c>
      <c r="AA1424" s="40" t="s">
        <v>115</v>
      </c>
      <c r="AB1424" s="40" t="s">
        <v>115</v>
      </c>
      <c r="AC1424" s="40" t="s">
        <v>115</v>
      </c>
      <c r="AI1424" s="40" t="s">
        <v>115</v>
      </c>
      <c r="AP1424" s="4" t="s">
        <v>115</v>
      </c>
    </row>
    <row r="1425" spans="1:42" x14ac:dyDescent="0.15">
      <c r="A1425" s="40" t="s">
        <v>1</v>
      </c>
      <c r="B1425" s="23">
        <v>90140311</v>
      </c>
      <c r="C1425" s="23">
        <v>1403</v>
      </c>
      <c r="D1425" s="23">
        <v>14</v>
      </c>
      <c r="F1425" s="23" t="s">
        <v>116</v>
      </c>
      <c r="G1425" s="23">
        <v>314</v>
      </c>
      <c r="H1425" s="23" t="s">
        <v>3527</v>
      </c>
      <c r="I1425" s="23">
        <v>0</v>
      </c>
      <c r="J1425" s="40">
        <v>0</v>
      </c>
      <c r="K1425" s="40">
        <v>0</v>
      </c>
      <c r="L1425" s="40" t="s">
        <v>115</v>
      </c>
      <c r="O1425" s="40" t="s">
        <v>115</v>
      </c>
      <c r="Q1425" s="40">
        <v>110</v>
      </c>
      <c r="R1425" s="40">
        <v>247</v>
      </c>
      <c r="X1425" s="40">
        <v>90140312</v>
      </c>
      <c r="Y1425" s="40" t="s">
        <v>115</v>
      </c>
      <c r="Z1425" s="40" t="s">
        <v>115</v>
      </c>
      <c r="AA1425" s="40" t="s">
        <v>115</v>
      </c>
      <c r="AB1425" s="40" t="s">
        <v>115</v>
      </c>
      <c r="AC1425" s="40" t="s">
        <v>115</v>
      </c>
      <c r="AI1425" s="40" t="s">
        <v>115</v>
      </c>
      <c r="AP1425" s="4" t="s">
        <v>115</v>
      </c>
    </row>
    <row r="1426" spans="1:42" x14ac:dyDescent="0.15">
      <c r="A1426" s="40" t="s">
        <v>1</v>
      </c>
      <c r="B1426" s="23">
        <v>90140312</v>
      </c>
      <c r="C1426" s="23">
        <v>1403</v>
      </c>
      <c r="D1426" s="23">
        <v>14</v>
      </c>
      <c r="F1426" s="23" t="s">
        <v>3523</v>
      </c>
      <c r="G1426" s="23" t="s">
        <v>115</v>
      </c>
      <c r="H1426" s="23" t="s">
        <v>3528</v>
      </c>
      <c r="I1426" s="23">
        <v>3</v>
      </c>
      <c r="J1426" s="40">
        <v>0</v>
      </c>
      <c r="K1426" s="40">
        <v>0</v>
      </c>
      <c r="L1426" s="40" t="s">
        <v>115</v>
      </c>
      <c r="O1426" s="40" t="s">
        <v>115</v>
      </c>
      <c r="Q1426" s="40">
        <v>110</v>
      </c>
      <c r="R1426" s="40">
        <v>247</v>
      </c>
      <c r="X1426" s="40">
        <v>90140313</v>
      </c>
      <c r="Y1426" s="40" t="s">
        <v>115</v>
      </c>
      <c r="Z1426" s="40" t="s">
        <v>115</v>
      </c>
      <c r="AA1426" s="40" t="s">
        <v>115</v>
      </c>
      <c r="AB1426" s="40" t="s">
        <v>115</v>
      </c>
      <c r="AC1426" s="40" t="s">
        <v>115</v>
      </c>
      <c r="AI1426" s="40" t="s">
        <v>115</v>
      </c>
      <c r="AP1426" s="4" t="s">
        <v>115</v>
      </c>
    </row>
    <row r="1427" spans="1:42" x14ac:dyDescent="0.15">
      <c r="A1427" s="40" t="s">
        <v>1</v>
      </c>
      <c r="B1427" s="23">
        <v>90140313</v>
      </c>
      <c r="C1427" s="23">
        <v>1403</v>
      </c>
      <c r="D1427" s="23">
        <v>14</v>
      </c>
      <c r="F1427" s="23" t="s">
        <v>3523</v>
      </c>
      <c r="G1427" s="23" t="s">
        <v>115</v>
      </c>
      <c r="H1427" s="23" t="s">
        <v>3529</v>
      </c>
      <c r="I1427" s="23">
        <v>3</v>
      </c>
      <c r="J1427" s="40">
        <v>0</v>
      </c>
      <c r="K1427" s="40">
        <v>0</v>
      </c>
      <c r="L1427" s="40" t="s">
        <v>115</v>
      </c>
      <c r="O1427" s="40" t="s">
        <v>115</v>
      </c>
      <c r="Q1427" s="40">
        <v>110</v>
      </c>
      <c r="R1427" s="40">
        <v>247</v>
      </c>
      <c r="X1427" s="40">
        <v>90140304</v>
      </c>
      <c r="Y1427" s="40" t="s">
        <v>115</v>
      </c>
      <c r="Z1427" s="40" t="s">
        <v>115</v>
      </c>
      <c r="AA1427" s="40" t="s">
        <v>115</v>
      </c>
      <c r="AB1427" s="40" t="s">
        <v>115</v>
      </c>
      <c r="AC1427" s="40" t="s">
        <v>115</v>
      </c>
      <c r="AI1427" s="40" t="s">
        <v>115</v>
      </c>
      <c r="AP1427" s="4" t="s">
        <v>115</v>
      </c>
    </row>
    <row r="1428" spans="1:42" x14ac:dyDescent="0.15">
      <c r="A1428" s="40" t="s">
        <v>1</v>
      </c>
      <c r="B1428" s="23">
        <v>90140314</v>
      </c>
      <c r="C1428" s="23">
        <v>1403</v>
      </c>
      <c r="D1428" s="23">
        <v>14</v>
      </c>
      <c r="F1428" s="23" t="s">
        <v>3523</v>
      </c>
      <c r="G1428" s="23" t="s">
        <v>115</v>
      </c>
      <c r="H1428" s="23" t="s">
        <v>3530</v>
      </c>
      <c r="I1428" s="23">
        <v>3</v>
      </c>
      <c r="J1428" s="40">
        <v>0</v>
      </c>
      <c r="K1428" s="40">
        <v>0</v>
      </c>
      <c r="L1428" s="40" t="s">
        <v>115</v>
      </c>
      <c r="O1428" s="40" t="s">
        <v>115</v>
      </c>
      <c r="Q1428" s="40">
        <v>110</v>
      </c>
      <c r="R1428" s="40">
        <v>247</v>
      </c>
      <c r="X1428" s="40">
        <v>90140315</v>
      </c>
      <c r="Y1428" s="40" t="s">
        <v>115</v>
      </c>
      <c r="Z1428" s="40" t="s">
        <v>115</v>
      </c>
      <c r="AA1428" s="40" t="s">
        <v>115</v>
      </c>
      <c r="AB1428" s="40" t="s">
        <v>115</v>
      </c>
      <c r="AC1428" s="40" t="s">
        <v>115</v>
      </c>
      <c r="AI1428" s="40" t="s">
        <v>115</v>
      </c>
      <c r="AP1428" s="4" t="s">
        <v>115</v>
      </c>
    </row>
    <row r="1429" spans="1:42" x14ac:dyDescent="0.15">
      <c r="A1429" s="40" t="s">
        <v>1</v>
      </c>
      <c r="B1429" s="23">
        <v>90140315</v>
      </c>
      <c r="C1429" s="23">
        <v>1403</v>
      </c>
      <c r="D1429" s="23">
        <v>14</v>
      </c>
      <c r="F1429" s="23" t="s">
        <v>3523</v>
      </c>
      <c r="G1429" s="23" t="s">
        <v>115</v>
      </c>
      <c r="H1429" s="23" t="s">
        <v>3531</v>
      </c>
      <c r="I1429" s="23">
        <v>3</v>
      </c>
      <c r="J1429" s="40">
        <v>0</v>
      </c>
      <c r="K1429" s="40">
        <v>0</v>
      </c>
      <c r="L1429" s="40" t="s">
        <v>115</v>
      </c>
      <c r="O1429" s="40" t="s">
        <v>115</v>
      </c>
      <c r="Q1429" s="40">
        <v>110</v>
      </c>
      <c r="R1429" s="40">
        <v>247</v>
      </c>
      <c r="X1429" s="40">
        <v>90140316</v>
      </c>
      <c r="Y1429" s="40" t="s">
        <v>115</v>
      </c>
      <c r="Z1429" s="40" t="s">
        <v>115</v>
      </c>
      <c r="AA1429" s="40" t="s">
        <v>115</v>
      </c>
      <c r="AB1429" s="40" t="s">
        <v>115</v>
      </c>
      <c r="AC1429" s="40" t="s">
        <v>115</v>
      </c>
      <c r="AI1429" s="40" t="s">
        <v>115</v>
      </c>
      <c r="AP1429" s="4" t="s">
        <v>115</v>
      </c>
    </row>
    <row r="1430" spans="1:42" x14ac:dyDescent="0.15">
      <c r="A1430" s="40" t="s">
        <v>1</v>
      </c>
      <c r="B1430" s="23">
        <v>90140316</v>
      </c>
      <c r="C1430" s="23">
        <v>1403</v>
      </c>
      <c r="D1430" s="23">
        <v>14</v>
      </c>
      <c r="F1430" s="23" t="s">
        <v>116</v>
      </c>
      <c r="G1430" s="23">
        <v>314</v>
      </c>
      <c r="H1430" s="23" t="s">
        <v>3532</v>
      </c>
      <c r="I1430" s="23">
        <v>0</v>
      </c>
      <c r="J1430" s="40">
        <v>0</v>
      </c>
      <c r="K1430" s="40">
        <v>0</v>
      </c>
      <c r="L1430" s="40" t="s">
        <v>115</v>
      </c>
      <c r="O1430" s="40" t="s">
        <v>115</v>
      </c>
      <c r="Q1430" s="40">
        <v>110</v>
      </c>
      <c r="R1430" s="40">
        <v>247</v>
      </c>
      <c r="X1430" s="40">
        <v>90140317</v>
      </c>
      <c r="Y1430" s="40" t="s">
        <v>115</v>
      </c>
      <c r="Z1430" s="40" t="s">
        <v>115</v>
      </c>
      <c r="AA1430" s="40" t="s">
        <v>115</v>
      </c>
      <c r="AB1430" s="40" t="s">
        <v>115</v>
      </c>
      <c r="AC1430" s="40" t="s">
        <v>115</v>
      </c>
      <c r="AI1430" s="40" t="s">
        <v>115</v>
      </c>
      <c r="AP1430" s="4" t="s">
        <v>115</v>
      </c>
    </row>
    <row r="1431" spans="1:42" x14ac:dyDescent="0.15">
      <c r="A1431" s="40" t="s">
        <v>1</v>
      </c>
      <c r="B1431" s="23">
        <v>90140317</v>
      </c>
      <c r="C1431" s="23">
        <v>1403</v>
      </c>
      <c r="D1431" s="23">
        <v>14</v>
      </c>
      <c r="F1431" s="23" t="s">
        <v>3523</v>
      </c>
      <c r="G1431" s="23" t="s">
        <v>115</v>
      </c>
      <c r="H1431" s="23" t="s">
        <v>3533</v>
      </c>
      <c r="I1431" s="23">
        <v>3</v>
      </c>
      <c r="J1431" s="40">
        <v>0</v>
      </c>
      <c r="K1431" s="40">
        <v>0</v>
      </c>
      <c r="L1431" s="40" t="s">
        <v>115</v>
      </c>
      <c r="O1431" s="40" t="s">
        <v>115</v>
      </c>
      <c r="Q1431" s="40">
        <v>110</v>
      </c>
      <c r="R1431" s="40">
        <v>247</v>
      </c>
      <c r="X1431" s="40">
        <v>90140318</v>
      </c>
      <c r="Y1431" s="40" t="s">
        <v>115</v>
      </c>
      <c r="Z1431" s="40" t="s">
        <v>115</v>
      </c>
      <c r="AA1431" s="40" t="s">
        <v>115</v>
      </c>
      <c r="AB1431" s="40" t="s">
        <v>115</v>
      </c>
      <c r="AC1431" s="40" t="s">
        <v>115</v>
      </c>
      <c r="AI1431" s="40" t="s">
        <v>115</v>
      </c>
      <c r="AP1431" s="4" t="s">
        <v>115</v>
      </c>
    </row>
    <row r="1432" spans="1:42" x14ac:dyDescent="0.15">
      <c r="A1432" s="40" t="s">
        <v>1</v>
      </c>
      <c r="B1432" s="23">
        <v>90140318</v>
      </c>
      <c r="C1432" s="23">
        <v>1403</v>
      </c>
      <c r="D1432" s="23">
        <v>14</v>
      </c>
      <c r="F1432" s="23" t="s">
        <v>115</v>
      </c>
      <c r="G1432" s="23" t="s">
        <v>115</v>
      </c>
      <c r="H1432" s="23" t="s">
        <v>3534</v>
      </c>
      <c r="I1432" s="23">
        <v>4</v>
      </c>
      <c r="J1432" s="40">
        <v>0</v>
      </c>
      <c r="K1432" s="40">
        <v>5</v>
      </c>
      <c r="L1432" s="40" t="s">
        <v>4805</v>
      </c>
      <c r="O1432" s="40" t="s">
        <v>115</v>
      </c>
      <c r="Q1432" s="40">
        <v>110</v>
      </c>
      <c r="R1432" s="40" t="s">
        <v>115</v>
      </c>
      <c r="X1432" s="40">
        <v>90140319</v>
      </c>
      <c r="Y1432" s="40" t="s">
        <v>115</v>
      </c>
      <c r="Z1432" s="40">
        <v>4</v>
      </c>
      <c r="AA1432" s="40" t="s">
        <v>115</v>
      </c>
      <c r="AB1432" s="40" t="s">
        <v>115</v>
      </c>
      <c r="AC1432" s="40" t="s">
        <v>115</v>
      </c>
      <c r="AI1432" s="40" t="s">
        <v>115</v>
      </c>
      <c r="AP1432" s="4" t="s">
        <v>115</v>
      </c>
    </row>
    <row r="1433" spans="1:42" x14ac:dyDescent="0.15">
      <c r="A1433" s="40" t="s">
        <v>1</v>
      </c>
      <c r="B1433" s="23">
        <v>90140319</v>
      </c>
      <c r="C1433" s="23">
        <v>1403</v>
      </c>
      <c r="D1433" s="23">
        <v>14</v>
      </c>
      <c r="F1433" s="23" t="s">
        <v>116</v>
      </c>
      <c r="G1433" s="23">
        <v>312</v>
      </c>
      <c r="H1433" s="23" t="s">
        <v>3535</v>
      </c>
      <c r="I1433" s="23">
        <v>2</v>
      </c>
      <c r="J1433" s="40">
        <v>0</v>
      </c>
      <c r="K1433" s="40">
        <v>6</v>
      </c>
      <c r="L1433" s="40" t="s">
        <v>115</v>
      </c>
      <c r="O1433" s="40">
        <v>1</v>
      </c>
      <c r="Q1433" s="40">
        <v>110</v>
      </c>
      <c r="R1433" s="40" t="s">
        <v>115</v>
      </c>
      <c r="X1433" s="40" t="s">
        <v>115</v>
      </c>
      <c r="Y1433" s="40" t="s">
        <v>115</v>
      </c>
      <c r="Z1433" s="40">
        <v>5</v>
      </c>
      <c r="AA1433" s="40" t="s">
        <v>115</v>
      </c>
      <c r="AB1433" s="40" t="s">
        <v>115</v>
      </c>
      <c r="AC1433" s="40" t="s">
        <v>115</v>
      </c>
      <c r="AI1433" s="40" t="s">
        <v>115</v>
      </c>
      <c r="AP1433" s="4" t="s">
        <v>3536</v>
      </c>
    </row>
    <row r="1434" spans="1:42" x14ac:dyDescent="0.15">
      <c r="A1434" s="40" t="s">
        <v>1</v>
      </c>
      <c r="B1434" s="23" t="s">
        <v>3431</v>
      </c>
      <c r="C1434" s="23">
        <v>1404</v>
      </c>
      <c r="D1434" s="23">
        <v>14</v>
      </c>
      <c r="F1434" s="23" t="s">
        <v>115</v>
      </c>
      <c r="G1434" s="23" t="s">
        <v>115</v>
      </c>
      <c r="H1434" s="23" t="s">
        <v>3537</v>
      </c>
      <c r="I1434" s="23">
        <v>4</v>
      </c>
      <c r="J1434" s="40">
        <v>1</v>
      </c>
      <c r="K1434" s="40">
        <v>1</v>
      </c>
      <c r="L1434" s="40" t="s">
        <v>115</v>
      </c>
      <c r="O1434" s="40" t="s">
        <v>115</v>
      </c>
      <c r="Q1434" s="40">
        <v>31</v>
      </c>
      <c r="R1434" s="40" t="s">
        <v>115</v>
      </c>
      <c r="X1434" s="40" t="s">
        <v>3538</v>
      </c>
      <c r="Y1434" s="40">
        <v>1</v>
      </c>
      <c r="Z1434" s="40" t="s">
        <v>115</v>
      </c>
      <c r="AA1434" s="40" t="s">
        <v>115</v>
      </c>
      <c r="AB1434" s="40" t="s">
        <v>115</v>
      </c>
      <c r="AC1434" s="40" t="s">
        <v>115</v>
      </c>
      <c r="AI1434" s="40" t="s">
        <v>115</v>
      </c>
      <c r="AP1434" s="4" t="s">
        <v>115</v>
      </c>
    </row>
    <row r="1435" spans="1:42" x14ac:dyDescent="0.15">
      <c r="A1435" s="40" t="s">
        <v>1</v>
      </c>
      <c r="B1435" s="23">
        <v>90140402</v>
      </c>
      <c r="C1435" s="23">
        <v>1404</v>
      </c>
      <c r="D1435" s="23">
        <v>14</v>
      </c>
      <c r="F1435" s="23" t="s">
        <v>115</v>
      </c>
      <c r="G1435" s="23" t="s">
        <v>115</v>
      </c>
      <c r="H1435" s="23" t="s">
        <v>3539</v>
      </c>
      <c r="I1435" s="23">
        <v>4</v>
      </c>
      <c r="J1435" s="40">
        <v>0</v>
      </c>
      <c r="K1435" s="40">
        <v>2</v>
      </c>
      <c r="L1435" s="40" t="s">
        <v>115</v>
      </c>
      <c r="O1435" s="40" t="s">
        <v>115</v>
      </c>
      <c r="Q1435" s="40">
        <v>31</v>
      </c>
      <c r="R1435" s="40" t="s">
        <v>115</v>
      </c>
      <c r="X1435" s="40">
        <v>90140404</v>
      </c>
      <c r="Y1435" s="40">
        <v>-1</v>
      </c>
      <c r="Z1435" s="40">
        <v>1</v>
      </c>
      <c r="AA1435" s="40" t="s">
        <v>115</v>
      </c>
      <c r="AB1435" s="40" t="s">
        <v>115</v>
      </c>
      <c r="AC1435" s="40" t="s">
        <v>7297</v>
      </c>
      <c r="AI1435" s="40" t="s">
        <v>115</v>
      </c>
      <c r="AP1435" s="4" t="s">
        <v>115</v>
      </c>
    </row>
    <row r="1436" spans="1:42" x14ac:dyDescent="0.15">
      <c r="A1436" s="40" t="s">
        <v>1</v>
      </c>
      <c r="B1436" s="23">
        <v>90140403</v>
      </c>
      <c r="C1436" s="23">
        <v>1404</v>
      </c>
      <c r="D1436" s="23">
        <v>14</v>
      </c>
      <c r="F1436" s="23" t="s">
        <v>115</v>
      </c>
      <c r="G1436" s="23" t="s">
        <v>115</v>
      </c>
      <c r="H1436" s="23" t="s">
        <v>3540</v>
      </c>
      <c r="I1436" s="23">
        <v>4</v>
      </c>
      <c r="J1436" s="40">
        <v>0</v>
      </c>
      <c r="K1436" s="40">
        <v>3</v>
      </c>
      <c r="L1436" s="40" t="s">
        <v>115</v>
      </c>
      <c r="O1436" s="40" t="s">
        <v>115</v>
      </c>
      <c r="Q1436" s="40">
        <v>31</v>
      </c>
      <c r="R1436" s="40" t="s">
        <v>115</v>
      </c>
      <c r="X1436" s="40">
        <v>90140405</v>
      </c>
      <c r="Y1436" s="40">
        <v>-1</v>
      </c>
      <c r="Z1436" s="40">
        <v>1</v>
      </c>
      <c r="AA1436" s="40" t="s">
        <v>115</v>
      </c>
      <c r="AB1436" s="40" t="s">
        <v>115</v>
      </c>
      <c r="AC1436" s="40" t="s">
        <v>7298</v>
      </c>
      <c r="AI1436" s="40" t="s">
        <v>115</v>
      </c>
      <c r="AP1436" s="4" t="s">
        <v>115</v>
      </c>
    </row>
    <row r="1437" spans="1:42" x14ac:dyDescent="0.15">
      <c r="A1437" s="40" t="s">
        <v>1</v>
      </c>
      <c r="B1437" s="23">
        <v>90140404</v>
      </c>
      <c r="C1437" s="23">
        <v>1404</v>
      </c>
      <c r="D1437" s="23">
        <v>14</v>
      </c>
      <c r="F1437" s="23" t="s">
        <v>116</v>
      </c>
      <c r="G1437" s="23">
        <v>313</v>
      </c>
      <c r="H1437" s="23" t="s">
        <v>3541</v>
      </c>
      <c r="I1437" s="23">
        <v>2</v>
      </c>
      <c r="J1437" s="40">
        <v>0</v>
      </c>
      <c r="K1437" s="40">
        <v>0</v>
      </c>
      <c r="L1437" s="40" t="s">
        <v>115</v>
      </c>
      <c r="O1437" s="40" t="s">
        <v>115</v>
      </c>
      <c r="Q1437" s="40">
        <v>31</v>
      </c>
      <c r="R1437" s="40" t="s">
        <v>115</v>
      </c>
      <c r="X1437" s="40">
        <v>90140406</v>
      </c>
      <c r="Y1437" s="40" t="s">
        <v>115</v>
      </c>
      <c r="Z1437" s="40" t="s">
        <v>115</v>
      </c>
      <c r="AA1437" s="40" t="s">
        <v>115</v>
      </c>
      <c r="AB1437" s="40" t="s">
        <v>115</v>
      </c>
      <c r="AC1437" s="40" t="s">
        <v>115</v>
      </c>
      <c r="AI1437" s="40" t="s">
        <v>115</v>
      </c>
      <c r="AP1437" s="4" t="s">
        <v>115</v>
      </c>
    </row>
    <row r="1438" spans="1:42" x14ac:dyDescent="0.15">
      <c r="A1438" s="40" t="s">
        <v>1</v>
      </c>
      <c r="B1438" s="23">
        <v>90140405</v>
      </c>
      <c r="C1438" s="23">
        <v>1404</v>
      </c>
      <c r="D1438" s="23">
        <v>14</v>
      </c>
      <c r="F1438" s="23" t="s">
        <v>116</v>
      </c>
      <c r="G1438" s="23">
        <v>313</v>
      </c>
      <c r="H1438" s="23" t="s">
        <v>3542</v>
      </c>
      <c r="I1438" s="23">
        <v>2</v>
      </c>
      <c r="J1438" s="40">
        <v>0</v>
      </c>
      <c r="K1438" s="40">
        <v>0</v>
      </c>
      <c r="L1438" s="40" t="s">
        <v>115</v>
      </c>
      <c r="O1438" s="40" t="s">
        <v>115</v>
      </c>
      <c r="Q1438" s="40">
        <v>31</v>
      </c>
      <c r="R1438" s="40" t="s">
        <v>115</v>
      </c>
      <c r="X1438" s="40">
        <v>90140406</v>
      </c>
      <c r="Y1438" s="40" t="s">
        <v>115</v>
      </c>
      <c r="Z1438" s="40" t="s">
        <v>115</v>
      </c>
      <c r="AA1438" s="40" t="s">
        <v>115</v>
      </c>
      <c r="AB1438" s="40" t="s">
        <v>115</v>
      </c>
      <c r="AC1438" s="40" t="s">
        <v>115</v>
      </c>
      <c r="AI1438" s="40" t="s">
        <v>115</v>
      </c>
      <c r="AP1438" s="4" t="s">
        <v>115</v>
      </c>
    </row>
    <row r="1439" spans="1:42" x14ac:dyDescent="0.15">
      <c r="A1439" s="40" t="s">
        <v>1</v>
      </c>
      <c r="B1439" s="23">
        <v>90140406</v>
      </c>
      <c r="C1439" s="23">
        <v>1404</v>
      </c>
      <c r="D1439" s="23">
        <v>14</v>
      </c>
      <c r="F1439" s="23" t="s">
        <v>115</v>
      </c>
      <c r="G1439" s="23" t="s">
        <v>115</v>
      </c>
      <c r="H1439" s="23" t="s">
        <v>3543</v>
      </c>
      <c r="I1439" s="23">
        <v>4</v>
      </c>
      <c r="J1439" s="40">
        <v>0</v>
      </c>
      <c r="K1439" s="40">
        <v>4</v>
      </c>
      <c r="L1439" s="40" t="s">
        <v>4806</v>
      </c>
      <c r="O1439" s="40" t="s">
        <v>115</v>
      </c>
      <c r="Q1439" s="40">
        <v>31</v>
      </c>
      <c r="R1439" s="40" t="s">
        <v>115</v>
      </c>
      <c r="X1439" s="40">
        <v>90140407</v>
      </c>
      <c r="Y1439" s="40" t="s">
        <v>115</v>
      </c>
      <c r="Z1439" s="40">
        <v>3</v>
      </c>
      <c r="AA1439" s="40" t="s">
        <v>115</v>
      </c>
      <c r="AB1439" s="40" t="s">
        <v>115</v>
      </c>
      <c r="AC1439" s="40" t="s">
        <v>115</v>
      </c>
      <c r="AI1439" s="40" t="s">
        <v>115</v>
      </c>
      <c r="AP1439" s="4" t="s">
        <v>115</v>
      </c>
    </row>
    <row r="1440" spans="1:42" x14ac:dyDescent="0.15">
      <c r="A1440" s="40" t="s">
        <v>1</v>
      </c>
      <c r="B1440" s="23">
        <v>90140407</v>
      </c>
      <c r="C1440" s="23">
        <v>1404</v>
      </c>
      <c r="D1440" s="23">
        <v>14</v>
      </c>
      <c r="F1440" s="23" t="s">
        <v>116</v>
      </c>
      <c r="G1440" s="23">
        <v>314</v>
      </c>
      <c r="H1440" s="23" t="s">
        <v>3544</v>
      </c>
      <c r="I1440" s="23">
        <v>2</v>
      </c>
      <c r="J1440" s="40">
        <v>0</v>
      </c>
      <c r="K1440" s="40">
        <v>0</v>
      </c>
      <c r="L1440" s="40" t="s">
        <v>115</v>
      </c>
      <c r="O1440" s="40" t="s">
        <v>115</v>
      </c>
      <c r="Q1440" s="40">
        <v>31</v>
      </c>
      <c r="R1440" s="40" t="s">
        <v>115</v>
      </c>
      <c r="X1440" s="40">
        <v>90140408</v>
      </c>
      <c r="Y1440" s="40" t="s">
        <v>115</v>
      </c>
      <c r="Z1440" s="40" t="s">
        <v>115</v>
      </c>
      <c r="AA1440" s="40" t="s">
        <v>115</v>
      </c>
      <c r="AB1440" s="40" t="s">
        <v>115</v>
      </c>
      <c r="AC1440" s="40" t="s">
        <v>115</v>
      </c>
      <c r="AI1440" s="40" t="s">
        <v>115</v>
      </c>
      <c r="AP1440" s="4" t="s">
        <v>115</v>
      </c>
    </row>
    <row r="1441" spans="1:42" x14ac:dyDescent="0.15">
      <c r="A1441" s="40" t="s">
        <v>1</v>
      </c>
      <c r="B1441" s="23">
        <v>90140408</v>
      </c>
      <c r="C1441" s="23">
        <v>1404</v>
      </c>
      <c r="D1441" s="23">
        <v>14</v>
      </c>
      <c r="F1441" s="23" t="s">
        <v>116</v>
      </c>
      <c r="G1441" s="23">
        <v>309</v>
      </c>
      <c r="H1441" s="23" t="s">
        <v>3545</v>
      </c>
      <c r="I1441" s="23">
        <v>2</v>
      </c>
      <c r="J1441" s="40">
        <v>0</v>
      </c>
      <c r="K1441" s="40">
        <v>0</v>
      </c>
      <c r="L1441" s="40" t="s">
        <v>115</v>
      </c>
      <c r="O1441" s="40" t="s">
        <v>115</v>
      </c>
      <c r="Q1441" s="40">
        <v>31</v>
      </c>
      <c r="R1441" s="40" t="s">
        <v>115</v>
      </c>
      <c r="X1441" s="40">
        <v>90140409</v>
      </c>
      <c r="Y1441" s="40" t="s">
        <v>115</v>
      </c>
      <c r="Z1441" s="40" t="s">
        <v>115</v>
      </c>
      <c r="AA1441" s="40" t="s">
        <v>115</v>
      </c>
      <c r="AB1441" s="40" t="s">
        <v>115</v>
      </c>
      <c r="AC1441" s="40" t="s">
        <v>115</v>
      </c>
      <c r="AI1441" s="40" t="s">
        <v>115</v>
      </c>
      <c r="AP1441" s="4" t="s">
        <v>115</v>
      </c>
    </row>
    <row r="1442" spans="1:42" x14ac:dyDescent="0.15">
      <c r="A1442" s="40" t="s">
        <v>1</v>
      </c>
      <c r="B1442" s="23">
        <v>90140409</v>
      </c>
      <c r="C1442" s="23">
        <v>1404</v>
      </c>
      <c r="D1442" s="23">
        <v>14</v>
      </c>
      <c r="F1442" s="23" t="s">
        <v>115</v>
      </c>
      <c r="G1442" s="23" t="s">
        <v>115</v>
      </c>
      <c r="H1442" s="23" t="s">
        <v>3546</v>
      </c>
      <c r="I1442" s="23">
        <v>4</v>
      </c>
      <c r="J1442" s="40">
        <v>0</v>
      </c>
      <c r="K1442" s="40">
        <v>0</v>
      </c>
      <c r="L1442" s="40" t="s">
        <v>115</v>
      </c>
      <c r="O1442" s="40" t="s">
        <v>115</v>
      </c>
      <c r="Q1442" s="40">
        <v>137</v>
      </c>
      <c r="R1442" s="40" t="s">
        <v>115</v>
      </c>
      <c r="X1442" s="40">
        <v>90140410</v>
      </c>
      <c r="Y1442" s="40" t="s">
        <v>115</v>
      </c>
      <c r="Z1442" s="40" t="s">
        <v>115</v>
      </c>
      <c r="AA1442" s="40" t="s">
        <v>115</v>
      </c>
      <c r="AB1442" s="40" t="s">
        <v>115</v>
      </c>
      <c r="AC1442" s="40" t="s">
        <v>115</v>
      </c>
      <c r="AI1442" s="40" t="s">
        <v>115</v>
      </c>
      <c r="AP1442" s="4" t="s">
        <v>115</v>
      </c>
    </row>
    <row r="1443" spans="1:42" x14ac:dyDescent="0.15">
      <c r="A1443" s="40" t="s">
        <v>1</v>
      </c>
      <c r="B1443" s="23">
        <v>90140410</v>
      </c>
      <c r="C1443" s="23">
        <v>1404</v>
      </c>
      <c r="D1443" s="23">
        <v>14</v>
      </c>
      <c r="F1443" s="23" t="s">
        <v>116</v>
      </c>
      <c r="G1443" s="23">
        <v>312</v>
      </c>
      <c r="H1443" s="23" t="s">
        <v>3547</v>
      </c>
      <c r="I1443" s="23">
        <v>2</v>
      </c>
      <c r="J1443" s="40">
        <v>0</v>
      </c>
      <c r="K1443" s="40">
        <v>5</v>
      </c>
      <c r="L1443" s="40" t="s">
        <v>115</v>
      </c>
      <c r="O1443" s="40">
        <v>1</v>
      </c>
      <c r="Q1443" s="40">
        <v>137</v>
      </c>
      <c r="R1443" s="40" t="s">
        <v>115</v>
      </c>
      <c r="X1443" s="40" t="s">
        <v>115</v>
      </c>
      <c r="Y1443" s="40" t="s">
        <v>115</v>
      </c>
      <c r="Z1443" s="40">
        <v>4</v>
      </c>
      <c r="AA1443" s="40" t="s">
        <v>115</v>
      </c>
      <c r="AB1443" s="40" t="s">
        <v>115</v>
      </c>
      <c r="AC1443" s="40" t="s">
        <v>115</v>
      </c>
      <c r="AI1443" s="40" t="s">
        <v>115</v>
      </c>
      <c r="AP1443" s="4" t="s">
        <v>3548</v>
      </c>
    </row>
    <row r="1444" spans="1:42" x14ac:dyDescent="0.15">
      <c r="A1444" s="40" t="s">
        <v>1</v>
      </c>
      <c r="B1444" s="23" t="s">
        <v>3432</v>
      </c>
      <c r="C1444" s="23">
        <v>1405</v>
      </c>
      <c r="D1444" s="23">
        <v>14</v>
      </c>
      <c r="F1444" s="23" t="s">
        <v>115</v>
      </c>
      <c r="G1444" s="23" t="s">
        <v>115</v>
      </c>
      <c r="H1444" s="23" t="s">
        <v>4807</v>
      </c>
      <c r="I1444" s="23">
        <v>4</v>
      </c>
      <c r="J1444" s="40">
        <v>1</v>
      </c>
      <c r="K1444" s="40">
        <v>1</v>
      </c>
      <c r="L1444" s="40" t="s">
        <v>115</v>
      </c>
      <c r="O1444" s="40" t="s">
        <v>115</v>
      </c>
      <c r="Q1444" s="40">
        <v>187</v>
      </c>
      <c r="R1444" s="40" t="s">
        <v>115</v>
      </c>
      <c r="X1444" s="40">
        <v>90140502</v>
      </c>
      <c r="Y1444" s="40" t="s">
        <v>115</v>
      </c>
      <c r="Z1444" s="40" t="s">
        <v>115</v>
      </c>
      <c r="AA1444" s="40" t="s">
        <v>115</v>
      </c>
      <c r="AB1444" s="40" t="s">
        <v>115</v>
      </c>
      <c r="AC1444" s="40" t="s">
        <v>115</v>
      </c>
      <c r="AI1444" s="40" t="s">
        <v>115</v>
      </c>
      <c r="AP1444" s="4" t="s">
        <v>115</v>
      </c>
    </row>
    <row r="1445" spans="1:42" x14ac:dyDescent="0.15">
      <c r="A1445" s="40" t="s">
        <v>1</v>
      </c>
      <c r="B1445" s="23">
        <v>90140502</v>
      </c>
      <c r="C1445" s="23">
        <v>1405</v>
      </c>
      <c r="D1445" s="23">
        <v>14</v>
      </c>
      <c r="F1445" s="23" t="s">
        <v>115</v>
      </c>
      <c r="G1445" s="23" t="s">
        <v>115</v>
      </c>
      <c r="H1445" s="23" t="s">
        <v>3549</v>
      </c>
      <c r="I1445" s="23">
        <v>4</v>
      </c>
      <c r="J1445" s="40">
        <v>0</v>
      </c>
      <c r="K1445" s="40">
        <v>0</v>
      </c>
      <c r="L1445" s="40" t="s">
        <v>115</v>
      </c>
      <c r="O1445" s="40" t="s">
        <v>115</v>
      </c>
      <c r="Q1445" s="40">
        <v>187</v>
      </c>
      <c r="R1445" s="40">
        <v>253</v>
      </c>
      <c r="X1445" s="40">
        <v>90140503</v>
      </c>
      <c r="Y1445" s="40" t="s">
        <v>115</v>
      </c>
      <c r="Z1445" s="40" t="s">
        <v>115</v>
      </c>
      <c r="AA1445" s="40" t="s">
        <v>115</v>
      </c>
      <c r="AB1445" s="40" t="s">
        <v>115</v>
      </c>
      <c r="AC1445" s="40" t="s">
        <v>115</v>
      </c>
      <c r="AI1445" s="40" t="s">
        <v>115</v>
      </c>
      <c r="AP1445" s="4" t="s">
        <v>115</v>
      </c>
    </row>
    <row r="1446" spans="1:42" x14ac:dyDescent="0.15">
      <c r="A1446" s="40" t="s">
        <v>1</v>
      </c>
      <c r="B1446" s="23">
        <v>90140503</v>
      </c>
      <c r="C1446" s="23">
        <v>1405</v>
      </c>
      <c r="D1446" s="23">
        <v>14</v>
      </c>
      <c r="F1446" s="23" t="s">
        <v>3550</v>
      </c>
      <c r="G1446" s="23" t="s">
        <v>115</v>
      </c>
      <c r="H1446" s="23" t="s">
        <v>3551</v>
      </c>
      <c r="I1446" s="23">
        <v>3</v>
      </c>
      <c r="J1446" s="40">
        <v>0</v>
      </c>
      <c r="K1446" s="40">
        <v>0</v>
      </c>
      <c r="L1446" s="40" t="s">
        <v>115</v>
      </c>
      <c r="O1446" s="40" t="s">
        <v>115</v>
      </c>
      <c r="Q1446" s="40">
        <v>187</v>
      </c>
      <c r="R1446" s="40">
        <v>253</v>
      </c>
      <c r="X1446" s="40">
        <v>90140504</v>
      </c>
      <c r="Y1446" s="40" t="s">
        <v>115</v>
      </c>
      <c r="Z1446" s="40" t="s">
        <v>115</v>
      </c>
      <c r="AA1446" s="40" t="s">
        <v>115</v>
      </c>
      <c r="AB1446" s="40" t="s">
        <v>115</v>
      </c>
      <c r="AC1446" s="40" t="s">
        <v>115</v>
      </c>
      <c r="AI1446" s="40" t="s">
        <v>115</v>
      </c>
      <c r="AP1446" s="4" t="s">
        <v>115</v>
      </c>
    </row>
    <row r="1447" spans="1:42" x14ac:dyDescent="0.15">
      <c r="A1447" s="40" t="s">
        <v>1</v>
      </c>
      <c r="B1447" s="23">
        <v>90140504</v>
      </c>
      <c r="C1447" s="23">
        <v>1405</v>
      </c>
      <c r="D1447" s="23">
        <v>14</v>
      </c>
      <c r="F1447" s="23" t="s">
        <v>3550</v>
      </c>
      <c r="G1447" s="23" t="s">
        <v>115</v>
      </c>
      <c r="H1447" s="23" t="s">
        <v>3552</v>
      </c>
      <c r="I1447" s="23">
        <v>3</v>
      </c>
      <c r="J1447" s="40">
        <v>0</v>
      </c>
      <c r="K1447" s="40">
        <v>0</v>
      </c>
      <c r="L1447" s="40" t="s">
        <v>115</v>
      </c>
      <c r="O1447" s="40" t="s">
        <v>115</v>
      </c>
      <c r="Q1447" s="40">
        <v>187</v>
      </c>
      <c r="R1447" s="40">
        <v>253</v>
      </c>
      <c r="X1447" s="40">
        <v>90140505</v>
      </c>
      <c r="Y1447" s="40" t="s">
        <v>115</v>
      </c>
      <c r="Z1447" s="40" t="s">
        <v>115</v>
      </c>
      <c r="AA1447" s="40" t="s">
        <v>115</v>
      </c>
      <c r="AB1447" s="40" t="s">
        <v>115</v>
      </c>
      <c r="AC1447" s="40" t="s">
        <v>115</v>
      </c>
      <c r="AI1447" s="40" t="s">
        <v>115</v>
      </c>
      <c r="AP1447" s="4" t="s">
        <v>115</v>
      </c>
    </row>
    <row r="1448" spans="1:42" x14ac:dyDescent="0.15">
      <c r="A1448" s="40" t="s">
        <v>1</v>
      </c>
      <c r="B1448" s="23">
        <v>90140505</v>
      </c>
      <c r="C1448" s="23">
        <v>1405</v>
      </c>
      <c r="D1448" s="23">
        <v>14</v>
      </c>
      <c r="F1448" s="23" t="s">
        <v>116</v>
      </c>
      <c r="G1448" s="23">
        <v>315</v>
      </c>
      <c r="H1448" s="23" t="s">
        <v>3553</v>
      </c>
      <c r="I1448" s="23">
        <v>0</v>
      </c>
      <c r="J1448" s="40">
        <v>0</v>
      </c>
      <c r="K1448" s="40">
        <v>0</v>
      </c>
      <c r="L1448" s="40" t="s">
        <v>115</v>
      </c>
      <c r="O1448" s="40" t="s">
        <v>115</v>
      </c>
      <c r="Q1448" s="40">
        <v>187</v>
      </c>
      <c r="R1448" s="40">
        <v>253</v>
      </c>
      <c r="X1448" s="40">
        <v>90140506</v>
      </c>
      <c r="Y1448" s="40" t="s">
        <v>115</v>
      </c>
      <c r="Z1448" s="40" t="s">
        <v>115</v>
      </c>
      <c r="AA1448" s="40" t="s">
        <v>115</v>
      </c>
      <c r="AB1448" s="40" t="s">
        <v>115</v>
      </c>
      <c r="AC1448" s="40" t="s">
        <v>115</v>
      </c>
      <c r="AI1448" s="40" t="s">
        <v>115</v>
      </c>
      <c r="AP1448" s="4" t="s">
        <v>115</v>
      </c>
    </row>
    <row r="1449" spans="1:42" x14ac:dyDescent="0.15">
      <c r="A1449" s="40" t="s">
        <v>1</v>
      </c>
      <c r="B1449" s="23">
        <v>90140506</v>
      </c>
      <c r="C1449" s="23">
        <v>1405</v>
      </c>
      <c r="D1449" s="23">
        <v>14</v>
      </c>
      <c r="F1449" s="23" t="s">
        <v>115</v>
      </c>
      <c r="G1449" s="23" t="s">
        <v>115</v>
      </c>
      <c r="H1449" s="23" t="s">
        <v>3554</v>
      </c>
      <c r="I1449" s="23">
        <v>4</v>
      </c>
      <c r="J1449" s="40">
        <v>0</v>
      </c>
      <c r="K1449" s="40">
        <v>0</v>
      </c>
      <c r="L1449" s="40" t="s">
        <v>115</v>
      </c>
      <c r="O1449" s="40" t="s">
        <v>115</v>
      </c>
      <c r="Q1449" s="40">
        <v>187</v>
      </c>
      <c r="R1449" s="40">
        <v>253</v>
      </c>
      <c r="X1449" s="40">
        <v>90140507</v>
      </c>
      <c r="Y1449" s="40" t="s">
        <v>115</v>
      </c>
      <c r="Z1449" s="40" t="s">
        <v>115</v>
      </c>
      <c r="AA1449" s="40" t="s">
        <v>115</v>
      </c>
      <c r="AB1449" s="40" t="s">
        <v>115</v>
      </c>
      <c r="AC1449" s="40" t="s">
        <v>115</v>
      </c>
      <c r="AI1449" s="40" t="s">
        <v>115</v>
      </c>
      <c r="AP1449" s="4" t="s">
        <v>115</v>
      </c>
    </row>
    <row r="1450" spans="1:42" x14ac:dyDescent="0.15">
      <c r="A1450" s="40" t="s">
        <v>1</v>
      </c>
      <c r="B1450" s="23">
        <v>90140507</v>
      </c>
      <c r="C1450" s="23">
        <v>1405</v>
      </c>
      <c r="D1450" s="23">
        <v>14</v>
      </c>
      <c r="F1450" s="23" t="s">
        <v>3550</v>
      </c>
      <c r="G1450" s="23" t="s">
        <v>115</v>
      </c>
      <c r="H1450" s="23" t="s">
        <v>3555</v>
      </c>
      <c r="I1450" s="23">
        <v>3</v>
      </c>
      <c r="J1450" s="40">
        <v>0</v>
      </c>
      <c r="K1450" s="40">
        <v>0</v>
      </c>
      <c r="L1450" s="40" t="s">
        <v>115</v>
      </c>
      <c r="O1450" s="40" t="s">
        <v>115</v>
      </c>
      <c r="Q1450" s="40">
        <v>187</v>
      </c>
      <c r="R1450" s="40">
        <v>253</v>
      </c>
      <c r="X1450" s="40">
        <v>90140508</v>
      </c>
      <c r="Y1450" s="40" t="s">
        <v>115</v>
      </c>
      <c r="Z1450" s="40" t="s">
        <v>115</v>
      </c>
      <c r="AA1450" s="40" t="s">
        <v>115</v>
      </c>
      <c r="AB1450" s="40" t="s">
        <v>115</v>
      </c>
      <c r="AC1450" s="40" t="s">
        <v>115</v>
      </c>
      <c r="AI1450" s="40" t="s">
        <v>115</v>
      </c>
      <c r="AP1450" s="4" t="s">
        <v>115</v>
      </c>
    </row>
    <row r="1451" spans="1:42" x14ac:dyDescent="0.15">
      <c r="A1451" s="40" t="s">
        <v>1</v>
      </c>
      <c r="B1451" s="23">
        <v>90140508</v>
      </c>
      <c r="C1451" s="23">
        <v>1405</v>
      </c>
      <c r="D1451" s="23">
        <v>14</v>
      </c>
      <c r="F1451" s="23" t="s">
        <v>116</v>
      </c>
      <c r="G1451" s="23">
        <v>314</v>
      </c>
      <c r="H1451" s="23" t="s">
        <v>3556</v>
      </c>
      <c r="I1451" s="23">
        <v>2</v>
      </c>
      <c r="J1451" s="40">
        <v>0</v>
      </c>
      <c r="K1451" s="40">
        <v>2</v>
      </c>
      <c r="L1451" s="40" t="s">
        <v>115</v>
      </c>
      <c r="O1451" s="40" t="s">
        <v>115</v>
      </c>
      <c r="Q1451" s="40">
        <v>187</v>
      </c>
      <c r="R1451" s="40">
        <v>253</v>
      </c>
      <c r="X1451" s="40" t="s">
        <v>3557</v>
      </c>
      <c r="Y1451" s="40">
        <v>1</v>
      </c>
      <c r="Z1451" s="40">
        <v>1</v>
      </c>
      <c r="AA1451" s="40" t="s">
        <v>115</v>
      </c>
      <c r="AB1451" s="40" t="s">
        <v>115</v>
      </c>
      <c r="AC1451" s="40" t="s">
        <v>115</v>
      </c>
      <c r="AI1451" s="40" t="s">
        <v>115</v>
      </c>
      <c r="AP1451" s="4" t="s">
        <v>115</v>
      </c>
    </row>
    <row r="1452" spans="1:42" x14ac:dyDescent="0.15">
      <c r="A1452" s="40" t="s">
        <v>1</v>
      </c>
      <c r="B1452" s="23">
        <v>90140509</v>
      </c>
      <c r="C1452" s="23">
        <v>1405</v>
      </c>
      <c r="D1452" s="23">
        <v>14</v>
      </c>
      <c r="F1452" s="23" t="s">
        <v>115</v>
      </c>
      <c r="G1452" s="23" t="s">
        <v>115</v>
      </c>
      <c r="H1452" s="23" t="s">
        <v>3558</v>
      </c>
      <c r="I1452" s="23">
        <v>4</v>
      </c>
      <c r="J1452" s="40">
        <v>0</v>
      </c>
      <c r="K1452" s="40">
        <v>3</v>
      </c>
      <c r="L1452" s="40" t="s">
        <v>115</v>
      </c>
      <c r="O1452" s="40" t="s">
        <v>115</v>
      </c>
      <c r="Q1452" s="40">
        <v>187</v>
      </c>
      <c r="R1452" s="40">
        <v>253</v>
      </c>
      <c r="X1452" s="40">
        <v>90140511</v>
      </c>
      <c r="Y1452" s="40">
        <v>-1</v>
      </c>
      <c r="Z1452" s="40">
        <v>2</v>
      </c>
      <c r="AA1452" s="40" t="s">
        <v>4808</v>
      </c>
      <c r="AB1452" s="40" t="s">
        <v>115</v>
      </c>
      <c r="AC1452" s="40" t="s">
        <v>115</v>
      </c>
      <c r="AI1452" s="40" t="s">
        <v>115</v>
      </c>
      <c r="AP1452" s="4" t="s">
        <v>115</v>
      </c>
    </row>
    <row r="1453" spans="1:42" x14ac:dyDescent="0.15">
      <c r="A1453" s="40" t="s">
        <v>1</v>
      </c>
      <c r="B1453" s="23">
        <v>90140510</v>
      </c>
      <c r="C1453" s="23">
        <v>1405</v>
      </c>
      <c r="D1453" s="23">
        <v>14</v>
      </c>
      <c r="F1453" s="23" t="s">
        <v>115</v>
      </c>
      <c r="G1453" s="23" t="s">
        <v>115</v>
      </c>
      <c r="H1453" s="23" t="s">
        <v>3559</v>
      </c>
      <c r="I1453" s="23">
        <v>4</v>
      </c>
      <c r="J1453" s="40">
        <v>0</v>
      </c>
      <c r="K1453" s="40">
        <v>4</v>
      </c>
      <c r="L1453" s="40" t="s">
        <v>115</v>
      </c>
      <c r="O1453" s="40" t="s">
        <v>115</v>
      </c>
      <c r="Q1453" s="40">
        <v>187</v>
      </c>
      <c r="R1453" s="40">
        <v>253</v>
      </c>
      <c r="X1453" s="40">
        <v>90140514</v>
      </c>
      <c r="Y1453" s="40">
        <v>-1</v>
      </c>
      <c r="Z1453" s="40">
        <v>2</v>
      </c>
      <c r="AA1453" s="40" t="s">
        <v>4809</v>
      </c>
      <c r="AB1453" s="40" t="s">
        <v>115</v>
      </c>
      <c r="AC1453" s="40" t="s">
        <v>115</v>
      </c>
      <c r="AI1453" s="40" t="s">
        <v>115</v>
      </c>
      <c r="AP1453" s="4" t="s">
        <v>115</v>
      </c>
    </row>
    <row r="1454" spans="1:42" x14ac:dyDescent="0.15">
      <c r="A1454" s="40" t="s">
        <v>1</v>
      </c>
      <c r="B1454" s="23">
        <v>90140511</v>
      </c>
      <c r="C1454" s="23">
        <v>1405</v>
      </c>
      <c r="D1454" s="23">
        <v>14</v>
      </c>
      <c r="F1454" s="23" t="s">
        <v>116</v>
      </c>
      <c r="G1454" s="23">
        <v>315</v>
      </c>
      <c r="H1454" s="23" t="s">
        <v>3560</v>
      </c>
      <c r="I1454" s="23">
        <v>0</v>
      </c>
      <c r="J1454" s="40">
        <v>0</v>
      </c>
      <c r="K1454" s="40">
        <v>0</v>
      </c>
      <c r="L1454" s="40" t="s">
        <v>115</v>
      </c>
      <c r="O1454" s="40" t="s">
        <v>115</v>
      </c>
      <c r="Q1454" s="40">
        <v>187</v>
      </c>
      <c r="R1454" s="40">
        <v>253</v>
      </c>
      <c r="X1454" s="40">
        <v>90140512</v>
      </c>
      <c r="Y1454" s="40" t="s">
        <v>115</v>
      </c>
      <c r="Z1454" s="40" t="s">
        <v>115</v>
      </c>
      <c r="AA1454" s="40" t="s">
        <v>115</v>
      </c>
      <c r="AB1454" s="40" t="s">
        <v>115</v>
      </c>
      <c r="AC1454" s="40" t="s">
        <v>115</v>
      </c>
      <c r="AI1454" s="40" t="s">
        <v>115</v>
      </c>
      <c r="AP1454" s="4" t="s">
        <v>115</v>
      </c>
    </row>
    <row r="1455" spans="1:42" x14ac:dyDescent="0.15">
      <c r="A1455" s="40" t="s">
        <v>1</v>
      </c>
      <c r="B1455" s="23">
        <v>90140512</v>
      </c>
      <c r="C1455" s="23">
        <v>1405</v>
      </c>
      <c r="D1455" s="23">
        <v>14</v>
      </c>
      <c r="F1455" s="23" t="s">
        <v>3550</v>
      </c>
      <c r="G1455" s="23" t="s">
        <v>115</v>
      </c>
      <c r="H1455" s="23" t="s">
        <v>3561</v>
      </c>
      <c r="I1455" s="23">
        <v>3</v>
      </c>
      <c r="J1455" s="40">
        <v>0</v>
      </c>
      <c r="K1455" s="40">
        <v>0</v>
      </c>
      <c r="L1455" s="40" t="s">
        <v>115</v>
      </c>
      <c r="O1455" s="40" t="s">
        <v>115</v>
      </c>
      <c r="Q1455" s="40">
        <v>187</v>
      </c>
      <c r="R1455" s="40">
        <v>253</v>
      </c>
      <c r="X1455" s="40">
        <v>90140513</v>
      </c>
      <c r="Y1455" s="40" t="s">
        <v>115</v>
      </c>
      <c r="Z1455" s="40" t="s">
        <v>115</v>
      </c>
      <c r="AA1455" s="40" t="s">
        <v>115</v>
      </c>
      <c r="AB1455" s="40" t="s">
        <v>115</v>
      </c>
      <c r="AC1455" s="40" t="s">
        <v>115</v>
      </c>
      <c r="AI1455" s="40" t="s">
        <v>115</v>
      </c>
      <c r="AP1455" s="4" t="s">
        <v>115</v>
      </c>
    </row>
    <row r="1456" spans="1:42" x14ac:dyDescent="0.15">
      <c r="A1456" s="40" t="s">
        <v>1</v>
      </c>
      <c r="B1456" s="23">
        <v>90140513</v>
      </c>
      <c r="C1456" s="23">
        <v>1405</v>
      </c>
      <c r="D1456" s="23">
        <v>14</v>
      </c>
      <c r="F1456" s="23" t="s">
        <v>116</v>
      </c>
      <c r="G1456" s="23">
        <v>315</v>
      </c>
      <c r="H1456" s="23" t="s">
        <v>3562</v>
      </c>
      <c r="I1456" s="23">
        <v>0</v>
      </c>
      <c r="J1456" s="40">
        <v>0</v>
      </c>
      <c r="K1456" s="40">
        <v>0</v>
      </c>
      <c r="L1456" s="40" t="s">
        <v>115</v>
      </c>
      <c r="O1456" s="40" t="s">
        <v>115</v>
      </c>
      <c r="Q1456" s="40">
        <v>187</v>
      </c>
      <c r="R1456" s="40">
        <v>253</v>
      </c>
      <c r="X1456" s="40">
        <v>90140517</v>
      </c>
      <c r="Y1456" s="40" t="s">
        <v>115</v>
      </c>
      <c r="Z1456" s="40" t="s">
        <v>115</v>
      </c>
      <c r="AA1456" s="40" t="s">
        <v>115</v>
      </c>
      <c r="AB1456" s="40" t="s">
        <v>115</v>
      </c>
      <c r="AC1456" s="40" t="s">
        <v>115</v>
      </c>
      <c r="AI1456" s="40" t="s">
        <v>115</v>
      </c>
      <c r="AP1456" s="4" t="s">
        <v>115</v>
      </c>
    </row>
    <row r="1457" spans="1:42" x14ac:dyDescent="0.15">
      <c r="A1457" s="40" t="s">
        <v>1</v>
      </c>
      <c r="B1457" s="23">
        <v>90140514</v>
      </c>
      <c r="C1457" s="23">
        <v>1405</v>
      </c>
      <c r="D1457" s="23">
        <v>14</v>
      </c>
      <c r="F1457" s="23" t="s">
        <v>116</v>
      </c>
      <c r="G1457" s="23">
        <v>315</v>
      </c>
      <c r="H1457" s="23" t="s">
        <v>3563</v>
      </c>
      <c r="I1457" s="23">
        <v>0</v>
      </c>
      <c r="J1457" s="40">
        <v>0</v>
      </c>
      <c r="K1457" s="40">
        <v>0</v>
      </c>
      <c r="L1457" s="40" t="s">
        <v>115</v>
      </c>
      <c r="O1457" s="40" t="s">
        <v>115</v>
      </c>
      <c r="Q1457" s="40">
        <v>187</v>
      </c>
      <c r="R1457" s="40">
        <v>253</v>
      </c>
      <c r="X1457" s="40">
        <v>90140515</v>
      </c>
      <c r="Y1457" s="40" t="s">
        <v>115</v>
      </c>
      <c r="Z1457" s="40" t="s">
        <v>115</v>
      </c>
      <c r="AA1457" s="40" t="s">
        <v>115</v>
      </c>
      <c r="AB1457" s="40" t="s">
        <v>115</v>
      </c>
      <c r="AC1457" s="40" t="s">
        <v>115</v>
      </c>
      <c r="AI1457" s="40" t="s">
        <v>115</v>
      </c>
      <c r="AP1457" s="4" t="s">
        <v>115</v>
      </c>
    </row>
    <row r="1458" spans="1:42" x14ac:dyDescent="0.15">
      <c r="A1458" s="40" t="s">
        <v>1</v>
      </c>
      <c r="B1458" s="23">
        <v>90140515</v>
      </c>
      <c r="C1458" s="23">
        <v>1405</v>
      </c>
      <c r="D1458" s="23">
        <v>14</v>
      </c>
      <c r="F1458" s="23" t="s">
        <v>3550</v>
      </c>
      <c r="G1458" s="23" t="s">
        <v>115</v>
      </c>
      <c r="H1458" s="23" t="s">
        <v>3564</v>
      </c>
      <c r="I1458" s="23">
        <v>3</v>
      </c>
      <c r="J1458" s="40">
        <v>0</v>
      </c>
      <c r="K1458" s="40">
        <v>0</v>
      </c>
      <c r="L1458" s="40" t="s">
        <v>115</v>
      </c>
      <c r="O1458" s="40" t="s">
        <v>115</v>
      </c>
      <c r="Q1458" s="40">
        <v>187</v>
      </c>
      <c r="R1458" s="40">
        <v>253</v>
      </c>
      <c r="X1458" s="40">
        <v>90140516</v>
      </c>
      <c r="Y1458" s="40" t="s">
        <v>115</v>
      </c>
      <c r="Z1458" s="40" t="s">
        <v>115</v>
      </c>
      <c r="AA1458" s="40" t="s">
        <v>115</v>
      </c>
      <c r="AB1458" s="40" t="s">
        <v>115</v>
      </c>
      <c r="AC1458" s="40" t="s">
        <v>115</v>
      </c>
      <c r="AI1458" s="40" t="s">
        <v>115</v>
      </c>
      <c r="AP1458" s="4" t="s">
        <v>115</v>
      </c>
    </row>
    <row r="1459" spans="1:42" x14ac:dyDescent="0.15">
      <c r="A1459" s="40" t="s">
        <v>1</v>
      </c>
      <c r="B1459" s="23">
        <v>90140516</v>
      </c>
      <c r="C1459" s="23">
        <v>1405</v>
      </c>
      <c r="D1459" s="23">
        <v>14</v>
      </c>
      <c r="F1459" s="23" t="s">
        <v>116</v>
      </c>
      <c r="G1459" s="23">
        <v>315</v>
      </c>
      <c r="H1459" s="23" t="s">
        <v>3565</v>
      </c>
      <c r="I1459" s="23">
        <v>0</v>
      </c>
      <c r="J1459" s="40">
        <v>0</v>
      </c>
      <c r="K1459" s="40">
        <v>0</v>
      </c>
      <c r="L1459" s="40" t="s">
        <v>115</v>
      </c>
      <c r="O1459" s="40" t="s">
        <v>115</v>
      </c>
      <c r="Q1459" s="40">
        <v>187</v>
      </c>
      <c r="R1459" s="40">
        <v>253</v>
      </c>
      <c r="X1459" s="40">
        <v>90140517</v>
      </c>
      <c r="Y1459" s="40" t="s">
        <v>115</v>
      </c>
      <c r="Z1459" s="40" t="s">
        <v>115</v>
      </c>
      <c r="AA1459" s="40" t="s">
        <v>115</v>
      </c>
      <c r="AB1459" s="40" t="s">
        <v>115</v>
      </c>
      <c r="AC1459" s="40" t="s">
        <v>115</v>
      </c>
      <c r="AI1459" s="40" t="s">
        <v>115</v>
      </c>
      <c r="AP1459" s="4" t="s">
        <v>115</v>
      </c>
    </row>
    <row r="1460" spans="1:42" x14ac:dyDescent="0.15">
      <c r="A1460" s="40" t="s">
        <v>1</v>
      </c>
      <c r="B1460" s="23">
        <v>90140517</v>
      </c>
      <c r="C1460" s="23">
        <v>1405</v>
      </c>
      <c r="D1460" s="23">
        <v>14</v>
      </c>
      <c r="F1460" s="23" t="s">
        <v>116</v>
      </c>
      <c r="G1460" s="23">
        <v>315</v>
      </c>
      <c r="H1460" s="23" t="s">
        <v>3566</v>
      </c>
      <c r="I1460" s="23">
        <v>0</v>
      </c>
      <c r="J1460" s="40">
        <v>0</v>
      </c>
      <c r="K1460" s="40">
        <v>0</v>
      </c>
      <c r="L1460" s="40" t="s">
        <v>115</v>
      </c>
      <c r="O1460" s="40" t="s">
        <v>115</v>
      </c>
      <c r="Q1460" s="40">
        <v>187</v>
      </c>
      <c r="R1460" s="40">
        <v>253</v>
      </c>
      <c r="X1460" s="40">
        <v>90140518</v>
      </c>
      <c r="Y1460" s="40" t="s">
        <v>115</v>
      </c>
      <c r="Z1460" s="40" t="s">
        <v>115</v>
      </c>
      <c r="AA1460" s="40" t="s">
        <v>115</v>
      </c>
      <c r="AB1460" s="40" t="s">
        <v>115</v>
      </c>
      <c r="AC1460" s="40" t="s">
        <v>115</v>
      </c>
      <c r="AI1460" s="40" t="s">
        <v>115</v>
      </c>
      <c r="AP1460" s="4" t="s">
        <v>115</v>
      </c>
    </row>
    <row r="1461" spans="1:42" x14ac:dyDescent="0.15">
      <c r="A1461" s="40" t="s">
        <v>1</v>
      </c>
      <c r="B1461" s="23">
        <v>90140518</v>
      </c>
      <c r="C1461" s="23">
        <v>1405</v>
      </c>
      <c r="D1461" s="23">
        <v>14</v>
      </c>
      <c r="F1461" s="23" t="s">
        <v>3550</v>
      </c>
      <c r="G1461" s="23" t="s">
        <v>115</v>
      </c>
      <c r="H1461" s="23" t="s">
        <v>3567</v>
      </c>
      <c r="I1461" s="23">
        <v>3</v>
      </c>
      <c r="J1461" s="40">
        <v>0</v>
      </c>
      <c r="K1461" s="40">
        <v>0</v>
      </c>
      <c r="L1461" s="40" t="s">
        <v>115</v>
      </c>
      <c r="O1461" s="40" t="s">
        <v>115</v>
      </c>
      <c r="Q1461" s="40">
        <v>187</v>
      </c>
      <c r="R1461" s="40">
        <v>253</v>
      </c>
      <c r="X1461" s="40">
        <v>90140519</v>
      </c>
      <c r="Y1461" s="40" t="s">
        <v>115</v>
      </c>
      <c r="Z1461" s="40" t="s">
        <v>115</v>
      </c>
      <c r="AA1461" s="40" t="s">
        <v>115</v>
      </c>
      <c r="AB1461" s="40" t="s">
        <v>115</v>
      </c>
      <c r="AC1461" s="40" t="s">
        <v>115</v>
      </c>
      <c r="AI1461" s="40" t="s">
        <v>115</v>
      </c>
      <c r="AP1461" s="4" t="s">
        <v>115</v>
      </c>
    </row>
    <row r="1462" spans="1:42" x14ac:dyDescent="0.15">
      <c r="A1462" s="40" t="s">
        <v>1</v>
      </c>
      <c r="B1462" s="23">
        <v>90140519</v>
      </c>
      <c r="C1462" s="23">
        <v>1405</v>
      </c>
      <c r="D1462" s="23">
        <v>14</v>
      </c>
      <c r="F1462" s="23" t="s">
        <v>3550</v>
      </c>
      <c r="G1462" s="23" t="s">
        <v>115</v>
      </c>
      <c r="H1462" s="23" t="s">
        <v>3568</v>
      </c>
      <c r="I1462" s="23">
        <v>3</v>
      </c>
      <c r="J1462" s="40">
        <v>0</v>
      </c>
      <c r="K1462" s="40">
        <v>0</v>
      </c>
      <c r="L1462" s="40" t="s">
        <v>115</v>
      </c>
      <c r="O1462" s="40" t="s">
        <v>115</v>
      </c>
      <c r="Q1462" s="40">
        <v>187</v>
      </c>
      <c r="R1462" s="40">
        <v>253</v>
      </c>
      <c r="X1462" s="40">
        <v>90140520</v>
      </c>
      <c r="Y1462" s="40" t="s">
        <v>115</v>
      </c>
      <c r="Z1462" s="40" t="s">
        <v>115</v>
      </c>
      <c r="AA1462" s="40" t="s">
        <v>115</v>
      </c>
      <c r="AB1462" s="40" t="s">
        <v>115</v>
      </c>
      <c r="AC1462" s="40" t="s">
        <v>115</v>
      </c>
      <c r="AI1462" s="40" t="s">
        <v>115</v>
      </c>
      <c r="AP1462" s="4" t="s">
        <v>115</v>
      </c>
    </row>
    <row r="1463" spans="1:42" s="89" customFormat="1" x14ac:dyDescent="0.15">
      <c r="A1463" s="100" t="s">
        <v>1</v>
      </c>
      <c r="B1463" s="101">
        <v>90140520</v>
      </c>
      <c r="C1463" s="101">
        <v>1405</v>
      </c>
      <c r="D1463" s="101">
        <v>14</v>
      </c>
      <c r="E1463" s="101"/>
      <c r="F1463" s="101" t="s">
        <v>3550</v>
      </c>
      <c r="G1463" s="101" t="s">
        <v>115</v>
      </c>
      <c r="H1463" s="101" t="s">
        <v>3569</v>
      </c>
      <c r="I1463" s="101">
        <v>3</v>
      </c>
      <c r="J1463" s="100">
        <v>0</v>
      </c>
      <c r="K1463" s="100">
        <v>0</v>
      </c>
      <c r="L1463" s="100" t="s">
        <v>115</v>
      </c>
      <c r="M1463" s="102"/>
      <c r="N1463" s="100"/>
      <c r="O1463" s="100" t="s">
        <v>115</v>
      </c>
      <c r="P1463" s="101"/>
      <c r="Q1463" s="100">
        <v>187</v>
      </c>
      <c r="R1463" s="100">
        <v>253</v>
      </c>
      <c r="S1463" s="100"/>
      <c r="T1463" s="100"/>
      <c r="U1463" s="100"/>
      <c r="V1463" s="100"/>
      <c r="W1463" s="100"/>
      <c r="X1463" s="100">
        <v>90140521</v>
      </c>
      <c r="Y1463" s="100" t="s">
        <v>115</v>
      </c>
      <c r="Z1463" s="100" t="s">
        <v>115</v>
      </c>
      <c r="AA1463" s="100" t="s">
        <v>115</v>
      </c>
      <c r="AB1463" s="100" t="s">
        <v>115</v>
      </c>
      <c r="AC1463" s="100" t="s">
        <v>115</v>
      </c>
      <c r="AD1463" s="100"/>
      <c r="AE1463" s="100"/>
      <c r="AF1463" s="100"/>
      <c r="AG1463" s="100"/>
      <c r="AH1463" s="100"/>
      <c r="AI1463" s="100" t="s">
        <v>115</v>
      </c>
      <c r="AJ1463" s="100"/>
      <c r="AK1463" s="100"/>
      <c r="AL1463" s="100"/>
      <c r="AM1463" s="100"/>
      <c r="AN1463" s="100"/>
      <c r="AO1463" s="100"/>
      <c r="AP1463" s="89" t="s">
        <v>115</v>
      </c>
    </row>
    <row r="1464" spans="1:42" s="89" customFormat="1" x14ac:dyDescent="0.15">
      <c r="A1464" s="100" t="s">
        <v>1</v>
      </c>
      <c r="B1464" s="101">
        <v>90140521</v>
      </c>
      <c r="C1464" s="101">
        <v>1405</v>
      </c>
      <c r="D1464" s="101">
        <v>14</v>
      </c>
      <c r="E1464" s="101"/>
      <c r="F1464" s="101" t="s">
        <v>3550</v>
      </c>
      <c r="G1464" s="101" t="s">
        <v>115</v>
      </c>
      <c r="H1464" s="101" t="s">
        <v>3570</v>
      </c>
      <c r="I1464" s="101">
        <v>3</v>
      </c>
      <c r="J1464" s="100">
        <v>0</v>
      </c>
      <c r="K1464" s="100">
        <v>0</v>
      </c>
      <c r="L1464" s="100" t="s">
        <v>115</v>
      </c>
      <c r="M1464" s="102"/>
      <c r="N1464" s="100"/>
      <c r="O1464" s="100" t="s">
        <v>115</v>
      </c>
      <c r="P1464" s="101"/>
      <c r="Q1464" s="100">
        <v>187</v>
      </c>
      <c r="R1464" s="100">
        <v>253</v>
      </c>
      <c r="S1464" s="100"/>
      <c r="T1464" s="100"/>
      <c r="U1464" s="100"/>
      <c r="V1464" s="100"/>
      <c r="W1464" s="100"/>
      <c r="X1464" s="100">
        <v>90140522</v>
      </c>
      <c r="Y1464" s="100" t="s">
        <v>115</v>
      </c>
      <c r="Z1464" s="100" t="s">
        <v>115</v>
      </c>
      <c r="AA1464" s="100" t="s">
        <v>115</v>
      </c>
      <c r="AB1464" s="100" t="s">
        <v>115</v>
      </c>
      <c r="AC1464" s="100" t="s">
        <v>115</v>
      </c>
      <c r="AD1464" s="100"/>
      <c r="AE1464" s="100"/>
      <c r="AF1464" s="100"/>
      <c r="AG1464" s="100"/>
      <c r="AH1464" s="100"/>
      <c r="AI1464" s="100" t="s">
        <v>115</v>
      </c>
      <c r="AJ1464" s="100"/>
      <c r="AK1464" s="100"/>
      <c r="AL1464" s="100"/>
      <c r="AM1464" s="100"/>
      <c r="AN1464" s="100"/>
      <c r="AO1464" s="100"/>
      <c r="AP1464" s="89" t="s">
        <v>115</v>
      </c>
    </row>
    <row r="1465" spans="1:42" s="89" customFormat="1" x14ac:dyDescent="0.15">
      <c r="A1465" s="100" t="s">
        <v>1</v>
      </c>
      <c r="B1465" s="101">
        <v>90140522</v>
      </c>
      <c r="C1465" s="101">
        <v>1405</v>
      </c>
      <c r="D1465" s="101">
        <v>14</v>
      </c>
      <c r="E1465" s="101"/>
      <c r="F1465" s="101" t="s">
        <v>116</v>
      </c>
      <c r="G1465" s="101">
        <v>314</v>
      </c>
      <c r="H1465" s="101" t="s">
        <v>3571</v>
      </c>
      <c r="I1465" s="101">
        <v>2</v>
      </c>
      <c r="J1465" s="100">
        <v>0</v>
      </c>
      <c r="K1465" s="100">
        <v>5</v>
      </c>
      <c r="L1465" s="100" t="s">
        <v>115</v>
      </c>
      <c r="M1465" s="102"/>
      <c r="N1465" s="100"/>
      <c r="O1465" s="100">
        <v>1</v>
      </c>
      <c r="P1465" s="101"/>
      <c r="Q1465" s="100">
        <v>187</v>
      </c>
      <c r="R1465" s="100">
        <v>253</v>
      </c>
      <c r="S1465" s="100"/>
      <c r="T1465" s="100"/>
      <c r="U1465" s="100"/>
      <c r="V1465" s="100"/>
      <c r="W1465" s="100"/>
      <c r="X1465" s="100" t="s">
        <v>115</v>
      </c>
      <c r="Y1465" s="100" t="s">
        <v>115</v>
      </c>
      <c r="Z1465" s="100">
        <v>4</v>
      </c>
      <c r="AA1465" s="100" t="s">
        <v>115</v>
      </c>
      <c r="AB1465" s="100" t="s">
        <v>115</v>
      </c>
      <c r="AC1465" s="100" t="s">
        <v>115</v>
      </c>
      <c r="AD1465" s="100"/>
      <c r="AE1465" s="100"/>
      <c r="AF1465" s="100"/>
      <c r="AG1465" s="100"/>
      <c r="AH1465" s="100"/>
      <c r="AI1465" s="100" t="s">
        <v>115</v>
      </c>
      <c r="AJ1465" s="100"/>
      <c r="AK1465" s="100"/>
      <c r="AL1465" s="100"/>
      <c r="AM1465" s="100"/>
      <c r="AN1465" s="100"/>
      <c r="AO1465" s="100"/>
      <c r="AP1465" s="89" t="s">
        <v>3572</v>
      </c>
    </row>
    <row r="1466" spans="1:42" s="89" customFormat="1" x14ac:dyDescent="0.15">
      <c r="A1466" s="100" t="s">
        <v>1</v>
      </c>
      <c r="B1466" s="101" t="s">
        <v>3433</v>
      </c>
      <c r="C1466" s="101">
        <v>1406</v>
      </c>
      <c r="D1466" s="101">
        <v>14</v>
      </c>
      <c r="E1466" s="101"/>
      <c r="F1466" s="101" t="s">
        <v>115</v>
      </c>
      <c r="G1466" s="101" t="s">
        <v>115</v>
      </c>
      <c r="H1466" s="101" t="s">
        <v>3573</v>
      </c>
      <c r="I1466" s="101">
        <v>4</v>
      </c>
      <c r="J1466" s="100">
        <v>1</v>
      </c>
      <c r="K1466" s="100">
        <v>1</v>
      </c>
      <c r="L1466" s="100" t="s">
        <v>115</v>
      </c>
      <c r="M1466" s="102"/>
      <c r="N1466" s="100"/>
      <c r="O1466" s="100" t="s">
        <v>115</v>
      </c>
      <c r="P1466" s="101"/>
      <c r="Q1466" s="100">
        <v>104</v>
      </c>
      <c r="R1466" s="100" t="s">
        <v>115</v>
      </c>
      <c r="S1466" s="100"/>
      <c r="T1466" s="100"/>
      <c r="U1466" s="100"/>
      <c r="V1466" s="100"/>
      <c r="W1466" s="100"/>
      <c r="X1466" s="100">
        <v>90140602</v>
      </c>
      <c r="Y1466" s="100" t="s">
        <v>115</v>
      </c>
      <c r="Z1466" s="100" t="s">
        <v>115</v>
      </c>
      <c r="AA1466" s="100" t="s">
        <v>115</v>
      </c>
      <c r="AB1466" s="100" t="s">
        <v>115</v>
      </c>
      <c r="AC1466" s="100" t="s">
        <v>115</v>
      </c>
      <c r="AD1466" s="100"/>
      <c r="AE1466" s="100"/>
      <c r="AF1466" s="100"/>
      <c r="AG1466" s="100"/>
      <c r="AH1466" s="100"/>
      <c r="AI1466" s="100" t="s">
        <v>115</v>
      </c>
      <c r="AJ1466" s="100"/>
      <c r="AK1466" s="100"/>
      <c r="AL1466" s="100"/>
      <c r="AM1466" s="100"/>
      <c r="AN1466" s="100"/>
      <c r="AO1466" s="100"/>
      <c r="AP1466" s="89" t="s">
        <v>115</v>
      </c>
    </row>
    <row r="1467" spans="1:42" s="89" customFormat="1" x14ac:dyDescent="0.15">
      <c r="A1467" s="100" t="s">
        <v>1</v>
      </c>
      <c r="B1467" s="101">
        <v>90140602</v>
      </c>
      <c r="C1467" s="101">
        <v>1406</v>
      </c>
      <c r="D1467" s="101">
        <v>14</v>
      </c>
      <c r="E1467" s="101"/>
      <c r="F1467" s="101" t="s">
        <v>1061</v>
      </c>
      <c r="G1467" s="101" t="s">
        <v>115</v>
      </c>
      <c r="H1467" s="101" t="s">
        <v>3574</v>
      </c>
      <c r="I1467" s="101">
        <v>3</v>
      </c>
      <c r="J1467" s="100">
        <v>0</v>
      </c>
      <c r="K1467" s="100">
        <v>0</v>
      </c>
      <c r="L1467" s="100" t="s">
        <v>115</v>
      </c>
      <c r="M1467" s="102"/>
      <c r="N1467" s="100"/>
      <c r="O1467" s="100" t="s">
        <v>115</v>
      </c>
      <c r="P1467" s="101"/>
      <c r="Q1467" s="100">
        <v>104</v>
      </c>
      <c r="R1467" s="100">
        <v>157</v>
      </c>
      <c r="S1467" s="100"/>
      <c r="T1467" s="100"/>
      <c r="U1467" s="100"/>
      <c r="V1467" s="100"/>
      <c r="W1467" s="100"/>
      <c r="X1467" s="100">
        <v>90140603</v>
      </c>
      <c r="Y1467" s="100" t="s">
        <v>115</v>
      </c>
      <c r="Z1467" s="100" t="s">
        <v>115</v>
      </c>
      <c r="AA1467" s="100" t="s">
        <v>115</v>
      </c>
      <c r="AB1467" s="100" t="s">
        <v>115</v>
      </c>
      <c r="AC1467" s="100" t="s">
        <v>115</v>
      </c>
      <c r="AD1467" s="100"/>
      <c r="AE1467" s="100"/>
      <c r="AF1467" s="100"/>
      <c r="AG1467" s="100"/>
      <c r="AH1467" s="100"/>
      <c r="AI1467" s="100" t="s">
        <v>115</v>
      </c>
      <c r="AJ1467" s="100"/>
      <c r="AK1467" s="100"/>
      <c r="AL1467" s="100"/>
      <c r="AM1467" s="100"/>
      <c r="AN1467" s="100"/>
      <c r="AO1467" s="100"/>
      <c r="AP1467" s="89" t="s">
        <v>115</v>
      </c>
    </row>
    <row r="1468" spans="1:42" s="89" customFormat="1" x14ac:dyDescent="0.15">
      <c r="A1468" s="100" t="s">
        <v>1</v>
      </c>
      <c r="B1468" s="101">
        <v>90140603</v>
      </c>
      <c r="C1468" s="101">
        <v>1406</v>
      </c>
      <c r="D1468" s="101">
        <v>14</v>
      </c>
      <c r="E1468" s="101"/>
      <c r="F1468" s="101" t="s">
        <v>1061</v>
      </c>
      <c r="G1468" s="101" t="s">
        <v>115</v>
      </c>
      <c r="H1468" s="101" t="s">
        <v>3575</v>
      </c>
      <c r="I1468" s="101">
        <v>3</v>
      </c>
      <c r="J1468" s="100">
        <v>0</v>
      </c>
      <c r="K1468" s="100">
        <v>0</v>
      </c>
      <c r="L1468" s="100" t="s">
        <v>115</v>
      </c>
      <c r="M1468" s="102"/>
      <c r="N1468" s="100"/>
      <c r="O1468" s="100" t="s">
        <v>115</v>
      </c>
      <c r="P1468" s="101"/>
      <c r="Q1468" s="100">
        <v>104</v>
      </c>
      <c r="R1468" s="100">
        <v>157</v>
      </c>
      <c r="S1468" s="100"/>
      <c r="T1468" s="100"/>
      <c r="U1468" s="100"/>
      <c r="V1468" s="100"/>
      <c r="W1468" s="100"/>
      <c r="X1468" s="100">
        <v>90140604</v>
      </c>
      <c r="Y1468" s="100" t="s">
        <v>115</v>
      </c>
      <c r="Z1468" s="100" t="s">
        <v>115</v>
      </c>
      <c r="AA1468" s="100" t="s">
        <v>115</v>
      </c>
      <c r="AB1468" s="100" t="s">
        <v>115</v>
      </c>
      <c r="AC1468" s="100" t="s">
        <v>115</v>
      </c>
      <c r="AD1468" s="100"/>
      <c r="AE1468" s="100"/>
      <c r="AF1468" s="100"/>
      <c r="AG1468" s="100"/>
      <c r="AH1468" s="100"/>
      <c r="AI1468" s="100" t="s">
        <v>115</v>
      </c>
      <c r="AJ1468" s="100"/>
      <c r="AK1468" s="100"/>
      <c r="AL1468" s="100"/>
      <c r="AM1468" s="100"/>
      <c r="AN1468" s="100"/>
      <c r="AO1468" s="100"/>
      <c r="AP1468" s="89" t="s">
        <v>115</v>
      </c>
    </row>
    <row r="1469" spans="1:42" s="89" customFormat="1" x14ac:dyDescent="0.15">
      <c r="A1469" s="100" t="s">
        <v>1</v>
      </c>
      <c r="B1469" s="101">
        <v>90140604</v>
      </c>
      <c r="C1469" s="101">
        <v>1406</v>
      </c>
      <c r="D1469" s="101">
        <v>14</v>
      </c>
      <c r="E1469" s="101"/>
      <c r="F1469" s="101" t="s">
        <v>115</v>
      </c>
      <c r="G1469" s="101" t="s">
        <v>115</v>
      </c>
      <c r="H1469" s="101" t="s">
        <v>3576</v>
      </c>
      <c r="I1469" s="101">
        <v>4</v>
      </c>
      <c r="J1469" s="100">
        <v>0</v>
      </c>
      <c r="K1469" s="100">
        <v>0</v>
      </c>
      <c r="L1469" s="100" t="s">
        <v>115</v>
      </c>
      <c r="M1469" s="102"/>
      <c r="N1469" s="100"/>
      <c r="O1469" s="100" t="s">
        <v>115</v>
      </c>
      <c r="P1469" s="101"/>
      <c r="Q1469" s="100">
        <v>104</v>
      </c>
      <c r="R1469" s="100" t="s">
        <v>115</v>
      </c>
      <c r="S1469" s="100"/>
      <c r="T1469" s="100"/>
      <c r="U1469" s="100"/>
      <c r="V1469" s="100"/>
      <c r="W1469" s="100"/>
      <c r="X1469" s="100">
        <v>90140605</v>
      </c>
      <c r="Y1469" s="100" t="s">
        <v>115</v>
      </c>
      <c r="Z1469" s="100" t="s">
        <v>115</v>
      </c>
      <c r="AA1469" s="100" t="s">
        <v>115</v>
      </c>
      <c r="AB1469" s="100" t="s">
        <v>115</v>
      </c>
      <c r="AC1469" s="100" t="s">
        <v>115</v>
      </c>
      <c r="AD1469" s="100"/>
      <c r="AE1469" s="100"/>
      <c r="AF1469" s="100"/>
      <c r="AG1469" s="100"/>
      <c r="AH1469" s="100"/>
      <c r="AI1469" s="100" t="s">
        <v>115</v>
      </c>
      <c r="AJ1469" s="100"/>
      <c r="AK1469" s="100"/>
      <c r="AL1469" s="100"/>
      <c r="AM1469" s="100"/>
      <c r="AN1469" s="100"/>
      <c r="AO1469" s="100"/>
      <c r="AP1469" s="89" t="s">
        <v>115</v>
      </c>
    </row>
    <row r="1470" spans="1:42" s="89" customFormat="1" x14ac:dyDescent="0.15">
      <c r="A1470" s="100" t="s">
        <v>1</v>
      </c>
      <c r="B1470" s="101">
        <v>90140605</v>
      </c>
      <c r="C1470" s="101">
        <v>1406</v>
      </c>
      <c r="D1470" s="101">
        <v>14</v>
      </c>
      <c r="E1470" s="101"/>
      <c r="F1470" s="101" t="s">
        <v>1061</v>
      </c>
      <c r="G1470" s="101" t="s">
        <v>115</v>
      </c>
      <c r="H1470" s="101" t="s">
        <v>3577</v>
      </c>
      <c r="I1470" s="101">
        <v>3</v>
      </c>
      <c r="J1470" s="100">
        <v>0</v>
      </c>
      <c r="K1470" s="100">
        <v>0</v>
      </c>
      <c r="L1470" s="100" t="s">
        <v>115</v>
      </c>
      <c r="M1470" s="102"/>
      <c r="N1470" s="100"/>
      <c r="O1470" s="100" t="s">
        <v>115</v>
      </c>
      <c r="P1470" s="101"/>
      <c r="Q1470" s="100">
        <v>104</v>
      </c>
      <c r="R1470" s="100">
        <v>157</v>
      </c>
      <c r="S1470" s="100"/>
      <c r="T1470" s="100"/>
      <c r="U1470" s="100"/>
      <c r="V1470" s="100"/>
      <c r="W1470" s="100"/>
      <c r="X1470" s="100">
        <v>90140606</v>
      </c>
      <c r="Y1470" s="100" t="s">
        <v>115</v>
      </c>
      <c r="Z1470" s="100" t="s">
        <v>115</v>
      </c>
      <c r="AA1470" s="100" t="s">
        <v>115</v>
      </c>
      <c r="AB1470" s="100" t="s">
        <v>115</v>
      </c>
      <c r="AC1470" s="100" t="s">
        <v>115</v>
      </c>
      <c r="AD1470" s="100"/>
      <c r="AE1470" s="100"/>
      <c r="AF1470" s="100"/>
      <c r="AG1470" s="100"/>
      <c r="AH1470" s="100"/>
      <c r="AI1470" s="100" t="s">
        <v>115</v>
      </c>
      <c r="AJ1470" s="100"/>
      <c r="AK1470" s="100"/>
      <c r="AL1470" s="100"/>
      <c r="AM1470" s="100"/>
      <c r="AN1470" s="100"/>
      <c r="AO1470" s="100"/>
      <c r="AP1470" s="89" t="s">
        <v>115</v>
      </c>
    </row>
    <row r="1471" spans="1:42" s="89" customFormat="1" x14ac:dyDescent="0.15">
      <c r="A1471" s="100" t="s">
        <v>1</v>
      </c>
      <c r="B1471" s="101">
        <v>90140606</v>
      </c>
      <c r="C1471" s="101">
        <v>1406</v>
      </c>
      <c r="D1471" s="101">
        <v>14</v>
      </c>
      <c r="E1471" s="101"/>
      <c r="F1471" s="101" t="s">
        <v>115</v>
      </c>
      <c r="G1471" s="101" t="s">
        <v>115</v>
      </c>
      <c r="H1471" s="101" t="s">
        <v>3578</v>
      </c>
      <c r="I1471" s="101">
        <v>4</v>
      </c>
      <c r="J1471" s="100">
        <v>0</v>
      </c>
      <c r="K1471" s="100">
        <v>0</v>
      </c>
      <c r="L1471" s="100" t="s">
        <v>115</v>
      </c>
      <c r="M1471" s="102"/>
      <c r="N1471" s="100"/>
      <c r="O1471" s="100" t="s">
        <v>115</v>
      </c>
      <c r="P1471" s="101"/>
      <c r="Q1471" s="100">
        <v>104</v>
      </c>
      <c r="R1471" s="100">
        <v>157</v>
      </c>
      <c r="S1471" s="100"/>
      <c r="T1471" s="100"/>
      <c r="U1471" s="100"/>
      <c r="V1471" s="100"/>
      <c r="W1471" s="100"/>
      <c r="X1471" s="100">
        <v>90140607</v>
      </c>
      <c r="Y1471" s="100" t="s">
        <v>115</v>
      </c>
      <c r="Z1471" s="100" t="s">
        <v>115</v>
      </c>
      <c r="AA1471" s="100" t="s">
        <v>115</v>
      </c>
      <c r="AB1471" s="100" t="s">
        <v>115</v>
      </c>
      <c r="AC1471" s="100" t="s">
        <v>115</v>
      </c>
      <c r="AD1471" s="100"/>
      <c r="AE1471" s="100"/>
      <c r="AF1471" s="100"/>
      <c r="AG1471" s="100"/>
      <c r="AH1471" s="100"/>
      <c r="AI1471" s="100" t="s">
        <v>115</v>
      </c>
      <c r="AJ1471" s="100"/>
      <c r="AK1471" s="100"/>
      <c r="AL1471" s="100"/>
      <c r="AM1471" s="100"/>
      <c r="AN1471" s="100"/>
      <c r="AO1471" s="100"/>
      <c r="AP1471" s="89" t="s">
        <v>115</v>
      </c>
    </row>
    <row r="1472" spans="1:42" s="89" customFormat="1" x14ac:dyDescent="0.15">
      <c r="A1472" s="100" t="s">
        <v>1</v>
      </c>
      <c r="B1472" s="101">
        <v>90140607</v>
      </c>
      <c r="C1472" s="101">
        <v>1406</v>
      </c>
      <c r="D1472" s="101">
        <v>14</v>
      </c>
      <c r="E1472" s="101"/>
      <c r="F1472" s="101" t="s">
        <v>116</v>
      </c>
      <c r="G1472" s="101">
        <v>314</v>
      </c>
      <c r="H1472" s="101" t="s">
        <v>3579</v>
      </c>
      <c r="I1472" s="101">
        <v>2</v>
      </c>
      <c r="J1472" s="100">
        <v>0</v>
      </c>
      <c r="K1472" s="100">
        <v>0</v>
      </c>
      <c r="L1472" s="100" t="s">
        <v>115</v>
      </c>
      <c r="M1472" s="102"/>
      <c r="N1472" s="100"/>
      <c r="O1472" s="100" t="s">
        <v>115</v>
      </c>
      <c r="P1472" s="101"/>
      <c r="Q1472" s="100">
        <v>104</v>
      </c>
      <c r="R1472" s="100">
        <v>157</v>
      </c>
      <c r="S1472" s="100"/>
      <c r="T1472" s="100"/>
      <c r="U1472" s="100"/>
      <c r="V1472" s="100"/>
      <c r="W1472" s="100"/>
      <c r="X1472" s="100">
        <v>90140608</v>
      </c>
      <c r="Y1472" s="100" t="s">
        <v>115</v>
      </c>
      <c r="Z1472" s="100" t="s">
        <v>115</v>
      </c>
      <c r="AA1472" s="100" t="s">
        <v>115</v>
      </c>
      <c r="AB1472" s="100" t="s">
        <v>115</v>
      </c>
      <c r="AC1472" s="100" t="s">
        <v>115</v>
      </c>
      <c r="AD1472" s="100"/>
      <c r="AE1472" s="100"/>
      <c r="AF1472" s="100"/>
      <c r="AG1472" s="100"/>
      <c r="AH1472" s="100"/>
      <c r="AI1472" s="100" t="s">
        <v>115</v>
      </c>
      <c r="AJ1472" s="100"/>
      <c r="AK1472" s="100"/>
      <c r="AL1472" s="100"/>
      <c r="AM1472" s="100"/>
      <c r="AN1472" s="100"/>
      <c r="AO1472" s="100"/>
      <c r="AP1472" s="89" t="s">
        <v>115</v>
      </c>
    </row>
    <row r="1473" spans="1:42" s="89" customFormat="1" x14ac:dyDescent="0.15">
      <c r="A1473" s="100" t="s">
        <v>1</v>
      </c>
      <c r="B1473" s="101">
        <v>90140608</v>
      </c>
      <c r="C1473" s="101">
        <v>1406</v>
      </c>
      <c r="D1473" s="101">
        <v>14</v>
      </c>
      <c r="E1473" s="101"/>
      <c r="F1473" s="101" t="s">
        <v>116</v>
      </c>
      <c r="G1473" s="101">
        <v>312</v>
      </c>
      <c r="H1473" s="101" t="s">
        <v>3580</v>
      </c>
      <c r="I1473" s="101">
        <v>2</v>
      </c>
      <c r="J1473" s="100">
        <v>0</v>
      </c>
      <c r="K1473" s="100">
        <v>2</v>
      </c>
      <c r="L1473" s="100" t="s">
        <v>115</v>
      </c>
      <c r="M1473" s="102"/>
      <c r="N1473" s="100"/>
      <c r="O1473" s="100">
        <v>1</v>
      </c>
      <c r="P1473" s="101"/>
      <c r="Q1473" s="100">
        <v>104</v>
      </c>
      <c r="R1473" s="100" t="s">
        <v>115</v>
      </c>
      <c r="S1473" s="100"/>
      <c r="T1473" s="100"/>
      <c r="U1473" s="100"/>
      <c r="V1473" s="100"/>
      <c r="W1473" s="100"/>
      <c r="X1473" s="100" t="s">
        <v>115</v>
      </c>
      <c r="Y1473" s="100" t="s">
        <v>115</v>
      </c>
      <c r="Z1473" s="100">
        <v>1</v>
      </c>
      <c r="AA1473" s="100" t="s">
        <v>115</v>
      </c>
      <c r="AB1473" s="100" t="s">
        <v>115</v>
      </c>
      <c r="AC1473" s="100" t="s">
        <v>115</v>
      </c>
      <c r="AD1473" s="100"/>
      <c r="AE1473" s="100"/>
      <c r="AF1473" s="100"/>
      <c r="AG1473" s="100"/>
      <c r="AH1473" s="100"/>
      <c r="AI1473" s="100" t="s">
        <v>115</v>
      </c>
      <c r="AJ1473" s="100"/>
      <c r="AK1473" s="100"/>
      <c r="AL1473" s="100"/>
      <c r="AM1473" s="100"/>
      <c r="AN1473" s="100"/>
      <c r="AO1473" s="100"/>
      <c r="AP1473" s="89" t="s">
        <v>115</v>
      </c>
    </row>
    <row r="1474" spans="1:42" s="89" customFormat="1" x14ac:dyDescent="0.15">
      <c r="A1474" s="100" t="s">
        <v>1</v>
      </c>
      <c r="B1474" s="101" t="s">
        <v>3434</v>
      </c>
      <c r="C1474" s="101">
        <v>1501</v>
      </c>
      <c r="D1474" s="101">
        <v>15</v>
      </c>
      <c r="E1474" s="101"/>
      <c r="F1474" s="101" t="s">
        <v>115</v>
      </c>
      <c r="G1474" s="101" t="s">
        <v>115</v>
      </c>
      <c r="H1474" s="101" t="s">
        <v>3581</v>
      </c>
      <c r="I1474" s="101">
        <v>4</v>
      </c>
      <c r="J1474" s="100">
        <v>1</v>
      </c>
      <c r="K1474" s="100">
        <v>1</v>
      </c>
      <c r="L1474" s="100" t="s">
        <v>115</v>
      </c>
      <c r="M1474" s="102"/>
      <c r="N1474" s="100"/>
      <c r="O1474" s="100" t="s">
        <v>115</v>
      </c>
      <c r="P1474" s="101"/>
      <c r="Q1474" s="100">
        <v>134</v>
      </c>
      <c r="R1474" s="100">
        <v>283</v>
      </c>
      <c r="S1474" s="100"/>
      <c r="T1474" s="100"/>
      <c r="U1474" s="100"/>
      <c r="V1474" s="100"/>
      <c r="W1474" s="100"/>
      <c r="X1474" s="100">
        <v>90150102</v>
      </c>
      <c r="Y1474" s="100" t="s">
        <v>115</v>
      </c>
      <c r="Z1474" s="100" t="s">
        <v>115</v>
      </c>
      <c r="AA1474" s="100" t="s">
        <v>115</v>
      </c>
      <c r="AB1474" s="100" t="s">
        <v>115</v>
      </c>
      <c r="AC1474" s="100" t="s">
        <v>115</v>
      </c>
      <c r="AD1474" s="100"/>
      <c r="AE1474" s="100"/>
      <c r="AF1474" s="100"/>
      <c r="AG1474" s="100"/>
      <c r="AH1474" s="100"/>
      <c r="AI1474" s="100" t="s">
        <v>115</v>
      </c>
      <c r="AJ1474" s="100"/>
      <c r="AK1474" s="100"/>
      <c r="AL1474" s="100"/>
      <c r="AM1474" s="100"/>
      <c r="AN1474" s="100"/>
      <c r="AO1474" s="100"/>
      <c r="AP1474" s="89" t="s">
        <v>115</v>
      </c>
    </row>
    <row r="1475" spans="1:42" s="89" customFormat="1" x14ac:dyDescent="0.15">
      <c r="A1475" s="100" t="s">
        <v>1</v>
      </c>
      <c r="B1475" s="101">
        <v>90150102</v>
      </c>
      <c r="C1475" s="101">
        <v>1501</v>
      </c>
      <c r="D1475" s="101">
        <v>15</v>
      </c>
      <c r="E1475" s="101"/>
      <c r="F1475" s="101" t="s">
        <v>2995</v>
      </c>
      <c r="G1475" s="101" t="s">
        <v>115</v>
      </c>
      <c r="H1475" s="101" t="s">
        <v>3582</v>
      </c>
      <c r="I1475" s="101">
        <v>3</v>
      </c>
      <c r="J1475" s="100">
        <v>0</v>
      </c>
      <c r="K1475" s="100">
        <v>0</v>
      </c>
      <c r="L1475" s="100" t="s">
        <v>115</v>
      </c>
      <c r="M1475" s="102"/>
      <c r="N1475" s="100"/>
      <c r="O1475" s="100" t="s">
        <v>115</v>
      </c>
      <c r="P1475" s="101"/>
      <c r="Q1475" s="100">
        <v>134</v>
      </c>
      <c r="R1475" s="100">
        <v>283</v>
      </c>
      <c r="S1475" s="100"/>
      <c r="T1475" s="100"/>
      <c r="U1475" s="100"/>
      <c r="V1475" s="100"/>
      <c r="W1475" s="100"/>
      <c r="X1475" s="100">
        <v>90150103</v>
      </c>
      <c r="Y1475" s="100" t="s">
        <v>115</v>
      </c>
      <c r="Z1475" s="100" t="s">
        <v>115</v>
      </c>
      <c r="AA1475" s="100" t="s">
        <v>115</v>
      </c>
      <c r="AB1475" s="100" t="s">
        <v>115</v>
      </c>
      <c r="AC1475" s="100" t="s">
        <v>115</v>
      </c>
      <c r="AD1475" s="100"/>
      <c r="AE1475" s="100"/>
      <c r="AF1475" s="100"/>
      <c r="AG1475" s="100"/>
      <c r="AH1475" s="100"/>
      <c r="AI1475" s="100" t="s">
        <v>115</v>
      </c>
      <c r="AJ1475" s="100"/>
      <c r="AK1475" s="100"/>
      <c r="AL1475" s="100"/>
      <c r="AM1475" s="100"/>
      <c r="AN1475" s="100"/>
      <c r="AO1475" s="100"/>
      <c r="AP1475" s="89" t="s">
        <v>115</v>
      </c>
    </row>
    <row r="1476" spans="1:42" s="89" customFormat="1" x14ac:dyDescent="0.15">
      <c r="A1476" s="100" t="s">
        <v>1</v>
      </c>
      <c r="B1476" s="101">
        <v>90150103</v>
      </c>
      <c r="C1476" s="101">
        <v>1501</v>
      </c>
      <c r="D1476" s="101">
        <v>15</v>
      </c>
      <c r="E1476" s="101"/>
      <c r="F1476" s="101" t="s">
        <v>116</v>
      </c>
      <c r="G1476" s="101">
        <v>312</v>
      </c>
      <c r="H1476" s="101" t="s">
        <v>3583</v>
      </c>
      <c r="I1476" s="101">
        <v>0</v>
      </c>
      <c r="J1476" s="100">
        <v>0</v>
      </c>
      <c r="K1476" s="100">
        <v>0</v>
      </c>
      <c r="L1476" s="100" t="s">
        <v>115</v>
      </c>
      <c r="M1476" s="102"/>
      <c r="N1476" s="100"/>
      <c r="O1476" s="100" t="s">
        <v>115</v>
      </c>
      <c r="P1476" s="101"/>
      <c r="Q1476" s="100">
        <v>134</v>
      </c>
      <c r="R1476" s="100">
        <v>283</v>
      </c>
      <c r="S1476" s="100"/>
      <c r="T1476" s="100"/>
      <c r="U1476" s="100"/>
      <c r="V1476" s="100"/>
      <c r="W1476" s="100"/>
      <c r="X1476" s="100">
        <v>90150104</v>
      </c>
      <c r="Y1476" s="100" t="s">
        <v>115</v>
      </c>
      <c r="Z1476" s="100" t="s">
        <v>115</v>
      </c>
      <c r="AA1476" s="100" t="s">
        <v>115</v>
      </c>
      <c r="AB1476" s="100" t="s">
        <v>115</v>
      </c>
      <c r="AC1476" s="100" t="s">
        <v>115</v>
      </c>
      <c r="AD1476" s="100"/>
      <c r="AE1476" s="100"/>
      <c r="AF1476" s="100"/>
      <c r="AG1476" s="100"/>
      <c r="AH1476" s="100"/>
      <c r="AI1476" s="100" t="s">
        <v>115</v>
      </c>
      <c r="AJ1476" s="100"/>
      <c r="AK1476" s="100"/>
      <c r="AL1476" s="100"/>
      <c r="AM1476" s="100"/>
      <c r="AN1476" s="100"/>
      <c r="AO1476" s="100"/>
      <c r="AP1476" s="89" t="s">
        <v>115</v>
      </c>
    </row>
    <row r="1477" spans="1:42" s="89" customFormat="1" x14ac:dyDescent="0.15">
      <c r="A1477" s="100" t="s">
        <v>1</v>
      </c>
      <c r="B1477" s="101">
        <v>90150104</v>
      </c>
      <c r="C1477" s="101">
        <v>1501</v>
      </c>
      <c r="D1477" s="101">
        <v>15</v>
      </c>
      <c r="E1477" s="101"/>
      <c r="F1477" s="101" t="s">
        <v>115</v>
      </c>
      <c r="G1477" s="101" t="s">
        <v>115</v>
      </c>
      <c r="H1477" s="101" t="s">
        <v>3584</v>
      </c>
      <c r="I1477" s="101">
        <v>4</v>
      </c>
      <c r="J1477" s="100">
        <v>0</v>
      </c>
      <c r="K1477" s="100">
        <v>0</v>
      </c>
      <c r="L1477" s="100" t="s">
        <v>115</v>
      </c>
      <c r="M1477" s="102"/>
      <c r="N1477" s="100"/>
      <c r="O1477" s="100" t="s">
        <v>115</v>
      </c>
      <c r="P1477" s="101"/>
      <c r="Q1477" s="100">
        <v>134</v>
      </c>
      <c r="R1477" s="100">
        <v>283</v>
      </c>
      <c r="S1477" s="100"/>
      <c r="T1477" s="100"/>
      <c r="U1477" s="100"/>
      <c r="V1477" s="100"/>
      <c r="W1477" s="100"/>
      <c r="X1477" s="100">
        <v>90150105</v>
      </c>
      <c r="Y1477" s="100" t="s">
        <v>115</v>
      </c>
      <c r="Z1477" s="100" t="s">
        <v>115</v>
      </c>
      <c r="AA1477" s="100" t="s">
        <v>115</v>
      </c>
      <c r="AB1477" s="100" t="s">
        <v>115</v>
      </c>
      <c r="AC1477" s="100" t="s">
        <v>115</v>
      </c>
      <c r="AD1477" s="100"/>
      <c r="AE1477" s="100"/>
      <c r="AF1477" s="100"/>
      <c r="AG1477" s="100"/>
      <c r="AH1477" s="100"/>
      <c r="AI1477" s="100" t="s">
        <v>115</v>
      </c>
      <c r="AJ1477" s="100"/>
      <c r="AK1477" s="100"/>
      <c r="AL1477" s="100"/>
      <c r="AM1477" s="100"/>
      <c r="AN1477" s="100"/>
      <c r="AO1477" s="100"/>
      <c r="AP1477" s="89" t="s">
        <v>115</v>
      </c>
    </row>
    <row r="1478" spans="1:42" s="89" customFormat="1" x14ac:dyDescent="0.15">
      <c r="A1478" s="100" t="s">
        <v>1</v>
      </c>
      <c r="B1478" s="101">
        <v>90150105</v>
      </c>
      <c r="C1478" s="101">
        <v>1501</v>
      </c>
      <c r="D1478" s="101">
        <v>15</v>
      </c>
      <c r="E1478" s="101"/>
      <c r="F1478" s="101" t="s">
        <v>2995</v>
      </c>
      <c r="G1478" s="101" t="s">
        <v>115</v>
      </c>
      <c r="H1478" s="101" t="s">
        <v>3585</v>
      </c>
      <c r="I1478" s="101">
        <v>3</v>
      </c>
      <c r="J1478" s="100">
        <v>0</v>
      </c>
      <c r="K1478" s="100">
        <v>0</v>
      </c>
      <c r="L1478" s="100" t="s">
        <v>115</v>
      </c>
      <c r="M1478" s="102"/>
      <c r="N1478" s="100"/>
      <c r="O1478" s="100" t="s">
        <v>115</v>
      </c>
      <c r="P1478" s="101"/>
      <c r="Q1478" s="100">
        <v>134</v>
      </c>
      <c r="R1478" s="100">
        <v>283</v>
      </c>
      <c r="S1478" s="100"/>
      <c r="T1478" s="100"/>
      <c r="U1478" s="100"/>
      <c r="V1478" s="100"/>
      <c r="W1478" s="100"/>
      <c r="X1478" s="100">
        <v>90150106</v>
      </c>
      <c r="Y1478" s="100" t="s">
        <v>115</v>
      </c>
      <c r="Z1478" s="100" t="s">
        <v>115</v>
      </c>
      <c r="AA1478" s="100" t="s">
        <v>115</v>
      </c>
      <c r="AB1478" s="100" t="s">
        <v>115</v>
      </c>
      <c r="AC1478" s="100" t="s">
        <v>115</v>
      </c>
      <c r="AD1478" s="100"/>
      <c r="AE1478" s="100"/>
      <c r="AF1478" s="100"/>
      <c r="AG1478" s="100"/>
      <c r="AH1478" s="100"/>
      <c r="AI1478" s="100" t="s">
        <v>115</v>
      </c>
      <c r="AJ1478" s="100"/>
      <c r="AK1478" s="100"/>
      <c r="AL1478" s="100"/>
      <c r="AM1478" s="100"/>
      <c r="AN1478" s="100"/>
      <c r="AO1478" s="100"/>
      <c r="AP1478" s="89" t="s">
        <v>115</v>
      </c>
    </row>
    <row r="1479" spans="1:42" s="89" customFormat="1" x14ac:dyDescent="0.15">
      <c r="A1479" s="100" t="s">
        <v>1</v>
      </c>
      <c r="B1479" s="101">
        <v>90150106</v>
      </c>
      <c r="C1479" s="101">
        <v>1501</v>
      </c>
      <c r="D1479" s="101">
        <v>15</v>
      </c>
      <c r="E1479" s="101"/>
      <c r="F1479" s="101" t="s">
        <v>115</v>
      </c>
      <c r="G1479" s="101" t="s">
        <v>115</v>
      </c>
      <c r="H1479" s="101" t="s">
        <v>929</v>
      </c>
      <c r="I1479" s="101">
        <v>4</v>
      </c>
      <c r="J1479" s="100">
        <v>0</v>
      </c>
      <c r="K1479" s="100">
        <v>2</v>
      </c>
      <c r="L1479" s="100" t="s">
        <v>115</v>
      </c>
      <c r="M1479" s="102"/>
      <c r="N1479" s="100"/>
      <c r="O1479" s="100" t="s">
        <v>115</v>
      </c>
      <c r="P1479" s="101"/>
      <c r="Q1479" s="100">
        <v>134</v>
      </c>
      <c r="R1479" s="100">
        <v>283</v>
      </c>
      <c r="S1479" s="100"/>
      <c r="T1479" s="100"/>
      <c r="U1479" s="100"/>
      <c r="V1479" s="100"/>
      <c r="W1479" s="100"/>
      <c r="X1479" s="100" t="s">
        <v>3586</v>
      </c>
      <c r="Y1479" s="100">
        <v>1</v>
      </c>
      <c r="Z1479" s="100">
        <v>1</v>
      </c>
      <c r="AA1479" s="100" t="s">
        <v>115</v>
      </c>
      <c r="AB1479" s="100" t="s">
        <v>115</v>
      </c>
      <c r="AC1479" s="100" t="s">
        <v>115</v>
      </c>
      <c r="AD1479" s="100"/>
      <c r="AE1479" s="100"/>
      <c r="AF1479" s="100"/>
      <c r="AG1479" s="100"/>
      <c r="AH1479" s="100"/>
      <c r="AI1479" s="100" t="s">
        <v>115</v>
      </c>
      <c r="AJ1479" s="100"/>
      <c r="AK1479" s="100"/>
      <c r="AL1479" s="100"/>
      <c r="AM1479" s="100"/>
      <c r="AN1479" s="100"/>
      <c r="AO1479" s="100"/>
      <c r="AP1479" s="89" t="s">
        <v>115</v>
      </c>
    </row>
    <row r="1480" spans="1:42" s="89" customFormat="1" x14ac:dyDescent="0.15">
      <c r="A1480" s="100" t="s">
        <v>1</v>
      </c>
      <c r="B1480" s="101">
        <v>90150107</v>
      </c>
      <c r="C1480" s="101">
        <v>1501</v>
      </c>
      <c r="D1480" s="101">
        <v>15</v>
      </c>
      <c r="E1480" s="101"/>
      <c r="F1480" s="101" t="s">
        <v>115</v>
      </c>
      <c r="G1480" s="101" t="s">
        <v>115</v>
      </c>
      <c r="H1480" s="101" t="s">
        <v>3587</v>
      </c>
      <c r="I1480" s="101">
        <v>4</v>
      </c>
      <c r="J1480" s="100">
        <v>0</v>
      </c>
      <c r="K1480" s="100">
        <v>3</v>
      </c>
      <c r="L1480" s="100" t="s">
        <v>115</v>
      </c>
      <c r="M1480" s="102"/>
      <c r="N1480" s="100"/>
      <c r="O1480" s="100" t="s">
        <v>115</v>
      </c>
      <c r="P1480" s="101"/>
      <c r="Q1480" s="100">
        <v>134</v>
      </c>
      <c r="R1480" s="100">
        <v>283</v>
      </c>
      <c r="S1480" s="100"/>
      <c r="T1480" s="100"/>
      <c r="U1480" s="100"/>
      <c r="V1480" s="100"/>
      <c r="W1480" s="100"/>
      <c r="X1480" s="100">
        <v>90150109</v>
      </c>
      <c r="Y1480" s="100">
        <v>-1</v>
      </c>
      <c r="Z1480" s="100">
        <v>2</v>
      </c>
      <c r="AA1480" s="100" t="s">
        <v>115</v>
      </c>
      <c r="AB1480" s="100" t="s">
        <v>115</v>
      </c>
      <c r="AC1480" s="100" t="s">
        <v>3588</v>
      </c>
      <c r="AD1480" s="100"/>
      <c r="AE1480" s="100"/>
      <c r="AF1480" s="100"/>
      <c r="AG1480" s="100"/>
      <c r="AH1480" s="100"/>
      <c r="AI1480" s="100" t="s">
        <v>115</v>
      </c>
      <c r="AJ1480" s="100"/>
      <c r="AK1480" s="100"/>
      <c r="AL1480" s="100"/>
      <c r="AM1480" s="100"/>
      <c r="AN1480" s="100"/>
      <c r="AO1480" s="100"/>
      <c r="AP1480" s="89" t="s">
        <v>115</v>
      </c>
    </row>
    <row r="1481" spans="1:42" s="89" customFormat="1" x14ac:dyDescent="0.15">
      <c r="A1481" s="100" t="s">
        <v>1</v>
      </c>
      <c r="B1481" s="101">
        <v>90150108</v>
      </c>
      <c r="C1481" s="101">
        <v>1501</v>
      </c>
      <c r="D1481" s="101">
        <v>15</v>
      </c>
      <c r="E1481" s="101"/>
      <c r="F1481" s="101" t="s">
        <v>115</v>
      </c>
      <c r="G1481" s="101" t="s">
        <v>115</v>
      </c>
      <c r="H1481" s="101" t="s">
        <v>3589</v>
      </c>
      <c r="I1481" s="101">
        <v>4</v>
      </c>
      <c r="J1481" s="100">
        <v>0</v>
      </c>
      <c r="K1481" s="100">
        <v>4</v>
      </c>
      <c r="L1481" s="100" t="s">
        <v>115</v>
      </c>
      <c r="M1481" s="102"/>
      <c r="N1481" s="100"/>
      <c r="O1481" s="100" t="s">
        <v>115</v>
      </c>
      <c r="P1481" s="101"/>
      <c r="Q1481" s="100">
        <v>134</v>
      </c>
      <c r="R1481" s="100">
        <v>283</v>
      </c>
      <c r="S1481" s="100"/>
      <c r="T1481" s="100"/>
      <c r="U1481" s="100"/>
      <c r="V1481" s="100"/>
      <c r="W1481" s="100"/>
      <c r="X1481" s="100">
        <v>90150110</v>
      </c>
      <c r="Y1481" s="100">
        <v>-1</v>
      </c>
      <c r="Z1481" s="100">
        <v>2</v>
      </c>
      <c r="AA1481" s="100" t="s">
        <v>3590</v>
      </c>
      <c r="AB1481" s="100" t="s">
        <v>115</v>
      </c>
      <c r="AC1481" s="100" t="s">
        <v>115</v>
      </c>
      <c r="AD1481" s="100"/>
      <c r="AE1481" s="100"/>
      <c r="AF1481" s="100"/>
      <c r="AG1481" s="100"/>
      <c r="AH1481" s="100"/>
      <c r="AI1481" s="100" t="s">
        <v>115</v>
      </c>
      <c r="AJ1481" s="100"/>
      <c r="AK1481" s="100"/>
      <c r="AL1481" s="100"/>
      <c r="AM1481" s="100"/>
      <c r="AN1481" s="100"/>
      <c r="AO1481" s="100"/>
      <c r="AP1481" s="89" t="s">
        <v>115</v>
      </c>
    </row>
    <row r="1482" spans="1:42" s="89" customFormat="1" x14ac:dyDescent="0.15">
      <c r="A1482" s="100" t="s">
        <v>1</v>
      </c>
      <c r="B1482" s="101">
        <v>90150109</v>
      </c>
      <c r="C1482" s="101">
        <v>1501</v>
      </c>
      <c r="D1482" s="101">
        <v>15</v>
      </c>
      <c r="E1482" s="101"/>
      <c r="F1482" s="101" t="s">
        <v>2995</v>
      </c>
      <c r="G1482" s="101" t="s">
        <v>115</v>
      </c>
      <c r="H1482" s="101" t="s">
        <v>3591</v>
      </c>
      <c r="I1482" s="101">
        <v>3</v>
      </c>
      <c r="J1482" s="100">
        <v>0</v>
      </c>
      <c r="K1482" s="100">
        <v>0</v>
      </c>
      <c r="L1482" s="100" t="s">
        <v>115</v>
      </c>
      <c r="M1482" s="102"/>
      <c r="N1482" s="100"/>
      <c r="O1482" s="100" t="s">
        <v>115</v>
      </c>
      <c r="P1482" s="101"/>
      <c r="Q1482" s="100">
        <v>134</v>
      </c>
      <c r="R1482" s="100">
        <v>283</v>
      </c>
      <c r="S1482" s="100"/>
      <c r="T1482" s="100"/>
      <c r="U1482" s="100"/>
      <c r="V1482" s="100"/>
      <c r="W1482" s="100"/>
      <c r="X1482" s="100">
        <v>90150111</v>
      </c>
      <c r="Y1482" s="100" t="s">
        <v>115</v>
      </c>
      <c r="Z1482" s="100" t="s">
        <v>115</v>
      </c>
      <c r="AA1482" s="100" t="s">
        <v>115</v>
      </c>
      <c r="AB1482" s="100" t="s">
        <v>115</v>
      </c>
      <c r="AC1482" s="100" t="s">
        <v>115</v>
      </c>
      <c r="AD1482" s="100"/>
      <c r="AE1482" s="100"/>
      <c r="AF1482" s="100"/>
      <c r="AG1482" s="100"/>
      <c r="AH1482" s="100"/>
      <c r="AI1482" s="100" t="s">
        <v>115</v>
      </c>
      <c r="AJ1482" s="100"/>
      <c r="AK1482" s="100"/>
      <c r="AL1482" s="100"/>
      <c r="AM1482" s="100"/>
      <c r="AN1482" s="100"/>
      <c r="AO1482" s="100"/>
      <c r="AP1482" s="89" t="s">
        <v>115</v>
      </c>
    </row>
    <row r="1483" spans="1:42" s="89" customFormat="1" x14ac:dyDescent="0.15">
      <c r="A1483" s="100" t="s">
        <v>1</v>
      </c>
      <c r="B1483" s="101">
        <v>90150110</v>
      </c>
      <c r="C1483" s="101">
        <v>1501</v>
      </c>
      <c r="D1483" s="101">
        <v>15</v>
      </c>
      <c r="E1483" s="101"/>
      <c r="F1483" s="101" t="s">
        <v>2995</v>
      </c>
      <c r="G1483" s="101" t="s">
        <v>115</v>
      </c>
      <c r="H1483" s="101" t="s">
        <v>3592</v>
      </c>
      <c r="I1483" s="101">
        <v>3</v>
      </c>
      <c r="J1483" s="100">
        <v>0</v>
      </c>
      <c r="K1483" s="100">
        <v>0</v>
      </c>
      <c r="L1483" s="100" t="s">
        <v>115</v>
      </c>
      <c r="M1483" s="102"/>
      <c r="N1483" s="100"/>
      <c r="O1483" s="100" t="s">
        <v>115</v>
      </c>
      <c r="P1483" s="101"/>
      <c r="Q1483" s="100">
        <v>134</v>
      </c>
      <c r="R1483" s="100">
        <v>283</v>
      </c>
      <c r="S1483" s="100"/>
      <c r="T1483" s="100"/>
      <c r="U1483" s="100"/>
      <c r="V1483" s="100"/>
      <c r="W1483" s="100"/>
      <c r="X1483" s="100">
        <v>90150111</v>
      </c>
      <c r="Y1483" s="100" t="s">
        <v>115</v>
      </c>
      <c r="Z1483" s="100" t="s">
        <v>115</v>
      </c>
      <c r="AA1483" s="100" t="s">
        <v>115</v>
      </c>
      <c r="AB1483" s="100" t="s">
        <v>115</v>
      </c>
      <c r="AC1483" s="100" t="s">
        <v>115</v>
      </c>
      <c r="AD1483" s="100"/>
      <c r="AE1483" s="100"/>
      <c r="AF1483" s="100"/>
      <c r="AG1483" s="100"/>
      <c r="AH1483" s="100"/>
      <c r="AI1483" s="100" t="s">
        <v>115</v>
      </c>
      <c r="AJ1483" s="100"/>
      <c r="AK1483" s="100"/>
      <c r="AL1483" s="100"/>
      <c r="AM1483" s="100"/>
      <c r="AN1483" s="100"/>
      <c r="AO1483" s="100"/>
      <c r="AP1483" s="89" t="s">
        <v>115</v>
      </c>
    </row>
    <row r="1484" spans="1:42" s="89" customFormat="1" x14ac:dyDescent="0.15">
      <c r="A1484" s="100" t="s">
        <v>1</v>
      </c>
      <c r="B1484" s="101">
        <v>90150111</v>
      </c>
      <c r="C1484" s="101">
        <v>1501</v>
      </c>
      <c r="D1484" s="101">
        <v>15</v>
      </c>
      <c r="E1484" s="101"/>
      <c r="F1484" s="101" t="s">
        <v>2995</v>
      </c>
      <c r="G1484" s="101" t="s">
        <v>115</v>
      </c>
      <c r="H1484" s="101" t="s">
        <v>3593</v>
      </c>
      <c r="I1484" s="101">
        <v>3</v>
      </c>
      <c r="J1484" s="100">
        <v>0</v>
      </c>
      <c r="K1484" s="100">
        <v>0</v>
      </c>
      <c r="L1484" s="100" t="s">
        <v>115</v>
      </c>
      <c r="M1484" s="102"/>
      <c r="N1484" s="100"/>
      <c r="O1484" s="100" t="s">
        <v>115</v>
      </c>
      <c r="P1484" s="101"/>
      <c r="Q1484" s="100">
        <v>134</v>
      </c>
      <c r="R1484" s="100">
        <v>283</v>
      </c>
      <c r="S1484" s="100"/>
      <c r="T1484" s="100"/>
      <c r="U1484" s="100"/>
      <c r="V1484" s="100"/>
      <c r="W1484" s="100"/>
      <c r="X1484" s="100">
        <v>90150112</v>
      </c>
      <c r="Y1484" s="100" t="s">
        <v>115</v>
      </c>
      <c r="Z1484" s="100" t="s">
        <v>115</v>
      </c>
      <c r="AA1484" s="100" t="s">
        <v>115</v>
      </c>
      <c r="AB1484" s="100" t="s">
        <v>115</v>
      </c>
      <c r="AC1484" s="100" t="s">
        <v>115</v>
      </c>
      <c r="AD1484" s="100"/>
      <c r="AE1484" s="100"/>
      <c r="AF1484" s="100"/>
      <c r="AG1484" s="100"/>
      <c r="AH1484" s="100"/>
      <c r="AI1484" s="100" t="s">
        <v>115</v>
      </c>
      <c r="AJ1484" s="100"/>
      <c r="AK1484" s="100"/>
      <c r="AL1484" s="100"/>
      <c r="AM1484" s="100"/>
      <c r="AN1484" s="100"/>
      <c r="AO1484" s="100"/>
      <c r="AP1484" s="89" t="s">
        <v>115</v>
      </c>
    </row>
    <row r="1485" spans="1:42" s="89" customFormat="1" x14ac:dyDescent="0.15">
      <c r="A1485" s="100" t="s">
        <v>1</v>
      </c>
      <c r="B1485" s="101">
        <v>90150112</v>
      </c>
      <c r="C1485" s="101">
        <v>1501</v>
      </c>
      <c r="D1485" s="101">
        <v>15</v>
      </c>
      <c r="E1485" s="101"/>
      <c r="F1485" s="101" t="s">
        <v>2995</v>
      </c>
      <c r="G1485" s="101" t="s">
        <v>115</v>
      </c>
      <c r="H1485" s="101" t="s">
        <v>3594</v>
      </c>
      <c r="I1485" s="101">
        <v>3</v>
      </c>
      <c r="J1485" s="100">
        <v>0</v>
      </c>
      <c r="K1485" s="100">
        <v>5</v>
      </c>
      <c r="L1485" s="100" t="s">
        <v>115</v>
      </c>
      <c r="M1485" s="102"/>
      <c r="N1485" s="100"/>
      <c r="O1485" s="100">
        <v>1</v>
      </c>
      <c r="P1485" s="101"/>
      <c r="Q1485" s="100">
        <v>134</v>
      </c>
      <c r="R1485" s="100">
        <v>283</v>
      </c>
      <c r="S1485" s="100"/>
      <c r="T1485" s="100"/>
      <c r="U1485" s="100"/>
      <c r="V1485" s="100"/>
      <c r="W1485" s="100"/>
      <c r="X1485" s="100" t="s">
        <v>115</v>
      </c>
      <c r="Y1485" s="100" t="s">
        <v>115</v>
      </c>
      <c r="Z1485" s="100">
        <v>4</v>
      </c>
      <c r="AA1485" s="100" t="s">
        <v>115</v>
      </c>
      <c r="AB1485" s="100" t="s">
        <v>115</v>
      </c>
      <c r="AC1485" s="100" t="s">
        <v>115</v>
      </c>
      <c r="AD1485" s="100"/>
      <c r="AE1485" s="100"/>
      <c r="AF1485" s="100"/>
      <c r="AG1485" s="100"/>
      <c r="AH1485" s="100"/>
      <c r="AI1485" s="100" t="s">
        <v>115</v>
      </c>
      <c r="AJ1485" s="100"/>
      <c r="AK1485" s="100"/>
      <c r="AL1485" s="100"/>
      <c r="AM1485" s="100"/>
      <c r="AN1485" s="100"/>
      <c r="AO1485" s="100"/>
      <c r="AP1485" s="89" t="s">
        <v>3595</v>
      </c>
    </row>
    <row r="1486" spans="1:42" s="89" customFormat="1" x14ac:dyDescent="0.15">
      <c r="A1486" s="100" t="s">
        <v>1</v>
      </c>
      <c r="B1486" s="101" t="s">
        <v>3437</v>
      </c>
      <c r="C1486" s="101">
        <v>1502</v>
      </c>
      <c r="D1486" s="101">
        <v>15</v>
      </c>
      <c r="E1486" s="101"/>
      <c r="F1486" s="101" t="s">
        <v>115</v>
      </c>
      <c r="G1486" s="101" t="s">
        <v>115</v>
      </c>
      <c r="H1486" s="101" t="s">
        <v>3596</v>
      </c>
      <c r="I1486" s="101">
        <v>4</v>
      </c>
      <c r="J1486" s="100">
        <v>1</v>
      </c>
      <c r="K1486" s="100">
        <v>1</v>
      </c>
      <c r="L1486" s="100" t="s">
        <v>115</v>
      </c>
      <c r="M1486" s="102"/>
      <c r="N1486" s="100"/>
      <c r="O1486" s="100" t="s">
        <v>115</v>
      </c>
      <c r="P1486" s="101"/>
      <c r="Q1486" s="100">
        <v>192</v>
      </c>
      <c r="R1486" s="100" t="s">
        <v>115</v>
      </c>
      <c r="S1486" s="100"/>
      <c r="T1486" s="100"/>
      <c r="U1486" s="100"/>
      <c r="V1486" s="100"/>
      <c r="W1486" s="100"/>
      <c r="X1486" s="100">
        <v>90150202</v>
      </c>
      <c r="Y1486" s="100" t="s">
        <v>115</v>
      </c>
      <c r="Z1486" s="100" t="s">
        <v>115</v>
      </c>
      <c r="AA1486" s="100" t="s">
        <v>115</v>
      </c>
      <c r="AB1486" s="100" t="s">
        <v>115</v>
      </c>
      <c r="AC1486" s="100" t="s">
        <v>115</v>
      </c>
      <c r="AD1486" s="100"/>
      <c r="AE1486" s="100"/>
      <c r="AF1486" s="100"/>
      <c r="AG1486" s="100"/>
      <c r="AH1486" s="100"/>
      <c r="AI1486" s="100" t="s">
        <v>115</v>
      </c>
      <c r="AJ1486" s="100"/>
      <c r="AK1486" s="100"/>
      <c r="AL1486" s="100"/>
      <c r="AM1486" s="100"/>
      <c r="AN1486" s="100"/>
      <c r="AO1486" s="100"/>
      <c r="AP1486" s="89" t="s">
        <v>115</v>
      </c>
    </row>
    <row r="1487" spans="1:42" s="89" customFormat="1" x14ac:dyDescent="0.15">
      <c r="A1487" s="100" t="s">
        <v>1</v>
      </c>
      <c r="B1487" s="101">
        <v>90150202</v>
      </c>
      <c r="C1487" s="101">
        <v>1502</v>
      </c>
      <c r="D1487" s="101">
        <v>15</v>
      </c>
      <c r="E1487" s="101"/>
      <c r="F1487" s="101" t="s">
        <v>116</v>
      </c>
      <c r="G1487" s="101">
        <v>315</v>
      </c>
      <c r="H1487" s="101" t="s">
        <v>3597</v>
      </c>
      <c r="I1487" s="101">
        <v>0</v>
      </c>
      <c r="J1487" s="100">
        <v>0</v>
      </c>
      <c r="K1487" s="100">
        <v>0</v>
      </c>
      <c r="L1487" s="100" t="s">
        <v>115</v>
      </c>
      <c r="M1487" s="102"/>
      <c r="N1487" s="100"/>
      <c r="O1487" s="100" t="s">
        <v>115</v>
      </c>
      <c r="P1487" s="101"/>
      <c r="Q1487" s="100">
        <v>192</v>
      </c>
      <c r="R1487" s="100">
        <v>247</v>
      </c>
      <c r="S1487" s="100"/>
      <c r="T1487" s="100"/>
      <c r="U1487" s="100"/>
      <c r="V1487" s="100"/>
      <c r="W1487" s="100"/>
      <c r="X1487" s="100">
        <v>90150203</v>
      </c>
      <c r="Y1487" s="100" t="s">
        <v>115</v>
      </c>
      <c r="Z1487" s="100" t="s">
        <v>115</v>
      </c>
      <c r="AA1487" s="100" t="s">
        <v>115</v>
      </c>
      <c r="AB1487" s="100" t="s">
        <v>115</v>
      </c>
      <c r="AC1487" s="100" t="s">
        <v>115</v>
      </c>
      <c r="AD1487" s="100"/>
      <c r="AE1487" s="100"/>
      <c r="AF1487" s="100"/>
      <c r="AG1487" s="100"/>
      <c r="AH1487" s="100"/>
      <c r="AI1487" s="100" t="s">
        <v>115</v>
      </c>
      <c r="AJ1487" s="100"/>
      <c r="AK1487" s="100"/>
      <c r="AL1487" s="100"/>
      <c r="AM1487" s="100"/>
      <c r="AN1487" s="100"/>
      <c r="AO1487" s="100"/>
      <c r="AP1487" s="89" t="s">
        <v>115</v>
      </c>
    </row>
    <row r="1488" spans="1:42" s="89" customFormat="1" x14ac:dyDescent="0.15">
      <c r="A1488" s="100" t="s">
        <v>1</v>
      </c>
      <c r="B1488" s="101">
        <v>90150203</v>
      </c>
      <c r="C1488" s="101">
        <v>1502</v>
      </c>
      <c r="D1488" s="101">
        <v>15</v>
      </c>
      <c r="E1488" s="101"/>
      <c r="F1488" s="101" t="s">
        <v>930</v>
      </c>
      <c r="G1488" s="101" t="s">
        <v>115</v>
      </c>
      <c r="H1488" s="101" t="s">
        <v>3598</v>
      </c>
      <c r="I1488" s="101">
        <v>3</v>
      </c>
      <c r="J1488" s="100">
        <v>0</v>
      </c>
      <c r="K1488" s="100">
        <v>0</v>
      </c>
      <c r="L1488" s="100" t="s">
        <v>115</v>
      </c>
      <c r="M1488" s="102"/>
      <c r="N1488" s="100"/>
      <c r="O1488" s="100" t="s">
        <v>115</v>
      </c>
      <c r="P1488" s="101"/>
      <c r="Q1488" s="100">
        <v>192</v>
      </c>
      <c r="R1488" s="100">
        <v>247</v>
      </c>
      <c r="S1488" s="100"/>
      <c r="T1488" s="100"/>
      <c r="U1488" s="100"/>
      <c r="V1488" s="100"/>
      <c r="W1488" s="100"/>
      <c r="X1488" s="100">
        <v>90150204</v>
      </c>
      <c r="Y1488" s="100" t="s">
        <v>115</v>
      </c>
      <c r="Z1488" s="100" t="s">
        <v>115</v>
      </c>
      <c r="AA1488" s="100" t="s">
        <v>115</v>
      </c>
      <c r="AB1488" s="100" t="s">
        <v>115</v>
      </c>
      <c r="AC1488" s="100" t="s">
        <v>115</v>
      </c>
      <c r="AD1488" s="100"/>
      <c r="AE1488" s="100"/>
      <c r="AF1488" s="100"/>
      <c r="AG1488" s="100"/>
      <c r="AH1488" s="100"/>
      <c r="AI1488" s="100" t="s">
        <v>115</v>
      </c>
      <c r="AJ1488" s="100"/>
      <c r="AK1488" s="100"/>
      <c r="AL1488" s="100"/>
      <c r="AM1488" s="100"/>
      <c r="AN1488" s="100"/>
      <c r="AO1488" s="100"/>
      <c r="AP1488" s="89" t="s">
        <v>115</v>
      </c>
    </row>
    <row r="1489" spans="1:42" s="89" customFormat="1" x14ac:dyDescent="0.15">
      <c r="A1489" s="100" t="s">
        <v>1</v>
      </c>
      <c r="B1489" s="101">
        <v>90150204</v>
      </c>
      <c r="C1489" s="101">
        <v>1502</v>
      </c>
      <c r="D1489" s="101">
        <v>15</v>
      </c>
      <c r="E1489" s="101"/>
      <c r="F1489" s="101" t="s">
        <v>930</v>
      </c>
      <c r="G1489" s="101" t="s">
        <v>115</v>
      </c>
      <c r="H1489" s="101" t="s">
        <v>3599</v>
      </c>
      <c r="I1489" s="101">
        <v>3</v>
      </c>
      <c r="J1489" s="100">
        <v>0</v>
      </c>
      <c r="K1489" s="100">
        <v>0</v>
      </c>
      <c r="L1489" s="100" t="s">
        <v>115</v>
      </c>
      <c r="M1489" s="102"/>
      <c r="N1489" s="100"/>
      <c r="O1489" s="100" t="s">
        <v>115</v>
      </c>
      <c r="P1489" s="101"/>
      <c r="Q1489" s="100">
        <v>192</v>
      </c>
      <c r="R1489" s="100">
        <v>247</v>
      </c>
      <c r="S1489" s="100"/>
      <c r="T1489" s="100"/>
      <c r="U1489" s="100"/>
      <c r="V1489" s="100"/>
      <c r="W1489" s="100"/>
      <c r="X1489" s="100">
        <v>90150205</v>
      </c>
      <c r="Y1489" s="100" t="s">
        <v>115</v>
      </c>
      <c r="Z1489" s="100" t="s">
        <v>115</v>
      </c>
      <c r="AA1489" s="100" t="s">
        <v>115</v>
      </c>
      <c r="AB1489" s="100" t="s">
        <v>115</v>
      </c>
      <c r="AC1489" s="100" t="s">
        <v>115</v>
      </c>
      <c r="AD1489" s="100"/>
      <c r="AE1489" s="100"/>
      <c r="AF1489" s="100"/>
      <c r="AG1489" s="100"/>
      <c r="AH1489" s="100"/>
      <c r="AI1489" s="100" t="s">
        <v>115</v>
      </c>
      <c r="AJ1489" s="100"/>
      <c r="AK1489" s="100"/>
      <c r="AL1489" s="100"/>
      <c r="AM1489" s="100"/>
      <c r="AN1489" s="100"/>
      <c r="AO1489" s="100"/>
      <c r="AP1489" s="89" t="s">
        <v>115</v>
      </c>
    </row>
    <row r="1490" spans="1:42" s="89" customFormat="1" x14ac:dyDescent="0.15">
      <c r="A1490" s="100" t="s">
        <v>1</v>
      </c>
      <c r="B1490" s="101">
        <v>90150205</v>
      </c>
      <c r="C1490" s="101">
        <v>1502</v>
      </c>
      <c r="D1490" s="101">
        <v>15</v>
      </c>
      <c r="E1490" s="101"/>
      <c r="F1490" s="101" t="s">
        <v>116</v>
      </c>
      <c r="G1490" s="101" t="s">
        <v>115</v>
      </c>
      <c r="H1490" s="101" t="s">
        <v>3600</v>
      </c>
      <c r="I1490" s="101">
        <v>0</v>
      </c>
      <c r="J1490" s="100">
        <v>0</v>
      </c>
      <c r="K1490" s="100">
        <v>0</v>
      </c>
      <c r="L1490" s="100" t="s">
        <v>115</v>
      </c>
      <c r="M1490" s="102"/>
      <c r="N1490" s="100"/>
      <c r="O1490" s="100" t="s">
        <v>115</v>
      </c>
      <c r="P1490" s="101"/>
      <c r="Q1490" s="100">
        <v>192</v>
      </c>
      <c r="R1490" s="100">
        <v>247</v>
      </c>
      <c r="S1490" s="100"/>
      <c r="T1490" s="100"/>
      <c r="U1490" s="100"/>
      <c r="V1490" s="100"/>
      <c r="W1490" s="100"/>
      <c r="X1490" s="100">
        <v>90150206</v>
      </c>
      <c r="Y1490" s="100" t="s">
        <v>115</v>
      </c>
      <c r="Z1490" s="100" t="s">
        <v>115</v>
      </c>
      <c r="AA1490" s="100" t="s">
        <v>115</v>
      </c>
      <c r="AB1490" s="100" t="s">
        <v>115</v>
      </c>
      <c r="AC1490" s="100" t="s">
        <v>115</v>
      </c>
      <c r="AD1490" s="100"/>
      <c r="AE1490" s="100"/>
      <c r="AF1490" s="100"/>
      <c r="AG1490" s="100"/>
      <c r="AH1490" s="100"/>
      <c r="AI1490" s="100" t="s">
        <v>115</v>
      </c>
      <c r="AJ1490" s="100"/>
      <c r="AK1490" s="100"/>
      <c r="AL1490" s="100"/>
      <c r="AM1490" s="100"/>
      <c r="AN1490" s="100"/>
      <c r="AO1490" s="100"/>
      <c r="AP1490" s="89" t="s">
        <v>115</v>
      </c>
    </row>
    <row r="1491" spans="1:42" s="89" customFormat="1" x14ac:dyDescent="0.15">
      <c r="A1491" s="100" t="s">
        <v>1</v>
      </c>
      <c r="B1491" s="101">
        <v>90150206</v>
      </c>
      <c r="C1491" s="101">
        <v>1502</v>
      </c>
      <c r="D1491" s="101">
        <v>15</v>
      </c>
      <c r="E1491" s="101"/>
      <c r="F1491" s="101" t="s">
        <v>930</v>
      </c>
      <c r="G1491" s="101" t="s">
        <v>115</v>
      </c>
      <c r="H1491" s="101" t="s">
        <v>3601</v>
      </c>
      <c r="I1491" s="101">
        <v>3</v>
      </c>
      <c r="J1491" s="100">
        <v>0</v>
      </c>
      <c r="K1491" s="100">
        <v>0</v>
      </c>
      <c r="L1491" s="100" t="s">
        <v>115</v>
      </c>
      <c r="M1491" s="102"/>
      <c r="N1491" s="100"/>
      <c r="O1491" s="100" t="s">
        <v>115</v>
      </c>
      <c r="P1491" s="101"/>
      <c r="Q1491" s="100">
        <v>192</v>
      </c>
      <c r="R1491" s="100">
        <v>247</v>
      </c>
      <c r="S1491" s="100"/>
      <c r="T1491" s="100"/>
      <c r="U1491" s="100"/>
      <c r="V1491" s="100"/>
      <c r="W1491" s="100"/>
      <c r="X1491" s="100">
        <v>90150207</v>
      </c>
      <c r="Y1491" s="100" t="s">
        <v>115</v>
      </c>
      <c r="Z1491" s="100" t="s">
        <v>115</v>
      </c>
      <c r="AA1491" s="100" t="s">
        <v>115</v>
      </c>
      <c r="AB1491" s="100" t="s">
        <v>115</v>
      </c>
      <c r="AC1491" s="100" t="s">
        <v>115</v>
      </c>
      <c r="AD1491" s="100"/>
      <c r="AE1491" s="100"/>
      <c r="AF1491" s="100"/>
      <c r="AG1491" s="100"/>
      <c r="AH1491" s="100"/>
      <c r="AI1491" s="100" t="s">
        <v>115</v>
      </c>
      <c r="AJ1491" s="100"/>
      <c r="AK1491" s="100"/>
      <c r="AL1491" s="100"/>
      <c r="AM1491" s="100"/>
      <c r="AN1491" s="100"/>
      <c r="AO1491" s="100"/>
      <c r="AP1491" s="89" t="s">
        <v>115</v>
      </c>
    </row>
    <row r="1492" spans="1:42" s="89" customFormat="1" x14ac:dyDescent="0.15">
      <c r="A1492" s="100" t="s">
        <v>1</v>
      </c>
      <c r="B1492" s="101">
        <v>90150207</v>
      </c>
      <c r="C1492" s="101">
        <v>1502</v>
      </c>
      <c r="D1492" s="101">
        <v>15</v>
      </c>
      <c r="E1492" s="101"/>
      <c r="F1492" s="101" t="s">
        <v>116</v>
      </c>
      <c r="G1492" s="101">
        <v>312</v>
      </c>
      <c r="H1492" s="101" t="s">
        <v>3602</v>
      </c>
      <c r="I1492" s="101">
        <v>2</v>
      </c>
      <c r="J1492" s="100">
        <v>0</v>
      </c>
      <c r="K1492" s="100">
        <v>2</v>
      </c>
      <c r="L1492" s="100" t="s">
        <v>115</v>
      </c>
      <c r="M1492" s="102"/>
      <c r="N1492" s="100"/>
      <c r="O1492" s="100" t="s">
        <v>115</v>
      </c>
      <c r="P1492" s="101"/>
      <c r="Q1492" s="100">
        <v>192</v>
      </c>
      <c r="R1492" s="100">
        <v>247</v>
      </c>
      <c r="S1492" s="100"/>
      <c r="T1492" s="100"/>
      <c r="U1492" s="100"/>
      <c r="V1492" s="100"/>
      <c r="W1492" s="100"/>
      <c r="X1492" s="100" t="s">
        <v>3603</v>
      </c>
      <c r="Y1492" s="100">
        <v>1</v>
      </c>
      <c r="Z1492" s="100">
        <v>1</v>
      </c>
      <c r="AA1492" s="100" t="s">
        <v>115</v>
      </c>
      <c r="AB1492" s="100" t="s">
        <v>115</v>
      </c>
      <c r="AC1492" s="100" t="s">
        <v>115</v>
      </c>
      <c r="AD1492" s="100"/>
      <c r="AE1492" s="100"/>
      <c r="AF1492" s="100"/>
      <c r="AG1492" s="100"/>
      <c r="AH1492" s="100"/>
      <c r="AI1492" s="100" t="s">
        <v>115</v>
      </c>
      <c r="AJ1492" s="100"/>
      <c r="AK1492" s="100"/>
      <c r="AL1492" s="100"/>
      <c r="AM1492" s="100"/>
      <c r="AN1492" s="100"/>
      <c r="AO1492" s="100"/>
      <c r="AP1492" s="89" t="s">
        <v>115</v>
      </c>
    </row>
    <row r="1493" spans="1:42" s="89" customFormat="1" x14ac:dyDescent="0.15">
      <c r="A1493" s="100" t="s">
        <v>1</v>
      </c>
      <c r="B1493" s="101">
        <v>90150208</v>
      </c>
      <c r="C1493" s="101">
        <v>1502</v>
      </c>
      <c r="D1493" s="101">
        <v>15</v>
      </c>
      <c r="E1493" s="101"/>
      <c r="F1493" s="101" t="s">
        <v>115</v>
      </c>
      <c r="G1493" s="101" t="s">
        <v>115</v>
      </c>
      <c r="H1493" s="101" t="s">
        <v>3347</v>
      </c>
      <c r="I1493" s="101">
        <v>4</v>
      </c>
      <c r="J1493" s="100">
        <v>0</v>
      </c>
      <c r="K1493" s="100">
        <v>3</v>
      </c>
      <c r="L1493" s="100" t="s">
        <v>115</v>
      </c>
      <c r="M1493" s="102"/>
      <c r="N1493" s="100"/>
      <c r="O1493" s="100" t="s">
        <v>115</v>
      </c>
      <c r="P1493" s="101"/>
      <c r="Q1493" s="100">
        <v>192</v>
      </c>
      <c r="R1493" s="100">
        <v>247</v>
      </c>
      <c r="S1493" s="100"/>
      <c r="T1493" s="100"/>
      <c r="U1493" s="100"/>
      <c r="V1493" s="100"/>
      <c r="W1493" s="100"/>
      <c r="X1493" s="100">
        <v>90150210</v>
      </c>
      <c r="Y1493" s="100">
        <v>-1</v>
      </c>
      <c r="Z1493" s="100">
        <v>2</v>
      </c>
      <c r="AA1493" s="100" t="s">
        <v>115</v>
      </c>
      <c r="AB1493" s="100" t="s">
        <v>115</v>
      </c>
      <c r="AC1493" s="100" t="s">
        <v>3604</v>
      </c>
      <c r="AD1493" s="100"/>
      <c r="AE1493" s="100"/>
      <c r="AF1493" s="100"/>
      <c r="AG1493" s="100"/>
      <c r="AH1493" s="100"/>
      <c r="AI1493" s="100" t="s">
        <v>115</v>
      </c>
      <c r="AJ1493" s="100"/>
      <c r="AK1493" s="100"/>
      <c r="AL1493" s="100"/>
      <c r="AM1493" s="100"/>
      <c r="AN1493" s="100"/>
      <c r="AO1493" s="100"/>
      <c r="AP1493" s="89" t="s">
        <v>115</v>
      </c>
    </row>
    <row r="1494" spans="1:42" s="89" customFormat="1" x14ac:dyDescent="0.15">
      <c r="A1494" s="100" t="s">
        <v>1</v>
      </c>
      <c r="B1494" s="101">
        <v>90150209</v>
      </c>
      <c r="C1494" s="101">
        <v>1502</v>
      </c>
      <c r="D1494" s="101">
        <v>15</v>
      </c>
      <c r="E1494" s="101"/>
      <c r="F1494" s="101" t="s">
        <v>115</v>
      </c>
      <c r="G1494" s="101" t="s">
        <v>115</v>
      </c>
      <c r="H1494" s="101" t="s">
        <v>3605</v>
      </c>
      <c r="I1494" s="101">
        <v>4</v>
      </c>
      <c r="J1494" s="100">
        <v>0</v>
      </c>
      <c r="K1494" s="100">
        <v>4</v>
      </c>
      <c r="L1494" s="100" t="s">
        <v>115</v>
      </c>
      <c r="M1494" s="102"/>
      <c r="N1494" s="100"/>
      <c r="O1494" s="100" t="s">
        <v>115</v>
      </c>
      <c r="P1494" s="101"/>
      <c r="Q1494" s="100">
        <v>192</v>
      </c>
      <c r="R1494" s="100">
        <v>247</v>
      </c>
      <c r="S1494" s="100"/>
      <c r="T1494" s="100"/>
      <c r="U1494" s="100"/>
      <c r="V1494" s="100"/>
      <c r="W1494" s="100"/>
      <c r="X1494" s="100">
        <v>90150211</v>
      </c>
      <c r="Y1494" s="100">
        <v>-1</v>
      </c>
      <c r="Z1494" s="100">
        <v>2</v>
      </c>
      <c r="AA1494" s="100" t="s">
        <v>115</v>
      </c>
      <c r="AB1494" s="100" t="s">
        <v>115</v>
      </c>
      <c r="AC1494" s="100" t="s">
        <v>3606</v>
      </c>
      <c r="AD1494" s="100"/>
      <c r="AE1494" s="100"/>
      <c r="AF1494" s="100"/>
      <c r="AG1494" s="100"/>
      <c r="AH1494" s="100"/>
      <c r="AI1494" s="100" t="s">
        <v>115</v>
      </c>
      <c r="AJ1494" s="100"/>
      <c r="AK1494" s="100"/>
      <c r="AL1494" s="100"/>
      <c r="AM1494" s="100"/>
      <c r="AN1494" s="100"/>
      <c r="AO1494" s="100"/>
      <c r="AP1494" s="89" t="s">
        <v>115</v>
      </c>
    </row>
    <row r="1495" spans="1:42" s="89" customFormat="1" x14ac:dyDescent="0.15">
      <c r="A1495" s="100" t="s">
        <v>1</v>
      </c>
      <c r="B1495" s="101">
        <v>90150210</v>
      </c>
      <c r="C1495" s="101">
        <v>1502</v>
      </c>
      <c r="D1495" s="101">
        <v>15</v>
      </c>
      <c r="E1495" s="101"/>
      <c r="F1495" s="101" t="s">
        <v>930</v>
      </c>
      <c r="G1495" s="101" t="s">
        <v>115</v>
      </c>
      <c r="H1495" s="101" t="s">
        <v>3607</v>
      </c>
      <c r="I1495" s="101">
        <v>3</v>
      </c>
      <c r="J1495" s="100">
        <v>0</v>
      </c>
      <c r="K1495" s="100">
        <v>0</v>
      </c>
      <c r="L1495" s="100" t="s">
        <v>115</v>
      </c>
      <c r="M1495" s="102"/>
      <c r="N1495" s="100"/>
      <c r="O1495" s="100" t="s">
        <v>115</v>
      </c>
      <c r="P1495" s="101"/>
      <c r="Q1495" s="100">
        <v>192</v>
      </c>
      <c r="R1495" s="100">
        <v>247</v>
      </c>
      <c r="S1495" s="100"/>
      <c r="T1495" s="100"/>
      <c r="U1495" s="100"/>
      <c r="V1495" s="100"/>
      <c r="W1495" s="100"/>
      <c r="X1495" s="100">
        <v>90150212</v>
      </c>
      <c r="Y1495" s="100" t="s">
        <v>115</v>
      </c>
      <c r="Z1495" s="100" t="s">
        <v>115</v>
      </c>
      <c r="AA1495" s="100" t="s">
        <v>115</v>
      </c>
      <c r="AB1495" s="100" t="s">
        <v>115</v>
      </c>
      <c r="AC1495" s="100" t="s">
        <v>115</v>
      </c>
      <c r="AD1495" s="100"/>
      <c r="AE1495" s="100"/>
      <c r="AF1495" s="100"/>
      <c r="AG1495" s="100"/>
      <c r="AH1495" s="100"/>
      <c r="AI1495" s="100" t="s">
        <v>115</v>
      </c>
      <c r="AJ1495" s="100"/>
      <c r="AK1495" s="100"/>
      <c r="AL1495" s="100"/>
      <c r="AM1495" s="100"/>
      <c r="AN1495" s="100"/>
      <c r="AO1495" s="100"/>
      <c r="AP1495" s="89" t="s">
        <v>115</v>
      </c>
    </row>
    <row r="1496" spans="1:42" s="89" customFormat="1" x14ac:dyDescent="0.15">
      <c r="A1496" s="100" t="s">
        <v>1</v>
      </c>
      <c r="B1496" s="101">
        <v>90150211</v>
      </c>
      <c r="C1496" s="101">
        <v>1502</v>
      </c>
      <c r="D1496" s="101">
        <v>15</v>
      </c>
      <c r="E1496" s="101"/>
      <c r="F1496" s="101" t="s">
        <v>930</v>
      </c>
      <c r="G1496" s="101" t="s">
        <v>115</v>
      </c>
      <c r="H1496" s="101" t="s">
        <v>3608</v>
      </c>
      <c r="I1496" s="101">
        <v>3</v>
      </c>
      <c r="J1496" s="100">
        <v>0</v>
      </c>
      <c r="K1496" s="100">
        <v>0</v>
      </c>
      <c r="L1496" s="100" t="s">
        <v>115</v>
      </c>
      <c r="M1496" s="102"/>
      <c r="N1496" s="100"/>
      <c r="O1496" s="100" t="s">
        <v>115</v>
      </c>
      <c r="P1496" s="101"/>
      <c r="Q1496" s="100">
        <v>192</v>
      </c>
      <c r="R1496" s="100">
        <v>247</v>
      </c>
      <c r="S1496" s="100"/>
      <c r="T1496" s="100"/>
      <c r="U1496" s="100"/>
      <c r="V1496" s="100"/>
      <c r="W1496" s="100"/>
      <c r="X1496" s="100">
        <v>90150212</v>
      </c>
      <c r="Y1496" s="100" t="s">
        <v>115</v>
      </c>
      <c r="Z1496" s="100" t="s">
        <v>115</v>
      </c>
      <c r="AA1496" s="100" t="s">
        <v>115</v>
      </c>
      <c r="AB1496" s="100" t="s">
        <v>115</v>
      </c>
      <c r="AC1496" s="100" t="s">
        <v>115</v>
      </c>
      <c r="AD1496" s="100"/>
      <c r="AE1496" s="100"/>
      <c r="AF1496" s="100"/>
      <c r="AG1496" s="100"/>
      <c r="AH1496" s="100"/>
      <c r="AI1496" s="100" t="s">
        <v>115</v>
      </c>
      <c r="AJ1496" s="100"/>
      <c r="AK1496" s="100"/>
      <c r="AL1496" s="100"/>
      <c r="AM1496" s="100"/>
      <c r="AN1496" s="100"/>
      <c r="AO1496" s="100"/>
      <c r="AP1496" s="89" t="s">
        <v>115</v>
      </c>
    </row>
    <row r="1497" spans="1:42" s="89" customFormat="1" x14ac:dyDescent="0.15">
      <c r="A1497" s="100" t="s">
        <v>1</v>
      </c>
      <c r="B1497" s="101">
        <v>90150212</v>
      </c>
      <c r="C1497" s="101">
        <v>1502</v>
      </c>
      <c r="D1497" s="101">
        <v>15</v>
      </c>
      <c r="E1497" s="101"/>
      <c r="F1497" s="101" t="s">
        <v>115</v>
      </c>
      <c r="G1497" s="101" t="s">
        <v>115</v>
      </c>
      <c r="H1497" s="101" t="s">
        <v>3609</v>
      </c>
      <c r="I1497" s="101">
        <v>4</v>
      </c>
      <c r="J1497" s="100">
        <v>0</v>
      </c>
      <c r="K1497" s="100">
        <v>5</v>
      </c>
      <c r="L1497" s="100" t="s">
        <v>115</v>
      </c>
      <c r="M1497" s="102"/>
      <c r="N1497" s="100"/>
      <c r="O1497" s="100">
        <v>1</v>
      </c>
      <c r="P1497" s="101"/>
      <c r="Q1497" s="100">
        <v>192</v>
      </c>
      <c r="R1497" s="100" t="s">
        <v>115</v>
      </c>
      <c r="S1497" s="100"/>
      <c r="T1497" s="100"/>
      <c r="U1497" s="100"/>
      <c r="V1497" s="100"/>
      <c r="W1497" s="100"/>
      <c r="X1497" s="100" t="s">
        <v>115</v>
      </c>
      <c r="Y1497" s="100" t="s">
        <v>115</v>
      </c>
      <c r="Z1497" s="100">
        <v>4</v>
      </c>
      <c r="AA1497" s="100" t="s">
        <v>115</v>
      </c>
      <c r="AB1497" s="100" t="s">
        <v>115</v>
      </c>
      <c r="AC1497" s="100" t="s">
        <v>115</v>
      </c>
      <c r="AD1497" s="100"/>
      <c r="AE1497" s="100"/>
      <c r="AF1497" s="100"/>
      <c r="AG1497" s="100"/>
      <c r="AH1497" s="100"/>
      <c r="AI1497" s="100" t="s">
        <v>115</v>
      </c>
      <c r="AJ1497" s="100"/>
      <c r="AK1497" s="100"/>
      <c r="AL1497" s="100"/>
      <c r="AM1497" s="100"/>
      <c r="AN1497" s="100"/>
      <c r="AO1497" s="100"/>
      <c r="AP1497" s="89" t="s">
        <v>3610</v>
      </c>
    </row>
    <row r="1498" spans="1:42" s="89" customFormat="1" x14ac:dyDescent="0.15">
      <c r="A1498" s="100" t="s">
        <v>1</v>
      </c>
      <c r="B1498" s="101" t="s">
        <v>3438</v>
      </c>
      <c r="C1498" s="101">
        <v>1503</v>
      </c>
      <c r="D1498" s="101">
        <v>15</v>
      </c>
      <c r="E1498" s="101"/>
      <c r="F1498" s="101" t="s">
        <v>115</v>
      </c>
      <c r="G1498" s="101" t="s">
        <v>115</v>
      </c>
      <c r="H1498" s="101" t="s">
        <v>3611</v>
      </c>
      <c r="I1498" s="101">
        <v>4</v>
      </c>
      <c r="J1498" s="100">
        <v>1</v>
      </c>
      <c r="K1498" s="100">
        <v>1</v>
      </c>
      <c r="L1498" s="100" t="s">
        <v>115</v>
      </c>
      <c r="M1498" s="102"/>
      <c r="N1498" s="100"/>
      <c r="O1498" s="100" t="s">
        <v>115</v>
      </c>
      <c r="P1498" s="101"/>
      <c r="Q1498" s="100">
        <v>118</v>
      </c>
      <c r="R1498" s="100" t="s">
        <v>115</v>
      </c>
      <c r="S1498" s="100"/>
      <c r="T1498" s="100"/>
      <c r="U1498" s="100"/>
      <c r="V1498" s="100"/>
      <c r="W1498" s="100"/>
      <c r="X1498" s="100">
        <v>90150302</v>
      </c>
      <c r="Y1498" s="100" t="s">
        <v>115</v>
      </c>
      <c r="Z1498" s="100" t="s">
        <v>115</v>
      </c>
      <c r="AA1498" s="100" t="s">
        <v>115</v>
      </c>
      <c r="AB1498" s="100" t="s">
        <v>115</v>
      </c>
      <c r="AC1498" s="100" t="s">
        <v>115</v>
      </c>
      <c r="AD1498" s="100"/>
      <c r="AE1498" s="100"/>
      <c r="AF1498" s="100"/>
      <c r="AG1498" s="100"/>
      <c r="AH1498" s="100"/>
      <c r="AI1498" s="100" t="s">
        <v>115</v>
      </c>
      <c r="AJ1498" s="100"/>
      <c r="AK1498" s="100"/>
      <c r="AL1498" s="100"/>
      <c r="AM1498" s="100"/>
      <c r="AN1498" s="100"/>
      <c r="AO1498" s="100"/>
      <c r="AP1498" s="89" t="s">
        <v>115</v>
      </c>
    </row>
    <row r="1499" spans="1:42" s="89" customFormat="1" x14ac:dyDescent="0.15">
      <c r="A1499" s="100" t="s">
        <v>1</v>
      </c>
      <c r="B1499" s="101">
        <v>90150302</v>
      </c>
      <c r="C1499" s="101">
        <v>1503</v>
      </c>
      <c r="D1499" s="101">
        <v>15</v>
      </c>
      <c r="E1499" s="101"/>
      <c r="F1499" s="101" t="s">
        <v>116</v>
      </c>
      <c r="G1499" s="101">
        <v>314</v>
      </c>
      <c r="H1499" s="101" t="s">
        <v>3612</v>
      </c>
      <c r="I1499" s="101">
        <v>2</v>
      </c>
      <c r="J1499" s="100">
        <v>0</v>
      </c>
      <c r="K1499" s="100">
        <v>2</v>
      </c>
      <c r="L1499" s="100" t="s">
        <v>115</v>
      </c>
      <c r="M1499" s="102"/>
      <c r="N1499" s="100"/>
      <c r="O1499" s="100" t="s">
        <v>115</v>
      </c>
      <c r="P1499" s="101"/>
      <c r="Q1499" s="100">
        <v>118</v>
      </c>
      <c r="R1499" s="100" t="s">
        <v>115</v>
      </c>
      <c r="S1499" s="100"/>
      <c r="T1499" s="100"/>
      <c r="U1499" s="100"/>
      <c r="V1499" s="100"/>
      <c r="W1499" s="100"/>
      <c r="X1499" s="100" t="s">
        <v>3613</v>
      </c>
      <c r="Y1499" s="100">
        <v>1</v>
      </c>
      <c r="Z1499" s="100">
        <v>1</v>
      </c>
      <c r="AA1499" s="100" t="s">
        <v>115</v>
      </c>
      <c r="AB1499" s="100" t="s">
        <v>115</v>
      </c>
      <c r="AC1499" s="100" t="s">
        <v>115</v>
      </c>
      <c r="AD1499" s="100"/>
      <c r="AE1499" s="100"/>
      <c r="AF1499" s="100"/>
      <c r="AG1499" s="100"/>
      <c r="AH1499" s="100"/>
      <c r="AI1499" s="100" t="s">
        <v>115</v>
      </c>
      <c r="AJ1499" s="100"/>
      <c r="AK1499" s="100"/>
      <c r="AL1499" s="100"/>
      <c r="AM1499" s="100"/>
      <c r="AN1499" s="100"/>
      <c r="AO1499" s="100"/>
      <c r="AP1499" s="89" t="s">
        <v>115</v>
      </c>
    </row>
    <row r="1500" spans="1:42" s="89" customFormat="1" x14ac:dyDescent="0.15">
      <c r="A1500" s="100" t="s">
        <v>1</v>
      </c>
      <c r="B1500" s="101">
        <v>90150303</v>
      </c>
      <c r="C1500" s="101">
        <v>1503</v>
      </c>
      <c r="D1500" s="101">
        <v>15</v>
      </c>
      <c r="E1500" s="101"/>
      <c r="F1500" s="101" t="s">
        <v>115</v>
      </c>
      <c r="G1500" s="101" t="s">
        <v>115</v>
      </c>
      <c r="H1500" s="101" t="s">
        <v>3188</v>
      </c>
      <c r="I1500" s="101">
        <v>4</v>
      </c>
      <c r="J1500" s="100">
        <v>0</v>
      </c>
      <c r="K1500" s="100">
        <v>3</v>
      </c>
      <c r="L1500" s="100" t="s">
        <v>115</v>
      </c>
      <c r="M1500" s="102"/>
      <c r="N1500" s="100"/>
      <c r="O1500" s="100" t="s">
        <v>115</v>
      </c>
      <c r="P1500" s="101"/>
      <c r="Q1500" s="100">
        <v>118</v>
      </c>
      <c r="R1500" s="100" t="s">
        <v>115</v>
      </c>
      <c r="S1500" s="100"/>
      <c r="T1500" s="100"/>
      <c r="U1500" s="100"/>
      <c r="V1500" s="100"/>
      <c r="W1500" s="100"/>
      <c r="X1500" s="100">
        <v>90150304</v>
      </c>
      <c r="Y1500" s="100">
        <v>-1</v>
      </c>
      <c r="Z1500" s="100">
        <v>2</v>
      </c>
      <c r="AA1500" s="100" t="s">
        <v>115</v>
      </c>
      <c r="AB1500" s="100" t="s">
        <v>115</v>
      </c>
      <c r="AC1500" s="100" t="s">
        <v>3614</v>
      </c>
      <c r="AD1500" s="100"/>
      <c r="AE1500" s="100"/>
      <c r="AF1500" s="100"/>
      <c r="AG1500" s="100"/>
      <c r="AH1500" s="100"/>
      <c r="AI1500" s="100" t="s">
        <v>115</v>
      </c>
      <c r="AJ1500" s="100"/>
      <c r="AK1500" s="100"/>
      <c r="AL1500" s="100"/>
      <c r="AM1500" s="100"/>
      <c r="AN1500" s="100"/>
      <c r="AO1500" s="100"/>
      <c r="AP1500" s="89" t="s">
        <v>115</v>
      </c>
    </row>
    <row r="1501" spans="1:42" s="89" customFormat="1" x14ac:dyDescent="0.15">
      <c r="A1501" s="100" t="s">
        <v>1</v>
      </c>
      <c r="B1501" s="101">
        <v>90150304</v>
      </c>
      <c r="C1501" s="101">
        <v>1503</v>
      </c>
      <c r="D1501" s="101">
        <v>15</v>
      </c>
      <c r="E1501" s="101"/>
      <c r="F1501" s="101" t="s">
        <v>115</v>
      </c>
      <c r="G1501" s="101" t="s">
        <v>115</v>
      </c>
      <c r="H1501" s="101" t="s">
        <v>3615</v>
      </c>
      <c r="I1501" s="101">
        <v>4</v>
      </c>
      <c r="J1501" s="100">
        <v>0</v>
      </c>
      <c r="K1501" s="100">
        <v>0</v>
      </c>
      <c r="L1501" s="100" t="s">
        <v>115</v>
      </c>
      <c r="M1501" s="102"/>
      <c r="N1501" s="100"/>
      <c r="O1501" s="100" t="s">
        <v>115</v>
      </c>
      <c r="P1501" s="101"/>
      <c r="Q1501" s="100">
        <v>118</v>
      </c>
      <c r="R1501" s="100" t="s">
        <v>115</v>
      </c>
      <c r="S1501" s="100"/>
      <c r="T1501" s="100"/>
      <c r="U1501" s="100"/>
      <c r="V1501" s="100"/>
      <c r="W1501" s="100"/>
      <c r="X1501" s="100">
        <v>90150305</v>
      </c>
      <c r="Y1501" s="100" t="s">
        <v>115</v>
      </c>
      <c r="Z1501" s="100" t="s">
        <v>115</v>
      </c>
      <c r="AA1501" s="100" t="s">
        <v>115</v>
      </c>
      <c r="AB1501" s="100" t="s">
        <v>115</v>
      </c>
      <c r="AC1501" s="100" t="s">
        <v>115</v>
      </c>
      <c r="AD1501" s="100"/>
      <c r="AE1501" s="100"/>
      <c r="AF1501" s="100"/>
      <c r="AG1501" s="100"/>
      <c r="AH1501" s="100"/>
      <c r="AI1501" s="100" t="s">
        <v>115</v>
      </c>
      <c r="AJ1501" s="100"/>
      <c r="AK1501" s="100"/>
      <c r="AL1501" s="100"/>
      <c r="AM1501" s="100"/>
      <c r="AN1501" s="100"/>
      <c r="AO1501" s="100"/>
      <c r="AP1501" s="89" t="s">
        <v>115</v>
      </c>
    </row>
    <row r="1502" spans="1:42" s="89" customFormat="1" x14ac:dyDescent="0.15">
      <c r="A1502" s="100" t="s">
        <v>1</v>
      </c>
      <c r="B1502" s="101">
        <v>90150305</v>
      </c>
      <c r="C1502" s="101">
        <v>1503</v>
      </c>
      <c r="D1502" s="101">
        <v>15</v>
      </c>
      <c r="E1502" s="101"/>
      <c r="F1502" s="101" t="s">
        <v>116</v>
      </c>
      <c r="G1502" s="101">
        <v>313</v>
      </c>
      <c r="H1502" s="101" t="s">
        <v>3616</v>
      </c>
      <c r="I1502" s="101">
        <v>0</v>
      </c>
      <c r="J1502" s="100">
        <v>0</v>
      </c>
      <c r="K1502" s="100">
        <v>0</v>
      </c>
      <c r="L1502" s="100" t="s">
        <v>115</v>
      </c>
      <c r="M1502" s="102"/>
      <c r="N1502" s="100"/>
      <c r="O1502" s="100" t="s">
        <v>115</v>
      </c>
      <c r="P1502" s="101"/>
      <c r="Q1502" s="100">
        <v>118</v>
      </c>
      <c r="R1502" s="100" t="s">
        <v>115</v>
      </c>
      <c r="S1502" s="100"/>
      <c r="T1502" s="100"/>
      <c r="U1502" s="100"/>
      <c r="V1502" s="100"/>
      <c r="W1502" s="100"/>
      <c r="X1502" s="100">
        <v>90150306</v>
      </c>
      <c r="Y1502" s="100" t="s">
        <v>115</v>
      </c>
      <c r="Z1502" s="100" t="s">
        <v>115</v>
      </c>
      <c r="AA1502" s="100" t="s">
        <v>115</v>
      </c>
      <c r="AB1502" s="100" t="s">
        <v>115</v>
      </c>
      <c r="AC1502" s="100" t="s">
        <v>115</v>
      </c>
      <c r="AD1502" s="100"/>
      <c r="AE1502" s="100"/>
      <c r="AF1502" s="100"/>
      <c r="AG1502" s="100"/>
      <c r="AH1502" s="100"/>
      <c r="AI1502" s="100" t="s">
        <v>115</v>
      </c>
      <c r="AJ1502" s="100"/>
      <c r="AK1502" s="100"/>
      <c r="AL1502" s="100"/>
      <c r="AM1502" s="100"/>
      <c r="AN1502" s="100"/>
      <c r="AO1502" s="100"/>
      <c r="AP1502" s="89" t="s">
        <v>115</v>
      </c>
    </row>
    <row r="1503" spans="1:42" s="89" customFormat="1" x14ac:dyDescent="0.15">
      <c r="A1503" s="100" t="s">
        <v>1</v>
      </c>
      <c r="B1503" s="101">
        <v>90150306</v>
      </c>
      <c r="C1503" s="101">
        <v>1503</v>
      </c>
      <c r="D1503" s="101">
        <v>15</v>
      </c>
      <c r="E1503" s="101"/>
      <c r="F1503" s="101" t="s">
        <v>115</v>
      </c>
      <c r="G1503" s="101" t="s">
        <v>115</v>
      </c>
      <c r="H1503" s="101" t="s">
        <v>3617</v>
      </c>
      <c r="I1503" s="101">
        <v>4</v>
      </c>
      <c r="J1503" s="100">
        <v>0</v>
      </c>
      <c r="K1503" s="100">
        <v>0</v>
      </c>
      <c r="L1503" s="100" t="s">
        <v>115</v>
      </c>
      <c r="M1503" s="102"/>
      <c r="N1503" s="100"/>
      <c r="O1503" s="100" t="s">
        <v>115</v>
      </c>
      <c r="P1503" s="101"/>
      <c r="Q1503" s="100">
        <v>118</v>
      </c>
      <c r="R1503" s="100" t="s">
        <v>115</v>
      </c>
      <c r="S1503" s="100"/>
      <c r="T1503" s="100"/>
      <c r="U1503" s="100"/>
      <c r="V1503" s="100"/>
      <c r="W1503" s="100"/>
      <c r="X1503" s="100">
        <v>90150307</v>
      </c>
      <c r="Y1503" s="100" t="s">
        <v>115</v>
      </c>
      <c r="Z1503" s="100" t="s">
        <v>115</v>
      </c>
      <c r="AA1503" s="100" t="s">
        <v>115</v>
      </c>
      <c r="AB1503" s="100" t="s">
        <v>115</v>
      </c>
      <c r="AC1503" s="100" t="s">
        <v>115</v>
      </c>
      <c r="AD1503" s="100"/>
      <c r="AE1503" s="100"/>
      <c r="AF1503" s="100"/>
      <c r="AG1503" s="100"/>
      <c r="AH1503" s="100"/>
      <c r="AI1503" s="100" t="s">
        <v>115</v>
      </c>
      <c r="AJ1503" s="100"/>
      <c r="AK1503" s="100"/>
      <c r="AL1503" s="100"/>
      <c r="AM1503" s="100"/>
      <c r="AN1503" s="100"/>
      <c r="AO1503" s="100"/>
      <c r="AP1503" s="89" t="s">
        <v>115</v>
      </c>
    </row>
    <row r="1504" spans="1:42" s="89" customFormat="1" x14ac:dyDescent="0.15">
      <c r="A1504" s="100" t="s">
        <v>1</v>
      </c>
      <c r="B1504" s="101">
        <v>90150307</v>
      </c>
      <c r="C1504" s="101">
        <v>1503</v>
      </c>
      <c r="D1504" s="101">
        <v>15</v>
      </c>
      <c r="E1504" s="101"/>
      <c r="F1504" s="101" t="s">
        <v>115</v>
      </c>
      <c r="G1504" s="101" t="s">
        <v>115</v>
      </c>
      <c r="H1504" s="101" t="s">
        <v>3618</v>
      </c>
      <c r="I1504" s="101">
        <v>4</v>
      </c>
      <c r="J1504" s="100">
        <v>0</v>
      </c>
      <c r="K1504" s="100">
        <v>4</v>
      </c>
      <c r="L1504" s="100" t="s">
        <v>115</v>
      </c>
      <c r="M1504" s="102"/>
      <c r="N1504" s="100"/>
      <c r="O1504" s="100">
        <v>1</v>
      </c>
      <c r="P1504" s="101"/>
      <c r="Q1504" s="100">
        <v>118</v>
      </c>
      <c r="R1504" s="100" t="s">
        <v>115</v>
      </c>
      <c r="S1504" s="100"/>
      <c r="T1504" s="100"/>
      <c r="U1504" s="100"/>
      <c r="V1504" s="100"/>
      <c r="W1504" s="100"/>
      <c r="X1504" s="100" t="s">
        <v>115</v>
      </c>
      <c r="Y1504" s="100" t="s">
        <v>115</v>
      </c>
      <c r="Z1504" s="100">
        <v>3</v>
      </c>
      <c r="AA1504" s="100" t="s">
        <v>115</v>
      </c>
      <c r="AB1504" s="100" t="s">
        <v>115</v>
      </c>
      <c r="AC1504" s="100" t="s">
        <v>115</v>
      </c>
      <c r="AD1504" s="100"/>
      <c r="AE1504" s="100"/>
      <c r="AF1504" s="100"/>
      <c r="AG1504" s="100"/>
      <c r="AH1504" s="100"/>
      <c r="AI1504" s="100" t="s">
        <v>115</v>
      </c>
      <c r="AJ1504" s="100"/>
      <c r="AK1504" s="100"/>
      <c r="AL1504" s="100"/>
      <c r="AM1504" s="100"/>
      <c r="AN1504" s="100"/>
      <c r="AO1504" s="100"/>
      <c r="AP1504" s="89" t="s">
        <v>3619</v>
      </c>
    </row>
    <row r="1505" spans="1:42" s="89" customFormat="1" x14ac:dyDescent="0.15">
      <c r="A1505" s="100" t="s">
        <v>1</v>
      </c>
      <c r="B1505" s="101" t="s">
        <v>3440</v>
      </c>
      <c r="C1505" s="101">
        <v>1504</v>
      </c>
      <c r="D1505" s="101">
        <v>15</v>
      </c>
      <c r="E1505" s="101"/>
      <c r="F1505" s="101" t="s">
        <v>115</v>
      </c>
      <c r="G1505" s="101" t="s">
        <v>115</v>
      </c>
      <c r="H1505" s="101" t="s">
        <v>3620</v>
      </c>
      <c r="I1505" s="101">
        <v>4</v>
      </c>
      <c r="J1505" s="100">
        <v>1</v>
      </c>
      <c r="K1505" s="100">
        <v>1</v>
      </c>
      <c r="L1505" s="100" t="s">
        <v>115</v>
      </c>
      <c r="M1505" s="102"/>
      <c r="N1505" s="100"/>
      <c r="O1505" s="100" t="s">
        <v>115</v>
      </c>
      <c r="P1505" s="101"/>
      <c r="Q1505" s="100">
        <v>198</v>
      </c>
      <c r="R1505" s="100" t="s">
        <v>115</v>
      </c>
      <c r="S1505" s="100"/>
      <c r="T1505" s="100"/>
      <c r="U1505" s="100"/>
      <c r="V1505" s="100"/>
      <c r="W1505" s="100"/>
      <c r="X1505" s="100">
        <v>90150402</v>
      </c>
      <c r="Y1505" s="100" t="s">
        <v>115</v>
      </c>
      <c r="Z1505" s="100" t="s">
        <v>115</v>
      </c>
      <c r="AA1505" s="100" t="s">
        <v>115</v>
      </c>
      <c r="AB1505" s="100" t="s">
        <v>115</v>
      </c>
      <c r="AC1505" s="100" t="s">
        <v>115</v>
      </c>
      <c r="AD1505" s="100"/>
      <c r="AE1505" s="100"/>
      <c r="AF1505" s="100"/>
      <c r="AG1505" s="100"/>
      <c r="AH1505" s="100"/>
      <c r="AI1505" s="100" t="s">
        <v>115</v>
      </c>
      <c r="AJ1505" s="100"/>
      <c r="AK1505" s="100"/>
      <c r="AL1505" s="100"/>
      <c r="AM1505" s="100"/>
      <c r="AN1505" s="100"/>
      <c r="AO1505" s="100"/>
      <c r="AP1505" s="89" t="s">
        <v>115</v>
      </c>
    </row>
    <row r="1506" spans="1:42" s="89" customFormat="1" x14ac:dyDescent="0.15">
      <c r="A1506" s="100" t="s">
        <v>1</v>
      </c>
      <c r="B1506" s="101">
        <v>90150402</v>
      </c>
      <c r="C1506" s="101">
        <v>1504</v>
      </c>
      <c r="D1506" s="101">
        <v>15</v>
      </c>
      <c r="E1506" s="101"/>
      <c r="F1506" s="101" t="s">
        <v>3621</v>
      </c>
      <c r="G1506" s="101" t="s">
        <v>115</v>
      </c>
      <c r="H1506" s="101" t="s">
        <v>3622</v>
      </c>
      <c r="I1506" s="101">
        <v>3</v>
      </c>
      <c r="J1506" s="100">
        <v>0</v>
      </c>
      <c r="K1506" s="100">
        <v>0</v>
      </c>
      <c r="L1506" s="100" t="s">
        <v>115</v>
      </c>
      <c r="M1506" s="102"/>
      <c r="N1506" s="100"/>
      <c r="O1506" s="100" t="s">
        <v>115</v>
      </c>
      <c r="P1506" s="101"/>
      <c r="Q1506" s="100">
        <v>198</v>
      </c>
      <c r="R1506" s="100">
        <v>128</v>
      </c>
      <c r="S1506" s="100"/>
      <c r="T1506" s="100"/>
      <c r="U1506" s="100"/>
      <c r="V1506" s="100"/>
      <c r="W1506" s="100"/>
      <c r="X1506" s="100">
        <v>90150403</v>
      </c>
      <c r="Y1506" s="100" t="s">
        <v>115</v>
      </c>
      <c r="Z1506" s="100" t="s">
        <v>115</v>
      </c>
      <c r="AA1506" s="100" t="s">
        <v>115</v>
      </c>
      <c r="AB1506" s="100" t="s">
        <v>115</v>
      </c>
      <c r="AC1506" s="100" t="s">
        <v>115</v>
      </c>
      <c r="AD1506" s="100"/>
      <c r="AE1506" s="100"/>
      <c r="AF1506" s="100"/>
      <c r="AG1506" s="100"/>
      <c r="AH1506" s="100"/>
      <c r="AI1506" s="100" t="s">
        <v>115</v>
      </c>
      <c r="AJ1506" s="100"/>
      <c r="AK1506" s="100"/>
      <c r="AL1506" s="100"/>
      <c r="AM1506" s="100"/>
      <c r="AN1506" s="100"/>
      <c r="AO1506" s="100"/>
      <c r="AP1506" s="89" t="s">
        <v>115</v>
      </c>
    </row>
    <row r="1507" spans="1:42" s="89" customFormat="1" x14ac:dyDescent="0.15">
      <c r="A1507" s="100" t="s">
        <v>1</v>
      </c>
      <c r="B1507" s="101">
        <v>90150403</v>
      </c>
      <c r="C1507" s="101">
        <v>1504</v>
      </c>
      <c r="D1507" s="101">
        <v>15</v>
      </c>
      <c r="E1507" s="101"/>
      <c r="F1507" s="101" t="s">
        <v>116</v>
      </c>
      <c r="G1507" s="101">
        <v>312</v>
      </c>
      <c r="H1507" s="101" t="s">
        <v>3623</v>
      </c>
      <c r="I1507" s="101">
        <v>0</v>
      </c>
      <c r="J1507" s="100">
        <v>0</v>
      </c>
      <c r="K1507" s="100">
        <v>0</v>
      </c>
      <c r="L1507" s="100" t="s">
        <v>115</v>
      </c>
      <c r="M1507" s="102"/>
      <c r="N1507" s="100"/>
      <c r="O1507" s="100" t="s">
        <v>115</v>
      </c>
      <c r="P1507" s="101"/>
      <c r="Q1507" s="100">
        <v>198</v>
      </c>
      <c r="R1507" s="100">
        <v>128</v>
      </c>
      <c r="S1507" s="100"/>
      <c r="T1507" s="100"/>
      <c r="U1507" s="100"/>
      <c r="V1507" s="100"/>
      <c r="W1507" s="100"/>
      <c r="X1507" s="100">
        <v>90150404</v>
      </c>
      <c r="Y1507" s="100" t="s">
        <v>115</v>
      </c>
      <c r="Z1507" s="100" t="s">
        <v>115</v>
      </c>
      <c r="AA1507" s="100" t="s">
        <v>115</v>
      </c>
      <c r="AB1507" s="100" t="s">
        <v>115</v>
      </c>
      <c r="AC1507" s="100" t="s">
        <v>115</v>
      </c>
      <c r="AD1507" s="100"/>
      <c r="AE1507" s="100"/>
      <c r="AF1507" s="100"/>
      <c r="AG1507" s="100"/>
      <c r="AH1507" s="100"/>
      <c r="AI1507" s="100" t="s">
        <v>115</v>
      </c>
      <c r="AJ1507" s="100"/>
      <c r="AK1507" s="100"/>
      <c r="AL1507" s="100"/>
      <c r="AM1507" s="100"/>
      <c r="AN1507" s="100"/>
      <c r="AO1507" s="100"/>
      <c r="AP1507" s="89" t="s">
        <v>115</v>
      </c>
    </row>
    <row r="1508" spans="1:42" s="89" customFormat="1" x14ac:dyDescent="0.15">
      <c r="A1508" s="100" t="s">
        <v>1</v>
      </c>
      <c r="B1508" s="101">
        <v>90150404</v>
      </c>
      <c r="C1508" s="101">
        <v>1504</v>
      </c>
      <c r="D1508" s="101">
        <v>15</v>
      </c>
      <c r="E1508" s="101"/>
      <c r="F1508" s="101" t="s">
        <v>3621</v>
      </c>
      <c r="G1508" s="101" t="s">
        <v>115</v>
      </c>
      <c r="H1508" s="101" t="s">
        <v>3624</v>
      </c>
      <c r="I1508" s="101">
        <v>3</v>
      </c>
      <c r="J1508" s="100">
        <v>0</v>
      </c>
      <c r="K1508" s="100">
        <v>2</v>
      </c>
      <c r="L1508" s="100" t="s">
        <v>115</v>
      </c>
      <c r="M1508" s="102"/>
      <c r="N1508" s="100"/>
      <c r="O1508" s="100" t="s">
        <v>115</v>
      </c>
      <c r="P1508" s="101"/>
      <c r="Q1508" s="100">
        <v>198</v>
      </c>
      <c r="R1508" s="100">
        <v>128</v>
      </c>
      <c r="S1508" s="100"/>
      <c r="T1508" s="100"/>
      <c r="U1508" s="100"/>
      <c r="V1508" s="100"/>
      <c r="W1508" s="100"/>
      <c r="X1508" s="100" t="s">
        <v>3625</v>
      </c>
      <c r="Y1508" s="100">
        <v>1</v>
      </c>
      <c r="Z1508" s="100">
        <v>1</v>
      </c>
      <c r="AA1508" s="100" t="s">
        <v>115</v>
      </c>
      <c r="AB1508" s="100" t="s">
        <v>115</v>
      </c>
      <c r="AC1508" s="100" t="s">
        <v>115</v>
      </c>
      <c r="AD1508" s="100"/>
      <c r="AE1508" s="100"/>
      <c r="AF1508" s="100"/>
      <c r="AG1508" s="100"/>
      <c r="AH1508" s="100"/>
      <c r="AI1508" s="100" t="s">
        <v>115</v>
      </c>
      <c r="AJ1508" s="100"/>
      <c r="AK1508" s="100"/>
      <c r="AL1508" s="100"/>
      <c r="AM1508" s="100"/>
      <c r="AN1508" s="100"/>
      <c r="AO1508" s="100"/>
      <c r="AP1508" s="89" t="s">
        <v>115</v>
      </c>
    </row>
    <row r="1509" spans="1:42" s="89" customFormat="1" x14ac:dyDescent="0.15">
      <c r="A1509" s="100" t="s">
        <v>1</v>
      </c>
      <c r="B1509" s="101">
        <v>90150405</v>
      </c>
      <c r="C1509" s="101">
        <v>1504</v>
      </c>
      <c r="D1509" s="101">
        <v>15</v>
      </c>
      <c r="E1509" s="101"/>
      <c r="F1509" s="101" t="s">
        <v>115</v>
      </c>
      <c r="G1509" s="101" t="s">
        <v>115</v>
      </c>
      <c r="H1509" s="101" t="s">
        <v>3626</v>
      </c>
      <c r="I1509" s="101">
        <v>4</v>
      </c>
      <c r="J1509" s="100">
        <v>0</v>
      </c>
      <c r="K1509" s="100">
        <v>3</v>
      </c>
      <c r="L1509" s="100" t="s">
        <v>115</v>
      </c>
      <c r="M1509" s="102"/>
      <c r="N1509" s="100"/>
      <c r="O1509" s="100" t="s">
        <v>115</v>
      </c>
      <c r="P1509" s="101"/>
      <c r="Q1509" s="100">
        <v>198</v>
      </c>
      <c r="R1509" s="100">
        <v>128</v>
      </c>
      <c r="S1509" s="100"/>
      <c r="T1509" s="100"/>
      <c r="U1509" s="100"/>
      <c r="V1509" s="100"/>
      <c r="W1509" s="100"/>
      <c r="X1509" s="100">
        <v>90150407</v>
      </c>
      <c r="Y1509" s="100">
        <v>-1</v>
      </c>
      <c r="Z1509" s="100">
        <v>2</v>
      </c>
      <c r="AA1509" s="100" t="s">
        <v>115</v>
      </c>
      <c r="AB1509" s="100" t="s">
        <v>115</v>
      </c>
      <c r="AC1509" s="100" t="s">
        <v>3627</v>
      </c>
      <c r="AD1509" s="100"/>
      <c r="AE1509" s="100"/>
      <c r="AF1509" s="100"/>
      <c r="AG1509" s="100"/>
      <c r="AH1509" s="100"/>
      <c r="AI1509" s="100" t="s">
        <v>115</v>
      </c>
      <c r="AJ1509" s="100"/>
      <c r="AK1509" s="100"/>
      <c r="AL1509" s="100"/>
      <c r="AM1509" s="100"/>
      <c r="AN1509" s="100"/>
      <c r="AO1509" s="100"/>
      <c r="AP1509" s="89" t="s">
        <v>115</v>
      </c>
    </row>
    <row r="1510" spans="1:42" s="89" customFormat="1" x14ac:dyDescent="0.15">
      <c r="A1510" s="100" t="s">
        <v>1</v>
      </c>
      <c r="B1510" s="101">
        <v>90150406</v>
      </c>
      <c r="C1510" s="101">
        <v>1504</v>
      </c>
      <c r="D1510" s="101">
        <v>15</v>
      </c>
      <c r="E1510" s="101"/>
      <c r="F1510" s="101" t="s">
        <v>115</v>
      </c>
      <c r="G1510" s="101" t="s">
        <v>115</v>
      </c>
      <c r="H1510" s="101" t="s">
        <v>3628</v>
      </c>
      <c r="I1510" s="101">
        <v>4</v>
      </c>
      <c r="J1510" s="100">
        <v>0</v>
      </c>
      <c r="K1510" s="100">
        <v>4</v>
      </c>
      <c r="L1510" s="100" t="s">
        <v>115</v>
      </c>
      <c r="M1510" s="102"/>
      <c r="N1510" s="100"/>
      <c r="O1510" s="100" t="s">
        <v>115</v>
      </c>
      <c r="P1510" s="101"/>
      <c r="Q1510" s="100">
        <v>198</v>
      </c>
      <c r="R1510" s="100">
        <v>128</v>
      </c>
      <c r="S1510" s="100"/>
      <c r="T1510" s="100"/>
      <c r="U1510" s="100"/>
      <c r="V1510" s="100"/>
      <c r="W1510" s="100"/>
      <c r="X1510" s="100">
        <v>90150408</v>
      </c>
      <c r="Y1510" s="100">
        <v>-1</v>
      </c>
      <c r="Z1510" s="100">
        <v>2</v>
      </c>
      <c r="AA1510" s="100" t="s">
        <v>3629</v>
      </c>
      <c r="AB1510" s="100" t="s">
        <v>115</v>
      </c>
      <c r="AC1510" s="100" t="s">
        <v>115</v>
      </c>
      <c r="AD1510" s="100"/>
      <c r="AE1510" s="100"/>
      <c r="AF1510" s="100"/>
      <c r="AG1510" s="100"/>
      <c r="AH1510" s="100"/>
      <c r="AI1510" s="100" t="s">
        <v>115</v>
      </c>
      <c r="AJ1510" s="100"/>
      <c r="AK1510" s="100"/>
      <c r="AL1510" s="100"/>
      <c r="AM1510" s="100"/>
      <c r="AN1510" s="100"/>
      <c r="AO1510" s="100"/>
      <c r="AP1510" s="89" t="s">
        <v>115</v>
      </c>
    </row>
    <row r="1511" spans="1:42" s="89" customFormat="1" x14ac:dyDescent="0.15">
      <c r="A1511" s="100" t="s">
        <v>1</v>
      </c>
      <c r="B1511" s="101">
        <v>90150407</v>
      </c>
      <c r="C1511" s="101">
        <v>1504</v>
      </c>
      <c r="D1511" s="101">
        <v>15</v>
      </c>
      <c r="E1511" s="101"/>
      <c r="F1511" s="101" t="s">
        <v>115</v>
      </c>
      <c r="G1511" s="101" t="s">
        <v>115</v>
      </c>
      <c r="H1511" s="101" t="s">
        <v>3630</v>
      </c>
      <c r="I1511" s="101">
        <v>4</v>
      </c>
      <c r="J1511" s="100">
        <v>0</v>
      </c>
      <c r="K1511" s="100">
        <v>0</v>
      </c>
      <c r="L1511" s="100" t="s">
        <v>115</v>
      </c>
      <c r="M1511" s="102"/>
      <c r="N1511" s="100"/>
      <c r="O1511" s="100" t="s">
        <v>115</v>
      </c>
      <c r="P1511" s="101"/>
      <c r="Q1511" s="100">
        <v>198</v>
      </c>
      <c r="R1511" s="100">
        <v>128</v>
      </c>
      <c r="S1511" s="100"/>
      <c r="T1511" s="100"/>
      <c r="U1511" s="100"/>
      <c r="V1511" s="100"/>
      <c r="W1511" s="100"/>
      <c r="X1511" s="100">
        <v>90150411</v>
      </c>
      <c r="Y1511" s="100" t="s">
        <v>115</v>
      </c>
      <c r="Z1511" s="100" t="s">
        <v>115</v>
      </c>
      <c r="AA1511" s="100" t="s">
        <v>115</v>
      </c>
      <c r="AB1511" s="100" t="s">
        <v>115</v>
      </c>
      <c r="AC1511" s="100" t="s">
        <v>115</v>
      </c>
      <c r="AD1511" s="100"/>
      <c r="AE1511" s="100"/>
      <c r="AF1511" s="100"/>
      <c r="AG1511" s="100"/>
      <c r="AH1511" s="100"/>
      <c r="AI1511" s="100" t="s">
        <v>115</v>
      </c>
      <c r="AJ1511" s="100"/>
      <c r="AK1511" s="100"/>
      <c r="AL1511" s="100"/>
      <c r="AM1511" s="100"/>
      <c r="AN1511" s="100"/>
      <c r="AO1511" s="100"/>
      <c r="AP1511" s="89" t="s">
        <v>115</v>
      </c>
    </row>
    <row r="1512" spans="1:42" s="89" customFormat="1" x14ac:dyDescent="0.15">
      <c r="A1512" s="100" t="s">
        <v>1</v>
      </c>
      <c r="B1512" s="101">
        <v>90150408</v>
      </c>
      <c r="C1512" s="101">
        <v>1504</v>
      </c>
      <c r="D1512" s="101">
        <v>15</v>
      </c>
      <c r="E1512" s="101"/>
      <c r="F1512" s="101" t="s">
        <v>116</v>
      </c>
      <c r="G1512" s="101">
        <v>312</v>
      </c>
      <c r="H1512" s="101" t="s">
        <v>3631</v>
      </c>
      <c r="I1512" s="101">
        <v>2</v>
      </c>
      <c r="J1512" s="100">
        <v>0</v>
      </c>
      <c r="K1512" s="100">
        <v>0</v>
      </c>
      <c r="L1512" s="100" t="s">
        <v>115</v>
      </c>
      <c r="M1512" s="102"/>
      <c r="N1512" s="100"/>
      <c r="O1512" s="100" t="s">
        <v>115</v>
      </c>
      <c r="P1512" s="101"/>
      <c r="Q1512" s="100">
        <v>198</v>
      </c>
      <c r="R1512" s="100">
        <v>128</v>
      </c>
      <c r="S1512" s="100"/>
      <c r="T1512" s="100"/>
      <c r="U1512" s="100"/>
      <c r="V1512" s="100"/>
      <c r="W1512" s="100"/>
      <c r="X1512" s="100">
        <v>90150409</v>
      </c>
      <c r="Y1512" s="100" t="s">
        <v>115</v>
      </c>
      <c r="Z1512" s="100" t="s">
        <v>115</v>
      </c>
      <c r="AA1512" s="100" t="s">
        <v>115</v>
      </c>
      <c r="AB1512" s="100" t="s">
        <v>115</v>
      </c>
      <c r="AC1512" s="100" t="s">
        <v>115</v>
      </c>
      <c r="AD1512" s="100"/>
      <c r="AE1512" s="100"/>
      <c r="AF1512" s="100"/>
      <c r="AG1512" s="100"/>
      <c r="AH1512" s="100"/>
      <c r="AI1512" s="100" t="s">
        <v>115</v>
      </c>
      <c r="AJ1512" s="100"/>
      <c r="AK1512" s="100"/>
      <c r="AL1512" s="100"/>
      <c r="AM1512" s="100"/>
      <c r="AN1512" s="100"/>
      <c r="AO1512" s="100"/>
      <c r="AP1512" s="89" t="s">
        <v>115</v>
      </c>
    </row>
    <row r="1513" spans="1:42" s="89" customFormat="1" x14ac:dyDescent="0.15">
      <c r="A1513" s="100" t="s">
        <v>1</v>
      </c>
      <c r="B1513" s="101">
        <v>90150409</v>
      </c>
      <c r="C1513" s="101">
        <v>1504</v>
      </c>
      <c r="D1513" s="101">
        <v>15</v>
      </c>
      <c r="E1513" s="101"/>
      <c r="F1513" s="101" t="s">
        <v>116</v>
      </c>
      <c r="G1513" s="101">
        <v>312</v>
      </c>
      <c r="H1513" s="101" t="s">
        <v>3632</v>
      </c>
      <c r="I1513" s="101">
        <v>0</v>
      </c>
      <c r="J1513" s="100">
        <v>0</v>
      </c>
      <c r="K1513" s="100">
        <v>0</v>
      </c>
      <c r="L1513" s="100" t="s">
        <v>115</v>
      </c>
      <c r="M1513" s="102"/>
      <c r="N1513" s="100"/>
      <c r="O1513" s="100" t="s">
        <v>115</v>
      </c>
      <c r="P1513" s="101"/>
      <c r="Q1513" s="100">
        <v>198</v>
      </c>
      <c r="R1513" s="100">
        <v>128</v>
      </c>
      <c r="S1513" s="100"/>
      <c r="T1513" s="100"/>
      <c r="U1513" s="100"/>
      <c r="V1513" s="100"/>
      <c r="W1513" s="100"/>
      <c r="X1513" s="100">
        <v>90150410</v>
      </c>
      <c r="Y1513" s="100" t="s">
        <v>115</v>
      </c>
      <c r="Z1513" s="100" t="s">
        <v>115</v>
      </c>
      <c r="AA1513" s="100" t="s">
        <v>115</v>
      </c>
      <c r="AB1513" s="100" t="s">
        <v>115</v>
      </c>
      <c r="AC1513" s="100" t="s">
        <v>115</v>
      </c>
      <c r="AD1513" s="100"/>
      <c r="AE1513" s="100"/>
      <c r="AF1513" s="100"/>
      <c r="AG1513" s="100"/>
      <c r="AH1513" s="100"/>
      <c r="AI1513" s="100" t="s">
        <v>115</v>
      </c>
      <c r="AJ1513" s="100"/>
      <c r="AK1513" s="100"/>
      <c r="AL1513" s="100"/>
      <c r="AM1513" s="100"/>
      <c r="AN1513" s="100"/>
      <c r="AO1513" s="100"/>
      <c r="AP1513" s="89" t="s">
        <v>115</v>
      </c>
    </row>
    <row r="1514" spans="1:42" s="89" customFormat="1" x14ac:dyDescent="0.15">
      <c r="A1514" s="100" t="s">
        <v>1</v>
      </c>
      <c r="B1514" s="101">
        <v>90150410</v>
      </c>
      <c r="C1514" s="101">
        <v>1504</v>
      </c>
      <c r="D1514" s="101">
        <v>15</v>
      </c>
      <c r="E1514" s="101"/>
      <c r="F1514" s="101" t="s">
        <v>3621</v>
      </c>
      <c r="G1514" s="101" t="s">
        <v>115</v>
      </c>
      <c r="H1514" s="101" t="s">
        <v>3633</v>
      </c>
      <c r="I1514" s="101">
        <v>3</v>
      </c>
      <c r="J1514" s="100">
        <v>0</v>
      </c>
      <c r="K1514" s="100">
        <v>0</v>
      </c>
      <c r="L1514" s="100" t="s">
        <v>115</v>
      </c>
      <c r="M1514" s="102"/>
      <c r="N1514" s="100"/>
      <c r="O1514" s="100" t="s">
        <v>115</v>
      </c>
      <c r="P1514" s="101"/>
      <c r="Q1514" s="100">
        <v>198</v>
      </c>
      <c r="R1514" s="100">
        <v>128</v>
      </c>
      <c r="S1514" s="100"/>
      <c r="T1514" s="100"/>
      <c r="U1514" s="100"/>
      <c r="V1514" s="100"/>
      <c r="W1514" s="100"/>
      <c r="X1514" s="100">
        <v>90150411</v>
      </c>
      <c r="Y1514" s="100" t="s">
        <v>115</v>
      </c>
      <c r="Z1514" s="100" t="s">
        <v>115</v>
      </c>
      <c r="AA1514" s="100" t="s">
        <v>115</v>
      </c>
      <c r="AB1514" s="100" t="s">
        <v>115</v>
      </c>
      <c r="AC1514" s="100" t="s">
        <v>115</v>
      </c>
      <c r="AD1514" s="100"/>
      <c r="AE1514" s="100"/>
      <c r="AF1514" s="100"/>
      <c r="AG1514" s="100"/>
      <c r="AH1514" s="100"/>
      <c r="AI1514" s="100" t="s">
        <v>115</v>
      </c>
      <c r="AJ1514" s="100"/>
      <c r="AK1514" s="100"/>
      <c r="AL1514" s="100"/>
      <c r="AM1514" s="100"/>
      <c r="AN1514" s="100"/>
      <c r="AO1514" s="100"/>
      <c r="AP1514" s="89" t="s">
        <v>115</v>
      </c>
    </row>
    <row r="1515" spans="1:42" s="89" customFormat="1" x14ac:dyDescent="0.15">
      <c r="A1515" s="100" t="s">
        <v>1</v>
      </c>
      <c r="B1515" s="101">
        <v>90150411</v>
      </c>
      <c r="C1515" s="101">
        <v>1504</v>
      </c>
      <c r="D1515" s="101">
        <v>15</v>
      </c>
      <c r="E1515" s="101"/>
      <c r="F1515" s="101" t="s">
        <v>3621</v>
      </c>
      <c r="G1515" s="101" t="s">
        <v>115</v>
      </c>
      <c r="H1515" s="101" t="s">
        <v>3634</v>
      </c>
      <c r="I1515" s="101">
        <v>3</v>
      </c>
      <c r="J1515" s="100">
        <v>0</v>
      </c>
      <c r="K1515" s="100">
        <v>0</v>
      </c>
      <c r="L1515" s="100" t="s">
        <v>115</v>
      </c>
      <c r="M1515" s="102"/>
      <c r="N1515" s="100"/>
      <c r="O1515" s="100" t="s">
        <v>115</v>
      </c>
      <c r="P1515" s="101"/>
      <c r="Q1515" s="100">
        <v>198</v>
      </c>
      <c r="R1515" s="100">
        <v>128</v>
      </c>
      <c r="S1515" s="100"/>
      <c r="T1515" s="100"/>
      <c r="U1515" s="100"/>
      <c r="V1515" s="100"/>
      <c r="W1515" s="100"/>
      <c r="X1515" s="100">
        <v>90150412</v>
      </c>
      <c r="Y1515" s="100" t="s">
        <v>115</v>
      </c>
      <c r="Z1515" s="100" t="s">
        <v>115</v>
      </c>
      <c r="AA1515" s="100" t="s">
        <v>115</v>
      </c>
      <c r="AB1515" s="100" t="s">
        <v>115</v>
      </c>
      <c r="AC1515" s="100" t="s">
        <v>115</v>
      </c>
      <c r="AD1515" s="100"/>
      <c r="AE1515" s="100"/>
      <c r="AF1515" s="100"/>
      <c r="AG1515" s="100"/>
      <c r="AH1515" s="100"/>
      <c r="AI1515" s="100" t="s">
        <v>115</v>
      </c>
      <c r="AJ1515" s="100"/>
      <c r="AK1515" s="100"/>
      <c r="AL1515" s="100"/>
      <c r="AM1515" s="100"/>
      <c r="AN1515" s="100"/>
      <c r="AO1515" s="100"/>
      <c r="AP1515" s="89" t="s">
        <v>115</v>
      </c>
    </row>
    <row r="1516" spans="1:42" s="89" customFormat="1" x14ac:dyDescent="0.15">
      <c r="A1516" s="100" t="s">
        <v>1</v>
      </c>
      <c r="B1516" s="101">
        <v>90150412</v>
      </c>
      <c r="C1516" s="101">
        <v>1504</v>
      </c>
      <c r="D1516" s="101">
        <v>15</v>
      </c>
      <c r="E1516" s="101"/>
      <c r="F1516" s="101" t="s">
        <v>3621</v>
      </c>
      <c r="G1516" s="101" t="s">
        <v>115</v>
      </c>
      <c r="H1516" s="101" t="s">
        <v>3635</v>
      </c>
      <c r="I1516" s="101">
        <v>3</v>
      </c>
      <c r="J1516" s="100">
        <v>0</v>
      </c>
      <c r="K1516" s="100">
        <v>0</v>
      </c>
      <c r="L1516" s="100" t="s">
        <v>115</v>
      </c>
      <c r="M1516" s="102"/>
      <c r="N1516" s="100"/>
      <c r="O1516" s="100" t="s">
        <v>115</v>
      </c>
      <c r="P1516" s="101"/>
      <c r="Q1516" s="100">
        <v>198</v>
      </c>
      <c r="R1516" s="100">
        <v>128</v>
      </c>
      <c r="S1516" s="100"/>
      <c r="T1516" s="100"/>
      <c r="U1516" s="100"/>
      <c r="V1516" s="100"/>
      <c r="W1516" s="100"/>
      <c r="X1516" s="100">
        <v>90150413</v>
      </c>
      <c r="Y1516" s="100" t="s">
        <v>115</v>
      </c>
      <c r="Z1516" s="100" t="s">
        <v>115</v>
      </c>
      <c r="AA1516" s="100" t="s">
        <v>115</v>
      </c>
      <c r="AB1516" s="100" t="s">
        <v>115</v>
      </c>
      <c r="AC1516" s="100" t="s">
        <v>115</v>
      </c>
      <c r="AD1516" s="100"/>
      <c r="AE1516" s="100"/>
      <c r="AF1516" s="100"/>
      <c r="AG1516" s="100"/>
      <c r="AH1516" s="100"/>
      <c r="AI1516" s="100" t="s">
        <v>115</v>
      </c>
      <c r="AJ1516" s="100"/>
      <c r="AK1516" s="100"/>
      <c r="AL1516" s="100"/>
      <c r="AM1516" s="100"/>
      <c r="AN1516" s="100"/>
      <c r="AO1516" s="100"/>
      <c r="AP1516" s="89" t="s">
        <v>115</v>
      </c>
    </row>
    <row r="1517" spans="1:42" s="89" customFormat="1" x14ac:dyDescent="0.15">
      <c r="A1517" s="100" t="s">
        <v>1</v>
      </c>
      <c r="B1517" s="101">
        <v>90150413</v>
      </c>
      <c r="C1517" s="101">
        <v>1504</v>
      </c>
      <c r="D1517" s="101">
        <v>15</v>
      </c>
      <c r="E1517" s="101"/>
      <c r="F1517" s="101" t="s">
        <v>3621</v>
      </c>
      <c r="G1517" s="101" t="s">
        <v>115</v>
      </c>
      <c r="H1517" s="101" t="s">
        <v>3636</v>
      </c>
      <c r="I1517" s="101">
        <v>3</v>
      </c>
      <c r="J1517" s="100">
        <v>0</v>
      </c>
      <c r="K1517" s="100">
        <v>0</v>
      </c>
      <c r="L1517" s="100" t="s">
        <v>115</v>
      </c>
      <c r="M1517" s="102"/>
      <c r="N1517" s="100"/>
      <c r="O1517" s="100" t="s">
        <v>115</v>
      </c>
      <c r="P1517" s="101"/>
      <c r="Q1517" s="100">
        <v>198</v>
      </c>
      <c r="R1517" s="100">
        <v>128</v>
      </c>
      <c r="S1517" s="100"/>
      <c r="T1517" s="100"/>
      <c r="U1517" s="100"/>
      <c r="V1517" s="100"/>
      <c r="W1517" s="100"/>
      <c r="X1517" s="100">
        <v>90150414</v>
      </c>
      <c r="Y1517" s="100" t="s">
        <v>115</v>
      </c>
      <c r="Z1517" s="100" t="s">
        <v>115</v>
      </c>
      <c r="AA1517" s="100" t="s">
        <v>115</v>
      </c>
      <c r="AB1517" s="100" t="s">
        <v>115</v>
      </c>
      <c r="AC1517" s="100" t="s">
        <v>115</v>
      </c>
      <c r="AD1517" s="100"/>
      <c r="AE1517" s="100"/>
      <c r="AF1517" s="100"/>
      <c r="AG1517" s="100"/>
      <c r="AH1517" s="100"/>
      <c r="AI1517" s="100" t="s">
        <v>115</v>
      </c>
      <c r="AJ1517" s="100"/>
      <c r="AK1517" s="100"/>
      <c r="AL1517" s="100"/>
      <c r="AM1517" s="100"/>
      <c r="AN1517" s="100"/>
      <c r="AO1517" s="100"/>
      <c r="AP1517" s="89" t="s">
        <v>115</v>
      </c>
    </row>
    <row r="1518" spans="1:42" s="89" customFormat="1" x14ac:dyDescent="0.15">
      <c r="A1518" s="100" t="s">
        <v>1</v>
      </c>
      <c r="B1518" s="101">
        <v>90150414</v>
      </c>
      <c r="C1518" s="101">
        <v>1504</v>
      </c>
      <c r="D1518" s="101">
        <v>15</v>
      </c>
      <c r="E1518" s="101"/>
      <c r="F1518" s="101" t="s">
        <v>116</v>
      </c>
      <c r="G1518" s="101">
        <v>309</v>
      </c>
      <c r="H1518" s="101" t="s">
        <v>3637</v>
      </c>
      <c r="I1518" s="101">
        <v>2</v>
      </c>
      <c r="J1518" s="100">
        <v>0</v>
      </c>
      <c r="K1518" s="100">
        <v>5</v>
      </c>
      <c r="L1518" s="100" t="s">
        <v>115</v>
      </c>
      <c r="M1518" s="102"/>
      <c r="N1518" s="100"/>
      <c r="O1518" s="100">
        <v>1</v>
      </c>
      <c r="P1518" s="101"/>
      <c r="Q1518" s="100">
        <v>198</v>
      </c>
      <c r="R1518" s="100" t="s">
        <v>115</v>
      </c>
      <c r="S1518" s="100"/>
      <c r="T1518" s="100"/>
      <c r="U1518" s="100"/>
      <c r="V1518" s="100"/>
      <c r="W1518" s="100"/>
      <c r="X1518" s="100" t="s">
        <v>115</v>
      </c>
      <c r="Y1518" s="100" t="s">
        <v>115</v>
      </c>
      <c r="Z1518" s="100">
        <v>4</v>
      </c>
      <c r="AA1518" s="100" t="s">
        <v>115</v>
      </c>
      <c r="AB1518" s="100" t="s">
        <v>115</v>
      </c>
      <c r="AC1518" s="100" t="s">
        <v>115</v>
      </c>
      <c r="AD1518" s="100"/>
      <c r="AE1518" s="100"/>
      <c r="AF1518" s="100"/>
      <c r="AG1518" s="100"/>
      <c r="AH1518" s="100"/>
      <c r="AI1518" s="100" t="s">
        <v>115</v>
      </c>
      <c r="AJ1518" s="100"/>
      <c r="AK1518" s="100"/>
      <c r="AL1518" s="100"/>
      <c r="AM1518" s="100"/>
      <c r="AN1518" s="100"/>
      <c r="AO1518" s="100"/>
      <c r="AP1518" s="89" t="s">
        <v>115</v>
      </c>
    </row>
    <row r="1519" spans="1:42" s="89" customFormat="1" x14ac:dyDescent="0.15">
      <c r="A1519" s="100" t="s">
        <v>1</v>
      </c>
      <c r="B1519" s="101" t="s">
        <v>3442</v>
      </c>
      <c r="C1519" s="101">
        <v>1505</v>
      </c>
      <c r="D1519" s="101">
        <v>15</v>
      </c>
      <c r="E1519" s="101"/>
      <c r="F1519" s="101" t="s">
        <v>115</v>
      </c>
      <c r="G1519" s="101" t="s">
        <v>115</v>
      </c>
      <c r="H1519" s="101" t="s">
        <v>3638</v>
      </c>
      <c r="I1519" s="101">
        <v>4</v>
      </c>
      <c r="J1519" s="100">
        <v>1</v>
      </c>
      <c r="K1519" s="100">
        <v>1</v>
      </c>
      <c r="L1519" s="100" t="s">
        <v>115</v>
      </c>
      <c r="M1519" s="102"/>
      <c r="N1519" s="100"/>
      <c r="O1519" s="100" t="s">
        <v>115</v>
      </c>
      <c r="P1519" s="101"/>
      <c r="Q1519" s="100">
        <v>205</v>
      </c>
      <c r="R1519" s="100" t="s">
        <v>115</v>
      </c>
      <c r="S1519" s="100"/>
      <c r="T1519" s="100"/>
      <c r="U1519" s="100"/>
      <c r="V1519" s="100"/>
      <c r="W1519" s="100"/>
      <c r="X1519" s="100">
        <v>90150502</v>
      </c>
      <c r="Y1519" s="100" t="s">
        <v>115</v>
      </c>
      <c r="Z1519" s="100" t="s">
        <v>115</v>
      </c>
      <c r="AA1519" s="100" t="s">
        <v>115</v>
      </c>
      <c r="AB1519" s="100" t="s">
        <v>115</v>
      </c>
      <c r="AC1519" s="100" t="s">
        <v>115</v>
      </c>
      <c r="AD1519" s="100"/>
      <c r="AE1519" s="100"/>
      <c r="AF1519" s="100"/>
      <c r="AG1519" s="100"/>
      <c r="AH1519" s="100"/>
      <c r="AI1519" s="100" t="s">
        <v>115</v>
      </c>
      <c r="AJ1519" s="100"/>
      <c r="AK1519" s="100"/>
      <c r="AL1519" s="100"/>
      <c r="AM1519" s="100"/>
      <c r="AN1519" s="100"/>
      <c r="AO1519" s="100"/>
      <c r="AP1519" s="89" t="s">
        <v>115</v>
      </c>
    </row>
    <row r="1520" spans="1:42" s="89" customFormat="1" x14ac:dyDescent="0.15">
      <c r="A1520" s="100" t="s">
        <v>1</v>
      </c>
      <c r="B1520" s="101">
        <v>90150502</v>
      </c>
      <c r="C1520" s="101">
        <v>1505</v>
      </c>
      <c r="D1520" s="101">
        <v>15</v>
      </c>
      <c r="E1520" s="101"/>
      <c r="F1520" s="101" t="s">
        <v>116</v>
      </c>
      <c r="G1520" s="101">
        <v>314</v>
      </c>
      <c r="H1520" s="101" t="s">
        <v>3639</v>
      </c>
      <c r="I1520" s="101">
        <v>2</v>
      </c>
      <c r="J1520" s="100">
        <v>0</v>
      </c>
      <c r="K1520" s="100">
        <v>0</v>
      </c>
      <c r="L1520" s="100" t="s">
        <v>115</v>
      </c>
      <c r="M1520" s="102"/>
      <c r="N1520" s="100"/>
      <c r="O1520" s="100" t="s">
        <v>115</v>
      </c>
      <c r="P1520" s="101"/>
      <c r="Q1520" s="100">
        <v>205</v>
      </c>
      <c r="R1520" s="100" t="s">
        <v>115</v>
      </c>
      <c r="S1520" s="100"/>
      <c r="T1520" s="100"/>
      <c r="U1520" s="100"/>
      <c r="V1520" s="100"/>
      <c r="W1520" s="100"/>
      <c r="X1520" s="100">
        <v>90150503</v>
      </c>
      <c r="Y1520" s="100" t="s">
        <v>115</v>
      </c>
      <c r="Z1520" s="100" t="s">
        <v>115</v>
      </c>
      <c r="AA1520" s="100" t="s">
        <v>115</v>
      </c>
      <c r="AB1520" s="100" t="s">
        <v>115</v>
      </c>
      <c r="AC1520" s="100" t="s">
        <v>115</v>
      </c>
      <c r="AD1520" s="100"/>
      <c r="AE1520" s="100"/>
      <c r="AF1520" s="100"/>
      <c r="AG1520" s="100"/>
      <c r="AH1520" s="100"/>
      <c r="AI1520" s="100" t="s">
        <v>115</v>
      </c>
      <c r="AJ1520" s="100"/>
      <c r="AK1520" s="100"/>
      <c r="AL1520" s="100"/>
      <c r="AM1520" s="100"/>
      <c r="AN1520" s="100"/>
      <c r="AO1520" s="100"/>
      <c r="AP1520" s="89" t="s">
        <v>115</v>
      </c>
    </row>
    <row r="1521" spans="1:42" s="89" customFormat="1" x14ac:dyDescent="0.15">
      <c r="A1521" s="100" t="s">
        <v>1</v>
      </c>
      <c r="B1521" s="101">
        <v>90150503</v>
      </c>
      <c r="C1521" s="101">
        <v>1505</v>
      </c>
      <c r="D1521" s="101">
        <v>15</v>
      </c>
      <c r="E1521" s="101"/>
      <c r="F1521" s="101" t="s">
        <v>115</v>
      </c>
      <c r="G1521" s="101" t="s">
        <v>115</v>
      </c>
      <c r="H1521" s="101" t="s">
        <v>3640</v>
      </c>
      <c r="I1521" s="101">
        <v>4</v>
      </c>
      <c r="J1521" s="100">
        <v>0</v>
      </c>
      <c r="K1521" s="100">
        <v>0</v>
      </c>
      <c r="L1521" s="100" t="s">
        <v>115</v>
      </c>
      <c r="M1521" s="102"/>
      <c r="N1521" s="100"/>
      <c r="O1521" s="100" t="s">
        <v>115</v>
      </c>
      <c r="P1521" s="101"/>
      <c r="Q1521" s="100">
        <v>205</v>
      </c>
      <c r="R1521" s="100" t="s">
        <v>115</v>
      </c>
      <c r="S1521" s="100"/>
      <c r="T1521" s="100"/>
      <c r="U1521" s="100"/>
      <c r="V1521" s="100"/>
      <c r="W1521" s="100"/>
      <c r="X1521" s="100">
        <v>90150504</v>
      </c>
      <c r="Y1521" s="100" t="s">
        <v>115</v>
      </c>
      <c r="Z1521" s="100" t="s">
        <v>115</v>
      </c>
      <c r="AA1521" s="100" t="s">
        <v>115</v>
      </c>
      <c r="AB1521" s="100" t="s">
        <v>115</v>
      </c>
      <c r="AC1521" s="100" t="s">
        <v>115</v>
      </c>
      <c r="AD1521" s="100"/>
      <c r="AE1521" s="100"/>
      <c r="AF1521" s="100"/>
      <c r="AG1521" s="100"/>
      <c r="AH1521" s="100"/>
      <c r="AI1521" s="100" t="s">
        <v>115</v>
      </c>
      <c r="AJ1521" s="100"/>
      <c r="AK1521" s="100"/>
      <c r="AL1521" s="100"/>
      <c r="AM1521" s="100"/>
      <c r="AN1521" s="100"/>
      <c r="AO1521" s="100"/>
      <c r="AP1521" s="89" t="s">
        <v>115</v>
      </c>
    </row>
    <row r="1522" spans="1:42" s="89" customFormat="1" x14ac:dyDescent="0.15">
      <c r="A1522" s="100" t="s">
        <v>1</v>
      </c>
      <c r="B1522" s="101">
        <v>90150504</v>
      </c>
      <c r="C1522" s="101">
        <v>1505</v>
      </c>
      <c r="D1522" s="101">
        <v>15</v>
      </c>
      <c r="E1522" s="101"/>
      <c r="F1522" s="101" t="s">
        <v>115</v>
      </c>
      <c r="G1522" s="101" t="s">
        <v>115</v>
      </c>
      <c r="H1522" s="101" t="s">
        <v>3641</v>
      </c>
      <c r="I1522" s="101">
        <v>4</v>
      </c>
      <c r="J1522" s="100">
        <v>0</v>
      </c>
      <c r="K1522" s="100">
        <v>0</v>
      </c>
      <c r="L1522" s="100" t="s">
        <v>115</v>
      </c>
      <c r="M1522" s="102"/>
      <c r="N1522" s="100"/>
      <c r="O1522" s="100" t="s">
        <v>115</v>
      </c>
      <c r="P1522" s="101"/>
      <c r="Q1522" s="100">
        <v>205</v>
      </c>
      <c r="R1522" s="100" t="s">
        <v>115</v>
      </c>
      <c r="S1522" s="100"/>
      <c r="T1522" s="100"/>
      <c r="U1522" s="100"/>
      <c r="V1522" s="100"/>
      <c r="W1522" s="100"/>
      <c r="X1522" s="100">
        <v>90150505</v>
      </c>
      <c r="Y1522" s="100" t="s">
        <v>115</v>
      </c>
      <c r="Z1522" s="100" t="s">
        <v>115</v>
      </c>
      <c r="AA1522" s="100" t="s">
        <v>115</v>
      </c>
      <c r="AB1522" s="100" t="s">
        <v>115</v>
      </c>
      <c r="AC1522" s="100" t="s">
        <v>115</v>
      </c>
      <c r="AD1522" s="100"/>
      <c r="AE1522" s="100"/>
      <c r="AF1522" s="100"/>
      <c r="AG1522" s="100"/>
      <c r="AH1522" s="100"/>
      <c r="AI1522" s="100" t="s">
        <v>115</v>
      </c>
      <c r="AJ1522" s="100"/>
      <c r="AK1522" s="100"/>
      <c r="AL1522" s="100"/>
      <c r="AM1522" s="100"/>
      <c r="AN1522" s="100"/>
      <c r="AO1522" s="100"/>
      <c r="AP1522" s="89" t="s">
        <v>115</v>
      </c>
    </row>
    <row r="1523" spans="1:42" s="89" customFormat="1" x14ac:dyDescent="0.15">
      <c r="A1523" s="100" t="s">
        <v>1</v>
      </c>
      <c r="B1523" s="101">
        <v>90150505</v>
      </c>
      <c r="C1523" s="101">
        <v>1505</v>
      </c>
      <c r="D1523" s="101">
        <v>15</v>
      </c>
      <c r="E1523" s="101"/>
      <c r="F1523" s="101" t="s">
        <v>116</v>
      </c>
      <c r="G1523" s="101">
        <v>314</v>
      </c>
      <c r="H1523" s="101" t="s">
        <v>3642</v>
      </c>
      <c r="I1523" s="101">
        <v>0</v>
      </c>
      <c r="J1523" s="100">
        <v>0</v>
      </c>
      <c r="K1523" s="100">
        <v>0</v>
      </c>
      <c r="L1523" s="100" t="s">
        <v>115</v>
      </c>
      <c r="M1523" s="102"/>
      <c r="N1523" s="100"/>
      <c r="O1523" s="100" t="s">
        <v>115</v>
      </c>
      <c r="P1523" s="101"/>
      <c r="Q1523" s="100">
        <v>205</v>
      </c>
      <c r="R1523" s="100" t="s">
        <v>115</v>
      </c>
      <c r="S1523" s="100"/>
      <c r="T1523" s="100"/>
      <c r="U1523" s="100"/>
      <c r="V1523" s="100"/>
      <c r="W1523" s="100"/>
      <c r="X1523" s="100">
        <v>90150506</v>
      </c>
      <c r="Y1523" s="100" t="s">
        <v>115</v>
      </c>
      <c r="Z1523" s="100" t="s">
        <v>115</v>
      </c>
      <c r="AA1523" s="100" t="s">
        <v>115</v>
      </c>
      <c r="AB1523" s="100" t="s">
        <v>115</v>
      </c>
      <c r="AC1523" s="100" t="s">
        <v>115</v>
      </c>
      <c r="AD1523" s="100"/>
      <c r="AE1523" s="100"/>
      <c r="AF1523" s="100"/>
      <c r="AG1523" s="100"/>
      <c r="AH1523" s="100"/>
      <c r="AI1523" s="100" t="s">
        <v>115</v>
      </c>
      <c r="AJ1523" s="100"/>
      <c r="AK1523" s="100"/>
      <c r="AL1523" s="100"/>
      <c r="AM1523" s="100"/>
      <c r="AN1523" s="100"/>
      <c r="AO1523" s="100"/>
      <c r="AP1523" s="89" t="s">
        <v>115</v>
      </c>
    </row>
    <row r="1524" spans="1:42" s="89" customFormat="1" x14ac:dyDescent="0.15">
      <c r="A1524" s="100" t="s">
        <v>1</v>
      </c>
      <c r="B1524" s="101">
        <v>90150506</v>
      </c>
      <c r="C1524" s="101">
        <v>1505</v>
      </c>
      <c r="D1524" s="101">
        <v>15</v>
      </c>
      <c r="E1524" s="101"/>
      <c r="F1524" s="101" t="s">
        <v>116</v>
      </c>
      <c r="G1524" s="101">
        <v>312</v>
      </c>
      <c r="H1524" s="101" t="s">
        <v>3643</v>
      </c>
      <c r="I1524" s="101">
        <v>0</v>
      </c>
      <c r="J1524" s="100">
        <v>0</v>
      </c>
      <c r="K1524" s="100">
        <v>2</v>
      </c>
      <c r="L1524" s="100" t="s">
        <v>115</v>
      </c>
      <c r="M1524" s="102"/>
      <c r="N1524" s="100"/>
      <c r="O1524" s="100">
        <v>1</v>
      </c>
      <c r="P1524" s="101"/>
      <c r="Q1524" s="100">
        <v>205</v>
      </c>
      <c r="R1524" s="100" t="s">
        <v>115</v>
      </c>
      <c r="S1524" s="100"/>
      <c r="T1524" s="100"/>
      <c r="U1524" s="100"/>
      <c r="V1524" s="100"/>
      <c r="W1524" s="100"/>
      <c r="X1524" s="100" t="s">
        <v>115</v>
      </c>
      <c r="Y1524" s="100" t="s">
        <v>115</v>
      </c>
      <c r="Z1524" s="100">
        <v>1</v>
      </c>
      <c r="AA1524" s="100" t="s">
        <v>115</v>
      </c>
      <c r="AB1524" s="100" t="s">
        <v>115</v>
      </c>
      <c r="AC1524" s="100" t="s">
        <v>115</v>
      </c>
      <c r="AD1524" s="100"/>
      <c r="AE1524" s="100"/>
      <c r="AF1524" s="100"/>
      <c r="AG1524" s="100"/>
      <c r="AH1524" s="100"/>
      <c r="AI1524" s="100" t="s">
        <v>115</v>
      </c>
      <c r="AJ1524" s="100"/>
      <c r="AK1524" s="100"/>
      <c r="AL1524" s="100"/>
      <c r="AM1524" s="100"/>
      <c r="AN1524" s="100"/>
      <c r="AO1524" s="100"/>
      <c r="AP1524" s="89" t="s">
        <v>3644</v>
      </c>
    </row>
    <row r="1525" spans="1:42" s="89" customFormat="1" x14ac:dyDescent="0.15">
      <c r="A1525" s="100" t="s">
        <v>1</v>
      </c>
      <c r="B1525" s="101" t="s">
        <v>3444</v>
      </c>
      <c r="C1525" s="101">
        <v>1506</v>
      </c>
      <c r="D1525" s="101">
        <v>15</v>
      </c>
      <c r="E1525" s="101"/>
      <c r="F1525" s="101" t="s">
        <v>116</v>
      </c>
      <c r="G1525" s="101">
        <v>312</v>
      </c>
      <c r="H1525" s="101" t="s">
        <v>3645</v>
      </c>
      <c r="I1525" s="101">
        <v>0</v>
      </c>
      <c r="J1525" s="100">
        <v>1</v>
      </c>
      <c r="K1525" s="100">
        <v>1</v>
      </c>
      <c r="L1525" s="100" t="s">
        <v>115</v>
      </c>
      <c r="M1525" s="102"/>
      <c r="N1525" s="100"/>
      <c r="O1525" s="100" t="s">
        <v>115</v>
      </c>
      <c r="P1525" s="101"/>
      <c r="Q1525" s="100">
        <v>187</v>
      </c>
      <c r="R1525" s="100" t="s">
        <v>115</v>
      </c>
      <c r="S1525" s="100"/>
      <c r="T1525" s="100"/>
      <c r="U1525" s="100"/>
      <c r="V1525" s="100"/>
      <c r="W1525" s="100"/>
      <c r="X1525" s="100">
        <v>90150602</v>
      </c>
      <c r="Y1525" s="100" t="s">
        <v>115</v>
      </c>
      <c r="Z1525" s="100" t="s">
        <v>115</v>
      </c>
      <c r="AA1525" s="100" t="s">
        <v>115</v>
      </c>
      <c r="AB1525" s="100" t="s">
        <v>115</v>
      </c>
      <c r="AC1525" s="100" t="s">
        <v>115</v>
      </c>
      <c r="AD1525" s="100"/>
      <c r="AE1525" s="100"/>
      <c r="AF1525" s="100"/>
      <c r="AG1525" s="100"/>
      <c r="AH1525" s="100"/>
      <c r="AI1525" s="100" t="s">
        <v>115</v>
      </c>
      <c r="AJ1525" s="100"/>
      <c r="AK1525" s="100"/>
      <c r="AL1525" s="100"/>
      <c r="AM1525" s="100"/>
      <c r="AN1525" s="100"/>
      <c r="AO1525" s="100"/>
      <c r="AP1525" s="89" t="s">
        <v>115</v>
      </c>
    </row>
    <row r="1526" spans="1:42" s="89" customFormat="1" x14ac:dyDescent="0.15">
      <c r="A1526" s="100" t="s">
        <v>1</v>
      </c>
      <c r="B1526" s="101">
        <v>90150602</v>
      </c>
      <c r="C1526" s="101">
        <v>1506</v>
      </c>
      <c r="D1526" s="101">
        <v>15</v>
      </c>
      <c r="E1526" s="101"/>
      <c r="F1526" s="101" t="s">
        <v>931</v>
      </c>
      <c r="G1526" s="101" t="s">
        <v>115</v>
      </c>
      <c r="H1526" s="101" t="s">
        <v>3646</v>
      </c>
      <c r="I1526" s="101">
        <v>3</v>
      </c>
      <c r="J1526" s="100">
        <v>0</v>
      </c>
      <c r="K1526" s="100">
        <v>0</v>
      </c>
      <c r="L1526" s="100" t="s">
        <v>115</v>
      </c>
      <c r="M1526" s="102"/>
      <c r="N1526" s="100"/>
      <c r="O1526" s="100" t="s">
        <v>115</v>
      </c>
      <c r="P1526" s="101"/>
      <c r="Q1526" s="100">
        <v>187</v>
      </c>
      <c r="R1526" s="100">
        <v>252</v>
      </c>
      <c r="S1526" s="100"/>
      <c r="T1526" s="100"/>
      <c r="U1526" s="100"/>
      <c r="V1526" s="100"/>
      <c r="W1526" s="100"/>
      <c r="X1526" s="100">
        <v>90150603</v>
      </c>
      <c r="Y1526" s="100" t="s">
        <v>115</v>
      </c>
      <c r="Z1526" s="100" t="s">
        <v>115</v>
      </c>
      <c r="AA1526" s="100" t="s">
        <v>115</v>
      </c>
      <c r="AB1526" s="100" t="s">
        <v>115</v>
      </c>
      <c r="AC1526" s="100" t="s">
        <v>115</v>
      </c>
      <c r="AD1526" s="100"/>
      <c r="AE1526" s="100"/>
      <c r="AF1526" s="100"/>
      <c r="AG1526" s="100"/>
      <c r="AH1526" s="100"/>
      <c r="AI1526" s="100" t="s">
        <v>115</v>
      </c>
      <c r="AJ1526" s="100"/>
      <c r="AK1526" s="100"/>
      <c r="AL1526" s="100"/>
      <c r="AM1526" s="100"/>
      <c r="AN1526" s="100"/>
      <c r="AO1526" s="100"/>
      <c r="AP1526" s="89" t="s">
        <v>115</v>
      </c>
    </row>
    <row r="1527" spans="1:42" s="89" customFormat="1" x14ac:dyDescent="0.15">
      <c r="A1527" s="100" t="s">
        <v>1</v>
      </c>
      <c r="B1527" s="101">
        <v>90150603</v>
      </c>
      <c r="C1527" s="101">
        <v>1506</v>
      </c>
      <c r="D1527" s="101">
        <v>15</v>
      </c>
      <c r="E1527" s="101"/>
      <c r="F1527" s="101" t="s">
        <v>116</v>
      </c>
      <c r="G1527" s="101">
        <v>313</v>
      </c>
      <c r="H1527" s="101" t="s">
        <v>3647</v>
      </c>
      <c r="I1527" s="101">
        <v>0</v>
      </c>
      <c r="J1527" s="100">
        <v>0</v>
      </c>
      <c r="K1527" s="100">
        <v>0</v>
      </c>
      <c r="L1527" s="100" t="s">
        <v>115</v>
      </c>
      <c r="M1527" s="102"/>
      <c r="N1527" s="100"/>
      <c r="O1527" s="100" t="s">
        <v>115</v>
      </c>
      <c r="P1527" s="101"/>
      <c r="Q1527" s="100">
        <v>187</v>
      </c>
      <c r="R1527" s="100">
        <v>252</v>
      </c>
      <c r="S1527" s="100"/>
      <c r="T1527" s="100"/>
      <c r="U1527" s="100"/>
      <c r="V1527" s="100"/>
      <c r="W1527" s="100"/>
      <c r="X1527" s="100">
        <v>90150604</v>
      </c>
      <c r="Y1527" s="100" t="s">
        <v>115</v>
      </c>
      <c r="Z1527" s="100" t="s">
        <v>115</v>
      </c>
      <c r="AA1527" s="100" t="s">
        <v>115</v>
      </c>
      <c r="AB1527" s="100" t="s">
        <v>115</v>
      </c>
      <c r="AC1527" s="100" t="s">
        <v>115</v>
      </c>
      <c r="AD1527" s="100"/>
      <c r="AE1527" s="100"/>
      <c r="AF1527" s="100"/>
      <c r="AG1527" s="100"/>
      <c r="AH1527" s="100"/>
      <c r="AI1527" s="100" t="s">
        <v>115</v>
      </c>
      <c r="AJ1527" s="100"/>
      <c r="AK1527" s="100"/>
      <c r="AL1527" s="100"/>
      <c r="AM1527" s="100"/>
      <c r="AN1527" s="100"/>
      <c r="AO1527" s="100"/>
      <c r="AP1527" s="89" t="s">
        <v>115</v>
      </c>
    </row>
    <row r="1528" spans="1:42" s="89" customFormat="1" x14ac:dyDescent="0.15">
      <c r="A1528" s="100" t="s">
        <v>1</v>
      </c>
      <c r="B1528" s="101">
        <v>90150604</v>
      </c>
      <c r="C1528" s="101">
        <v>1506</v>
      </c>
      <c r="D1528" s="101">
        <v>15</v>
      </c>
      <c r="E1528" s="101"/>
      <c r="F1528" s="101" t="s">
        <v>115</v>
      </c>
      <c r="G1528" s="101" t="s">
        <v>115</v>
      </c>
      <c r="H1528" s="101" t="s">
        <v>3648</v>
      </c>
      <c r="I1528" s="101">
        <v>4</v>
      </c>
      <c r="J1528" s="100">
        <v>0</v>
      </c>
      <c r="K1528" s="100">
        <v>2</v>
      </c>
      <c r="L1528" s="100" t="s">
        <v>115</v>
      </c>
      <c r="M1528" s="102"/>
      <c r="N1528" s="100"/>
      <c r="O1528" s="100" t="s">
        <v>115</v>
      </c>
      <c r="P1528" s="101"/>
      <c r="Q1528" s="100">
        <v>187</v>
      </c>
      <c r="R1528" s="100">
        <v>252</v>
      </c>
      <c r="S1528" s="100"/>
      <c r="T1528" s="100"/>
      <c r="U1528" s="100"/>
      <c r="V1528" s="100"/>
      <c r="W1528" s="100"/>
      <c r="X1528" s="100" t="s">
        <v>3649</v>
      </c>
      <c r="Y1528" s="100">
        <v>1</v>
      </c>
      <c r="Z1528" s="100">
        <v>1</v>
      </c>
      <c r="AA1528" s="100" t="s">
        <v>115</v>
      </c>
      <c r="AB1528" s="100" t="s">
        <v>115</v>
      </c>
      <c r="AC1528" s="100" t="s">
        <v>115</v>
      </c>
      <c r="AD1528" s="100"/>
      <c r="AE1528" s="100"/>
      <c r="AF1528" s="100"/>
      <c r="AG1528" s="100"/>
      <c r="AH1528" s="100"/>
      <c r="AI1528" s="100" t="s">
        <v>115</v>
      </c>
      <c r="AJ1528" s="100"/>
      <c r="AK1528" s="100"/>
      <c r="AL1528" s="100"/>
      <c r="AM1528" s="100"/>
      <c r="AN1528" s="100"/>
      <c r="AO1528" s="100"/>
      <c r="AP1528" s="89" t="s">
        <v>115</v>
      </c>
    </row>
    <row r="1529" spans="1:42" s="89" customFormat="1" x14ac:dyDescent="0.15">
      <c r="A1529" s="100" t="s">
        <v>1</v>
      </c>
      <c r="B1529" s="101">
        <v>90150605</v>
      </c>
      <c r="C1529" s="101">
        <v>1506</v>
      </c>
      <c r="D1529" s="101">
        <v>15</v>
      </c>
      <c r="E1529" s="101"/>
      <c r="F1529" s="101" t="s">
        <v>115</v>
      </c>
      <c r="G1529" s="101" t="s">
        <v>115</v>
      </c>
      <c r="H1529" s="101" t="s">
        <v>3650</v>
      </c>
      <c r="I1529" s="101">
        <v>4</v>
      </c>
      <c r="J1529" s="100">
        <v>0</v>
      </c>
      <c r="K1529" s="100">
        <v>3</v>
      </c>
      <c r="L1529" s="100" t="s">
        <v>115</v>
      </c>
      <c r="M1529" s="102"/>
      <c r="N1529" s="100"/>
      <c r="O1529" s="100" t="s">
        <v>115</v>
      </c>
      <c r="P1529" s="101"/>
      <c r="Q1529" s="100">
        <v>187</v>
      </c>
      <c r="R1529" s="100">
        <v>252</v>
      </c>
      <c r="S1529" s="100"/>
      <c r="T1529" s="100"/>
      <c r="U1529" s="100"/>
      <c r="V1529" s="100"/>
      <c r="W1529" s="100"/>
      <c r="X1529" s="100">
        <v>90150607</v>
      </c>
      <c r="Y1529" s="100">
        <v>-1</v>
      </c>
      <c r="Z1529" s="100">
        <v>2</v>
      </c>
      <c r="AA1529" s="100" t="s">
        <v>115</v>
      </c>
      <c r="AB1529" s="100" t="s">
        <v>115</v>
      </c>
      <c r="AC1529" s="100" t="s">
        <v>3651</v>
      </c>
      <c r="AD1529" s="100"/>
      <c r="AE1529" s="100"/>
      <c r="AF1529" s="100"/>
      <c r="AG1529" s="100"/>
      <c r="AH1529" s="100"/>
      <c r="AI1529" s="100" t="s">
        <v>115</v>
      </c>
      <c r="AJ1529" s="100"/>
      <c r="AK1529" s="100"/>
      <c r="AL1529" s="100"/>
      <c r="AM1529" s="100"/>
      <c r="AN1529" s="100"/>
      <c r="AO1529" s="100"/>
      <c r="AP1529" s="89" t="s">
        <v>115</v>
      </c>
    </row>
    <row r="1530" spans="1:42" s="89" customFormat="1" x14ac:dyDescent="0.15">
      <c r="A1530" s="100" t="s">
        <v>1</v>
      </c>
      <c r="B1530" s="101">
        <v>90150606</v>
      </c>
      <c r="C1530" s="101">
        <v>1506</v>
      </c>
      <c r="D1530" s="101">
        <v>15</v>
      </c>
      <c r="E1530" s="101"/>
      <c r="F1530" s="101" t="s">
        <v>115</v>
      </c>
      <c r="G1530" s="101" t="s">
        <v>115</v>
      </c>
      <c r="H1530" s="101" t="s">
        <v>3652</v>
      </c>
      <c r="I1530" s="101">
        <v>4</v>
      </c>
      <c r="J1530" s="100">
        <v>0</v>
      </c>
      <c r="K1530" s="100">
        <v>4</v>
      </c>
      <c r="L1530" s="100" t="s">
        <v>115</v>
      </c>
      <c r="M1530" s="102"/>
      <c r="N1530" s="100"/>
      <c r="O1530" s="100" t="s">
        <v>115</v>
      </c>
      <c r="P1530" s="101"/>
      <c r="Q1530" s="100">
        <v>187</v>
      </c>
      <c r="R1530" s="100">
        <v>252</v>
      </c>
      <c r="S1530" s="100"/>
      <c r="T1530" s="100"/>
      <c r="U1530" s="100"/>
      <c r="V1530" s="100"/>
      <c r="W1530" s="100"/>
      <c r="X1530" s="100">
        <v>90150608</v>
      </c>
      <c r="Y1530" s="100">
        <v>-1</v>
      </c>
      <c r="Z1530" s="100">
        <v>2</v>
      </c>
      <c r="AA1530" s="100" t="s">
        <v>115</v>
      </c>
      <c r="AB1530" s="100" t="s">
        <v>115</v>
      </c>
      <c r="AC1530" s="100" t="s">
        <v>3653</v>
      </c>
      <c r="AD1530" s="100"/>
      <c r="AE1530" s="100"/>
      <c r="AF1530" s="100"/>
      <c r="AG1530" s="100"/>
      <c r="AH1530" s="100"/>
      <c r="AI1530" s="100" t="s">
        <v>115</v>
      </c>
      <c r="AJ1530" s="100"/>
      <c r="AK1530" s="100"/>
      <c r="AL1530" s="100"/>
      <c r="AM1530" s="100"/>
      <c r="AN1530" s="100"/>
      <c r="AO1530" s="100"/>
      <c r="AP1530" s="89" t="s">
        <v>115</v>
      </c>
    </row>
    <row r="1531" spans="1:42" s="89" customFormat="1" x14ac:dyDescent="0.15">
      <c r="A1531" s="100" t="s">
        <v>1</v>
      </c>
      <c r="B1531" s="101">
        <v>90150607</v>
      </c>
      <c r="C1531" s="101">
        <v>1506</v>
      </c>
      <c r="D1531" s="101">
        <v>15</v>
      </c>
      <c r="E1531" s="101"/>
      <c r="F1531" s="101" t="s">
        <v>931</v>
      </c>
      <c r="G1531" s="101" t="s">
        <v>115</v>
      </c>
      <c r="H1531" s="101" t="s">
        <v>3654</v>
      </c>
      <c r="I1531" s="101">
        <v>3</v>
      </c>
      <c r="J1531" s="100">
        <v>0</v>
      </c>
      <c r="K1531" s="100">
        <v>0</v>
      </c>
      <c r="L1531" s="100" t="s">
        <v>115</v>
      </c>
      <c r="M1531" s="102"/>
      <c r="N1531" s="100"/>
      <c r="O1531" s="100" t="s">
        <v>115</v>
      </c>
      <c r="P1531" s="101"/>
      <c r="Q1531" s="100">
        <v>187</v>
      </c>
      <c r="R1531" s="100">
        <v>252</v>
      </c>
      <c r="S1531" s="100"/>
      <c r="T1531" s="100"/>
      <c r="U1531" s="100"/>
      <c r="V1531" s="100"/>
      <c r="W1531" s="100"/>
      <c r="X1531" s="100">
        <v>90150609</v>
      </c>
      <c r="Y1531" s="100" t="s">
        <v>115</v>
      </c>
      <c r="Z1531" s="100" t="s">
        <v>115</v>
      </c>
      <c r="AA1531" s="100" t="s">
        <v>115</v>
      </c>
      <c r="AB1531" s="100" t="s">
        <v>115</v>
      </c>
      <c r="AC1531" s="100" t="s">
        <v>115</v>
      </c>
      <c r="AD1531" s="100"/>
      <c r="AE1531" s="100"/>
      <c r="AF1531" s="100"/>
      <c r="AG1531" s="100"/>
      <c r="AH1531" s="100"/>
      <c r="AI1531" s="100" t="s">
        <v>115</v>
      </c>
      <c r="AJ1531" s="100"/>
      <c r="AK1531" s="100"/>
      <c r="AL1531" s="100"/>
      <c r="AM1531" s="100"/>
      <c r="AN1531" s="100"/>
      <c r="AO1531" s="100"/>
      <c r="AP1531" s="89" t="s">
        <v>115</v>
      </c>
    </row>
    <row r="1532" spans="1:42" s="89" customFormat="1" x14ac:dyDescent="0.15">
      <c r="A1532" s="100" t="s">
        <v>1</v>
      </c>
      <c r="B1532" s="101">
        <v>90150608</v>
      </c>
      <c r="C1532" s="101">
        <v>1506</v>
      </c>
      <c r="D1532" s="101">
        <v>15</v>
      </c>
      <c r="E1532" s="101"/>
      <c r="F1532" s="101" t="s">
        <v>931</v>
      </c>
      <c r="G1532" s="101" t="s">
        <v>115</v>
      </c>
      <c r="H1532" s="101" t="s">
        <v>3655</v>
      </c>
      <c r="I1532" s="101">
        <v>3</v>
      </c>
      <c r="J1532" s="100">
        <v>0</v>
      </c>
      <c r="K1532" s="100">
        <v>0</v>
      </c>
      <c r="L1532" s="100" t="s">
        <v>115</v>
      </c>
      <c r="M1532" s="102"/>
      <c r="N1532" s="100"/>
      <c r="O1532" s="100" t="s">
        <v>115</v>
      </c>
      <c r="P1532" s="101"/>
      <c r="Q1532" s="100">
        <v>187</v>
      </c>
      <c r="R1532" s="100">
        <v>252</v>
      </c>
      <c r="S1532" s="100"/>
      <c r="T1532" s="100"/>
      <c r="U1532" s="100"/>
      <c r="V1532" s="100"/>
      <c r="W1532" s="100"/>
      <c r="X1532" s="100">
        <v>90150609</v>
      </c>
      <c r="Y1532" s="100" t="s">
        <v>115</v>
      </c>
      <c r="Z1532" s="100" t="s">
        <v>115</v>
      </c>
      <c r="AA1532" s="100" t="s">
        <v>115</v>
      </c>
      <c r="AB1532" s="100" t="s">
        <v>115</v>
      </c>
      <c r="AC1532" s="100" t="s">
        <v>115</v>
      </c>
      <c r="AD1532" s="100"/>
      <c r="AE1532" s="100"/>
      <c r="AF1532" s="100"/>
      <c r="AG1532" s="100"/>
      <c r="AH1532" s="100"/>
      <c r="AI1532" s="100" t="s">
        <v>115</v>
      </c>
      <c r="AJ1532" s="100"/>
      <c r="AK1532" s="100"/>
      <c r="AL1532" s="100"/>
      <c r="AM1532" s="100"/>
      <c r="AN1532" s="100"/>
      <c r="AO1532" s="100"/>
      <c r="AP1532" s="89" t="s">
        <v>115</v>
      </c>
    </row>
    <row r="1533" spans="1:42" s="89" customFormat="1" x14ac:dyDescent="0.15">
      <c r="A1533" s="100" t="s">
        <v>1</v>
      </c>
      <c r="B1533" s="101">
        <v>90150609</v>
      </c>
      <c r="C1533" s="101">
        <v>1506</v>
      </c>
      <c r="D1533" s="101">
        <v>15</v>
      </c>
      <c r="E1533" s="101"/>
      <c r="F1533" s="101" t="s">
        <v>3656</v>
      </c>
      <c r="G1533" s="101" t="s">
        <v>115</v>
      </c>
      <c r="H1533" s="101" t="s">
        <v>3657</v>
      </c>
      <c r="I1533" s="101">
        <v>3</v>
      </c>
      <c r="J1533" s="100">
        <v>0</v>
      </c>
      <c r="K1533" s="100">
        <v>0</v>
      </c>
      <c r="L1533" s="100" t="s">
        <v>115</v>
      </c>
      <c r="M1533" s="102"/>
      <c r="N1533" s="100"/>
      <c r="O1533" s="100" t="s">
        <v>115</v>
      </c>
      <c r="P1533" s="101"/>
      <c r="Q1533" s="100">
        <v>187</v>
      </c>
      <c r="R1533" s="100">
        <v>101</v>
      </c>
      <c r="S1533" s="100"/>
      <c r="T1533" s="100"/>
      <c r="U1533" s="100"/>
      <c r="V1533" s="100"/>
      <c r="W1533" s="100"/>
      <c r="X1533" s="100">
        <v>90150610</v>
      </c>
      <c r="Y1533" s="100" t="s">
        <v>115</v>
      </c>
      <c r="Z1533" s="100" t="s">
        <v>115</v>
      </c>
      <c r="AA1533" s="100" t="s">
        <v>115</v>
      </c>
      <c r="AB1533" s="100" t="s">
        <v>115</v>
      </c>
      <c r="AC1533" s="100" t="s">
        <v>115</v>
      </c>
      <c r="AD1533" s="100"/>
      <c r="AE1533" s="100"/>
      <c r="AF1533" s="100"/>
      <c r="AG1533" s="100"/>
      <c r="AH1533" s="100"/>
      <c r="AI1533" s="100" t="s">
        <v>115</v>
      </c>
      <c r="AJ1533" s="100"/>
      <c r="AK1533" s="100"/>
      <c r="AL1533" s="100"/>
      <c r="AM1533" s="100"/>
      <c r="AN1533" s="100"/>
      <c r="AO1533" s="100"/>
      <c r="AP1533" s="89" t="s">
        <v>115</v>
      </c>
    </row>
    <row r="1534" spans="1:42" s="89" customFormat="1" x14ac:dyDescent="0.15">
      <c r="A1534" s="100" t="s">
        <v>1</v>
      </c>
      <c r="B1534" s="101">
        <v>90150610</v>
      </c>
      <c r="C1534" s="101">
        <v>1506</v>
      </c>
      <c r="D1534" s="101">
        <v>15</v>
      </c>
      <c r="E1534" s="101"/>
      <c r="F1534" s="101" t="s">
        <v>116</v>
      </c>
      <c r="G1534" s="101">
        <v>313</v>
      </c>
      <c r="H1534" s="101" t="s">
        <v>3658</v>
      </c>
      <c r="I1534" s="101">
        <v>0</v>
      </c>
      <c r="J1534" s="100">
        <v>0</v>
      </c>
      <c r="K1534" s="100">
        <v>0</v>
      </c>
      <c r="L1534" s="100" t="s">
        <v>115</v>
      </c>
      <c r="M1534" s="102"/>
      <c r="N1534" s="100"/>
      <c r="O1534" s="100" t="s">
        <v>115</v>
      </c>
      <c r="P1534" s="101"/>
      <c r="Q1534" s="100">
        <v>187</v>
      </c>
      <c r="R1534" s="100">
        <v>101</v>
      </c>
      <c r="S1534" s="100"/>
      <c r="T1534" s="100"/>
      <c r="U1534" s="100"/>
      <c r="V1534" s="100"/>
      <c r="W1534" s="100"/>
      <c r="X1534" s="100">
        <v>90150611</v>
      </c>
      <c r="Y1534" s="100" t="s">
        <v>115</v>
      </c>
      <c r="Z1534" s="100" t="s">
        <v>115</v>
      </c>
      <c r="AA1534" s="100" t="s">
        <v>115</v>
      </c>
      <c r="AB1534" s="100" t="s">
        <v>115</v>
      </c>
      <c r="AC1534" s="100" t="s">
        <v>115</v>
      </c>
      <c r="AD1534" s="100"/>
      <c r="AE1534" s="100"/>
      <c r="AF1534" s="100"/>
      <c r="AG1534" s="100"/>
      <c r="AH1534" s="100"/>
      <c r="AI1534" s="100" t="s">
        <v>115</v>
      </c>
      <c r="AJ1534" s="100"/>
      <c r="AK1534" s="100"/>
      <c r="AL1534" s="100"/>
      <c r="AM1534" s="100"/>
      <c r="AN1534" s="100"/>
      <c r="AO1534" s="100"/>
      <c r="AP1534" s="89" t="s">
        <v>115</v>
      </c>
    </row>
    <row r="1535" spans="1:42" s="89" customFormat="1" x14ac:dyDescent="0.15">
      <c r="A1535" s="100" t="s">
        <v>1</v>
      </c>
      <c r="B1535" s="101">
        <v>90150611</v>
      </c>
      <c r="C1535" s="101">
        <v>1506</v>
      </c>
      <c r="D1535" s="101">
        <v>15</v>
      </c>
      <c r="E1535" s="101"/>
      <c r="F1535" s="101" t="s">
        <v>3656</v>
      </c>
      <c r="G1535" s="101" t="s">
        <v>115</v>
      </c>
      <c r="H1535" s="101" t="s">
        <v>3659</v>
      </c>
      <c r="I1535" s="101">
        <v>3</v>
      </c>
      <c r="J1535" s="100">
        <v>0</v>
      </c>
      <c r="K1535" s="100">
        <v>0</v>
      </c>
      <c r="L1535" s="100" t="s">
        <v>115</v>
      </c>
      <c r="M1535" s="102"/>
      <c r="N1535" s="100"/>
      <c r="O1535" s="100" t="s">
        <v>115</v>
      </c>
      <c r="P1535" s="101"/>
      <c r="Q1535" s="100">
        <v>187</v>
      </c>
      <c r="R1535" s="100">
        <v>101</v>
      </c>
      <c r="S1535" s="100"/>
      <c r="T1535" s="100"/>
      <c r="U1535" s="100"/>
      <c r="V1535" s="100"/>
      <c r="W1535" s="100"/>
      <c r="X1535" s="100">
        <v>90150612</v>
      </c>
      <c r="Y1535" s="100" t="s">
        <v>115</v>
      </c>
      <c r="Z1535" s="100" t="s">
        <v>115</v>
      </c>
      <c r="AA1535" s="100" t="s">
        <v>115</v>
      </c>
      <c r="AB1535" s="100" t="s">
        <v>115</v>
      </c>
      <c r="AC1535" s="100" t="s">
        <v>115</v>
      </c>
      <c r="AD1535" s="100"/>
      <c r="AE1535" s="100"/>
      <c r="AF1535" s="100"/>
      <c r="AG1535" s="100"/>
      <c r="AH1535" s="100"/>
      <c r="AI1535" s="100" t="s">
        <v>115</v>
      </c>
      <c r="AJ1535" s="100"/>
      <c r="AK1535" s="100"/>
      <c r="AL1535" s="100"/>
      <c r="AM1535" s="100"/>
      <c r="AN1535" s="100"/>
      <c r="AO1535" s="100"/>
      <c r="AP1535" s="89" t="s">
        <v>115</v>
      </c>
    </row>
    <row r="1536" spans="1:42" s="89" customFormat="1" x14ac:dyDescent="0.15">
      <c r="A1536" s="100" t="s">
        <v>1</v>
      </c>
      <c r="B1536" s="101">
        <v>90150612</v>
      </c>
      <c r="C1536" s="101">
        <v>1506</v>
      </c>
      <c r="D1536" s="101">
        <v>15</v>
      </c>
      <c r="E1536" s="101"/>
      <c r="F1536" s="101" t="s">
        <v>116</v>
      </c>
      <c r="G1536" s="101">
        <v>312</v>
      </c>
      <c r="H1536" s="101" t="s">
        <v>3660</v>
      </c>
      <c r="I1536" s="101">
        <v>2</v>
      </c>
      <c r="J1536" s="100">
        <v>0</v>
      </c>
      <c r="K1536" s="100">
        <v>0</v>
      </c>
      <c r="L1536" s="100" t="s">
        <v>115</v>
      </c>
      <c r="M1536" s="102"/>
      <c r="N1536" s="100"/>
      <c r="O1536" s="100" t="s">
        <v>115</v>
      </c>
      <c r="P1536" s="101"/>
      <c r="Q1536" s="100">
        <v>187</v>
      </c>
      <c r="R1536" s="100">
        <v>101</v>
      </c>
      <c r="S1536" s="100"/>
      <c r="T1536" s="100"/>
      <c r="U1536" s="100"/>
      <c r="V1536" s="100"/>
      <c r="W1536" s="100"/>
      <c r="X1536" s="100">
        <v>90150613</v>
      </c>
      <c r="Y1536" s="100" t="s">
        <v>115</v>
      </c>
      <c r="Z1536" s="100" t="s">
        <v>115</v>
      </c>
      <c r="AA1536" s="100" t="s">
        <v>115</v>
      </c>
      <c r="AB1536" s="100" t="s">
        <v>115</v>
      </c>
      <c r="AC1536" s="100" t="s">
        <v>115</v>
      </c>
      <c r="AD1536" s="100"/>
      <c r="AE1536" s="100"/>
      <c r="AF1536" s="100"/>
      <c r="AG1536" s="100"/>
      <c r="AH1536" s="100"/>
      <c r="AI1536" s="100" t="s">
        <v>115</v>
      </c>
      <c r="AJ1536" s="100"/>
      <c r="AK1536" s="100"/>
      <c r="AL1536" s="100"/>
      <c r="AM1536" s="100"/>
      <c r="AN1536" s="100"/>
      <c r="AO1536" s="100"/>
      <c r="AP1536" s="89" t="s">
        <v>115</v>
      </c>
    </row>
    <row r="1537" spans="1:42" s="89" customFormat="1" x14ac:dyDescent="0.15">
      <c r="A1537" s="100" t="s">
        <v>1</v>
      </c>
      <c r="B1537" s="101">
        <v>90150613</v>
      </c>
      <c r="C1537" s="101">
        <v>1506</v>
      </c>
      <c r="D1537" s="101">
        <v>15</v>
      </c>
      <c r="E1537" s="101"/>
      <c r="F1537" s="101" t="s">
        <v>3656</v>
      </c>
      <c r="G1537" s="101" t="s">
        <v>115</v>
      </c>
      <c r="H1537" s="101" t="s">
        <v>3661</v>
      </c>
      <c r="I1537" s="101">
        <v>3</v>
      </c>
      <c r="J1537" s="100">
        <v>0</v>
      </c>
      <c r="K1537" s="100">
        <v>0</v>
      </c>
      <c r="L1537" s="100" t="s">
        <v>115</v>
      </c>
      <c r="M1537" s="102"/>
      <c r="N1537" s="100"/>
      <c r="O1537" s="100" t="s">
        <v>115</v>
      </c>
      <c r="P1537" s="101"/>
      <c r="Q1537" s="100">
        <v>187</v>
      </c>
      <c r="R1537" s="100">
        <v>101</v>
      </c>
      <c r="S1537" s="100"/>
      <c r="T1537" s="100"/>
      <c r="U1537" s="100"/>
      <c r="V1537" s="100"/>
      <c r="W1537" s="100"/>
      <c r="X1537" s="100">
        <v>90150614</v>
      </c>
      <c r="Y1537" s="100" t="s">
        <v>115</v>
      </c>
      <c r="Z1537" s="100" t="s">
        <v>115</v>
      </c>
      <c r="AA1537" s="100" t="s">
        <v>115</v>
      </c>
      <c r="AB1537" s="100" t="s">
        <v>115</v>
      </c>
      <c r="AC1537" s="100" t="s">
        <v>115</v>
      </c>
      <c r="AD1537" s="100"/>
      <c r="AE1537" s="100"/>
      <c r="AF1537" s="100"/>
      <c r="AG1537" s="100"/>
      <c r="AH1537" s="100"/>
      <c r="AI1537" s="100" t="s">
        <v>115</v>
      </c>
      <c r="AJ1537" s="100"/>
      <c r="AK1537" s="100"/>
      <c r="AL1537" s="100"/>
      <c r="AM1537" s="100"/>
      <c r="AN1537" s="100"/>
      <c r="AO1537" s="100"/>
      <c r="AP1537" s="89" t="s">
        <v>115</v>
      </c>
    </row>
    <row r="1538" spans="1:42" s="89" customFormat="1" x14ac:dyDescent="0.15">
      <c r="A1538" s="100" t="s">
        <v>1</v>
      </c>
      <c r="B1538" s="101">
        <v>90150614</v>
      </c>
      <c r="C1538" s="101">
        <v>1506</v>
      </c>
      <c r="D1538" s="101">
        <v>15</v>
      </c>
      <c r="E1538" s="101"/>
      <c r="F1538" s="101" t="s">
        <v>115</v>
      </c>
      <c r="G1538" s="101" t="s">
        <v>115</v>
      </c>
      <c r="H1538" s="101" t="s">
        <v>3662</v>
      </c>
      <c r="I1538" s="101">
        <v>4</v>
      </c>
      <c r="J1538" s="100">
        <v>0</v>
      </c>
      <c r="K1538" s="100">
        <v>5</v>
      </c>
      <c r="L1538" s="100" t="s">
        <v>115</v>
      </c>
      <c r="M1538" s="102"/>
      <c r="N1538" s="100"/>
      <c r="O1538" s="100">
        <v>1</v>
      </c>
      <c r="P1538" s="101"/>
      <c r="Q1538" s="100">
        <v>187</v>
      </c>
      <c r="R1538" s="100" t="s">
        <v>115</v>
      </c>
      <c r="S1538" s="100"/>
      <c r="T1538" s="100"/>
      <c r="U1538" s="100"/>
      <c r="V1538" s="100"/>
      <c r="W1538" s="100"/>
      <c r="X1538" s="100" t="s">
        <v>115</v>
      </c>
      <c r="Y1538" s="100" t="s">
        <v>115</v>
      </c>
      <c r="Z1538" s="100">
        <v>4</v>
      </c>
      <c r="AA1538" s="100" t="s">
        <v>115</v>
      </c>
      <c r="AB1538" s="100" t="s">
        <v>115</v>
      </c>
      <c r="AC1538" s="100" t="s">
        <v>115</v>
      </c>
      <c r="AD1538" s="100"/>
      <c r="AE1538" s="100"/>
      <c r="AF1538" s="100"/>
      <c r="AG1538" s="100"/>
      <c r="AH1538" s="100"/>
      <c r="AI1538" s="100" t="s">
        <v>115</v>
      </c>
      <c r="AJ1538" s="100"/>
      <c r="AK1538" s="100"/>
      <c r="AL1538" s="100"/>
      <c r="AM1538" s="100"/>
      <c r="AN1538" s="100"/>
      <c r="AO1538" s="100"/>
      <c r="AP1538" s="89" t="s">
        <v>3663</v>
      </c>
    </row>
    <row r="1539" spans="1:42" s="89" customFormat="1" x14ac:dyDescent="0.15">
      <c r="A1539" s="100" t="s">
        <v>1</v>
      </c>
      <c r="B1539" s="101" t="s">
        <v>3445</v>
      </c>
      <c r="C1539" s="101">
        <v>1507</v>
      </c>
      <c r="D1539" s="101">
        <v>15</v>
      </c>
      <c r="E1539" s="101"/>
      <c r="F1539" s="101" t="s">
        <v>115</v>
      </c>
      <c r="G1539" s="101" t="s">
        <v>115</v>
      </c>
      <c r="H1539" s="101" t="s">
        <v>3664</v>
      </c>
      <c r="I1539" s="101">
        <v>4</v>
      </c>
      <c r="J1539" s="100">
        <v>1</v>
      </c>
      <c r="K1539" s="100">
        <v>1</v>
      </c>
      <c r="L1539" s="100" t="s">
        <v>115</v>
      </c>
      <c r="M1539" s="102"/>
      <c r="N1539" s="100"/>
      <c r="O1539" s="100" t="s">
        <v>115</v>
      </c>
      <c r="P1539" s="101"/>
      <c r="Q1539" s="100">
        <v>134</v>
      </c>
      <c r="R1539" s="100" t="s">
        <v>115</v>
      </c>
      <c r="S1539" s="100"/>
      <c r="T1539" s="100"/>
      <c r="U1539" s="100"/>
      <c r="V1539" s="100"/>
      <c r="W1539" s="100"/>
      <c r="X1539" s="100">
        <v>90150702</v>
      </c>
      <c r="Y1539" s="100" t="s">
        <v>115</v>
      </c>
      <c r="Z1539" s="100" t="s">
        <v>115</v>
      </c>
      <c r="AA1539" s="100" t="s">
        <v>115</v>
      </c>
      <c r="AB1539" s="100" t="s">
        <v>115</v>
      </c>
      <c r="AC1539" s="100" t="s">
        <v>115</v>
      </c>
      <c r="AD1539" s="100"/>
      <c r="AE1539" s="100"/>
      <c r="AF1539" s="100"/>
      <c r="AG1539" s="100"/>
      <c r="AH1539" s="100"/>
      <c r="AI1539" s="100" t="s">
        <v>115</v>
      </c>
      <c r="AJ1539" s="100"/>
      <c r="AK1539" s="100"/>
      <c r="AL1539" s="100"/>
      <c r="AM1539" s="100"/>
      <c r="AN1539" s="100"/>
      <c r="AO1539" s="100"/>
      <c r="AP1539" s="89" t="s">
        <v>115</v>
      </c>
    </row>
    <row r="1540" spans="1:42" s="89" customFormat="1" x14ac:dyDescent="0.15">
      <c r="A1540" s="100" t="s">
        <v>1</v>
      </c>
      <c r="B1540" s="101">
        <v>90150702</v>
      </c>
      <c r="C1540" s="101">
        <v>1507</v>
      </c>
      <c r="D1540" s="101">
        <v>15</v>
      </c>
      <c r="E1540" s="101"/>
      <c r="F1540" s="101" t="s">
        <v>2995</v>
      </c>
      <c r="G1540" s="101" t="s">
        <v>115</v>
      </c>
      <c r="H1540" s="101" t="s">
        <v>3665</v>
      </c>
      <c r="I1540" s="101">
        <v>3</v>
      </c>
      <c r="J1540" s="100">
        <v>0</v>
      </c>
      <c r="K1540" s="100">
        <v>0</v>
      </c>
      <c r="L1540" s="100" t="s">
        <v>115</v>
      </c>
      <c r="M1540" s="102"/>
      <c r="N1540" s="100"/>
      <c r="O1540" s="100" t="s">
        <v>115</v>
      </c>
      <c r="P1540" s="101"/>
      <c r="Q1540" s="100">
        <v>134</v>
      </c>
      <c r="R1540" s="100">
        <v>283</v>
      </c>
      <c r="S1540" s="100"/>
      <c r="T1540" s="100"/>
      <c r="U1540" s="100"/>
      <c r="V1540" s="100"/>
      <c r="W1540" s="100"/>
      <c r="X1540" s="100">
        <v>90150703</v>
      </c>
      <c r="Y1540" s="100" t="s">
        <v>115</v>
      </c>
      <c r="Z1540" s="100" t="s">
        <v>115</v>
      </c>
      <c r="AA1540" s="100" t="s">
        <v>115</v>
      </c>
      <c r="AB1540" s="100" t="s">
        <v>115</v>
      </c>
      <c r="AC1540" s="100" t="s">
        <v>115</v>
      </c>
      <c r="AD1540" s="100"/>
      <c r="AE1540" s="100"/>
      <c r="AF1540" s="100"/>
      <c r="AG1540" s="100"/>
      <c r="AH1540" s="100"/>
      <c r="AI1540" s="100" t="s">
        <v>115</v>
      </c>
      <c r="AJ1540" s="100"/>
      <c r="AK1540" s="100"/>
      <c r="AL1540" s="100"/>
      <c r="AM1540" s="100"/>
      <c r="AN1540" s="100"/>
      <c r="AO1540" s="100"/>
      <c r="AP1540" s="89" t="s">
        <v>115</v>
      </c>
    </row>
    <row r="1541" spans="1:42" s="89" customFormat="1" x14ac:dyDescent="0.15">
      <c r="A1541" s="100" t="s">
        <v>1</v>
      </c>
      <c r="B1541" s="101">
        <v>90150703</v>
      </c>
      <c r="C1541" s="101">
        <v>1507</v>
      </c>
      <c r="D1541" s="101">
        <v>15</v>
      </c>
      <c r="E1541" s="101"/>
      <c r="F1541" s="101" t="s">
        <v>115</v>
      </c>
      <c r="G1541" s="101" t="s">
        <v>115</v>
      </c>
      <c r="H1541" s="101" t="s">
        <v>3666</v>
      </c>
      <c r="I1541" s="101">
        <v>4</v>
      </c>
      <c r="J1541" s="100">
        <v>0</v>
      </c>
      <c r="K1541" s="100">
        <v>0</v>
      </c>
      <c r="L1541" s="100" t="s">
        <v>115</v>
      </c>
      <c r="M1541" s="102"/>
      <c r="N1541" s="100"/>
      <c r="O1541" s="100" t="s">
        <v>115</v>
      </c>
      <c r="P1541" s="101"/>
      <c r="Q1541" s="100">
        <v>134</v>
      </c>
      <c r="R1541" s="100">
        <v>283</v>
      </c>
      <c r="S1541" s="100"/>
      <c r="T1541" s="100"/>
      <c r="U1541" s="100"/>
      <c r="V1541" s="100"/>
      <c r="W1541" s="100"/>
      <c r="X1541" s="100">
        <v>90150704</v>
      </c>
      <c r="Y1541" s="100" t="s">
        <v>115</v>
      </c>
      <c r="Z1541" s="100" t="s">
        <v>115</v>
      </c>
      <c r="AA1541" s="100" t="s">
        <v>115</v>
      </c>
      <c r="AB1541" s="100" t="s">
        <v>115</v>
      </c>
      <c r="AC1541" s="100" t="s">
        <v>115</v>
      </c>
      <c r="AD1541" s="100"/>
      <c r="AE1541" s="100"/>
      <c r="AF1541" s="100"/>
      <c r="AG1541" s="100"/>
      <c r="AH1541" s="100"/>
      <c r="AI1541" s="100" t="s">
        <v>115</v>
      </c>
      <c r="AJ1541" s="100"/>
      <c r="AK1541" s="100"/>
      <c r="AL1541" s="100"/>
      <c r="AM1541" s="100"/>
      <c r="AN1541" s="100"/>
      <c r="AO1541" s="100"/>
      <c r="AP1541" s="89" t="s">
        <v>115</v>
      </c>
    </row>
    <row r="1542" spans="1:42" s="89" customFormat="1" x14ac:dyDescent="0.15">
      <c r="A1542" s="100" t="s">
        <v>1</v>
      </c>
      <c r="B1542" s="101">
        <v>90150704</v>
      </c>
      <c r="C1542" s="101">
        <v>1507</v>
      </c>
      <c r="D1542" s="101">
        <v>15</v>
      </c>
      <c r="E1542" s="101"/>
      <c r="F1542" s="101" t="s">
        <v>115</v>
      </c>
      <c r="G1542" s="101" t="s">
        <v>115</v>
      </c>
      <c r="H1542" s="101" t="s">
        <v>3667</v>
      </c>
      <c r="I1542" s="101">
        <v>4</v>
      </c>
      <c r="J1542" s="100">
        <v>0</v>
      </c>
      <c r="K1542" s="100">
        <v>0</v>
      </c>
      <c r="L1542" s="100" t="s">
        <v>115</v>
      </c>
      <c r="M1542" s="102"/>
      <c r="N1542" s="100"/>
      <c r="O1542" s="100" t="s">
        <v>115</v>
      </c>
      <c r="P1542" s="101"/>
      <c r="Q1542" s="100">
        <v>134</v>
      </c>
      <c r="R1542" s="100">
        <v>283</v>
      </c>
      <c r="S1542" s="100"/>
      <c r="T1542" s="100"/>
      <c r="U1542" s="100"/>
      <c r="V1542" s="100"/>
      <c r="W1542" s="100"/>
      <c r="X1542" s="100">
        <v>90150705</v>
      </c>
      <c r="Y1542" s="100" t="s">
        <v>115</v>
      </c>
      <c r="Z1542" s="100" t="s">
        <v>115</v>
      </c>
      <c r="AA1542" s="100" t="s">
        <v>115</v>
      </c>
      <c r="AB1542" s="100" t="s">
        <v>115</v>
      </c>
      <c r="AC1542" s="100" t="s">
        <v>115</v>
      </c>
      <c r="AD1542" s="100"/>
      <c r="AE1542" s="100"/>
      <c r="AF1542" s="100"/>
      <c r="AG1542" s="100"/>
      <c r="AH1542" s="100"/>
      <c r="AI1542" s="100" t="s">
        <v>115</v>
      </c>
      <c r="AJ1542" s="100"/>
      <c r="AK1542" s="100"/>
      <c r="AL1542" s="100"/>
      <c r="AM1542" s="100"/>
      <c r="AN1542" s="100"/>
      <c r="AO1542" s="100"/>
      <c r="AP1542" s="89" t="s">
        <v>115</v>
      </c>
    </row>
    <row r="1543" spans="1:42" s="89" customFormat="1" x14ac:dyDescent="0.15">
      <c r="A1543" s="100" t="s">
        <v>1</v>
      </c>
      <c r="B1543" s="101">
        <v>90150705</v>
      </c>
      <c r="C1543" s="101">
        <v>1507</v>
      </c>
      <c r="D1543" s="101">
        <v>15</v>
      </c>
      <c r="E1543" s="101"/>
      <c r="F1543" s="101" t="s">
        <v>2995</v>
      </c>
      <c r="G1543" s="101" t="s">
        <v>115</v>
      </c>
      <c r="H1543" s="101" t="s">
        <v>3668</v>
      </c>
      <c r="I1543" s="101">
        <v>3</v>
      </c>
      <c r="J1543" s="100">
        <v>0</v>
      </c>
      <c r="K1543" s="100">
        <v>0</v>
      </c>
      <c r="L1543" s="100" t="s">
        <v>115</v>
      </c>
      <c r="M1543" s="102"/>
      <c r="N1543" s="100"/>
      <c r="O1543" s="100" t="s">
        <v>115</v>
      </c>
      <c r="P1543" s="101"/>
      <c r="Q1543" s="100">
        <v>134</v>
      </c>
      <c r="R1543" s="100">
        <v>283</v>
      </c>
      <c r="S1543" s="100"/>
      <c r="T1543" s="100"/>
      <c r="U1543" s="100"/>
      <c r="V1543" s="100"/>
      <c r="W1543" s="100"/>
      <c r="X1543" s="100">
        <v>90150706</v>
      </c>
      <c r="Y1543" s="100" t="s">
        <v>115</v>
      </c>
      <c r="Z1543" s="100" t="s">
        <v>115</v>
      </c>
      <c r="AA1543" s="100" t="s">
        <v>115</v>
      </c>
      <c r="AB1543" s="100" t="s">
        <v>115</v>
      </c>
      <c r="AC1543" s="100" t="s">
        <v>115</v>
      </c>
      <c r="AD1543" s="100"/>
      <c r="AE1543" s="100"/>
      <c r="AF1543" s="100"/>
      <c r="AG1543" s="100"/>
      <c r="AH1543" s="100"/>
      <c r="AI1543" s="100" t="s">
        <v>115</v>
      </c>
      <c r="AJ1543" s="100"/>
      <c r="AK1543" s="100"/>
      <c r="AL1543" s="100"/>
      <c r="AM1543" s="100"/>
      <c r="AN1543" s="100"/>
      <c r="AO1543" s="100"/>
      <c r="AP1543" s="89" t="s">
        <v>115</v>
      </c>
    </row>
    <row r="1544" spans="1:42" s="89" customFormat="1" x14ac:dyDescent="0.15">
      <c r="A1544" s="100" t="s">
        <v>1</v>
      </c>
      <c r="B1544" s="101">
        <v>90150706</v>
      </c>
      <c r="C1544" s="101">
        <v>1507</v>
      </c>
      <c r="D1544" s="101">
        <v>15</v>
      </c>
      <c r="E1544" s="101"/>
      <c r="F1544" s="101" t="s">
        <v>116</v>
      </c>
      <c r="G1544" s="101">
        <v>314</v>
      </c>
      <c r="H1544" s="101" t="s">
        <v>3669</v>
      </c>
      <c r="I1544" s="101">
        <v>0</v>
      </c>
      <c r="J1544" s="100">
        <v>0</v>
      </c>
      <c r="K1544" s="100">
        <v>0</v>
      </c>
      <c r="L1544" s="100" t="s">
        <v>115</v>
      </c>
      <c r="M1544" s="102"/>
      <c r="N1544" s="100"/>
      <c r="O1544" s="100" t="s">
        <v>115</v>
      </c>
      <c r="P1544" s="101"/>
      <c r="Q1544" s="100">
        <v>134</v>
      </c>
      <c r="R1544" s="100">
        <v>283</v>
      </c>
      <c r="S1544" s="100"/>
      <c r="T1544" s="100"/>
      <c r="U1544" s="100"/>
      <c r="V1544" s="100"/>
      <c r="W1544" s="100"/>
      <c r="X1544" s="100">
        <v>90150707</v>
      </c>
      <c r="Y1544" s="100" t="s">
        <v>115</v>
      </c>
      <c r="Z1544" s="100" t="s">
        <v>115</v>
      </c>
      <c r="AA1544" s="100" t="s">
        <v>115</v>
      </c>
      <c r="AB1544" s="100" t="s">
        <v>115</v>
      </c>
      <c r="AC1544" s="100" t="s">
        <v>115</v>
      </c>
      <c r="AD1544" s="100"/>
      <c r="AE1544" s="100"/>
      <c r="AF1544" s="100"/>
      <c r="AG1544" s="100"/>
      <c r="AH1544" s="100"/>
      <c r="AI1544" s="100" t="s">
        <v>115</v>
      </c>
      <c r="AJ1544" s="100"/>
      <c r="AK1544" s="100"/>
      <c r="AL1544" s="100"/>
      <c r="AM1544" s="100"/>
      <c r="AN1544" s="100"/>
      <c r="AO1544" s="100"/>
      <c r="AP1544" s="89" t="s">
        <v>115</v>
      </c>
    </row>
    <row r="1545" spans="1:42" s="89" customFormat="1" x14ac:dyDescent="0.15">
      <c r="A1545" s="100" t="s">
        <v>1</v>
      </c>
      <c r="B1545" s="101">
        <v>90150707</v>
      </c>
      <c r="C1545" s="101">
        <v>1507</v>
      </c>
      <c r="D1545" s="101">
        <v>15</v>
      </c>
      <c r="E1545" s="101"/>
      <c r="F1545" s="101" t="s">
        <v>2995</v>
      </c>
      <c r="G1545" s="101" t="s">
        <v>115</v>
      </c>
      <c r="H1545" s="101" t="s">
        <v>3670</v>
      </c>
      <c r="I1545" s="101">
        <v>3</v>
      </c>
      <c r="J1545" s="100">
        <v>0</v>
      </c>
      <c r="K1545" s="100">
        <v>0</v>
      </c>
      <c r="L1545" s="100" t="s">
        <v>115</v>
      </c>
      <c r="M1545" s="102"/>
      <c r="N1545" s="100"/>
      <c r="O1545" s="100" t="s">
        <v>115</v>
      </c>
      <c r="P1545" s="101"/>
      <c r="Q1545" s="100">
        <v>134</v>
      </c>
      <c r="R1545" s="100">
        <v>283</v>
      </c>
      <c r="S1545" s="100"/>
      <c r="T1545" s="100"/>
      <c r="U1545" s="100"/>
      <c r="V1545" s="100"/>
      <c r="W1545" s="100"/>
      <c r="X1545" s="100">
        <v>90150708</v>
      </c>
      <c r="Y1545" s="100" t="s">
        <v>115</v>
      </c>
      <c r="Z1545" s="100" t="s">
        <v>115</v>
      </c>
      <c r="AA1545" s="100" t="s">
        <v>115</v>
      </c>
      <c r="AB1545" s="100" t="s">
        <v>115</v>
      </c>
      <c r="AC1545" s="100" t="s">
        <v>115</v>
      </c>
      <c r="AD1545" s="100"/>
      <c r="AE1545" s="100"/>
      <c r="AF1545" s="100"/>
      <c r="AG1545" s="100"/>
      <c r="AH1545" s="100"/>
      <c r="AI1545" s="100" t="s">
        <v>115</v>
      </c>
      <c r="AJ1545" s="100"/>
      <c r="AK1545" s="100"/>
      <c r="AL1545" s="100"/>
      <c r="AM1545" s="100"/>
      <c r="AN1545" s="100"/>
      <c r="AO1545" s="100"/>
      <c r="AP1545" s="89" t="s">
        <v>115</v>
      </c>
    </row>
    <row r="1546" spans="1:42" s="89" customFormat="1" x14ac:dyDescent="0.15">
      <c r="A1546" s="100" t="s">
        <v>1</v>
      </c>
      <c r="B1546" s="101">
        <v>90150708</v>
      </c>
      <c r="C1546" s="101">
        <v>1507</v>
      </c>
      <c r="D1546" s="101">
        <v>15</v>
      </c>
      <c r="E1546" s="101"/>
      <c r="F1546" s="101" t="s">
        <v>2995</v>
      </c>
      <c r="G1546" s="101" t="s">
        <v>115</v>
      </c>
      <c r="H1546" s="101" t="s">
        <v>3671</v>
      </c>
      <c r="I1546" s="101">
        <v>3</v>
      </c>
      <c r="J1546" s="100">
        <v>0</v>
      </c>
      <c r="K1546" s="100">
        <v>0</v>
      </c>
      <c r="L1546" s="100" t="s">
        <v>115</v>
      </c>
      <c r="M1546" s="102"/>
      <c r="N1546" s="100"/>
      <c r="O1546" s="100" t="s">
        <v>115</v>
      </c>
      <c r="P1546" s="101"/>
      <c r="Q1546" s="100">
        <v>134</v>
      </c>
      <c r="R1546" s="100">
        <v>283</v>
      </c>
      <c r="S1546" s="100"/>
      <c r="T1546" s="100"/>
      <c r="U1546" s="100"/>
      <c r="V1546" s="100"/>
      <c r="W1546" s="100"/>
      <c r="X1546" s="100">
        <v>90150709</v>
      </c>
      <c r="Y1546" s="100" t="s">
        <v>115</v>
      </c>
      <c r="Z1546" s="100" t="s">
        <v>115</v>
      </c>
      <c r="AA1546" s="100" t="s">
        <v>115</v>
      </c>
      <c r="AB1546" s="100" t="s">
        <v>115</v>
      </c>
      <c r="AC1546" s="100" t="s">
        <v>115</v>
      </c>
      <c r="AD1546" s="100"/>
      <c r="AE1546" s="100"/>
      <c r="AF1546" s="100"/>
      <c r="AG1546" s="100"/>
      <c r="AH1546" s="100"/>
      <c r="AI1546" s="100" t="s">
        <v>115</v>
      </c>
      <c r="AJ1546" s="100"/>
      <c r="AK1546" s="100"/>
      <c r="AL1546" s="100"/>
      <c r="AM1546" s="100"/>
      <c r="AN1546" s="100"/>
      <c r="AO1546" s="100"/>
      <c r="AP1546" s="89" t="s">
        <v>115</v>
      </c>
    </row>
    <row r="1547" spans="1:42" s="89" customFormat="1" x14ac:dyDescent="0.15">
      <c r="A1547" s="100" t="s">
        <v>1</v>
      </c>
      <c r="B1547" s="101">
        <v>90150709</v>
      </c>
      <c r="C1547" s="101">
        <v>1507</v>
      </c>
      <c r="D1547" s="101">
        <v>15</v>
      </c>
      <c r="E1547" s="101"/>
      <c r="F1547" s="101" t="s">
        <v>2995</v>
      </c>
      <c r="G1547" s="101" t="s">
        <v>115</v>
      </c>
      <c r="H1547" s="101" t="s">
        <v>3672</v>
      </c>
      <c r="I1547" s="101">
        <v>3</v>
      </c>
      <c r="J1547" s="100">
        <v>0</v>
      </c>
      <c r="K1547" s="100">
        <v>0</v>
      </c>
      <c r="L1547" s="100" t="s">
        <v>115</v>
      </c>
      <c r="M1547" s="102"/>
      <c r="N1547" s="100"/>
      <c r="O1547" s="100" t="s">
        <v>115</v>
      </c>
      <c r="P1547" s="101"/>
      <c r="Q1547" s="100">
        <v>134</v>
      </c>
      <c r="R1547" s="100">
        <v>283</v>
      </c>
      <c r="S1547" s="100"/>
      <c r="T1547" s="100"/>
      <c r="U1547" s="100"/>
      <c r="V1547" s="100"/>
      <c r="W1547" s="100"/>
      <c r="X1547" s="100">
        <v>90150710</v>
      </c>
      <c r="Y1547" s="100" t="s">
        <v>115</v>
      </c>
      <c r="Z1547" s="100" t="s">
        <v>115</v>
      </c>
      <c r="AA1547" s="100" t="s">
        <v>115</v>
      </c>
      <c r="AB1547" s="100" t="s">
        <v>115</v>
      </c>
      <c r="AC1547" s="100" t="s">
        <v>115</v>
      </c>
      <c r="AD1547" s="100"/>
      <c r="AE1547" s="100"/>
      <c r="AF1547" s="100"/>
      <c r="AG1547" s="100"/>
      <c r="AH1547" s="100"/>
      <c r="AI1547" s="100" t="s">
        <v>115</v>
      </c>
      <c r="AJ1547" s="100"/>
      <c r="AK1547" s="100"/>
      <c r="AL1547" s="100"/>
      <c r="AM1547" s="100"/>
      <c r="AN1547" s="100"/>
      <c r="AO1547" s="100"/>
      <c r="AP1547" s="89" t="s">
        <v>115</v>
      </c>
    </row>
    <row r="1548" spans="1:42" s="89" customFormat="1" x14ac:dyDescent="0.15">
      <c r="A1548" s="100" t="s">
        <v>1</v>
      </c>
      <c r="B1548" s="101">
        <v>90150710</v>
      </c>
      <c r="C1548" s="101">
        <v>1507</v>
      </c>
      <c r="D1548" s="101">
        <v>15</v>
      </c>
      <c r="E1548" s="101"/>
      <c r="F1548" s="101" t="s">
        <v>2995</v>
      </c>
      <c r="G1548" s="101" t="s">
        <v>115</v>
      </c>
      <c r="H1548" s="101" t="s">
        <v>3673</v>
      </c>
      <c r="I1548" s="101">
        <v>3</v>
      </c>
      <c r="J1548" s="100">
        <v>0</v>
      </c>
      <c r="K1548" s="100">
        <v>0</v>
      </c>
      <c r="L1548" s="100" t="s">
        <v>115</v>
      </c>
      <c r="M1548" s="102"/>
      <c r="N1548" s="100"/>
      <c r="O1548" s="100" t="s">
        <v>115</v>
      </c>
      <c r="P1548" s="101"/>
      <c r="Q1548" s="100">
        <v>134</v>
      </c>
      <c r="R1548" s="100">
        <v>283</v>
      </c>
      <c r="S1548" s="100"/>
      <c r="T1548" s="100"/>
      <c r="U1548" s="100"/>
      <c r="V1548" s="100"/>
      <c r="W1548" s="100"/>
      <c r="X1548" s="100">
        <v>90150711</v>
      </c>
      <c r="Y1548" s="100" t="s">
        <v>115</v>
      </c>
      <c r="Z1548" s="100" t="s">
        <v>115</v>
      </c>
      <c r="AA1548" s="100" t="s">
        <v>115</v>
      </c>
      <c r="AB1548" s="100" t="s">
        <v>115</v>
      </c>
      <c r="AC1548" s="100" t="s">
        <v>115</v>
      </c>
      <c r="AD1548" s="100"/>
      <c r="AE1548" s="100"/>
      <c r="AF1548" s="100"/>
      <c r="AG1548" s="100"/>
      <c r="AH1548" s="100"/>
      <c r="AI1548" s="100" t="s">
        <v>115</v>
      </c>
      <c r="AJ1548" s="100"/>
      <c r="AK1548" s="100"/>
      <c r="AL1548" s="100"/>
      <c r="AM1548" s="100"/>
      <c r="AN1548" s="100"/>
      <c r="AO1548" s="100"/>
      <c r="AP1548" s="89" t="s">
        <v>115</v>
      </c>
    </row>
    <row r="1549" spans="1:42" s="89" customFormat="1" x14ac:dyDescent="0.15">
      <c r="A1549" s="100" t="s">
        <v>1</v>
      </c>
      <c r="B1549" s="101">
        <v>90150711</v>
      </c>
      <c r="C1549" s="101">
        <v>1507</v>
      </c>
      <c r="D1549" s="101">
        <v>15</v>
      </c>
      <c r="E1549" s="101"/>
      <c r="F1549" s="101" t="s">
        <v>116</v>
      </c>
      <c r="G1549" s="101">
        <v>312</v>
      </c>
      <c r="H1549" s="101" t="s">
        <v>3674</v>
      </c>
      <c r="I1549" s="101">
        <v>0</v>
      </c>
      <c r="J1549" s="100">
        <v>0</v>
      </c>
      <c r="K1549" s="100">
        <v>0</v>
      </c>
      <c r="L1549" s="100" t="s">
        <v>115</v>
      </c>
      <c r="M1549" s="102"/>
      <c r="N1549" s="100"/>
      <c r="O1549" s="100" t="s">
        <v>115</v>
      </c>
      <c r="P1549" s="101"/>
      <c r="Q1549" s="100">
        <v>134</v>
      </c>
      <c r="R1549" s="100">
        <v>283</v>
      </c>
      <c r="S1549" s="100"/>
      <c r="T1549" s="100"/>
      <c r="U1549" s="100"/>
      <c r="V1549" s="100"/>
      <c r="W1549" s="100"/>
      <c r="X1549" s="100">
        <v>90150712</v>
      </c>
      <c r="Y1549" s="100" t="s">
        <v>115</v>
      </c>
      <c r="Z1549" s="100" t="s">
        <v>115</v>
      </c>
      <c r="AA1549" s="100" t="s">
        <v>115</v>
      </c>
      <c r="AB1549" s="100" t="s">
        <v>115</v>
      </c>
      <c r="AC1549" s="100" t="s">
        <v>115</v>
      </c>
      <c r="AD1549" s="100"/>
      <c r="AE1549" s="100"/>
      <c r="AF1549" s="100"/>
      <c r="AG1549" s="100"/>
      <c r="AH1549" s="100"/>
      <c r="AI1549" s="100" t="s">
        <v>115</v>
      </c>
      <c r="AJ1549" s="100"/>
      <c r="AK1549" s="100"/>
      <c r="AL1549" s="100"/>
      <c r="AM1549" s="100"/>
      <c r="AN1549" s="100"/>
      <c r="AO1549" s="100"/>
      <c r="AP1549" s="89" t="s">
        <v>115</v>
      </c>
    </row>
    <row r="1550" spans="1:42" s="89" customFormat="1" x14ac:dyDescent="0.15">
      <c r="A1550" s="100" t="s">
        <v>1</v>
      </c>
      <c r="B1550" s="101">
        <v>90150712</v>
      </c>
      <c r="C1550" s="101">
        <v>1507</v>
      </c>
      <c r="D1550" s="101">
        <v>15</v>
      </c>
      <c r="E1550" s="101"/>
      <c r="F1550" s="101" t="s">
        <v>115</v>
      </c>
      <c r="G1550" s="101" t="s">
        <v>115</v>
      </c>
      <c r="H1550" s="101" t="s">
        <v>3675</v>
      </c>
      <c r="I1550" s="101">
        <v>4</v>
      </c>
      <c r="J1550" s="100">
        <v>0</v>
      </c>
      <c r="K1550" s="100">
        <v>0</v>
      </c>
      <c r="L1550" s="100" t="s">
        <v>115</v>
      </c>
      <c r="M1550" s="102"/>
      <c r="N1550" s="100"/>
      <c r="O1550" s="100" t="s">
        <v>115</v>
      </c>
      <c r="P1550" s="101"/>
      <c r="Q1550" s="100">
        <v>134</v>
      </c>
      <c r="R1550" s="100" t="s">
        <v>115</v>
      </c>
      <c r="S1550" s="100"/>
      <c r="T1550" s="100"/>
      <c r="U1550" s="100"/>
      <c r="V1550" s="100"/>
      <c r="W1550" s="100"/>
      <c r="X1550" s="100">
        <v>90150713</v>
      </c>
      <c r="Y1550" s="100" t="s">
        <v>115</v>
      </c>
      <c r="Z1550" s="100" t="s">
        <v>115</v>
      </c>
      <c r="AA1550" s="100" t="s">
        <v>115</v>
      </c>
      <c r="AB1550" s="100" t="s">
        <v>115</v>
      </c>
      <c r="AC1550" s="100" t="s">
        <v>115</v>
      </c>
      <c r="AD1550" s="100"/>
      <c r="AE1550" s="100"/>
      <c r="AF1550" s="100"/>
      <c r="AG1550" s="100"/>
      <c r="AH1550" s="100"/>
      <c r="AI1550" s="100" t="s">
        <v>115</v>
      </c>
      <c r="AJ1550" s="100"/>
      <c r="AK1550" s="100"/>
      <c r="AL1550" s="100"/>
      <c r="AM1550" s="100"/>
      <c r="AN1550" s="100"/>
      <c r="AO1550" s="100"/>
      <c r="AP1550" s="89" t="s">
        <v>115</v>
      </c>
    </row>
    <row r="1551" spans="1:42" s="89" customFormat="1" x14ac:dyDescent="0.15">
      <c r="A1551" s="100" t="s">
        <v>1</v>
      </c>
      <c r="B1551" s="101">
        <v>90150713</v>
      </c>
      <c r="C1551" s="101">
        <v>1507</v>
      </c>
      <c r="D1551" s="101">
        <v>15</v>
      </c>
      <c r="E1551" s="101"/>
      <c r="F1551" s="101" t="s">
        <v>115</v>
      </c>
      <c r="G1551" s="101" t="s">
        <v>115</v>
      </c>
      <c r="H1551" s="101" t="s">
        <v>3676</v>
      </c>
      <c r="I1551" s="101">
        <v>4</v>
      </c>
      <c r="J1551" s="100">
        <v>0</v>
      </c>
      <c r="K1551" s="100">
        <v>2</v>
      </c>
      <c r="L1551" s="100" t="s">
        <v>115</v>
      </c>
      <c r="M1551" s="102"/>
      <c r="N1551" s="100"/>
      <c r="O1551" s="100">
        <v>1</v>
      </c>
      <c r="P1551" s="101"/>
      <c r="Q1551" s="100">
        <v>134</v>
      </c>
      <c r="R1551" s="100" t="s">
        <v>115</v>
      </c>
      <c r="S1551" s="100"/>
      <c r="T1551" s="100"/>
      <c r="U1551" s="100"/>
      <c r="V1551" s="100"/>
      <c r="W1551" s="100"/>
      <c r="X1551" s="100" t="s">
        <v>115</v>
      </c>
      <c r="Y1551" s="100" t="s">
        <v>115</v>
      </c>
      <c r="Z1551" s="100">
        <v>1</v>
      </c>
      <c r="AA1551" s="100" t="s">
        <v>115</v>
      </c>
      <c r="AB1551" s="100" t="s">
        <v>115</v>
      </c>
      <c r="AC1551" s="100" t="s">
        <v>115</v>
      </c>
      <c r="AD1551" s="100"/>
      <c r="AE1551" s="100"/>
      <c r="AF1551" s="100"/>
      <c r="AG1551" s="100"/>
      <c r="AH1551" s="100"/>
      <c r="AI1551" s="100" t="s">
        <v>115</v>
      </c>
      <c r="AJ1551" s="100"/>
      <c r="AK1551" s="100"/>
      <c r="AL1551" s="100"/>
      <c r="AM1551" s="100"/>
      <c r="AN1551" s="100"/>
      <c r="AO1551" s="100"/>
      <c r="AP1551" s="89" t="s">
        <v>115</v>
      </c>
    </row>
    <row r="1552" spans="1:42" s="89" customFormat="1" x14ac:dyDescent="0.15">
      <c r="A1552" s="100" t="s">
        <v>1</v>
      </c>
      <c r="B1552" s="101" t="s">
        <v>3447</v>
      </c>
      <c r="C1552" s="101">
        <v>1601</v>
      </c>
      <c r="D1552" s="101">
        <v>16</v>
      </c>
      <c r="E1552" s="101"/>
      <c r="F1552" s="101" t="s">
        <v>115</v>
      </c>
      <c r="G1552" s="101" t="s">
        <v>115</v>
      </c>
      <c r="H1552" s="101" t="s">
        <v>3677</v>
      </c>
      <c r="I1552" s="101">
        <v>4</v>
      </c>
      <c r="J1552" s="100">
        <v>1</v>
      </c>
      <c r="K1552" s="100">
        <v>1</v>
      </c>
      <c r="L1552" s="100" t="s">
        <v>115</v>
      </c>
      <c r="M1552" s="102"/>
      <c r="N1552" s="100"/>
      <c r="O1552" s="100" t="s">
        <v>115</v>
      </c>
      <c r="P1552" s="101"/>
      <c r="Q1552" s="100">
        <v>173</v>
      </c>
      <c r="R1552" s="100" t="s">
        <v>115</v>
      </c>
      <c r="S1552" s="100"/>
      <c r="T1552" s="100"/>
      <c r="U1552" s="100"/>
      <c r="V1552" s="100"/>
      <c r="W1552" s="100"/>
      <c r="X1552" s="100">
        <v>90160102</v>
      </c>
      <c r="Y1552" s="100" t="s">
        <v>115</v>
      </c>
      <c r="Z1552" s="100" t="s">
        <v>115</v>
      </c>
      <c r="AA1552" s="100" t="s">
        <v>115</v>
      </c>
      <c r="AB1552" s="100" t="s">
        <v>115</v>
      </c>
      <c r="AC1552" s="100" t="s">
        <v>115</v>
      </c>
      <c r="AD1552" s="100"/>
      <c r="AE1552" s="100"/>
      <c r="AF1552" s="100"/>
      <c r="AG1552" s="100"/>
      <c r="AH1552" s="100"/>
      <c r="AI1552" s="100" t="s">
        <v>115</v>
      </c>
      <c r="AJ1552" s="100"/>
      <c r="AK1552" s="100"/>
      <c r="AL1552" s="100"/>
      <c r="AM1552" s="100"/>
      <c r="AN1552" s="100"/>
      <c r="AO1552" s="100"/>
      <c r="AP1552" s="89" t="s">
        <v>115</v>
      </c>
    </row>
    <row r="1553" spans="1:42" s="89" customFormat="1" x14ac:dyDescent="0.15">
      <c r="A1553" s="100" t="s">
        <v>1</v>
      </c>
      <c r="B1553" s="101">
        <v>90160102</v>
      </c>
      <c r="C1553" s="101">
        <v>1601</v>
      </c>
      <c r="D1553" s="101">
        <v>16</v>
      </c>
      <c r="E1553" s="101"/>
      <c r="F1553" s="101" t="s">
        <v>115</v>
      </c>
      <c r="G1553" s="101" t="s">
        <v>115</v>
      </c>
      <c r="H1553" s="101" t="s">
        <v>3678</v>
      </c>
      <c r="I1553" s="101">
        <v>4</v>
      </c>
      <c r="J1553" s="100">
        <v>0</v>
      </c>
      <c r="K1553" s="100">
        <v>0</v>
      </c>
      <c r="L1553" s="100" t="s">
        <v>115</v>
      </c>
      <c r="M1553" s="102"/>
      <c r="N1553" s="100"/>
      <c r="O1553" s="100" t="s">
        <v>115</v>
      </c>
      <c r="P1553" s="101"/>
      <c r="Q1553" s="100">
        <v>173</v>
      </c>
      <c r="R1553" s="100" t="s">
        <v>115</v>
      </c>
      <c r="S1553" s="100"/>
      <c r="T1553" s="100"/>
      <c r="U1553" s="100"/>
      <c r="V1553" s="100"/>
      <c r="W1553" s="100"/>
      <c r="X1553" s="100">
        <v>90160103</v>
      </c>
      <c r="Y1553" s="100" t="s">
        <v>115</v>
      </c>
      <c r="Z1553" s="100" t="s">
        <v>115</v>
      </c>
      <c r="AA1553" s="100" t="s">
        <v>115</v>
      </c>
      <c r="AB1553" s="100" t="s">
        <v>115</v>
      </c>
      <c r="AC1553" s="100" t="s">
        <v>115</v>
      </c>
      <c r="AD1553" s="100"/>
      <c r="AE1553" s="100"/>
      <c r="AF1553" s="100"/>
      <c r="AG1553" s="100"/>
      <c r="AH1553" s="100"/>
      <c r="AI1553" s="100" t="s">
        <v>115</v>
      </c>
      <c r="AJ1553" s="100"/>
      <c r="AK1553" s="100"/>
      <c r="AL1553" s="100"/>
      <c r="AM1553" s="100"/>
      <c r="AN1553" s="100"/>
      <c r="AO1553" s="100"/>
      <c r="AP1553" s="89" t="s">
        <v>115</v>
      </c>
    </row>
    <row r="1554" spans="1:42" s="89" customFormat="1" x14ac:dyDescent="0.15">
      <c r="A1554" s="100" t="s">
        <v>1</v>
      </c>
      <c r="B1554" s="101">
        <v>90160103</v>
      </c>
      <c r="C1554" s="101">
        <v>1601</v>
      </c>
      <c r="D1554" s="101">
        <v>16</v>
      </c>
      <c r="E1554" s="101"/>
      <c r="F1554" s="101" t="s">
        <v>3679</v>
      </c>
      <c r="G1554" s="101" t="s">
        <v>115</v>
      </c>
      <c r="H1554" s="101" t="s">
        <v>3680</v>
      </c>
      <c r="I1554" s="101">
        <v>3</v>
      </c>
      <c r="J1554" s="100">
        <v>0</v>
      </c>
      <c r="K1554" s="100">
        <v>0</v>
      </c>
      <c r="L1554" s="100" t="s">
        <v>115</v>
      </c>
      <c r="M1554" s="102"/>
      <c r="N1554" s="100"/>
      <c r="O1554" s="100" t="s">
        <v>115</v>
      </c>
      <c r="P1554" s="101"/>
      <c r="Q1554" s="100">
        <v>173</v>
      </c>
      <c r="R1554" s="100">
        <v>248</v>
      </c>
      <c r="S1554" s="100"/>
      <c r="T1554" s="100"/>
      <c r="U1554" s="100"/>
      <c r="V1554" s="100"/>
      <c r="W1554" s="100"/>
      <c r="X1554" s="100">
        <v>90160104</v>
      </c>
      <c r="Y1554" s="100" t="s">
        <v>115</v>
      </c>
      <c r="Z1554" s="100" t="s">
        <v>115</v>
      </c>
      <c r="AA1554" s="100" t="s">
        <v>115</v>
      </c>
      <c r="AB1554" s="100" t="s">
        <v>115</v>
      </c>
      <c r="AC1554" s="100" t="s">
        <v>115</v>
      </c>
      <c r="AD1554" s="100"/>
      <c r="AE1554" s="100"/>
      <c r="AF1554" s="100"/>
      <c r="AG1554" s="100"/>
      <c r="AH1554" s="100"/>
      <c r="AI1554" s="100" t="s">
        <v>115</v>
      </c>
      <c r="AJ1554" s="100"/>
      <c r="AK1554" s="100"/>
      <c r="AL1554" s="100"/>
      <c r="AM1554" s="100"/>
      <c r="AN1554" s="100"/>
      <c r="AO1554" s="100"/>
      <c r="AP1554" s="89" t="s">
        <v>115</v>
      </c>
    </row>
    <row r="1555" spans="1:42" s="89" customFormat="1" x14ac:dyDescent="0.15">
      <c r="A1555" s="100" t="s">
        <v>1</v>
      </c>
      <c r="B1555" s="101">
        <v>90160104</v>
      </c>
      <c r="C1555" s="101">
        <v>1601</v>
      </c>
      <c r="D1555" s="101">
        <v>16</v>
      </c>
      <c r="E1555" s="101"/>
      <c r="F1555" s="101" t="s">
        <v>116</v>
      </c>
      <c r="G1555" s="101">
        <v>311</v>
      </c>
      <c r="H1555" s="101" t="s">
        <v>3681</v>
      </c>
      <c r="I1555" s="101">
        <v>0</v>
      </c>
      <c r="J1555" s="100">
        <v>0</v>
      </c>
      <c r="K1555" s="100">
        <v>0</v>
      </c>
      <c r="L1555" s="100" t="s">
        <v>115</v>
      </c>
      <c r="M1555" s="102"/>
      <c r="N1555" s="100"/>
      <c r="O1555" s="100" t="s">
        <v>115</v>
      </c>
      <c r="P1555" s="101"/>
      <c r="Q1555" s="100">
        <v>173</v>
      </c>
      <c r="R1555" s="100">
        <v>248</v>
      </c>
      <c r="S1555" s="100"/>
      <c r="T1555" s="100"/>
      <c r="U1555" s="100"/>
      <c r="V1555" s="100"/>
      <c r="W1555" s="100"/>
      <c r="X1555" s="100">
        <v>90160105</v>
      </c>
      <c r="Y1555" s="100" t="s">
        <v>115</v>
      </c>
      <c r="Z1555" s="100" t="s">
        <v>115</v>
      </c>
      <c r="AA1555" s="100" t="s">
        <v>115</v>
      </c>
      <c r="AB1555" s="100" t="s">
        <v>115</v>
      </c>
      <c r="AC1555" s="100" t="s">
        <v>115</v>
      </c>
      <c r="AD1555" s="100"/>
      <c r="AE1555" s="100"/>
      <c r="AF1555" s="100"/>
      <c r="AG1555" s="100"/>
      <c r="AH1555" s="100"/>
      <c r="AI1555" s="100" t="s">
        <v>115</v>
      </c>
      <c r="AJ1555" s="100"/>
      <c r="AK1555" s="100"/>
      <c r="AL1555" s="100"/>
      <c r="AM1555" s="100"/>
      <c r="AN1555" s="100"/>
      <c r="AO1555" s="100"/>
      <c r="AP1555" s="89" t="s">
        <v>115</v>
      </c>
    </row>
    <row r="1556" spans="1:42" s="89" customFormat="1" x14ac:dyDescent="0.15">
      <c r="A1556" s="100" t="s">
        <v>1</v>
      </c>
      <c r="B1556" s="101">
        <v>90160105</v>
      </c>
      <c r="C1556" s="101">
        <v>1601</v>
      </c>
      <c r="D1556" s="101">
        <v>16</v>
      </c>
      <c r="E1556" s="101"/>
      <c r="F1556" s="101" t="s">
        <v>3679</v>
      </c>
      <c r="G1556" s="101" t="s">
        <v>115</v>
      </c>
      <c r="H1556" s="101" t="s">
        <v>3682</v>
      </c>
      <c r="I1556" s="101">
        <v>3</v>
      </c>
      <c r="J1556" s="100">
        <v>0</v>
      </c>
      <c r="K1556" s="100">
        <v>0</v>
      </c>
      <c r="L1556" s="100" t="s">
        <v>115</v>
      </c>
      <c r="M1556" s="102"/>
      <c r="N1556" s="100"/>
      <c r="O1556" s="100" t="s">
        <v>115</v>
      </c>
      <c r="P1556" s="101"/>
      <c r="Q1556" s="100">
        <v>173</v>
      </c>
      <c r="R1556" s="100">
        <v>248</v>
      </c>
      <c r="S1556" s="100"/>
      <c r="T1556" s="100"/>
      <c r="U1556" s="100"/>
      <c r="V1556" s="100"/>
      <c r="W1556" s="100"/>
      <c r="X1556" s="100">
        <v>90160106</v>
      </c>
      <c r="Y1556" s="100" t="s">
        <v>115</v>
      </c>
      <c r="Z1556" s="100" t="s">
        <v>115</v>
      </c>
      <c r="AA1556" s="100" t="s">
        <v>115</v>
      </c>
      <c r="AB1556" s="100" t="s">
        <v>115</v>
      </c>
      <c r="AC1556" s="100" t="s">
        <v>115</v>
      </c>
      <c r="AD1556" s="100"/>
      <c r="AE1556" s="100"/>
      <c r="AF1556" s="100"/>
      <c r="AG1556" s="100"/>
      <c r="AH1556" s="100"/>
      <c r="AI1556" s="100" t="s">
        <v>115</v>
      </c>
      <c r="AJ1556" s="100"/>
      <c r="AK1556" s="100"/>
      <c r="AL1556" s="100"/>
      <c r="AM1556" s="100"/>
      <c r="AN1556" s="100"/>
      <c r="AO1556" s="100"/>
      <c r="AP1556" s="89" t="s">
        <v>115</v>
      </c>
    </row>
    <row r="1557" spans="1:42" s="89" customFormat="1" x14ac:dyDescent="0.15">
      <c r="A1557" s="100" t="s">
        <v>1</v>
      </c>
      <c r="B1557" s="101">
        <v>90160106</v>
      </c>
      <c r="C1557" s="101">
        <v>1601</v>
      </c>
      <c r="D1557" s="101">
        <v>16</v>
      </c>
      <c r="E1557" s="101"/>
      <c r="F1557" s="101" t="s">
        <v>3679</v>
      </c>
      <c r="G1557" s="101" t="s">
        <v>115</v>
      </c>
      <c r="H1557" s="101" t="s">
        <v>3683</v>
      </c>
      <c r="I1557" s="101">
        <v>3</v>
      </c>
      <c r="J1557" s="100">
        <v>0</v>
      </c>
      <c r="K1557" s="100">
        <v>0</v>
      </c>
      <c r="L1557" s="100" t="s">
        <v>115</v>
      </c>
      <c r="M1557" s="102"/>
      <c r="N1557" s="100"/>
      <c r="O1557" s="100" t="s">
        <v>115</v>
      </c>
      <c r="P1557" s="101"/>
      <c r="Q1557" s="100">
        <v>173</v>
      </c>
      <c r="R1557" s="100">
        <v>248</v>
      </c>
      <c r="S1557" s="100"/>
      <c r="T1557" s="100"/>
      <c r="U1557" s="100"/>
      <c r="V1557" s="100"/>
      <c r="W1557" s="100"/>
      <c r="X1557" s="100">
        <v>90160107</v>
      </c>
      <c r="Y1557" s="100" t="s">
        <v>115</v>
      </c>
      <c r="Z1557" s="100" t="s">
        <v>115</v>
      </c>
      <c r="AA1557" s="100" t="s">
        <v>115</v>
      </c>
      <c r="AB1557" s="100" t="s">
        <v>115</v>
      </c>
      <c r="AC1557" s="100" t="s">
        <v>115</v>
      </c>
      <c r="AD1557" s="100"/>
      <c r="AE1557" s="100"/>
      <c r="AF1557" s="100"/>
      <c r="AG1557" s="100"/>
      <c r="AH1557" s="100"/>
      <c r="AI1557" s="100" t="s">
        <v>115</v>
      </c>
      <c r="AJ1557" s="100"/>
      <c r="AK1557" s="100"/>
      <c r="AL1557" s="100"/>
      <c r="AM1557" s="100"/>
      <c r="AN1557" s="100"/>
      <c r="AO1557" s="100"/>
      <c r="AP1557" s="89" t="s">
        <v>115</v>
      </c>
    </row>
    <row r="1558" spans="1:42" s="89" customFormat="1" x14ac:dyDescent="0.15">
      <c r="A1558" s="100" t="s">
        <v>1</v>
      </c>
      <c r="B1558" s="101">
        <v>90160107</v>
      </c>
      <c r="C1558" s="101">
        <v>1601</v>
      </c>
      <c r="D1558" s="101">
        <v>16</v>
      </c>
      <c r="E1558" s="101"/>
      <c r="F1558" s="101" t="s">
        <v>116</v>
      </c>
      <c r="G1558" s="101">
        <v>313</v>
      </c>
      <c r="H1558" s="101" t="s">
        <v>3684</v>
      </c>
      <c r="I1558" s="101">
        <v>0</v>
      </c>
      <c r="J1558" s="100">
        <v>0</v>
      </c>
      <c r="K1558" s="100">
        <v>0</v>
      </c>
      <c r="L1558" s="100" t="s">
        <v>115</v>
      </c>
      <c r="M1558" s="102"/>
      <c r="N1558" s="100"/>
      <c r="O1558" s="100" t="s">
        <v>115</v>
      </c>
      <c r="P1558" s="101"/>
      <c r="Q1558" s="100">
        <v>173</v>
      </c>
      <c r="R1558" s="100">
        <v>248</v>
      </c>
      <c r="S1558" s="100"/>
      <c r="T1558" s="100"/>
      <c r="U1558" s="100"/>
      <c r="V1558" s="100"/>
      <c r="W1558" s="100"/>
      <c r="X1558" s="100">
        <v>90160108</v>
      </c>
      <c r="Y1558" s="100" t="s">
        <v>115</v>
      </c>
      <c r="Z1558" s="100" t="s">
        <v>115</v>
      </c>
      <c r="AA1558" s="100" t="s">
        <v>115</v>
      </c>
      <c r="AB1558" s="100" t="s">
        <v>115</v>
      </c>
      <c r="AC1558" s="100" t="s">
        <v>115</v>
      </c>
      <c r="AD1558" s="100"/>
      <c r="AE1558" s="100"/>
      <c r="AF1558" s="100"/>
      <c r="AG1558" s="100"/>
      <c r="AH1558" s="100"/>
      <c r="AI1558" s="100" t="s">
        <v>115</v>
      </c>
      <c r="AJ1558" s="100"/>
      <c r="AK1558" s="100"/>
      <c r="AL1558" s="100"/>
      <c r="AM1558" s="100"/>
      <c r="AN1558" s="100"/>
      <c r="AO1558" s="100"/>
      <c r="AP1558" s="89" t="s">
        <v>115</v>
      </c>
    </row>
    <row r="1559" spans="1:42" s="89" customFormat="1" x14ac:dyDescent="0.15">
      <c r="A1559" s="100" t="s">
        <v>1</v>
      </c>
      <c r="B1559" s="101">
        <v>90160108</v>
      </c>
      <c r="C1559" s="101">
        <v>1601</v>
      </c>
      <c r="D1559" s="101">
        <v>16</v>
      </c>
      <c r="E1559" s="101"/>
      <c r="F1559" s="101" t="s">
        <v>3679</v>
      </c>
      <c r="G1559" s="101" t="s">
        <v>115</v>
      </c>
      <c r="H1559" s="101" t="s">
        <v>3685</v>
      </c>
      <c r="I1559" s="101">
        <v>3</v>
      </c>
      <c r="J1559" s="100">
        <v>0</v>
      </c>
      <c r="K1559" s="100">
        <v>0</v>
      </c>
      <c r="L1559" s="100" t="s">
        <v>115</v>
      </c>
      <c r="M1559" s="102"/>
      <c r="N1559" s="100"/>
      <c r="O1559" s="100" t="s">
        <v>115</v>
      </c>
      <c r="P1559" s="101"/>
      <c r="Q1559" s="100">
        <v>173</v>
      </c>
      <c r="R1559" s="100">
        <v>248</v>
      </c>
      <c r="S1559" s="100"/>
      <c r="T1559" s="100"/>
      <c r="U1559" s="100"/>
      <c r="V1559" s="100"/>
      <c r="W1559" s="100"/>
      <c r="X1559" s="100">
        <v>90160109</v>
      </c>
      <c r="Y1559" s="100" t="s">
        <v>115</v>
      </c>
      <c r="Z1559" s="100" t="s">
        <v>115</v>
      </c>
      <c r="AA1559" s="100" t="s">
        <v>115</v>
      </c>
      <c r="AB1559" s="100" t="s">
        <v>115</v>
      </c>
      <c r="AC1559" s="100" t="s">
        <v>115</v>
      </c>
      <c r="AD1559" s="100"/>
      <c r="AE1559" s="100"/>
      <c r="AF1559" s="100"/>
      <c r="AG1559" s="100"/>
      <c r="AH1559" s="100"/>
      <c r="AI1559" s="100" t="s">
        <v>115</v>
      </c>
      <c r="AJ1559" s="100"/>
      <c r="AK1559" s="100"/>
      <c r="AL1559" s="100"/>
      <c r="AM1559" s="100"/>
      <c r="AN1559" s="100"/>
      <c r="AO1559" s="100"/>
      <c r="AP1559" s="89" t="s">
        <v>115</v>
      </c>
    </row>
    <row r="1560" spans="1:42" s="89" customFormat="1" x14ac:dyDescent="0.15">
      <c r="A1560" s="100" t="s">
        <v>1</v>
      </c>
      <c r="B1560" s="101">
        <v>90160109</v>
      </c>
      <c r="C1560" s="101">
        <v>1601</v>
      </c>
      <c r="D1560" s="101">
        <v>16</v>
      </c>
      <c r="E1560" s="101"/>
      <c r="F1560" s="101" t="s">
        <v>3679</v>
      </c>
      <c r="G1560" s="101" t="s">
        <v>115</v>
      </c>
      <c r="H1560" s="101" t="s">
        <v>3686</v>
      </c>
      <c r="I1560" s="101">
        <v>3</v>
      </c>
      <c r="J1560" s="100">
        <v>0</v>
      </c>
      <c r="K1560" s="100">
        <v>0</v>
      </c>
      <c r="L1560" s="100" t="s">
        <v>115</v>
      </c>
      <c r="M1560" s="102"/>
      <c r="N1560" s="100"/>
      <c r="O1560" s="100" t="s">
        <v>115</v>
      </c>
      <c r="P1560" s="101"/>
      <c r="Q1560" s="100">
        <v>173</v>
      </c>
      <c r="R1560" s="100">
        <v>248</v>
      </c>
      <c r="S1560" s="100"/>
      <c r="T1560" s="100"/>
      <c r="U1560" s="100"/>
      <c r="V1560" s="100"/>
      <c r="W1560" s="100"/>
      <c r="X1560" s="100">
        <v>90160110</v>
      </c>
      <c r="Y1560" s="100" t="s">
        <v>115</v>
      </c>
      <c r="Z1560" s="100" t="s">
        <v>115</v>
      </c>
      <c r="AA1560" s="100" t="s">
        <v>115</v>
      </c>
      <c r="AB1560" s="100" t="s">
        <v>115</v>
      </c>
      <c r="AC1560" s="100" t="s">
        <v>115</v>
      </c>
      <c r="AD1560" s="100"/>
      <c r="AE1560" s="100"/>
      <c r="AF1560" s="100"/>
      <c r="AG1560" s="100"/>
      <c r="AH1560" s="100"/>
      <c r="AI1560" s="100" t="s">
        <v>115</v>
      </c>
      <c r="AJ1560" s="100"/>
      <c r="AK1560" s="100"/>
      <c r="AL1560" s="100"/>
      <c r="AM1560" s="100"/>
      <c r="AN1560" s="100"/>
      <c r="AO1560" s="100"/>
      <c r="AP1560" s="89" t="s">
        <v>115</v>
      </c>
    </row>
    <row r="1561" spans="1:42" s="89" customFormat="1" x14ac:dyDescent="0.15">
      <c r="A1561" s="100" t="s">
        <v>1</v>
      </c>
      <c r="B1561" s="101">
        <v>90160110</v>
      </c>
      <c r="C1561" s="101">
        <v>1601</v>
      </c>
      <c r="D1561" s="101">
        <v>16</v>
      </c>
      <c r="E1561" s="101"/>
      <c r="F1561" s="101" t="s">
        <v>3679</v>
      </c>
      <c r="G1561" s="101" t="s">
        <v>115</v>
      </c>
      <c r="H1561" s="101" t="s">
        <v>3687</v>
      </c>
      <c r="I1561" s="101">
        <v>3</v>
      </c>
      <c r="J1561" s="100">
        <v>0</v>
      </c>
      <c r="K1561" s="100">
        <v>0</v>
      </c>
      <c r="L1561" s="100" t="s">
        <v>115</v>
      </c>
      <c r="M1561" s="102"/>
      <c r="N1561" s="100"/>
      <c r="O1561" s="100" t="s">
        <v>115</v>
      </c>
      <c r="P1561" s="101"/>
      <c r="Q1561" s="100">
        <v>173</v>
      </c>
      <c r="R1561" s="100">
        <v>248</v>
      </c>
      <c r="S1561" s="100"/>
      <c r="T1561" s="100"/>
      <c r="U1561" s="100"/>
      <c r="V1561" s="100"/>
      <c r="W1561" s="100"/>
      <c r="X1561" s="100">
        <v>90160111</v>
      </c>
      <c r="Y1561" s="100" t="s">
        <v>115</v>
      </c>
      <c r="Z1561" s="100" t="s">
        <v>115</v>
      </c>
      <c r="AA1561" s="100" t="s">
        <v>115</v>
      </c>
      <c r="AB1561" s="100" t="s">
        <v>115</v>
      </c>
      <c r="AC1561" s="100" t="s">
        <v>115</v>
      </c>
      <c r="AD1561" s="100"/>
      <c r="AE1561" s="100"/>
      <c r="AF1561" s="100"/>
      <c r="AG1561" s="100"/>
      <c r="AH1561" s="100"/>
      <c r="AI1561" s="100" t="s">
        <v>115</v>
      </c>
      <c r="AJ1561" s="100"/>
      <c r="AK1561" s="100"/>
      <c r="AL1561" s="100"/>
      <c r="AM1561" s="100"/>
      <c r="AN1561" s="100"/>
      <c r="AO1561" s="100"/>
      <c r="AP1561" s="89" t="s">
        <v>115</v>
      </c>
    </row>
    <row r="1562" spans="1:42" s="89" customFormat="1" x14ac:dyDescent="0.15">
      <c r="A1562" s="100" t="s">
        <v>1</v>
      </c>
      <c r="B1562" s="101">
        <v>90160111</v>
      </c>
      <c r="C1562" s="101">
        <v>1601</v>
      </c>
      <c r="D1562" s="101">
        <v>16</v>
      </c>
      <c r="E1562" s="101"/>
      <c r="F1562" s="101" t="s">
        <v>116</v>
      </c>
      <c r="G1562" s="101">
        <v>312</v>
      </c>
      <c r="H1562" s="101" t="s">
        <v>3688</v>
      </c>
      <c r="I1562" s="101">
        <v>0</v>
      </c>
      <c r="J1562" s="100">
        <v>0</v>
      </c>
      <c r="K1562" s="100">
        <v>0</v>
      </c>
      <c r="L1562" s="100" t="s">
        <v>115</v>
      </c>
      <c r="M1562" s="102"/>
      <c r="N1562" s="100"/>
      <c r="O1562" s="100" t="s">
        <v>115</v>
      </c>
      <c r="P1562" s="101"/>
      <c r="Q1562" s="100">
        <v>173</v>
      </c>
      <c r="R1562" s="100">
        <v>248</v>
      </c>
      <c r="S1562" s="100"/>
      <c r="T1562" s="100"/>
      <c r="U1562" s="100"/>
      <c r="V1562" s="100"/>
      <c r="W1562" s="100"/>
      <c r="X1562" s="100">
        <v>90160112</v>
      </c>
      <c r="Y1562" s="100" t="s">
        <v>115</v>
      </c>
      <c r="Z1562" s="100" t="s">
        <v>115</v>
      </c>
      <c r="AA1562" s="100" t="s">
        <v>115</v>
      </c>
      <c r="AB1562" s="100" t="s">
        <v>115</v>
      </c>
      <c r="AC1562" s="100" t="s">
        <v>115</v>
      </c>
      <c r="AD1562" s="100"/>
      <c r="AE1562" s="100"/>
      <c r="AF1562" s="100"/>
      <c r="AG1562" s="100"/>
      <c r="AH1562" s="100"/>
      <c r="AI1562" s="100" t="s">
        <v>115</v>
      </c>
      <c r="AJ1562" s="100"/>
      <c r="AK1562" s="100"/>
      <c r="AL1562" s="100"/>
      <c r="AM1562" s="100"/>
      <c r="AN1562" s="100"/>
      <c r="AO1562" s="100"/>
      <c r="AP1562" s="89" t="s">
        <v>115</v>
      </c>
    </row>
    <row r="1563" spans="1:42" s="89" customFormat="1" x14ac:dyDescent="0.15">
      <c r="A1563" s="100" t="s">
        <v>1</v>
      </c>
      <c r="B1563" s="101">
        <v>90160112</v>
      </c>
      <c r="C1563" s="101">
        <v>1601</v>
      </c>
      <c r="D1563" s="101">
        <v>16</v>
      </c>
      <c r="E1563" s="101"/>
      <c r="F1563" s="101" t="s">
        <v>116</v>
      </c>
      <c r="G1563" s="101">
        <v>312</v>
      </c>
      <c r="H1563" s="101" t="s">
        <v>3689</v>
      </c>
      <c r="I1563" s="101">
        <v>2</v>
      </c>
      <c r="J1563" s="100">
        <v>0</v>
      </c>
      <c r="K1563" s="100">
        <v>0</v>
      </c>
      <c r="L1563" s="100" t="s">
        <v>115</v>
      </c>
      <c r="M1563" s="102"/>
      <c r="N1563" s="100"/>
      <c r="O1563" s="100" t="s">
        <v>115</v>
      </c>
      <c r="P1563" s="101"/>
      <c r="Q1563" s="100">
        <v>173</v>
      </c>
      <c r="R1563" s="100">
        <v>248</v>
      </c>
      <c r="S1563" s="100"/>
      <c r="T1563" s="100"/>
      <c r="U1563" s="100"/>
      <c r="V1563" s="100"/>
      <c r="W1563" s="100"/>
      <c r="X1563" s="100">
        <v>90160113</v>
      </c>
      <c r="Y1563" s="100" t="s">
        <v>115</v>
      </c>
      <c r="Z1563" s="100" t="s">
        <v>115</v>
      </c>
      <c r="AA1563" s="100" t="s">
        <v>115</v>
      </c>
      <c r="AB1563" s="100" t="s">
        <v>115</v>
      </c>
      <c r="AC1563" s="100" t="s">
        <v>115</v>
      </c>
      <c r="AD1563" s="100"/>
      <c r="AE1563" s="100"/>
      <c r="AF1563" s="100"/>
      <c r="AG1563" s="100"/>
      <c r="AH1563" s="100"/>
      <c r="AI1563" s="100" t="s">
        <v>115</v>
      </c>
      <c r="AJ1563" s="100"/>
      <c r="AK1563" s="100"/>
      <c r="AL1563" s="100"/>
      <c r="AM1563" s="100"/>
      <c r="AN1563" s="100"/>
      <c r="AO1563" s="100"/>
      <c r="AP1563" s="89" t="s">
        <v>115</v>
      </c>
    </row>
    <row r="1564" spans="1:42" s="89" customFormat="1" x14ac:dyDescent="0.15">
      <c r="A1564" s="100" t="s">
        <v>1</v>
      </c>
      <c r="B1564" s="101">
        <v>90160113</v>
      </c>
      <c r="C1564" s="101">
        <v>1601</v>
      </c>
      <c r="D1564" s="101">
        <v>16</v>
      </c>
      <c r="E1564" s="101"/>
      <c r="F1564" s="101" t="s">
        <v>3690</v>
      </c>
      <c r="G1564" s="101" t="s">
        <v>115</v>
      </c>
      <c r="H1564" s="101" t="s">
        <v>3691</v>
      </c>
      <c r="I1564" s="101">
        <v>3</v>
      </c>
      <c r="J1564" s="100">
        <v>0</v>
      </c>
      <c r="K1564" s="100">
        <v>0</v>
      </c>
      <c r="L1564" s="100" t="s">
        <v>115</v>
      </c>
      <c r="M1564" s="102"/>
      <c r="N1564" s="100"/>
      <c r="O1564" s="100" t="s">
        <v>115</v>
      </c>
      <c r="P1564" s="101"/>
      <c r="Q1564" s="100">
        <v>173</v>
      </c>
      <c r="R1564" s="100">
        <v>248</v>
      </c>
      <c r="S1564" s="100"/>
      <c r="T1564" s="100"/>
      <c r="U1564" s="100"/>
      <c r="V1564" s="100"/>
      <c r="W1564" s="100"/>
      <c r="X1564" s="100">
        <v>90160114</v>
      </c>
      <c r="Y1564" s="100" t="s">
        <v>115</v>
      </c>
      <c r="Z1564" s="100" t="s">
        <v>115</v>
      </c>
      <c r="AA1564" s="100" t="s">
        <v>115</v>
      </c>
      <c r="AB1564" s="100" t="s">
        <v>115</v>
      </c>
      <c r="AC1564" s="100" t="s">
        <v>115</v>
      </c>
      <c r="AD1564" s="100"/>
      <c r="AE1564" s="100"/>
      <c r="AF1564" s="100"/>
      <c r="AG1564" s="100"/>
      <c r="AH1564" s="100"/>
      <c r="AI1564" s="100" t="s">
        <v>115</v>
      </c>
      <c r="AJ1564" s="100"/>
      <c r="AK1564" s="100"/>
      <c r="AL1564" s="100"/>
      <c r="AM1564" s="100"/>
      <c r="AN1564" s="100"/>
      <c r="AO1564" s="100"/>
      <c r="AP1564" s="89" t="s">
        <v>115</v>
      </c>
    </row>
    <row r="1565" spans="1:42" s="89" customFormat="1" x14ac:dyDescent="0.15">
      <c r="A1565" s="100" t="s">
        <v>1</v>
      </c>
      <c r="B1565" s="101">
        <v>90160114</v>
      </c>
      <c r="C1565" s="101">
        <v>1601</v>
      </c>
      <c r="D1565" s="101">
        <v>16</v>
      </c>
      <c r="E1565" s="101"/>
      <c r="F1565" s="101" t="s">
        <v>3679</v>
      </c>
      <c r="G1565" s="101" t="s">
        <v>115</v>
      </c>
      <c r="H1565" s="101" t="s">
        <v>3692</v>
      </c>
      <c r="I1565" s="101">
        <v>3</v>
      </c>
      <c r="J1565" s="100">
        <v>0</v>
      </c>
      <c r="K1565" s="100">
        <v>0</v>
      </c>
      <c r="L1565" s="100" t="s">
        <v>115</v>
      </c>
      <c r="M1565" s="102"/>
      <c r="N1565" s="100"/>
      <c r="O1565" s="100" t="s">
        <v>115</v>
      </c>
      <c r="P1565" s="101"/>
      <c r="Q1565" s="100">
        <v>173</v>
      </c>
      <c r="R1565" s="100">
        <v>248</v>
      </c>
      <c r="S1565" s="100"/>
      <c r="T1565" s="100"/>
      <c r="U1565" s="100"/>
      <c r="V1565" s="100"/>
      <c r="W1565" s="100"/>
      <c r="X1565" s="100">
        <v>90160115</v>
      </c>
      <c r="Y1565" s="100" t="s">
        <v>115</v>
      </c>
      <c r="Z1565" s="100" t="s">
        <v>115</v>
      </c>
      <c r="AA1565" s="100" t="s">
        <v>115</v>
      </c>
      <c r="AB1565" s="100" t="s">
        <v>115</v>
      </c>
      <c r="AC1565" s="100" t="s">
        <v>115</v>
      </c>
      <c r="AD1565" s="100"/>
      <c r="AE1565" s="100"/>
      <c r="AF1565" s="100"/>
      <c r="AG1565" s="100"/>
      <c r="AH1565" s="100"/>
      <c r="AI1565" s="100" t="s">
        <v>115</v>
      </c>
      <c r="AJ1565" s="100"/>
      <c r="AK1565" s="100"/>
      <c r="AL1565" s="100"/>
      <c r="AM1565" s="100"/>
      <c r="AN1565" s="100"/>
      <c r="AO1565" s="100"/>
      <c r="AP1565" s="89" t="s">
        <v>115</v>
      </c>
    </row>
    <row r="1566" spans="1:42" s="89" customFormat="1" x14ac:dyDescent="0.15">
      <c r="A1566" s="100" t="s">
        <v>1</v>
      </c>
      <c r="B1566" s="101">
        <v>90160115</v>
      </c>
      <c r="C1566" s="101">
        <v>1601</v>
      </c>
      <c r="D1566" s="101">
        <v>16</v>
      </c>
      <c r="E1566" s="101"/>
      <c r="F1566" s="101" t="s">
        <v>3690</v>
      </c>
      <c r="G1566" s="101" t="s">
        <v>115</v>
      </c>
      <c r="H1566" s="101" t="s">
        <v>3693</v>
      </c>
      <c r="I1566" s="101">
        <v>3</v>
      </c>
      <c r="J1566" s="100">
        <v>0</v>
      </c>
      <c r="K1566" s="100">
        <v>0</v>
      </c>
      <c r="L1566" s="100" t="s">
        <v>115</v>
      </c>
      <c r="M1566" s="102"/>
      <c r="N1566" s="100"/>
      <c r="O1566" s="100" t="s">
        <v>115</v>
      </c>
      <c r="P1566" s="101"/>
      <c r="Q1566" s="100">
        <v>173</v>
      </c>
      <c r="R1566" s="100">
        <v>248</v>
      </c>
      <c r="S1566" s="100"/>
      <c r="T1566" s="100"/>
      <c r="U1566" s="100"/>
      <c r="V1566" s="100"/>
      <c r="W1566" s="100"/>
      <c r="X1566" s="100">
        <v>90160116</v>
      </c>
      <c r="Y1566" s="100" t="s">
        <v>115</v>
      </c>
      <c r="Z1566" s="100" t="s">
        <v>115</v>
      </c>
      <c r="AA1566" s="100" t="s">
        <v>115</v>
      </c>
      <c r="AB1566" s="100" t="s">
        <v>115</v>
      </c>
      <c r="AC1566" s="100" t="s">
        <v>115</v>
      </c>
      <c r="AD1566" s="100"/>
      <c r="AE1566" s="100"/>
      <c r="AF1566" s="100"/>
      <c r="AG1566" s="100"/>
      <c r="AH1566" s="100"/>
      <c r="AI1566" s="100" t="s">
        <v>115</v>
      </c>
      <c r="AJ1566" s="100"/>
      <c r="AK1566" s="100"/>
      <c r="AL1566" s="100"/>
      <c r="AM1566" s="100"/>
      <c r="AN1566" s="100"/>
      <c r="AO1566" s="100"/>
      <c r="AP1566" s="89" t="s">
        <v>115</v>
      </c>
    </row>
    <row r="1567" spans="1:42" s="89" customFormat="1" x14ac:dyDescent="0.15">
      <c r="A1567" s="100" t="s">
        <v>1</v>
      </c>
      <c r="B1567" s="101">
        <v>90160116</v>
      </c>
      <c r="C1567" s="101">
        <v>1601</v>
      </c>
      <c r="D1567" s="101">
        <v>16</v>
      </c>
      <c r="E1567" s="101"/>
      <c r="F1567" s="101" t="s">
        <v>115</v>
      </c>
      <c r="G1567" s="101" t="s">
        <v>115</v>
      </c>
      <c r="H1567" s="101" t="s">
        <v>3694</v>
      </c>
      <c r="I1567" s="101">
        <v>4</v>
      </c>
      <c r="J1567" s="100">
        <v>0</v>
      </c>
      <c r="K1567" s="100">
        <v>0</v>
      </c>
      <c r="L1567" s="100" t="s">
        <v>115</v>
      </c>
      <c r="M1567" s="102"/>
      <c r="N1567" s="100"/>
      <c r="O1567" s="100" t="s">
        <v>115</v>
      </c>
      <c r="P1567" s="101"/>
      <c r="Q1567" s="100">
        <v>173</v>
      </c>
      <c r="R1567" s="100">
        <v>248</v>
      </c>
      <c r="S1567" s="100"/>
      <c r="T1567" s="100"/>
      <c r="U1567" s="100"/>
      <c r="V1567" s="100"/>
      <c r="W1567" s="100"/>
      <c r="X1567" s="100">
        <v>90160117</v>
      </c>
      <c r="Y1567" s="100" t="s">
        <v>115</v>
      </c>
      <c r="Z1567" s="100" t="s">
        <v>115</v>
      </c>
      <c r="AA1567" s="100" t="s">
        <v>115</v>
      </c>
      <c r="AB1567" s="100" t="s">
        <v>115</v>
      </c>
      <c r="AC1567" s="100" t="s">
        <v>115</v>
      </c>
      <c r="AD1567" s="100"/>
      <c r="AE1567" s="100"/>
      <c r="AF1567" s="100"/>
      <c r="AG1567" s="100"/>
      <c r="AH1567" s="100"/>
      <c r="AI1567" s="100" t="s">
        <v>115</v>
      </c>
      <c r="AJ1567" s="100"/>
      <c r="AK1567" s="100"/>
      <c r="AL1567" s="100"/>
      <c r="AM1567" s="100"/>
      <c r="AN1567" s="100"/>
      <c r="AO1567" s="100"/>
      <c r="AP1567" s="89" t="s">
        <v>115</v>
      </c>
    </row>
    <row r="1568" spans="1:42" s="89" customFormat="1" x14ac:dyDescent="0.15">
      <c r="A1568" s="100" t="s">
        <v>1</v>
      </c>
      <c r="B1568" s="101">
        <v>90160117</v>
      </c>
      <c r="C1568" s="101">
        <v>1601</v>
      </c>
      <c r="D1568" s="101">
        <v>16</v>
      </c>
      <c r="E1568" s="101"/>
      <c r="F1568" s="101" t="s">
        <v>3679</v>
      </c>
      <c r="G1568" s="101" t="s">
        <v>115</v>
      </c>
      <c r="H1568" s="101" t="s">
        <v>3695</v>
      </c>
      <c r="I1568" s="101">
        <v>3</v>
      </c>
      <c r="J1568" s="100">
        <v>0</v>
      </c>
      <c r="K1568" s="100">
        <v>0</v>
      </c>
      <c r="L1568" s="100" t="s">
        <v>115</v>
      </c>
      <c r="M1568" s="102"/>
      <c r="N1568" s="100"/>
      <c r="O1568" s="100" t="s">
        <v>115</v>
      </c>
      <c r="P1568" s="101"/>
      <c r="Q1568" s="100">
        <v>173</v>
      </c>
      <c r="R1568" s="100">
        <v>248</v>
      </c>
      <c r="S1568" s="100"/>
      <c r="T1568" s="100"/>
      <c r="U1568" s="100"/>
      <c r="V1568" s="100"/>
      <c r="W1568" s="100"/>
      <c r="X1568" s="100">
        <v>90160118</v>
      </c>
      <c r="Y1568" s="100" t="s">
        <v>115</v>
      </c>
      <c r="Z1568" s="100" t="s">
        <v>115</v>
      </c>
      <c r="AA1568" s="100" t="s">
        <v>115</v>
      </c>
      <c r="AB1568" s="100" t="s">
        <v>115</v>
      </c>
      <c r="AC1568" s="100" t="s">
        <v>115</v>
      </c>
      <c r="AD1568" s="100"/>
      <c r="AE1568" s="100"/>
      <c r="AF1568" s="100"/>
      <c r="AG1568" s="100"/>
      <c r="AH1568" s="100"/>
      <c r="AI1568" s="100" t="s">
        <v>115</v>
      </c>
      <c r="AJ1568" s="100"/>
      <c r="AK1568" s="100"/>
      <c r="AL1568" s="100"/>
      <c r="AM1568" s="100"/>
      <c r="AN1568" s="100"/>
      <c r="AO1568" s="100"/>
      <c r="AP1568" s="89" t="s">
        <v>115</v>
      </c>
    </row>
    <row r="1569" spans="1:42" s="89" customFormat="1" x14ac:dyDescent="0.15">
      <c r="A1569" s="100" t="s">
        <v>1</v>
      </c>
      <c r="B1569" s="101">
        <v>90160118</v>
      </c>
      <c r="C1569" s="101">
        <v>1601</v>
      </c>
      <c r="D1569" s="101">
        <v>16</v>
      </c>
      <c r="E1569" s="101"/>
      <c r="F1569" s="101" t="s">
        <v>3679</v>
      </c>
      <c r="G1569" s="101" t="s">
        <v>115</v>
      </c>
      <c r="H1569" s="101" t="s">
        <v>3696</v>
      </c>
      <c r="I1569" s="101">
        <v>3</v>
      </c>
      <c r="J1569" s="100">
        <v>0</v>
      </c>
      <c r="K1569" s="100">
        <v>2</v>
      </c>
      <c r="L1569" s="100" t="s">
        <v>115</v>
      </c>
      <c r="M1569" s="102"/>
      <c r="N1569" s="100"/>
      <c r="O1569" s="100">
        <v>1</v>
      </c>
      <c r="P1569" s="101"/>
      <c r="Q1569" s="100">
        <v>173</v>
      </c>
      <c r="R1569" s="100">
        <v>248</v>
      </c>
      <c r="S1569" s="100"/>
      <c r="T1569" s="100"/>
      <c r="U1569" s="100"/>
      <c r="V1569" s="100"/>
      <c r="W1569" s="100"/>
      <c r="X1569" s="100" t="s">
        <v>115</v>
      </c>
      <c r="Y1569" s="100" t="s">
        <v>115</v>
      </c>
      <c r="Z1569" s="100">
        <v>1</v>
      </c>
      <c r="AA1569" s="100" t="s">
        <v>115</v>
      </c>
      <c r="AB1569" s="100" t="s">
        <v>115</v>
      </c>
      <c r="AC1569" s="100" t="s">
        <v>115</v>
      </c>
      <c r="AD1569" s="100"/>
      <c r="AE1569" s="100"/>
      <c r="AF1569" s="100"/>
      <c r="AG1569" s="100"/>
      <c r="AH1569" s="100"/>
      <c r="AI1569" s="100" t="s">
        <v>115</v>
      </c>
      <c r="AJ1569" s="100"/>
      <c r="AK1569" s="100"/>
      <c r="AL1569" s="100"/>
      <c r="AM1569" s="100"/>
      <c r="AN1569" s="100"/>
      <c r="AO1569" s="100"/>
      <c r="AP1569" s="89" t="s">
        <v>3697</v>
      </c>
    </row>
    <row r="1570" spans="1:42" s="89" customFormat="1" x14ac:dyDescent="0.15">
      <c r="A1570" s="100" t="s">
        <v>1</v>
      </c>
      <c r="B1570" s="101" t="s">
        <v>3449</v>
      </c>
      <c r="C1570" s="101">
        <v>1602</v>
      </c>
      <c r="D1570" s="101">
        <v>16</v>
      </c>
      <c r="E1570" s="101"/>
      <c r="F1570" s="101" t="s">
        <v>767</v>
      </c>
      <c r="G1570" s="101" t="s">
        <v>115</v>
      </c>
      <c r="H1570" s="101" t="s">
        <v>3698</v>
      </c>
      <c r="I1570" s="101">
        <v>1</v>
      </c>
      <c r="J1570" s="100">
        <v>1</v>
      </c>
      <c r="K1570" s="100">
        <v>1</v>
      </c>
      <c r="L1570" s="100" t="s">
        <v>115</v>
      </c>
      <c r="M1570" s="102"/>
      <c r="N1570" s="100"/>
      <c r="O1570" s="100" t="s">
        <v>115</v>
      </c>
      <c r="P1570" s="101"/>
      <c r="Q1570" s="100">
        <v>177</v>
      </c>
      <c r="R1570" s="100" t="s">
        <v>115</v>
      </c>
      <c r="S1570" s="100"/>
      <c r="T1570" s="100"/>
      <c r="U1570" s="100"/>
      <c r="V1570" s="100"/>
      <c r="W1570" s="100"/>
      <c r="X1570" s="100">
        <v>90160202</v>
      </c>
      <c r="Y1570" s="100" t="s">
        <v>115</v>
      </c>
      <c r="Z1570" s="100" t="s">
        <v>115</v>
      </c>
      <c r="AA1570" s="100" t="s">
        <v>115</v>
      </c>
      <c r="AB1570" s="100" t="s">
        <v>115</v>
      </c>
      <c r="AC1570" s="100" t="s">
        <v>115</v>
      </c>
      <c r="AD1570" s="100"/>
      <c r="AE1570" s="100"/>
      <c r="AF1570" s="100"/>
      <c r="AG1570" s="100"/>
      <c r="AH1570" s="100"/>
      <c r="AI1570" s="100" t="s">
        <v>985</v>
      </c>
      <c r="AJ1570" s="100"/>
      <c r="AK1570" s="100"/>
      <c r="AL1570" s="100"/>
      <c r="AM1570" s="100"/>
      <c r="AN1570" s="100"/>
      <c r="AO1570" s="100"/>
      <c r="AP1570" s="89" t="s">
        <v>115</v>
      </c>
    </row>
    <row r="1571" spans="1:42" s="89" customFormat="1" x14ac:dyDescent="0.15">
      <c r="A1571" s="100" t="s">
        <v>1</v>
      </c>
      <c r="B1571" s="101">
        <v>90160202</v>
      </c>
      <c r="C1571" s="101">
        <v>1602</v>
      </c>
      <c r="D1571" s="101">
        <v>16</v>
      </c>
      <c r="E1571" s="101"/>
      <c r="F1571" s="101" t="s">
        <v>116</v>
      </c>
      <c r="G1571" s="101">
        <v>312</v>
      </c>
      <c r="H1571" s="101" t="s">
        <v>3699</v>
      </c>
      <c r="I1571" s="101">
        <v>0</v>
      </c>
      <c r="J1571" s="100">
        <v>0</v>
      </c>
      <c r="K1571" s="100">
        <v>0</v>
      </c>
      <c r="L1571" s="100" t="s">
        <v>115</v>
      </c>
      <c r="M1571" s="102"/>
      <c r="N1571" s="100"/>
      <c r="O1571" s="100" t="s">
        <v>115</v>
      </c>
      <c r="P1571" s="101"/>
      <c r="Q1571" s="100">
        <v>177</v>
      </c>
      <c r="R1571" s="100" t="s">
        <v>115</v>
      </c>
      <c r="S1571" s="100"/>
      <c r="T1571" s="100"/>
      <c r="U1571" s="100"/>
      <c r="V1571" s="100"/>
      <c r="W1571" s="100"/>
      <c r="X1571" s="100">
        <v>90160203</v>
      </c>
      <c r="Y1571" s="100" t="s">
        <v>115</v>
      </c>
      <c r="Z1571" s="100" t="s">
        <v>115</v>
      </c>
      <c r="AA1571" s="100" t="s">
        <v>115</v>
      </c>
      <c r="AB1571" s="100" t="s">
        <v>115</v>
      </c>
      <c r="AC1571" s="100" t="s">
        <v>115</v>
      </c>
      <c r="AD1571" s="100"/>
      <c r="AE1571" s="100"/>
      <c r="AF1571" s="100"/>
      <c r="AG1571" s="100"/>
      <c r="AH1571" s="100"/>
      <c r="AI1571" s="100">
        <v>302</v>
      </c>
      <c r="AJ1571" s="100"/>
      <c r="AK1571" s="100"/>
      <c r="AL1571" s="100"/>
      <c r="AM1571" s="100"/>
      <c r="AN1571" s="100"/>
      <c r="AO1571" s="100"/>
      <c r="AP1571" s="89" t="s">
        <v>115</v>
      </c>
    </row>
    <row r="1572" spans="1:42" s="89" customFormat="1" x14ac:dyDescent="0.15">
      <c r="A1572" s="100" t="s">
        <v>1</v>
      </c>
      <c r="B1572" s="101">
        <v>90160203</v>
      </c>
      <c r="C1572" s="101">
        <v>1602</v>
      </c>
      <c r="D1572" s="101">
        <v>16</v>
      </c>
      <c r="E1572" s="101"/>
      <c r="F1572" s="101" t="s">
        <v>767</v>
      </c>
      <c r="G1572" s="101" t="s">
        <v>115</v>
      </c>
      <c r="H1572" s="101" t="s">
        <v>3700</v>
      </c>
      <c r="I1572" s="101">
        <v>1</v>
      </c>
      <c r="J1572" s="100">
        <v>0</v>
      </c>
      <c r="K1572" s="100">
        <v>0</v>
      </c>
      <c r="L1572" s="100" t="s">
        <v>115</v>
      </c>
      <c r="M1572" s="102"/>
      <c r="N1572" s="100"/>
      <c r="O1572" s="100" t="s">
        <v>115</v>
      </c>
      <c r="P1572" s="101"/>
      <c r="Q1572" s="100">
        <v>177</v>
      </c>
      <c r="R1572" s="100" t="s">
        <v>115</v>
      </c>
      <c r="S1572" s="100"/>
      <c r="T1572" s="100"/>
      <c r="U1572" s="100"/>
      <c r="V1572" s="100"/>
      <c r="W1572" s="100"/>
      <c r="X1572" s="100">
        <v>90160204</v>
      </c>
      <c r="Y1572" s="100" t="s">
        <v>115</v>
      </c>
      <c r="Z1572" s="100" t="s">
        <v>115</v>
      </c>
      <c r="AA1572" s="100" t="s">
        <v>115</v>
      </c>
      <c r="AB1572" s="100" t="s">
        <v>115</v>
      </c>
      <c r="AC1572" s="100" t="s">
        <v>115</v>
      </c>
      <c r="AD1572" s="100"/>
      <c r="AE1572" s="100"/>
      <c r="AF1572" s="100"/>
      <c r="AG1572" s="100"/>
      <c r="AH1572" s="100"/>
      <c r="AI1572" s="100" t="s">
        <v>991</v>
      </c>
      <c r="AJ1572" s="100"/>
      <c r="AK1572" s="100"/>
      <c r="AL1572" s="100"/>
      <c r="AM1572" s="100"/>
      <c r="AN1572" s="100"/>
      <c r="AO1572" s="100"/>
      <c r="AP1572" s="89" t="s">
        <v>115</v>
      </c>
    </row>
    <row r="1573" spans="1:42" s="89" customFormat="1" x14ac:dyDescent="0.15">
      <c r="A1573" s="100" t="s">
        <v>1</v>
      </c>
      <c r="B1573" s="101">
        <v>90160204</v>
      </c>
      <c r="C1573" s="101">
        <v>1602</v>
      </c>
      <c r="D1573" s="101">
        <v>16</v>
      </c>
      <c r="E1573" s="101"/>
      <c r="F1573" s="101" t="s">
        <v>767</v>
      </c>
      <c r="G1573" s="101" t="s">
        <v>115</v>
      </c>
      <c r="H1573" s="101" t="s">
        <v>3701</v>
      </c>
      <c r="I1573" s="101">
        <v>1</v>
      </c>
      <c r="J1573" s="100">
        <v>0</v>
      </c>
      <c r="K1573" s="100">
        <v>0</v>
      </c>
      <c r="L1573" s="100" t="s">
        <v>115</v>
      </c>
      <c r="M1573" s="102"/>
      <c r="N1573" s="100"/>
      <c r="O1573" s="100" t="s">
        <v>115</v>
      </c>
      <c r="P1573" s="101"/>
      <c r="Q1573" s="100">
        <v>177</v>
      </c>
      <c r="R1573" s="100" t="s">
        <v>115</v>
      </c>
      <c r="S1573" s="100"/>
      <c r="T1573" s="100"/>
      <c r="U1573" s="100"/>
      <c r="V1573" s="100"/>
      <c r="W1573" s="100"/>
      <c r="X1573" s="100">
        <v>90160205</v>
      </c>
      <c r="Y1573" s="100" t="s">
        <v>115</v>
      </c>
      <c r="Z1573" s="100" t="s">
        <v>115</v>
      </c>
      <c r="AA1573" s="100" t="s">
        <v>115</v>
      </c>
      <c r="AB1573" s="100" t="s">
        <v>115</v>
      </c>
      <c r="AC1573" s="100" t="s">
        <v>115</v>
      </c>
      <c r="AD1573" s="100"/>
      <c r="AE1573" s="100"/>
      <c r="AF1573" s="100"/>
      <c r="AG1573" s="100"/>
      <c r="AH1573" s="100"/>
      <c r="AI1573" s="100" t="s">
        <v>991</v>
      </c>
      <c r="AJ1573" s="100"/>
      <c r="AK1573" s="100"/>
      <c r="AL1573" s="100"/>
      <c r="AM1573" s="100"/>
      <c r="AN1573" s="100"/>
      <c r="AO1573" s="100"/>
      <c r="AP1573" s="89" t="s">
        <v>115</v>
      </c>
    </row>
    <row r="1574" spans="1:42" s="89" customFormat="1" x14ac:dyDescent="0.15">
      <c r="A1574" s="100" t="s">
        <v>1</v>
      </c>
      <c r="B1574" s="101">
        <v>90160205</v>
      </c>
      <c r="C1574" s="101">
        <v>1602</v>
      </c>
      <c r="D1574" s="101">
        <v>16</v>
      </c>
      <c r="E1574" s="101"/>
      <c r="F1574" s="101" t="s">
        <v>115</v>
      </c>
      <c r="G1574" s="101" t="s">
        <v>115</v>
      </c>
      <c r="H1574" s="101" t="s">
        <v>3702</v>
      </c>
      <c r="I1574" s="101">
        <v>4</v>
      </c>
      <c r="J1574" s="100">
        <v>0</v>
      </c>
      <c r="K1574" s="100">
        <v>2</v>
      </c>
      <c r="L1574" s="100" t="s">
        <v>115</v>
      </c>
      <c r="M1574" s="102"/>
      <c r="N1574" s="100"/>
      <c r="O1574" s="100" t="s">
        <v>115</v>
      </c>
      <c r="P1574" s="101"/>
      <c r="Q1574" s="100">
        <v>177</v>
      </c>
      <c r="R1574" s="100" t="s">
        <v>115</v>
      </c>
      <c r="S1574" s="100"/>
      <c r="T1574" s="100"/>
      <c r="U1574" s="100"/>
      <c r="V1574" s="100"/>
      <c r="W1574" s="100"/>
      <c r="X1574" s="100" t="s">
        <v>3703</v>
      </c>
      <c r="Y1574" s="100">
        <v>1</v>
      </c>
      <c r="Z1574" s="100">
        <v>1</v>
      </c>
      <c r="AA1574" s="100" t="s">
        <v>115</v>
      </c>
      <c r="AB1574" s="100" t="s">
        <v>115</v>
      </c>
      <c r="AC1574" s="100" t="s">
        <v>115</v>
      </c>
      <c r="AD1574" s="100"/>
      <c r="AE1574" s="100"/>
      <c r="AF1574" s="100"/>
      <c r="AG1574" s="100"/>
      <c r="AH1574" s="100"/>
      <c r="AI1574" s="100">
        <v>304</v>
      </c>
      <c r="AJ1574" s="100"/>
      <c r="AK1574" s="100"/>
      <c r="AL1574" s="100"/>
      <c r="AM1574" s="100"/>
      <c r="AN1574" s="100"/>
      <c r="AO1574" s="100"/>
      <c r="AP1574" s="89" t="s">
        <v>115</v>
      </c>
    </row>
    <row r="1575" spans="1:42" s="89" customFormat="1" x14ac:dyDescent="0.15">
      <c r="A1575" s="100" t="s">
        <v>1</v>
      </c>
      <c r="B1575" s="101">
        <v>90160206</v>
      </c>
      <c r="C1575" s="101">
        <v>1602</v>
      </c>
      <c r="D1575" s="101">
        <v>16</v>
      </c>
      <c r="E1575" s="101"/>
      <c r="F1575" s="101" t="s">
        <v>115</v>
      </c>
      <c r="G1575" s="101" t="s">
        <v>115</v>
      </c>
      <c r="H1575" s="101" t="s">
        <v>3704</v>
      </c>
      <c r="I1575" s="101">
        <v>4</v>
      </c>
      <c r="J1575" s="100">
        <v>0</v>
      </c>
      <c r="K1575" s="100">
        <v>3</v>
      </c>
      <c r="L1575" s="100" t="s">
        <v>115</v>
      </c>
      <c r="M1575" s="102"/>
      <c r="N1575" s="100"/>
      <c r="O1575" s="100" t="s">
        <v>115</v>
      </c>
      <c r="P1575" s="101"/>
      <c r="Q1575" s="100">
        <v>177</v>
      </c>
      <c r="R1575" s="100" t="s">
        <v>115</v>
      </c>
      <c r="S1575" s="100"/>
      <c r="T1575" s="100"/>
      <c r="U1575" s="100"/>
      <c r="V1575" s="100"/>
      <c r="W1575" s="100"/>
      <c r="X1575" s="100">
        <v>90160208</v>
      </c>
      <c r="Y1575" s="100">
        <v>-1</v>
      </c>
      <c r="Z1575" s="100">
        <v>2</v>
      </c>
      <c r="AA1575" s="100" t="s">
        <v>4810</v>
      </c>
      <c r="AB1575" s="100" t="s">
        <v>115</v>
      </c>
      <c r="AC1575" s="100" t="s">
        <v>115</v>
      </c>
      <c r="AD1575" s="100"/>
      <c r="AE1575" s="100"/>
      <c r="AF1575" s="100"/>
      <c r="AG1575" s="100"/>
      <c r="AH1575" s="100"/>
      <c r="AI1575" s="100">
        <v>304</v>
      </c>
      <c r="AJ1575" s="100"/>
      <c r="AK1575" s="100"/>
      <c r="AL1575" s="100"/>
      <c r="AM1575" s="100"/>
      <c r="AN1575" s="100"/>
      <c r="AO1575" s="100"/>
      <c r="AP1575" s="89" t="s">
        <v>115</v>
      </c>
    </row>
    <row r="1576" spans="1:42" s="89" customFormat="1" x14ac:dyDescent="0.15">
      <c r="A1576" s="100" t="s">
        <v>1</v>
      </c>
      <c r="B1576" s="101">
        <v>90160207</v>
      </c>
      <c r="C1576" s="101">
        <v>1602</v>
      </c>
      <c r="D1576" s="101">
        <v>16</v>
      </c>
      <c r="E1576" s="101"/>
      <c r="F1576" s="101" t="s">
        <v>115</v>
      </c>
      <c r="G1576" s="101" t="s">
        <v>115</v>
      </c>
      <c r="H1576" s="101" t="s">
        <v>3705</v>
      </c>
      <c r="I1576" s="101">
        <v>4</v>
      </c>
      <c r="J1576" s="100">
        <v>0</v>
      </c>
      <c r="K1576" s="100">
        <v>4</v>
      </c>
      <c r="L1576" s="100" t="s">
        <v>115</v>
      </c>
      <c r="M1576" s="102"/>
      <c r="N1576" s="100"/>
      <c r="O1576" s="100" t="s">
        <v>115</v>
      </c>
      <c r="P1576" s="101"/>
      <c r="Q1576" s="100">
        <v>177</v>
      </c>
      <c r="R1576" s="100" t="s">
        <v>115</v>
      </c>
      <c r="S1576" s="100"/>
      <c r="T1576" s="100"/>
      <c r="U1576" s="100"/>
      <c r="V1576" s="100"/>
      <c r="W1576" s="100"/>
      <c r="X1576" s="100">
        <v>90160214</v>
      </c>
      <c r="Y1576" s="100">
        <v>-1</v>
      </c>
      <c r="Z1576" s="100">
        <v>2</v>
      </c>
      <c r="AA1576" s="100" t="s">
        <v>115</v>
      </c>
      <c r="AB1576" s="100" t="s">
        <v>115</v>
      </c>
      <c r="AC1576" s="100" t="s">
        <v>115</v>
      </c>
      <c r="AD1576" s="100"/>
      <c r="AE1576" s="100"/>
      <c r="AF1576" s="100"/>
      <c r="AG1576" s="100"/>
      <c r="AH1576" s="100"/>
      <c r="AI1576" s="100">
        <v>304</v>
      </c>
      <c r="AJ1576" s="100"/>
      <c r="AK1576" s="100"/>
      <c r="AL1576" s="100"/>
      <c r="AM1576" s="100"/>
      <c r="AN1576" s="100"/>
      <c r="AO1576" s="100"/>
      <c r="AP1576" s="89" t="s">
        <v>115</v>
      </c>
    </row>
    <row r="1577" spans="1:42" s="89" customFormat="1" x14ac:dyDescent="0.15">
      <c r="A1577" s="100" t="s">
        <v>1</v>
      </c>
      <c r="B1577" s="101">
        <v>90160208</v>
      </c>
      <c r="C1577" s="101">
        <v>1602</v>
      </c>
      <c r="D1577" s="101">
        <v>16</v>
      </c>
      <c r="E1577" s="101"/>
      <c r="F1577" s="101" t="s">
        <v>116</v>
      </c>
      <c r="G1577" s="101">
        <v>308</v>
      </c>
      <c r="H1577" s="101" t="s">
        <v>3706</v>
      </c>
      <c r="I1577" s="101">
        <v>0</v>
      </c>
      <c r="J1577" s="100">
        <v>0</v>
      </c>
      <c r="K1577" s="100">
        <v>0</v>
      </c>
      <c r="L1577" s="100" t="s">
        <v>115</v>
      </c>
      <c r="M1577" s="102"/>
      <c r="N1577" s="100"/>
      <c r="O1577" s="100" t="s">
        <v>115</v>
      </c>
      <c r="P1577" s="101"/>
      <c r="Q1577" s="100">
        <v>177</v>
      </c>
      <c r="R1577" s="100" t="s">
        <v>115</v>
      </c>
      <c r="S1577" s="100"/>
      <c r="T1577" s="100"/>
      <c r="U1577" s="100"/>
      <c r="V1577" s="100"/>
      <c r="W1577" s="100"/>
      <c r="X1577" s="100">
        <v>90160209</v>
      </c>
      <c r="Y1577" s="100" t="s">
        <v>115</v>
      </c>
      <c r="Z1577" s="100" t="s">
        <v>115</v>
      </c>
      <c r="AA1577" s="100" t="s">
        <v>115</v>
      </c>
      <c r="AB1577" s="100" t="s">
        <v>115</v>
      </c>
      <c r="AC1577" s="100" t="s">
        <v>115</v>
      </c>
      <c r="AD1577" s="100"/>
      <c r="AE1577" s="100"/>
      <c r="AF1577" s="100"/>
      <c r="AG1577" s="100"/>
      <c r="AH1577" s="100"/>
      <c r="AI1577" s="100">
        <v>304</v>
      </c>
      <c r="AJ1577" s="100"/>
      <c r="AK1577" s="100"/>
      <c r="AL1577" s="100"/>
      <c r="AM1577" s="100"/>
      <c r="AN1577" s="100"/>
      <c r="AO1577" s="100"/>
      <c r="AP1577" s="89" t="s">
        <v>115</v>
      </c>
    </row>
    <row r="1578" spans="1:42" s="89" customFormat="1" x14ac:dyDescent="0.15">
      <c r="A1578" s="100" t="s">
        <v>1</v>
      </c>
      <c r="B1578" s="101">
        <v>90160209</v>
      </c>
      <c r="C1578" s="101">
        <v>1602</v>
      </c>
      <c r="D1578" s="101">
        <v>16</v>
      </c>
      <c r="E1578" s="101"/>
      <c r="F1578" s="101" t="s">
        <v>116</v>
      </c>
      <c r="G1578" s="101">
        <v>312</v>
      </c>
      <c r="H1578" s="101" t="s">
        <v>3707</v>
      </c>
      <c r="I1578" s="101">
        <v>0</v>
      </c>
      <c r="J1578" s="100">
        <v>0</v>
      </c>
      <c r="K1578" s="100">
        <v>0</v>
      </c>
      <c r="L1578" s="100" t="s">
        <v>115</v>
      </c>
      <c r="M1578" s="102"/>
      <c r="N1578" s="100"/>
      <c r="O1578" s="100" t="s">
        <v>115</v>
      </c>
      <c r="P1578" s="101"/>
      <c r="Q1578" s="100">
        <v>177</v>
      </c>
      <c r="R1578" s="100" t="s">
        <v>115</v>
      </c>
      <c r="S1578" s="100"/>
      <c r="T1578" s="100"/>
      <c r="U1578" s="100"/>
      <c r="V1578" s="100"/>
      <c r="W1578" s="100"/>
      <c r="X1578" s="100">
        <v>90160210</v>
      </c>
      <c r="Y1578" s="100" t="s">
        <v>115</v>
      </c>
      <c r="Z1578" s="100" t="s">
        <v>115</v>
      </c>
      <c r="AA1578" s="100" t="s">
        <v>115</v>
      </c>
      <c r="AB1578" s="100" t="s">
        <v>115</v>
      </c>
      <c r="AC1578" s="100" t="s">
        <v>115</v>
      </c>
      <c r="AD1578" s="100"/>
      <c r="AE1578" s="100"/>
      <c r="AF1578" s="100"/>
      <c r="AG1578" s="100"/>
      <c r="AH1578" s="100"/>
      <c r="AI1578" s="100">
        <v>304</v>
      </c>
      <c r="AJ1578" s="100"/>
      <c r="AK1578" s="100"/>
      <c r="AL1578" s="100"/>
      <c r="AM1578" s="100"/>
      <c r="AN1578" s="100"/>
      <c r="AO1578" s="100"/>
      <c r="AP1578" s="89" t="s">
        <v>115</v>
      </c>
    </row>
    <row r="1579" spans="1:42" s="89" customFormat="1" x14ac:dyDescent="0.15">
      <c r="A1579" s="100" t="s">
        <v>1</v>
      </c>
      <c r="B1579" s="101">
        <v>90160210</v>
      </c>
      <c r="C1579" s="101">
        <v>1602</v>
      </c>
      <c r="D1579" s="101">
        <v>16</v>
      </c>
      <c r="E1579" s="101"/>
      <c r="F1579" s="101" t="s">
        <v>116</v>
      </c>
      <c r="G1579" s="101">
        <v>312</v>
      </c>
      <c r="H1579" s="101" t="s">
        <v>3708</v>
      </c>
      <c r="I1579" s="101">
        <v>0</v>
      </c>
      <c r="J1579" s="100">
        <v>0</v>
      </c>
      <c r="K1579" s="100">
        <v>0</v>
      </c>
      <c r="L1579" s="100" t="s">
        <v>115</v>
      </c>
      <c r="M1579" s="102"/>
      <c r="N1579" s="100"/>
      <c r="O1579" s="100" t="s">
        <v>115</v>
      </c>
      <c r="P1579" s="101"/>
      <c r="Q1579" s="100">
        <v>177</v>
      </c>
      <c r="R1579" s="100" t="s">
        <v>115</v>
      </c>
      <c r="S1579" s="100"/>
      <c r="T1579" s="100"/>
      <c r="U1579" s="100"/>
      <c r="V1579" s="100"/>
      <c r="W1579" s="100"/>
      <c r="X1579" s="100">
        <v>90160211</v>
      </c>
      <c r="Y1579" s="100" t="s">
        <v>115</v>
      </c>
      <c r="Z1579" s="100" t="s">
        <v>115</v>
      </c>
      <c r="AA1579" s="100" t="s">
        <v>115</v>
      </c>
      <c r="AB1579" s="100" t="s">
        <v>115</v>
      </c>
      <c r="AC1579" s="100" t="s">
        <v>115</v>
      </c>
      <c r="AD1579" s="100"/>
      <c r="AE1579" s="100"/>
      <c r="AF1579" s="100"/>
      <c r="AG1579" s="100"/>
      <c r="AH1579" s="100"/>
      <c r="AI1579" s="100">
        <v>304</v>
      </c>
      <c r="AJ1579" s="100"/>
      <c r="AK1579" s="100"/>
      <c r="AL1579" s="100"/>
      <c r="AM1579" s="100"/>
      <c r="AN1579" s="100"/>
      <c r="AO1579" s="100"/>
      <c r="AP1579" s="89" t="s">
        <v>115</v>
      </c>
    </row>
    <row r="1580" spans="1:42" s="89" customFormat="1" x14ac:dyDescent="0.15">
      <c r="A1580" s="100" t="s">
        <v>1</v>
      </c>
      <c r="B1580" s="101">
        <v>90160211</v>
      </c>
      <c r="C1580" s="101">
        <v>1602</v>
      </c>
      <c r="D1580" s="101">
        <v>16</v>
      </c>
      <c r="E1580" s="101"/>
      <c r="F1580" s="101" t="s">
        <v>767</v>
      </c>
      <c r="G1580" s="101" t="s">
        <v>115</v>
      </c>
      <c r="H1580" s="101" t="s">
        <v>3709</v>
      </c>
      <c r="I1580" s="101">
        <v>1</v>
      </c>
      <c r="J1580" s="100">
        <v>0</v>
      </c>
      <c r="K1580" s="100">
        <v>5</v>
      </c>
      <c r="L1580" s="100" t="s">
        <v>4811</v>
      </c>
      <c r="M1580" s="102"/>
      <c r="N1580" s="100"/>
      <c r="O1580" s="100" t="s">
        <v>115</v>
      </c>
      <c r="P1580" s="101"/>
      <c r="Q1580" s="100">
        <v>177</v>
      </c>
      <c r="R1580" s="100" t="s">
        <v>115</v>
      </c>
      <c r="S1580" s="100"/>
      <c r="T1580" s="100"/>
      <c r="U1580" s="100"/>
      <c r="V1580" s="100"/>
      <c r="W1580" s="100"/>
      <c r="X1580" s="100">
        <v>90160212</v>
      </c>
      <c r="Y1580" s="100" t="s">
        <v>115</v>
      </c>
      <c r="Z1580" s="100">
        <v>4</v>
      </c>
      <c r="AA1580" s="100" t="s">
        <v>115</v>
      </c>
      <c r="AB1580" s="100" t="s">
        <v>115</v>
      </c>
      <c r="AC1580" s="100" t="s">
        <v>115</v>
      </c>
      <c r="AD1580" s="100"/>
      <c r="AE1580" s="100"/>
      <c r="AF1580" s="100"/>
      <c r="AG1580" s="100"/>
      <c r="AH1580" s="100"/>
      <c r="AI1580" s="100" t="s">
        <v>991</v>
      </c>
      <c r="AJ1580" s="100"/>
      <c r="AK1580" s="100"/>
      <c r="AL1580" s="100"/>
      <c r="AM1580" s="100"/>
      <c r="AN1580" s="100"/>
      <c r="AO1580" s="100"/>
      <c r="AP1580" s="89" t="s">
        <v>115</v>
      </c>
    </row>
    <row r="1581" spans="1:42" s="89" customFormat="1" x14ac:dyDescent="0.15">
      <c r="A1581" s="100" t="s">
        <v>1</v>
      </c>
      <c r="B1581" s="101">
        <v>90160212</v>
      </c>
      <c r="C1581" s="101">
        <v>1602</v>
      </c>
      <c r="D1581" s="101">
        <v>16</v>
      </c>
      <c r="E1581" s="101"/>
      <c r="F1581" s="101" t="s">
        <v>116</v>
      </c>
      <c r="G1581" s="101">
        <v>312</v>
      </c>
      <c r="H1581" s="101" t="s">
        <v>3710</v>
      </c>
      <c r="I1581" s="101">
        <v>0</v>
      </c>
      <c r="J1581" s="100">
        <v>0</v>
      </c>
      <c r="K1581" s="100">
        <v>0</v>
      </c>
      <c r="L1581" s="100" t="s">
        <v>115</v>
      </c>
      <c r="M1581" s="102"/>
      <c r="N1581" s="100"/>
      <c r="O1581" s="100" t="s">
        <v>115</v>
      </c>
      <c r="P1581" s="101"/>
      <c r="Q1581" s="100">
        <v>177</v>
      </c>
      <c r="R1581" s="100" t="s">
        <v>115</v>
      </c>
      <c r="S1581" s="100"/>
      <c r="T1581" s="100"/>
      <c r="U1581" s="100"/>
      <c r="V1581" s="100"/>
      <c r="W1581" s="100"/>
      <c r="X1581" s="100">
        <v>90160213</v>
      </c>
      <c r="Y1581" s="100" t="s">
        <v>115</v>
      </c>
      <c r="Z1581" s="100" t="s">
        <v>115</v>
      </c>
      <c r="AA1581" s="100" t="s">
        <v>115</v>
      </c>
      <c r="AB1581" s="100" t="s">
        <v>115</v>
      </c>
      <c r="AC1581" s="100" t="s">
        <v>115</v>
      </c>
      <c r="AD1581" s="100"/>
      <c r="AE1581" s="100"/>
      <c r="AF1581" s="100"/>
      <c r="AG1581" s="100"/>
      <c r="AH1581" s="100"/>
      <c r="AI1581" s="100">
        <v>304</v>
      </c>
      <c r="AJ1581" s="100"/>
      <c r="AK1581" s="100"/>
      <c r="AL1581" s="100"/>
      <c r="AM1581" s="100"/>
      <c r="AN1581" s="100"/>
      <c r="AO1581" s="100"/>
      <c r="AP1581" s="89" t="s">
        <v>115</v>
      </c>
    </row>
    <row r="1582" spans="1:42" s="89" customFormat="1" x14ac:dyDescent="0.15">
      <c r="A1582" s="100" t="s">
        <v>1</v>
      </c>
      <c r="B1582" s="101">
        <v>90160213</v>
      </c>
      <c r="C1582" s="101">
        <v>1602</v>
      </c>
      <c r="D1582" s="101">
        <v>16</v>
      </c>
      <c r="E1582" s="101"/>
      <c r="F1582" s="101" t="s">
        <v>767</v>
      </c>
      <c r="G1582" s="101" t="s">
        <v>115</v>
      </c>
      <c r="H1582" s="101" t="s">
        <v>3711</v>
      </c>
      <c r="I1582" s="101">
        <v>1</v>
      </c>
      <c r="J1582" s="100">
        <v>0</v>
      </c>
      <c r="K1582" s="100">
        <v>6</v>
      </c>
      <c r="L1582" s="100" t="s">
        <v>115</v>
      </c>
      <c r="M1582" s="102"/>
      <c r="N1582" s="100"/>
      <c r="O1582" s="100">
        <v>1</v>
      </c>
      <c r="P1582" s="101"/>
      <c r="Q1582" s="100">
        <v>177</v>
      </c>
      <c r="R1582" s="100" t="s">
        <v>115</v>
      </c>
      <c r="S1582" s="100"/>
      <c r="T1582" s="100"/>
      <c r="U1582" s="100"/>
      <c r="V1582" s="100"/>
      <c r="W1582" s="100"/>
      <c r="X1582" s="100" t="s">
        <v>115</v>
      </c>
      <c r="Y1582" s="100" t="s">
        <v>115</v>
      </c>
      <c r="Z1582" s="100">
        <v>5</v>
      </c>
      <c r="AA1582" s="100" t="s">
        <v>115</v>
      </c>
      <c r="AB1582" s="100" t="s">
        <v>115</v>
      </c>
      <c r="AC1582" s="100" t="s">
        <v>115</v>
      </c>
      <c r="AD1582" s="100"/>
      <c r="AE1582" s="100"/>
      <c r="AF1582" s="100"/>
      <c r="AG1582" s="100"/>
      <c r="AH1582" s="100"/>
      <c r="AI1582" s="100" t="s">
        <v>991</v>
      </c>
      <c r="AJ1582" s="100"/>
      <c r="AK1582" s="100"/>
      <c r="AL1582" s="100"/>
      <c r="AM1582" s="100"/>
      <c r="AN1582" s="100"/>
      <c r="AO1582" s="100"/>
      <c r="AP1582" s="89" t="s">
        <v>115</v>
      </c>
    </row>
    <row r="1583" spans="1:42" s="89" customFormat="1" x14ac:dyDescent="0.15">
      <c r="A1583" s="100" t="s">
        <v>1</v>
      </c>
      <c r="B1583" s="101">
        <v>90160214</v>
      </c>
      <c r="C1583" s="101">
        <v>1602</v>
      </c>
      <c r="D1583" s="101">
        <v>16</v>
      </c>
      <c r="E1583" s="101"/>
      <c r="F1583" s="101" t="s">
        <v>116</v>
      </c>
      <c r="G1583" s="101">
        <v>312</v>
      </c>
      <c r="H1583" s="101" t="s">
        <v>3712</v>
      </c>
      <c r="I1583" s="101">
        <v>0</v>
      </c>
      <c r="J1583" s="100">
        <v>0</v>
      </c>
      <c r="K1583" s="100">
        <v>7</v>
      </c>
      <c r="L1583" s="100" t="s">
        <v>115</v>
      </c>
      <c r="M1583" s="102"/>
      <c r="N1583" s="100"/>
      <c r="O1583" s="100" t="s">
        <v>115</v>
      </c>
      <c r="P1583" s="101"/>
      <c r="Q1583" s="100">
        <v>177</v>
      </c>
      <c r="R1583" s="100" t="s">
        <v>115</v>
      </c>
      <c r="S1583" s="100"/>
      <c r="T1583" s="100"/>
      <c r="U1583" s="100"/>
      <c r="V1583" s="100"/>
      <c r="W1583" s="100"/>
      <c r="X1583" s="100">
        <v>90160205</v>
      </c>
      <c r="Y1583" s="100" t="s">
        <v>115</v>
      </c>
      <c r="Z1583" s="100">
        <v>6</v>
      </c>
      <c r="AA1583" s="100" t="s">
        <v>115</v>
      </c>
      <c r="AB1583" s="100" t="s">
        <v>115</v>
      </c>
      <c r="AC1583" s="100" t="s">
        <v>115</v>
      </c>
      <c r="AD1583" s="100"/>
      <c r="AE1583" s="100"/>
      <c r="AF1583" s="100"/>
      <c r="AG1583" s="100"/>
      <c r="AH1583" s="100"/>
      <c r="AI1583" s="100">
        <v>304</v>
      </c>
      <c r="AJ1583" s="100"/>
      <c r="AK1583" s="100"/>
      <c r="AL1583" s="100"/>
      <c r="AM1583" s="100"/>
      <c r="AN1583" s="100"/>
      <c r="AO1583" s="100"/>
      <c r="AP1583" s="89" t="s">
        <v>3713</v>
      </c>
    </row>
    <row r="1584" spans="1:42" s="89" customFormat="1" x14ac:dyDescent="0.15">
      <c r="A1584" s="100" t="s">
        <v>1</v>
      </c>
      <c r="B1584" s="101" t="s">
        <v>3451</v>
      </c>
      <c r="C1584" s="101">
        <v>1603</v>
      </c>
      <c r="D1584" s="101">
        <v>16</v>
      </c>
      <c r="E1584" s="101"/>
      <c r="F1584" s="101" t="s">
        <v>115</v>
      </c>
      <c r="G1584" s="101" t="s">
        <v>115</v>
      </c>
      <c r="H1584" s="101" t="s">
        <v>3714</v>
      </c>
      <c r="I1584" s="101">
        <v>4</v>
      </c>
      <c r="J1584" s="100">
        <v>1</v>
      </c>
      <c r="K1584" s="100">
        <v>1</v>
      </c>
      <c r="L1584" s="100" t="s">
        <v>115</v>
      </c>
      <c r="M1584" s="102"/>
      <c r="N1584" s="100"/>
      <c r="O1584" s="100" t="s">
        <v>115</v>
      </c>
      <c r="P1584" s="101"/>
      <c r="Q1584" s="100">
        <v>111</v>
      </c>
      <c r="R1584" s="100" t="s">
        <v>115</v>
      </c>
      <c r="S1584" s="100"/>
      <c r="T1584" s="100"/>
      <c r="U1584" s="100"/>
      <c r="V1584" s="100"/>
      <c r="W1584" s="100"/>
      <c r="X1584" s="100">
        <v>90160302</v>
      </c>
      <c r="Y1584" s="100" t="s">
        <v>115</v>
      </c>
      <c r="Z1584" s="100" t="s">
        <v>115</v>
      </c>
      <c r="AA1584" s="100" t="s">
        <v>115</v>
      </c>
      <c r="AB1584" s="100" t="s">
        <v>115</v>
      </c>
      <c r="AC1584" s="100" t="s">
        <v>115</v>
      </c>
      <c r="AD1584" s="100"/>
      <c r="AE1584" s="100"/>
      <c r="AF1584" s="100"/>
      <c r="AG1584" s="100"/>
      <c r="AH1584" s="100"/>
      <c r="AI1584" s="100" t="s">
        <v>115</v>
      </c>
      <c r="AJ1584" s="100"/>
      <c r="AK1584" s="100"/>
      <c r="AL1584" s="100"/>
      <c r="AM1584" s="100"/>
      <c r="AN1584" s="100"/>
      <c r="AO1584" s="100"/>
      <c r="AP1584" s="89" t="s">
        <v>115</v>
      </c>
    </row>
    <row r="1585" spans="1:42" s="89" customFormat="1" x14ac:dyDescent="0.15">
      <c r="A1585" s="100" t="s">
        <v>1</v>
      </c>
      <c r="B1585" s="101">
        <v>90160302</v>
      </c>
      <c r="C1585" s="101">
        <v>1603</v>
      </c>
      <c r="D1585" s="101">
        <v>16</v>
      </c>
      <c r="E1585" s="101"/>
      <c r="F1585" s="101" t="s">
        <v>115</v>
      </c>
      <c r="G1585" s="101" t="s">
        <v>115</v>
      </c>
      <c r="H1585" s="101" t="s">
        <v>3715</v>
      </c>
      <c r="I1585" s="101">
        <v>4</v>
      </c>
      <c r="J1585" s="100">
        <v>0</v>
      </c>
      <c r="K1585" s="100">
        <v>0</v>
      </c>
      <c r="L1585" s="100" t="s">
        <v>115</v>
      </c>
      <c r="M1585" s="102"/>
      <c r="N1585" s="100"/>
      <c r="O1585" s="100" t="s">
        <v>115</v>
      </c>
      <c r="P1585" s="101"/>
      <c r="Q1585" s="100">
        <v>111</v>
      </c>
      <c r="R1585" s="100" t="s">
        <v>115</v>
      </c>
      <c r="S1585" s="100"/>
      <c r="T1585" s="100"/>
      <c r="U1585" s="100"/>
      <c r="V1585" s="100"/>
      <c r="W1585" s="100"/>
      <c r="X1585" s="100">
        <v>90160303</v>
      </c>
      <c r="Y1585" s="100" t="s">
        <v>115</v>
      </c>
      <c r="Z1585" s="100" t="s">
        <v>115</v>
      </c>
      <c r="AA1585" s="100" t="s">
        <v>115</v>
      </c>
      <c r="AB1585" s="100" t="s">
        <v>115</v>
      </c>
      <c r="AC1585" s="100" t="s">
        <v>115</v>
      </c>
      <c r="AD1585" s="100"/>
      <c r="AE1585" s="100"/>
      <c r="AF1585" s="100"/>
      <c r="AG1585" s="100"/>
      <c r="AH1585" s="100"/>
      <c r="AI1585" s="100" t="s">
        <v>115</v>
      </c>
      <c r="AJ1585" s="100"/>
      <c r="AK1585" s="100"/>
      <c r="AL1585" s="100"/>
      <c r="AM1585" s="100"/>
      <c r="AN1585" s="100"/>
      <c r="AO1585" s="100"/>
      <c r="AP1585" s="89" t="s">
        <v>115</v>
      </c>
    </row>
    <row r="1586" spans="1:42" s="89" customFormat="1" x14ac:dyDescent="0.15">
      <c r="A1586" s="100" t="s">
        <v>1</v>
      </c>
      <c r="B1586" s="101">
        <v>90160303</v>
      </c>
      <c r="C1586" s="101">
        <v>1603</v>
      </c>
      <c r="D1586" s="101">
        <v>16</v>
      </c>
      <c r="E1586" s="101"/>
      <c r="F1586" s="101" t="s">
        <v>115</v>
      </c>
      <c r="G1586" s="101" t="s">
        <v>115</v>
      </c>
      <c r="H1586" s="101" t="s">
        <v>3716</v>
      </c>
      <c r="I1586" s="101">
        <v>4</v>
      </c>
      <c r="J1586" s="100">
        <v>0</v>
      </c>
      <c r="K1586" s="100">
        <v>0</v>
      </c>
      <c r="L1586" s="100" t="s">
        <v>115</v>
      </c>
      <c r="M1586" s="102"/>
      <c r="N1586" s="100"/>
      <c r="O1586" s="100" t="s">
        <v>115</v>
      </c>
      <c r="P1586" s="101"/>
      <c r="Q1586" s="100">
        <v>111</v>
      </c>
      <c r="R1586" s="100" t="s">
        <v>115</v>
      </c>
      <c r="S1586" s="100"/>
      <c r="T1586" s="100"/>
      <c r="U1586" s="100"/>
      <c r="V1586" s="100"/>
      <c r="W1586" s="100"/>
      <c r="X1586" s="100">
        <v>90160304</v>
      </c>
      <c r="Y1586" s="100" t="s">
        <v>115</v>
      </c>
      <c r="Z1586" s="100" t="s">
        <v>115</v>
      </c>
      <c r="AA1586" s="100" t="s">
        <v>115</v>
      </c>
      <c r="AB1586" s="100" t="s">
        <v>115</v>
      </c>
      <c r="AC1586" s="100" t="s">
        <v>115</v>
      </c>
      <c r="AD1586" s="100"/>
      <c r="AE1586" s="100"/>
      <c r="AF1586" s="100"/>
      <c r="AG1586" s="100"/>
      <c r="AH1586" s="100"/>
      <c r="AI1586" s="100" t="s">
        <v>115</v>
      </c>
      <c r="AJ1586" s="100"/>
      <c r="AK1586" s="100"/>
      <c r="AL1586" s="100"/>
      <c r="AM1586" s="100"/>
      <c r="AN1586" s="100"/>
      <c r="AO1586" s="100"/>
      <c r="AP1586" s="89" t="s">
        <v>115</v>
      </c>
    </row>
    <row r="1587" spans="1:42" s="89" customFormat="1" x14ac:dyDescent="0.15">
      <c r="A1587" s="100" t="s">
        <v>1</v>
      </c>
      <c r="B1587" s="101">
        <v>90160304</v>
      </c>
      <c r="C1587" s="101">
        <v>1603</v>
      </c>
      <c r="D1587" s="101">
        <v>16</v>
      </c>
      <c r="E1587" s="101"/>
      <c r="F1587" s="101" t="s">
        <v>115</v>
      </c>
      <c r="G1587" s="101" t="s">
        <v>115</v>
      </c>
      <c r="H1587" s="101" t="s">
        <v>3717</v>
      </c>
      <c r="I1587" s="101">
        <v>4</v>
      </c>
      <c r="J1587" s="100">
        <v>0</v>
      </c>
      <c r="K1587" s="100">
        <v>2</v>
      </c>
      <c r="L1587" s="100" t="s">
        <v>115</v>
      </c>
      <c r="M1587" s="102"/>
      <c r="N1587" s="100"/>
      <c r="O1587" s="100" t="s">
        <v>115</v>
      </c>
      <c r="P1587" s="101"/>
      <c r="Q1587" s="100">
        <v>111</v>
      </c>
      <c r="R1587" s="100" t="s">
        <v>115</v>
      </c>
      <c r="S1587" s="100"/>
      <c r="T1587" s="100"/>
      <c r="U1587" s="100"/>
      <c r="V1587" s="100"/>
      <c r="W1587" s="100"/>
      <c r="X1587" s="100" t="s">
        <v>3718</v>
      </c>
      <c r="Y1587" s="100">
        <v>1</v>
      </c>
      <c r="Z1587" s="100">
        <v>1</v>
      </c>
      <c r="AA1587" s="100" t="s">
        <v>115</v>
      </c>
      <c r="AB1587" s="100" t="s">
        <v>115</v>
      </c>
      <c r="AC1587" s="100" t="s">
        <v>115</v>
      </c>
      <c r="AD1587" s="100"/>
      <c r="AE1587" s="100"/>
      <c r="AF1587" s="100"/>
      <c r="AG1587" s="100"/>
      <c r="AH1587" s="100"/>
      <c r="AI1587" s="100" t="s">
        <v>115</v>
      </c>
      <c r="AJ1587" s="100"/>
      <c r="AK1587" s="100"/>
      <c r="AL1587" s="100"/>
      <c r="AM1587" s="100"/>
      <c r="AN1587" s="100"/>
      <c r="AO1587" s="100"/>
      <c r="AP1587" s="89" t="s">
        <v>115</v>
      </c>
    </row>
    <row r="1588" spans="1:42" s="89" customFormat="1" x14ac:dyDescent="0.15">
      <c r="A1588" s="100" t="s">
        <v>1</v>
      </c>
      <c r="B1588" s="101">
        <v>90160305</v>
      </c>
      <c r="C1588" s="101">
        <v>1603</v>
      </c>
      <c r="D1588" s="101">
        <v>16</v>
      </c>
      <c r="E1588" s="101"/>
      <c r="F1588" s="101" t="s">
        <v>115</v>
      </c>
      <c r="G1588" s="101" t="s">
        <v>115</v>
      </c>
      <c r="H1588" s="101" t="s">
        <v>3719</v>
      </c>
      <c r="I1588" s="101">
        <v>4</v>
      </c>
      <c r="J1588" s="100">
        <v>0</v>
      </c>
      <c r="K1588" s="100">
        <v>3</v>
      </c>
      <c r="L1588" s="100" t="s">
        <v>115</v>
      </c>
      <c r="M1588" s="102"/>
      <c r="N1588" s="100"/>
      <c r="O1588" s="100" t="s">
        <v>115</v>
      </c>
      <c r="P1588" s="101"/>
      <c r="Q1588" s="100">
        <v>111</v>
      </c>
      <c r="R1588" s="100" t="s">
        <v>115</v>
      </c>
      <c r="S1588" s="100"/>
      <c r="T1588" s="100"/>
      <c r="U1588" s="100"/>
      <c r="V1588" s="100"/>
      <c r="W1588" s="100"/>
      <c r="X1588" s="100">
        <v>90160306</v>
      </c>
      <c r="Y1588" s="100">
        <v>-1</v>
      </c>
      <c r="Z1588" s="100">
        <v>2</v>
      </c>
      <c r="AA1588" s="100" t="s">
        <v>115</v>
      </c>
      <c r="AB1588" s="100" t="s">
        <v>115</v>
      </c>
      <c r="AC1588" s="100" t="s">
        <v>3720</v>
      </c>
      <c r="AD1588" s="100"/>
      <c r="AE1588" s="100"/>
      <c r="AF1588" s="100"/>
      <c r="AG1588" s="100"/>
      <c r="AH1588" s="100"/>
      <c r="AI1588" s="100" t="s">
        <v>115</v>
      </c>
      <c r="AJ1588" s="100"/>
      <c r="AK1588" s="100"/>
      <c r="AL1588" s="100"/>
      <c r="AM1588" s="100"/>
      <c r="AN1588" s="100"/>
      <c r="AO1588" s="100"/>
      <c r="AP1588" s="89" t="s">
        <v>115</v>
      </c>
    </row>
    <row r="1589" spans="1:42" s="89" customFormat="1" x14ac:dyDescent="0.15">
      <c r="A1589" s="100" t="s">
        <v>1</v>
      </c>
      <c r="B1589" s="101">
        <v>90160306</v>
      </c>
      <c r="C1589" s="101">
        <v>1603</v>
      </c>
      <c r="D1589" s="101">
        <v>16</v>
      </c>
      <c r="E1589" s="101"/>
      <c r="F1589" s="101" t="s">
        <v>527</v>
      </c>
      <c r="G1589" s="101" t="s">
        <v>115</v>
      </c>
      <c r="H1589" s="101" t="s">
        <v>3721</v>
      </c>
      <c r="I1589" s="101">
        <v>3</v>
      </c>
      <c r="J1589" s="100">
        <v>0</v>
      </c>
      <c r="K1589" s="100">
        <v>0</v>
      </c>
      <c r="L1589" s="100" t="s">
        <v>115</v>
      </c>
      <c r="M1589" s="102"/>
      <c r="N1589" s="100"/>
      <c r="O1589" s="100" t="s">
        <v>115</v>
      </c>
      <c r="P1589" s="101"/>
      <c r="Q1589" s="100">
        <v>111</v>
      </c>
      <c r="R1589" s="100">
        <v>229</v>
      </c>
      <c r="S1589" s="100"/>
      <c r="T1589" s="100"/>
      <c r="U1589" s="100"/>
      <c r="V1589" s="100"/>
      <c r="W1589" s="100"/>
      <c r="X1589" s="100">
        <v>90160307</v>
      </c>
      <c r="Y1589" s="100" t="s">
        <v>115</v>
      </c>
      <c r="Z1589" s="100" t="s">
        <v>115</v>
      </c>
      <c r="AA1589" s="100" t="s">
        <v>115</v>
      </c>
      <c r="AB1589" s="100" t="s">
        <v>115</v>
      </c>
      <c r="AC1589" s="100" t="s">
        <v>115</v>
      </c>
      <c r="AD1589" s="100"/>
      <c r="AE1589" s="100"/>
      <c r="AF1589" s="100"/>
      <c r="AG1589" s="100"/>
      <c r="AH1589" s="100"/>
      <c r="AI1589" s="100" t="s">
        <v>115</v>
      </c>
      <c r="AJ1589" s="100"/>
      <c r="AK1589" s="100"/>
      <c r="AL1589" s="100"/>
      <c r="AM1589" s="100"/>
      <c r="AN1589" s="100"/>
      <c r="AO1589" s="100"/>
      <c r="AP1589" s="89" t="s">
        <v>115</v>
      </c>
    </row>
    <row r="1590" spans="1:42" s="89" customFormat="1" x14ac:dyDescent="0.15">
      <c r="A1590" s="100" t="s">
        <v>1</v>
      </c>
      <c r="B1590" s="101">
        <v>90160307</v>
      </c>
      <c r="C1590" s="101">
        <v>1603</v>
      </c>
      <c r="D1590" s="101">
        <v>16</v>
      </c>
      <c r="E1590" s="101"/>
      <c r="F1590" s="101" t="s">
        <v>116</v>
      </c>
      <c r="G1590" s="101">
        <v>309</v>
      </c>
      <c r="H1590" s="101" t="s">
        <v>3722</v>
      </c>
      <c r="I1590" s="101">
        <v>0</v>
      </c>
      <c r="J1590" s="100">
        <v>0</v>
      </c>
      <c r="K1590" s="100">
        <v>0</v>
      </c>
      <c r="L1590" s="100" t="s">
        <v>115</v>
      </c>
      <c r="M1590" s="102"/>
      <c r="N1590" s="100"/>
      <c r="O1590" s="100" t="s">
        <v>115</v>
      </c>
      <c r="P1590" s="101"/>
      <c r="Q1590" s="100">
        <v>111</v>
      </c>
      <c r="R1590" s="100">
        <v>229</v>
      </c>
      <c r="S1590" s="100"/>
      <c r="T1590" s="100"/>
      <c r="U1590" s="100"/>
      <c r="V1590" s="100"/>
      <c r="W1590" s="100"/>
      <c r="X1590" s="100">
        <v>90160308</v>
      </c>
      <c r="Y1590" s="100" t="s">
        <v>115</v>
      </c>
      <c r="Z1590" s="100" t="s">
        <v>115</v>
      </c>
      <c r="AA1590" s="100" t="s">
        <v>115</v>
      </c>
      <c r="AB1590" s="100" t="s">
        <v>115</v>
      </c>
      <c r="AC1590" s="100" t="s">
        <v>115</v>
      </c>
      <c r="AD1590" s="100"/>
      <c r="AE1590" s="100"/>
      <c r="AF1590" s="100"/>
      <c r="AG1590" s="100"/>
      <c r="AH1590" s="100"/>
      <c r="AI1590" s="100" t="s">
        <v>115</v>
      </c>
      <c r="AJ1590" s="100"/>
      <c r="AK1590" s="100"/>
      <c r="AL1590" s="100"/>
      <c r="AM1590" s="100"/>
      <c r="AN1590" s="100"/>
      <c r="AO1590" s="100"/>
      <c r="AP1590" s="89" t="s">
        <v>115</v>
      </c>
    </row>
    <row r="1591" spans="1:42" s="89" customFormat="1" x14ac:dyDescent="0.15">
      <c r="A1591" s="100" t="s">
        <v>1</v>
      </c>
      <c r="B1591" s="101">
        <v>90160308</v>
      </c>
      <c r="C1591" s="101">
        <v>1603</v>
      </c>
      <c r="D1591" s="101">
        <v>16</v>
      </c>
      <c r="E1591" s="101"/>
      <c r="F1591" s="101" t="s">
        <v>529</v>
      </c>
      <c r="G1591" s="101" t="s">
        <v>115</v>
      </c>
      <c r="H1591" s="101" t="s">
        <v>3723</v>
      </c>
      <c r="I1591" s="101">
        <v>3</v>
      </c>
      <c r="J1591" s="100">
        <v>0</v>
      </c>
      <c r="K1591" s="100">
        <v>0</v>
      </c>
      <c r="L1591" s="100" t="s">
        <v>115</v>
      </c>
      <c r="M1591" s="102"/>
      <c r="N1591" s="100"/>
      <c r="O1591" s="100" t="s">
        <v>115</v>
      </c>
      <c r="P1591" s="101"/>
      <c r="Q1591" s="100">
        <v>111</v>
      </c>
      <c r="R1591" s="100">
        <v>213</v>
      </c>
      <c r="S1591" s="100"/>
      <c r="T1591" s="100"/>
      <c r="U1591" s="100"/>
      <c r="V1591" s="100"/>
      <c r="W1591" s="100"/>
      <c r="X1591" s="100">
        <v>90160309</v>
      </c>
      <c r="Y1591" s="100" t="s">
        <v>115</v>
      </c>
      <c r="Z1591" s="100" t="s">
        <v>115</v>
      </c>
      <c r="AA1591" s="100" t="s">
        <v>115</v>
      </c>
      <c r="AB1591" s="100" t="s">
        <v>115</v>
      </c>
      <c r="AC1591" s="100" t="s">
        <v>115</v>
      </c>
      <c r="AD1591" s="100"/>
      <c r="AE1591" s="100"/>
      <c r="AF1591" s="100"/>
      <c r="AG1591" s="100"/>
      <c r="AH1591" s="100"/>
      <c r="AI1591" s="100" t="s">
        <v>115</v>
      </c>
      <c r="AJ1591" s="100"/>
      <c r="AK1591" s="100"/>
      <c r="AL1591" s="100"/>
      <c r="AM1591" s="100"/>
      <c r="AN1591" s="100"/>
      <c r="AO1591" s="100"/>
      <c r="AP1591" s="89" t="s">
        <v>115</v>
      </c>
    </row>
    <row r="1592" spans="1:42" s="89" customFormat="1" x14ac:dyDescent="0.15">
      <c r="A1592" s="100" t="s">
        <v>1</v>
      </c>
      <c r="B1592" s="101">
        <v>90160309</v>
      </c>
      <c r="C1592" s="101">
        <v>1603</v>
      </c>
      <c r="D1592" s="101">
        <v>16</v>
      </c>
      <c r="E1592" s="101"/>
      <c r="F1592" s="101" t="s">
        <v>116</v>
      </c>
      <c r="G1592" s="101">
        <v>314</v>
      </c>
      <c r="H1592" s="101" t="s">
        <v>3724</v>
      </c>
      <c r="I1592" s="101">
        <v>0</v>
      </c>
      <c r="J1592" s="100">
        <v>0</v>
      </c>
      <c r="K1592" s="100">
        <v>4</v>
      </c>
      <c r="L1592" s="100" t="s">
        <v>4812</v>
      </c>
      <c r="M1592" s="102"/>
      <c r="N1592" s="100"/>
      <c r="O1592" s="100" t="s">
        <v>115</v>
      </c>
      <c r="P1592" s="101"/>
      <c r="Q1592" s="100">
        <v>111</v>
      </c>
      <c r="R1592" s="100" t="s">
        <v>115</v>
      </c>
      <c r="S1592" s="100"/>
      <c r="T1592" s="100"/>
      <c r="U1592" s="100"/>
      <c r="V1592" s="100"/>
      <c r="W1592" s="100"/>
      <c r="X1592" s="100">
        <v>90160310</v>
      </c>
      <c r="Y1592" s="100" t="s">
        <v>115</v>
      </c>
      <c r="Z1592" s="100">
        <v>3</v>
      </c>
      <c r="AA1592" s="100" t="s">
        <v>115</v>
      </c>
      <c r="AB1592" s="100" t="s">
        <v>115</v>
      </c>
      <c r="AC1592" s="100" t="s">
        <v>115</v>
      </c>
      <c r="AD1592" s="100"/>
      <c r="AE1592" s="100"/>
      <c r="AF1592" s="100"/>
      <c r="AG1592" s="100"/>
      <c r="AH1592" s="100"/>
      <c r="AI1592" s="100" t="s">
        <v>115</v>
      </c>
      <c r="AJ1592" s="100"/>
      <c r="AK1592" s="100"/>
      <c r="AL1592" s="100"/>
      <c r="AM1592" s="100"/>
      <c r="AN1592" s="100"/>
      <c r="AO1592" s="100"/>
      <c r="AP1592" s="89" t="s">
        <v>115</v>
      </c>
    </row>
    <row r="1593" spans="1:42" s="89" customFormat="1" x14ac:dyDescent="0.15">
      <c r="A1593" s="100" t="s">
        <v>1</v>
      </c>
      <c r="B1593" s="101">
        <v>90160310</v>
      </c>
      <c r="C1593" s="101">
        <v>1603</v>
      </c>
      <c r="D1593" s="101">
        <v>16</v>
      </c>
      <c r="E1593" s="101"/>
      <c r="F1593" s="101" t="s">
        <v>116</v>
      </c>
      <c r="G1593" s="101">
        <v>313</v>
      </c>
      <c r="H1593" s="101" t="s">
        <v>3725</v>
      </c>
      <c r="I1593" s="101">
        <v>0</v>
      </c>
      <c r="J1593" s="100">
        <v>0</v>
      </c>
      <c r="K1593" s="100">
        <v>0</v>
      </c>
      <c r="L1593" s="100" t="s">
        <v>115</v>
      </c>
      <c r="M1593" s="102"/>
      <c r="N1593" s="100"/>
      <c r="O1593" s="100" t="s">
        <v>115</v>
      </c>
      <c r="P1593" s="101"/>
      <c r="Q1593" s="100">
        <v>111</v>
      </c>
      <c r="R1593" s="100" t="s">
        <v>115</v>
      </c>
      <c r="S1593" s="100"/>
      <c r="T1593" s="100"/>
      <c r="U1593" s="100"/>
      <c r="V1593" s="100"/>
      <c r="W1593" s="100"/>
      <c r="X1593" s="100">
        <v>90160311</v>
      </c>
      <c r="Y1593" s="100" t="s">
        <v>115</v>
      </c>
      <c r="Z1593" s="100" t="s">
        <v>115</v>
      </c>
      <c r="AA1593" s="100" t="s">
        <v>115</v>
      </c>
      <c r="AB1593" s="100" t="s">
        <v>115</v>
      </c>
      <c r="AC1593" s="100" t="s">
        <v>115</v>
      </c>
      <c r="AD1593" s="100"/>
      <c r="AE1593" s="100"/>
      <c r="AF1593" s="100"/>
      <c r="AG1593" s="100"/>
      <c r="AH1593" s="100"/>
      <c r="AI1593" s="100" t="s">
        <v>115</v>
      </c>
      <c r="AJ1593" s="100"/>
      <c r="AK1593" s="100"/>
      <c r="AL1593" s="100"/>
      <c r="AM1593" s="100"/>
      <c r="AN1593" s="100"/>
      <c r="AO1593" s="100"/>
      <c r="AP1593" s="89" t="s">
        <v>115</v>
      </c>
    </row>
    <row r="1594" spans="1:42" s="89" customFormat="1" x14ac:dyDescent="0.15">
      <c r="A1594" s="100" t="s">
        <v>1</v>
      </c>
      <c r="B1594" s="101">
        <v>90160311</v>
      </c>
      <c r="C1594" s="101">
        <v>1603</v>
      </c>
      <c r="D1594" s="101">
        <v>16</v>
      </c>
      <c r="E1594" s="101"/>
      <c r="F1594" s="101" t="s">
        <v>116</v>
      </c>
      <c r="G1594" s="101">
        <v>313</v>
      </c>
      <c r="H1594" s="101" t="s">
        <v>3726</v>
      </c>
      <c r="I1594" s="101">
        <v>0</v>
      </c>
      <c r="J1594" s="100">
        <v>0</v>
      </c>
      <c r="K1594" s="100">
        <v>0</v>
      </c>
      <c r="L1594" s="100" t="s">
        <v>115</v>
      </c>
      <c r="M1594" s="102"/>
      <c r="N1594" s="100"/>
      <c r="O1594" s="100" t="s">
        <v>115</v>
      </c>
      <c r="P1594" s="101"/>
      <c r="Q1594" s="100">
        <v>111</v>
      </c>
      <c r="R1594" s="100" t="s">
        <v>115</v>
      </c>
      <c r="S1594" s="100"/>
      <c r="T1594" s="100"/>
      <c r="U1594" s="100"/>
      <c r="V1594" s="100"/>
      <c r="W1594" s="100"/>
      <c r="X1594" s="100">
        <v>90160312</v>
      </c>
      <c r="Y1594" s="100" t="s">
        <v>115</v>
      </c>
      <c r="Z1594" s="100" t="s">
        <v>115</v>
      </c>
      <c r="AA1594" s="100" t="s">
        <v>115</v>
      </c>
      <c r="AB1594" s="100" t="s">
        <v>115</v>
      </c>
      <c r="AC1594" s="100" t="s">
        <v>115</v>
      </c>
      <c r="AD1594" s="100"/>
      <c r="AE1594" s="100"/>
      <c r="AF1594" s="100"/>
      <c r="AG1594" s="100"/>
      <c r="AH1594" s="100"/>
      <c r="AI1594" s="100" t="s">
        <v>115</v>
      </c>
      <c r="AJ1594" s="100"/>
      <c r="AK1594" s="100"/>
      <c r="AL1594" s="100"/>
      <c r="AM1594" s="100"/>
      <c r="AN1594" s="100"/>
      <c r="AO1594" s="100"/>
      <c r="AP1594" s="89" t="s">
        <v>115</v>
      </c>
    </row>
    <row r="1595" spans="1:42" s="89" customFormat="1" x14ac:dyDescent="0.15">
      <c r="A1595" s="100" t="s">
        <v>1</v>
      </c>
      <c r="B1595" s="101">
        <v>90160312</v>
      </c>
      <c r="C1595" s="101">
        <v>1603</v>
      </c>
      <c r="D1595" s="101">
        <v>16</v>
      </c>
      <c r="E1595" s="101"/>
      <c r="F1595" s="101" t="s">
        <v>116</v>
      </c>
      <c r="G1595" s="101">
        <v>312</v>
      </c>
      <c r="H1595" s="101" t="s">
        <v>3727</v>
      </c>
      <c r="I1595" s="101">
        <v>0</v>
      </c>
      <c r="J1595" s="100">
        <v>0</v>
      </c>
      <c r="K1595" s="100">
        <v>0</v>
      </c>
      <c r="L1595" s="100" t="s">
        <v>115</v>
      </c>
      <c r="M1595" s="102"/>
      <c r="N1595" s="100"/>
      <c r="O1595" s="100" t="s">
        <v>115</v>
      </c>
      <c r="P1595" s="101"/>
      <c r="Q1595" s="100">
        <v>111</v>
      </c>
      <c r="R1595" s="100" t="s">
        <v>115</v>
      </c>
      <c r="S1595" s="100"/>
      <c r="T1595" s="100"/>
      <c r="U1595" s="100"/>
      <c r="V1595" s="100"/>
      <c r="W1595" s="100"/>
      <c r="X1595" s="100">
        <v>90160313</v>
      </c>
      <c r="Y1595" s="100" t="s">
        <v>115</v>
      </c>
      <c r="Z1595" s="100" t="s">
        <v>115</v>
      </c>
      <c r="AA1595" s="100" t="s">
        <v>115</v>
      </c>
      <c r="AB1595" s="100" t="s">
        <v>115</v>
      </c>
      <c r="AC1595" s="100" t="s">
        <v>115</v>
      </c>
      <c r="AD1595" s="100"/>
      <c r="AE1595" s="100"/>
      <c r="AF1595" s="100"/>
      <c r="AG1595" s="100"/>
      <c r="AH1595" s="100"/>
      <c r="AI1595" s="100" t="s">
        <v>115</v>
      </c>
      <c r="AJ1595" s="100"/>
      <c r="AK1595" s="100"/>
      <c r="AL1595" s="100"/>
      <c r="AM1595" s="100"/>
      <c r="AN1595" s="100"/>
      <c r="AO1595" s="100"/>
      <c r="AP1595" s="89" t="s">
        <v>115</v>
      </c>
    </row>
    <row r="1596" spans="1:42" s="89" customFormat="1" x14ac:dyDescent="0.15">
      <c r="A1596" s="100" t="s">
        <v>1</v>
      </c>
      <c r="B1596" s="101">
        <v>90160313</v>
      </c>
      <c r="C1596" s="101">
        <v>1603</v>
      </c>
      <c r="D1596" s="101">
        <v>16</v>
      </c>
      <c r="E1596" s="101"/>
      <c r="F1596" s="101" t="s">
        <v>3728</v>
      </c>
      <c r="G1596" s="101" t="s">
        <v>115</v>
      </c>
      <c r="H1596" s="101" t="s">
        <v>3729</v>
      </c>
      <c r="I1596" s="101">
        <v>3</v>
      </c>
      <c r="J1596" s="100">
        <v>0</v>
      </c>
      <c r="K1596" s="100">
        <v>5</v>
      </c>
      <c r="L1596" s="100" t="s">
        <v>115</v>
      </c>
      <c r="M1596" s="102"/>
      <c r="N1596" s="100"/>
      <c r="O1596" s="100">
        <v>1</v>
      </c>
      <c r="P1596" s="101"/>
      <c r="Q1596" s="100">
        <v>111</v>
      </c>
      <c r="R1596" s="100">
        <v>133</v>
      </c>
      <c r="S1596" s="100"/>
      <c r="T1596" s="100"/>
      <c r="U1596" s="100"/>
      <c r="V1596" s="100"/>
      <c r="W1596" s="100"/>
      <c r="X1596" s="100" t="s">
        <v>115</v>
      </c>
      <c r="Y1596" s="100" t="s">
        <v>115</v>
      </c>
      <c r="Z1596" s="100">
        <v>4</v>
      </c>
      <c r="AA1596" s="100" t="s">
        <v>115</v>
      </c>
      <c r="AB1596" s="100" t="s">
        <v>115</v>
      </c>
      <c r="AC1596" s="100" t="s">
        <v>115</v>
      </c>
      <c r="AD1596" s="100"/>
      <c r="AE1596" s="100"/>
      <c r="AF1596" s="100"/>
      <c r="AG1596" s="100"/>
      <c r="AH1596" s="100"/>
      <c r="AI1596" s="100" t="s">
        <v>115</v>
      </c>
      <c r="AJ1596" s="100"/>
      <c r="AK1596" s="100"/>
      <c r="AL1596" s="100"/>
      <c r="AM1596" s="100"/>
      <c r="AN1596" s="100"/>
      <c r="AO1596" s="100"/>
      <c r="AP1596" s="89" t="s">
        <v>3730</v>
      </c>
    </row>
    <row r="1597" spans="1:42" s="89" customFormat="1" x14ac:dyDescent="0.15">
      <c r="A1597" s="100" t="s">
        <v>1</v>
      </c>
      <c r="B1597" s="101" t="s">
        <v>3452</v>
      </c>
      <c r="C1597" s="101">
        <v>1604</v>
      </c>
      <c r="D1597" s="101">
        <v>16</v>
      </c>
      <c r="E1597" s="101"/>
      <c r="F1597" s="101" t="s">
        <v>115</v>
      </c>
      <c r="G1597" s="101" t="s">
        <v>115</v>
      </c>
      <c r="H1597" s="101" t="s">
        <v>3731</v>
      </c>
      <c r="I1597" s="101">
        <v>4</v>
      </c>
      <c r="J1597" s="100">
        <v>1</v>
      </c>
      <c r="K1597" s="100">
        <v>1</v>
      </c>
      <c r="L1597" s="100" t="s">
        <v>115</v>
      </c>
      <c r="M1597" s="102"/>
      <c r="N1597" s="100"/>
      <c r="O1597" s="100" t="s">
        <v>115</v>
      </c>
      <c r="P1597" s="101"/>
      <c r="Q1597" s="100">
        <v>197</v>
      </c>
      <c r="R1597" s="100" t="s">
        <v>115</v>
      </c>
      <c r="S1597" s="100"/>
      <c r="T1597" s="100"/>
      <c r="U1597" s="100"/>
      <c r="V1597" s="100"/>
      <c r="W1597" s="100"/>
      <c r="X1597" s="100">
        <v>90160402</v>
      </c>
      <c r="Y1597" s="100" t="s">
        <v>115</v>
      </c>
      <c r="Z1597" s="100" t="s">
        <v>115</v>
      </c>
      <c r="AA1597" s="100" t="s">
        <v>115</v>
      </c>
      <c r="AB1597" s="100" t="s">
        <v>115</v>
      </c>
      <c r="AC1597" s="100" t="s">
        <v>115</v>
      </c>
      <c r="AD1597" s="100"/>
      <c r="AE1597" s="100"/>
      <c r="AF1597" s="100"/>
      <c r="AG1597" s="100"/>
      <c r="AH1597" s="100"/>
      <c r="AI1597" s="100" t="s">
        <v>115</v>
      </c>
      <c r="AJ1597" s="100"/>
      <c r="AK1597" s="100"/>
      <c r="AL1597" s="100"/>
      <c r="AM1597" s="100"/>
      <c r="AN1597" s="100"/>
      <c r="AO1597" s="100"/>
      <c r="AP1597" s="89" t="s">
        <v>115</v>
      </c>
    </row>
    <row r="1598" spans="1:42" s="89" customFormat="1" x14ac:dyDescent="0.15">
      <c r="A1598" s="100" t="s">
        <v>1</v>
      </c>
      <c r="B1598" s="101">
        <v>90160402</v>
      </c>
      <c r="C1598" s="101">
        <v>1604</v>
      </c>
      <c r="D1598" s="101">
        <v>16</v>
      </c>
      <c r="E1598" s="101"/>
      <c r="F1598" s="101" t="s">
        <v>115</v>
      </c>
      <c r="G1598" s="101" t="s">
        <v>115</v>
      </c>
      <c r="H1598" s="101" t="s">
        <v>3732</v>
      </c>
      <c r="I1598" s="101">
        <v>4</v>
      </c>
      <c r="J1598" s="100">
        <v>0</v>
      </c>
      <c r="K1598" s="100">
        <v>0</v>
      </c>
      <c r="L1598" s="100" t="s">
        <v>115</v>
      </c>
      <c r="M1598" s="102"/>
      <c r="N1598" s="100"/>
      <c r="O1598" s="100" t="s">
        <v>115</v>
      </c>
      <c r="P1598" s="101"/>
      <c r="Q1598" s="100">
        <v>197</v>
      </c>
      <c r="R1598" s="100" t="s">
        <v>115</v>
      </c>
      <c r="S1598" s="100"/>
      <c r="T1598" s="100"/>
      <c r="U1598" s="100"/>
      <c r="V1598" s="100"/>
      <c r="W1598" s="100"/>
      <c r="X1598" s="100">
        <v>90160403</v>
      </c>
      <c r="Y1598" s="100" t="s">
        <v>115</v>
      </c>
      <c r="Z1598" s="100" t="s">
        <v>115</v>
      </c>
      <c r="AA1598" s="100" t="s">
        <v>115</v>
      </c>
      <c r="AB1598" s="100" t="s">
        <v>115</v>
      </c>
      <c r="AC1598" s="100" t="s">
        <v>115</v>
      </c>
      <c r="AD1598" s="100"/>
      <c r="AE1598" s="100"/>
      <c r="AF1598" s="100"/>
      <c r="AG1598" s="100"/>
      <c r="AH1598" s="100"/>
      <c r="AI1598" s="100" t="s">
        <v>115</v>
      </c>
      <c r="AJ1598" s="100"/>
      <c r="AK1598" s="100"/>
      <c r="AL1598" s="100"/>
      <c r="AM1598" s="100"/>
      <c r="AN1598" s="100"/>
      <c r="AO1598" s="100"/>
      <c r="AP1598" s="89" t="s">
        <v>115</v>
      </c>
    </row>
    <row r="1599" spans="1:42" s="89" customFormat="1" x14ac:dyDescent="0.15">
      <c r="A1599" s="100" t="s">
        <v>1</v>
      </c>
      <c r="B1599" s="101">
        <v>90160403</v>
      </c>
      <c r="C1599" s="101">
        <v>1604</v>
      </c>
      <c r="D1599" s="101">
        <v>16</v>
      </c>
      <c r="E1599" s="101"/>
      <c r="F1599" s="101" t="s">
        <v>116</v>
      </c>
      <c r="G1599" s="101">
        <v>312</v>
      </c>
      <c r="H1599" s="101" t="s">
        <v>3733</v>
      </c>
      <c r="I1599" s="101">
        <v>0</v>
      </c>
      <c r="J1599" s="100">
        <v>0</v>
      </c>
      <c r="K1599" s="100">
        <v>0</v>
      </c>
      <c r="L1599" s="100" t="s">
        <v>115</v>
      </c>
      <c r="M1599" s="102"/>
      <c r="N1599" s="100"/>
      <c r="O1599" s="100" t="s">
        <v>115</v>
      </c>
      <c r="P1599" s="101"/>
      <c r="Q1599" s="100">
        <v>197</v>
      </c>
      <c r="R1599" s="100" t="s">
        <v>115</v>
      </c>
      <c r="S1599" s="100"/>
      <c r="T1599" s="100"/>
      <c r="U1599" s="100"/>
      <c r="V1599" s="100"/>
      <c r="W1599" s="100"/>
      <c r="X1599" s="100">
        <v>90160404</v>
      </c>
      <c r="Y1599" s="100" t="s">
        <v>115</v>
      </c>
      <c r="Z1599" s="100" t="s">
        <v>115</v>
      </c>
      <c r="AA1599" s="100" t="s">
        <v>115</v>
      </c>
      <c r="AB1599" s="100" t="s">
        <v>115</v>
      </c>
      <c r="AC1599" s="100" t="s">
        <v>115</v>
      </c>
      <c r="AD1599" s="100"/>
      <c r="AE1599" s="100"/>
      <c r="AF1599" s="100"/>
      <c r="AG1599" s="100"/>
      <c r="AH1599" s="100"/>
      <c r="AI1599" s="100" t="s">
        <v>115</v>
      </c>
      <c r="AJ1599" s="100"/>
      <c r="AK1599" s="100"/>
      <c r="AL1599" s="100"/>
      <c r="AM1599" s="100"/>
      <c r="AN1599" s="100"/>
      <c r="AO1599" s="100"/>
      <c r="AP1599" s="89" t="s">
        <v>115</v>
      </c>
    </row>
    <row r="1600" spans="1:42" s="89" customFormat="1" x14ac:dyDescent="0.15">
      <c r="A1600" s="100" t="s">
        <v>1</v>
      </c>
      <c r="B1600" s="101">
        <v>90160404</v>
      </c>
      <c r="C1600" s="101">
        <v>1604</v>
      </c>
      <c r="D1600" s="101">
        <v>16</v>
      </c>
      <c r="E1600" s="101"/>
      <c r="F1600" s="101" t="s">
        <v>3734</v>
      </c>
      <c r="G1600" s="101" t="s">
        <v>115</v>
      </c>
      <c r="H1600" s="101" t="s">
        <v>3735</v>
      </c>
      <c r="I1600" s="101">
        <v>3</v>
      </c>
      <c r="J1600" s="100">
        <v>0</v>
      </c>
      <c r="K1600" s="100">
        <v>0</v>
      </c>
      <c r="L1600" s="100" t="s">
        <v>115</v>
      </c>
      <c r="M1600" s="102"/>
      <c r="N1600" s="100"/>
      <c r="O1600" s="100" t="s">
        <v>115</v>
      </c>
      <c r="P1600" s="101"/>
      <c r="Q1600" s="100">
        <v>197</v>
      </c>
      <c r="R1600" s="100">
        <v>290</v>
      </c>
      <c r="S1600" s="100"/>
      <c r="T1600" s="100"/>
      <c r="U1600" s="100"/>
      <c r="V1600" s="100"/>
      <c r="W1600" s="100"/>
      <c r="X1600" s="100">
        <v>90160405</v>
      </c>
      <c r="Y1600" s="100" t="s">
        <v>115</v>
      </c>
      <c r="Z1600" s="100" t="s">
        <v>115</v>
      </c>
      <c r="AA1600" s="100" t="s">
        <v>115</v>
      </c>
      <c r="AB1600" s="100" t="s">
        <v>115</v>
      </c>
      <c r="AC1600" s="100" t="s">
        <v>115</v>
      </c>
      <c r="AD1600" s="100"/>
      <c r="AE1600" s="100"/>
      <c r="AF1600" s="100"/>
      <c r="AG1600" s="100"/>
      <c r="AH1600" s="100"/>
      <c r="AI1600" s="100" t="s">
        <v>115</v>
      </c>
      <c r="AJ1600" s="100"/>
      <c r="AK1600" s="100"/>
      <c r="AL1600" s="100"/>
      <c r="AM1600" s="100"/>
      <c r="AN1600" s="100"/>
      <c r="AO1600" s="100"/>
      <c r="AP1600" s="89" t="s">
        <v>115</v>
      </c>
    </row>
    <row r="1601" spans="1:42" s="89" customFormat="1" x14ac:dyDescent="0.15">
      <c r="A1601" s="100" t="s">
        <v>1</v>
      </c>
      <c r="B1601" s="101">
        <v>90160405</v>
      </c>
      <c r="C1601" s="101">
        <v>1604</v>
      </c>
      <c r="D1601" s="101">
        <v>16</v>
      </c>
      <c r="E1601" s="101"/>
      <c r="F1601" s="101" t="s">
        <v>116</v>
      </c>
      <c r="G1601" s="101">
        <v>313</v>
      </c>
      <c r="H1601" s="101" t="s">
        <v>3736</v>
      </c>
      <c r="I1601" s="101">
        <v>2</v>
      </c>
      <c r="J1601" s="100">
        <v>0</v>
      </c>
      <c r="K1601" s="100">
        <v>0</v>
      </c>
      <c r="L1601" s="100" t="s">
        <v>115</v>
      </c>
      <c r="M1601" s="102"/>
      <c r="N1601" s="100"/>
      <c r="O1601" s="100" t="s">
        <v>115</v>
      </c>
      <c r="P1601" s="101"/>
      <c r="Q1601" s="100">
        <v>197</v>
      </c>
      <c r="R1601" s="100">
        <v>290</v>
      </c>
      <c r="S1601" s="100"/>
      <c r="T1601" s="100"/>
      <c r="U1601" s="100"/>
      <c r="V1601" s="100"/>
      <c r="W1601" s="100"/>
      <c r="X1601" s="100">
        <v>90160406</v>
      </c>
      <c r="Y1601" s="100" t="s">
        <v>115</v>
      </c>
      <c r="Z1601" s="100" t="s">
        <v>115</v>
      </c>
      <c r="AA1601" s="100" t="s">
        <v>115</v>
      </c>
      <c r="AB1601" s="100" t="s">
        <v>115</v>
      </c>
      <c r="AC1601" s="100" t="s">
        <v>115</v>
      </c>
      <c r="AD1601" s="100"/>
      <c r="AE1601" s="100"/>
      <c r="AF1601" s="100"/>
      <c r="AG1601" s="100"/>
      <c r="AH1601" s="100"/>
      <c r="AI1601" s="100" t="s">
        <v>115</v>
      </c>
      <c r="AJ1601" s="100"/>
      <c r="AK1601" s="100"/>
      <c r="AL1601" s="100"/>
      <c r="AM1601" s="100"/>
      <c r="AN1601" s="100"/>
      <c r="AO1601" s="100"/>
      <c r="AP1601" s="89" t="s">
        <v>115</v>
      </c>
    </row>
    <row r="1602" spans="1:42" s="89" customFormat="1" x14ac:dyDescent="0.15">
      <c r="A1602" s="100" t="s">
        <v>1</v>
      </c>
      <c r="B1602" s="101">
        <v>90160406</v>
      </c>
      <c r="C1602" s="101">
        <v>1604</v>
      </c>
      <c r="D1602" s="101">
        <v>16</v>
      </c>
      <c r="E1602" s="101"/>
      <c r="F1602" s="101" t="s">
        <v>116</v>
      </c>
      <c r="G1602" s="101">
        <v>312</v>
      </c>
      <c r="H1602" s="101" t="s">
        <v>3737</v>
      </c>
      <c r="I1602" s="101">
        <v>0</v>
      </c>
      <c r="J1602" s="100">
        <v>0</v>
      </c>
      <c r="K1602" s="100">
        <v>0</v>
      </c>
      <c r="L1602" s="100" t="s">
        <v>115</v>
      </c>
      <c r="M1602" s="102"/>
      <c r="N1602" s="100"/>
      <c r="O1602" s="100" t="s">
        <v>115</v>
      </c>
      <c r="P1602" s="101"/>
      <c r="Q1602" s="100">
        <v>197</v>
      </c>
      <c r="R1602" s="100">
        <v>290</v>
      </c>
      <c r="S1602" s="100"/>
      <c r="T1602" s="100"/>
      <c r="U1602" s="100"/>
      <c r="V1602" s="100"/>
      <c r="W1602" s="100"/>
      <c r="X1602" s="100">
        <v>90160407</v>
      </c>
      <c r="Y1602" s="100" t="s">
        <v>115</v>
      </c>
      <c r="Z1602" s="100" t="s">
        <v>115</v>
      </c>
      <c r="AA1602" s="100" t="s">
        <v>115</v>
      </c>
      <c r="AB1602" s="100" t="s">
        <v>115</v>
      </c>
      <c r="AC1602" s="100" t="s">
        <v>115</v>
      </c>
      <c r="AD1602" s="100"/>
      <c r="AE1602" s="100"/>
      <c r="AF1602" s="100"/>
      <c r="AG1602" s="100"/>
      <c r="AH1602" s="100"/>
      <c r="AI1602" s="100" t="s">
        <v>115</v>
      </c>
      <c r="AJ1602" s="100"/>
      <c r="AK1602" s="100"/>
      <c r="AL1602" s="100"/>
      <c r="AM1602" s="100"/>
      <c r="AN1602" s="100"/>
      <c r="AO1602" s="100"/>
      <c r="AP1602" s="89" t="s">
        <v>115</v>
      </c>
    </row>
    <row r="1603" spans="1:42" s="89" customFormat="1" x14ac:dyDescent="0.15">
      <c r="A1603" s="100" t="s">
        <v>1</v>
      </c>
      <c r="B1603" s="101">
        <v>90160407</v>
      </c>
      <c r="C1603" s="101">
        <v>1604</v>
      </c>
      <c r="D1603" s="101">
        <v>16</v>
      </c>
      <c r="E1603" s="101"/>
      <c r="F1603" s="101" t="s">
        <v>3734</v>
      </c>
      <c r="G1603" s="101" t="s">
        <v>115</v>
      </c>
      <c r="H1603" s="101" t="s">
        <v>3738</v>
      </c>
      <c r="I1603" s="101">
        <v>3</v>
      </c>
      <c r="J1603" s="100">
        <v>0</v>
      </c>
      <c r="K1603" s="100">
        <v>0</v>
      </c>
      <c r="L1603" s="100" t="s">
        <v>115</v>
      </c>
      <c r="M1603" s="102"/>
      <c r="N1603" s="100"/>
      <c r="O1603" s="100" t="s">
        <v>115</v>
      </c>
      <c r="P1603" s="101"/>
      <c r="Q1603" s="100">
        <v>197</v>
      </c>
      <c r="R1603" s="100">
        <v>290</v>
      </c>
      <c r="S1603" s="100"/>
      <c r="T1603" s="100"/>
      <c r="U1603" s="100"/>
      <c r="V1603" s="100"/>
      <c r="W1603" s="100"/>
      <c r="X1603" s="100">
        <v>90160408</v>
      </c>
      <c r="Y1603" s="100" t="s">
        <v>115</v>
      </c>
      <c r="Z1603" s="100" t="s">
        <v>115</v>
      </c>
      <c r="AA1603" s="100" t="s">
        <v>115</v>
      </c>
      <c r="AB1603" s="100" t="s">
        <v>115</v>
      </c>
      <c r="AC1603" s="100" t="s">
        <v>115</v>
      </c>
      <c r="AD1603" s="100"/>
      <c r="AE1603" s="100"/>
      <c r="AF1603" s="100"/>
      <c r="AG1603" s="100"/>
      <c r="AH1603" s="100"/>
      <c r="AI1603" s="100" t="s">
        <v>115</v>
      </c>
      <c r="AJ1603" s="100"/>
      <c r="AK1603" s="100"/>
      <c r="AL1603" s="100"/>
      <c r="AM1603" s="100"/>
      <c r="AN1603" s="100"/>
      <c r="AO1603" s="100"/>
      <c r="AP1603" s="89" t="s">
        <v>115</v>
      </c>
    </row>
    <row r="1604" spans="1:42" s="89" customFormat="1" x14ac:dyDescent="0.15">
      <c r="A1604" s="100" t="s">
        <v>1</v>
      </c>
      <c r="B1604" s="101">
        <v>90160408</v>
      </c>
      <c r="C1604" s="101">
        <v>1604</v>
      </c>
      <c r="D1604" s="101">
        <v>16</v>
      </c>
      <c r="E1604" s="101"/>
      <c r="F1604" s="101" t="s">
        <v>116</v>
      </c>
      <c r="G1604" s="101">
        <v>312</v>
      </c>
      <c r="H1604" s="101" t="s">
        <v>3739</v>
      </c>
      <c r="I1604" s="101">
        <v>0</v>
      </c>
      <c r="J1604" s="100">
        <v>0</v>
      </c>
      <c r="K1604" s="100">
        <v>0</v>
      </c>
      <c r="L1604" s="100" t="s">
        <v>115</v>
      </c>
      <c r="M1604" s="102"/>
      <c r="N1604" s="100"/>
      <c r="O1604" s="100" t="s">
        <v>115</v>
      </c>
      <c r="P1604" s="101"/>
      <c r="Q1604" s="100">
        <v>197</v>
      </c>
      <c r="R1604" s="100">
        <v>290</v>
      </c>
      <c r="S1604" s="100"/>
      <c r="T1604" s="100"/>
      <c r="U1604" s="100"/>
      <c r="V1604" s="100"/>
      <c r="W1604" s="100"/>
      <c r="X1604" s="100">
        <v>90160409</v>
      </c>
      <c r="Y1604" s="100" t="s">
        <v>115</v>
      </c>
      <c r="Z1604" s="100" t="s">
        <v>115</v>
      </c>
      <c r="AA1604" s="100" t="s">
        <v>115</v>
      </c>
      <c r="AB1604" s="100" t="s">
        <v>115</v>
      </c>
      <c r="AC1604" s="100" t="s">
        <v>115</v>
      </c>
      <c r="AD1604" s="100"/>
      <c r="AE1604" s="100"/>
      <c r="AF1604" s="100"/>
      <c r="AG1604" s="100"/>
      <c r="AH1604" s="100"/>
      <c r="AI1604" s="100" t="s">
        <v>115</v>
      </c>
      <c r="AJ1604" s="100"/>
      <c r="AK1604" s="100"/>
      <c r="AL1604" s="100"/>
      <c r="AM1604" s="100"/>
      <c r="AN1604" s="100"/>
      <c r="AO1604" s="100"/>
      <c r="AP1604" s="89" t="s">
        <v>115</v>
      </c>
    </row>
    <row r="1605" spans="1:42" s="89" customFormat="1" x14ac:dyDescent="0.15">
      <c r="A1605" s="100" t="s">
        <v>1</v>
      </c>
      <c r="B1605" s="101">
        <v>90160409</v>
      </c>
      <c r="C1605" s="101">
        <v>1604</v>
      </c>
      <c r="D1605" s="101">
        <v>16</v>
      </c>
      <c r="E1605" s="101"/>
      <c r="F1605" s="101" t="s">
        <v>3734</v>
      </c>
      <c r="G1605" s="101" t="s">
        <v>115</v>
      </c>
      <c r="H1605" s="101" t="s">
        <v>3740</v>
      </c>
      <c r="I1605" s="101">
        <v>3</v>
      </c>
      <c r="J1605" s="100">
        <v>0</v>
      </c>
      <c r="K1605" s="100">
        <v>0</v>
      </c>
      <c r="L1605" s="100" t="s">
        <v>115</v>
      </c>
      <c r="M1605" s="102"/>
      <c r="N1605" s="100"/>
      <c r="O1605" s="100" t="s">
        <v>115</v>
      </c>
      <c r="P1605" s="101"/>
      <c r="Q1605" s="100">
        <v>197</v>
      </c>
      <c r="R1605" s="100">
        <v>290</v>
      </c>
      <c r="S1605" s="100"/>
      <c r="T1605" s="100"/>
      <c r="U1605" s="100"/>
      <c r="V1605" s="100"/>
      <c r="W1605" s="100"/>
      <c r="X1605" s="100">
        <v>90160410</v>
      </c>
      <c r="Y1605" s="100" t="s">
        <v>115</v>
      </c>
      <c r="Z1605" s="100" t="s">
        <v>115</v>
      </c>
      <c r="AA1605" s="100" t="s">
        <v>115</v>
      </c>
      <c r="AB1605" s="100" t="s">
        <v>115</v>
      </c>
      <c r="AC1605" s="100" t="s">
        <v>115</v>
      </c>
      <c r="AD1605" s="100"/>
      <c r="AE1605" s="100"/>
      <c r="AF1605" s="100"/>
      <c r="AG1605" s="100"/>
      <c r="AH1605" s="100"/>
      <c r="AI1605" s="100" t="s">
        <v>115</v>
      </c>
      <c r="AJ1605" s="100"/>
      <c r="AK1605" s="100"/>
      <c r="AL1605" s="100"/>
      <c r="AM1605" s="100"/>
      <c r="AN1605" s="100"/>
      <c r="AO1605" s="100"/>
      <c r="AP1605" s="89" t="s">
        <v>115</v>
      </c>
    </row>
    <row r="1606" spans="1:42" s="89" customFormat="1" x14ac:dyDescent="0.15">
      <c r="A1606" s="100" t="s">
        <v>1</v>
      </c>
      <c r="B1606" s="101">
        <v>90160410</v>
      </c>
      <c r="C1606" s="101">
        <v>1604</v>
      </c>
      <c r="D1606" s="101">
        <v>16</v>
      </c>
      <c r="E1606" s="101"/>
      <c r="F1606" s="101" t="s">
        <v>115</v>
      </c>
      <c r="G1606" s="101" t="s">
        <v>115</v>
      </c>
      <c r="H1606" s="101" t="s">
        <v>3741</v>
      </c>
      <c r="I1606" s="101">
        <v>4</v>
      </c>
      <c r="J1606" s="100">
        <v>0</v>
      </c>
      <c r="K1606" s="100">
        <v>2</v>
      </c>
      <c r="L1606" s="100" t="s">
        <v>115</v>
      </c>
      <c r="M1606" s="102"/>
      <c r="N1606" s="100"/>
      <c r="O1606" s="100" t="s">
        <v>115</v>
      </c>
      <c r="P1606" s="101"/>
      <c r="Q1606" s="100">
        <v>197</v>
      </c>
      <c r="R1606" s="100">
        <v>290</v>
      </c>
      <c r="S1606" s="100"/>
      <c r="T1606" s="100"/>
      <c r="U1606" s="100"/>
      <c r="V1606" s="100"/>
      <c r="W1606" s="100"/>
      <c r="X1606" s="100" t="s">
        <v>3742</v>
      </c>
      <c r="Y1606" s="100">
        <v>1</v>
      </c>
      <c r="Z1606" s="100">
        <v>1</v>
      </c>
      <c r="AA1606" s="100" t="s">
        <v>115</v>
      </c>
      <c r="AB1606" s="100" t="s">
        <v>115</v>
      </c>
      <c r="AC1606" s="100" t="s">
        <v>115</v>
      </c>
      <c r="AD1606" s="100"/>
      <c r="AE1606" s="100"/>
      <c r="AF1606" s="100"/>
      <c r="AG1606" s="100"/>
      <c r="AH1606" s="100"/>
      <c r="AI1606" s="100" t="s">
        <v>115</v>
      </c>
      <c r="AJ1606" s="100"/>
      <c r="AK1606" s="100"/>
      <c r="AL1606" s="100"/>
      <c r="AM1606" s="100"/>
      <c r="AN1606" s="100"/>
      <c r="AO1606" s="100"/>
      <c r="AP1606" s="89" t="s">
        <v>115</v>
      </c>
    </row>
    <row r="1607" spans="1:42" s="89" customFormat="1" x14ac:dyDescent="0.15">
      <c r="A1607" s="100" t="s">
        <v>1</v>
      </c>
      <c r="B1607" s="101">
        <v>90160411</v>
      </c>
      <c r="C1607" s="101">
        <v>1604</v>
      </c>
      <c r="D1607" s="101">
        <v>16</v>
      </c>
      <c r="E1607" s="101"/>
      <c r="F1607" s="101" t="s">
        <v>115</v>
      </c>
      <c r="G1607" s="101" t="s">
        <v>115</v>
      </c>
      <c r="H1607" s="101" t="s">
        <v>3743</v>
      </c>
      <c r="I1607" s="101">
        <v>4</v>
      </c>
      <c r="J1607" s="100">
        <v>0</v>
      </c>
      <c r="K1607" s="100">
        <v>3</v>
      </c>
      <c r="L1607" s="100" t="s">
        <v>115</v>
      </c>
      <c r="M1607" s="102"/>
      <c r="N1607" s="100"/>
      <c r="O1607" s="100" t="s">
        <v>115</v>
      </c>
      <c r="P1607" s="101"/>
      <c r="Q1607" s="100">
        <v>197</v>
      </c>
      <c r="R1607" s="100">
        <v>290</v>
      </c>
      <c r="S1607" s="100"/>
      <c r="T1607" s="100"/>
      <c r="U1607" s="100"/>
      <c r="V1607" s="100"/>
      <c r="W1607" s="100"/>
      <c r="X1607" s="100">
        <v>90160412</v>
      </c>
      <c r="Y1607" s="100">
        <v>-1</v>
      </c>
      <c r="Z1607" s="100">
        <v>2</v>
      </c>
      <c r="AA1607" s="100" t="s">
        <v>115</v>
      </c>
      <c r="AB1607" s="100" t="s">
        <v>115</v>
      </c>
      <c r="AC1607" s="100" t="s">
        <v>3744</v>
      </c>
      <c r="AD1607" s="100"/>
      <c r="AE1607" s="100"/>
      <c r="AF1607" s="100"/>
      <c r="AG1607" s="100"/>
      <c r="AH1607" s="100"/>
      <c r="AI1607" s="100" t="s">
        <v>115</v>
      </c>
      <c r="AJ1607" s="100"/>
      <c r="AK1607" s="100"/>
      <c r="AL1607" s="100"/>
      <c r="AM1607" s="100"/>
      <c r="AN1607" s="100"/>
      <c r="AO1607" s="100"/>
      <c r="AP1607" s="89" t="s">
        <v>115</v>
      </c>
    </row>
    <row r="1608" spans="1:42" s="89" customFormat="1" x14ac:dyDescent="0.15">
      <c r="A1608" s="100" t="s">
        <v>1</v>
      </c>
      <c r="B1608" s="101">
        <v>90160412</v>
      </c>
      <c r="C1608" s="101">
        <v>1604</v>
      </c>
      <c r="D1608" s="101">
        <v>16</v>
      </c>
      <c r="E1608" s="101"/>
      <c r="F1608" s="101" t="s">
        <v>116</v>
      </c>
      <c r="G1608" s="101">
        <v>312</v>
      </c>
      <c r="H1608" s="101" t="s">
        <v>3745</v>
      </c>
      <c r="I1608" s="101">
        <v>0</v>
      </c>
      <c r="J1608" s="100">
        <v>0</v>
      </c>
      <c r="K1608" s="100">
        <v>0</v>
      </c>
      <c r="L1608" s="100" t="s">
        <v>115</v>
      </c>
      <c r="M1608" s="102"/>
      <c r="N1608" s="100"/>
      <c r="O1608" s="100" t="s">
        <v>115</v>
      </c>
      <c r="P1608" s="101"/>
      <c r="Q1608" s="100">
        <v>197</v>
      </c>
      <c r="R1608" s="100" t="s">
        <v>115</v>
      </c>
      <c r="S1608" s="100"/>
      <c r="T1608" s="100"/>
      <c r="U1608" s="100"/>
      <c r="V1608" s="100"/>
      <c r="W1608" s="100"/>
      <c r="X1608" s="100">
        <v>90160413</v>
      </c>
      <c r="Y1608" s="100" t="s">
        <v>115</v>
      </c>
      <c r="Z1608" s="100" t="s">
        <v>115</v>
      </c>
      <c r="AA1608" s="100" t="s">
        <v>115</v>
      </c>
      <c r="AB1608" s="100" t="s">
        <v>115</v>
      </c>
      <c r="AC1608" s="100" t="s">
        <v>115</v>
      </c>
      <c r="AD1608" s="100"/>
      <c r="AE1608" s="100"/>
      <c r="AF1608" s="100"/>
      <c r="AG1608" s="100"/>
      <c r="AH1608" s="100"/>
      <c r="AI1608" s="100" t="s">
        <v>115</v>
      </c>
      <c r="AJ1608" s="100"/>
      <c r="AK1608" s="100"/>
      <c r="AL1608" s="100"/>
      <c r="AM1608" s="100"/>
      <c r="AN1608" s="100"/>
      <c r="AO1608" s="100"/>
      <c r="AP1608" s="89" t="s">
        <v>115</v>
      </c>
    </row>
    <row r="1609" spans="1:42" s="89" customFormat="1" x14ac:dyDescent="0.15">
      <c r="A1609" s="100" t="s">
        <v>1</v>
      </c>
      <c r="B1609" s="101">
        <v>90160413</v>
      </c>
      <c r="C1609" s="101">
        <v>1604</v>
      </c>
      <c r="D1609" s="101">
        <v>16</v>
      </c>
      <c r="E1609" s="101"/>
      <c r="F1609" s="101" t="s">
        <v>115</v>
      </c>
      <c r="G1609" s="101" t="s">
        <v>115</v>
      </c>
      <c r="H1609" s="101" t="s">
        <v>3746</v>
      </c>
      <c r="I1609" s="101">
        <v>4</v>
      </c>
      <c r="J1609" s="100">
        <v>0</v>
      </c>
      <c r="K1609" s="100">
        <v>0</v>
      </c>
      <c r="L1609" s="100" t="s">
        <v>115</v>
      </c>
      <c r="M1609" s="102"/>
      <c r="N1609" s="100"/>
      <c r="O1609" s="100" t="s">
        <v>115</v>
      </c>
      <c r="P1609" s="101"/>
      <c r="Q1609" s="100">
        <v>197</v>
      </c>
      <c r="R1609" s="100">
        <v>63</v>
      </c>
      <c r="S1609" s="100"/>
      <c r="T1609" s="100"/>
      <c r="U1609" s="100"/>
      <c r="V1609" s="100"/>
      <c r="W1609" s="100"/>
      <c r="X1609" s="100">
        <v>90160414</v>
      </c>
      <c r="Y1609" s="100" t="s">
        <v>115</v>
      </c>
      <c r="Z1609" s="100" t="s">
        <v>115</v>
      </c>
      <c r="AA1609" s="100" t="s">
        <v>115</v>
      </c>
      <c r="AB1609" s="100" t="s">
        <v>115</v>
      </c>
      <c r="AC1609" s="100" t="s">
        <v>115</v>
      </c>
      <c r="AD1609" s="100"/>
      <c r="AE1609" s="100"/>
      <c r="AF1609" s="100"/>
      <c r="AG1609" s="100"/>
      <c r="AH1609" s="100"/>
      <c r="AI1609" s="100" t="s">
        <v>115</v>
      </c>
      <c r="AJ1609" s="100"/>
      <c r="AK1609" s="100"/>
      <c r="AL1609" s="100"/>
      <c r="AM1609" s="100"/>
      <c r="AN1609" s="100"/>
      <c r="AO1609" s="100"/>
      <c r="AP1609" s="89" t="s">
        <v>115</v>
      </c>
    </row>
    <row r="1610" spans="1:42" s="89" customFormat="1" x14ac:dyDescent="0.15">
      <c r="A1610" s="100" t="s">
        <v>1</v>
      </c>
      <c r="B1610" s="101">
        <v>90160414</v>
      </c>
      <c r="C1610" s="101">
        <v>1604</v>
      </c>
      <c r="D1610" s="101">
        <v>16</v>
      </c>
      <c r="E1610" s="101"/>
      <c r="F1610" s="101" t="s">
        <v>3734</v>
      </c>
      <c r="G1610" s="101" t="s">
        <v>115</v>
      </c>
      <c r="H1610" s="101" t="s">
        <v>3747</v>
      </c>
      <c r="I1610" s="101">
        <v>3</v>
      </c>
      <c r="J1610" s="100">
        <v>0</v>
      </c>
      <c r="K1610" s="100">
        <v>0</v>
      </c>
      <c r="L1610" s="100" t="s">
        <v>115</v>
      </c>
      <c r="M1610" s="102"/>
      <c r="N1610" s="100"/>
      <c r="O1610" s="100" t="s">
        <v>115</v>
      </c>
      <c r="P1610" s="101"/>
      <c r="Q1610" s="100">
        <v>197</v>
      </c>
      <c r="R1610" s="100">
        <v>290</v>
      </c>
      <c r="S1610" s="100"/>
      <c r="T1610" s="100"/>
      <c r="U1610" s="100"/>
      <c r="V1610" s="100"/>
      <c r="W1610" s="100"/>
      <c r="X1610" s="100">
        <v>90160415</v>
      </c>
      <c r="Y1610" s="100" t="s">
        <v>115</v>
      </c>
      <c r="Z1610" s="100" t="s">
        <v>115</v>
      </c>
      <c r="AA1610" s="100" t="s">
        <v>115</v>
      </c>
      <c r="AB1610" s="100" t="s">
        <v>115</v>
      </c>
      <c r="AC1610" s="100" t="s">
        <v>115</v>
      </c>
      <c r="AD1610" s="100"/>
      <c r="AE1610" s="100"/>
      <c r="AF1610" s="100"/>
      <c r="AG1610" s="100"/>
      <c r="AH1610" s="100"/>
      <c r="AI1610" s="100" t="s">
        <v>115</v>
      </c>
      <c r="AJ1610" s="100"/>
      <c r="AK1610" s="100"/>
      <c r="AL1610" s="100"/>
      <c r="AM1610" s="100"/>
      <c r="AN1610" s="100"/>
      <c r="AO1610" s="100"/>
      <c r="AP1610" s="89" t="s">
        <v>115</v>
      </c>
    </row>
    <row r="1611" spans="1:42" s="89" customFormat="1" x14ac:dyDescent="0.15">
      <c r="A1611" s="100" t="s">
        <v>1</v>
      </c>
      <c r="B1611" s="101">
        <v>90160415</v>
      </c>
      <c r="C1611" s="101">
        <v>1604</v>
      </c>
      <c r="D1611" s="101">
        <v>16</v>
      </c>
      <c r="E1611" s="101"/>
      <c r="F1611" s="101" t="s">
        <v>3734</v>
      </c>
      <c r="G1611" s="101" t="s">
        <v>115</v>
      </c>
      <c r="H1611" s="101" t="s">
        <v>3748</v>
      </c>
      <c r="I1611" s="101">
        <v>3</v>
      </c>
      <c r="J1611" s="100">
        <v>0</v>
      </c>
      <c r="K1611" s="100">
        <v>0</v>
      </c>
      <c r="L1611" s="100" t="s">
        <v>115</v>
      </c>
      <c r="M1611" s="102"/>
      <c r="N1611" s="100"/>
      <c r="O1611" s="100" t="s">
        <v>115</v>
      </c>
      <c r="P1611" s="101"/>
      <c r="Q1611" s="100">
        <v>197</v>
      </c>
      <c r="R1611" s="100">
        <v>290</v>
      </c>
      <c r="S1611" s="100"/>
      <c r="T1611" s="100"/>
      <c r="U1611" s="100"/>
      <c r="V1611" s="100"/>
      <c r="W1611" s="100"/>
      <c r="X1611" s="100">
        <v>90160416</v>
      </c>
      <c r="Y1611" s="100" t="s">
        <v>115</v>
      </c>
      <c r="Z1611" s="100" t="s">
        <v>115</v>
      </c>
      <c r="AA1611" s="100" t="s">
        <v>115</v>
      </c>
      <c r="AB1611" s="100" t="s">
        <v>115</v>
      </c>
      <c r="AC1611" s="100" t="s">
        <v>115</v>
      </c>
      <c r="AD1611" s="100"/>
      <c r="AE1611" s="100"/>
      <c r="AF1611" s="100"/>
      <c r="AG1611" s="100"/>
      <c r="AH1611" s="100"/>
      <c r="AI1611" s="100" t="s">
        <v>115</v>
      </c>
      <c r="AJ1611" s="100"/>
      <c r="AK1611" s="100"/>
      <c r="AL1611" s="100"/>
      <c r="AM1611" s="100"/>
      <c r="AN1611" s="100"/>
      <c r="AO1611" s="100"/>
      <c r="AP1611" s="89" t="s">
        <v>115</v>
      </c>
    </row>
    <row r="1612" spans="1:42" s="89" customFormat="1" x14ac:dyDescent="0.15">
      <c r="A1612" s="100" t="s">
        <v>1</v>
      </c>
      <c r="B1612" s="101">
        <v>90160416</v>
      </c>
      <c r="C1612" s="101">
        <v>1604</v>
      </c>
      <c r="D1612" s="101">
        <v>16</v>
      </c>
      <c r="E1612" s="101"/>
      <c r="F1612" s="101" t="s">
        <v>3734</v>
      </c>
      <c r="G1612" s="101" t="s">
        <v>115</v>
      </c>
      <c r="H1612" s="101" t="s">
        <v>3749</v>
      </c>
      <c r="I1612" s="101">
        <v>3</v>
      </c>
      <c r="J1612" s="100">
        <v>0</v>
      </c>
      <c r="K1612" s="100">
        <v>0</v>
      </c>
      <c r="L1612" s="100" t="s">
        <v>115</v>
      </c>
      <c r="M1612" s="102"/>
      <c r="N1612" s="100"/>
      <c r="O1612" s="100" t="s">
        <v>115</v>
      </c>
      <c r="P1612" s="101"/>
      <c r="Q1612" s="100">
        <v>197</v>
      </c>
      <c r="R1612" s="100">
        <v>290</v>
      </c>
      <c r="S1612" s="100"/>
      <c r="T1612" s="100"/>
      <c r="U1612" s="100"/>
      <c r="V1612" s="100"/>
      <c r="W1612" s="100"/>
      <c r="X1612" s="100">
        <v>90160417</v>
      </c>
      <c r="Y1612" s="100" t="s">
        <v>115</v>
      </c>
      <c r="Z1612" s="100" t="s">
        <v>115</v>
      </c>
      <c r="AA1612" s="100" t="s">
        <v>115</v>
      </c>
      <c r="AB1612" s="100" t="s">
        <v>115</v>
      </c>
      <c r="AC1612" s="100" t="s">
        <v>115</v>
      </c>
      <c r="AD1612" s="100"/>
      <c r="AE1612" s="100"/>
      <c r="AF1612" s="100"/>
      <c r="AG1612" s="100"/>
      <c r="AH1612" s="100"/>
      <c r="AI1612" s="100" t="s">
        <v>115</v>
      </c>
      <c r="AJ1612" s="100"/>
      <c r="AK1612" s="100"/>
      <c r="AL1612" s="100"/>
      <c r="AM1612" s="100"/>
      <c r="AN1612" s="100"/>
      <c r="AO1612" s="100"/>
      <c r="AP1612" s="89" t="s">
        <v>115</v>
      </c>
    </row>
    <row r="1613" spans="1:42" s="89" customFormat="1" x14ac:dyDescent="0.15">
      <c r="A1613" s="100" t="s">
        <v>1</v>
      </c>
      <c r="B1613" s="101">
        <v>90160417</v>
      </c>
      <c r="C1613" s="101">
        <v>1604</v>
      </c>
      <c r="D1613" s="101">
        <v>16</v>
      </c>
      <c r="E1613" s="101"/>
      <c r="F1613" s="101" t="s">
        <v>116</v>
      </c>
      <c r="G1613" s="101">
        <v>312</v>
      </c>
      <c r="H1613" s="101" t="s">
        <v>3750</v>
      </c>
      <c r="I1613" s="101">
        <v>0</v>
      </c>
      <c r="J1613" s="100">
        <v>0</v>
      </c>
      <c r="K1613" s="100">
        <v>4</v>
      </c>
      <c r="L1613" s="100" t="s">
        <v>115</v>
      </c>
      <c r="M1613" s="102"/>
      <c r="N1613" s="100"/>
      <c r="O1613" s="100">
        <v>1</v>
      </c>
      <c r="P1613" s="101"/>
      <c r="Q1613" s="100">
        <v>197</v>
      </c>
      <c r="R1613" s="100">
        <v>290</v>
      </c>
      <c r="S1613" s="100"/>
      <c r="T1613" s="100"/>
      <c r="U1613" s="100"/>
      <c r="V1613" s="100"/>
      <c r="W1613" s="100"/>
      <c r="X1613" s="100" t="s">
        <v>115</v>
      </c>
      <c r="Y1613" s="100" t="s">
        <v>115</v>
      </c>
      <c r="Z1613" s="100">
        <v>3</v>
      </c>
      <c r="AA1613" s="100" t="s">
        <v>115</v>
      </c>
      <c r="AB1613" s="100" t="s">
        <v>115</v>
      </c>
      <c r="AC1613" s="100" t="s">
        <v>115</v>
      </c>
      <c r="AD1613" s="100"/>
      <c r="AE1613" s="100"/>
      <c r="AF1613" s="100"/>
      <c r="AG1613" s="100"/>
      <c r="AH1613" s="100"/>
      <c r="AI1613" s="100" t="s">
        <v>115</v>
      </c>
      <c r="AJ1613" s="100"/>
      <c r="AK1613" s="100"/>
      <c r="AL1613" s="100"/>
      <c r="AM1613" s="100"/>
      <c r="AN1613" s="100"/>
      <c r="AO1613" s="100"/>
      <c r="AP1613" s="89" t="s">
        <v>3751</v>
      </c>
    </row>
    <row r="1614" spans="1:42" s="89" customFormat="1" x14ac:dyDescent="0.15">
      <c r="A1614" s="100" t="s">
        <v>1</v>
      </c>
      <c r="B1614" s="101" t="s">
        <v>3454</v>
      </c>
      <c r="C1614" s="101">
        <v>1605</v>
      </c>
      <c r="D1614" s="101">
        <v>16</v>
      </c>
      <c r="E1614" s="101"/>
      <c r="F1614" s="101" t="s">
        <v>115</v>
      </c>
      <c r="G1614" s="101" t="s">
        <v>115</v>
      </c>
      <c r="H1614" s="101" t="s">
        <v>3752</v>
      </c>
      <c r="I1614" s="101">
        <v>4</v>
      </c>
      <c r="J1614" s="100">
        <v>1</v>
      </c>
      <c r="K1614" s="100">
        <v>1</v>
      </c>
      <c r="L1614" s="100" t="s">
        <v>115</v>
      </c>
      <c r="M1614" s="102"/>
      <c r="N1614" s="100"/>
      <c r="O1614" s="100" t="s">
        <v>115</v>
      </c>
      <c r="P1614" s="101"/>
      <c r="Q1614" s="100">
        <v>198</v>
      </c>
      <c r="R1614" s="100" t="s">
        <v>115</v>
      </c>
      <c r="S1614" s="100"/>
      <c r="T1614" s="100"/>
      <c r="U1614" s="100"/>
      <c r="V1614" s="100"/>
      <c r="W1614" s="100"/>
      <c r="X1614" s="100">
        <v>90160502</v>
      </c>
      <c r="Y1614" s="100" t="s">
        <v>115</v>
      </c>
      <c r="Z1614" s="100" t="s">
        <v>115</v>
      </c>
      <c r="AA1614" s="100" t="s">
        <v>115</v>
      </c>
      <c r="AB1614" s="100" t="s">
        <v>115</v>
      </c>
      <c r="AC1614" s="100" t="s">
        <v>115</v>
      </c>
      <c r="AD1614" s="100"/>
      <c r="AE1614" s="100"/>
      <c r="AF1614" s="100"/>
      <c r="AG1614" s="100"/>
      <c r="AH1614" s="100"/>
      <c r="AI1614" s="100" t="s">
        <v>115</v>
      </c>
      <c r="AJ1614" s="100"/>
      <c r="AK1614" s="100"/>
      <c r="AL1614" s="100"/>
      <c r="AM1614" s="100"/>
      <c r="AN1614" s="100"/>
      <c r="AO1614" s="100"/>
      <c r="AP1614" s="89" t="s">
        <v>115</v>
      </c>
    </row>
    <row r="1615" spans="1:42" s="89" customFormat="1" x14ac:dyDescent="0.15">
      <c r="A1615" s="100" t="s">
        <v>1</v>
      </c>
      <c r="B1615" s="101">
        <v>90160502</v>
      </c>
      <c r="C1615" s="101">
        <v>1605</v>
      </c>
      <c r="D1615" s="101">
        <v>16</v>
      </c>
      <c r="E1615" s="101"/>
      <c r="F1615" s="101" t="s">
        <v>115</v>
      </c>
      <c r="G1615" s="101" t="s">
        <v>115</v>
      </c>
      <c r="H1615" s="101" t="s">
        <v>3753</v>
      </c>
      <c r="I1615" s="101">
        <v>4</v>
      </c>
      <c r="J1615" s="100">
        <v>0</v>
      </c>
      <c r="K1615" s="100">
        <v>0</v>
      </c>
      <c r="L1615" s="100" t="s">
        <v>115</v>
      </c>
      <c r="M1615" s="102"/>
      <c r="N1615" s="100"/>
      <c r="O1615" s="100" t="s">
        <v>115</v>
      </c>
      <c r="P1615" s="101"/>
      <c r="Q1615" s="100">
        <v>198</v>
      </c>
      <c r="R1615" s="100" t="s">
        <v>115</v>
      </c>
      <c r="S1615" s="100"/>
      <c r="T1615" s="100"/>
      <c r="U1615" s="100"/>
      <c r="V1615" s="100"/>
      <c r="W1615" s="100"/>
      <c r="X1615" s="100">
        <v>90160503</v>
      </c>
      <c r="Y1615" s="100" t="s">
        <v>115</v>
      </c>
      <c r="Z1615" s="100" t="s">
        <v>115</v>
      </c>
      <c r="AA1615" s="100" t="s">
        <v>115</v>
      </c>
      <c r="AB1615" s="100" t="s">
        <v>115</v>
      </c>
      <c r="AC1615" s="100" t="s">
        <v>115</v>
      </c>
      <c r="AD1615" s="100"/>
      <c r="AE1615" s="100"/>
      <c r="AF1615" s="100"/>
      <c r="AG1615" s="100"/>
      <c r="AH1615" s="100"/>
      <c r="AI1615" s="100" t="s">
        <v>115</v>
      </c>
      <c r="AJ1615" s="100"/>
      <c r="AK1615" s="100"/>
      <c r="AL1615" s="100"/>
      <c r="AM1615" s="100"/>
      <c r="AN1615" s="100"/>
      <c r="AO1615" s="100"/>
      <c r="AP1615" s="89" t="s">
        <v>115</v>
      </c>
    </row>
    <row r="1616" spans="1:42" s="89" customFormat="1" x14ac:dyDescent="0.15">
      <c r="A1616" s="100" t="s">
        <v>1</v>
      </c>
      <c r="B1616" s="101">
        <v>90160503</v>
      </c>
      <c r="C1616" s="101">
        <v>1605</v>
      </c>
      <c r="D1616" s="101">
        <v>16</v>
      </c>
      <c r="E1616" s="101"/>
      <c r="F1616" s="101" t="s">
        <v>116</v>
      </c>
      <c r="G1616" s="101">
        <v>312</v>
      </c>
      <c r="H1616" s="101" t="s">
        <v>3754</v>
      </c>
      <c r="I1616" s="101">
        <v>0</v>
      </c>
      <c r="J1616" s="100">
        <v>0</v>
      </c>
      <c r="K1616" s="100">
        <v>0</v>
      </c>
      <c r="L1616" s="100" t="s">
        <v>115</v>
      </c>
      <c r="M1616" s="102"/>
      <c r="N1616" s="100"/>
      <c r="O1616" s="100" t="s">
        <v>115</v>
      </c>
      <c r="P1616" s="101"/>
      <c r="Q1616" s="100">
        <v>144</v>
      </c>
      <c r="R1616" s="100" t="s">
        <v>115</v>
      </c>
      <c r="S1616" s="100"/>
      <c r="T1616" s="100"/>
      <c r="U1616" s="100"/>
      <c r="V1616" s="100"/>
      <c r="W1616" s="100"/>
      <c r="X1616" s="100">
        <v>90160504</v>
      </c>
      <c r="Y1616" s="100" t="s">
        <v>115</v>
      </c>
      <c r="Z1616" s="100" t="s">
        <v>115</v>
      </c>
      <c r="AA1616" s="100" t="s">
        <v>115</v>
      </c>
      <c r="AB1616" s="100" t="s">
        <v>115</v>
      </c>
      <c r="AC1616" s="100" t="s">
        <v>115</v>
      </c>
      <c r="AD1616" s="100"/>
      <c r="AE1616" s="100"/>
      <c r="AF1616" s="100"/>
      <c r="AG1616" s="100"/>
      <c r="AH1616" s="100"/>
      <c r="AI1616" s="100" t="s">
        <v>115</v>
      </c>
      <c r="AJ1616" s="100"/>
      <c r="AK1616" s="100"/>
      <c r="AL1616" s="100"/>
      <c r="AM1616" s="100"/>
      <c r="AN1616" s="100"/>
      <c r="AO1616" s="100"/>
      <c r="AP1616" s="89" t="s">
        <v>115</v>
      </c>
    </row>
    <row r="1617" spans="1:42" s="89" customFormat="1" x14ac:dyDescent="0.15">
      <c r="A1617" s="100" t="s">
        <v>1</v>
      </c>
      <c r="B1617" s="101">
        <v>90160504</v>
      </c>
      <c r="C1617" s="101">
        <v>1605</v>
      </c>
      <c r="D1617" s="101">
        <v>16</v>
      </c>
      <c r="E1617" s="101"/>
      <c r="F1617" s="101" t="s">
        <v>3755</v>
      </c>
      <c r="G1617" s="101" t="s">
        <v>115</v>
      </c>
      <c r="H1617" s="101" t="s">
        <v>3756</v>
      </c>
      <c r="I1617" s="101">
        <v>3</v>
      </c>
      <c r="J1617" s="100">
        <v>0</v>
      </c>
      <c r="K1617" s="100">
        <v>0</v>
      </c>
      <c r="L1617" s="100" t="s">
        <v>115</v>
      </c>
      <c r="M1617" s="102"/>
      <c r="N1617" s="100"/>
      <c r="O1617" s="100" t="s">
        <v>115</v>
      </c>
      <c r="P1617" s="101"/>
      <c r="Q1617" s="100">
        <v>144</v>
      </c>
      <c r="R1617" s="100">
        <v>306</v>
      </c>
      <c r="S1617" s="100"/>
      <c r="T1617" s="100"/>
      <c r="U1617" s="100"/>
      <c r="V1617" s="100"/>
      <c r="W1617" s="100"/>
      <c r="X1617" s="100">
        <v>90160505</v>
      </c>
      <c r="Y1617" s="100" t="s">
        <v>115</v>
      </c>
      <c r="Z1617" s="100" t="s">
        <v>115</v>
      </c>
      <c r="AA1617" s="100" t="s">
        <v>115</v>
      </c>
      <c r="AB1617" s="100" t="s">
        <v>115</v>
      </c>
      <c r="AC1617" s="100" t="s">
        <v>115</v>
      </c>
      <c r="AD1617" s="100"/>
      <c r="AE1617" s="100"/>
      <c r="AF1617" s="100"/>
      <c r="AG1617" s="100"/>
      <c r="AH1617" s="100"/>
      <c r="AI1617" s="100" t="s">
        <v>115</v>
      </c>
      <c r="AJ1617" s="100"/>
      <c r="AK1617" s="100"/>
      <c r="AL1617" s="100"/>
      <c r="AM1617" s="100"/>
      <c r="AN1617" s="100"/>
      <c r="AO1617" s="100"/>
      <c r="AP1617" s="89" t="s">
        <v>115</v>
      </c>
    </row>
    <row r="1618" spans="1:42" s="89" customFormat="1" x14ac:dyDescent="0.15">
      <c r="A1618" s="100" t="s">
        <v>1</v>
      </c>
      <c r="B1618" s="101">
        <v>90160505</v>
      </c>
      <c r="C1618" s="101">
        <v>1605</v>
      </c>
      <c r="D1618" s="101">
        <v>16</v>
      </c>
      <c r="E1618" s="101"/>
      <c r="F1618" s="101" t="s">
        <v>116</v>
      </c>
      <c r="G1618" s="101">
        <v>314</v>
      </c>
      <c r="H1618" s="101" t="s">
        <v>3757</v>
      </c>
      <c r="I1618" s="101">
        <v>0</v>
      </c>
      <c r="J1618" s="100">
        <v>0</v>
      </c>
      <c r="K1618" s="100">
        <v>0</v>
      </c>
      <c r="L1618" s="100" t="s">
        <v>115</v>
      </c>
      <c r="M1618" s="102"/>
      <c r="N1618" s="100"/>
      <c r="O1618" s="100" t="s">
        <v>115</v>
      </c>
      <c r="P1618" s="101"/>
      <c r="Q1618" s="100">
        <v>144</v>
      </c>
      <c r="R1618" s="100">
        <v>306</v>
      </c>
      <c r="S1618" s="100"/>
      <c r="T1618" s="100"/>
      <c r="U1618" s="100"/>
      <c r="V1618" s="100"/>
      <c r="W1618" s="100"/>
      <c r="X1618" s="100">
        <v>90160506</v>
      </c>
      <c r="Y1618" s="100" t="s">
        <v>115</v>
      </c>
      <c r="Z1618" s="100" t="s">
        <v>115</v>
      </c>
      <c r="AA1618" s="100" t="s">
        <v>115</v>
      </c>
      <c r="AB1618" s="100" t="s">
        <v>115</v>
      </c>
      <c r="AC1618" s="100" t="s">
        <v>115</v>
      </c>
      <c r="AD1618" s="100"/>
      <c r="AE1618" s="100"/>
      <c r="AF1618" s="100"/>
      <c r="AG1618" s="100"/>
      <c r="AH1618" s="100"/>
      <c r="AI1618" s="100" t="s">
        <v>115</v>
      </c>
      <c r="AJ1618" s="100"/>
      <c r="AK1618" s="100"/>
      <c r="AL1618" s="100"/>
      <c r="AM1618" s="100"/>
      <c r="AN1618" s="100"/>
      <c r="AO1618" s="100"/>
      <c r="AP1618" s="89" t="s">
        <v>115</v>
      </c>
    </row>
    <row r="1619" spans="1:42" s="89" customFormat="1" x14ac:dyDescent="0.15">
      <c r="A1619" s="100" t="s">
        <v>1</v>
      </c>
      <c r="B1619" s="101">
        <v>90160506</v>
      </c>
      <c r="C1619" s="101">
        <v>1605</v>
      </c>
      <c r="D1619" s="101">
        <v>16</v>
      </c>
      <c r="E1619" s="101"/>
      <c r="F1619" s="101" t="s">
        <v>3755</v>
      </c>
      <c r="G1619" s="101" t="s">
        <v>115</v>
      </c>
      <c r="H1619" s="101" t="s">
        <v>3758</v>
      </c>
      <c r="I1619" s="101">
        <v>3</v>
      </c>
      <c r="J1619" s="100">
        <v>0</v>
      </c>
      <c r="K1619" s="100">
        <v>0</v>
      </c>
      <c r="L1619" s="100" t="s">
        <v>115</v>
      </c>
      <c r="M1619" s="102"/>
      <c r="N1619" s="100"/>
      <c r="O1619" s="100" t="s">
        <v>115</v>
      </c>
      <c r="P1619" s="101"/>
      <c r="Q1619" s="100">
        <v>144</v>
      </c>
      <c r="R1619" s="100">
        <v>306</v>
      </c>
      <c r="S1619" s="100"/>
      <c r="T1619" s="100"/>
      <c r="U1619" s="100"/>
      <c r="V1619" s="100"/>
      <c r="W1619" s="100"/>
      <c r="X1619" s="100">
        <v>90160507</v>
      </c>
      <c r="Y1619" s="100" t="s">
        <v>115</v>
      </c>
      <c r="Z1619" s="100" t="s">
        <v>115</v>
      </c>
      <c r="AA1619" s="100" t="s">
        <v>115</v>
      </c>
      <c r="AB1619" s="100" t="s">
        <v>115</v>
      </c>
      <c r="AC1619" s="100" t="s">
        <v>115</v>
      </c>
      <c r="AD1619" s="100"/>
      <c r="AE1619" s="100"/>
      <c r="AF1619" s="100"/>
      <c r="AG1619" s="100"/>
      <c r="AH1619" s="100"/>
      <c r="AI1619" s="100" t="s">
        <v>115</v>
      </c>
      <c r="AJ1619" s="100"/>
      <c r="AK1619" s="100"/>
      <c r="AL1619" s="100"/>
      <c r="AM1619" s="100"/>
      <c r="AN1619" s="100"/>
      <c r="AO1619" s="100"/>
      <c r="AP1619" s="89" t="s">
        <v>115</v>
      </c>
    </row>
    <row r="1620" spans="1:42" s="89" customFormat="1" x14ac:dyDescent="0.15">
      <c r="A1620" s="100" t="s">
        <v>1</v>
      </c>
      <c r="B1620" s="101">
        <v>90160507</v>
      </c>
      <c r="C1620" s="101">
        <v>1605</v>
      </c>
      <c r="D1620" s="101">
        <v>16</v>
      </c>
      <c r="E1620" s="101"/>
      <c r="F1620" s="101" t="s">
        <v>116</v>
      </c>
      <c r="G1620" s="101">
        <v>309</v>
      </c>
      <c r="H1620" s="101" t="s">
        <v>3759</v>
      </c>
      <c r="I1620" s="101">
        <v>2</v>
      </c>
      <c r="J1620" s="100">
        <v>0</v>
      </c>
      <c r="K1620" s="100">
        <v>0</v>
      </c>
      <c r="L1620" s="100" t="s">
        <v>115</v>
      </c>
      <c r="M1620" s="102"/>
      <c r="N1620" s="100"/>
      <c r="O1620" s="100" t="s">
        <v>115</v>
      </c>
      <c r="P1620" s="101"/>
      <c r="Q1620" s="100">
        <v>144</v>
      </c>
      <c r="R1620" s="100">
        <v>306</v>
      </c>
      <c r="S1620" s="100"/>
      <c r="T1620" s="100"/>
      <c r="U1620" s="100"/>
      <c r="V1620" s="100"/>
      <c r="W1620" s="100"/>
      <c r="X1620" s="100">
        <v>90160508</v>
      </c>
      <c r="Y1620" s="100" t="s">
        <v>115</v>
      </c>
      <c r="Z1620" s="100" t="s">
        <v>115</v>
      </c>
      <c r="AA1620" s="100" t="s">
        <v>115</v>
      </c>
      <c r="AB1620" s="100" t="s">
        <v>115</v>
      </c>
      <c r="AC1620" s="100" t="s">
        <v>115</v>
      </c>
      <c r="AD1620" s="100"/>
      <c r="AE1620" s="100"/>
      <c r="AF1620" s="100"/>
      <c r="AG1620" s="100"/>
      <c r="AH1620" s="100"/>
      <c r="AI1620" s="100" t="s">
        <v>115</v>
      </c>
      <c r="AJ1620" s="100"/>
      <c r="AK1620" s="100"/>
      <c r="AL1620" s="100"/>
      <c r="AM1620" s="100"/>
      <c r="AN1620" s="100"/>
      <c r="AO1620" s="100"/>
      <c r="AP1620" s="89" t="s">
        <v>115</v>
      </c>
    </row>
    <row r="1621" spans="1:42" s="89" customFormat="1" x14ac:dyDescent="0.15">
      <c r="A1621" s="100" t="s">
        <v>1</v>
      </c>
      <c r="B1621" s="101">
        <v>90160508</v>
      </c>
      <c r="C1621" s="101">
        <v>1605</v>
      </c>
      <c r="D1621" s="101">
        <v>16</v>
      </c>
      <c r="E1621" s="101"/>
      <c r="F1621" s="101" t="s">
        <v>115</v>
      </c>
      <c r="G1621" s="101" t="s">
        <v>115</v>
      </c>
      <c r="H1621" s="101" t="s">
        <v>3760</v>
      </c>
      <c r="I1621" s="101">
        <v>4</v>
      </c>
      <c r="J1621" s="100">
        <v>0</v>
      </c>
      <c r="K1621" s="100">
        <v>2</v>
      </c>
      <c r="L1621" s="100" t="s">
        <v>115</v>
      </c>
      <c r="M1621" s="102"/>
      <c r="N1621" s="100"/>
      <c r="O1621" s="100" t="s">
        <v>115</v>
      </c>
      <c r="P1621" s="101"/>
      <c r="Q1621" s="100">
        <v>144</v>
      </c>
      <c r="R1621" s="100">
        <v>306</v>
      </c>
      <c r="S1621" s="100"/>
      <c r="T1621" s="100"/>
      <c r="U1621" s="100"/>
      <c r="V1621" s="100"/>
      <c r="W1621" s="100"/>
      <c r="X1621" s="100" t="s">
        <v>3761</v>
      </c>
      <c r="Y1621" s="100">
        <v>1</v>
      </c>
      <c r="Z1621" s="100">
        <v>1</v>
      </c>
      <c r="AA1621" s="100" t="s">
        <v>115</v>
      </c>
      <c r="AB1621" s="100" t="s">
        <v>115</v>
      </c>
      <c r="AC1621" s="100" t="s">
        <v>115</v>
      </c>
      <c r="AD1621" s="100"/>
      <c r="AE1621" s="100"/>
      <c r="AF1621" s="100"/>
      <c r="AG1621" s="100"/>
      <c r="AH1621" s="100"/>
      <c r="AI1621" s="100" t="s">
        <v>115</v>
      </c>
      <c r="AJ1621" s="100"/>
      <c r="AK1621" s="100"/>
      <c r="AL1621" s="100"/>
      <c r="AM1621" s="100"/>
      <c r="AN1621" s="100"/>
      <c r="AO1621" s="100"/>
      <c r="AP1621" s="89" t="s">
        <v>115</v>
      </c>
    </row>
    <row r="1622" spans="1:42" s="89" customFormat="1" x14ac:dyDescent="0.15">
      <c r="A1622" s="100" t="s">
        <v>1</v>
      </c>
      <c r="B1622" s="101">
        <v>90160509</v>
      </c>
      <c r="C1622" s="101">
        <v>1605</v>
      </c>
      <c r="D1622" s="101">
        <v>16</v>
      </c>
      <c r="E1622" s="101"/>
      <c r="F1622" s="101" t="s">
        <v>115</v>
      </c>
      <c r="G1622" s="101" t="s">
        <v>115</v>
      </c>
      <c r="H1622" s="101" t="s">
        <v>3762</v>
      </c>
      <c r="I1622" s="101">
        <v>4</v>
      </c>
      <c r="J1622" s="100">
        <v>0</v>
      </c>
      <c r="K1622" s="100">
        <v>3</v>
      </c>
      <c r="L1622" s="100" t="s">
        <v>115</v>
      </c>
      <c r="M1622" s="102"/>
      <c r="N1622" s="100"/>
      <c r="O1622" s="100" t="s">
        <v>115</v>
      </c>
      <c r="P1622" s="101"/>
      <c r="Q1622" s="100">
        <v>144</v>
      </c>
      <c r="R1622" s="100">
        <v>306</v>
      </c>
      <c r="S1622" s="100"/>
      <c r="T1622" s="100"/>
      <c r="U1622" s="100"/>
      <c r="V1622" s="100"/>
      <c r="W1622" s="100"/>
      <c r="X1622" s="100">
        <v>90160511</v>
      </c>
      <c r="Y1622" s="100">
        <v>-1</v>
      </c>
      <c r="Z1622" s="100">
        <v>2</v>
      </c>
      <c r="AA1622" s="100" t="s">
        <v>4813</v>
      </c>
      <c r="AB1622" s="100" t="s">
        <v>115</v>
      </c>
      <c r="AC1622" s="100" t="s">
        <v>115</v>
      </c>
      <c r="AD1622" s="100"/>
      <c r="AE1622" s="100"/>
      <c r="AF1622" s="100"/>
      <c r="AG1622" s="100"/>
      <c r="AH1622" s="100"/>
      <c r="AI1622" s="100" t="s">
        <v>115</v>
      </c>
      <c r="AJ1622" s="100"/>
      <c r="AK1622" s="100"/>
      <c r="AL1622" s="100"/>
      <c r="AM1622" s="100"/>
      <c r="AN1622" s="100"/>
      <c r="AO1622" s="100"/>
      <c r="AP1622" s="89" t="s">
        <v>115</v>
      </c>
    </row>
    <row r="1623" spans="1:42" s="89" customFormat="1" x14ac:dyDescent="0.15">
      <c r="A1623" s="100" t="s">
        <v>1</v>
      </c>
      <c r="B1623" s="101">
        <v>90160510</v>
      </c>
      <c r="C1623" s="101">
        <v>1605</v>
      </c>
      <c r="D1623" s="101">
        <v>16</v>
      </c>
      <c r="E1623" s="101"/>
      <c r="F1623" s="101" t="s">
        <v>115</v>
      </c>
      <c r="G1623" s="101" t="s">
        <v>115</v>
      </c>
      <c r="H1623" s="101" t="s">
        <v>3763</v>
      </c>
      <c r="I1623" s="101">
        <v>4</v>
      </c>
      <c r="J1623" s="100">
        <v>0</v>
      </c>
      <c r="K1623" s="100">
        <v>4</v>
      </c>
      <c r="L1623" s="100" t="s">
        <v>115</v>
      </c>
      <c r="M1623" s="102"/>
      <c r="N1623" s="100"/>
      <c r="O1623" s="100" t="s">
        <v>115</v>
      </c>
      <c r="P1623" s="101"/>
      <c r="Q1623" s="100">
        <v>144</v>
      </c>
      <c r="R1623" s="100">
        <v>306</v>
      </c>
      <c r="S1623" s="100"/>
      <c r="T1623" s="100"/>
      <c r="U1623" s="100"/>
      <c r="V1623" s="100"/>
      <c r="W1623" s="100"/>
      <c r="X1623" s="100">
        <v>90160512</v>
      </c>
      <c r="Y1623" s="100">
        <v>-1</v>
      </c>
      <c r="Z1623" s="100">
        <v>2</v>
      </c>
      <c r="AA1623" s="100" t="s">
        <v>115</v>
      </c>
      <c r="AB1623" s="100" t="s">
        <v>115</v>
      </c>
      <c r="AC1623" s="100" t="s">
        <v>3764</v>
      </c>
      <c r="AD1623" s="100"/>
      <c r="AE1623" s="100"/>
      <c r="AF1623" s="100"/>
      <c r="AG1623" s="100"/>
      <c r="AH1623" s="100"/>
      <c r="AI1623" s="100" t="s">
        <v>115</v>
      </c>
      <c r="AJ1623" s="100"/>
      <c r="AK1623" s="100"/>
      <c r="AL1623" s="100"/>
      <c r="AM1623" s="100"/>
      <c r="AN1623" s="100"/>
      <c r="AO1623" s="100"/>
      <c r="AP1623" s="89" t="s">
        <v>115</v>
      </c>
    </row>
    <row r="1624" spans="1:42" s="89" customFormat="1" x14ac:dyDescent="0.15">
      <c r="A1624" s="100" t="s">
        <v>1</v>
      </c>
      <c r="B1624" s="101">
        <v>90160511</v>
      </c>
      <c r="C1624" s="101">
        <v>1605</v>
      </c>
      <c r="D1624" s="101">
        <v>16</v>
      </c>
      <c r="E1624" s="101"/>
      <c r="F1624" s="101" t="s">
        <v>3755</v>
      </c>
      <c r="G1624" s="101" t="s">
        <v>115</v>
      </c>
      <c r="H1624" s="101" t="s">
        <v>3765</v>
      </c>
      <c r="I1624" s="101">
        <v>3</v>
      </c>
      <c r="J1624" s="100">
        <v>0</v>
      </c>
      <c r="K1624" s="100">
        <v>0</v>
      </c>
      <c r="L1624" s="100" t="s">
        <v>115</v>
      </c>
      <c r="M1624" s="102"/>
      <c r="N1624" s="100"/>
      <c r="O1624" s="100" t="s">
        <v>115</v>
      </c>
      <c r="P1624" s="101"/>
      <c r="Q1624" s="100">
        <v>144</v>
      </c>
      <c r="R1624" s="100">
        <v>306</v>
      </c>
      <c r="S1624" s="100"/>
      <c r="T1624" s="100"/>
      <c r="U1624" s="100"/>
      <c r="V1624" s="100"/>
      <c r="W1624" s="100"/>
      <c r="X1624" s="100">
        <v>90160513</v>
      </c>
      <c r="Y1624" s="100" t="s">
        <v>115</v>
      </c>
      <c r="Z1624" s="100" t="s">
        <v>115</v>
      </c>
      <c r="AA1624" s="100" t="s">
        <v>115</v>
      </c>
      <c r="AB1624" s="100" t="s">
        <v>115</v>
      </c>
      <c r="AC1624" s="100" t="s">
        <v>115</v>
      </c>
      <c r="AD1624" s="100"/>
      <c r="AE1624" s="100"/>
      <c r="AF1624" s="100"/>
      <c r="AG1624" s="100"/>
      <c r="AH1624" s="100"/>
      <c r="AI1624" s="100" t="s">
        <v>115</v>
      </c>
      <c r="AJ1624" s="100"/>
      <c r="AK1624" s="100"/>
      <c r="AL1624" s="100"/>
      <c r="AM1624" s="100"/>
      <c r="AN1624" s="100"/>
      <c r="AO1624" s="100"/>
      <c r="AP1624" s="89" t="s">
        <v>115</v>
      </c>
    </row>
    <row r="1625" spans="1:42" s="89" customFormat="1" x14ac:dyDescent="0.15">
      <c r="A1625" s="100" t="s">
        <v>1</v>
      </c>
      <c r="B1625" s="101">
        <v>90160512</v>
      </c>
      <c r="C1625" s="101">
        <v>1605</v>
      </c>
      <c r="D1625" s="101">
        <v>16</v>
      </c>
      <c r="E1625" s="101"/>
      <c r="F1625" s="101" t="s">
        <v>3755</v>
      </c>
      <c r="G1625" s="101" t="s">
        <v>115</v>
      </c>
      <c r="H1625" s="101" t="s">
        <v>3766</v>
      </c>
      <c r="I1625" s="101">
        <v>3</v>
      </c>
      <c r="J1625" s="100">
        <v>0</v>
      </c>
      <c r="K1625" s="100">
        <v>0</v>
      </c>
      <c r="L1625" s="100" t="s">
        <v>115</v>
      </c>
      <c r="M1625" s="102"/>
      <c r="N1625" s="100"/>
      <c r="O1625" s="100" t="s">
        <v>115</v>
      </c>
      <c r="P1625" s="101"/>
      <c r="Q1625" s="100">
        <v>144</v>
      </c>
      <c r="R1625" s="100">
        <v>306</v>
      </c>
      <c r="S1625" s="100"/>
      <c r="T1625" s="100"/>
      <c r="U1625" s="100"/>
      <c r="V1625" s="100"/>
      <c r="W1625" s="100"/>
      <c r="X1625" s="100">
        <v>90160513</v>
      </c>
      <c r="Y1625" s="100" t="s">
        <v>115</v>
      </c>
      <c r="Z1625" s="100" t="s">
        <v>115</v>
      </c>
      <c r="AA1625" s="100" t="s">
        <v>115</v>
      </c>
      <c r="AB1625" s="100" t="s">
        <v>115</v>
      </c>
      <c r="AC1625" s="100" t="s">
        <v>115</v>
      </c>
      <c r="AD1625" s="100"/>
      <c r="AE1625" s="100"/>
      <c r="AF1625" s="100"/>
      <c r="AG1625" s="100"/>
      <c r="AH1625" s="100"/>
      <c r="AI1625" s="100" t="s">
        <v>115</v>
      </c>
      <c r="AJ1625" s="100"/>
      <c r="AK1625" s="100"/>
      <c r="AL1625" s="100"/>
      <c r="AM1625" s="100"/>
      <c r="AN1625" s="100"/>
      <c r="AO1625" s="100"/>
      <c r="AP1625" s="89" t="s">
        <v>115</v>
      </c>
    </row>
    <row r="1626" spans="1:42" s="89" customFormat="1" x14ac:dyDescent="0.15">
      <c r="A1626" s="100" t="s">
        <v>1</v>
      </c>
      <c r="B1626" s="101">
        <v>90160513</v>
      </c>
      <c r="C1626" s="101">
        <v>1605</v>
      </c>
      <c r="D1626" s="101">
        <v>16</v>
      </c>
      <c r="E1626" s="101"/>
      <c r="F1626" s="101" t="s">
        <v>116</v>
      </c>
      <c r="G1626" s="101">
        <v>314</v>
      </c>
      <c r="H1626" s="101" t="s">
        <v>3767</v>
      </c>
      <c r="I1626" s="101">
        <v>2</v>
      </c>
      <c r="J1626" s="100">
        <v>0</v>
      </c>
      <c r="K1626" s="100">
        <v>0</v>
      </c>
      <c r="L1626" s="100" t="s">
        <v>115</v>
      </c>
      <c r="M1626" s="102"/>
      <c r="N1626" s="100"/>
      <c r="O1626" s="100" t="s">
        <v>115</v>
      </c>
      <c r="P1626" s="101"/>
      <c r="Q1626" s="100">
        <v>144</v>
      </c>
      <c r="R1626" s="100">
        <v>306</v>
      </c>
      <c r="S1626" s="100"/>
      <c r="T1626" s="100"/>
      <c r="U1626" s="100"/>
      <c r="V1626" s="100"/>
      <c r="W1626" s="100"/>
      <c r="X1626" s="100">
        <v>90160514</v>
      </c>
      <c r="Y1626" s="100" t="s">
        <v>115</v>
      </c>
      <c r="Z1626" s="100" t="s">
        <v>115</v>
      </c>
      <c r="AA1626" s="100" t="s">
        <v>115</v>
      </c>
      <c r="AB1626" s="100" t="s">
        <v>115</v>
      </c>
      <c r="AC1626" s="100" t="s">
        <v>115</v>
      </c>
      <c r="AD1626" s="100"/>
      <c r="AE1626" s="100"/>
      <c r="AF1626" s="100"/>
      <c r="AG1626" s="100"/>
      <c r="AH1626" s="100"/>
      <c r="AI1626" s="100" t="s">
        <v>115</v>
      </c>
      <c r="AJ1626" s="100"/>
      <c r="AK1626" s="100"/>
      <c r="AL1626" s="100"/>
      <c r="AM1626" s="100"/>
      <c r="AN1626" s="100"/>
      <c r="AO1626" s="100"/>
      <c r="AP1626" s="89" t="s">
        <v>115</v>
      </c>
    </row>
    <row r="1627" spans="1:42" s="89" customFormat="1" x14ac:dyDescent="0.15">
      <c r="A1627" s="100" t="s">
        <v>1</v>
      </c>
      <c r="B1627" s="101">
        <v>90160514</v>
      </c>
      <c r="C1627" s="101">
        <v>1605</v>
      </c>
      <c r="D1627" s="101">
        <v>16</v>
      </c>
      <c r="E1627" s="101"/>
      <c r="F1627" s="101" t="s">
        <v>3755</v>
      </c>
      <c r="G1627" s="101" t="s">
        <v>115</v>
      </c>
      <c r="H1627" s="101" t="s">
        <v>3768</v>
      </c>
      <c r="I1627" s="101">
        <v>3</v>
      </c>
      <c r="J1627" s="100">
        <v>0</v>
      </c>
      <c r="K1627" s="100">
        <v>0</v>
      </c>
      <c r="L1627" s="100" t="s">
        <v>115</v>
      </c>
      <c r="M1627" s="102"/>
      <c r="N1627" s="100"/>
      <c r="O1627" s="100" t="s">
        <v>115</v>
      </c>
      <c r="P1627" s="101"/>
      <c r="Q1627" s="100">
        <v>144</v>
      </c>
      <c r="R1627" s="100">
        <v>306</v>
      </c>
      <c r="S1627" s="100"/>
      <c r="T1627" s="100"/>
      <c r="U1627" s="100"/>
      <c r="V1627" s="100"/>
      <c r="W1627" s="100"/>
      <c r="X1627" s="100">
        <v>90160515</v>
      </c>
      <c r="Y1627" s="100" t="s">
        <v>115</v>
      </c>
      <c r="Z1627" s="100" t="s">
        <v>115</v>
      </c>
      <c r="AA1627" s="100" t="s">
        <v>115</v>
      </c>
      <c r="AB1627" s="100" t="s">
        <v>115</v>
      </c>
      <c r="AC1627" s="100" t="s">
        <v>115</v>
      </c>
      <c r="AD1627" s="100"/>
      <c r="AE1627" s="100"/>
      <c r="AF1627" s="100"/>
      <c r="AG1627" s="100"/>
      <c r="AH1627" s="100"/>
      <c r="AI1627" s="100" t="s">
        <v>115</v>
      </c>
      <c r="AJ1627" s="100"/>
      <c r="AK1627" s="100"/>
      <c r="AL1627" s="100"/>
      <c r="AM1627" s="100"/>
      <c r="AN1627" s="100"/>
      <c r="AO1627" s="100"/>
      <c r="AP1627" s="89" t="s">
        <v>115</v>
      </c>
    </row>
    <row r="1628" spans="1:42" s="89" customFormat="1" x14ac:dyDescent="0.15">
      <c r="A1628" s="100" t="s">
        <v>1</v>
      </c>
      <c r="B1628" s="101">
        <v>90160515</v>
      </c>
      <c r="C1628" s="101">
        <v>1605</v>
      </c>
      <c r="D1628" s="101">
        <v>16</v>
      </c>
      <c r="E1628" s="101"/>
      <c r="F1628" s="101" t="s">
        <v>116</v>
      </c>
      <c r="G1628" s="101">
        <v>314</v>
      </c>
      <c r="H1628" s="101" t="s">
        <v>3769</v>
      </c>
      <c r="I1628" s="101">
        <v>0</v>
      </c>
      <c r="J1628" s="100">
        <v>0</v>
      </c>
      <c r="K1628" s="100">
        <v>0</v>
      </c>
      <c r="L1628" s="100" t="s">
        <v>115</v>
      </c>
      <c r="M1628" s="102"/>
      <c r="N1628" s="100"/>
      <c r="O1628" s="100" t="s">
        <v>115</v>
      </c>
      <c r="P1628" s="101"/>
      <c r="Q1628" s="100">
        <v>144</v>
      </c>
      <c r="R1628" s="100">
        <v>306</v>
      </c>
      <c r="S1628" s="100"/>
      <c r="T1628" s="100"/>
      <c r="U1628" s="100"/>
      <c r="V1628" s="100"/>
      <c r="W1628" s="100"/>
      <c r="X1628" s="100">
        <v>90160516</v>
      </c>
      <c r="Y1628" s="100" t="s">
        <v>115</v>
      </c>
      <c r="Z1628" s="100" t="s">
        <v>115</v>
      </c>
      <c r="AA1628" s="100" t="s">
        <v>115</v>
      </c>
      <c r="AB1628" s="100" t="s">
        <v>115</v>
      </c>
      <c r="AC1628" s="100" t="s">
        <v>115</v>
      </c>
      <c r="AD1628" s="100"/>
      <c r="AE1628" s="100"/>
      <c r="AF1628" s="100"/>
      <c r="AG1628" s="100"/>
      <c r="AH1628" s="100"/>
      <c r="AI1628" s="100" t="s">
        <v>115</v>
      </c>
      <c r="AJ1628" s="100"/>
      <c r="AK1628" s="100"/>
      <c r="AL1628" s="100"/>
      <c r="AM1628" s="100"/>
      <c r="AN1628" s="100"/>
      <c r="AO1628" s="100"/>
      <c r="AP1628" s="89" t="s">
        <v>115</v>
      </c>
    </row>
    <row r="1629" spans="1:42" s="89" customFormat="1" x14ac:dyDescent="0.15">
      <c r="A1629" s="100" t="s">
        <v>1</v>
      </c>
      <c r="B1629" s="101">
        <v>90160516</v>
      </c>
      <c r="C1629" s="101">
        <v>1605</v>
      </c>
      <c r="D1629" s="101">
        <v>16</v>
      </c>
      <c r="E1629" s="101"/>
      <c r="F1629" s="101" t="s">
        <v>3755</v>
      </c>
      <c r="G1629" s="101" t="s">
        <v>115</v>
      </c>
      <c r="H1629" s="101" t="s">
        <v>3770</v>
      </c>
      <c r="I1629" s="101">
        <v>3</v>
      </c>
      <c r="J1629" s="100">
        <v>0</v>
      </c>
      <c r="K1629" s="100">
        <v>5</v>
      </c>
      <c r="L1629" s="100" t="s">
        <v>4814</v>
      </c>
      <c r="M1629" s="102"/>
      <c r="N1629" s="100"/>
      <c r="O1629" s="100" t="s">
        <v>115</v>
      </c>
      <c r="P1629" s="101"/>
      <c r="Q1629" s="100">
        <v>144</v>
      </c>
      <c r="R1629" s="100">
        <v>306</v>
      </c>
      <c r="S1629" s="100"/>
      <c r="T1629" s="100"/>
      <c r="U1629" s="100"/>
      <c r="V1629" s="100"/>
      <c r="W1629" s="100"/>
      <c r="X1629" s="100">
        <v>90160517</v>
      </c>
      <c r="Y1629" s="100" t="s">
        <v>115</v>
      </c>
      <c r="Z1629" s="100">
        <v>4</v>
      </c>
      <c r="AA1629" s="100" t="s">
        <v>115</v>
      </c>
      <c r="AB1629" s="100" t="s">
        <v>115</v>
      </c>
      <c r="AC1629" s="100" t="s">
        <v>115</v>
      </c>
      <c r="AD1629" s="100"/>
      <c r="AE1629" s="100"/>
      <c r="AF1629" s="100"/>
      <c r="AG1629" s="100"/>
      <c r="AH1629" s="100"/>
      <c r="AI1629" s="100" t="s">
        <v>115</v>
      </c>
      <c r="AJ1629" s="100"/>
      <c r="AK1629" s="100"/>
      <c r="AL1629" s="100"/>
      <c r="AM1629" s="100"/>
      <c r="AN1629" s="100"/>
      <c r="AO1629" s="100"/>
      <c r="AP1629" s="89" t="s">
        <v>115</v>
      </c>
    </row>
    <row r="1630" spans="1:42" s="89" customFormat="1" x14ac:dyDescent="0.15">
      <c r="A1630" s="100" t="s">
        <v>1</v>
      </c>
      <c r="B1630" s="101">
        <v>90160517</v>
      </c>
      <c r="C1630" s="101">
        <v>1605</v>
      </c>
      <c r="D1630" s="101">
        <v>16</v>
      </c>
      <c r="E1630" s="101"/>
      <c r="F1630" s="101" t="s">
        <v>116</v>
      </c>
      <c r="G1630" s="101">
        <v>309</v>
      </c>
      <c r="H1630" s="101" t="s">
        <v>3771</v>
      </c>
      <c r="I1630" s="101">
        <v>0</v>
      </c>
      <c r="J1630" s="100">
        <v>0</v>
      </c>
      <c r="K1630" s="100">
        <v>0</v>
      </c>
      <c r="L1630" s="100" t="s">
        <v>115</v>
      </c>
      <c r="M1630" s="102"/>
      <c r="N1630" s="100"/>
      <c r="O1630" s="100" t="s">
        <v>115</v>
      </c>
      <c r="P1630" s="101"/>
      <c r="Q1630" s="100">
        <v>144</v>
      </c>
      <c r="R1630" s="100">
        <v>306</v>
      </c>
      <c r="S1630" s="100"/>
      <c r="T1630" s="100"/>
      <c r="U1630" s="100"/>
      <c r="V1630" s="100"/>
      <c r="W1630" s="100"/>
      <c r="X1630" s="100">
        <v>90160518</v>
      </c>
      <c r="Y1630" s="100" t="s">
        <v>115</v>
      </c>
      <c r="Z1630" s="100" t="s">
        <v>115</v>
      </c>
      <c r="AA1630" s="100" t="s">
        <v>115</v>
      </c>
      <c r="AB1630" s="100" t="s">
        <v>115</v>
      </c>
      <c r="AC1630" s="100" t="s">
        <v>115</v>
      </c>
      <c r="AD1630" s="100"/>
      <c r="AE1630" s="100"/>
      <c r="AF1630" s="100"/>
      <c r="AG1630" s="100"/>
      <c r="AH1630" s="100"/>
      <c r="AI1630" s="100" t="s">
        <v>115</v>
      </c>
      <c r="AJ1630" s="100"/>
      <c r="AK1630" s="100"/>
      <c r="AL1630" s="100"/>
      <c r="AM1630" s="100"/>
      <c r="AN1630" s="100"/>
      <c r="AO1630" s="100"/>
      <c r="AP1630" s="89" t="s">
        <v>115</v>
      </c>
    </row>
    <row r="1631" spans="1:42" s="89" customFormat="1" x14ac:dyDescent="0.15">
      <c r="A1631" s="100" t="s">
        <v>1</v>
      </c>
      <c r="B1631" s="101">
        <v>90160518</v>
      </c>
      <c r="C1631" s="101">
        <v>1605</v>
      </c>
      <c r="D1631" s="101">
        <v>16</v>
      </c>
      <c r="E1631" s="101"/>
      <c r="F1631" s="101" t="s">
        <v>3755</v>
      </c>
      <c r="G1631" s="101" t="s">
        <v>115</v>
      </c>
      <c r="H1631" s="101" t="s">
        <v>3772</v>
      </c>
      <c r="I1631" s="101">
        <v>3</v>
      </c>
      <c r="J1631" s="100">
        <v>0</v>
      </c>
      <c r="K1631" s="100">
        <v>0</v>
      </c>
      <c r="L1631" s="100" t="s">
        <v>115</v>
      </c>
      <c r="M1631" s="102"/>
      <c r="N1631" s="100"/>
      <c r="O1631" s="100" t="s">
        <v>115</v>
      </c>
      <c r="P1631" s="101"/>
      <c r="Q1631" s="100">
        <v>144</v>
      </c>
      <c r="R1631" s="100">
        <v>306</v>
      </c>
      <c r="S1631" s="100"/>
      <c r="T1631" s="100"/>
      <c r="U1631" s="100"/>
      <c r="V1631" s="100"/>
      <c r="W1631" s="100"/>
      <c r="X1631" s="100">
        <v>90160519</v>
      </c>
      <c r="Y1631" s="100" t="s">
        <v>115</v>
      </c>
      <c r="Z1631" s="100" t="s">
        <v>115</v>
      </c>
      <c r="AA1631" s="100" t="s">
        <v>115</v>
      </c>
      <c r="AB1631" s="100" t="s">
        <v>115</v>
      </c>
      <c r="AC1631" s="100" t="s">
        <v>115</v>
      </c>
      <c r="AD1631" s="100"/>
      <c r="AE1631" s="100"/>
      <c r="AF1631" s="100"/>
      <c r="AG1631" s="100"/>
      <c r="AH1631" s="100"/>
      <c r="AI1631" s="100" t="s">
        <v>115</v>
      </c>
      <c r="AJ1631" s="100"/>
      <c r="AK1631" s="100"/>
      <c r="AL1631" s="100"/>
      <c r="AM1631" s="100"/>
      <c r="AN1631" s="100"/>
      <c r="AO1631" s="100"/>
      <c r="AP1631" s="89" t="s">
        <v>115</v>
      </c>
    </row>
    <row r="1632" spans="1:42" s="89" customFormat="1" x14ac:dyDescent="0.15">
      <c r="A1632" s="100" t="s">
        <v>1</v>
      </c>
      <c r="B1632" s="101">
        <v>90160519</v>
      </c>
      <c r="C1632" s="101">
        <v>1605</v>
      </c>
      <c r="D1632" s="101">
        <v>16</v>
      </c>
      <c r="E1632" s="101"/>
      <c r="F1632" s="101" t="s">
        <v>116</v>
      </c>
      <c r="G1632" s="101">
        <v>314</v>
      </c>
      <c r="H1632" s="101" t="s">
        <v>3773</v>
      </c>
      <c r="I1632" s="101">
        <v>0</v>
      </c>
      <c r="J1632" s="100">
        <v>0</v>
      </c>
      <c r="K1632" s="100">
        <v>0</v>
      </c>
      <c r="L1632" s="100" t="s">
        <v>115</v>
      </c>
      <c r="M1632" s="102"/>
      <c r="N1632" s="100"/>
      <c r="O1632" s="100" t="s">
        <v>115</v>
      </c>
      <c r="P1632" s="101"/>
      <c r="Q1632" s="100">
        <v>144</v>
      </c>
      <c r="R1632" s="100">
        <v>306</v>
      </c>
      <c r="S1632" s="100"/>
      <c r="T1632" s="100"/>
      <c r="U1632" s="100"/>
      <c r="V1632" s="100"/>
      <c r="W1632" s="100"/>
      <c r="X1632" s="100">
        <v>90160520</v>
      </c>
      <c r="Y1632" s="100" t="s">
        <v>115</v>
      </c>
      <c r="Z1632" s="100" t="s">
        <v>115</v>
      </c>
      <c r="AA1632" s="100" t="s">
        <v>115</v>
      </c>
      <c r="AB1632" s="100" t="s">
        <v>115</v>
      </c>
      <c r="AC1632" s="100" t="s">
        <v>115</v>
      </c>
      <c r="AD1632" s="100"/>
      <c r="AE1632" s="100"/>
      <c r="AF1632" s="100"/>
      <c r="AG1632" s="100"/>
      <c r="AH1632" s="100"/>
      <c r="AI1632" s="100" t="s">
        <v>115</v>
      </c>
      <c r="AJ1632" s="100"/>
      <c r="AK1632" s="100"/>
      <c r="AL1632" s="100"/>
      <c r="AM1632" s="100"/>
      <c r="AN1632" s="100"/>
      <c r="AO1632" s="100"/>
      <c r="AP1632" s="89" t="s">
        <v>115</v>
      </c>
    </row>
    <row r="1633" spans="1:42" s="89" customFormat="1" x14ac:dyDescent="0.15">
      <c r="A1633" s="100" t="s">
        <v>1</v>
      </c>
      <c r="B1633" s="101">
        <v>90160520</v>
      </c>
      <c r="C1633" s="101">
        <v>1605</v>
      </c>
      <c r="D1633" s="101">
        <v>16</v>
      </c>
      <c r="E1633" s="101"/>
      <c r="F1633" s="101" t="s">
        <v>3755</v>
      </c>
      <c r="G1633" s="101" t="s">
        <v>115</v>
      </c>
      <c r="H1633" s="101" t="s">
        <v>3774</v>
      </c>
      <c r="I1633" s="101">
        <v>3</v>
      </c>
      <c r="J1633" s="100">
        <v>0</v>
      </c>
      <c r="K1633" s="100">
        <v>0</v>
      </c>
      <c r="L1633" s="100" t="s">
        <v>115</v>
      </c>
      <c r="M1633" s="102"/>
      <c r="N1633" s="100"/>
      <c r="O1633" s="100" t="s">
        <v>115</v>
      </c>
      <c r="P1633" s="101"/>
      <c r="Q1633" s="100">
        <v>144</v>
      </c>
      <c r="R1633" s="100">
        <v>306</v>
      </c>
      <c r="S1633" s="100"/>
      <c r="T1633" s="100"/>
      <c r="U1633" s="100"/>
      <c r="V1633" s="100"/>
      <c r="W1633" s="100"/>
      <c r="X1633" s="100">
        <v>90160521</v>
      </c>
      <c r="Y1633" s="100" t="s">
        <v>115</v>
      </c>
      <c r="Z1633" s="100" t="s">
        <v>115</v>
      </c>
      <c r="AA1633" s="100" t="s">
        <v>115</v>
      </c>
      <c r="AB1633" s="100" t="s">
        <v>115</v>
      </c>
      <c r="AC1633" s="100" t="s">
        <v>115</v>
      </c>
      <c r="AD1633" s="100"/>
      <c r="AE1633" s="100"/>
      <c r="AF1633" s="100"/>
      <c r="AG1633" s="100"/>
      <c r="AH1633" s="100"/>
      <c r="AI1633" s="100" t="s">
        <v>115</v>
      </c>
      <c r="AJ1633" s="100"/>
      <c r="AK1633" s="100"/>
      <c r="AL1633" s="100"/>
      <c r="AM1633" s="100"/>
      <c r="AN1633" s="100"/>
      <c r="AO1633" s="100"/>
      <c r="AP1633" s="89" t="s">
        <v>115</v>
      </c>
    </row>
    <row r="1634" spans="1:42" s="89" customFormat="1" x14ac:dyDescent="0.15">
      <c r="A1634" s="100" t="s">
        <v>1</v>
      </c>
      <c r="B1634" s="101">
        <v>90160521</v>
      </c>
      <c r="C1634" s="101">
        <v>1605</v>
      </c>
      <c r="D1634" s="101">
        <v>16</v>
      </c>
      <c r="E1634" s="101"/>
      <c r="F1634" s="101" t="s">
        <v>116</v>
      </c>
      <c r="G1634" s="101">
        <v>309</v>
      </c>
      <c r="H1634" s="101" t="s">
        <v>3775</v>
      </c>
      <c r="I1634" s="101">
        <v>2</v>
      </c>
      <c r="J1634" s="100">
        <v>0</v>
      </c>
      <c r="K1634" s="100">
        <v>6</v>
      </c>
      <c r="L1634" s="100" t="s">
        <v>115</v>
      </c>
      <c r="M1634" s="102"/>
      <c r="N1634" s="100"/>
      <c r="O1634" s="100">
        <v>1</v>
      </c>
      <c r="P1634" s="101"/>
      <c r="Q1634" s="100">
        <v>144</v>
      </c>
      <c r="R1634" s="100" t="s">
        <v>115</v>
      </c>
      <c r="S1634" s="100"/>
      <c r="T1634" s="100"/>
      <c r="U1634" s="100"/>
      <c r="V1634" s="100"/>
      <c r="W1634" s="100"/>
      <c r="X1634" s="100" t="s">
        <v>115</v>
      </c>
      <c r="Y1634" s="100" t="s">
        <v>115</v>
      </c>
      <c r="Z1634" s="100">
        <v>5</v>
      </c>
      <c r="AA1634" s="100" t="s">
        <v>115</v>
      </c>
      <c r="AB1634" s="100" t="s">
        <v>115</v>
      </c>
      <c r="AC1634" s="100" t="s">
        <v>115</v>
      </c>
      <c r="AD1634" s="100"/>
      <c r="AE1634" s="100"/>
      <c r="AF1634" s="100"/>
      <c r="AG1634" s="100"/>
      <c r="AH1634" s="100"/>
      <c r="AI1634" s="100" t="s">
        <v>115</v>
      </c>
      <c r="AJ1634" s="100"/>
      <c r="AK1634" s="100"/>
      <c r="AL1634" s="100"/>
      <c r="AM1634" s="100"/>
      <c r="AN1634" s="100"/>
      <c r="AO1634" s="100"/>
      <c r="AP1634" s="89" t="s">
        <v>115</v>
      </c>
    </row>
    <row r="1635" spans="1:42" s="89" customFormat="1" x14ac:dyDescent="0.15">
      <c r="A1635" s="100" t="s">
        <v>1</v>
      </c>
      <c r="B1635" s="101" t="s">
        <v>3456</v>
      </c>
      <c r="C1635" s="101">
        <v>1606</v>
      </c>
      <c r="D1635" s="101">
        <v>16</v>
      </c>
      <c r="E1635" s="101"/>
      <c r="F1635" s="101" t="s">
        <v>115</v>
      </c>
      <c r="G1635" s="101" t="s">
        <v>115</v>
      </c>
      <c r="H1635" s="101" t="s">
        <v>3776</v>
      </c>
      <c r="I1635" s="101">
        <v>4</v>
      </c>
      <c r="J1635" s="100">
        <v>1</v>
      </c>
      <c r="K1635" s="100">
        <v>1</v>
      </c>
      <c r="L1635" s="100" t="s">
        <v>115</v>
      </c>
      <c r="M1635" s="102"/>
      <c r="N1635" s="100"/>
      <c r="O1635" s="100" t="s">
        <v>115</v>
      </c>
      <c r="P1635" s="101"/>
      <c r="Q1635" s="100">
        <v>198</v>
      </c>
      <c r="R1635" s="100" t="s">
        <v>115</v>
      </c>
      <c r="S1635" s="100"/>
      <c r="T1635" s="100"/>
      <c r="U1635" s="100"/>
      <c r="V1635" s="100"/>
      <c r="W1635" s="100"/>
      <c r="X1635" s="100">
        <v>90160602</v>
      </c>
      <c r="Y1635" s="100" t="s">
        <v>115</v>
      </c>
      <c r="Z1635" s="100" t="s">
        <v>115</v>
      </c>
      <c r="AA1635" s="100" t="s">
        <v>115</v>
      </c>
      <c r="AB1635" s="100" t="s">
        <v>115</v>
      </c>
      <c r="AC1635" s="100" t="s">
        <v>115</v>
      </c>
      <c r="AD1635" s="100"/>
      <c r="AE1635" s="100"/>
      <c r="AF1635" s="100"/>
      <c r="AG1635" s="100"/>
      <c r="AH1635" s="100"/>
      <c r="AI1635" s="100" t="s">
        <v>115</v>
      </c>
      <c r="AJ1635" s="100"/>
      <c r="AK1635" s="100"/>
      <c r="AL1635" s="100"/>
      <c r="AM1635" s="100"/>
      <c r="AN1635" s="100"/>
      <c r="AO1635" s="100"/>
      <c r="AP1635" s="89" t="s">
        <v>115</v>
      </c>
    </row>
    <row r="1636" spans="1:42" s="89" customFormat="1" x14ac:dyDescent="0.15">
      <c r="A1636" s="100" t="s">
        <v>1</v>
      </c>
      <c r="B1636" s="101">
        <v>90160602</v>
      </c>
      <c r="C1636" s="101">
        <v>1606</v>
      </c>
      <c r="D1636" s="101">
        <v>16</v>
      </c>
      <c r="E1636" s="101"/>
      <c r="F1636" s="101" t="s">
        <v>116</v>
      </c>
      <c r="G1636" s="101">
        <v>312</v>
      </c>
      <c r="H1636" s="101" t="s">
        <v>3777</v>
      </c>
      <c r="I1636" s="101">
        <v>0</v>
      </c>
      <c r="J1636" s="100">
        <v>0</v>
      </c>
      <c r="K1636" s="100">
        <v>0</v>
      </c>
      <c r="L1636" s="100" t="s">
        <v>115</v>
      </c>
      <c r="M1636" s="102"/>
      <c r="N1636" s="100"/>
      <c r="O1636" s="100" t="s">
        <v>115</v>
      </c>
      <c r="P1636" s="101"/>
      <c r="Q1636" s="100">
        <v>112</v>
      </c>
      <c r="R1636" s="100" t="s">
        <v>115</v>
      </c>
      <c r="S1636" s="100"/>
      <c r="T1636" s="100"/>
      <c r="U1636" s="100"/>
      <c r="V1636" s="100"/>
      <c r="W1636" s="100"/>
      <c r="X1636" s="100">
        <v>90160603</v>
      </c>
      <c r="Y1636" s="100" t="s">
        <v>115</v>
      </c>
      <c r="Z1636" s="100" t="s">
        <v>115</v>
      </c>
      <c r="AA1636" s="100" t="s">
        <v>115</v>
      </c>
      <c r="AB1636" s="100" t="s">
        <v>115</v>
      </c>
      <c r="AC1636" s="100" t="s">
        <v>115</v>
      </c>
      <c r="AD1636" s="100"/>
      <c r="AE1636" s="100"/>
      <c r="AF1636" s="100"/>
      <c r="AG1636" s="100"/>
      <c r="AH1636" s="100"/>
      <c r="AI1636" s="100" t="s">
        <v>115</v>
      </c>
      <c r="AJ1636" s="100"/>
      <c r="AK1636" s="100"/>
      <c r="AL1636" s="100"/>
      <c r="AM1636" s="100"/>
      <c r="AN1636" s="100"/>
      <c r="AO1636" s="100"/>
      <c r="AP1636" s="89" t="s">
        <v>115</v>
      </c>
    </row>
    <row r="1637" spans="1:42" s="89" customFormat="1" x14ac:dyDescent="0.15">
      <c r="A1637" s="100" t="s">
        <v>1</v>
      </c>
      <c r="B1637" s="101">
        <v>90160603</v>
      </c>
      <c r="C1637" s="101">
        <v>1606</v>
      </c>
      <c r="D1637" s="101">
        <v>16</v>
      </c>
      <c r="E1637" s="101"/>
      <c r="F1637" s="101" t="s">
        <v>373</v>
      </c>
      <c r="G1637" s="101" t="s">
        <v>115</v>
      </c>
      <c r="H1637" s="101" t="s">
        <v>3778</v>
      </c>
      <c r="I1637" s="101">
        <v>3</v>
      </c>
      <c r="J1637" s="100">
        <v>0</v>
      </c>
      <c r="K1637" s="100">
        <v>0</v>
      </c>
      <c r="L1637" s="100" t="s">
        <v>115</v>
      </c>
      <c r="M1637" s="102"/>
      <c r="N1637" s="100"/>
      <c r="O1637" s="100" t="s">
        <v>115</v>
      </c>
      <c r="P1637" s="101"/>
      <c r="Q1637" s="100">
        <v>112</v>
      </c>
      <c r="R1637" s="100">
        <v>357</v>
      </c>
      <c r="S1637" s="100"/>
      <c r="T1637" s="100"/>
      <c r="U1637" s="100"/>
      <c r="V1637" s="100"/>
      <c r="W1637" s="100"/>
      <c r="X1637" s="100">
        <v>90160604</v>
      </c>
      <c r="Y1637" s="100" t="s">
        <v>115</v>
      </c>
      <c r="Z1637" s="100" t="s">
        <v>115</v>
      </c>
      <c r="AA1637" s="100" t="s">
        <v>115</v>
      </c>
      <c r="AB1637" s="100" t="s">
        <v>115</v>
      </c>
      <c r="AC1637" s="100" t="s">
        <v>115</v>
      </c>
      <c r="AD1637" s="100"/>
      <c r="AE1637" s="100"/>
      <c r="AF1637" s="100"/>
      <c r="AG1637" s="100"/>
      <c r="AH1637" s="100"/>
      <c r="AI1637" s="100" t="s">
        <v>115</v>
      </c>
      <c r="AJ1637" s="100"/>
      <c r="AK1637" s="100"/>
      <c r="AL1637" s="100"/>
      <c r="AM1637" s="100"/>
      <c r="AN1637" s="100"/>
      <c r="AO1637" s="100"/>
      <c r="AP1637" s="89" t="s">
        <v>115</v>
      </c>
    </row>
    <row r="1638" spans="1:42" s="89" customFormat="1" x14ac:dyDescent="0.15">
      <c r="A1638" s="100" t="s">
        <v>1</v>
      </c>
      <c r="B1638" s="101">
        <v>90160604</v>
      </c>
      <c r="C1638" s="101">
        <v>1606</v>
      </c>
      <c r="D1638" s="101">
        <v>16</v>
      </c>
      <c r="E1638" s="101"/>
      <c r="F1638" s="101" t="s">
        <v>116</v>
      </c>
      <c r="G1638" s="101">
        <v>309</v>
      </c>
      <c r="H1638" s="101" t="s">
        <v>3779</v>
      </c>
      <c r="I1638" s="101">
        <v>0</v>
      </c>
      <c r="J1638" s="100">
        <v>0</v>
      </c>
      <c r="K1638" s="100">
        <v>0</v>
      </c>
      <c r="L1638" s="100" t="s">
        <v>115</v>
      </c>
      <c r="M1638" s="102"/>
      <c r="N1638" s="100"/>
      <c r="O1638" s="100" t="s">
        <v>115</v>
      </c>
      <c r="P1638" s="101"/>
      <c r="Q1638" s="100">
        <v>112</v>
      </c>
      <c r="R1638" s="100">
        <v>357</v>
      </c>
      <c r="S1638" s="100"/>
      <c r="T1638" s="100"/>
      <c r="U1638" s="100"/>
      <c r="V1638" s="100"/>
      <c r="W1638" s="100"/>
      <c r="X1638" s="100">
        <v>90160605</v>
      </c>
      <c r="Y1638" s="100" t="s">
        <v>115</v>
      </c>
      <c r="Z1638" s="100" t="s">
        <v>115</v>
      </c>
      <c r="AA1638" s="100" t="s">
        <v>115</v>
      </c>
      <c r="AB1638" s="100" t="s">
        <v>115</v>
      </c>
      <c r="AC1638" s="100" t="s">
        <v>115</v>
      </c>
      <c r="AD1638" s="100"/>
      <c r="AE1638" s="100"/>
      <c r="AF1638" s="100"/>
      <c r="AG1638" s="100"/>
      <c r="AH1638" s="100"/>
      <c r="AI1638" s="100" t="s">
        <v>115</v>
      </c>
      <c r="AJ1638" s="100"/>
      <c r="AK1638" s="100"/>
      <c r="AL1638" s="100"/>
      <c r="AM1638" s="100"/>
      <c r="AN1638" s="100"/>
      <c r="AO1638" s="100"/>
      <c r="AP1638" s="89" t="s">
        <v>115</v>
      </c>
    </row>
    <row r="1639" spans="1:42" s="89" customFormat="1" x14ac:dyDescent="0.15">
      <c r="A1639" s="100" t="s">
        <v>1</v>
      </c>
      <c r="B1639" s="101">
        <v>90160605</v>
      </c>
      <c r="C1639" s="101">
        <v>1606</v>
      </c>
      <c r="D1639" s="101">
        <v>16</v>
      </c>
      <c r="E1639" s="101"/>
      <c r="F1639" s="101" t="s">
        <v>373</v>
      </c>
      <c r="G1639" s="101" t="s">
        <v>115</v>
      </c>
      <c r="H1639" s="101" t="s">
        <v>3780</v>
      </c>
      <c r="I1639" s="101">
        <v>3</v>
      </c>
      <c r="J1639" s="100">
        <v>0</v>
      </c>
      <c r="K1639" s="100">
        <v>0</v>
      </c>
      <c r="L1639" s="100" t="s">
        <v>115</v>
      </c>
      <c r="M1639" s="102"/>
      <c r="N1639" s="100"/>
      <c r="O1639" s="100" t="s">
        <v>115</v>
      </c>
      <c r="P1639" s="101"/>
      <c r="Q1639" s="100">
        <v>112</v>
      </c>
      <c r="R1639" s="100">
        <v>357</v>
      </c>
      <c r="S1639" s="100"/>
      <c r="T1639" s="100"/>
      <c r="U1639" s="100"/>
      <c r="V1639" s="100"/>
      <c r="W1639" s="100"/>
      <c r="X1639" s="100">
        <v>90160606</v>
      </c>
      <c r="Y1639" s="100" t="s">
        <v>115</v>
      </c>
      <c r="Z1639" s="100" t="s">
        <v>115</v>
      </c>
      <c r="AA1639" s="100" t="s">
        <v>115</v>
      </c>
      <c r="AB1639" s="100" t="s">
        <v>115</v>
      </c>
      <c r="AC1639" s="100" t="s">
        <v>115</v>
      </c>
      <c r="AD1639" s="100"/>
      <c r="AE1639" s="100"/>
      <c r="AF1639" s="100"/>
      <c r="AG1639" s="100"/>
      <c r="AH1639" s="100"/>
      <c r="AI1639" s="100" t="s">
        <v>115</v>
      </c>
      <c r="AJ1639" s="100"/>
      <c r="AK1639" s="100"/>
      <c r="AL1639" s="100"/>
      <c r="AM1639" s="100"/>
      <c r="AN1639" s="100"/>
      <c r="AO1639" s="100"/>
      <c r="AP1639" s="89" t="s">
        <v>115</v>
      </c>
    </row>
    <row r="1640" spans="1:42" s="89" customFormat="1" x14ac:dyDescent="0.15">
      <c r="A1640" s="100" t="s">
        <v>1</v>
      </c>
      <c r="B1640" s="101">
        <v>90160606</v>
      </c>
      <c r="C1640" s="101">
        <v>1606</v>
      </c>
      <c r="D1640" s="101">
        <v>16</v>
      </c>
      <c r="E1640" s="101"/>
      <c r="F1640" s="101" t="s">
        <v>116</v>
      </c>
      <c r="G1640" s="101">
        <v>308</v>
      </c>
      <c r="H1640" s="101" t="s">
        <v>3781</v>
      </c>
      <c r="I1640" s="101">
        <v>2</v>
      </c>
      <c r="J1640" s="100">
        <v>0</v>
      </c>
      <c r="K1640" s="100">
        <v>0</v>
      </c>
      <c r="L1640" s="100" t="s">
        <v>115</v>
      </c>
      <c r="M1640" s="102"/>
      <c r="N1640" s="100"/>
      <c r="O1640" s="100" t="s">
        <v>115</v>
      </c>
      <c r="P1640" s="101"/>
      <c r="Q1640" s="100">
        <v>112</v>
      </c>
      <c r="R1640" s="100">
        <v>357</v>
      </c>
      <c r="S1640" s="100"/>
      <c r="T1640" s="100"/>
      <c r="U1640" s="100"/>
      <c r="V1640" s="100"/>
      <c r="W1640" s="100"/>
      <c r="X1640" s="100">
        <v>90160607</v>
      </c>
      <c r="Y1640" s="100" t="s">
        <v>115</v>
      </c>
      <c r="Z1640" s="100" t="s">
        <v>115</v>
      </c>
      <c r="AA1640" s="100" t="s">
        <v>115</v>
      </c>
      <c r="AB1640" s="100" t="s">
        <v>115</v>
      </c>
      <c r="AC1640" s="100" t="s">
        <v>115</v>
      </c>
      <c r="AD1640" s="100"/>
      <c r="AE1640" s="100"/>
      <c r="AF1640" s="100"/>
      <c r="AG1640" s="100"/>
      <c r="AH1640" s="100"/>
      <c r="AI1640" s="100" t="s">
        <v>115</v>
      </c>
      <c r="AJ1640" s="100"/>
      <c r="AK1640" s="100"/>
      <c r="AL1640" s="100"/>
      <c r="AM1640" s="100"/>
      <c r="AN1640" s="100"/>
      <c r="AO1640" s="100"/>
      <c r="AP1640" s="89" t="s">
        <v>115</v>
      </c>
    </row>
    <row r="1641" spans="1:42" s="89" customFormat="1" x14ac:dyDescent="0.15">
      <c r="A1641" s="100" t="s">
        <v>1</v>
      </c>
      <c r="B1641" s="101">
        <v>90160607</v>
      </c>
      <c r="C1641" s="101">
        <v>1606</v>
      </c>
      <c r="D1641" s="101">
        <v>16</v>
      </c>
      <c r="E1641" s="101"/>
      <c r="F1641" s="101" t="s">
        <v>115</v>
      </c>
      <c r="G1641" s="101" t="s">
        <v>115</v>
      </c>
      <c r="H1641" s="101" t="s">
        <v>2891</v>
      </c>
      <c r="I1641" s="101">
        <v>4</v>
      </c>
      <c r="J1641" s="100">
        <v>0</v>
      </c>
      <c r="K1641" s="100">
        <v>2</v>
      </c>
      <c r="L1641" s="100" t="s">
        <v>115</v>
      </c>
      <c r="M1641" s="102"/>
      <c r="N1641" s="100"/>
      <c r="O1641" s="100" t="s">
        <v>115</v>
      </c>
      <c r="P1641" s="101"/>
      <c r="Q1641" s="100">
        <v>112</v>
      </c>
      <c r="R1641" s="100">
        <v>357</v>
      </c>
      <c r="S1641" s="100"/>
      <c r="T1641" s="100"/>
      <c r="U1641" s="100"/>
      <c r="V1641" s="100"/>
      <c r="W1641" s="100"/>
      <c r="X1641" s="100" t="s">
        <v>3782</v>
      </c>
      <c r="Y1641" s="100">
        <v>1</v>
      </c>
      <c r="Z1641" s="100">
        <v>1</v>
      </c>
      <c r="AA1641" s="100" t="s">
        <v>115</v>
      </c>
      <c r="AB1641" s="100" t="s">
        <v>115</v>
      </c>
      <c r="AC1641" s="100" t="s">
        <v>115</v>
      </c>
      <c r="AD1641" s="100"/>
      <c r="AE1641" s="100"/>
      <c r="AF1641" s="100"/>
      <c r="AG1641" s="100"/>
      <c r="AH1641" s="100"/>
      <c r="AI1641" s="100" t="s">
        <v>115</v>
      </c>
      <c r="AJ1641" s="100"/>
      <c r="AK1641" s="100"/>
      <c r="AL1641" s="100"/>
      <c r="AM1641" s="100"/>
      <c r="AN1641" s="100"/>
      <c r="AO1641" s="100"/>
      <c r="AP1641" s="89" t="s">
        <v>115</v>
      </c>
    </row>
    <row r="1642" spans="1:42" s="89" customFormat="1" x14ac:dyDescent="0.15">
      <c r="A1642" s="100" t="s">
        <v>1</v>
      </c>
      <c r="B1642" s="101">
        <v>90160608</v>
      </c>
      <c r="C1642" s="101">
        <v>1606</v>
      </c>
      <c r="D1642" s="101">
        <v>16</v>
      </c>
      <c r="E1642" s="101"/>
      <c r="F1642" s="101" t="s">
        <v>115</v>
      </c>
      <c r="G1642" s="101" t="s">
        <v>115</v>
      </c>
      <c r="H1642" s="101" t="s">
        <v>3783</v>
      </c>
      <c r="I1642" s="101">
        <v>4</v>
      </c>
      <c r="J1642" s="100">
        <v>0</v>
      </c>
      <c r="K1642" s="100">
        <v>3</v>
      </c>
      <c r="L1642" s="100" t="s">
        <v>115</v>
      </c>
      <c r="M1642" s="102"/>
      <c r="N1642" s="100"/>
      <c r="O1642" s="100" t="s">
        <v>115</v>
      </c>
      <c r="P1642" s="101"/>
      <c r="Q1642" s="100">
        <v>112</v>
      </c>
      <c r="R1642" s="100">
        <v>357</v>
      </c>
      <c r="S1642" s="100"/>
      <c r="T1642" s="100"/>
      <c r="U1642" s="100"/>
      <c r="V1642" s="100"/>
      <c r="W1642" s="100"/>
      <c r="X1642" s="100">
        <v>90160609</v>
      </c>
      <c r="Y1642" s="100">
        <v>-1</v>
      </c>
      <c r="Z1642" s="100">
        <v>2</v>
      </c>
      <c r="AA1642" s="100" t="s">
        <v>115</v>
      </c>
      <c r="AB1642" s="100" t="s">
        <v>115</v>
      </c>
      <c r="AC1642" s="100" t="s">
        <v>3784</v>
      </c>
      <c r="AD1642" s="100"/>
      <c r="AE1642" s="100"/>
      <c r="AF1642" s="100"/>
      <c r="AG1642" s="100"/>
      <c r="AH1642" s="100"/>
      <c r="AI1642" s="100" t="s">
        <v>115</v>
      </c>
      <c r="AJ1642" s="100"/>
      <c r="AK1642" s="100"/>
      <c r="AL1642" s="100"/>
      <c r="AM1642" s="100"/>
      <c r="AN1642" s="100"/>
      <c r="AO1642" s="100"/>
      <c r="AP1642" s="89" t="s">
        <v>115</v>
      </c>
    </row>
    <row r="1643" spans="1:42" s="89" customFormat="1" x14ac:dyDescent="0.15">
      <c r="A1643" s="100" t="s">
        <v>1</v>
      </c>
      <c r="B1643" s="101">
        <v>90160609</v>
      </c>
      <c r="C1643" s="101">
        <v>1606</v>
      </c>
      <c r="D1643" s="101">
        <v>16</v>
      </c>
      <c r="E1643" s="101"/>
      <c r="F1643" s="101" t="s">
        <v>373</v>
      </c>
      <c r="G1643" s="101" t="s">
        <v>115</v>
      </c>
      <c r="H1643" s="101" t="s">
        <v>3785</v>
      </c>
      <c r="I1643" s="101">
        <v>3</v>
      </c>
      <c r="J1643" s="100">
        <v>0</v>
      </c>
      <c r="K1643" s="100">
        <v>0</v>
      </c>
      <c r="L1643" s="100" t="s">
        <v>115</v>
      </c>
      <c r="M1643" s="102"/>
      <c r="N1643" s="100"/>
      <c r="O1643" s="100" t="s">
        <v>115</v>
      </c>
      <c r="P1643" s="101"/>
      <c r="Q1643" s="100">
        <v>112</v>
      </c>
      <c r="R1643" s="100">
        <v>357</v>
      </c>
      <c r="S1643" s="100"/>
      <c r="T1643" s="100"/>
      <c r="U1643" s="100"/>
      <c r="V1643" s="100"/>
      <c r="W1643" s="100"/>
      <c r="X1643" s="100">
        <v>90160610</v>
      </c>
      <c r="Y1643" s="100" t="s">
        <v>115</v>
      </c>
      <c r="Z1643" s="100" t="s">
        <v>115</v>
      </c>
      <c r="AA1643" s="100" t="s">
        <v>115</v>
      </c>
      <c r="AB1643" s="100" t="s">
        <v>115</v>
      </c>
      <c r="AC1643" s="100" t="s">
        <v>115</v>
      </c>
      <c r="AD1643" s="100"/>
      <c r="AE1643" s="100"/>
      <c r="AF1643" s="100"/>
      <c r="AG1643" s="100"/>
      <c r="AH1643" s="100"/>
      <c r="AI1643" s="100" t="s">
        <v>115</v>
      </c>
      <c r="AJ1643" s="100"/>
      <c r="AK1643" s="100"/>
      <c r="AL1643" s="100"/>
      <c r="AM1643" s="100"/>
      <c r="AN1643" s="100"/>
      <c r="AO1643" s="100"/>
      <c r="AP1643" s="89" t="s">
        <v>115</v>
      </c>
    </row>
    <row r="1644" spans="1:42" s="89" customFormat="1" x14ac:dyDescent="0.15">
      <c r="A1644" s="100" t="s">
        <v>1</v>
      </c>
      <c r="B1644" s="101">
        <v>90160610</v>
      </c>
      <c r="C1644" s="101">
        <v>1606</v>
      </c>
      <c r="D1644" s="101">
        <v>16</v>
      </c>
      <c r="E1644" s="101"/>
      <c r="F1644" s="101" t="s">
        <v>373</v>
      </c>
      <c r="G1644" s="101" t="s">
        <v>115</v>
      </c>
      <c r="H1644" s="101" t="s">
        <v>3786</v>
      </c>
      <c r="I1644" s="101">
        <v>3</v>
      </c>
      <c r="J1644" s="100">
        <v>0</v>
      </c>
      <c r="K1644" s="100">
        <v>4</v>
      </c>
      <c r="L1644" s="100" t="s">
        <v>4815</v>
      </c>
      <c r="M1644" s="102"/>
      <c r="N1644" s="100"/>
      <c r="O1644" s="100" t="s">
        <v>115</v>
      </c>
      <c r="P1644" s="101"/>
      <c r="Q1644" s="100">
        <v>112</v>
      </c>
      <c r="R1644" s="100">
        <v>357</v>
      </c>
      <c r="S1644" s="100"/>
      <c r="T1644" s="100"/>
      <c r="U1644" s="100"/>
      <c r="V1644" s="100"/>
      <c r="W1644" s="100"/>
      <c r="X1644" s="100">
        <v>90160611</v>
      </c>
      <c r="Y1644" s="100" t="s">
        <v>115</v>
      </c>
      <c r="Z1644" s="100">
        <v>3</v>
      </c>
      <c r="AA1644" s="100" t="s">
        <v>115</v>
      </c>
      <c r="AB1644" s="100" t="s">
        <v>115</v>
      </c>
      <c r="AC1644" s="100" t="s">
        <v>115</v>
      </c>
      <c r="AD1644" s="100"/>
      <c r="AE1644" s="100"/>
      <c r="AF1644" s="100"/>
      <c r="AG1644" s="100"/>
      <c r="AH1644" s="100"/>
      <c r="AI1644" s="100" t="s">
        <v>115</v>
      </c>
      <c r="AJ1644" s="100"/>
      <c r="AK1644" s="100"/>
      <c r="AL1644" s="100"/>
      <c r="AM1644" s="100"/>
      <c r="AN1644" s="100"/>
      <c r="AO1644" s="100"/>
      <c r="AP1644" s="89" t="s">
        <v>115</v>
      </c>
    </row>
    <row r="1645" spans="1:42" s="89" customFormat="1" x14ac:dyDescent="0.15">
      <c r="A1645" s="100" t="s">
        <v>1</v>
      </c>
      <c r="B1645" s="101">
        <v>90160611</v>
      </c>
      <c r="C1645" s="101">
        <v>1606</v>
      </c>
      <c r="D1645" s="101">
        <v>16</v>
      </c>
      <c r="E1645" s="101"/>
      <c r="F1645" s="101" t="s">
        <v>116</v>
      </c>
      <c r="G1645" s="101">
        <v>313</v>
      </c>
      <c r="H1645" s="101" t="s">
        <v>3787</v>
      </c>
      <c r="I1645" s="101">
        <v>0</v>
      </c>
      <c r="J1645" s="100">
        <v>0</v>
      </c>
      <c r="K1645" s="100">
        <v>0</v>
      </c>
      <c r="L1645" s="100" t="s">
        <v>115</v>
      </c>
      <c r="M1645" s="102"/>
      <c r="N1645" s="100"/>
      <c r="O1645" s="100" t="s">
        <v>115</v>
      </c>
      <c r="P1645" s="101"/>
      <c r="Q1645" s="100">
        <v>112</v>
      </c>
      <c r="R1645" s="100">
        <v>357</v>
      </c>
      <c r="S1645" s="100"/>
      <c r="T1645" s="100"/>
      <c r="U1645" s="100"/>
      <c r="V1645" s="100"/>
      <c r="W1645" s="100"/>
      <c r="X1645" s="100">
        <v>90160612</v>
      </c>
      <c r="Y1645" s="100" t="s">
        <v>115</v>
      </c>
      <c r="Z1645" s="100" t="s">
        <v>115</v>
      </c>
      <c r="AA1645" s="100" t="s">
        <v>115</v>
      </c>
      <c r="AB1645" s="100" t="s">
        <v>115</v>
      </c>
      <c r="AC1645" s="100" t="s">
        <v>115</v>
      </c>
      <c r="AD1645" s="100"/>
      <c r="AE1645" s="100"/>
      <c r="AF1645" s="100"/>
      <c r="AG1645" s="100"/>
      <c r="AH1645" s="100"/>
      <c r="AI1645" s="100" t="s">
        <v>115</v>
      </c>
      <c r="AJ1645" s="100"/>
      <c r="AK1645" s="100"/>
      <c r="AL1645" s="100"/>
      <c r="AM1645" s="100"/>
      <c r="AN1645" s="100"/>
      <c r="AO1645" s="100"/>
      <c r="AP1645" s="89" t="s">
        <v>115</v>
      </c>
    </row>
    <row r="1646" spans="1:42" s="89" customFormat="1" x14ac:dyDescent="0.15">
      <c r="A1646" s="100" t="s">
        <v>1</v>
      </c>
      <c r="B1646" s="101">
        <v>90160612</v>
      </c>
      <c r="C1646" s="101">
        <v>1606</v>
      </c>
      <c r="D1646" s="101">
        <v>16</v>
      </c>
      <c r="E1646" s="101"/>
      <c r="F1646" s="101" t="s">
        <v>373</v>
      </c>
      <c r="G1646" s="101" t="s">
        <v>115</v>
      </c>
      <c r="H1646" s="101" t="s">
        <v>3788</v>
      </c>
      <c r="I1646" s="101">
        <v>3</v>
      </c>
      <c r="J1646" s="100">
        <v>0</v>
      </c>
      <c r="K1646" s="100">
        <v>0</v>
      </c>
      <c r="L1646" s="100" t="s">
        <v>115</v>
      </c>
      <c r="M1646" s="102"/>
      <c r="N1646" s="100"/>
      <c r="O1646" s="100" t="s">
        <v>115</v>
      </c>
      <c r="P1646" s="101"/>
      <c r="Q1646" s="100">
        <v>112</v>
      </c>
      <c r="R1646" s="100">
        <v>357</v>
      </c>
      <c r="S1646" s="100"/>
      <c r="T1646" s="100"/>
      <c r="U1646" s="100"/>
      <c r="V1646" s="100"/>
      <c r="W1646" s="100"/>
      <c r="X1646" s="100">
        <v>90160613</v>
      </c>
      <c r="Y1646" s="100" t="s">
        <v>115</v>
      </c>
      <c r="Z1646" s="100" t="s">
        <v>115</v>
      </c>
      <c r="AA1646" s="100" t="s">
        <v>115</v>
      </c>
      <c r="AB1646" s="100" t="s">
        <v>115</v>
      </c>
      <c r="AC1646" s="100" t="s">
        <v>115</v>
      </c>
      <c r="AD1646" s="100"/>
      <c r="AE1646" s="100"/>
      <c r="AF1646" s="100"/>
      <c r="AG1646" s="100"/>
      <c r="AH1646" s="100"/>
      <c r="AI1646" s="100" t="s">
        <v>115</v>
      </c>
      <c r="AJ1646" s="100"/>
      <c r="AK1646" s="100"/>
      <c r="AL1646" s="100"/>
      <c r="AM1646" s="100"/>
      <c r="AN1646" s="100"/>
      <c r="AO1646" s="100"/>
      <c r="AP1646" s="89" t="s">
        <v>115</v>
      </c>
    </row>
    <row r="1647" spans="1:42" s="89" customFormat="1" x14ac:dyDescent="0.15">
      <c r="A1647" s="100" t="s">
        <v>1</v>
      </c>
      <c r="B1647" s="101">
        <v>90160613</v>
      </c>
      <c r="C1647" s="101">
        <v>1606</v>
      </c>
      <c r="D1647" s="101">
        <v>16</v>
      </c>
      <c r="E1647" s="101"/>
      <c r="F1647" s="101" t="s">
        <v>116</v>
      </c>
      <c r="G1647" s="101">
        <v>314</v>
      </c>
      <c r="H1647" s="101" t="s">
        <v>3789</v>
      </c>
      <c r="I1647" s="101">
        <v>0</v>
      </c>
      <c r="J1647" s="100">
        <v>0</v>
      </c>
      <c r="K1647" s="100">
        <v>0</v>
      </c>
      <c r="L1647" s="100" t="s">
        <v>115</v>
      </c>
      <c r="M1647" s="102"/>
      <c r="N1647" s="100"/>
      <c r="O1647" s="100" t="s">
        <v>115</v>
      </c>
      <c r="P1647" s="101"/>
      <c r="Q1647" s="100">
        <v>112</v>
      </c>
      <c r="R1647" s="100">
        <v>357</v>
      </c>
      <c r="S1647" s="100"/>
      <c r="T1647" s="100"/>
      <c r="U1647" s="100"/>
      <c r="V1647" s="100"/>
      <c r="W1647" s="100"/>
      <c r="X1647" s="100">
        <v>90160614</v>
      </c>
      <c r="Y1647" s="100" t="s">
        <v>115</v>
      </c>
      <c r="Z1647" s="100" t="s">
        <v>115</v>
      </c>
      <c r="AA1647" s="100" t="s">
        <v>115</v>
      </c>
      <c r="AB1647" s="100" t="s">
        <v>115</v>
      </c>
      <c r="AC1647" s="100" t="s">
        <v>115</v>
      </c>
      <c r="AD1647" s="100"/>
      <c r="AE1647" s="100"/>
      <c r="AF1647" s="100"/>
      <c r="AG1647" s="100"/>
      <c r="AH1647" s="100"/>
      <c r="AI1647" s="100" t="s">
        <v>115</v>
      </c>
      <c r="AJ1647" s="100"/>
      <c r="AK1647" s="100"/>
      <c r="AL1647" s="100"/>
      <c r="AM1647" s="100"/>
      <c r="AN1647" s="100"/>
      <c r="AO1647" s="100"/>
      <c r="AP1647" s="89" t="s">
        <v>115</v>
      </c>
    </row>
    <row r="1648" spans="1:42" s="89" customFormat="1" x14ac:dyDescent="0.15">
      <c r="A1648" s="100" t="s">
        <v>1</v>
      </c>
      <c r="B1648" s="101">
        <v>90160614</v>
      </c>
      <c r="C1648" s="101">
        <v>1606</v>
      </c>
      <c r="D1648" s="101">
        <v>16</v>
      </c>
      <c r="E1648" s="101"/>
      <c r="F1648" s="101" t="s">
        <v>373</v>
      </c>
      <c r="G1648" s="101" t="s">
        <v>115</v>
      </c>
      <c r="H1648" s="101" t="s">
        <v>3790</v>
      </c>
      <c r="I1648" s="101">
        <v>3</v>
      </c>
      <c r="J1648" s="100">
        <v>0</v>
      </c>
      <c r="K1648" s="100">
        <v>5</v>
      </c>
      <c r="L1648" s="100" t="s">
        <v>115</v>
      </c>
      <c r="M1648" s="102"/>
      <c r="N1648" s="100"/>
      <c r="O1648" s="100">
        <v>1</v>
      </c>
      <c r="P1648" s="101"/>
      <c r="Q1648" s="100">
        <v>112</v>
      </c>
      <c r="R1648" s="100">
        <v>357</v>
      </c>
      <c r="S1648" s="100"/>
      <c r="T1648" s="100"/>
      <c r="U1648" s="100"/>
      <c r="V1648" s="100"/>
      <c r="W1648" s="100"/>
      <c r="X1648" s="100" t="s">
        <v>115</v>
      </c>
      <c r="Y1648" s="100" t="s">
        <v>115</v>
      </c>
      <c r="Z1648" s="100">
        <v>4</v>
      </c>
      <c r="AA1648" s="100" t="s">
        <v>115</v>
      </c>
      <c r="AB1648" s="100" t="s">
        <v>115</v>
      </c>
      <c r="AC1648" s="100" t="s">
        <v>115</v>
      </c>
      <c r="AD1648" s="100"/>
      <c r="AE1648" s="100"/>
      <c r="AF1648" s="100"/>
      <c r="AG1648" s="100"/>
      <c r="AH1648" s="100"/>
      <c r="AI1648" s="100" t="s">
        <v>115</v>
      </c>
      <c r="AJ1648" s="100"/>
      <c r="AK1648" s="100"/>
      <c r="AL1648" s="100"/>
      <c r="AM1648" s="100"/>
      <c r="AN1648" s="100"/>
      <c r="AO1648" s="100"/>
      <c r="AP1648" s="89" t="s">
        <v>115</v>
      </c>
    </row>
    <row r="1649" spans="1:42" s="89" customFormat="1" x14ac:dyDescent="0.15">
      <c r="A1649" s="100" t="s">
        <v>1</v>
      </c>
      <c r="B1649" s="101" t="s">
        <v>3458</v>
      </c>
      <c r="C1649" s="101">
        <v>1607</v>
      </c>
      <c r="D1649" s="101">
        <v>16</v>
      </c>
      <c r="E1649" s="101"/>
      <c r="F1649" s="101" t="s">
        <v>115</v>
      </c>
      <c r="G1649" s="101" t="s">
        <v>115</v>
      </c>
      <c r="H1649" s="101" t="s">
        <v>3791</v>
      </c>
      <c r="I1649" s="101">
        <v>4</v>
      </c>
      <c r="J1649" s="100">
        <v>1</v>
      </c>
      <c r="K1649" s="100">
        <v>1</v>
      </c>
      <c r="L1649" s="100" t="s">
        <v>115</v>
      </c>
      <c r="M1649" s="102"/>
      <c r="N1649" s="100"/>
      <c r="O1649" s="100" t="s">
        <v>115</v>
      </c>
      <c r="P1649" s="101"/>
      <c r="Q1649" s="100">
        <v>198</v>
      </c>
      <c r="R1649" s="100" t="s">
        <v>115</v>
      </c>
      <c r="S1649" s="100"/>
      <c r="T1649" s="100"/>
      <c r="U1649" s="100"/>
      <c r="V1649" s="100"/>
      <c r="W1649" s="100"/>
      <c r="X1649" s="100">
        <v>90160702</v>
      </c>
      <c r="Y1649" s="100" t="s">
        <v>115</v>
      </c>
      <c r="Z1649" s="100" t="s">
        <v>115</v>
      </c>
      <c r="AA1649" s="100" t="s">
        <v>115</v>
      </c>
      <c r="AB1649" s="100" t="s">
        <v>115</v>
      </c>
      <c r="AC1649" s="100" t="s">
        <v>115</v>
      </c>
      <c r="AD1649" s="100"/>
      <c r="AE1649" s="100"/>
      <c r="AF1649" s="100"/>
      <c r="AG1649" s="100"/>
      <c r="AH1649" s="100"/>
      <c r="AI1649" s="100" t="s">
        <v>115</v>
      </c>
      <c r="AJ1649" s="100"/>
      <c r="AK1649" s="100"/>
      <c r="AL1649" s="100"/>
      <c r="AM1649" s="100"/>
      <c r="AN1649" s="100"/>
      <c r="AO1649" s="100"/>
      <c r="AP1649" s="89" t="s">
        <v>115</v>
      </c>
    </row>
    <row r="1650" spans="1:42" s="89" customFormat="1" x14ac:dyDescent="0.15">
      <c r="A1650" s="100" t="s">
        <v>1</v>
      </c>
      <c r="B1650" s="101">
        <v>90160702</v>
      </c>
      <c r="C1650" s="101">
        <v>1607</v>
      </c>
      <c r="D1650" s="101">
        <v>16</v>
      </c>
      <c r="E1650" s="101"/>
      <c r="F1650" s="101" t="s">
        <v>115</v>
      </c>
      <c r="G1650" s="101" t="s">
        <v>115</v>
      </c>
      <c r="H1650" s="101" t="s">
        <v>3792</v>
      </c>
      <c r="I1650" s="101">
        <v>4</v>
      </c>
      <c r="J1650" s="100">
        <v>0</v>
      </c>
      <c r="K1650" s="100">
        <v>0</v>
      </c>
      <c r="L1650" s="100" t="s">
        <v>115</v>
      </c>
      <c r="M1650" s="102"/>
      <c r="N1650" s="100"/>
      <c r="O1650" s="100" t="s">
        <v>115</v>
      </c>
      <c r="P1650" s="101"/>
      <c r="Q1650" s="100">
        <v>198</v>
      </c>
      <c r="R1650" s="100" t="s">
        <v>115</v>
      </c>
      <c r="S1650" s="100"/>
      <c r="T1650" s="100"/>
      <c r="U1650" s="100"/>
      <c r="V1650" s="100"/>
      <c r="W1650" s="100"/>
      <c r="X1650" s="100">
        <v>90160703</v>
      </c>
      <c r="Y1650" s="100" t="s">
        <v>115</v>
      </c>
      <c r="Z1650" s="100" t="s">
        <v>115</v>
      </c>
      <c r="AA1650" s="100" t="s">
        <v>115</v>
      </c>
      <c r="AB1650" s="100" t="s">
        <v>115</v>
      </c>
      <c r="AC1650" s="100" t="s">
        <v>115</v>
      </c>
      <c r="AD1650" s="100"/>
      <c r="AE1650" s="100"/>
      <c r="AF1650" s="100"/>
      <c r="AG1650" s="100"/>
      <c r="AH1650" s="100"/>
      <c r="AI1650" s="100" t="s">
        <v>115</v>
      </c>
      <c r="AJ1650" s="100"/>
      <c r="AK1650" s="100"/>
      <c r="AL1650" s="100"/>
      <c r="AM1650" s="100"/>
      <c r="AN1650" s="100"/>
      <c r="AO1650" s="100"/>
      <c r="AP1650" s="89" t="s">
        <v>115</v>
      </c>
    </row>
    <row r="1651" spans="1:42" s="89" customFormat="1" x14ac:dyDescent="0.15">
      <c r="A1651" s="100" t="s">
        <v>1</v>
      </c>
      <c r="B1651" s="101">
        <v>90160703</v>
      </c>
      <c r="C1651" s="101">
        <v>1607</v>
      </c>
      <c r="D1651" s="101">
        <v>16</v>
      </c>
      <c r="E1651" s="101"/>
      <c r="F1651" s="101" t="s">
        <v>115</v>
      </c>
      <c r="G1651" s="101" t="s">
        <v>115</v>
      </c>
      <c r="H1651" s="101" t="s">
        <v>3793</v>
      </c>
      <c r="I1651" s="101">
        <v>4</v>
      </c>
      <c r="J1651" s="100">
        <v>0</v>
      </c>
      <c r="K1651" s="100">
        <v>0</v>
      </c>
      <c r="L1651" s="100" t="s">
        <v>115</v>
      </c>
      <c r="M1651" s="102"/>
      <c r="N1651" s="100"/>
      <c r="O1651" s="100" t="s">
        <v>115</v>
      </c>
      <c r="P1651" s="101"/>
      <c r="Q1651" s="100">
        <v>198</v>
      </c>
      <c r="R1651" s="100" t="s">
        <v>115</v>
      </c>
      <c r="S1651" s="100"/>
      <c r="T1651" s="100"/>
      <c r="U1651" s="100"/>
      <c r="V1651" s="100"/>
      <c r="W1651" s="100"/>
      <c r="X1651" s="100">
        <v>90160704</v>
      </c>
      <c r="Y1651" s="100" t="s">
        <v>115</v>
      </c>
      <c r="Z1651" s="100" t="s">
        <v>115</v>
      </c>
      <c r="AA1651" s="100" t="s">
        <v>115</v>
      </c>
      <c r="AB1651" s="100" t="s">
        <v>115</v>
      </c>
      <c r="AC1651" s="100" t="s">
        <v>115</v>
      </c>
      <c r="AD1651" s="100"/>
      <c r="AE1651" s="100"/>
      <c r="AF1651" s="100"/>
      <c r="AG1651" s="100"/>
      <c r="AH1651" s="100"/>
      <c r="AI1651" s="100" t="s">
        <v>115</v>
      </c>
      <c r="AJ1651" s="100"/>
      <c r="AK1651" s="100"/>
      <c r="AL1651" s="100"/>
      <c r="AM1651" s="100"/>
      <c r="AN1651" s="100"/>
      <c r="AO1651" s="100"/>
      <c r="AP1651" s="89" t="s">
        <v>115</v>
      </c>
    </row>
    <row r="1652" spans="1:42" s="89" customFormat="1" x14ac:dyDescent="0.15">
      <c r="A1652" s="100" t="s">
        <v>1</v>
      </c>
      <c r="B1652" s="101">
        <v>90160704</v>
      </c>
      <c r="C1652" s="101">
        <v>1607</v>
      </c>
      <c r="D1652" s="101">
        <v>16</v>
      </c>
      <c r="E1652" s="101"/>
      <c r="F1652" s="101" t="s">
        <v>115</v>
      </c>
      <c r="G1652" s="101" t="s">
        <v>115</v>
      </c>
      <c r="H1652" s="101" t="s">
        <v>3794</v>
      </c>
      <c r="I1652" s="101">
        <v>4</v>
      </c>
      <c r="J1652" s="100">
        <v>0</v>
      </c>
      <c r="K1652" s="100">
        <v>2</v>
      </c>
      <c r="L1652" s="100" t="s">
        <v>115</v>
      </c>
      <c r="M1652" s="102"/>
      <c r="N1652" s="100"/>
      <c r="O1652" s="100" t="s">
        <v>115</v>
      </c>
      <c r="P1652" s="101"/>
      <c r="Q1652" s="100">
        <v>198</v>
      </c>
      <c r="R1652" s="100" t="s">
        <v>115</v>
      </c>
      <c r="S1652" s="100"/>
      <c r="T1652" s="100"/>
      <c r="U1652" s="100"/>
      <c r="V1652" s="100"/>
      <c r="W1652" s="100"/>
      <c r="X1652" s="100" t="s">
        <v>3795</v>
      </c>
      <c r="Y1652" s="100">
        <v>1</v>
      </c>
      <c r="Z1652" s="100">
        <v>1</v>
      </c>
      <c r="AA1652" s="100" t="s">
        <v>115</v>
      </c>
      <c r="AB1652" s="100" t="s">
        <v>115</v>
      </c>
      <c r="AC1652" s="100" t="s">
        <v>115</v>
      </c>
      <c r="AD1652" s="100"/>
      <c r="AE1652" s="100"/>
      <c r="AF1652" s="100"/>
      <c r="AG1652" s="100"/>
      <c r="AH1652" s="100"/>
      <c r="AI1652" s="100" t="s">
        <v>115</v>
      </c>
      <c r="AJ1652" s="100"/>
      <c r="AK1652" s="100"/>
      <c r="AL1652" s="100"/>
      <c r="AM1652" s="100"/>
      <c r="AN1652" s="100"/>
      <c r="AO1652" s="100"/>
      <c r="AP1652" s="89" t="s">
        <v>115</v>
      </c>
    </row>
    <row r="1653" spans="1:42" s="89" customFormat="1" x14ac:dyDescent="0.15">
      <c r="A1653" s="100" t="s">
        <v>1</v>
      </c>
      <c r="B1653" s="101">
        <v>90160705</v>
      </c>
      <c r="C1653" s="101">
        <v>1607</v>
      </c>
      <c r="D1653" s="101">
        <v>16</v>
      </c>
      <c r="E1653" s="101"/>
      <c r="F1653" s="101" t="s">
        <v>115</v>
      </c>
      <c r="G1653" s="101" t="s">
        <v>115</v>
      </c>
      <c r="H1653" s="101" t="s">
        <v>3796</v>
      </c>
      <c r="I1653" s="101">
        <v>4</v>
      </c>
      <c r="J1653" s="100">
        <v>0</v>
      </c>
      <c r="K1653" s="100">
        <v>3</v>
      </c>
      <c r="L1653" s="100" t="s">
        <v>115</v>
      </c>
      <c r="M1653" s="102"/>
      <c r="N1653" s="100"/>
      <c r="O1653" s="100" t="s">
        <v>115</v>
      </c>
      <c r="P1653" s="101"/>
      <c r="Q1653" s="100">
        <v>198</v>
      </c>
      <c r="R1653" s="100" t="s">
        <v>115</v>
      </c>
      <c r="S1653" s="100"/>
      <c r="T1653" s="100"/>
      <c r="U1653" s="100"/>
      <c r="V1653" s="100"/>
      <c r="W1653" s="100"/>
      <c r="X1653" s="100">
        <v>90160707</v>
      </c>
      <c r="Y1653" s="100">
        <v>-1</v>
      </c>
      <c r="Z1653" s="100">
        <v>2</v>
      </c>
      <c r="AA1653" s="100" t="s">
        <v>115</v>
      </c>
      <c r="AB1653" s="100" t="s">
        <v>115</v>
      </c>
      <c r="AC1653" s="100" t="s">
        <v>3797</v>
      </c>
      <c r="AD1653" s="100"/>
      <c r="AE1653" s="100"/>
      <c r="AF1653" s="100"/>
      <c r="AG1653" s="100"/>
      <c r="AH1653" s="100"/>
      <c r="AI1653" s="100" t="s">
        <v>115</v>
      </c>
      <c r="AJ1653" s="100"/>
      <c r="AK1653" s="100"/>
      <c r="AL1653" s="100"/>
      <c r="AM1653" s="100"/>
      <c r="AN1653" s="100"/>
      <c r="AO1653" s="100"/>
      <c r="AP1653" s="89" t="s">
        <v>115</v>
      </c>
    </row>
    <row r="1654" spans="1:42" s="89" customFormat="1" x14ac:dyDescent="0.15">
      <c r="A1654" s="100" t="s">
        <v>1</v>
      </c>
      <c r="B1654" s="101">
        <v>90160706</v>
      </c>
      <c r="C1654" s="101">
        <v>1607</v>
      </c>
      <c r="D1654" s="101">
        <v>16</v>
      </c>
      <c r="E1654" s="101"/>
      <c r="F1654" s="101" t="s">
        <v>115</v>
      </c>
      <c r="G1654" s="101" t="s">
        <v>115</v>
      </c>
      <c r="H1654" s="101" t="s">
        <v>3798</v>
      </c>
      <c r="I1654" s="101">
        <v>4</v>
      </c>
      <c r="J1654" s="100">
        <v>0</v>
      </c>
      <c r="K1654" s="100">
        <v>4</v>
      </c>
      <c r="L1654" s="100" t="s">
        <v>115</v>
      </c>
      <c r="M1654" s="102"/>
      <c r="N1654" s="100"/>
      <c r="O1654" s="100" t="s">
        <v>115</v>
      </c>
      <c r="P1654" s="101"/>
      <c r="Q1654" s="100">
        <v>198</v>
      </c>
      <c r="R1654" s="100" t="s">
        <v>115</v>
      </c>
      <c r="S1654" s="100"/>
      <c r="T1654" s="100"/>
      <c r="U1654" s="100"/>
      <c r="V1654" s="100"/>
      <c r="W1654" s="100"/>
      <c r="X1654" s="100">
        <v>90160708</v>
      </c>
      <c r="Y1654" s="100">
        <v>-1</v>
      </c>
      <c r="Z1654" s="100">
        <v>2</v>
      </c>
      <c r="AA1654" s="100" t="s">
        <v>115</v>
      </c>
      <c r="AB1654" s="100" t="s">
        <v>115</v>
      </c>
      <c r="AC1654" s="100" t="s">
        <v>3799</v>
      </c>
      <c r="AD1654" s="100"/>
      <c r="AE1654" s="100"/>
      <c r="AF1654" s="100"/>
      <c r="AG1654" s="100"/>
      <c r="AH1654" s="100"/>
      <c r="AI1654" s="100" t="s">
        <v>115</v>
      </c>
      <c r="AJ1654" s="100"/>
      <c r="AK1654" s="100"/>
      <c r="AL1654" s="100"/>
      <c r="AM1654" s="100"/>
      <c r="AN1654" s="100"/>
      <c r="AO1654" s="100"/>
      <c r="AP1654" s="89" t="s">
        <v>115</v>
      </c>
    </row>
    <row r="1655" spans="1:42" s="89" customFormat="1" x14ac:dyDescent="0.15">
      <c r="A1655" s="100" t="s">
        <v>1</v>
      </c>
      <c r="B1655" s="101">
        <v>90160707</v>
      </c>
      <c r="C1655" s="101">
        <v>1607</v>
      </c>
      <c r="D1655" s="101">
        <v>16</v>
      </c>
      <c r="E1655" s="101"/>
      <c r="F1655" s="101" t="s">
        <v>116</v>
      </c>
      <c r="G1655" s="101">
        <v>312</v>
      </c>
      <c r="H1655" s="101" t="s">
        <v>3800</v>
      </c>
      <c r="I1655" s="101">
        <v>0</v>
      </c>
      <c r="J1655" s="100">
        <v>0</v>
      </c>
      <c r="K1655" s="100">
        <v>0</v>
      </c>
      <c r="L1655" s="100" t="s">
        <v>115</v>
      </c>
      <c r="M1655" s="102"/>
      <c r="N1655" s="100"/>
      <c r="O1655" s="100" t="s">
        <v>115</v>
      </c>
      <c r="P1655" s="101"/>
      <c r="Q1655" s="100">
        <v>171</v>
      </c>
      <c r="R1655" s="100" t="s">
        <v>115</v>
      </c>
      <c r="S1655" s="100"/>
      <c r="T1655" s="100"/>
      <c r="U1655" s="100"/>
      <c r="V1655" s="100"/>
      <c r="W1655" s="100"/>
      <c r="X1655" s="100">
        <v>90160709</v>
      </c>
      <c r="Y1655" s="100" t="s">
        <v>115</v>
      </c>
      <c r="Z1655" s="100" t="s">
        <v>115</v>
      </c>
      <c r="AA1655" s="100" t="s">
        <v>115</v>
      </c>
      <c r="AB1655" s="100" t="s">
        <v>115</v>
      </c>
      <c r="AC1655" s="100" t="s">
        <v>115</v>
      </c>
      <c r="AD1655" s="100"/>
      <c r="AE1655" s="100"/>
      <c r="AF1655" s="100"/>
      <c r="AG1655" s="100"/>
      <c r="AH1655" s="100"/>
      <c r="AI1655" s="100" t="s">
        <v>115</v>
      </c>
      <c r="AJ1655" s="100"/>
      <c r="AK1655" s="100"/>
      <c r="AL1655" s="100"/>
      <c r="AM1655" s="100"/>
      <c r="AN1655" s="100"/>
      <c r="AO1655" s="100"/>
      <c r="AP1655" s="89" t="s">
        <v>115</v>
      </c>
    </row>
    <row r="1656" spans="1:42" s="89" customFormat="1" x14ac:dyDescent="0.15">
      <c r="A1656" s="100" t="s">
        <v>1</v>
      </c>
      <c r="B1656" s="101">
        <v>90160708</v>
      </c>
      <c r="C1656" s="101">
        <v>1607</v>
      </c>
      <c r="D1656" s="101">
        <v>16</v>
      </c>
      <c r="E1656" s="101"/>
      <c r="F1656" s="101" t="s">
        <v>116</v>
      </c>
      <c r="G1656" s="101">
        <v>312</v>
      </c>
      <c r="H1656" s="101" t="s">
        <v>3801</v>
      </c>
      <c r="I1656" s="101">
        <v>0</v>
      </c>
      <c r="J1656" s="100">
        <v>0</v>
      </c>
      <c r="K1656" s="100">
        <v>0</v>
      </c>
      <c r="L1656" s="100" t="s">
        <v>115</v>
      </c>
      <c r="M1656" s="102"/>
      <c r="N1656" s="100"/>
      <c r="O1656" s="100" t="s">
        <v>115</v>
      </c>
      <c r="P1656" s="101"/>
      <c r="Q1656" s="100">
        <v>171</v>
      </c>
      <c r="R1656" s="100" t="s">
        <v>115</v>
      </c>
      <c r="S1656" s="100"/>
      <c r="T1656" s="100"/>
      <c r="U1656" s="100"/>
      <c r="V1656" s="100"/>
      <c r="W1656" s="100"/>
      <c r="X1656" s="100">
        <v>90160709</v>
      </c>
      <c r="Y1656" s="100" t="s">
        <v>115</v>
      </c>
      <c r="Z1656" s="100" t="s">
        <v>115</v>
      </c>
      <c r="AA1656" s="100" t="s">
        <v>115</v>
      </c>
      <c r="AB1656" s="100" t="s">
        <v>115</v>
      </c>
      <c r="AC1656" s="100" t="s">
        <v>115</v>
      </c>
      <c r="AD1656" s="100"/>
      <c r="AE1656" s="100"/>
      <c r="AF1656" s="100"/>
      <c r="AG1656" s="100"/>
      <c r="AH1656" s="100"/>
      <c r="AI1656" s="100" t="s">
        <v>115</v>
      </c>
      <c r="AJ1656" s="100"/>
      <c r="AK1656" s="100"/>
      <c r="AL1656" s="100"/>
      <c r="AM1656" s="100"/>
      <c r="AN1656" s="100"/>
      <c r="AO1656" s="100"/>
      <c r="AP1656" s="89" t="s">
        <v>115</v>
      </c>
    </row>
    <row r="1657" spans="1:42" s="89" customFormat="1" x14ac:dyDescent="0.15">
      <c r="A1657" s="100" t="s">
        <v>1</v>
      </c>
      <c r="B1657" s="101">
        <v>90160709</v>
      </c>
      <c r="C1657" s="101">
        <v>1607</v>
      </c>
      <c r="D1657" s="101">
        <v>16</v>
      </c>
      <c r="E1657" s="101"/>
      <c r="F1657" s="101" t="s">
        <v>116</v>
      </c>
      <c r="G1657" s="101">
        <v>312</v>
      </c>
      <c r="H1657" s="101" t="s">
        <v>3802</v>
      </c>
      <c r="I1657" s="101">
        <v>0</v>
      </c>
      <c r="J1657" s="100">
        <v>0</v>
      </c>
      <c r="K1657" s="100">
        <v>0</v>
      </c>
      <c r="L1657" s="100" t="s">
        <v>115</v>
      </c>
      <c r="M1657" s="102"/>
      <c r="N1657" s="100"/>
      <c r="O1657" s="100" t="s">
        <v>115</v>
      </c>
      <c r="P1657" s="101"/>
      <c r="Q1657" s="100">
        <v>171</v>
      </c>
      <c r="R1657" s="100" t="s">
        <v>115</v>
      </c>
      <c r="S1657" s="100"/>
      <c r="T1657" s="100"/>
      <c r="U1657" s="100"/>
      <c r="V1657" s="100"/>
      <c r="W1657" s="100"/>
      <c r="X1657" s="100">
        <v>90160710</v>
      </c>
      <c r="Y1657" s="100" t="s">
        <v>115</v>
      </c>
      <c r="Z1657" s="100" t="s">
        <v>115</v>
      </c>
      <c r="AA1657" s="100" t="s">
        <v>115</v>
      </c>
      <c r="AB1657" s="100" t="s">
        <v>115</v>
      </c>
      <c r="AC1657" s="100" t="s">
        <v>115</v>
      </c>
      <c r="AD1657" s="100"/>
      <c r="AE1657" s="100"/>
      <c r="AF1657" s="100"/>
      <c r="AG1657" s="100"/>
      <c r="AH1657" s="100"/>
      <c r="AI1657" s="100" t="s">
        <v>115</v>
      </c>
      <c r="AJ1657" s="100"/>
      <c r="AK1657" s="100"/>
      <c r="AL1657" s="100"/>
      <c r="AM1657" s="100"/>
      <c r="AN1657" s="100"/>
      <c r="AO1657" s="100"/>
      <c r="AP1657" s="89" t="s">
        <v>115</v>
      </c>
    </row>
    <row r="1658" spans="1:42" s="89" customFormat="1" x14ac:dyDescent="0.15">
      <c r="A1658" s="100" t="s">
        <v>1</v>
      </c>
      <c r="B1658" s="101">
        <v>90160710</v>
      </c>
      <c r="C1658" s="101">
        <v>1607</v>
      </c>
      <c r="D1658" s="101">
        <v>16</v>
      </c>
      <c r="E1658" s="101"/>
      <c r="F1658" s="101" t="s">
        <v>116</v>
      </c>
      <c r="G1658" s="101">
        <v>312</v>
      </c>
      <c r="H1658" s="101" t="s">
        <v>3803</v>
      </c>
      <c r="I1658" s="101">
        <v>0</v>
      </c>
      <c r="J1658" s="100">
        <v>0</v>
      </c>
      <c r="K1658" s="100">
        <v>0</v>
      </c>
      <c r="L1658" s="100" t="s">
        <v>115</v>
      </c>
      <c r="M1658" s="102"/>
      <c r="N1658" s="100"/>
      <c r="O1658" s="100" t="s">
        <v>115</v>
      </c>
      <c r="P1658" s="101"/>
      <c r="Q1658" s="100">
        <v>171</v>
      </c>
      <c r="R1658" s="100" t="s">
        <v>115</v>
      </c>
      <c r="S1658" s="100"/>
      <c r="T1658" s="100"/>
      <c r="U1658" s="100"/>
      <c r="V1658" s="100"/>
      <c r="W1658" s="100"/>
      <c r="X1658" s="100">
        <v>90160711</v>
      </c>
      <c r="Y1658" s="100" t="s">
        <v>115</v>
      </c>
      <c r="Z1658" s="100" t="s">
        <v>115</v>
      </c>
      <c r="AA1658" s="100" t="s">
        <v>115</v>
      </c>
      <c r="AB1658" s="100" t="s">
        <v>115</v>
      </c>
      <c r="AC1658" s="100" t="s">
        <v>115</v>
      </c>
      <c r="AD1658" s="100"/>
      <c r="AE1658" s="100"/>
      <c r="AF1658" s="100"/>
      <c r="AG1658" s="100"/>
      <c r="AH1658" s="100"/>
      <c r="AI1658" s="100" t="s">
        <v>115</v>
      </c>
      <c r="AJ1658" s="100"/>
      <c r="AK1658" s="100"/>
      <c r="AL1658" s="100"/>
      <c r="AM1658" s="100"/>
      <c r="AN1658" s="100"/>
      <c r="AO1658" s="100"/>
      <c r="AP1658" s="89" t="s">
        <v>115</v>
      </c>
    </row>
    <row r="1659" spans="1:42" s="89" customFormat="1" x14ac:dyDescent="0.15">
      <c r="A1659" s="100" t="s">
        <v>1</v>
      </c>
      <c r="B1659" s="101">
        <v>90160711</v>
      </c>
      <c r="C1659" s="101">
        <v>1607</v>
      </c>
      <c r="D1659" s="101">
        <v>16</v>
      </c>
      <c r="E1659" s="101"/>
      <c r="F1659" s="101" t="s">
        <v>3804</v>
      </c>
      <c r="G1659" s="101" t="s">
        <v>115</v>
      </c>
      <c r="H1659" s="101" t="s">
        <v>3805</v>
      </c>
      <c r="I1659" s="101">
        <v>3</v>
      </c>
      <c r="J1659" s="100">
        <v>0</v>
      </c>
      <c r="K1659" s="100">
        <v>0</v>
      </c>
      <c r="L1659" s="100" t="s">
        <v>115</v>
      </c>
      <c r="M1659" s="102"/>
      <c r="N1659" s="100"/>
      <c r="O1659" s="100" t="s">
        <v>115</v>
      </c>
      <c r="P1659" s="101"/>
      <c r="Q1659" s="100">
        <v>171</v>
      </c>
      <c r="R1659" s="100">
        <v>156</v>
      </c>
      <c r="S1659" s="100"/>
      <c r="T1659" s="100"/>
      <c r="U1659" s="100"/>
      <c r="V1659" s="100"/>
      <c r="W1659" s="100"/>
      <c r="X1659" s="100">
        <v>90160712</v>
      </c>
      <c r="Y1659" s="100" t="s">
        <v>115</v>
      </c>
      <c r="Z1659" s="100" t="s">
        <v>115</v>
      </c>
      <c r="AA1659" s="100" t="s">
        <v>115</v>
      </c>
      <c r="AB1659" s="100" t="s">
        <v>115</v>
      </c>
      <c r="AC1659" s="100" t="s">
        <v>115</v>
      </c>
      <c r="AD1659" s="100"/>
      <c r="AE1659" s="100"/>
      <c r="AF1659" s="100"/>
      <c r="AG1659" s="100"/>
      <c r="AH1659" s="100"/>
      <c r="AI1659" s="100" t="s">
        <v>115</v>
      </c>
      <c r="AJ1659" s="100"/>
      <c r="AK1659" s="100"/>
      <c r="AL1659" s="100"/>
      <c r="AM1659" s="100"/>
      <c r="AN1659" s="100"/>
      <c r="AO1659" s="100"/>
      <c r="AP1659" s="89" t="s">
        <v>115</v>
      </c>
    </row>
    <row r="1660" spans="1:42" s="89" customFormat="1" x14ac:dyDescent="0.15">
      <c r="A1660" s="100" t="s">
        <v>1</v>
      </c>
      <c r="B1660" s="101">
        <v>90160712</v>
      </c>
      <c r="C1660" s="101">
        <v>1607</v>
      </c>
      <c r="D1660" s="101">
        <v>16</v>
      </c>
      <c r="E1660" s="101"/>
      <c r="F1660" s="101" t="s">
        <v>116</v>
      </c>
      <c r="G1660" s="101">
        <v>313</v>
      </c>
      <c r="H1660" s="101" t="s">
        <v>3806</v>
      </c>
      <c r="I1660" s="101">
        <v>0</v>
      </c>
      <c r="J1660" s="100">
        <v>0</v>
      </c>
      <c r="K1660" s="100">
        <v>0</v>
      </c>
      <c r="L1660" s="100" t="s">
        <v>115</v>
      </c>
      <c r="M1660" s="102"/>
      <c r="N1660" s="100"/>
      <c r="O1660" s="100" t="s">
        <v>115</v>
      </c>
      <c r="P1660" s="101"/>
      <c r="Q1660" s="100">
        <v>171</v>
      </c>
      <c r="R1660" s="100">
        <v>156</v>
      </c>
      <c r="S1660" s="100"/>
      <c r="T1660" s="100"/>
      <c r="U1660" s="100"/>
      <c r="V1660" s="100"/>
      <c r="W1660" s="100"/>
      <c r="X1660" s="100">
        <v>90160713</v>
      </c>
      <c r="Y1660" s="100" t="s">
        <v>115</v>
      </c>
      <c r="Z1660" s="100" t="s">
        <v>115</v>
      </c>
      <c r="AA1660" s="100" t="s">
        <v>115</v>
      </c>
      <c r="AB1660" s="100" t="s">
        <v>115</v>
      </c>
      <c r="AC1660" s="100" t="s">
        <v>115</v>
      </c>
      <c r="AD1660" s="100"/>
      <c r="AE1660" s="100"/>
      <c r="AF1660" s="100"/>
      <c r="AG1660" s="100"/>
      <c r="AH1660" s="100"/>
      <c r="AI1660" s="100" t="s">
        <v>115</v>
      </c>
      <c r="AJ1660" s="100"/>
      <c r="AK1660" s="100"/>
      <c r="AL1660" s="100"/>
      <c r="AM1660" s="100"/>
      <c r="AN1660" s="100"/>
      <c r="AO1660" s="100"/>
      <c r="AP1660" s="89" t="s">
        <v>115</v>
      </c>
    </row>
    <row r="1661" spans="1:42" s="89" customFormat="1" x14ac:dyDescent="0.15">
      <c r="A1661" s="100" t="s">
        <v>1</v>
      </c>
      <c r="B1661" s="101">
        <v>90160713</v>
      </c>
      <c r="C1661" s="101">
        <v>1607</v>
      </c>
      <c r="D1661" s="101">
        <v>16</v>
      </c>
      <c r="E1661" s="101"/>
      <c r="F1661" s="101" t="s">
        <v>3804</v>
      </c>
      <c r="G1661" s="101" t="s">
        <v>115</v>
      </c>
      <c r="H1661" s="101" t="s">
        <v>3807</v>
      </c>
      <c r="I1661" s="101">
        <v>3</v>
      </c>
      <c r="J1661" s="100">
        <v>0</v>
      </c>
      <c r="K1661" s="100">
        <v>5</v>
      </c>
      <c r="L1661" s="100" t="s">
        <v>4816</v>
      </c>
      <c r="M1661" s="102"/>
      <c r="N1661" s="100"/>
      <c r="O1661" s="100" t="s">
        <v>115</v>
      </c>
      <c r="P1661" s="101"/>
      <c r="Q1661" s="100">
        <v>171</v>
      </c>
      <c r="R1661" s="100">
        <v>156</v>
      </c>
      <c r="S1661" s="100"/>
      <c r="T1661" s="100"/>
      <c r="U1661" s="100"/>
      <c r="V1661" s="100"/>
      <c r="W1661" s="100"/>
      <c r="X1661" s="100">
        <v>90160714</v>
      </c>
      <c r="Y1661" s="100" t="s">
        <v>115</v>
      </c>
      <c r="Z1661" s="100">
        <v>4</v>
      </c>
      <c r="AA1661" s="100" t="s">
        <v>115</v>
      </c>
      <c r="AB1661" s="100" t="s">
        <v>115</v>
      </c>
      <c r="AC1661" s="100" t="s">
        <v>115</v>
      </c>
      <c r="AD1661" s="100"/>
      <c r="AE1661" s="100"/>
      <c r="AF1661" s="100"/>
      <c r="AG1661" s="100"/>
      <c r="AH1661" s="100"/>
      <c r="AI1661" s="100" t="s">
        <v>115</v>
      </c>
      <c r="AJ1661" s="100"/>
      <c r="AK1661" s="100"/>
      <c r="AL1661" s="100"/>
      <c r="AM1661" s="100"/>
      <c r="AN1661" s="100"/>
      <c r="AO1661" s="100"/>
      <c r="AP1661" s="89" t="s">
        <v>115</v>
      </c>
    </row>
    <row r="1662" spans="1:42" s="89" customFormat="1" x14ac:dyDescent="0.15">
      <c r="A1662" s="100" t="s">
        <v>1</v>
      </c>
      <c r="B1662" s="101">
        <v>90160714</v>
      </c>
      <c r="C1662" s="101">
        <v>1607</v>
      </c>
      <c r="D1662" s="101">
        <v>16</v>
      </c>
      <c r="E1662" s="101"/>
      <c r="F1662" s="101" t="s">
        <v>3804</v>
      </c>
      <c r="G1662" s="101" t="s">
        <v>115</v>
      </c>
      <c r="H1662" s="101" t="s">
        <v>3808</v>
      </c>
      <c r="I1662" s="101">
        <v>3</v>
      </c>
      <c r="J1662" s="100">
        <v>0</v>
      </c>
      <c r="K1662" s="100">
        <v>0</v>
      </c>
      <c r="L1662" s="100" t="s">
        <v>115</v>
      </c>
      <c r="M1662" s="102"/>
      <c r="N1662" s="100"/>
      <c r="O1662" s="100" t="s">
        <v>115</v>
      </c>
      <c r="P1662" s="101"/>
      <c r="Q1662" s="100">
        <v>171</v>
      </c>
      <c r="R1662" s="100">
        <v>156</v>
      </c>
      <c r="S1662" s="100"/>
      <c r="T1662" s="100"/>
      <c r="U1662" s="100"/>
      <c r="V1662" s="100"/>
      <c r="W1662" s="100"/>
      <c r="X1662" s="100">
        <v>90160715</v>
      </c>
      <c r="Y1662" s="100" t="s">
        <v>115</v>
      </c>
      <c r="Z1662" s="100" t="s">
        <v>115</v>
      </c>
      <c r="AA1662" s="100" t="s">
        <v>115</v>
      </c>
      <c r="AB1662" s="100" t="s">
        <v>115</v>
      </c>
      <c r="AC1662" s="100" t="s">
        <v>115</v>
      </c>
      <c r="AD1662" s="100"/>
      <c r="AE1662" s="100"/>
      <c r="AF1662" s="100"/>
      <c r="AG1662" s="100"/>
      <c r="AH1662" s="100"/>
      <c r="AI1662" s="100" t="s">
        <v>115</v>
      </c>
      <c r="AJ1662" s="100"/>
      <c r="AK1662" s="100"/>
      <c r="AL1662" s="100"/>
      <c r="AM1662" s="100"/>
      <c r="AN1662" s="100"/>
      <c r="AO1662" s="100"/>
      <c r="AP1662" s="89" t="s">
        <v>115</v>
      </c>
    </row>
    <row r="1663" spans="1:42" s="89" customFormat="1" x14ac:dyDescent="0.15">
      <c r="A1663" s="100" t="s">
        <v>1</v>
      </c>
      <c r="B1663" s="101">
        <v>90160715</v>
      </c>
      <c r="C1663" s="101">
        <v>1607</v>
      </c>
      <c r="D1663" s="101">
        <v>16</v>
      </c>
      <c r="E1663" s="101"/>
      <c r="F1663" s="101" t="s">
        <v>116</v>
      </c>
      <c r="G1663" s="101">
        <v>314</v>
      </c>
      <c r="H1663" s="101" t="s">
        <v>3809</v>
      </c>
      <c r="I1663" s="101">
        <v>0</v>
      </c>
      <c r="J1663" s="100">
        <v>0</v>
      </c>
      <c r="K1663" s="100">
        <v>0</v>
      </c>
      <c r="L1663" s="100" t="s">
        <v>115</v>
      </c>
      <c r="M1663" s="102"/>
      <c r="N1663" s="100"/>
      <c r="O1663" s="100" t="s">
        <v>115</v>
      </c>
      <c r="P1663" s="101"/>
      <c r="Q1663" s="100">
        <v>171</v>
      </c>
      <c r="R1663" s="100">
        <v>156</v>
      </c>
      <c r="S1663" s="100"/>
      <c r="T1663" s="100"/>
      <c r="U1663" s="100"/>
      <c r="V1663" s="100"/>
      <c r="W1663" s="100"/>
      <c r="X1663" s="100">
        <v>90160716</v>
      </c>
      <c r="Y1663" s="100" t="s">
        <v>115</v>
      </c>
      <c r="Z1663" s="100" t="s">
        <v>115</v>
      </c>
      <c r="AA1663" s="100" t="s">
        <v>115</v>
      </c>
      <c r="AB1663" s="100" t="s">
        <v>115</v>
      </c>
      <c r="AC1663" s="100" t="s">
        <v>115</v>
      </c>
      <c r="AD1663" s="100"/>
      <c r="AE1663" s="100"/>
      <c r="AF1663" s="100"/>
      <c r="AG1663" s="100"/>
      <c r="AH1663" s="100"/>
      <c r="AI1663" s="100" t="s">
        <v>115</v>
      </c>
      <c r="AJ1663" s="100"/>
      <c r="AK1663" s="100"/>
      <c r="AL1663" s="100"/>
      <c r="AM1663" s="100"/>
      <c r="AN1663" s="100"/>
      <c r="AO1663" s="100"/>
      <c r="AP1663" s="89" t="s">
        <v>115</v>
      </c>
    </row>
    <row r="1664" spans="1:42" s="89" customFormat="1" x14ac:dyDescent="0.15">
      <c r="A1664" s="100" t="s">
        <v>1</v>
      </c>
      <c r="B1664" s="101">
        <v>90160716</v>
      </c>
      <c r="C1664" s="101">
        <v>1607</v>
      </c>
      <c r="D1664" s="101">
        <v>16</v>
      </c>
      <c r="E1664" s="101"/>
      <c r="F1664" s="101" t="s">
        <v>3804</v>
      </c>
      <c r="G1664" s="101" t="s">
        <v>115</v>
      </c>
      <c r="H1664" s="101" t="s">
        <v>3810</v>
      </c>
      <c r="I1664" s="101">
        <v>3</v>
      </c>
      <c r="J1664" s="100">
        <v>0</v>
      </c>
      <c r="K1664" s="100">
        <v>0</v>
      </c>
      <c r="L1664" s="100" t="s">
        <v>115</v>
      </c>
      <c r="M1664" s="102"/>
      <c r="N1664" s="100"/>
      <c r="O1664" s="100" t="s">
        <v>115</v>
      </c>
      <c r="P1664" s="101"/>
      <c r="Q1664" s="100">
        <v>171</v>
      </c>
      <c r="R1664" s="100">
        <v>156</v>
      </c>
      <c r="S1664" s="100"/>
      <c r="T1664" s="100"/>
      <c r="U1664" s="100"/>
      <c r="V1664" s="100"/>
      <c r="W1664" s="100"/>
      <c r="X1664" s="100">
        <v>90160717</v>
      </c>
      <c r="Y1664" s="100" t="s">
        <v>115</v>
      </c>
      <c r="Z1664" s="100" t="s">
        <v>115</v>
      </c>
      <c r="AA1664" s="100" t="s">
        <v>115</v>
      </c>
      <c r="AB1664" s="100" t="s">
        <v>115</v>
      </c>
      <c r="AC1664" s="100" t="s">
        <v>115</v>
      </c>
      <c r="AD1664" s="100"/>
      <c r="AE1664" s="100"/>
      <c r="AF1664" s="100"/>
      <c r="AG1664" s="100"/>
      <c r="AH1664" s="100"/>
      <c r="AI1664" s="100" t="s">
        <v>115</v>
      </c>
      <c r="AJ1664" s="100"/>
      <c r="AK1664" s="100"/>
      <c r="AL1664" s="100"/>
      <c r="AM1664" s="100"/>
      <c r="AN1664" s="100"/>
      <c r="AO1664" s="100"/>
      <c r="AP1664" s="89" t="s">
        <v>115</v>
      </c>
    </row>
    <row r="1665" spans="1:42" s="89" customFormat="1" x14ac:dyDescent="0.15">
      <c r="A1665" s="100" t="s">
        <v>1</v>
      </c>
      <c r="B1665" s="101">
        <v>90160717</v>
      </c>
      <c r="C1665" s="101">
        <v>1607</v>
      </c>
      <c r="D1665" s="101">
        <v>16</v>
      </c>
      <c r="E1665" s="101"/>
      <c r="F1665" s="101" t="s">
        <v>3804</v>
      </c>
      <c r="G1665" s="101" t="s">
        <v>115</v>
      </c>
      <c r="H1665" s="101" t="s">
        <v>3811</v>
      </c>
      <c r="I1665" s="101">
        <v>3</v>
      </c>
      <c r="J1665" s="100">
        <v>0</v>
      </c>
      <c r="K1665" s="100">
        <v>6</v>
      </c>
      <c r="L1665" s="100" t="s">
        <v>115</v>
      </c>
      <c r="M1665" s="102"/>
      <c r="N1665" s="100"/>
      <c r="O1665" s="100">
        <v>1</v>
      </c>
      <c r="P1665" s="101"/>
      <c r="Q1665" s="100">
        <v>171</v>
      </c>
      <c r="R1665" s="100">
        <v>156</v>
      </c>
      <c r="S1665" s="100"/>
      <c r="T1665" s="100"/>
      <c r="U1665" s="100"/>
      <c r="V1665" s="100"/>
      <c r="W1665" s="100"/>
      <c r="X1665" s="100" t="s">
        <v>115</v>
      </c>
      <c r="Y1665" s="100" t="s">
        <v>115</v>
      </c>
      <c r="Z1665" s="100">
        <v>5</v>
      </c>
      <c r="AA1665" s="100" t="s">
        <v>115</v>
      </c>
      <c r="AB1665" s="100" t="s">
        <v>115</v>
      </c>
      <c r="AC1665" s="100" t="s">
        <v>115</v>
      </c>
      <c r="AD1665" s="100"/>
      <c r="AE1665" s="100"/>
      <c r="AF1665" s="100"/>
      <c r="AG1665" s="100"/>
      <c r="AH1665" s="100"/>
      <c r="AI1665" s="100" t="s">
        <v>115</v>
      </c>
      <c r="AJ1665" s="100"/>
      <c r="AK1665" s="100"/>
      <c r="AL1665" s="100"/>
      <c r="AM1665" s="100"/>
      <c r="AN1665" s="100"/>
      <c r="AO1665" s="100"/>
      <c r="AP1665" s="89" t="s">
        <v>115</v>
      </c>
    </row>
    <row r="1666" spans="1:42" s="89" customFormat="1" x14ac:dyDescent="0.15">
      <c r="A1666" s="100" t="s">
        <v>1</v>
      </c>
      <c r="B1666" s="101" t="s">
        <v>3460</v>
      </c>
      <c r="C1666" s="101">
        <v>1608</v>
      </c>
      <c r="D1666" s="101">
        <v>16</v>
      </c>
      <c r="E1666" s="101"/>
      <c r="F1666" s="101" t="s">
        <v>116</v>
      </c>
      <c r="G1666" s="101">
        <v>312</v>
      </c>
      <c r="H1666" s="101" t="s">
        <v>3812</v>
      </c>
      <c r="I1666" s="101">
        <v>0</v>
      </c>
      <c r="J1666" s="100">
        <v>1</v>
      </c>
      <c r="K1666" s="100">
        <v>1</v>
      </c>
      <c r="L1666" s="100" t="s">
        <v>115</v>
      </c>
      <c r="M1666" s="102"/>
      <c r="N1666" s="100"/>
      <c r="O1666" s="100" t="s">
        <v>115</v>
      </c>
      <c r="P1666" s="101"/>
      <c r="Q1666" s="100">
        <v>115</v>
      </c>
      <c r="R1666" s="100" t="s">
        <v>115</v>
      </c>
      <c r="S1666" s="100"/>
      <c r="T1666" s="100"/>
      <c r="U1666" s="100"/>
      <c r="V1666" s="100"/>
      <c r="W1666" s="100"/>
      <c r="X1666" s="100">
        <v>90160802</v>
      </c>
      <c r="Y1666" s="100" t="s">
        <v>115</v>
      </c>
      <c r="Z1666" s="100" t="s">
        <v>115</v>
      </c>
      <c r="AA1666" s="100" t="s">
        <v>115</v>
      </c>
      <c r="AB1666" s="100" t="s">
        <v>115</v>
      </c>
      <c r="AC1666" s="100" t="s">
        <v>115</v>
      </c>
      <c r="AD1666" s="100"/>
      <c r="AE1666" s="100"/>
      <c r="AF1666" s="100"/>
      <c r="AG1666" s="100"/>
      <c r="AH1666" s="100"/>
      <c r="AI1666" s="100" t="s">
        <v>115</v>
      </c>
      <c r="AJ1666" s="100"/>
      <c r="AK1666" s="100"/>
      <c r="AL1666" s="100"/>
      <c r="AM1666" s="100"/>
      <c r="AN1666" s="100"/>
      <c r="AO1666" s="100"/>
      <c r="AP1666" s="89" t="s">
        <v>115</v>
      </c>
    </row>
    <row r="1667" spans="1:42" s="89" customFormat="1" x14ac:dyDescent="0.15">
      <c r="A1667" s="100" t="s">
        <v>1</v>
      </c>
      <c r="B1667" s="101">
        <v>90160802</v>
      </c>
      <c r="C1667" s="101">
        <v>1608</v>
      </c>
      <c r="D1667" s="101">
        <v>16</v>
      </c>
      <c r="E1667" s="101"/>
      <c r="F1667" s="101" t="s">
        <v>1076</v>
      </c>
      <c r="G1667" s="101" t="s">
        <v>115</v>
      </c>
      <c r="H1667" s="101" t="s">
        <v>3813</v>
      </c>
      <c r="I1667" s="101">
        <v>3</v>
      </c>
      <c r="J1667" s="100">
        <v>0</v>
      </c>
      <c r="K1667" s="100">
        <v>0</v>
      </c>
      <c r="L1667" s="100" t="s">
        <v>115</v>
      </c>
      <c r="M1667" s="102"/>
      <c r="N1667" s="100"/>
      <c r="O1667" s="100" t="s">
        <v>115</v>
      </c>
      <c r="P1667" s="101"/>
      <c r="Q1667" s="100">
        <v>115</v>
      </c>
      <c r="R1667" s="100">
        <v>127</v>
      </c>
      <c r="S1667" s="100"/>
      <c r="T1667" s="100"/>
      <c r="U1667" s="100"/>
      <c r="V1667" s="100"/>
      <c r="W1667" s="100"/>
      <c r="X1667" s="100">
        <v>90160803</v>
      </c>
      <c r="Y1667" s="100" t="s">
        <v>115</v>
      </c>
      <c r="Z1667" s="100" t="s">
        <v>115</v>
      </c>
      <c r="AA1667" s="100" t="s">
        <v>115</v>
      </c>
      <c r="AB1667" s="100" t="s">
        <v>115</v>
      </c>
      <c r="AC1667" s="100" t="s">
        <v>115</v>
      </c>
      <c r="AD1667" s="100"/>
      <c r="AE1667" s="100"/>
      <c r="AF1667" s="100"/>
      <c r="AG1667" s="100"/>
      <c r="AH1667" s="100"/>
      <c r="AI1667" s="100" t="s">
        <v>115</v>
      </c>
      <c r="AJ1667" s="100"/>
      <c r="AK1667" s="100"/>
      <c r="AL1667" s="100"/>
      <c r="AM1667" s="100"/>
      <c r="AN1667" s="100"/>
      <c r="AO1667" s="100"/>
      <c r="AP1667" s="89" t="s">
        <v>115</v>
      </c>
    </row>
    <row r="1668" spans="1:42" s="89" customFormat="1" x14ac:dyDescent="0.15">
      <c r="A1668" s="100" t="s">
        <v>1</v>
      </c>
      <c r="B1668" s="101">
        <v>90160803</v>
      </c>
      <c r="C1668" s="101">
        <v>1608</v>
      </c>
      <c r="D1668" s="101">
        <v>16</v>
      </c>
      <c r="E1668" s="101"/>
      <c r="F1668" s="101" t="s">
        <v>115</v>
      </c>
      <c r="G1668" s="101" t="s">
        <v>115</v>
      </c>
      <c r="H1668" s="101" t="s">
        <v>3814</v>
      </c>
      <c r="I1668" s="101">
        <v>4</v>
      </c>
      <c r="J1668" s="100">
        <v>0</v>
      </c>
      <c r="K1668" s="100">
        <v>2</v>
      </c>
      <c r="L1668" s="100" t="s">
        <v>115</v>
      </c>
      <c r="M1668" s="102"/>
      <c r="N1668" s="100"/>
      <c r="O1668" s="100" t="s">
        <v>115</v>
      </c>
      <c r="P1668" s="101"/>
      <c r="Q1668" s="100">
        <v>115</v>
      </c>
      <c r="R1668" s="100">
        <v>127</v>
      </c>
      <c r="S1668" s="100"/>
      <c r="T1668" s="100"/>
      <c r="U1668" s="100"/>
      <c r="V1668" s="100"/>
      <c r="W1668" s="100"/>
      <c r="X1668" s="100" t="s">
        <v>3815</v>
      </c>
      <c r="Y1668" s="100">
        <v>1</v>
      </c>
      <c r="Z1668" s="100">
        <v>1</v>
      </c>
      <c r="AA1668" s="100" t="s">
        <v>115</v>
      </c>
      <c r="AB1668" s="100" t="s">
        <v>115</v>
      </c>
      <c r="AC1668" s="100" t="s">
        <v>115</v>
      </c>
      <c r="AD1668" s="100"/>
      <c r="AE1668" s="100"/>
      <c r="AF1668" s="100"/>
      <c r="AG1668" s="100"/>
      <c r="AH1668" s="100"/>
      <c r="AI1668" s="100" t="s">
        <v>115</v>
      </c>
      <c r="AJ1668" s="100"/>
      <c r="AK1668" s="100"/>
      <c r="AL1668" s="100"/>
      <c r="AM1668" s="100"/>
      <c r="AN1668" s="100"/>
      <c r="AO1668" s="100"/>
      <c r="AP1668" s="89" t="s">
        <v>115</v>
      </c>
    </row>
    <row r="1669" spans="1:42" s="89" customFormat="1" x14ac:dyDescent="0.15">
      <c r="A1669" s="100" t="s">
        <v>1</v>
      </c>
      <c r="B1669" s="101">
        <v>90160804</v>
      </c>
      <c r="C1669" s="101">
        <v>1608</v>
      </c>
      <c r="D1669" s="101">
        <v>16</v>
      </c>
      <c r="E1669" s="101"/>
      <c r="F1669" s="101" t="s">
        <v>115</v>
      </c>
      <c r="G1669" s="101" t="s">
        <v>115</v>
      </c>
      <c r="H1669" s="101" t="s">
        <v>3816</v>
      </c>
      <c r="I1669" s="101">
        <v>4</v>
      </c>
      <c r="J1669" s="100">
        <v>0</v>
      </c>
      <c r="K1669" s="100">
        <v>3</v>
      </c>
      <c r="L1669" s="100" t="s">
        <v>115</v>
      </c>
      <c r="M1669" s="102"/>
      <c r="N1669" s="100"/>
      <c r="O1669" s="100" t="s">
        <v>115</v>
      </c>
      <c r="P1669" s="101"/>
      <c r="Q1669" s="100">
        <v>115</v>
      </c>
      <c r="R1669" s="100">
        <v>127</v>
      </c>
      <c r="S1669" s="100"/>
      <c r="T1669" s="100"/>
      <c r="U1669" s="100"/>
      <c r="V1669" s="100"/>
      <c r="W1669" s="100"/>
      <c r="X1669" s="100">
        <v>90160806</v>
      </c>
      <c r="Y1669" s="100">
        <v>-1</v>
      </c>
      <c r="Z1669" s="100">
        <v>2</v>
      </c>
      <c r="AA1669" s="100" t="s">
        <v>115</v>
      </c>
      <c r="AB1669" s="100" t="s">
        <v>4817</v>
      </c>
      <c r="AC1669" s="100" t="s">
        <v>115</v>
      </c>
      <c r="AD1669" s="100"/>
      <c r="AE1669" s="100"/>
      <c r="AF1669" s="100"/>
      <c r="AG1669" s="100"/>
      <c r="AH1669" s="100"/>
      <c r="AI1669" s="100" t="s">
        <v>115</v>
      </c>
      <c r="AJ1669" s="100"/>
      <c r="AK1669" s="100"/>
      <c r="AL1669" s="100"/>
      <c r="AM1669" s="100"/>
      <c r="AN1669" s="100"/>
      <c r="AO1669" s="100"/>
      <c r="AP1669" s="89" t="s">
        <v>115</v>
      </c>
    </row>
    <row r="1670" spans="1:42" s="89" customFormat="1" x14ac:dyDescent="0.15">
      <c r="A1670" s="100" t="s">
        <v>1</v>
      </c>
      <c r="B1670" s="101">
        <v>90160805</v>
      </c>
      <c r="C1670" s="101">
        <v>1608</v>
      </c>
      <c r="D1670" s="101">
        <v>16</v>
      </c>
      <c r="E1670" s="101"/>
      <c r="F1670" s="101" t="s">
        <v>115</v>
      </c>
      <c r="G1670" s="101" t="s">
        <v>115</v>
      </c>
      <c r="H1670" s="101" t="s">
        <v>3817</v>
      </c>
      <c r="I1670" s="101">
        <v>4</v>
      </c>
      <c r="J1670" s="100">
        <v>0</v>
      </c>
      <c r="K1670" s="100">
        <v>4</v>
      </c>
      <c r="L1670" s="100" t="s">
        <v>115</v>
      </c>
      <c r="M1670" s="102"/>
      <c r="N1670" s="100"/>
      <c r="O1670" s="100" t="s">
        <v>115</v>
      </c>
      <c r="P1670" s="101"/>
      <c r="Q1670" s="100">
        <v>115</v>
      </c>
      <c r="R1670" s="100">
        <v>127</v>
      </c>
      <c r="S1670" s="100"/>
      <c r="T1670" s="100"/>
      <c r="U1670" s="100"/>
      <c r="V1670" s="100"/>
      <c r="W1670" s="100"/>
      <c r="X1670" s="100">
        <v>90160824</v>
      </c>
      <c r="Y1670" s="100">
        <v>-1</v>
      </c>
      <c r="Z1670" s="100">
        <v>2</v>
      </c>
      <c r="AA1670" s="100" t="s">
        <v>115</v>
      </c>
      <c r="AB1670" s="100" t="s">
        <v>115</v>
      </c>
      <c r="AC1670" s="100" t="s">
        <v>115</v>
      </c>
      <c r="AD1670" s="100"/>
      <c r="AE1670" s="100"/>
      <c r="AF1670" s="100"/>
      <c r="AG1670" s="100"/>
      <c r="AH1670" s="100"/>
      <c r="AI1670" s="100" t="s">
        <v>115</v>
      </c>
      <c r="AJ1670" s="100"/>
      <c r="AK1670" s="100"/>
      <c r="AL1670" s="100"/>
      <c r="AM1670" s="100"/>
      <c r="AN1670" s="100"/>
      <c r="AO1670" s="100"/>
      <c r="AP1670" s="89" t="s">
        <v>115</v>
      </c>
    </row>
    <row r="1671" spans="1:42" s="89" customFormat="1" x14ac:dyDescent="0.15">
      <c r="A1671" s="100" t="s">
        <v>1</v>
      </c>
      <c r="B1671" s="101">
        <v>90160806</v>
      </c>
      <c r="C1671" s="101">
        <v>1608</v>
      </c>
      <c r="D1671" s="101">
        <v>16</v>
      </c>
      <c r="E1671" s="101"/>
      <c r="F1671" s="101" t="s">
        <v>116</v>
      </c>
      <c r="G1671" s="101">
        <v>312</v>
      </c>
      <c r="H1671" s="101" t="s">
        <v>3818</v>
      </c>
      <c r="I1671" s="101">
        <v>0</v>
      </c>
      <c r="J1671" s="100">
        <v>0</v>
      </c>
      <c r="K1671" s="100">
        <v>0</v>
      </c>
      <c r="L1671" s="100" t="s">
        <v>115</v>
      </c>
      <c r="M1671" s="102"/>
      <c r="N1671" s="100"/>
      <c r="O1671" s="100" t="s">
        <v>115</v>
      </c>
      <c r="P1671" s="101"/>
      <c r="Q1671" s="100">
        <v>115</v>
      </c>
      <c r="R1671" s="100">
        <v>127</v>
      </c>
      <c r="S1671" s="100"/>
      <c r="T1671" s="100"/>
      <c r="U1671" s="100"/>
      <c r="V1671" s="100"/>
      <c r="W1671" s="100"/>
      <c r="X1671" s="100">
        <v>90160807</v>
      </c>
      <c r="Y1671" s="100" t="s">
        <v>115</v>
      </c>
      <c r="Z1671" s="100" t="s">
        <v>115</v>
      </c>
      <c r="AA1671" s="100" t="s">
        <v>115</v>
      </c>
      <c r="AB1671" s="100" t="s">
        <v>115</v>
      </c>
      <c r="AC1671" s="100" t="s">
        <v>115</v>
      </c>
      <c r="AD1671" s="100"/>
      <c r="AE1671" s="100"/>
      <c r="AF1671" s="100"/>
      <c r="AG1671" s="100"/>
      <c r="AH1671" s="100"/>
      <c r="AI1671" s="100" t="s">
        <v>115</v>
      </c>
      <c r="AJ1671" s="100"/>
      <c r="AK1671" s="100"/>
      <c r="AL1671" s="100"/>
      <c r="AM1671" s="100"/>
      <c r="AN1671" s="100"/>
      <c r="AO1671" s="100"/>
      <c r="AP1671" s="89" t="s">
        <v>115</v>
      </c>
    </row>
    <row r="1672" spans="1:42" s="89" customFormat="1" x14ac:dyDescent="0.15">
      <c r="A1672" s="100" t="s">
        <v>1</v>
      </c>
      <c r="B1672" s="101">
        <v>90160807</v>
      </c>
      <c r="C1672" s="101">
        <v>1608</v>
      </c>
      <c r="D1672" s="101">
        <v>16</v>
      </c>
      <c r="E1672" s="101"/>
      <c r="F1672" s="101" t="s">
        <v>1076</v>
      </c>
      <c r="G1672" s="101" t="s">
        <v>115</v>
      </c>
      <c r="H1672" s="101" t="s">
        <v>3819</v>
      </c>
      <c r="I1672" s="101">
        <v>3</v>
      </c>
      <c r="J1672" s="100">
        <v>0</v>
      </c>
      <c r="K1672" s="100">
        <v>0</v>
      </c>
      <c r="L1672" s="100" t="s">
        <v>115</v>
      </c>
      <c r="M1672" s="102"/>
      <c r="N1672" s="100"/>
      <c r="O1672" s="100" t="s">
        <v>115</v>
      </c>
      <c r="P1672" s="101"/>
      <c r="Q1672" s="100">
        <v>115</v>
      </c>
      <c r="R1672" s="100">
        <v>127</v>
      </c>
      <c r="S1672" s="100"/>
      <c r="T1672" s="100"/>
      <c r="U1672" s="100"/>
      <c r="V1672" s="100"/>
      <c r="W1672" s="100"/>
      <c r="X1672" s="100">
        <v>90160808</v>
      </c>
      <c r="Y1672" s="100" t="s">
        <v>115</v>
      </c>
      <c r="Z1672" s="100" t="s">
        <v>115</v>
      </c>
      <c r="AA1672" s="100" t="s">
        <v>115</v>
      </c>
      <c r="AB1672" s="100" t="s">
        <v>115</v>
      </c>
      <c r="AC1672" s="100" t="s">
        <v>115</v>
      </c>
      <c r="AD1672" s="100"/>
      <c r="AE1672" s="100"/>
      <c r="AF1672" s="100"/>
      <c r="AG1672" s="100"/>
      <c r="AH1672" s="100"/>
      <c r="AI1672" s="100" t="s">
        <v>115</v>
      </c>
      <c r="AJ1672" s="100"/>
      <c r="AK1672" s="100"/>
      <c r="AL1672" s="100"/>
      <c r="AM1672" s="100"/>
      <c r="AN1672" s="100"/>
      <c r="AO1672" s="100"/>
      <c r="AP1672" s="89" t="s">
        <v>115</v>
      </c>
    </row>
    <row r="1673" spans="1:42" s="89" customFormat="1" x14ac:dyDescent="0.15">
      <c r="A1673" s="100" t="s">
        <v>1</v>
      </c>
      <c r="B1673" s="101">
        <v>90160808</v>
      </c>
      <c r="C1673" s="101">
        <v>1608</v>
      </c>
      <c r="D1673" s="101">
        <v>16</v>
      </c>
      <c r="E1673" s="101"/>
      <c r="F1673" s="101" t="s">
        <v>116</v>
      </c>
      <c r="G1673" s="101">
        <v>312</v>
      </c>
      <c r="H1673" s="101" t="s">
        <v>3820</v>
      </c>
      <c r="I1673" s="101">
        <v>0</v>
      </c>
      <c r="J1673" s="100">
        <v>0</v>
      </c>
      <c r="K1673" s="100">
        <v>0</v>
      </c>
      <c r="L1673" s="100" t="s">
        <v>115</v>
      </c>
      <c r="M1673" s="102"/>
      <c r="N1673" s="100"/>
      <c r="O1673" s="100" t="s">
        <v>115</v>
      </c>
      <c r="P1673" s="101"/>
      <c r="Q1673" s="100">
        <v>115</v>
      </c>
      <c r="R1673" s="100">
        <v>127</v>
      </c>
      <c r="S1673" s="100"/>
      <c r="T1673" s="100"/>
      <c r="U1673" s="100"/>
      <c r="V1673" s="100"/>
      <c r="W1673" s="100"/>
      <c r="X1673" s="100">
        <v>90160809</v>
      </c>
      <c r="Y1673" s="100" t="s">
        <v>115</v>
      </c>
      <c r="Z1673" s="100" t="s">
        <v>115</v>
      </c>
      <c r="AA1673" s="100" t="s">
        <v>115</v>
      </c>
      <c r="AB1673" s="100" t="s">
        <v>115</v>
      </c>
      <c r="AC1673" s="100" t="s">
        <v>115</v>
      </c>
      <c r="AD1673" s="100"/>
      <c r="AE1673" s="100"/>
      <c r="AF1673" s="100"/>
      <c r="AG1673" s="100"/>
      <c r="AH1673" s="100"/>
      <c r="AI1673" s="100" t="s">
        <v>115</v>
      </c>
      <c r="AJ1673" s="100"/>
      <c r="AK1673" s="100"/>
      <c r="AL1673" s="100"/>
      <c r="AM1673" s="100"/>
      <c r="AN1673" s="100"/>
      <c r="AO1673" s="100"/>
      <c r="AP1673" s="89" t="s">
        <v>115</v>
      </c>
    </row>
    <row r="1674" spans="1:42" s="89" customFormat="1" x14ac:dyDescent="0.15">
      <c r="A1674" s="100" t="s">
        <v>1</v>
      </c>
      <c r="B1674" s="101">
        <v>90160809</v>
      </c>
      <c r="C1674" s="101">
        <v>1608</v>
      </c>
      <c r="D1674" s="101">
        <v>16</v>
      </c>
      <c r="E1674" s="101"/>
      <c r="F1674" s="101" t="s">
        <v>1076</v>
      </c>
      <c r="G1674" s="101" t="s">
        <v>115</v>
      </c>
      <c r="H1674" s="101" t="s">
        <v>3821</v>
      </c>
      <c r="I1674" s="101">
        <v>3</v>
      </c>
      <c r="J1674" s="100">
        <v>0</v>
      </c>
      <c r="K1674" s="100">
        <v>0</v>
      </c>
      <c r="L1674" s="100" t="s">
        <v>115</v>
      </c>
      <c r="M1674" s="102"/>
      <c r="N1674" s="100"/>
      <c r="O1674" s="100" t="s">
        <v>115</v>
      </c>
      <c r="P1674" s="101"/>
      <c r="Q1674" s="100">
        <v>115</v>
      </c>
      <c r="R1674" s="100">
        <v>127</v>
      </c>
      <c r="S1674" s="100"/>
      <c r="T1674" s="100"/>
      <c r="U1674" s="100"/>
      <c r="V1674" s="100"/>
      <c r="W1674" s="100"/>
      <c r="X1674" s="100">
        <v>90160810</v>
      </c>
      <c r="Y1674" s="100" t="s">
        <v>115</v>
      </c>
      <c r="Z1674" s="100" t="s">
        <v>115</v>
      </c>
      <c r="AA1674" s="100" t="s">
        <v>115</v>
      </c>
      <c r="AB1674" s="100" t="s">
        <v>115</v>
      </c>
      <c r="AC1674" s="100" t="s">
        <v>115</v>
      </c>
      <c r="AD1674" s="100"/>
      <c r="AE1674" s="100"/>
      <c r="AF1674" s="100"/>
      <c r="AG1674" s="100"/>
      <c r="AH1674" s="100"/>
      <c r="AI1674" s="100" t="s">
        <v>115</v>
      </c>
      <c r="AJ1674" s="100"/>
      <c r="AK1674" s="100"/>
      <c r="AL1674" s="100"/>
      <c r="AM1674" s="100"/>
      <c r="AN1674" s="100"/>
      <c r="AO1674" s="100"/>
      <c r="AP1674" s="89" t="s">
        <v>115</v>
      </c>
    </row>
    <row r="1675" spans="1:42" s="89" customFormat="1" x14ac:dyDescent="0.15">
      <c r="A1675" s="100" t="s">
        <v>1</v>
      </c>
      <c r="B1675" s="101">
        <v>90160810</v>
      </c>
      <c r="C1675" s="101">
        <v>1608</v>
      </c>
      <c r="D1675" s="101">
        <v>16</v>
      </c>
      <c r="E1675" s="101"/>
      <c r="F1675" s="101" t="s">
        <v>1076</v>
      </c>
      <c r="G1675" s="101" t="s">
        <v>115</v>
      </c>
      <c r="H1675" s="101" t="s">
        <v>3822</v>
      </c>
      <c r="I1675" s="101">
        <v>3</v>
      </c>
      <c r="J1675" s="100">
        <v>0</v>
      </c>
      <c r="K1675" s="100">
        <v>0</v>
      </c>
      <c r="L1675" s="100" t="s">
        <v>115</v>
      </c>
      <c r="M1675" s="102"/>
      <c r="N1675" s="100"/>
      <c r="O1675" s="100" t="s">
        <v>115</v>
      </c>
      <c r="P1675" s="101"/>
      <c r="Q1675" s="100">
        <v>115</v>
      </c>
      <c r="R1675" s="100">
        <v>127</v>
      </c>
      <c r="S1675" s="100"/>
      <c r="T1675" s="100"/>
      <c r="U1675" s="100"/>
      <c r="V1675" s="100"/>
      <c r="W1675" s="100"/>
      <c r="X1675" s="100">
        <v>90160811</v>
      </c>
      <c r="Y1675" s="100" t="s">
        <v>115</v>
      </c>
      <c r="Z1675" s="100" t="s">
        <v>115</v>
      </c>
      <c r="AA1675" s="100" t="s">
        <v>115</v>
      </c>
      <c r="AB1675" s="100" t="s">
        <v>115</v>
      </c>
      <c r="AC1675" s="100" t="s">
        <v>115</v>
      </c>
      <c r="AD1675" s="100"/>
      <c r="AE1675" s="100"/>
      <c r="AF1675" s="100"/>
      <c r="AG1675" s="100"/>
      <c r="AH1675" s="100"/>
      <c r="AI1675" s="100" t="s">
        <v>115</v>
      </c>
      <c r="AJ1675" s="100"/>
      <c r="AK1675" s="100"/>
      <c r="AL1675" s="100"/>
      <c r="AM1675" s="100"/>
      <c r="AN1675" s="100"/>
      <c r="AO1675" s="100"/>
      <c r="AP1675" s="89" t="s">
        <v>115</v>
      </c>
    </row>
    <row r="1676" spans="1:42" s="89" customFormat="1" x14ac:dyDescent="0.15">
      <c r="A1676" s="100" t="s">
        <v>1</v>
      </c>
      <c r="B1676" s="101">
        <v>90160811</v>
      </c>
      <c r="C1676" s="101">
        <v>1608</v>
      </c>
      <c r="D1676" s="101">
        <v>16</v>
      </c>
      <c r="E1676" s="101"/>
      <c r="F1676" s="101" t="s">
        <v>1076</v>
      </c>
      <c r="G1676" s="101" t="s">
        <v>115</v>
      </c>
      <c r="H1676" s="101" t="s">
        <v>3823</v>
      </c>
      <c r="I1676" s="101">
        <v>3</v>
      </c>
      <c r="J1676" s="100">
        <v>0</v>
      </c>
      <c r="K1676" s="100">
        <v>0</v>
      </c>
      <c r="L1676" s="100" t="s">
        <v>115</v>
      </c>
      <c r="M1676" s="102"/>
      <c r="N1676" s="100"/>
      <c r="O1676" s="100" t="s">
        <v>115</v>
      </c>
      <c r="P1676" s="101"/>
      <c r="Q1676" s="100">
        <v>115</v>
      </c>
      <c r="R1676" s="100">
        <v>127</v>
      </c>
      <c r="S1676" s="100"/>
      <c r="T1676" s="100"/>
      <c r="U1676" s="100"/>
      <c r="V1676" s="100"/>
      <c r="W1676" s="100"/>
      <c r="X1676" s="100">
        <v>90160812</v>
      </c>
      <c r="Y1676" s="100" t="s">
        <v>115</v>
      </c>
      <c r="Z1676" s="100" t="s">
        <v>115</v>
      </c>
      <c r="AA1676" s="100" t="s">
        <v>115</v>
      </c>
      <c r="AB1676" s="100" t="s">
        <v>115</v>
      </c>
      <c r="AC1676" s="100" t="s">
        <v>115</v>
      </c>
      <c r="AD1676" s="100"/>
      <c r="AE1676" s="100"/>
      <c r="AF1676" s="100"/>
      <c r="AG1676" s="100"/>
      <c r="AH1676" s="100"/>
      <c r="AI1676" s="100" t="s">
        <v>115</v>
      </c>
      <c r="AJ1676" s="100"/>
      <c r="AK1676" s="100"/>
      <c r="AL1676" s="100"/>
      <c r="AM1676" s="100"/>
      <c r="AN1676" s="100"/>
      <c r="AO1676" s="100"/>
      <c r="AP1676" s="89" t="s">
        <v>115</v>
      </c>
    </row>
    <row r="1677" spans="1:42" s="89" customFormat="1" x14ac:dyDescent="0.15">
      <c r="A1677" s="100" t="s">
        <v>1</v>
      </c>
      <c r="B1677" s="101">
        <v>90160812</v>
      </c>
      <c r="C1677" s="101">
        <v>1608</v>
      </c>
      <c r="D1677" s="101">
        <v>16</v>
      </c>
      <c r="E1677" s="101"/>
      <c r="F1677" s="101" t="s">
        <v>1076</v>
      </c>
      <c r="G1677" s="101" t="s">
        <v>115</v>
      </c>
      <c r="H1677" s="101" t="s">
        <v>3824</v>
      </c>
      <c r="I1677" s="101">
        <v>3</v>
      </c>
      <c r="J1677" s="100">
        <v>0</v>
      </c>
      <c r="K1677" s="100">
        <v>0</v>
      </c>
      <c r="L1677" s="100" t="s">
        <v>115</v>
      </c>
      <c r="M1677" s="102"/>
      <c r="N1677" s="100"/>
      <c r="O1677" s="100" t="s">
        <v>115</v>
      </c>
      <c r="P1677" s="101"/>
      <c r="Q1677" s="100">
        <v>115</v>
      </c>
      <c r="R1677" s="100">
        <v>127</v>
      </c>
      <c r="S1677" s="100"/>
      <c r="T1677" s="100"/>
      <c r="U1677" s="100"/>
      <c r="V1677" s="100"/>
      <c r="W1677" s="100"/>
      <c r="X1677" s="100">
        <v>90160813</v>
      </c>
      <c r="Y1677" s="100" t="s">
        <v>115</v>
      </c>
      <c r="Z1677" s="100" t="s">
        <v>115</v>
      </c>
      <c r="AA1677" s="100" t="s">
        <v>115</v>
      </c>
      <c r="AB1677" s="100" t="s">
        <v>115</v>
      </c>
      <c r="AC1677" s="100" t="s">
        <v>115</v>
      </c>
      <c r="AD1677" s="100"/>
      <c r="AE1677" s="100"/>
      <c r="AF1677" s="100"/>
      <c r="AG1677" s="100"/>
      <c r="AH1677" s="100"/>
      <c r="AI1677" s="100" t="s">
        <v>115</v>
      </c>
      <c r="AJ1677" s="100"/>
      <c r="AK1677" s="100"/>
      <c r="AL1677" s="100"/>
      <c r="AM1677" s="100"/>
      <c r="AN1677" s="100"/>
      <c r="AO1677" s="100"/>
      <c r="AP1677" s="89" t="s">
        <v>115</v>
      </c>
    </row>
    <row r="1678" spans="1:42" s="89" customFormat="1" x14ac:dyDescent="0.15">
      <c r="A1678" s="100" t="s">
        <v>1</v>
      </c>
      <c r="B1678" s="101">
        <v>90160813</v>
      </c>
      <c r="C1678" s="101">
        <v>1608</v>
      </c>
      <c r="D1678" s="101">
        <v>16</v>
      </c>
      <c r="E1678" s="101"/>
      <c r="F1678" s="101" t="s">
        <v>116</v>
      </c>
      <c r="G1678" s="101">
        <v>308</v>
      </c>
      <c r="H1678" s="101" t="s">
        <v>3825</v>
      </c>
      <c r="I1678" s="101">
        <v>2</v>
      </c>
      <c r="J1678" s="100">
        <v>0</v>
      </c>
      <c r="K1678" s="100">
        <v>0</v>
      </c>
      <c r="L1678" s="100" t="s">
        <v>115</v>
      </c>
      <c r="M1678" s="102"/>
      <c r="N1678" s="100"/>
      <c r="O1678" s="100" t="s">
        <v>115</v>
      </c>
      <c r="P1678" s="101"/>
      <c r="Q1678" s="100">
        <v>115</v>
      </c>
      <c r="R1678" s="100">
        <v>127</v>
      </c>
      <c r="S1678" s="100"/>
      <c r="T1678" s="100"/>
      <c r="U1678" s="100"/>
      <c r="V1678" s="100"/>
      <c r="W1678" s="100"/>
      <c r="X1678" s="100">
        <v>90160814</v>
      </c>
      <c r="Y1678" s="100" t="s">
        <v>115</v>
      </c>
      <c r="Z1678" s="100" t="s">
        <v>115</v>
      </c>
      <c r="AA1678" s="100" t="s">
        <v>115</v>
      </c>
      <c r="AB1678" s="100" t="s">
        <v>115</v>
      </c>
      <c r="AC1678" s="100" t="s">
        <v>115</v>
      </c>
      <c r="AD1678" s="100"/>
      <c r="AE1678" s="100"/>
      <c r="AF1678" s="100"/>
      <c r="AG1678" s="100"/>
      <c r="AH1678" s="100"/>
      <c r="AI1678" s="100" t="s">
        <v>115</v>
      </c>
      <c r="AJ1678" s="100"/>
      <c r="AK1678" s="100"/>
      <c r="AL1678" s="100"/>
      <c r="AM1678" s="100"/>
      <c r="AN1678" s="100"/>
      <c r="AO1678" s="100"/>
      <c r="AP1678" s="89" t="s">
        <v>115</v>
      </c>
    </row>
    <row r="1679" spans="1:42" s="89" customFormat="1" x14ac:dyDescent="0.15">
      <c r="A1679" s="100" t="s">
        <v>1</v>
      </c>
      <c r="B1679" s="101">
        <v>90160814</v>
      </c>
      <c r="C1679" s="101">
        <v>1608</v>
      </c>
      <c r="D1679" s="101">
        <v>16</v>
      </c>
      <c r="E1679" s="101"/>
      <c r="F1679" s="101" t="s">
        <v>1076</v>
      </c>
      <c r="G1679" s="101" t="s">
        <v>115</v>
      </c>
      <c r="H1679" s="101" t="s">
        <v>3826</v>
      </c>
      <c r="I1679" s="101">
        <v>3</v>
      </c>
      <c r="J1679" s="100">
        <v>0</v>
      </c>
      <c r="K1679" s="100">
        <v>0</v>
      </c>
      <c r="L1679" s="100" t="s">
        <v>115</v>
      </c>
      <c r="M1679" s="102"/>
      <c r="N1679" s="100"/>
      <c r="O1679" s="100" t="s">
        <v>115</v>
      </c>
      <c r="P1679" s="101"/>
      <c r="Q1679" s="100">
        <v>115</v>
      </c>
      <c r="R1679" s="100">
        <v>127</v>
      </c>
      <c r="S1679" s="100"/>
      <c r="T1679" s="100"/>
      <c r="U1679" s="100"/>
      <c r="V1679" s="100"/>
      <c r="W1679" s="100"/>
      <c r="X1679" s="100">
        <v>90160815</v>
      </c>
      <c r="Y1679" s="100" t="s">
        <v>115</v>
      </c>
      <c r="Z1679" s="100" t="s">
        <v>115</v>
      </c>
      <c r="AA1679" s="100" t="s">
        <v>115</v>
      </c>
      <c r="AB1679" s="100" t="s">
        <v>115</v>
      </c>
      <c r="AC1679" s="100" t="s">
        <v>115</v>
      </c>
      <c r="AD1679" s="100"/>
      <c r="AE1679" s="100"/>
      <c r="AF1679" s="100"/>
      <c r="AG1679" s="100"/>
      <c r="AH1679" s="100"/>
      <c r="AI1679" s="100" t="s">
        <v>115</v>
      </c>
      <c r="AJ1679" s="100"/>
      <c r="AK1679" s="100"/>
      <c r="AL1679" s="100"/>
      <c r="AM1679" s="100"/>
      <c r="AN1679" s="100"/>
      <c r="AO1679" s="100"/>
      <c r="AP1679" s="89" t="s">
        <v>115</v>
      </c>
    </row>
    <row r="1680" spans="1:42" s="89" customFormat="1" x14ac:dyDescent="0.15">
      <c r="A1680" s="100" t="s">
        <v>1</v>
      </c>
      <c r="B1680" s="101">
        <v>90160815</v>
      </c>
      <c r="C1680" s="101">
        <v>1608</v>
      </c>
      <c r="D1680" s="101">
        <v>16</v>
      </c>
      <c r="E1680" s="101"/>
      <c r="F1680" s="101" t="s">
        <v>1076</v>
      </c>
      <c r="G1680" s="101" t="s">
        <v>115</v>
      </c>
      <c r="H1680" s="101" t="s">
        <v>3827</v>
      </c>
      <c r="I1680" s="101">
        <v>3</v>
      </c>
      <c r="J1680" s="100">
        <v>0</v>
      </c>
      <c r="K1680" s="100">
        <v>0</v>
      </c>
      <c r="L1680" s="100" t="s">
        <v>115</v>
      </c>
      <c r="M1680" s="102"/>
      <c r="N1680" s="100"/>
      <c r="O1680" s="100" t="s">
        <v>115</v>
      </c>
      <c r="P1680" s="101"/>
      <c r="Q1680" s="100">
        <v>115</v>
      </c>
      <c r="R1680" s="100">
        <v>127</v>
      </c>
      <c r="S1680" s="100"/>
      <c r="T1680" s="100"/>
      <c r="U1680" s="100"/>
      <c r="V1680" s="100"/>
      <c r="W1680" s="100"/>
      <c r="X1680" s="100">
        <v>90160816</v>
      </c>
      <c r="Y1680" s="100" t="s">
        <v>115</v>
      </c>
      <c r="Z1680" s="100" t="s">
        <v>115</v>
      </c>
      <c r="AA1680" s="100" t="s">
        <v>115</v>
      </c>
      <c r="AB1680" s="100" t="s">
        <v>115</v>
      </c>
      <c r="AC1680" s="100" t="s">
        <v>115</v>
      </c>
      <c r="AD1680" s="100"/>
      <c r="AE1680" s="100"/>
      <c r="AF1680" s="100"/>
      <c r="AG1680" s="100"/>
      <c r="AH1680" s="100"/>
      <c r="AI1680" s="100" t="s">
        <v>115</v>
      </c>
      <c r="AJ1680" s="100"/>
      <c r="AK1680" s="100"/>
      <c r="AL1680" s="100"/>
      <c r="AM1680" s="100"/>
      <c r="AN1680" s="100"/>
      <c r="AO1680" s="100"/>
      <c r="AP1680" s="89" t="s">
        <v>115</v>
      </c>
    </row>
    <row r="1681" spans="1:42" s="89" customFormat="1" x14ac:dyDescent="0.15">
      <c r="A1681" s="100" t="s">
        <v>1</v>
      </c>
      <c r="B1681" s="101">
        <v>90160816</v>
      </c>
      <c r="C1681" s="101">
        <v>1608</v>
      </c>
      <c r="D1681" s="101">
        <v>16</v>
      </c>
      <c r="E1681" s="101"/>
      <c r="F1681" s="101" t="s">
        <v>116</v>
      </c>
      <c r="G1681" s="101">
        <v>314</v>
      </c>
      <c r="H1681" s="101" t="s">
        <v>3828</v>
      </c>
      <c r="I1681" s="101">
        <v>2</v>
      </c>
      <c r="J1681" s="100">
        <v>0</v>
      </c>
      <c r="K1681" s="100">
        <v>0</v>
      </c>
      <c r="L1681" s="100" t="s">
        <v>115</v>
      </c>
      <c r="M1681" s="102"/>
      <c r="N1681" s="100"/>
      <c r="O1681" s="100" t="s">
        <v>115</v>
      </c>
      <c r="P1681" s="101"/>
      <c r="Q1681" s="100">
        <v>115</v>
      </c>
      <c r="R1681" s="100">
        <v>127</v>
      </c>
      <c r="S1681" s="100"/>
      <c r="T1681" s="100"/>
      <c r="U1681" s="100"/>
      <c r="V1681" s="100"/>
      <c r="W1681" s="100"/>
      <c r="X1681" s="100">
        <v>90160817</v>
      </c>
      <c r="Y1681" s="100" t="s">
        <v>115</v>
      </c>
      <c r="Z1681" s="100" t="s">
        <v>115</v>
      </c>
      <c r="AA1681" s="100" t="s">
        <v>115</v>
      </c>
      <c r="AB1681" s="100" t="s">
        <v>115</v>
      </c>
      <c r="AC1681" s="100" t="s">
        <v>115</v>
      </c>
      <c r="AD1681" s="100"/>
      <c r="AE1681" s="100"/>
      <c r="AF1681" s="100"/>
      <c r="AG1681" s="100"/>
      <c r="AH1681" s="100"/>
      <c r="AI1681" s="100" t="s">
        <v>115</v>
      </c>
      <c r="AJ1681" s="100"/>
      <c r="AK1681" s="100"/>
      <c r="AL1681" s="100"/>
      <c r="AM1681" s="100"/>
      <c r="AN1681" s="100"/>
      <c r="AO1681" s="100"/>
      <c r="AP1681" s="89" t="s">
        <v>115</v>
      </c>
    </row>
    <row r="1682" spans="1:42" s="89" customFormat="1" x14ac:dyDescent="0.15">
      <c r="A1682" s="100" t="s">
        <v>1</v>
      </c>
      <c r="B1682" s="101">
        <v>90160817</v>
      </c>
      <c r="C1682" s="101">
        <v>1608</v>
      </c>
      <c r="D1682" s="101">
        <v>16</v>
      </c>
      <c r="E1682" s="101"/>
      <c r="F1682" s="101" t="s">
        <v>1076</v>
      </c>
      <c r="G1682" s="101" t="s">
        <v>115</v>
      </c>
      <c r="H1682" s="101" t="s">
        <v>3829</v>
      </c>
      <c r="I1682" s="101">
        <v>3</v>
      </c>
      <c r="J1682" s="100">
        <v>0</v>
      </c>
      <c r="K1682" s="100">
        <v>0</v>
      </c>
      <c r="L1682" s="100" t="s">
        <v>115</v>
      </c>
      <c r="M1682" s="102"/>
      <c r="N1682" s="100"/>
      <c r="O1682" s="100" t="s">
        <v>115</v>
      </c>
      <c r="P1682" s="101"/>
      <c r="Q1682" s="100">
        <v>115</v>
      </c>
      <c r="R1682" s="100">
        <v>127</v>
      </c>
      <c r="S1682" s="100"/>
      <c r="T1682" s="100"/>
      <c r="U1682" s="100"/>
      <c r="V1682" s="100"/>
      <c r="W1682" s="100"/>
      <c r="X1682" s="100">
        <v>90160818</v>
      </c>
      <c r="Y1682" s="100" t="s">
        <v>115</v>
      </c>
      <c r="Z1682" s="100" t="s">
        <v>115</v>
      </c>
      <c r="AA1682" s="100" t="s">
        <v>115</v>
      </c>
      <c r="AB1682" s="100" t="s">
        <v>115</v>
      </c>
      <c r="AC1682" s="100" t="s">
        <v>115</v>
      </c>
      <c r="AD1682" s="100"/>
      <c r="AE1682" s="100"/>
      <c r="AF1682" s="100"/>
      <c r="AG1682" s="100"/>
      <c r="AH1682" s="100"/>
      <c r="AI1682" s="100" t="s">
        <v>115</v>
      </c>
      <c r="AJ1682" s="100"/>
      <c r="AK1682" s="100"/>
      <c r="AL1682" s="100"/>
      <c r="AM1682" s="100"/>
      <c r="AN1682" s="100"/>
      <c r="AO1682" s="100"/>
      <c r="AP1682" s="89" t="s">
        <v>115</v>
      </c>
    </row>
    <row r="1683" spans="1:42" s="89" customFormat="1" x14ac:dyDescent="0.15">
      <c r="A1683" s="100" t="s">
        <v>1</v>
      </c>
      <c r="B1683" s="101">
        <v>90160818</v>
      </c>
      <c r="C1683" s="101">
        <v>1608</v>
      </c>
      <c r="D1683" s="101">
        <v>16</v>
      </c>
      <c r="E1683" s="101"/>
      <c r="F1683" s="101" t="s">
        <v>1076</v>
      </c>
      <c r="G1683" s="101" t="s">
        <v>115</v>
      </c>
      <c r="H1683" s="101" t="s">
        <v>3830</v>
      </c>
      <c r="I1683" s="101">
        <v>3</v>
      </c>
      <c r="J1683" s="100">
        <v>0</v>
      </c>
      <c r="K1683" s="100">
        <v>0</v>
      </c>
      <c r="L1683" s="100" t="s">
        <v>115</v>
      </c>
      <c r="M1683" s="102"/>
      <c r="N1683" s="100"/>
      <c r="O1683" s="100" t="s">
        <v>115</v>
      </c>
      <c r="P1683" s="101"/>
      <c r="Q1683" s="100">
        <v>115</v>
      </c>
      <c r="R1683" s="100">
        <v>127</v>
      </c>
      <c r="S1683" s="100"/>
      <c r="T1683" s="100"/>
      <c r="U1683" s="100"/>
      <c r="V1683" s="100"/>
      <c r="W1683" s="100"/>
      <c r="X1683" s="100">
        <v>90160819</v>
      </c>
      <c r="Y1683" s="100" t="s">
        <v>115</v>
      </c>
      <c r="Z1683" s="100" t="s">
        <v>115</v>
      </c>
      <c r="AA1683" s="100" t="s">
        <v>115</v>
      </c>
      <c r="AB1683" s="100" t="s">
        <v>115</v>
      </c>
      <c r="AC1683" s="100" t="s">
        <v>115</v>
      </c>
      <c r="AD1683" s="100"/>
      <c r="AE1683" s="100"/>
      <c r="AF1683" s="100"/>
      <c r="AG1683" s="100"/>
      <c r="AH1683" s="100"/>
      <c r="AI1683" s="100" t="s">
        <v>115</v>
      </c>
      <c r="AJ1683" s="100"/>
      <c r="AK1683" s="100"/>
      <c r="AL1683" s="100"/>
      <c r="AM1683" s="100"/>
      <c r="AN1683" s="100"/>
      <c r="AO1683" s="100"/>
      <c r="AP1683" s="89" t="s">
        <v>115</v>
      </c>
    </row>
    <row r="1684" spans="1:42" s="89" customFormat="1" x14ac:dyDescent="0.15">
      <c r="A1684" s="100" t="s">
        <v>1</v>
      </c>
      <c r="B1684" s="101">
        <v>90160819</v>
      </c>
      <c r="C1684" s="101">
        <v>1608</v>
      </c>
      <c r="D1684" s="101">
        <v>16</v>
      </c>
      <c r="E1684" s="101"/>
      <c r="F1684" s="101" t="s">
        <v>1076</v>
      </c>
      <c r="G1684" s="101" t="s">
        <v>115</v>
      </c>
      <c r="H1684" s="101" t="s">
        <v>3831</v>
      </c>
      <c r="I1684" s="101">
        <v>3</v>
      </c>
      <c r="J1684" s="100">
        <v>0</v>
      </c>
      <c r="K1684" s="100">
        <v>0</v>
      </c>
      <c r="L1684" s="100" t="s">
        <v>115</v>
      </c>
      <c r="M1684" s="102"/>
      <c r="N1684" s="100"/>
      <c r="O1684" s="100" t="s">
        <v>115</v>
      </c>
      <c r="P1684" s="101"/>
      <c r="Q1684" s="100">
        <v>115</v>
      </c>
      <c r="R1684" s="100">
        <v>127</v>
      </c>
      <c r="S1684" s="100"/>
      <c r="T1684" s="100"/>
      <c r="U1684" s="100"/>
      <c r="V1684" s="100"/>
      <c r="W1684" s="100"/>
      <c r="X1684" s="100">
        <v>90160820</v>
      </c>
      <c r="Y1684" s="100" t="s">
        <v>115</v>
      </c>
      <c r="Z1684" s="100" t="s">
        <v>115</v>
      </c>
      <c r="AA1684" s="100" t="s">
        <v>115</v>
      </c>
      <c r="AB1684" s="100" t="s">
        <v>115</v>
      </c>
      <c r="AC1684" s="100" t="s">
        <v>115</v>
      </c>
      <c r="AD1684" s="100"/>
      <c r="AE1684" s="100"/>
      <c r="AF1684" s="100"/>
      <c r="AG1684" s="100"/>
      <c r="AH1684" s="100"/>
      <c r="AI1684" s="100" t="s">
        <v>115</v>
      </c>
      <c r="AJ1684" s="100"/>
      <c r="AK1684" s="100"/>
      <c r="AL1684" s="100"/>
      <c r="AM1684" s="100"/>
      <c r="AN1684" s="100"/>
      <c r="AO1684" s="100"/>
      <c r="AP1684" s="89" t="s">
        <v>115</v>
      </c>
    </row>
    <row r="1685" spans="1:42" s="89" customFormat="1" x14ac:dyDescent="0.15">
      <c r="A1685" s="100" t="s">
        <v>1</v>
      </c>
      <c r="B1685" s="101">
        <v>90160820</v>
      </c>
      <c r="C1685" s="101">
        <v>1608</v>
      </c>
      <c r="D1685" s="101">
        <v>16</v>
      </c>
      <c r="E1685" s="101"/>
      <c r="F1685" s="101" t="s">
        <v>1076</v>
      </c>
      <c r="G1685" s="101" t="s">
        <v>115</v>
      </c>
      <c r="H1685" s="101" t="s">
        <v>3832</v>
      </c>
      <c r="I1685" s="101">
        <v>3</v>
      </c>
      <c r="J1685" s="100">
        <v>0</v>
      </c>
      <c r="K1685" s="100">
        <v>0</v>
      </c>
      <c r="L1685" s="100" t="s">
        <v>115</v>
      </c>
      <c r="M1685" s="102"/>
      <c r="N1685" s="100"/>
      <c r="O1685" s="100" t="s">
        <v>115</v>
      </c>
      <c r="P1685" s="101"/>
      <c r="Q1685" s="100">
        <v>115</v>
      </c>
      <c r="R1685" s="100">
        <v>127</v>
      </c>
      <c r="S1685" s="100"/>
      <c r="T1685" s="100"/>
      <c r="U1685" s="100"/>
      <c r="V1685" s="100"/>
      <c r="W1685" s="100"/>
      <c r="X1685" s="100">
        <v>90160821</v>
      </c>
      <c r="Y1685" s="100" t="s">
        <v>115</v>
      </c>
      <c r="Z1685" s="100" t="s">
        <v>115</v>
      </c>
      <c r="AA1685" s="100" t="s">
        <v>115</v>
      </c>
      <c r="AB1685" s="100" t="s">
        <v>115</v>
      </c>
      <c r="AC1685" s="100" t="s">
        <v>115</v>
      </c>
      <c r="AD1685" s="100"/>
      <c r="AE1685" s="100"/>
      <c r="AF1685" s="100"/>
      <c r="AG1685" s="100"/>
      <c r="AH1685" s="100"/>
      <c r="AI1685" s="100" t="s">
        <v>115</v>
      </c>
      <c r="AJ1685" s="100"/>
      <c r="AK1685" s="100"/>
      <c r="AL1685" s="100"/>
      <c r="AM1685" s="100"/>
      <c r="AN1685" s="100"/>
      <c r="AO1685" s="100"/>
      <c r="AP1685" s="89" t="s">
        <v>115</v>
      </c>
    </row>
    <row r="1686" spans="1:42" s="89" customFormat="1" x14ac:dyDescent="0.15">
      <c r="A1686" s="100" t="s">
        <v>1</v>
      </c>
      <c r="B1686" s="101">
        <v>90160821</v>
      </c>
      <c r="C1686" s="101">
        <v>1608</v>
      </c>
      <c r="D1686" s="101">
        <v>16</v>
      </c>
      <c r="E1686" s="101"/>
      <c r="F1686" s="101" t="s">
        <v>116</v>
      </c>
      <c r="G1686" s="101">
        <v>313</v>
      </c>
      <c r="H1686" s="101" t="s">
        <v>3833</v>
      </c>
      <c r="I1686" s="101">
        <v>2</v>
      </c>
      <c r="J1686" s="100">
        <v>0</v>
      </c>
      <c r="K1686" s="100">
        <v>0</v>
      </c>
      <c r="L1686" s="100" t="s">
        <v>115</v>
      </c>
      <c r="M1686" s="102"/>
      <c r="N1686" s="100"/>
      <c r="O1686" s="100" t="s">
        <v>115</v>
      </c>
      <c r="P1686" s="101"/>
      <c r="Q1686" s="100">
        <v>115</v>
      </c>
      <c r="R1686" s="100" t="s">
        <v>115</v>
      </c>
      <c r="S1686" s="100"/>
      <c r="T1686" s="100"/>
      <c r="U1686" s="100"/>
      <c r="V1686" s="100"/>
      <c r="W1686" s="100"/>
      <c r="X1686" s="100">
        <v>90160822</v>
      </c>
      <c r="Y1686" s="100" t="s">
        <v>115</v>
      </c>
      <c r="Z1686" s="100" t="s">
        <v>115</v>
      </c>
      <c r="AA1686" s="100" t="s">
        <v>115</v>
      </c>
      <c r="AB1686" s="100" t="s">
        <v>115</v>
      </c>
      <c r="AC1686" s="100" t="s">
        <v>115</v>
      </c>
      <c r="AD1686" s="100"/>
      <c r="AE1686" s="100"/>
      <c r="AF1686" s="100"/>
      <c r="AG1686" s="100"/>
      <c r="AH1686" s="100"/>
      <c r="AI1686" s="100" t="s">
        <v>115</v>
      </c>
      <c r="AJ1686" s="100"/>
      <c r="AK1686" s="100"/>
      <c r="AL1686" s="100"/>
      <c r="AM1686" s="100"/>
      <c r="AN1686" s="100"/>
      <c r="AO1686" s="100"/>
      <c r="AP1686" s="89" t="s">
        <v>115</v>
      </c>
    </row>
    <row r="1687" spans="1:42" s="89" customFormat="1" x14ac:dyDescent="0.15">
      <c r="A1687" s="100" t="s">
        <v>1</v>
      </c>
      <c r="B1687" s="101">
        <v>90160822</v>
      </c>
      <c r="C1687" s="101">
        <v>1608</v>
      </c>
      <c r="D1687" s="101">
        <v>16</v>
      </c>
      <c r="E1687" s="101"/>
      <c r="F1687" s="101" t="s">
        <v>116</v>
      </c>
      <c r="G1687" s="101">
        <v>314</v>
      </c>
      <c r="H1687" s="101" t="s">
        <v>3834</v>
      </c>
      <c r="I1687" s="101">
        <v>2</v>
      </c>
      <c r="J1687" s="100">
        <v>0</v>
      </c>
      <c r="K1687" s="100">
        <v>0</v>
      </c>
      <c r="L1687" s="100" t="s">
        <v>115</v>
      </c>
      <c r="M1687" s="102"/>
      <c r="N1687" s="100"/>
      <c r="O1687" s="100" t="s">
        <v>115</v>
      </c>
      <c r="P1687" s="101"/>
      <c r="Q1687" s="100">
        <v>115</v>
      </c>
      <c r="R1687" s="100" t="s">
        <v>115</v>
      </c>
      <c r="S1687" s="100"/>
      <c r="T1687" s="100"/>
      <c r="U1687" s="100"/>
      <c r="V1687" s="100"/>
      <c r="W1687" s="100"/>
      <c r="X1687" s="100">
        <v>90160823</v>
      </c>
      <c r="Y1687" s="100" t="s">
        <v>115</v>
      </c>
      <c r="Z1687" s="100" t="s">
        <v>115</v>
      </c>
      <c r="AA1687" s="100" t="s">
        <v>115</v>
      </c>
      <c r="AB1687" s="100" t="s">
        <v>115</v>
      </c>
      <c r="AC1687" s="100" t="s">
        <v>115</v>
      </c>
      <c r="AD1687" s="100"/>
      <c r="AE1687" s="100"/>
      <c r="AF1687" s="100"/>
      <c r="AG1687" s="100"/>
      <c r="AH1687" s="100"/>
      <c r="AI1687" s="100" t="s">
        <v>115</v>
      </c>
      <c r="AJ1687" s="100"/>
      <c r="AK1687" s="100"/>
      <c r="AL1687" s="100"/>
      <c r="AM1687" s="100"/>
      <c r="AN1687" s="100"/>
      <c r="AO1687" s="100"/>
      <c r="AP1687" s="89" t="s">
        <v>115</v>
      </c>
    </row>
    <row r="1688" spans="1:42" s="89" customFormat="1" x14ac:dyDescent="0.15">
      <c r="A1688" s="100" t="s">
        <v>1</v>
      </c>
      <c r="B1688" s="101">
        <v>90160823</v>
      </c>
      <c r="C1688" s="101">
        <v>1608</v>
      </c>
      <c r="D1688" s="101">
        <v>16</v>
      </c>
      <c r="E1688" s="101"/>
      <c r="F1688" s="101" t="s">
        <v>116</v>
      </c>
      <c r="G1688" s="101">
        <v>312</v>
      </c>
      <c r="H1688" s="101" t="s">
        <v>3835</v>
      </c>
      <c r="I1688" s="101">
        <v>2</v>
      </c>
      <c r="J1688" s="100">
        <v>0</v>
      </c>
      <c r="K1688" s="100">
        <v>5</v>
      </c>
      <c r="L1688" s="100" t="s">
        <v>115</v>
      </c>
      <c r="M1688" s="102"/>
      <c r="N1688" s="100"/>
      <c r="O1688" s="100">
        <v>1</v>
      </c>
      <c r="P1688" s="101"/>
      <c r="Q1688" s="100">
        <v>115</v>
      </c>
      <c r="R1688" s="100" t="s">
        <v>115</v>
      </c>
      <c r="S1688" s="100"/>
      <c r="T1688" s="100"/>
      <c r="U1688" s="100"/>
      <c r="V1688" s="100"/>
      <c r="W1688" s="100"/>
      <c r="X1688" s="100" t="s">
        <v>115</v>
      </c>
      <c r="Y1688" s="100" t="s">
        <v>115</v>
      </c>
      <c r="Z1688" s="100">
        <v>4</v>
      </c>
      <c r="AA1688" s="100" t="s">
        <v>115</v>
      </c>
      <c r="AB1688" s="100" t="s">
        <v>115</v>
      </c>
      <c r="AC1688" s="100" t="s">
        <v>115</v>
      </c>
      <c r="AD1688" s="100"/>
      <c r="AE1688" s="100"/>
      <c r="AF1688" s="100"/>
      <c r="AG1688" s="100"/>
      <c r="AH1688" s="100"/>
      <c r="AI1688" s="100" t="s">
        <v>115</v>
      </c>
      <c r="AJ1688" s="100"/>
      <c r="AK1688" s="100"/>
      <c r="AL1688" s="100"/>
      <c r="AM1688" s="100"/>
      <c r="AN1688" s="100"/>
      <c r="AO1688" s="100"/>
      <c r="AP1688" s="89" t="s">
        <v>115</v>
      </c>
    </row>
    <row r="1689" spans="1:42" s="89" customFormat="1" x14ac:dyDescent="0.15">
      <c r="A1689" s="100" t="s">
        <v>1</v>
      </c>
      <c r="B1689" s="101">
        <v>90160824</v>
      </c>
      <c r="C1689" s="101">
        <v>1608</v>
      </c>
      <c r="D1689" s="101">
        <v>16</v>
      </c>
      <c r="E1689" s="101"/>
      <c r="F1689" s="101" t="s">
        <v>116</v>
      </c>
      <c r="G1689" s="101">
        <v>314</v>
      </c>
      <c r="H1689" s="101" t="s">
        <v>3836</v>
      </c>
      <c r="I1689" s="101">
        <v>0</v>
      </c>
      <c r="J1689" s="100">
        <v>0</v>
      </c>
      <c r="K1689" s="100">
        <v>0</v>
      </c>
      <c r="L1689" s="100" t="s">
        <v>115</v>
      </c>
      <c r="M1689" s="102"/>
      <c r="N1689" s="100"/>
      <c r="O1689" s="100" t="s">
        <v>115</v>
      </c>
      <c r="P1689" s="101"/>
      <c r="Q1689" s="100">
        <v>115</v>
      </c>
      <c r="R1689" s="100" t="s">
        <v>115</v>
      </c>
      <c r="S1689" s="100"/>
      <c r="T1689" s="100"/>
      <c r="U1689" s="100"/>
      <c r="V1689" s="100"/>
      <c r="W1689" s="100"/>
      <c r="X1689" s="100">
        <v>90160803</v>
      </c>
      <c r="Y1689" s="100" t="s">
        <v>115</v>
      </c>
      <c r="Z1689" s="100" t="s">
        <v>115</v>
      </c>
      <c r="AA1689" s="100" t="s">
        <v>115</v>
      </c>
      <c r="AB1689" s="100" t="s">
        <v>115</v>
      </c>
      <c r="AC1689" s="100" t="s">
        <v>115</v>
      </c>
      <c r="AD1689" s="100"/>
      <c r="AE1689" s="100"/>
      <c r="AF1689" s="100"/>
      <c r="AG1689" s="100"/>
      <c r="AH1689" s="100"/>
      <c r="AI1689" s="100" t="s">
        <v>115</v>
      </c>
      <c r="AJ1689" s="100"/>
      <c r="AK1689" s="100"/>
      <c r="AL1689" s="100"/>
      <c r="AM1689" s="100"/>
      <c r="AN1689" s="100"/>
      <c r="AO1689" s="100"/>
      <c r="AP1689" s="89" t="s">
        <v>115</v>
      </c>
    </row>
    <row r="1690" spans="1:42" s="89" customFormat="1" x14ac:dyDescent="0.15">
      <c r="A1690" s="100" t="s">
        <v>1</v>
      </c>
      <c r="B1690" s="101" t="s">
        <v>3461</v>
      </c>
      <c r="C1690" s="101">
        <v>1609</v>
      </c>
      <c r="D1690" s="101">
        <v>16</v>
      </c>
      <c r="E1690" s="101"/>
      <c r="F1690" s="101" t="s">
        <v>116</v>
      </c>
      <c r="G1690" s="101">
        <v>312</v>
      </c>
      <c r="H1690" s="101" t="s">
        <v>3837</v>
      </c>
      <c r="I1690" s="101">
        <v>0</v>
      </c>
      <c r="J1690" s="100">
        <v>1</v>
      </c>
      <c r="K1690" s="100">
        <v>1</v>
      </c>
      <c r="L1690" s="100" t="s">
        <v>115</v>
      </c>
      <c r="M1690" s="102"/>
      <c r="N1690" s="100"/>
      <c r="O1690" s="100" t="s">
        <v>115</v>
      </c>
      <c r="P1690" s="101"/>
      <c r="Q1690" s="100">
        <v>12</v>
      </c>
      <c r="R1690" s="100" t="s">
        <v>115</v>
      </c>
      <c r="S1690" s="100"/>
      <c r="T1690" s="100"/>
      <c r="U1690" s="100"/>
      <c r="V1690" s="100"/>
      <c r="W1690" s="100"/>
      <c r="X1690" s="100">
        <v>90160902</v>
      </c>
      <c r="Y1690" s="100" t="s">
        <v>115</v>
      </c>
      <c r="Z1690" s="100" t="s">
        <v>115</v>
      </c>
      <c r="AA1690" s="100" t="s">
        <v>115</v>
      </c>
      <c r="AB1690" s="100" t="s">
        <v>115</v>
      </c>
      <c r="AC1690" s="100" t="s">
        <v>115</v>
      </c>
      <c r="AD1690" s="100"/>
      <c r="AE1690" s="100"/>
      <c r="AF1690" s="100"/>
      <c r="AG1690" s="100"/>
      <c r="AH1690" s="100"/>
      <c r="AI1690" s="100" t="s">
        <v>115</v>
      </c>
      <c r="AJ1690" s="100"/>
      <c r="AK1690" s="100"/>
      <c r="AL1690" s="100"/>
      <c r="AM1690" s="100"/>
      <c r="AN1690" s="100"/>
      <c r="AO1690" s="100"/>
      <c r="AP1690" s="89" t="s">
        <v>115</v>
      </c>
    </row>
    <row r="1691" spans="1:42" s="89" customFormat="1" x14ac:dyDescent="0.15">
      <c r="A1691" s="100" t="s">
        <v>1</v>
      </c>
      <c r="B1691" s="101">
        <v>90160902</v>
      </c>
      <c r="C1691" s="101">
        <v>1609</v>
      </c>
      <c r="D1691" s="101">
        <v>16</v>
      </c>
      <c r="E1691" s="101"/>
      <c r="F1691" s="101" t="s">
        <v>527</v>
      </c>
      <c r="G1691" s="101" t="s">
        <v>115</v>
      </c>
      <c r="H1691" s="101" t="s">
        <v>3838</v>
      </c>
      <c r="I1691" s="101">
        <v>3</v>
      </c>
      <c r="J1691" s="100">
        <v>0</v>
      </c>
      <c r="K1691" s="100">
        <v>0</v>
      </c>
      <c r="L1691" s="100" t="s">
        <v>115</v>
      </c>
      <c r="M1691" s="102"/>
      <c r="N1691" s="100"/>
      <c r="O1691" s="100" t="s">
        <v>115</v>
      </c>
      <c r="P1691" s="101"/>
      <c r="Q1691" s="100">
        <v>12</v>
      </c>
      <c r="R1691" s="100">
        <v>229</v>
      </c>
      <c r="S1691" s="100"/>
      <c r="T1691" s="100"/>
      <c r="U1691" s="100"/>
      <c r="V1691" s="100"/>
      <c r="W1691" s="100"/>
      <c r="X1691" s="100">
        <v>90160903</v>
      </c>
      <c r="Y1691" s="100" t="s">
        <v>115</v>
      </c>
      <c r="Z1691" s="100" t="s">
        <v>115</v>
      </c>
      <c r="AA1691" s="100" t="s">
        <v>115</v>
      </c>
      <c r="AB1691" s="100" t="s">
        <v>115</v>
      </c>
      <c r="AC1691" s="100" t="s">
        <v>115</v>
      </c>
      <c r="AD1691" s="100"/>
      <c r="AE1691" s="100"/>
      <c r="AF1691" s="100"/>
      <c r="AG1691" s="100"/>
      <c r="AH1691" s="100"/>
      <c r="AI1691" s="100" t="s">
        <v>115</v>
      </c>
      <c r="AJ1691" s="100"/>
      <c r="AK1691" s="100"/>
      <c r="AL1691" s="100"/>
      <c r="AM1691" s="100"/>
      <c r="AN1691" s="100"/>
      <c r="AO1691" s="100"/>
      <c r="AP1691" s="89" t="s">
        <v>115</v>
      </c>
    </row>
    <row r="1692" spans="1:42" s="89" customFormat="1" x14ac:dyDescent="0.15">
      <c r="A1692" s="100" t="s">
        <v>1</v>
      </c>
      <c r="B1692" s="101">
        <v>90160903</v>
      </c>
      <c r="C1692" s="101">
        <v>1609</v>
      </c>
      <c r="D1692" s="101">
        <v>16</v>
      </c>
      <c r="E1692" s="101"/>
      <c r="F1692" s="101" t="s">
        <v>529</v>
      </c>
      <c r="G1692" s="101" t="s">
        <v>115</v>
      </c>
      <c r="H1692" s="101" t="s">
        <v>3839</v>
      </c>
      <c r="I1692" s="101">
        <v>3</v>
      </c>
      <c r="J1692" s="100">
        <v>0</v>
      </c>
      <c r="K1692" s="100">
        <v>0</v>
      </c>
      <c r="L1692" s="100" t="s">
        <v>115</v>
      </c>
      <c r="M1692" s="102"/>
      <c r="N1692" s="100"/>
      <c r="O1692" s="100" t="s">
        <v>115</v>
      </c>
      <c r="P1692" s="101"/>
      <c r="Q1692" s="100">
        <v>12</v>
      </c>
      <c r="R1692" s="100">
        <v>213</v>
      </c>
      <c r="S1692" s="100"/>
      <c r="T1692" s="100"/>
      <c r="U1692" s="100"/>
      <c r="V1692" s="100"/>
      <c r="W1692" s="100"/>
      <c r="X1692" s="100">
        <v>90160904</v>
      </c>
      <c r="Y1692" s="100" t="s">
        <v>115</v>
      </c>
      <c r="Z1692" s="100" t="s">
        <v>115</v>
      </c>
      <c r="AA1692" s="100" t="s">
        <v>115</v>
      </c>
      <c r="AB1692" s="100" t="s">
        <v>115</v>
      </c>
      <c r="AC1692" s="100" t="s">
        <v>115</v>
      </c>
      <c r="AD1692" s="100"/>
      <c r="AE1692" s="100"/>
      <c r="AF1692" s="100"/>
      <c r="AG1692" s="100"/>
      <c r="AH1692" s="100"/>
      <c r="AI1692" s="100" t="s">
        <v>115</v>
      </c>
      <c r="AJ1692" s="100"/>
      <c r="AK1692" s="100"/>
      <c r="AL1692" s="100"/>
      <c r="AM1692" s="100"/>
      <c r="AN1692" s="100"/>
      <c r="AO1692" s="100"/>
      <c r="AP1692" s="89" t="s">
        <v>115</v>
      </c>
    </row>
    <row r="1693" spans="1:42" s="89" customFormat="1" x14ac:dyDescent="0.15">
      <c r="A1693" s="100" t="s">
        <v>1</v>
      </c>
      <c r="B1693" s="101">
        <v>90160904</v>
      </c>
      <c r="C1693" s="101">
        <v>1609</v>
      </c>
      <c r="D1693" s="101">
        <v>16</v>
      </c>
      <c r="E1693" s="101"/>
      <c r="F1693" s="101" t="s">
        <v>116</v>
      </c>
      <c r="G1693" s="101">
        <v>312</v>
      </c>
      <c r="H1693" s="101" t="s">
        <v>3840</v>
      </c>
      <c r="I1693" s="101">
        <v>0</v>
      </c>
      <c r="J1693" s="100">
        <v>0</v>
      </c>
      <c r="K1693" s="100">
        <v>0</v>
      </c>
      <c r="L1693" s="100" t="s">
        <v>115</v>
      </c>
      <c r="M1693" s="102"/>
      <c r="N1693" s="100"/>
      <c r="O1693" s="100" t="s">
        <v>115</v>
      </c>
      <c r="P1693" s="101"/>
      <c r="Q1693" s="100">
        <v>12</v>
      </c>
      <c r="R1693" s="100">
        <v>213</v>
      </c>
      <c r="S1693" s="100"/>
      <c r="T1693" s="100"/>
      <c r="U1693" s="100"/>
      <c r="V1693" s="100"/>
      <c r="W1693" s="100"/>
      <c r="X1693" s="100">
        <v>90160905</v>
      </c>
      <c r="Y1693" s="100" t="s">
        <v>115</v>
      </c>
      <c r="Z1693" s="100" t="s">
        <v>115</v>
      </c>
      <c r="AA1693" s="100" t="s">
        <v>115</v>
      </c>
      <c r="AB1693" s="100" t="s">
        <v>115</v>
      </c>
      <c r="AC1693" s="100" t="s">
        <v>115</v>
      </c>
      <c r="AD1693" s="100"/>
      <c r="AE1693" s="100"/>
      <c r="AF1693" s="100"/>
      <c r="AG1693" s="100"/>
      <c r="AH1693" s="100"/>
      <c r="AI1693" s="100" t="s">
        <v>115</v>
      </c>
      <c r="AJ1693" s="100"/>
      <c r="AK1693" s="100"/>
      <c r="AL1693" s="100"/>
      <c r="AM1693" s="100"/>
      <c r="AN1693" s="100"/>
      <c r="AO1693" s="100"/>
      <c r="AP1693" s="89" t="s">
        <v>115</v>
      </c>
    </row>
    <row r="1694" spans="1:42" s="89" customFormat="1" x14ac:dyDescent="0.15">
      <c r="A1694" s="100" t="s">
        <v>1</v>
      </c>
      <c r="B1694" s="101">
        <v>90160905</v>
      </c>
      <c r="C1694" s="101">
        <v>1609</v>
      </c>
      <c r="D1694" s="101">
        <v>16</v>
      </c>
      <c r="E1694" s="101"/>
      <c r="F1694" s="101" t="s">
        <v>116</v>
      </c>
      <c r="G1694" s="101">
        <v>312</v>
      </c>
      <c r="H1694" s="101" t="s">
        <v>3841</v>
      </c>
      <c r="I1694" s="101">
        <v>0</v>
      </c>
      <c r="J1694" s="100">
        <v>0</v>
      </c>
      <c r="K1694" s="100">
        <v>0</v>
      </c>
      <c r="L1694" s="100" t="s">
        <v>115</v>
      </c>
      <c r="M1694" s="102"/>
      <c r="N1694" s="100"/>
      <c r="O1694" s="100" t="s">
        <v>115</v>
      </c>
      <c r="P1694" s="101"/>
      <c r="Q1694" s="100">
        <v>12</v>
      </c>
      <c r="R1694" s="100">
        <v>213</v>
      </c>
      <c r="S1694" s="100"/>
      <c r="T1694" s="100"/>
      <c r="U1694" s="100"/>
      <c r="V1694" s="100"/>
      <c r="W1694" s="100"/>
      <c r="X1694" s="100">
        <v>90160906</v>
      </c>
      <c r="Y1694" s="100" t="s">
        <v>115</v>
      </c>
      <c r="Z1694" s="100" t="s">
        <v>115</v>
      </c>
      <c r="AA1694" s="100" t="s">
        <v>115</v>
      </c>
      <c r="AB1694" s="100" t="s">
        <v>115</v>
      </c>
      <c r="AC1694" s="100" t="s">
        <v>115</v>
      </c>
      <c r="AD1694" s="100"/>
      <c r="AE1694" s="100"/>
      <c r="AF1694" s="100"/>
      <c r="AG1694" s="100"/>
      <c r="AH1694" s="100"/>
      <c r="AI1694" s="100" t="s">
        <v>115</v>
      </c>
      <c r="AJ1694" s="100"/>
      <c r="AK1694" s="100"/>
      <c r="AL1694" s="100"/>
      <c r="AM1694" s="100"/>
      <c r="AN1694" s="100"/>
      <c r="AO1694" s="100"/>
      <c r="AP1694" s="89" t="s">
        <v>115</v>
      </c>
    </row>
    <row r="1695" spans="1:42" s="89" customFormat="1" x14ac:dyDescent="0.15">
      <c r="A1695" s="100" t="s">
        <v>1</v>
      </c>
      <c r="B1695" s="101">
        <v>90160906</v>
      </c>
      <c r="C1695" s="101">
        <v>1609</v>
      </c>
      <c r="D1695" s="101">
        <v>16</v>
      </c>
      <c r="E1695" s="101"/>
      <c r="F1695" s="101" t="s">
        <v>527</v>
      </c>
      <c r="G1695" s="101" t="s">
        <v>115</v>
      </c>
      <c r="H1695" s="101" t="s">
        <v>3842</v>
      </c>
      <c r="I1695" s="101">
        <v>3</v>
      </c>
      <c r="J1695" s="100">
        <v>0</v>
      </c>
      <c r="K1695" s="100">
        <v>0</v>
      </c>
      <c r="L1695" s="100" t="s">
        <v>115</v>
      </c>
      <c r="M1695" s="102"/>
      <c r="N1695" s="100"/>
      <c r="O1695" s="100" t="s">
        <v>115</v>
      </c>
      <c r="P1695" s="101"/>
      <c r="Q1695" s="100">
        <v>12</v>
      </c>
      <c r="R1695" s="100">
        <v>229</v>
      </c>
      <c r="S1695" s="100"/>
      <c r="T1695" s="100"/>
      <c r="U1695" s="100"/>
      <c r="V1695" s="100"/>
      <c r="W1695" s="100"/>
      <c r="X1695" s="100">
        <v>90160907</v>
      </c>
      <c r="Y1695" s="100" t="s">
        <v>115</v>
      </c>
      <c r="Z1695" s="100" t="s">
        <v>115</v>
      </c>
      <c r="AA1695" s="100" t="s">
        <v>115</v>
      </c>
      <c r="AB1695" s="100" t="s">
        <v>115</v>
      </c>
      <c r="AC1695" s="100" t="s">
        <v>115</v>
      </c>
      <c r="AD1695" s="100"/>
      <c r="AE1695" s="100"/>
      <c r="AF1695" s="100"/>
      <c r="AG1695" s="100"/>
      <c r="AH1695" s="100"/>
      <c r="AI1695" s="100" t="s">
        <v>115</v>
      </c>
      <c r="AJ1695" s="100"/>
      <c r="AK1695" s="100"/>
      <c r="AL1695" s="100"/>
      <c r="AM1695" s="100"/>
      <c r="AN1695" s="100"/>
      <c r="AO1695" s="100"/>
      <c r="AP1695" s="89" t="s">
        <v>115</v>
      </c>
    </row>
    <row r="1696" spans="1:42" s="89" customFormat="1" x14ac:dyDescent="0.15">
      <c r="A1696" s="100" t="s">
        <v>1</v>
      </c>
      <c r="B1696" s="101">
        <v>90160907</v>
      </c>
      <c r="C1696" s="101">
        <v>1609</v>
      </c>
      <c r="D1696" s="101">
        <v>16</v>
      </c>
      <c r="E1696" s="101"/>
      <c r="F1696" s="101" t="s">
        <v>529</v>
      </c>
      <c r="G1696" s="101" t="s">
        <v>115</v>
      </c>
      <c r="H1696" s="101" t="s">
        <v>3843</v>
      </c>
      <c r="I1696" s="101">
        <v>3</v>
      </c>
      <c r="J1696" s="100">
        <v>0</v>
      </c>
      <c r="K1696" s="100">
        <v>0</v>
      </c>
      <c r="L1696" s="100" t="s">
        <v>115</v>
      </c>
      <c r="M1696" s="102"/>
      <c r="N1696" s="100"/>
      <c r="O1696" s="100" t="s">
        <v>115</v>
      </c>
      <c r="P1696" s="101"/>
      <c r="Q1696" s="100">
        <v>12</v>
      </c>
      <c r="R1696" s="100">
        <v>213</v>
      </c>
      <c r="S1696" s="100"/>
      <c r="T1696" s="100"/>
      <c r="U1696" s="100"/>
      <c r="V1696" s="100"/>
      <c r="W1696" s="100"/>
      <c r="X1696" s="100">
        <v>90160908</v>
      </c>
      <c r="Y1696" s="100" t="s">
        <v>115</v>
      </c>
      <c r="Z1696" s="100" t="s">
        <v>115</v>
      </c>
      <c r="AA1696" s="100" t="s">
        <v>115</v>
      </c>
      <c r="AB1696" s="100" t="s">
        <v>115</v>
      </c>
      <c r="AC1696" s="100" t="s">
        <v>115</v>
      </c>
      <c r="AD1696" s="100"/>
      <c r="AE1696" s="100"/>
      <c r="AF1696" s="100"/>
      <c r="AG1696" s="100"/>
      <c r="AH1696" s="100"/>
      <c r="AI1696" s="100" t="s">
        <v>115</v>
      </c>
      <c r="AJ1696" s="100"/>
      <c r="AK1696" s="100"/>
      <c r="AL1696" s="100"/>
      <c r="AM1696" s="100"/>
      <c r="AN1696" s="100"/>
      <c r="AO1696" s="100"/>
      <c r="AP1696" s="89" t="s">
        <v>115</v>
      </c>
    </row>
    <row r="1697" spans="1:42" s="89" customFormat="1" x14ac:dyDescent="0.15">
      <c r="A1697" s="100" t="s">
        <v>1</v>
      </c>
      <c r="B1697" s="101">
        <v>90160908</v>
      </c>
      <c r="C1697" s="101">
        <v>1609</v>
      </c>
      <c r="D1697" s="101">
        <v>16</v>
      </c>
      <c r="E1697" s="101"/>
      <c r="F1697" s="101" t="s">
        <v>116</v>
      </c>
      <c r="G1697" s="101">
        <v>312</v>
      </c>
      <c r="H1697" s="101" t="s">
        <v>3844</v>
      </c>
      <c r="I1697" s="101">
        <v>0</v>
      </c>
      <c r="J1697" s="100">
        <v>0</v>
      </c>
      <c r="K1697" s="100">
        <v>0</v>
      </c>
      <c r="L1697" s="100" t="s">
        <v>115</v>
      </c>
      <c r="M1697" s="102"/>
      <c r="N1697" s="100"/>
      <c r="O1697" s="100" t="s">
        <v>115</v>
      </c>
      <c r="P1697" s="101"/>
      <c r="Q1697" s="100">
        <v>12</v>
      </c>
      <c r="R1697" s="100">
        <v>213</v>
      </c>
      <c r="S1697" s="100"/>
      <c r="T1697" s="100"/>
      <c r="U1697" s="100"/>
      <c r="V1697" s="100"/>
      <c r="W1697" s="100"/>
      <c r="X1697" s="100">
        <v>90160909</v>
      </c>
      <c r="Y1697" s="100" t="s">
        <v>115</v>
      </c>
      <c r="Z1697" s="100" t="s">
        <v>115</v>
      </c>
      <c r="AA1697" s="100" t="s">
        <v>115</v>
      </c>
      <c r="AB1697" s="100" t="s">
        <v>115</v>
      </c>
      <c r="AC1697" s="100" t="s">
        <v>115</v>
      </c>
      <c r="AD1697" s="100"/>
      <c r="AE1697" s="100"/>
      <c r="AF1697" s="100"/>
      <c r="AG1697" s="100"/>
      <c r="AH1697" s="100"/>
      <c r="AI1697" s="100" t="s">
        <v>115</v>
      </c>
      <c r="AJ1697" s="100"/>
      <c r="AK1697" s="100"/>
      <c r="AL1697" s="100"/>
      <c r="AM1697" s="100"/>
      <c r="AN1697" s="100"/>
      <c r="AO1697" s="100"/>
      <c r="AP1697" s="89" t="s">
        <v>115</v>
      </c>
    </row>
    <row r="1698" spans="1:42" s="89" customFormat="1" x14ac:dyDescent="0.15">
      <c r="A1698" s="100" t="s">
        <v>1</v>
      </c>
      <c r="B1698" s="101">
        <v>90160909</v>
      </c>
      <c r="C1698" s="101">
        <v>1609</v>
      </c>
      <c r="D1698" s="101">
        <v>16</v>
      </c>
      <c r="E1698" s="101"/>
      <c r="F1698" s="101" t="s">
        <v>527</v>
      </c>
      <c r="G1698" s="101" t="s">
        <v>115</v>
      </c>
      <c r="H1698" s="101" t="s">
        <v>3845</v>
      </c>
      <c r="I1698" s="101">
        <v>3</v>
      </c>
      <c r="J1698" s="100">
        <v>0</v>
      </c>
      <c r="K1698" s="100">
        <v>0</v>
      </c>
      <c r="L1698" s="100" t="s">
        <v>115</v>
      </c>
      <c r="M1698" s="102"/>
      <c r="N1698" s="100"/>
      <c r="O1698" s="100" t="s">
        <v>115</v>
      </c>
      <c r="P1698" s="101"/>
      <c r="Q1698" s="100">
        <v>12</v>
      </c>
      <c r="R1698" s="100">
        <v>229</v>
      </c>
      <c r="S1698" s="100"/>
      <c r="T1698" s="100"/>
      <c r="U1698" s="100"/>
      <c r="V1698" s="100"/>
      <c r="W1698" s="100"/>
      <c r="X1698" s="100">
        <v>90160910</v>
      </c>
      <c r="Y1698" s="100" t="s">
        <v>115</v>
      </c>
      <c r="Z1698" s="100" t="s">
        <v>115</v>
      </c>
      <c r="AA1698" s="100" t="s">
        <v>115</v>
      </c>
      <c r="AB1698" s="100" t="s">
        <v>115</v>
      </c>
      <c r="AC1698" s="100" t="s">
        <v>115</v>
      </c>
      <c r="AD1698" s="100"/>
      <c r="AE1698" s="100"/>
      <c r="AF1698" s="100"/>
      <c r="AG1698" s="100"/>
      <c r="AH1698" s="100"/>
      <c r="AI1698" s="100" t="s">
        <v>115</v>
      </c>
      <c r="AJ1698" s="100"/>
      <c r="AK1698" s="100"/>
      <c r="AL1698" s="100"/>
      <c r="AM1698" s="100"/>
      <c r="AN1698" s="100"/>
      <c r="AO1698" s="100"/>
      <c r="AP1698" s="89" t="s">
        <v>115</v>
      </c>
    </row>
    <row r="1699" spans="1:42" s="89" customFormat="1" x14ac:dyDescent="0.15">
      <c r="A1699" s="100" t="s">
        <v>1</v>
      </c>
      <c r="B1699" s="101">
        <v>90160910</v>
      </c>
      <c r="C1699" s="101">
        <v>1609</v>
      </c>
      <c r="D1699" s="101">
        <v>16</v>
      </c>
      <c r="E1699" s="101"/>
      <c r="F1699" s="101" t="s">
        <v>529</v>
      </c>
      <c r="G1699" s="101" t="s">
        <v>115</v>
      </c>
      <c r="H1699" s="101" t="s">
        <v>3846</v>
      </c>
      <c r="I1699" s="101">
        <v>3</v>
      </c>
      <c r="J1699" s="100">
        <v>0</v>
      </c>
      <c r="K1699" s="100">
        <v>0</v>
      </c>
      <c r="L1699" s="100" t="s">
        <v>115</v>
      </c>
      <c r="M1699" s="102"/>
      <c r="N1699" s="100"/>
      <c r="O1699" s="100" t="s">
        <v>115</v>
      </c>
      <c r="P1699" s="101"/>
      <c r="Q1699" s="100">
        <v>12</v>
      </c>
      <c r="R1699" s="100">
        <v>213</v>
      </c>
      <c r="S1699" s="100"/>
      <c r="T1699" s="100"/>
      <c r="U1699" s="100"/>
      <c r="V1699" s="100"/>
      <c r="W1699" s="100"/>
      <c r="X1699" s="100">
        <v>90160911</v>
      </c>
      <c r="Y1699" s="100" t="s">
        <v>115</v>
      </c>
      <c r="Z1699" s="100" t="s">
        <v>115</v>
      </c>
      <c r="AA1699" s="100" t="s">
        <v>115</v>
      </c>
      <c r="AB1699" s="100" t="s">
        <v>115</v>
      </c>
      <c r="AC1699" s="100" t="s">
        <v>115</v>
      </c>
      <c r="AD1699" s="100"/>
      <c r="AE1699" s="100"/>
      <c r="AF1699" s="100"/>
      <c r="AG1699" s="100"/>
      <c r="AH1699" s="100"/>
      <c r="AI1699" s="100" t="s">
        <v>115</v>
      </c>
      <c r="AJ1699" s="100"/>
      <c r="AK1699" s="100"/>
      <c r="AL1699" s="100"/>
      <c r="AM1699" s="100"/>
      <c r="AN1699" s="100"/>
      <c r="AO1699" s="100"/>
      <c r="AP1699" s="89" t="s">
        <v>115</v>
      </c>
    </row>
    <row r="1700" spans="1:42" s="89" customFormat="1" x14ac:dyDescent="0.15">
      <c r="A1700" s="100" t="s">
        <v>1</v>
      </c>
      <c r="B1700" s="101">
        <v>90160911</v>
      </c>
      <c r="C1700" s="101">
        <v>1609</v>
      </c>
      <c r="D1700" s="101">
        <v>16</v>
      </c>
      <c r="E1700" s="101"/>
      <c r="F1700" s="101" t="s">
        <v>116</v>
      </c>
      <c r="G1700" s="101">
        <v>312</v>
      </c>
      <c r="H1700" s="101" t="s">
        <v>3847</v>
      </c>
      <c r="I1700" s="101">
        <v>0</v>
      </c>
      <c r="J1700" s="100">
        <v>0</v>
      </c>
      <c r="K1700" s="100">
        <v>0</v>
      </c>
      <c r="L1700" s="100" t="s">
        <v>115</v>
      </c>
      <c r="M1700" s="102"/>
      <c r="N1700" s="100"/>
      <c r="O1700" s="100" t="s">
        <v>115</v>
      </c>
      <c r="P1700" s="101"/>
      <c r="Q1700" s="100">
        <v>143</v>
      </c>
      <c r="R1700" s="100">
        <v>357</v>
      </c>
      <c r="S1700" s="100"/>
      <c r="T1700" s="100"/>
      <c r="U1700" s="100"/>
      <c r="V1700" s="100"/>
      <c r="W1700" s="100"/>
      <c r="X1700" s="100">
        <v>90160912</v>
      </c>
      <c r="Y1700" s="100" t="s">
        <v>115</v>
      </c>
      <c r="Z1700" s="100" t="s">
        <v>115</v>
      </c>
      <c r="AA1700" s="100" t="s">
        <v>115</v>
      </c>
      <c r="AB1700" s="100" t="s">
        <v>115</v>
      </c>
      <c r="AC1700" s="100" t="s">
        <v>115</v>
      </c>
      <c r="AD1700" s="100"/>
      <c r="AE1700" s="100"/>
      <c r="AF1700" s="100"/>
      <c r="AG1700" s="100"/>
      <c r="AH1700" s="100"/>
      <c r="AI1700" s="100" t="s">
        <v>115</v>
      </c>
      <c r="AJ1700" s="100"/>
      <c r="AK1700" s="100"/>
      <c r="AL1700" s="100"/>
      <c r="AM1700" s="100"/>
      <c r="AN1700" s="100"/>
      <c r="AO1700" s="100"/>
      <c r="AP1700" s="89" t="s">
        <v>115</v>
      </c>
    </row>
    <row r="1701" spans="1:42" s="89" customFormat="1" x14ac:dyDescent="0.15">
      <c r="A1701" s="100" t="s">
        <v>1</v>
      </c>
      <c r="B1701" s="101">
        <v>90160912</v>
      </c>
      <c r="C1701" s="101">
        <v>1609</v>
      </c>
      <c r="D1701" s="101">
        <v>16</v>
      </c>
      <c r="E1701" s="101"/>
      <c r="F1701" s="101" t="s">
        <v>373</v>
      </c>
      <c r="G1701" s="101" t="s">
        <v>115</v>
      </c>
      <c r="H1701" s="101" t="s">
        <v>3848</v>
      </c>
      <c r="I1701" s="101">
        <v>3</v>
      </c>
      <c r="J1701" s="100">
        <v>0</v>
      </c>
      <c r="K1701" s="100">
        <v>0</v>
      </c>
      <c r="L1701" s="100" t="s">
        <v>115</v>
      </c>
      <c r="M1701" s="102"/>
      <c r="N1701" s="100"/>
      <c r="O1701" s="100" t="s">
        <v>115</v>
      </c>
      <c r="P1701" s="101"/>
      <c r="Q1701" s="100">
        <v>143</v>
      </c>
      <c r="R1701" s="100">
        <v>357</v>
      </c>
      <c r="S1701" s="100"/>
      <c r="T1701" s="100"/>
      <c r="U1701" s="100"/>
      <c r="V1701" s="100"/>
      <c r="W1701" s="100"/>
      <c r="X1701" s="100">
        <v>90160913</v>
      </c>
      <c r="Y1701" s="100" t="s">
        <v>115</v>
      </c>
      <c r="Z1701" s="100" t="s">
        <v>115</v>
      </c>
      <c r="AA1701" s="100" t="s">
        <v>115</v>
      </c>
      <c r="AB1701" s="100" t="s">
        <v>115</v>
      </c>
      <c r="AC1701" s="100" t="s">
        <v>115</v>
      </c>
      <c r="AD1701" s="100"/>
      <c r="AE1701" s="100"/>
      <c r="AF1701" s="100"/>
      <c r="AG1701" s="100"/>
      <c r="AH1701" s="100"/>
      <c r="AI1701" s="100" t="s">
        <v>115</v>
      </c>
      <c r="AJ1701" s="100"/>
      <c r="AK1701" s="100"/>
      <c r="AL1701" s="100"/>
      <c r="AM1701" s="100"/>
      <c r="AN1701" s="100"/>
      <c r="AO1701" s="100"/>
      <c r="AP1701" s="89" t="s">
        <v>115</v>
      </c>
    </row>
    <row r="1702" spans="1:42" s="89" customFormat="1" x14ac:dyDescent="0.15">
      <c r="A1702" s="100" t="s">
        <v>1</v>
      </c>
      <c r="B1702" s="101">
        <v>90160913</v>
      </c>
      <c r="C1702" s="101">
        <v>1609</v>
      </c>
      <c r="D1702" s="101">
        <v>16</v>
      </c>
      <c r="E1702" s="101"/>
      <c r="F1702" s="101" t="s">
        <v>115</v>
      </c>
      <c r="G1702" s="101" t="s">
        <v>115</v>
      </c>
      <c r="H1702" s="101" t="s">
        <v>3849</v>
      </c>
      <c r="I1702" s="101">
        <v>4</v>
      </c>
      <c r="J1702" s="100">
        <v>0</v>
      </c>
      <c r="K1702" s="100">
        <v>2</v>
      </c>
      <c r="L1702" s="100" t="s">
        <v>115</v>
      </c>
      <c r="M1702" s="102"/>
      <c r="N1702" s="100"/>
      <c r="O1702" s="100" t="s">
        <v>115</v>
      </c>
      <c r="P1702" s="101"/>
      <c r="Q1702" s="100">
        <v>143</v>
      </c>
      <c r="R1702" s="100">
        <v>357</v>
      </c>
      <c r="S1702" s="100"/>
      <c r="T1702" s="100"/>
      <c r="U1702" s="100"/>
      <c r="V1702" s="100"/>
      <c r="W1702" s="100"/>
      <c r="X1702" s="100" t="s">
        <v>3850</v>
      </c>
      <c r="Y1702" s="100">
        <v>1</v>
      </c>
      <c r="Z1702" s="100">
        <v>1</v>
      </c>
      <c r="AA1702" s="100" t="s">
        <v>115</v>
      </c>
      <c r="AB1702" s="100" t="s">
        <v>115</v>
      </c>
      <c r="AC1702" s="100" t="s">
        <v>115</v>
      </c>
      <c r="AD1702" s="100"/>
      <c r="AE1702" s="100"/>
      <c r="AF1702" s="100"/>
      <c r="AG1702" s="100"/>
      <c r="AH1702" s="100"/>
      <c r="AI1702" s="100" t="s">
        <v>115</v>
      </c>
      <c r="AJ1702" s="100"/>
      <c r="AK1702" s="100"/>
      <c r="AL1702" s="100"/>
      <c r="AM1702" s="100"/>
      <c r="AN1702" s="100"/>
      <c r="AO1702" s="100"/>
      <c r="AP1702" s="89" t="s">
        <v>115</v>
      </c>
    </row>
    <row r="1703" spans="1:42" s="89" customFormat="1" x14ac:dyDescent="0.15">
      <c r="A1703" s="100" t="s">
        <v>1</v>
      </c>
      <c r="B1703" s="101">
        <v>90160914</v>
      </c>
      <c r="C1703" s="101">
        <v>1609</v>
      </c>
      <c r="D1703" s="101">
        <v>16</v>
      </c>
      <c r="E1703" s="101"/>
      <c r="F1703" s="101" t="s">
        <v>115</v>
      </c>
      <c r="G1703" s="101" t="s">
        <v>115</v>
      </c>
      <c r="H1703" s="101" t="s">
        <v>3851</v>
      </c>
      <c r="I1703" s="101">
        <v>4</v>
      </c>
      <c r="J1703" s="100">
        <v>0</v>
      </c>
      <c r="K1703" s="100">
        <v>3</v>
      </c>
      <c r="L1703" s="100" t="s">
        <v>115</v>
      </c>
      <c r="M1703" s="102"/>
      <c r="N1703" s="100"/>
      <c r="O1703" s="100" t="s">
        <v>115</v>
      </c>
      <c r="P1703" s="101"/>
      <c r="Q1703" s="100">
        <v>143</v>
      </c>
      <c r="R1703" s="100">
        <v>357</v>
      </c>
      <c r="S1703" s="100"/>
      <c r="T1703" s="100"/>
      <c r="U1703" s="100"/>
      <c r="V1703" s="100"/>
      <c r="W1703" s="100"/>
      <c r="X1703" s="100">
        <v>90160916</v>
      </c>
      <c r="Y1703" s="100">
        <v>-1</v>
      </c>
      <c r="Z1703" s="100">
        <v>2</v>
      </c>
      <c r="AA1703" s="100" t="s">
        <v>115</v>
      </c>
      <c r="AB1703" s="100" t="s">
        <v>115</v>
      </c>
      <c r="AC1703" s="100" t="s">
        <v>3852</v>
      </c>
      <c r="AD1703" s="100"/>
      <c r="AE1703" s="100"/>
      <c r="AF1703" s="100"/>
      <c r="AG1703" s="100"/>
      <c r="AH1703" s="100"/>
      <c r="AI1703" s="100" t="s">
        <v>115</v>
      </c>
      <c r="AJ1703" s="100"/>
      <c r="AK1703" s="100"/>
      <c r="AL1703" s="100"/>
      <c r="AM1703" s="100"/>
      <c r="AN1703" s="100"/>
      <c r="AO1703" s="100"/>
      <c r="AP1703" s="89" t="s">
        <v>115</v>
      </c>
    </row>
    <row r="1704" spans="1:42" s="89" customFormat="1" x14ac:dyDescent="0.15">
      <c r="A1704" s="100" t="s">
        <v>1</v>
      </c>
      <c r="B1704" s="101">
        <v>90160915</v>
      </c>
      <c r="C1704" s="101">
        <v>1609</v>
      </c>
      <c r="D1704" s="101">
        <v>16</v>
      </c>
      <c r="E1704" s="101"/>
      <c r="F1704" s="101" t="s">
        <v>115</v>
      </c>
      <c r="G1704" s="101" t="s">
        <v>115</v>
      </c>
      <c r="H1704" s="101" t="s">
        <v>3853</v>
      </c>
      <c r="I1704" s="101">
        <v>4</v>
      </c>
      <c r="J1704" s="100">
        <v>0</v>
      </c>
      <c r="K1704" s="100">
        <v>4</v>
      </c>
      <c r="L1704" s="100" t="s">
        <v>115</v>
      </c>
      <c r="M1704" s="102"/>
      <c r="N1704" s="100"/>
      <c r="O1704" s="100" t="s">
        <v>115</v>
      </c>
      <c r="P1704" s="101"/>
      <c r="Q1704" s="100">
        <v>143</v>
      </c>
      <c r="R1704" s="100">
        <v>357</v>
      </c>
      <c r="S1704" s="100"/>
      <c r="T1704" s="100"/>
      <c r="U1704" s="100"/>
      <c r="V1704" s="100"/>
      <c r="W1704" s="100"/>
      <c r="X1704" s="100">
        <v>90160917</v>
      </c>
      <c r="Y1704" s="100">
        <v>-1</v>
      </c>
      <c r="Z1704" s="100">
        <v>2</v>
      </c>
      <c r="AA1704" s="100" t="s">
        <v>115</v>
      </c>
      <c r="AB1704" s="100" t="s">
        <v>115</v>
      </c>
      <c r="AC1704" s="100" t="s">
        <v>3854</v>
      </c>
      <c r="AD1704" s="100"/>
      <c r="AE1704" s="100"/>
      <c r="AF1704" s="100"/>
      <c r="AG1704" s="100"/>
      <c r="AH1704" s="100"/>
      <c r="AI1704" s="100" t="s">
        <v>115</v>
      </c>
      <c r="AJ1704" s="100"/>
      <c r="AK1704" s="100"/>
      <c r="AL1704" s="100"/>
      <c r="AM1704" s="100"/>
      <c r="AN1704" s="100"/>
      <c r="AO1704" s="100"/>
      <c r="AP1704" s="89" t="s">
        <v>115</v>
      </c>
    </row>
    <row r="1705" spans="1:42" s="89" customFormat="1" x14ac:dyDescent="0.15">
      <c r="A1705" s="100" t="s">
        <v>1</v>
      </c>
      <c r="B1705" s="101">
        <v>90160916</v>
      </c>
      <c r="C1705" s="101">
        <v>1609</v>
      </c>
      <c r="D1705" s="101">
        <v>16</v>
      </c>
      <c r="E1705" s="101"/>
      <c r="F1705" s="101" t="s">
        <v>373</v>
      </c>
      <c r="G1705" s="101" t="s">
        <v>115</v>
      </c>
      <c r="H1705" s="101" t="s">
        <v>3855</v>
      </c>
      <c r="I1705" s="101">
        <v>3</v>
      </c>
      <c r="J1705" s="100">
        <v>0</v>
      </c>
      <c r="K1705" s="100">
        <v>0</v>
      </c>
      <c r="L1705" s="100" t="s">
        <v>115</v>
      </c>
      <c r="M1705" s="102"/>
      <c r="N1705" s="100"/>
      <c r="O1705" s="100" t="s">
        <v>115</v>
      </c>
      <c r="P1705" s="101"/>
      <c r="Q1705" s="100">
        <v>143</v>
      </c>
      <c r="R1705" s="100">
        <v>357</v>
      </c>
      <c r="S1705" s="100"/>
      <c r="T1705" s="100"/>
      <c r="U1705" s="100"/>
      <c r="V1705" s="100"/>
      <c r="W1705" s="100"/>
      <c r="X1705" s="100">
        <v>90160919</v>
      </c>
      <c r="Y1705" s="100" t="s">
        <v>115</v>
      </c>
      <c r="Z1705" s="100" t="s">
        <v>115</v>
      </c>
      <c r="AA1705" s="100" t="s">
        <v>115</v>
      </c>
      <c r="AB1705" s="100" t="s">
        <v>115</v>
      </c>
      <c r="AC1705" s="100" t="s">
        <v>115</v>
      </c>
      <c r="AD1705" s="100"/>
      <c r="AE1705" s="100"/>
      <c r="AF1705" s="100"/>
      <c r="AG1705" s="100"/>
      <c r="AH1705" s="100"/>
      <c r="AI1705" s="100" t="s">
        <v>115</v>
      </c>
      <c r="AJ1705" s="100"/>
      <c r="AK1705" s="100"/>
      <c r="AL1705" s="100"/>
      <c r="AM1705" s="100"/>
      <c r="AN1705" s="100"/>
      <c r="AO1705" s="100"/>
      <c r="AP1705" s="89" t="s">
        <v>115</v>
      </c>
    </row>
    <row r="1706" spans="1:42" s="89" customFormat="1" x14ac:dyDescent="0.15">
      <c r="A1706" s="100" t="s">
        <v>1</v>
      </c>
      <c r="B1706" s="101">
        <v>90160917</v>
      </c>
      <c r="C1706" s="101">
        <v>1609</v>
      </c>
      <c r="D1706" s="101">
        <v>16</v>
      </c>
      <c r="E1706" s="101"/>
      <c r="F1706" s="101" t="s">
        <v>373</v>
      </c>
      <c r="G1706" s="101" t="s">
        <v>115</v>
      </c>
      <c r="H1706" s="101" t="s">
        <v>3856</v>
      </c>
      <c r="I1706" s="101">
        <v>3</v>
      </c>
      <c r="J1706" s="100">
        <v>0</v>
      </c>
      <c r="K1706" s="100">
        <v>0</v>
      </c>
      <c r="L1706" s="100" t="s">
        <v>115</v>
      </c>
      <c r="M1706" s="102"/>
      <c r="N1706" s="100"/>
      <c r="O1706" s="100" t="s">
        <v>115</v>
      </c>
      <c r="P1706" s="101"/>
      <c r="Q1706" s="100">
        <v>143</v>
      </c>
      <c r="R1706" s="100">
        <v>357</v>
      </c>
      <c r="S1706" s="100"/>
      <c r="T1706" s="100"/>
      <c r="U1706" s="100"/>
      <c r="V1706" s="100"/>
      <c r="W1706" s="100"/>
      <c r="X1706" s="100">
        <v>90160918</v>
      </c>
      <c r="Y1706" s="100" t="s">
        <v>115</v>
      </c>
      <c r="Z1706" s="100" t="s">
        <v>115</v>
      </c>
      <c r="AA1706" s="100" t="s">
        <v>115</v>
      </c>
      <c r="AB1706" s="100" t="s">
        <v>115</v>
      </c>
      <c r="AC1706" s="100" t="s">
        <v>115</v>
      </c>
      <c r="AD1706" s="100"/>
      <c r="AE1706" s="100"/>
      <c r="AF1706" s="100"/>
      <c r="AG1706" s="100"/>
      <c r="AH1706" s="100"/>
      <c r="AI1706" s="100" t="s">
        <v>115</v>
      </c>
      <c r="AJ1706" s="100"/>
      <c r="AK1706" s="100"/>
      <c r="AL1706" s="100"/>
      <c r="AM1706" s="100"/>
      <c r="AN1706" s="100"/>
      <c r="AO1706" s="100"/>
      <c r="AP1706" s="89" t="s">
        <v>115</v>
      </c>
    </row>
    <row r="1707" spans="1:42" s="89" customFormat="1" x14ac:dyDescent="0.15">
      <c r="A1707" s="100" t="s">
        <v>1</v>
      </c>
      <c r="B1707" s="101">
        <v>90160918</v>
      </c>
      <c r="C1707" s="101">
        <v>1609</v>
      </c>
      <c r="D1707" s="101">
        <v>16</v>
      </c>
      <c r="E1707" s="101"/>
      <c r="F1707" s="101" t="s">
        <v>373</v>
      </c>
      <c r="G1707" s="101" t="s">
        <v>115</v>
      </c>
      <c r="H1707" s="101" t="s">
        <v>3857</v>
      </c>
      <c r="I1707" s="101">
        <v>3</v>
      </c>
      <c r="J1707" s="100">
        <v>0</v>
      </c>
      <c r="K1707" s="100">
        <v>0</v>
      </c>
      <c r="L1707" s="100" t="s">
        <v>115</v>
      </c>
      <c r="M1707" s="102"/>
      <c r="N1707" s="100"/>
      <c r="O1707" s="100" t="s">
        <v>115</v>
      </c>
      <c r="P1707" s="101"/>
      <c r="Q1707" s="100">
        <v>143</v>
      </c>
      <c r="R1707" s="100">
        <v>357</v>
      </c>
      <c r="S1707" s="100"/>
      <c r="T1707" s="100"/>
      <c r="U1707" s="100"/>
      <c r="V1707" s="100"/>
      <c r="W1707" s="100"/>
      <c r="X1707" s="100">
        <v>90160919</v>
      </c>
      <c r="Y1707" s="100" t="s">
        <v>115</v>
      </c>
      <c r="Z1707" s="100" t="s">
        <v>115</v>
      </c>
      <c r="AA1707" s="100" t="s">
        <v>115</v>
      </c>
      <c r="AB1707" s="100" t="s">
        <v>115</v>
      </c>
      <c r="AC1707" s="100" t="s">
        <v>115</v>
      </c>
      <c r="AD1707" s="100"/>
      <c r="AE1707" s="100"/>
      <c r="AF1707" s="100"/>
      <c r="AG1707" s="100"/>
      <c r="AH1707" s="100"/>
      <c r="AI1707" s="100" t="s">
        <v>115</v>
      </c>
      <c r="AJ1707" s="100"/>
      <c r="AK1707" s="100"/>
      <c r="AL1707" s="100"/>
      <c r="AM1707" s="100"/>
      <c r="AN1707" s="100"/>
      <c r="AO1707" s="100"/>
      <c r="AP1707" s="89" t="s">
        <v>115</v>
      </c>
    </row>
    <row r="1708" spans="1:42" s="89" customFormat="1" x14ac:dyDescent="0.15">
      <c r="A1708" s="100" t="s">
        <v>1</v>
      </c>
      <c r="B1708" s="101">
        <v>90160919</v>
      </c>
      <c r="C1708" s="101">
        <v>1609</v>
      </c>
      <c r="D1708" s="101">
        <v>16</v>
      </c>
      <c r="E1708" s="101"/>
      <c r="F1708" s="101" t="s">
        <v>116</v>
      </c>
      <c r="G1708" s="101">
        <v>312</v>
      </c>
      <c r="H1708" s="101" t="s">
        <v>3858</v>
      </c>
      <c r="I1708" s="101">
        <v>0</v>
      </c>
      <c r="J1708" s="100">
        <v>0</v>
      </c>
      <c r="K1708" s="100">
        <v>5</v>
      </c>
      <c r="L1708" s="100" t="s">
        <v>115</v>
      </c>
      <c r="M1708" s="102"/>
      <c r="N1708" s="100"/>
      <c r="O1708" s="100">
        <v>1</v>
      </c>
      <c r="P1708" s="101"/>
      <c r="Q1708" s="100">
        <v>143</v>
      </c>
      <c r="R1708" s="100">
        <v>357</v>
      </c>
      <c r="S1708" s="100"/>
      <c r="T1708" s="100"/>
      <c r="U1708" s="100"/>
      <c r="V1708" s="100"/>
      <c r="W1708" s="100"/>
      <c r="X1708" s="100" t="s">
        <v>115</v>
      </c>
      <c r="Y1708" s="100" t="s">
        <v>115</v>
      </c>
      <c r="Z1708" s="100">
        <v>4</v>
      </c>
      <c r="AA1708" s="100" t="s">
        <v>115</v>
      </c>
      <c r="AB1708" s="100" t="s">
        <v>115</v>
      </c>
      <c r="AC1708" s="100" t="s">
        <v>115</v>
      </c>
      <c r="AD1708" s="100"/>
      <c r="AE1708" s="100"/>
      <c r="AF1708" s="100"/>
      <c r="AG1708" s="100"/>
      <c r="AH1708" s="100"/>
      <c r="AI1708" s="100" t="s">
        <v>115</v>
      </c>
      <c r="AJ1708" s="100"/>
      <c r="AK1708" s="100"/>
      <c r="AL1708" s="100"/>
      <c r="AM1708" s="100"/>
      <c r="AN1708" s="100"/>
      <c r="AO1708" s="100"/>
      <c r="AP1708" s="89" t="s">
        <v>115</v>
      </c>
    </row>
    <row r="1709" spans="1:42" s="89" customFormat="1" x14ac:dyDescent="0.15">
      <c r="A1709" s="100" t="s">
        <v>1</v>
      </c>
      <c r="B1709" s="101" t="s">
        <v>3944</v>
      </c>
      <c r="C1709" s="101">
        <v>1701</v>
      </c>
      <c r="D1709" s="101">
        <v>17</v>
      </c>
      <c r="E1709" s="101"/>
      <c r="F1709" s="101" t="s">
        <v>115</v>
      </c>
      <c r="G1709" s="101" t="s">
        <v>115</v>
      </c>
      <c r="H1709" s="101" t="s">
        <v>3989</v>
      </c>
      <c r="I1709" s="101">
        <v>4</v>
      </c>
      <c r="J1709" s="100">
        <v>1</v>
      </c>
      <c r="K1709" s="100">
        <v>1</v>
      </c>
      <c r="L1709" s="100" t="s">
        <v>115</v>
      </c>
      <c r="M1709" s="102"/>
      <c r="N1709" s="100"/>
      <c r="O1709" s="100" t="s">
        <v>115</v>
      </c>
      <c r="P1709" s="101"/>
      <c r="Q1709" s="100">
        <v>163</v>
      </c>
      <c r="R1709" s="100" t="s">
        <v>115</v>
      </c>
      <c r="S1709" s="100"/>
      <c r="T1709" s="100"/>
      <c r="U1709" s="100"/>
      <c r="V1709" s="100"/>
      <c r="W1709" s="100"/>
      <c r="X1709" s="100">
        <v>90170102</v>
      </c>
      <c r="Y1709" s="100" t="s">
        <v>115</v>
      </c>
      <c r="Z1709" s="100" t="s">
        <v>115</v>
      </c>
      <c r="AA1709" s="100" t="s">
        <v>115</v>
      </c>
      <c r="AB1709" s="100" t="s">
        <v>115</v>
      </c>
      <c r="AC1709" s="100" t="s">
        <v>115</v>
      </c>
      <c r="AD1709" s="100"/>
      <c r="AE1709" s="100"/>
      <c r="AF1709" s="100"/>
      <c r="AG1709" s="100"/>
      <c r="AH1709" s="100"/>
      <c r="AI1709" s="100" t="s">
        <v>115</v>
      </c>
      <c r="AJ1709" s="100"/>
      <c r="AK1709" s="100"/>
      <c r="AL1709" s="100"/>
      <c r="AM1709" s="100"/>
      <c r="AN1709" s="100"/>
      <c r="AO1709" s="100"/>
      <c r="AP1709" s="89" t="s">
        <v>115</v>
      </c>
    </row>
    <row r="1710" spans="1:42" s="89" customFormat="1" x14ac:dyDescent="0.15">
      <c r="A1710" s="100" t="s">
        <v>1</v>
      </c>
      <c r="B1710" s="101">
        <v>90170102</v>
      </c>
      <c r="C1710" s="101">
        <v>1701</v>
      </c>
      <c r="D1710" s="101">
        <v>17</v>
      </c>
      <c r="E1710" s="101"/>
      <c r="F1710" s="101" t="s">
        <v>115</v>
      </c>
      <c r="G1710" s="101" t="s">
        <v>115</v>
      </c>
      <c r="H1710" s="101" t="s">
        <v>3990</v>
      </c>
      <c r="I1710" s="101">
        <v>4</v>
      </c>
      <c r="J1710" s="100">
        <v>0</v>
      </c>
      <c r="K1710" s="100">
        <v>0</v>
      </c>
      <c r="L1710" s="100" t="s">
        <v>115</v>
      </c>
      <c r="M1710" s="102"/>
      <c r="N1710" s="100"/>
      <c r="O1710" s="100" t="s">
        <v>115</v>
      </c>
      <c r="P1710" s="101"/>
      <c r="Q1710" s="100">
        <v>163</v>
      </c>
      <c r="R1710" s="100" t="s">
        <v>115</v>
      </c>
      <c r="S1710" s="100"/>
      <c r="T1710" s="100"/>
      <c r="U1710" s="100"/>
      <c r="V1710" s="100"/>
      <c r="W1710" s="100"/>
      <c r="X1710" s="100">
        <v>90170103</v>
      </c>
      <c r="Y1710" s="100" t="s">
        <v>115</v>
      </c>
      <c r="Z1710" s="100" t="s">
        <v>115</v>
      </c>
      <c r="AA1710" s="100" t="s">
        <v>115</v>
      </c>
      <c r="AB1710" s="100" t="s">
        <v>115</v>
      </c>
      <c r="AC1710" s="100" t="s">
        <v>115</v>
      </c>
      <c r="AD1710" s="100"/>
      <c r="AE1710" s="100"/>
      <c r="AF1710" s="100"/>
      <c r="AG1710" s="100"/>
      <c r="AH1710" s="100"/>
      <c r="AI1710" s="100" t="s">
        <v>115</v>
      </c>
      <c r="AJ1710" s="100"/>
      <c r="AK1710" s="100"/>
      <c r="AL1710" s="100"/>
      <c r="AM1710" s="100"/>
      <c r="AN1710" s="100"/>
      <c r="AO1710" s="100"/>
      <c r="AP1710" s="89" t="s">
        <v>115</v>
      </c>
    </row>
    <row r="1711" spans="1:42" s="89" customFormat="1" x14ac:dyDescent="0.15">
      <c r="A1711" s="100" t="s">
        <v>1</v>
      </c>
      <c r="B1711" s="101">
        <v>90170103</v>
      </c>
      <c r="C1711" s="101">
        <v>1701</v>
      </c>
      <c r="D1711" s="101">
        <v>17</v>
      </c>
      <c r="E1711" s="101"/>
      <c r="F1711" s="101" t="s">
        <v>116</v>
      </c>
      <c r="G1711" s="101">
        <v>275</v>
      </c>
      <c r="H1711" s="101" t="s">
        <v>3991</v>
      </c>
      <c r="I1711" s="101">
        <v>2</v>
      </c>
      <c r="J1711" s="100">
        <v>0</v>
      </c>
      <c r="K1711" s="100">
        <v>0</v>
      </c>
      <c r="L1711" s="100" t="s">
        <v>115</v>
      </c>
      <c r="M1711" s="102"/>
      <c r="N1711" s="100"/>
      <c r="O1711" s="100" t="s">
        <v>115</v>
      </c>
      <c r="P1711" s="101"/>
      <c r="Q1711" s="100">
        <v>163</v>
      </c>
      <c r="R1711" s="100" t="s">
        <v>115</v>
      </c>
      <c r="S1711" s="100"/>
      <c r="T1711" s="100"/>
      <c r="U1711" s="100"/>
      <c r="V1711" s="100"/>
      <c r="W1711" s="100"/>
      <c r="X1711" s="100">
        <v>90170104</v>
      </c>
      <c r="Y1711" s="100" t="s">
        <v>115</v>
      </c>
      <c r="Z1711" s="100" t="s">
        <v>115</v>
      </c>
      <c r="AA1711" s="100" t="s">
        <v>115</v>
      </c>
      <c r="AB1711" s="100" t="s">
        <v>115</v>
      </c>
      <c r="AC1711" s="100" t="s">
        <v>115</v>
      </c>
      <c r="AD1711" s="100"/>
      <c r="AE1711" s="100"/>
      <c r="AF1711" s="100"/>
      <c r="AG1711" s="100"/>
      <c r="AH1711" s="100"/>
      <c r="AI1711" s="100" t="s">
        <v>115</v>
      </c>
      <c r="AJ1711" s="100"/>
      <c r="AK1711" s="100"/>
      <c r="AL1711" s="100"/>
      <c r="AM1711" s="100"/>
      <c r="AN1711" s="100"/>
      <c r="AO1711" s="100"/>
      <c r="AP1711" s="89" t="s">
        <v>115</v>
      </c>
    </row>
    <row r="1712" spans="1:42" s="89" customFormat="1" x14ac:dyDescent="0.15">
      <c r="A1712" s="100" t="s">
        <v>1</v>
      </c>
      <c r="B1712" s="101">
        <v>90170104</v>
      </c>
      <c r="C1712" s="101">
        <v>1701</v>
      </c>
      <c r="D1712" s="101">
        <v>17</v>
      </c>
      <c r="E1712" s="101"/>
      <c r="F1712" s="101" t="s">
        <v>116</v>
      </c>
      <c r="G1712" s="101">
        <v>274</v>
      </c>
      <c r="H1712" s="101" t="s">
        <v>3992</v>
      </c>
      <c r="I1712" s="101">
        <v>2</v>
      </c>
      <c r="J1712" s="100">
        <v>0</v>
      </c>
      <c r="K1712" s="100">
        <v>0</v>
      </c>
      <c r="L1712" s="100" t="s">
        <v>115</v>
      </c>
      <c r="M1712" s="102"/>
      <c r="N1712" s="100"/>
      <c r="O1712" s="100" t="s">
        <v>115</v>
      </c>
      <c r="P1712" s="101"/>
      <c r="Q1712" s="100">
        <v>163</v>
      </c>
      <c r="R1712" s="100" t="s">
        <v>115</v>
      </c>
      <c r="S1712" s="100"/>
      <c r="T1712" s="100"/>
      <c r="U1712" s="100"/>
      <c r="V1712" s="100"/>
      <c r="W1712" s="100"/>
      <c r="X1712" s="100">
        <v>90170105</v>
      </c>
      <c r="Y1712" s="100" t="s">
        <v>115</v>
      </c>
      <c r="Z1712" s="100" t="s">
        <v>115</v>
      </c>
      <c r="AA1712" s="100" t="s">
        <v>115</v>
      </c>
      <c r="AB1712" s="100" t="s">
        <v>115</v>
      </c>
      <c r="AC1712" s="100" t="s">
        <v>115</v>
      </c>
      <c r="AD1712" s="100"/>
      <c r="AE1712" s="100"/>
      <c r="AF1712" s="100"/>
      <c r="AG1712" s="100"/>
      <c r="AH1712" s="100"/>
      <c r="AI1712" s="100" t="s">
        <v>115</v>
      </c>
      <c r="AJ1712" s="100"/>
      <c r="AK1712" s="100"/>
      <c r="AL1712" s="100"/>
      <c r="AM1712" s="100"/>
      <c r="AN1712" s="100"/>
      <c r="AO1712" s="100"/>
      <c r="AP1712" s="89" t="s">
        <v>115</v>
      </c>
    </row>
    <row r="1713" spans="1:42" s="89" customFormat="1" x14ac:dyDescent="0.15">
      <c r="A1713" s="100" t="s">
        <v>1</v>
      </c>
      <c r="B1713" s="101">
        <v>90170105</v>
      </c>
      <c r="C1713" s="101">
        <v>1701</v>
      </c>
      <c r="D1713" s="101">
        <v>17</v>
      </c>
      <c r="E1713" s="101"/>
      <c r="F1713" s="101" t="s">
        <v>115</v>
      </c>
      <c r="G1713" s="101" t="s">
        <v>115</v>
      </c>
      <c r="H1713" s="101" t="s">
        <v>3993</v>
      </c>
      <c r="I1713" s="101">
        <v>4</v>
      </c>
      <c r="J1713" s="100">
        <v>0</v>
      </c>
      <c r="K1713" s="100">
        <v>0</v>
      </c>
      <c r="L1713" s="100" t="s">
        <v>115</v>
      </c>
      <c r="M1713" s="102"/>
      <c r="N1713" s="100"/>
      <c r="O1713" s="100" t="s">
        <v>115</v>
      </c>
      <c r="P1713" s="101"/>
      <c r="Q1713" s="100">
        <v>162</v>
      </c>
      <c r="R1713" s="100" t="s">
        <v>115</v>
      </c>
      <c r="S1713" s="100"/>
      <c r="T1713" s="100"/>
      <c r="U1713" s="100"/>
      <c r="V1713" s="100"/>
      <c r="W1713" s="100"/>
      <c r="X1713" s="100">
        <v>90170106</v>
      </c>
      <c r="Y1713" s="100" t="s">
        <v>115</v>
      </c>
      <c r="Z1713" s="100" t="s">
        <v>115</v>
      </c>
      <c r="AA1713" s="100" t="s">
        <v>115</v>
      </c>
      <c r="AB1713" s="100" t="s">
        <v>115</v>
      </c>
      <c r="AC1713" s="100" t="s">
        <v>115</v>
      </c>
      <c r="AD1713" s="100"/>
      <c r="AE1713" s="100"/>
      <c r="AF1713" s="100"/>
      <c r="AG1713" s="100"/>
      <c r="AH1713" s="100"/>
      <c r="AI1713" s="100" t="s">
        <v>115</v>
      </c>
      <c r="AJ1713" s="100"/>
      <c r="AK1713" s="100"/>
      <c r="AL1713" s="100"/>
      <c r="AM1713" s="100"/>
      <c r="AN1713" s="100"/>
      <c r="AO1713" s="100"/>
      <c r="AP1713" s="89" t="s">
        <v>115</v>
      </c>
    </row>
    <row r="1714" spans="1:42" s="89" customFormat="1" x14ac:dyDescent="0.15">
      <c r="A1714" s="100" t="s">
        <v>1</v>
      </c>
      <c r="B1714" s="101">
        <v>90170106</v>
      </c>
      <c r="C1714" s="101">
        <v>1701</v>
      </c>
      <c r="D1714" s="101">
        <v>17</v>
      </c>
      <c r="E1714" s="101"/>
      <c r="F1714" s="101" t="s">
        <v>271</v>
      </c>
      <c r="G1714" s="101" t="s">
        <v>115</v>
      </c>
      <c r="H1714" s="101" t="s">
        <v>3994</v>
      </c>
      <c r="I1714" s="101">
        <v>3</v>
      </c>
      <c r="J1714" s="100">
        <v>0</v>
      </c>
      <c r="K1714" s="100">
        <v>0</v>
      </c>
      <c r="L1714" s="100" t="s">
        <v>115</v>
      </c>
      <c r="M1714" s="102"/>
      <c r="N1714" s="100"/>
      <c r="O1714" s="100" t="s">
        <v>115</v>
      </c>
      <c r="P1714" s="101"/>
      <c r="Q1714" s="100">
        <v>162</v>
      </c>
      <c r="R1714" s="100">
        <v>263</v>
      </c>
      <c r="S1714" s="100"/>
      <c r="T1714" s="100"/>
      <c r="U1714" s="100"/>
      <c r="V1714" s="100"/>
      <c r="W1714" s="100"/>
      <c r="X1714" s="100">
        <v>90170107</v>
      </c>
      <c r="Y1714" s="100" t="s">
        <v>115</v>
      </c>
      <c r="Z1714" s="100" t="s">
        <v>115</v>
      </c>
      <c r="AA1714" s="100" t="s">
        <v>115</v>
      </c>
      <c r="AB1714" s="100" t="s">
        <v>115</v>
      </c>
      <c r="AC1714" s="100" t="s">
        <v>115</v>
      </c>
      <c r="AD1714" s="100"/>
      <c r="AE1714" s="100"/>
      <c r="AF1714" s="100"/>
      <c r="AG1714" s="100"/>
      <c r="AH1714" s="100"/>
      <c r="AI1714" s="100" t="s">
        <v>115</v>
      </c>
      <c r="AJ1714" s="100"/>
      <c r="AK1714" s="100"/>
      <c r="AL1714" s="100"/>
      <c r="AM1714" s="100"/>
      <c r="AN1714" s="100"/>
      <c r="AO1714" s="100"/>
      <c r="AP1714" s="89" t="s">
        <v>115</v>
      </c>
    </row>
    <row r="1715" spans="1:42" s="89" customFormat="1" x14ac:dyDescent="0.15">
      <c r="A1715" s="100" t="s">
        <v>1</v>
      </c>
      <c r="B1715" s="101">
        <v>90170107</v>
      </c>
      <c r="C1715" s="101">
        <v>1701</v>
      </c>
      <c r="D1715" s="101">
        <v>17</v>
      </c>
      <c r="E1715" s="101"/>
      <c r="F1715" s="101" t="s">
        <v>271</v>
      </c>
      <c r="G1715" s="101" t="s">
        <v>115</v>
      </c>
      <c r="H1715" s="101" t="s">
        <v>3995</v>
      </c>
      <c r="I1715" s="101">
        <v>3</v>
      </c>
      <c r="J1715" s="100">
        <v>0</v>
      </c>
      <c r="K1715" s="100">
        <v>0</v>
      </c>
      <c r="L1715" s="100" t="s">
        <v>115</v>
      </c>
      <c r="M1715" s="102"/>
      <c r="N1715" s="100"/>
      <c r="O1715" s="100" t="s">
        <v>115</v>
      </c>
      <c r="P1715" s="101"/>
      <c r="Q1715" s="100">
        <v>162</v>
      </c>
      <c r="R1715" s="100">
        <v>263</v>
      </c>
      <c r="S1715" s="100"/>
      <c r="T1715" s="100"/>
      <c r="U1715" s="100"/>
      <c r="V1715" s="100"/>
      <c r="W1715" s="100"/>
      <c r="X1715" s="100">
        <v>90170108</v>
      </c>
      <c r="Y1715" s="100" t="s">
        <v>115</v>
      </c>
      <c r="Z1715" s="100" t="s">
        <v>115</v>
      </c>
      <c r="AA1715" s="100" t="s">
        <v>115</v>
      </c>
      <c r="AB1715" s="100" t="s">
        <v>115</v>
      </c>
      <c r="AC1715" s="100" t="s">
        <v>115</v>
      </c>
      <c r="AD1715" s="100"/>
      <c r="AE1715" s="100"/>
      <c r="AF1715" s="100"/>
      <c r="AG1715" s="100"/>
      <c r="AH1715" s="100"/>
      <c r="AI1715" s="100" t="s">
        <v>115</v>
      </c>
      <c r="AJ1715" s="100"/>
      <c r="AK1715" s="100"/>
      <c r="AL1715" s="100"/>
      <c r="AM1715" s="100"/>
      <c r="AN1715" s="100"/>
      <c r="AO1715" s="100"/>
      <c r="AP1715" s="89" t="s">
        <v>115</v>
      </c>
    </row>
    <row r="1716" spans="1:42" s="89" customFormat="1" x14ac:dyDescent="0.15">
      <c r="A1716" s="100" t="s">
        <v>1</v>
      </c>
      <c r="B1716" s="101">
        <v>90170108</v>
      </c>
      <c r="C1716" s="101">
        <v>1701</v>
      </c>
      <c r="D1716" s="101">
        <v>17</v>
      </c>
      <c r="E1716" s="101"/>
      <c r="F1716" s="101" t="s">
        <v>115</v>
      </c>
      <c r="G1716" s="101" t="s">
        <v>115</v>
      </c>
      <c r="H1716" s="101" t="s">
        <v>3996</v>
      </c>
      <c r="I1716" s="101">
        <v>4</v>
      </c>
      <c r="J1716" s="100">
        <v>0</v>
      </c>
      <c r="K1716" s="100">
        <v>0</v>
      </c>
      <c r="L1716" s="100" t="s">
        <v>115</v>
      </c>
      <c r="M1716" s="102"/>
      <c r="N1716" s="100"/>
      <c r="O1716" s="100" t="s">
        <v>115</v>
      </c>
      <c r="P1716" s="101"/>
      <c r="Q1716" s="100">
        <v>162</v>
      </c>
      <c r="R1716" s="100">
        <v>263</v>
      </c>
      <c r="S1716" s="100"/>
      <c r="T1716" s="100"/>
      <c r="U1716" s="100"/>
      <c r="V1716" s="100"/>
      <c r="W1716" s="100"/>
      <c r="X1716" s="100">
        <v>90170109</v>
      </c>
      <c r="Y1716" s="100" t="s">
        <v>115</v>
      </c>
      <c r="Z1716" s="100" t="s">
        <v>115</v>
      </c>
      <c r="AA1716" s="100" t="s">
        <v>115</v>
      </c>
      <c r="AB1716" s="100" t="s">
        <v>115</v>
      </c>
      <c r="AC1716" s="100" t="s">
        <v>115</v>
      </c>
      <c r="AD1716" s="100"/>
      <c r="AE1716" s="100"/>
      <c r="AF1716" s="100"/>
      <c r="AG1716" s="100"/>
      <c r="AH1716" s="100"/>
      <c r="AI1716" s="100" t="s">
        <v>115</v>
      </c>
      <c r="AJ1716" s="100"/>
      <c r="AK1716" s="100"/>
      <c r="AL1716" s="100"/>
      <c r="AM1716" s="100"/>
      <c r="AN1716" s="100"/>
      <c r="AO1716" s="100"/>
      <c r="AP1716" s="89" t="s">
        <v>115</v>
      </c>
    </row>
    <row r="1717" spans="1:42" s="89" customFormat="1" x14ac:dyDescent="0.15">
      <c r="A1717" s="100" t="s">
        <v>1</v>
      </c>
      <c r="B1717" s="101">
        <v>90170109</v>
      </c>
      <c r="C1717" s="101">
        <v>1701</v>
      </c>
      <c r="D1717" s="101">
        <v>17</v>
      </c>
      <c r="E1717" s="101"/>
      <c r="F1717" s="101" t="s">
        <v>116</v>
      </c>
      <c r="G1717" s="101">
        <v>261</v>
      </c>
      <c r="H1717" s="101" t="s">
        <v>3997</v>
      </c>
      <c r="I1717" s="101">
        <v>0</v>
      </c>
      <c r="J1717" s="100">
        <v>0</v>
      </c>
      <c r="K1717" s="100">
        <v>0</v>
      </c>
      <c r="L1717" s="100" t="s">
        <v>115</v>
      </c>
      <c r="M1717" s="102"/>
      <c r="N1717" s="100"/>
      <c r="O1717" s="100" t="s">
        <v>115</v>
      </c>
      <c r="P1717" s="101"/>
      <c r="Q1717" s="100">
        <v>162</v>
      </c>
      <c r="R1717" s="100">
        <v>263</v>
      </c>
      <c r="S1717" s="100"/>
      <c r="T1717" s="100"/>
      <c r="U1717" s="100"/>
      <c r="V1717" s="100"/>
      <c r="W1717" s="100"/>
      <c r="X1717" s="100">
        <v>90170110</v>
      </c>
      <c r="Y1717" s="100" t="s">
        <v>115</v>
      </c>
      <c r="Z1717" s="100" t="s">
        <v>115</v>
      </c>
      <c r="AA1717" s="100" t="s">
        <v>115</v>
      </c>
      <c r="AB1717" s="100" t="s">
        <v>115</v>
      </c>
      <c r="AC1717" s="100" t="s">
        <v>115</v>
      </c>
      <c r="AD1717" s="100"/>
      <c r="AE1717" s="100"/>
      <c r="AF1717" s="100"/>
      <c r="AG1717" s="100"/>
      <c r="AH1717" s="100"/>
      <c r="AI1717" s="100" t="s">
        <v>115</v>
      </c>
      <c r="AJ1717" s="100"/>
      <c r="AK1717" s="100"/>
      <c r="AL1717" s="100"/>
      <c r="AM1717" s="100"/>
      <c r="AN1717" s="100"/>
      <c r="AO1717" s="100"/>
      <c r="AP1717" s="89" t="s">
        <v>115</v>
      </c>
    </row>
    <row r="1718" spans="1:42" s="89" customFormat="1" x14ac:dyDescent="0.15">
      <c r="A1718" s="100" t="s">
        <v>1</v>
      </c>
      <c r="B1718" s="101">
        <v>90170110</v>
      </c>
      <c r="C1718" s="101">
        <v>1701</v>
      </c>
      <c r="D1718" s="101">
        <v>17</v>
      </c>
      <c r="E1718" s="101"/>
      <c r="F1718" s="101" t="s">
        <v>116</v>
      </c>
      <c r="G1718" s="101">
        <v>261</v>
      </c>
      <c r="H1718" s="101" t="s">
        <v>3998</v>
      </c>
      <c r="I1718" s="101">
        <v>0</v>
      </c>
      <c r="J1718" s="100">
        <v>0</v>
      </c>
      <c r="K1718" s="100">
        <v>0</v>
      </c>
      <c r="L1718" s="100" t="s">
        <v>115</v>
      </c>
      <c r="M1718" s="102"/>
      <c r="N1718" s="100"/>
      <c r="O1718" s="100" t="s">
        <v>115</v>
      </c>
      <c r="P1718" s="101"/>
      <c r="Q1718" s="100">
        <v>162</v>
      </c>
      <c r="R1718" s="100">
        <v>263</v>
      </c>
      <c r="S1718" s="100"/>
      <c r="T1718" s="100"/>
      <c r="U1718" s="100"/>
      <c r="V1718" s="100"/>
      <c r="W1718" s="100"/>
      <c r="X1718" s="100">
        <v>90170111</v>
      </c>
      <c r="Y1718" s="100" t="s">
        <v>115</v>
      </c>
      <c r="Z1718" s="100" t="s">
        <v>115</v>
      </c>
      <c r="AA1718" s="100" t="s">
        <v>115</v>
      </c>
      <c r="AB1718" s="100" t="s">
        <v>115</v>
      </c>
      <c r="AC1718" s="100" t="s">
        <v>115</v>
      </c>
      <c r="AD1718" s="100"/>
      <c r="AE1718" s="100"/>
      <c r="AF1718" s="100"/>
      <c r="AG1718" s="100"/>
      <c r="AH1718" s="100"/>
      <c r="AI1718" s="100" t="s">
        <v>115</v>
      </c>
      <c r="AJ1718" s="100"/>
      <c r="AK1718" s="100"/>
      <c r="AL1718" s="100"/>
      <c r="AM1718" s="100"/>
      <c r="AN1718" s="100"/>
      <c r="AO1718" s="100"/>
      <c r="AP1718" s="89" t="s">
        <v>115</v>
      </c>
    </row>
    <row r="1719" spans="1:42" s="89" customFormat="1" x14ac:dyDescent="0.15">
      <c r="A1719" s="100" t="s">
        <v>1</v>
      </c>
      <c r="B1719" s="101">
        <v>90170111</v>
      </c>
      <c r="C1719" s="101">
        <v>1701</v>
      </c>
      <c r="D1719" s="101">
        <v>17</v>
      </c>
      <c r="E1719" s="101"/>
      <c r="F1719" s="101" t="s">
        <v>271</v>
      </c>
      <c r="G1719" s="101" t="s">
        <v>115</v>
      </c>
      <c r="H1719" s="101" t="s">
        <v>3999</v>
      </c>
      <c r="I1719" s="101">
        <v>3</v>
      </c>
      <c r="J1719" s="100">
        <v>0</v>
      </c>
      <c r="K1719" s="100">
        <v>0</v>
      </c>
      <c r="L1719" s="100" t="s">
        <v>115</v>
      </c>
      <c r="M1719" s="102"/>
      <c r="N1719" s="100"/>
      <c r="O1719" s="100" t="s">
        <v>115</v>
      </c>
      <c r="P1719" s="101"/>
      <c r="Q1719" s="100">
        <v>162</v>
      </c>
      <c r="R1719" s="100">
        <v>263</v>
      </c>
      <c r="S1719" s="100"/>
      <c r="T1719" s="100"/>
      <c r="U1719" s="100"/>
      <c r="V1719" s="100"/>
      <c r="W1719" s="100"/>
      <c r="X1719" s="100">
        <v>90170112</v>
      </c>
      <c r="Y1719" s="100" t="s">
        <v>115</v>
      </c>
      <c r="Z1719" s="100" t="s">
        <v>115</v>
      </c>
      <c r="AA1719" s="100" t="s">
        <v>115</v>
      </c>
      <c r="AB1719" s="100" t="s">
        <v>115</v>
      </c>
      <c r="AC1719" s="100" t="s">
        <v>115</v>
      </c>
      <c r="AD1719" s="100"/>
      <c r="AE1719" s="100"/>
      <c r="AF1719" s="100"/>
      <c r="AG1719" s="100"/>
      <c r="AH1719" s="100"/>
      <c r="AI1719" s="100" t="s">
        <v>115</v>
      </c>
      <c r="AJ1719" s="100"/>
      <c r="AK1719" s="100"/>
      <c r="AL1719" s="100"/>
      <c r="AM1719" s="100"/>
      <c r="AN1719" s="100"/>
      <c r="AO1719" s="100"/>
      <c r="AP1719" s="89" t="s">
        <v>115</v>
      </c>
    </row>
    <row r="1720" spans="1:42" s="89" customFormat="1" x14ac:dyDescent="0.15">
      <c r="A1720" s="100" t="s">
        <v>1</v>
      </c>
      <c r="B1720" s="101">
        <v>90170112</v>
      </c>
      <c r="C1720" s="101">
        <v>1701</v>
      </c>
      <c r="D1720" s="101">
        <v>17</v>
      </c>
      <c r="E1720" s="101"/>
      <c r="F1720" s="101" t="s">
        <v>271</v>
      </c>
      <c r="G1720" s="101" t="s">
        <v>115</v>
      </c>
      <c r="H1720" s="101" t="s">
        <v>4000</v>
      </c>
      <c r="I1720" s="101">
        <v>3</v>
      </c>
      <c r="J1720" s="100">
        <v>0</v>
      </c>
      <c r="K1720" s="100">
        <v>0</v>
      </c>
      <c r="L1720" s="100" t="s">
        <v>115</v>
      </c>
      <c r="M1720" s="102"/>
      <c r="N1720" s="100"/>
      <c r="O1720" s="100" t="s">
        <v>115</v>
      </c>
      <c r="P1720" s="101"/>
      <c r="Q1720" s="100">
        <v>162</v>
      </c>
      <c r="R1720" s="100">
        <v>263</v>
      </c>
      <c r="S1720" s="100"/>
      <c r="T1720" s="100"/>
      <c r="U1720" s="100"/>
      <c r="V1720" s="100"/>
      <c r="W1720" s="100"/>
      <c r="X1720" s="100">
        <v>90170113</v>
      </c>
      <c r="Y1720" s="100" t="s">
        <v>115</v>
      </c>
      <c r="Z1720" s="100" t="s">
        <v>115</v>
      </c>
      <c r="AA1720" s="100" t="s">
        <v>115</v>
      </c>
      <c r="AB1720" s="100" t="s">
        <v>115</v>
      </c>
      <c r="AC1720" s="100" t="s">
        <v>115</v>
      </c>
      <c r="AD1720" s="100"/>
      <c r="AE1720" s="100"/>
      <c r="AF1720" s="100"/>
      <c r="AG1720" s="100"/>
      <c r="AH1720" s="100"/>
      <c r="AI1720" s="100" t="s">
        <v>115</v>
      </c>
      <c r="AJ1720" s="100"/>
      <c r="AK1720" s="100"/>
      <c r="AL1720" s="100"/>
      <c r="AM1720" s="100"/>
      <c r="AN1720" s="100"/>
      <c r="AO1720" s="100"/>
      <c r="AP1720" s="89" t="s">
        <v>115</v>
      </c>
    </row>
    <row r="1721" spans="1:42" s="89" customFormat="1" x14ac:dyDescent="0.15">
      <c r="A1721" s="100" t="s">
        <v>1</v>
      </c>
      <c r="B1721" s="101">
        <v>90170113</v>
      </c>
      <c r="C1721" s="101">
        <v>1701</v>
      </c>
      <c r="D1721" s="101">
        <v>17</v>
      </c>
      <c r="E1721" s="101"/>
      <c r="F1721" s="101" t="s">
        <v>116</v>
      </c>
      <c r="G1721" s="101">
        <v>274</v>
      </c>
      <c r="H1721" s="101" t="s">
        <v>4001</v>
      </c>
      <c r="I1721" s="101">
        <v>0</v>
      </c>
      <c r="J1721" s="100">
        <v>0</v>
      </c>
      <c r="K1721" s="100">
        <v>0</v>
      </c>
      <c r="L1721" s="100" t="s">
        <v>115</v>
      </c>
      <c r="M1721" s="102"/>
      <c r="N1721" s="100"/>
      <c r="O1721" s="100" t="s">
        <v>115</v>
      </c>
      <c r="P1721" s="101"/>
      <c r="Q1721" s="100">
        <v>162</v>
      </c>
      <c r="R1721" s="100">
        <v>263</v>
      </c>
      <c r="S1721" s="100"/>
      <c r="T1721" s="100"/>
      <c r="U1721" s="100"/>
      <c r="V1721" s="100"/>
      <c r="W1721" s="100"/>
      <c r="X1721" s="100">
        <v>90170114</v>
      </c>
      <c r="Y1721" s="100" t="s">
        <v>115</v>
      </c>
      <c r="Z1721" s="100" t="s">
        <v>115</v>
      </c>
      <c r="AA1721" s="100" t="s">
        <v>115</v>
      </c>
      <c r="AB1721" s="100" t="s">
        <v>115</v>
      </c>
      <c r="AC1721" s="100" t="s">
        <v>115</v>
      </c>
      <c r="AD1721" s="100"/>
      <c r="AE1721" s="100"/>
      <c r="AF1721" s="100"/>
      <c r="AG1721" s="100"/>
      <c r="AH1721" s="100"/>
      <c r="AI1721" s="100" t="s">
        <v>115</v>
      </c>
      <c r="AJ1721" s="100"/>
      <c r="AK1721" s="100"/>
      <c r="AL1721" s="100"/>
      <c r="AM1721" s="100"/>
      <c r="AN1721" s="100"/>
      <c r="AO1721" s="100"/>
      <c r="AP1721" s="89" t="s">
        <v>115</v>
      </c>
    </row>
    <row r="1722" spans="1:42" s="89" customFormat="1" x14ac:dyDescent="0.15">
      <c r="A1722" s="100" t="s">
        <v>1</v>
      </c>
      <c r="B1722" s="101">
        <v>90170114</v>
      </c>
      <c r="C1722" s="101">
        <v>1701</v>
      </c>
      <c r="D1722" s="101">
        <v>17</v>
      </c>
      <c r="E1722" s="101"/>
      <c r="F1722" s="101" t="s">
        <v>115</v>
      </c>
      <c r="G1722" s="101" t="s">
        <v>115</v>
      </c>
      <c r="H1722" s="101" t="s">
        <v>4002</v>
      </c>
      <c r="I1722" s="101">
        <v>4</v>
      </c>
      <c r="J1722" s="100">
        <v>0</v>
      </c>
      <c r="K1722" s="100">
        <v>0</v>
      </c>
      <c r="L1722" s="100" t="s">
        <v>115</v>
      </c>
      <c r="M1722" s="102"/>
      <c r="N1722" s="100"/>
      <c r="O1722" s="100" t="s">
        <v>115</v>
      </c>
      <c r="P1722" s="101"/>
      <c r="Q1722" s="100">
        <v>162</v>
      </c>
      <c r="R1722" s="100">
        <v>263</v>
      </c>
      <c r="S1722" s="100"/>
      <c r="T1722" s="100"/>
      <c r="U1722" s="100"/>
      <c r="V1722" s="100"/>
      <c r="W1722" s="100"/>
      <c r="X1722" s="100">
        <v>90170115</v>
      </c>
      <c r="Y1722" s="100" t="s">
        <v>115</v>
      </c>
      <c r="Z1722" s="100" t="s">
        <v>115</v>
      </c>
      <c r="AA1722" s="100" t="s">
        <v>115</v>
      </c>
      <c r="AB1722" s="100" t="s">
        <v>115</v>
      </c>
      <c r="AC1722" s="100" t="s">
        <v>115</v>
      </c>
      <c r="AD1722" s="100"/>
      <c r="AE1722" s="100"/>
      <c r="AF1722" s="100"/>
      <c r="AG1722" s="100"/>
      <c r="AH1722" s="100"/>
      <c r="AI1722" s="100" t="s">
        <v>115</v>
      </c>
      <c r="AJ1722" s="100"/>
      <c r="AK1722" s="100"/>
      <c r="AL1722" s="100"/>
      <c r="AM1722" s="100"/>
      <c r="AN1722" s="100"/>
      <c r="AO1722" s="100"/>
      <c r="AP1722" s="89" t="s">
        <v>115</v>
      </c>
    </row>
    <row r="1723" spans="1:42" s="89" customFormat="1" x14ac:dyDescent="0.15">
      <c r="A1723" s="100" t="s">
        <v>1</v>
      </c>
      <c r="B1723" s="101">
        <v>90170115</v>
      </c>
      <c r="C1723" s="101">
        <v>1701</v>
      </c>
      <c r="D1723" s="101">
        <v>17</v>
      </c>
      <c r="E1723" s="101"/>
      <c r="F1723" s="101" t="s">
        <v>271</v>
      </c>
      <c r="G1723" s="101" t="s">
        <v>115</v>
      </c>
      <c r="H1723" s="101" t="s">
        <v>4003</v>
      </c>
      <c r="I1723" s="101">
        <v>3</v>
      </c>
      <c r="J1723" s="100">
        <v>0</v>
      </c>
      <c r="K1723" s="100">
        <v>0</v>
      </c>
      <c r="L1723" s="100" t="s">
        <v>115</v>
      </c>
      <c r="M1723" s="102"/>
      <c r="N1723" s="100"/>
      <c r="O1723" s="100" t="s">
        <v>115</v>
      </c>
      <c r="P1723" s="101"/>
      <c r="Q1723" s="100">
        <v>162</v>
      </c>
      <c r="R1723" s="100">
        <v>263</v>
      </c>
      <c r="S1723" s="100"/>
      <c r="T1723" s="100"/>
      <c r="U1723" s="100"/>
      <c r="V1723" s="100"/>
      <c r="W1723" s="100"/>
      <c r="X1723" s="100">
        <v>90170116</v>
      </c>
      <c r="Y1723" s="100" t="s">
        <v>115</v>
      </c>
      <c r="Z1723" s="100" t="s">
        <v>115</v>
      </c>
      <c r="AA1723" s="100" t="s">
        <v>115</v>
      </c>
      <c r="AB1723" s="100" t="s">
        <v>115</v>
      </c>
      <c r="AC1723" s="100" t="s">
        <v>115</v>
      </c>
      <c r="AD1723" s="100"/>
      <c r="AE1723" s="100"/>
      <c r="AF1723" s="100"/>
      <c r="AG1723" s="100"/>
      <c r="AH1723" s="100"/>
      <c r="AI1723" s="100" t="s">
        <v>115</v>
      </c>
      <c r="AJ1723" s="100"/>
      <c r="AK1723" s="100"/>
      <c r="AL1723" s="100"/>
      <c r="AM1723" s="100"/>
      <c r="AN1723" s="100"/>
      <c r="AO1723" s="100"/>
      <c r="AP1723" s="89" t="s">
        <v>115</v>
      </c>
    </row>
    <row r="1724" spans="1:42" s="89" customFormat="1" x14ac:dyDescent="0.15">
      <c r="A1724" s="100" t="s">
        <v>1</v>
      </c>
      <c r="B1724" s="101">
        <v>90170116</v>
      </c>
      <c r="C1724" s="101">
        <v>1701</v>
      </c>
      <c r="D1724" s="101">
        <v>17</v>
      </c>
      <c r="E1724" s="101"/>
      <c r="F1724" s="101" t="s">
        <v>271</v>
      </c>
      <c r="G1724" s="101" t="s">
        <v>115</v>
      </c>
      <c r="H1724" s="101" t="s">
        <v>4004</v>
      </c>
      <c r="I1724" s="101">
        <v>3</v>
      </c>
      <c r="J1724" s="100">
        <v>0</v>
      </c>
      <c r="K1724" s="100">
        <v>0</v>
      </c>
      <c r="L1724" s="100" t="s">
        <v>115</v>
      </c>
      <c r="M1724" s="102"/>
      <c r="N1724" s="100"/>
      <c r="O1724" s="100" t="s">
        <v>115</v>
      </c>
      <c r="P1724" s="101"/>
      <c r="Q1724" s="100">
        <v>162</v>
      </c>
      <c r="R1724" s="100">
        <v>263</v>
      </c>
      <c r="S1724" s="100"/>
      <c r="T1724" s="100"/>
      <c r="U1724" s="100"/>
      <c r="V1724" s="100"/>
      <c r="W1724" s="100"/>
      <c r="X1724" s="100">
        <v>90170117</v>
      </c>
      <c r="Y1724" s="100" t="s">
        <v>115</v>
      </c>
      <c r="Z1724" s="100" t="s">
        <v>115</v>
      </c>
      <c r="AA1724" s="100" t="s">
        <v>115</v>
      </c>
      <c r="AB1724" s="100" t="s">
        <v>115</v>
      </c>
      <c r="AC1724" s="100" t="s">
        <v>115</v>
      </c>
      <c r="AD1724" s="100"/>
      <c r="AE1724" s="100"/>
      <c r="AF1724" s="100"/>
      <c r="AG1724" s="100"/>
      <c r="AH1724" s="100"/>
      <c r="AI1724" s="100" t="s">
        <v>115</v>
      </c>
      <c r="AJ1724" s="100"/>
      <c r="AK1724" s="100"/>
      <c r="AL1724" s="100"/>
      <c r="AM1724" s="100"/>
      <c r="AN1724" s="100"/>
      <c r="AO1724" s="100"/>
      <c r="AP1724" s="89" t="s">
        <v>115</v>
      </c>
    </row>
    <row r="1725" spans="1:42" s="89" customFormat="1" x14ac:dyDescent="0.15">
      <c r="A1725" s="100" t="s">
        <v>1</v>
      </c>
      <c r="B1725" s="101">
        <v>90170117</v>
      </c>
      <c r="C1725" s="101">
        <v>1701</v>
      </c>
      <c r="D1725" s="101">
        <v>17</v>
      </c>
      <c r="E1725" s="101"/>
      <c r="F1725" s="101" t="s">
        <v>271</v>
      </c>
      <c r="G1725" s="101" t="s">
        <v>115</v>
      </c>
      <c r="H1725" s="101" t="s">
        <v>4005</v>
      </c>
      <c r="I1725" s="101">
        <v>3</v>
      </c>
      <c r="J1725" s="100">
        <v>0</v>
      </c>
      <c r="K1725" s="100">
        <v>0</v>
      </c>
      <c r="L1725" s="100" t="s">
        <v>115</v>
      </c>
      <c r="M1725" s="102"/>
      <c r="N1725" s="100"/>
      <c r="O1725" s="100" t="s">
        <v>115</v>
      </c>
      <c r="P1725" s="101"/>
      <c r="Q1725" s="100">
        <v>162</v>
      </c>
      <c r="R1725" s="100">
        <v>263</v>
      </c>
      <c r="S1725" s="100"/>
      <c r="T1725" s="100"/>
      <c r="U1725" s="100"/>
      <c r="V1725" s="100"/>
      <c r="W1725" s="100"/>
      <c r="X1725" s="100">
        <v>90170118</v>
      </c>
      <c r="Y1725" s="100" t="s">
        <v>115</v>
      </c>
      <c r="Z1725" s="100" t="s">
        <v>115</v>
      </c>
      <c r="AA1725" s="100" t="s">
        <v>115</v>
      </c>
      <c r="AB1725" s="100" t="s">
        <v>115</v>
      </c>
      <c r="AC1725" s="100" t="s">
        <v>115</v>
      </c>
      <c r="AD1725" s="100"/>
      <c r="AE1725" s="100"/>
      <c r="AF1725" s="100"/>
      <c r="AG1725" s="100"/>
      <c r="AH1725" s="100"/>
      <c r="AI1725" s="100" t="s">
        <v>115</v>
      </c>
      <c r="AJ1725" s="100"/>
      <c r="AK1725" s="100"/>
      <c r="AL1725" s="100"/>
      <c r="AM1725" s="100"/>
      <c r="AN1725" s="100"/>
      <c r="AO1725" s="100"/>
      <c r="AP1725" s="89" t="s">
        <v>115</v>
      </c>
    </row>
    <row r="1726" spans="1:42" s="89" customFormat="1" x14ac:dyDescent="0.15">
      <c r="A1726" s="100" t="s">
        <v>1</v>
      </c>
      <c r="B1726" s="101">
        <v>90170118</v>
      </c>
      <c r="C1726" s="101">
        <v>1701</v>
      </c>
      <c r="D1726" s="101">
        <v>17</v>
      </c>
      <c r="E1726" s="101"/>
      <c r="F1726" s="101" t="s">
        <v>116</v>
      </c>
      <c r="G1726" s="101">
        <v>261</v>
      </c>
      <c r="H1726" s="101" t="s">
        <v>4006</v>
      </c>
      <c r="I1726" s="101">
        <v>0</v>
      </c>
      <c r="J1726" s="100">
        <v>0</v>
      </c>
      <c r="K1726" s="100">
        <v>0</v>
      </c>
      <c r="L1726" s="100" t="s">
        <v>115</v>
      </c>
      <c r="M1726" s="102"/>
      <c r="N1726" s="100"/>
      <c r="O1726" s="100" t="s">
        <v>115</v>
      </c>
      <c r="P1726" s="101"/>
      <c r="Q1726" s="100">
        <v>162</v>
      </c>
      <c r="R1726" s="100">
        <v>263</v>
      </c>
      <c r="S1726" s="100"/>
      <c r="T1726" s="100"/>
      <c r="U1726" s="100"/>
      <c r="V1726" s="100"/>
      <c r="W1726" s="100"/>
      <c r="X1726" s="100">
        <v>90170119</v>
      </c>
      <c r="Y1726" s="100" t="s">
        <v>115</v>
      </c>
      <c r="Z1726" s="100" t="s">
        <v>115</v>
      </c>
      <c r="AA1726" s="100" t="s">
        <v>115</v>
      </c>
      <c r="AB1726" s="100" t="s">
        <v>115</v>
      </c>
      <c r="AC1726" s="100" t="s">
        <v>115</v>
      </c>
      <c r="AD1726" s="100"/>
      <c r="AE1726" s="100"/>
      <c r="AF1726" s="100"/>
      <c r="AG1726" s="100"/>
      <c r="AH1726" s="100"/>
      <c r="AI1726" s="100" t="s">
        <v>115</v>
      </c>
      <c r="AJ1726" s="100"/>
      <c r="AK1726" s="100"/>
      <c r="AL1726" s="100"/>
      <c r="AM1726" s="100"/>
      <c r="AN1726" s="100"/>
      <c r="AO1726" s="100"/>
      <c r="AP1726" s="89" t="s">
        <v>115</v>
      </c>
    </row>
    <row r="1727" spans="1:42" s="89" customFormat="1" x14ac:dyDescent="0.15">
      <c r="A1727" s="100" t="s">
        <v>1</v>
      </c>
      <c r="B1727" s="101">
        <v>90170119</v>
      </c>
      <c r="C1727" s="101">
        <v>1701</v>
      </c>
      <c r="D1727" s="101">
        <v>17</v>
      </c>
      <c r="E1727" s="101"/>
      <c r="F1727" s="101" t="s">
        <v>271</v>
      </c>
      <c r="G1727" s="101" t="s">
        <v>115</v>
      </c>
      <c r="H1727" s="101" t="s">
        <v>4007</v>
      </c>
      <c r="I1727" s="101">
        <v>3</v>
      </c>
      <c r="J1727" s="100">
        <v>0</v>
      </c>
      <c r="K1727" s="100">
        <v>0</v>
      </c>
      <c r="L1727" s="100" t="s">
        <v>115</v>
      </c>
      <c r="M1727" s="102"/>
      <c r="N1727" s="100"/>
      <c r="O1727" s="100" t="s">
        <v>115</v>
      </c>
      <c r="P1727" s="101"/>
      <c r="Q1727" s="100">
        <v>162</v>
      </c>
      <c r="R1727" s="100">
        <v>263</v>
      </c>
      <c r="S1727" s="100"/>
      <c r="T1727" s="100"/>
      <c r="U1727" s="100"/>
      <c r="V1727" s="100"/>
      <c r="W1727" s="100"/>
      <c r="X1727" s="100">
        <v>90170120</v>
      </c>
      <c r="Y1727" s="100" t="s">
        <v>115</v>
      </c>
      <c r="Z1727" s="100" t="s">
        <v>115</v>
      </c>
      <c r="AA1727" s="100" t="s">
        <v>115</v>
      </c>
      <c r="AB1727" s="100" t="s">
        <v>115</v>
      </c>
      <c r="AC1727" s="100" t="s">
        <v>115</v>
      </c>
      <c r="AD1727" s="100"/>
      <c r="AE1727" s="100"/>
      <c r="AF1727" s="100"/>
      <c r="AG1727" s="100"/>
      <c r="AH1727" s="100"/>
      <c r="AI1727" s="100" t="s">
        <v>115</v>
      </c>
      <c r="AJ1727" s="100"/>
      <c r="AK1727" s="100"/>
      <c r="AL1727" s="100"/>
      <c r="AM1727" s="100"/>
      <c r="AN1727" s="100"/>
      <c r="AO1727" s="100"/>
      <c r="AP1727" s="89" t="s">
        <v>115</v>
      </c>
    </row>
    <row r="1728" spans="1:42" s="89" customFormat="1" x14ac:dyDescent="0.15">
      <c r="A1728" s="100" t="s">
        <v>1</v>
      </c>
      <c r="B1728" s="101">
        <v>90170120</v>
      </c>
      <c r="C1728" s="101">
        <v>1701</v>
      </c>
      <c r="D1728" s="101">
        <v>17</v>
      </c>
      <c r="E1728" s="101"/>
      <c r="F1728" s="101" t="s">
        <v>115</v>
      </c>
      <c r="G1728" s="101" t="s">
        <v>115</v>
      </c>
      <c r="H1728" s="101" t="s">
        <v>4008</v>
      </c>
      <c r="I1728" s="101">
        <v>4</v>
      </c>
      <c r="J1728" s="100">
        <v>0</v>
      </c>
      <c r="K1728" s="100">
        <v>0</v>
      </c>
      <c r="L1728" s="100" t="s">
        <v>115</v>
      </c>
      <c r="M1728" s="102"/>
      <c r="N1728" s="100"/>
      <c r="O1728" s="100" t="s">
        <v>115</v>
      </c>
      <c r="P1728" s="101"/>
      <c r="Q1728" s="100">
        <v>162</v>
      </c>
      <c r="R1728" s="100">
        <v>263</v>
      </c>
      <c r="S1728" s="100"/>
      <c r="T1728" s="100"/>
      <c r="U1728" s="100"/>
      <c r="V1728" s="100"/>
      <c r="W1728" s="100"/>
      <c r="X1728" s="100">
        <v>90170121</v>
      </c>
      <c r="Y1728" s="100" t="s">
        <v>115</v>
      </c>
      <c r="Z1728" s="100" t="s">
        <v>115</v>
      </c>
      <c r="AA1728" s="100" t="s">
        <v>115</v>
      </c>
      <c r="AB1728" s="100" t="s">
        <v>115</v>
      </c>
      <c r="AC1728" s="100" t="s">
        <v>115</v>
      </c>
      <c r="AD1728" s="100"/>
      <c r="AE1728" s="100"/>
      <c r="AF1728" s="100"/>
      <c r="AG1728" s="100"/>
      <c r="AH1728" s="100"/>
      <c r="AI1728" s="100" t="s">
        <v>115</v>
      </c>
      <c r="AJ1728" s="100"/>
      <c r="AK1728" s="100"/>
      <c r="AL1728" s="100"/>
      <c r="AM1728" s="100"/>
      <c r="AN1728" s="100"/>
      <c r="AO1728" s="100"/>
      <c r="AP1728" s="89" t="s">
        <v>115</v>
      </c>
    </row>
    <row r="1729" spans="1:42" s="89" customFormat="1" x14ac:dyDescent="0.15">
      <c r="A1729" s="100" t="s">
        <v>1</v>
      </c>
      <c r="B1729" s="101">
        <v>90170121</v>
      </c>
      <c r="C1729" s="101">
        <v>1701</v>
      </c>
      <c r="D1729" s="101">
        <v>17</v>
      </c>
      <c r="E1729" s="101"/>
      <c r="F1729" s="101" t="s">
        <v>271</v>
      </c>
      <c r="G1729" s="101" t="s">
        <v>115</v>
      </c>
      <c r="H1729" s="101" t="s">
        <v>4009</v>
      </c>
      <c r="I1729" s="101">
        <v>3</v>
      </c>
      <c r="J1729" s="100">
        <v>0</v>
      </c>
      <c r="K1729" s="100">
        <v>0</v>
      </c>
      <c r="L1729" s="100" t="s">
        <v>115</v>
      </c>
      <c r="M1729" s="102"/>
      <c r="N1729" s="100"/>
      <c r="O1729" s="100" t="s">
        <v>115</v>
      </c>
      <c r="P1729" s="101"/>
      <c r="Q1729" s="100">
        <v>162</v>
      </c>
      <c r="R1729" s="100">
        <v>263</v>
      </c>
      <c r="S1729" s="100"/>
      <c r="T1729" s="100"/>
      <c r="U1729" s="100"/>
      <c r="V1729" s="100"/>
      <c r="W1729" s="100"/>
      <c r="X1729" s="100">
        <v>90170122</v>
      </c>
      <c r="Y1729" s="100" t="s">
        <v>115</v>
      </c>
      <c r="Z1729" s="100" t="s">
        <v>115</v>
      </c>
      <c r="AA1729" s="100" t="s">
        <v>115</v>
      </c>
      <c r="AB1729" s="100" t="s">
        <v>115</v>
      </c>
      <c r="AC1729" s="100" t="s">
        <v>115</v>
      </c>
      <c r="AD1729" s="100"/>
      <c r="AE1729" s="100"/>
      <c r="AF1729" s="100"/>
      <c r="AG1729" s="100"/>
      <c r="AH1729" s="100"/>
      <c r="AI1729" s="100" t="s">
        <v>115</v>
      </c>
      <c r="AJ1729" s="100"/>
      <c r="AK1729" s="100"/>
      <c r="AL1729" s="100"/>
      <c r="AM1729" s="100"/>
      <c r="AN1729" s="100"/>
      <c r="AO1729" s="100"/>
      <c r="AP1729" s="89" t="s">
        <v>115</v>
      </c>
    </row>
    <row r="1730" spans="1:42" s="89" customFormat="1" x14ac:dyDescent="0.15">
      <c r="A1730" s="100" t="s">
        <v>1</v>
      </c>
      <c r="B1730" s="101">
        <v>90170122</v>
      </c>
      <c r="C1730" s="101">
        <v>1701</v>
      </c>
      <c r="D1730" s="101">
        <v>17</v>
      </c>
      <c r="E1730" s="101"/>
      <c r="F1730" s="101" t="s">
        <v>116</v>
      </c>
      <c r="G1730" s="101">
        <v>261</v>
      </c>
      <c r="H1730" s="101" t="s">
        <v>4010</v>
      </c>
      <c r="I1730" s="101">
        <v>0</v>
      </c>
      <c r="J1730" s="100">
        <v>0</v>
      </c>
      <c r="K1730" s="100">
        <v>0</v>
      </c>
      <c r="L1730" s="100" t="s">
        <v>115</v>
      </c>
      <c r="M1730" s="102"/>
      <c r="N1730" s="100"/>
      <c r="O1730" s="100" t="s">
        <v>115</v>
      </c>
      <c r="P1730" s="101"/>
      <c r="Q1730" s="100">
        <v>162</v>
      </c>
      <c r="R1730" s="100">
        <v>263</v>
      </c>
      <c r="S1730" s="100"/>
      <c r="T1730" s="100"/>
      <c r="U1730" s="100"/>
      <c r="V1730" s="100"/>
      <c r="W1730" s="100"/>
      <c r="X1730" s="100">
        <v>90170123</v>
      </c>
      <c r="Y1730" s="100" t="s">
        <v>115</v>
      </c>
      <c r="Z1730" s="100" t="s">
        <v>115</v>
      </c>
      <c r="AA1730" s="100" t="s">
        <v>115</v>
      </c>
      <c r="AB1730" s="100" t="s">
        <v>115</v>
      </c>
      <c r="AC1730" s="100" t="s">
        <v>115</v>
      </c>
      <c r="AD1730" s="100"/>
      <c r="AE1730" s="100"/>
      <c r="AF1730" s="100"/>
      <c r="AG1730" s="100"/>
      <c r="AH1730" s="100"/>
      <c r="AI1730" s="100" t="s">
        <v>115</v>
      </c>
      <c r="AJ1730" s="100"/>
      <c r="AK1730" s="100"/>
      <c r="AL1730" s="100"/>
      <c r="AM1730" s="100"/>
      <c r="AN1730" s="100"/>
      <c r="AO1730" s="100"/>
      <c r="AP1730" s="89" t="s">
        <v>115</v>
      </c>
    </row>
    <row r="1731" spans="1:42" s="89" customFormat="1" x14ac:dyDescent="0.15">
      <c r="A1731" s="100" t="s">
        <v>1</v>
      </c>
      <c r="B1731" s="101">
        <v>90170123</v>
      </c>
      <c r="C1731" s="101">
        <v>1701</v>
      </c>
      <c r="D1731" s="101">
        <v>17</v>
      </c>
      <c r="E1731" s="101"/>
      <c r="F1731" s="101" t="s">
        <v>271</v>
      </c>
      <c r="G1731" s="101" t="s">
        <v>115</v>
      </c>
      <c r="H1731" s="101" t="s">
        <v>4011</v>
      </c>
      <c r="I1731" s="101">
        <v>3</v>
      </c>
      <c r="J1731" s="100">
        <v>0</v>
      </c>
      <c r="K1731" s="100">
        <v>0</v>
      </c>
      <c r="L1731" s="100" t="s">
        <v>115</v>
      </c>
      <c r="M1731" s="102"/>
      <c r="N1731" s="100"/>
      <c r="O1731" s="100" t="s">
        <v>115</v>
      </c>
      <c r="P1731" s="101"/>
      <c r="Q1731" s="100">
        <v>162</v>
      </c>
      <c r="R1731" s="100">
        <v>263</v>
      </c>
      <c r="S1731" s="100"/>
      <c r="T1731" s="100"/>
      <c r="U1731" s="100"/>
      <c r="V1731" s="100"/>
      <c r="W1731" s="100"/>
      <c r="X1731" s="100">
        <v>90170124</v>
      </c>
      <c r="Y1731" s="100" t="s">
        <v>115</v>
      </c>
      <c r="Z1731" s="100" t="s">
        <v>115</v>
      </c>
      <c r="AA1731" s="100" t="s">
        <v>115</v>
      </c>
      <c r="AB1731" s="100" t="s">
        <v>115</v>
      </c>
      <c r="AC1731" s="100" t="s">
        <v>115</v>
      </c>
      <c r="AD1731" s="100"/>
      <c r="AE1731" s="100"/>
      <c r="AF1731" s="100"/>
      <c r="AG1731" s="100"/>
      <c r="AH1731" s="100"/>
      <c r="AI1731" s="100" t="s">
        <v>115</v>
      </c>
      <c r="AJ1731" s="100"/>
      <c r="AK1731" s="100"/>
      <c r="AL1731" s="100"/>
      <c r="AM1731" s="100"/>
      <c r="AN1731" s="100"/>
      <c r="AO1731" s="100"/>
      <c r="AP1731" s="89" t="s">
        <v>115</v>
      </c>
    </row>
    <row r="1732" spans="1:42" s="89" customFormat="1" x14ac:dyDescent="0.15">
      <c r="A1732" s="100" t="s">
        <v>1</v>
      </c>
      <c r="B1732" s="101">
        <v>90170124</v>
      </c>
      <c r="C1732" s="101">
        <v>1701</v>
      </c>
      <c r="D1732" s="101">
        <v>17</v>
      </c>
      <c r="E1732" s="101"/>
      <c r="F1732" s="101" t="s">
        <v>115</v>
      </c>
      <c r="G1732" s="101" t="s">
        <v>115</v>
      </c>
      <c r="H1732" s="101" t="s">
        <v>4012</v>
      </c>
      <c r="I1732" s="101">
        <v>4</v>
      </c>
      <c r="J1732" s="100">
        <v>0</v>
      </c>
      <c r="K1732" s="100">
        <v>0</v>
      </c>
      <c r="L1732" s="100" t="s">
        <v>115</v>
      </c>
      <c r="M1732" s="102"/>
      <c r="N1732" s="100"/>
      <c r="O1732" s="100" t="s">
        <v>115</v>
      </c>
      <c r="P1732" s="101"/>
      <c r="Q1732" s="100">
        <v>162</v>
      </c>
      <c r="R1732" s="100">
        <v>263</v>
      </c>
      <c r="S1732" s="100"/>
      <c r="T1732" s="100"/>
      <c r="U1732" s="100"/>
      <c r="V1732" s="100"/>
      <c r="W1732" s="100"/>
      <c r="X1732" s="100">
        <v>90170125</v>
      </c>
      <c r="Y1732" s="100" t="s">
        <v>115</v>
      </c>
      <c r="Z1732" s="100" t="s">
        <v>115</v>
      </c>
      <c r="AA1732" s="100" t="s">
        <v>115</v>
      </c>
      <c r="AB1732" s="100" t="s">
        <v>115</v>
      </c>
      <c r="AC1732" s="100" t="s">
        <v>115</v>
      </c>
      <c r="AD1732" s="100"/>
      <c r="AE1732" s="100"/>
      <c r="AF1732" s="100"/>
      <c r="AG1732" s="100"/>
      <c r="AH1732" s="100"/>
      <c r="AI1732" s="100" t="s">
        <v>115</v>
      </c>
      <c r="AJ1732" s="100"/>
      <c r="AK1732" s="100"/>
      <c r="AL1732" s="100"/>
      <c r="AM1732" s="100"/>
      <c r="AN1732" s="100"/>
      <c r="AO1732" s="100"/>
      <c r="AP1732" s="89" t="s">
        <v>115</v>
      </c>
    </row>
    <row r="1733" spans="1:42" s="89" customFormat="1" x14ac:dyDescent="0.15">
      <c r="A1733" s="100" t="s">
        <v>1</v>
      </c>
      <c r="B1733" s="101">
        <v>90170125</v>
      </c>
      <c r="C1733" s="101">
        <v>1701</v>
      </c>
      <c r="D1733" s="101">
        <v>17</v>
      </c>
      <c r="E1733" s="101"/>
      <c r="F1733" s="101" t="s">
        <v>115</v>
      </c>
      <c r="G1733" s="101" t="s">
        <v>115</v>
      </c>
      <c r="H1733" s="101" t="s">
        <v>4013</v>
      </c>
      <c r="I1733" s="101">
        <v>4</v>
      </c>
      <c r="J1733" s="100">
        <v>0</v>
      </c>
      <c r="K1733" s="100">
        <v>0</v>
      </c>
      <c r="L1733" s="100" t="s">
        <v>115</v>
      </c>
      <c r="M1733" s="102"/>
      <c r="N1733" s="100"/>
      <c r="O1733" s="100" t="s">
        <v>115</v>
      </c>
      <c r="P1733" s="101"/>
      <c r="Q1733" s="100">
        <v>162</v>
      </c>
      <c r="R1733" s="100" t="s">
        <v>115</v>
      </c>
      <c r="S1733" s="100"/>
      <c r="T1733" s="100"/>
      <c r="U1733" s="100"/>
      <c r="V1733" s="100"/>
      <c r="W1733" s="100"/>
      <c r="X1733" s="100">
        <v>90170126</v>
      </c>
      <c r="Y1733" s="100" t="s">
        <v>115</v>
      </c>
      <c r="Z1733" s="100" t="s">
        <v>115</v>
      </c>
      <c r="AA1733" s="100" t="s">
        <v>115</v>
      </c>
      <c r="AB1733" s="100" t="s">
        <v>115</v>
      </c>
      <c r="AC1733" s="100" t="s">
        <v>115</v>
      </c>
      <c r="AD1733" s="100"/>
      <c r="AE1733" s="100"/>
      <c r="AF1733" s="100"/>
      <c r="AG1733" s="100"/>
      <c r="AH1733" s="100"/>
      <c r="AI1733" s="100" t="s">
        <v>115</v>
      </c>
      <c r="AJ1733" s="100"/>
      <c r="AK1733" s="100"/>
      <c r="AL1733" s="100"/>
      <c r="AM1733" s="100"/>
      <c r="AN1733" s="100"/>
      <c r="AO1733" s="100"/>
      <c r="AP1733" s="89" t="s">
        <v>115</v>
      </c>
    </row>
    <row r="1734" spans="1:42" s="89" customFormat="1" x14ac:dyDescent="0.15">
      <c r="A1734" s="100" t="s">
        <v>1</v>
      </c>
      <c r="B1734" s="101">
        <v>90170126</v>
      </c>
      <c r="C1734" s="101">
        <v>1701</v>
      </c>
      <c r="D1734" s="101">
        <v>17</v>
      </c>
      <c r="E1734" s="101"/>
      <c r="F1734" s="101" t="s">
        <v>116</v>
      </c>
      <c r="G1734" s="101">
        <v>275</v>
      </c>
      <c r="H1734" s="101" t="s">
        <v>4014</v>
      </c>
      <c r="I1734" s="101">
        <v>2</v>
      </c>
      <c r="J1734" s="100">
        <v>0</v>
      </c>
      <c r="K1734" s="100">
        <v>2</v>
      </c>
      <c r="L1734" s="100" t="s">
        <v>4015</v>
      </c>
      <c r="M1734" s="102"/>
      <c r="N1734" s="100"/>
      <c r="O1734" s="100">
        <v>1</v>
      </c>
      <c r="P1734" s="101"/>
      <c r="Q1734" s="100">
        <v>162</v>
      </c>
      <c r="R1734" s="100" t="s">
        <v>115</v>
      </c>
      <c r="S1734" s="100"/>
      <c r="T1734" s="100"/>
      <c r="U1734" s="100"/>
      <c r="V1734" s="100"/>
      <c r="W1734" s="100"/>
      <c r="X1734" s="100" t="s">
        <v>115</v>
      </c>
      <c r="Y1734" s="100" t="s">
        <v>115</v>
      </c>
      <c r="Z1734" s="100">
        <v>1</v>
      </c>
      <c r="AA1734" s="100" t="s">
        <v>115</v>
      </c>
      <c r="AB1734" s="100" t="s">
        <v>115</v>
      </c>
      <c r="AC1734" s="100" t="s">
        <v>115</v>
      </c>
      <c r="AD1734" s="100"/>
      <c r="AE1734" s="100"/>
      <c r="AF1734" s="100"/>
      <c r="AG1734" s="100"/>
      <c r="AH1734" s="100"/>
      <c r="AI1734" s="100" t="s">
        <v>115</v>
      </c>
      <c r="AJ1734" s="100"/>
      <c r="AK1734" s="100"/>
      <c r="AL1734" s="100"/>
      <c r="AM1734" s="100"/>
      <c r="AN1734" s="100"/>
      <c r="AO1734" s="100"/>
      <c r="AP1734" s="89" t="s">
        <v>4016</v>
      </c>
    </row>
    <row r="1735" spans="1:42" s="89" customFormat="1" x14ac:dyDescent="0.15">
      <c r="A1735" s="100" t="s">
        <v>1</v>
      </c>
      <c r="B1735" s="101" t="s">
        <v>3946</v>
      </c>
      <c r="C1735" s="101">
        <v>1702</v>
      </c>
      <c r="D1735" s="101">
        <v>17</v>
      </c>
      <c r="E1735" s="101"/>
      <c r="F1735" s="101" t="s">
        <v>115</v>
      </c>
      <c r="G1735" s="101" t="s">
        <v>115</v>
      </c>
      <c r="H1735" s="101" t="s">
        <v>4017</v>
      </c>
      <c r="I1735" s="101">
        <v>4</v>
      </c>
      <c r="J1735" s="100">
        <v>1</v>
      </c>
      <c r="K1735" s="100">
        <v>1</v>
      </c>
      <c r="L1735" s="100" t="s">
        <v>115</v>
      </c>
      <c r="M1735" s="102"/>
      <c r="N1735" s="100"/>
      <c r="O1735" s="100" t="s">
        <v>115</v>
      </c>
      <c r="P1735" s="101"/>
      <c r="Q1735" s="100">
        <v>198</v>
      </c>
      <c r="R1735" s="100" t="s">
        <v>115</v>
      </c>
      <c r="S1735" s="100"/>
      <c r="T1735" s="100"/>
      <c r="U1735" s="100"/>
      <c r="V1735" s="100"/>
      <c r="W1735" s="100"/>
      <c r="X1735" s="100">
        <v>90170202</v>
      </c>
      <c r="Y1735" s="100" t="s">
        <v>115</v>
      </c>
      <c r="Z1735" s="100" t="s">
        <v>115</v>
      </c>
      <c r="AA1735" s="100" t="s">
        <v>115</v>
      </c>
      <c r="AB1735" s="100" t="s">
        <v>115</v>
      </c>
      <c r="AC1735" s="100" t="s">
        <v>115</v>
      </c>
      <c r="AD1735" s="100"/>
      <c r="AE1735" s="100"/>
      <c r="AF1735" s="100"/>
      <c r="AG1735" s="100"/>
      <c r="AH1735" s="100"/>
      <c r="AI1735" s="100" t="s">
        <v>115</v>
      </c>
      <c r="AJ1735" s="100"/>
      <c r="AK1735" s="100"/>
      <c r="AL1735" s="100"/>
      <c r="AM1735" s="100"/>
      <c r="AN1735" s="100"/>
      <c r="AO1735" s="100"/>
      <c r="AP1735" s="89" t="s">
        <v>115</v>
      </c>
    </row>
    <row r="1736" spans="1:42" s="89" customFormat="1" x14ac:dyDescent="0.15">
      <c r="A1736" s="100" t="s">
        <v>1</v>
      </c>
      <c r="B1736" s="101">
        <v>90170202</v>
      </c>
      <c r="C1736" s="101">
        <v>1702</v>
      </c>
      <c r="D1736" s="101">
        <v>17</v>
      </c>
      <c r="E1736" s="101"/>
      <c r="F1736" s="101" t="s">
        <v>116</v>
      </c>
      <c r="G1736" s="101">
        <v>261</v>
      </c>
      <c r="H1736" s="101" t="s">
        <v>4018</v>
      </c>
      <c r="I1736" s="101">
        <v>2</v>
      </c>
      <c r="J1736" s="100">
        <v>0</v>
      </c>
      <c r="K1736" s="100">
        <v>0</v>
      </c>
      <c r="L1736" s="100" t="s">
        <v>115</v>
      </c>
      <c r="M1736" s="102"/>
      <c r="N1736" s="100"/>
      <c r="O1736" s="100" t="s">
        <v>115</v>
      </c>
      <c r="P1736" s="101"/>
      <c r="Q1736" s="100">
        <v>198</v>
      </c>
      <c r="R1736" s="100" t="s">
        <v>115</v>
      </c>
      <c r="S1736" s="100"/>
      <c r="T1736" s="100"/>
      <c r="U1736" s="100"/>
      <c r="V1736" s="100"/>
      <c r="W1736" s="100"/>
      <c r="X1736" s="100">
        <v>90170203</v>
      </c>
      <c r="Y1736" s="100" t="s">
        <v>115</v>
      </c>
      <c r="Z1736" s="100" t="s">
        <v>115</v>
      </c>
      <c r="AA1736" s="100" t="s">
        <v>115</v>
      </c>
      <c r="AB1736" s="100" t="s">
        <v>115</v>
      </c>
      <c r="AC1736" s="100" t="s">
        <v>115</v>
      </c>
      <c r="AD1736" s="100"/>
      <c r="AE1736" s="100"/>
      <c r="AF1736" s="100"/>
      <c r="AG1736" s="100"/>
      <c r="AH1736" s="100"/>
      <c r="AI1736" s="100" t="s">
        <v>115</v>
      </c>
      <c r="AJ1736" s="100"/>
      <c r="AK1736" s="100"/>
      <c r="AL1736" s="100"/>
      <c r="AM1736" s="100"/>
      <c r="AN1736" s="100"/>
      <c r="AO1736" s="100"/>
      <c r="AP1736" s="89" t="s">
        <v>115</v>
      </c>
    </row>
    <row r="1737" spans="1:42" s="89" customFormat="1" x14ac:dyDescent="0.15">
      <c r="A1737" s="100" t="s">
        <v>1</v>
      </c>
      <c r="B1737" s="101">
        <v>90170203</v>
      </c>
      <c r="C1737" s="101">
        <v>1702</v>
      </c>
      <c r="D1737" s="101">
        <v>17</v>
      </c>
      <c r="E1737" s="101"/>
      <c r="F1737" s="101" t="s">
        <v>115</v>
      </c>
      <c r="G1737" s="101" t="s">
        <v>115</v>
      </c>
      <c r="H1737" s="101" t="s">
        <v>4019</v>
      </c>
      <c r="I1737" s="101">
        <v>4</v>
      </c>
      <c r="J1737" s="100">
        <v>0</v>
      </c>
      <c r="K1737" s="100">
        <v>2</v>
      </c>
      <c r="L1737" s="100" t="s">
        <v>115</v>
      </c>
      <c r="M1737" s="102"/>
      <c r="N1737" s="100"/>
      <c r="O1737" s="100" t="s">
        <v>115</v>
      </c>
      <c r="P1737" s="101"/>
      <c r="Q1737" s="100">
        <v>198</v>
      </c>
      <c r="R1737" s="100" t="s">
        <v>115</v>
      </c>
      <c r="S1737" s="100"/>
      <c r="T1737" s="100"/>
      <c r="U1737" s="100"/>
      <c r="V1737" s="100"/>
      <c r="W1737" s="100"/>
      <c r="X1737" s="100" t="s">
        <v>4020</v>
      </c>
      <c r="Y1737" s="100">
        <v>1</v>
      </c>
      <c r="Z1737" s="100">
        <v>1</v>
      </c>
      <c r="AA1737" s="100" t="s">
        <v>115</v>
      </c>
      <c r="AB1737" s="100" t="s">
        <v>115</v>
      </c>
      <c r="AC1737" s="100" t="s">
        <v>115</v>
      </c>
      <c r="AD1737" s="100"/>
      <c r="AE1737" s="100"/>
      <c r="AF1737" s="100"/>
      <c r="AG1737" s="100"/>
      <c r="AH1737" s="100"/>
      <c r="AI1737" s="100" t="s">
        <v>115</v>
      </c>
      <c r="AJ1737" s="100"/>
      <c r="AK1737" s="100"/>
      <c r="AL1737" s="100"/>
      <c r="AM1737" s="100"/>
      <c r="AN1737" s="100"/>
      <c r="AO1737" s="100"/>
      <c r="AP1737" s="89" t="s">
        <v>115</v>
      </c>
    </row>
    <row r="1738" spans="1:42" s="89" customFormat="1" x14ac:dyDescent="0.15">
      <c r="A1738" s="100" t="s">
        <v>1</v>
      </c>
      <c r="B1738" s="101">
        <v>90170204</v>
      </c>
      <c r="C1738" s="101">
        <v>1702</v>
      </c>
      <c r="D1738" s="101">
        <v>17</v>
      </c>
      <c r="E1738" s="101"/>
      <c r="F1738" s="101" t="s">
        <v>115</v>
      </c>
      <c r="G1738" s="101" t="s">
        <v>115</v>
      </c>
      <c r="H1738" s="101" t="s">
        <v>525</v>
      </c>
      <c r="I1738" s="101">
        <v>4</v>
      </c>
      <c r="J1738" s="100">
        <v>0</v>
      </c>
      <c r="K1738" s="100">
        <v>3</v>
      </c>
      <c r="L1738" s="100" t="s">
        <v>115</v>
      </c>
      <c r="M1738" s="102"/>
      <c r="N1738" s="100"/>
      <c r="O1738" s="100" t="s">
        <v>115</v>
      </c>
      <c r="P1738" s="101"/>
      <c r="Q1738" s="100">
        <v>198</v>
      </c>
      <c r="R1738" s="100" t="s">
        <v>115</v>
      </c>
      <c r="S1738" s="100"/>
      <c r="T1738" s="100"/>
      <c r="U1738" s="100"/>
      <c r="V1738" s="100"/>
      <c r="W1738" s="100"/>
      <c r="X1738" s="100">
        <v>90170206</v>
      </c>
      <c r="Y1738" s="100">
        <v>-1</v>
      </c>
      <c r="Z1738" s="100">
        <v>2</v>
      </c>
      <c r="AA1738" s="100" t="s">
        <v>115</v>
      </c>
      <c r="AB1738" s="100" t="s">
        <v>115</v>
      </c>
      <c r="AC1738" s="100" t="s">
        <v>4021</v>
      </c>
      <c r="AD1738" s="100"/>
      <c r="AE1738" s="100"/>
      <c r="AF1738" s="100"/>
      <c r="AG1738" s="100"/>
      <c r="AH1738" s="100"/>
      <c r="AI1738" s="100" t="s">
        <v>115</v>
      </c>
      <c r="AJ1738" s="100"/>
      <c r="AK1738" s="100"/>
      <c r="AL1738" s="100"/>
      <c r="AM1738" s="100"/>
      <c r="AN1738" s="100"/>
      <c r="AO1738" s="100"/>
      <c r="AP1738" s="89" t="s">
        <v>115</v>
      </c>
    </row>
    <row r="1739" spans="1:42" s="89" customFormat="1" x14ac:dyDescent="0.15">
      <c r="A1739" s="100" t="s">
        <v>1</v>
      </c>
      <c r="B1739" s="101">
        <v>90170205</v>
      </c>
      <c r="C1739" s="101">
        <v>1702</v>
      </c>
      <c r="D1739" s="101">
        <v>17</v>
      </c>
      <c r="E1739" s="101"/>
      <c r="F1739" s="101" t="s">
        <v>115</v>
      </c>
      <c r="G1739" s="101" t="s">
        <v>115</v>
      </c>
      <c r="H1739" s="101" t="s">
        <v>4022</v>
      </c>
      <c r="I1739" s="101">
        <v>4</v>
      </c>
      <c r="J1739" s="100">
        <v>0</v>
      </c>
      <c r="K1739" s="100">
        <v>4</v>
      </c>
      <c r="L1739" s="100" t="s">
        <v>115</v>
      </c>
      <c r="M1739" s="102"/>
      <c r="N1739" s="100"/>
      <c r="O1739" s="100" t="s">
        <v>115</v>
      </c>
      <c r="P1739" s="101"/>
      <c r="Q1739" s="100">
        <v>198</v>
      </c>
      <c r="R1739" s="100" t="s">
        <v>115</v>
      </c>
      <c r="S1739" s="100"/>
      <c r="T1739" s="100"/>
      <c r="U1739" s="100"/>
      <c r="V1739" s="100"/>
      <c r="W1739" s="100"/>
      <c r="X1739" s="100">
        <v>90170209</v>
      </c>
      <c r="Y1739" s="100">
        <v>-1</v>
      </c>
      <c r="Z1739" s="100">
        <v>2</v>
      </c>
      <c r="AA1739" s="100" t="s">
        <v>115</v>
      </c>
      <c r="AB1739" s="100" t="s">
        <v>115</v>
      </c>
      <c r="AC1739" s="100" t="s">
        <v>115</v>
      </c>
      <c r="AD1739" s="100"/>
      <c r="AE1739" s="100"/>
      <c r="AF1739" s="100"/>
      <c r="AG1739" s="100"/>
      <c r="AH1739" s="100"/>
      <c r="AI1739" s="100" t="s">
        <v>115</v>
      </c>
      <c r="AJ1739" s="100"/>
      <c r="AK1739" s="100"/>
      <c r="AL1739" s="100"/>
      <c r="AM1739" s="100"/>
      <c r="AN1739" s="100"/>
      <c r="AO1739" s="100"/>
      <c r="AP1739" s="89" t="s">
        <v>115</v>
      </c>
    </row>
    <row r="1740" spans="1:42" s="89" customFormat="1" x14ac:dyDescent="0.15">
      <c r="A1740" s="100" t="s">
        <v>1</v>
      </c>
      <c r="B1740" s="101">
        <v>90170206</v>
      </c>
      <c r="C1740" s="101">
        <v>1702</v>
      </c>
      <c r="D1740" s="101">
        <v>17</v>
      </c>
      <c r="E1740" s="101"/>
      <c r="F1740" s="101" t="s">
        <v>115</v>
      </c>
      <c r="G1740" s="101" t="s">
        <v>115</v>
      </c>
      <c r="H1740" s="101" t="s">
        <v>4023</v>
      </c>
      <c r="I1740" s="101">
        <v>4</v>
      </c>
      <c r="J1740" s="100">
        <v>0</v>
      </c>
      <c r="K1740" s="100">
        <v>0</v>
      </c>
      <c r="L1740" s="100" t="s">
        <v>115</v>
      </c>
      <c r="M1740" s="102"/>
      <c r="N1740" s="100"/>
      <c r="O1740" s="100" t="s">
        <v>115</v>
      </c>
      <c r="P1740" s="101"/>
      <c r="Q1740" s="100">
        <v>105</v>
      </c>
      <c r="R1740" s="100">
        <v>300</v>
      </c>
      <c r="S1740" s="100"/>
      <c r="T1740" s="100"/>
      <c r="U1740" s="100"/>
      <c r="V1740" s="100"/>
      <c r="W1740" s="100"/>
      <c r="X1740" s="100">
        <v>90170207</v>
      </c>
      <c r="Y1740" s="100" t="s">
        <v>115</v>
      </c>
      <c r="Z1740" s="100" t="s">
        <v>115</v>
      </c>
      <c r="AA1740" s="100" t="s">
        <v>115</v>
      </c>
      <c r="AB1740" s="100" t="s">
        <v>115</v>
      </c>
      <c r="AC1740" s="100" t="s">
        <v>115</v>
      </c>
      <c r="AD1740" s="100"/>
      <c r="AE1740" s="100"/>
      <c r="AF1740" s="100"/>
      <c r="AG1740" s="100"/>
      <c r="AH1740" s="100"/>
      <c r="AI1740" s="100" t="s">
        <v>115</v>
      </c>
      <c r="AJ1740" s="100"/>
      <c r="AK1740" s="100"/>
      <c r="AL1740" s="100"/>
      <c r="AM1740" s="100"/>
      <c r="AN1740" s="100"/>
      <c r="AO1740" s="100"/>
      <c r="AP1740" s="89" t="s">
        <v>115</v>
      </c>
    </row>
    <row r="1741" spans="1:42" s="89" customFormat="1" x14ac:dyDescent="0.15">
      <c r="A1741" s="100" t="s">
        <v>1</v>
      </c>
      <c r="B1741" s="101">
        <v>90170207</v>
      </c>
      <c r="C1741" s="101">
        <v>1702</v>
      </c>
      <c r="D1741" s="101">
        <v>17</v>
      </c>
      <c r="E1741" s="101"/>
      <c r="F1741" s="101" t="s">
        <v>116</v>
      </c>
      <c r="G1741" s="101">
        <v>261</v>
      </c>
      <c r="H1741" s="101" t="s">
        <v>4024</v>
      </c>
      <c r="I1741" s="101">
        <v>0</v>
      </c>
      <c r="J1741" s="100">
        <v>0</v>
      </c>
      <c r="K1741" s="100">
        <v>0</v>
      </c>
      <c r="L1741" s="100" t="s">
        <v>115</v>
      </c>
      <c r="M1741" s="102"/>
      <c r="N1741" s="100"/>
      <c r="O1741" s="100" t="s">
        <v>115</v>
      </c>
      <c r="P1741" s="101"/>
      <c r="Q1741" s="100">
        <v>105</v>
      </c>
      <c r="R1741" s="100">
        <v>300</v>
      </c>
      <c r="S1741" s="100"/>
      <c r="T1741" s="100"/>
      <c r="U1741" s="100"/>
      <c r="V1741" s="100"/>
      <c r="W1741" s="100"/>
      <c r="X1741" s="100">
        <v>90170208</v>
      </c>
      <c r="Y1741" s="100" t="s">
        <v>115</v>
      </c>
      <c r="Z1741" s="100" t="s">
        <v>115</v>
      </c>
      <c r="AA1741" s="100" t="s">
        <v>115</v>
      </c>
      <c r="AB1741" s="100" t="s">
        <v>115</v>
      </c>
      <c r="AC1741" s="100" t="s">
        <v>115</v>
      </c>
      <c r="AD1741" s="100"/>
      <c r="AE1741" s="100"/>
      <c r="AF1741" s="100"/>
      <c r="AG1741" s="100"/>
      <c r="AH1741" s="100"/>
      <c r="AI1741" s="100" t="s">
        <v>115</v>
      </c>
      <c r="AJ1741" s="100"/>
      <c r="AK1741" s="100"/>
      <c r="AL1741" s="100"/>
      <c r="AM1741" s="100"/>
      <c r="AN1741" s="100"/>
      <c r="AO1741" s="100"/>
      <c r="AP1741" s="89" t="s">
        <v>115</v>
      </c>
    </row>
    <row r="1742" spans="1:42" s="89" customFormat="1" x14ac:dyDescent="0.15">
      <c r="A1742" s="100" t="s">
        <v>1</v>
      </c>
      <c r="B1742" s="101">
        <v>90170208</v>
      </c>
      <c r="C1742" s="101">
        <v>1702</v>
      </c>
      <c r="D1742" s="101">
        <v>17</v>
      </c>
      <c r="E1742" s="101"/>
      <c r="F1742" s="101" t="s">
        <v>251</v>
      </c>
      <c r="G1742" s="101" t="s">
        <v>115</v>
      </c>
      <c r="H1742" s="101" t="s">
        <v>4025</v>
      </c>
      <c r="I1742" s="101">
        <v>3</v>
      </c>
      <c r="J1742" s="100">
        <v>0</v>
      </c>
      <c r="K1742" s="100">
        <v>0</v>
      </c>
      <c r="L1742" s="100" t="s">
        <v>115</v>
      </c>
      <c r="M1742" s="102"/>
      <c r="N1742" s="100"/>
      <c r="O1742" s="100" t="s">
        <v>115</v>
      </c>
      <c r="P1742" s="101"/>
      <c r="Q1742" s="100">
        <v>105</v>
      </c>
      <c r="R1742" s="100">
        <v>300</v>
      </c>
      <c r="S1742" s="100"/>
      <c r="T1742" s="100"/>
      <c r="U1742" s="100"/>
      <c r="V1742" s="100"/>
      <c r="W1742" s="100"/>
      <c r="X1742" s="100">
        <v>90170212</v>
      </c>
      <c r="Y1742" s="100" t="s">
        <v>115</v>
      </c>
      <c r="Z1742" s="100" t="s">
        <v>115</v>
      </c>
      <c r="AA1742" s="100" t="s">
        <v>115</v>
      </c>
      <c r="AB1742" s="100" t="s">
        <v>115</v>
      </c>
      <c r="AC1742" s="100" t="s">
        <v>115</v>
      </c>
      <c r="AD1742" s="100"/>
      <c r="AE1742" s="100"/>
      <c r="AF1742" s="100"/>
      <c r="AG1742" s="100"/>
      <c r="AH1742" s="100"/>
      <c r="AI1742" s="100" t="s">
        <v>115</v>
      </c>
      <c r="AJ1742" s="100"/>
      <c r="AK1742" s="100"/>
      <c r="AL1742" s="100"/>
      <c r="AM1742" s="100"/>
      <c r="AN1742" s="100"/>
      <c r="AO1742" s="100"/>
      <c r="AP1742" s="89" t="s">
        <v>115</v>
      </c>
    </row>
    <row r="1743" spans="1:42" s="89" customFormat="1" x14ac:dyDescent="0.15">
      <c r="A1743" s="100" t="s">
        <v>1</v>
      </c>
      <c r="B1743" s="101">
        <v>90170209</v>
      </c>
      <c r="C1743" s="101">
        <v>1702</v>
      </c>
      <c r="D1743" s="101">
        <v>17</v>
      </c>
      <c r="E1743" s="101"/>
      <c r="F1743" s="101" t="s">
        <v>116</v>
      </c>
      <c r="G1743" s="101">
        <v>275</v>
      </c>
      <c r="H1743" s="101" t="s">
        <v>4026</v>
      </c>
      <c r="I1743" s="101">
        <v>2</v>
      </c>
      <c r="J1743" s="100">
        <v>0</v>
      </c>
      <c r="K1743" s="100">
        <v>0</v>
      </c>
      <c r="L1743" s="100" t="s">
        <v>115</v>
      </c>
      <c r="M1743" s="102"/>
      <c r="N1743" s="100"/>
      <c r="O1743" s="100" t="s">
        <v>115</v>
      </c>
      <c r="P1743" s="101"/>
      <c r="Q1743" s="100">
        <v>105</v>
      </c>
      <c r="R1743" s="100" t="s">
        <v>115</v>
      </c>
      <c r="S1743" s="100"/>
      <c r="T1743" s="100"/>
      <c r="U1743" s="100"/>
      <c r="V1743" s="100"/>
      <c r="W1743" s="100"/>
      <c r="X1743" s="100">
        <v>90170210</v>
      </c>
      <c r="Y1743" s="100" t="s">
        <v>115</v>
      </c>
      <c r="Z1743" s="100" t="s">
        <v>115</v>
      </c>
      <c r="AA1743" s="100" t="s">
        <v>115</v>
      </c>
      <c r="AB1743" s="100" t="s">
        <v>115</v>
      </c>
      <c r="AC1743" s="100" t="s">
        <v>115</v>
      </c>
      <c r="AD1743" s="100"/>
      <c r="AE1743" s="100"/>
      <c r="AF1743" s="100"/>
      <c r="AG1743" s="100"/>
      <c r="AH1743" s="100"/>
      <c r="AI1743" s="100" t="s">
        <v>115</v>
      </c>
      <c r="AJ1743" s="100"/>
      <c r="AK1743" s="100"/>
      <c r="AL1743" s="100"/>
      <c r="AM1743" s="100"/>
      <c r="AN1743" s="100"/>
      <c r="AO1743" s="100"/>
      <c r="AP1743" s="89" t="s">
        <v>115</v>
      </c>
    </row>
    <row r="1744" spans="1:42" s="89" customFormat="1" x14ac:dyDescent="0.15">
      <c r="A1744" s="100" t="s">
        <v>1</v>
      </c>
      <c r="B1744" s="101">
        <v>90170210</v>
      </c>
      <c r="C1744" s="101">
        <v>1702</v>
      </c>
      <c r="D1744" s="101">
        <v>17</v>
      </c>
      <c r="E1744" s="101"/>
      <c r="F1744" s="101" t="s">
        <v>116</v>
      </c>
      <c r="G1744" s="101">
        <v>275</v>
      </c>
      <c r="H1744" s="101" t="s">
        <v>4027</v>
      </c>
      <c r="I1744" s="101">
        <v>2</v>
      </c>
      <c r="J1744" s="100">
        <v>0</v>
      </c>
      <c r="K1744" s="100">
        <v>0</v>
      </c>
      <c r="L1744" s="100" t="s">
        <v>115</v>
      </c>
      <c r="M1744" s="102"/>
      <c r="N1744" s="100"/>
      <c r="O1744" s="100" t="s">
        <v>115</v>
      </c>
      <c r="P1744" s="101"/>
      <c r="Q1744" s="100">
        <v>105</v>
      </c>
      <c r="R1744" s="100" t="s">
        <v>115</v>
      </c>
      <c r="S1744" s="100"/>
      <c r="T1744" s="100"/>
      <c r="U1744" s="100"/>
      <c r="V1744" s="100"/>
      <c r="W1744" s="100"/>
      <c r="X1744" s="100">
        <v>90170211</v>
      </c>
      <c r="Y1744" s="100" t="s">
        <v>115</v>
      </c>
      <c r="Z1744" s="100" t="s">
        <v>115</v>
      </c>
      <c r="AA1744" s="100" t="s">
        <v>115</v>
      </c>
      <c r="AB1744" s="100" t="s">
        <v>115</v>
      </c>
      <c r="AC1744" s="100" t="s">
        <v>115</v>
      </c>
      <c r="AD1744" s="100"/>
      <c r="AE1744" s="100"/>
      <c r="AF1744" s="100"/>
      <c r="AG1744" s="100"/>
      <c r="AH1744" s="100"/>
      <c r="AI1744" s="100" t="s">
        <v>115</v>
      </c>
      <c r="AJ1744" s="100"/>
      <c r="AK1744" s="100"/>
      <c r="AL1744" s="100"/>
      <c r="AM1744" s="100"/>
      <c r="AN1744" s="100"/>
      <c r="AO1744" s="100"/>
      <c r="AP1744" s="89" t="s">
        <v>115</v>
      </c>
    </row>
    <row r="1745" spans="1:42" s="89" customFormat="1" x14ac:dyDescent="0.15">
      <c r="A1745" s="100" t="s">
        <v>1</v>
      </c>
      <c r="B1745" s="101">
        <v>90170211</v>
      </c>
      <c r="C1745" s="101">
        <v>1702</v>
      </c>
      <c r="D1745" s="101">
        <v>17</v>
      </c>
      <c r="E1745" s="101"/>
      <c r="F1745" s="101" t="s">
        <v>116</v>
      </c>
      <c r="G1745" s="101">
        <v>275</v>
      </c>
      <c r="H1745" s="101" t="s">
        <v>4028</v>
      </c>
      <c r="I1745" s="101">
        <v>2</v>
      </c>
      <c r="J1745" s="100">
        <v>0</v>
      </c>
      <c r="K1745" s="100">
        <v>0</v>
      </c>
      <c r="L1745" s="100" t="s">
        <v>115</v>
      </c>
      <c r="M1745" s="102"/>
      <c r="N1745" s="100"/>
      <c r="O1745" s="100" t="s">
        <v>115</v>
      </c>
      <c r="P1745" s="101"/>
      <c r="Q1745" s="100">
        <v>105</v>
      </c>
      <c r="R1745" s="100" t="s">
        <v>115</v>
      </c>
      <c r="S1745" s="100"/>
      <c r="T1745" s="100"/>
      <c r="U1745" s="100"/>
      <c r="V1745" s="100"/>
      <c r="W1745" s="100"/>
      <c r="X1745" s="100">
        <v>90170203</v>
      </c>
      <c r="Y1745" s="100" t="s">
        <v>115</v>
      </c>
      <c r="Z1745" s="100" t="s">
        <v>115</v>
      </c>
      <c r="AA1745" s="100" t="s">
        <v>115</v>
      </c>
      <c r="AB1745" s="100" t="s">
        <v>115</v>
      </c>
      <c r="AC1745" s="100" t="s">
        <v>115</v>
      </c>
      <c r="AD1745" s="100"/>
      <c r="AE1745" s="100"/>
      <c r="AF1745" s="100"/>
      <c r="AG1745" s="100"/>
      <c r="AH1745" s="100"/>
      <c r="AI1745" s="100" t="s">
        <v>115</v>
      </c>
      <c r="AJ1745" s="100"/>
      <c r="AK1745" s="100"/>
      <c r="AL1745" s="100"/>
      <c r="AM1745" s="100"/>
      <c r="AN1745" s="100"/>
      <c r="AO1745" s="100"/>
      <c r="AP1745" s="89" t="s">
        <v>115</v>
      </c>
    </row>
    <row r="1746" spans="1:42" s="89" customFormat="1" x14ac:dyDescent="0.15">
      <c r="A1746" s="100" t="s">
        <v>1</v>
      </c>
      <c r="B1746" s="101">
        <v>90170212</v>
      </c>
      <c r="C1746" s="101">
        <v>1702</v>
      </c>
      <c r="D1746" s="101">
        <v>17</v>
      </c>
      <c r="E1746" s="101"/>
      <c r="F1746" s="101" t="s">
        <v>115</v>
      </c>
      <c r="G1746" s="101" t="s">
        <v>115</v>
      </c>
      <c r="H1746" s="101" t="s">
        <v>4029</v>
      </c>
      <c r="I1746" s="101">
        <v>4</v>
      </c>
      <c r="J1746" s="100">
        <v>0</v>
      </c>
      <c r="K1746" s="100">
        <v>0</v>
      </c>
      <c r="L1746" s="100" t="s">
        <v>115</v>
      </c>
      <c r="M1746" s="102"/>
      <c r="N1746" s="100"/>
      <c r="O1746" s="100" t="s">
        <v>115</v>
      </c>
      <c r="P1746" s="101"/>
      <c r="Q1746" s="100">
        <v>105</v>
      </c>
      <c r="R1746" s="100">
        <v>300</v>
      </c>
      <c r="S1746" s="100"/>
      <c r="T1746" s="100"/>
      <c r="U1746" s="100"/>
      <c r="V1746" s="100"/>
      <c r="W1746" s="100"/>
      <c r="X1746" s="100">
        <v>90170213</v>
      </c>
      <c r="Y1746" s="100" t="s">
        <v>115</v>
      </c>
      <c r="Z1746" s="100" t="s">
        <v>115</v>
      </c>
      <c r="AA1746" s="100" t="s">
        <v>115</v>
      </c>
      <c r="AB1746" s="100" t="s">
        <v>115</v>
      </c>
      <c r="AC1746" s="100" t="s">
        <v>115</v>
      </c>
      <c r="AD1746" s="100"/>
      <c r="AE1746" s="100"/>
      <c r="AF1746" s="100"/>
      <c r="AG1746" s="100"/>
      <c r="AH1746" s="100"/>
      <c r="AI1746" s="100" t="s">
        <v>115</v>
      </c>
      <c r="AJ1746" s="100"/>
      <c r="AK1746" s="100"/>
      <c r="AL1746" s="100"/>
      <c r="AM1746" s="100"/>
      <c r="AN1746" s="100"/>
      <c r="AO1746" s="100"/>
      <c r="AP1746" s="89" t="s">
        <v>115</v>
      </c>
    </row>
    <row r="1747" spans="1:42" s="89" customFormat="1" x14ac:dyDescent="0.15">
      <c r="A1747" s="100" t="s">
        <v>1</v>
      </c>
      <c r="B1747" s="101">
        <v>90170213</v>
      </c>
      <c r="C1747" s="101">
        <v>1702</v>
      </c>
      <c r="D1747" s="101">
        <v>17</v>
      </c>
      <c r="E1747" s="101"/>
      <c r="F1747" s="101" t="s">
        <v>251</v>
      </c>
      <c r="G1747" s="101" t="s">
        <v>115</v>
      </c>
      <c r="H1747" s="101" t="s">
        <v>4030</v>
      </c>
      <c r="I1747" s="101">
        <v>3</v>
      </c>
      <c r="J1747" s="100">
        <v>0</v>
      </c>
      <c r="K1747" s="100">
        <v>0</v>
      </c>
      <c r="L1747" s="100" t="s">
        <v>115</v>
      </c>
      <c r="M1747" s="102"/>
      <c r="N1747" s="100"/>
      <c r="O1747" s="100" t="s">
        <v>115</v>
      </c>
      <c r="P1747" s="101"/>
      <c r="Q1747" s="100">
        <v>105</v>
      </c>
      <c r="R1747" s="100">
        <v>300</v>
      </c>
      <c r="S1747" s="100"/>
      <c r="T1747" s="100"/>
      <c r="U1747" s="100"/>
      <c r="V1747" s="100"/>
      <c r="W1747" s="100"/>
      <c r="X1747" s="100">
        <v>90170214</v>
      </c>
      <c r="Y1747" s="100" t="s">
        <v>115</v>
      </c>
      <c r="Z1747" s="100" t="s">
        <v>115</v>
      </c>
      <c r="AA1747" s="100" t="s">
        <v>115</v>
      </c>
      <c r="AB1747" s="100" t="s">
        <v>115</v>
      </c>
      <c r="AC1747" s="100" t="s">
        <v>115</v>
      </c>
      <c r="AD1747" s="100"/>
      <c r="AE1747" s="100"/>
      <c r="AF1747" s="100"/>
      <c r="AG1747" s="100"/>
      <c r="AH1747" s="100"/>
      <c r="AI1747" s="100" t="s">
        <v>115</v>
      </c>
      <c r="AJ1747" s="100"/>
      <c r="AK1747" s="100"/>
      <c r="AL1747" s="100"/>
      <c r="AM1747" s="100"/>
      <c r="AN1747" s="100"/>
      <c r="AO1747" s="100"/>
      <c r="AP1747" s="89" t="s">
        <v>115</v>
      </c>
    </row>
    <row r="1748" spans="1:42" s="89" customFormat="1" x14ac:dyDescent="0.15">
      <c r="A1748" s="100" t="s">
        <v>1</v>
      </c>
      <c r="B1748" s="101">
        <v>90170214</v>
      </c>
      <c r="C1748" s="101">
        <v>1702</v>
      </c>
      <c r="D1748" s="101">
        <v>17</v>
      </c>
      <c r="E1748" s="101"/>
      <c r="F1748" s="101" t="s">
        <v>251</v>
      </c>
      <c r="G1748" s="101" t="s">
        <v>115</v>
      </c>
      <c r="H1748" s="101" t="s">
        <v>4031</v>
      </c>
      <c r="I1748" s="101">
        <v>3</v>
      </c>
      <c r="J1748" s="100">
        <v>0</v>
      </c>
      <c r="K1748" s="100">
        <v>0</v>
      </c>
      <c r="L1748" s="100" t="s">
        <v>115</v>
      </c>
      <c r="M1748" s="102"/>
      <c r="N1748" s="100"/>
      <c r="O1748" s="100" t="s">
        <v>115</v>
      </c>
      <c r="P1748" s="101"/>
      <c r="Q1748" s="100">
        <v>105</v>
      </c>
      <c r="R1748" s="100">
        <v>300</v>
      </c>
      <c r="S1748" s="100"/>
      <c r="T1748" s="100"/>
      <c r="U1748" s="100"/>
      <c r="V1748" s="100"/>
      <c r="W1748" s="100"/>
      <c r="X1748" s="100">
        <v>90170215</v>
      </c>
      <c r="Y1748" s="100" t="s">
        <v>115</v>
      </c>
      <c r="Z1748" s="100" t="s">
        <v>115</v>
      </c>
      <c r="AA1748" s="100" t="s">
        <v>115</v>
      </c>
      <c r="AB1748" s="100" t="s">
        <v>115</v>
      </c>
      <c r="AC1748" s="100" t="s">
        <v>115</v>
      </c>
      <c r="AD1748" s="100"/>
      <c r="AE1748" s="100"/>
      <c r="AF1748" s="100"/>
      <c r="AG1748" s="100"/>
      <c r="AH1748" s="100"/>
      <c r="AI1748" s="100" t="s">
        <v>115</v>
      </c>
      <c r="AJ1748" s="100"/>
      <c r="AK1748" s="100"/>
      <c r="AL1748" s="100"/>
      <c r="AM1748" s="100"/>
      <c r="AN1748" s="100"/>
      <c r="AO1748" s="100"/>
      <c r="AP1748" s="89" t="s">
        <v>115</v>
      </c>
    </row>
    <row r="1749" spans="1:42" s="89" customFormat="1" x14ac:dyDescent="0.15">
      <c r="A1749" s="100" t="s">
        <v>1</v>
      </c>
      <c r="B1749" s="101">
        <v>90170215</v>
      </c>
      <c r="C1749" s="101">
        <v>1702</v>
      </c>
      <c r="D1749" s="101">
        <v>17</v>
      </c>
      <c r="E1749" s="101"/>
      <c r="F1749" s="101" t="s">
        <v>116</v>
      </c>
      <c r="G1749" s="101">
        <v>275</v>
      </c>
      <c r="H1749" s="101" t="s">
        <v>4032</v>
      </c>
      <c r="I1749" s="101">
        <v>2</v>
      </c>
      <c r="J1749" s="100">
        <v>0</v>
      </c>
      <c r="K1749" s="100">
        <v>0</v>
      </c>
      <c r="L1749" s="100" t="s">
        <v>115</v>
      </c>
      <c r="M1749" s="102"/>
      <c r="N1749" s="100"/>
      <c r="O1749" s="100" t="s">
        <v>115</v>
      </c>
      <c r="P1749" s="101"/>
      <c r="Q1749" s="100">
        <v>105</v>
      </c>
      <c r="R1749" s="100">
        <v>300</v>
      </c>
      <c r="S1749" s="100"/>
      <c r="T1749" s="100"/>
      <c r="U1749" s="100"/>
      <c r="V1749" s="100"/>
      <c r="W1749" s="100"/>
      <c r="X1749" s="100">
        <v>90170216</v>
      </c>
      <c r="Y1749" s="100" t="s">
        <v>115</v>
      </c>
      <c r="Z1749" s="100" t="s">
        <v>115</v>
      </c>
      <c r="AA1749" s="100" t="s">
        <v>115</v>
      </c>
      <c r="AB1749" s="100" t="s">
        <v>115</v>
      </c>
      <c r="AC1749" s="100" t="s">
        <v>115</v>
      </c>
      <c r="AD1749" s="100"/>
      <c r="AE1749" s="100"/>
      <c r="AF1749" s="100"/>
      <c r="AG1749" s="100"/>
      <c r="AH1749" s="100"/>
      <c r="AI1749" s="100" t="s">
        <v>115</v>
      </c>
      <c r="AJ1749" s="100"/>
      <c r="AK1749" s="100"/>
      <c r="AL1749" s="100"/>
      <c r="AM1749" s="100"/>
      <c r="AN1749" s="100"/>
      <c r="AO1749" s="100"/>
      <c r="AP1749" s="89" t="s">
        <v>115</v>
      </c>
    </row>
    <row r="1750" spans="1:42" s="89" customFormat="1" x14ac:dyDescent="0.15">
      <c r="A1750" s="100" t="s">
        <v>1</v>
      </c>
      <c r="B1750" s="101">
        <v>90170216</v>
      </c>
      <c r="C1750" s="101">
        <v>1702</v>
      </c>
      <c r="D1750" s="101">
        <v>17</v>
      </c>
      <c r="E1750" s="101"/>
      <c r="F1750" s="101" t="s">
        <v>251</v>
      </c>
      <c r="G1750" s="101" t="s">
        <v>115</v>
      </c>
      <c r="H1750" s="101" t="s">
        <v>4033</v>
      </c>
      <c r="I1750" s="101">
        <v>3</v>
      </c>
      <c r="J1750" s="100">
        <v>0</v>
      </c>
      <c r="K1750" s="100">
        <v>0</v>
      </c>
      <c r="L1750" s="100" t="s">
        <v>115</v>
      </c>
      <c r="M1750" s="102"/>
      <c r="N1750" s="100"/>
      <c r="O1750" s="100" t="s">
        <v>115</v>
      </c>
      <c r="P1750" s="101"/>
      <c r="Q1750" s="100">
        <v>105</v>
      </c>
      <c r="R1750" s="100">
        <v>300</v>
      </c>
      <c r="S1750" s="100"/>
      <c r="T1750" s="100"/>
      <c r="U1750" s="100"/>
      <c r="V1750" s="100"/>
      <c r="W1750" s="100"/>
      <c r="X1750" s="100">
        <v>90170217</v>
      </c>
      <c r="Y1750" s="100" t="s">
        <v>115</v>
      </c>
      <c r="Z1750" s="100" t="s">
        <v>115</v>
      </c>
      <c r="AA1750" s="100" t="s">
        <v>115</v>
      </c>
      <c r="AB1750" s="100" t="s">
        <v>115</v>
      </c>
      <c r="AC1750" s="100" t="s">
        <v>115</v>
      </c>
      <c r="AD1750" s="100"/>
      <c r="AE1750" s="100"/>
      <c r="AF1750" s="100"/>
      <c r="AG1750" s="100"/>
      <c r="AH1750" s="100"/>
      <c r="AI1750" s="100" t="s">
        <v>115</v>
      </c>
      <c r="AJ1750" s="100"/>
      <c r="AK1750" s="100"/>
      <c r="AL1750" s="100"/>
      <c r="AM1750" s="100"/>
      <c r="AN1750" s="100"/>
      <c r="AO1750" s="100"/>
      <c r="AP1750" s="89" t="s">
        <v>115</v>
      </c>
    </row>
    <row r="1751" spans="1:42" s="89" customFormat="1" x14ac:dyDescent="0.15">
      <c r="A1751" s="100" t="s">
        <v>1</v>
      </c>
      <c r="B1751" s="101">
        <v>90170217</v>
      </c>
      <c r="C1751" s="101">
        <v>1702</v>
      </c>
      <c r="D1751" s="101">
        <v>17</v>
      </c>
      <c r="E1751" s="101"/>
      <c r="F1751" s="101" t="s">
        <v>251</v>
      </c>
      <c r="G1751" s="101" t="s">
        <v>115</v>
      </c>
      <c r="H1751" s="101" t="s">
        <v>4034</v>
      </c>
      <c r="I1751" s="101">
        <v>3</v>
      </c>
      <c r="J1751" s="100">
        <v>0</v>
      </c>
      <c r="K1751" s="100">
        <v>0</v>
      </c>
      <c r="L1751" s="100" t="s">
        <v>115</v>
      </c>
      <c r="M1751" s="102"/>
      <c r="N1751" s="100"/>
      <c r="O1751" s="100" t="s">
        <v>115</v>
      </c>
      <c r="P1751" s="101"/>
      <c r="Q1751" s="100">
        <v>105</v>
      </c>
      <c r="R1751" s="100">
        <v>300</v>
      </c>
      <c r="S1751" s="100"/>
      <c r="T1751" s="100"/>
      <c r="U1751" s="100"/>
      <c r="V1751" s="100"/>
      <c r="W1751" s="100"/>
      <c r="X1751" s="100">
        <v>90170218</v>
      </c>
      <c r="Y1751" s="100" t="s">
        <v>115</v>
      </c>
      <c r="Z1751" s="100" t="s">
        <v>115</v>
      </c>
      <c r="AA1751" s="100" t="s">
        <v>115</v>
      </c>
      <c r="AB1751" s="100" t="s">
        <v>115</v>
      </c>
      <c r="AC1751" s="100" t="s">
        <v>115</v>
      </c>
      <c r="AD1751" s="100"/>
      <c r="AE1751" s="100"/>
      <c r="AF1751" s="100"/>
      <c r="AG1751" s="100"/>
      <c r="AH1751" s="100"/>
      <c r="AI1751" s="100" t="s">
        <v>115</v>
      </c>
      <c r="AJ1751" s="100"/>
      <c r="AK1751" s="100"/>
      <c r="AL1751" s="100"/>
      <c r="AM1751" s="100"/>
      <c r="AN1751" s="100"/>
      <c r="AO1751" s="100"/>
      <c r="AP1751" s="89" t="s">
        <v>115</v>
      </c>
    </row>
    <row r="1752" spans="1:42" s="89" customFormat="1" x14ac:dyDescent="0.15">
      <c r="A1752" s="100" t="s">
        <v>1</v>
      </c>
      <c r="B1752" s="101">
        <v>90170218</v>
      </c>
      <c r="C1752" s="101">
        <v>1702</v>
      </c>
      <c r="D1752" s="101">
        <v>17</v>
      </c>
      <c r="E1752" s="101"/>
      <c r="F1752" s="101" t="s">
        <v>251</v>
      </c>
      <c r="G1752" s="101" t="s">
        <v>115</v>
      </c>
      <c r="H1752" s="101" t="s">
        <v>4035</v>
      </c>
      <c r="I1752" s="101">
        <v>3</v>
      </c>
      <c r="J1752" s="100">
        <v>0</v>
      </c>
      <c r="K1752" s="100">
        <v>0</v>
      </c>
      <c r="L1752" s="100" t="s">
        <v>115</v>
      </c>
      <c r="M1752" s="102"/>
      <c r="N1752" s="100"/>
      <c r="O1752" s="100" t="s">
        <v>115</v>
      </c>
      <c r="P1752" s="101"/>
      <c r="Q1752" s="100">
        <v>105</v>
      </c>
      <c r="R1752" s="100">
        <v>300</v>
      </c>
      <c r="S1752" s="100"/>
      <c r="T1752" s="100"/>
      <c r="U1752" s="100"/>
      <c r="V1752" s="100"/>
      <c r="W1752" s="100"/>
      <c r="X1752" s="100">
        <v>90170219</v>
      </c>
      <c r="Y1752" s="100" t="s">
        <v>115</v>
      </c>
      <c r="Z1752" s="100" t="s">
        <v>115</v>
      </c>
      <c r="AA1752" s="100" t="s">
        <v>115</v>
      </c>
      <c r="AB1752" s="100" t="s">
        <v>115</v>
      </c>
      <c r="AC1752" s="100" t="s">
        <v>115</v>
      </c>
      <c r="AD1752" s="100"/>
      <c r="AE1752" s="100"/>
      <c r="AF1752" s="100"/>
      <c r="AG1752" s="100"/>
      <c r="AH1752" s="100"/>
      <c r="AI1752" s="100" t="s">
        <v>115</v>
      </c>
      <c r="AJ1752" s="100"/>
      <c r="AK1752" s="100"/>
      <c r="AL1752" s="100"/>
      <c r="AM1752" s="100"/>
      <c r="AN1752" s="100"/>
      <c r="AO1752" s="100"/>
      <c r="AP1752" s="89" t="s">
        <v>115</v>
      </c>
    </row>
    <row r="1753" spans="1:42" s="89" customFormat="1" x14ac:dyDescent="0.15">
      <c r="A1753" s="100" t="s">
        <v>1</v>
      </c>
      <c r="B1753" s="101">
        <v>90170219</v>
      </c>
      <c r="C1753" s="101">
        <v>1702</v>
      </c>
      <c r="D1753" s="101">
        <v>17</v>
      </c>
      <c r="E1753" s="101"/>
      <c r="F1753" s="101" t="s">
        <v>115</v>
      </c>
      <c r="G1753" s="101" t="s">
        <v>115</v>
      </c>
      <c r="H1753" s="101" t="s">
        <v>4036</v>
      </c>
      <c r="I1753" s="101">
        <v>4</v>
      </c>
      <c r="J1753" s="100">
        <v>0</v>
      </c>
      <c r="K1753" s="100">
        <v>0</v>
      </c>
      <c r="L1753" s="100" t="s">
        <v>115</v>
      </c>
      <c r="M1753" s="102"/>
      <c r="N1753" s="100"/>
      <c r="O1753" s="100" t="s">
        <v>115</v>
      </c>
      <c r="P1753" s="101"/>
      <c r="Q1753" s="100">
        <v>105</v>
      </c>
      <c r="R1753" s="100">
        <v>300</v>
      </c>
      <c r="S1753" s="100"/>
      <c r="T1753" s="100"/>
      <c r="U1753" s="100"/>
      <c r="V1753" s="100"/>
      <c r="W1753" s="100"/>
      <c r="X1753" s="100">
        <v>90170220</v>
      </c>
      <c r="Y1753" s="100" t="s">
        <v>115</v>
      </c>
      <c r="Z1753" s="100" t="s">
        <v>115</v>
      </c>
      <c r="AA1753" s="100" t="s">
        <v>115</v>
      </c>
      <c r="AB1753" s="100" t="s">
        <v>115</v>
      </c>
      <c r="AC1753" s="100" t="s">
        <v>115</v>
      </c>
      <c r="AD1753" s="100"/>
      <c r="AE1753" s="100"/>
      <c r="AF1753" s="100"/>
      <c r="AG1753" s="100"/>
      <c r="AH1753" s="100"/>
      <c r="AI1753" s="100" t="s">
        <v>115</v>
      </c>
      <c r="AJ1753" s="100"/>
      <c r="AK1753" s="100"/>
      <c r="AL1753" s="100"/>
      <c r="AM1753" s="100"/>
      <c r="AN1753" s="100"/>
      <c r="AO1753" s="100"/>
      <c r="AP1753" s="89" t="s">
        <v>115</v>
      </c>
    </row>
    <row r="1754" spans="1:42" s="89" customFormat="1" x14ac:dyDescent="0.15">
      <c r="A1754" s="100" t="s">
        <v>1</v>
      </c>
      <c r="B1754" s="101">
        <v>90170220</v>
      </c>
      <c r="C1754" s="101">
        <v>1702</v>
      </c>
      <c r="D1754" s="101">
        <v>17</v>
      </c>
      <c r="E1754" s="101"/>
      <c r="F1754" s="101" t="s">
        <v>116</v>
      </c>
      <c r="G1754" s="101">
        <v>261</v>
      </c>
      <c r="H1754" s="101" t="s">
        <v>4037</v>
      </c>
      <c r="I1754" s="101">
        <v>0</v>
      </c>
      <c r="J1754" s="100">
        <v>0</v>
      </c>
      <c r="K1754" s="100">
        <v>0</v>
      </c>
      <c r="L1754" s="100" t="s">
        <v>115</v>
      </c>
      <c r="M1754" s="102"/>
      <c r="N1754" s="100"/>
      <c r="O1754" s="100" t="s">
        <v>115</v>
      </c>
      <c r="P1754" s="101"/>
      <c r="Q1754" s="100">
        <v>105</v>
      </c>
      <c r="R1754" s="100">
        <v>300</v>
      </c>
      <c r="S1754" s="100"/>
      <c r="T1754" s="100"/>
      <c r="U1754" s="100"/>
      <c r="V1754" s="100"/>
      <c r="W1754" s="100"/>
      <c r="X1754" s="100">
        <v>90170221</v>
      </c>
      <c r="Y1754" s="100" t="s">
        <v>115</v>
      </c>
      <c r="Z1754" s="100" t="s">
        <v>115</v>
      </c>
      <c r="AA1754" s="100" t="s">
        <v>115</v>
      </c>
      <c r="AB1754" s="100" t="s">
        <v>115</v>
      </c>
      <c r="AC1754" s="100" t="s">
        <v>115</v>
      </c>
      <c r="AD1754" s="100"/>
      <c r="AE1754" s="100"/>
      <c r="AF1754" s="100"/>
      <c r="AG1754" s="100"/>
      <c r="AH1754" s="100"/>
      <c r="AI1754" s="100" t="s">
        <v>115</v>
      </c>
      <c r="AJ1754" s="100"/>
      <c r="AK1754" s="100"/>
      <c r="AL1754" s="100"/>
      <c r="AM1754" s="100"/>
      <c r="AN1754" s="100"/>
      <c r="AO1754" s="100"/>
      <c r="AP1754" s="89" t="s">
        <v>115</v>
      </c>
    </row>
    <row r="1755" spans="1:42" s="89" customFormat="1" x14ac:dyDescent="0.15">
      <c r="A1755" s="100" t="s">
        <v>1</v>
      </c>
      <c r="B1755" s="101">
        <v>90170221</v>
      </c>
      <c r="C1755" s="101">
        <v>1702</v>
      </c>
      <c r="D1755" s="101">
        <v>17</v>
      </c>
      <c r="E1755" s="101"/>
      <c r="F1755" s="101" t="s">
        <v>116</v>
      </c>
      <c r="G1755" s="101">
        <v>261</v>
      </c>
      <c r="H1755" s="101" t="s">
        <v>4038</v>
      </c>
      <c r="I1755" s="101">
        <v>0</v>
      </c>
      <c r="J1755" s="100">
        <v>0</v>
      </c>
      <c r="K1755" s="100">
        <v>0</v>
      </c>
      <c r="L1755" s="100" t="s">
        <v>115</v>
      </c>
      <c r="M1755" s="102"/>
      <c r="N1755" s="100"/>
      <c r="O1755" s="100" t="s">
        <v>115</v>
      </c>
      <c r="P1755" s="101"/>
      <c r="Q1755" s="100">
        <v>105</v>
      </c>
      <c r="R1755" s="100">
        <v>300</v>
      </c>
      <c r="S1755" s="100"/>
      <c r="T1755" s="100"/>
      <c r="U1755" s="100"/>
      <c r="V1755" s="100"/>
      <c r="W1755" s="100"/>
      <c r="X1755" s="100">
        <v>90170222</v>
      </c>
      <c r="Y1755" s="100" t="s">
        <v>115</v>
      </c>
      <c r="Z1755" s="100" t="s">
        <v>115</v>
      </c>
      <c r="AA1755" s="100" t="s">
        <v>115</v>
      </c>
      <c r="AB1755" s="100" t="s">
        <v>115</v>
      </c>
      <c r="AC1755" s="100" t="s">
        <v>115</v>
      </c>
      <c r="AD1755" s="100"/>
      <c r="AE1755" s="100"/>
      <c r="AF1755" s="100"/>
      <c r="AG1755" s="100"/>
      <c r="AH1755" s="100"/>
      <c r="AI1755" s="100" t="s">
        <v>115</v>
      </c>
      <c r="AJ1755" s="100"/>
      <c r="AK1755" s="100"/>
      <c r="AL1755" s="100"/>
      <c r="AM1755" s="100"/>
      <c r="AN1755" s="100"/>
      <c r="AO1755" s="100"/>
      <c r="AP1755" s="89" t="s">
        <v>115</v>
      </c>
    </row>
    <row r="1756" spans="1:42" s="89" customFormat="1" x14ac:dyDescent="0.15">
      <c r="A1756" s="100" t="s">
        <v>1</v>
      </c>
      <c r="B1756" s="101">
        <v>90170222</v>
      </c>
      <c r="C1756" s="101">
        <v>1702</v>
      </c>
      <c r="D1756" s="101">
        <v>17</v>
      </c>
      <c r="E1756" s="101"/>
      <c r="F1756" s="101" t="s">
        <v>251</v>
      </c>
      <c r="G1756" s="101" t="s">
        <v>115</v>
      </c>
      <c r="H1756" s="101" t="s">
        <v>4039</v>
      </c>
      <c r="I1756" s="101">
        <v>3</v>
      </c>
      <c r="J1756" s="100">
        <v>0</v>
      </c>
      <c r="K1756" s="100">
        <v>0</v>
      </c>
      <c r="L1756" s="100" t="s">
        <v>115</v>
      </c>
      <c r="M1756" s="102"/>
      <c r="N1756" s="100"/>
      <c r="O1756" s="100" t="s">
        <v>115</v>
      </c>
      <c r="P1756" s="101"/>
      <c r="Q1756" s="100">
        <v>105</v>
      </c>
      <c r="R1756" s="100">
        <v>300</v>
      </c>
      <c r="S1756" s="100"/>
      <c r="T1756" s="100"/>
      <c r="U1756" s="100"/>
      <c r="V1756" s="100"/>
      <c r="W1756" s="100"/>
      <c r="X1756" s="100">
        <v>90170223</v>
      </c>
      <c r="Y1756" s="100" t="s">
        <v>115</v>
      </c>
      <c r="Z1756" s="100" t="s">
        <v>115</v>
      </c>
      <c r="AA1756" s="100" t="s">
        <v>115</v>
      </c>
      <c r="AB1756" s="100" t="s">
        <v>115</v>
      </c>
      <c r="AC1756" s="100" t="s">
        <v>115</v>
      </c>
      <c r="AD1756" s="100"/>
      <c r="AE1756" s="100"/>
      <c r="AF1756" s="100"/>
      <c r="AG1756" s="100"/>
      <c r="AH1756" s="100"/>
      <c r="AI1756" s="100" t="s">
        <v>115</v>
      </c>
      <c r="AJ1756" s="100"/>
      <c r="AK1756" s="100"/>
      <c r="AL1756" s="100"/>
      <c r="AM1756" s="100"/>
      <c r="AN1756" s="100"/>
      <c r="AO1756" s="100"/>
      <c r="AP1756" s="89" t="s">
        <v>115</v>
      </c>
    </row>
    <row r="1757" spans="1:42" s="89" customFormat="1" x14ac:dyDescent="0.15">
      <c r="A1757" s="100" t="s">
        <v>1</v>
      </c>
      <c r="B1757" s="101">
        <v>90170223</v>
      </c>
      <c r="C1757" s="101">
        <v>1702</v>
      </c>
      <c r="D1757" s="101">
        <v>17</v>
      </c>
      <c r="E1757" s="101"/>
      <c r="F1757" s="101" t="s">
        <v>115</v>
      </c>
      <c r="G1757" s="101" t="s">
        <v>115</v>
      </c>
      <c r="H1757" s="101" t="s">
        <v>4040</v>
      </c>
      <c r="I1757" s="101">
        <v>4</v>
      </c>
      <c r="J1757" s="100">
        <v>0</v>
      </c>
      <c r="K1757" s="100">
        <v>0</v>
      </c>
      <c r="L1757" s="100" t="s">
        <v>115</v>
      </c>
      <c r="M1757" s="102"/>
      <c r="N1757" s="100"/>
      <c r="O1757" s="100" t="s">
        <v>115</v>
      </c>
      <c r="P1757" s="101"/>
      <c r="Q1757" s="100">
        <v>105</v>
      </c>
      <c r="R1757" s="100">
        <v>300</v>
      </c>
      <c r="S1757" s="100"/>
      <c r="T1757" s="100"/>
      <c r="U1757" s="100"/>
      <c r="V1757" s="100"/>
      <c r="W1757" s="100"/>
      <c r="X1757" s="100">
        <v>90170224</v>
      </c>
      <c r="Y1757" s="100" t="s">
        <v>115</v>
      </c>
      <c r="Z1757" s="100" t="s">
        <v>115</v>
      </c>
      <c r="AA1757" s="100" t="s">
        <v>115</v>
      </c>
      <c r="AB1757" s="100" t="s">
        <v>115</v>
      </c>
      <c r="AC1757" s="100" t="s">
        <v>115</v>
      </c>
      <c r="AD1757" s="100"/>
      <c r="AE1757" s="100"/>
      <c r="AF1757" s="100"/>
      <c r="AG1757" s="100"/>
      <c r="AH1757" s="100"/>
      <c r="AI1757" s="100" t="s">
        <v>115</v>
      </c>
      <c r="AJ1757" s="100"/>
      <c r="AK1757" s="100"/>
      <c r="AL1757" s="100"/>
      <c r="AM1757" s="100"/>
      <c r="AN1757" s="100"/>
      <c r="AO1757" s="100"/>
      <c r="AP1757" s="89" t="s">
        <v>115</v>
      </c>
    </row>
    <row r="1758" spans="1:42" s="89" customFormat="1" x14ac:dyDescent="0.15">
      <c r="A1758" s="100" t="s">
        <v>1</v>
      </c>
      <c r="B1758" s="101">
        <v>90170224</v>
      </c>
      <c r="C1758" s="101">
        <v>1702</v>
      </c>
      <c r="D1758" s="101">
        <v>17</v>
      </c>
      <c r="E1758" s="101"/>
      <c r="F1758" s="101" t="s">
        <v>251</v>
      </c>
      <c r="G1758" s="101" t="s">
        <v>115</v>
      </c>
      <c r="H1758" s="101" t="s">
        <v>4041</v>
      </c>
      <c r="I1758" s="101">
        <v>3</v>
      </c>
      <c r="J1758" s="100">
        <v>0</v>
      </c>
      <c r="K1758" s="100">
        <v>0</v>
      </c>
      <c r="L1758" s="100" t="s">
        <v>115</v>
      </c>
      <c r="M1758" s="102"/>
      <c r="N1758" s="100"/>
      <c r="O1758" s="100" t="s">
        <v>115</v>
      </c>
      <c r="P1758" s="101"/>
      <c r="Q1758" s="100">
        <v>105</v>
      </c>
      <c r="R1758" s="100">
        <v>300</v>
      </c>
      <c r="S1758" s="100"/>
      <c r="T1758" s="100"/>
      <c r="U1758" s="100"/>
      <c r="V1758" s="100"/>
      <c r="W1758" s="100"/>
      <c r="X1758" s="100">
        <v>90170225</v>
      </c>
      <c r="Y1758" s="100" t="s">
        <v>115</v>
      </c>
      <c r="Z1758" s="100" t="s">
        <v>115</v>
      </c>
      <c r="AA1758" s="100" t="s">
        <v>115</v>
      </c>
      <c r="AB1758" s="100" t="s">
        <v>115</v>
      </c>
      <c r="AC1758" s="100" t="s">
        <v>115</v>
      </c>
      <c r="AD1758" s="100"/>
      <c r="AE1758" s="100"/>
      <c r="AF1758" s="100"/>
      <c r="AG1758" s="100"/>
      <c r="AH1758" s="100"/>
      <c r="AI1758" s="100" t="s">
        <v>115</v>
      </c>
      <c r="AJ1758" s="100"/>
      <c r="AK1758" s="100"/>
      <c r="AL1758" s="100"/>
      <c r="AM1758" s="100"/>
      <c r="AN1758" s="100"/>
      <c r="AO1758" s="100"/>
      <c r="AP1758" s="89" t="s">
        <v>115</v>
      </c>
    </row>
    <row r="1759" spans="1:42" s="89" customFormat="1" x14ac:dyDescent="0.15">
      <c r="A1759" s="100" t="s">
        <v>1</v>
      </c>
      <c r="B1759" s="101">
        <v>90170225</v>
      </c>
      <c r="C1759" s="101">
        <v>1702</v>
      </c>
      <c r="D1759" s="101">
        <v>17</v>
      </c>
      <c r="E1759" s="101"/>
      <c r="F1759" s="101" t="s">
        <v>116</v>
      </c>
      <c r="G1759" s="101">
        <v>261</v>
      </c>
      <c r="H1759" s="101" t="s">
        <v>4042</v>
      </c>
      <c r="I1759" s="101">
        <v>0</v>
      </c>
      <c r="J1759" s="100">
        <v>0</v>
      </c>
      <c r="K1759" s="100">
        <v>5</v>
      </c>
      <c r="L1759" s="100" t="s">
        <v>115</v>
      </c>
      <c r="M1759" s="102"/>
      <c r="N1759" s="100"/>
      <c r="O1759" s="100">
        <v>1</v>
      </c>
      <c r="P1759" s="101"/>
      <c r="Q1759" s="100">
        <v>105</v>
      </c>
      <c r="R1759" s="100">
        <v>300</v>
      </c>
      <c r="S1759" s="100"/>
      <c r="T1759" s="100"/>
      <c r="U1759" s="100"/>
      <c r="V1759" s="100"/>
      <c r="W1759" s="100"/>
      <c r="X1759" s="100" t="s">
        <v>115</v>
      </c>
      <c r="Y1759" s="100" t="s">
        <v>115</v>
      </c>
      <c r="Z1759" s="100">
        <v>4</v>
      </c>
      <c r="AA1759" s="100" t="s">
        <v>115</v>
      </c>
      <c r="AB1759" s="100" t="s">
        <v>115</v>
      </c>
      <c r="AC1759" s="100" t="s">
        <v>115</v>
      </c>
      <c r="AD1759" s="100"/>
      <c r="AE1759" s="100"/>
      <c r="AF1759" s="100"/>
      <c r="AG1759" s="100"/>
      <c r="AH1759" s="100"/>
      <c r="AI1759" s="100" t="s">
        <v>115</v>
      </c>
      <c r="AJ1759" s="100"/>
      <c r="AK1759" s="100"/>
      <c r="AL1759" s="100"/>
      <c r="AM1759" s="100"/>
      <c r="AN1759" s="100"/>
      <c r="AO1759" s="100"/>
      <c r="AP1759" s="89" t="s">
        <v>4043</v>
      </c>
    </row>
    <row r="1760" spans="1:42" s="89" customFormat="1" x14ac:dyDescent="0.15">
      <c r="A1760" s="100" t="s">
        <v>1</v>
      </c>
      <c r="B1760" s="101" t="s">
        <v>3947</v>
      </c>
      <c r="C1760" s="101">
        <v>1703</v>
      </c>
      <c r="D1760" s="101">
        <v>17</v>
      </c>
      <c r="E1760" s="101"/>
      <c r="F1760" s="101" t="s">
        <v>271</v>
      </c>
      <c r="G1760" s="101" t="s">
        <v>115</v>
      </c>
      <c r="H1760" s="101" t="s">
        <v>4044</v>
      </c>
      <c r="I1760" s="101">
        <v>3</v>
      </c>
      <c r="J1760" s="100">
        <v>1</v>
      </c>
      <c r="K1760" s="100">
        <v>1</v>
      </c>
      <c r="L1760" s="100" t="s">
        <v>115</v>
      </c>
      <c r="M1760" s="102"/>
      <c r="N1760" s="100"/>
      <c r="O1760" s="100" t="s">
        <v>115</v>
      </c>
      <c r="P1760" s="101"/>
      <c r="Q1760" s="100">
        <v>162</v>
      </c>
      <c r="R1760" s="100">
        <v>263</v>
      </c>
      <c r="S1760" s="100"/>
      <c r="T1760" s="100"/>
      <c r="U1760" s="100"/>
      <c r="V1760" s="100"/>
      <c r="W1760" s="100"/>
      <c r="X1760" s="100">
        <v>90170302</v>
      </c>
      <c r="Y1760" s="100" t="s">
        <v>115</v>
      </c>
      <c r="Z1760" s="100" t="s">
        <v>115</v>
      </c>
      <c r="AA1760" s="100" t="s">
        <v>115</v>
      </c>
      <c r="AB1760" s="100" t="s">
        <v>115</v>
      </c>
      <c r="AC1760" s="100" t="s">
        <v>115</v>
      </c>
      <c r="AD1760" s="100"/>
      <c r="AE1760" s="100"/>
      <c r="AF1760" s="100"/>
      <c r="AG1760" s="100"/>
      <c r="AH1760" s="100"/>
      <c r="AI1760" s="100" t="s">
        <v>115</v>
      </c>
      <c r="AJ1760" s="100"/>
      <c r="AK1760" s="100"/>
      <c r="AL1760" s="100"/>
      <c r="AM1760" s="100"/>
      <c r="AN1760" s="100"/>
      <c r="AO1760" s="100"/>
      <c r="AP1760" s="89" t="s">
        <v>115</v>
      </c>
    </row>
    <row r="1761" spans="1:42" s="89" customFormat="1" x14ac:dyDescent="0.15">
      <c r="A1761" s="100" t="s">
        <v>1</v>
      </c>
      <c r="B1761" s="101">
        <v>90170302</v>
      </c>
      <c r="C1761" s="101">
        <v>1703</v>
      </c>
      <c r="D1761" s="101">
        <v>17</v>
      </c>
      <c r="E1761" s="101"/>
      <c r="F1761" s="101" t="s">
        <v>115</v>
      </c>
      <c r="G1761" s="101" t="s">
        <v>115</v>
      </c>
      <c r="H1761" s="101" t="s">
        <v>4045</v>
      </c>
      <c r="I1761" s="101">
        <v>4</v>
      </c>
      <c r="J1761" s="100">
        <v>0</v>
      </c>
      <c r="K1761" s="100">
        <v>2</v>
      </c>
      <c r="L1761" s="100" t="s">
        <v>115</v>
      </c>
      <c r="M1761" s="102"/>
      <c r="N1761" s="100"/>
      <c r="O1761" s="100" t="s">
        <v>115</v>
      </c>
      <c r="P1761" s="101"/>
      <c r="Q1761" s="100">
        <v>162</v>
      </c>
      <c r="R1761" s="100">
        <v>263</v>
      </c>
      <c r="S1761" s="100"/>
      <c r="T1761" s="100"/>
      <c r="U1761" s="100"/>
      <c r="V1761" s="100"/>
      <c r="W1761" s="100"/>
      <c r="X1761" s="100" t="s">
        <v>4046</v>
      </c>
      <c r="Y1761" s="100">
        <v>1</v>
      </c>
      <c r="Z1761" s="100">
        <v>1</v>
      </c>
      <c r="AA1761" s="100" t="s">
        <v>115</v>
      </c>
      <c r="AB1761" s="100" t="s">
        <v>115</v>
      </c>
      <c r="AC1761" s="100" t="s">
        <v>115</v>
      </c>
      <c r="AD1761" s="100"/>
      <c r="AE1761" s="100"/>
      <c r="AF1761" s="100"/>
      <c r="AG1761" s="100"/>
      <c r="AH1761" s="100"/>
      <c r="AI1761" s="100" t="s">
        <v>115</v>
      </c>
      <c r="AJ1761" s="100"/>
      <c r="AK1761" s="100"/>
      <c r="AL1761" s="100"/>
      <c r="AM1761" s="100"/>
      <c r="AN1761" s="100"/>
      <c r="AO1761" s="100"/>
      <c r="AP1761" s="89" t="s">
        <v>115</v>
      </c>
    </row>
    <row r="1762" spans="1:42" s="89" customFormat="1" x14ac:dyDescent="0.15">
      <c r="A1762" s="100" t="s">
        <v>1</v>
      </c>
      <c r="B1762" s="101">
        <v>90170303</v>
      </c>
      <c r="C1762" s="101">
        <v>1703</v>
      </c>
      <c r="D1762" s="101">
        <v>17</v>
      </c>
      <c r="E1762" s="101"/>
      <c r="F1762" s="101" t="s">
        <v>115</v>
      </c>
      <c r="G1762" s="101" t="s">
        <v>115</v>
      </c>
      <c r="H1762" s="101" t="s">
        <v>4047</v>
      </c>
      <c r="I1762" s="101">
        <v>4</v>
      </c>
      <c r="J1762" s="100">
        <v>0</v>
      </c>
      <c r="K1762" s="100">
        <v>3</v>
      </c>
      <c r="L1762" s="100" t="s">
        <v>115</v>
      </c>
      <c r="M1762" s="102"/>
      <c r="N1762" s="100"/>
      <c r="O1762" s="100" t="s">
        <v>115</v>
      </c>
      <c r="P1762" s="101"/>
      <c r="Q1762" s="100">
        <v>162</v>
      </c>
      <c r="R1762" s="100">
        <v>263</v>
      </c>
      <c r="S1762" s="100"/>
      <c r="T1762" s="100"/>
      <c r="U1762" s="100"/>
      <c r="V1762" s="100"/>
      <c r="W1762" s="100"/>
      <c r="X1762" s="100">
        <v>90170306</v>
      </c>
      <c r="Y1762" s="100">
        <v>-1</v>
      </c>
      <c r="Z1762" s="100">
        <v>2</v>
      </c>
      <c r="AA1762" s="100" t="s">
        <v>115</v>
      </c>
      <c r="AB1762" s="100" t="s">
        <v>115</v>
      </c>
      <c r="AC1762" s="100" t="s">
        <v>115</v>
      </c>
      <c r="AD1762" s="100"/>
      <c r="AE1762" s="100"/>
      <c r="AF1762" s="100"/>
      <c r="AG1762" s="100"/>
      <c r="AH1762" s="100"/>
      <c r="AI1762" s="100" t="s">
        <v>115</v>
      </c>
      <c r="AJ1762" s="100"/>
      <c r="AK1762" s="100"/>
      <c r="AL1762" s="100"/>
      <c r="AM1762" s="100"/>
      <c r="AN1762" s="100"/>
      <c r="AO1762" s="100"/>
      <c r="AP1762" s="89" t="s">
        <v>115</v>
      </c>
    </row>
    <row r="1763" spans="1:42" s="89" customFormat="1" x14ac:dyDescent="0.15">
      <c r="A1763" s="100" t="s">
        <v>1</v>
      </c>
      <c r="B1763" s="101">
        <v>90170304</v>
      </c>
      <c r="C1763" s="101">
        <v>1703</v>
      </c>
      <c r="D1763" s="101">
        <v>17</v>
      </c>
      <c r="E1763" s="101"/>
      <c r="F1763" s="101" t="s">
        <v>115</v>
      </c>
      <c r="G1763" s="101" t="s">
        <v>115</v>
      </c>
      <c r="H1763" s="101" t="s">
        <v>4048</v>
      </c>
      <c r="I1763" s="101">
        <v>4</v>
      </c>
      <c r="J1763" s="100">
        <v>0</v>
      </c>
      <c r="K1763" s="100">
        <v>4</v>
      </c>
      <c r="L1763" s="100" t="s">
        <v>115</v>
      </c>
      <c r="M1763" s="102"/>
      <c r="N1763" s="100"/>
      <c r="O1763" s="100" t="s">
        <v>115</v>
      </c>
      <c r="P1763" s="101"/>
      <c r="Q1763" s="100">
        <v>162</v>
      </c>
      <c r="R1763" s="100">
        <v>263</v>
      </c>
      <c r="S1763" s="100"/>
      <c r="T1763" s="100"/>
      <c r="U1763" s="100"/>
      <c r="V1763" s="100"/>
      <c r="W1763" s="100"/>
      <c r="X1763" s="100">
        <v>90170310</v>
      </c>
      <c r="Y1763" s="100">
        <v>-1</v>
      </c>
      <c r="Z1763" s="100">
        <v>2</v>
      </c>
      <c r="AA1763" s="100" t="s">
        <v>4049</v>
      </c>
      <c r="AB1763" s="100" t="s">
        <v>115</v>
      </c>
      <c r="AC1763" s="100" t="s">
        <v>115</v>
      </c>
      <c r="AD1763" s="100"/>
      <c r="AE1763" s="100"/>
      <c r="AF1763" s="100"/>
      <c r="AG1763" s="100"/>
      <c r="AH1763" s="100"/>
      <c r="AI1763" s="100" t="s">
        <v>115</v>
      </c>
      <c r="AJ1763" s="100"/>
      <c r="AK1763" s="100"/>
      <c r="AL1763" s="100"/>
      <c r="AM1763" s="100"/>
      <c r="AN1763" s="100"/>
      <c r="AO1763" s="100"/>
      <c r="AP1763" s="89" t="s">
        <v>115</v>
      </c>
    </row>
    <row r="1764" spans="1:42" s="89" customFormat="1" x14ac:dyDescent="0.15">
      <c r="A1764" s="100" t="s">
        <v>1</v>
      </c>
      <c r="B1764" s="101">
        <v>90170305</v>
      </c>
      <c r="C1764" s="101">
        <v>1703</v>
      </c>
      <c r="D1764" s="101">
        <v>17</v>
      </c>
      <c r="E1764" s="101"/>
      <c r="F1764" s="101" t="s">
        <v>115</v>
      </c>
      <c r="G1764" s="101" t="s">
        <v>115</v>
      </c>
      <c r="H1764" s="101" t="s">
        <v>4050</v>
      </c>
      <c r="I1764" s="101">
        <v>4</v>
      </c>
      <c r="J1764" s="100">
        <v>0</v>
      </c>
      <c r="K1764" s="100">
        <v>5</v>
      </c>
      <c r="L1764" s="100" t="s">
        <v>115</v>
      </c>
      <c r="M1764" s="102"/>
      <c r="N1764" s="100"/>
      <c r="O1764" s="100" t="s">
        <v>115</v>
      </c>
      <c r="P1764" s="101"/>
      <c r="Q1764" s="100">
        <v>162</v>
      </c>
      <c r="R1764" s="100">
        <v>263</v>
      </c>
      <c r="S1764" s="100"/>
      <c r="T1764" s="100"/>
      <c r="U1764" s="100"/>
      <c r="V1764" s="100"/>
      <c r="W1764" s="100"/>
      <c r="X1764" s="100">
        <v>90170313</v>
      </c>
      <c r="Y1764" s="100">
        <v>-1</v>
      </c>
      <c r="Z1764" s="100">
        <v>2</v>
      </c>
      <c r="AA1764" s="100" t="s">
        <v>4818</v>
      </c>
      <c r="AB1764" s="100" t="s">
        <v>115</v>
      </c>
      <c r="AC1764" s="100" t="s">
        <v>115</v>
      </c>
      <c r="AD1764" s="100"/>
      <c r="AE1764" s="100"/>
      <c r="AF1764" s="100"/>
      <c r="AG1764" s="100"/>
      <c r="AH1764" s="100"/>
      <c r="AI1764" s="100" t="s">
        <v>115</v>
      </c>
      <c r="AJ1764" s="100"/>
      <c r="AK1764" s="100"/>
      <c r="AL1764" s="100"/>
      <c r="AM1764" s="100"/>
      <c r="AN1764" s="100"/>
      <c r="AO1764" s="100"/>
      <c r="AP1764" s="89" t="s">
        <v>115</v>
      </c>
    </row>
    <row r="1765" spans="1:42" s="89" customFormat="1" x14ac:dyDescent="0.15">
      <c r="A1765" s="100" t="s">
        <v>1</v>
      </c>
      <c r="B1765" s="101">
        <v>90170306</v>
      </c>
      <c r="C1765" s="101">
        <v>1703</v>
      </c>
      <c r="D1765" s="101">
        <v>17</v>
      </c>
      <c r="E1765" s="101"/>
      <c r="F1765" s="101" t="s">
        <v>116</v>
      </c>
      <c r="G1765" s="101">
        <v>261</v>
      </c>
      <c r="H1765" s="101" t="s">
        <v>4051</v>
      </c>
      <c r="I1765" s="101">
        <v>0</v>
      </c>
      <c r="J1765" s="100">
        <v>0</v>
      </c>
      <c r="K1765" s="100">
        <v>0</v>
      </c>
      <c r="L1765" s="100" t="s">
        <v>115</v>
      </c>
      <c r="M1765" s="102"/>
      <c r="N1765" s="100"/>
      <c r="O1765" s="100" t="s">
        <v>115</v>
      </c>
      <c r="P1765" s="101"/>
      <c r="Q1765" s="100">
        <v>162</v>
      </c>
      <c r="R1765" s="100">
        <v>263</v>
      </c>
      <c r="S1765" s="100"/>
      <c r="T1765" s="100"/>
      <c r="U1765" s="100"/>
      <c r="V1765" s="100"/>
      <c r="W1765" s="100"/>
      <c r="X1765" s="100">
        <v>90170307</v>
      </c>
      <c r="Y1765" s="100" t="s">
        <v>115</v>
      </c>
      <c r="Z1765" s="100" t="s">
        <v>115</v>
      </c>
      <c r="AA1765" s="100" t="s">
        <v>115</v>
      </c>
      <c r="AB1765" s="100" t="s">
        <v>115</v>
      </c>
      <c r="AC1765" s="100" t="s">
        <v>115</v>
      </c>
      <c r="AD1765" s="100"/>
      <c r="AE1765" s="100"/>
      <c r="AF1765" s="100"/>
      <c r="AG1765" s="100"/>
      <c r="AH1765" s="100"/>
      <c r="AI1765" s="100" t="s">
        <v>115</v>
      </c>
      <c r="AJ1765" s="100"/>
      <c r="AK1765" s="100"/>
      <c r="AL1765" s="100"/>
      <c r="AM1765" s="100"/>
      <c r="AN1765" s="100"/>
      <c r="AO1765" s="100"/>
      <c r="AP1765" s="89" t="s">
        <v>115</v>
      </c>
    </row>
    <row r="1766" spans="1:42" s="89" customFormat="1" x14ac:dyDescent="0.15">
      <c r="A1766" s="100" t="s">
        <v>1</v>
      </c>
      <c r="B1766" s="101">
        <v>90170307</v>
      </c>
      <c r="C1766" s="101">
        <v>1703</v>
      </c>
      <c r="D1766" s="101">
        <v>17</v>
      </c>
      <c r="E1766" s="101"/>
      <c r="F1766" s="101" t="s">
        <v>271</v>
      </c>
      <c r="G1766" s="101" t="s">
        <v>115</v>
      </c>
      <c r="H1766" s="101" t="s">
        <v>4052</v>
      </c>
      <c r="I1766" s="101">
        <v>3</v>
      </c>
      <c r="J1766" s="100">
        <v>0</v>
      </c>
      <c r="K1766" s="100">
        <v>0</v>
      </c>
      <c r="L1766" s="100" t="s">
        <v>115</v>
      </c>
      <c r="M1766" s="102"/>
      <c r="N1766" s="100"/>
      <c r="O1766" s="100" t="s">
        <v>115</v>
      </c>
      <c r="P1766" s="101"/>
      <c r="Q1766" s="100">
        <v>162</v>
      </c>
      <c r="R1766" s="100">
        <v>263</v>
      </c>
      <c r="S1766" s="100"/>
      <c r="T1766" s="100"/>
      <c r="U1766" s="100"/>
      <c r="V1766" s="100"/>
      <c r="W1766" s="100"/>
      <c r="X1766" s="100">
        <v>90170308</v>
      </c>
      <c r="Y1766" s="100" t="s">
        <v>115</v>
      </c>
      <c r="Z1766" s="100" t="s">
        <v>115</v>
      </c>
      <c r="AA1766" s="100" t="s">
        <v>115</v>
      </c>
      <c r="AB1766" s="100" t="s">
        <v>115</v>
      </c>
      <c r="AC1766" s="100" t="s">
        <v>115</v>
      </c>
      <c r="AD1766" s="100"/>
      <c r="AE1766" s="100"/>
      <c r="AF1766" s="100"/>
      <c r="AG1766" s="100"/>
      <c r="AH1766" s="100"/>
      <c r="AI1766" s="100" t="s">
        <v>115</v>
      </c>
      <c r="AJ1766" s="100"/>
      <c r="AK1766" s="100"/>
      <c r="AL1766" s="100"/>
      <c r="AM1766" s="100"/>
      <c r="AN1766" s="100"/>
      <c r="AO1766" s="100"/>
      <c r="AP1766" s="89" t="s">
        <v>115</v>
      </c>
    </row>
    <row r="1767" spans="1:42" s="89" customFormat="1" x14ac:dyDescent="0.15">
      <c r="A1767" s="100" t="s">
        <v>1</v>
      </c>
      <c r="B1767" s="101">
        <v>90170308</v>
      </c>
      <c r="C1767" s="101">
        <v>1703</v>
      </c>
      <c r="D1767" s="101">
        <v>17</v>
      </c>
      <c r="E1767" s="101"/>
      <c r="F1767" s="101" t="s">
        <v>271</v>
      </c>
      <c r="G1767" s="101" t="s">
        <v>115</v>
      </c>
      <c r="H1767" s="101" t="s">
        <v>4053</v>
      </c>
      <c r="I1767" s="101">
        <v>3</v>
      </c>
      <c r="J1767" s="100">
        <v>0</v>
      </c>
      <c r="K1767" s="100">
        <v>0</v>
      </c>
      <c r="L1767" s="100" t="s">
        <v>115</v>
      </c>
      <c r="M1767" s="102"/>
      <c r="N1767" s="100"/>
      <c r="O1767" s="100" t="s">
        <v>115</v>
      </c>
      <c r="P1767" s="101"/>
      <c r="Q1767" s="100">
        <v>162</v>
      </c>
      <c r="R1767" s="100">
        <v>263</v>
      </c>
      <c r="S1767" s="100"/>
      <c r="T1767" s="100"/>
      <c r="U1767" s="100"/>
      <c r="V1767" s="100"/>
      <c r="W1767" s="100"/>
      <c r="X1767" s="100">
        <v>90170309</v>
      </c>
      <c r="Y1767" s="100" t="s">
        <v>115</v>
      </c>
      <c r="Z1767" s="100" t="s">
        <v>115</v>
      </c>
      <c r="AA1767" s="100" t="s">
        <v>115</v>
      </c>
      <c r="AB1767" s="100" t="s">
        <v>115</v>
      </c>
      <c r="AC1767" s="100" t="s">
        <v>115</v>
      </c>
      <c r="AD1767" s="100"/>
      <c r="AE1767" s="100"/>
      <c r="AF1767" s="100"/>
      <c r="AG1767" s="100"/>
      <c r="AH1767" s="100"/>
      <c r="AI1767" s="100" t="s">
        <v>115</v>
      </c>
      <c r="AJ1767" s="100"/>
      <c r="AK1767" s="100"/>
      <c r="AL1767" s="100"/>
      <c r="AM1767" s="100"/>
      <c r="AN1767" s="100"/>
      <c r="AO1767" s="100"/>
      <c r="AP1767" s="89" t="s">
        <v>115</v>
      </c>
    </row>
    <row r="1768" spans="1:42" s="89" customFormat="1" x14ac:dyDescent="0.15">
      <c r="A1768" s="100" t="s">
        <v>1</v>
      </c>
      <c r="B1768" s="101">
        <v>90170309</v>
      </c>
      <c r="C1768" s="101">
        <v>1703</v>
      </c>
      <c r="D1768" s="101">
        <v>17</v>
      </c>
      <c r="E1768" s="101"/>
      <c r="F1768" s="101" t="s">
        <v>271</v>
      </c>
      <c r="G1768" s="101" t="s">
        <v>115</v>
      </c>
      <c r="H1768" s="101" t="s">
        <v>4054</v>
      </c>
      <c r="I1768" s="101">
        <v>3</v>
      </c>
      <c r="J1768" s="100">
        <v>0</v>
      </c>
      <c r="K1768" s="100">
        <v>6</v>
      </c>
      <c r="L1768" s="100" t="s">
        <v>4055</v>
      </c>
      <c r="M1768" s="102"/>
      <c r="N1768" s="100"/>
      <c r="O1768" s="100" t="s">
        <v>115</v>
      </c>
      <c r="P1768" s="101"/>
      <c r="Q1768" s="100">
        <v>162</v>
      </c>
      <c r="R1768" s="100">
        <v>263</v>
      </c>
      <c r="S1768" s="100"/>
      <c r="T1768" s="100"/>
      <c r="U1768" s="100"/>
      <c r="V1768" s="100"/>
      <c r="W1768" s="100"/>
      <c r="X1768" s="100">
        <v>90170302</v>
      </c>
      <c r="Y1768" s="100" t="s">
        <v>115</v>
      </c>
      <c r="Z1768" s="100">
        <v>5</v>
      </c>
      <c r="AA1768" s="100" t="s">
        <v>115</v>
      </c>
      <c r="AB1768" s="100" t="s">
        <v>115</v>
      </c>
      <c r="AC1768" s="100" t="s">
        <v>115</v>
      </c>
      <c r="AD1768" s="100"/>
      <c r="AE1768" s="100"/>
      <c r="AF1768" s="100"/>
      <c r="AG1768" s="100"/>
      <c r="AH1768" s="100"/>
      <c r="AI1768" s="100" t="s">
        <v>115</v>
      </c>
      <c r="AJ1768" s="100"/>
      <c r="AK1768" s="100"/>
      <c r="AL1768" s="100"/>
      <c r="AM1768" s="100"/>
      <c r="AN1768" s="100"/>
      <c r="AO1768" s="100"/>
      <c r="AP1768" s="89" t="s">
        <v>115</v>
      </c>
    </row>
    <row r="1769" spans="1:42" s="89" customFormat="1" x14ac:dyDescent="0.15">
      <c r="A1769" s="100" t="s">
        <v>1</v>
      </c>
      <c r="B1769" s="101">
        <v>90170310</v>
      </c>
      <c r="C1769" s="101">
        <v>1703</v>
      </c>
      <c r="D1769" s="101">
        <v>17</v>
      </c>
      <c r="E1769" s="101"/>
      <c r="F1769" s="101" t="s">
        <v>271</v>
      </c>
      <c r="G1769" s="101" t="s">
        <v>115</v>
      </c>
      <c r="H1769" s="101" t="s">
        <v>4056</v>
      </c>
      <c r="I1769" s="101">
        <v>3</v>
      </c>
      <c r="J1769" s="100">
        <v>0</v>
      </c>
      <c r="K1769" s="100">
        <v>0</v>
      </c>
      <c r="L1769" s="100" t="s">
        <v>115</v>
      </c>
      <c r="M1769" s="102"/>
      <c r="N1769" s="100"/>
      <c r="O1769" s="100" t="s">
        <v>115</v>
      </c>
      <c r="P1769" s="101"/>
      <c r="Q1769" s="100">
        <v>162</v>
      </c>
      <c r="R1769" s="100">
        <v>263</v>
      </c>
      <c r="S1769" s="100"/>
      <c r="T1769" s="100"/>
      <c r="U1769" s="100"/>
      <c r="V1769" s="100"/>
      <c r="W1769" s="100"/>
      <c r="X1769" s="100">
        <v>90170311</v>
      </c>
      <c r="Y1769" s="100" t="s">
        <v>115</v>
      </c>
      <c r="Z1769" s="100" t="s">
        <v>115</v>
      </c>
      <c r="AA1769" s="100" t="s">
        <v>115</v>
      </c>
      <c r="AB1769" s="100" t="s">
        <v>115</v>
      </c>
      <c r="AC1769" s="100" t="s">
        <v>115</v>
      </c>
      <c r="AD1769" s="100"/>
      <c r="AE1769" s="100"/>
      <c r="AF1769" s="100"/>
      <c r="AG1769" s="100"/>
      <c r="AH1769" s="100"/>
      <c r="AI1769" s="100" t="s">
        <v>115</v>
      </c>
      <c r="AJ1769" s="100"/>
      <c r="AK1769" s="100"/>
      <c r="AL1769" s="100"/>
      <c r="AM1769" s="100"/>
      <c r="AN1769" s="100"/>
      <c r="AO1769" s="100"/>
      <c r="AP1769" s="89" t="s">
        <v>115</v>
      </c>
    </row>
    <row r="1770" spans="1:42" s="89" customFormat="1" x14ac:dyDescent="0.15">
      <c r="A1770" s="100" t="s">
        <v>1</v>
      </c>
      <c r="B1770" s="101">
        <v>90170311</v>
      </c>
      <c r="C1770" s="101">
        <v>1703</v>
      </c>
      <c r="D1770" s="101">
        <v>17</v>
      </c>
      <c r="E1770" s="101"/>
      <c r="F1770" s="101" t="s">
        <v>271</v>
      </c>
      <c r="G1770" s="101" t="s">
        <v>115</v>
      </c>
      <c r="H1770" s="101" t="s">
        <v>4057</v>
      </c>
      <c r="I1770" s="101">
        <v>3</v>
      </c>
      <c r="J1770" s="100">
        <v>0</v>
      </c>
      <c r="K1770" s="100">
        <v>0</v>
      </c>
      <c r="L1770" s="100" t="s">
        <v>115</v>
      </c>
      <c r="M1770" s="102"/>
      <c r="N1770" s="100"/>
      <c r="O1770" s="100" t="s">
        <v>115</v>
      </c>
      <c r="P1770" s="101"/>
      <c r="Q1770" s="100">
        <v>162</v>
      </c>
      <c r="R1770" s="100">
        <v>263</v>
      </c>
      <c r="S1770" s="100"/>
      <c r="T1770" s="100"/>
      <c r="U1770" s="100"/>
      <c r="V1770" s="100"/>
      <c r="W1770" s="100"/>
      <c r="X1770" s="100">
        <v>90170312</v>
      </c>
      <c r="Y1770" s="100" t="s">
        <v>115</v>
      </c>
      <c r="Z1770" s="100" t="s">
        <v>115</v>
      </c>
      <c r="AA1770" s="100" t="s">
        <v>115</v>
      </c>
      <c r="AB1770" s="100" t="s">
        <v>115</v>
      </c>
      <c r="AC1770" s="100" t="s">
        <v>115</v>
      </c>
      <c r="AD1770" s="100"/>
      <c r="AE1770" s="100"/>
      <c r="AF1770" s="100"/>
      <c r="AG1770" s="100"/>
      <c r="AH1770" s="100"/>
      <c r="AI1770" s="100" t="s">
        <v>115</v>
      </c>
      <c r="AJ1770" s="100"/>
      <c r="AK1770" s="100"/>
      <c r="AL1770" s="100"/>
      <c r="AM1770" s="100"/>
      <c r="AN1770" s="100"/>
      <c r="AO1770" s="100"/>
      <c r="AP1770" s="89" t="s">
        <v>115</v>
      </c>
    </row>
    <row r="1771" spans="1:42" s="89" customFormat="1" x14ac:dyDescent="0.15">
      <c r="A1771" s="100" t="s">
        <v>1</v>
      </c>
      <c r="B1771" s="101">
        <v>90170312</v>
      </c>
      <c r="C1771" s="101">
        <v>1703</v>
      </c>
      <c r="D1771" s="101">
        <v>17</v>
      </c>
      <c r="E1771" s="101"/>
      <c r="F1771" s="101" t="s">
        <v>116</v>
      </c>
      <c r="G1771" s="101">
        <v>261</v>
      </c>
      <c r="H1771" s="101" t="s">
        <v>4058</v>
      </c>
      <c r="I1771" s="101">
        <v>0</v>
      </c>
      <c r="J1771" s="100">
        <v>0</v>
      </c>
      <c r="K1771" s="100">
        <v>0</v>
      </c>
      <c r="L1771" s="100" t="s">
        <v>115</v>
      </c>
      <c r="M1771" s="102"/>
      <c r="N1771" s="100"/>
      <c r="O1771" s="100" t="s">
        <v>115</v>
      </c>
      <c r="P1771" s="101"/>
      <c r="Q1771" s="100">
        <v>162</v>
      </c>
      <c r="R1771" s="100">
        <v>263</v>
      </c>
      <c r="S1771" s="100"/>
      <c r="T1771" s="100"/>
      <c r="U1771" s="100"/>
      <c r="V1771" s="100"/>
      <c r="W1771" s="100"/>
      <c r="X1771" s="100">
        <v>90170314</v>
      </c>
      <c r="Y1771" s="100" t="s">
        <v>115</v>
      </c>
      <c r="Z1771" s="100" t="s">
        <v>115</v>
      </c>
      <c r="AA1771" s="100" t="s">
        <v>115</v>
      </c>
      <c r="AB1771" s="100" t="s">
        <v>115</v>
      </c>
      <c r="AC1771" s="100" t="s">
        <v>115</v>
      </c>
      <c r="AD1771" s="100"/>
      <c r="AE1771" s="100"/>
      <c r="AF1771" s="100"/>
      <c r="AG1771" s="100"/>
      <c r="AH1771" s="100"/>
      <c r="AI1771" s="100" t="s">
        <v>115</v>
      </c>
      <c r="AJ1771" s="100"/>
      <c r="AK1771" s="100"/>
      <c r="AL1771" s="100"/>
      <c r="AM1771" s="100"/>
      <c r="AN1771" s="100"/>
      <c r="AO1771" s="100"/>
      <c r="AP1771" s="89" t="s">
        <v>115</v>
      </c>
    </row>
    <row r="1772" spans="1:42" s="89" customFormat="1" x14ac:dyDescent="0.15">
      <c r="A1772" s="100" t="s">
        <v>1</v>
      </c>
      <c r="B1772" s="101">
        <v>90170313</v>
      </c>
      <c r="C1772" s="101">
        <v>1703</v>
      </c>
      <c r="D1772" s="101">
        <v>17</v>
      </c>
      <c r="E1772" s="101"/>
      <c r="F1772" s="101" t="s">
        <v>116</v>
      </c>
      <c r="G1772" s="101">
        <v>261</v>
      </c>
      <c r="H1772" s="101" t="s">
        <v>4059</v>
      </c>
      <c r="I1772" s="101">
        <v>0</v>
      </c>
      <c r="J1772" s="100">
        <v>0</v>
      </c>
      <c r="K1772" s="100">
        <v>0</v>
      </c>
      <c r="L1772" s="100" t="s">
        <v>115</v>
      </c>
      <c r="M1772" s="102"/>
      <c r="N1772" s="100"/>
      <c r="O1772" s="100" t="s">
        <v>115</v>
      </c>
      <c r="P1772" s="101"/>
      <c r="Q1772" s="100">
        <v>162</v>
      </c>
      <c r="R1772" s="100">
        <v>263</v>
      </c>
      <c r="S1772" s="100"/>
      <c r="T1772" s="100"/>
      <c r="U1772" s="100"/>
      <c r="V1772" s="100"/>
      <c r="W1772" s="100"/>
      <c r="X1772" s="100">
        <v>90170314</v>
      </c>
      <c r="Y1772" s="100" t="s">
        <v>115</v>
      </c>
      <c r="Z1772" s="100" t="s">
        <v>115</v>
      </c>
      <c r="AA1772" s="100" t="s">
        <v>115</v>
      </c>
      <c r="AB1772" s="100" t="s">
        <v>115</v>
      </c>
      <c r="AC1772" s="100" t="s">
        <v>115</v>
      </c>
      <c r="AD1772" s="100"/>
      <c r="AE1772" s="100"/>
      <c r="AF1772" s="100"/>
      <c r="AG1772" s="100"/>
      <c r="AH1772" s="100"/>
      <c r="AI1772" s="100" t="s">
        <v>115</v>
      </c>
      <c r="AJ1772" s="100"/>
      <c r="AK1772" s="100"/>
      <c r="AL1772" s="100"/>
      <c r="AM1772" s="100"/>
      <c r="AN1772" s="100"/>
      <c r="AO1772" s="100"/>
      <c r="AP1772" s="89" t="s">
        <v>115</v>
      </c>
    </row>
    <row r="1773" spans="1:42" s="89" customFormat="1" x14ac:dyDescent="0.15">
      <c r="A1773" s="100" t="s">
        <v>1</v>
      </c>
      <c r="B1773" s="101">
        <v>90170314</v>
      </c>
      <c r="C1773" s="101">
        <v>1703</v>
      </c>
      <c r="D1773" s="101">
        <v>17</v>
      </c>
      <c r="E1773" s="101"/>
      <c r="F1773" s="101" t="s">
        <v>115</v>
      </c>
      <c r="G1773" s="101" t="s">
        <v>115</v>
      </c>
      <c r="H1773" s="101" t="s">
        <v>4060</v>
      </c>
      <c r="I1773" s="101">
        <v>4</v>
      </c>
      <c r="J1773" s="100">
        <v>0</v>
      </c>
      <c r="K1773" s="100">
        <v>0</v>
      </c>
      <c r="L1773" s="100" t="s">
        <v>115</v>
      </c>
      <c r="M1773" s="102"/>
      <c r="N1773" s="100"/>
      <c r="O1773" s="100" t="s">
        <v>115</v>
      </c>
      <c r="P1773" s="101"/>
      <c r="Q1773" s="100">
        <v>162</v>
      </c>
      <c r="R1773" s="100">
        <v>263</v>
      </c>
      <c r="S1773" s="100"/>
      <c r="T1773" s="100"/>
      <c r="U1773" s="100"/>
      <c r="V1773" s="100"/>
      <c r="W1773" s="100"/>
      <c r="X1773" s="100">
        <v>90170315</v>
      </c>
      <c r="Y1773" s="100" t="s">
        <v>115</v>
      </c>
      <c r="Z1773" s="100" t="s">
        <v>115</v>
      </c>
      <c r="AA1773" s="100" t="s">
        <v>115</v>
      </c>
      <c r="AB1773" s="100" t="s">
        <v>115</v>
      </c>
      <c r="AC1773" s="100" t="s">
        <v>115</v>
      </c>
      <c r="AD1773" s="100"/>
      <c r="AE1773" s="100"/>
      <c r="AF1773" s="100"/>
      <c r="AG1773" s="100"/>
      <c r="AH1773" s="100"/>
      <c r="AI1773" s="100" t="s">
        <v>115</v>
      </c>
      <c r="AJ1773" s="100"/>
      <c r="AK1773" s="100"/>
      <c r="AL1773" s="100"/>
      <c r="AM1773" s="100"/>
      <c r="AN1773" s="100"/>
      <c r="AO1773" s="100"/>
      <c r="AP1773" s="89" t="s">
        <v>115</v>
      </c>
    </row>
    <row r="1774" spans="1:42" s="89" customFormat="1" x14ac:dyDescent="0.15">
      <c r="A1774" s="100" t="s">
        <v>1</v>
      </c>
      <c r="B1774" s="101">
        <v>90170315</v>
      </c>
      <c r="C1774" s="101">
        <v>1703</v>
      </c>
      <c r="D1774" s="101">
        <v>17</v>
      </c>
      <c r="E1774" s="101"/>
      <c r="F1774" s="101" t="s">
        <v>271</v>
      </c>
      <c r="G1774" s="101" t="s">
        <v>115</v>
      </c>
      <c r="H1774" s="101" t="s">
        <v>4061</v>
      </c>
      <c r="I1774" s="101">
        <v>3</v>
      </c>
      <c r="J1774" s="100">
        <v>0</v>
      </c>
      <c r="K1774" s="100">
        <v>0</v>
      </c>
      <c r="L1774" s="100" t="s">
        <v>115</v>
      </c>
      <c r="M1774" s="102"/>
      <c r="N1774" s="100"/>
      <c r="O1774" s="100" t="s">
        <v>115</v>
      </c>
      <c r="P1774" s="101"/>
      <c r="Q1774" s="100">
        <v>162</v>
      </c>
      <c r="R1774" s="100">
        <v>263</v>
      </c>
      <c r="S1774" s="100"/>
      <c r="T1774" s="100"/>
      <c r="U1774" s="100"/>
      <c r="V1774" s="100"/>
      <c r="W1774" s="100"/>
      <c r="X1774" s="100">
        <v>90170316</v>
      </c>
      <c r="Y1774" s="100" t="s">
        <v>115</v>
      </c>
      <c r="Z1774" s="100" t="s">
        <v>115</v>
      </c>
      <c r="AA1774" s="100" t="s">
        <v>115</v>
      </c>
      <c r="AB1774" s="100" t="s">
        <v>115</v>
      </c>
      <c r="AC1774" s="100" t="s">
        <v>115</v>
      </c>
      <c r="AD1774" s="100"/>
      <c r="AE1774" s="100"/>
      <c r="AF1774" s="100"/>
      <c r="AG1774" s="100"/>
      <c r="AH1774" s="100"/>
      <c r="AI1774" s="100" t="s">
        <v>115</v>
      </c>
      <c r="AJ1774" s="100"/>
      <c r="AK1774" s="100"/>
      <c r="AL1774" s="100"/>
      <c r="AM1774" s="100"/>
      <c r="AN1774" s="100"/>
      <c r="AO1774" s="100"/>
      <c r="AP1774" s="89" t="s">
        <v>115</v>
      </c>
    </row>
    <row r="1775" spans="1:42" s="89" customFormat="1" x14ac:dyDescent="0.15">
      <c r="A1775" s="100" t="s">
        <v>1</v>
      </c>
      <c r="B1775" s="101">
        <v>90170316</v>
      </c>
      <c r="C1775" s="101">
        <v>1703</v>
      </c>
      <c r="D1775" s="101">
        <v>17</v>
      </c>
      <c r="E1775" s="101"/>
      <c r="F1775" s="101" t="s">
        <v>116</v>
      </c>
      <c r="G1775" s="101">
        <v>274</v>
      </c>
      <c r="H1775" s="101" t="s">
        <v>4062</v>
      </c>
      <c r="I1775" s="101">
        <v>0</v>
      </c>
      <c r="J1775" s="100">
        <v>0</v>
      </c>
      <c r="K1775" s="100">
        <v>0</v>
      </c>
      <c r="L1775" s="100" t="s">
        <v>115</v>
      </c>
      <c r="M1775" s="102"/>
      <c r="N1775" s="100"/>
      <c r="O1775" s="100" t="s">
        <v>115</v>
      </c>
      <c r="P1775" s="101"/>
      <c r="Q1775" s="100">
        <v>162</v>
      </c>
      <c r="R1775" s="100">
        <v>263</v>
      </c>
      <c r="S1775" s="100"/>
      <c r="T1775" s="100"/>
      <c r="U1775" s="100"/>
      <c r="V1775" s="100"/>
      <c r="W1775" s="100"/>
      <c r="X1775" s="100">
        <v>90170317</v>
      </c>
      <c r="Y1775" s="100" t="s">
        <v>115</v>
      </c>
      <c r="Z1775" s="100" t="s">
        <v>115</v>
      </c>
      <c r="AA1775" s="100" t="s">
        <v>115</v>
      </c>
      <c r="AB1775" s="100" t="s">
        <v>115</v>
      </c>
      <c r="AC1775" s="100" t="s">
        <v>115</v>
      </c>
      <c r="AD1775" s="100"/>
      <c r="AE1775" s="100"/>
      <c r="AF1775" s="100"/>
      <c r="AG1775" s="100"/>
      <c r="AH1775" s="100"/>
      <c r="AI1775" s="100" t="s">
        <v>115</v>
      </c>
      <c r="AJ1775" s="100"/>
      <c r="AK1775" s="100"/>
      <c r="AL1775" s="100"/>
      <c r="AM1775" s="100"/>
      <c r="AN1775" s="100"/>
      <c r="AO1775" s="100"/>
      <c r="AP1775" s="89" t="s">
        <v>115</v>
      </c>
    </row>
    <row r="1776" spans="1:42" s="89" customFormat="1" x14ac:dyDescent="0.15">
      <c r="A1776" s="100" t="s">
        <v>1</v>
      </c>
      <c r="B1776" s="101">
        <v>90170317</v>
      </c>
      <c r="C1776" s="101">
        <v>1703</v>
      </c>
      <c r="D1776" s="101">
        <v>17</v>
      </c>
      <c r="E1776" s="101"/>
      <c r="F1776" s="101" t="s">
        <v>271</v>
      </c>
      <c r="G1776" s="101" t="s">
        <v>115</v>
      </c>
      <c r="H1776" s="101" t="s">
        <v>4063</v>
      </c>
      <c r="I1776" s="101">
        <v>3</v>
      </c>
      <c r="J1776" s="100">
        <v>0</v>
      </c>
      <c r="K1776" s="100">
        <v>0</v>
      </c>
      <c r="L1776" s="100" t="s">
        <v>115</v>
      </c>
      <c r="M1776" s="102"/>
      <c r="N1776" s="100"/>
      <c r="O1776" s="100" t="s">
        <v>115</v>
      </c>
      <c r="P1776" s="101"/>
      <c r="Q1776" s="100">
        <v>162</v>
      </c>
      <c r="R1776" s="100">
        <v>263</v>
      </c>
      <c r="S1776" s="100"/>
      <c r="T1776" s="100"/>
      <c r="U1776" s="100"/>
      <c r="V1776" s="100"/>
      <c r="W1776" s="100"/>
      <c r="X1776" s="100">
        <v>90170318</v>
      </c>
      <c r="Y1776" s="100" t="s">
        <v>115</v>
      </c>
      <c r="Z1776" s="100" t="s">
        <v>115</v>
      </c>
      <c r="AA1776" s="100" t="s">
        <v>115</v>
      </c>
      <c r="AB1776" s="100" t="s">
        <v>115</v>
      </c>
      <c r="AC1776" s="100" t="s">
        <v>115</v>
      </c>
      <c r="AD1776" s="100"/>
      <c r="AE1776" s="100"/>
      <c r="AF1776" s="100"/>
      <c r="AG1776" s="100"/>
      <c r="AH1776" s="100"/>
      <c r="AI1776" s="100" t="s">
        <v>115</v>
      </c>
      <c r="AJ1776" s="100"/>
      <c r="AK1776" s="100"/>
      <c r="AL1776" s="100"/>
      <c r="AM1776" s="100"/>
      <c r="AN1776" s="100"/>
      <c r="AO1776" s="100"/>
      <c r="AP1776" s="89" t="s">
        <v>115</v>
      </c>
    </row>
    <row r="1777" spans="1:42" s="89" customFormat="1" x14ac:dyDescent="0.15">
      <c r="A1777" s="100" t="s">
        <v>1</v>
      </c>
      <c r="B1777" s="101">
        <v>90170318</v>
      </c>
      <c r="C1777" s="101">
        <v>1703</v>
      </c>
      <c r="D1777" s="101">
        <v>17</v>
      </c>
      <c r="E1777" s="101"/>
      <c r="F1777" s="101" t="s">
        <v>271</v>
      </c>
      <c r="G1777" s="101" t="s">
        <v>115</v>
      </c>
      <c r="H1777" s="101" t="s">
        <v>4064</v>
      </c>
      <c r="I1777" s="101">
        <v>3</v>
      </c>
      <c r="J1777" s="100">
        <v>0</v>
      </c>
      <c r="K1777" s="100">
        <v>0</v>
      </c>
      <c r="L1777" s="100" t="s">
        <v>115</v>
      </c>
      <c r="M1777" s="102"/>
      <c r="N1777" s="100"/>
      <c r="O1777" s="100" t="s">
        <v>115</v>
      </c>
      <c r="P1777" s="101"/>
      <c r="Q1777" s="100">
        <v>162</v>
      </c>
      <c r="R1777" s="100">
        <v>263</v>
      </c>
      <c r="S1777" s="100"/>
      <c r="T1777" s="100"/>
      <c r="U1777" s="100"/>
      <c r="V1777" s="100"/>
      <c r="W1777" s="100"/>
      <c r="X1777" s="100">
        <v>90170319</v>
      </c>
      <c r="Y1777" s="100" t="s">
        <v>115</v>
      </c>
      <c r="Z1777" s="100" t="s">
        <v>115</v>
      </c>
      <c r="AA1777" s="100" t="s">
        <v>115</v>
      </c>
      <c r="AB1777" s="100" t="s">
        <v>115</v>
      </c>
      <c r="AC1777" s="100" t="s">
        <v>115</v>
      </c>
      <c r="AD1777" s="100"/>
      <c r="AE1777" s="100"/>
      <c r="AF1777" s="100"/>
      <c r="AG1777" s="100"/>
      <c r="AH1777" s="100"/>
      <c r="AI1777" s="100" t="s">
        <v>115</v>
      </c>
      <c r="AJ1777" s="100"/>
      <c r="AK1777" s="100"/>
      <c r="AL1777" s="100"/>
      <c r="AM1777" s="100"/>
      <c r="AN1777" s="100"/>
      <c r="AO1777" s="100"/>
      <c r="AP1777" s="89" t="s">
        <v>115</v>
      </c>
    </row>
    <row r="1778" spans="1:42" s="89" customFormat="1" x14ac:dyDescent="0.15">
      <c r="A1778" s="100" t="s">
        <v>1</v>
      </c>
      <c r="B1778" s="101">
        <v>90170319</v>
      </c>
      <c r="C1778" s="101">
        <v>1703</v>
      </c>
      <c r="D1778" s="101">
        <v>17</v>
      </c>
      <c r="E1778" s="101"/>
      <c r="F1778" s="101" t="s">
        <v>116</v>
      </c>
      <c r="G1778" s="101">
        <v>275</v>
      </c>
      <c r="H1778" s="101" t="s">
        <v>4065</v>
      </c>
      <c r="I1778" s="101">
        <v>2</v>
      </c>
      <c r="J1778" s="100">
        <v>0</v>
      </c>
      <c r="K1778" s="100">
        <v>0</v>
      </c>
      <c r="L1778" s="100" t="s">
        <v>115</v>
      </c>
      <c r="M1778" s="102"/>
      <c r="N1778" s="100"/>
      <c r="O1778" s="100" t="s">
        <v>115</v>
      </c>
      <c r="P1778" s="101"/>
      <c r="Q1778" s="100">
        <v>162</v>
      </c>
      <c r="R1778" s="100">
        <v>263</v>
      </c>
      <c r="S1778" s="100"/>
      <c r="T1778" s="100"/>
      <c r="U1778" s="100"/>
      <c r="V1778" s="100"/>
      <c r="W1778" s="100"/>
      <c r="X1778" s="100">
        <v>90170320</v>
      </c>
      <c r="Y1778" s="100" t="s">
        <v>115</v>
      </c>
      <c r="Z1778" s="100" t="s">
        <v>115</v>
      </c>
      <c r="AA1778" s="100" t="s">
        <v>115</v>
      </c>
      <c r="AB1778" s="100" t="s">
        <v>115</v>
      </c>
      <c r="AC1778" s="100" t="s">
        <v>115</v>
      </c>
      <c r="AD1778" s="100"/>
      <c r="AE1778" s="100"/>
      <c r="AF1778" s="100"/>
      <c r="AG1778" s="100"/>
      <c r="AH1778" s="100"/>
      <c r="AI1778" s="100" t="s">
        <v>115</v>
      </c>
      <c r="AJ1778" s="100"/>
      <c r="AK1778" s="100"/>
      <c r="AL1778" s="100"/>
      <c r="AM1778" s="100"/>
      <c r="AN1778" s="100"/>
      <c r="AO1778" s="100"/>
      <c r="AP1778" s="89" t="s">
        <v>115</v>
      </c>
    </row>
    <row r="1779" spans="1:42" s="89" customFormat="1" x14ac:dyDescent="0.15">
      <c r="A1779" s="100" t="s">
        <v>1</v>
      </c>
      <c r="B1779" s="101">
        <v>90170320</v>
      </c>
      <c r="C1779" s="101">
        <v>1703</v>
      </c>
      <c r="D1779" s="101">
        <v>17</v>
      </c>
      <c r="E1779" s="101"/>
      <c r="F1779" s="101" t="s">
        <v>116</v>
      </c>
      <c r="G1779" s="101">
        <v>261</v>
      </c>
      <c r="H1779" s="101" t="s">
        <v>4066</v>
      </c>
      <c r="I1779" s="101">
        <v>0</v>
      </c>
      <c r="J1779" s="100">
        <v>0</v>
      </c>
      <c r="K1779" s="100">
        <v>0</v>
      </c>
      <c r="L1779" s="100" t="s">
        <v>115</v>
      </c>
      <c r="M1779" s="102"/>
      <c r="N1779" s="100"/>
      <c r="O1779" s="100" t="s">
        <v>115</v>
      </c>
      <c r="P1779" s="101"/>
      <c r="Q1779" s="100">
        <v>162</v>
      </c>
      <c r="R1779" s="100">
        <v>263</v>
      </c>
      <c r="S1779" s="100"/>
      <c r="T1779" s="100"/>
      <c r="U1779" s="100"/>
      <c r="V1779" s="100"/>
      <c r="W1779" s="100"/>
      <c r="X1779" s="100">
        <v>90170321</v>
      </c>
      <c r="Y1779" s="100" t="s">
        <v>115</v>
      </c>
      <c r="Z1779" s="100" t="s">
        <v>115</v>
      </c>
      <c r="AA1779" s="100" t="s">
        <v>115</v>
      </c>
      <c r="AB1779" s="100" t="s">
        <v>115</v>
      </c>
      <c r="AC1779" s="100" t="s">
        <v>115</v>
      </c>
      <c r="AD1779" s="100"/>
      <c r="AE1779" s="100"/>
      <c r="AF1779" s="100"/>
      <c r="AG1779" s="100"/>
      <c r="AH1779" s="100"/>
      <c r="AI1779" s="100" t="s">
        <v>115</v>
      </c>
      <c r="AJ1779" s="100"/>
      <c r="AK1779" s="100"/>
      <c r="AL1779" s="100"/>
      <c r="AM1779" s="100"/>
      <c r="AN1779" s="100"/>
      <c r="AO1779" s="100"/>
      <c r="AP1779" s="89" t="s">
        <v>115</v>
      </c>
    </row>
    <row r="1780" spans="1:42" s="89" customFormat="1" x14ac:dyDescent="0.15">
      <c r="A1780" s="100" t="s">
        <v>1</v>
      </c>
      <c r="B1780" s="101">
        <v>90170321</v>
      </c>
      <c r="C1780" s="101">
        <v>1703</v>
      </c>
      <c r="D1780" s="101">
        <v>17</v>
      </c>
      <c r="E1780" s="101"/>
      <c r="F1780" s="101" t="s">
        <v>115</v>
      </c>
      <c r="G1780" s="101" t="s">
        <v>115</v>
      </c>
      <c r="H1780" s="101" t="s">
        <v>4067</v>
      </c>
      <c r="I1780" s="101">
        <v>4</v>
      </c>
      <c r="J1780" s="100">
        <v>0</v>
      </c>
      <c r="K1780" s="100">
        <v>0</v>
      </c>
      <c r="L1780" s="100" t="s">
        <v>115</v>
      </c>
      <c r="M1780" s="102"/>
      <c r="N1780" s="100"/>
      <c r="O1780" s="100" t="s">
        <v>115</v>
      </c>
      <c r="P1780" s="101"/>
      <c r="Q1780" s="100">
        <v>162</v>
      </c>
      <c r="R1780" s="100">
        <v>263</v>
      </c>
      <c r="S1780" s="100"/>
      <c r="T1780" s="100"/>
      <c r="U1780" s="100"/>
      <c r="V1780" s="100"/>
      <c r="W1780" s="100"/>
      <c r="X1780" s="100">
        <v>90170322</v>
      </c>
      <c r="Y1780" s="100" t="s">
        <v>115</v>
      </c>
      <c r="Z1780" s="100" t="s">
        <v>115</v>
      </c>
      <c r="AA1780" s="100" t="s">
        <v>115</v>
      </c>
      <c r="AB1780" s="100" t="s">
        <v>115</v>
      </c>
      <c r="AC1780" s="100" t="s">
        <v>115</v>
      </c>
      <c r="AD1780" s="100"/>
      <c r="AE1780" s="100"/>
      <c r="AF1780" s="100"/>
      <c r="AG1780" s="100"/>
      <c r="AH1780" s="100"/>
      <c r="AI1780" s="100" t="s">
        <v>115</v>
      </c>
      <c r="AJ1780" s="100"/>
      <c r="AK1780" s="100"/>
      <c r="AL1780" s="100"/>
      <c r="AM1780" s="100"/>
      <c r="AN1780" s="100"/>
      <c r="AO1780" s="100"/>
      <c r="AP1780" s="89" t="s">
        <v>115</v>
      </c>
    </row>
    <row r="1781" spans="1:42" s="89" customFormat="1" x14ac:dyDescent="0.15">
      <c r="A1781" s="100" t="s">
        <v>1</v>
      </c>
      <c r="B1781" s="101">
        <v>90170322</v>
      </c>
      <c r="C1781" s="101">
        <v>1703</v>
      </c>
      <c r="D1781" s="101">
        <v>17</v>
      </c>
      <c r="E1781" s="101"/>
      <c r="F1781" s="101" t="s">
        <v>271</v>
      </c>
      <c r="G1781" s="101" t="s">
        <v>115</v>
      </c>
      <c r="H1781" s="101" t="s">
        <v>4068</v>
      </c>
      <c r="I1781" s="101">
        <v>3</v>
      </c>
      <c r="J1781" s="100">
        <v>0</v>
      </c>
      <c r="K1781" s="100">
        <v>0</v>
      </c>
      <c r="L1781" s="100" t="s">
        <v>115</v>
      </c>
      <c r="M1781" s="102"/>
      <c r="N1781" s="100"/>
      <c r="O1781" s="100" t="s">
        <v>115</v>
      </c>
      <c r="P1781" s="101"/>
      <c r="Q1781" s="100">
        <v>162</v>
      </c>
      <c r="R1781" s="100">
        <v>263</v>
      </c>
      <c r="S1781" s="100"/>
      <c r="T1781" s="100"/>
      <c r="U1781" s="100"/>
      <c r="V1781" s="100"/>
      <c r="W1781" s="100"/>
      <c r="X1781" s="100">
        <v>90170323</v>
      </c>
      <c r="Y1781" s="100" t="s">
        <v>115</v>
      </c>
      <c r="Z1781" s="100" t="s">
        <v>115</v>
      </c>
      <c r="AA1781" s="100" t="s">
        <v>115</v>
      </c>
      <c r="AB1781" s="100" t="s">
        <v>115</v>
      </c>
      <c r="AC1781" s="100" t="s">
        <v>115</v>
      </c>
      <c r="AD1781" s="100"/>
      <c r="AE1781" s="100"/>
      <c r="AF1781" s="100"/>
      <c r="AG1781" s="100"/>
      <c r="AH1781" s="100"/>
      <c r="AI1781" s="100" t="s">
        <v>115</v>
      </c>
      <c r="AJ1781" s="100"/>
      <c r="AK1781" s="100"/>
      <c r="AL1781" s="100"/>
      <c r="AM1781" s="100"/>
      <c r="AN1781" s="100"/>
      <c r="AO1781" s="100"/>
      <c r="AP1781" s="89" t="s">
        <v>115</v>
      </c>
    </row>
    <row r="1782" spans="1:42" s="89" customFormat="1" x14ac:dyDescent="0.15">
      <c r="A1782" s="100" t="s">
        <v>1</v>
      </c>
      <c r="B1782" s="101">
        <v>90170323</v>
      </c>
      <c r="C1782" s="101">
        <v>1703</v>
      </c>
      <c r="D1782" s="101">
        <v>17</v>
      </c>
      <c r="E1782" s="101"/>
      <c r="F1782" s="101" t="s">
        <v>271</v>
      </c>
      <c r="G1782" s="101" t="s">
        <v>115</v>
      </c>
      <c r="H1782" s="101" t="s">
        <v>4069</v>
      </c>
      <c r="I1782" s="101">
        <v>3</v>
      </c>
      <c r="J1782" s="100">
        <v>0</v>
      </c>
      <c r="K1782" s="100">
        <v>0</v>
      </c>
      <c r="L1782" s="100" t="s">
        <v>115</v>
      </c>
      <c r="M1782" s="102"/>
      <c r="N1782" s="100"/>
      <c r="O1782" s="100" t="s">
        <v>115</v>
      </c>
      <c r="P1782" s="101"/>
      <c r="Q1782" s="100">
        <v>162</v>
      </c>
      <c r="R1782" s="100">
        <v>263</v>
      </c>
      <c r="S1782" s="100"/>
      <c r="T1782" s="100"/>
      <c r="U1782" s="100"/>
      <c r="V1782" s="100"/>
      <c r="W1782" s="100"/>
      <c r="X1782" s="100">
        <v>90170324</v>
      </c>
      <c r="Y1782" s="100" t="s">
        <v>115</v>
      </c>
      <c r="Z1782" s="100" t="s">
        <v>115</v>
      </c>
      <c r="AA1782" s="100" t="s">
        <v>115</v>
      </c>
      <c r="AB1782" s="100" t="s">
        <v>115</v>
      </c>
      <c r="AC1782" s="100" t="s">
        <v>115</v>
      </c>
      <c r="AD1782" s="100"/>
      <c r="AE1782" s="100"/>
      <c r="AF1782" s="100"/>
      <c r="AG1782" s="100"/>
      <c r="AH1782" s="100"/>
      <c r="AI1782" s="100" t="s">
        <v>115</v>
      </c>
      <c r="AJ1782" s="100"/>
      <c r="AK1782" s="100"/>
      <c r="AL1782" s="100"/>
      <c r="AM1782" s="100"/>
      <c r="AN1782" s="100"/>
      <c r="AO1782" s="100"/>
      <c r="AP1782" s="89" t="s">
        <v>115</v>
      </c>
    </row>
    <row r="1783" spans="1:42" s="89" customFormat="1" x14ac:dyDescent="0.15">
      <c r="A1783" s="100" t="s">
        <v>1</v>
      </c>
      <c r="B1783" s="101">
        <v>90170324</v>
      </c>
      <c r="C1783" s="101">
        <v>1703</v>
      </c>
      <c r="D1783" s="101">
        <v>17</v>
      </c>
      <c r="E1783" s="101"/>
      <c r="F1783" s="101" t="s">
        <v>271</v>
      </c>
      <c r="G1783" s="101" t="s">
        <v>115</v>
      </c>
      <c r="H1783" s="101" t="s">
        <v>4070</v>
      </c>
      <c r="I1783" s="101">
        <v>3</v>
      </c>
      <c r="J1783" s="100">
        <v>0</v>
      </c>
      <c r="K1783" s="100">
        <v>0</v>
      </c>
      <c r="L1783" s="100" t="s">
        <v>115</v>
      </c>
      <c r="M1783" s="102"/>
      <c r="N1783" s="100"/>
      <c r="O1783" s="100" t="s">
        <v>115</v>
      </c>
      <c r="P1783" s="101"/>
      <c r="Q1783" s="100">
        <v>162</v>
      </c>
      <c r="R1783" s="100">
        <v>263</v>
      </c>
      <c r="S1783" s="100"/>
      <c r="T1783" s="100"/>
      <c r="U1783" s="100"/>
      <c r="V1783" s="100"/>
      <c r="W1783" s="100"/>
      <c r="X1783" s="100">
        <v>90170325</v>
      </c>
      <c r="Y1783" s="100" t="s">
        <v>115</v>
      </c>
      <c r="Z1783" s="100" t="s">
        <v>115</v>
      </c>
      <c r="AA1783" s="100" t="s">
        <v>115</v>
      </c>
      <c r="AB1783" s="100" t="s">
        <v>115</v>
      </c>
      <c r="AC1783" s="100" t="s">
        <v>115</v>
      </c>
      <c r="AD1783" s="100"/>
      <c r="AE1783" s="100"/>
      <c r="AF1783" s="100"/>
      <c r="AG1783" s="100"/>
      <c r="AH1783" s="100"/>
      <c r="AI1783" s="100" t="s">
        <v>115</v>
      </c>
      <c r="AJ1783" s="100"/>
      <c r="AK1783" s="100"/>
      <c r="AL1783" s="100"/>
      <c r="AM1783" s="100"/>
      <c r="AN1783" s="100"/>
      <c r="AO1783" s="100"/>
      <c r="AP1783" s="89" t="s">
        <v>115</v>
      </c>
    </row>
    <row r="1784" spans="1:42" s="89" customFormat="1" x14ac:dyDescent="0.15">
      <c r="A1784" s="100" t="s">
        <v>1</v>
      </c>
      <c r="B1784" s="101">
        <v>90170325</v>
      </c>
      <c r="C1784" s="101">
        <v>1703</v>
      </c>
      <c r="D1784" s="101">
        <v>17</v>
      </c>
      <c r="E1784" s="101"/>
      <c r="F1784" s="101" t="s">
        <v>271</v>
      </c>
      <c r="G1784" s="101" t="s">
        <v>115</v>
      </c>
      <c r="H1784" s="101" t="s">
        <v>4071</v>
      </c>
      <c r="I1784" s="101">
        <v>3</v>
      </c>
      <c r="J1784" s="100">
        <v>0</v>
      </c>
      <c r="K1784" s="100">
        <v>0</v>
      </c>
      <c r="L1784" s="100" t="s">
        <v>115</v>
      </c>
      <c r="M1784" s="102"/>
      <c r="N1784" s="100"/>
      <c r="O1784" s="100" t="s">
        <v>115</v>
      </c>
      <c r="P1784" s="101"/>
      <c r="Q1784" s="100">
        <v>162</v>
      </c>
      <c r="R1784" s="100">
        <v>263</v>
      </c>
      <c r="S1784" s="100"/>
      <c r="T1784" s="100"/>
      <c r="U1784" s="100"/>
      <c r="V1784" s="100"/>
      <c r="W1784" s="100"/>
      <c r="X1784" s="100">
        <v>90170326</v>
      </c>
      <c r="Y1784" s="100" t="s">
        <v>115</v>
      </c>
      <c r="Z1784" s="100" t="s">
        <v>115</v>
      </c>
      <c r="AA1784" s="100" t="s">
        <v>115</v>
      </c>
      <c r="AB1784" s="100" t="s">
        <v>115</v>
      </c>
      <c r="AC1784" s="100" t="s">
        <v>115</v>
      </c>
      <c r="AD1784" s="100"/>
      <c r="AE1784" s="100"/>
      <c r="AF1784" s="100"/>
      <c r="AG1784" s="100"/>
      <c r="AH1784" s="100"/>
      <c r="AI1784" s="100" t="s">
        <v>115</v>
      </c>
      <c r="AJ1784" s="100"/>
      <c r="AK1784" s="100"/>
      <c r="AL1784" s="100"/>
      <c r="AM1784" s="100"/>
      <c r="AN1784" s="100"/>
      <c r="AO1784" s="100"/>
      <c r="AP1784" s="89" t="s">
        <v>115</v>
      </c>
    </row>
    <row r="1785" spans="1:42" s="89" customFormat="1" x14ac:dyDescent="0.15">
      <c r="A1785" s="100" t="s">
        <v>1</v>
      </c>
      <c r="B1785" s="101">
        <v>90170326</v>
      </c>
      <c r="C1785" s="101">
        <v>1703</v>
      </c>
      <c r="D1785" s="101">
        <v>17</v>
      </c>
      <c r="E1785" s="101"/>
      <c r="F1785" s="101" t="s">
        <v>271</v>
      </c>
      <c r="G1785" s="101" t="s">
        <v>115</v>
      </c>
      <c r="H1785" s="101" t="s">
        <v>4072</v>
      </c>
      <c r="I1785" s="101">
        <v>3</v>
      </c>
      <c r="J1785" s="100">
        <v>0</v>
      </c>
      <c r="K1785" s="100">
        <v>0</v>
      </c>
      <c r="L1785" s="100" t="s">
        <v>115</v>
      </c>
      <c r="M1785" s="102"/>
      <c r="N1785" s="100"/>
      <c r="O1785" s="100" t="s">
        <v>115</v>
      </c>
      <c r="P1785" s="101"/>
      <c r="Q1785" s="100">
        <v>162</v>
      </c>
      <c r="R1785" s="100">
        <v>263</v>
      </c>
      <c r="S1785" s="100"/>
      <c r="T1785" s="100"/>
      <c r="U1785" s="100"/>
      <c r="V1785" s="100"/>
      <c r="W1785" s="100"/>
      <c r="X1785" s="100">
        <v>90170327</v>
      </c>
      <c r="Y1785" s="100" t="s">
        <v>115</v>
      </c>
      <c r="Z1785" s="100" t="s">
        <v>115</v>
      </c>
      <c r="AA1785" s="100" t="s">
        <v>115</v>
      </c>
      <c r="AB1785" s="100" t="s">
        <v>115</v>
      </c>
      <c r="AC1785" s="100" t="s">
        <v>115</v>
      </c>
      <c r="AD1785" s="100"/>
      <c r="AE1785" s="100"/>
      <c r="AF1785" s="100"/>
      <c r="AG1785" s="100"/>
      <c r="AH1785" s="100"/>
      <c r="AI1785" s="100" t="s">
        <v>115</v>
      </c>
      <c r="AJ1785" s="100"/>
      <c r="AK1785" s="100"/>
      <c r="AL1785" s="100"/>
      <c r="AM1785" s="100"/>
      <c r="AN1785" s="100"/>
      <c r="AO1785" s="100"/>
      <c r="AP1785" s="89" t="s">
        <v>115</v>
      </c>
    </row>
    <row r="1786" spans="1:42" s="89" customFormat="1" x14ac:dyDescent="0.15">
      <c r="A1786" s="100" t="s">
        <v>1</v>
      </c>
      <c r="B1786" s="101">
        <v>90170327</v>
      </c>
      <c r="C1786" s="101">
        <v>1703</v>
      </c>
      <c r="D1786" s="101">
        <v>17</v>
      </c>
      <c r="E1786" s="101"/>
      <c r="F1786" s="101" t="s">
        <v>271</v>
      </c>
      <c r="G1786" s="101" t="s">
        <v>115</v>
      </c>
      <c r="H1786" s="101" t="s">
        <v>4073</v>
      </c>
      <c r="I1786" s="101">
        <v>3</v>
      </c>
      <c r="J1786" s="100">
        <v>0</v>
      </c>
      <c r="K1786" s="100">
        <v>0</v>
      </c>
      <c r="L1786" s="100" t="s">
        <v>115</v>
      </c>
      <c r="M1786" s="102"/>
      <c r="N1786" s="100"/>
      <c r="O1786" s="100" t="s">
        <v>115</v>
      </c>
      <c r="P1786" s="101"/>
      <c r="Q1786" s="100">
        <v>162</v>
      </c>
      <c r="R1786" s="100">
        <v>263</v>
      </c>
      <c r="S1786" s="100"/>
      <c r="T1786" s="100"/>
      <c r="U1786" s="100"/>
      <c r="V1786" s="100"/>
      <c r="W1786" s="100"/>
      <c r="X1786" s="100">
        <v>90170328</v>
      </c>
      <c r="Y1786" s="100" t="s">
        <v>115</v>
      </c>
      <c r="Z1786" s="100" t="s">
        <v>115</v>
      </c>
      <c r="AA1786" s="100" t="s">
        <v>115</v>
      </c>
      <c r="AB1786" s="100" t="s">
        <v>115</v>
      </c>
      <c r="AC1786" s="100" t="s">
        <v>115</v>
      </c>
      <c r="AD1786" s="100"/>
      <c r="AE1786" s="100"/>
      <c r="AF1786" s="100"/>
      <c r="AG1786" s="100"/>
      <c r="AH1786" s="100"/>
      <c r="AI1786" s="100" t="s">
        <v>115</v>
      </c>
      <c r="AJ1786" s="100"/>
      <c r="AK1786" s="100"/>
      <c r="AL1786" s="100"/>
      <c r="AM1786" s="100"/>
      <c r="AN1786" s="100"/>
      <c r="AO1786" s="100"/>
      <c r="AP1786" s="89" t="s">
        <v>115</v>
      </c>
    </row>
    <row r="1787" spans="1:42" s="89" customFormat="1" x14ac:dyDescent="0.15">
      <c r="A1787" s="100" t="s">
        <v>1</v>
      </c>
      <c r="B1787" s="101">
        <v>90170328</v>
      </c>
      <c r="C1787" s="101">
        <v>1703</v>
      </c>
      <c r="D1787" s="101">
        <v>17</v>
      </c>
      <c r="E1787" s="101"/>
      <c r="F1787" s="101" t="s">
        <v>271</v>
      </c>
      <c r="G1787" s="101" t="s">
        <v>115</v>
      </c>
      <c r="H1787" s="101" t="s">
        <v>4074</v>
      </c>
      <c r="I1787" s="101">
        <v>3</v>
      </c>
      <c r="J1787" s="100">
        <v>0</v>
      </c>
      <c r="K1787" s="100">
        <v>0</v>
      </c>
      <c r="L1787" s="100" t="s">
        <v>115</v>
      </c>
      <c r="M1787" s="102"/>
      <c r="N1787" s="100"/>
      <c r="O1787" s="100" t="s">
        <v>115</v>
      </c>
      <c r="P1787" s="101"/>
      <c r="Q1787" s="100">
        <v>162</v>
      </c>
      <c r="R1787" s="100">
        <v>263</v>
      </c>
      <c r="S1787" s="100"/>
      <c r="T1787" s="100"/>
      <c r="U1787" s="100"/>
      <c r="V1787" s="100"/>
      <c r="W1787" s="100"/>
      <c r="X1787" s="100">
        <v>90170329</v>
      </c>
      <c r="Y1787" s="100" t="s">
        <v>115</v>
      </c>
      <c r="Z1787" s="100" t="s">
        <v>115</v>
      </c>
      <c r="AA1787" s="100" t="s">
        <v>115</v>
      </c>
      <c r="AB1787" s="100" t="s">
        <v>115</v>
      </c>
      <c r="AC1787" s="100" t="s">
        <v>115</v>
      </c>
      <c r="AD1787" s="100"/>
      <c r="AE1787" s="100"/>
      <c r="AF1787" s="100"/>
      <c r="AG1787" s="100"/>
      <c r="AH1787" s="100"/>
      <c r="AI1787" s="100" t="s">
        <v>115</v>
      </c>
      <c r="AJ1787" s="100"/>
      <c r="AK1787" s="100"/>
      <c r="AL1787" s="100"/>
      <c r="AM1787" s="100"/>
      <c r="AN1787" s="100"/>
      <c r="AO1787" s="100"/>
      <c r="AP1787" s="89" t="s">
        <v>115</v>
      </c>
    </row>
    <row r="1788" spans="1:42" s="89" customFormat="1" x14ac:dyDescent="0.15">
      <c r="A1788" s="100" t="s">
        <v>1</v>
      </c>
      <c r="B1788" s="101">
        <v>90170329</v>
      </c>
      <c r="C1788" s="101">
        <v>1703</v>
      </c>
      <c r="D1788" s="101">
        <v>17</v>
      </c>
      <c r="E1788" s="101"/>
      <c r="F1788" s="101" t="s">
        <v>116</v>
      </c>
      <c r="G1788" s="101">
        <v>261</v>
      </c>
      <c r="H1788" s="101" t="s">
        <v>4075</v>
      </c>
      <c r="I1788" s="101">
        <v>0</v>
      </c>
      <c r="J1788" s="100">
        <v>0</v>
      </c>
      <c r="K1788" s="100">
        <v>0</v>
      </c>
      <c r="L1788" s="100" t="s">
        <v>115</v>
      </c>
      <c r="M1788" s="102"/>
      <c r="N1788" s="100"/>
      <c r="O1788" s="100" t="s">
        <v>115</v>
      </c>
      <c r="P1788" s="101"/>
      <c r="Q1788" s="100">
        <v>162</v>
      </c>
      <c r="R1788" s="100">
        <v>263</v>
      </c>
      <c r="S1788" s="100"/>
      <c r="T1788" s="100"/>
      <c r="U1788" s="100"/>
      <c r="V1788" s="100"/>
      <c r="W1788" s="100"/>
      <c r="X1788" s="100">
        <v>90170330</v>
      </c>
      <c r="Y1788" s="100" t="s">
        <v>115</v>
      </c>
      <c r="Z1788" s="100" t="s">
        <v>115</v>
      </c>
      <c r="AA1788" s="100" t="s">
        <v>115</v>
      </c>
      <c r="AB1788" s="100" t="s">
        <v>115</v>
      </c>
      <c r="AC1788" s="100" t="s">
        <v>115</v>
      </c>
      <c r="AD1788" s="100"/>
      <c r="AE1788" s="100"/>
      <c r="AF1788" s="100"/>
      <c r="AG1788" s="100"/>
      <c r="AH1788" s="100"/>
      <c r="AI1788" s="100" t="s">
        <v>115</v>
      </c>
      <c r="AJ1788" s="100"/>
      <c r="AK1788" s="100"/>
      <c r="AL1788" s="100"/>
      <c r="AM1788" s="100"/>
      <c r="AN1788" s="100"/>
      <c r="AO1788" s="100"/>
      <c r="AP1788" s="89" t="s">
        <v>115</v>
      </c>
    </row>
    <row r="1789" spans="1:42" s="89" customFormat="1" x14ac:dyDescent="0.15">
      <c r="A1789" s="100" t="s">
        <v>1</v>
      </c>
      <c r="B1789" s="101">
        <v>90170330</v>
      </c>
      <c r="C1789" s="101">
        <v>1703</v>
      </c>
      <c r="D1789" s="101">
        <v>17</v>
      </c>
      <c r="E1789" s="101"/>
      <c r="F1789" s="101" t="s">
        <v>271</v>
      </c>
      <c r="G1789" s="101" t="s">
        <v>115</v>
      </c>
      <c r="H1789" s="101" t="s">
        <v>4076</v>
      </c>
      <c r="I1789" s="101">
        <v>3</v>
      </c>
      <c r="J1789" s="100">
        <v>0</v>
      </c>
      <c r="K1789" s="100">
        <v>0</v>
      </c>
      <c r="L1789" s="100" t="s">
        <v>115</v>
      </c>
      <c r="M1789" s="102"/>
      <c r="N1789" s="100"/>
      <c r="O1789" s="100" t="s">
        <v>115</v>
      </c>
      <c r="P1789" s="101"/>
      <c r="Q1789" s="100">
        <v>162</v>
      </c>
      <c r="R1789" s="100">
        <v>263</v>
      </c>
      <c r="S1789" s="100"/>
      <c r="T1789" s="100"/>
      <c r="U1789" s="100"/>
      <c r="V1789" s="100"/>
      <c r="W1789" s="100"/>
      <c r="X1789" s="100">
        <v>90170331</v>
      </c>
      <c r="Y1789" s="100" t="s">
        <v>115</v>
      </c>
      <c r="Z1789" s="100" t="s">
        <v>115</v>
      </c>
      <c r="AA1789" s="100" t="s">
        <v>115</v>
      </c>
      <c r="AB1789" s="100" t="s">
        <v>115</v>
      </c>
      <c r="AC1789" s="100" t="s">
        <v>115</v>
      </c>
      <c r="AD1789" s="100"/>
      <c r="AE1789" s="100"/>
      <c r="AF1789" s="100"/>
      <c r="AG1789" s="100"/>
      <c r="AH1789" s="100"/>
      <c r="AI1789" s="100" t="s">
        <v>115</v>
      </c>
      <c r="AJ1789" s="100"/>
      <c r="AK1789" s="100"/>
      <c r="AL1789" s="100"/>
      <c r="AM1789" s="100"/>
      <c r="AN1789" s="100"/>
      <c r="AO1789" s="100"/>
      <c r="AP1789" s="89" t="s">
        <v>115</v>
      </c>
    </row>
    <row r="1790" spans="1:42" s="89" customFormat="1" x14ac:dyDescent="0.15">
      <c r="A1790" s="100" t="s">
        <v>1</v>
      </c>
      <c r="B1790" s="101">
        <v>90170331</v>
      </c>
      <c r="C1790" s="101">
        <v>1703</v>
      </c>
      <c r="D1790" s="101">
        <v>17</v>
      </c>
      <c r="E1790" s="101"/>
      <c r="F1790" s="101" t="s">
        <v>116</v>
      </c>
      <c r="G1790" s="101">
        <v>261</v>
      </c>
      <c r="H1790" s="101" t="s">
        <v>958</v>
      </c>
      <c r="I1790" s="101">
        <v>0</v>
      </c>
      <c r="J1790" s="100">
        <v>0</v>
      </c>
      <c r="K1790" s="100">
        <v>0</v>
      </c>
      <c r="L1790" s="100" t="s">
        <v>115</v>
      </c>
      <c r="M1790" s="102"/>
      <c r="N1790" s="100"/>
      <c r="O1790" s="100" t="s">
        <v>115</v>
      </c>
      <c r="P1790" s="101"/>
      <c r="Q1790" s="100">
        <v>162</v>
      </c>
      <c r="R1790" s="100">
        <v>263</v>
      </c>
      <c r="S1790" s="100"/>
      <c r="T1790" s="100"/>
      <c r="U1790" s="100"/>
      <c r="V1790" s="100"/>
      <c r="W1790" s="100"/>
      <c r="X1790" s="100">
        <v>90170332</v>
      </c>
      <c r="Y1790" s="100" t="s">
        <v>115</v>
      </c>
      <c r="Z1790" s="100" t="s">
        <v>115</v>
      </c>
      <c r="AA1790" s="100" t="s">
        <v>115</v>
      </c>
      <c r="AB1790" s="100" t="s">
        <v>115</v>
      </c>
      <c r="AC1790" s="100" t="s">
        <v>115</v>
      </c>
      <c r="AD1790" s="100"/>
      <c r="AE1790" s="100"/>
      <c r="AF1790" s="100"/>
      <c r="AG1790" s="100"/>
      <c r="AH1790" s="100"/>
      <c r="AI1790" s="100" t="s">
        <v>115</v>
      </c>
      <c r="AJ1790" s="100"/>
      <c r="AK1790" s="100"/>
      <c r="AL1790" s="100"/>
      <c r="AM1790" s="100"/>
      <c r="AN1790" s="100"/>
      <c r="AO1790" s="100"/>
      <c r="AP1790" s="89" t="s">
        <v>115</v>
      </c>
    </row>
    <row r="1791" spans="1:42" s="89" customFormat="1" x14ac:dyDescent="0.15">
      <c r="A1791" s="100" t="s">
        <v>1</v>
      </c>
      <c r="B1791" s="101">
        <v>90170332</v>
      </c>
      <c r="C1791" s="101">
        <v>1703</v>
      </c>
      <c r="D1791" s="101">
        <v>17</v>
      </c>
      <c r="E1791" s="101"/>
      <c r="F1791" s="101" t="s">
        <v>271</v>
      </c>
      <c r="G1791" s="101" t="s">
        <v>115</v>
      </c>
      <c r="H1791" s="101" t="s">
        <v>4077</v>
      </c>
      <c r="I1791" s="101">
        <v>3</v>
      </c>
      <c r="J1791" s="100">
        <v>0</v>
      </c>
      <c r="K1791" s="100">
        <v>7</v>
      </c>
      <c r="L1791" s="100" t="s">
        <v>115</v>
      </c>
      <c r="M1791" s="102"/>
      <c r="N1791" s="100"/>
      <c r="O1791" s="100">
        <v>1</v>
      </c>
      <c r="P1791" s="101"/>
      <c r="Q1791" s="100">
        <v>162</v>
      </c>
      <c r="R1791" s="100">
        <v>263</v>
      </c>
      <c r="S1791" s="100"/>
      <c r="T1791" s="100"/>
      <c r="U1791" s="100"/>
      <c r="V1791" s="100"/>
      <c r="W1791" s="100"/>
      <c r="X1791" s="100" t="s">
        <v>115</v>
      </c>
      <c r="Y1791" s="100" t="s">
        <v>115</v>
      </c>
      <c r="Z1791" s="100">
        <v>6</v>
      </c>
      <c r="AA1791" s="100" t="s">
        <v>115</v>
      </c>
      <c r="AB1791" s="100" t="s">
        <v>115</v>
      </c>
      <c r="AC1791" s="100" t="s">
        <v>115</v>
      </c>
      <c r="AD1791" s="100"/>
      <c r="AE1791" s="100"/>
      <c r="AF1791" s="100"/>
      <c r="AG1791" s="100"/>
      <c r="AH1791" s="100"/>
      <c r="AI1791" s="100" t="s">
        <v>115</v>
      </c>
      <c r="AJ1791" s="100"/>
      <c r="AK1791" s="100"/>
      <c r="AL1791" s="100"/>
      <c r="AM1791" s="100"/>
      <c r="AN1791" s="100"/>
      <c r="AO1791" s="100"/>
      <c r="AP1791" s="89" t="s">
        <v>4078</v>
      </c>
    </row>
    <row r="1792" spans="1:42" s="89" customFormat="1" x14ac:dyDescent="0.15">
      <c r="A1792" s="100" t="s">
        <v>1</v>
      </c>
      <c r="B1792" s="101" t="s">
        <v>3948</v>
      </c>
      <c r="C1792" s="101">
        <v>1704</v>
      </c>
      <c r="D1792" s="101">
        <v>17</v>
      </c>
      <c r="E1792" s="101"/>
      <c r="F1792" s="101" t="s">
        <v>115</v>
      </c>
      <c r="G1792" s="101" t="s">
        <v>115</v>
      </c>
      <c r="H1792" s="101" t="s">
        <v>4079</v>
      </c>
      <c r="I1792" s="101">
        <v>4</v>
      </c>
      <c r="J1792" s="100">
        <v>1</v>
      </c>
      <c r="K1792" s="100">
        <v>1</v>
      </c>
      <c r="L1792" s="100" t="s">
        <v>115</v>
      </c>
      <c r="M1792" s="102"/>
      <c r="N1792" s="100"/>
      <c r="O1792" s="100" t="s">
        <v>115</v>
      </c>
      <c r="P1792" s="101"/>
      <c r="Q1792" s="100">
        <v>163</v>
      </c>
      <c r="R1792" s="100">
        <v>269</v>
      </c>
      <c r="S1792" s="100"/>
      <c r="T1792" s="100"/>
      <c r="U1792" s="100"/>
      <c r="V1792" s="100"/>
      <c r="W1792" s="100"/>
      <c r="X1792" s="100">
        <v>90170402</v>
      </c>
      <c r="Y1792" s="100" t="s">
        <v>115</v>
      </c>
      <c r="Z1792" s="100" t="s">
        <v>115</v>
      </c>
      <c r="AA1792" s="100" t="s">
        <v>115</v>
      </c>
      <c r="AB1792" s="100" t="s">
        <v>115</v>
      </c>
      <c r="AC1792" s="100" t="s">
        <v>115</v>
      </c>
      <c r="AD1792" s="100"/>
      <c r="AE1792" s="100"/>
      <c r="AF1792" s="100"/>
      <c r="AG1792" s="100"/>
      <c r="AH1792" s="100"/>
      <c r="AI1792" s="100" t="s">
        <v>115</v>
      </c>
      <c r="AJ1792" s="100"/>
      <c r="AK1792" s="100"/>
      <c r="AL1792" s="100"/>
      <c r="AM1792" s="100"/>
      <c r="AN1792" s="100"/>
      <c r="AO1792" s="100"/>
      <c r="AP1792" s="89" t="s">
        <v>115</v>
      </c>
    </row>
    <row r="1793" spans="1:42" s="89" customFormat="1" x14ac:dyDescent="0.15">
      <c r="A1793" s="100" t="s">
        <v>1</v>
      </c>
      <c r="B1793" s="101">
        <v>90170402</v>
      </c>
      <c r="C1793" s="101">
        <v>1704</v>
      </c>
      <c r="D1793" s="101">
        <v>17</v>
      </c>
      <c r="E1793" s="101"/>
      <c r="F1793" s="101" t="s">
        <v>256</v>
      </c>
      <c r="G1793" s="101" t="s">
        <v>115</v>
      </c>
      <c r="H1793" s="101" t="s">
        <v>4080</v>
      </c>
      <c r="I1793" s="101">
        <v>3</v>
      </c>
      <c r="J1793" s="100">
        <v>0</v>
      </c>
      <c r="K1793" s="100">
        <v>0</v>
      </c>
      <c r="L1793" s="100" t="s">
        <v>115</v>
      </c>
      <c r="M1793" s="102"/>
      <c r="N1793" s="100"/>
      <c r="O1793" s="100" t="s">
        <v>115</v>
      </c>
      <c r="P1793" s="101"/>
      <c r="Q1793" s="100">
        <v>163</v>
      </c>
      <c r="R1793" s="100">
        <v>269</v>
      </c>
      <c r="S1793" s="100"/>
      <c r="T1793" s="100"/>
      <c r="U1793" s="100"/>
      <c r="V1793" s="100"/>
      <c r="W1793" s="100"/>
      <c r="X1793" s="100">
        <v>90170403</v>
      </c>
      <c r="Y1793" s="100" t="s">
        <v>115</v>
      </c>
      <c r="Z1793" s="100" t="s">
        <v>115</v>
      </c>
      <c r="AA1793" s="100" t="s">
        <v>115</v>
      </c>
      <c r="AB1793" s="100" t="s">
        <v>115</v>
      </c>
      <c r="AC1793" s="100" t="s">
        <v>115</v>
      </c>
      <c r="AD1793" s="100"/>
      <c r="AE1793" s="100"/>
      <c r="AF1793" s="100"/>
      <c r="AG1793" s="100"/>
      <c r="AH1793" s="100"/>
      <c r="AI1793" s="100" t="s">
        <v>115</v>
      </c>
      <c r="AJ1793" s="100"/>
      <c r="AK1793" s="100"/>
      <c r="AL1793" s="100"/>
      <c r="AM1793" s="100"/>
      <c r="AN1793" s="100"/>
      <c r="AO1793" s="100"/>
      <c r="AP1793" s="89" t="s">
        <v>115</v>
      </c>
    </row>
    <row r="1794" spans="1:42" s="89" customFormat="1" x14ac:dyDescent="0.15">
      <c r="A1794" s="100" t="s">
        <v>1</v>
      </c>
      <c r="B1794" s="101">
        <v>90170403</v>
      </c>
      <c r="C1794" s="101">
        <v>1704</v>
      </c>
      <c r="D1794" s="101">
        <v>17</v>
      </c>
      <c r="E1794" s="101"/>
      <c r="F1794" s="101" t="s">
        <v>115</v>
      </c>
      <c r="G1794" s="101" t="s">
        <v>115</v>
      </c>
      <c r="H1794" s="101" t="s">
        <v>4081</v>
      </c>
      <c r="I1794" s="101">
        <v>4</v>
      </c>
      <c r="J1794" s="100">
        <v>0</v>
      </c>
      <c r="K1794" s="100">
        <v>2</v>
      </c>
      <c r="L1794" s="100" t="s">
        <v>115</v>
      </c>
      <c r="M1794" s="102"/>
      <c r="N1794" s="100"/>
      <c r="O1794" s="100" t="s">
        <v>115</v>
      </c>
      <c r="P1794" s="101"/>
      <c r="Q1794" s="100">
        <v>163</v>
      </c>
      <c r="R1794" s="100">
        <v>269</v>
      </c>
      <c r="S1794" s="100"/>
      <c r="T1794" s="100"/>
      <c r="U1794" s="100"/>
      <c r="V1794" s="100"/>
      <c r="W1794" s="100"/>
      <c r="X1794" s="100" t="s">
        <v>4082</v>
      </c>
      <c r="Y1794" s="100">
        <v>1</v>
      </c>
      <c r="Z1794" s="100">
        <v>1</v>
      </c>
      <c r="AA1794" s="100" t="s">
        <v>115</v>
      </c>
      <c r="AB1794" s="100" t="s">
        <v>115</v>
      </c>
      <c r="AC1794" s="100" t="s">
        <v>115</v>
      </c>
      <c r="AD1794" s="100"/>
      <c r="AE1794" s="100"/>
      <c r="AF1794" s="100"/>
      <c r="AG1794" s="100"/>
      <c r="AH1794" s="100"/>
      <c r="AI1794" s="100" t="s">
        <v>115</v>
      </c>
      <c r="AJ1794" s="100"/>
      <c r="AK1794" s="100"/>
      <c r="AL1794" s="100"/>
      <c r="AM1794" s="100"/>
      <c r="AN1794" s="100"/>
      <c r="AO1794" s="100"/>
      <c r="AP1794" s="89" t="s">
        <v>115</v>
      </c>
    </row>
    <row r="1795" spans="1:42" s="89" customFormat="1" x14ac:dyDescent="0.15">
      <c r="A1795" s="100" t="s">
        <v>1</v>
      </c>
      <c r="B1795" s="101">
        <v>90170404</v>
      </c>
      <c r="C1795" s="101">
        <v>1704</v>
      </c>
      <c r="D1795" s="101">
        <v>17</v>
      </c>
      <c r="E1795" s="101"/>
      <c r="F1795" s="101" t="s">
        <v>115</v>
      </c>
      <c r="G1795" s="101" t="s">
        <v>115</v>
      </c>
      <c r="H1795" s="101" t="s">
        <v>4083</v>
      </c>
      <c r="I1795" s="101">
        <v>4</v>
      </c>
      <c r="J1795" s="100">
        <v>0</v>
      </c>
      <c r="K1795" s="100">
        <v>3</v>
      </c>
      <c r="L1795" s="100" t="s">
        <v>115</v>
      </c>
      <c r="M1795" s="102"/>
      <c r="N1795" s="100"/>
      <c r="O1795" s="100" t="s">
        <v>115</v>
      </c>
      <c r="P1795" s="101"/>
      <c r="Q1795" s="100">
        <v>163</v>
      </c>
      <c r="R1795" s="100">
        <v>269</v>
      </c>
      <c r="S1795" s="100"/>
      <c r="T1795" s="100"/>
      <c r="U1795" s="100"/>
      <c r="V1795" s="100"/>
      <c r="W1795" s="100"/>
      <c r="X1795" s="100">
        <v>90170405</v>
      </c>
      <c r="Y1795" s="100">
        <v>-1</v>
      </c>
      <c r="Z1795" s="100">
        <v>2</v>
      </c>
      <c r="AA1795" s="100" t="s">
        <v>4084</v>
      </c>
      <c r="AB1795" s="100" t="s">
        <v>115</v>
      </c>
      <c r="AC1795" s="100" t="s">
        <v>115</v>
      </c>
      <c r="AD1795" s="100"/>
      <c r="AE1795" s="100"/>
      <c r="AF1795" s="100"/>
      <c r="AG1795" s="100"/>
      <c r="AH1795" s="100"/>
      <c r="AI1795" s="100" t="s">
        <v>115</v>
      </c>
      <c r="AJ1795" s="100"/>
      <c r="AK1795" s="100"/>
      <c r="AL1795" s="100"/>
      <c r="AM1795" s="100"/>
      <c r="AN1795" s="100"/>
      <c r="AO1795" s="100"/>
      <c r="AP1795" s="89" t="s">
        <v>115</v>
      </c>
    </row>
    <row r="1796" spans="1:42" s="89" customFormat="1" x14ac:dyDescent="0.15">
      <c r="A1796" s="100" t="s">
        <v>1</v>
      </c>
      <c r="B1796" s="101">
        <v>90170405</v>
      </c>
      <c r="C1796" s="101">
        <v>1704</v>
      </c>
      <c r="D1796" s="101">
        <v>17</v>
      </c>
      <c r="E1796" s="101"/>
      <c r="F1796" s="101" t="s">
        <v>116</v>
      </c>
      <c r="G1796" s="101">
        <v>261</v>
      </c>
      <c r="H1796" s="101" t="s">
        <v>4085</v>
      </c>
      <c r="I1796" s="101">
        <v>0</v>
      </c>
      <c r="J1796" s="100">
        <v>0</v>
      </c>
      <c r="K1796" s="100">
        <v>0</v>
      </c>
      <c r="L1796" s="100" t="s">
        <v>115</v>
      </c>
      <c r="M1796" s="102"/>
      <c r="N1796" s="100"/>
      <c r="O1796" s="100" t="s">
        <v>115</v>
      </c>
      <c r="P1796" s="101"/>
      <c r="Q1796" s="100">
        <v>163</v>
      </c>
      <c r="R1796" s="100">
        <v>269</v>
      </c>
      <c r="S1796" s="100"/>
      <c r="T1796" s="100"/>
      <c r="U1796" s="100"/>
      <c r="V1796" s="100"/>
      <c r="W1796" s="100"/>
      <c r="X1796" s="100">
        <v>90170406</v>
      </c>
      <c r="Y1796" s="100" t="s">
        <v>115</v>
      </c>
      <c r="Z1796" s="100" t="s">
        <v>115</v>
      </c>
      <c r="AA1796" s="100" t="s">
        <v>115</v>
      </c>
      <c r="AB1796" s="100" t="s">
        <v>115</v>
      </c>
      <c r="AC1796" s="100" t="s">
        <v>115</v>
      </c>
      <c r="AD1796" s="100"/>
      <c r="AE1796" s="100"/>
      <c r="AF1796" s="100"/>
      <c r="AG1796" s="100"/>
      <c r="AH1796" s="100"/>
      <c r="AI1796" s="100" t="s">
        <v>115</v>
      </c>
      <c r="AJ1796" s="100"/>
      <c r="AK1796" s="100"/>
      <c r="AL1796" s="100"/>
      <c r="AM1796" s="100"/>
      <c r="AN1796" s="100"/>
      <c r="AO1796" s="100"/>
      <c r="AP1796" s="89" t="s">
        <v>115</v>
      </c>
    </row>
    <row r="1797" spans="1:42" s="89" customFormat="1" x14ac:dyDescent="0.15">
      <c r="A1797" s="100" t="s">
        <v>1</v>
      </c>
      <c r="B1797" s="101">
        <v>90170406</v>
      </c>
      <c r="C1797" s="101">
        <v>1704</v>
      </c>
      <c r="D1797" s="101">
        <v>17</v>
      </c>
      <c r="E1797" s="101"/>
      <c r="F1797" s="101" t="s">
        <v>256</v>
      </c>
      <c r="G1797" s="101" t="s">
        <v>115</v>
      </c>
      <c r="H1797" s="101" t="s">
        <v>4086</v>
      </c>
      <c r="I1797" s="101">
        <v>3</v>
      </c>
      <c r="J1797" s="100">
        <v>0</v>
      </c>
      <c r="K1797" s="100">
        <v>0</v>
      </c>
      <c r="L1797" s="100" t="s">
        <v>115</v>
      </c>
      <c r="M1797" s="102"/>
      <c r="N1797" s="100"/>
      <c r="O1797" s="100" t="s">
        <v>115</v>
      </c>
      <c r="P1797" s="101"/>
      <c r="Q1797" s="100">
        <v>163</v>
      </c>
      <c r="R1797" s="100">
        <v>269</v>
      </c>
      <c r="S1797" s="100"/>
      <c r="T1797" s="100"/>
      <c r="U1797" s="100"/>
      <c r="V1797" s="100"/>
      <c r="W1797" s="100"/>
      <c r="X1797" s="100">
        <v>90170407</v>
      </c>
      <c r="Y1797" s="100" t="s">
        <v>115</v>
      </c>
      <c r="Z1797" s="100" t="s">
        <v>115</v>
      </c>
      <c r="AA1797" s="100" t="s">
        <v>115</v>
      </c>
      <c r="AB1797" s="100" t="s">
        <v>115</v>
      </c>
      <c r="AC1797" s="100" t="s">
        <v>115</v>
      </c>
      <c r="AD1797" s="100"/>
      <c r="AE1797" s="100"/>
      <c r="AF1797" s="100"/>
      <c r="AG1797" s="100"/>
      <c r="AH1797" s="100"/>
      <c r="AI1797" s="100" t="s">
        <v>115</v>
      </c>
      <c r="AJ1797" s="100"/>
      <c r="AK1797" s="100"/>
      <c r="AL1797" s="100"/>
      <c r="AM1797" s="100"/>
      <c r="AN1797" s="100"/>
      <c r="AO1797" s="100"/>
      <c r="AP1797" s="89" t="s">
        <v>115</v>
      </c>
    </row>
    <row r="1798" spans="1:42" s="89" customFormat="1" x14ac:dyDescent="0.15">
      <c r="A1798" s="100" t="s">
        <v>1</v>
      </c>
      <c r="B1798" s="101">
        <v>90170407</v>
      </c>
      <c r="C1798" s="101">
        <v>1704</v>
      </c>
      <c r="D1798" s="101">
        <v>17</v>
      </c>
      <c r="E1798" s="101"/>
      <c r="F1798" s="101" t="s">
        <v>116</v>
      </c>
      <c r="G1798" s="101">
        <v>274</v>
      </c>
      <c r="H1798" s="101" t="s">
        <v>4087</v>
      </c>
      <c r="I1798" s="101">
        <v>0</v>
      </c>
      <c r="J1798" s="100">
        <v>0</v>
      </c>
      <c r="K1798" s="100">
        <v>0</v>
      </c>
      <c r="L1798" s="100" t="s">
        <v>115</v>
      </c>
      <c r="M1798" s="102"/>
      <c r="N1798" s="100"/>
      <c r="O1798" s="100" t="s">
        <v>115</v>
      </c>
      <c r="P1798" s="101"/>
      <c r="Q1798" s="100">
        <v>163</v>
      </c>
      <c r="R1798" s="100">
        <v>269</v>
      </c>
      <c r="S1798" s="100"/>
      <c r="T1798" s="100"/>
      <c r="U1798" s="100"/>
      <c r="V1798" s="100"/>
      <c r="W1798" s="100"/>
      <c r="X1798" s="100">
        <v>90170408</v>
      </c>
      <c r="Y1798" s="100" t="s">
        <v>115</v>
      </c>
      <c r="Z1798" s="100" t="s">
        <v>115</v>
      </c>
      <c r="AA1798" s="100" t="s">
        <v>115</v>
      </c>
      <c r="AB1798" s="100" t="s">
        <v>115</v>
      </c>
      <c r="AC1798" s="100" t="s">
        <v>115</v>
      </c>
      <c r="AD1798" s="100"/>
      <c r="AE1798" s="100"/>
      <c r="AF1798" s="100"/>
      <c r="AG1798" s="100"/>
      <c r="AH1798" s="100"/>
      <c r="AI1798" s="100" t="s">
        <v>115</v>
      </c>
      <c r="AJ1798" s="100"/>
      <c r="AK1798" s="100"/>
      <c r="AL1798" s="100"/>
      <c r="AM1798" s="100"/>
      <c r="AN1798" s="100"/>
      <c r="AO1798" s="100"/>
      <c r="AP1798" s="89" t="s">
        <v>115</v>
      </c>
    </row>
    <row r="1799" spans="1:42" s="89" customFormat="1" x14ac:dyDescent="0.15">
      <c r="A1799" s="100" t="s">
        <v>1</v>
      </c>
      <c r="B1799" s="101">
        <v>90170408</v>
      </c>
      <c r="C1799" s="101">
        <v>1704</v>
      </c>
      <c r="D1799" s="101">
        <v>17</v>
      </c>
      <c r="E1799" s="101"/>
      <c r="F1799" s="101" t="s">
        <v>256</v>
      </c>
      <c r="G1799" s="101" t="s">
        <v>115</v>
      </c>
      <c r="H1799" s="101" t="s">
        <v>4088</v>
      </c>
      <c r="I1799" s="101">
        <v>3</v>
      </c>
      <c r="J1799" s="100">
        <v>0</v>
      </c>
      <c r="K1799" s="100">
        <v>0</v>
      </c>
      <c r="L1799" s="100" t="s">
        <v>115</v>
      </c>
      <c r="M1799" s="102"/>
      <c r="N1799" s="100"/>
      <c r="O1799" s="100" t="s">
        <v>115</v>
      </c>
      <c r="P1799" s="101"/>
      <c r="Q1799" s="100">
        <v>163</v>
      </c>
      <c r="R1799" s="100">
        <v>269</v>
      </c>
      <c r="S1799" s="100"/>
      <c r="T1799" s="100"/>
      <c r="U1799" s="100"/>
      <c r="V1799" s="100"/>
      <c r="W1799" s="100"/>
      <c r="X1799" s="100">
        <v>90170409</v>
      </c>
      <c r="Y1799" s="100" t="s">
        <v>115</v>
      </c>
      <c r="Z1799" s="100" t="s">
        <v>115</v>
      </c>
      <c r="AA1799" s="100" t="s">
        <v>115</v>
      </c>
      <c r="AB1799" s="100" t="s">
        <v>115</v>
      </c>
      <c r="AC1799" s="100" t="s">
        <v>115</v>
      </c>
      <c r="AD1799" s="100"/>
      <c r="AE1799" s="100"/>
      <c r="AF1799" s="100"/>
      <c r="AG1799" s="100"/>
      <c r="AH1799" s="100"/>
      <c r="AI1799" s="100" t="s">
        <v>115</v>
      </c>
      <c r="AJ1799" s="100"/>
      <c r="AK1799" s="100"/>
      <c r="AL1799" s="100"/>
      <c r="AM1799" s="100"/>
      <c r="AN1799" s="100"/>
      <c r="AO1799" s="100"/>
      <c r="AP1799" s="89" t="s">
        <v>115</v>
      </c>
    </row>
    <row r="1800" spans="1:42" s="89" customFormat="1" x14ac:dyDescent="0.15">
      <c r="A1800" s="100" t="s">
        <v>1</v>
      </c>
      <c r="B1800" s="101">
        <v>90170409</v>
      </c>
      <c r="C1800" s="101">
        <v>1704</v>
      </c>
      <c r="D1800" s="101">
        <v>17</v>
      </c>
      <c r="E1800" s="101"/>
      <c r="F1800" s="101" t="s">
        <v>115</v>
      </c>
      <c r="G1800" s="101" t="s">
        <v>115</v>
      </c>
      <c r="H1800" s="101" t="s">
        <v>7469</v>
      </c>
      <c r="I1800" s="101">
        <v>4</v>
      </c>
      <c r="J1800" s="100">
        <v>0</v>
      </c>
      <c r="K1800" s="100">
        <v>0</v>
      </c>
      <c r="L1800" s="100" t="s">
        <v>115</v>
      </c>
      <c r="M1800" s="102"/>
      <c r="N1800" s="100"/>
      <c r="O1800" s="100" t="s">
        <v>115</v>
      </c>
      <c r="P1800" s="101"/>
      <c r="Q1800" s="100">
        <v>163</v>
      </c>
      <c r="R1800" s="100">
        <v>269</v>
      </c>
      <c r="S1800" s="100"/>
      <c r="T1800" s="100"/>
      <c r="U1800" s="100"/>
      <c r="V1800" s="100"/>
      <c r="W1800" s="100"/>
      <c r="X1800" s="100">
        <v>90170410</v>
      </c>
      <c r="Y1800" s="100" t="s">
        <v>115</v>
      </c>
      <c r="Z1800" s="100" t="s">
        <v>115</v>
      </c>
      <c r="AA1800" s="100" t="s">
        <v>115</v>
      </c>
      <c r="AB1800" s="100" t="s">
        <v>115</v>
      </c>
      <c r="AC1800" s="100" t="s">
        <v>115</v>
      </c>
      <c r="AD1800" s="100"/>
      <c r="AE1800" s="100"/>
      <c r="AF1800" s="100"/>
      <c r="AG1800" s="100"/>
      <c r="AH1800" s="100"/>
      <c r="AI1800" s="100" t="s">
        <v>115</v>
      </c>
      <c r="AJ1800" s="100"/>
      <c r="AK1800" s="100"/>
      <c r="AL1800" s="100"/>
      <c r="AM1800" s="100"/>
      <c r="AN1800" s="100"/>
      <c r="AO1800" s="100"/>
      <c r="AP1800" s="89" t="s">
        <v>115</v>
      </c>
    </row>
    <row r="1801" spans="1:42" s="89" customFormat="1" x14ac:dyDescent="0.15">
      <c r="A1801" s="100" t="s">
        <v>1</v>
      </c>
      <c r="B1801" s="101">
        <v>90170410</v>
      </c>
      <c r="C1801" s="101">
        <v>1704</v>
      </c>
      <c r="D1801" s="101">
        <v>17</v>
      </c>
      <c r="E1801" s="101"/>
      <c r="F1801" s="101" t="s">
        <v>116</v>
      </c>
      <c r="G1801" s="101">
        <v>274</v>
      </c>
      <c r="H1801" s="101" t="s">
        <v>4089</v>
      </c>
      <c r="I1801" s="101">
        <v>0</v>
      </c>
      <c r="J1801" s="100">
        <v>0</v>
      </c>
      <c r="K1801" s="100">
        <v>0</v>
      </c>
      <c r="L1801" s="100" t="s">
        <v>115</v>
      </c>
      <c r="M1801" s="102"/>
      <c r="N1801" s="100"/>
      <c r="O1801" s="100" t="s">
        <v>115</v>
      </c>
      <c r="P1801" s="101"/>
      <c r="Q1801" s="100">
        <v>163</v>
      </c>
      <c r="R1801" s="100">
        <v>269</v>
      </c>
      <c r="S1801" s="100"/>
      <c r="T1801" s="100"/>
      <c r="U1801" s="100"/>
      <c r="V1801" s="100"/>
      <c r="W1801" s="100"/>
      <c r="X1801" s="100">
        <v>90170411</v>
      </c>
      <c r="Y1801" s="100" t="s">
        <v>115</v>
      </c>
      <c r="Z1801" s="100" t="s">
        <v>115</v>
      </c>
      <c r="AA1801" s="100" t="s">
        <v>115</v>
      </c>
      <c r="AB1801" s="100" t="s">
        <v>115</v>
      </c>
      <c r="AC1801" s="100" t="s">
        <v>115</v>
      </c>
      <c r="AD1801" s="100"/>
      <c r="AE1801" s="100"/>
      <c r="AF1801" s="100"/>
      <c r="AG1801" s="100"/>
      <c r="AH1801" s="100"/>
      <c r="AI1801" s="100" t="s">
        <v>115</v>
      </c>
      <c r="AJ1801" s="100"/>
      <c r="AK1801" s="100"/>
      <c r="AL1801" s="100"/>
      <c r="AM1801" s="100"/>
      <c r="AN1801" s="100"/>
      <c r="AO1801" s="100"/>
      <c r="AP1801" s="89" t="s">
        <v>115</v>
      </c>
    </row>
    <row r="1802" spans="1:42" s="89" customFormat="1" x14ac:dyDescent="0.15">
      <c r="A1802" s="100" t="s">
        <v>1</v>
      </c>
      <c r="B1802" s="101">
        <v>90170411</v>
      </c>
      <c r="C1802" s="101">
        <v>1704</v>
      </c>
      <c r="D1802" s="101">
        <v>17</v>
      </c>
      <c r="E1802" s="101"/>
      <c r="F1802" s="101" t="s">
        <v>256</v>
      </c>
      <c r="G1802" s="101" t="s">
        <v>115</v>
      </c>
      <c r="H1802" s="101" t="s">
        <v>7464</v>
      </c>
      <c r="I1802" s="101">
        <v>3</v>
      </c>
      <c r="J1802" s="100">
        <v>0</v>
      </c>
      <c r="K1802" s="100">
        <v>0</v>
      </c>
      <c r="L1802" s="100" t="s">
        <v>115</v>
      </c>
      <c r="M1802" s="102"/>
      <c r="N1802" s="100"/>
      <c r="O1802" s="100" t="s">
        <v>115</v>
      </c>
      <c r="P1802" s="101"/>
      <c r="Q1802" s="100">
        <v>163</v>
      </c>
      <c r="R1802" s="100">
        <v>269</v>
      </c>
      <c r="S1802" s="100"/>
      <c r="T1802" s="100"/>
      <c r="U1802" s="100"/>
      <c r="V1802" s="100"/>
      <c r="W1802" s="100"/>
      <c r="X1802" s="100">
        <v>90170412</v>
      </c>
      <c r="Y1802" s="100" t="s">
        <v>115</v>
      </c>
      <c r="Z1802" s="100" t="s">
        <v>115</v>
      </c>
      <c r="AA1802" s="100" t="s">
        <v>115</v>
      </c>
      <c r="AB1802" s="100" t="s">
        <v>115</v>
      </c>
      <c r="AC1802" s="100" t="s">
        <v>115</v>
      </c>
      <c r="AD1802" s="100"/>
      <c r="AE1802" s="100"/>
      <c r="AF1802" s="100"/>
      <c r="AG1802" s="100"/>
      <c r="AH1802" s="100"/>
      <c r="AI1802" s="100" t="s">
        <v>115</v>
      </c>
      <c r="AJ1802" s="100"/>
      <c r="AK1802" s="100"/>
      <c r="AL1802" s="100"/>
      <c r="AM1802" s="100"/>
      <c r="AN1802" s="100"/>
      <c r="AO1802" s="100"/>
      <c r="AP1802" s="89" t="s">
        <v>115</v>
      </c>
    </row>
    <row r="1803" spans="1:42" s="89" customFormat="1" x14ac:dyDescent="0.15">
      <c r="A1803" s="100" t="s">
        <v>1</v>
      </c>
      <c r="B1803" s="101">
        <v>90170412</v>
      </c>
      <c r="C1803" s="101">
        <v>1704</v>
      </c>
      <c r="D1803" s="101">
        <v>17</v>
      </c>
      <c r="E1803" s="101"/>
      <c r="F1803" s="101" t="s">
        <v>116</v>
      </c>
      <c r="G1803" s="101">
        <v>258</v>
      </c>
      <c r="H1803" s="101" t="s">
        <v>4090</v>
      </c>
      <c r="I1803" s="101">
        <v>0</v>
      </c>
      <c r="J1803" s="100">
        <v>0</v>
      </c>
      <c r="K1803" s="100">
        <v>0</v>
      </c>
      <c r="L1803" s="100" t="s">
        <v>115</v>
      </c>
      <c r="M1803" s="102"/>
      <c r="N1803" s="100"/>
      <c r="O1803" s="100" t="s">
        <v>115</v>
      </c>
      <c r="P1803" s="101"/>
      <c r="Q1803" s="100">
        <v>163</v>
      </c>
      <c r="R1803" s="100">
        <v>269</v>
      </c>
      <c r="S1803" s="100"/>
      <c r="T1803" s="100"/>
      <c r="U1803" s="100"/>
      <c r="V1803" s="100"/>
      <c r="W1803" s="100"/>
      <c r="X1803" s="100">
        <v>90170413</v>
      </c>
      <c r="Y1803" s="100" t="s">
        <v>115</v>
      </c>
      <c r="Z1803" s="100" t="s">
        <v>115</v>
      </c>
      <c r="AA1803" s="100" t="s">
        <v>115</v>
      </c>
      <c r="AB1803" s="100" t="s">
        <v>115</v>
      </c>
      <c r="AC1803" s="100" t="s">
        <v>115</v>
      </c>
      <c r="AD1803" s="100"/>
      <c r="AE1803" s="100"/>
      <c r="AF1803" s="100"/>
      <c r="AG1803" s="100"/>
      <c r="AH1803" s="100"/>
      <c r="AI1803" s="100" t="s">
        <v>115</v>
      </c>
      <c r="AJ1803" s="100"/>
      <c r="AK1803" s="100"/>
      <c r="AL1803" s="100"/>
      <c r="AM1803" s="100"/>
      <c r="AN1803" s="100"/>
      <c r="AO1803" s="100"/>
      <c r="AP1803" s="89" t="s">
        <v>115</v>
      </c>
    </row>
    <row r="1804" spans="1:42" s="89" customFormat="1" x14ac:dyDescent="0.15">
      <c r="A1804" s="100" t="s">
        <v>1</v>
      </c>
      <c r="B1804" s="101">
        <v>90170413</v>
      </c>
      <c r="C1804" s="101">
        <v>1704</v>
      </c>
      <c r="D1804" s="101">
        <v>17</v>
      </c>
      <c r="E1804" s="101"/>
      <c r="F1804" s="101" t="s">
        <v>256</v>
      </c>
      <c r="G1804" s="101" t="s">
        <v>115</v>
      </c>
      <c r="H1804" s="101" t="s">
        <v>7465</v>
      </c>
      <c r="I1804" s="101">
        <v>3</v>
      </c>
      <c r="J1804" s="100">
        <v>0</v>
      </c>
      <c r="K1804" s="100">
        <v>0</v>
      </c>
      <c r="L1804" s="100" t="s">
        <v>115</v>
      </c>
      <c r="M1804" s="102"/>
      <c r="N1804" s="100"/>
      <c r="O1804" s="100" t="s">
        <v>115</v>
      </c>
      <c r="P1804" s="101"/>
      <c r="Q1804" s="100">
        <v>163</v>
      </c>
      <c r="R1804" s="100">
        <v>269</v>
      </c>
      <c r="S1804" s="100"/>
      <c r="T1804" s="100"/>
      <c r="U1804" s="100"/>
      <c r="V1804" s="100"/>
      <c r="W1804" s="100"/>
      <c r="X1804" s="100">
        <v>90170414</v>
      </c>
      <c r="Y1804" s="100" t="s">
        <v>115</v>
      </c>
      <c r="Z1804" s="100" t="s">
        <v>115</v>
      </c>
      <c r="AA1804" s="100" t="s">
        <v>115</v>
      </c>
      <c r="AB1804" s="100" t="s">
        <v>115</v>
      </c>
      <c r="AC1804" s="100" t="s">
        <v>115</v>
      </c>
      <c r="AD1804" s="100"/>
      <c r="AE1804" s="100"/>
      <c r="AF1804" s="100"/>
      <c r="AG1804" s="100"/>
      <c r="AH1804" s="100"/>
      <c r="AI1804" s="100" t="s">
        <v>115</v>
      </c>
      <c r="AJ1804" s="100"/>
      <c r="AK1804" s="100"/>
      <c r="AL1804" s="100"/>
      <c r="AM1804" s="100"/>
      <c r="AN1804" s="100"/>
      <c r="AO1804" s="100"/>
      <c r="AP1804" s="89" t="s">
        <v>115</v>
      </c>
    </row>
    <row r="1805" spans="1:42" s="89" customFormat="1" x14ac:dyDescent="0.15">
      <c r="A1805" s="100" t="s">
        <v>1</v>
      </c>
      <c r="B1805" s="101">
        <v>90170414</v>
      </c>
      <c r="C1805" s="101">
        <v>1704</v>
      </c>
      <c r="D1805" s="101">
        <v>17</v>
      </c>
      <c r="E1805" s="101"/>
      <c r="F1805" s="101" t="s">
        <v>115</v>
      </c>
      <c r="G1805" s="101" t="s">
        <v>115</v>
      </c>
      <c r="H1805" s="101" t="s">
        <v>7470</v>
      </c>
      <c r="I1805" s="101">
        <v>4</v>
      </c>
      <c r="J1805" s="100">
        <v>0</v>
      </c>
      <c r="K1805" s="100">
        <v>0</v>
      </c>
      <c r="L1805" s="100" t="s">
        <v>115</v>
      </c>
      <c r="M1805" s="102"/>
      <c r="N1805" s="100"/>
      <c r="O1805" s="100" t="s">
        <v>115</v>
      </c>
      <c r="P1805" s="101"/>
      <c r="Q1805" s="100">
        <v>163</v>
      </c>
      <c r="R1805" s="100">
        <v>269</v>
      </c>
      <c r="S1805" s="100"/>
      <c r="T1805" s="100"/>
      <c r="U1805" s="100"/>
      <c r="V1805" s="100"/>
      <c r="W1805" s="100"/>
      <c r="X1805" s="100">
        <v>90170415</v>
      </c>
      <c r="Y1805" s="100" t="s">
        <v>115</v>
      </c>
      <c r="Z1805" s="100" t="s">
        <v>115</v>
      </c>
      <c r="AA1805" s="100" t="s">
        <v>115</v>
      </c>
      <c r="AB1805" s="100" t="s">
        <v>115</v>
      </c>
      <c r="AC1805" s="100" t="s">
        <v>115</v>
      </c>
      <c r="AD1805" s="100"/>
      <c r="AE1805" s="100"/>
      <c r="AF1805" s="100"/>
      <c r="AG1805" s="100"/>
      <c r="AH1805" s="100"/>
      <c r="AI1805" s="100" t="s">
        <v>115</v>
      </c>
      <c r="AJ1805" s="100"/>
      <c r="AK1805" s="100"/>
      <c r="AL1805" s="100"/>
      <c r="AM1805" s="100"/>
      <c r="AN1805" s="100"/>
      <c r="AO1805" s="100"/>
      <c r="AP1805" s="89" t="s">
        <v>115</v>
      </c>
    </row>
    <row r="1806" spans="1:42" s="89" customFormat="1" x14ac:dyDescent="0.15">
      <c r="A1806" s="100" t="s">
        <v>1</v>
      </c>
      <c r="B1806" s="101">
        <v>90170415</v>
      </c>
      <c r="C1806" s="101">
        <v>1704</v>
      </c>
      <c r="D1806" s="101">
        <v>17</v>
      </c>
      <c r="E1806" s="101"/>
      <c r="F1806" s="101" t="s">
        <v>116</v>
      </c>
      <c r="G1806" s="101">
        <v>275</v>
      </c>
      <c r="H1806" s="101" t="s">
        <v>4091</v>
      </c>
      <c r="I1806" s="101">
        <v>0</v>
      </c>
      <c r="J1806" s="100">
        <v>0</v>
      </c>
      <c r="K1806" s="100">
        <v>0</v>
      </c>
      <c r="L1806" s="100" t="s">
        <v>115</v>
      </c>
      <c r="M1806" s="102"/>
      <c r="N1806" s="100"/>
      <c r="O1806" s="100" t="s">
        <v>115</v>
      </c>
      <c r="P1806" s="101"/>
      <c r="Q1806" s="100">
        <v>163</v>
      </c>
      <c r="R1806" s="100">
        <v>269</v>
      </c>
      <c r="S1806" s="100"/>
      <c r="T1806" s="100"/>
      <c r="U1806" s="100"/>
      <c r="V1806" s="100"/>
      <c r="W1806" s="100"/>
      <c r="X1806" s="100">
        <v>90170416</v>
      </c>
      <c r="Y1806" s="100" t="s">
        <v>115</v>
      </c>
      <c r="Z1806" s="100" t="s">
        <v>115</v>
      </c>
      <c r="AA1806" s="100" t="s">
        <v>115</v>
      </c>
      <c r="AB1806" s="100" t="s">
        <v>115</v>
      </c>
      <c r="AC1806" s="100" t="s">
        <v>115</v>
      </c>
      <c r="AD1806" s="100"/>
      <c r="AE1806" s="100"/>
      <c r="AF1806" s="100"/>
      <c r="AG1806" s="100"/>
      <c r="AH1806" s="100"/>
      <c r="AI1806" s="100" t="s">
        <v>115</v>
      </c>
      <c r="AJ1806" s="100"/>
      <c r="AK1806" s="100"/>
      <c r="AL1806" s="100"/>
      <c r="AM1806" s="100"/>
      <c r="AN1806" s="100"/>
      <c r="AO1806" s="100"/>
      <c r="AP1806" s="89" t="s">
        <v>115</v>
      </c>
    </row>
    <row r="1807" spans="1:42" s="89" customFormat="1" x14ac:dyDescent="0.15">
      <c r="A1807" s="100" t="s">
        <v>1</v>
      </c>
      <c r="B1807" s="101">
        <v>90170416</v>
      </c>
      <c r="C1807" s="101">
        <v>1704</v>
      </c>
      <c r="D1807" s="101">
        <v>17</v>
      </c>
      <c r="E1807" s="101"/>
      <c r="F1807" s="101" t="s">
        <v>256</v>
      </c>
      <c r="G1807" s="101" t="s">
        <v>115</v>
      </c>
      <c r="H1807" s="101" t="s">
        <v>4092</v>
      </c>
      <c r="I1807" s="101">
        <v>3</v>
      </c>
      <c r="J1807" s="100">
        <v>0</v>
      </c>
      <c r="K1807" s="100">
        <v>0</v>
      </c>
      <c r="L1807" s="100" t="s">
        <v>115</v>
      </c>
      <c r="M1807" s="102"/>
      <c r="N1807" s="100"/>
      <c r="O1807" s="100" t="s">
        <v>115</v>
      </c>
      <c r="P1807" s="101"/>
      <c r="Q1807" s="100">
        <v>163</v>
      </c>
      <c r="R1807" s="100">
        <v>269</v>
      </c>
      <c r="S1807" s="100"/>
      <c r="T1807" s="100"/>
      <c r="U1807" s="100"/>
      <c r="V1807" s="100"/>
      <c r="W1807" s="100"/>
      <c r="X1807" s="100">
        <v>90170417</v>
      </c>
      <c r="Y1807" s="100" t="s">
        <v>115</v>
      </c>
      <c r="Z1807" s="100" t="s">
        <v>115</v>
      </c>
      <c r="AA1807" s="100" t="s">
        <v>115</v>
      </c>
      <c r="AB1807" s="100" t="s">
        <v>115</v>
      </c>
      <c r="AC1807" s="100" t="s">
        <v>115</v>
      </c>
      <c r="AD1807" s="100"/>
      <c r="AE1807" s="100"/>
      <c r="AF1807" s="100"/>
      <c r="AG1807" s="100"/>
      <c r="AH1807" s="100"/>
      <c r="AI1807" s="100" t="s">
        <v>115</v>
      </c>
      <c r="AJ1807" s="100"/>
      <c r="AK1807" s="100"/>
      <c r="AL1807" s="100"/>
      <c r="AM1807" s="100"/>
      <c r="AN1807" s="100"/>
      <c r="AO1807" s="100"/>
      <c r="AP1807" s="89" t="s">
        <v>115</v>
      </c>
    </row>
    <row r="1808" spans="1:42" s="89" customFormat="1" x14ac:dyDescent="0.15">
      <c r="A1808" s="100" t="s">
        <v>1</v>
      </c>
      <c r="B1808" s="101">
        <v>90170417</v>
      </c>
      <c r="C1808" s="101">
        <v>1704</v>
      </c>
      <c r="D1808" s="101">
        <v>17</v>
      </c>
      <c r="E1808" s="101"/>
      <c r="F1808" s="101" t="s">
        <v>256</v>
      </c>
      <c r="G1808" s="101" t="s">
        <v>115</v>
      </c>
      <c r="H1808" s="101" t="s">
        <v>4093</v>
      </c>
      <c r="I1808" s="101">
        <v>3</v>
      </c>
      <c r="J1808" s="100">
        <v>0</v>
      </c>
      <c r="K1808" s="100">
        <v>0</v>
      </c>
      <c r="L1808" s="100" t="s">
        <v>115</v>
      </c>
      <c r="M1808" s="102"/>
      <c r="N1808" s="100"/>
      <c r="O1808" s="100" t="s">
        <v>115</v>
      </c>
      <c r="P1808" s="101"/>
      <c r="Q1808" s="100">
        <v>163</v>
      </c>
      <c r="R1808" s="100">
        <v>269</v>
      </c>
      <c r="S1808" s="100"/>
      <c r="T1808" s="100"/>
      <c r="U1808" s="100"/>
      <c r="V1808" s="100"/>
      <c r="W1808" s="100"/>
      <c r="X1808" s="100">
        <v>90170418</v>
      </c>
      <c r="Y1808" s="100" t="s">
        <v>115</v>
      </c>
      <c r="Z1808" s="100" t="s">
        <v>115</v>
      </c>
      <c r="AA1808" s="100" t="s">
        <v>115</v>
      </c>
      <c r="AB1808" s="100" t="s">
        <v>115</v>
      </c>
      <c r="AC1808" s="100" t="s">
        <v>115</v>
      </c>
      <c r="AD1808" s="100"/>
      <c r="AE1808" s="100"/>
      <c r="AF1808" s="100"/>
      <c r="AG1808" s="100"/>
      <c r="AH1808" s="100"/>
      <c r="AI1808" s="100" t="s">
        <v>115</v>
      </c>
      <c r="AJ1808" s="100"/>
      <c r="AK1808" s="100"/>
      <c r="AL1808" s="100"/>
      <c r="AM1808" s="100"/>
      <c r="AN1808" s="100"/>
      <c r="AO1808" s="100"/>
      <c r="AP1808" s="89" t="s">
        <v>115</v>
      </c>
    </row>
    <row r="1809" spans="1:42" s="89" customFormat="1" x14ac:dyDescent="0.15">
      <c r="A1809" s="100" t="s">
        <v>1</v>
      </c>
      <c r="B1809" s="101">
        <v>90170418</v>
      </c>
      <c r="C1809" s="101">
        <v>1704</v>
      </c>
      <c r="D1809" s="101">
        <v>17</v>
      </c>
      <c r="E1809" s="101"/>
      <c r="F1809" s="101" t="s">
        <v>256</v>
      </c>
      <c r="G1809" s="101" t="s">
        <v>115</v>
      </c>
      <c r="H1809" s="101" t="s">
        <v>4094</v>
      </c>
      <c r="I1809" s="101">
        <v>3</v>
      </c>
      <c r="J1809" s="100">
        <v>0</v>
      </c>
      <c r="K1809" s="100">
        <v>0</v>
      </c>
      <c r="L1809" s="100" t="s">
        <v>115</v>
      </c>
      <c r="M1809" s="102"/>
      <c r="N1809" s="100"/>
      <c r="O1809" s="100" t="s">
        <v>115</v>
      </c>
      <c r="P1809" s="101"/>
      <c r="Q1809" s="100">
        <v>163</v>
      </c>
      <c r="R1809" s="100">
        <v>269</v>
      </c>
      <c r="S1809" s="100"/>
      <c r="T1809" s="100"/>
      <c r="U1809" s="100"/>
      <c r="V1809" s="100"/>
      <c r="W1809" s="100"/>
      <c r="X1809" s="100">
        <v>90170419</v>
      </c>
      <c r="Y1809" s="100" t="s">
        <v>115</v>
      </c>
      <c r="Z1809" s="100" t="s">
        <v>115</v>
      </c>
      <c r="AA1809" s="100" t="s">
        <v>115</v>
      </c>
      <c r="AB1809" s="100" t="s">
        <v>115</v>
      </c>
      <c r="AC1809" s="100" t="s">
        <v>115</v>
      </c>
      <c r="AD1809" s="100"/>
      <c r="AE1809" s="100"/>
      <c r="AF1809" s="100"/>
      <c r="AG1809" s="100"/>
      <c r="AH1809" s="100"/>
      <c r="AI1809" s="100" t="s">
        <v>115</v>
      </c>
      <c r="AJ1809" s="100"/>
      <c r="AK1809" s="100"/>
      <c r="AL1809" s="100"/>
      <c r="AM1809" s="100"/>
      <c r="AN1809" s="100"/>
      <c r="AO1809" s="100"/>
      <c r="AP1809" s="89" t="s">
        <v>115</v>
      </c>
    </row>
    <row r="1810" spans="1:42" s="89" customFormat="1" x14ac:dyDescent="0.15">
      <c r="A1810" s="100" t="s">
        <v>1</v>
      </c>
      <c r="B1810" s="101">
        <v>90170419</v>
      </c>
      <c r="C1810" s="101">
        <v>1704</v>
      </c>
      <c r="D1810" s="101">
        <v>17</v>
      </c>
      <c r="E1810" s="101"/>
      <c r="F1810" s="101" t="s">
        <v>116</v>
      </c>
      <c r="G1810" s="101">
        <v>258</v>
      </c>
      <c r="H1810" s="101" t="s">
        <v>4095</v>
      </c>
      <c r="I1810" s="101">
        <v>0</v>
      </c>
      <c r="J1810" s="100">
        <v>0</v>
      </c>
      <c r="K1810" s="100">
        <v>0</v>
      </c>
      <c r="L1810" s="100" t="s">
        <v>115</v>
      </c>
      <c r="M1810" s="102"/>
      <c r="N1810" s="100"/>
      <c r="O1810" s="100" t="s">
        <v>115</v>
      </c>
      <c r="P1810" s="101"/>
      <c r="Q1810" s="100">
        <v>163</v>
      </c>
      <c r="R1810" s="100">
        <v>269</v>
      </c>
      <c r="S1810" s="100"/>
      <c r="T1810" s="100"/>
      <c r="U1810" s="100"/>
      <c r="V1810" s="100"/>
      <c r="W1810" s="100"/>
      <c r="X1810" s="100">
        <v>90170420</v>
      </c>
      <c r="Y1810" s="100" t="s">
        <v>115</v>
      </c>
      <c r="Z1810" s="100" t="s">
        <v>115</v>
      </c>
      <c r="AA1810" s="100" t="s">
        <v>115</v>
      </c>
      <c r="AB1810" s="100" t="s">
        <v>115</v>
      </c>
      <c r="AC1810" s="100" t="s">
        <v>115</v>
      </c>
      <c r="AD1810" s="100"/>
      <c r="AE1810" s="100"/>
      <c r="AF1810" s="100"/>
      <c r="AG1810" s="100"/>
      <c r="AH1810" s="100"/>
      <c r="AI1810" s="100" t="s">
        <v>115</v>
      </c>
      <c r="AJ1810" s="100"/>
      <c r="AK1810" s="100"/>
      <c r="AL1810" s="100"/>
      <c r="AM1810" s="100"/>
      <c r="AN1810" s="100"/>
      <c r="AO1810" s="100"/>
      <c r="AP1810" s="89" t="s">
        <v>115</v>
      </c>
    </row>
    <row r="1811" spans="1:42" s="89" customFormat="1" x14ac:dyDescent="0.15">
      <c r="A1811" s="100" t="s">
        <v>1</v>
      </c>
      <c r="B1811" s="101">
        <v>90170420</v>
      </c>
      <c r="C1811" s="101">
        <v>1704</v>
      </c>
      <c r="D1811" s="101">
        <v>17</v>
      </c>
      <c r="E1811" s="101"/>
      <c r="F1811" s="101" t="s">
        <v>256</v>
      </c>
      <c r="G1811" s="101" t="s">
        <v>115</v>
      </c>
      <c r="H1811" s="101" t="s">
        <v>4096</v>
      </c>
      <c r="I1811" s="101">
        <v>3</v>
      </c>
      <c r="J1811" s="100">
        <v>0</v>
      </c>
      <c r="K1811" s="100">
        <v>0</v>
      </c>
      <c r="L1811" s="100" t="s">
        <v>115</v>
      </c>
      <c r="M1811" s="102"/>
      <c r="N1811" s="100"/>
      <c r="O1811" s="100" t="s">
        <v>115</v>
      </c>
      <c r="P1811" s="101"/>
      <c r="Q1811" s="100">
        <v>163</v>
      </c>
      <c r="R1811" s="100">
        <v>269</v>
      </c>
      <c r="S1811" s="100"/>
      <c r="T1811" s="100"/>
      <c r="U1811" s="100"/>
      <c r="V1811" s="100"/>
      <c r="W1811" s="100"/>
      <c r="X1811" s="100">
        <v>90170421</v>
      </c>
      <c r="Y1811" s="100" t="s">
        <v>115</v>
      </c>
      <c r="Z1811" s="100" t="s">
        <v>115</v>
      </c>
      <c r="AA1811" s="100" t="s">
        <v>115</v>
      </c>
      <c r="AB1811" s="100" t="s">
        <v>115</v>
      </c>
      <c r="AC1811" s="100" t="s">
        <v>115</v>
      </c>
      <c r="AD1811" s="100"/>
      <c r="AE1811" s="100"/>
      <c r="AF1811" s="100"/>
      <c r="AG1811" s="100"/>
      <c r="AH1811" s="100"/>
      <c r="AI1811" s="100" t="s">
        <v>115</v>
      </c>
      <c r="AJ1811" s="100"/>
      <c r="AK1811" s="100"/>
      <c r="AL1811" s="100"/>
      <c r="AM1811" s="100"/>
      <c r="AN1811" s="100"/>
      <c r="AO1811" s="100"/>
      <c r="AP1811" s="89" t="s">
        <v>115</v>
      </c>
    </row>
    <row r="1812" spans="1:42" s="89" customFormat="1" x14ac:dyDescent="0.15">
      <c r="A1812" s="100" t="s">
        <v>1</v>
      </c>
      <c r="B1812" s="101">
        <v>90170421</v>
      </c>
      <c r="C1812" s="101">
        <v>1704</v>
      </c>
      <c r="D1812" s="101">
        <v>17</v>
      </c>
      <c r="E1812" s="101"/>
      <c r="F1812" s="101" t="s">
        <v>115</v>
      </c>
      <c r="G1812" s="101" t="s">
        <v>115</v>
      </c>
      <c r="H1812" s="101" t="s">
        <v>7468</v>
      </c>
      <c r="I1812" s="101">
        <v>4</v>
      </c>
      <c r="J1812" s="100">
        <v>0</v>
      </c>
      <c r="K1812" s="100">
        <v>0</v>
      </c>
      <c r="L1812" s="100" t="s">
        <v>115</v>
      </c>
      <c r="M1812" s="102"/>
      <c r="N1812" s="100"/>
      <c r="O1812" s="100" t="s">
        <v>115</v>
      </c>
      <c r="P1812" s="101"/>
      <c r="Q1812" s="100">
        <v>163</v>
      </c>
      <c r="R1812" s="100">
        <v>269</v>
      </c>
      <c r="S1812" s="100"/>
      <c r="T1812" s="100"/>
      <c r="U1812" s="100"/>
      <c r="V1812" s="100"/>
      <c r="W1812" s="100"/>
      <c r="X1812" s="100">
        <v>90170422</v>
      </c>
      <c r="Y1812" s="100" t="s">
        <v>115</v>
      </c>
      <c r="Z1812" s="100" t="s">
        <v>115</v>
      </c>
      <c r="AA1812" s="100" t="s">
        <v>115</v>
      </c>
      <c r="AB1812" s="100" t="s">
        <v>115</v>
      </c>
      <c r="AC1812" s="100" t="s">
        <v>115</v>
      </c>
      <c r="AD1812" s="100"/>
      <c r="AE1812" s="100"/>
      <c r="AF1812" s="100"/>
      <c r="AG1812" s="100"/>
      <c r="AH1812" s="100"/>
      <c r="AI1812" s="100" t="s">
        <v>115</v>
      </c>
      <c r="AJ1812" s="100"/>
      <c r="AK1812" s="100"/>
      <c r="AL1812" s="100"/>
      <c r="AM1812" s="100"/>
      <c r="AN1812" s="100"/>
      <c r="AO1812" s="100"/>
      <c r="AP1812" s="89" t="s">
        <v>115</v>
      </c>
    </row>
    <row r="1813" spans="1:42" s="89" customFormat="1" x14ac:dyDescent="0.15">
      <c r="A1813" s="100" t="s">
        <v>1</v>
      </c>
      <c r="B1813" s="101">
        <v>90170422</v>
      </c>
      <c r="C1813" s="101">
        <v>1704</v>
      </c>
      <c r="D1813" s="101">
        <v>17</v>
      </c>
      <c r="E1813" s="101"/>
      <c r="F1813" s="101" t="s">
        <v>116</v>
      </c>
      <c r="G1813" s="101">
        <v>258</v>
      </c>
      <c r="H1813" s="101" t="s">
        <v>7466</v>
      </c>
      <c r="I1813" s="101">
        <v>0</v>
      </c>
      <c r="J1813" s="100">
        <v>0</v>
      </c>
      <c r="K1813" s="100">
        <v>0</v>
      </c>
      <c r="L1813" s="100" t="s">
        <v>115</v>
      </c>
      <c r="M1813" s="102"/>
      <c r="N1813" s="100"/>
      <c r="O1813" s="100" t="s">
        <v>115</v>
      </c>
      <c r="P1813" s="101"/>
      <c r="Q1813" s="100">
        <v>163</v>
      </c>
      <c r="R1813" s="100">
        <v>269</v>
      </c>
      <c r="S1813" s="100"/>
      <c r="T1813" s="100"/>
      <c r="U1813" s="100"/>
      <c r="V1813" s="100"/>
      <c r="W1813" s="100"/>
      <c r="X1813" s="100">
        <v>90170423</v>
      </c>
      <c r="Y1813" s="100" t="s">
        <v>115</v>
      </c>
      <c r="Z1813" s="100" t="s">
        <v>115</v>
      </c>
      <c r="AA1813" s="100" t="s">
        <v>115</v>
      </c>
      <c r="AB1813" s="100" t="s">
        <v>115</v>
      </c>
      <c r="AC1813" s="100" t="s">
        <v>115</v>
      </c>
      <c r="AD1813" s="100"/>
      <c r="AE1813" s="100"/>
      <c r="AF1813" s="100"/>
      <c r="AG1813" s="100"/>
      <c r="AH1813" s="100"/>
      <c r="AI1813" s="100" t="s">
        <v>115</v>
      </c>
      <c r="AJ1813" s="100"/>
      <c r="AK1813" s="100"/>
      <c r="AL1813" s="100"/>
      <c r="AM1813" s="100"/>
      <c r="AN1813" s="100"/>
      <c r="AO1813" s="100"/>
      <c r="AP1813" s="89" t="s">
        <v>115</v>
      </c>
    </row>
    <row r="1814" spans="1:42" s="89" customFormat="1" x14ac:dyDescent="0.15">
      <c r="A1814" s="100" t="s">
        <v>1</v>
      </c>
      <c r="B1814" s="101">
        <v>90170423</v>
      </c>
      <c r="C1814" s="101">
        <v>1704</v>
      </c>
      <c r="D1814" s="101">
        <v>17</v>
      </c>
      <c r="E1814" s="101"/>
      <c r="F1814" s="101" t="s">
        <v>115</v>
      </c>
      <c r="G1814" s="101" t="s">
        <v>115</v>
      </c>
      <c r="H1814" s="101" t="s">
        <v>7467</v>
      </c>
      <c r="I1814" s="101">
        <v>4</v>
      </c>
      <c r="J1814" s="100">
        <v>0</v>
      </c>
      <c r="K1814" s="100">
        <v>0</v>
      </c>
      <c r="L1814" s="100" t="s">
        <v>115</v>
      </c>
      <c r="M1814" s="102"/>
      <c r="N1814" s="100"/>
      <c r="O1814" s="100" t="s">
        <v>115</v>
      </c>
      <c r="P1814" s="101"/>
      <c r="Q1814" s="100">
        <v>163</v>
      </c>
      <c r="R1814" s="100">
        <v>269</v>
      </c>
      <c r="S1814" s="100"/>
      <c r="T1814" s="100"/>
      <c r="U1814" s="100"/>
      <c r="V1814" s="100"/>
      <c r="W1814" s="100"/>
      <c r="X1814" s="100">
        <v>90170424</v>
      </c>
      <c r="Y1814" s="100" t="s">
        <v>115</v>
      </c>
      <c r="Z1814" s="100" t="s">
        <v>115</v>
      </c>
      <c r="AA1814" s="100" t="s">
        <v>115</v>
      </c>
      <c r="AB1814" s="100" t="s">
        <v>115</v>
      </c>
      <c r="AC1814" s="100" t="s">
        <v>115</v>
      </c>
      <c r="AD1814" s="100"/>
      <c r="AE1814" s="100"/>
      <c r="AF1814" s="100"/>
      <c r="AG1814" s="100"/>
      <c r="AH1814" s="100"/>
      <c r="AI1814" s="100" t="s">
        <v>115</v>
      </c>
      <c r="AJ1814" s="100"/>
      <c r="AK1814" s="100"/>
      <c r="AL1814" s="100"/>
      <c r="AM1814" s="100"/>
      <c r="AN1814" s="100"/>
      <c r="AO1814" s="100"/>
      <c r="AP1814" s="89" t="s">
        <v>115</v>
      </c>
    </row>
    <row r="1815" spans="1:42" s="89" customFormat="1" x14ac:dyDescent="0.15">
      <c r="A1815" s="100" t="s">
        <v>1</v>
      </c>
      <c r="B1815" s="101">
        <v>90170424</v>
      </c>
      <c r="C1815" s="101">
        <v>1704</v>
      </c>
      <c r="D1815" s="101">
        <v>17</v>
      </c>
      <c r="E1815" s="101"/>
      <c r="F1815" s="101" t="s">
        <v>256</v>
      </c>
      <c r="G1815" s="101" t="s">
        <v>115</v>
      </c>
      <c r="H1815" s="101" t="s">
        <v>4097</v>
      </c>
      <c r="I1815" s="101">
        <v>3</v>
      </c>
      <c r="J1815" s="100">
        <v>0</v>
      </c>
      <c r="K1815" s="100">
        <v>4</v>
      </c>
      <c r="L1815" s="100" t="s">
        <v>115</v>
      </c>
      <c r="M1815" s="102"/>
      <c r="N1815" s="100"/>
      <c r="O1815" s="100">
        <v>1</v>
      </c>
      <c r="P1815" s="101"/>
      <c r="Q1815" s="100">
        <v>163</v>
      </c>
      <c r="R1815" s="100">
        <v>269</v>
      </c>
      <c r="S1815" s="100"/>
      <c r="T1815" s="100"/>
      <c r="U1815" s="100"/>
      <c r="V1815" s="100"/>
      <c r="W1815" s="100"/>
      <c r="X1815" s="100" t="s">
        <v>115</v>
      </c>
      <c r="Y1815" s="100" t="s">
        <v>115</v>
      </c>
      <c r="Z1815" s="100">
        <v>3</v>
      </c>
      <c r="AA1815" s="100" t="s">
        <v>115</v>
      </c>
      <c r="AB1815" s="100" t="s">
        <v>115</v>
      </c>
      <c r="AC1815" s="100" t="s">
        <v>115</v>
      </c>
      <c r="AD1815" s="100"/>
      <c r="AE1815" s="100"/>
      <c r="AF1815" s="100"/>
      <c r="AG1815" s="100"/>
      <c r="AH1815" s="100"/>
      <c r="AI1815" s="100" t="s">
        <v>115</v>
      </c>
      <c r="AJ1815" s="100"/>
      <c r="AK1815" s="100"/>
      <c r="AL1815" s="100"/>
      <c r="AM1815" s="100"/>
      <c r="AN1815" s="100"/>
      <c r="AO1815" s="100"/>
      <c r="AP1815" s="89" t="s">
        <v>115</v>
      </c>
    </row>
    <row r="1816" spans="1:42" s="89" customFormat="1" x14ac:dyDescent="0.15">
      <c r="A1816" s="100" t="s">
        <v>1</v>
      </c>
      <c r="B1816" s="101" t="s">
        <v>3950</v>
      </c>
      <c r="C1816" s="101">
        <v>1705</v>
      </c>
      <c r="D1816" s="101">
        <v>17</v>
      </c>
      <c r="E1816" s="101"/>
      <c r="F1816" s="101" t="s">
        <v>115</v>
      </c>
      <c r="G1816" s="101" t="s">
        <v>115</v>
      </c>
      <c r="H1816" s="101" t="s">
        <v>4098</v>
      </c>
      <c r="I1816" s="101">
        <v>4</v>
      </c>
      <c r="J1816" s="100">
        <v>1</v>
      </c>
      <c r="K1816" s="100">
        <v>1</v>
      </c>
      <c r="L1816" s="100" t="s">
        <v>115</v>
      </c>
      <c r="M1816" s="102"/>
      <c r="N1816" s="100"/>
      <c r="O1816" s="100" t="s">
        <v>115</v>
      </c>
      <c r="P1816" s="101"/>
      <c r="Q1816" s="100">
        <v>140</v>
      </c>
      <c r="R1816" s="100" t="s">
        <v>115</v>
      </c>
      <c r="S1816" s="100"/>
      <c r="T1816" s="100"/>
      <c r="U1816" s="100"/>
      <c r="V1816" s="100"/>
      <c r="W1816" s="100"/>
      <c r="X1816" s="100">
        <v>90170502</v>
      </c>
      <c r="Y1816" s="100" t="s">
        <v>115</v>
      </c>
      <c r="Z1816" s="100" t="s">
        <v>115</v>
      </c>
      <c r="AA1816" s="100" t="s">
        <v>115</v>
      </c>
      <c r="AB1816" s="100" t="s">
        <v>115</v>
      </c>
      <c r="AC1816" s="100" t="s">
        <v>115</v>
      </c>
      <c r="AD1816" s="100"/>
      <c r="AE1816" s="100"/>
      <c r="AF1816" s="100"/>
      <c r="AG1816" s="100"/>
      <c r="AH1816" s="100"/>
      <c r="AI1816" s="100" t="s">
        <v>115</v>
      </c>
      <c r="AJ1816" s="100"/>
      <c r="AK1816" s="100"/>
      <c r="AL1816" s="100"/>
      <c r="AM1816" s="100"/>
      <c r="AN1816" s="100"/>
      <c r="AO1816" s="100"/>
      <c r="AP1816" s="89" t="s">
        <v>115</v>
      </c>
    </row>
    <row r="1817" spans="1:42" s="89" customFormat="1" x14ac:dyDescent="0.15">
      <c r="A1817" s="100" t="s">
        <v>1</v>
      </c>
      <c r="B1817" s="101">
        <v>90170502</v>
      </c>
      <c r="C1817" s="101">
        <v>1705</v>
      </c>
      <c r="D1817" s="101">
        <v>17</v>
      </c>
      <c r="E1817" s="101"/>
      <c r="F1817" s="101" t="s">
        <v>431</v>
      </c>
      <c r="G1817" s="101" t="s">
        <v>115</v>
      </c>
      <c r="H1817" s="101" t="s">
        <v>4099</v>
      </c>
      <c r="I1817" s="101">
        <v>3</v>
      </c>
      <c r="J1817" s="100">
        <v>0</v>
      </c>
      <c r="K1817" s="100">
        <v>0</v>
      </c>
      <c r="L1817" s="100" t="s">
        <v>115</v>
      </c>
      <c r="M1817" s="102"/>
      <c r="N1817" s="100"/>
      <c r="O1817" s="100" t="s">
        <v>115</v>
      </c>
      <c r="P1817" s="101"/>
      <c r="Q1817" s="100">
        <v>140</v>
      </c>
      <c r="R1817" s="100" t="s">
        <v>115</v>
      </c>
      <c r="S1817" s="100"/>
      <c r="T1817" s="100"/>
      <c r="U1817" s="100"/>
      <c r="V1817" s="100"/>
      <c r="W1817" s="100"/>
      <c r="X1817" s="100">
        <v>90170503</v>
      </c>
      <c r="Y1817" s="100" t="s">
        <v>115</v>
      </c>
      <c r="Z1817" s="100" t="s">
        <v>115</v>
      </c>
      <c r="AA1817" s="100" t="s">
        <v>115</v>
      </c>
      <c r="AB1817" s="100" t="s">
        <v>115</v>
      </c>
      <c r="AC1817" s="100" t="s">
        <v>115</v>
      </c>
      <c r="AD1817" s="100"/>
      <c r="AE1817" s="100"/>
      <c r="AF1817" s="100"/>
      <c r="AG1817" s="100"/>
      <c r="AH1817" s="100"/>
      <c r="AI1817" s="100" t="s">
        <v>115</v>
      </c>
      <c r="AJ1817" s="100"/>
      <c r="AK1817" s="100"/>
      <c r="AL1817" s="100"/>
      <c r="AM1817" s="100"/>
      <c r="AN1817" s="100"/>
      <c r="AO1817" s="100"/>
      <c r="AP1817" s="89" t="s">
        <v>115</v>
      </c>
    </row>
    <row r="1818" spans="1:42" s="89" customFormat="1" x14ac:dyDescent="0.15">
      <c r="A1818" s="100" t="s">
        <v>1</v>
      </c>
      <c r="B1818" s="101">
        <v>90170503</v>
      </c>
      <c r="C1818" s="101">
        <v>1705</v>
      </c>
      <c r="D1818" s="101">
        <v>17</v>
      </c>
      <c r="E1818" s="101"/>
      <c r="F1818" s="101" t="s">
        <v>115</v>
      </c>
      <c r="G1818" s="101" t="s">
        <v>115</v>
      </c>
      <c r="H1818" s="101" t="s">
        <v>4100</v>
      </c>
      <c r="I1818" s="101">
        <v>4</v>
      </c>
      <c r="J1818" s="100">
        <v>0</v>
      </c>
      <c r="K1818" s="100">
        <v>0</v>
      </c>
      <c r="L1818" s="100" t="s">
        <v>115</v>
      </c>
      <c r="M1818" s="102"/>
      <c r="N1818" s="100"/>
      <c r="O1818" s="100" t="s">
        <v>115</v>
      </c>
      <c r="P1818" s="101"/>
      <c r="Q1818" s="100">
        <v>140</v>
      </c>
      <c r="R1818" s="100" t="s">
        <v>115</v>
      </c>
      <c r="S1818" s="100"/>
      <c r="T1818" s="100"/>
      <c r="U1818" s="100"/>
      <c r="V1818" s="100"/>
      <c r="W1818" s="100"/>
      <c r="X1818" s="100">
        <v>90170504</v>
      </c>
      <c r="Y1818" s="100" t="s">
        <v>115</v>
      </c>
      <c r="Z1818" s="100" t="s">
        <v>115</v>
      </c>
      <c r="AA1818" s="100" t="s">
        <v>115</v>
      </c>
      <c r="AB1818" s="100" t="s">
        <v>115</v>
      </c>
      <c r="AC1818" s="100" t="s">
        <v>115</v>
      </c>
      <c r="AD1818" s="100"/>
      <c r="AE1818" s="100"/>
      <c r="AF1818" s="100"/>
      <c r="AG1818" s="100"/>
      <c r="AH1818" s="100"/>
      <c r="AI1818" s="100" t="s">
        <v>115</v>
      </c>
      <c r="AJ1818" s="100"/>
      <c r="AK1818" s="100"/>
      <c r="AL1818" s="100"/>
      <c r="AM1818" s="100"/>
      <c r="AN1818" s="100"/>
      <c r="AO1818" s="100"/>
      <c r="AP1818" s="89" t="s">
        <v>115</v>
      </c>
    </row>
    <row r="1819" spans="1:42" s="89" customFormat="1" x14ac:dyDescent="0.15">
      <c r="A1819" s="100" t="s">
        <v>1</v>
      </c>
      <c r="B1819" s="101">
        <v>90170504</v>
      </c>
      <c r="C1819" s="101">
        <v>1705</v>
      </c>
      <c r="D1819" s="101">
        <v>17</v>
      </c>
      <c r="E1819" s="101"/>
      <c r="F1819" s="101" t="s">
        <v>116</v>
      </c>
      <c r="G1819" s="101">
        <v>274</v>
      </c>
      <c r="H1819" s="101" t="s">
        <v>4101</v>
      </c>
      <c r="I1819" s="101">
        <v>0</v>
      </c>
      <c r="J1819" s="100">
        <v>0</v>
      </c>
      <c r="K1819" s="100">
        <v>0</v>
      </c>
      <c r="L1819" s="100" t="s">
        <v>115</v>
      </c>
      <c r="M1819" s="102"/>
      <c r="N1819" s="100"/>
      <c r="O1819" s="100" t="s">
        <v>115</v>
      </c>
      <c r="P1819" s="101"/>
      <c r="Q1819" s="100">
        <v>140</v>
      </c>
      <c r="R1819" s="100" t="s">
        <v>115</v>
      </c>
      <c r="S1819" s="100"/>
      <c r="T1819" s="100"/>
      <c r="U1819" s="100"/>
      <c r="V1819" s="100"/>
      <c r="W1819" s="100"/>
      <c r="X1819" s="100">
        <v>90170505</v>
      </c>
      <c r="Y1819" s="100" t="s">
        <v>115</v>
      </c>
      <c r="Z1819" s="100" t="s">
        <v>115</v>
      </c>
      <c r="AA1819" s="100" t="s">
        <v>115</v>
      </c>
      <c r="AB1819" s="100" t="s">
        <v>115</v>
      </c>
      <c r="AC1819" s="100" t="s">
        <v>115</v>
      </c>
      <c r="AD1819" s="100"/>
      <c r="AE1819" s="100"/>
      <c r="AF1819" s="100"/>
      <c r="AG1819" s="100"/>
      <c r="AH1819" s="100"/>
      <c r="AI1819" s="100" t="s">
        <v>115</v>
      </c>
      <c r="AJ1819" s="100"/>
      <c r="AK1819" s="100"/>
      <c r="AL1819" s="100"/>
      <c r="AM1819" s="100"/>
      <c r="AN1819" s="100"/>
      <c r="AO1819" s="100"/>
      <c r="AP1819" s="89" t="s">
        <v>115</v>
      </c>
    </row>
    <row r="1820" spans="1:42" s="89" customFormat="1" x14ac:dyDescent="0.15">
      <c r="A1820" s="100" t="s">
        <v>1</v>
      </c>
      <c r="B1820" s="101">
        <v>90170505</v>
      </c>
      <c r="C1820" s="101">
        <v>1705</v>
      </c>
      <c r="D1820" s="101">
        <v>17</v>
      </c>
      <c r="E1820" s="101"/>
      <c r="F1820" s="101" t="s">
        <v>115</v>
      </c>
      <c r="G1820" s="101" t="s">
        <v>115</v>
      </c>
      <c r="H1820" s="101" t="s">
        <v>4102</v>
      </c>
      <c r="I1820" s="101">
        <v>4</v>
      </c>
      <c r="J1820" s="100">
        <v>0</v>
      </c>
      <c r="K1820" s="100">
        <v>0</v>
      </c>
      <c r="L1820" s="100" t="s">
        <v>115</v>
      </c>
      <c r="M1820" s="102"/>
      <c r="N1820" s="100"/>
      <c r="O1820" s="100" t="s">
        <v>115</v>
      </c>
      <c r="P1820" s="101"/>
      <c r="Q1820" s="100">
        <v>140</v>
      </c>
      <c r="R1820" s="100">
        <v>268</v>
      </c>
      <c r="S1820" s="100"/>
      <c r="T1820" s="100"/>
      <c r="U1820" s="100"/>
      <c r="V1820" s="100"/>
      <c r="W1820" s="100"/>
      <c r="X1820" s="100">
        <v>90170506</v>
      </c>
      <c r="Y1820" s="100" t="s">
        <v>115</v>
      </c>
      <c r="Z1820" s="100" t="s">
        <v>115</v>
      </c>
      <c r="AA1820" s="100" t="s">
        <v>115</v>
      </c>
      <c r="AB1820" s="100" t="s">
        <v>115</v>
      </c>
      <c r="AC1820" s="100" t="s">
        <v>115</v>
      </c>
      <c r="AD1820" s="100"/>
      <c r="AE1820" s="100"/>
      <c r="AF1820" s="100"/>
      <c r="AG1820" s="100"/>
      <c r="AH1820" s="100"/>
      <c r="AI1820" s="100" t="s">
        <v>115</v>
      </c>
      <c r="AJ1820" s="100"/>
      <c r="AK1820" s="100"/>
      <c r="AL1820" s="100"/>
      <c r="AM1820" s="100"/>
      <c r="AN1820" s="100"/>
      <c r="AO1820" s="100"/>
      <c r="AP1820" s="89" t="s">
        <v>115</v>
      </c>
    </row>
    <row r="1821" spans="1:42" s="89" customFormat="1" x14ac:dyDescent="0.15">
      <c r="A1821" s="100" t="s">
        <v>1</v>
      </c>
      <c r="B1821" s="101">
        <v>90170506</v>
      </c>
      <c r="C1821" s="101">
        <v>1705</v>
      </c>
      <c r="D1821" s="101">
        <v>17</v>
      </c>
      <c r="E1821" s="101"/>
      <c r="F1821" s="101" t="s">
        <v>115</v>
      </c>
      <c r="G1821" s="101" t="s">
        <v>115</v>
      </c>
      <c r="H1821" s="101" t="s">
        <v>4103</v>
      </c>
      <c r="I1821" s="101">
        <v>4</v>
      </c>
      <c r="J1821" s="100">
        <v>0</v>
      </c>
      <c r="K1821" s="100">
        <v>2</v>
      </c>
      <c r="L1821" s="100" t="s">
        <v>115</v>
      </c>
      <c r="M1821" s="102"/>
      <c r="N1821" s="100"/>
      <c r="O1821" s="100" t="s">
        <v>115</v>
      </c>
      <c r="P1821" s="101"/>
      <c r="Q1821" s="100">
        <v>140</v>
      </c>
      <c r="R1821" s="100">
        <v>268</v>
      </c>
      <c r="S1821" s="100"/>
      <c r="T1821" s="100"/>
      <c r="U1821" s="100"/>
      <c r="V1821" s="100"/>
      <c r="W1821" s="100"/>
      <c r="X1821" s="100" t="s">
        <v>4104</v>
      </c>
      <c r="Y1821" s="100">
        <v>1</v>
      </c>
      <c r="Z1821" s="100">
        <v>1</v>
      </c>
      <c r="AA1821" s="100" t="s">
        <v>115</v>
      </c>
      <c r="AB1821" s="100" t="s">
        <v>115</v>
      </c>
      <c r="AC1821" s="100" t="s">
        <v>115</v>
      </c>
      <c r="AD1821" s="100"/>
      <c r="AE1821" s="100"/>
      <c r="AF1821" s="100"/>
      <c r="AG1821" s="100"/>
      <c r="AH1821" s="100"/>
      <c r="AI1821" s="100" t="s">
        <v>115</v>
      </c>
      <c r="AJ1821" s="100"/>
      <c r="AK1821" s="100"/>
      <c r="AL1821" s="100"/>
      <c r="AM1821" s="100"/>
      <c r="AN1821" s="100"/>
      <c r="AO1821" s="100"/>
      <c r="AP1821" s="89" t="s">
        <v>115</v>
      </c>
    </row>
    <row r="1822" spans="1:42" s="89" customFormat="1" x14ac:dyDescent="0.15">
      <c r="A1822" s="100" t="s">
        <v>1</v>
      </c>
      <c r="B1822" s="101">
        <v>90170507</v>
      </c>
      <c r="C1822" s="101">
        <v>1705</v>
      </c>
      <c r="D1822" s="101">
        <v>17</v>
      </c>
      <c r="E1822" s="101"/>
      <c r="F1822" s="101" t="s">
        <v>115</v>
      </c>
      <c r="G1822" s="101" t="s">
        <v>115</v>
      </c>
      <c r="H1822" s="101" t="s">
        <v>4105</v>
      </c>
      <c r="I1822" s="101">
        <v>4</v>
      </c>
      <c r="J1822" s="100">
        <v>0</v>
      </c>
      <c r="K1822" s="100">
        <v>3</v>
      </c>
      <c r="L1822" s="100" t="s">
        <v>115</v>
      </c>
      <c r="M1822" s="102"/>
      <c r="N1822" s="100"/>
      <c r="O1822" s="100" t="s">
        <v>115</v>
      </c>
      <c r="P1822" s="101"/>
      <c r="Q1822" s="100">
        <v>140</v>
      </c>
      <c r="R1822" s="100">
        <v>268</v>
      </c>
      <c r="S1822" s="100"/>
      <c r="T1822" s="100"/>
      <c r="U1822" s="100"/>
      <c r="V1822" s="100"/>
      <c r="W1822" s="100"/>
      <c r="X1822" s="100">
        <v>90170510</v>
      </c>
      <c r="Y1822" s="100">
        <v>-1</v>
      </c>
      <c r="Z1822" s="100">
        <v>2</v>
      </c>
      <c r="AA1822" s="100" t="s">
        <v>115</v>
      </c>
      <c r="AB1822" s="100" t="s">
        <v>115</v>
      </c>
      <c r="AC1822" s="100" t="s">
        <v>4106</v>
      </c>
      <c r="AD1822" s="100"/>
      <c r="AE1822" s="100"/>
      <c r="AF1822" s="100"/>
      <c r="AG1822" s="100"/>
      <c r="AH1822" s="100"/>
      <c r="AI1822" s="100" t="s">
        <v>115</v>
      </c>
      <c r="AJ1822" s="100"/>
      <c r="AK1822" s="100"/>
      <c r="AL1822" s="100"/>
      <c r="AM1822" s="100"/>
      <c r="AN1822" s="100"/>
      <c r="AO1822" s="100"/>
      <c r="AP1822" s="89" t="s">
        <v>115</v>
      </c>
    </row>
    <row r="1823" spans="1:42" s="89" customFormat="1" x14ac:dyDescent="0.15">
      <c r="A1823" s="100" t="s">
        <v>1</v>
      </c>
      <c r="B1823" s="101">
        <v>90170508</v>
      </c>
      <c r="C1823" s="101">
        <v>1705</v>
      </c>
      <c r="D1823" s="101">
        <v>17</v>
      </c>
      <c r="E1823" s="101"/>
      <c r="F1823" s="101" t="s">
        <v>115</v>
      </c>
      <c r="G1823" s="101" t="s">
        <v>115</v>
      </c>
      <c r="H1823" s="101" t="s">
        <v>4107</v>
      </c>
      <c r="I1823" s="101">
        <v>4</v>
      </c>
      <c r="J1823" s="100">
        <v>0</v>
      </c>
      <c r="K1823" s="100">
        <v>4</v>
      </c>
      <c r="L1823" s="100" t="s">
        <v>115</v>
      </c>
      <c r="M1823" s="102"/>
      <c r="N1823" s="100"/>
      <c r="O1823" s="100" t="s">
        <v>115</v>
      </c>
      <c r="P1823" s="101"/>
      <c r="Q1823" s="100">
        <v>140</v>
      </c>
      <c r="R1823" s="100">
        <v>268</v>
      </c>
      <c r="S1823" s="100"/>
      <c r="T1823" s="100"/>
      <c r="U1823" s="100"/>
      <c r="V1823" s="100"/>
      <c r="W1823" s="100"/>
      <c r="X1823" s="100">
        <v>90170514</v>
      </c>
      <c r="Y1823" s="100">
        <v>-1</v>
      </c>
      <c r="Z1823" s="100">
        <v>2</v>
      </c>
      <c r="AA1823" s="100" t="s">
        <v>115</v>
      </c>
      <c r="AB1823" s="100" t="s">
        <v>115</v>
      </c>
      <c r="AC1823" s="100" t="s">
        <v>4108</v>
      </c>
      <c r="AD1823" s="100"/>
      <c r="AE1823" s="100"/>
      <c r="AF1823" s="100"/>
      <c r="AG1823" s="100"/>
      <c r="AH1823" s="100"/>
      <c r="AI1823" s="100" t="s">
        <v>115</v>
      </c>
      <c r="AJ1823" s="100"/>
      <c r="AK1823" s="100"/>
      <c r="AL1823" s="100"/>
      <c r="AM1823" s="100"/>
      <c r="AN1823" s="100"/>
      <c r="AO1823" s="100"/>
      <c r="AP1823" s="89" t="s">
        <v>115</v>
      </c>
    </row>
    <row r="1824" spans="1:42" s="89" customFormat="1" x14ac:dyDescent="0.15">
      <c r="A1824" s="100" t="s">
        <v>1</v>
      </c>
      <c r="B1824" s="101">
        <v>90170509</v>
      </c>
      <c r="C1824" s="101">
        <v>1705</v>
      </c>
      <c r="D1824" s="101">
        <v>17</v>
      </c>
      <c r="E1824" s="101"/>
      <c r="F1824" s="101" t="s">
        <v>115</v>
      </c>
      <c r="G1824" s="101" t="s">
        <v>115</v>
      </c>
      <c r="H1824" s="101" t="s">
        <v>4109</v>
      </c>
      <c r="I1824" s="101">
        <v>4</v>
      </c>
      <c r="J1824" s="100">
        <v>0</v>
      </c>
      <c r="K1824" s="100">
        <v>5</v>
      </c>
      <c r="L1824" s="100" t="s">
        <v>115</v>
      </c>
      <c r="M1824" s="102"/>
      <c r="N1824" s="100"/>
      <c r="O1824" s="100" t="s">
        <v>115</v>
      </c>
      <c r="P1824" s="101"/>
      <c r="Q1824" s="100">
        <v>140</v>
      </c>
      <c r="R1824" s="100">
        <v>268</v>
      </c>
      <c r="S1824" s="100"/>
      <c r="T1824" s="100"/>
      <c r="U1824" s="100"/>
      <c r="V1824" s="100"/>
      <c r="W1824" s="100"/>
      <c r="X1824" s="100">
        <v>90170517</v>
      </c>
      <c r="Y1824" s="100">
        <v>-1</v>
      </c>
      <c r="Z1824" s="100">
        <v>2</v>
      </c>
      <c r="AA1824" s="100" t="s">
        <v>115</v>
      </c>
      <c r="AB1824" s="100" t="s">
        <v>115</v>
      </c>
      <c r="AC1824" s="100" t="s">
        <v>4110</v>
      </c>
      <c r="AD1824" s="100"/>
      <c r="AE1824" s="100"/>
      <c r="AF1824" s="100"/>
      <c r="AG1824" s="100"/>
      <c r="AH1824" s="100"/>
      <c r="AI1824" s="100" t="s">
        <v>115</v>
      </c>
      <c r="AJ1824" s="100"/>
      <c r="AK1824" s="100"/>
      <c r="AL1824" s="100"/>
      <c r="AM1824" s="100"/>
      <c r="AN1824" s="100"/>
      <c r="AO1824" s="100"/>
      <c r="AP1824" s="89" t="s">
        <v>115</v>
      </c>
    </row>
    <row r="1825" spans="1:42" s="89" customFormat="1" x14ac:dyDescent="0.15">
      <c r="A1825" s="100" t="s">
        <v>1</v>
      </c>
      <c r="B1825" s="101">
        <v>90170510</v>
      </c>
      <c r="C1825" s="101">
        <v>1705</v>
      </c>
      <c r="D1825" s="101">
        <v>17</v>
      </c>
      <c r="E1825" s="101"/>
      <c r="F1825" s="101" t="s">
        <v>115</v>
      </c>
      <c r="G1825" s="101" t="s">
        <v>115</v>
      </c>
      <c r="H1825" s="101" t="s">
        <v>4111</v>
      </c>
      <c r="I1825" s="101">
        <v>4</v>
      </c>
      <c r="J1825" s="100">
        <v>0</v>
      </c>
      <c r="K1825" s="100">
        <v>0</v>
      </c>
      <c r="L1825" s="100" t="s">
        <v>115</v>
      </c>
      <c r="M1825" s="102"/>
      <c r="N1825" s="100"/>
      <c r="O1825" s="100" t="s">
        <v>115</v>
      </c>
      <c r="P1825" s="101"/>
      <c r="Q1825" s="100">
        <v>140</v>
      </c>
      <c r="R1825" s="100">
        <v>268</v>
      </c>
      <c r="S1825" s="100"/>
      <c r="T1825" s="100"/>
      <c r="U1825" s="100"/>
      <c r="V1825" s="100"/>
      <c r="W1825" s="100"/>
      <c r="X1825" s="100">
        <v>90170511</v>
      </c>
      <c r="Y1825" s="100" t="s">
        <v>115</v>
      </c>
      <c r="Z1825" s="100" t="s">
        <v>115</v>
      </c>
      <c r="AA1825" s="100" t="s">
        <v>115</v>
      </c>
      <c r="AB1825" s="100" t="s">
        <v>115</v>
      </c>
      <c r="AC1825" s="100" t="s">
        <v>115</v>
      </c>
      <c r="AD1825" s="100"/>
      <c r="AE1825" s="100"/>
      <c r="AF1825" s="100"/>
      <c r="AG1825" s="100"/>
      <c r="AH1825" s="100"/>
      <c r="AI1825" s="100" t="s">
        <v>115</v>
      </c>
      <c r="AJ1825" s="100"/>
      <c r="AK1825" s="100"/>
      <c r="AL1825" s="100"/>
      <c r="AM1825" s="100"/>
      <c r="AN1825" s="100"/>
      <c r="AO1825" s="100"/>
      <c r="AP1825" s="89" t="s">
        <v>115</v>
      </c>
    </row>
    <row r="1826" spans="1:42" s="89" customFormat="1" x14ac:dyDescent="0.15">
      <c r="A1826" s="100" t="s">
        <v>1</v>
      </c>
      <c r="B1826" s="101">
        <v>90170511</v>
      </c>
      <c r="C1826" s="101">
        <v>1705</v>
      </c>
      <c r="D1826" s="101">
        <v>17</v>
      </c>
      <c r="E1826" s="101"/>
      <c r="F1826" s="101" t="s">
        <v>859</v>
      </c>
      <c r="G1826" s="101" t="s">
        <v>115</v>
      </c>
      <c r="H1826" s="101" t="s">
        <v>4112</v>
      </c>
      <c r="I1826" s="101">
        <v>3</v>
      </c>
      <c r="J1826" s="100">
        <v>0</v>
      </c>
      <c r="K1826" s="100">
        <v>6</v>
      </c>
      <c r="L1826" s="100" t="s">
        <v>4113</v>
      </c>
      <c r="M1826" s="102"/>
      <c r="N1826" s="100"/>
      <c r="O1826" s="100" t="s">
        <v>115</v>
      </c>
      <c r="P1826" s="101"/>
      <c r="Q1826" s="100">
        <v>140</v>
      </c>
      <c r="R1826" s="100">
        <v>268</v>
      </c>
      <c r="S1826" s="100"/>
      <c r="T1826" s="100"/>
      <c r="U1826" s="100"/>
      <c r="V1826" s="100"/>
      <c r="W1826" s="100"/>
      <c r="X1826" s="100">
        <v>90170512</v>
      </c>
      <c r="Y1826" s="100" t="s">
        <v>115</v>
      </c>
      <c r="Z1826" s="100">
        <v>5</v>
      </c>
      <c r="AA1826" s="100" t="s">
        <v>115</v>
      </c>
      <c r="AB1826" s="100" t="s">
        <v>115</v>
      </c>
      <c r="AC1826" s="100" t="s">
        <v>115</v>
      </c>
      <c r="AD1826" s="100"/>
      <c r="AE1826" s="100"/>
      <c r="AF1826" s="100"/>
      <c r="AG1826" s="100"/>
      <c r="AH1826" s="100"/>
      <c r="AI1826" s="100" t="s">
        <v>115</v>
      </c>
      <c r="AJ1826" s="100"/>
      <c r="AK1826" s="100"/>
      <c r="AL1826" s="100"/>
      <c r="AM1826" s="100"/>
      <c r="AN1826" s="100"/>
      <c r="AO1826" s="100"/>
      <c r="AP1826" s="89" t="s">
        <v>115</v>
      </c>
    </row>
    <row r="1827" spans="1:42" s="89" customFormat="1" x14ac:dyDescent="0.15">
      <c r="A1827" s="100" t="s">
        <v>1</v>
      </c>
      <c r="B1827" s="101">
        <v>90170512</v>
      </c>
      <c r="C1827" s="101">
        <v>1705</v>
      </c>
      <c r="D1827" s="101">
        <v>17</v>
      </c>
      <c r="E1827" s="101"/>
      <c r="F1827" s="101" t="s">
        <v>116</v>
      </c>
      <c r="G1827" s="101">
        <v>261</v>
      </c>
      <c r="H1827" s="101" t="s">
        <v>4114</v>
      </c>
      <c r="I1827" s="101">
        <v>0</v>
      </c>
      <c r="J1827" s="100">
        <v>0</v>
      </c>
      <c r="K1827" s="100">
        <v>0</v>
      </c>
      <c r="L1827" s="100" t="s">
        <v>115</v>
      </c>
      <c r="M1827" s="102"/>
      <c r="N1827" s="100"/>
      <c r="O1827" s="100" t="s">
        <v>115</v>
      </c>
      <c r="P1827" s="101"/>
      <c r="Q1827" s="100">
        <v>140</v>
      </c>
      <c r="R1827" s="100">
        <v>268</v>
      </c>
      <c r="S1827" s="100"/>
      <c r="T1827" s="100"/>
      <c r="U1827" s="100"/>
      <c r="V1827" s="100"/>
      <c r="W1827" s="100"/>
      <c r="X1827" s="100">
        <v>90170513</v>
      </c>
      <c r="Y1827" s="100" t="s">
        <v>115</v>
      </c>
      <c r="Z1827" s="100" t="s">
        <v>115</v>
      </c>
      <c r="AA1827" s="100" t="s">
        <v>115</v>
      </c>
      <c r="AB1827" s="100" t="s">
        <v>115</v>
      </c>
      <c r="AC1827" s="100" t="s">
        <v>115</v>
      </c>
      <c r="AD1827" s="100"/>
      <c r="AE1827" s="100"/>
      <c r="AF1827" s="100"/>
      <c r="AG1827" s="100"/>
      <c r="AH1827" s="100"/>
      <c r="AI1827" s="100" t="s">
        <v>115</v>
      </c>
      <c r="AJ1827" s="100"/>
      <c r="AK1827" s="100"/>
      <c r="AL1827" s="100"/>
      <c r="AM1827" s="100"/>
      <c r="AN1827" s="100"/>
      <c r="AO1827" s="100"/>
      <c r="AP1827" s="89" t="s">
        <v>115</v>
      </c>
    </row>
    <row r="1828" spans="1:42" s="89" customFormat="1" x14ac:dyDescent="0.15">
      <c r="A1828" s="100" t="s">
        <v>1</v>
      </c>
      <c r="B1828" s="101">
        <v>90170513</v>
      </c>
      <c r="C1828" s="101">
        <v>1705</v>
      </c>
      <c r="D1828" s="101">
        <v>17</v>
      </c>
      <c r="E1828" s="101"/>
      <c r="F1828" s="101" t="s">
        <v>859</v>
      </c>
      <c r="G1828" s="101" t="s">
        <v>115</v>
      </c>
      <c r="H1828" s="101" t="s">
        <v>338</v>
      </c>
      <c r="I1828" s="101">
        <v>3</v>
      </c>
      <c r="J1828" s="100">
        <v>0</v>
      </c>
      <c r="K1828" s="100">
        <v>0</v>
      </c>
      <c r="L1828" s="100" t="s">
        <v>115</v>
      </c>
      <c r="M1828" s="102"/>
      <c r="N1828" s="100"/>
      <c r="O1828" s="100" t="s">
        <v>115</v>
      </c>
      <c r="P1828" s="101"/>
      <c r="Q1828" s="100">
        <v>140</v>
      </c>
      <c r="R1828" s="100">
        <v>268</v>
      </c>
      <c r="S1828" s="100"/>
      <c r="T1828" s="100"/>
      <c r="U1828" s="100"/>
      <c r="V1828" s="100"/>
      <c r="W1828" s="100"/>
      <c r="X1828" s="100">
        <v>90170521</v>
      </c>
      <c r="Y1828" s="100" t="s">
        <v>115</v>
      </c>
      <c r="Z1828" s="100" t="s">
        <v>115</v>
      </c>
      <c r="AA1828" s="100" t="s">
        <v>115</v>
      </c>
      <c r="AB1828" s="100" t="s">
        <v>115</v>
      </c>
      <c r="AC1828" s="100" t="s">
        <v>115</v>
      </c>
      <c r="AD1828" s="100"/>
      <c r="AE1828" s="100"/>
      <c r="AF1828" s="100"/>
      <c r="AG1828" s="100"/>
      <c r="AH1828" s="100"/>
      <c r="AI1828" s="100" t="s">
        <v>115</v>
      </c>
      <c r="AJ1828" s="100"/>
      <c r="AK1828" s="100"/>
      <c r="AL1828" s="100"/>
      <c r="AM1828" s="100"/>
      <c r="AN1828" s="100"/>
      <c r="AO1828" s="100"/>
      <c r="AP1828" s="89" t="s">
        <v>115</v>
      </c>
    </row>
    <row r="1829" spans="1:42" s="89" customFormat="1" x14ac:dyDescent="0.15">
      <c r="A1829" s="100" t="s">
        <v>1</v>
      </c>
      <c r="B1829" s="101">
        <v>90170514</v>
      </c>
      <c r="C1829" s="101">
        <v>1705</v>
      </c>
      <c r="D1829" s="101">
        <v>17</v>
      </c>
      <c r="E1829" s="101"/>
      <c r="F1829" s="101" t="s">
        <v>859</v>
      </c>
      <c r="G1829" s="101" t="s">
        <v>115</v>
      </c>
      <c r="H1829" s="101" t="s">
        <v>4115</v>
      </c>
      <c r="I1829" s="101">
        <v>3</v>
      </c>
      <c r="J1829" s="100">
        <v>0</v>
      </c>
      <c r="K1829" s="100">
        <v>0</v>
      </c>
      <c r="L1829" s="100" t="s">
        <v>115</v>
      </c>
      <c r="M1829" s="102"/>
      <c r="N1829" s="100"/>
      <c r="O1829" s="100" t="s">
        <v>115</v>
      </c>
      <c r="P1829" s="101"/>
      <c r="Q1829" s="100">
        <v>140</v>
      </c>
      <c r="R1829" s="100">
        <v>268</v>
      </c>
      <c r="S1829" s="100"/>
      <c r="T1829" s="100"/>
      <c r="U1829" s="100"/>
      <c r="V1829" s="100"/>
      <c r="W1829" s="100"/>
      <c r="X1829" s="100">
        <v>90170515</v>
      </c>
      <c r="Y1829" s="100" t="s">
        <v>115</v>
      </c>
      <c r="Z1829" s="100" t="s">
        <v>115</v>
      </c>
      <c r="AA1829" s="100" t="s">
        <v>115</v>
      </c>
      <c r="AB1829" s="100" t="s">
        <v>115</v>
      </c>
      <c r="AC1829" s="100" t="s">
        <v>115</v>
      </c>
      <c r="AD1829" s="100"/>
      <c r="AE1829" s="100"/>
      <c r="AF1829" s="100"/>
      <c r="AG1829" s="100"/>
      <c r="AH1829" s="100"/>
      <c r="AI1829" s="100" t="s">
        <v>115</v>
      </c>
      <c r="AJ1829" s="100"/>
      <c r="AK1829" s="100"/>
      <c r="AL1829" s="100"/>
      <c r="AM1829" s="100"/>
      <c r="AN1829" s="100"/>
      <c r="AO1829" s="100"/>
      <c r="AP1829" s="89" t="s">
        <v>115</v>
      </c>
    </row>
    <row r="1830" spans="1:42" s="89" customFormat="1" x14ac:dyDescent="0.15">
      <c r="A1830" s="100" t="s">
        <v>1</v>
      </c>
      <c r="B1830" s="101">
        <v>90170515</v>
      </c>
      <c r="C1830" s="101">
        <v>1705</v>
      </c>
      <c r="D1830" s="101">
        <v>17</v>
      </c>
      <c r="E1830" s="101"/>
      <c r="F1830" s="101" t="s">
        <v>116</v>
      </c>
      <c r="G1830" s="101">
        <v>275</v>
      </c>
      <c r="H1830" s="101" t="s">
        <v>4116</v>
      </c>
      <c r="I1830" s="101">
        <v>0</v>
      </c>
      <c r="J1830" s="100">
        <v>0</v>
      </c>
      <c r="K1830" s="100">
        <v>0</v>
      </c>
      <c r="L1830" s="100" t="s">
        <v>115</v>
      </c>
      <c r="M1830" s="102"/>
      <c r="N1830" s="100"/>
      <c r="O1830" s="100" t="s">
        <v>115</v>
      </c>
      <c r="P1830" s="101"/>
      <c r="Q1830" s="100">
        <v>140</v>
      </c>
      <c r="R1830" s="100">
        <v>268</v>
      </c>
      <c r="S1830" s="100"/>
      <c r="T1830" s="100"/>
      <c r="U1830" s="100"/>
      <c r="V1830" s="100"/>
      <c r="W1830" s="100"/>
      <c r="X1830" s="100">
        <v>90170516</v>
      </c>
      <c r="Y1830" s="100" t="s">
        <v>115</v>
      </c>
      <c r="Z1830" s="100" t="s">
        <v>115</v>
      </c>
      <c r="AA1830" s="100" t="s">
        <v>115</v>
      </c>
      <c r="AB1830" s="100" t="s">
        <v>115</v>
      </c>
      <c r="AC1830" s="100" t="s">
        <v>115</v>
      </c>
      <c r="AD1830" s="100"/>
      <c r="AE1830" s="100"/>
      <c r="AF1830" s="100"/>
      <c r="AG1830" s="100"/>
      <c r="AH1830" s="100"/>
      <c r="AI1830" s="100" t="s">
        <v>115</v>
      </c>
      <c r="AJ1830" s="100"/>
      <c r="AK1830" s="100"/>
      <c r="AL1830" s="100"/>
      <c r="AM1830" s="100"/>
      <c r="AN1830" s="100"/>
      <c r="AO1830" s="100"/>
      <c r="AP1830" s="89" t="s">
        <v>115</v>
      </c>
    </row>
    <row r="1831" spans="1:42" s="89" customFormat="1" x14ac:dyDescent="0.15">
      <c r="A1831" s="100" t="s">
        <v>1</v>
      </c>
      <c r="B1831" s="101">
        <v>90170516</v>
      </c>
      <c r="C1831" s="101">
        <v>1705</v>
      </c>
      <c r="D1831" s="101">
        <v>17</v>
      </c>
      <c r="E1831" s="101"/>
      <c r="F1831" s="101" t="s">
        <v>115</v>
      </c>
      <c r="G1831" s="101" t="s">
        <v>115</v>
      </c>
      <c r="H1831" s="101" t="s">
        <v>4117</v>
      </c>
      <c r="I1831" s="101">
        <v>4</v>
      </c>
      <c r="J1831" s="100">
        <v>0</v>
      </c>
      <c r="K1831" s="100">
        <v>0</v>
      </c>
      <c r="L1831" s="100" t="s">
        <v>115</v>
      </c>
      <c r="M1831" s="102"/>
      <c r="N1831" s="100"/>
      <c r="O1831" s="100" t="s">
        <v>115</v>
      </c>
      <c r="P1831" s="101"/>
      <c r="Q1831" s="100">
        <v>140</v>
      </c>
      <c r="R1831" s="100">
        <v>268</v>
      </c>
      <c r="S1831" s="100"/>
      <c r="T1831" s="100"/>
      <c r="U1831" s="100"/>
      <c r="V1831" s="100"/>
      <c r="W1831" s="100"/>
      <c r="X1831" s="100">
        <v>90170506</v>
      </c>
      <c r="Y1831" s="100" t="s">
        <v>115</v>
      </c>
      <c r="Z1831" s="100" t="s">
        <v>115</v>
      </c>
      <c r="AA1831" s="100" t="s">
        <v>115</v>
      </c>
      <c r="AB1831" s="100" t="s">
        <v>115</v>
      </c>
      <c r="AC1831" s="100" t="s">
        <v>115</v>
      </c>
      <c r="AD1831" s="100"/>
      <c r="AE1831" s="100"/>
      <c r="AF1831" s="100"/>
      <c r="AG1831" s="100"/>
      <c r="AH1831" s="100"/>
      <c r="AI1831" s="100" t="s">
        <v>115</v>
      </c>
      <c r="AJ1831" s="100"/>
      <c r="AK1831" s="100"/>
      <c r="AL1831" s="100"/>
      <c r="AM1831" s="100"/>
      <c r="AN1831" s="100"/>
      <c r="AO1831" s="100"/>
      <c r="AP1831" s="89" t="s">
        <v>115</v>
      </c>
    </row>
    <row r="1832" spans="1:42" s="89" customFormat="1" x14ac:dyDescent="0.15">
      <c r="A1832" s="100" t="s">
        <v>1</v>
      </c>
      <c r="B1832" s="101">
        <v>90170517</v>
      </c>
      <c r="C1832" s="101">
        <v>1705</v>
      </c>
      <c r="D1832" s="101">
        <v>17</v>
      </c>
      <c r="E1832" s="101"/>
      <c r="F1832" s="101" t="s">
        <v>116</v>
      </c>
      <c r="G1832" s="101">
        <v>275</v>
      </c>
      <c r="H1832" s="101" t="s">
        <v>4118</v>
      </c>
      <c r="I1832" s="101">
        <v>0</v>
      </c>
      <c r="J1832" s="100">
        <v>0</v>
      </c>
      <c r="K1832" s="100">
        <v>0</v>
      </c>
      <c r="L1832" s="100" t="s">
        <v>115</v>
      </c>
      <c r="M1832" s="102"/>
      <c r="N1832" s="100"/>
      <c r="O1832" s="100" t="s">
        <v>115</v>
      </c>
      <c r="P1832" s="101"/>
      <c r="Q1832" s="100">
        <v>140</v>
      </c>
      <c r="R1832" s="100">
        <v>268</v>
      </c>
      <c r="S1832" s="100"/>
      <c r="T1832" s="100"/>
      <c r="U1832" s="100"/>
      <c r="V1832" s="100"/>
      <c r="W1832" s="100"/>
      <c r="X1832" s="100">
        <v>90170518</v>
      </c>
      <c r="Y1832" s="100" t="s">
        <v>115</v>
      </c>
      <c r="Z1832" s="100" t="s">
        <v>115</v>
      </c>
      <c r="AA1832" s="100" t="s">
        <v>115</v>
      </c>
      <c r="AB1832" s="100" t="s">
        <v>115</v>
      </c>
      <c r="AC1832" s="100" t="s">
        <v>115</v>
      </c>
      <c r="AD1832" s="100"/>
      <c r="AE1832" s="100"/>
      <c r="AF1832" s="100"/>
      <c r="AG1832" s="100"/>
      <c r="AH1832" s="100"/>
      <c r="AI1832" s="100" t="s">
        <v>115</v>
      </c>
      <c r="AJ1832" s="100"/>
      <c r="AK1832" s="100"/>
      <c r="AL1832" s="100"/>
      <c r="AM1832" s="100"/>
      <c r="AN1832" s="100"/>
      <c r="AO1832" s="100"/>
      <c r="AP1832" s="89" t="s">
        <v>115</v>
      </c>
    </row>
    <row r="1833" spans="1:42" s="89" customFormat="1" x14ac:dyDescent="0.15">
      <c r="A1833" s="100" t="s">
        <v>1</v>
      </c>
      <c r="B1833" s="101">
        <v>90170518</v>
      </c>
      <c r="C1833" s="101">
        <v>1705</v>
      </c>
      <c r="D1833" s="101">
        <v>17</v>
      </c>
      <c r="E1833" s="101"/>
      <c r="F1833" s="101" t="s">
        <v>859</v>
      </c>
      <c r="G1833" s="101" t="s">
        <v>115</v>
      </c>
      <c r="H1833" s="101" t="s">
        <v>4119</v>
      </c>
      <c r="I1833" s="101">
        <v>3</v>
      </c>
      <c r="J1833" s="100">
        <v>0</v>
      </c>
      <c r="K1833" s="100">
        <v>0</v>
      </c>
      <c r="L1833" s="100" t="s">
        <v>115</v>
      </c>
      <c r="M1833" s="102"/>
      <c r="N1833" s="100"/>
      <c r="O1833" s="100" t="s">
        <v>115</v>
      </c>
      <c r="P1833" s="101"/>
      <c r="Q1833" s="100">
        <v>140</v>
      </c>
      <c r="R1833" s="100">
        <v>268</v>
      </c>
      <c r="S1833" s="100"/>
      <c r="T1833" s="100"/>
      <c r="U1833" s="100"/>
      <c r="V1833" s="100"/>
      <c r="W1833" s="100"/>
      <c r="X1833" s="100">
        <v>90170519</v>
      </c>
      <c r="Y1833" s="100" t="s">
        <v>115</v>
      </c>
      <c r="Z1833" s="100" t="s">
        <v>115</v>
      </c>
      <c r="AA1833" s="100" t="s">
        <v>115</v>
      </c>
      <c r="AB1833" s="100" t="s">
        <v>115</v>
      </c>
      <c r="AC1833" s="100" t="s">
        <v>115</v>
      </c>
      <c r="AD1833" s="100"/>
      <c r="AE1833" s="100"/>
      <c r="AF1833" s="100"/>
      <c r="AG1833" s="100"/>
      <c r="AH1833" s="100"/>
      <c r="AI1833" s="100" t="s">
        <v>115</v>
      </c>
      <c r="AJ1833" s="100"/>
      <c r="AK1833" s="100"/>
      <c r="AL1833" s="100"/>
      <c r="AM1833" s="100"/>
      <c r="AN1833" s="100"/>
      <c r="AO1833" s="100"/>
      <c r="AP1833" s="89" t="s">
        <v>115</v>
      </c>
    </row>
    <row r="1834" spans="1:42" s="89" customFormat="1" x14ac:dyDescent="0.15">
      <c r="A1834" s="100" t="s">
        <v>1</v>
      </c>
      <c r="B1834" s="101">
        <v>90170519</v>
      </c>
      <c r="C1834" s="101">
        <v>1705</v>
      </c>
      <c r="D1834" s="101">
        <v>17</v>
      </c>
      <c r="E1834" s="101"/>
      <c r="F1834" s="101" t="s">
        <v>116</v>
      </c>
      <c r="G1834" s="101">
        <v>275</v>
      </c>
      <c r="H1834" s="101" t="s">
        <v>4120</v>
      </c>
      <c r="I1834" s="101">
        <v>0</v>
      </c>
      <c r="J1834" s="100">
        <v>0</v>
      </c>
      <c r="K1834" s="100">
        <v>0</v>
      </c>
      <c r="L1834" s="100" t="s">
        <v>115</v>
      </c>
      <c r="M1834" s="102"/>
      <c r="N1834" s="100"/>
      <c r="O1834" s="100" t="s">
        <v>115</v>
      </c>
      <c r="P1834" s="101"/>
      <c r="Q1834" s="100">
        <v>140</v>
      </c>
      <c r="R1834" s="100">
        <v>268</v>
      </c>
      <c r="S1834" s="100"/>
      <c r="T1834" s="100"/>
      <c r="U1834" s="100"/>
      <c r="V1834" s="100"/>
      <c r="W1834" s="100"/>
      <c r="X1834" s="100">
        <v>90170520</v>
      </c>
      <c r="Y1834" s="100" t="s">
        <v>115</v>
      </c>
      <c r="Z1834" s="100" t="s">
        <v>115</v>
      </c>
      <c r="AA1834" s="100" t="s">
        <v>115</v>
      </c>
      <c r="AB1834" s="100" t="s">
        <v>115</v>
      </c>
      <c r="AC1834" s="100" t="s">
        <v>115</v>
      </c>
      <c r="AD1834" s="100"/>
      <c r="AE1834" s="100"/>
      <c r="AF1834" s="100"/>
      <c r="AG1834" s="100"/>
      <c r="AH1834" s="100"/>
      <c r="AI1834" s="100" t="s">
        <v>115</v>
      </c>
      <c r="AJ1834" s="100"/>
      <c r="AK1834" s="100"/>
      <c r="AL1834" s="100"/>
      <c r="AM1834" s="100"/>
      <c r="AN1834" s="100"/>
      <c r="AO1834" s="100"/>
      <c r="AP1834" s="89" t="s">
        <v>115</v>
      </c>
    </row>
    <row r="1835" spans="1:42" s="89" customFormat="1" x14ac:dyDescent="0.15">
      <c r="A1835" s="100" t="s">
        <v>1</v>
      </c>
      <c r="B1835" s="101">
        <v>90170520</v>
      </c>
      <c r="C1835" s="101">
        <v>1705</v>
      </c>
      <c r="D1835" s="101">
        <v>17</v>
      </c>
      <c r="E1835" s="101"/>
      <c r="F1835" s="101" t="s">
        <v>859</v>
      </c>
      <c r="G1835" s="101" t="s">
        <v>115</v>
      </c>
      <c r="H1835" s="101" t="s">
        <v>4121</v>
      </c>
      <c r="I1835" s="101">
        <v>3</v>
      </c>
      <c r="J1835" s="100">
        <v>0</v>
      </c>
      <c r="K1835" s="100">
        <v>0</v>
      </c>
      <c r="L1835" s="100" t="s">
        <v>115</v>
      </c>
      <c r="M1835" s="102"/>
      <c r="N1835" s="100"/>
      <c r="O1835" s="100" t="s">
        <v>115</v>
      </c>
      <c r="P1835" s="101"/>
      <c r="Q1835" s="100">
        <v>140</v>
      </c>
      <c r="R1835" s="100">
        <v>268</v>
      </c>
      <c r="S1835" s="100"/>
      <c r="T1835" s="100"/>
      <c r="U1835" s="100"/>
      <c r="V1835" s="100"/>
      <c r="W1835" s="100"/>
      <c r="X1835" s="100">
        <v>90170506</v>
      </c>
      <c r="Y1835" s="100" t="s">
        <v>115</v>
      </c>
      <c r="Z1835" s="100" t="s">
        <v>115</v>
      </c>
      <c r="AA1835" s="100" t="s">
        <v>115</v>
      </c>
      <c r="AB1835" s="100" t="s">
        <v>115</v>
      </c>
      <c r="AC1835" s="100" t="s">
        <v>115</v>
      </c>
      <c r="AD1835" s="100"/>
      <c r="AE1835" s="100"/>
      <c r="AF1835" s="100"/>
      <c r="AG1835" s="100"/>
      <c r="AH1835" s="100"/>
      <c r="AI1835" s="100" t="s">
        <v>115</v>
      </c>
      <c r="AJ1835" s="100"/>
      <c r="AK1835" s="100"/>
      <c r="AL1835" s="100"/>
      <c r="AM1835" s="100"/>
      <c r="AN1835" s="100"/>
      <c r="AO1835" s="100"/>
      <c r="AP1835" s="89" t="s">
        <v>115</v>
      </c>
    </row>
    <row r="1836" spans="1:42" s="89" customFormat="1" x14ac:dyDescent="0.15">
      <c r="A1836" s="100" t="s">
        <v>1</v>
      </c>
      <c r="B1836" s="101">
        <v>90170521</v>
      </c>
      <c r="C1836" s="101">
        <v>1705</v>
      </c>
      <c r="D1836" s="101">
        <v>17</v>
      </c>
      <c r="E1836" s="101"/>
      <c r="F1836" s="101" t="s">
        <v>859</v>
      </c>
      <c r="G1836" s="101" t="s">
        <v>115</v>
      </c>
      <c r="H1836" s="101" t="s">
        <v>4122</v>
      </c>
      <c r="I1836" s="101">
        <v>3</v>
      </c>
      <c r="J1836" s="100">
        <v>0</v>
      </c>
      <c r="K1836" s="100">
        <v>0</v>
      </c>
      <c r="L1836" s="100" t="s">
        <v>115</v>
      </c>
      <c r="M1836" s="102"/>
      <c r="N1836" s="100"/>
      <c r="O1836" s="100" t="s">
        <v>115</v>
      </c>
      <c r="P1836" s="101"/>
      <c r="Q1836" s="100">
        <v>140</v>
      </c>
      <c r="R1836" s="100">
        <v>268</v>
      </c>
      <c r="S1836" s="100"/>
      <c r="T1836" s="100"/>
      <c r="U1836" s="100"/>
      <c r="V1836" s="100"/>
      <c r="W1836" s="100"/>
      <c r="X1836" s="100">
        <v>90170522</v>
      </c>
      <c r="Y1836" s="100" t="s">
        <v>115</v>
      </c>
      <c r="Z1836" s="100" t="s">
        <v>115</v>
      </c>
      <c r="AA1836" s="100" t="s">
        <v>115</v>
      </c>
      <c r="AB1836" s="100" t="s">
        <v>115</v>
      </c>
      <c r="AC1836" s="100" t="s">
        <v>115</v>
      </c>
      <c r="AD1836" s="100"/>
      <c r="AE1836" s="100"/>
      <c r="AF1836" s="100"/>
      <c r="AG1836" s="100"/>
      <c r="AH1836" s="100"/>
      <c r="AI1836" s="100" t="s">
        <v>115</v>
      </c>
      <c r="AJ1836" s="100"/>
      <c r="AK1836" s="100"/>
      <c r="AL1836" s="100"/>
      <c r="AM1836" s="100"/>
      <c r="AN1836" s="100"/>
      <c r="AO1836" s="100"/>
      <c r="AP1836" s="89" t="s">
        <v>115</v>
      </c>
    </row>
    <row r="1837" spans="1:42" s="89" customFormat="1" x14ac:dyDescent="0.15">
      <c r="A1837" s="100" t="s">
        <v>1</v>
      </c>
      <c r="B1837" s="101">
        <v>90170522</v>
      </c>
      <c r="C1837" s="101">
        <v>1705</v>
      </c>
      <c r="D1837" s="101">
        <v>17</v>
      </c>
      <c r="E1837" s="101"/>
      <c r="F1837" s="101" t="s">
        <v>859</v>
      </c>
      <c r="G1837" s="101" t="s">
        <v>115</v>
      </c>
      <c r="H1837" s="101" t="s">
        <v>4123</v>
      </c>
      <c r="I1837" s="101">
        <v>3</v>
      </c>
      <c r="J1837" s="100">
        <v>0</v>
      </c>
      <c r="K1837" s="100">
        <v>0</v>
      </c>
      <c r="L1837" s="100" t="s">
        <v>115</v>
      </c>
      <c r="M1837" s="102"/>
      <c r="N1837" s="100"/>
      <c r="O1837" s="100" t="s">
        <v>115</v>
      </c>
      <c r="P1837" s="101"/>
      <c r="Q1837" s="100">
        <v>140</v>
      </c>
      <c r="R1837" s="100">
        <v>268</v>
      </c>
      <c r="S1837" s="100"/>
      <c r="T1837" s="100"/>
      <c r="U1837" s="100"/>
      <c r="V1837" s="100"/>
      <c r="W1837" s="100"/>
      <c r="X1837" s="100">
        <v>90170523</v>
      </c>
      <c r="Y1837" s="100" t="s">
        <v>115</v>
      </c>
      <c r="Z1837" s="100" t="s">
        <v>115</v>
      </c>
      <c r="AA1837" s="100" t="s">
        <v>115</v>
      </c>
      <c r="AB1837" s="100" t="s">
        <v>115</v>
      </c>
      <c r="AC1837" s="100" t="s">
        <v>115</v>
      </c>
      <c r="AD1837" s="100"/>
      <c r="AE1837" s="100"/>
      <c r="AF1837" s="100"/>
      <c r="AG1837" s="100"/>
      <c r="AH1837" s="100"/>
      <c r="AI1837" s="100" t="s">
        <v>115</v>
      </c>
      <c r="AJ1837" s="100"/>
      <c r="AK1837" s="100"/>
      <c r="AL1837" s="100"/>
      <c r="AM1837" s="100"/>
      <c r="AN1837" s="100"/>
      <c r="AO1837" s="100"/>
      <c r="AP1837" s="89" t="s">
        <v>115</v>
      </c>
    </row>
    <row r="1838" spans="1:42" s="89" customFormat="1" x14ac:dyDescent="0.15">
      <c r="A1838" s="100" t="s">
        <v>1</v>
      </c>
      <c r="B1838" s="101">
        <v>90170523</v>
      </c>
      <c r="C1838" s="101">
        <v>1705</v>
      </c>
      <c r="D1838" s="101">
        <v>17</v>
      </c>
      <c r="E1838" s="101"/>
      <c r="F1838" s="101" t="s">
        <v>859</v>
      </c>
      <c r="G1838" s="101" t="s">
        <v>115</v>
      </c>
      <c r="H1838" s="101" t="s">
        <v>4124</v>
      </c>
      <c r="I1838" s="101">
        <v>3</v>
      </c>
      <c r="J1838" s="100">
        <v>0</v>
      </c>
      <c r="K1838" s="100">
        <v>7</v>
      </c>
      <c r="L1838" s="100" t="s">
        <v>4125</v>
      </c>
      <c r="M1838" s="102"/>
      <c r="N1838" s="100"/>
      <c r="O1838" s="100" t="s">
        <v>115</v>
      </c>
      <c r="P1838" s="101"/>
      <c r="Q1838" s="100">
        <v>140</v>
      </c>
      <c r="R1838" s="100">
        <v>268</v>
      </c>
      <c r="S1838" s="100"/>
      <c r="T1838" s="100"/>
      <c r="U1838" s="100"/>
      <c r="V1838" s="100"/>
      <c r="W1838" s="100"/>
      <c r="X1838" s="100">
        <v>90170524</v>
      </c>
      <c r="Y1838" s="100" t="s">
        <v>115</v>
      </c>
      <c r="Z1838" s="100">
        <v>6</v>
      </c>
      <c r="AA1838" s="100" t="s">
        <v>115</v>
      </c>
      <c r="AB1838" s="100" t="s">
        <v>115</v>
      </c>
      <c r="AC1838" s="100" t="s">
        <v>115</v>
      </c>
      <c r="AD1838" s="100"/>
      <c r="AE1838" s="100"/>
      <c r="AF1838" s="100"/>
      <c r="AG1838" s="100"/>
      <c r="AH1838" s="100"/>
      <c r="AI1838" s="100" t="s">
        <v>115</v>
      </c>
      <c r="AJ1838" s="100"/>
      <c r="AK1838" s="100"/>
      <c r="AL1838" s="100"/>
      <c r="AM1838" s="100"/>
      <c r="AN1838" s="100"/>
      <c r="AO1838" s="100"/>
      <c r="AP1838" s="89" t="s">
        <v>115</v>
      </c>
    </row>
    <row r="1839" spans="1:42" s="89" customFormat="1" x14ac:dyDescent="0.15">
      <c r="A1839" s="100" t="s">
        <v>1</v>
      </c>
      <c r="B1839" s="101">
        <v>90170524</v>
      </c>
      <c r="C1839" s="101">
        <v>1705</v>
      </c>
      <c r="D1839" s="101">
        <v>17</v>
      </c>
      <c r="E1839" s="101"/>
      <c r="F1839" s="101" t="s">
        <v>115</v>
      </c>
      <c r="G1839" s="101" t="s">
        <v>115</v>
      </c>
      <c r="H1839" s="101" t="s">
        <v>4126</v>
      </c>
      <c r="I1839" s="101">
        <v>4</v>
      </c>
      <c r="J1839" s="100">
        <v>0</v>
      </c>
      <c r="K1839" s="100">
        <v>8</v>
      </c>
      <c r="L1839" s="100" t="s">
        <v>115</v>
      </c>
      <c r="M1839" s="102"/>
      <c r="N1839" s="100"/>
      <c r="O1839" s="100">
        <v>1</v>
      </c>
      <c r="P1839" s="101"/>
      <c r="Q1839" s="100">
        <v>140</v>
      </c>
      <c r="R1839" s="100">
        <v>268</v>
      </c>
      <c r="S1839" s="100"/>
      <c r="T1839" s="100"/>
      <c r="U1839" s="100"/>
      <c r="V1839" s="100"/>
      <c r="W1839" s="100"/>
      <c r="X1839" s="100" t="s">
        <v>115</v>
      </c>
      <c r="Y1839" s="100" t="s">
        <v>115</v>
      </c>
      <c r="Z1839" s="100">
        <v>7</v>
      </c>
      <c r="AA1839" s="100" t="s">
        <v>115</v>
      </c>
      <c r="AB1839" s="100" t="s">
        <v>115</v>
      </c>
      <c r="AC1839" s="100" t="s">
        <v>115</v>
      </c>
      <c r="AD1839" s="100"/>
      <c r="AE1839" s="100"/>
      <c r="AF1839" s="100"/>
      <c r="AG1839" s="100"/>
      <c r="AH1839" s="100"/>
      <c r="AI1839" s="100" t="s">
        <v>115</v>
      </c>
      <c r="AJ1839" s="100"/>
      <c r="AK1839" s="100"/>
      <c r="AL1839" s="100"/>
      <c r="AM1839" s="100"/>
      <c r="AN1839" s="100"/>
      <c r="AO1839" s="100"/>
      <c r="AP1839" s="89" t="s">
        <v>115</v>
      </c>
    </row>
    <row r="1840" spans="1:42" s="89" customFormat="1" x14ac:dyDescent="0.15">
      <c r="A1840" s="100" t="s">
        <v>1</v>
      </c>
      <c r="B1840" s="101" t="s">
        <v>3951</v>
      </c>
      <c r="C1840" s="101">
        <v>1706</v>
      </c>
      <c r="D1840" s="101">
        <v>17</v>
      </c>
      <c r="E1840" s="101"/>
      <c r="F1840" s="101" t="s">
        <v>115</v>
      </c>
      <c r="G1840" s="101" t="s">
        <v>115</v>
      </c>
      <c r="H1840" s="101" t="s">
        <v>4127</v>
      </c>
      <c r="I1840" s="101">
        <v>4</v>
      </c>
      <c r="J1840" s="100">
        <v>1</v>
      </c>
      <c r="K1840" s="100">
        <v>1</v>
      </c>
      <c r="L1840" s="100" t="s">
        <v>115</v>
      </c>
      <c r="M1840" s="102"/>
      <c r="N1840" s="100"/>
      <c r="O1840" s="100" t="s">
        <v>115</v>
      </c>
      <c r="P1840" s="101"/>
      <c r="Q1840" s="100">
        <v>118</v>
      </c>
      <c r="R1840" s="100" t="s">
        <v>115</v>
      </c>
      <c r="S1840" s="100"/>
      <c r="T1840" s="100"/>
      <c r="U1840" s="100"/>
      <c r="V1840" s="100"/>
      <c r="W1840" s="100"/>
      <c r="X1840" s="100">
        <v>90170602</v>
      </c>
      <c r="Y1840" s="100" t="s">
        <v>115</v>
      </c>
      <c r="Z1840" s="100" t="s">
        <v>115</v>
      </c>
      <c r="AA1840" s="100" t="s">
        <v>115</v>
      </c>
      <c r="AB1840" s="100" t="s">
        <v>115</v>
      </c>
      <c r="AC1840" s="100" t="s">
        <v>115</v>
      </c>
      <c r="AD1840" s="100"/>
      <c r="AE1840" s="100"/>
      <c r="AF1840" s="100"/>
      <c r="AG1840" s="100"/>
      <c r="AH1840" s="100"/>
      <c r="AI1840" s="100" t="s">
        <v>115</v>
      </c>
      <c r="AJ1840" s="100"/>
      <c r="AK1840" s="100"/>
      <c r="AL1840" s="100"/>
      <c r="AM1840" s="100"/>
      <c r="AN1840" s="100"/>
      <c r="AO1840" s="100"/>
      <c r="AP1840" s="89" t="s">
        <v>115</v>
      </c>
    </row>
    <row r="1841" spans="1:42" s="89" customFormat="1" x14ac:dyDescent="0.15">
      <c r="A1841" s="100" t="s">
        <v>1</v>
      </c>
      <c r="B1841" s="101">
        <v>90170602</v>
      </c>
      <c r="C1841" s="101">
        <v>1706</v>
      </c>
      <c r="D1841" s="101">
        <v>17</v>
      </c>
      <c r="E1841" s="101"/>
      <c r="F1841" s="101" t="s">
        <v>115</v>
      </c>
      <c r="G1841" s="101" t="s">
        <v>115</v>
      </c>
      <c r="H1841" s="101" t="s">
        <v>4128</v>
      </c>
      <c r="I1841" s="101">
        <v>4</v>
      </c>
      <c r="J1841" s="100">
        <v>0</v>
      </c>
      <c r="K1841" s="100">
        <v>2</v>
      </c>
      <c r="L1841" s="100" t="s">
        <v>115</v>
      </c>
      <c r="M1841" s="102"/>
      <c r="N1841" s="100"/>
      <c r="O1841" s="100" t="s">
        <v>115</v>
      </c>
      <c r="P1841" s="101"/>
      <c r="Q1841" s="100">
        <v>118</v>
      </c>
      <c r="R1841" s="100">
        <v>300</v>
      </c>
      <c r="S1841" s="100"/>
      <c r="T1841" s="100"/>
      <c r="U1841" s="100"/>
      <c r="V1841" s="100"/>
      <c r="W1841" s="100"/>
      <c r="X1841" s="100" t="s">
        <v>4129</v>
      </c>
      <c r="Y1841" s="100">
        <v>1</v>
      </c>
      <c r="Z1841" s="100">
        <v>1</v>
      </c>
      <c r="AA1841" s="100" t="s">
        <v>115</v>
      </c>
      <c r="AB1841" s="100" t="s">
        <v>115</v>
      </c>
      <c r="AC1841" s="100" t="s">
        <v>115</v>
      </c>
      <c r="AD1841" s="100"/>
      <c r="AE1841" s="100"/>
      <c r="AF1841" s="100"/>
      <c r="AG1841" s="100"/>
      <c r="AH1841" s="100"/>
      <c r="AI1841" s="100" t="s">
        <v>115</v>
      </c>
      <c r="AJ1841" s="100"/>
      <c r="AK1841" s="100"/>
      <c r="AL1841" s="100"/>
      <c r="AM1841" s="100"/>
      <c r="AN1841" s="100"/>
      <c r="AO1841" s="100"/>
      <c r="AP1841" s="89" t="s">
        <v>115</v>
      </c>
    </row>
    <row r="1842" spans="1:42" s="89" customFormat="1" x14ac:dyDescent="0.15">
      <c r="A1842" s="100" t="s">
        <v>1</v>
      </c>
      <c r="B1842" s="101">
        <v>90170603</v>
      </c>
      <c r="C1842" s="101">
        <v>1706</v>
      </c>
      <c r="D1842" s="101">
        <v>17</v>
      </c>
      <c r="E1842" s="101"/>
      <c r="F1842" s="101" t="s">
        <v>115</v>
      </c>
      <c r="G1842" s="101" t="s">
        <v>115</v>
      </c>
      <c r="H1842" s="101" t="s">
        <v>4130</v>
      </c>
      <c r="I1842" s="101">
        <v>4</v>
      </c>
      <c r="J1842" s="100">
        <v>0</v>
      </c>
      <c r="K1842" s="100">
        <v>3</v>
      </c>
      <c r="L1842" s="100" t="s">
        <v>115</v>
      </c>
      <c r="M1842" s="102"/>
      <c r="N1842" s="100"/>
      <c r="O1842" s="100" t="s">
        <v>115</v>
      </c>
      <c r="P1842" s="101"/>
      <c r="Q1842" s="100">
        <v>118</v>
      </c>
      <c r="R1842" s="100">
        <v>300</v>
      </c>
      <c r="S1842" s="100"/>
      <c r="T1842" s="100"/>
      <c r="U1842" s="100"/>
      <c r="V1842" s="100"/>
      <c r="W1842" s="100"/>
      <c r="X1842" s="100">
        <v>90170604</v>
      </c>
      <c r="Y1842" s="100">
        <v>-1</v>
      </c>
      <c r="Z1842" s="100">
        <v>2</v>
      </c>
      <c r="AA1842" s="100" t="s">
        <v>4131</v>
      </c>
      <c r="AB1842" s="100" t="s">
        <v>115</v>
      </c>
      <c r="AC1842" s="100" t="s">
        <v>115</v>
      </c>
      <c r="AD1842" s="100"/>
      <c r="AE1842" s="100"/>
      <c r="AF1842" s="100"/>
      <c r="AG1842" s="100"/>
      <c r="AH1842" s="100"/>
      <c r="AI1842" s="100" t="s">
        <v>115</v>
      </c>
      <c r="AJ1842" s="100"/>
      <c r="AK1842" s="100"/>
      <c r="AL1842" s="100"/>
      <c r="AM1842" s="100"/>
      <c r="AN1842" s="100"/>
      <c r="AO1842" s="100"/>
      <c r="AP1842" s="89" t="s">
        <v>115</v>
      </c>
    </row>
    <row r="1843" spans="1:42" s="89" customFormat="1" x14ac:dyDescent="0.15">
      <c r="A1843" s="100" t="s">
        <v>1</v>
      </c>
      <c r="B1843" s="101">
        <v>90170604</v>
      </c>
      <c r="C1843" s="101">
        <v>1706</v>
      </c>
      <c r="D1843" s="101">
        <v>17</v>
      </c>
      <c r="E1843" s="101"/>
      <c r="F1843" s="101" t="s">
        <v>116</v>
      </c>
      <c r="G1843" s="101">
        <v>261</v>
      </c>
      <c r="H1843" s="101" t="s">
        <v>4819</v>
      </c>
      <c r="I1843" s="101">
        <v>0</v>
      </c>
      <c r="J1843" s="100">
        <v>0</v>
      </c>
      <c r="K1843" s="100">
        <v>0</v>
      </c>
      <c r="L1843" s="100" t="s">
        <v>115</v>
      </c>
      <c r="M1843" s="102"/>
      <c r="N1843" s="100"/>
      <c r="O1843" s="100" t="s">
        <v>115</v>
      </c>
      <c r="P1843" s="101"/>
      <c r="Q1843" s="100">
        <v>118</v>
      </c>
      <c r="R1843" s="100">
        <v>300</v>
      </c>
      <c r="S1843" s="100"/>
      <c r="T1843" s="100"/>
      <c r="U1843" s="100"/>
      <c r="V1843" s="100"/>
      <c r="W1843" s="100"/>
      <c r="X1843" s="100">
        <v>90170605</v>
      </c>
      <c r="Y1843" s="100" t="s">
        <v>115</v>
      </c>
      <c r="Z1843" s="100" t="s">
        <v>115</v>
      </c>
      <c r="AA1843" s="100" t="s">
        <v>115</v>
      </c>
      <c r="AB1843" s="100" t="s">
        <v>115</v>
      </c>
      <c r="AC1843" s="100" t="s">
        <v>115</v>
      </c>
      <c r="AD1843" s="100"/>
      <c r="AE1843" s="100"/>
      <c r="AF1843" s="100"/>
      <c r="AG1843" s="100"/>
      <c r="AH1843" s="100"/>
      <c r="AI1843" s="100" t="s">
        <v>115</v>
      </c>
      <c r="AJ1843" s="100"/>
      <c r="AK1843" s="100"/>
      <c r="AL1843" s="100"/>
      <c r="AM1843" s="100"/>
      <c r="AN1843" s="100"/>
      <c r="AO1843" s="100"/>
      <c r="AP1843" s="89" t="s">
        <v>115</v>
      </c>
    </row>
    <row r="1844" spans="1:42" s="89" customFormat="1" x14ac:dyDescent="0.15">
      <c r="A1844" s="100" t="s">
        <v>1</v>
      </c>
      <c r="B1844" s="101">
        <v>90170605</v>
      </c>
      <c r="C1844" s="101">
        <v>1706</v>
      </c>
      <c r="D1844" s="101">
        <v>17</v>
      </c>
      <c r="E1844" s="101"/>
      <c r="F1844" s="101" t="s">
        <v>251</v>
      </c>
      <c r="G1844" s="101" t="s">
        <v>115</v>
      </c>
      <c r="H1844" s="101" t="s">
        <v>4132</v>
      </c>
      <c r="I1844" s="101">
        <v>3</v>
      </c>
      <c r="J1844" s="100">
        <v>0</v>
      </c>
      <c r="K1844" s="100">
        <v>0</v>
      </c>
      <c r="L1844" s="100" t="s">
        <v>115</v>
      </c>
      <c r="M1844" s="102"/>
      <c r="N1844" s="100"/>
      <c r="O1844" s="100" t="s">
        <v>115</v>
      </c>
      <c r="P1844" s="101"/>
      <c r="Q1844" s="100">
        <v>118</v>
      </c>
      <c r="R1844" s="100">
        <v>300</v>
      </c>
      <c r="S1844" s="100"/>
      <c r="T1844" s="100"/>
      <c r="U1844" s="100"/>
      <c r="V1844" s="100"/>
      <c r="W1844" s="100"/>
      <c r="X1844" s="100">
        <v>90170606</v>
      </c>
      <c r="Y1844" s="100" t="s">
        <v>115</v>
      </c>
      <c r="Z1844" s="100" t="s">
        <v>115</v>
      </c>
      <c r="AA1844" s="100" t="s">
        <v>115</v>
      </c>
      <c r="AB1844" s="100" t="s">
        <v>115</v>
      </c>
      <c r="AC1844" s="100" t="s">
        <v>115</v>
      </c>
      <c r="AD1844" s="100"/>
      <c r="AE1844" s="100"/>
      <c r="AF1844" s="100"/>
      <c r="AG1844" s="100"/>
      <c r="AH1844" s="100"/>
      <c r="AI1844" s="100" t="s">
        <v>115</v>
      </c>
      <c r="AJ1844" s="100"/>
      <c r="AK1844" s="100"/>
      <c r="AL1844" s="100"/>
      <c r="AM1844" s="100"/>
      <c r="AN1844" s="100"/>
      <c r="AO1844" s="100"/>
      <c r="AP1844" s="89" t="s">
        <v>115</v>
      </c>
    </row>
    <row r="1845" spans="1:42" s="89" customFormat="1" x14ac:dyDescent="0.15">
      <c r="A1845" s="100" t="s">
        <v>1</v>
      </c>
      <c r="B1845" s="101">
        <v>90170606</v>
      </c>
      <c r="C1845" s="101">
        <v>1706</v>
      </c>
      <c r="D1845" s="101">
        <v>17</v>
      </c>
      <c r="E1845" s="101"/>
      <c r="F1845" s="101" t="s">
        <v>116</v>
      </c>
      <c r="G1845" s="101">
        <v>261</v>
      </c>
      <c r="H1845" s="101" t="s">
        <v>4133</v>
      </c>
      <c r="I1845" s="101">
        <v>0</v>
      </c>
      <c r="J1845" s="100">
        <v>0</v>
      </c>
      <c r="K1845" s="100">
        <v>0</v>
      </c>
      <c r="L1845" s="100" t="s">
        <v>115</v>
      </c>
      <c r="M1845" s="102"/>
      <c r="N1845" s="100"/>
      <c r="O1845" s="100" t="s">
        <v>115</v>
      </c>
      <c r="P1845" s="101"/>
      <c r="Q1845" s="100">
        <v>118</v>
      </c>
      <c r="R1845" s="100">
        <v>300</v>
      </c>
      <c r="S1845" s="100"/>
      <c r="T1845" s="100"/>
      <c r="U1845" s="100"/>
      <c r="V1845" s="100"/>
      <c r="W1845" s="100"/>
      <c r="X1845" s="100">
        <v>90170607</v>
      </c>
      <c r="Y1845" s="100" t="s">
        <v>115</v>
      </c>
      <c r="Z1845" s="100" t="s">
        <v>115</v>
      </c>
      <c r="AA1845" s="100" t="s">
        <v>115</v>
      </c>
      <c r="AB1845" s="100" t="s">
        <v>115</v>
      </c>
      <c r="AC1845" s="100" t="s">
        <v>115</v>
      </c>
      <c r="AD1845" s="100"/>
      <c r="AE1845" s="100"/>
      <c r="AF1845" s="100"/>
      <c r="AG1845" s="100"/>
      <c r="AH1845" s="100"/>
      <c r="AI1845" s="100" t="s">
        <v>115</v>
      </c>
      <c r="AJ1845" s="100"/>
      <c r="AK1845" s="100"/>
      <c r="AL1845" s="100"/>
      <c r="AM1845" s="100"/>
      <c r="AN1845" s="100"/>
      <c r="AO1845" s="100"/>
      <c r="AP1845" s="89" t="s">
        <v>115</v>
      </c>
    </row>
    <row r="1846" spans="1:42" s="89" customFormat="1" x14ac:dyDescent="0.15">
      <c r="A1846" s="100" t="s">
        <v>1</v>
      </c>
      <c r="B1846" s="101">
        <v>90170607</v>
      </c>
      <c r="C1846" s="101">
        <v>1706</v>
      </c>
      <c r="D1846" s="101">
        <v>17</v>
      </c>
      <c r="E1846" s="101"/>
      <c r="F1846" s="101" t="s">
        <v>251</v>
      </c>
      <c r="G1846" s="101" t="s">
        <v>115</v>
      </c>
      <c r="H1846" s="101" t="s">
        <v>4134</v>
      </c>
      <c r="I1846" s="101">
        <v>3</v>
      </c>
      <c r="J1846" s="100">
        <v>0</v>
      </c>
      <c r="K1846" s="100">
        <v>0</v>
      </c>
      <c r="L1846" s="100" t="s">
        <v>115</v>
      </c>
      <c r="M1846" s="102"/>
      <c r="N1846" s="100"/>
      <c r="O1846" s="100" t="s">
        <v>115</v>
      </c>
      <c r="P1846" s="101"/>
      <c r="Q1846" s="100">
        <v>118</v>
      </c>
      <c r="R1846" s="100">
        <v>300</v>
      </c>
      <c r="S1846" s="100"/>
      <c r="T1846" s="100"/>
      <c r="U1846" s="100"/>
      <c r="V1846" s="100"/>
      <c r="W1846" s="100"/>
      <c r="X1846" s="100">
        <v>90170608</v>
      </c>
      <c r="Y1846" s="100" t="s">
        <v>115</v>
      </c>
      <c r="Z1846" s="100" t="s">
        <v>115</v>
      </c>
      <c r="AA1846" s="100" t="s">
        <v>115</v>
      </c>
      <c r="AB1846" s="100" t="s">
        <v>115</v>
      </c>
      <c r="AC1846" s="100" t="s">
        <v>115</v>
      </c>
      <c r="AD1846" s="100"/>
      <c r="AE1846" s="100"/>
      <c r="AF1846" s="100"/>
      <c r="AG1846" s="100"/>
      <c r="AH1846" s="100"/>
      <c r="AI1846" s="100" t="s">
        <v>115</v>
      </c>
      <c r="AJ1846" s="100"/>
      <c r="AK1846" s="100"/>
      <c r="AL1846" s="100"/>
      <c r="AM1846" s="100"/>
      <c r="AN1846" s="100"/>
      <c r="AO1846" s="100"/>
      <c r="AP1846" s="89" t="s">
        <v>115</v>
      </c>
    </row>
    <row r="1847" spans="1:42" s="89" customFormat="1" x14ac:dyDescent="0.15">
      <c r="A1847" s="100" t="s">
        <v>1</v>
      </c>
      <c r="B1847" s="101">
        <v>90170608</v>
      </c>
      <c r="C1847" s="101">
        <v>1706</v>
      </c>
      <c r="D1847" s="101">
        <v>17</v>
      </c>
      <c r="E1847" s="101"/>
      <c r="F1847" s="101" t="s">
        <v>116</v>
      </c>
      <c r="G1847" s="101">
        <v>261</v>
      </c>
      <c r="H1847" s="101" t="s">
        <v>4135</v>
      </c>
      <c r="I1847" s="101">
        <v>0</v>
      </c>
      <c r="J1847" s="100">
        <v>0</v>
      </c>
      <c r="K1847" s="100">
        <v>0</v>
      </c>
      <c r="L1847" s="100" t="s">
        <v>115</v>
      </c>
      <c r="M1847" s="102"/>
      <c r="N1847" s="100"/>
      <c r="O1847" s="100" t="s">
        <v>115</v>
      </c>
      <c r="P1847" s="101"/>
      <c r="Q1847" s="100">
        <v>118</v>
      </c>
      <c r="R1847" s="100">
        <v>300</v>
      </c>
      <c r="S1847" s="100"/>
      <c r="T1847" s="100"/>
      <c r="U1847" s="100"/>
      <c r="V1847" s="100"/>
      <c r="W1847" s="100"/>
      <c r="X1847" s="100">
        <v>90170609</v>
      </c>
      <c r="Y1847" s="100" t="s">
        <v>115</v>
      </c>
      <c r="Z1847" s="100" t="s">
        <v>115</v>
      </c>
      <c r="AA1847" s="100" t="s">
        <v>115</v>
      </c>
      <c r="AB1847" s="100" t="s">
        <v>115</v>
      </c>
      <c r="AC1847" s="100" t="s">
        <v>115</v>
      </c>
      <c r="AD1847" s="100"/>
      <c r="AE1847" s="100"/>
      <c r="AF1847" s="100"/>
      <c r="AG1847" s="100"/>
      <c r="AH1847" s="100"/>
      <c r="AI1847" s="100" t="s">
        <v>115</v>
      </c>
      <c r="AJ1847" s="100"/>
      <c r="AK1847" s="100"/>
      <c r="AL1847" s="100"/>
      <c r="AM1847" s="100"/>
      <c r="AN1847" s="100"/>
      <c r="AO1847" s="100"/>
      <c r="AP1847" s="89" t="s">
        <v>115</v>
      </c>
    </row>
    <row r="1848" spans="1:42" s="89" customFormat="1" x14ac:dyDescent="0.15">
      <c r="A1848" s="100" t="s">
        <v>1</v>
      </c>
      <c r="B1848" s="101">
        <v>90170609</v>
      </c>
      <c r="C1848" s="101">
        <v>1706</v>
      </c>
      <c r="D1848" s="101">
        <v>17</v>
      </c>
      <c r="E1848" s="101"/>
      <c r="F1848" s="101" t="s">
        <v>251</v>
      </c>
      <c r="G1848" s="101" t="s">
        <v>115</v>
      </c>
      <c r="H1848" s="101" t="s">
        <v>4136</v>
      </c>
      <c r="I1848" s="101">
        <v>3</v>
      </c>
      <c r="J1848" s="100">
        <v>0</v>
      </c>
      <c r="K1848" s="100">
        <v>0</v>
      </c>
      <c r="L1848" s="100" t="s">
        <v>115</v>
      </c>
      <c r="M1848" s="102"/>
      <c r="N1848" s="100"/>
      <c r="O1848" s="100" t="s">
        <v>115</v>
      </c>
      <c r="P1848" s="101"/>
      <c r="Q1848" s="100">
        <v>118</v>
      </c>
      <c r="R1848" s="100">
        <v>300</v>
      </c>
      <c r="S1848" s="100"/>
      <c r="T1848" s="100"/>
      <c r="U1848" s="100"/>
      <c r="V1848" s="100"/>
      <c r="W1848" s="100"/>
      <c r="X1848" s="100">
        <v>90170610</v>
      </c>
      <c r="Y1848" s="100" t="s">
        <v>115</v>
      </c>
      <c r="Z1848" s="100" t="s">
        <v>115</v>
      </c>
      <c r="AA1848" s="100" t="s">
        <v>115</v>
      </c>
      <c r="AB1848" s="100" t="s">
        <v>115</v>
      </c>
      <c r="AC1848" s="100" t="s">
        <v>115</v>
      </c>
      <c r="AD1848" s="100"/>
      <c r="AE1848" s="100"/>
      <c r="AF1848" s="100"/>
      <c r="AG1848" s="100"/>
      <c r="AH1848" s="100"/>
      <c r="AI1848" s="100" t="s">
        <v>115</v>
      </c>
      <c r="AJ1848" s="100"/>
      <c r="AK1848" s="100"/>
      <c r="AL1848" s="100"/>
      <c r="AM1848" s="100"/>
      <c r="AN1848" s="100"/>
      <c r="AO1848" s="100"/>
      <c r="AP1848" s="89" t="s">
        <v>115</v>
      </c>
    </row>
    <row r="1849" spans="1:42" s="89" customFormat="1" x14ac:dyDescent="0.15">
      <c r="A1849" s="100" t="s">
        <v>1</v>
      </c>
      <c r="B1849" s="101">
        <v>90170610</v>
      </c>
      <c r="C1849" s="101">
        <v>1706</v>
      </c>
      <c r="D1849" s="101">
        <v>17</v>
      </c>
      <c r="E1849" s="101"/>
      <c r="F1849" s="101" t="s">
        <v>115</v>
      </c>
      <c r="G1849" s="101" t="s">
        <v>115</v>
      </c>
      <c r="H1849" s="101" t="s">
        <v>4137</v>
      </c>
      <c r="I1849" s="101">
        <v>4</v>
      </c>
      <c r="J1849" s="100">
        <v>0</v>
      </c>
      <c r="K1849" s="100">
        <v>0</v>
      </c>
      <c r="L1849" s="100" t="s">
        <v>115</v>
      </c>
      <c r="M1849" s="102"/>
      <c r="N1849" s="100"/>
      <c r="O1849" s="100" t="s">
        <v>115</v>
      </c>
      <c r="P1849" s="101"/>
      <c r="Q1849" s="100">
        <v>118</v>
      </c>
      <c r="R1849" s="100">
        <v>300</v>
      </c>
      <c r="S1849" s="100"/>
      <c r="T1849" s="100"/>
      <c r="U1849" s="100"/>
      <c r="V1849" s="100"/>
      <c r="W1849" s="100"/>
      <c r="X1849" s="100">
        <v>90170611</v>
      </c>
      <c r="Y1849" s="100" t="s">
        <v>115</v>
      </c>
      <c r="Z1849" s="100" t="s">
        <v>115</v>
      </c>
      <c r="AA1849" s="100" t="s">
        <v>115</v>
      </c>
      <c r="AB1849" s="100" t="s">
        <v>115</v>
      </c>
      <c r="AC1849" s="100" t="s">
        <v>115</v>
      </c>
      <c r="AD1849" s="100"/>
      <c r="AE1849" s="100"/>
      <c r="AF1849" s="100"/>
      <c r="AG1849" s="100"/>
      <c r="AH1849" s="100"/>
      <c r="AI1849" s="100" t="s">
        <v>115</v>
      </c>
      <c r="AJ1849" s="100"/>
      <c r="AK1849" s="100"/>
      <c r="AL1849" s="100"/>
      <c r="AM1849" s="100"/>
      <c r="AN1849" s="100"/>
      <c r="AO1849" s="100"/>
      <c r="AP1849" s="89" t="s">
        <v>115</v>
      </c>
    </row>
    <row r="1850" spans="1:42" s="89" customFormat="1" x14ac:dyDescent="0.15">
      <c r="A1850" s="100" t="s">
        <v>1</v>
      </c>
      <c r="B1850" s="101">
        <v>90170611</v>
      </c>
      <c r="C1850" s="101">
        <v>1706</v>
      </c>
      <c r="D1850" s="101">
        <v>17</v>
      </c>
      <c r="E1850" s="101"/>
      <c r="F1850" s="101" t="s">
        <v>115</v>
      </c>
      <c r="G1850" s="101" t="s">
        <v>115</v>
      </c>
      <c r="H1850" s="101" t="s">
        <v>4138</v>
      </c>
      <c r="I1850" s="101">
        <v>4</v>
      </c>
      <c r="J1850" s="100">
        <v>0</v>
      </c>
      <c r="K1850" s="100">
        <v>0</v>
      </c>
      <c r="L1850" s="100" t="s">
        <v>115</v>
      </c>
      <c r="M1850" s="102"/>
      <c r="N1850" s="100"/>
      <c r="O1850" s="100" t="s">
        <v>115</v>
      </c>
      <c r="P1850" s="101"/>
      <c r="Q1850" s="100">
        <v>118</v>
      </c>
      <c r="R1850" s="100">
        <v>300</v>
      </c>
      <c r="S1850" s="100"/>
      <c r="T1850" s="100"/>
      <c r="U1850" s="100"/>
      <c r="V1850" s="100"/>
      <c r="W1850" s="100"/>
      <c r="X1850" s="100">
        <v>90170612</v>
      </c>
      <c r="Y1850" s="100" t="s">
        <v>115</v>
      </c>
      <c r="Z1850" s="100" t="s">
        <v>115</v>
      </c>
      <c r="AA1850" s="100" t="s">
        <v>115</v>
      </c>
      <c r="AB1850" s="100" t="s">
        <v>115</v>
      </c>
      <c r="AC1850" s="100" t="s">
        <v>115</v>
      </c>
      <c r="AD1850" s="100"/>
      <c r="AE1850" s="100"/>
      <c r="AF1850" s="100"/>
      <c r="AG1850" s="100"/>
      <c r="AH1850" s="100"/>
      <c r="AI1850" s="100" t="s">
        <v>115</v>
      </c>
      <c r="AJ1850" s="100"/>
      <c r="AK1850" s="100"/>
      <c r="AL1850" s="100"/>
      <c r="AM1850" s="100"/>
      <c r="AN1850" s="100"/>
      <c r="AO1850" s="100"/>
      <c r="AP1850" s="89" t="s">
        <v>115</v>
      </c>
    </row>
    <row r="1851" spans="1:42" s="89" customFormat="1" x14ac:dyDescent="0.15">
      <c r="A1851" s="100" t="s">
        <v>1</v>
      </c>
      <c r="B1851" s="101">
        <v>90170612</v>
      </c>
      <c r="C1851" s="101">
        <v>1706</v>
      </c>
      <c r="D1851" s="101">
        <v>17</v>
      </c>
      <c r="E1851" s="101"/>
      <c r="F1851" s="101" t="s">
        <v>251</v>
      </c>
      <c r="G1851" s="101" t="s">
        <v>115</v>
      </c>
      <c r="H1851" s="101" t="s">
        <v>4139</v>
      </c>
      <c r="I1851" s="101">
        <v>3</v>
      </c>
      <c r="J1851" s="100">
        <v>0</v>
      </c>
      <c r="K1851" s="100">
        <v>0</v>
      </c>
      <c r="L1851" s="100" t="s">
        <v>115</v>
      </c>
      <c r="M1851" s="102"/>
      <c r="N1851" s="100"/>
      <c r="O1851" s="100" t="s">
        <v>115</v>
      </c>
      <c r="P1851" s="101"/>
      <c r="Q1851" s="100">
        <v>118</v>
      </c>
      <c r="R1851" s="100">
        <v>300</v>
      </c>
      <c r="S1851" s="100"/>
      <c r="T1851" s="100"/>
      <c r="U1851" s="100"/>
      <c r="V1851" s="100"/>
      <c r="W1851" s="100"/>
      <c r="X1851" s="100">
        <v>90170613</v>
      </c>
      <c r="Y1851" s="100" t="s">
        <v>115</v>
      </c>
      <c r="Z1851" s="100" t="s">
        <v>115</v>
      </c>
      <c r="AA1851" s="100" t="s">
        <v>115</v>
      </c>
      <c r="AB1851" s="100" t="s">
        <v>115</v>
      </c>
      <c r="AC1851" s="100" t="s">
        <v>115</v>
      </c>
      <c r="AD1851" s="100"/>
      <c r="AE1851" s="100"/>
      <c r="AF1851" s="100"/>
      <c r="AG1851" s="100"/>
      <c r="AH1851" s="100"/>
      <c r="AI1851" s="100" t="s">
        <v>115</v>
      </c>
      <c r="AJ1851" s="100"/>
      <c r="AK1851" s="100"/>
      <c r="AL1851" s="100"/>
      <c r="AM1851" s="100"/>
      <c r="AN1851" s="100"/>
      <c r="AO1851" s="100"/>
      <c r="AP1851" s="89" t="s">
        <v>115</v>
      </c>
    </row>
    <row r="1852" spans="1:42" s="89" customFormat="1" x14ac:dyDescent="0.15">
      <c r="A1852" s="100" t="s">
        <v>1</v>
      </c>
      <c r="B1852" s="101">
        <v>90170613</v>
      </c>
      <c r="C1852" s="101">
        <v>1706</v>
      </c>
      <c r="D1852" s="101">
        <v>17</v>
      </c>
      <c r="E1852" s="101"/>
      <c r="F1852" s="101" t="s">
        <v>115</v>
      </c>
      <c r="G1852" s="101" t="s">
        <v>115</v>
      </c>
      <c r="H1852" s="101" t="s">
        <v>4140</v>
      </c>
      <c r="I1852" s="101">
        <v>4</v>
      </c>
      <c r="J1852" s="100">
        <v>0</v>
      </c>
      <c r="K1852" s="100">
        <v>0</v>
      </c>
      <c r="L1852" s="100" t="s">
        <v>115</v>
      </c>
      <c r="M1852" s="102"/>
      <c r="N1852" s="100"/>
      <c r="O1852" s="100" t="s">
        <v>115</v>
      </c>
      <c r="P1852" s="101"/>
      <c r="Q1852" s="100">
        <v>118</v>
      </c>
      <c r="R1852" s="100">
        <v>300</v>
      </c>
      <c r="S1852" s="100"/>
      <c r="T1852" s="100"/>
      <c r="U1852" s="100"/>
      <c r="V1852" s="100"/>
      <c r="W1852" s="100"/>
      <c r="X1852" s="100">
        <v>90170614</v>
      </c>
      <c r="Y1852" s="100" t="s">
        <v>115</v>
      </c>
      <c r="Z1852" s="100" t="s">
        <v>115</v>
      </c>
      <c r="AA1852" s="100" t="s">
        <v>115</v>
      </c>
      <c r="AB1852" s="100" t="s">
        <v>115</v>
      </c>
      <c r="AC1852" s="100" t="s">
        <v>115</v>
      </c>
      <c r="AD1852" s="100"/>
      <c r="AE1852" s="100"/>
      <c r="AF1852" s="100"/>
      <c r="AG1852" s="100"/>
      <c r="AH1852" s="100"/>
      <c r="AI1852" s="100" t="s">
        <v>115</v>
      </c>
      <c r="AJ1852" s="100"/>
      <c r="AK1852" s="100"/>
      <c r="AL1852" s="100"/>
      <c r="AM1852" s="100"/>
      <c r="AN1852" s="100"/>
      <c r="AO1852" s="100"/>
      <c r="AP1852" s="89" t="s">
        <v>115</v>
      </c>
    </row>
    <row r="1853" spans="1:42" s="89" customFormat="1" x14ac:dyDescent="0.15">
      <c r="A1853" s="100" t="s">
        <v>1</v>
      </c>
      <c r="B1853" s="101">
        <v>90170614</v>
      </c>
      <c r="C1853" s="101">
        <v>1706</v>
      </c>
      <c r="D1853" s="101">
        <v>17</v>
      </c>
      <c r="E1853" s="101"/>
      <c r="F1853" s="101" t="s">
        <v>251</v>
      </c>
      <c r="G1853" s="101" t="s">
        <v>115</v>
      </c>
      <c r="H1853" s="101" t="s">
        <v>4141</v>
      </c>
      <c r="I1853" s="101">
        <v>3</v>
      </c>
      <c r="J1853" s="100">
        <v>0</v>
      </c>
      <c r="K1853" s="100">
        <v>0</v>
      </c>
      <c r="L1853" s="100" t="s">
        <v>115</v>
      </c>
      <c r="M1853" s="102"/>
      <c r="N1853" s="100"/>
      <c r="O1853" s="100" t="s">
        <v>115</v>
      </c>
      <c r="P1853" s="101"/>
      <c r="Q1853" s="100">
        <v>118</v>
      </c>
      <c r="R1853" s="100">
        <v>300</v>
      </c>
      <c r="S1853" s="100"/>
      <c r="T1853" s="100"/>
      <c r="U1853" s="100"/>
      <c r="V1853" s="100"/>
      <c r="W1853" s="100"/>
      <c r="X1853" s="100">
        <v>90170615</v>
      </c>
      <c r="Y1853" s="100" t="s">
        <v>115</v>
      </c>
      <c r="Z1853" s="100" t="s">
        <v>115</v>
      </c>
      <c r="AA1853" s="100" t="s">
        <v>115</v>
      </c>
      <c r="AB1853" s="100" t="s">
        <v>115</v>
      </c>
      <c r="AC1853" s="100" t="s">
        <v>115</v>
      </c>
      <c r="AD1853" s="100"/>
      <c r="AE1853" s="100"/>
      <c r="AF1853" s="100"/>
      <c r="AG1853" s="100"/>
      <c r="AH1853" s="100"/>
      <c r="AI1853" s="100" t="s">
        <v>115</v>
      </c>
      <c r="AJ1853" s="100"/>
      <c r="AK1853" s="100"/>
      <c r="AL1853" s="100"/>
      <c r="AM1853" s="100"/>
      <c r="AN1853" s="100"/>
      <c r="AO1853" s="100"/>
      <c r="AP1853" s="89" t="s">
        <v>115</v>
      </c>
    </row>
    <row r="1854" spans="1:42" s="89" customFormat="1" x14ac:dyDescent="0.15">
      <c r="A1854" s="100" t="s">
        <v>1</v>
      </c>
      <c r="B1854" s="101">
        <v>90170615</v>
      </c>
      <c r="C1854" s="101">
        <v>1706</v>
      </c>
      <c r="D1854" s="101">
        <v>17</v>
      </c>
      <c r="E1854" s="101"/>
      <c r="F1854" s="101" t="s">
        <v>251</v>
      </c>
      <c r="G1854" s="101" t="s">
        <v>115</v>
      </c>
      <c r="H1854" s="101" t="s">
        <v>4142</v>
      </c>
      <c r="I1854" s="101">
        <v>3</v>
      </c>
      <c r="J1854" s="100">
        <v>0</v>
      </c>
      <c r="K1854" s="100">
        <v>0</v>
      </c>
      <c r="L1854" s="100" t="s">
        <v>115</v>
      </c>
      <c r="M1854" s="102"/>
      <c r="N1854" s="100"/>
      <c r="O1854" s="100" t="s">
        <v>115</v>
      </c>
      <c r="P1854" s="101"/>
      <c r="Q1854" s="100">
        <v>118</v>
      </c>
      <c r="R1854" s="100">
        <v>300</v>
      </c>
      <c r="S1854" s="100"/>
      <c r="T1854" s="100"/>
      <c r="U1854" s="100"/>
      <c r="V1854" s="100"/>
      <c r="W1854" s="100"/>
      <c r="X1854" s="100">
        <v>90170616</v>
      </c>
      <c r="Y1854" s="100" t="s">
        <v>115</v>
      </c>
      <c r="Z1854" s="100" t="s">
        <v>115</v>
      </c>
      <c r="AA1854" s="100" t="s">
        <v>115</v>
      </c>
      <c r="AB1854" s="100" t="s">
        <v>115</v>
      </c>
      <c r="AC1854" s="100" t="s">
        <v>115</v>
      </c>
      <c r="AD1854" s="100"/>
      <c r="AE1854" s="100"/>
      <c r="AF1854" s="100"/>
      <c r="AG1854" s="100"/>
      <c r="AH1854" s="100"/>
      <c r="AI1854" s="100" t="s">
        <v>115</v>
      </c>
      <c r="AJ1854" s="100"/>
      <c r="AK1854" s="100"/>
      <c r="AL1854" s="100"/>
      <c r="AM1854" s="100"/>
      <c r="AN1854" s="100"/>
      <c r="AO1854" s="100"/>
      <c r="AP1854" s="89" t="s">
        <v>115</v>
      </c>
    </row>
    <row r="1855" spans="1:42" s="89" customFormat="1" x14ac:dyDescent="0.15">
      <c r="A1855" s="100" t="s">
        <v>1</v>
      </c>
      <c r="B1855" s="101">
        <v>90170616</v>
      </c>
      <c r="C1855" s="101">
        <v>1706</v>
      </c>
      <c r="D1855" s="101">
        <v>17</v>
      </c>
      <c r="E1855" s="101"/>
      <c r="F1855" s="101" t="s">
        <v>115</v>
      </c>
      <c r="G1855" s="101" t="s">
        <v>115</v>
      </c>
      <c r="H1855" s="101" t="s">
        <v>4143</v>
      </c>
      <c r="I1855" s="101">
        <v>4</v>
      </c>
      <c r="J1855" s="100">
        <v>0</v>
      </c>
      <c r="K1855" s="100">
        <v>0</v>
      </c>
      <c r="L1855" s="100" t="s">
        <v>115</v>
      </c>
      <c r="M1855" s="102"/>
      <c r="N1855" s="100"/>
      <c r="O1855" s="100" t="s">
        <v>115</v>
      </c>
      <c r="P1855" s="101"/>
      <c r="Q1855" s="100">
        <v>118</v>
      </c>
      <c r="R1855" s="100">
        <v>300</v>
      </c>
      <c r="S1855" s="100"/>
      <c r="T1855" s="100"/>
      <c r="U1855" s="100"/>
      <c r="V1855" s="100"/>
      <c r="W1855" s="100"/>
      <c r="X1855" s="100">
        <v>90170617</v>
      </c>
      <c r="Y1855" s="100" t="s">
        <v>115</v>
      </c>
      <c r="Z1855" s="100" t="s">
        <v>115</v>
      </c>
      <c r="AA1855" s="100" t="s">
        <v>115</v>
      </c>
      <c r="AB1855" s="100" t="s">
        <v>115</v>
      </c>
      <c r="AC1855" s="100" t="s">
        <v>115</v>
      </c>
      <c r="AD1855" s="100"/>
      <c r="AE1855" s="100"/>
      <c r="AF1855" s="100"/>
      <c r="AG1855" s="100"/>
      <c r="AH1855" s="100"/>
      <c r="AI1855" s="100" t="s">
        <v>115</v>
      </c>
      <c r="AJ1855" s="100"/>
      <c r="AK1855" s="100"/>
      <c r="AL1855" s="100"/>
      <c r="AM1855" s="100"/>
      <c r="AN1855" s="100"/>
      <c r="AO1855" s="100"/>
      <c r="AP1855" s="89" t="s">
        <v>115</v>
      </c>
    </row>
    <row r="1856" spans="1:42" s="89" customFormat="1" x14ac:dyDescent="0.15">
      <c r="A1856" s="100" t="s">
        <v>1</v>
      </c>
      <c r="B1856" s="101">
        <v>90170617</v>
      </c>
      <c r="C1856" s="101">
        <v>1706</v>
      </c>
      <c r="D1856" s="101">
        <v>17</v>
      </c>
      <c r="E1856" s="101"/>
      <c r="F1856" s="101" t="s">
        <v>251</v>
      </c>
      <c r="G1856" s="101" t="s">
        <v>115</v>
      </c>
      <c r="H1856" s="101" t="s">
        <v>4144</v>
      </c>
      <c r="I1856" s="101">
        <v>3</v>
      </c>
      <c r="J1856" s="100">
        <v>0</v>
      </c>
      <c r="K1856" s="100">
        <v>4</v>
      </c>
      <c r="L1856" s="100" t="s">
        <v>115</v>
      </c>
      <c r="M1856" s="102"/>
      <c r="N1856" s="100"/>
      <c r="O1856" s="100">
        <v>1</v>
      </c>
      <c r="P1856" s="101"/>
      <c r="Q1856" s="100">
        <v>118</v>
      </c>
      <c r="R1856" s="100">
        <v>300</v>
      </c>
      <c r="S1856" s="100"/>
      <c r="T1856" s="100"/>
      <c r="U1856" s="100"/>
      <c r="V1856" s="100"/>
      <c r="W1856" s="100"/>
      <c r="X1856" s="100" t="s">
        <v>115</v>
      </c>
      <c r="Y1856" s="100" t="s">
        <v>115</v>
      </c>
      <c r="Z1856" s="100">
        <v>3</v>
      </c>
      <c r="AA1856" s="100" t="s">
        <v>115</v>
      </c>
      <c r="AB1856" s="100" t="s">
        <v>115</v>
      </c>
      <c r="AC1856" s="100" t="s">
        <v>115</v>
      </c>
      <c r="AD1856" s="100"/>
      <c r="AE1856" s="100"/>
      <c r="AF1856" s="100"/>
      <c r="AG1856" s="100"/>
      <c r="AH1856" s="100"/>
      <c r="AI1856" s="100" t="s">
        <v>115</v>
      </c>
      <c r="AJ1856" s="100"/>
      <c r="AK1856" s="100"/>
      <c r="AL1856" s="100"/>
      <c r="AM1856" s="100"/>
      <c r="AN1856" s="100"/>
      <c r="AO1856" s="100"/>
      <c r="AP1856" s="89" t="s">
        <v>115</v>
      </c>
    </row>
    <row r="1857" spans="1:42" s="89" customFormat="1" x14ac:dyDescent="0.15">
      <c r="A1857" s="100" t="s">
        <v>1</v>
      </c>
      <c r="B1857" s="101" t="s">
        <v>3952</v>
      </c>
      <c r="C1857" s="101">
        <v>1801</v>
      </c>
      <c r="D1857" s="101">
        <v>18</v>
      </c>
      <c r="E1857" s="101"/>
      <c r="F1857" s="101" t="s">
        <v>256</v>
      </c>
      <c r="G1857" s="101" t="s">
        <v>115</v>
      </c>
      <c r="H1857" s="101" t="s">
        <v>4145</v>
      </c>
      <c r="I1857" s="101">
        <v>3</v>
      </c>
      <c r="J1857" s="100">
        <v>1</v>
      </c>
      <c r="K1857" s="100">
        <v>1</v>
      </c>
      <c r="L1857" s="100" t="s">
        <v>115</v>
      </c>
      <c r="M1857" s="102"/>
      <c r="N1857" s="100"/>
      <c r="O1857" s="100" t="s">
        <v>115</v>
      </c>
      <c r="P1857" s="101"/>
      <c r="Q1857" s="100">
        <v>163</v>
      </c>
      <c r="R1857" s="100">
        <v>269</v>
      </c>
      <c r="S1857" s="100"/>
      <c r="T1857" s="100"/>
      <c r="U1857" s="100"/>
      <c r="V1857" s="100"/>
      <c r="W1857" s="100"/>
      <c r="X1857" s="100">
        <v>90180102</v>
      </c>
      <c r="Y1857" s="100" t="s">
        <v>115</v>
      </c>
      <c r="Z1857" s="100" t="s">
        <v>115</v>
      </c>
      <c r="AA1857" s="100" t="s">
        <v>115</v>
      </c>
      <c r="AB1857" s="100" t="s">
        <v>115</v>
      </c>
      <c r="AC1857" s="100" t="s">
        <v>115</v>
      </c>
      <c r="AD1857" s="100"/>
      <c r="AE1857" s="100"/>
      <c r="AF1857" s="100"/>
      <c r="AG1857" s="100"/>
      <c r="AH1857" s="100"/>
      <c r="AI1857" s="100" t="s">
        <v>115</v>
      </c>
      <c r="AJ1857" s="100"/>
      <c r="AK1857" s="100"/>
      <c r="AL1857" s="100"/>
      <c r="AM1857" s="100"/>
      <c r="AN1857" s="100"/>
      <c r="AO1857" s="100"/>
      <c r="AP1857" s="89" t="s">
        <v>115</v>
      </c>
    </row>
    <row r="1858" spans="1:42" s="89" customFormat="1" x14ac:dyDescent="0.15">
      <c r="A1858" s="100" t="s">
        <v>1</v>
      </c>
      <c r="B1858" s="101">
        <v>90180102</v>
      </c>
      <c r="C1858" s="101">
        <v>1801</v>
      </c>
      <c r="D1858" s="101">
        <v>18</v>
      </c>
      <c r="E1858" s="101"/>
      <c r="F1858" s="101" t="s">
        <v>116</v>
      </c>
      <c r="G1858" s="101">
        <v>314</v>
      </c>
      <c r="H1858" s="101" t="s">
        <v>4146</v>
      </c>
      <c r="I1858" s="101">
        <v>0</v>
      </c>
      <c r="J1858" s="100">
        <v>0</v>
      </c>
      <c r="K1858" s="100">
        <v>0</v>
      </c>
      <c r="L1858" s="100" t="s">
        <v>115</v>
      </c>
      <c r="M1858" s="102"/>
      <c r="N1858" s="100"/>
      <c r="O1858" s="100" t="s">
        <v>115</v>
      </c>
      <c r="P1858" s="101"/>
      <c r="Q1858" s="100">
        <v>163</v>
      </c>
      <c r="R1858" s="100">
        <v>269</v>
      </c>
      <c r="S1858" s="100"/>
      <c r="T1858" s="100"/>
      <c r="U1858" s="100"/>
      <c r="V1858" s="100"/>
      <c r="W1858" s="100"/>
      <c r="X1858" s="100">
        <v>90180103</v>
      </c>
      <c r="Y1858" s="100" t="s">
        <v>115</v>
      </c>
      <c r="Z1858" s="100" t="s">
        <v>115</v>
      </c>
      <c r="AA1858" s="100" t="s">
        <v>115</v>
      </c>
      <c r="AB1858" s="100" t="s">
        <v>115</v>
      </c>
      <c r="AC1858" s="100" t="s">
        <v>115</v>
      </c>
      <c r="AD1858" s="100"/>
      <c r="AE1858" s="100"/>
      <c r="AF1858" s="100"/>
      <c r="AG1858" s="100"/>
      <c r="AH1858" s="100"/>
      <c r="AI1858" s="100" t="s">
        <v>115</v>
      </c>
      <c r="AJ1858" s="100"/>
      <c r="AK1858" s="100"/>
      <c r="AL1858" s="100"/>
      <c r="AM1858" s="100"/>
      <c r="AN1858" s="100"/>
      <c r="AO1858" s="100"/>
      <c r="AP1858" s="89" t="s">
        <v>115</v>
      </c>
    </row>
    <row r="1859" spans="1:42" s="89" customFormat="1" x14ac:dyDescent="0.15">
      <c r="A1859" s="100" t="s">
        <v>1</v>
      </c>
      <c r="B1859" s="101">
        <v>90180103</v>
      </c>
      <c r="C1859" s="101">
        <v>1801</v>
      </c>
      <c r="D1859" s="101">
        <v>18</v>
      </c>
      <c r="E1859" s="101"/>
      <c r="F1859" s="101" t="s">
        <v>256</v>
      </c>
      <c r="G1859" s="101" t="s">
        <v>115</v>
      </c>
      <c r="H1859" s="101" t="s">
        <v>4147</v>
      </c>
      <c r="I1859" s="101">
        <v>3</v>
      </c>
      <c r="J1859" s="100">
        <v>0</v>
      </c>
      <c r="K1859" s="100">
        <v>0</v>
      </c>
      <c r="L1859" s="100" t="s">
        <v>115</v>
      </c>
      <c r="M1859" s="102"/>
      <c r="N1859" s="100"/>
      <c r="O1859" s="100" t="s">
        <v>115</v>
      </c>
      <c r="P1859" s="101"/>
      <c r="Q1859" s="100">
        <v>163</v>
      </c>
      <c r="R1859" s="100">
        <v>269</v>
      </c>
      <c r="S1859" s="100"/>
      <c r="T1859" s="100"/>
      <c r="U1859" s="100"/>
      <c r="V1859" s="100"/>
      <c r="W1859" s="100"/>
      <c r="X1859" s="100">
        <v>90180104</v>
      </c>
      <c r="Y1859" s="100" t="s">
        <v>115</v>
      </c>
      <c r="Z1859" s="100" t="s">
        <v>115</v>
      </c>
      <c r="AA1859" s="100" t="s">
        <v>115</v>
      </c>
      <c r="AB1859" s="100" t="s">
        <v>115</v>
      </c>
      <c r="AC1859" s="100" t="s">
        <v>115</v>
      </c>
      <c r="AD1859" s="100"/>
      <c r="AE1859" s="100"/>
      <c r="AF1859" s="100"/>
      <c r="AG1859" s="100"/>
      <c r="AH1859" s="100"/>
      <c r="AI1859" s="100" t="s">
        <v>115</v>
      </c>
      <c r="AJ1859" s="100"/>
      <c r="AK1859" s="100"/>
      <c r="AL1859" s="100"/>
      <c r="AM1859" s="100"/>
      <c r="AN1859" s="100"/>
      <c r="AO1859" s="100"/>
      <c r="AP1859" s="89" t="s">
        <v>115</v>
      </c>
    </row>
    <row r="1860" spans="1:42" s="89" customFormat="1" x14ac:dyDescent="0.15">
      <c r="A1860" s="100" t="s">
        <v>1</v>
      </c>
      <c r="B1860" s="101">
        <v>90180104</v>
      </c>
      <c r="C1860" s="101">
        <v>1801</v>
      </c>
      <c r="D1860" s="101">
        <v>18</v>
      </c>
      <c r="E1860" s="101"/>
      <c r="F1860" s="101" t="s">
        <v>256</v>
      </c>
      <c r="G1860" s="101" t="s">
        <v>115</v>
      </c>
      <c r="H1860" s="101" t="s">
        <v>4148</v>
      </c>
      <c r="I1860" s="101">
        <v>3</v>
      </c>
      <c r="J1860" s="100">
        <v>0</v>
      </c>
      <c r="K1860" s="100">
        <v>0</v>
      </c>
      <c r="L1860" s="100" t="s">
        <v>115</v>
      </c>
      <c r="M1860" s="102"/>
      <c r="N1860" s="100"/>
      <c r="O1860" s="100" t="s">
        <v>115</v>
      </c>
      <c r="P1860" s="101"/>
      <c r="Q1860" s="100">
        <v>163</v>
      </c>
      <c r="R1860" s="100">
        <v>269</v>
      </c>
      <c r="S1860" s="100"/>
      <c r="T1860" s="100"/>
      <c r="U1860" s="100"/>
      <c r="V1860" s="100"/>
      <c r="W1860" s="100"/>
      <c r="X1860" s="100">
        <v>90180105</v>
      </c>
      <c r="Y1860" s="100" t="s">
        <v>115</v>
      </c>
      <c r="Z1860" s="100" t="s">
        <v>115</v>
      </c>
      <c r="AA1860" s="100" t="s">
        <v>115</v>
      </c>
      <c r="AB1860" s="100" t="s">
        <v>115</v>
      </c>
      <c r="AC1860" s="100" t="s">
        <v>115</v>
      </c>
      <c r="AD1860" s="100"/>
      <c r="AE1860" s="100"/>
      <c r="AF1860" s="100"/>
      <c r="AG1860" s="100"/>
      <c r="AH1860" s="100"/>
      <c r="AI1860" s="100" t="s">
        <v>115</v>
      </c>
      <c r="AJ1860" s="100"/>
      <c r="AK1860" s="100"/>
      <c r="AL1860" s="100"/>
      <c r="AM1860" s="100"/>
      <c r="AN1860" s="100"/>
      <c r="AO1860" s="100"/>
      <c r="AP1860" s="89" t="s">
        <v>115</v>
      </c>
    </row>
    <row r="1861" spans="1:42" s="89" customFormat="1" x14ac:dyDescent="0.15">
      <c r="A1861" s="100" t="s">
        <v>1</v>
      </c>
      <c r="B1861" s="101">
        <v>90180105</v>
      </c>
      <c r="C1861" s="101">
        <v>1801</v>
      </c>
      <c r="D1861" s="101">
        <v>18</v>
      </c>
      <c r="E1861" s="101"/>
      <c r="F1861" s="101" t="s">
        <v>116</v>
      </c>
      <c r="G1861" s="101">
        <v>312</v>
      </c>
      <c r="H1861" s="101" t="s">
        <v>4149</v>
      </c>
      <c r="I1861" s="101">
        <v>0</v>
      </c>
      <c r="J1861" s="100">
        <v>0</v>
      </c>
      <c r="K1861" s="100">
        <v>0</v>
      </c>
      <c r="L1861" s="100" t="s">
        <v>115</v>
      </c>
      <c r="M1861" s="102"/>
      <c r="N1861" s="100"/>
      <c r="O1861" s="100" t="s">
        <v>115</v>
      </c>
      <c r="P1861" s="101"/>
      <c r="Q1861" s="100">
        <v>163</v>
      </c>
      <c r="R1861" s="100">
        <v>269</v>
      </c>
      <c r="S1861" s="100"/>
      <c r="T1861" s="100"/>
      <c r="U1861" s="100"/>
      <c r="V1861" s="100"/>
      <c r="W1861" s="100"/>
      <c r="X1861" s="100">
        <v>90180106</v>
      </c>
      <c r="Y1861" s="100" t="s">
        <v>115</v>
      </c>
      <c r="Z1861" s="100" t="s">
        <v>115</v>
      </c>
      <c r="AA1861" s="100" t="s">
        <v>115</v>
      </c>
      <c r="AB1861" s="100" t="s">
        <v>115</v>
      </c>
      <c r="AC1861" s="100" t="s">
        <v>115</v>
      </c>
      <c r="AD1861" s="100"/>
      <c r="AE1861" s="100"/>
      <c r="AF1861" s="100"/>
      <c r="AG1861" s="100"/>
      <c r="AH1861" s="100"/>
      <c r="AI1861" s="100" t="s">
        <v>115</v>
      </c>
      <c r="AJ1861" s="100"/>
      <c r="AK1861" s="100"/>
      <c r="AL1861" s="100"/>
      <c r="AM1861" s="100"/>
      <c r="AN1861" s="100"/>
      <c r="AO1861" s="100"/>
      <c r="AP1861" s="89" t="s">
        <v>115</v>
      </c>
    </row>
    <row r="1862" spans="1:42" s="89" customFormat="1" x14ac:dyDescent="0.15">
      <c r="A1862" s="100" t="s">
        <v>1</v>
      </c>
      <c r="B1862" s="101">
        <v>90180106</v>
      </c>
      <c r="C1862" s="101">
        <v>1801</v>
      </c>
      <c r="D1862" s="101">
        <v>18</v>
      </c>
      <c r="E1862" s="101"/>
      <c r="F1862" s="101" t="s">
        <v>256</v>
      </c>
      <c r="G1862" s="101" t="s">
        <v>115</v>
      </c>
      <c r="H1862" s="101" t="s">
        <v>4150</v>
      </c>
      <c r="I1862" s="101">
        <v>3</v>
      </c>
      <c r="J1862" s="100">
        <v>0</v>
      </c>
      <c r="K1862" s="100">
        <v>2</v>
      </c>
      <c r="L1862" s="100" t="s">
        <v>115</v>
      </c>
      <c r="M1862" s="102"/>
      <c r="N1862" s="100"/>
      <c r="O1862" s="100">
        <v>1</v>
      </c>
      <c r="P1862" s="101"/>
      <c r="Q1862" s="100">
        <v>163</v>
      </c>
      <c r="R1862" s="100">
        <v>269</v>
      </c>
      <c r="S1862" s="100"/>
      <c r="T1862" s="100"/>
      <c r="U1862" s="100"/>
      <c r="V1862" s="100"/>
      <c r="W1862" s="100"/>
      <c r="X1862" s="100" t="s">
        <v>115</v>
      </c>
      <c r="Y1862" s="100" t="s">
        <v>115</v>
      </c>
      <c r="Z1862" s="100">
        <v>1</v>
      </c>
      <c r="AA1862" s="100" t="s">
        <v>115</v>
      </c>
      <c r="AB1862" s="100" t="s">
        <v>115</v>
      </c>
      <c r="AC1862" s="100" t="s">
        <v>115</v>
      </c>
      <c r="AD1862" s="100"/>
      <c r="AE1862" s="100"/>
      <c r="AF1862" s="100"/>
      <c r="AG1862" s="100"/>
      <c r="AH1862" s="100"/>
      <c r="AI1862" s="100" t="s">
        <v>115</v>
      </c>
      <c r="AJ1862" s="100"/>
      <c r="AK1862" s="100"/>
      <c r="AL1862" s="100"/>
      <c r="AM1862" s="100"/>
      <c r="AN1862" s="100"/>
      <c r="AO1862" s="100"/>
      <c r="AP1862" s="89" t="s">
        <v>4151</v>
      </c>
    </row>
    <row r="1863" spans="1:42" s="89" customFormat="1" x14ac:dyDescent="0.15">
      <c r="A1863" s="100" t="s">
        <v>1</v>
      </c>
      <c r="B1863" s="101" t="s">
        <v>3955</v>
      </c>
      <c r="C1863" s="101">
        <v>1802</v>
      </c>
      <c r="D1863" s="101">
        <v>18</v>
      </c>
      <c r="E1863" s="101"/>
      <c r="F1863" s="101" t="s">
        <v>115</v>
      </c>
      <c r="G1863" s="101" t="s">
        <v>115</v>
      </c>
      <c r="H1863" s="101" t="s">
        <v>4152</v>
      </c>
      <c r="I1863" s="101">
        <v>4</v>
      </c>
      <c r="J1863" s="100">
        <v>1</v>
      </c>
      <c r="K1863" s="100">
        <v>1</v>
      </c>
      <c r="L1863" s="100" t="s">
        <v>115</v>
      </c>
      <c r="M1863" s="102"/>
      <c r="N1863" s="100"/>
      <c r="O1863" s="100" t="s">
        <v>115</v>
      </c>
      <c r="P1863" s="101"/>
      <c r="Q1863" s="100">
        <v>192</v>
      </c>
      <c r="R1863" s="100" t="s">
        <v>115</v>
      </c>
      <c r="S1863" s="100"/>
      <c r="T1863" s="100"/>
      <c r="U1863" s="100"/>
      <c r="V1863" s="100"/>
      <c r="W1863" s="100"/>
      <c r="X1863" s="100">
        <v>90180202</v>
      </c>
      <c r="Y1863" s="100" t="s">
        <v>115</v>
      </c>
      <c r="Z1863" s="100" t="s">
        <v>115</v>
      </c>
      <c r="AA1863" s="100" t="s">
        <v>115</v>
      </c>
      <c r="AB1863" s="100" t="s">
        <v>115</v>
      </c>
      <c r="AC1863" s="100" t="s">
        <v>115</v>
      </c>
      <c r="AD1863" s="100"/>
      <c r="AE1863" s="100"/>
      <c r="AF1863" s="100"/>
      <c r="AG1863" s="100"/>
      <c r="AH1863" s="100"/>
      <c r="AI1863" s="100" t="s">
        <v>115</v>
      </c>
      <c r="AJ1863" s="100"/>
      <c r="AK1863" s="100"/>
      <c r="AL1863" s="100"/>
      <c r="AM1863" s="100"/>
      <c r="AN1863" s="100"/>
      <c r="AO1863" s="100"/>
      <c r="AP1863" s="89" t="s">
        <v>115</v>
      </c>
    </row>
    <row r="1864" spans="1:42" s="89" customFormat="1" x14ac:dyDescent="0.15">
      <c r="A1864" s="100" t="s">
        <v>1</v>
      </c>
      <c r="B1864" s="101">
        <v>90180202</v>
      </c>
      <c r="C1864" s="101">
        <v>1802</v>
      </c>
      <c r="D1864" s="101">
        <v>18</v>
      </c>
      <c r="E1864" s="101"/>
      <c r="F1864" s="101" t="s">
        <v>4153</v>
      </c>
      <c r="G1864" s="101" t="s">
        <v>115</v>
      </c>
      <c r="H1864" s="101" t="s">
        <v>4154</v>
      </c>
      <c r="I1864" s="101">
        <v>3</v>
      </c>
      <c r="J1864" s="100">
        <v>0</v>
      </c>
      <c r="K1864" s="100">
        <v>0</v>
      </c>
      <c r="L1864" s="100" t="s">
        <v>115</v>
      </c>
      <c r="M1864" s="102"/>
      <c r="N1864" s="100"/>
      <c r="O1864" s="100" t="s">
        <v>115</v>
      </c>
      <c r="P1864" s="101"/>
      <c r="Q1864" s="100">
        <v>192</v>
      </c>
      <c r="R1864" s="100">
        <v>164</v>
      </c>
      <c r="S1864" s="100"/>
      <c r="T1864" s="100"/>
      <c r="U1864" s="100"/>
      <c r="V1864" s="100"/>
      <c r="W1864" s="100"/>
      <c r="X1864" s="100">
        <v>90180203</v>
      </c>
      <c r="Y1864" s="100" t="s">
        <v>115</v>
      </c>
      <c r="Z1864" s="100" t="s">
        <v>115</v>
      </c>
      <c r="AA1864" s="100" t="s">
        <v>115</v>
      </c>
      <c r="AB1864" s="100" t="s">
        <v>115</v>
      </c>
      <c r="AC1864" s="100" t="s">
        <v>115</v>
      </c>
      <c r="AD1864" s="100"/>
      <c r="AE1864" s="100"/>
      <c r="AF1864" s="100"/>
      <c r="AG1864" s="100"/>
      <c r="AH1864" s="100"/>
      <c r="AI1864" s="100" t="s">
        <v>115</v>
      </c>
      <c r="AJ1864" s="100"/>
      <c r="AK1864" s="100"/>
      <c r="AL1864" s="100"/>
      <c r="AM1864" s="100"/>
      <c r="AN1864" s="100"/>
      <c r="AO1864" s="100"/>
      <c r="AP1864" s="89" t="s">
        <v>115</v>
      </c>
    </row>
    <row r="1865" spans="1:42" s="89" customFormat="1" x14ac:dyDescent="0.15">
      <c r="A1865" s="100" t="s">
        <v>1</v>
      </c>
      <c r="B1865" s="101">
        <v>90180203</v>
      </c>
      <c r="C1865" s="101">
        <v>1802</v>
      </c>
      <c r="D1865" s="101">
        <v>18</v>
      </c>
      <c r="E1865" s="101"/>
      <c r="F1865" s="101" t="s">
        <v>115</v>
      </c>
      <c r="G1865" s="101" t="s">
        <v>115</v>
      </c>
      <c r="H1865" s="101" t="s">
        <v>4155</v>
      </c>
      <c r="I1865" s="101">
        <v>4</v>
      </c>
      <c r="J1865" s="100">
        <v>0</v>
      </c>
      <c r="K1865" s="100">
        <v>2</v>
      </c>
      <c r="L1865" s="100" t="s">
        <v>115</v>
      </c>
      <c r="M1865" s="102"/>
      <c r="N1865" s="100"/>
      <c r="O1865" s="100" t="s">
        <v>115</v>
      </c>
      <c r="P1865" s="101"/>
      <c r="Q1865" s="100">
        <v>192</v>
      </c>
      <c r="R1865" s="100">
        <v>164</v>
      </c>
      <c r="S1865" s="100"/>
      <c r="T1865" s="100"/>
      <c r="U1865" s="100"/>
      <c r="V1865" s="100"/>
      <c r="W1865" s="100"/>
      <c r="X1865" s="100" t="s">
        <v>4156</v>
      </c>
      <c r="Y1865" s="100">
        <v>1</v>
      </c>
      <c r="Z1865" s="100">
        <v>1</v>
      </c>
      <c r="AA1865" s="100" t="s">
        <v>115</v>
      </c>
      <c r="AB1865" s="100" t="s">
        <v>115</v>
      </c>
      <c r="AC1865" s="100" t="s">
        <v>115</v>
      </c>
      <c r="AD1865" s="100"/>
      <c r="AE1865" s="100"/>
      <c r="AF1865" s="100"/>
      <c r="AG1865" s="100"/>
      <c r="AH1865" s="100"/>
      <c r="AI1865" s="100" t="s">
        <v>115</v>
      </c>
      <c r="AJ1865" s="100"/>
      <c r="AK1865" s="100"/>
      <c r="AL1865" s="100"/>
      <c r="AM1865" s="100"/>
      <c r="AN1865" s="100"/>
      <c r="AO1865" s="100"/>
      <c r="AP1865" s="89" t="s">
        <v>115</v>
      </c>
    </row>
    <row r="1866" spans="1:42" s="89" customFormat="1" x14ac:dyDescent="0.15">
      <c r="A1866" s="100" t="s">
        <v>1</v>
      </c>
      <c r="B1866" s="101">
        <v>90180204</v>
      </c>
      <c r="C1866" s="101">
        <v>1802</v>
      </c>
      <c r="D1866" s="101">
        <v>18</v>
      </c>
      <c r="E1866" s="101"/>
      <c r="F1866" s="101" t="s">
        <v>115</v>
      </c>
      <c r="G1866" s="101" t="s">
        <v>115</v>
      </c>
      <c r="H1866" s="101" t="s">
        <v>4157</v>
      </c>
      <c r="I1866" s="101">
        <v>4</v>
      </c>
      <c r="J1866" s="100">
        <v>0</v>
      </c>
      <c r="K1866" s="100">
        <v>3</v>
      </c>
      <c r="L1866" s="100" t="s">
        <v>115</v>
      </c>
      <c r="M1866" s="102"/>
      <c r="N1866" s="100"/>
      <c r="O1866" s="100" t="s">
        <v>115</v>
      </c>
      <c r="P1866" s="101"/>
      <c r="Q1866" s="100">
        <v>192</v>
      </c>
      <c r="R1866" s="100">
        <v>164</v>
      </c>
      <c r="S1866" s="100"/>
      <c r="T1866" s="100"/>
      <c r="U1866" s="100"/>
      <c r="V1866" s="100"/>
      <c r="W1866" s="100"/>
      <c r="X1866" s="100">
        <v>90180206</v>
      </c>
      <c r="Y1866" s="100">
        <v>-1</v>
      </c>
      <c r="Z1866" s="100">
        <v>2</v>
      </c>
      <c r="AA1866" s="100" t="s">
        <v>115</v>
      </c>
      <c r="AB1866" s="100" t="s">
        <v>115</v>
      </c>
      <c r="AC1866" s="100" t="s">
        <v>4158</v>
      </c>
      <c r="AD1866" s="100"/>
      <c r="AE1866" s="100"/>
      <c r="AF1866" s="100"/>
      <c r="AG1866" s="100"/>
      <c r="AH1866" s="100"/>
      <c r="AI1866" s="100" t="s">
        <v>115</v>
      </c>
      <c r="AJ1866" s="100"/>
      <c r="AK1866" s="100"/>
      <c r="AL1866" s="100"/>
      <c r="AM1866" s="100"/>
      <c r="AN1866" s="100"/>
      <c r="AO1866" s="100"/>
      <c r="AP1866" s="89" t="s">
        <v>115</v>
      </c>
    </row>
    <row r="1867" spans="1:42" s="89" customFormat="1" x14ac:dyDescent="0.15">
      <c r="A1867" s="100" t="s">
        <v>1</v>
      </c>
      <c r="B1867" s="101">
        <v>90180205</v>
      </c>
      <c r="C1867" s="101">
        <v>1802</v>
      </c>
      <c r="D1867" s="101">
        <v>18</v>
      </c>
      <c r="E1867" s="101"/>
      <c r="F1867" s="101" t="s">
        <v>115</v>
      </c>
      <c r="G1867" s="101" t="s">
        <v>115</v>
      </c>
      <c r="H1867" s="101" t="s">
        <v>4159</v>
      </c>
      <c r="I1867" s="101">
        <v>4</v>
      </c>
      <c r="J1867" s="100">
        <v>0</v>
      </c>
      <c r="K1867" s="100">
        <v>4</v>
      </c>
      <c r="L1867" s="100" t="s">
        <v>115</v>
      </c>
      <c r="M1867" s="102"/>
      <c r="N1867" s="100"/>
      <c r="O1867" s="100" t="s">
        <v>115</v>
      </c>
      <c r="P1867" s="101"/>
      <c r="Q1867" s="100">
        <v>192</v>
      </c>
      <c r="R1867" s="100">
        <v>164</v>
      </c>
      <c r="S1867" s="100"/>
      <c r="T1867" s="100"/>
      <c r="U1867" s="100"/>
      <c r="V1867" s="100"/>
      <c r="W1867" s="100"/>
      <c r="X1867" s="100">
        <v>90180207</v>
      </c>
      <c r="Y1867" s="100">
        <v>-1</v>
      </c>
      <c r="Z1867" s="100">
        <v>2</v>
      </c>
      <c r="AA1867" s="100" t="s">
        <v>115</v>
      </c>
      <c r="AB1867" s="100" t="s">
        <v>115</v>
      </c>
      <c r="AC1867" s="100" t="s">
        <v>4160</v>
      </c>
      <c r="AD1867" s="100"/>
      <c r="AE1867" s="100"/>
      <c r="AF1867" s="100"/>
      <c r="AG1867" s="100"/>
      <c r="AH1867" s="100"/>
      <c r="AI1867" s="100" t="s">
        <v>115</v>
      </c>
      <c r="AJ1867" s="100"/>
      <c r="AK1867" s="100"/>
      <c r="AL1867" s="100"/>
      <c r="AM1867" s="100"/>
      <c r="AN1867" s="100"/>
      <c r="AO1867" s="100"/>
      <c r="AP1867" s="89" t="s">
        <v>115</v>
      </c>
    </row>
    <row r="1868" spans="1:42" s="89" customFormat="1" x14ac:dyDescent="0.15">
      <c r="A1868" s="100" t="s">
        <v>1</v>
      </c>
      <c r="B1868" s="101">
        <v>90180206</v>
      </c>
      <c r="C1868" s="101">
        <v>1802</v>
      </c>
      <c r="D1868" s="101">
        <v>18</v>
      </c>
      <c r="E1868" s="101"/>
      <c r="F1868" s="101" t="s">
        <v>116</v>
      </c>
      <c r="G1868" s="101">
        <v>312</v>
      </c>
      <c r="H1868" s="101" t="s">
        <v>4161</v>
      </c>
      <c r="I1868" s="101">
        <v>0</v>
      </c>
      <c r="J1868" s="100">
        <v>0</v>
      </c>
      <c r="K1868" s="100">
        <v>0</v>
      </c>
      <c r="L1868" s="100" t="s">
        <v>115</v>
      </c>
      <c r="M1868" s="102"/>
      <c r="N1868" s="100"/>
      <c r="O1868" s="100" t="s">
        <v>115</v>
      </c>
      <c r="P1868" s="101"/>
      <c r="Q1868" s="100">
        <v>192</v>
      </c>
      <c r="R1868" s="100">
        <v>164</v>
      </c>
      <c r="S1868" s="100"/>
      <c r="T1868" s="100"/>
      <c r="U1868" s="100"/>
      <c r="V1868" s="100"/>
      <c r="W1868" s="100"/>
      <c r="X1868" s="100">
        <v>90180208</v>
      </c>
      <c r="Y1868" s="100" t="s">
        <v>115</v>
      </c>
      <c r="Z1868" s="100" t="s">
        <v>115</v>
      </c>
      <c r="AA1868" s="100" t="s">
        <v>115</v>
      </c>
      <c r="AB1868" s="100" t="s">
        <v>115</v>
      </c>
      <c r="AC1868" s="100" t="s">
        <v>115</v>
      </c>
      <c r="AD1868" s="100"/>
      <c r="AE1868" s="100"/>
      <c r="AF1868" s="100"/>
      <c r="AG1868" s="100"/>
      <c r="AH1868" s="100"/>
      <c r="AI1868" s="100" t="s">
        <v>115</v>
      </c>
      <c r="AJ1868" s="100"/>
      <c r="AK1868" s="100"/>
      <c r="AL1868" s="100"/>
      <c r="AM1868" s="100"/>
      <c r="AN1868" s="100"/>
      <c r="AO1868" s="100"/>
      <c r="AP1868" s="89" t="s">
        <v>115</v>
      </c>
    </row>
    <row r="1869" spans="1:42" s="89" customFormat="1" x14ac:dyDescent="0.15">
      <c r="A1869" s="100" t="s">
        <v>1</v>
      </c>
      <c r="B1869" s="101">
        <v>90180207</v>
      </c>
      <c r="C1869" s="101">
        <v>1802</v>
      </c>
      <c r="D1869" s="101">
        <v>18</v>
      </c>
      <c r="E1869" s="101"/>
      <c r="F1869" s="101" t="s">
        <v>115</v>
      </c>
      <c r="G1869" s="101" t="s">
        <v>115</v>
      </c>
      <c r="H1869" s="101" t="s">
        <v>4162</v>
      </c>
      <c r="I1869" s="101">
        <v>4</v>
      </c>
      <c r="J1869" s="100">
        <v>0</v>
      </c>
      <c r="K1869" s="100">
        <v>0</v>
      </c>
      <c r="L1869" s="100" t="s">
        <v>115</v>
      </c>
      <c r="M1869" s="102"/>
      <c r="N1869" s="100"/>
      <c r="O1869" s="100" t="s">
        <v>115</v>
      </c>
      <c r="P1869" s="101"/>
      <c r="Q1869" s="100">
        <v>192</v>
      </c>
      <c r="R1869" s="100" t="s">
        <v>115</v>
      </c>
      <c r="S1869" s="100"/>
      <c r="T1869" s="100"/>
      <c r="U1869" s="100"/>
      <c r="V1869" s="100"/>
      <c r="W1869" s="100"/>
      <c r="X1869" s="100">
        <v>90180208</v>
      </c>
      <c r="Y1869" s="100" t="s">
        <v>115</v>
      </c>
      <c r="Z1869" s="100" t="s">
        <v>115</v>
      </c>
      <c r="AA1869" s="100" t="s">
        <v>115</v>
      </c>
      <c r="AB1869" s="100" t="s">
        <v>115</v>
      </c>
      <c r="AC1869" s="100" t="s">
        <v>115</v>
      </c>
      <c r="AD1869" s="100"/>
      <c r="AE1869" s="100"/>
      <c r="AF1869" s="100"/>
      <c r="AG1869" s="100"/>
      <c r="AH1869" s="100"/>
      <c r="AI1869" s="100" t="s">
        <v>115</v>
      </c>
      <c r="AJ1869" s="100"/>
      <c r="AK1869" s="100"/>
      <c r="AL1869" s="100"/>
      <c r="AM1869" s="100"/>
      <c r="AN1869" s="100"/>
      <c r="AO1869" s="100"/>
      <c r="AP1869" s="89" t="s">
        <v>115</v>
      </c>
    </row>
    <row r="1870" spans="1:42" s="89" customFormat="1" x14ac:dyDescent="0.15">
      <c r="A1870" s="100" t="s">
        <v>1</v>
      </c>
      <c r="B1870" s="101">
        <v>90180208</v>
      </c>
      <c r="C1870" s="101">
        <v>1802</v>
      </c>
      <c r="D1870" s="101">
        <v>18</v>
      </c>
      <c r="E1870" s="101"/>
      <c r="F1870" s="101" t="s">
        <v>115</v>
      </c>
      <c r="G1870" s="101" t="s">
        <v>115</v>
      </c>
      <c r="H1870" s="101" t="s">
        <v>4163</v>
      </c>
      <c r="I1870" s="101">
        <v>4</v>
      </c>
      <c r="J1870" s="100">
        <v>0</v>
      </c>
      <c r="K1870" s="100">
        <v>0</v>
      </c>
      <c r="L1870" s="100" t="s">
        <v>115</v>
      </c>
      <c r="M1870" s="102"/>
      <c r="N1870" s="100"/>
      <c r="O1870" s="100" t="s">
        <v>115</v>
      </c>
      <c r="P1870" s="101"/>
      <c r="Q1870" s="100">
        <v>192</v>
      </c>
      <c r="R1870" s="100" t="s">
        <v>115</v>
      </c>
      <c r="S1870" s="100"/>
      <c r="T1870" s="100"/>
      <c r="U1870" s="100"/>
      <c r="V1870" s="100"/>
      <c r="W1870" s="100"/>
      <c r="X1870" s="100">
        <v>90180209</v>
      </c>
      <c r="Y1870" s="100" t="s">
        <v>115</v>
      </c>
      <c r="Z1870" s="100" t="s">
        <v>115</v>
      </c>
      <c r="AA1870" s="100" t="s">
        <v>115</v>
      </c>
      <c r="AB1870" s="100" t="s">
        <v>115</v>
      </c>
      <c r="AC1870" s="100" t="s">
        <v>115</v>
      </c>
      <c r="AD1870" s="100"/>
      <c r="AE1870" s="100"/>
      <c r="AF1870" s="100"/>
      <c r="AG1870" s="100"/>
      <c r="AH1870" s="100"/>
      <c r="AI1870" s="100" t="s">
        <v>115</v>
      </c>
      <c r="AJ1870" s="100"/>
      <c r="AK1870" s="100"/>
      <c r="AL1870" s="100"/>
      <c r="AM1870" s="100"/>
      <c r="AN1870" s="100"/>
      <c r="AO1870" s="100"/>
      <c r="AP1870" s="89" t="s">
        <v>115</v>
      </c>
    </row>
    <row r="1871" spans="1:42" s="89" customFormat="1" x14ac:dyDescent="0.15">
      <c r="A1871" s="100" t="s">
        <v>1</v>
      </c>
      <c r="B1871" s="101">
        <v>90180209</v>
      </c>
      <c r="C1871" s="101">
        <v>1802</v>
      </c>
      <c r="D1871" s="101">
        <v>18</v>
      </c>
      <c r="E1871" s="101"/>
      <c r="F1871" s="101" t="s">
        <v>116</v>
      </c>
      <c r="G1871" s="101">
        <v>312</v>
      </c>
      <c r="H1871" s="101" t="s">
        <v>4164</v>
      </c>
      <c r="I1871" s="101">
        <v>0</v>
      </c>
      <c r="J1871" s="100">
        <v>0</v>
      </c>
      <c r="K1871" s="100">
        <v>5</v>
      </c>
      <c r="L1871" s="100" t="s">
        <v>115</v>
      </c>
      <c r="M1871" s="102"/>
      <c r="N1871" s="100"/>
      <c r="O1871" s="100">
        <v>1</v>
      </c>
      <c r="P1871" s="101"/>
      <c r="Q1871" s="100">
        <v>192</v>
      </c>
      <c r="R1871" s="100" t="s">
        <v>115</v>
      </c>
      <c r="S1871" s="100"/>
      <c r="T1871" s="100"/>
      <c r="U1871" s="100"/>
      <c r="V1871" s="100"/>
      <c r="W1871" s="100"/>
      <c r="X1871" s="100" t="s">
        <v>115</v>
      </c>
      <c r="Y1871" s="100" t="s">
        <v>115</v>
      </c>
      <c r="Z1871" s="100">
        <v>4</v>
      </c>
      <c r="AA1871" s="100" t="s">
        <v>115</v>
      </c>
      <c r="AB1871" s="100" t="s">
        <v>115</v>
      </c>
      <c r="AC1871" s="100" t="s">
        <v>115</v>
      </c>
      <c r="AD1871" s="100"/>
      <c r="AE1871" s="100"/>
      <c r="AF1871" s="100"/>
      <c r="AG1871" s="100"/>
      <c r="AH1871" s="100"/>
      <c r="AI1871" s="100" t="s">
        <v>115</v>
      </c>
      <c r="AJ1871" s="100"/>
      <c r="AK1871" s="100"/>
      <c r="AL1871" s="100"/>
      <c r="AM1871" s="100"/>
      <c r="AN1871" s="100"/>
      <c r="AO1871" s="100"/>
      <c r="AP1871" s="89" t="s">
        <v>4165</v>
      </c>
    </row>
    <row r="1872" spans="1:42" s="89" customFormat="1" x14ac:dyDescent="0.15">
      <c r="A1872" s="100" t="s">
        <v>1</v>
      </c>
      <c r="B1872" s="101" t="s">
        <v>3957</v>
      </c>
      <c r="C1872" s="101">
        <v>1803</v>
      </c>
      <c r="D1872" s="101">
        <v>18</v>
      </c>
      <c r="E1872" s="101"/>
      <c r="F1872" s="101" t="s">
        <v>115</v>
      </c>
      <c r="G1872" s="101" t="s">
        <v>115</v>
      </c>
      <c r="H1872" s="101" t="s">
        <v>4166</v>
      </c>
      <c r="I1872" s="101">
        <v>4</v>
      </c>
      <c r="J1872" s="100">
        <v>1</v>
      </c>
      <c r="K1872" s="100">
        <v>1</v>
      </c>
      <c r="L1872" s="100" t="s">
        <v>115</v>
      </c>
      <c r="M1872" s="102"/>
      <c r="N1872" s="100"/>
      <c r="O1872" s="100" t="s">
        <v>115</v>
      </c>
      <c r="P1872" s="101"/>
      <c r="Q1872" s="100">
        <v>110</v>
      </c>
      <c r="R1872" s="100" t="s">
        <v>115</v>
      </c>
      <c r="S1872" s="100"/>
      <c r="T1872" s="100"/>
      <c r="U1872" s="100"/>
      <c r="V1872" s="100"/>
      <c r="W1872" s="100"/>
      <c r="X1872" s="100">
        <v>90180302</v>
      </c>
      <c r="Y1872" s="100" t="s">
        <v>115</v>
      </c>
      <c r="Z1872" s="100" t="s">
        <v>115</v>
      </c>
      <c r="AA1872" s="100" t="s">
        <v>115</v>
      </c>
      <c r="AB1872" s="100" t="s">
        <v>115</v>
      </c>
      <c r="AC1872" s="100" t="s">
        <v>115</v>
      </c>
      <c r="AD1872" s="100"/>
      <c r="AE1872" s="100"/>
      <c r="AF1872" s="100"/>
      <c r="AG1872" s="100"/>
      <c r="AH1872" s="100"/>
      <c r="AI1872" s="100" t="s">
        <v>115</v>
      </c>
      <c r="AJ1872" s="100"/>
      <c r="AK1872" s="100"/>
      <c r="AL1872" s="100"/>
      <c r="AM1872" s="100"/>
      <c r="AN1872" s="100"/>
      <c r="AO1872" s="100"/>
      <c r="AP1872" s="89" t="s">
        <v>115</v>
      </c>
    </row>
    <row r="1873" spans="1:42" s="89" customFormat="1" x14ac:dyDescent="0.15">
      <c r="A1873" s="100" t="s">
        <v>1</v>
      </c>
      <c r="B1873" s="101">
        <v>90180302</v>
      </c>
      <c r="C1873" s="101">
        <v>1803</v>
      </c>
      <c r="D1873" s="101">
        <v>18</v>
      </c>
      <c r="E1873" s="101"/>
      <c r="F1873" s="101" t="s">
        <v>116</v>
      </c>
      <c r="G1873" s="101">
        <v>313</v>
      </c>
      <c r="H1873" s="101" t="s">
        <v>4167</v>
      </c>
      <c r="I1873" s="101">
        <v>0</v>
      </c>
      <c r="J1873" s="100">
        <v>0</v>
      </c>
      <c r="K1873" s="100">
        <v>0</v>
      </c>
      <c r="L1873" s="100" t="s">
        <v>115</v>
      </c>
      <c r="M1873" s="102"/>
      <c r="N1873" s="100"/>
      <c r="O1873" s="100" t="s">
        <v>115</v>
      </c>
      <c r="P1873" s="101"/>
      <c r="Q1873" s="100">
        <v>110</v>
      </c>
      <c r="R1873" s="100">
        <v>128</v>
      </c>
      <c r="S1873" s="100"/>
      <c r="T1873" s="100"/>
      <c r="U1873" s="100"/>
      <c r="V1873" s="100"/>
      <c r="W1873" s="100"/>
      <c r="X1873" s="100">
        <v>90180303</v>
      </c>
      <c r="Y1873" s="100" t="s">
        <v>115</v>
      </c>
      <c r="Z1873" s="100" t="s">
        <v>115</v>
      </c>
      <c r="AA1873" s="100" t="s">
        <v>115</v>
      </c>
      <c r="AB1873" s="100" t="s">
        <v>115</v>
      </c>
      <c r="AC1873" s="100" t="s">
        <v>115</v>
      </c>
      <c r="AD1873" s="100"/>
      <c r="AE1873" s="100"/>
      <c r="AF1873" s="100"/>
      <c r="AG1873" s="100"/>
      <c r="AH1873" s="100"/>
      <c r="AI1873" s="100" t="s">
        <v>115</v>
      </c>
      <c r="AJ1873" s="100"/>
      <c r="AK1873" s="100"/>
      <c r="AL1873" s="100"/>
      <c r="AM1873" s="100"/>
      <c r="AN1873" s="100"/>
      <c r="AO1873" s="100"/>
      <c r="AP1873" s="89" t="s">
        <v>115</v>
      </c>
    </row>
    <row r="1874" spans="1:42" s="89" customFormat="1" x14ac:dyDescent="0.15">
      <c r="A1874" s="100" t="s">
        <v>1</v>
      </c>
      <c r="B1874" s="101">
        <v>90180303</v>
      </c>
      <c r="C1874" s="101">
        <v>1803</v>
      </c>
      <c r="D1874" s="101">
        <v>18</v>
      </c>
      <c r="E1874" s="101"/>
      <c r="F1874" s="101" t="s">
        <v>116</v>
      </c>
      <c r="G1874" s="101">
        <v>314</v>
      </c>
      <c r="H1874" s="101" t="s">
        <v>4168</v>
      </c>
      <c r="I1874" s="101">
        <v>0</v>
      </c>
      <c r="J1874" s="100">
        <v>0</v>
      </c>
      <c r="K1874" s="100">
        <v>0</v>
      </c>
      <c r="L1874" s="100" t="s">
        <v>115</v>
      </c>
      <c r="M1874" s="102"/>
      <c r="N1874" s="100"/>
      <c r="O1874" s="100" t="s">
        <v>115</v>
      </c>
      <c r="P1874" s="101"/>
      <c r="Q1874" s="100">
        <v>110</v>
      </c>
      <c r="R1874" s="100">
        <v>128</v>
      </c>
      <c r="S1874" s="100"/>
      <c r="T1874" s="100"/>
      <c r="U1874" s="100"/>
      <c r="V1874" s="100"/>
      <c r="W1874" s="100"/>
      <c r="X1874" s="100">
        <v>90180304</v>
      </c>
      <c r="Y1874" s="100" t="s">
        <v>115</v>
      </c>
      <c r="Z1874" s="100" t="s">
        <v>115</v>
      </c>
      <c r="AA1874" s="100" t="s">
        <v>115</v>
      </c>
      <c r="AB1874" s="100" t="s">
        <v>115</v>
      </c>
      <c r="AC1874" s="100" t="s">
        <v>115</v>
      </c>
      <c r="AD1874" s="100"/>
      <c r="AE1874" s="100"/>
      <c r="AF1874" s="100"/>
      <c r="AG1874" s="100"/>
      <c r="AH1874" s="100"/>
      <c r="AI1874" s="100" t="s">
        <v>115</v>
      </c>
      <c r="AJ1874" s="100"/>
      <c r="AK1874" s="100"/>
      <c r="AL1874" s="100"/>
      <c r="AM1874" s="100"/>
      <c r="AN1874" s="100"/>
      <c r="AO1874" s="100"/>
      <c r="AP1874" s="89" t="s">
        <v>115</v>
      </c>
    </row>
    <row r="1875" spans="1:42" s="89" customFormat="1" x14ac:dyDescent="0.15">
      <c r="A1875" s="100" t="s">
        <v>1</v>
      </c>
      <c r="B1875" s="101">
        <v>90180304</v>
      </c>
      <c r="C1875" s="101">
        <v>1803</v>
      </c>
      <c r="D1875" s="101">
        <v>18</v>
      </c>
      <c r="E1875" s="101"/>
      <c r="F1875" s="101" t="s">
        <v>115</v>
      </c>
      <c r="G1875" s="101" t="s">
        <v>115</v>
      </c>
      <c r="H1875" s="101" t="s">
        <v>4169</v>
      </c>
      <c r="I1875" s="101">
        <v>4</v>
      </c>
      <c r="J1875" s="100">
        <v>0</v>
      </c>
      <c r="K1875" s="100">
        <v>2</v>
      </c>
      <c r="L1875" s="100" t="s">
        <v>115</v>
      </c>
      <c r="M1875" s="102"/>
      <c r="N1875" s="100"/>
      <c r="O1875" s="100" t="s">
        <v>115</v>
      </c>
      <c r="P1875" s="101"/>
      <c r="Q1875" s="100">
        <v>110</v>
      </c>
      <c r="R1875" s="100" t="s">
        <v>115</v>
      </c>
      <c r="S1875" s="100"/>
      <c r="T1875" s="100"/>
      <c r="U1875" s="100"/>
      <c r="V1875" s="100"/>
      <c r="W1875" s="100"/>
      <c r="X1875" s="100" t="s">
        <v>4170</v>
      </c>
      <c r="Y1875" s="100">
        <v>1</v>
      </c>
      <c r="Z1875" s="100">
        <v>1</v>
      </c>
      <c r="AA1875" s="100" t="s">
        <v>115</v>
      </c>
      <c r="AB1875" s="100" t="s">
        <v>115</v>
      </c>
      <c r="AC1875" s="100" t="s">
        <v>115</v>
      </c>
      <c r="AD1875" s="100"/>
      <c r="AE1875" s="100"/>
      <c r="AF1875" s="100"/>
      <c r="AG1875" s="100"/>
      <c r="AH1875" s="100"/>
      <c r="AI1875" s="100" t="s">
        <v>115</v>
      </c>
      <c r="AJ1875" s="100"/>
      <c r="AK1875" s="100"/>
      <c r="AL1875" s="100"/>
      <c r="AM1875" s="100"/>
      <c r="AN1875" s="100"/>
      <c r="AO1875" s="100"/>
      <c r="AP1875" s="89" t="s">
        <v>4171</v>
      </c>
    </row>
    <row r="1876" spans="1:42" s="89" customFormat="1" x14ac:dyDescent="0.15">
      <c r="A1876" s="100" t="s">
        <v>1</v>
      </c>
      <c r="B1876" s="101">
        <v>90180305</v>
      </c>
      <c r="C1876" s="101">
        <v>1803</v>
      </c>
      <c r="D1876" s="101">
        <v>18</v>
      </c>
      <c r="E1876" s="101"/>
      <c r="F1876" s="101" t="s">
        <v>115</v>
      </c>
      <c r="G1876" s="101" t="s">
        <v>115</v>
      </c>
      <c r="H1876" s="101" t="s">
        <v>4172</v>
      </c>
      <c r="I1876" s="101">
        <v>4</v>
      </c>
      <c r="J1876" s="100">
        <v>0</v>
      </c>
      <c r="K1876" s="100">
        <v>3</v>
      </c>
      <c r="L1876" s="100" t="s">
        <v>115</v>
      </c>
      <c r="M1876" s="102"/>
      <c r="N1876" s="100"/>
      <c r="O1876" s="100" t="s">
        <v>115</v>
      </c>
      <c r="P1876" s="101"/>
      <c r="Q1876" s="100">
        <v>110</v>
      </c>
      <c r="R1876" s="100" t="s">
        <v>115</v>
      </c>
      <c r="S1876" s="100"/>
      <c r="T1876" s="100"/>
      <c r="U1876" s="100"/>
      <c r="V1876" s="100"/>
      <c r="W1876" s="100"/>
      <c r="X1876" s="100">
        <v>90180306</v>
      </c>
      <c r="Y1876" s="100">
        <v>-1</v>
      </c>
      <c r="Z1876" s="100">
        <v>2</v>
      </c>
      <c r="AA1876" s="100" t="s">
        <v>115</v>
      </c>
      <c r="AB1876" s="100" t="s">
        <v>115</v>
      </c>
      <c r="AC1876" s="100" t="s">
        <v>4173</v>
      </c>
      <c r="AD1876" s="100"/>
      <c r="AE1876" s="100"/>
      <c r="AF1876" s="100"/>
      <c r="AG1876" s="100"/>
      <c r="AH1876" s="100"/>
      <c r="AI1876" s="100" t="s">
        <v>115</v>
      </c>
      <c r="AJ1876" s="100"/>
      <c r="AK1876" s="100"/>
      <c r="AL1876" s="100"/>
      <c r="AM1876" s="100"/>
      <c r="AN1876" s="100"/>
      <c r="AO1876" s="100"/>
      <c r="AP1876" s="89" t="s">
        <v>115</v>
      </c>
    </row>
    <row r="1877" spans="1:42" s="89" customFormat="1" x14ac:dyDescent="0.15">
      <c r="A1877" s="100" t="s">
        <v>1</v>
      </c>
      <c r="B1877" s="101">
        <v>90180306</v>
      </c>
      <c r="C1877" s="101">
        <v>1803</v>
      </c>
      <c r="D1877" s="101">
        <v>18</v>
      </c>
      <c r="E1877" s="101"/>
      <c r="F1877" s="101" t="s">
        <v>115</v>
      </c>
      <c r="G1877" s="101" t="s">
        <v>115</v>
      </c>
      <c r="H1877" s="101" t="s">
        <v>4174</v>
      </c>
      <c r="I1877" s="101">
        <v>4</v>
      </c>
      <c r="J1877" s="100">
        <v>0</v>
      </c>
      <c r="K1877" s="100">
        <v>0</v>
      </c>
      <c r="L1877" s="100" t="s">
        <v>115</v>
      </c>
      <c r="M1877" s="102"/>
      <c r="N1877" s="100"/>
      <c r="O1877" s="100" t="s">
        <v>115</v>
      </c>
      <c r="P1877" s="101"/>
      <c r="Q1877" s="100">
        <v>110</v>
      </c>
      <c r="R1877" s="100" t="s">
        <v>115</v>
      </c>
      <c r="S1877" s="100"/>
      <c r="T1877" s="100"/>
      <c r="U1877" s="100"/>
      <c r="V1877" s="100"/>
      <c r="W1877" s="100"/>
      <c r="X1877" s="100">
        <v>90180307</v>
      </c>
      <c r="Y1877" s="100" t="s">
        <v>115</v>
      </c>
      <c r="Z1877" s="100" t="s">
        <v>115</v>
      </c>
      <c r="AA1877" s="100" t="s">
        <v>115</v>
      </c>
      <c r="AB1877" s="100" t="s">
        <v>115</v>
      </c>
      <c r="AC1877" s="100" t="s">
        <v>115</v>
      </c>
      <c r="AD1877" s="100"/>
      <c r="AE1877" s="100"/>
      <c r="AF1877" s="100"/>
      <c r="AG1877" s="100"/>
      <c r="AH1877" s="100"/>
      <c r="AI1877" s="100" t="s">
        <v>115</v>
      </c>
      <c r="AJ1877" s="100"/>
      <c r="AK1877" s="100"/>
      <c r="AL1877" s="100"/>
      <c r="AM1877" s="100"/>
      <c r="AN1877" s="100"/>
      <c r="AO1877" s="100"/>
      <c r="AP1877" s="89" t="s">
        <v>115</v>
      </c>
    </row>
    <row r="1878" spans="1:42" s="89" customFormat="1" x14ac:dyDescent="0.15">
      <c r="A1878" s="100" t="s">
        <v>1</v>
      </c>
      <c r="B1878" s="101">
        <v>90180307</v>
      </c>
      <c r="C1878" s="101">
        <v>1803</v>
      </c>
      <c r="D1878" s="101">
        <v>18</v>
      </c>
      <c r="E1878" s="101"/>
      <c r="F1878" s="101" t="s">
        <v>4175</v>
      </c>
      <c r="G1878" s="101" t="s">
        <v>115</v>
      </c>
      <c r="H1878" s="101" t="s">
        <v>4176</v>
      </c>
      <c r="I1878" s="101">
        <v>3</v>
      </c>
      <c r="J1878" s="100">
        <v>0</v>
      </c>
      <c r="K1878" s="100">
        <v>0</v>
      </c>
      <c r="L1878" s="100" t="s">
        <v>115</v>
      </c>
      <c r="M1878" s="102"/>
      <c r="N1878" s="100"/>
      <c r="O1878" s="100" t="s">
        <v>115</v>
      </c>
      <c r="P1878" s="101"/>
      <c r="Q1878" s="100">
        <v>110</v>
      </c>
      <c r="R1878" s="100">
        <v>213</v>
      </c>
      <c r="S1878" s="100"/>
      <c r="T1878" s="100"/>
      <c r="U1878" s="100"/>
      <c r="V1878" s="100"/>
      <c r="W1878" s="100"/>
      <c r="X1878" s="100">
        <v>90180308</v>
      </c>
      <c r="Y1878" s="100" t="s">
        <v>115</v>
      </c>
      <c r="Z1878" s="100" t="s">
        <v>115</v>
      </c>
      <c r="AA1878" s="100" t="s">
        <v>115</v>
      </c>
      <c r="AB1878" s="100" t="s">
        <v>115</v>
      </c>
      <c r="AC1878" s="100" t="s">
        <v>115</v>
      </c>
      <c r="AD1878" s="100"/>
      <c r="AE1878" s="100"/>
      <c r="AF1878" s="100"/>
      <c r="AG1878" s="100"/>
      <c r="AH1878" s="100"/>
      <c r="AI1878" s="100" t="s">
        <v>115</v>
      </c>
      <c r="AJ1878" s="100"/>
      <c r="AK1878" s="100"/>
      <c r="AL1878" s="100"/>
      <c r="AM1878" s="100"/>
      <c r="AN1878" s="100"/>
      <c r="AO1878" s="100"/>
      <c r="AP1878" s="89" t="s">
        <v>115</v>
      </c>
    </row>
    <row r="1879" spans="1:42" s="89" customFormat="1" x14ac:dyDescent="0.15">
      <c r="A1879" s="100" t="s">
        <v>1</v>
      </c>
      <c r="B1879" s="101">
        <v>90180308</v>
      </c>
      <c r="C1879" s="101">
        <v>1803</v>
      </c>
      <c r="D1879" s="101">
        <v>18</v>
      </c>
      <c r="E1879" s="101"/>
      <c r="F1879" s="101" t="s">
        <v>116</v>
      </c>
      <c r="G1879" s="101">
        <v>314</v>
      </c>
      <c r="H1879" s="101" t="s">
        <v>4177</v>
      </c>
      <c r="I1879" s="101">
        <v>0</v>
      </c>
      <c r="J1879" s="100">
        <v>0</v>
      </c>
      <c r="K1879" s="100">
        <v>0</v>
      </c>
      <c r="L1879" s="100" t="s">
        <v>115</v>
      </c>
      <c r="M1879" s="102"/>
      <c r="N1879" s="100"/>
      <c r="O1879" s="100" t="s">
        <v>115</v>
      </c>
      <c r="P1879" s="101"/>
      <c r="Q1879" s="100">
        <v>110</v>
      </c>
      <c r="R1879" s="100">
        <v>213</v>
      </c>
      <c r="S1879" s="100"/>
      <c r="T1879" s="100"/>
      <c r="U1879" s="100"/>
      <c r="V1879" s="100"/>
      <c r="W1879" s="100"/>
      <c r="X1879" s="100">
        <v>90180309</v>
      </c>
      <c r="Y1879" s="100" t="s">
        <v>115</v>
      </c>
      <c r="Z1879" s="100" t="s">
        <v>115</v>
      </c>
      <c r="AA1879" s="100" t="s">
        <v>115</v>
      </c>
      <c r="AB1879" s="100" t="s">
        <v>115</v>
      </c>
      <c r="AC1879" s="100" t="s">
        <v>115</v>
      </c>
      <c r="AD1879" s="100"/>
      <c r="AE1879" s="100"/>
      <c r="AF1879" s="100"/>
      <c r="AG1879" s="100"/>
      <c r="AH1879" s="100"/>
      <c r="AI1879" s="100" t="s">
        <v>115</v>
      </c>
      <c r="AJ1879" s="100"/>
      <c r="AK1879" s="100"/>
      <c r="AL1879" s="100"/>
      <c r="AM1879" s="100"/>
      <c r="AN1879" s="100"/>
      <c r="AO1879" s="100"/>
      <c r="AP1879" s="89" t="s">
        <v>115</v>
      </c>
    </row>
    <row r="1880" spans="1:42" s="89" customFormat="1" x14ac:dyDescent="0.15">
      <c r="A1880" s="100" t="s">
        <v>1</v>
      </c>
      <c r="B1880" s="101">
        <v>90180309</v>
      </c>
      <c r="C1880" s="101">
        <v>1803</v>
      </c>
      <c r="D1880" s="101">
        <v>18</v>
      </c>
      <c r="E1880" s="101"/>
      <c r="F1880" s="101" t="s">
        <v>116</v>
      </c>
      <c r="G1880" s="101">
        <v>314</v>
      </c>
      <c r="H1880" s="101" t="s">
        <v>4178</v>
      </c>
      <c r="I1880" s="101">
        <v>0</v>
      </c>
      <c r="J1880" s="100">
        <v>0</v>
      </c>
      <c r="K1880" s="100">
        <v>0</v>
      </c>
      <c r="L1880" s="100" t="s">
        <v>115</v>
      </c>
      <c r="M1880" s="102"/>
      <c r="N1880" s="100"/>
      <c r="O1880" s="100" t="s">
        <v>115</v>
      </c>
      <c r="P1880" s="101"/>
      <c r="Q1880" s="100">
        <v>110</v>
      </c>
      <c r="R1880" s="100">
        <v>213</v>
      </c>
      <c r="S1880" s="100"/>
      <c r="T1880" s="100"/>
      <c r="U1880" s="100"/>
      <c r="V1880" s="100"/>
      <c r="W1880" s="100"/>
      <c r="X1880" s="100">
        <v>90180310</v>
      </c>
      <c r="Y1880" s="100" t="s">
        <v>115</v>
      </c>
      <c r="Z1880" s="100" t="s">
        <v>115</v>
      </c>
      <c r="AA1880" s="100" t="s">
        <v>115</v>
      </c>
      <c r="AB1880" s="100" t="s">
        <v>115</v>
      </c>
      <c r="AC1880" s="100" t="s">
        <v>115</v>
      </c>
      <c r="AD1880" s="100"/>
      <c r="AE1880" s="100"/>
      <c r="AF1880" s="100"/>
      <c r="AG1880" s="100"/>
      <c r="AH1880" s="100"/>
      <c r="AI1880" s="100" t="s">
        <v>115</v>
      </c>
      <c r="AJ1880" s="100"/>
      <c r="AK1880" s="100"/>
      <c r="AL1880" s="100"/>
      <c r="AM1880" s="100"/>
      <c r="AN1880" s="100"/>
      <c r="AO1880" s="100"/>
      <c r="AP1880" s="89" t="s">
        <v>115</v>
      </c>
    </row>
    <row r="1881" spans="1:42" s="89" customFormat="1" x14ac:dyDescent="0.15">
      <c r="A1881" s="100" t="s">
        <v>1</v>
      </c>
      <c r="B1881" s="101">
        <v>90180310</v>
      </c>
      <c r="C1881" s="101">
        <v>1803</v>
      </c>
      <c r="D1881" s="101">
        <v>18</v>
      </c>
      <c r="E1881" s="101"/>
      <c r="F1881" s="101" t="s">
        <v>115</v>
      </c>
      <c r="G1881" s="101" t="s">
        <v>115</v>
      </c>
      <c r="H1881" s="101" t="s">
        <v>4179</v>
      </c>
      <c r="I1881" s="101">
        <v>4</v>
      </c>
      <c r="J1881" s="100">
        <v>0</v>
      </c>
      <c r="K1881" s="100">
        <v>0</v>
      </c>
      <c r="L1881" s="100" t="s">
        <v>115</v>
      </c>
      <c r="M1881" s="102"/>
      <c r="N1881" s="100"/>
      <c r="O1881" s="100" t="s">
        <v>115</v>
      </c>
      <c r="P1881" s="101"/>
      <c r="Q1881" s="100">
        <v>110</v>
      </c>
      <c r="R1881" s="100">
        <v>213</v>
      </c>
      <c r="S1881" s="100"/>
      <c r="T1881" s="100"/>
      <c r="U1881" s="100"/>
      <c r="V1881" s="100"/>
      <c r="W1881" s="100"/>
      <c r="X1881" s="100">
        <v>90180311</v>
      </c>
      <c r="Y1881" s="100" t="s">
        <v>115</v>
      </c>
      <c r="Z1881" s="100" t="s">
        <v>115</v>
      </c>
      <c r="AA1881" s="100" t="s">
        <v>115</v>
      </c>
      <c r="AB1881" s="100" t="s">
        <v>115</v>
      </c>
      <c r="AC1881" s="100" t="s">
        <v>115</v>
      </c>
      <c r="AD1881" s="100"/>
      <c r="AE1881" s="100"/>
      <c r="AF1881" s="100"/>
      <c r="AG1881" s="100"/>
      <c r="AH1881" s="100"/>
      <c r="AI1881" s="100" t="s">
        <v>115</v>
      </c>
      <c r="AJ1881" s="100"/>
      <c r="AK1881" s="100"/>
      <c r="AL1881" s="100"/>
      <c r="AM1881" s="100"/>
      <c r="AN1881" s="100"/>
      <c r="AO1881" s="100"/>
      <c r="AP1881" s="89" t="s">
        <v>115</v>
      </c>
    </row>
    <row r="1882" spans="1:42" s="89" customFormat="1" x14ac:dyDescent="0.15">
      <c r="A1882" s="100" t="s">
        <v>1</v>
      </c>
      <c r="B1882" s="101">
        <v>90180311</v>
      </c>
      <c r="C1882" s="101">
        <v>1803</v>
      </c>
      <c r="D1882" s="101">
        <v>18</v>
      </c>
      <c r="E1882" s="101"/>
      <c r="F1882" s="101" t="s">
        <v>116</v>
      </c>
      <c r="G1882" s="101">
        <v>314</v>
      </c>
      <c r="H1882" s="101" t="s">
        <v>4180</v>
      </c>
      <c r="I1882" s="101">
        <v>0</v>
      </c>
      <c r="J1882" s="100">
        <v>0</v>
      </c>
      <c r="K1882" s="100">
        <v>4</v>
      </c>
      <c r="L1882" s="100" t="s">
        <v>4181</v>
      </c>
      <c r="M1882" s="102"/>
      <c r="N1882" s="100"/>
      <c r="O1882" s="100" t="s">
        <v>115</v>
      </c>
      <c r="P1882" s="101"/>
      <c r="Q1882" s="100">
        <v>110</v>
      </c>
      <c r="R1882" s="100" t="s">
        <v>115</v>
      </c>
      <c r="S1882" s="100"/>
      <c r="T1882" s="100"/>
      <c r="U1882" s="100"/>
      <c r="V1882" s="100"/>
      <c r="W1882" s="100"/>
      <c r="X1882" s="100">
        <v>90180312</v>
      </c>
      <c r="Y1882" s="100" t="s">
        <v>115</v>
      </c>
      <c r="Z1882" s="100">
        <v>3</v>
      </c>
      <c r="AA1882" s="100" t="s">
        <v>115</v>
      </c>
      <c r="AB1882" s="100" t="s">
        <v>115</v>
      </c>
      <c r="AC1882" s="100" t="s">
        <v>115</v>
      </c>
      <c r="AD1882" s="100"/>
      <c r="AE1882" s="100"/>
      <c r="AF1882" s="100"/>
      <c r="AG1882" s="100"/>
      <c r="AH1882" s="100"/>
      <c r="AI1882" s="100" t="s">
        <v>115</v>
      </c>
      <c r="AJ1882" s="100"/>
      <c r="AK1882" s="100"/>
      <c r="AL1882" s="100"/>
      <c r="AM1882" s="100"/>
      <c r="AN1882" s="100"/>
      <c r="AO1882" s="100"/>
      <c r="AP1882" s="89" t="s">
        <v>115</v>
      </c>
    </row>
    <row r="1883" spans="1:42" s="89" customFormat="1" x14ac:dyDescent="0.15">
      <c r="A1883" s="100" t="s">
        <v>1</v>
      </c>
      <c r="B1883" s="101">
        <v>90180312</v>
      </c>
      <c r="C1883" s="101">
        <v>1803</v>
      </c>
      <c r="D1883" s="101">
        <v>18</v>
      </c>
      <c r="E1883" s="101"/>
      <c r="F1883" s="101" t="s">
        <v>116</v>
      </c>
      <c r="G1883" s="101">
        <v>314</v>
      </c>
      <c r="H1883" s="101" t="s">
        <v>4182</v>
      </c>
      <c r="I1883" s="101">
        <v>0</v>
      </c>
      <c r="J1883" s="100">
        <v>0</v>
      </c>
      <c r="K1883" s="100">
        <v>5</v>
      </c>
      <c r="L1883" s="100" t="s">
        <v>115</v>
      </c>
      <c r="M1883" s="102"/>
      <c r="N1883" s="100"/>
      <c r="O1883" s="100">
        <v>1</v>
      </c>
      <c r="P1883" s="101"/>
      <c r="Q1883" s="100">
        <v>110</v>
      </c>
      <c r="R1883" s="100" t="s">
        <v>115</v>
      </c>
      <c r="S1883" s="100"/>
      <c r="T1883" s="100"/>
      <c r="U1883" s="100"/>
      <c r="V1883" s="100"/>
      <c r="W1883" s="100"/>
      <c r="X1883" s="100" t="s">
        <v>115</v>
      </c>
      <c r="Y1883" s="100" t="s">
        <v>115</v>
      </c>
      <c r="Z1883" s="100">
        <v>4</v>
      </c>
      <c r="AA1883" s="100" t="s">
        <v>115</v>
      </c>
      <c r="AB1883" s="100" t="s">
        <v>115</v>
      </c>
      <c r="AC1883" s="100" t="s">
        <v>115</v>
      </c>
      <c r="AD1883" s="100"/>
      <c r="AE1883" s="100"/>
      <c r="AF1883" s="100"/>
      <c r="AG1883" s="100"/>
      <c r="AH1883" s="100"/>
      <c r="AI1883" s="100" t="s">
        <v>115</v>
      </c>
      <c r="AJ1883" s="100"/>
      <c r="AK1883" s="100"/>
      <c r="AL1883" s="100"/>
      <c r="AM1883" s="100"/>
      <c r="AN1883" s="100"/>
      <c r="AO1883" s="100"/>
      <c r="AP1883" s="89" t="s">
        <v>4171</v>
      </c>
    </row>
    <row r="1884" spans="1:42" s="89" customFormat="1" x14ac:dyDescent="0.15">
      <c r="A1884" s="100" t="s">
        <v>1</v>
      </c>
      <c r="B1884" s="101" t="s">
        <v>3959</v>
      </c>
      <c r="C1884" s="101">
        <v>1804</v>
      </c>
      <c r="D1884" s="101">
        <v>18</v>
      </c>
      <c r="E1884" s="101"/>
      <c r="F1884" s="101" t="s">
        <v>115</v>
      </c>
      <c r="G1884" s="101" t="s">
        <v>115</v>
      </c>
      <c r="H1884" s="101" t="s">
        <v>4183</v>
      </c>
      <c r="I1884" s="101">
        <v>4</v>
      </c>
      <c r="J1884" s="100">
        <v>1</v>
      </c>
      <c r="K1884" s="100">
        <v>1</v>
      </c>
      <c r="L1884" s="100" t="s">
        <v>115</v>
      </c>
      <c r="M1884" s="102"/>
      <c r="N1884" s="100"/>
      <c r="O1884" s="100" t="s">
        <v>115</v>
      </c>
      <c r="P1884" s="101"/>
      <c r="Q1884" s="100">
        <v>18</v>
      </c>
      <c r="R1884" s="100" t="s">
        <v>115</v>
      </c>
      <c r="S1884" s="100"/>
      <c r="T1884" s="100"/>
      <c r="U1884" s="100"/>
      <c r="V1884" s="100"/>
      <c r="W1884" s="100"/>
      <c r="X1884" s="100">
        <v>90180402</v>
      </c>
      <c r="Y1884" s="100" t="s">
        <v>115</v>
      </c>
      <c r="Z1884" s="100" t="s">
        <v>115</v>
      </c>
      <c r="AA1884" s="100" t="s">
        <v>115</v>
      </c>
      <c r="AB1884" s="100" t="s">
        <v>115</v>
      </c>
      <c r="AC1884" s="100" t="s">
        <v>115</v>
      </c>
      <c r="AD1884" s="100"/>
      <c r="AE1884" s="100"/>
      <c r="AF1884" s="100"/>
      <c r="AG1884" s="100"/>
      <c r="AH1884" s="100"/>
      <c r="AI1884" s="100" t="s">
        <v>115</v>
      </c>
      <c r="AJ1884" s="100"/>
      <c r="AK1884" s="100"/>
      <c r="AL1884" s="100"/>
      <c r="AM1884" s="100"/>
      <c r="AN1884" s="100"/>
      <c r="AO1884" s="100"/>
      <c r="AP1884" s="89" t="s">
        <v>115</v>
      </c>
    </row>
    <row r="1885" spans="1:42" s="89" customFormat="1" x14ac:dyDescent="0.15">
      <c r="A1885" s="100" t="s">
        <v>1</v>
      </c>
      <c r="B1885" s="101">
        <v>90180402</v>
      </c>
      <c r="C1885" s="101">
        <v>1804</v>
      </c>
      <c r="D1885" s="101">
        <v>18</v>
      </c>
      <c r="E1885" s="101"/>
      <c r="F1885" s="101" t="s">
        <v>115</v>
      </c>
      <c r="G1885" s="101" t="s">
        <v>115</v>
      </c>
      <c r="H1885" s="101" t="s">
        <v>4184</v>
      </c>
      <c r="I1885" s="101">
        <v>4</v>
      </c>
      <c r="J1885" s="100">
        <v>0</v>
      </c>
      <c r="K1885" s="100">
        <v>2</v>
      </c>
      <c r="L1885" s="100" t="s">
        <v>115</v>
      </c>
      <c r="M1885" s="102"/>
      <c r="N1885" s="100"/>
      <c r="O1885" s="100" t="s">
        <v>115</v>
      </c>
      <c r="P1885" s="101"/>
      <c r="Q1885" s="100">
        <v>18</v>
      </c>
      <c r="R1885" s="100" t="s">
        <v>115</v>
      </c>
      <c r="S1885" s="100"/>
      <c r="T1885" s="100"/>
      <c r="U1885" s="100"/>
      <c r="V1885" s="100"/>
      <c r="W1885" s="100"/>
      <c r="X1885" s="100" t="s">
        <v>4185</v>
      </c>
      <c r="Y1885" s="100">
        <v>1</v>
      </c>
      <c r="Z1885" s="100">
        <v>1</v>
      </c>
      <c r="AA1885" s="100" t="s">
        <v>115</v>
      </c>
      <c r="AB1885" s="100" t="s">
        <v>115</v>
      </c>
      <c r="AC1885" s="100" t="s">
        <v>115</v>
      </c>
      <c r="AD1885" s="100"/>
      <c r="AE1885" s="100"/>
      <c r="AF1885" s="100"/>
      <c r="AG1885" s="100"/>
      <c r="AH1885" s="100"/>
      <c r="AI1885" s="100" t="s">
        <v>115</v>
      </c>
      <c r="AJ1885" s="100"/>
      <c r="AK1885" s="100"/>
      <c r="AL1885" s="100"/>
      <c r="AM1885" s="100"/>
      <c r="AN1885" s="100"/>
      <c r="AO1885" s="100"/>
      <c r="AP1885" s="89" t="s">
        <v>115</v>
      </c>
    </row>
    <row r="1886" spans="1:42" s="89" customFormat="1" x14ac:dyDescent="0.15">
      <c r="A1886" s="100" t="s">
        <v>1</v>
      </c>
      <c r="B1886" s="101">
        <v>90180403</v>
      </c>
      <c r="C1886" s="101">
        <v>1804</v>
      </c>
      <c r="D1886" s="101">
        <v>18</v>
      </c>
      <c r="E1886" s="101"/>
      <c r="F1886" s="101" t="s">
        <v>115</v>
      </c>
      <c r="G1886" s="101" t="s">
        <v>115</v>
      </c>
      <c r="H1886" s="101" t="s">
        <v>4186</v>
      </c>
      <c r="I1886" s="101">
        <v>4</v>
      </c>
      <c r="J1886" s="100">
        <v>0</v>
      </c>
      <c r="K1886" s="100">
        <v>3</v>
      </c>
      <c r="L1886" s="100" t="s">
        <v>115</v>
      </c>
      <c r="M1886" s="102"/>
      <c r="N1886" s="100"/>
      <c r="O1886" s="100" t="s">
        <v>115</v>
      </c>
      <c r="P1886" s="101"/>
      <c r="Q1886" s="100">
        <v>18</v>
      </c>
      <c r="R1886" s="100" t="s">
        <v>115</v>
      </c>
      <c r="S1886" s="100"/>
      <c r="T1886" s="100"/>
      <c r="U1886" s="100"/>
      <c r="V1886" s="100"/>
      <c r="W1886" s="100"/>
      <c r="X1886" s="100">
        <v>90180404</v>
      </c>
      <c r="Y1886" s="100">
        <v>-1</v>
      </c>
      <c r="Z1886" s="100">
        <v>2</v>
      </c>
      <c r="AA1886" s="100" t="s">
        <v>115</v>
      </c>
      <c r="AB1886" s="100" t="s">
        <v>115</v>
      </c>
      <c r="AC1886" s="100" t="s">
        <v>4187</v>
      </c>
      <c r="AD1886" s="100"/>
      <c r="AE1886" s="100"/>
      <c r="AF1886" s="100"/>
      <c r="AG1886" s="100"/>
      <c r="AH1886" s="100"/>
      <c r="AI1886" s="100" t="s">
        <v>115</v>
      </c>
      <c r="AJ1886" s="100"/>
      <c r="AK1886" s="100"/>
      <c r="AL1886" s="100"/>
      <c r="AM1886" s="100"/>
      <c r="AN1886" s="100"/>
      <c r="AO1886" s="100"/>
      <c r="AP1886" s="89" t="s">
        <v>115</v>
      </c>
    </row>
    <row r="1887" spans="1:42" s="89" customFormat="1" x14ac:dyDescent="0.15">
      <c r="A1887" s="100" t="s">
        <v>1</v>
      </c>
      <c r="B1887" s="101">
        <v>90180404</v>
      </c>
      <c r="C1887" s="101">
        <v>1804</v>
      </c>
      <c r="D1887" s="101">
        <v>18</v>
      </c>
      <c r="E1887" s="101"/>
      <c r="F1887" s="101" t="s">
        <v>4188</v>
      </c>
      <c r="G1887" s="101" t="s">
        <v>115</v>
      </c>
      <c r="H1887" s="101" t="s">
        <v>4189</v>
      </c>
      <c r="I1887" s="101">
        <v>3</v>
      </c>
      <c r="J1887" s="100">
        <v>0</v>
      </c>
      <c r="K1887" s="100">
        <v>0</v>
      </c>
      <c r="L1887" s="100" t="s">
        <v>115</v>
      </c>
      <c r="M1887" s="102"/>
      <c r="N1887" s="100"/>
      <c r="O1887" s="100" t="s">
        <v>115</v>
      </c>
      <c r="P1887" s="101"/>
      <c r="Q1887" s="100">
        <v>18</v>
      </c>
      <c r="R1887" s="100">
        <v>246</v>
      </c>
      <c r="S1887" s="100"/>
      <c r="T1887" s="100"/>
      <c r="U1887" s="100"/>
      <c r="V1887" s="100"/>
      <c r="W1887" s="100"/>
      <c r="X1887" s="100">
        <v>90180405</v>
      </c>
      <c r="Y1887" s="100" t="s">
        <v>115</v>
      </c>
      <c r="Z1887" s="100" t="s">
        <v>115</v>
      </c>
      <c r="AA1887" s="100" t="s">
        <v>115</v>
      </c>
      <c r="AB1887" s="100" t="s">
        <v>115</v>
      </c>
      <c r="AC1887" s="100" t="s">
        <v>115</v>
      </c>
      <c r="AD1887" s="100"/>
      <c r="AE1887" s="100"/>
      <c r="AF1887" s="100"/>
      <c r="AG1887" s="100"/>
      <c r="AH1887" s="100"/>
      <c r="AI1887" s="100" t="s">
        <v>115</v>
      </c>
      <c r="AJ1887" s="100"/>
      <c r="AK1887" s="100"/>
      <c r="AL1887" s="100"/>
      <c r="AM1887" s="100"/>
      <c r="AN1887" s="100"/>
      <c r="AO1887" s="100"/>
      <c r="AP1887" s="89" t="s">
        <v>115</v>
      </c>
    </row>
    <row r="1888" spans="1:42" s="89" customFormat="1" x14ac:dyDescent="0.15">
      <c r="A1888" s="100" t="s">
        <v>1</v>
      </c>
      <c r="B1888" s="101">
        <v>90180405</v>
      </c>
      <c r="C1888" s="101">
        <v>1804</v>
      </c>
      <c r="D1888" s="101">
        <v>18</v>
      </c>
      <c r="E1888" s="101"/>
      <c r="F1888" s="101" t="s">
        <v>4190</v>
      </c>
      <c r="G1888" s="101" t="s">
        <v>115</v>
      </c>
      <c r="H1888" s="101" t="s">
        <v>4191</v>
      </c>
      <c r="I1888" s="101">
        <v>3</v>
      </c>
      <c r="J1888" s="100">
        <v>0</v>
      </c>
      <c r="K1888" s="100">
        <v>0</v>
      </c>
      <c r="L1888" s="100" t="s">
        <v>115</v>
      </c>
      <c r="M1888" s="102"/>
      <c r="N1888" s="100"/>
      <c r="O1888" s="100" t="s">
        <v>115</v>
      </c>
      <c r="P1888" s="101"/>
      <c r="Q1888" s="100">
        <v>18</v>
      </c>
      <c r="R1888" s="100">
        <v>15</v>
      </c>
      <c r="S1888" s="100"/>
      <c r="T1888" s="100"/>
      <c r="U1888" s="100"/>
      <c r="V1888" s="100"/>
      <c r="W1888" s="100"/>
      <c r="X1888" s="100">
        <v>90180406</v>
      </c>
      <c r="Y1888" s="100" t="s">
        <v>115</v>
      </c>
      <c r="Z1888" s="100" t="s">
        <v>115</v>
      </c>
      <c r="AA1888" s="100" t="s">
        <v>115</v>
      </c>
      <c r="AB1888" s="100" t="s">
        <v>115</v>
      </c>
      <c r="AC1888" s="100" t="s">
        <v>115</v>
      </c>
      <c r="AD1888" s="100"/>
      <c r="AE1888" s="100"/>
      <c r="AF1888" s="100"/>
      <c r="AG1888" s="100"/>
      <c r="AH1888" s="100"/>
      <c r="AI1888" s="100" t="s">
        <v>115</v>
      </c>
      <c r="AJ1888" s="100"/>
      <c r="AK1888" s="100"/>
      <c r="AL1888" s="100"/>
      <c r="AM1888" s="100"/>
      <c r="AN1888" s="100"/>
      <c r="AO1888" s="100"/>
      <c r="AP1888" s="89" t="s">
        <v>115</v>
      </c>
    </row>
    <row r="1889" spans="1:42" s="89" customFormat="1" x14ac:dyDescent="0.15">
      <c r="A1889" s="100" t="s">
        <v>1</v>
      </c>
      <c r="B1889" s="101">
        <v>90180406</v>
      </c>
      <c r="C1889" s="101">
        <v>1804</v>
      </c>
      <c r="D1889" s="101">
        <v>18</v>
      </c>
      <c r="E1889" s="101"/>
      <c r="F1889" s="101" t="s">
        <v>4188</v>
      </c>
      <c r="G1889" s="101" t="s">
        <v>115</v>
      </c>
      <c r="H1889" s="101" t="s">
        <v>4192</v>
      </c>
      <c r="I1889" s="101">
        <v>3</v>
      </c>
      <c r="J1889" s="100">
        <v>0</v>
      </c>
      <c r="K1889" s="100">
        <v>0</v>
      </c>
      <c r="L1889" s="100" t="s">
        <v>115</v>
      </c>
      <c r="M1889" s="102"/>
      <c r="N1889" s="100"/>
      <c r="O1889" s="100" t="s">
        <v>115</v>
      </c>
      <c r="P1889" s="101"/>
      <c r="Q1889" s="100">
        <v>18</v>
      </c>
      <c r="R1889" s="100">
        <v>246</v>
      </c>
      <c r="S1889" s="100"/>
      <c r="T1889" s="100"/>
      <c r="U1889" s="100"/>
      <c r="V1889" s="100"/>
      <c r="W1889" s="100"/>
      <c r="X1889" s="100">
        <v>90180407</v>
      </c>
      <c r="Y1889" s="100" t="s">
        <v>115</v>
      </c>
      <c r="Z1889" s="100" t="s">
        <v>115</v>
      </c>
      <c r="AA1889" s="100" t="s">
        <v>115</v>
      </c>
      <c r="AB1889" s="100" t="s">
        <v>115</v>
      </c>
      <c r="AC1889" s="100" t="s">
        <v>115</v>
      </c>
      <c r="AD1889" s="100"/>
      <c r="AE1889" s="100"/>
      <c r="AF1889" s="100"/>
      <c r="AG1889" s="100"/>
      <c r="AH1889" s="100"/>
      <c r="AI1889" s="100" t="s">
        <v>115</v>
      </c>
      <c r="AJ1889" s="100"/>
      <c r="AK1889" s="100"/>
      <c r="AL1889" s="100"/>
      <c r="AM1889" s="100"/>
      <c r="AN1889" s="100"/>
      <c r="AO1889" s="100"/>
      <c r="AP1889" s="89" t="s">
        <v>115</v>
      </c>
    </row>
    <row r="1890" spans="1:42" s="89" customFormat="1" x14ac:dyDescent="0.15">
      <c r="A1890" s="100" t="s">
        <v>1</v>
      </c>
      <c r="B1890" s="101">
        <v>90180407</v>
      </c>
      <c r="C1890" s="101">
        <v>1804</v>
      </c>
      <c r="D1890" s="101">
        <v>18</v>
      </c>
      <c r="E1890" s="101"/>
      <c r="F1890" s="101" t="s">
        <v>4193</v>
      </c>
      <c r="G1890" s="101" t="s">
        <v>115</v>
      </c>
      <c r="H1890" s="101" t="s">
        <v>4194</v>
      </c>
      <c r="I1890" s="101">
        <v>3</v>
      </c>
      <c r="J1890" s="100">
        <v>0</v>
      </c>
      <c r="K1890" s="100">
        <v>0</v>
      </c>
      <c r="L1890" s="100" t="s">
        <v>115</v>
      </c>
      <c r="M1890" s="102"/>
      <c r="N1890" s="100"/>
      <c r="O1890" s="100" t="s">
        <v>115</v>
      </c>
      <c r="P1890" s="101"/>
      <c r="Q1890" s="100">
        <v>18</v>
      </c>
      <c r="R1890" s="100">
        <v>15</v>
      </c>
      <c r="S1890" s="100"/>
      <c r="T1890" s="100"/>
      <c r="U1890" s="100"/>
      <c r="V1890" s="100"/>
      <c r="W1890" s="100"/>
      <c r="X1890" s="100">
        <v>90180408</v>
      </c>
      <c r="Y1890" s="100" t="s">
        <v>115</v>
      </c>
      <c r="Z1890" s="100" t="s">
        <v>115</v>
      </c>
      <c r="AA1890" s="100" t="s">
        <v>115</v>
      </c>
      <c r="AB1890" s="100" t="s">
        <v>115</v>
      </c>
      <c r="AC1890" s="100" t="s">
        <v>115</v>
      </c>
      <c r="AD1890" s="100"/>
      <c r="AE1890" s="100"/>
      <c r="AF1890" s="100"/>
      <c r="AG1890" s="100"/>
      <c r="AH1890" s="100"/>
      <c r="AI1890" s="100" t="s">
        <v>115</v>
      </c>
      <c r="AJ1890" s="100"/>
      <c r="AK1890" s="100"/>
      <c r="AL1890" s="100"/>
      <c r="AM1890" s="100"/>
      <c r="AN1890" s="100"/>
      <c r="AO1890" s="100"/>
      <c r="AP1890" s="89" t="s">
        <v>115</v>
      </c>
    </row>
    <row r="1891" spans="1:42" s="89" customFormat="1" x14ac:dyDescent="0.15">
      <c r="A1891" s="100" t="s">
        <v>1</v>
      </c>
      <c r="B1891" s="101">
        <v>90180408</v>
      </c>
      <c r="C1891" s="101">
        <v>1804</v>
      </c>
      <c r="D1891" s="101">
        <v>18</v>
      </c>
      <c r="E1891" s="101"/>
      <c r="F1891" s="101" t="s">
        <v>115</v>
      </c>
      <c r="G1891" s="101" t="s">
        <v>115</v>
      </c>
      <c r="H1891" s="101" t="s">
        <v>4195</v>
      </c>
      <c r="I1891" s="101">
        <v>4</v>
      </c>
      <c r="J1891" s="100">
        <v>0</v>
      </c>
      <c r="K1891" s="100">
        <v>4</v>
      </c>
      <c r="L1891" s="100" t="s">
        <v>4196</v>
      </c>
      <c r="M1891" s="102"/>
      <c r="N1891" s="100"/>
      <c r="O1891" s="100" t="s">
        <v>115</v>
      </c>
      <c r="P1891" s="101"/>
      <c r="Q1891" s="100">
        <v>18</v>
      </c>
      <c r="R1891" s="100" t="s">
        <v>115</v>
      </c>
      <c r="S1891" s="100"/>
      <c r="T1891" s="100"/>
      <c r="U1891" s="100"/>
      <c r="V1891" s="100"/>
      <c r="W1891" s="100"/>
      <c r="X1891" s="100">
        <v>90180409</v>
      </c>
      <c r="Y1891" s="100" t="s">
        <v>115</v>
      </c>
      <c r="Z1891" s="100">
        <v>3</v>
      </c>
      <c r="AA1891" s="100" t="s">
        <v>115</v>
      </c>
      <c r="AB1891" s="100" t="s">
        <v>115</v>
      </c>
      <c r="AC1891" s="100" t="s">
        <v>115</v>
      </c>
      <c r="AD1891" s="100"/>
      <c r="AE1891" s="100"/>
      <c r="AF1891" s="100"/>
      <c r="AG1891" s="100"/>
      <c r="AH1891" s="100"/>
      <c r="AI1891" s="100" t="s">
        <v>115</v>
      </c>
      <c r="AJ1891" s="100"/>
      <c r="AK1891" s="100"/>
      <c r="AL1891" s="100"/>
      <c r="AM1891" s="100"/>
      <c r="AN1891" s="100"/>
      <c r="AO1891" s="100"/>
      <c r="AP1891" s="89" t="s">
        <v>115</v>
      </c>
    </row>
    <row r="1892" spans="1:42" s="89" customFormat="1" x14ac:dyDescent="0.15">
      <c r="A1892" s="100" t="s">
        <v>1</v>
      </c>
      <c r="B1892" s="101">
        <v>90180409</v>
      </c>
      <c r="C1892" s="101">
        <v>1804</v>
      </c>
      <c r="D1892" s="101">
        <v>18</v>
      </c>
      <c r="E1892" s="101"/>
      <c r="F1892" s="101" t="s">
        <v>116</v>
      </c>
      <c r="G1892" s="101">
        <v>314</v>
      </c>
      <c r="H1892" s="101" t="s">
        <v>4197</v>
      </c>
      <c r="I1892" s="101">
        <v>0</v>
      </c>
      <c r="J1892" s="100">
        <v>0</v>
      </c>
      <c r="K1892" s="100">
        <v>0</v>
      </c>
      <c r="L1892" s="100" t="s">
        <v>115</v>
      </c>
      <c r="M1892" s="102"/>
      <c r="N1892" s="100"/>
      <c r="O1892" s="100" t="s">
        <v>115</v>
      </c>
      <c r="P1892" s="101"/>
      <c r="Q1892" s="100">
        <v>18</v>
      </c>
      <c r="R1892" s="100" t="s">
        <v>115</v>
      </c>
      <c r="S1892" s="100"/>
      <c r="T1892" s="100"/>
      <c r="U1892" s="100"/>
      <c r="V1892" s="100"/>
      <c r="W1892" s="100"/>
      <c r="X1892" s="100">
        <v>90180410</v>
      </c>
      <c r="Y1892" s="100" t="s">
        <v>115</v>
      </c>
      <c r="Z1892" s="100" t="s">
        <v>115</v>
      </c>
      <c r="AA1892" s="100" t="s">
        <v>115</v>
      </c>
      <c r="AB1892" s="100" t="s">
        <v>115</v>
      </c>
      <c r="AC1892" s="100" t="s">
        <v>115</v>
      </c>
      <c r="AD1892" s="100"/>
      <c r="AE1892" s="100"/>
      <c r="AF1892" s="100"/>
      <c r="AG1892" s="100"/>
      <c r="AH1892" s="100"/>
      <c r="AI1892" s="100" t="s">
        <v>115</v>
      </c>
      <c r="AJ1892" s="100"/>
      <c r="AK1892" s="100"/>
      <c r="AL1892" s="100"/>
      <c r="AM1892" s="100"/>
      <c r="AN1892" s="100"/>
      <c r="AO1892" s="100"/>
      <c r="AP1892" s="89" t="s">
        <v>115</v>
      </c>
    </row>
    <row r="1893" spans="1:42" s="89" customFormat="1" x14ac:dyDescent="0.15">
      <c r="A1893" s="100" t="s">
        <v>1</v>
      </c>
      <c r="B1893" s="101">
        <v>90180410</v>
      </c>
      <c r="C1893" s="101">
        <v>1804</v>
      </c>
      <c r="D1893" s="101">
        <v>18</v>
      </c>
      <c r="E1893" s="101"/>
      <c r="F1893" s="101" t="s">
        <v>116</v>
      </c>
      <c r="G1893" s="101">
        <v>312</v>
      </c>
      <c r="H1893" s="101" t="s">
        <v>4198</v>
      </c>
      <c r="I1893" s="101">
        <v>0</v>
      </c>
      <c r="J1893" s="100">
        <v>0</v>
      </c>
      <c r="K1893" s="100">
        <v>5</v>
      </c>
      <c r="L1893" s="100" t="s">
        <v>115</v>
      </c>
      <c r="M1893" s="102"/>
      <c r="N1893" s="100"/>
      <c r="O1893" s="100">
        <v>1</v>
      </c>
      <c r="P1893" s="101"/>
      <c r="Q1893" s="100">
        <v>18</v>
      </c>
      <c r="R1893" s="100" t="s">
        <v>115</v>
      </c>
      <c r="S1893" s="100"/>
      <c r="T1893" s="100"/>
      <c r="U1893" s="100"/>
      <c r="V1893" s="100"/>
      <c r="W1893" s="100"/>
      <c r="X1893" s="100" t="s">
        <v>115</v>
      </c>
      <c r="Y1893" s="100" t="s">
        <v>115</v>
      </c>
      <c r="Z1893" s="100">
        <v>4</v>
      </c>
      <c r="AA1893" s="100" t="s">
        <v>115</v>
      </c>
      <c r="AB1893" s="100" t="s">
        <v>115</v>
      </c>
      <c r="AC1893" s="100" t="s">
        <v>115</v>
      </c>
      <c r="AD1893" s="100"/>
      <c r="AE1893" s="100"/>
      <c r="AF1893" s="100"/>
      <c r="AG1893" s="100"/>
      <c r="AH1893" s="100"/>
      <c r="AI1893" s="100" t="s">
        <v>115</v>
      </c>
      <c r="AJ1893" s="100"/>
      <c r="AK1893" s="100"/>
      <c r="AL1893" s="100"/>
      <c r="AM1893" s="100"/>
      <c r="AN1893" s="100"/>
      <c r="AO1893" s="100"/>
      <c r="AP1893" s="89" t="s">
        <v>4199</v>
      </c>
    </row>
    <row r="1894" spans="1:42" s="89" customFormat="1" x14ac:dyDescent="0.15">
      <c r="A1894" s="100" t="s">
        <v>1</v>
      </c>
      <c r="B1894" s="101" t="s">
        <v>3961</v>
      </c>
      <c r="C1894" s="101">
        <v>1805</v>
      </c>
      <c r="D1894" s="101">
        <v>18</v>
      </c>
      <c r="E1894" s="101"/>
      <c r="F1894" s="101" t="s">
        <v>116</v>
      </c>
      <c r="G1894" s="101">
        <v>313</v>
      </c>
      <c r="H1894" s="101" t="s">
        <v>4200</v>
      </c>
      <c r="I1894" s="101">
        <v>0</v>
      </c>
      <c r="J1894" s="100">
        <v>1</v>
      </c>
      <c r="K1894" s="100">
        <v>1</v>
      </c>
      <c r="L1894" s="100" t="s">
        <v>115</v>
      </c>
      <c r="M1894" s="102"/>
      <c r="N1894" s="100"/>
      <c r="O1894" s="100" t="s">
        <v>115</v>
      </c>
      <c r="P1894" s="101"/>
      <c r="Q1894" s="100">
        <v>110</v>
      </c>
      <c r="R1894" s="100" t="s">
        <v>115</v>
      </c>
      <c r="S1894" s="100"/>
      <c r="T1894" s="100"/>
      <c r="U1894" s="100"/>
      <c r="V1894" s="100"/>
      <c r="W1894" s="100"/>
      <c r="X1894" s="100">
        <v>90180502</v>
      </c>
      <c r="Y1894" s="100" t="s">
        <v>115</v>
      </c>
      <c r="Z1894" s="100" t="s">
        <v>115</v>
      </c>
      <c r="AA1894" s="100" t="s">
        <v>115</v>
      </c>
      <c r="AB1894" s="100" t="s">
        <v>115</v>
      </c>
      <c r="AC1894" s="100" t="s">
        <v>115</v>
      </c>
      <c r="AD1894" s="100"/>
      <c r="AE1894" s="100"/>
      <c r="AF1894" s="100"/>
      <c r="AG1894" s="100"/>
      <c r="AH1894" s="100"/>
      <c r="AI1894" s="100" t="s">
        <v>115</v>
      </c>
      <c r="AJ1894" s="100"/>
      <c r="AK1894" s="100"/>
      <c r="AL1894" s="100"/>
      <c r="AM1894" s="100"/>
      <c r="AN1894" s="100"/>
      <c r="AO1894" s="100"/>
      <c r="AP1894" s="89" t="s">
        <v>115</v>
      </c>
    </row>
    <row r="1895" spans="1:42" s="89" customFormat="1" x14ac:dyDescent="0.15">
      <c r="A1895" s="100" t="s">
        <v>1</v>
      </c>
      <c r="B1895" s="101">
        <v>90180502</v>
      </c>
      <c r="C1895" s="101">
        <v>1805</v>
      </c>
      <c r="D1895" s="101">
        <v>18</v>
      </c>
      <c r="E1895" s="101"/>
      <c r="F1895" s="101" t="s">
        <v>115</v>
      </c>
      <c r="G1895" s="101" t="s">
        <v>115</v>
      </c>
      <c r="H1895" s="101" t="s">
        <v>4201</v>
      </c>
      <c r="I1895" s="101">
        <v>4</v>
      </c>
      <c r="J1895" s="100">
        <v>0</v>
      </c>
      <c r="K1895" s="100">
        <v>0</v>
      </c>
      <c r="L1895" s="100" t="s">
        <v>115</v>
      </c>
      <c r="M1895" s="102"/>
      <c r="N1895" s="100"/>
      <c r="O1895" s="100" t="s">
        <v>115</v>
      </c>
      <c r="P1895" s="101"/>
      <c r="Q1895" s="100">
        <v>110</v>
      </c>
      <c r="R1895" s="100" t="s">
        <v>115</v>
      </c>
      <c r="S1895" s="100"/>
      <c r="T1895" s="100"/>
      <c r="U1895" s="100"/>
      <c r="V1895" s="100"/>
      <c r="W1895" s="100"/>
      <c r="X1895" s="100">
        <v>90180503</v>
      </c>
      <c r="Y1895" s="100" t="s">
        <v>115</v>
      </c>
      <c r="Z1895" s="100" t="s">
        <v>115</v>
      </c>
      <c r="AA1895" s="100" t="s">
        <v>115</v>
      </c>
      <c r="AB1895" s="100" t="s">
        <v>115</v>
      </c>
      <c r="AC1895" s="100" t="s">
        <v>115</v>
      </c>
      <c r="AD1895" s="100"/>
      <c r="AE1895" s="100"/>
      <c r="AF1895" s="100"/>
      <c r="AG1895" s="100"/>
      <c r="AH1895" s="100"/>
      <c r="AI1895" s="100" t="s">
        <v>115</v>
      </c>
      <c r="AJ1895" s="100"/>
      <c r="AK1895" s="100"/>
      <c r="AL1895" s="100"/>
      <c r="AM1895" s="100"/>
      <c r="AN1895" s="100"/>
      <c r="AO1895" s="100"/>
      <c r="AP1895" s="89" t="s">
        <v>115</v>
      </c>
    </row>
    <row r="1896" spans="1:42" s="89" customFormat="1" x14ac:dyDescent="0.15">
      <c r="A1896" s="100" t="s">
        <v>1</v>
      </c>
      <c r="B1896" s="101">
        <v>90180503</v>
      </c>
      <c r="C1896" s="101">
        <v>1805</v>
      </c>
      <c r="D1896" s="101">
        <v>18</v>
      </c>
      <c r="E1896" s="101"/>
      <c r="F1896" s="101" t="s">
        <v>4153</v>
      </c>
      <c r="G1896" s="101" t="s">
        <v>115</v>
      </c>
      <c r="H1896" s="101" t="s">
        <v>4202</v>
      </c>
      <c r="I1896" s="101">
        <v>3</v>
      </c>
      <c r="J1896" s="100">
        <v>0</v>
      </c>
      <c r="K1896" s="100">
        <v>0</v>
      </c>
      <c r="L1896" s="100" t="s">
        <v>115</v>
      </c>
      <c r="M1896" s="102"/>
      <c r="N1896" s="100"/>
      <c r="O1896" s="100" t="s">
        <v>115</v>
      </c>
      <c r="P1896" s="101"/>
      <c r="Q1896" s="100">
        <v>110</v>
      </c>
      <c r="R1896" s="100">
        <v>164</v>
      </c>
      <c r="S1896" s="100"/>
      <c r="T1896" s="100"/>
      <c r="U1896" s="100"/>
      <c r="V1896" s="100"/>
      <c r="W1896" s="100"/>
      <c r="X1896" s="100">
        <v>90180504</v>
      </c>
      <c r="Y1896" s="100" t="s">
        <v>115</v>
      </c>
      <c r="Z1896" s="100" t="s">
        <v>115</v>
      </c>
      <c r="AA1896" s="100" t="s">
        <v>115</v>
      </c>
      <c r="AB1896" s="100" t="s">
        <v>115</v>
      </c>
      <c r="AC1896" s="100" t="s">
        <v>115</v>
      </c>
      <c r="AD1896" s="100"/>
      <c r="AE1896" s="100"/>
      <c r="AF1896" s="100"/>
      <c r="AG1896" s="100"/>
      <c r="AH1896" s="100"/>
      <c r="AI1896" s="100" t="s">
        <v>115</v>
      </c>
      <c r="AJ1896" s="100"/>
      <c r="AK1896" s="100"/>
      <c r="AL1896" s="100"/>
      <c r="AM1896" s="100"/>
      <c r="AN1896" s="100"/>
      <c r="AO1896" s="100"/>
      <c r="AP1896" s="89" t="s">
        <v>115</v>
      </c>
    </row>
    <row r="1897" spans="1:42" s="89" customFormat="1" x14ac:dyDescent="0.15">
      <c r="A1897" s="100" t="s">
        <v>1</v>
      </c>
      <c r="B1897" s="101">
        <v>90180504</v>
      </c>
      <c r="C1897" s="101">
        <v>1805</v>
      </c>
      <c r="D1897" s="101">
        <v>18</v>
      </c>
      <c r="E1897" s="101"/>
      <c r="F1897" s="101" t="s">
        <v>115</v>
      </c>
      <c r="G1897" s="101" t="s">
        <v>115</v>
      </c>
      <c r="H1897" s="101" t="s">
        <v>4203</v>
      </c>
      <c r="I1897" s="101">
        <v>4</v>
      </c>
      <c r="J1897" s="100">
        <v>0</v>
      </c>
      <c r="K1897" s="100">
        <v>2</v>
      </c>
      <c r="L1897" s="100" t="s">
        <v>115</v>
      </c>
      <c r="M1897" s="102"/>
      <c r="N1897" s="100"/>
      <c r="O1897" s="100" t="s">
        <v>115</v>
      </c>
      <c r="P1897" s="101"/>
      <c r="Q1897" s="100">
        <v>110</v>
      </c>
      <c r="R1897" s="100">
        <v>164</v>
      </c>
      <c r="S1897" s="100"/>
      <c r="T1897" s="100"/>
      <c r="U1897" s="100"/>
      <c r="V1897" s="100"/>
      <c r="W1897" s="100"/>
      <c r="X1897" s="100" t="s">
        <v>4204</v>
      </c>
      <c r="Y1897" s="100">
        <v>1</v>
      </c>
      <c r="Z1897" s="100">
        <v>1</v>
      </c>
      <c r="AA1897" s="100" t="s">
        <v>115</v>
      </c>
      <c r="AB1897" s="100" t="s">
        <v>115</v>
      </c>
      <c r="AC1897" s="100" t="s">
        <v>115</v>
      </c>
      <c r="AD1897" s="100"/>
      <c r="AE1897" s="100"/>
      <c r="AF1897" s="100"/>
      <c r="AG1897" s="100"/>
      <c r="AH1897" s="100"/>
      <c r="AI1897" s="100" t="s">
        <v>115</v>
      </c>
      <c r="AJ1897" s="100"/>
      <c r="AK1897" s="100"/>
      <c r="AL1897" s="100"/>
      <c r="AM1897" s="100"/>
      <c r="AN1897" s="100"/>
      <c r="AO1897" s="100"/>
      <c r="AP1897" s="89" t="s">
        <v>115</v>
      </c>
    </row>
    <row r="1898" spans="1:42" s="89" customFormat="1" x14ac:dyDescent="0.15">
      <c r="A1898" s="100" t="s">
        <v>1</v>
      </c>
      <c r="B1898" s="101">
        <v>90180505</v>
      </c>
      <c r="C1898" s="101">
        <v>1805</v>
      </c>
      <c r="D1898" s="101">
        <v>18</v>
      </c>
      <c r="E1898" s="101"/>
      <c r="F1898" s="101" t="s">
        <v>115</v>
      </c>
      <c r="G1898" s="101" t="s">
        <v>115</v>
      </c>
      <c r="H1898" s="101" t="s">
        <v>4205</v>
      </c>
      <c r="I1898" s="101">
        <v>4</v>
      </c>
      <c r="J1898" s="100">
        <v>0</v>
      </c>
      <c r="K1898" s="100">
        <v>3</v>
      </c>
      <c r="L1898" s="100" t="s">
        <v>115</v>
      </c>
      <c r="M1898" s="102"/>
      <c r="N1898" s="100"/>
      <c r="O1898" s="100" t="s">
        <v>115</v>
      </c>
      <c r="P1898" s="101"/>
      <c r="Q1898" s="100">
        <v>110</v>
      </c>
      <c r="R1898" s="100">
        <v>164</v>
      </c>
      <c r="S1898" s="100"/>
      <c r="T1898" s="100"/>
      <c r="U1898" s="100"/>
      <c r="V1898" s="100"/>
      <c r="W1898" s="100"/>
      <c r="X1898" s="100">
        <v>90180507</v>
      </c>
      <c r="Y1898" s="100">
        <v>-1</v>
      </c>
      <c r="Z1898" s="100">
        <v>2</v>
      </c>
      <c r="AA1898" s="100" t="s">
        <v>115</v>
      </c>
      <c r="AB1898" s="100" t="s">
        <v>115</v>
      </c>
      <c r="AC1898" s="100" t="s">
        <v>115</v>
      </c>
      <c r="AD1898" s="100"/>
      <c r="AE1898" s="100"/>
      <c r="AF1898" s="100"/>
      <c r="AG1898" s="100"/>
      <c r="AH1898" s="100"/>
      <c r="AI1898" s="100" t="s">
        <v>115</v>
      </c>
      <c r="AJ1898" s="100"/>
      <c r="AK1898" s="100"/>
      <c r="AL1898" s="100"/>
      <c r="AM1898" s="100"/>
      <c r="AN1898" s="100"/>
      <c r="AO1898" s="100"/>
      <c r="AP1898" s="89" t="s">
        <v>115</v>
      </c>
    </row>
    <row r="1899" spans="1:42" s="89" customFormat="1" x14ac:dyDescent="0.15">
      <c r="A1899" s="100" t="s">
        <v>1</v>
      </c>
      <c r="B1899" s="101">
        <v>90180506</v>
      </c>
      <c r="C1899" s="101">
        <v>1805</v>
      </c>
      <c r="D1899" s="101">
        <v>18</v>
      </c>
      <c r="E1899" s="101"/>
      <c r="F1899" s="101" t="s">
        <v>115</v>
      </c>
      <c r="G1899" s="101" t="s">
        <v>115</v>
      </c>
      <c r="H1899" s="101" t="s">
        <v>4206</v>
      </c>
      <c r="I1899" s="101">
        <v>4</v>
      </c>
      <c r="J1899" s="100">
        <v>0</v>
      </c>
      <c r="K1899" s="100">
        <v>4</v>
      </c>
      <c r="L1899" s="100" t="s">
        <v>115</v>
      </c>
      <c r="M1899" s="102"/>
      <c r="N1899" s="100"/>
      <c r="O1899" s="100" t="s">
        <v>115</v>
      </c>
      <c r="P1899" s="101"/>
      <c r="Q1899" s="100">
        <v>110</v>
      </c>
      <c r="R1899" s="100">
        <v>164</v>
      </c>
      <c r="S1899" s="100"/>
      <c r="T1899" s="100"/>
      <c r="U1899" s="100"/>
      <c r="V1899" s="100"/>
      <c r="W1899" s="100"/>
      <c r="X1899" s="100">
        <v>90180516</v>
      </c>
      <c r="Y1899" s="100">
        <v>-1</v>
      </c>
      <c r="Z1899" s="100">
        <v>2</v>
      </c>
      <c r="AA1899" s="100" t="s">
        <v>115</v>
      </c>
      <c r="AB1899" s="100" t="s">
        <v>115</v>
      </c>
      <c r="AC1899" s="100" t="s">
        <v>4207</v>
      </c>
      <c r="AD1899" s="100"/>
      <c r="AE1899" s="100"/>
      <c r="AF1899" s="100"/>
      <c r="AG1899" s="100"/>
      <c r="AH1899" s="100"/>
      <c r="AI1899" s="100" t="s">
        <v>115</v>
      </c>
      <c r="AJ1899" s="100"/>
      <c r="AK1899" s="100"/>
      <c r="AL1899" s="100"/>
      <c r="AM1899" s="100"/>
      <c r="AN1899" s="100"/>
      <c r="AO1899" s="100"/>
      <c r="AP1899" s="89" t="s">
        <v>115</v>
      </c>
    </row>
    <row r="1900" spans="1:42" s="89" customFormat="1" x14ac:dyDescent="0.15">
      <c r="A1900" s="100" t="s">
        <v>1</v>
      </c>
      <c r="B1900" s="101">
        <v>90180507</v>
      </c>
      <c r="C1900" s="101">
        <v>1805</v>
      </c>
      <c r="D1900" s="101">
        <v>18</v>
      </c>
      <c r="E1900" s="101"/>
      <c r="F1900" s="101" t="s">
        <v>115</v>
      </c>
      <c r="G1900" s="101" t="s">
        <v>115</v>
      </c>
      <c r="H1900" s="101" t="s">
        <v>4208</v>
      </c>
      <c r="I1900" s="101">
        <v>4</v>
      </c>
      <c r="J1900" s="100">
        <v>0</v>
      </c>
      <c r="K1900" s="100">
        <v>5</v>
      </c>
      <c r="L1900" s="100" t="s">
        <v>115</v>
      </c>
      <c r="M1900" s="102"/>
      <c r="N1900" s="100"/>
      <c r="O1900" s="100" t="s">
        <v>115</v>
      </c>
      <c r="P1900" s="101"/>
      <c r="Q1900" s="100">
        <v>110</v>
      </c>
      <c r="R1900" s="100">
        <v>164</v>
      </c>
      <c r="S1900" s="100"/>
      <c r="T1900" s="100"/>
      <c r="U1900" s="100"/>
      <c r="V1900" s="100"/>
      <c r="W1900" s="100"/>
      <c r="X1900" s="100" t="s">
        <v>4209</v>
      </c>
      <c r="Y1900" s="100">
        <v>1</v>
      </c>
      <c r="Z1900" s="100">
        <v>3</v>
      </c>
      <c r="AA1900" s="100" t="s">
        <v>115</v>
      </c>
      <c r="AB1900" s="100" t="s">
        <v>115</v>
      </c>
      <c r="AC1900" s="100" t="s">
        <v>115</v>
      </c>
      <c r="AD1900" s="100"/>
      <c r="AE1900" s="100"/>
      <c r="AF1900" s="100"/>
      <c r="AG1900" s="100"/>
      <c r="AH1900" s="100"/>
      <c r="AI1900" s="100" t="s">
        <v>115</v>
      </c>
      <c r="AJ1900" s="100"/>
      <c r="AK1900" s="100"/>
      <c r="AL1900" s="100"/>
      <c r="AM1900" s="100"/>
      <c r="AN1900" s="100"/>
      <c r="AO1900" s="100"/>
      <c r="AP1900" s="89" t="s">
        <v>115</v>
      </c>
    </row>
    <row r="1901" spans="1:42" s="89" customFormat="1" x14ac:dyDescent="0.15">
      <c r="A1901" s="100" t="s">
        <v>1</v>
      </c>
      <c r="B1901" s="101">
        <v>90180508</v>
      </c>
      <c r="C1901" s="101">
        <v>1805</v>
      </c>
      <c r="D1901" s="101">
        <v>18</v>
      </c>
      <c r="E1901" s="101"/>
      <c r="F1901" s="101" t="s">
        <v>115</v>
      </c>
      <c r="G1901" s="101" t="s">
        <v>115</v>
      </c>
      <c r="H1901" s="101" t="s">
        <v>4210</v>
      </c>
      <c r="I1901" s="101">
        <v>4</v>
      </c>
      <c r="J1901" s="100">
        <v>0</v>
      </c>
      <c r="K1901" s="100">
        <v>6</v>
      </c>
      <c r="L1901" s="100" t="s">
        <v>115</v>
      </c>
      <c r="M1901" s="102"/>
      <c r="N1901" s="100"/>
      <c r="O1901" s="100" t="s">
        <v>115</v>
      </c>
      <c r="P1901" s="101"/>
      <c r="Q1901" s="100">
        <v>110</v>
      </c>
      <c r="R1901" s="100">
        <v>164</v>
      </c>
      <c r="S1901" s="100"/>
      <c r="T1901" s="100"/>
      <c r="U1901" s="100"/>
      <c r="V1901" s="100"/>
      <c r="W1901" s="100"/>
      <c r="X1901" s="100">
        <v>90180510</v>
      </c>
      <c r="Y1901" s="100">
        <v>-1</v>
      </c>
      <c r="Z1901" s="100">
        <v>5</v>
      </c>
      <c r="AA1901" s="100" t="s">
        <v>4211</v>
      </c>
      <c r="AB1901" s="100" t="s">
        <v>115</v>
      </c>
      <c r="AC1901" s="100" t="s">
        <v>115</v>
      </c>
      <c r="AD1901" s="100"/>
      <c r="AE1901" s="100"/>
      <c r="AF1901" s="100"/>
      <c r="AG1901" s="100"/>
      <c r="AH1901" s="100"/>
      <c r="AI1901" s="100" t="s">
        <v>115</v>
      </c>
      <c r="AJ1901" s="100"/>
      <c r="AK1901" s="100"/>
      <c r="AL1901" s="100"/>
      <c r="AM1901" s="100"/>
      <c r="AN1901" s="100"/>
      <c r="AO1901" s="100"/>
      <c r="AP1901" s="89" t="s">
        <v>115</v>
      </c>
    </row>
    <row r="1902" spans="1:42" s="89" customFormat="1" x14ac:dyDescent="0.15">
      <c r="A1902" s="100" t="s">
        <v>1</v>
      </c>
      <c r="B1902" s="101">
        <v>90180509</v>
      </c>
      <c r="C1902" s="101">
        <v>1805</v>
      </c>
      <c r="D1902" s="101">
        <v>18</v>
      </c>
      <c r="E1902" s="101"/>
      <c r="F1902" s="101" t="s">
        <v>115</v>
      </c>
      <c r="G1902" s="101" t="s">
        <v>115</v>
      </c>
      <c r="H1902" s="101" t="s">
        <v>4212</v>
      </c>
      <c r="I1902" s="101">
        <v>4</v>
      </c>
      <c r="J1902" s="100">
        <v>0</v>
      </c>
      <c r="K1902" s="100">
        <v>7</v>
      </c>
      <c r="L1902" s="100" t="s">
        <v>115</v>
      </c>
      <c r="M1902" s="102"/>
      <c r="N1902" s="100"/>
      <c r="O1902" s="100" t="s">
        <v>115</v>
      </c>
      <c r="P1902" s="101"/>
      <c r="Q1902" s="100">
        <v>110</v>
      </c>
      <c r="R1902" s="100">
        <v>164</v>
      </c>
      <c r="S1902" s="100"/>
      <c r="T1902" s="100"/>
      <c r="U1902" s="100"/>
      <c r="V1902" s="100"/>
      <c r="W1902" s="100"/>
      <c r="X1902" s="100">
        <v>90180512</v>
      </c>
      <c r="Y1902" s="100">
        <v>-1</v>
      </c>
      <c r="Z1902" s="100">
        <v>5</v>
      </c>
      <c r="AA1902" s="100" t="s">
        <v>115</v>
      </c>
      <c r="AB1902" s="100" t="s">
        <v>115</v>
      </c>
      <c r="AC1902" s="100" t="s">
        <v>115</v>
      </c>
      <c r="AD1902" s="100"/>
      <c r="AE1902" s="100"/>
      <c r="AF1902" s="100"/>
      <c r="AG1902" s="100"/>
      <c r="AH1902" s="100"/>
      <c r="AI1902" s="100" t="s">
        <v>115</v>
      </c>
      <c r="AJ1902" s="100"/>
      <c r="AK1902" s="100"/>
      <c r="AL1902" s="100"/>
      <c r="AM1902" s="100"/>
      <c r="AN1902" s="100"/>
      <c r="AO1902" s="100"/>
      <c r="AP1902" s="89" t="s">
        <v>115</v>
      </c>
    </row>
    <row r="1903" spans="1:42" s="89" customFormat="1" x14ac:dyDescent="0.15">
      <c r="A1903" s="100" t="s">
        <v>1</v>
      </c>
      <c r="B1903" s="101">
        <v>90180510</v>
      </c>
      <c r="C1903" s="101">
        <v>1805</v>
      </c>
      <c r="D1903" s="101">
        <v>18</v>
      </c>
      <c r="E1903" s="101"/>
      <c r="F1903" s="101" t="s">
        <v>116</v>
      </c>
      <c r="G1903" s="101">
        <v>312</v>
      </c>
      <c r="H1903" s="101" t="s">
        <v>4213</v>
      </c>
      <c r="I1903" s="101">
        <v>0</v>
      </c>
      <c r="J1903" s="100">
        <v>0</v>
      </c>
      <c r="K1903" s="100">
        <v>0</v>
      </c>
      <c r="L1903" s="100" t="s">
        <v>115</v>
      </c>
      <c r="M1903" s="102"/>
      <c r="N1903" s="100"/>
      <c r="O1903" s="100" t="s">
        <v>115</v>
      </c>
      <c r="P1903" s="101"/>
      <c r="Q1903" s="100">
        <v>110</v>
      </c>
      <c r="R1903" s="100">
        <v>164</v>
      </c>
      <c r="S1903" s="100"/>
      <c r="T1903" s="100"/>
      <c r="U1903" s="100"/>
      <c r="V1903" s="100"/>
      <c r="W1903" s="100"/>
      <c r="X1903" s="100">
        <v>90180511</v>
      </c>
      <c r="Y1903" s="100" t="s">
        <v>115</v>
      </c>
      <c r="Z1903" s="100" t="s">
        <v>115</v>
      </c>
      <c r="AA1903" s="100" t="s">
        <v>115</v>
      </c>
      <c r="AB1903" s="100" t="s">
        <v>115</v>
      </c>
      <c r="AC1903" s="100" t="s">
        <v>115</v>
      </c>
      <c r="AD1903" s="100"/>
      <c r="AE1903" s="100"/>
      <c r="AF1903" s="100"/>
      <c r="AG1903" s="100"/>
      <c r="AH1903" s="100"/>
      <c r="AI1903" s="100" t="s">
        <v>115</v>
      </c>
      <c r="AJ1903" s="100"/>
      <c r="AK1903" s="100"/>
      <c r="AL1903" s="100"/>
      <c r="AM1903" s="100"/>
      <c r="AN1903" s="100"/>
      <c r="AO1903" s="100"/>
      <c r="AP1903" s="89" t="s">
        <v>115</v>
      </c>
    </row>
    <row r="1904" spans="1:42" s="89" customFormat="1" x14ac:dyDescent="0.15">
      <c r="A1904" s="100" t="s">
        <v>1</v>
      </c>
      <c r="B1904" s="101">
        <v>90180511</v>
      </c>
      <c r="C1904" s="101">
        <v>1805</v>
      </c>
      <c r="D1904" s="101">
        <v>18</v>
      </c>
      <c r="E1904" s="101"/>
      <c r="F1904" s="101" t="s">
        <v>4153</v>
      </c>
      <c r="G1904" s="101" t="s">
        <v>115</v>
      </c>
      <c r="H1904" s="101" t="s">
        <v>4214</v>
      </c>
      <c r="I1904" s="101">
        <v>3</v>
      </c>
      <c r="J1904" s="100">
        <v>0</v>
      </c>
      <c r="K1904" s="100">
        <v>0</v>
      </c>
      <c r="L1904" s="100" t="s">
        <v>115</v>
      </c>
      <c r="M1904" s="102"/>
      <c r="N1904" s="100"/>
      <c r="O1904" s="100" t="s">
        <v>115</v>
      </c>
      <c r="P1904" s="101"/>
      <c r="Q1904" s="100">
        <v>110</v>
      </c>
      <c r="R1904" s="100">
        <v>164</v>
      </c>
      <c r="S1904" s="100"/>
      <c r="T1904" s="100"/>
      <c r="U1904" s="100"/>
      <c r="V1904" s="100"/>
      <c r="W1904" s="100"/>
      <c r="X1904" s="100">
        <v>90180515</v>
      </c>
      <c r="Y1904" s="100" t="s">
        <v>115</v>
      </c>
      <c r="Z1904" s="100" t="s">
        <v>115</v>
      </c>
      <c r="AA1904" s="100" t="s">
        <v>115</v>
      </c>
      <c r="AB1904" s="100" t="s">
        <v>115</v>
      </c>
      <c r="AC1904" s="100" t="s">
        <v>115</v>
      </c>
      <c r="AD1904" s="100"/>
      <c r="AE1904" s="100"/>
      <c r="AF1904" s="100"/>
      <c r="AG1904" s="100"/>
      <c r="AH1904" s="100"/>
      <c r="AI1904" s="100" t="s">
        <v>115</v>
      </c>
      <c r="AJ1904" s="100"/>
      <c r="AK1904" s="100"/>
      <c r="AL1904" s="100"/>
      <c r="AM1904" s="100"/>
      <c r="AN1904" s="100"/>
      <c r="AO1904" s="100"/>
      <c r="AP1904" s="89" t="s">
        <v>115</v>
      </c>
    </row>
    <row r="1905" spans="1:42" s="89" customFormat="1" x14ac:dyDescent="0.15">
      <c r="A1905" s="100" t="s">
        <v>1</v>
      </c>
      <c r="B1905" s="101">
        <v>90180512</v>
      </c>
      <c r="C1905" s="101">
        <v>1805</v>
      </c>
      <c r="D1905" s="101">
        <v>18</v>
      </c>
      <c r="E1905" s="101"/>
      <c r="F1905" s="101" t="s">
        <v>4153</v>
      </c>
      <c r="G1905" s="101" t="s">
        <v>115</v>
      </c>
      <c r="H1905" s="101" t="s">
        <v>4215</v>
      </c>
      <c r="I1905" s="101">
        <v>3</v>
      </c>
      <c r="J1905" s="100">
        <v>0</v>
      </c>
      <c r="K1905" s="100">
        <v>0</v>
      </c>
      <c r="L1905" s="100" t="s">
        <v>115</v>
      </c>
      <c r="M1905" s="102"/>
      <c r="N1905" s="100"/>
      <c r="O1905" s="100" t="s">
        <v>115</v>
      </c>
      <c r="P1905" s="101"/>
      <c r="Q1905" s="100">
        <v>110</v>
      </c>
      <c r="R1905" s="100">
        <v>164</v>
      </c>
      <c r="S1905" s="100"/>
      <c r="T1905" s="100"/>
      <c r="U1905" s="100"/>
      <c r="V1905" s="100"/>
      <c r="W1905" s="100"/>
      <c r="X1905" s="100">
        <v>90180513</v>
      </c>
      <c r="Y1905" s="100" t="s">
        <v>115</v>
      </c>
      <c r="Z1905" s="100" t="s">
        <v>115</v>
      </c>
      <c r="AA1905" s="100" t="s">
        <v>115</v>
      </c>
      <c r="AB1905" s="100" t="s">
        <v>115</v>
      </c>
      <c r="AC1905" s="100" t="s">
        <v>115</v>
      </c>
      <c r="AD1905" s="100"/>
      <c r="AE1905" s="100"/>
      <c r="AF1905" s="100"/>
      <c r="AG1905" s="100"/>
      <c r="AH1905" s="100"/>
      <c r="AI1905" s="100" t="s">
        <v>115</v>
      </c>
      <c r="AJ1905" s="100"/>
      <c r="AK1905" s="100"/>
      <c r="AL1905" s="100"/>
      <c r="AM1905" s="100"/>
      <c r="AN1905" s="100"/>
      <c r="AO1905" s="100"/>
      <c r="AP1905" s="89" t="s">
        <v>115</v>
      </c>
    </row>
    <row r="1906" spans="1:42" s="89" customFormat="1" x14ac:dyDescent="0.15">
      <c r="A1906" s="100" t="s">
        <v>1</v>
      </c>
      <c r="B1906" s="101">
        <v>90180513</v>
      </c>
      <c r="C1906" s="101">
        <v>1805</v>
      </c>
      <c r="D1906" s="101">
        <v>18</v>
      </c>
      <c r="E1906" s="101"/>
      <c r="F1906" s="101" t="s">
        <v>115</v>
      </c>
      <c r="G1906" s="101" t="s">
        <v>115</v>
      </c>
      <c r="H1906" s="101" t="s">
        <v>4216</v>
      </c>
      <c r="I1906" s="101">
        <v>4</v>
      </c>
      <c r="J1906" s="100">
        <v>0</v>
      </c>
      <c r="K1906" s="100">
        <v>0</v>
      </c>
      <c r="L1906" s="100" t="s">
        <v>115</v>
      </c>
      <c r="M1906" s="102"/>
      <c r="N1906" s="100"/>
      <c r="O1906" s="100" t="s">
        <v>115</v>
      </c>
      <c r="P1906" s="101"/>
      <c r="Q1906" s="100">
        <v>110</v>
      </c>
      <c r="R1906" s="100">
        <v>164</v>
      </c>
      <c r="S1906" s="100"/>
      <c r="T1906" s="100"/>
      <c r="U1906" s="100"/>
      <c r="V1906" s="100"/>
      <c r="W1906" s="100"/>
      <c r="X1906" s="100">
        <v>90180514</v>
      </c>
      <c r="Y1906" s="100" t="s">
        <v>115</v>
      </c>
      <c r="Z1906" s="100" t="s">
        <v>115</v>
      </c>
      <c r="AA1906" s="100" t="s">
        <v>115</v>
      </c>
      <c r="AB1906" s="100" t="s">
        <v>115</v>
      </c>
      <c r="AC1906" s="100" t="s">
        <v>115</v>
      </c>
      <c r="AD1906" s="100"/>
      <c r="AE1906" s="100"/>
      <c r="AF1906" s="100"/>
      <c r="AG1906" s="100"/>
      <c r="AH1906" s="100"/>
      <c r="AI1906" s="100" t="s">
        <v>115</v>
      </c>
      <c r="AJ1906" s="100"/>
      <c r="AK1906" s="100"/>
      <c r="AL1906" s="100"/>
      <c r="AM1906" s="100"/>
      <c r="AN1906" s="100"/>
      <c r="AO1906" s="100"/>
      <c r="AP1906" s="89" t="s">
        <v>115</v>
      </c>
    </row>
    <row r="1907" spans="1:42" s="89" customFormat="1" x14ac:dyDescent="0.15">
      <c r="A1907" s="100" t="s">
        <v>1</v>
      </c>
      <c r="B1907" s="101">
        <v>90180514</v>
      </c>
      <c r="C1907" s="101">
        <v>1805</v>
      </c>
      <c r="D1907" s="101">
        <v>18</v>
      </c>
      <c r="E1907" s="101"/>
      <c r="F1907" s="101" t="s">
        <v>116</v>
      </c>
      <c r="G1907" s="101">
        <v>309</v>
      </c>
      <c r="H1907" s="101" t="s">
        <v>4217</v>
      </c>
      <c r="I1907" s="101">
        <v>2</v>
      </c>
      <c r="J1907" s="100">
        <v>0</v>
      </c>
      <c r="K1907" s="100">
        <v>8</v>
      </c>
      <c r="L1907" s="100" t="s">
        <v>115</v>
      </c>
      <c r="M1907" s="102"/>
      <c r="N1907" s="100"/>
      <c r="O1907" s="100">
        <v>2</v>
      </c>
      <c r="P1907" s="101"/>
      <c r="Q1907" s="100">
        <v>110</v>
      </c>
      <c r="R1907" s="100" t="s">
        <v>115</v>
      </c>
      <c r="S1907" s="100"/>
      <c r="T1907" s="100"/>
      <c r="U1907" s="100"/>
      <c r="V1907" s="100"/>
      <c r="W1907" s="100"/>
      <c r="X1907" s="100" t="s">
        <v>115</v>
      </c>
      <c r="Y1907" s="100" t="s">
        <v>115</v>
      </c>
      <c r="Z1907" s="100">
        <v>7</v>
      </c>
      <c r="AA1907" s="100" t="s">
        <v>115</v>
      </c>
      <c r="AB1907" s="100" t="s">
        <v>115</v>
      </c>
      <c r="AC1907" s="100" t="s">
        <v>115</v>
      </c>
      <c r="AD1907" s="100"/>
      <c r="AE1907" s="100"/>
      <c r="AF1907" s="100"/>
      <c r="AG1907" s="100"/>
      <c r="AH1907" s="100"/>
      <c r="AI1907" s="100" t="s">
        <v>115</v>
      </c>
      <c r="AJ1907" s="100"/>
      <c r="AK1907" s="100"/>
      <c r="AL1907" s="100"/>
      <c r="AM1907" s="100"/>
      <c r="AN1907" s="100"/>
      <c r="AO1907" s="100"/>
      <c r="AP1907" s="89" t="s">
        <v>115</v>
      </c>
    </row>
    <row r="1908" spans="1:42" s="89" customFormat="1" x14ac:dyDescent="0.15">
      <c r="A1908" s="100" t="s">
        <v>1</v>
      </c>
      <c r="B1908" s="101">
        <v>90180515</v>
      </c>
      <c r="C1908" s="101">
        <v>1805</v>
      </c>
      <c r="D1908" s="101">
        <v>18</v>
      </c>
      <c r="E1908" s="101"/>
      <c r="F1908" s="101" t="s">
        <v>115</v>
      </c>
      <c r="G1908" s="101" t="s">
        <v>115</v>
      </c>
      <c r="H1908" s="101" t="s">
        <v>4218</v>
      </c>
      <c r="I1908" s="101">
        <v>4</v>
      </c>
      <c r="J1908" s="100">
        <v>0</v>
      </c>
      <c r="K1908" s="100">
        <v>0</v>
      </c>
      <c r="L1908" s="100" t="s">
        <v>115</v>
      </c>
      <c r="M1908" s="102"/>
      <c r="N1908" s="100"/>
      <c r="O1908" s="100" t="s">
        <v>115</v>
      </c>
      <c r="P1908" s="101"/>
      <c r="Q1908" s="100">
        <v>110</v>
      </c>
      <c r="R1908" s="100" t="s">
        <v>115</v>
      </c>
      <c r="S1908" s="100"/>
      <c r="T1908" s="100"/>
      <c r="U1908" s="100"/>
      <c r="V1908" s="100"/>
      <c r="W1908" s="100"/>
      <c r="X1908" s="100">
        <v>90180517</v>
      </c>
      <c r="Y1908" s="100" t="s">
        <v>115</v>
      </c>
      <c r="Z1908" s="100" t="s">
        <v>115</v>
      </c>
      <c r="AA1908" s="100" t="s">
        <v>115</v>
      </c>
      <c r="AB1908" s="100" t="s">
        <v>115</v>
      </c>
      <c r="AC1908" s="100" t="s">
        <v>115</v>
      </c>
      <c r="AD1908" s="100"/>
      <c r="AE1908" s="100"/>
      <c r="AF1908" s="100"/>
      <c r="AG1908" s="100"/>
      <c r="AH1908" s="100"/>
      <c r="AI1908" s="100" t="s">
        <v>115</v>
      </c>
      <c r="AJ1908" s="100"/>
      <c r="AK1908" s="100"/>
      <c r="AL1908" s="100"/>
      <c r="AM1908" s="100"/>
      <c r="AN1908" s="100"/>
      <c r="AO1908" s="100"/>
      <c r="AP1908" s="89" t="s">
        <v>115</v>
      </c>
    </row>
    <row r="1909" spans="1:42" s="89" customFormat="1" x14ac:dyDescent="0.15">
      <c r="A1909" s="100" t="s">
        <v>1</v>
      </c>
      <c r="B1909" s="101">
        <v>90180516</v>
      </c>
      <c r="C1909" s="101">
        <v>1805</v>
      </c>
      <c r="D1909" s="101">
        <v>18</v>
      </c>
      <c r="E1909" s="101"/>
      <c r="F1909" s="101" t="s">
        <v>115</v>
      </c>
      <c r="G1909" s="101" t="s">
        <v>115</v>
      </c>
      <c r="H1909" s="101" t="s">
        <v>4219</v>
      </c>
      <c r="I1909" s="101">
        <v>4</v>
      </c>
      <c r="J1909" s="100">
        <v>0</v>
      </c>
      <c r="K1909" s="100">
        <v>0</v>
      </c>
      <c r="L1909" s="100" t="s">
        <v>115</v>
      </c>
      <c r="M1909" s="102"/>
      <c r="N1909" s="100"/>
      <c r="O1909" s="100" t="s">
        <v>115</v>
      </c>
      <c r="P1909" s="101"/>
      <c r="Q1909" s="100">
        <v>110</v>
      </c>
      <c r="R1909" s="100" t="s">
        <v>115</v>
      </c>
      <c r="S1909" s="100"/>
      <c r="T1909" s="100"/>
      <c r="U1909" s="100"/>
      <c r="V1909" s="100"/>
      <c r="W1909" s="100"/>
      <c r="X1909" s="100">
        <v>90180517</v>
      </c>
      <c r="Y1909" s="100" t="s">
        <v>115</v>
      </c>
      <c r="Z1909" s="100" t="s">
        <v>115</v>
      </c>
      <c r="AA1909" s="100" t="s">
        <v>115</v>
      </c>
      <c r="AB1909" s="100" t="s">
        <v>115</v>
      </c>
      <c r="AC1909" s="100" t="s">
        <v>115</v>
      </c>
      <c r="AD1909" s="100"/>
      <c r="AE1909" s="100"/>
      <c r="AF1909" s="100"/>
      <c r="AG1909" s="100"/>
      <c r="AH1909" s="100"/>
      <c r="AI1909" s="100" t="s">
        <v>115</v>
      </c>
      <c r="AJ1909" s="100"/>
      <c r="AK1909" s="100"/>
      <c r="AL1909" s="100"/>
      <c r="AM1909" s="100"/>
      <c r="AN1909" s="100"/>
      <c r="AO1909" s="100"/>
      <c r="AP1909" s="89" t="s">
        <v>115</v>
      </c>
    </row>
    <row r="1910" spans="1:42" s="89" customFormat="1" x14ac:dyDescent="0.15">
      <c r="A1910" s="100" t="s">
        <v>1</v>
      </c>
      <c r="B1910" s="101">
        <v>90180517</v>
      </c>
      <c r="C1910" s="101">
        <v>1805</v>
      </c>
      <c r="D1910" s="101">
        <v>18</v>
      </c>
      <c r="E1910" s="101"/>
      <c r="F1910" s="101" t="s">
        <v>115</v>
      </c>
      <c r="G1910" s="101" t="s">
        <v>115</v>
      </c>
      <c r="H1910" s="101" t="s">
        <v>4220</v>
      </c>
      <c r="I1910" s="101">
        <v>4</v>
      </c>
      <c r="J1910" s="100">
        <v>0</v>
      </c>
      <c r="K1910" s="100">
        <v>0</v>
      </c>
      <c r="L1910" s="100" t="s">
        <v>115</v>
      </c>
      <c r="M1910" s="102"/>
      <c r="N1910" s="100"/>
      <c r="O1910" s="100" t="s">
        <v>115</v>
      </c>
      <c r="P1910" s="101"/>
      <c r="Q1910" s="100">
        <v>110</v>
      </c>
      <c r="R1910" s="100" t="s">
        <v>115</v>
      </c>
      <c r="S1910" s="100"/>
      <c r="T1910" s="100"/>
      <c r="U1910" s="100"/>
      <c r="V1910" s="100"/>
      <c r="W1910" s="100"/>
      <c r="X1910" s="100">
        <v>90180518</v>
      </c>
      <c r="Y1910" s="100" t="s">
        <v>115</v>
      </c>
      <c r="Z1910" s="100" t="s">
        <v>115</v>
      </c>
      <c r="AA1910" s="100" t="s">
        <v>115</v>
      </c>
      <c r="AB1910" s="100" t="s">
        <v>115</v>
      </c>
      <c r="AC1910" s="100" t="s">
        <v>115</v>
      </c>
      <c r="AD1910" s="100"/>
      <c r="AE1910" s="100"/>
      <c r="AF1910" s="100"/>
      <c r="AG1910" s="100"/>
      <c r="AH1910" s="100"/>
      <c r="AI1910" s="100" t="s">
        <v>115</v>
      </c>
      <c r="AJ1910" s="100"/>
      <c r="AK1910" s="100"/>
      <c r="AL1910" s="100"/>
      <c r="AM1910" s="100"/>
      <c r="AN1910" s="100"/>
      <c r="AO1910" s="100"/>
      <c r="AP1910" s="89" t="s">
        <v>115</v>
      </c>
    </row>
    <row r="1911" spans="1:42" s="89" customFormat="1" x14ac:dyDescent="0.15">
      <c r="A1911" s="100" t="s">
        <v>1</v>
      </c>
      <c r="B1911" s="101">
        <v>90180518</v>
      </c>
      <c r="C1911" s="101">
        <v>1805</v>
      </c>
      <c r="D1911" s="101">
        <v>18</v>
      </c>
      <c r="E1911" s="101"/>
      <c r="F1911" s="101" t="s">
        <v>428</v>
      </c>
      <c r="G1911" s="101" t="s">
        <v>115</v>
      </c>
      <c r="H1911" s="101" t="s">
        <v>4221</v>
      </c>
      <c r="I1911" s="101">
        <v>3</v>
      </c>
      <c r="J1911" s="100">
        <v>0</v>
      </c>
      <c r="K1911" s="100">
        <v>0</v>
      </c>
      <c r="L1911" s="100" t="s">
        <v>115</v>
      </c>
      <c r="M1911" s="102"/>
      <c r="N1911" s="100"/>
      <c r="O1911" s="100" t="s">
        <v>115</v>
      </c>
      <c r="P1911" s="101"/>
      <c r="Q1911" s="100">
        <v>110</v>
      </c>
      <c r="R1911" s="100">
        <v>213</v>
      </c>
      <c r="S1911" s="100"/>
      <c r="T1911" s="100"/>
      <c r="U1911" s="100"/>
      <c r="V1911" s="100"/>
      <c r="W1911" s="100"/>
      <c r="X1911" s="100">
        <v>90180519</v>
      </c>
      <c r="Y1911" s="100" t="s">
        <v>115</v>
      </c>
      <c r="Z1911" s="100" t="s">
        <v>115</v>
      </c>
      <c r="AA1911" s="100" t="s">
        <v>115</v>
      </c>
      <c r="AB1911" s="100" t="s">
        <v>115</v>
      </c>
      <c r="AC1911" s="100" t="s">
        <v>115</v>
      </c>
      <c r="AD1911" s="100"/>
      <c r="AE1911" s="100"/>
      <c r="AF1911" s="100"/>
      <c r="AG1911" s="100"/>
      <c r="AH1911" s="100"/>
      <c r="AI1911" s="100" t="s">
        <v>115</v>
      </c>
      <c r="AJ1911" s="100"/>
      <c r="AK1911" s="100"/>
      <c r="AL1911" s="100"/>
      <c r="AM1911" s="100"/>
      <c r="AN1911" s="100"/>
      <c r="AO1911" s="100"/>
      <c r="AP1911" s="89" t="s">
        <v>115</v>
      </c>
    </row>
    <row r="1912" spans="1:42" s="89" customFormat="1" x14ac:dyDescent="0.15">
      <c r="A1912" s="100" t="s">
        <v>1</v>
      </c>
      <c r="B1912" s="101">
        <v>90180519</v>
      </c>
      <c r="C1912" s="101">
        <v>1805</v>
      </c>
      <c r="D1912" s="101">
        <v>18</v>
      </c>
      <c r="E1912" s="101"/>
      <c r="F1912" s="101" t="s">
        <v>116</v>
      </c>
      <c r="G1912" s="101">
        <v>313</v>
      </c>
      <c r="H1912" s="101" t="s">
        <v>4222</v>
      </c>
      <c r="I1912" s="101">
        <v>0</v>
      </c>
      <c r="J1912" s="100">
        <v>0</v>
      </c>
      <c r="K1912" s="100">
        <v>0</v>
      </c>
      <c r="L1912" s="100" t="s">
        <v>115</v>
      </c>
      <c r="M1912" s="102"/>
      <c r="N1912" s="100"/>
      <c r="O1912" s="100" t="s">
        <v>115</v>
      </c>
      <c r="P1912" s="101"/>
      <c r="Q1912" s="100">
        <v>110</v>
      </c>
      <c r="R1912" s="100">
        <v>213</v>
      </c>
      <c r="S1912" s="100"/>
      <c r="T1912" s="100"/>
      <c r="U1912" s="100"/>
      <c r="V1912" s="100"/>
      <c r="W1912" s="100"/>
      <c r="X1912" s="100">
        <v>90180520</v>
      </c>
      <c r="Y1912" s="100" t="s">
        <v>115</v>
      </c>
      <c r="Z1912" s="100" t="s">
        <v>115</v>
      </c>
      <c r="AA1912" s="100" t="s">
        <v>115</v>
      </c>
      <c r="AB1912" s="100" t="s">
        <v>115</v>
      </c>
      <c r="AC1912" s="100" t="s">
        <v>115</v>
      </c>
      <c r="AD1912" s="100"/>
      <c r="AE1912" s="100"/>
      <c r="AF1912" s="100"/>
      <c r="AG1912" s="100"/>
      <c r="AH1912" s="100"/>
      <c r="AI1912" s="100" t="s">
        <v>115</v>
      </c>
      <c r="AJ1912" s="100"/>
      <c r="AK1912" s="100"/>
      <c r="AL1912" s="100"/>
      <c r="AM1912" s="100"/>
      <c r="AN1912" s="100"/>
      <c r="AO1912" s="100"/>
      <c r="AP1912" s="89" t="s">
        <v>115</v>
      </c>
    </row>
    <row r="1913" spans="1:42" s="89" customFormat="1" x14ac:dyDescent="0.15">
      <c r="A1913" s="100" t="s">
        <v>1</v>
      </c>
      <c r="B1913" s="101">
        <v>90180520</v>
      </c>
      <c r="C1913" s="101">
        <v>1805</v>
      </c>
      <c r="D1913" s="101">
        <v>18</v>
      </c>
      <c r="E1913" s="101"/>
      <c r="F1913" s="101" t="s">
        <v>428</v>
      </c>
      <c r="G1913" s="101" t="s">
        <v>115</v>
      </c>
      <c r="H1913" s="101" t="s">
        <v>4223</v>
      </c>
      <c r="I1913" s="101">
        <v>3</v>
      </c>
      <c r="J1913" s="100">
        <v>0</v>
      </c>
      <c r="K1913" s="100">
        <v>0</v>
      </c>
      <c r="L1913" s="100" t="s">
        <v>115</v>
      </c>
      <c r="M1913" s="102"/>
      <c r="N1913" s="100"/>
      <c r="O1913" s="100" t="s">
        <v>115</v>
      </c>
      <c r="P1913" s="101"/>
      <c r="Q1913" s="100">
        <v>110</v>
      </c>
      <c r="R1913" s="100">
        <v>213</v>
      </c>
      <c r="S1913" s="100"/>
      <c r="T1913" s="100"/>
      <c r="U1913" s="100"/>
      <c r="V1913" s="100"/>
      <c r="W1913" s="100"/>
      <c r="X1913" s="100">
        <v>90180521</v>
      </c>
      <c r="Y1913" s="100" t="s">
        <v>115</v>
      </c>
      <c r="Z1913" s="100" t="s">
        <v>115</v>
      </c>
      <c r="AA1913" s="100" t="s">
        <v>115</v>
      </c>
      <c r="AB1913" s="100" t="s">
        <v>115</v>
      </c>
      <c r="AC1913" s="100" t="s">
        <v>115</v>
      </c>
      <c r="AD1913" s="100"/>
      <c r="AE1913" s="100"/>
      <c r="AF1913" s="100"/>
      <c r="AG1913" s="100"/>
      <c r="AH1913" s="100"/>
      <c r="AI1913" s="100" t="s">
        <v>115</v>
      </c>
      <c r="AJ1913" s="100"/>
      <c r="AK1913" s="100"/>
      <c r="AL1913" s="100"/>
      <c r="AM1913" s="100"/>
      <c r="AN1913" s="100"/>
      <c r="AO1913" s="100"/>
      <c r="AP1913" s="89" t="s">
        <v>115</v>
      </c>
    </row>
    <row r="1914" spans="1:42" s="89" customFormat="1" x14ac:dyDescent="0.15">
      <c r="A1914" s="100" t="s">
        <v>1</v>
      </c>
      <c r="B1914" s="101">
        <v>90180521</v>
      </c>
      <c r="C1914" s="101">
        <v>1805</v>
      </c>
      <c r="D1914" s="101">
        <v>18</v>
      </c>
      <c r="E1914" s="101"/>
      <c r="F1914" s="101" t="s">
        <v>428</v>
      </c>
      <c r="G1914" s="101" t="s">
        <v>115</v>
      </c>
      <c r="H1914" s="101" t="s">
        <v>4224</v>
      </c>
      <c r="I1914" s="101">
        <v>3</v>
      </c>
      <c r="J1914" s="100">
        <v>0</v>
      </c>
      <c r="K1914" s="100">
        <v>0</v>
      </c>
      <c r="L1914" s="100" t="s">
        <v>115</v>
      </c>
      <c r="M1914" s="102"/>
      <c r="N1914" s="100"/>
      <c r="O1914" s="100" t="s">
        <v>115</v>
      </c>
      <c r="P1914" s="101"/>
      <c r="Q1914" s="100">
        <v>110</v>
      </c>
      <c r="R1914" s="100">
        <v>213</v>
      </c>
      <c r="S1914" s="100"/>
      <c r="T1914" s="100"/>
      <c r="U1914" s="100"/>
      <c r="V1914" s="100"/>
      <c r="W1914" s="100"/>
      <c r="X1914" s="100">
        <v>90180522</v>
      </c>
      <c r="Y1914" s="100" t="s">
        <v>115</v>
      </c>
      <c r="Z1914" s="100" t="s">
        <v>115</v>
      </c>
      <c r="AA1914" s="100" t="s">
        <v>115</v>
      </c>
      <c r="AB1914" s="100" t="s">
        <v>115</v>
      </c>
      <c r="AC1914" s="100" t="s">
        <v>115</v>
      </c>
      <c r="AD1914" s="100"/>
      <c r="AE1914" s="100"/>
      <c r="AF1914" s="100"/>
      <c r="AG1914" s="100"/>
      <c r="AH1914" s="100"/>
      <c r="AI1914" s="100" t="s">
        <v>115</v>
      </c>
      <c r="AJ1914" s="100"/>
      <c r="AK1914" s="100"/>
      <c r="AL1914" s="100"/>
      <c r="AM1914" s="100"/>
      <c r="AN1914" s="100"/>
      <c r="AO1914" s="100"/>
      <c r="AP1914" s="89" t="s">
        <v>115</v>
      </c>
    </row>
    <row r="1915" spans="1:42" s="89" customFormat="1" x14ac:dyDescent="0.15">
      <c r="A1915" s="100" t="s">
        <v>1</v>
      </c>
      <c r="B1915" s="101">
        <v>90180522</v>
      </c>
      <c r="C1915" s="101">
        <v>1805</v>
      </c>
      <c r="D1915" s="101">
        <v>18</v>
      </c>
      <c r="E1915" s="101"/>
      <c r="F1915" s="101" t="s">
        <v>428</v>
      </c>
      <c r="G1915" s="101" t="s">
        <v>115</v>
      </c>
      <c r="H1915" s="101" t="s">
        <v>4225</v>
      </c>
      <c r="I1915" s="101">
        <v>3</v>
      </c>
      <c r="J1915" s="100">
        <v>0</v>
      </c>
      <c r="K1915" s="100">
        <v>9</v>
      </c>
      <c r="L1915" s="100" t="s">
        <v>4226</v>
      </c>
      <c r="M1915" s="102"/>
      <c r="N1915" s="100"/>
      <c r="O1915" s="100" t="s">
        <v>115</v>
      </c>
      <c r="P1915" s="101"/>
      <c r="Q1915" s="100">
        <v>110</v>
      </c>
      <c r="R1915" s="100">
        <v>213</v>
      </c>
      <c r="S1915" s="100"/>
      <c r="T1915" s="100"/>
      <c r="U1915" s="100"/>
      <c r="V1915" s="100"/>
      <c r="W1915" s="100"/>
      <c r="X1915" s="100">
        <v>90180523</v>
      </c>
      <c r="Y1915" s="100" t="s">
        <v>115</v>
      </c>
      <c r="Z1915" s="100">
        <v>8</v>
      </c>
      <c r="AA1915" s="100" t="s">
        <v>115</v>
      </c>
      <c r="AB1915" s="100" t="s">
        <v>115</v>
      </c>
      <c r="AC1915" s="100" t="s">
        <v>115</v>
      </c>
      <c r="AD1915" s="100"/>
      <c r="AE1915" s="100"/>
      <c r="AF1915" s="100"/>
      <c r="AG1915" s="100"/>
      <c r="AH1915" s="100"/>
      <c r="AI1915" s="100" t="s">
        <v>115</v>
      </c>
      <c r="AJ1915" s="100"/>
      <c r="AK1915" s="100"/>
      <c r="AL1915" s="100"/>
      <c r="AM1915" s="100"/>
      <c r="AN1915" s="100"/>
      <c r="AO1915" s="100"/>
      <c r="AP1915" s="89" t="s">
        <v>115</v>
      </c>
    </row>
    <row r="1916" spans="1:42" s="89" customFormat="1" x14ac:dyDescent="0.15">
      <c r="A1916" s="100" t="s">
        <v>1</v>
      </c>
      <c r="B1916" s="101">
        <v>90180523</v>
      </c>
      <c r="C1916" s="101">
        <v>1805</v>
      </c>
      <c r="D1916" s="101">
        <v>18</v>
      </c>
      <c r="E1916" s="101"/>
      <c r="F1916" s="101" t="s">
        <v>116</v>
      </c>
      <c r="G1916" s="101">
        <v>312</v>
      </c>
      <c r="H1916" s="101" t="s">
        <v>4227</v>
      </c>
      <c r="I1916" s="101">
        <v>0</v>
      </c>
      <c r="J1916" s="100">
        <v>0</v>
      </c>
      <c r="K1916" s="100">
        <v>0</v>
      </c>
      <c r="L1916" s="100" t="s">
        <v>115</v>
      </c>
      <c r="M1916" s="102"/>
      <c r="N1916" s="100"/>
      <c r="O1916" s="100" t="s">
        <v>115</v>
      </c>
      <c r="P1916" s="101"/>
      <c r="Q1916" s="100">
        <v>110</v>
      </c>
      <c r="R1916" s="100">
        <v>213</v>
      </c>
      <c r="S1916" s="100"/>
      <c r="T1916" s="100"/>
      <c r="U1916" s="100"/>
      <c r="V1916" s="100"/>
      <c r="W1916" s="100"/>
      <c r="X1916" s="100">
        <v>90180524</v>
      </c>
      <c r="Y1916" s="100" t="s">
        <v>115</v>
      </c>
      <c r="Z1916" s="100" t="s">
        <v>115</v>
      </c>
      <c r="AA1916" s="100" t="s">
        <v>115</v>
      </c>
      <c r="AB1916" s="100" t="s">
        <v>115</v>
      </c>
      <c r="AC1916" s="100" t="s">
        <v>115</v>
      </c>
      <c r="AD1916" s="100"/>
      <c r="AE1916" s="100"/>
      <c r="AF1916" s="100"/>
      <c r="AG1916" s="100"/>
      <c r="AH1916" s="100"/>
      <c r="AI1916" s="100" t="s">
        <v>115</v>
      </c>
      <c r="AJ1916" s="100"/>
      <c r="AK1916" s="100"/>
      <c r="AL1916" s="100"/>
      <c r="AM1916" s="100"/>
      <c r="AN1916" s="100"/>
      <c r="AO1916" s="100"/>
      <c r="AP1916" s="89" t="s">
        <v>115</v>
      </c>
    </row>
    <row r="1917" spans="1:42" s="89" customFormat="1" x14ac:dyDescent="0.15">
      <c r="A1917" s="100" t="s">
        <v>1</v>
      </c>
      <c r="B1917" s="101">
        <v>90180524</v>
      </c>
      <c r="C1917" s="101">
        <v>1805</v>
      </c>
      <c r="D1917" s="101">
        <v>18</v>
      </c>
      <c r="E1917" s="101"/>
      <c r="F1917" s="101" t="s">
        <v>428</v>
      </c>
      <c r="G1917" s="101" t="s">
        <v>115</v>
      </c>
      <c r="H1917" s="101" t="s">
        <v>4228</v>
      </c>
      <c r="I1917" s="101">
        <v>3</v>
      </c>
      <c r="J1917" s="100">
        <v>0</v>
      </c>
      <c r="K1917" s="100">
        <v>0</v>
      </c>
      <c r="L1917" s="100" t="s">
        <v>115</v>
      </c>
      <c r="M1917" s="102"/>
      <c r="N1917" s="100"/>
      <c r="O1917" s="100" t="s">
        <v>115</v>
      </c>
      <c r="P1917" s="101"/>
      <c r="Q1917" s="100">
        <v>110</v>
      </c>
      <c r="R1917" s="100">
        <v>213</v>
      </c>
      <c r="S1917" s="100"/>
      <c r="T1917" s="100"/>
      <c r="U1917" s="100"/>
      <c r="V1917" s="100"/>
      <c r="W1917" s="100"/>
      <c r="X1917" s="100">
        <v>90180525</v>
      </c>
      <c r="Y1917" s="100" t="s">
        <v>115</v>
      </c>
      <c r="Z1917" s="100" t="s">
        <v>115</v>
      </c>
      <c r="AA1917" s="100" t="s">
        <v>115</v>
      </c>
      <c r="AB1917" s="100" t="s">
        <v>115</v>
      </c>
      <c r="AC1917" s="100" t="s">
        <v>115</v>
      </c>
      <c r="AD1917" s="100"/>
      <c r="AE1917" s="100"/>
      <c r="AF1917" s="100"/>
      <c r="AG1917" s="100"/>
      <c r="AH1917" s="100"/>
      <c r="AI1917" s="100" t="s">
        <v>115</v>
      </c>
      <c r="AJ1917" s="100"/>
      <c r="AK1917" s="100"/>
      <c r="AL1917" s="100"/>
      <c r="AM1917" s="100"/>
      <c r="AN1917" s="100"/>
      <c r="AO1917" s="100"/>
      <c r="AP1917" s="89" t="s">
        <v>115</v>
      </c>
    </row>
    <row r="1918" spans="1:42" s="89" customFormat="1" x14ac:dyDescent="0.15">
      <c r="A1918" s="100" t="s">
        <v>1</v>
      </c>
      <c r="B1918" s="101">
        <v>90180525</v>
      </c>
      <c r="C1918" s="101">
        <v>1805</v>
      </c>
      <c r="D1918" s="101">
        <v>18</v>
      </c>
      <c r="E1918" s="101"/>
      <c r="F1918" s="101" t="s">
        <v>116</v>
      </c>
      <c r="G1918" s="101">
        <v>362</v>
      </c>
      <c r="H1918" s="101" t="s">
        <v>4229</v>
      </c>
      <c r="I1918" s="101">
        <v>0</v>
      </c>
      <c r="J1918" s="100">
        <v>0</v>
      </c>
      <c r="K1918" s="100">
        <v>0</v>
      </c>
      <c r="L1918" s="100" t="s">
        <v>115</v>
      </c>
      <c r="M1918" s="102"/>
      <c r="N1918" s="100"/>
      <c r="O1918" s="100" t="s">
        <v>115</v>
      </c>
      <c r="P1918" s="101"/>
      <c r="Q1918" s="100">
        <v>110</v>
      </c>
      <c r="R1918" s="100" t="s">
        <v>115</v>
      </c>
      <c r="S1918" s="100"/>
      <c r="T1918" s="100"/>
      <c r="U1918" s="100"/>
      <c r="V1918" s="100"/>
      <c r="W1918" s="100"/>
      <c r="X1918" s="100">
        <v>90180526</v>
      </c>
      <c r="Y1918" s="100" t="s">
        <v>115</v>
      </c>
      <c r="Z1918" s="100" t="s">
        <v>115</v>
      </c>
      <c r="AA1918" s="100" t="s">
        <v>115</v>
      </c>
      <c r="AB1918" s="100" t="s">
        <v>115</v>
      </c>
      <c r="AC1918" s="100" t="s">
        <v>115</v>
      </c>
      <c r="AD1918" s="100"/>
      <c r="AE1918" s="100"/>
      <c r="AF1918" s="100"/>
      <c r="AG1918" s="100"/>
      <c r="AH1918" s="100"/>
      <c r="AI1918" s="100" t="s">
        <v>115</v>
      </c>
      <c r="AJ1918" s="100"/>
      <c r="AK1918" s="100"/>
      <c r="AL1918" s="100"/>
      <c r="AM1918" s="100"/>
      <c r="AN1918" s="100"/>
      <c r="AO1918" s="100"/>
      <c r="AP1918" s="89" t="s">
        <v>115</v>
      </c>
    </row>
    <row r="1919" spans="1:42" s="89" customFormat="1" x14ac:dyDescent="0.15">
      <c r="A1919" s="100" t="s">
        <v>1</v>
      </c>
      <c r="B1919" s="101">
        <v>90180526</v>
      </c>
      <c r="C1919" s="101">
        <v>1805</v>
      </c>
      <c r="D1919" s="101">
        <v>18</v>
      </c>
      <c r="E1919" s="101"/>
      <c r="F1919" s="101" t="s">
        <v>115</v>
      </c>
      <c r="G1919" s="101" t="s">
        <v>115</v>
      </c>
      <c r="H1919" s="101" t="s">
        <v>4230</v>
      </c>
      <c r="I1919" s="101">
        <v>4</v>
      </c>
      <c r="J1919" s="100">
        <v>0</v>
      </c>
      <c r="K1919" s="100">
        <v>10</v>
      </c>
      <c r="L1919" s="100" t="s">
        <v>115</v>
      </c>
      <c r="M1919" s="102"/>
      <c r="N1919" s="100"/>
      <c r="O1919" s="100">
        <v>1</v>
      </c>
      <c r="P1919" s="101"/>
      <c r="Q1919" s="100">
        <v>110</v>
      </c>
      <c r="R1919" s="100" t="s">
        <v>115</v>
      </c>
      <c r="S1919" s="100"/>
      <c r="T1919" s="100"/>
      <c r="U1919" s="100"/>
      <c r="V1919" s="100"/>
      <c r="W1919" s="100"/>
      <c r="X1919" s="100" t="s">
        <v>115</v>
      </c>
      <c r="Y1919" s="100" t="s">
        <v>115</v>
      </c>
      <c r="Z1919" s="100">
        <v>9</v>
      </c>
      <c r="AA1919" s="100" t="s">
        <v>115</v>
      </c>
      <c r="AB1919" s="100" t="s">
        <v>115</v>
      </c>
      <c r="AC1919" s="100" t="s">
        <v>115</v>
      </c>
      <c r="AD1919" s="100"/>
      <c r="AE1919" s="100"/>
      <c r="AF1919" s="100"/>
      <c r="AG1919" s="100"/>
      <c r="AH1919" s="100"/>
      <c r="AI1919" s="100" t="s">
        <v>115</v>
      </c>
      <c r="AJ1919" s="100"/>
      <c r="AK1919" s="100"/>
      <c r="AL1919" s="100"/>
      <c r="AM1919" s="100"/>
      <c r="AN1919" s="100"/>
      <c r="AO1919" s="100"/>
      <c r="AP1919" s="89" t="s">
        <v>4231</v>
      </c>
    </row>
    <row r="1920" spans="1:42" s="89" customFormat="1" x14ac:dyDescent="0.15">
      <c r="A1920" s="100" t="s">
        <v>1</v>
      </c>
      <c r="B1920" s="101" t="s">
        <v>3963</v>
      </c>
      <c r="C1920" s="101">
        <v>1806</v>
      </c>
      <c r="D1920" s="101">
        <v>18</v>
      </c>
      <c r="E1920" s="101"/>
      <c r="F1920" s="101" t="s">
        <v>115</v>
      </c>
      <c r="G1920" s="101" t="s">
        <v>115</v>
      </c>
      <c r="H1920" s="101" t="s">
        <v>4232</v>
      </c>
      <c r="I1920" s="101">
        <v>4</v>
      </c>
      <c r="J1920" s="100">
        <v>1</v>
      </c>
      <c r="K1920" s="100">
        <v>1</v>
      </c>
      <c r="L1920" s="100" t="s">
        <v>115</v>
      </c>
      <c r="M1920" s="102"/>
      <c r="N1920" s="100"/>
      <c r="O1920" s="100" t="s">
        <v>115</v>
      </c>
      <c r="P1920" s="101"/>
      <c r="Q1920" s="100">
        <v>173</v>
      </c>
      <c r="R1920" s="100" t="s">
        <v>115</v>
      </c>
      <c r="S1920" s="100"/>
      <c r="T1920" s="100"/>
      <c r="U1920" s="100"/>
      <c r="V1920" s="100"/>
      <c r="W1920" s="100"/>
      <c r="X1920" s="100">
        <v>90180602</v>
      </c>
      <c r="Y1920" s="100" t="s">
        <v>115</v>
      </c>
      <c r="Z1920" s="100" t="s">
        <v>115</v>
      </c>
      <c r="AA1920" s="100" t="s">
        <v>115</v>
      </c>
      <c r="AB1920" s="100" t="s">
        <v>115</v>
      </c>
      <c r="AC1920" s="100" t="s">
        <v>115</v>
      </c>
      <c r="AD1920" s="100"/>
      <c r="AE1920" s="100"/>
      <c r="AF1920" s="100"/>
      <c r="AG1920" s="100"/>
      <c r="AH1920" s="100"/>
      <c r="AI1920" s="100" t="s">
        <v>115</v>
      </c>
      <c r="AJ1920" s="100"/>
      <c r="AK1920" s="100"/>
      <c r="AL1920" s="100"/>
      <c r="AM1920" s="100"/>
      <c r="AN1920" s="100"/>
      <c r="AO1920" s="100"/>
      <c r="AP1920" s="89" t="s">
        <v>115</v>
      </c>
    </row>
    <row r="1921" spans="1:42" s="89" customFormat="1" x14ac:dyDescent="0.15">
      <c r="A1921" s="100" t="s">
        <v>1</v>
      </c>
      <c r="B1921" s="101">
        <v>90180602</v>
      </c>
      <c r="C1921" s="101">
        <v>1806</v>
      </c>
      <c r="D1921" s="101">
        <v>18</v>
      </c>
      <c r="E1921" s="101"/>
      <c r="F1921" s="101" t="s">
        <v>115</v>
      </c>
      <c r="G1921" s="101" t="s">
        <v>115</v>
      </c>
      <c r="H1921" s="101" t="s">
        <v>4233</v>
      </c>
      <c r="I1921" s="101">
        <v>4</v>
      </c>
      <c r="J1921" s="100">
        <v>0</v>
      </c>
      <c r="K1921" s="100">
        <v>0</v>
      </c>
      <c r="L1921" s="100" t="s">
        <v>115</v>
      </c>
      <c r="M1921" s="102"/>
      <c r="N1921" s="100"/>
      <c r="O1921" s="100" t="s">
        <v>115</v>
      </c>
      <c r="P1921" s="101"/>
      <c r="Q1921" s="100">
        <v>173</v>
      </c>
      <c r="R1921" s="100" t="s">
        <v>115</v>
      </c>
      <c r="S1921" s="100"/>
      <c r="T1921" s="100"/>
      <c r="U1921" s="100"/>
      <c r="V1921" s="100"/>
      <c r="W1921" s="100"/>
      <c r="X1921" s="100">
        <v>90180603</v>
      </c>
      <c r="Y1921" s="100" t="s">
        <v>115</v>
      </c>
      <c r="Z1921" s="100" t="s">
        <v>115</v>
      </c>
      <c r="AA1921" s="100" t="s">
        <v>115</v>
      </c>
      <c r="AB1921" s="100" t="s">
        <v>115</v>
      </c>
      <c r="AC1921" s="100" t="s">
        <v>115</v>
      </c>
      <c r="AD1921" s="100"/>
      <c r="AE1921" s="100"/>
      <c r="AF1921" s="100"/>
      <c r="AG1921" s="100"/>
      <c r="AH1921" s="100"/>
      <c r="AI1921" s="100" t="s">
        <v>115</v>
      </c>
      <c r="AJ1921" s="100"/>
      <c r="AK1921" s="100"/>
      <c r="AL1921" s="100"/>
      <c r="AM1921" s="100"/>
      <c r="AN1921" s="100"/>
      <c r="AO1921" s="100"/>
      <c r="AP1921" s="89" t="s">
        <v>115</v>
      </c>
    </row>
    <row r="1922" spans="1:42" s="89" customFormat="1" x14ac:dyDescent="0.15">
      <c r="A1922" s="100" t="s">
        <v>1</v>
      </c>
      <c r="B1922" s="101">
        <v>90180603</v>
      </c>
      <c r="C1922" s="101">
        <v>1806</v>
      </c>
      <c r="D1922" s="101">
        <v>18</v>
      </c>
      <c r="E1922" s="101"/>
      <c r="F1922" s="101" t="s">
        <v>115</v>
      </c>
      <c r="G1922" s="101" t="s">
        <v>115</v>
      </c>
      <c r="H1922" s="101" t="s">
        <v>4234</v>
      </c>
      <c r="I1922" s="101">
        <v>4</v>
      </c>
      <c r="J1922" s="100">
        <v>0</v>
      </c>
      <c r="K1922" s="100">
        <v>0</v>
      </c>
      <c r="L1922" s="100" t="s">
        <v>115</v>
      </c>
      <c r="M1922" s="102"/>
      <c r="N1922" s="100"/>
      <c r="O1922" s="100" t="s">
        <v>115</v>
      </c>
      <c r="P1922" s="101"/>
      <c r="Q1922" s="100">
        <v>173</v>
      </c>
      <c r="R1922" s="100" t="s">
        <v>115</v>
      </c>
      <c r="S1922" s="100"/>
      <c r="T1922" s="100"/>
      <c r="U1922" s="100"/>
      <c r="V1922" s="100"/>
      <c r="W1922" s="100"/>
      <c r="X1922" s="100">
        <v>90180604</v>
      </c>
      <c r="Y1922" s="100" t="s">
        <v>115</v>
      </c>
      <c r="Z1922" s="100" t="s">
        <v>115</v>
      </c>
      <c r="AA1922" s="100" t="s">
        <v>115</v>
      </c>
      <c r="AB1922" s="100" t="s">
        <v>115</v>
      </c>
      <c r="AC1922" s="100" t="s">
        <v>115</v>
      </c>
      <c r="AD1922" s="100"/>
      <c r="AE1922" s="100"/>
      <c r="AF1922" s="100"/>
      <c r="AG1922" s="100"/>
      <c r="AH1922" s="100"/>
      <c r="AI1922" s="100" t="s">
        <v>115</v>
      </c>
      <c r="AJ1922" s="100"/>
      <c r="AK1922" s="100"/>
      <c r="AL1922" s="100"/>
      <c r="AM1922" s="100"/>
      <c r="AN1922" s="100"/>
      <c r="AO1922" s="100"/>
      <c r="AP1922" s="89" t="s">
        <v>115</v>
      </c>
    </row>
    <row r="1923" spans="1:42" s="89" customFormat="1" x14ac:dyDescent="0.15">
      <c r="A1923" s="100" t="s">
        <v>1</v>
      </c>
      <c r="B1923" s="101">
        <v>90180604</v>
      </c>
      <c r="C1923" s="101">
        <v>1806</v>
      </c>
      <c r="D1923" s="101">
        <v>18</v>
      </c>
      <c r="E1923" s="101"/>
      <c r="F1923" s="101" t="s">
        <v>115</v>
      </c>
      <c r="G1923" s="101" t="s">
        <v>115</v>
      </c>
      <c r="H1923" s="101" t="s">
        <v>4235</v>
      </c>
      <c r="I1923" s="101">
        <v>4</v>
      </c>
      <c r="J1923" s="100">
        <v>0</v>
      </c>
      <c r="K1923" s="100">
        <v>2</v>
      </c>
      <c r="L1923" s="100" t="s">
        <v>115</v>
      </c>
      <c r="M1923" s="102"/>
      <c r="N1923" s="100"/>
      <c r="O1923" s="100" t="s">
        <v>115</v>
      </c>
      <c r="P1923" s="101"/>
      <c r="Q1923" s="100">
        <v>173</v>
      </c>
      <c r="R1923" s="100" t="s">
        <v>115</v>
      </c>
      <c r="S1923" s="100"/>
      <c r="T1923" s="100"/>
      <c r="U1923" s="100"/>
      <c r="V1923" s="100"/>
      <c r="W1923" s="100"/>
      <c r="X1923" s="100" t="s">
        <v>4236</v>
      </c>
      <c r="Y1923" s="100">
        <v>1</v>
      </c>
      <c r="Z1923" s="100">
        <v>1</v>
      </c>
      <c r="AA1923" s="100" t="s">
        <v>115</v>
      </c>
      <c r="AB1923" s="100" t="s">
        <v>115</v>
      </c>
      <c r="AC1923" s="100" t="s">
        <v>115</v>
      </c>
      <c r="AD1923" s="100"/>
      <c r="AE1923" s="100"/>
      <c r="AF1923" s="100"/>
      <c r="AG1923" s="100"/>
      <c r="AH1923" s="100"/>
      <c r="AI1923" s="100" t="s">
        <v>115</v>
      </c>
      <c r="AJ1923" s="100"/>
      <c r="AK1923" s="100"/>
      <c r="AL1923" s="100"/>
      <c r="AM1923" s="100"/>
      <c r="AN1923" s="100"/>
      <c r="AO1923" s="100"/>
      <c r="AP1923" s="89" t="s">
        <v>115</v>
      </c>
    </row>
    <row r="1924" spans="1:42" s="89" customFormat="1" x14ac:dyDescent="0.15">
      <c r="A1924" s="100" t="s">
        <v>1</v>
      </c>
      <c r="B1924" s="101">
        <v>90180605</v>
      </c>
      <c r="C1924" s="101">
        <v>1806</v>
      </c>
      <c r="D1924" s="101">
        <v>18</v>
      </c>
      <c r="E1924" s="101"/>
      <c r="F1924" s="101" t="s">
        <v>115</v>
      </c>
      <c r="G1924" s="101" t="s">
        <v>115</v>
      </c>
      <c r="H1924" s="101" t="s">
        <v>4237</v>
      </c>
      <c r="I1924" s="101">
        <v>4</v>
      </c>
      <c r="J1924" s="100">
        <v>0</v>
      </c>
      <c r="K1924" s="100">
        <v>3</v>
      </c>
      <c r="L1924" s="100" t="s">
        <v>115</v>
      </c>
      <c r="M1924" s="102"/>
      <c r="N1924" s="100"/>
      <c r="O1924" s="100" t="s">
        <v>115</v>
      </c>
      <c r="P1924" s="101"/>
      <c r="Q1924" s="100">
        <v>173</v>
      </c>
      <c r="R1924" s="100" t="s">
        <v>115</v>
      </c>
      <c r="S1924" s="100"/>
      <c r="T1924" s="100"/>
      <c r="U1924" s="100"/>
      <c r="V1924" s="100"/>
      <c r="W1924" s="100"/>
      <c r="X1924" s="100">
        <v>90180607</v>
      </c>
      <c r="Y1924" s="100">
        <v>-1</v>
      </c>
      <c r="Z1924" s="100">
        <v>2</v>
      </c>
      <c r="AA1924" s="100" t="s">
        <v>4211</v>
      </c>
      <c r="AB1924" s="100" t="s">
        <v>115</v>
      </c>
      <c r="AC1924" s="100" t="s">
        <v>115</v>
      </c>
      <c r="AD1924" s="100"/>
      <c r="AE1924" s="100"/>
      <c r="AF1924" s="100"/>
      <c r="AG1924" s="100"/>
      <c r="AH1924" s="100"/>
      <c r="AI1924" s="100" t="s">
        <v>115</v>
      </c>
      <c r="AJ1924" s="100"/>
      <c r="AK1924" s="100"/>
      <c r="AL1924" s="100"/>
      <c r="AM1924" s="100"/>
      <c r="AN1924" s="100"/>
      <c r="AO1924" s="100"/>
      <c r="AP1924" s="89" t="s">
        <v>115</v>
      </c>
    </row>
    <row r="1925" spans="1:42" s="89" customFormat="1" x14ac:dyDescent="0.15">
      <c r="A1925" s="100" t="s">
        <v>1</v>
      </c>
      <c r="B1925" s="101">
        <v>90180606</v>
      </c>
      <c r="C1925" s="101">
        <v>1806</v>
      </c>
      <c r="D1925" s="101">
        <v>18</v>
      </c>
      <c r="E1925" s="101"/>
      <c r="F1925" s="101" t="s">
        <v>115</v>
      </c>
      <c r="G1925" s="101" t="s">
        <v>115</v>
      </c>
      <c r="H1925" s="101" t="s">
        <v>4238</v>
      </c>
      <c r="I1925" s="101">
        <v>4</v>
      </c>
      <c r="J1925" s="100">
        <v>0</v>
      </c>
      <c r="K1925" s="100">
        <v>4</v>
      </c>
      <c r="L1925" s="100" t="s">
        <v>115</v>
      </c>
      <c r="M1925" s="102"/>
      <c r="N1925" s="100"/>
      <c r="O1925" s="100" t="s">
        <v>115</v>
      </c>
      <c r="P1925" s="101"/>
      <c r="Q1925" s="100">
        <v>173</v>
      </c>
      <c r="R1925" s="100" t="s">
        <v>115</v>
      </c>
      <c r="S1925" s="100"/>
      <c r="T1925" s="100"/>
      <c r="U1925" s="100"/>
      <c r="V1925" s="100"/>
      <c r="W1925" s="100"/>
      <c r="X1925" s="100">
        <v>90180608</v>
      </c>
      <c r="Y1925" s="100">
        <v>-1</v>
      </c>
      <c r="Z1925" s="100">
        <v>2</v>
      </c>
      <c r="AA1925" s="100" t="s">
        <v>115</v>
      </c>
      <c r="AB1925" s="100" t="s">
        <v>115</v>
      </c>
      <c r="AC1925" s="100" t="s">
        <v>7344</v>
      </c>
      <c r="AD1925" s="100"/>
      <c r="AE1925" s="100"/>
      <c r="AF1925" s="100"/>
      <c r="AG1925" s="100"/>
      <c r="AH1925" s="100"/>
      <c r="AI1925" s="100" t="s">
        <v>115</v>
      </c>
      <c r="AJ1925" s="100"/>
      <c r="AK1925" s="100"/>
      <c r="AL1925" s="100"/>
      <c r="AM1925" s="100"/>
      <c r="AN1925" s="100"/>
      <c r="AO1925" s="100"/>
      <c r="AP1925" s="89" t="s">
        <v>4199</v>
      </c>
    </row>
    <row r="1926" spans="1:42" s="89" customFormat="1" x14ac:dyDescent="0.15">
      <c r="A1926" s="100" t="s">
        <v>1</v>
      </c>
      <c r="B1926" s="101">
        <v>90180607</v>
      </c>
      <c r="C1926" s="101">
        <v>1806</v>
      </c>
      <c r="D1926" s="101">
        <v>18</v>
      </c>
      <c r="E1926" s="101"/>
      <c r="F1926" s="101" t="s">
        <v>116</v>
      </c>
      <c r="G1926" s="101">
        <v>312</v>
      </c>
      <c r="H1926" s="101" t="s">
        <v>4239</v>
      </c>
      <c r="I1926" s="101">
        <v>0</v>
      </c>
      <c r="J1926" s="100">
        <v>0</v>
      </c>
      <c r="K1926" s="100">
        <v>0</v>
      </c>
      <c r="L1926" s="100" t="s">
        <v>115</v>
      </c>
      <c r="M1926" s="102"/>
      <c r="N1926" s="100"/>
      <c r="O1926" s="100" t="s">
        <v>115</v>
      </c>
      <c r="P1926" s="101"/>
      <c r="Q1926" s="100">
        <v>173</v>
      </c>
      <c r="R1926" s="100" t="s">
        <v>115</v>
      </c>
      <c r="S1926" s="100"/>
      <c r="T1926" s="100"/>
      <c r="U1926" s="100"/>
      <c r="V1926" s="100"/>
      <c r="W1926" s="100"/>
      <c r="X1926" s="100">
        <v>90180609</v>
      </c>
      <c r="Y1926" s="100" t="s">
        <v>115</v>
      </c>
      <c r="Z1926" s="100" t="s">
        <v>115</v>
      </c>
      <c r="AA1926" s="100" t="s">
        <v>115</v>
      </c>
      <c r="AB1926" s="100" t="s">
        <v>115</v>
      </c>
      <c r="AC1926" s="100" t="s">
        <v>115</v>
      </c>
      <c r="AD1926" s="100"/>
      <c r="AE1926" s="100"/>
      <c r="AF1926" s="100"/>
      <c r="AG1926" s="100"/>
      <c r="AH1926" s="100"/>
      <c r="AI1926" s="100" t="s">
        <v>115</v>
      </c>
      <c r="AJ1926" s="100"/>
      <c r="AK1926" s="100"/>
      <c r="AL1926" s="100"/>
      <c r="AM1926" s="100"/>
      <c r="AN1926" s="100"/>
      <c r="AO1926" s="100"/>
      <c r="AP1926" s="89" t="s">
        <v>115</v>
      </c>
    </row>
    <row r="1927" spans="1:42" s="89" customFormat="1" x14ac:dyDescent="0.15">
      <c r="A1927" s="100" t="s">
        <v>1</v>
      </c>
      <c r="B1927" s="101">
        <v>90180608</v>
      </c>
      <c r="C1927" s="101">
        <v>1806</v>
      </c>
      <c r="D1927" s="101">
        <v>18</v>
      </c>
      <c r="E1927" s="101"/>
      <c r="F1927" s="101" t="s">
        <v>115</v>
      </c>
      <c r="G1927" s="101" t="s">
        <v>115</v>
      </c>
      <c r="H1927" s="101" t="s">
        <v>4240</v>
      </c>
      <c r="I1927" s="101">
        <v>4</v>
      </c>
      <c r="J1927" s="100">
        <v>0</v>
      </c>
      <c r="K1927" s="100">
        <v>0</v>
      </c>
      <c r="L1927" s="100" t="s">
        <v>115</v>
      </c>
      <c r="M1927" s="102"/>
      <c r="N1927" s="100"/>
      <c r="O1927" s="100" t="s">
        <v>115</v>
      </c>
      <c r="P1927" s="101"/>
      <c r="Q1927" s="100">
        <v>173</v>
      </c>
      <c r="R1927" s="100">
        <v>244</v>
      </c>
      <c r="S1927" s="100"/>
      <c r="T1927" s="100"/>
      <c r="U1927" s="100"/>
      <c r="V1927" s="100"/>
      <c r="W1927" s="100"/>
      <c r="X1927" s="100">
        <v>90180609</v>
      </c>
      <c r="Y1927" s="100" t="s">
        <v>115</v>
      </c>
      <c r="Z1927" s="100" t="s">
        <v>115</v>
      </c>
      <c r="AA1927" s="100" t="s">
        <v>115</v>
      </c>
      <c r="AB1927" s="100" t="s">
        <v>115</v>
      </c>
      <c r="AC1927" s="100" t="s">
        <v>115</v>
      </c>
      <c r="AD1927" s="100"/>
      <c r="AE1927" s="100"/>
      <c r="AF1927" s="100"/>
      <c r="AG1927" s="100"/>
      <c r="AH1927" s="100"/>
      <c r="AI1927" s="100" t="s">
        <v>115</v>
      </c>
      <c r="AJ1927" s="100"/>
      <c r="AK1927" s="100"/>
      <c r="AL1927" s="100"/>
      <c r="AM1927" s="100"/>
      <c r="AN1927" s="100"/>
      <c r="AO1927" s="100"/>
      <c r="AP1927" s="89" t="s">
        <v>115</v>
      </c>
    </row>
    <row r="1928" spans="1:42" s="89" customFormat="1" x14ac:dyDescent="0.15">
      <c r="A1928" s="100" t="s">
        <v>1</v>
      </c>
      <c r="B1928" s="101">
        <v>90180609</v>
      </c>
      <c r="C1928" s="101">
        <v>1806</v>
      </c>
      <c r="D1928" s="101">
        <v>18</v>
      </c>
      <c r="E1928" s="101"/>
      <c r="F1928" s="101" t="s">
        <v>4241</v>
      </c>
      <c r="G1928" s="101" t="s">
        <v>115</v>
      </c>
      <c r="H1928" s="101" t="s">
        <v>4242</v>
      </c>
      <c r="I1928" s="101">
        <v>3</v>
      </c>
      <c r="J1928" s="100">
        <v>0</v>
      </c>
      <c r="K1928" s="100">
        <v>0</v>
      </c>
      <c r="L1928" s="100" t="s">
        <v>115</v>
      </c>
      <c r="M1928" s="102"/>
      <c r="N1928" s="100"/>
      <c r="O1928" s="100" t="s">
        <v>115</v>
      </c>
      <c r="P1928" s="101"/>
      <c r="Q1928" s="100">
        <v>173</v>
      </c>
      <c r="R1928" s="100">
        <v>244</v>
      </c>
      <c r="S1928" s="100"/>
      <c r="T1928" s="100"/>
      <c r="U1928" s="100"/>
      <c r="V1928" s="100"/>
      <c r="W1928" s="100"/>
      <c r="X1928" s="100">
        <v>90180610</v>
      </c>
      <c r="Y1928" s="100" t="s">
        <v>115</v>
      </c>
      <c r="Z1928" s="100" t="s">
        <v>115</v>
      </c>
      <c r="AA1928" s="100" t="s">
        <v>115</v>
      </c>
      <c r="AB1928" s="100" t="s">
        <v>115</v>
      </c>
      <c r="AC1928" s="100" t="s">
        <v>115</v>
      </c>
      <c r="AD1928" s="100"/>
      <c r="AE1928" s="100"/>
      <c r="AF1928" s="100"/>
      <c r="AG1928" s="100"/>
      <c r="AH1928" s="100"/>
      <c r="AI1928" s="100" t="s">
        <v>115</v>
      </c>
      <c r="AJ1928" s="100"/>
      <c r="AK1928" s="100"/>
      <c r="AL1928" s="100"/>
      <c r="AM1928" s="100"/>
      <c r="AN1928" s="100"/>
      <c r="AO1928" s="100"/>
      <c r="AP1928" s="89" t="s">
        <v>115</v>
      </c>
    </row>
    <row r="1929" spans="1:42" s="89" customFormat="1" x14ac:dyDescent="0.15">
      <c r="A1929" s="100" t="s">
        <v>1</v>
      </c>
      <c r="B1929" s="101">
        <v>90180610</v>
      </c>
      <c r="C1929" s="101">
        <v>1806</v>
      </c>
      <c r="D1929" s="101">
        <v>18</v>
      </c>
      <c r="E1929" s="101"/>
      <c r="F1929" s="101" t="s">
        <v>4241</v>
      </c>
      <c r="G1929" s="101" t="s">
        <v>115</v>
      </c>
      <c r="H1929" s="101" t="s">
        <v>4243</v>
      </c>
      <c r="I1929" s="101">
        <v>3</v>
      </c>
      <c r="J1929" s="100">
        <v>0</v>
      </c>
      <c r="K1929" s="100">
        <v>5</v>
      </c>
      <c r="L1929" s="100" t="s">
        <v>4244</v>
      </c>
      <c r="M1929" s="102"/>
      <c r="N1929" s="100"/>
      <c r="O1929" s="100" t="s">
        <v>115</v>
      </c>
      <c r="P1929" s="101"/>
      <c r="Q1929" s="100">
        <v>173</v>
      </c>
      <c r="R1929" s="100">
        <v>244</v>
      </c>
      <c r="S1929" s="100"/>
      <c r="T1929" s="100"/>
      <c r="U1929" s="100"/>
      <c r="V1929" s="100"/>
      <c r="W1929" s="100"/>
      <c r="X1929" s="100">
        <v>90180611</v>
      </c>
      <c r="Y1929" s="100" t="s">
        <v>115</v>
      </c>
      <c r="Z1929" s="100">
        <v>4</v>
      </c>
      <c r="AA1929" s="100" t="s">
        <v>115</v>
      </c>
      <c r="AB1929" s="100" t="s">
        <v>115</v>
      </c>
      <c r="AC1929" s="100" t="s">
        <v>115</v>
      </c>
      <c r="AD1929" s="100"/>
      <c r="AE1929" s="100"/>
      <c r="AF1929" s="100"/>
      <c r="AG1929" s="100"/>
      <c r="AH1929" s="100"/>
      <c r="AI1929" s="100" t="s">
        <v>115</v>
      </c>
      <c r="AJ1929" s="100"/>
      <c r="AK1929" s="100"/>
      <c r="AL1929" s="100"/>
      <c r="AM1929" s="100"/>
      <c r="AN1929" s="100"/>
      <c r="AO1929" s="100"/>
      <c r="AP1929" s="89" t="s">
        <v>115</v>
      </c>
    </row>
    <row r="1930" spans="1:42" s="89" customFormat="1" x14ac:dyDescent="0.15">
      <c r="A1930" s="100" t="s">
        <v>1</v>
      </c>
      <c r="B1930" s="101">
        <v>90180611</v>
      </c>
      <c r="C1930" s="101">
        <v>1806</v>
      </c>
      <c r="D1930" s="101">
        <v>18</v>
      </c>
      <c r="E1930" s="101"/>
      <c r="F1930" s="101" t="s">
        <v>116</v>
      </c>
      <c r="G1930" s="101">
        <v>314</v>
      </c>
      <c r="H1930" s="101" t="s">
        <v>4245</v>
      </c>
      <c r="I1930" s="101">
        <v>0</v>
      </c>
      <c r="J1930" s="100">
        <v>0</v>
      </c>
      <c r="K1930" s="100">
        <v>0</v>
      </c>
      <c r="L1930" s="100" t="s">
        <v>115</v>
      </c>
      <c r="M1930" s="102"/>
      <c r="N1930" s="100"/>
      <c r="O1930" s="100" t="s">
        <v>115</v>
      </c>
      <c r="P1930" s="101"/>
      <c r="Q1930" s="100">
        <v>173</v>
      </c>
      <c r="R1930" s="100" t="s">
        <v>115</v>
      </c>
      <c r="S1930" s="100"/>
      <c r="T1930" s="100"/>
      <c r="U1930" s="100"/>
      <c r="V1930" s="100"/>
      <c r="W1930" s="100"/>
      <c r="X1930" s="100">
        <v>90180612</v>
      </c>
      <c r="Y1930" s="100" t="s">
        <v>115</v>
      </c>
      <c r="Z1930" s="100" t="s">
        <v>115</v>
      </c>
      <c r="AA1930" s="100" t="s">
        <v>115</v>
      </c>
      <c r="AB1930" s="100" t="s">
        <v>115</v>
      </c>
      <c r="AC1930" s="100" t="s">
        <v>115</v>
      </c>
      <c r="AD1930" s="100"/>
      <c r="AE1930" s="100"/>
      <c r="AF1930" s="100"/>
      <c r="AG1930" s="100"/>
      <c r="AH1930" s="100"/>
      <c r="AI1930" s="100" t="s">
        <v>115</v>
      </c>
      <c r="AJ1930" s="100"/>
      <c r="AK1930" s="100"/>
      <c r="AL1930" s="100"/>
      <c r="AM1930" s="100"/>
      <c r="AN1930" s="100"/>
      <c r="AO1930" s="100"/>
      <c r="AP1930" s="89" t="s">
        <v>115</v>
      </c>
    </row>
    <row r="1931" spans="1:42" s="89" customFormat="1" x14ac:dyDescent="0.15">
      <c r="A1931" s="100" t="s">
        <v>1</v>
      </c>
      <c r="B1931" s="101">
        <v>90180612</v>
      </c>
      <c r="C1931" s="101">
        <v>1806</v>
      </c>
      <c r="D1931" s="101">
        <v>18</v>
      </c>
      <c r="E1931" s="101"/>
      <c r="F1931" s="101" t="s">
        <v>116</v>
      </c>
      <c r="G1931" s="101">
        <v>312</v>
      </c>
      <c r="H1931" s="101" t="s">
        <v>4246</v>
      </c>
      <c r="I1931" s="101">
        <v>0</v>
      </c>
      <c r="J1931" s="100">
        <v>0</v>
      </c>
      <c r="K1931" s="100">
        <v>6</v>
      </c>
      <c r="L1931" s="100" t="s">
        <v>115</v>
      </c>
      <c r="M1931" s="102"/>
      <c r="N1931" s="100"/>
      <c r="O1931" s="100">
        <v>1</v>
      </c>
      <c r="P1931" s="101"/>
      <c r="Q1931" s="100">
        <v>173</v>
      </c>
      <c r="R1931" s="100" t="s">
        <v>115</v>
      </c>
      <c r="S1931" s="100"/>
      <c r="T1931" s="100"/>
      <c r="U1931" s="100"/>
      <c r="V1931" s="100"/>
      <c r="W1931" s="100"/>
      <c r="X1931" s="100" t="s">
        <v>115</v>
      </c>
      <c r="Y1931" s="100" t="s">
        <v>115</v>
      </c>
      <c r="Z1931" s="100">
        <v>5</v>
      </c>
      <c r="AA1931" s="100" t="s">
        <v>115</v>
      </c>
      <c r="AB1931" s="100" t="s">
        <v>115</v>
      </c>
      <c r="AC1931" s="100" t="s">
        <v>115</v>
      </c>
      <c r="AD1931" s="100"/>
      <c r="AE1931" s="100"/>
      <c r="AF1931" s="100"/>
      <c r="AG1931" s="100"/>
      <c r="AH1931" s="100"/>
      <c r="AI1931" s="100" t="s">
        <v>115</v>
      </c>
      <c r="AJ1931" s="100"/>
      <c r="AK1931" s="100"/>
      <c r="AL1931" s="100"/>
      <c r="AM1931" s="100"/>
      <c r="AN1931" s="100"/>
      <c r="AO1931" s="100"/>
      <c r="AP1931" s="89" t="s">
        <v>115</v>
      </c>
    </row>
    <row r="1932" spans="1:42" s="89" customFormat="1" x14ac:dyDescent="0.15">
      <c r="A1932" s="100" t="s">
        <v>1</v>
      </c>
      <c r="B1932" s="101" t="s">
        <v>3965</v>
      </c>
      <c r="C1932" s="101">
        <v>1807</v>
      </c>
      <c r="D1932" s="101">
        <v>18</v>
      </c>
      <c r="E1932" s="101"/>
      <c r="F1932" s="101" t="s">
        <v>115</v>
      </c>
      <c r="G1932" s="101" t="s">
        <v>115</v>
      </c>
      <c r="H1932" s="101" t="s">
        <v>4247</v>
      </c>
      <c r="I1932" s="101">
        <v>4</v>
      </c>
      <c r="J1932" s="100">
        <v>1</v>
      </c>
      <c r="K1932" s="100">
        <v>1</v>
      </c>
      <c r="L1932" s="100" t="s">
        <v>115</v>
      </c>
      <c r="M1932" s="102"/>
      <c r="N1932" s="100"/>
      <c r="O1932" s="100" t="s">
        <v>115</v>
      </c>
      <c r="P1932" s="101"/>
      <c r="Q1932" s="100">
        <v>118</v>
      </c>
      <c r="R1932" s="100" t="s">
        <v>115</v>
      </c>
      <c r="S1932" s="100"/>
      <c r="T1932" s="100"/>
      <c r="U1932" s="100"/>
      <c r="V1932" s="100"/>
      <c r="W1932" s="100"/>
      <c r="X1932" s="100">
        <v>90180702</v>
      </c>
      <c r="Y1932" s="100" t="s">
        <v>115</v>
      </c>
      <c r="Z1932" s="100" t="s">
        <v>115</v>
      </c>
      <c r="AA1932" s="100" t="s">
        <v>115</v>
      </c>
      <c r="AB1932" s="100" t="s">
        <v>115</v>
      </c>
      <c r="AC1932" s="100" t="s">
        <v>115</v>
      </c>
      <c r="AD1932" s="100"/>
      <c r="AE1932" s="100"/>
      <c r="AF1932" s="100"/>
      <c r="AG1932" s="100"/>
      <c r="AH1932" s="100"/>
      <c r="AI1932" s="100" t="s">
        <v>115</v>
      </c>
      <c r="AJ1932" s="100"/>
      <c r="AK1932" s="100"/>
      <c r="AL1932" s="100"/>
      <c r="AM1932" s="100"/>
      <c r="AN1932" s="100"/>
      <c r="AO1932" s="100"/>
      <c r="AP1932" s="89" t="s">
        <v>115</v>
      </c>
    </row>
    <row r="1933" spans="1:42" s="89" customFormat="1" x14ac:dyDescent="0.15">
      <c r="A1933" s="100" t="s">
        <v>1</v>
      </c>
      <c r="B1933" s="101">
        <v>90180702</v>
      </c>
      <c r="C1933" s="101">
        <v>1807</v>
      </c>
      <c r="D1933" s="101">
        <v>18</v>
      </c>
      <c r="E1933" s="101"/>
      <c r="F1933" s="101" t="s">
        <v>115</v>
      </c>
      <c r="G1933" s="101" t="s">
        <v>115</v>
      </c>
      <c r="H1933" s="101" t="s">
        <v>4248</v>
      </c>
      <c r="I1933" s="101">
        <v>4</v>
      </c>
      <c r="J1933" s="100">
        <v>0</v>
      </c>
      <c r="K1933" s="100">
        <v>0</v>
      </c>
      <c r="L1933" s="100" t="s">
        <v>115</v>
      </c>
      <c r="M1933" s="102"/>
      <c r="N1933" s="100"/>
      <c r="O1933" s="100" t="s">
        <v>115</v>
      </c>
      <c r="P1933" s="101"/>
      <c r="Q1933" s="100">
        <v>118</v>
      </c>
      <c r="R1933" s="100" t="s">
        <v>115</v>
      </c>
      <c r="S1933" s="100"/>
      <c r="T1933" s="100"/>
      <c r="U1933" s="100"/>
      <c r="V1933" s="100"/>
      <c r="W1933" s="100"/>
      <c r="X1933" s="100">
        <v>90180703</v>
      </c>
      <c r="Y1933" s="100" t="s">
        <v>115</v>
      </c>
      <c r="Z1933" s="100" t="s">
        <v>115</v>
      </c>
      <c r="AA1933" s="100" t="s">
        <v>115</v>
      </c>
      <c r="AB1933" s="100" t="s">
        <v>115</v>
      </c>
      <c r="AC1933" s="100" t="s">
        <v>115</v>
      </c>
      <c r="AD1933" s="100"/>
      <c r="AE1933" s="100"/>
      <c r="AF1933" s="100"/>
      <c r="AG1933" s="100"/>
      <c r="AH1933" s="100"/>
      <c r="AI1933" s="100" t="s">
        <v>115</v>
      </c>
      <c r="AJ1933" s="100"/>
      <c r="AK1933" s="100"/>
      <c r="AL1933" s="100"/>
      <c r="AM1933" s="100"/>
      <c r="AN1933" s="100"/>
      <c r="AO1933" s="100"/>
      <c r="AP1933" s="89" t="s">
        <v>115</v>
      </c>
    </row>
    <row r="1934" spans="1:42" s="89" customFormat="1" x14ac:dyDescent="0.15">
      <c r="A1934" s="100" t="s">
        <v>1</v>
      </c>
      <c r="B1934" s="101">
        <v>90180703</v>
      </c>
      <c r="C1934" s="101">
        <v>1807</v>
      </c>
      <c r="D1934" s="101">
        <v>18</v>
      </c>
      <c r="E1934" s="101"/>
      <c r="F1934" s="101" t="s">
        <v>431</v>
      </c>
      <c r="G1934" s="101" t="s">
        <v>115</v>
      </c>
      <c r="H1934" s="101" t="s">
        <v>4249</v>
      </c>
      <c r="I1934" s="101">
        <v>3</v>
      </c>
      <c r="J1934" s="100">
        <v>0</v>
      </c>
      <c r="K1934" s="100">
        <v>0</v>
      </c>
      <c r="L1934" s="100" t="s">
        <v>115</v>
      </c>
      <c r="M1934" s="102"/>
      <c r="N1934" s="100"/>
      <c r="O1934" s="100" t="s">
        <v>115</v>
      </c>
      <c r="P1934" s="101"/>
      <c r="Q1934" s="100">
        <v>118</v>
      </c>
      <c r="R1934" s="100" t="s">
        <v>115</v>
      </c>
      <c r="S1934" s="100"/>
      <c r="T1934" s="100"/>
      <c r="U1934" s="100"/>
      <c r="V1934" s="100"/>
      <c r="W1934" s="100"/>
      <c r="X1934" s="100">
        <v>90180704</v>
      </c>
      <c r="Y1934" s="100" t="s">
        <v>115</v>
      </c>
      <c r="Z1934" s="100" t="s">
        <v>115</v>
      </c>
      <c r="AA1934" s="100" t="s">
        <v>115</v>
      </c>
      <c r="AB1934" s="100" t="s">
        <v>115</v>
      </c>
      <c r="AC1934" s="100" t="s">
        <v>115</v>
      </c>
      <c r="AD1934" s="100"/>
      <c r="AE1934" s="100"/>
      <c r="AF1934" s="100"/>
      <c r="AG1934" s="100"/>
      <c r="AH1934" s="100"/>
      <c r="AI1934" s="100" t="s">
        <v>115</v>
      </c>
      <c r="AJ1934" s="100"/>
      <c r="AK1934" s="100"/>
      <c r="AL1934" s="100"/>
      <c r="AM1934" s="100"/>
      <c r="AN1934" s="100"/>
      <c r="AO1934" s="100"/>
      <c r="AP1934" s="89" t="s">
        <v>115</v>
      </c>
    </row>
    <row r="1935" spans="1:42" s="89" customFormat="1" x14ac:dyDescent="0.15">
      <c r="A1935" s="100" t="s">
        <v>1</v>
      </c>
      <c r="B1935" s="101">
        <v>90180704</v>
      </c>
      <c r="C1935" s="101">
        <v>1807</v>
      </c>
      <c r="D1935" s="101">
        <v>18</v>
      </c>
      <c r="E1935" s="101"/>
      <c r="F1935" s="101" t="s">
        <v>116</v>
      </c>
      <c r="G1935" s="101">
        <v>312</v>
      </c>
      <c r="H1935" s="101" t="s">
        <v>4250</v>
      </c>
      <c r="I1935" s="101">
        <v>0</v>
      </c>
      <c r="J1935" s="100">
        <v>0</v>
      </c>
      <c r="K1935" s="100">
        <v>0</v>
      </c>
      <c r="L1935" s="100" t="s">
        <v>115</v>
      </c>
      <c r="M1935" s="102"/>
      <c r="N1935" s="100"/>
      <c r="O1935" s="100" t="s">
        <v>115</v>
      </c>
      <c r="P1935" s="101"/>
      <c r="Q1935" s="100">
        <v>118</v>
      </c>
      <c r="R1935" s="100">
        <v>356</v>
      </c>
      <c r="S1935" s="100"/>
      <c r="T1935" s="100"/>
      <c r="U1935" s="100"/>
      <c r="V1935" s="100"/>
      <c r="W1935" s="100"/>
      <c r="X1935" s="100">
        <v>90180705</v>
      </c>
      <c r="Y1935" s="100" t="s">
        <v>115</v>
      </c>
      <c r="Z1935" s="100" t="s">
        <v>115</v>
      </c>
      <c r="AA1935" s="100" t="s">
        <v>115</v>
      </c>
      <c r="AB1935" s="100" t="s">
        <v>115</v>
      </c>
      <c r="AC1935" s="100" t="s">
        <v>115</v>
      </c>
      <c r="AD1935" s="100"/>
      <c r="AE1935" s="100"/>
      <c r="AF1935" s="100"/>
      <c r="AG1935" s="100"/>
      <c r="AH1935" s="100"/>
      <c r="AI1935" s="100" t="s">
        <v>115</v>
      </c>
      <c r="AJ1935" s="100"/>
      <c r="AK1935" s="100"/>
      <c r="AL1935" s="100"/>
      <c r="AM1935" s="100"/>
      <c r="AN1935" s="100"/>
      <c r="AO1935" s="100"/>
      <c r="AP1935" s="89" t="s">
        <v>115</v>
      </c>
    </row>
    <row r="1936" spans="1:42" s="89" customFormat="1" x14ac:dyDescent="0.15">
      <c r="A1936" s="100" t="s">
        <v>1</v>
      </c>
      <c r="B1936" s="101">
        <v>90180705</v>
      </c>
      <c r="C1936" s="101">
        <v>1807</v>
      </c>
      <c r="D1936" s="101">
        <v>18</v>
      </c>
      <c r="E1936" s="101"/>
      <c r="F1936" s="101" t="s">
        <v>4251</v>
      </c>
      <c r="G1936" s="101" t="s">
        <v>115</v>
      </c>
      <c r="H1936" s="101" t="s">
        <v>4252</v>
      </c>
      <c r="I1936" s="101">
        <v>3</v>
      </c>
      <c r="J1936" s="100">
        <v>0</v>
      </c>
      <c r="K1936" s="100">
        <v>0</v>
      </c>
      <c r="L1936" s="100" t="s">
        <v>115</v>
      </c>
      <c r="M1936" s="102"/>
      <c r="N1936" s="100"/>
      <c r="O1936" s="100" t="s">
        <v>115</v>
      </c>
      <c r="P1936" s="101"/>
      <c r="Q1936" s="100">
        <v>118</v>
      </c>
      <c r="R1936" s="100">
        <v>356</v>
      </c>
      <c r="S1936" s="100"/>
      <c r="T1936" s="100"/>
      <c r="U1936" s="100"/>
      <c r="V1936" s="100"/>
      <c r="W1936" s="100"/>
      <c r="X1936" s="100">
        <v>90180706</v>
      </c>
      <c r="Y1936" s="100" t="s">
        <v>115</v>
      </c>
      <c r="Z1936" s="100" t="s">
        <v>115</v>
      </c>
      <c r="AA1936" s="100" t="s">
        <v>115</v>
      </c>
      <c r="AB1936" s="100" t="s">
        <v>115</v>
      </c>
      <c r="AC1936" s="100" t="s">
        <v>115</v>
      </c>
      <c r="AD1936" s="100"/>
      <c r="AE1936" s="100"/>
      <c r="AF1936" s="100"/>
      <c r="AG1936" s="100"/>
      <c r="AH1936" s="100"/>
      <c r="AI1936" s="100" t="s">
        <v>115</v>
      </c>
      <c r="AJ1936" s="100"/>
      <c r="AK1936" s="100"/>
      <c r="AL1936" s="100"/>
      <c r="AM1936" s="100"/>
      <c r="AN1936" s="100"/>
      <c r="AO1936" s="100"/>
      <c r="AP1936" s="89" t="s">
        <v>115</v>
      </c>
    </row>
    <row r="1937" spans="1:42" s="89" customFormat="1" x14ac:dyDescent="0.15">
      <c r="A1937" s="100" t="s">
        <v>1</v>
      </c>
      <c r="B1937" s="101">
        <v>90180706</v>
      </c>
      <c r="C1937" s="101">
        <v>1807</v>
      </c>
      <c r="D1937" s="101">
        <v>18</v>
      </c>
      <c r="E1937" s="101"/>
      <c r="F1937" s="101" t="s">
        <v>115</v>
      </c>
      <c r="G1937" s="101" t="s">
        <v>115</v>
      </c>
      <c r="H1937" s="101" t="s">
        <v>4253</v>
      </c>
      <c r="I1937" s="101">
        <v>4</v>
      </c>
      <c r="J1937" s="100">
        <v>0</v>
      </c>
      <c r="K1937" s="100">
        <v>2</v>
      </c>
      <c r="L1937" s="100" t="s">
        <v>115</v>
      </c>
      <c r="M1937" s="102"/>
      <c r="N1937" s="100"/>
      <c r="O1937" s="100" t="s">
        <v>115</v>
      </c>
      <c r="P1937" s="101"/>
      <c r="Q1937" s="100">
        <v>118</v>
      </c>
      <c r="R1937" s="100">
        <v>356</v>
      </c>
      <c r="S1937" s="100"/>
      <c r="T1937" s="100"/>
      <c r="U1937" s="100"/>
      <c r="V1937" s="100"/>
      <c r="W1937" s="100"/>
      <c r="X1937" s="100" t="s">
        <v>4254</v>
      </c>
      <c r="Y1937" s="100">
        <v>1</v>
      </c>
      <c r="Z1937" s="100">
        <v>1</v>
      </c>
      <c r="AA1937" s="100" t="s">
        <v>115</v>
      </c>
      <c r="AB1937" s="100" t="s">
        <v>115</v>
      </c>
      <c r="AC1937" s="100" t="s">
        <v>115</v>
      </c>
      <c r="AD1937" s="100"/>
      <c r="AE1937" s="100"/>
      <c r="AF1937" s="100"/>
      <c r="AG1937" s="100"/>
      <c r="AH1937" s="100"/>
      <c r="AI1937" s="100" t="s">
        <v>115</v>
      </c>
      <c r="AJ1937" s="100"/>
      <c r="AK1937" s="100"/>
      <c r="AL1937" s="100"/>
      <c r="AM1937" s="100"/>
      <c r="AN1937" s="100"/>
      <c r="AO1937" s="100"/>
      <c r="AP1937" s="89" t="s">
        <v>115</v>
      </c>
    </row>
    <row r="1938" spans="1:42" s="89" customFormat="1" x14ac:dyDescent="0.15">
      <c r="A1938" s="100" t="s">
        <v>1</v>
      </c>
      <c r="B1938" s="101">
        <v>90180707</v>
      </c>
      <c r="C1938" s="101">
        <v>1807</v>
      </c>
      <c r="D1938" s="101">
        <v>18</v>
      </c>
      <c r="E1938" s="101"/>
      <c r="F1938" s="101" t="s">
        <v>115</v>
      </c>
      <c r="G1938" s="101" t="s">
        <v>115</v>
      </c>
      <c r="H1938" s="101" t="s">
        <v>4255</v>
      </c>
      <c r="I1938" s="101">
        <v>4</v>
      </c>
      <c r="J1938" s="100">
        <v>0</v>
      </c>
      <c r="K1938" s="100">
        <v>3</v>
      </c>
      <c r="L1938" s="100" t="s">
        <v>115</v>
      </c>
      <c r="M1938" s="102"/>
      <c r="N1938" s="100"/>
      <c r="O1938" s="100" t="s">
        <v>115</v>
      </c>
      <c r="P1938" s="101"/>
      <c r="Q1938" s="100">
        <v>118</v>
      </c>
      <c r="R1938" s="100">
        <v>356</v>
      </c>
      <c r="S1938" s="100"/>
      <c r="T1938" s="100"/>
      <c r="U1938" s="100"/>
      <c r="V1938" s="100"/>
      <c r="W1938" s="100"/>
      <c r="X1938" s="100">
        <v>90180709</v>
      </c>
      <c r="Y1938" s="100">
        <v>-1</v>
      </c>
      <c r="Z1938" s="100">
        <v>2</v>
      </c>
      <c r="AA1938" s="100" t="s">
        <v>4256</v>
      </c>
      <c r="AB1938" s="100" t="s">
        <v>115</v>
      </c>
      <c r="AC1938" s="100" t="s">
        <v>115</v>
      </c>
      <c r="AD1938" s="100"/>
      <c r="AE1938" s="100"/>
      <c r="AF1938" s="100"/>
      <c r="AG1938" s="100"/>
      <c r="AH1938" s="100"/>
      <c r="AI1938" s="100" t="s">
        <v>115</v>
      </c>
      <c r="AJ1938" s="100"/>
      <c r="AK1938" s="100"/>
      <c r="AL1938" s="100"/>
      <c r="AM1938" s="100"/>
      <c r="AN1938" s="100"/>
      <c r="AO1938" s="100"/>
      <c r="AP1938" s="89" t="s">
        <v>115</v>
      </c>
    </row>
    <row r="1939" spans="1:42" s="89" customFormat="1" x14ac:dyDescent="0.15">
      <c r="A1939" s="100" t="s">
        <v>1</v>
      </c>
      <c r="B1939" s="101">
        <v>90180708</v>
      </c>
      <c r="C1939" s="101">
        <v>1807</v>
      </c>
      <c r="D1939" s="101">
        <v>18</v>
      </c>
      <c r="E1939" s="101"/>
      <c r="F1939" s="101" t="s">
        <v>115</v>
      </c>
      <c r="G1939" s="101" t="s">
        <v>115</v>
      </c>
      <c r="H1939" s="101" t="s">
        <v>4257</v>
      </c>
      <c r="I1939" s="101">
        <v>4</v>
      </c>
      <c r="J1939" s="100">
        <v>0</v>
      </c>
      <c r="K1939" s="100">
        <v>4</v>
      </c>
      <c r="L1939" s="100" t="s">
        <v>115</v>
      </c>
      <c r="M1939" s="102"/>
      <c r="N1939" s="100"/>
      <c r="O1939" s="100" t="s">
        <v>115</v>
      </c>
      <c r="P1939" s="101"/>
      <c r="Q1939" s="100">
        <v>118</v>
      </c>
      <c r="R1939" s="100">
        <v>356</v>
      </c>
      <c r="S1939" s="100"/>
      <c r="T1939" s="100"/>
      <c r="U1939" s="100"/>
      <c r="V1939" s="100"/>
      <c r="W1939" s="100"/>
      <c r="X1939" s="100">
        <v>90180716</v>
      </c>
      <c r="Y1939" s="100">
        <v>-1</v>
      </c>
      <c r="Z1939" s="100">
        <v>2</v>
      </c>
      <c r="AA1939" s="100" t="s">
        <v>115</v>
      </c>
      <c r="AB1939" s="100" t="s">
        <v>115</v>
      </c>
      <c r="AC1939" s="100" t="s">
        <v>115</v>
      </c>
      <c r="AD1939" s="100"/>
      <c r="AE1939" s="100"/>
      <c r="AF1939" s="100"/>
      <c r="AG1939" s="100"/>
      <c r="AH1939" s="100"/>
      <c r="AI1939" s="100" t="s">
        <v>115</v>
      </c>
      <c r="AJ1939" s="100"/>
      <c r="AK1939" s="100"/>
      <c r="AL1939" s="100"/>
      <c r="AM1939" s="100"/>
      <c r="AN1939" s="100"/>
      <c r="AO1939" s="100"/>
      <c r="AP1939" s="89" t="s">
        <v>115</v>
      </c>
    </row>
    <row r="1940" spans="1:42" s="89" customFormat="1" x14ac:dyDescent="0.15">
      <c r="A1940" s="100" t="s">
        <v>1</v>
      </c>
      <c r="B1940" s="101">
        <v>90180709</v>
      </c>
      <c r="C1940" s="101">
        <v>1807</v>
      </c>
      <c r="D1940" s="101">
        <v>18</v>
      </c>
      <c r="E1940" s="101"/>
      <c r="F1940" s="101" t="s">
        <v>116</v>
      </c>
      <c r="G1940" s="101">
        <v>312</v>
      </c>
      <c r="H1940" s="101" t="s">
        <v>4258</v>
      </c>
      <c r="I1940" s="101">
        <v>0</v>
      </c>
      <c r="J1940" s="100">
        <v>0</v>
      </c>
      <c r="K1940" s="100">
        <v>0</v>
      </c>
      <c r="L1940" s="100" t="s">
        <v>115</v>
      </c>
      <c r="M1940" s="102"/>
      <c r="N1940" s="100"/>
      <c r="O1940" s="100" t="s">
        <v>115</v>
      </c>
      <c r="P1940" s="101"/>
      <c r="Q1940" s="100">
        <v>118</v>
      </c>
      <c r="R1940" s="100">
        <v>356</v>
      </c>
      <c r="S1940" s="100"/>
      <c r="T1940" s="100"/>
      <c r="U1940" s="100"/>
      <c r="V1940" s="100"/>
      <c r="W1940" s="100"/>
      <c r="X1940" s="100">
        <v>90180710</v>
      </c>
      <c r="Y1940" s="100" t="s">
        <v>115</v>
      </c>
      <c r="Z1940" s="100" t="s">
        <v>115</v>
      </c>
      <c r="AA1940" s="100" t="s">
        <v>115</v>
      </c>
      <c r="AB1940" s="100" t="s">
        <v>115</v>
      </c>
      <c r="AC1940" s="100" t="s">
        <v>115</v>
      </c>
      <c r="AD1940" s="100"/>
      <c r="AE1940" s="100"/>
      <c r="AF1940" s="100"/>
      <c r="AG1940" s="100"/>
      <c r="AH1940" s="100"/>
      <c r="AI1940" s="100" t="s">
        <v>115</v>
      </c>
      <c r="AJ1940" s="100"/>
      <c r="AK1940" s="100"/>
      <c r="AL1940" s="100"/>
      <c r="AM1940" s="100"/>
      <c r="AN1940" s="100"/>
      <c r="AO1940" s="100"/>
      <c r="AP1940" s="89" t="s">
        <v>115</v>
      </c>
    </row>
    <row r="1941" spans="1:42" s="89" customFormat="1" x14ac:dyDescent="0.15">
      <c r="A1941" s="100" t="s">
        <v>1</v>
      </c>
      <c r="B1941" s="101">
        <v>90180710</v>
      </c>
      <c r="C1941" s="101">
        <v>1807</v>
      </c>
      <c r="D1941" s="101">
        <v>18</v>
      </c>
      <c r="E1941" s="101"/>
      <c r="F1941" s="101" t="s">
        <v>115</v>
      </c>
      <c r="G1941" s="101" t="s">
        <v>115</v>
      </c>
      <c r="H1941" s="101" t="s">
        <v>4259</v>
      </c>
      <c r="I1941" s="101">
        <v>4</v>
      </c>
      <c r="J1941" s="100">
        <v>0</v>
      </c>
      <c r="K1941" s="100">
        <v>0</v>
      </c>
      <c r="L1941" s="100" t="s">
        <v>115</v>
      </c>
      <c r="M1941" s="102"/>
      <c r="N1941" s="100"/>
      <c r="O1941" s="100" t="s">
        <v>115</v>
      </c>
      <c r="P1941" s="101"/>
      <c r="Q1941" s="100">
        <v>118</v>
      </c>
      <c r="R1941" s="100">
        <v>356</v>
      </c>
      <c r="S1941" s="100"/>
      <c r="T1941" s="100"/>
      <c r="U1941" s="100"/>
      <c r="V1941" s="100"/>
      <c r="W1941" s="100"/>
      <c r="X1941" s="100">
        <v>90180711</v>
      </c>
      <c r="Y1941" s="100" t="s">
        <v>115</v>
      </c>
      <c r="Z1941" s="100" t="s">
        <v>115</v>
      </c>
      <c r="AA1941" s="100" t="s">
        <v>115</v>
      </c>
      <c r="AB1941" s="100" t="s">
        <v>115</v>
      </c>
      <c r="AC1941" s="100" t="s">
        <v>115</v>
      </c>
      <c r="AD1941" s="100"/>
      <c r="AE1941" s="100"/>
      <c r="AF1941" s="100"/>
      <c r="AG1941" s="100"/>
      <c r="AH1941" s="100"/>
      <c r="AI1941" s="100" t="s">
        <v>115</v>
      </c>
      <c r="AJ1941" s="100"/>
      <c r="AK1941" s="100"/>
      <c r="AL1941" s="100"/>
      <c r="AM1941" s="100"/>
      <c r="AN1941" s="100"/>
      <c r="AO1941" s="100"/>
      <c r="AP1941" s="89" t="s">
        <v>115</v>
      </c>
    </row>
    <row r="1942" spans="1:42" s="89" customFormat="1" x14ac:dyDescent="0.15">
      <c r="A1942" s="100" t="s">
        <v>1</v>
      </c>
      <c r="B1942" s="101">
        <v>90180711</v>
      </c>
      <c r="C1942" s="101">
        <v>1807</v>
      </c>
      <c r="D1942" s="101">
        <v>18</v>
      </c>
      <c r="E1942" s="101"/>
      <c r="F1942" s="101" t="s">
        <v>4251</v>
      </c>
      <c r="G1942" s="101" t="s">
        <v>115</v>
      </c>
      <c r="H1942" s="101" t="s">
        <v>4260</v>
      </c>
      <c r="I1942" s="101">
        <v>3</v>
      </c>
      <c r="J1942" s="100">
        <v>0</v>
      </c>
      <c r="K1942" s="100">
        <v>0</v>
      </c>
      <c r="L1942" s="100" t="s">
        <v>115</v>
      </c>
      <c r="M1942" s="102"/>
      <c r="N1942" s="100"/>
      <c r="O1942" s="100" t="s">
        <v>115</v>
      </c>
      <c r="P1942" s="101"/>
      <c r="Q1942" s="100">
        <v>118</v>
      </c>
      <c r="R1942" s="100">
        <v>356</v>
      </c>
      <c r="S1942" s="100"/>
      <c r="T1942" s="100"/>
      <c r="U1942" s="100"/>
      <c r="V1942" s="100"/>
      <c r="W1942" s="100"/>
      <c r="X1942" s="100">
        <v>90180712</v>
      </c>
      <c r="Y1942" s="100" t="s">
        <v>115</v>
      </c>
      <c r="Z1942" s="100" t="s">
        <v>115</v>
      </c>
      <c r="AA1942" s="100" t="s">
        <v>115</v>
      </c>
      <c r="AB1942" s="100" t="s">
        <v>115</v>
      </c>
      <c r="AC1942" s="100" t="s">
        <v>115</v>
      </c>
      <c r="AD1942" s="100"/>
      <c r="AE1942" s="100"/>
      <c r="AF1942" s="100"/>
      <c r="AG1942" s="100"/>
      <c r="AH1942" s="100"/>
      <c r="AI1942" s="100" t="s">
        <v>115</v>
      </c>
      <c r="AJ1942" s="100"/>
      <c r="AK1942" s="100"/>
      <c r="AL1942" s="100"/>
      <c r="AM1942" s="100"/>
      <c r="AN1942" s="100"/>
      <c r="AO1942" s="100"/>
      <c r="AP1942" s="89" t="s">
        <v>115</v>
      </c>
    </row>
    <row r="1943" spans="1:42" s="89" customFormat="1" x14ac:dyDescent="0.15">
      <c r="A1943" s="100" t="s">
        <v>1</v>
      </c>
      <c r="B1943" s="101">
        <v>90180712</v>
      </c>
      <c r="C1943" s="101">
        <v>1807</v>
      </c>
      <c r="D1943" s="101">
        <v>18</v>
      </c>
      <c r="E1943" s="101"/>
      <c r="F1943" s="101" t="s">
        <v>4251</v>
      </c>
      <c r="G1943" s="101" t="s">
        <v>115</v>
      </c>
      <c r="H1943" s="101" t="s">
        <v>4261</v>
      </c>
      <c r="I1943" s="101">
        <v>3</v>
      </c>
      <c r="J1943" s="100">
        <v>0</v>
      </c>
      <c r="K1943" s="100">
        <v>0</v>
      </c>
      <c r="L1943" s="100" t="s">
        <v>115</v>
      </c>
      <c r="M1943" s="102"/>
      <c r="N1943" s="100"/>
      <c r="O1943" s="100" t="s">
        <v>115</v>
      </c>
      <c r="P1943" s="101"/>
      <c r="Q1943" s="100">
        <v>118</v>
      </c>
      <c r="R1943" s="100">
        <v>356</v>
      </c>
      <c r="S1943" s="100"/>
      <c r="T1943" s="100"/>
      <c r="U1943" s="100"/>
      <c r="V1943" s="100"/>
      <c r="W1943" s="100"/>
      <c r="X1943" s="100">
        <v>90180713</v>
      </c>
      <c r="Y1943" s="100" t="s">
        <v>115</v>
      </c>
      <c r="Z1943" s="100" t="s">
        <v>115</v>
      </c>
      <c r="AA1943" s="100" t="s">
        <v>115</v>
      </c>
      <c r="AB1943" s="100" t="s">
        <v>115</v>
      </c>
      <c r="AC1943" s="100" t="s">
        <v>115</v>
      </c>
      <c r="AD1943" s="100"/>
      <c r="AE1943" s="100"/>
      <c r="AF1943" s="100"/>
      <c r="AG1943" s="100"/>
      <c r="AH1943" s="100"/>
      <c r="AI1943" s="100" t="s">
        <v>115</v>
      </c>
      <c r="AJ1943" s="100"/>
      <c r="AK1943" s="100"/>
      <c r="AL1943" s="100"/>
      <c r="AM1943" s="100"/>
      <c r="AN1943" s="100"/>
      <c r="AO1943" s="100"/>
      <c r="AP1943" s="89" t="s">
        <v>115</v>
      </c>
    </row>
    <row r="1944" spans="1:42" s="89" customFormat="1" x14ac:dyDescent="0.15">
      <c r="A1944" s="100" t="s">
        <v>1</v>
      </c>
      <c r="B1944" s="101">
        <v>90180713</v>
      </c>
      <c r="C1944" s="101">
        <v>1807</v>
      </c>
      <c r="D1944" s="101">
        <v>18</v>
      </c>
      <c r="E1944" s="101"/>
      <c r="F1944" s="101" t="s">
        <v>116</v>
      </c>
      <c r="G1944" s="101">
        <v>313</v>
      </c>
      <c r="H1944" s="101" t="s">
        <v>4262</v>
      </c>
      <c r="I1944" s="101">
        <v>0</v>
      </c>
      <c r="J1944" s="100">
        <v>0</v>
      </c>
      <c r="K1944" s="100">
        <v>0</v>
      </c>
      <c r="L1944" s="100" t="s">
        <v>115</v>
      </c>
      <c r="M1944" s="102"/>
      <c r="N1944" s="100"/>
      <c r="O1944" s="100" t="s">
        <v>115</v>
      </c>
      <c r="P1944" s="101"/>
      <c r="Q1944" s="100">
        <v>118</v>
      </c>
      <c r="R1944" s="100">
        <v>356</v>
      </c>
      <c r="S1944" s="100"/>
      <c r="T1944" s="100"/>
      <c r="U1944" s="100"/>
      <c r="V1944" s="100"/>
      <c r="W1944" s="100"/>
      <c r="X1944" s="100">
        <v>90180714</v>
      </c>
      <c r="Y1944" s="100" t="s">
        <v>115</v>
      </c>
      <c r="Z1944" s="100" t="s">
        <v>115</v>
      </c>
      <c r="AA1944" s="100" t="s">
        <v>115</v>
      </c>
      <c r="AB1944" s="100" t="s">
        <v>115</v>
      </c>
      <c r="AC1944" s="100" t="s">
        <v>115</v>
      </c>
      <c r="AD1944" s="100"/>
      <c r="AE1944" s="100"/>
      <c r="AF1944" s="100"/>
      <c r="AG1944" s="100"/>
      <c r="AH1944" s="100"/>
      <c r="AI1944" s="100" t="s">
        <v>115</v>
      </c>
      <c r="AJ1944" s="100"/>
      <c r="AK1944" s="100"/>
      <c r="AL1944" s="100"/>
      <c r="AM1944" s="100"/>
      <c r="AN1944" s="100"/>
      <c r="AO1944" s="100"/>
      <c r="AP1944" s="89" t="s">
        <v>115</v>
      </c>
    </row>
    <row r="1945" spans="1:42" s="89" customFormat="1" x14ac:dyDescent="0.15">
      <c r="A1945" s="100" t="s">
        <v>1</v>
      </c>
      <c r="B1945" s="101">
        <v>90180714</v>
      </c>
      <c r="C1945" s="101">
        <v>1807</v>
      </c>
      <c r="D1945" s="101">
        <v>18</v>
      </c>
      <c r="E1945" s="101"/>
      <c r="F1945" s="101" t="s">
        <v>4251</v>
      </c>
      <c r="G1945" s="101" t="s">
        <v>115</v>
      </c>
      <c r="H1945" s="101" t="s">
        <v>4263</v>
      </c>
      <c r="I1945" s="101">
        <v>3</v>
      </c>
      <c r="J1945" s="100">
        <v>0</v>
      </c>
      <c r="K1945" s="100">
        <v>0</v>
      </c>
      <c r="L1945" s="100" t="s">
        <v>115</v>
      </c>
      <c r="M1945" s="102"/>
      <c r="N1945" s="100"/>
      <c r="O1945" s="100" t="s">
        <v>115</v>
      </c>
      <c r="P1945" s="101"/>
      <c r="Q1945" s="100">
        <v>118</v>
      </c>
      <c r="R1945" s="100">
        <v>356</v>
      </c>
      <c r="S1945" s="100"/>
      <c r="T1945" s="100"/>
      <c r="U1945" s="100"/>
      <c r="V1945" s="100"/>
      <c r="W1945" s="100"/>
      <c r="X1945" s="100">
        <v>90180715</v>
      </c>
      <c r="Y1945" s="100" t="s">
        <v>115</v>
      </c>
      <c r="Z1945" s="100" t="s">
        <v>115</v>
      </c>
      <c r="AA1945" s="100" t="s">
        <v>115</v>
      </c>
      <c r="AB1945" s="100" t="s">
        <v>115</v>
      </c>
      <c r="AC1945" s="100" t="s">
        <v>115</v>
      </c>
      <c r="AD1945" s="100"/>
      <c r="AE1945" s="100"/>
      <c r="AF1945" s="100"/>
      <c r="AG1945" s="100"/>
      <c r="AH1945" s="100"/>
      <c r="AI1945" s="100" t="s">
        <v>115</v>
      </c>
      <c r="AJ1945" s="100"/>
      <c r="AK1945" s="100"/>
      <c r="AL1945" s="100"/>
      <c r="AM1945" s="100"/>
      <c r="AN1945" s="100"/>
      <c r="AO1945" s="100"/>
      <c r="AP1945" s="89" t="s">
        <v>115</v>
      </c>
    </row>
    <row r="1946" spans="1:42" s="89" customFormat="1" x14ac:dyDescent="0.15">
      <c r="A1946" s="100" t="s">
        <v>1</v>
      </c>
      <c r="B1946" s="101">
        <v>90180715</v>
      </c>
      <c r="C1946" s="101">
        <v>1807</v>
      </c>
      <c r="D1946" s="101">
        <v>18</v>
      </c>
      <c r="E1946" s="101"/>
      <c r="F1946" s="101" t="s">
        <v>4251</v>
      </c>
      <c r="G1946" s="101" t="s">
        <v>115</v>
      </c>
      <c r="H1946" s="101" t="s">
        <v>4264</v>
      </c>
      <c r="I1946" s="101">
        <v>3</v>
      </c>
      <c r="J1946" s="100">
        <v>0</v>
      </c>
      <c r="K1946" s="100">
        <v>0</v>
      </c>
      <c r="L1946" s="100" t="s">
        <v>115</v>
      </c>
      <c r="M1946" s="102"/>
      <c r="N1946" s="100"/>
      <c r="O1946" s="100" t="s">
        <v>115</v>
      </c>
      <c r="P1946" s="101"/>
      <c r="Q1946" s="100">
        <v>118</v>
      </c>
      <c r="R1946" s="100">
        <v>356</v>
      </c>
      <c r="S1946" s="100"/>
      <c r="T1946" s="100"/>
      <c r="U1946" s="100"/>
      <c r="V1946" s="100"/>
      <c r="W1946" s="100"/>
      <c r="X1946" s="100">
        <v>90180726</v>
      </c>
      <c r="Y1946" s="100" t="s">
        <v>115</v>
      </c>
      <c r="Z1946" s="100" t="s">
        <v>115</v>
      </c>
      <c r="AA1946" s="100" t="s">
        <v>115</v>
      </c>
      <c r="AB1946" s="100" t="s">
        <v>115</v>
      </c>
      <c r="AC1946" s="100" t="s">
        <v>115</v>
      </c>
      <c r="AD1946" s="100"/>
      <c r="AE1946" s="100"/>
      <c r="AF1946" s="100"/>
      <c r="AG1946" s="100"/>
      <c r="AH1946" s="100"/>
      <c r="AI1946" s="100" t="s">
        <v>115</v>
      </c>
      <c r="AJ1946" s="100"/>
      <c r="AK1946" s="100"/>
      <c r="AL1946" s="100"/>
      <c r="AM1946" s="100"/>
      <c r="AN1946" s="100"/>
      <c r="AO1946" s="100"/>
      <c r="AP1946" s="89" t="s">
        <v>115</v>
      </c>
    </row>
    <row r="1947" spans="1:42" s="89" customFormat="1" x14ac:dyDescent="0.15">
      <c r="A1947" s="100" t="s">
        <v>1</v>
      </c>
      <c r="B1947" s="101">
        <v>90180716</v>
      </c>
      <c r="C1947" s="101">
        <v>1807</v>
      </c>
      <c r="D1947" s="101">
        <v>18</v>
      </c>
      <c r="E1947" s="101"/>
      <c r="F1947" s="101" t="s">
        <v>116</v>
      </c>
      <c r="G1947" s="101">
        <v>312</v>
      </c>
      <c r="H1947" s="101" t="s">
        <v>4265</v>
      </c>
      <c r="I1947" s="101">
        <v>0</v>
      </c>
      <c r="J1947" s="100">
        <v>0</v>
      </c>
      <c r="K1947" s="100">
        <v>0</v>
      </c>
      <c r="L1947" s="100" t="s">
        <v>115</v>
      </c>
      <c r="M1947" s="102"/>
      <c r="N1947" s="100"/>
      <c r="O1947" s="100" t="s">
        <v>115</v>
      </c>
      <c r="P1947" s="101"/>
      <c r="Q1947" s="100">
        <v>118</v>
      </c>
      <c r="R1947" s="100">
        <v>356</v>
      </c>
      <c r="S1947" s="100"/>
      <c r="T1947" s="100"/>
      <c r="U1947" s="100"/>
      <c r="V1947" s="100"/>
      <c r="W1947" s="100"/>
      <c r="X1947" s="100">
        <v>90180717</v>
      </c>
      <c r="Y1947" s="100" t="s">
        <v>115</v>
      </c>
      <c r="Z1947" s="100" t="s">
        <v>115</v>
      </c>
      <c r="AA1947" s="100" t="s">
        <v>115</v>
      </c>
      <c r="AB1947" s="100" t="s">
        <v>115</v>
      </c>
      <c r="AC1947" s="100" t="s">
        <v>115</v>
      </c>
      <c r="AD1947" s="100"/>
      <c r="AE1947" s="100"/>
      <c r="AF1947" s="100"/>
      <c r="AG1947" s="100"/>
      <c r="AH1947" s="100"/>
      <c r="AI1947" s="100" t="s">
        <v>115</v>
      </c>
      <c r="AJ1947" s="100"/>
      <c r="AK1947" s="100"/>
      <c r="AL1947" s="100"/>
      <c r="AM1947" s="100"/>
      <c r="AN1947" s="100"/>
      <c r="AO1947" s="100"/>
      <c r="AP1947" s="89" t="s">
        <v>115</v>
      </c>
    </row>
    <row r="1948" spans="1:42" s="89" customFormat="1" x14ac:dyDescent="0.15">
      <c r="A1948" s="100" t="s">
        <v>1</v>
      </c>
      <c r="B1948" s="101">
        <v>90180717</v>
      </c>
      <c r="C1948" s="101">
        <v>1807</v>
      </c>
      <c r="D1948" s="101">
        <v>18</v>
      </c>
      <c r="E1948" s="101"/>
      <c r="F1948" s="101" t="s">
        <v>4251</v>
      </c>
      <c r="G1948" s="101" t="s">
        <v>115</v>
      </c>
      <c r="H1948" s="101" t="s">
        <v>4266</v>
      </c>
      <c r="I1948" s="101">
        <v>3</v>
      </c>
      <c r="J1948" s="100">
        <v>0</v>
      </c>
      <c r="K1948" s="100">
        <v>0</v>
      </c>
      <c r="L1948" s="100" t="s">
        <v>115</v>
      </c>
      <c r="M1948" s="102"/>
      <c r="N1948" s="100"/>
      <c r="O1948" s="100" t="s">
        <v>115</v>
      </c>
      <c r="P1948" s="101"/>
      <c r="Q1948" s="100">
        <v>118</v>
      </c>
      <c r="R1948" s="100">
        <v>356</v>
      </c>
      <c r="S1948" s="100"/>
      <c r="T1948" s="100"/>
      <c r="U1948" s="100"/>
      <c r="V1948" s="100"/>
      <c r="W1948" s="100"/>
      <c r="X1948" s="100">
        <v>90180718</v>
      </c>
      <c r="Y1948" s="100" t="s">
        <v>115</v>
      </c>
      <c r="Z1948" s="100" t="s">
        <v>115</v>
      </c>
      <c r="AA1948" s="100" t="s">
        <v>115</v>
      </c>
      <c r="AB1948" s="100" t="s">
        <v>115</v>
      </c>
      <c r="AC1948" s="100" t="s">
        <v>115</v>
      </c>
      <c r="AD1948" s="100"/>
      <c r="AE1948" s="100"/>
      <c r="AF1948" s="100"/>
      <c r="AG1948" s="100"/>
      <c r="AH1948" s="100"/>
      <c r="AI1948" s="100" t="s">
        <v>115</v>
      </c>
      <c r="AJ1948" s="100"/>
      <c r="AK1948" s="100"/>
      <c r="AL1948" s="100"/>
      <c r="AM1948" s="100"/>
      <c r="AN1948" s="100"/>
      <c r="AO1948" s="100"/>
      <c r="AP1948" s="89" t="s">
        <v>115</v>
      </c>
    </row>
    <row r="1949" spans="1:42" s="89" customFormat="1" x14ac:dyDescent="0.15">
      <c r="A1949" s="100" t="s">
        <v>1</v>
      </c>
      <c r="B1949" s="101">
        <v>90180718</v>
      </c>
      <c r="C1949" s="101">
        <v>1807</v>
      </c>
      <c r="D1949" s="101">
        <v>18</v>
      </c>
      <c r="E1949" s="101"/>
      <c r="F1949" s="101" t="s">
        <v>115</v>
      </c>
      <c r="G1949" s="101" t="s">
        <v>115</v>
      </c>
      <c r="H1949" s="101" t="s">
        <v>4267</v>
      </c>
      <c r="I1949" s="101">
        <v>4</v>
      </c>
      <c r="J1949" s="100">
        <v>0</v>
      </c>
      <c r="K1949" s="100">
        <v>5</v>
      </c>
      <c r="L1949" s="100" t="s">
        <v>115</v>
      </c>
      <c r="M1949" s="102"/>
      <c r="N1949" s="100"/>
      <c r="O1949" s="100" t="s">
        <v>115</v>
      </c>
      <c r="P1949" s="101"/>
      <c r="Q1949" s="100">
        <v>118</v>
      </c>
      <c r="R1949" s="100">
        <v>356</v>
      </c>
      <c r="S1949" s="100"/>
      <c r="T1949" s="100"/>
      <c r="U1949" s="100"/>
      <c r="V1949" s="100"/>
      <c r="W1949" s="100"/>
      <c r="X1949" s="100" t="s">
        <v>4268</v>
      </c>
      <c r="Y1949" s="100">
        <v>1</v>
      </c>
      <c r="Z1949" s="100">
        <v>2</v>
      </c>
      <c r="AA1949" s="100" t="s">
        <v>115</v>
      </c>
      <c r="AB1949" s="100" t="s">
        <v>115</v>
      </c>
      <c r="AC1949" s="100" t="s">
        <v>115</v>
      </c>
      <c r="AD1949" s="100"/>
      <c r="AE1949" s="100"/>
      <c r="AF1949" s="100"/>
      <c r="AG1949" s="100"/>
      <c r="AH1949" s="100"/>
      <c r="AI1949" s="100" t="s">
        <v>115</v>
      </c>
      <c r="AJ1949" s="100"/>
      <c r="AK1949" s="100"/>
      <c r="AL1949" s="100"/>
      <c r="AM1949" s="100"/>
      <c r="AN1949" s="100"/>
      <c r="AO1949" s="100"/>
      <c r="AP1949" s="89" t="s">
        <v>115</v>
      </c>
    </row>
    <row r="1950" spans="1:42" s="89" customFormat="1" x14ac:dyDescent="0.15">
      <c r="A1950" s="100" t="s">
        <v>1</v>
      </c>
      <c r="B1950" s="101">
        <v>90180719</v>
      </c>
      <c r="C1950" s="101">
        <v>1807</v>
      </c>
      <c r="D1950" s="101">
        <v>18</v>
      </c>
      <c r="E1950" s="101"/>
      <c r="F1950" s="101" t="s">
        <v>115</v>
      </c>
      <c r="G1950" s="101" t="s">
        <v>115</v>
      </c>
      <c r="H1950" s="101" t="s">
        <v>4269</v>
      </c>
      <c r="I1950" s="101">
        <v>4</v>
      </c>
      <c r="J1950" s="100">
        <v>0</v>
      </c>
      <c r="K1950" s="100">
        <v>6</v>
      </c>
      <c r="L1950" s="100" t="s">
        <v>115</v>
      </c>
      <c r="M1950" s="102"/>
      <c r="N1950" s="100"/>
      <c r="O1950" s="100" t="s">
        <v>115</v>
      </c>
      <c r="P1950" s="101"/>
      <c r="Q1950" s="100">
        <v>118</v>
      </c>
      <c r="R1950" s="100">
        <v>356</v>
      </c>
      <c r="S1950" s="100"/>
      <c r="T1950" s="100"/>
      <c r="U1950" s="100"/>
      <c r="V1950" s="100"/>
      <c r="W1950" s="100"/>
      <c r="X1950" s="100">
        <v>90180721</v>
      </c>
      <c r="Y1950" s="100">
        <v>-1</v>
      </c>
      <c r="Z1950" s="100">
        <v>5</v>
      </c>
      <c r="AA1950" s="100" t="s">
        <v>4270</v>
      </c>
      <c r="AB1950" s="100" t="s">
        <v>115</v>
      </c>
      <c r="AC1950" s="100" t="s">
        <v>115</v>
      </c>
      <c r="AD1950" s="100"/>
      <c r="AE1950" s="100"/>
      <c r="AF1950" s="100"/>
      <c r="AG1950" s="100"/>
      <c r="AH1950" s="100"/>
      <c r="AI1950" s="100" t="s">
        <v>115</v>
      </c>
      <c r="AJ1950" s="100"/>
      <c r="AK1950" s="100"/>
      <c r="AL1950" s="100"/>
      <c r="AM1950" s="100"/>
      <c r="AN1950" s="100"/>
      <c r="AO1950" s="100"/>
      <c r="AP1950" s="89" t="s">
        <v>115</v>
      </c>
    </row>
    <row r="1951" spans="1:42" s="89" customFormat="1" x14ac:dyDescent="0.15">
      <c r="A1951" s="100" t="s">
        <v>1</v>
      </c>
      <c r="B1951" s="101">
        <v>90180720</v>
      </c>
      <c r="C1951" s="101">
        <v>1807</v>
      </c>
      <c r="D1951" s="101">
        <v>18</v>
      </c>
      <c r="E1951" s="101"/>
      <c r="F1951" s="101" t="s">
        <v>115</v>
      </c>
      <c r="G1951" s="101" t="s">
        <v>115</v>
      </c>
      <c r="H1951" s="101" t="s">
        <v>4271</v>
      </c>
      <c r="I1951" s="101">
        <v>4</v>
      </c>
      <c r="J1951" s="100">
        <v>0</v>
      </c>
      <c r="K1951" s="100">
        <v>7</v>
      </c>
      <c r="L1951" s="100" t="s">
        <v>115</v>
      </c>
      <c r="M1951" s="102"/>
      <c r="N1951" s="100"/>
      <c r="O1951" s="100" t="s">
        <v>115</v>
      </c>
      <c r="P1951" s="101"/>
      <c r="Q1951" s="100">
        <v>118</v>
      </c>
      <c r="R1951" s="100">
        <v>356</v>
      </c>
      <c r="S1951" s="100"/>
      <c r="T1951" s="100"/>
      <c r="U1951" s="100"/>
      <c r="V1951" s="100"/>
      <c r="W1951" s="100"/>
      <c r="X1951" s="100">
        <v>90180722</v>
      </c>
      <c r="Y1951" s="100">
        <v>-1</v>
      </c>
      <c r="Z1951" s="100">
        <v>5</v>
      </c>
      <c r="AA1951" s="100" t="s">
        <v>115</v>
      </c>
      <c r="AB1951" s="100" t="s">
        <v>115</v>
      </c>
      <c r="AC1951" s="100" t="s">
        <v>7345</v>
      </c>
      <c r="AD1951" s="100"/>
      <c r="AE1951" s="100"/>
      <c r="AF1951" s="100"/>
      <c r="AG1951" s="100"/>
      <c r="AH1951" s="100"/>
      <c r="AI1951" s="100" t="s">
        <v>115</v>
      </c>
      <c r="AJ1951" s="100"/>
      <c r="AK1951" s="100"/>
      <c r="AL1951" s="100"/>
      <c r="AM1951" s="100"/>
      <c r="AN1951" s="100"/>
      <c r="AO1951" s="100"/>
      <c r="AP1951" s="89" t="s">
        <v>115</v>
      </c>
    </row>
    <row r="1952" spans="1:42" s="89" customFormat="1" x14ac:dyDescent="0.15">
      <c r="A1952" s="100" t="s">
        <v>1</v>
      </c>
      <c r="B1952" s="101">
        <v>90180721</v>
      </c>
      <c r="C1952" s="101">
        <v>1807</v>
      </c>
      <c r="D1952" s="101">
        <v>18</v>
      </c>
      <c r="E1952" s="101"/>
      <c r="F1952" s="101" t="s">
        <v>4251</v>
      </c>
      <c r="G1952" s="101" t="s">
        <v>115</v>
      </c>
      <c r="H1952" s="101" t="s">
        <v>4272</v>
      </c>
      <c r="I1952" s="101">
        <v>3</v>
      </c>
      <c r="J1952" s="100">
        <v>0</v>
      </c>
      <c r="K1952" s="100">
        <v>0</v>
      </c>
      <c r="L1952" s="100" t="s">
        <v>115</v>
      </c>
      <c r="M1952" s="102"/>
      <c r="N1952" s="100"/>
      <c r="O1952" s="100" t="s">
        <v>115</v>
      </c>
      <c r="P1952" s="101"/>
      <c r="Q1952" s="100">
        <v>118</v>
      </c>
      <c r="R1952" s="100">
        <v>356</v>
      </c>
      <c r="S1952" s="100"/>
      <c r="T1952" s="100"/>
      <c r="U1952" s="100"/>
      <c r="V1952" s="100"/>
      <c r="W1952" s="100"/>
      <c r="X1952" s="100">
        <v>90180724</v>
      </c>
      <c r="Y1952" s="100" t="s">
        <v>115</v>
      </c>
      <c r="Z1952" s="100" t="s">
        <v>115</v>
      </c>
      <c r="AA1952" s="100" t="s">
        <v>115</v>
      </c>
      <c r="AB1952" s="100" t="s">
        <v>115</v>
      </c>
      <c r="AC1952" s="100" t="s">
        <v>115</v>
      </c>
      <c r="AD1952" s="100"/>
      <c r="AE1952" s="100"/>
      <c r="AF1952" s="100"/>
      <c r="AG1952" s="100"/>
      <c r="AH1952" s="100"/>
      <c r="AI1952" s="100" t="s">
        <v>115</v>
      </c>
      <c r="AJ1952" s="100"/>
      <c r="AK1952" s="100"/>
      <c r="AL1952" s="100"/>
      <c r="AM1952" s="100"/>
      <c r="AN1952" s="100"/>
      <c r="AO1952" s="100"/>
      <c r="AP1952" s="89" t="s">
        <v>115</v>
      </c>
    </row>
    <row r="1953" spans="1:42" s="89" customFormat="1" x14ac:dyDescent="0.15">
      <c r="A1953" s="100" t="s">
        <v>1</v>
      </c>
      <c r="B1953" s="101">
        <v>90180722</v>
      </c>
      <c r="C1953" s="101">
        <v>1807</v>
      </c>
      <c r="D1953" s="101">
        <v>18</v>
      </c>
      <c r="E1953" s="101"/>
      <c r="F1953" s="101" t="s">
        <v>4251</v>
      </c>
      <c r="G1953" s="101" t="s">
        <v>115</v>
      </c>
      <c r="H1953" s="101" t="s">
        <v>4261</v>
      </c>
      <c r="I1953" s="101">
        <v>3</v>
      </c>
      <c r="J1953" s="100">
        <v>0</v>
      </c>
      <c r="K1953" s="100">
        <v>0</v>
      </c>
      <c r="L1953" s="100" t="s">
        <v>115</v>
      </c>
      <c r="M1953" s="102"/>
      <c r="N1953" s="100"/>
      <c r="O1953" s="100" t="s">
        <v>115</v>
      </c>
      <c r="P1953" s="101"/>
      <c r="Q1953" s="100">
        <v>118</v>
      </c>
      <c r="R1953" s="100">
        <v>356</v>
      </c>
      <c r="S1953" s="100"/>
      <c r="T1953" s="100"/>
      <c r="U1953" s="100"/>
      <c r="V1953" s="100"/>
      <c r="W1953" s="100"/>
      <c r="X1953" s="100">
        <v>90180723</v>
      </c>
      <c r="Y1953" s="100" t="s">
        <v>115</v>
      </c>
      <c r="Z1953" s="100" t="s">
        <v>115</v>
      </c>
      <c r="AA1953" s="100" t="s">
        <v>115</v>
      </c>
      <c r="AB1953" s="100" t="s">
        <v>115</v>
      </c>
      <c r="AC1953" s="100" t="s">
        <v>115</v>
      </c>
      <c r="AD1953" s="100"/>
      <c r="AE1953" s="100"/>
      <c r="AF1953" s="100"/>
      <c r="AG1953" s="100"/>
      <c r="AH1953" s="100"/>
      <c r="AI1953" s="100" t="s">
        <v>115</v>
      </c>
      <c r="AJ1953" s="100"/>
      <c r="AK1953" s="100"/>
      <c r="AL1953" s="100"/>
      <c r="AM1953" s="100"/>
      <c r="AN1953" s="100"/>
      <c r="AO1953" s="100"/>
      <c r="AP1953" s="89" t="s">
        <v>115</v>
      </c>
    </row>
    <row r="1954" spans="1:42" s="89" customFormat="1" x14ac:dyDescent="0.15">
      <c r="A1954" s="100" t="s">
        <v>1</v>
      </c>
      <c r="B1954" s="101">
        <v>90180723</v>
      </c>
      <c r="C1954" s="101">
        <v>1807</v>
      </c>
      <c r="D1954" s="101">
        <v>18</v>
      </c>
      <c r="E1954" s="101"/>
      <c r="F1954" s="101" t="s">
        <v>4251</v>
      </c>
      <c r="G1954" s="101" t="s">
        <v>115</v>
      </c>
      <c r="H1954" s="101" t="s">
        <v>4264</v>
      </c>
      <c r="I1954" s="101">
        <v>3</v>
      </c>
      <c r="J1954" s="100">
        <v>0</v>
      </c>
      <c r="K1954" s="100">
        <v>0</v>
      </c>
      <c r="L1954" s="100" t="s">
        <v>115</v>
      </c>
      <c r="M1954" s="102"/>
      <c r="N1954" s="100"/>
      <c r="O1954" s="100" t="s">
        <v>115</v>
      </c>
      <c r="P1954" s="101"/>
      <c r="Q1954" s="100">
        <v>118</v>
      </c>
      <c r="R1954" s="100">
        <v>356</v>
      </c>
      <c r="S1954" s="100"/>
      <c r="T1954" s="100"/>
      <c r="U1954" s="100"/>
      <c r="V1954" s="100"/>
      <c r="W1954" s="100"/>
      <c r="X1954" s="100">
        <v>90180724</v>
      </c>
      <c r="Y1954" s="100" t="s">
        <v>115</v>
      </c>
      <c r="Z1954" s="100" t="s">
        <v>115</v>
      </c>
      <c r="AA1954" s="100" t="s">
        <v>115</v>
      </c>
      <c r="AB1954" s="100" t="s">
        <v>115</v>
      </c>
      <c r="AC1954" s="100" t="s">
        <v>115</v>
      </c>
      <c r="AD1954" s="100"/>
      <c r="AE1954" s="100"/>
      <c r="AF1954" s="100"/>
      <c r="AG1954" s="100"/>
      <c r="AH1954" s="100"/>
      <c r="AI1954" s="100" t="s">
        <v>115</v>
      </c>
      <c r="AJ1954" s="100"/>
      <c r="AK1954" s="100"/>
      <c r="AL1954" s="100"/>
      <c r="AM1954" s="100"/>
      <c r="AN1954" s="100"/>
      <c r="AO1954" s="100"/>
      <c r="AP1954" s="89" t="s">
        <v>115</v>
      </c>
    </row>
    <row r="1955" spans="1:42" s="89" customFormat="1" x14ac:dyDescent="0.15">
      <c r="A1955" s="100" t="s">
        <v>1</v>
      </c>
      <c r="B1955" s="101">
        <v>90180724</v>
      </c>
      <c r="C1955" s="101">
        <v>1807</v>
      </c>
      <c r="D1955" s="101">
        <v>18</v>
      </c>
      <c r="E1955" s="101"/>
      <c r="F1955" s="101" t="s">
        <v>115</v>
      </c>
      <c r="G1955" s="101" t="s">
        <v>115</v>
      </c>
      <c r="H1955" s="101" t="s">
        <v>4273</v>
      </c>
      <c r="I1955" s="101">
        <v>4</v>
      </c>
      <c r="J1955" s="100">
        <v>0</v>
      </c>
      <c r="K1955" s="100">
        <v>0</v>
      </c>
      <c r="L1955" s="100" t="s">
        <v>115</v>
      </c>
      <c r="M1955" s="102"/>
      <c r="N1955" s="100"/>
      <c r="O1955" s="100" t="s">
        <v>115</v>
      </c>
      <c r="P1955" s="101"/>
      <c r="Q1955" s="100">
        <v>118</v>
      </c>
      <c r="R1955" s="100" t="s">
        <v>115</v>
      </c>
      <c r="S1955" s="100"/>
      <c r="T1955" s="100"/>
      <c r="U1955" s="100"/>
      <c r="V1955" s="100"/>
      <c r="W1955" s="100"/>
      <c r="X1955" s="100">
        <v>90180725</v>
      </c>
      <c r="Y1955" s="100" t="s">
        <v>115</v>
      </c>
      <c r="Z1955" s="100" t="s">
        <v>115</v>
      </c>
      <c r="AA1955" s="100" t="s">
        <v>115</v>
      </c>
      <c r="AB1955" s="100" t="s">
        <v>115</v>
      </c>
      <c r="AC1955" s="100" t="s">
        <v>115</v>
      </c>
      <c r="AD1955" s="100"/>
      <c r="AE1955" s="100"/>
      <c r="AF1955" s="100"/>
      <c r="AG1955" s="100"/>
      <c r="AH1955" s="100"/>
      <c r="AI1955" s="100" t="s">
        <v>115</v>
      </c>
      <c r="AJ1955" s="100"/>
      <c r="AK1955" s="100"/>
      <c r="AL1955" s="100"/>
      <c r="AM1955" s="100"/>
      <c r="AN1955" s="100"/>
      <c r="AO1955" s="100"/>
      <c r="AP1955" s="89" t="s">
        <v>115</v>
      </c>
    </row>
    <row r="1956" spans="1:42" s="89" customFormat="1" x14ac:dyDescent="0.15">
      <c r="A1956" s="100" t="s">
        <v>1</v>
      </c>
      <c r="B1956" s="101">
        <v>90180725</v>
      </c>
      <c r="C1956" s="101">
        <v>1807</v>
      </c>
      <c r="D1956" s="101">
        <v>18</v>
      </c>
      <c r="E1956" s="101"/>
      <c r="F1956" s="101" t="s">
        <v>115</v>
      </c>
      <c r="G1956" s="101" t="s">
        <v>115</v>
      </c>
      <c r="H1956" s="101" t="s">
        <v>4274</v>
      </c>
      <c r="I1956" s="101">
        <v>4</v>
      </c>
      <c r="J1956" s="100">
        <v>0</v>
      </c>
      <c r="K1956" s="100">
        <v>8</v>
      </c>
      <c r="L1956" s="100" t="s">
        <v>115</v>
      </c>
      <c r="M1956" s="102"/>
      <c r="N1956" s="100"/>
      <c r="O1956" s="100">
        <v>1</v>
      </c>
      <c r="P1956" s="101"/>
      <c r="Q1956" s="100">
        <v>118</v>
      </c>
      <c r="R1956" s="100" t="s">
        <v>115</v>
      </c>
      <c r="S1956" s="100"/>
      <c r="T1956" s="100"/>
      <c r="U1956" s="100"/>
      <c r="V1956" s="100"/>
      <c r="W1956" s="100"/>
      <c r="X1956" s="100" t="s">
        <v>115</v>
      </c>
      <c r="Y1956" s="100" t="s">
        <v>115</v>
      </c>
      <c r="Z1956" s="100">
        <v>7</v>
      </c>
      <c r="AA1956" s="100" t="s">
        <v>115</v>
      </c>
      <c r="AB1956" s="100" t="s">
        <v>115</v>
      </c>
      <c r="AC1956" s="100" t="s">
        <v>115</v>
      </c>
      <c r="AD1956" s="100"/>
      <c r="AE1956" s="100"/>
      <c r="AF1956" s="100"/>
      <c r="AG1956" s="100"/>
      <c r="AH1956" s="100"/>
      <c r="AI1956" s="100" t="s">
        <v>115</v>
      </c>
      <c r="AJ1956" s="100"/>
      <c r="AK1956" s="100"/>
      <c r="AL1956" s="100"/>
      <c r="AM1956" s="100"/>
      <c r="AN1956" s="100"/>
      <c r="AO1956" s="100"/>
      <c r="AP1956" s="89" t="s">
        <v>4275</v>
      </c>
    </row>
    <row r="1957" spans="1:42" s="89" customFormat="1" x14ac:dyDescent="0.15">
      <c r="A1957" s="100" t="s">
        <v>1</v>
      </c>
      <c r="B1957" s="101">
        <v>90180726</v>
      </c>
      <c r="C1957" s="101">
        <v>1807</v>
      </c>
      <c r="D1957" s="101">
        <v>18</v>
      </c>
      <c r="E1957" s="101"/>
      <c r="F1957" s="101" t="s">
        <v>115</v>
      </c>
      <c r="G1957" s="101" t="s">
        <v>115</v>
      </c>
      <c r="H1957" s="101" t="s">
        <v>4273</v>
      </c>
      <c r="I1957" s="101">
        <v>4</v>
      </c>
      <c r="J1957" s="100">
        <v>0</v>
      </c>
      <c r="K1957" s="100">
        <v>9</v>
      </c>
      <c r="L1957" s="100" t="s">
        <v>115</v>
      </c>
      <c r="M1957" s="102"/>
      <c r="N1957" s="100"/>
      <c r="O1957" s="100">
        <v>1</v>
      </c>
      <c r="P1957" s="101"/>
      <c r="Q1957" s="100">
        <v>118</v>
      </c>
      <c r="R1957" s="100" t="s">
        <v>115</v>
      </c>
      <c r="S1957" s="100"/>
      <c r="T1957" s="100"/>
      <c r="U1957" s="100"/>
      <c r="V1957" s="100"/>
      <c r="W1957" s="100"/>
      <c r="X1957" s="100" t="s">
        <v>115</v>
      </c>
      <c r="Y1957" s="100" t="s">
        <v>115</v>
      </c>
      <c r="Z1957" s="100">
        <v>8</v>
      </c>
      <c r="AA1957" s="100" t="s">
        <v>115</v>
      </c>
      <c r="AB1957" s="100" t="s">
        <v>115</v>
      </c>
      <c r="AC1957" s="100" t="s">
        <v>115</v>
      </c>
      <c r="AD1957" s="100"/>
      <c r="AE1957" s="100"/>
      <c r="AF1957" s="100"/>
      <c r="AG1957" s="100"/>
      <c r="AH1957" s="100"/>
      <c r="AI1957" s="100" t="s">
        <v>115</v>
      </c>
      <c r="AJ1957" s="100"/>
      <c r="AK1957" s="100"/>
      <c r="AL1957" s="100"/>
      <c r="AM1957" s="100"/>
      <c r="AN1957" s="100"/>
      <c r="AO1957" s="100"/>
      <c r="AP1957" s="89" t="s">
        <v>4275</v>
      </c>
    </row>
    <row r="1958" spans="1:42" s="89" customFormat="1" x14ac:dyDescent="0.15">
      <c r="A1958" s="100" t="s">
        <v>1</v>
      </c>
      <c r="B1958" s="101" t="s">
        <v>3966</v>
      </c>
      <c r="C1958" s="101">
        <v>1808</v>
      </c>
      <c r="D1958" s="101">
        <v>18</v>
      </c>
      <c r="E1958" s="101"/>
      <c r="F1958" s="101" t="s">
        <v>115</v>
      </c>
      <c r="G1958" s="101" t="s">
        <v>115</v>
      </c>
      <c r="H1958" s="101" t="s">
        <v>4276</v>
      </c>
      <c r="I1958" s="101">
        <v>4</v>
      </c>
      <c r="J1958" s="100">
        <v>1</v>
      </c>
      <c r="K1958" s="100">
        <v>1</v>
      </c>
      <c r="L1958" s="100" t="s">
        <v>115</v>
      </c>
      <c r="M1958" s="102"/>
      <c r="N1958" s="100"/>
      <c r="O1958" s="100" t="s">
        <v>115</v>
      </c>
      <c r="P1958" s="101"/>
      <c r="Q1958" s="100">
        <v>163</v>
      </c>
      <c r="R1958" s="100" t="s">
        <v>115</v>
      </c>
      <c r="S1958" s="100"/>
      <c r="T1958" s="100"/>
      <c r="U1958" s="100"/>
      <c r="V1958" s="100"/>
      <c r="W1958" s="100"/>
      <c r="X1958" s="100">
        <v>90180802</v>
      </c>
      <c r="Y1958" s="100" t="s">
        <v>115</v>
      </c>
      <c r="Z1958" s="100" t="s">
        <v>115</v>
      </c>
      <c r="AA1958" s="100" t="s">
        <v>115</v>
      </c>
      <c r="AB1958" s="100" t="s">
        <v>115</v>
      </c>
      <c r="AC1958" s="100" t="s">
        <v>115</v>
      </c>
      <c r="AD1958" s="100"/>
      <c r="AE1958" s="100"/>
      <c r="AF1958" s="100"/>
      <c r="AG1958" s="100"/>
      <c r="AH1958" s="100"/>
      <c r="AI1958" s="100" t="s">
        <v>115</v>
      </c>
      <c r="AJ1958" s="100"/>
      <c r="AK1958" s="100"/>
      <c r="AL1958" s="100"/>
      <c r="AM1958" s="100"/>
      <c r="AN1958" s="100"/>
      <c r="AO1958" s="100"/>
      <c r="AP1958" s="89" t="s">
        <v>115</v>
      </c>
    </row>
    <row r="1959" spans="1:42" s="89" customFormat="1" x14ac:dyDescent="0.15">
      <c r="A1959" s="100" t="s">
        <v>1</v>
      </c>
      <c r="B1959" s="101">
        <v>90180802</v>
      </c>
      <c r="C1959" s="101">
        <v>1808</v>
      </c>
      <c r="D1959" s="101">
        <v>18</v>
      </c>
      <c r="E1959" s="101"/>
      <c r="F1959" s="101" t="s">
        <v>115</v>
      </c>
      <c r="G1959" s="101" t="s">
        <v>115</v>
      </c>
      <c r="H1959" s="101" t="s">
        <v>4277</v>
      </c>
      <c r="I1959" s="101">
        <v>4</v>
      </c>
      <c r="J1959" s="100">
        <v>0</v>
      </c>
      <c r="K1959" s="100">
        <v>0</v>
      </c>
      <c r="L1959" s="100" t="s">
        <v>115</v>
      </c>
      <c r="M1959" s="102"/>
      <c r="N1959" s="100"/>
      <c r="O1959" s="100" t="s">
        <v>115</v>
      </c>
      <c r="P1959" s="101"/>
      <c r="Q1959" s="100">
        <v>163</v>
      </c>
      <c r="R1959" s="100" t="s">
        <v>115</v>
      </c>
      <c r="S1959" s="100"/>
      <c r="T1959" s="100"/>
      <c r="U1959" s="100"/>
      <c r="V1959" s="100"/>
      <c r="W1959" s="100"/>
      <c r="X1959" s="100">
        <v>90180803</v>
      </c>
      <c r="Y1959" s="100" t="s">
        <v>115</v>
      </c>
      <c r="Z1959" s="100" t="s">
        <v>115</v>
      </c>
      <c r="AA1959" s="100" t="s">
        <v>115</v>
      </c>
      <c r="AB1959" s="100" t="s">
        <v>115</v>
      </c>
      <c r="AC1959" s="100" t="s">
        <v>115</v>
      </c>
      <c r="AD1959" s="100"/>
      <c r="AE1959" s="100"/>
      <c r="AF1959" s="100"/>
      <c r="AG1959" s="100"/>
      <c r="AH1959" s="100"/>
      <c r="AI1959" s="100" t="s">
        <v>115</v>
      </c>
      <c r="AJ1959" s="100"/>
      <c r="AK1959" s="100"/>
      <c r="AL1959" s="100"/>
      <c r="AM1959" s="100"/>
      <c r="AN1959" s="100"/>
      <c r="AO1959" s="100"/>
      <c r="AP1959" s="89" t="s">
        <v>115</v>
      </c>
    </row>
    <row r="1960" spans="1:42" s="89" customFormat="1" x14ac:dyDescent="0.15">
      <c r="A1960" s="100" t="s">
        <v>1</v>
      </c>
      <c r="B1960" s="101">
        <v>90180803</v>
      </c>
      <c r="C1960" s="101">
        <v>1808</v>
      </c>
      <c r="D1960" s="101">
        <v>18</v>
      </c>
      <c r="E1960" s="101"/>
      <c r="F1960" s="101" t="s">
        <v>115</v>
      </c>
      <c r="G1960" s="101" t="s">
        <v>115</v>
      </c>
      <c r="H1960" s="101" t="s">
        <v>4278</v>
      </c>
      <c r="I1960" s="101">
        <v>4</v>
      </c>
      <c r="J1960" s="100">
        <v>0</v>
      </c>
      <c r="K1960" s="100">
        <v>2</v>
      </c>
      <c r="L1960" s="100" t="s">
        <v>115</v>
      </c>
      <c r="M1960" s="102"/>
      <c r="N1960" s="100"/>
      <c r="O1960" s="100" t="s">
        <v>115</v>
      </c>
      <c r="P1960" s="101"/>
      <c r="Q1960" s="100">
        <v>163</v>
      </c>
      <c r="R1960" s="100">
        <v>269</v>
      </c>
      <c r="S1960" s="100"/>
      <c r="T1960" s="100"/>
      <c r="U1960" s="100"/>
      <c r="V1960" s="100"/>
      <c r="W1960" s="100"/>
      <c r="X1960" s="100" t="s">
        <v>4279</v>
      </c>
      <c r="Y1960" s="100">
        <v>1</v>
      </c>
      <c r="Z1960" s="100">
        <v>1</v>
      </c>
      <c r="AA1960" s="100" t="s">
        <v>115</v>
      </c>
      <c r="AB1960" s="100" t="s">
        <v>115</v>
      </c>
      <c r="AC1960" s="100" t="s">
        <v>115</v>
      </c>
      <c r="AD1960" s="100"/>
      <c r="AE1960" s="100"/>
      <c r="AF1960" s="100"/>
      <c r="AG1960" s="100"/>
      <c r="AH1960" s="100"/>
      <c r="AI1960" s="100" t="s">
        <v>115</v>
      </c>
      <c r="AJ1960" s="100"/>
      <c r="AK1960" s="100"/>
      <c r="AL1960" s="100"/>
      <c r="AM1960" s="100"/>
      <c r="AN1960" s="100"/>
      <c r="AO1960" s="100"/>
      <c r="AP1960" s="89" t="s">
        <v>115</v>
      </c>
    </row>
    <row r="1961" spans="1:42" s="89" customFormat="1" x14ac:dyDescent="0.15">
      <c r="A1961" s="100" t="s">
        <v>1</v>
      </c>
      <c r="B1961" s="101">
        <v>90180804</v>
      </c>
      <c r="C1961" s="101">
        <v>1808</v>
      </c>
      <c r="D1961" s="101">
        <v>18</v>
      </c>
      <c r="E1961" s="101"/>
      <c r="F1961" s="101" t="s">
        <v>115</v>
      </c>
      <c r="G1961" s="101" t="s">
        <v>115</v>
      </c>
      <c r="H1961" s="101" t="s">
        <v>4280</v>
      </c>
      <c r="I1961" s="101">
        <v>4</v>
      </c>
      <c r="J1961" s="100">
        <v>0</v>
      </c>
      <c r="K1961" s="100">
        <v>3</v>
      </c>
      <c r="L1961" s="100" t="s">
        <v>115</v>
      </c>
      <c r="M1961" s="102"/>
      <c r="N1961" s="100"/>
      <c r="O1961" s="100" t="s">
        <v>115</v>
      </c>
      <c r="P1961" s="101"/>
      <c r="Q1961" s="100">
        <v>163</v>
      </c>
      <c r="R1961" s="100">
        <v>269</v>
      </c>
      <c r="S1961" s="100"/>
      <c r="T1961" s="100"/>
      <c r="U1961" s="100"/>
      <c r="V1961" s="100"/>
      <c r="W1961" s="100"/>
      <c r="X1961" s="100">
        <v>90180806</v>
      </c>
      <c r="Y1961" s="100">
        <v>-1</v>
      </c>
      <c r="Z1961" s="100">
        <v>2</v>
      </c>
      <c r="AA1961" s="100" t="s">
        <v>115</v>
      </c>
      <c r="AB1961" s="100" t="s">
        <v>115</v>
      </c>
      <c r="AC1961" s="100" t="s">
        <v>115</v>
      </c>
      <c r="AD1961" s="100"/>
      <c r="AE1961" s="100"/>
      <c r="AF1961" s="100"/>
      <c r="AG1961" s="100"/>
      <c r="AH1961" s="100"/>
      <c r="AI1961" s="100" t="s">
        <v>115</v>
      </c>
      <c r="AJ1961" s="100"/>
      <c r="AK1961" s="100"/>
      <c r="AL1961" s="100"/>
      <c r="AM1961" s="100"/>
      <c r="AN1961" s="100"/>
      <c r="AO1961" s="100"/>
      <c r="AP1961" s="89" t="s">
        <v>115</v>
      </c>
    </row>
    <row r="1962" spans="1:42" s="89" customFormat="1" x14ac:dyDescent="0.15">
      <c r="A1962" s="100" t="s">
        <v>1</v>
      </c>
      <c r="B1962" s="101">
        <v>90180805</v>
      </c>
      <c r="C1962" s="101">
        <v>1808</v>
      </c>
      <c r="D1962" s="101">
        <v>18</v>
      </c>
      <c r="E1962" s="101"/>
      <c r="F1962" s="101" t="s">
        <v>115</v>
      </c>
      <c r="G1962" s="101" t="s">
        <v>115</v>
      </c>
      <c r="H1962" s="101" t="s">
        <v>4281</v>
      </c>
      <c r="I1962" s="101">
        <v>4</v>
      </c>
      <c r="J1962" s="100">
        <v>0</v>
      </c>
      <c r="K1962" s="100">
        <v>4</v>
      </c>
      <c r="L1962" s="100" t="s">
        <v>115</v>
      </c>
      <c r="M1962" s="102"/>
      <c r="N1962" s="100"/>
      <c r="O1962" s="100" t="s">
        <v>115</v>
      </c>
      <c r="P1962" s="101"/>
      <c r="Q1962" s="100">
        <v>163</v>
      </c>
      <c r="R1962" s="100">
        <v>269</v>
      </c>
      <c r="S1962" s="100"/>
      <c r="T1962" s="100"/>
      <c r="U1962" s="100"/>
      <c r="V1962" s="100"/>
      <c r="W1962" s="100"/>
      <c r="X1962" s="100">
        <v>90180807</v>
      </c>
      <c r="Y1962" s="100">
        <v>-1</v>
      </c>
      <c r="Z1962" s="100">
        <v>2</v>
      </c>
      <c r="AA1962" s="100" t="s">
        <v>115</v>
      </c>
      <c r="AB1962" s="100" t="s">
        <v>115</v>
      </c>
      <c r="AC1962" s="100" t="s">
        <v>115</v>
      </c>
      <c r="AD1962" s="100"/>
      <c r="AE1962" s="100"/>
      <c r="AF1962" s="100"/>
      <c r="AG1962" s="100"/>
      <c r="AH1962" s="100"/>
      <c r="AI1962" s="100" t="s">
        <v>115</v>
      </c>
      <c r="AJ1962" s="100"/>
      <c r="AK1962" s="100"/>
      <c r="AL1962" s="100"/>
      <c r="AM1962" s="100"/>
      <c r="AN1962" s="100"/>
      <c r="AO1962" s="100"/>
      <c r="AP1962" s="89" t="s">
        <v>115</v>
      </c>
    </row>
    <row r="1963" spans="1:42" s="89" customFormat="1" x14ac:dyDescent="0.15">
      <c r="A1963" s="100" t="s">
        <v>1</v>
      </c>
      <c r="B1963" s="101">
        <v>90180806</v>
      </c>
      <c r="C1963" s="101">
        <v>1808</v>
      </c>
      <c r="D1963" s="101">
        <v>18</v>
      </c>
      <c r="E1963" s="101"/>
      <c r="F1963" s="101" t="s">
        <v>116</v>
      </c>
      <c r="G1963" s="101">
        <v>310</v>
      </c>
      <c r="H1963" s="101" t="s">
        <v>4282</v>
      </c>
      <c r="I1963" s="101">
        <v>0</v>
      </c>
      <c r="J1963" s="100">
        <v>0</v>
      </c>
      <c r="K1963" s="100">
        <v>0</v>
      </c>
      <c r="L1963" s="100" t="s">
        <v>115</v>
      </c>
      <c r="M1963" s="102"/>
      <c r="N1963" s="100"/>
      <c r="O1963" s="100" t="s">
        <v>115</v>
      </c>
      <c r="P1963" s="101"/>
      <c r="Q1963" s="100">
        <v>163</v>
      </c>
      <c r="R1963" s="100">
        <v>269</v>
      </c>
      <c r="S1963" s="100"/>
      <c r="T1963" s="100"/>
      <c r="U1963" s="100"/>
      <c r="V1963" s="100"/>
      <c r="W1963" s="100"/>
      <c r="X1963" s="100">
        <v>90180809</v>
      </c>
      <c r="Y1963" s="100" t="s">
        <v>115</v>
      </c>
      <c r="Z1963" s="100" t="s">
        <v>115</v>
      </c>
      <c r="AA1963" s="100" t="s">
        <v>115</v>
      </c>
      <c r="AB1963" s="100" t="s">
        <v>115</v>
      </c>
      <c r="AC1963" s="100" t="s">
        <v>115</v>
      </c>
      <c r="AD1963" s="100"/>
      <c r="AE1963" s="100"/>
      <c r="AF1963" s="100"/>
      <c r="AG1963" s="100"/>
      <c r="AH1963" s="100"/>
      <c r="AI1963" s="100" t="s">
        <v>115</v>
      </c>
      <c r="AJ1963" s="100"/>
      <c r="AK1963" s="100"/>
      <c r="AL1963" s="100"/>
      <c r="AM1963" s="100"/>
      <c r="AN1963" s="100"/>
      <c r="AO1963" s="100"/>
      <c r="AP1963" s="89" t="s">
        <v>115</v>
      </c>
    </row>
    <row r="1964" spans="1:42" s="89" customFormat="1" x14ac:dyDescent="0.15">
      <c r="A1964" s="100" t="s">
        <v>1</v>
      </c>
      <c r="B1964" s="101">
        <v>90180807</v>
      </c>
      <c r="C1964" s="101">
        <v>1808</v>
      </c>
      <c r="D1964" s="101">
        <v>18</v>
      </c>
      <c r="E1964" s="101"/>
      <c r="F1964" s="101" t="s">
        <v>256</v>
      </c>
      <c r="G1964" s="101" t="s">
        <v>115</v>
      </c>
      <c r="H1964" s="101" t="s">
        <v>4283</v>
      </c>
      <c r="I1964" s="101">
        <v>3</v>
      </c>
      <c r="J1964" s="100">
        <v>0</v>
      </c>
      <c r="K1964" s="100">
        <v>0</v>
      </c>
      <c r="L1964" s="100" t="s">
        <v>115</v>
      </c>
      <c r="M1964" s="102"/>
      <c r="N1964" s="100"/>
      <c r="O1964" s="100" t="s">
        <v>115</v>
      </c>
      <c r="P1964" s="101"/>
      <c r="Q1964" s="100">
        <v>163</v>
      </c>
      <c r="R1964" s="100">
        <v>269</v>
      </c>
      <c r="S1964" s="100"/>
      <c r="T1964" s="100"/>
      <c r="U1964" s="100"/>
      <c r="V1964" s="100"/>
      <c r="W1964" s="100"/>
      <c r="X1964" s="100">
        <v>90180808</v>
      </c>
      <c r="Y1964" s="100" t="s">
        <v>115</v>
      </c>
      <c r="Z1964" s="100" t="s">
        <v>115</v>
      </c>
      <c r="AA1964" s="100" t="s">
        <v>115</v>
      </c>
      <c r="AB1964" s="100" t="s">
        <v>115</v>
      </c>
      <c r="AC1964" s="100" t="s">
        <v>115</v>
      </c>
      <c r="AD1964" s="100"/>
      <c r="AE1964" s="100"/>
      <c r="AF1964" s="100"/>
      <c r="AG1964" s="100"/>
      <c r="AH1964" s="100"/>
      <c r="AI1964" s="100" t="s">
        <v>115</v>
      </c>
      <c r="AJ1964" s="100"/>
      <c r="AK1964" s="100"/>
      <c r="AL1964" s="100"/>
      <c r="AM1964" s="100"/>
      <c r="AN1964" s="100"/>
      <c r="AO1964" s="100"/>
      <c r="AP1964" s="89" t="s">
        <v>115</v>
      </c>
    </row>
    <row r="1965" spans="1:42" s="89" customFormat="1" x14ac:dyDescent="0.15">
      <c r="A1965" s="100" t="s">
        <v>1</v>
      </c>
      <c r="B1965" s="101">
        <v>90180808</v>
      </c>
      <c r="C1965" s="101">
        <v>1808</v>
      </c>
      <c r="D1965" s="101">
        <v>18</v>
      </c>
      <c r="E1965" s="101"/>
      <c r="F1965" s="101" t="s">
        <v>116</v>
      </c>
      <c r="G1965" s="101">
        <v>314</v>
      </c>
      <c r="H1965" s="101" t="s">
        <v>4284</v>
      </c>
      <c r="I1965" s="101">
        <v>0</v>
      </c>
      <c r="J1965" s="100">
        <v>0</v>
      </c>
      <c r="K1965" s="100">
        <v>0</v>
      </c>
      <c r="L1965" s="100" t="s">
        <v>115</v>
      </c>
      <c r="M1965" s="102"/>
      <c r="N1965" s="100"/>
      <c r="O1965" s="100" t="s">
        <v>115</v>
      </c>
      <c r="P1965" s="101"/>
      <c r="Q1965" s="100">
        <v>163</v>
      </c>
      <c r="R1965" s="100">
        <v>269</v>
      </c>
      <c r="S1965" s="100"/>
      <c r="T1965" s="100"/>
      <c r="U1965" s="100"/>
      <c r="V1965" s="100"/>
      <c r="W1965" s="100"/>
      <c r="X1965" s="100">
        <v>90180803</v>
      </c>
      <c r="Y1965" s="100" t="s">
        <v>115</v>
      </c>
      <c r="Z1965" s="100" t="s">
        <v>115</v>
      </c>
      <c r="AA1965" s="100" t="s">
        <v>115</v>
      </c>
      <c r="AB1965" s="100" t="s">
        <v>115</v>
      </c>
      <c r="AC1965" s="100" t="s">
        <v>115</v>
      </c>
      <c r="AD1965" s="100"/>
      <c r="AE1965" s="100"/>
      <c r="AF1965" s="100"/>
      <c r="AG1965" s="100"/>
      <c r="AH1965" s="100"/>
      <c r="AI1965" s="100" t="s">
        <v>115</v>
      </c>
      <c r="AJ1965" s="100"/>
      <c r="AK1965" s="100"/>
      <c r="AL1965" s="100"/>
      <c r="AM1965" s="100"/>
      <c r="AN1965" s="100"/>
      <c r="AO1965" s="100"/>
      <c r="AP1965" s="89" t="s">
        <v>115</v>
      </c>
    </row>
    <row r="1966" spans="1:42" s="89" customFormat="1" x14ac:dyDescent="0.15">
      <c r="A1966" s="100" t="s">
        <v>1</v>
      </c>
      <c r="B1966" s="101">
        <v>90180809</v>
      </c>
      <c r="C1966" s="101">
        <v>1808</v>
      </c>
      <c r="D1966" s="101">
        <v>18</v>
      </c>
      <c r="E1966" s="101"/>
      <c r="F1966" s="101" t="s">
        <v>256</v>
      </c>
      <c r="G1966" s="101" t="s">
        <v>115</v>
      </c>
      <c r="H1966" s="101" t="s">
        <v>4285</v>
      </c>
      <c r="I1966" s="101">
        <v>3</v>
      </c>
      <c r="J1966" s="100">
        <v>0</v>
      </c>
      <c r="K1966" s="100">
        <v>0</v>
      </c>
      <c r="L1966" s="100" t="s">
        <v>115</v>
      </c>
      <c r="M1966" s="102"/>
      <c r="N1966" s="100"/>
      <c r="O1966" s="100" t="s">
        <v>115</v>
      </c>
      <c r="P1966" s="101"/>
      <c r="Q1966" s="100">
        <v>163</v>
      </c>
      <c r="R1966" s="100">
        <v>269</v>
      </c>
      <c r="S1966" s="100"/>
      <c r="T1966" s="100"/>
      <c r="U1966" s="100"/>
      <c r="V1966" s="100"/>
      <c r="W1966" s="100"/>
      <c r="X1966" s="100">
        <v>90180810</v>
      </c>
      <c r="Y1966" s="100" t="s">
        <v>115</v>
      </c>
      <c r="Z1966" s="100" t="s">
        <v>115</v>
      </c>
      <c r="AA1966" s="100" t="s">
        <v>115</v>
      </c>
      <c r="AB1966" s="100" t="s">
        <v>115</v>
      </c>
      <c r="AC1966" s="100" t="s">
        <v>115</v>
      </c>
      <c r="AD1966" s="100"/>
      <c r="AE1966" s="100"/>
      <c r="AF1966" s="100"/>
      <c r="AG1966" s="100"/>
      <c r="AH1966" s="100"/>
      <c r="AI1966" s="100" t="s">
        <v>115</v>
      </c>
      <c r="AJ1966" s="100"/>
      <c r="AK1966" s="100"/>
      <c r="AL1966" s="100"/>
      <c r="AM1966" s="100"/>
      <c r="AN1966" s="100"/>
      <c r="AO1966" s="100"/>
      <c r="AP1966" s="89" t="s">
        <v>115</v>
      </c>
    </row>
    <row r="1967" spans="1:42" s="89" customFormat="1" x14ac:dyDescent="0.15">
      <c r="A1967" s="100" t="s">
        <v>1</v>
      </c>
      <c r="B1967" s="101">
        <v>90180810</v>
      </c>
      <c r="C1967" s="101">
        <v>1808</v>
      </c>
      <c r="D1967" s="101">
        <v>18</v>
      </c>
      <c r="E1967" s="101"/>
      <c r="F1967" s="101" t="s">
        <v>115</v>
      </c>
      <c r="G1967" s="101" t="s">
        <v>115</v>
      </c>
      <c r="H1967" s="101" t="s">
        <v>4286</v>
      </c>
      <c r="I1967" s="101">
        <v>4</v>
      </c>
      <c r="J1967" s="100">
        <v>0</v>
      </c>
      <c r="K1967" s="100">
        <v>5</v>
      </c>
      <c r="L1967" s="100" t="s">
        <v>115</v>
      </c>
      <c r="M1967" s="102"/>
      <c r="N1967" s="100"/>
      <c r="O1967" s="100" t="s">
        <v>115</v>
      </c>
      <c r="P1967" s="101"/>
      <c r="Q1967" s="100">
        <v>163</v>
      </c>
      <c r="R1967" s="100">
        <v>269</v>
      </c>
      <c r="S1967" s="100"/>
      <c r="T1967" s="100"/>
      <c r="U1967" s="100"/>
      <c r="V1967" s="100"/>
      <c r="W1967" s="100"/>
      <c r="X1967" s="100" t="s">
        <v>4287</v>
      </c>
      <c r="Y1967" s="100">
        <v>1</v>
      </c>
      <c r="Z1967" s="100">
        <v>2</v>
      </c>
      <c r="AA1967" s="100" t="s">
        <v>115</v>
      </c>
      <c r="AB1967" s="100" t="s">
        <v>115</v>
      </c>
      <c r="AC1967" s="100" t="s">
        <v>115</v>
      </c>
      <c r="AD1967" s="100"/>
      <c r="AE1967" s="100"/>
      <c r="AF1967" s="100"/>
      <c r="AG1967" s="100"/>
      <c r="AH1967" s="100"/>
      <c r="AI1967" s="100" t="s">
        <v>115</v>
      </c>
      <c r="AJ1967" s="100"/>
      <c r="AK1967" s="100"/>
      <c r="AL1967" s="100"/>
      <c r="AM1967" s="100"/>
      <c r="AN1967" s="100"/>
      <c r="AO1967" s="100"/>
      <c r="AP1967" s="89" t="s">
        <v>115</v>
      </c>
    </row>
    <row r="1968" spans="1:42" s="89" customFormat="1" x14ac:dyDescent="0.15">
      <c r="A1968" s="100" t="s">
        <v>1</v>
      </c>
      <c r="B1968" s="101">
        <v>90180811</v>
      </c>
      <c r="C1968" s="101">
        <v>1808</v>
      </c>
      <c r="D1968" s="101">
        <v>18</v>
      </c>
      <c r="E1968" s="101"/>
      <c r="F1968" s="101" t="s">
        <v>115</v>
      </c>
      <c r="G1968" s="101" t="s">
        <v>115</v>
      </c>
      <c r="H1968" s="101" t="s">
        <v>4288</v>
      </c>
      <c r="I1968" s="101">
        <v>4</v>
      </c>
      <c r="J1968" s="100">
        <v>0</v>
      </c>
      <c r="K1968" s="100">
        <v>6</v>
      </c>
      <c r="L1968" s="100" t="s">
        <v>115</v>
      </c>
      <c r="M1968" s="102"/>
      <c r="N1968" s="100"/>
      <c r="O1968" s="100" t="s">
        <v>115</v>
      </c>
      <c r="P1968" s="101"/>
      <c r="Q1968" s="100">
        <v>163</v>
      </c>
      <c r="R1968" s="100">
        <v>269</v>
      </c>
      <c r="S1968" s="100"/>
      <c r="T1968" s="100"/>
      <c r="U1968" s="100"/>
      <c r="V1968" s="100"/>
      <c r="W1968" s="100"/>
      <c r="X1968" s="100">
        <v>90180813</v>
      </c>
      <c r="Y1968" s="100">
        <v>-1</v>
      </c>
      <c r="Z1968" s="100">
        <v>5</v>
      </c>
      <c r="AA1968" s="100" t="s">
        <v>115</v>
      </c>
      <c r="AB1968" s="100" t="s">
        <v>115</v>
      </c>
      <c r="AC1968" s="100" t="s">
        <v>115</v>
      </c>
      <c r="AD1968" s="100"/>
      <c r="AE1968" s="100"/>
      <c r="AF1968" s="100"/>
      <c r="AG1968" s="100"/>
      <c r="AH1968" s="100"/>
      <c r="AI1968" s="100" t="s">
        <v>115</v>
      </c>
      <c r="AJ1968" s="100"/>
      <c r="AK1968" s="100"/>
      <c r="AL1968" s="100"/>
      <c r="AM1968" s="100"/>
      <c r="AN1968" s="100"/>
      <c r="AO1968" s="100"/>
      <c r="AP1968" s="89" t="s">
        <v>115</v>
      </c>
    </row>
    <row r="1969" spans="1:42" s="89" customFormat="1" x14ac:dyDescent="0.15">
      <c r="A1969" s="100" t="s">
        <v>1</v>
      </c>
      <c r="B1969" s="101">
        <v>90180812</v>
      </c>
      <c r="C1969" s="101">
        <v>1808</v>
      </c>
      <c r="D1969" s="101">
        <v>18</v>
      </c>
      <c r="E1969" s="101"/>
      <c r="F1969" s="101" t="s">
        <v>115</v>
      </c>
      <c r="G1969" s="101" t="s">
        <v>115</v>
      </c>
      <c r="H1969" s="101" t="s">
        <v>4289</v>
      </c>
      <c r="I1969" s="101">
        <v>4</v>
      </c>
      <c r="J1969" s="100">
        <v>0</v>
      </c>
      <c r="K1969" s="100">
        <v>7</v>
      </c>
      <c r="L1969" s="100" t="s">
        <v>115</v>
      </c>
      <c r="M1969" s="102"/>
      <c r="N1969" s="100"/>
      <c r="O1969" s="100" t="s">
        <v>115</v>
      </c>
      <c r="P1969" s="101"/>
      <c r="Q1969" s="100">
        <v>163</v>
      </c>
      <c r="R1969" s="100">
        <v>269</v>
      </c>
      <c r="S1969" s="100"/>
      <c r="T1969" s="100"/>
      <c r="U1969" s="100"/>
      <c r="V1969" s="100"/>
      <c r="W1969" s="100"/>
      <c r="X1969" s="100">
        <v>90180814</v>
      </c>
      <c r="Y1969" s="100">
        <v>-1</v>
      </c>
      <c r="Z1969" s="100">
        <v>5</v>
      </c>
      <c r="AA1969" s="100" t="s">
        <v>115</v>
      </c>
      <c r="AB1969" s="100" t="s">
        <v>115</v>
      </c>
      <c r="AC1969" s="100" t="s">
        <v>115</v>
      </c>
      <c r="AD1969" s="100"/>
      <c r="AE1969" s="100"/>
      <c r="AF1969" s="100"/>
      <c r="AG1969" s="100"/>
      <c r="AH1969" s="100"/>
      <c r="AI1969" s="100" t="s">
        <v>115</v>
      </c>
      <c r="AJ1969" s="100"/>
      <c r="AK1969" s="100"/>
      <c r="AL1969" s="100"/>
      <c r="AM1969" s="100"/>
      <c r="AN1969" s="100"/>
      <c r="AO1969" s="100"/>
      <c r="AP1969" s="89" t="s">
        <v>115</v>
      </c>
    </row>
    <row r="1970" spans="1:42" s="89" customFormat="1" x14ac:dyDescent="0.15">
      <c r="A1970" s="100" t="s">
        <v>1</v>
      </c>
      <c r="B1970" s="101">
        <v>90180813</v>
      </c>
      <c r="C1970" s="101">
        <v>1808</v>
      </c>
      <c r="D1970" s="101">
        <v>18</v>
      </c>
      <c r="E1970" s="101"/>
      <c r="F1970" s="101" t="s">
        <v>116</v>
      </c>
      <c r="G1970" s="101">
        <v>314</v>
      </c>
      <c r="H1970" s="101" t="s">
        <v>4290</v>
      </c>
      <c r="I1970" s="101">
        <v>0</v>
      </c>
      <c r="J1970" s="100">
        <v>0</v>
      </c>
      <c r="K1970" s="100">
        <v>0</v>
      </c>
      <c r="L1970" s="100" t="s">
        <v>115</v>
      </c>
      <c r="M1970" s="102"/>
      <c r="N1970" s="100"/>
      <c r="O1970" s="100" t="s">
        <v>115</v>
      </c>
      <c r="P1970" s="101"/>
      <c r="Q1970" s="100">
        <v>163</v>
      </c>
      <c r="R1970" s="100">
        <v>269</v>
      </c>
      <c r="S1970" s="100"/>
      <c r="T1970" s="100"/>
      <c r="U1970" s="100"/>
      <c r="V1970" s="100"/>
      <c r="W1970" s="100"/>
      <c r="X1970" s="100">
        <v>90180816</v>
      </c>
      <c r="Y1970" s="100" t="s">
        <v>115</v>
      </c>
      <c r="Z1970" s="100" t="s">
        <v>115</v>
      </c>
      <c r="AA1970" s="100" t="s">
        <v>115</v>
      </c>
      <c r="AB1970" s="100" t="s">
        <v>115</v>
      </c>
      <c r="AC1970" s="100" t="s">
        <v>115</v>
      </c>
      <c r="AD1970" s="100"/>
      <c r="AE1970" s="100"/>
      <c r="AF1970" s="100"/>
      <c r="AG1970" s="100"/>
      <c r="AH1970" s="100"/>
      <c r="AI1970" s="100" t="s">
        <v>115</v>
      </c>
      <c r="AJ1970" s="100"/>
      <c r="AK1970" s="100"/>
      <c r="AL1970" s="100"/>
      <c r="AM1970" s="100"/>
      <c r="AN1970" s="100"/>
      <c r="AO1970" s="100"/>
      <c r="AP1970" s="89" t="s">
        <v>115</v>
      </c>
    </row>
    <row r="1971" spans="1:42" s="89" customFormat="1" x14ac:dyDescent="0.15">
      <c r="A1971" s="100" t="s">
        <v>1</v>
      </c>
      <c r="B1971" s="101">
        <v>90180814</v>
      </c>
      <c r="C1971" s="101">
        <v>1808</v>
      </c>
      <c r="D1971" s="101">
        <v>18</v>
      </c>
      <c r="E1971" s="101"/>
      <c r="F1971" s="101" t="s">
        <v>116</v>
      </c>
      <c r="G1971" s="101">
        <v>314</v>
      </c>
      <c r="H1971" s="101" t="s">
        <v>4291</v>
      </c>
      <c r="I1971" s="101">
        <v>0</v>
      </c>
      <c r="J1971" s="100">
        <v>0</v>
      </c>
      <c r="K1971" s="100">
        <v>0</v>
      </c>
      <c r="L1971" s="100" t="s">
        <v>115</v>
      </c>
      <c r="M1971" s="102"/>
      <c r="N1971" s="100"/>
      <c r="O1971" s="100" t="s">
        <v>115</v>
      </c>
      <c r="P1971" s="101"/>
      <c r="Q1971" s="100">
        <v>163</v>
      </c>
      <c r="R1971" s="100">
        <v>269</v>
      </c>
      <c r="S1971" s="100"/>
      <c r="T1971" s="100"/>
      <c r="U1971" s="100"/>
      <c r="V1971" s="100"/>
      <c r="W1971" s="100"/>
      <c r="X1971" s="100">
        <v>90180815</v>
      </c>
      <c r="Y1971" s="100" t="s">
        <v>115</v>
      </c>
      <c r="Z1971" s="100" t="s">
        <v>115</v>
      </c>
      <c r="AA1971" s="100" t="s">
        <v>115</v>
      </c>
      <c r="AB1971" s="100" t="s">
        <v>115</v>
      </c>
      <c r="AC1971" s="100" t="s">
        <v>115</v>
      </c>
      <c r="AD1971" s="100"/>
      <c r="AE1971" s="100"/>
      <c r="AF1971" s="100"/>
      <c r="AG1971" s="100"/>
      <c r="AH1971" s="100"/>
      <c r="AI1971" s="100" t="s">
        <v>115</v>
      </c>
      <c r="AJ1971" s="100"/>
      <c r="AK1971" s="100"/>
      <c r="AL1971" s="100"/>
      <c r="AM1971" s="100"/>
      <c r="AN1971" s="100"/>
      <c r="AO1971" s="100"/>
      <c r="AP1971" s="89" t="s">
        <v>115</v>
      </c>
    </row>
    <row r="1972" spans="1:42" s="89" customFormat="1" x14ac:dyDescent="0.15">
      <c r="A1972" s="100" t="s">
        <v>1</v>
      </c>
      <c r="B1972" s="101">
        <v>90180815</v>
      </c>
      <c r="C1972" s="101">
        <v>1808</v>
      </c>
      <c r="D1972" s="101">
        <v>18</v>
      </c>
      <c r="E1972" s="101"/>
      <c r="F1972" s="101" t="s">
        <v>256</v>
      </c>
      <c r="G1972" s="101" t="s">
        <v>115</v>
      </c>
      <c r="H1972" s="101" t="s">
        <v>4292</v>
      </c>
      <c r="I1972" s="101">
        <v>3</v>
      </c>
      <c r="J1972" s="100">
        <v>0</v>
      </c>
      <c r="K1972" s="100">
        <v>0</v>
      </c>
      <c r="L1972" s="100" t="s">
        <v>115</v>
      </c>
      <c r="M1972" s="102"/>
      <c r="N1972" s="100"/>
      <c r="O1972" s="100" t="s">
        <v>115</v>
      </c>
      <c r="P1972" s="101"/>
      <c r="Q1972" s="100">
        <v>163</v>
      </c>
      <c r="R1972" s="100">
        <v>269</v>
      </c>
      <c r="S1972" s="100"/>
      <c r="T1972" s="100"/>
      <c r="U1972" s="100"/>
      <c r="V1972" s="100"/>
      <c r="W1972" s="100"/>
      <c r="X1972" s="100">
        <v>90180810</v>
      </c>
      <c r="Y1972" s="100" t="s">
        <v>115</v>
      </c>
      <c r="Z1972" s="100" t="s">
        <v>115</v>
      </c>
      <c r="AA1972" s="100" t="s">
        <v>115</v>
      </c>
      <c r="AB1972" s="100" t="s">
        <v>115</v>
      </c>
      <c r="AC1972" s="100" t="s">
        <v>115</v>
      </c>
      <c r="AD1972" s="100"/>
      <c r="AE1972" s="100"/>
      <c r="AF1972" s="100"/>
      <c r="AG1972" s="100"/>
      <c r="AH1972" s="100"/>
      <c r="AI1972" s="100" t="s">
        <v>115</v>
      </c>
      <c r="AJ1972" s="100"/>
      <c r="AK1972" s="100"/>
      <c r="AL1972" s="100"/>
      <c r="AM1972" s="100"/>
      <c r="AN1972" s="100"/>
      <c r="AO1972" s="100"/>
      <c r="AP1972" s="89" t="s">
        <v>115</v>
      </c>
    </row>
    <row r="1973" spans="1:42" s="89" customFormat="1" x14ac:dyDescent="0.15">
      <c r="A1973" s="100" t="s">
        <v>1</v>
      </c>
      <c r="B1973" s="101">
        <v>90180816</v>
      </c>
      <c r="C1973" s="101">
        <v>1808</v>
      </c>
      <c r="D1973" s="101">
        <v>18</v>
      </c>
      <c r="E1973" s="101"/>
      <c r="F1973" s="101" t="s">
        <v>256</v>
      </c>
      <c r="G1973" s="101" t="s">
        <v>115</v>
      </c>
      <c r="H1973" s="101" t="s">
        <v>4293</v>
      </c>
      <c r="I1973" s="101">
        <v>3</v>
      </c>
      <c r="J1973" s="100">
        <v>0</v>
      </c>
      <c r="K1973" s="100">
        <v>0</v>
      </c>
      <c r="L1973" s="100" t="s">
        <v>115</v>
      </c>
      <c r="M1973" s="102"/>
      <c r="N1973" s="100"/>
      <c r="O1973" s="100" t="s">
        <v>115</v>
      </c>
      <c r="P1973" s="101"/>
      <c r="Q1973" s="100">
        <v>163</v>
      </c>
      <c r="R1973" s="100">
        <v>269</v>
      </c>
      <c r="S1973" s="100"/>
      <c r="T1973" s="100"/>
      <c r="U1973" s="100"/>
      <c r="V1973" s="100"/>
      <c r="W1973" s="100"/>
      <c r="X1973" s="100">
        <v>90180817</v>
      </c>
      <c r="Y1973" s="100" t="s">
        <v>115</v>
      </c>
      <c r="Z1973" s="100" t="s">
        <v>115</v>
      </c>
      <c r="AA1973" s="100" t="s">
        <v>115</v>
      </c>
      <c r="AB1973" s="100" t="s">
        <v>115</v>
      </c>
      <c r="AC1973" s="100" t="s">
        <v>115</v>
      </c>
      <c r="AD1973" s="100"/>
      <c r="AE1973" s="100"/>
      <c r="AF1973" s="100"/>
      <c r="AG1973" s="100"/>
      <c r="AH1973" s="100"/>
      <c r="AI1973" s="100" t="s">
        <v>115</v>
      </c>
      <c r="AJ1973" s="100"/>
      <c r="AK1973" s="100"/>
      <c r="AL1973" s="100"/>
      <c r="AM1973" s="100"/>
      <c r="AN1973" s="100"/>
      <c r="AO1973" s="100"/>
      <c r="AP1973" s="89" t="s">
        <v>115</v>
      </c>
    </row>
    <row r="1974" spans="1:42" s="89" customFormat="1" x14ac:dyDescent="0.15">
      <c r="A1974" s="100" t="s">
        <v>1</v>
      </c>
      <c r="B1974" s="101">
        <v>90180817</v>
      </c>
      <c r="C1974" s="101">
        <v>1808</v>
      </c>
      <c r="D1974" s="101">
        <v>18</v>
      </c>
      <c r="E1974" s="101"/>
      <c r="F1974" s="101" t="s">
        <v>256</v>
      </c>
      <c r="G1974" s="101" t="s">
        <v>115</v>
      </c>
      <c r="H1974" s="101" t="s">
        <v>4294</v>
      </c>
      <c r="I1974" s="101">
        <v>3</v>
      </c>
      <c r="J1974" s="100">
        <v>0</v>
      </c>
      <c r="K1974" s="100">
        <v>0</v>
      </c>
      <c r="L1974" s="100" t="s">
        <v>115</v>
      </c>
      <c r="M1974" s="102"/>
      <c r="N1974" s="100"/>
      <c r="O1974" s="100" t="s">
        <v>115</v>
      </c>
      <c r="P1974" s="101"/>
      <c r="Q1974" s="100">
        <v>163</v>
      </c>
      <c r="R1974" s="100">
        <v>269</v>
      </c>
      <c r="S1974" s="100"/>
      <c r="T1974" s="100"/>
      <c r="U1974" s="100"/>
      <c r="V1974" s="100"/>
      <c r="W1974" s="100"/>
      <c r="X1974" s="100">
        <v>90180818</v>
      </c>
      <c r="Y1974" s="100" t="s">
        <v>115</v>
      </c>
      <c r="Z1974" s="100" t="s">
        <v>115</v>
      </c>
      <c r="AA1974" s="100" t="s">
        <v>115</v>
      </c>
      <c r="AB1974" s="100" t="s">
        <v>115</v>
      </c>
      <c r="AC1974" s="100" t="s">
        <v>115</v>
      </c>
      <c r="AD1974" s="100"/>
      <c r="AE1974" s="100"/>
      <c r="AF1974" s="100"/>
      <c r="AG1974" s="100"/>
      <c r="AH1974" s="100"/>
      <c r="AI1974" s="100" t="s">
        <v>115</v>
      </c>
      <c r="AJ1974" s="100"/>
      <c r="AK1974" s="100"/>
      <c r="AL1974" s="100"/>
      <c r="AM1974" s="100"/>
      <c r="AN1974" s="100"/>
      <c r="AO1974" s="100"/>
      <c r="AP1974" s="89" t="s">
        <v>115</v>
      </c>
    </row>
    <row r="1975" spans="1:42" s="89" customFormat="1" x14ac:dyDescent="0.15">
      <c r="A1975" s="100" t="s">
        <v>1</v>
      </c>
      <c r="B1975" s="101">
        <v>90180818</v>
      </c>
      <c r="C1975" s="101">
        <v>1808</v>
      </c>
      <c r="D1975" s="101">
        <v>18</v>
      </c>
      <c r="E1975" s="101"/>
      <c r="F1975" s="101" t="s">
        <v>116</v>
      </c>
      <c r="G1975" s="101">
        <v>312</v>
      </c>
      <c r="H1975" s="101" t="s">
        <v>4295</v>
      </c>
      <c r="I1975" s="101">
        <v>0</v>
      </c>
      <c r="J1975" s="100">
        <v>0</v>
      </c>
      <c r="K1975" s="100">
        <v>8</v>
      </c>
      <c r="L1975" s="100" t="s">
        <v>115</v>
      </c>
      <c r="M1975" s="102"/>
      <c r="N1975" s="100"/>
      <c r="O1975" s="100">
        <v>1</v>
      </c>
      <c r="P1975" s="101"/>
      <c r="Q1975" s="100">
        <v>163</v>
      </c>
      <c r="R1975" s="100">
        <v>269</v>
      </c>
      <c r="S1975" s="100"/>
      <c r="T1975" s="100"/>
      <c r="U1975" s="100"/>
      <c r="V1975" s="100"/>
      <c r="W1975" s="100"/>
      <c r="X1975" s="100" t="s">
        <v>115</v>
      </c>
      <c r="Y1975" s="100" t="s">
        <v>115</v>
      </c>
      <c r="Z1975" s="100">
        <v>7</v>
      </c>
      <c r="AA1975" s="100" t="s">
        <v>115</v>
      </c>
      <c r="AB1975" s="100" t="s">
        <v>115</v>
      </c>
      <c r="AC1975" s="100" t="s">
        <v>115</v>
      </c>
      <c r="AD1975" s="100"/>
      <c r="AE1975" s="100"/>
      <c r="AF1975" s="100"/>
      <c r="AG1975" s="100"/>
      <c r="AH1975" s="100"/>
      <c r="AI1975" s="100" t="s">
        <v>115</v>
      </c>
      <c r="AJ1975" s="100"/>
      <c r="AK1975" s="100"/>
      <c r="AL1975" s="100"/>
      <c r="AM1975" s="100"/>
      <c r="AN1975" s="100"/>
      <c r="AO1975" s="100"/>
      <c r="AP1975" s="89" t="s">
        <v>115</v>
      </c>
    </row>
    <row r="1976" spans="1:42" s="89" customFormat="1" x14ac:dyDescent="0.15">
      <c r="A1976" s="100" t="s">
        <v>1</v>
      </c>
      <c r="B1976" s="101" t="s">
        <v>3968</v>
      </c>
      <c r="C1976" s="101">
        <v>1901</v>
      </c>
      <c r="D1976" s="101">
        <v>19</v>
      </c>
      <c r="E1976" s="101"/>
      <c r="F1976" s="101" t="s">
        <v>115</v>
      </c>
      <c r="G1976" s="101" t="s">
        <v>115</v>
      </c>
      <c r="H1976" s="101" t="s">
        <v>4296</v>
      </c>
      <c r="I1976" s="101">
        <v>4</v>
      </c>
      <c r="J1976" s="100">
        <v>1</v>
      </c>
      <c r="K1976" s="100">
        <v>1</v>
      </c>
      <c r="L1976" s="100" t="s">
        <v>115</v>
      </c>
      <c r="M1976" s="102"/>
      <c r="N1976" s="100"/>
      <c r="O1976" s="100" t="s">
        <v>115</v>
      </c>
      <c r="P1976" s="101"/>
      <c r="Q1976" s="100">
        <v>163</v>
      </c>
      <c r="R1976" s="100" t="s">
        <v>115</v>
      </c>
      <c r="S1976" s="100"/>
      <c r="T1976" s="100"/>
      <c r="U1976" s="100"/>
      <c r="V1976" s="100"/>
      <c r="W1976" s="100"/>
      <c r="X1976" s="100">
        <v>90190102</v>
      </c>
      <c r="Y1976" s="100" t="s">
        <v>115</v>
      </c>
      <c r="Z1976" s="100" t="s">
        <v>115</v>
      </c>
      <c r="AA1976" s="100" t="s">
        <v>115</v>
      </c>
      <c r="AB1976" s="100" t="s">
        <v>115</v>
      </c>
      <c r="AC1976" s="100" t="s">
        <v>115</v>
      </c>
      <c r="AD1976" s="100"/>
      <c r="AE1976" s="100"/>
      <c r="AF1976" s="100"/>
      <c r="AG1976" s="100"/>
      <c r="AH1976" s="100"/>
      <c r="AI1976" s="100" t="s">
        <v>115</v>
      </c>
      <c r="AJ1976" s="100"/>
      <c r="AK1976" s="100"/>
      <c r="AL1976" s="100"/>
      <c r="AM1976" s="100"/>
      <c r="AN1976" s="100"/>
      <c r="AO1976" s="100"/>
      <c r="AP1976" s="89" t="s">
        <v>115</v>
      </c>
    </row>
    <row r="1977" spans="1:42" s="89" customFormat="1" x14ac:dyDescent="0.15">
      <c r="A1977" s="100" t="s">
        <v>1</v>
      </c>
      <c r="B1977" s="101">
        <v>90190102</v>
      </c>
      <c r="C1977" s="101">
        <v>1901</v>
      </c>
      <c r="D1977" s="101">
        <v>19</v>
      </c>
      <c r="E1977" s="101"/>
      <c r="F1977" s="101" t="s">
        <v>116</v>
      </c>
      <c r="G1977" s="101">
        <v>312</v>
      </c>
      <c r="H1977" s="101" t="s">
        <v>4297</v>
      </c>
      <c r="I1977" s="101">
        <v>0</v>
      </c>
      <c r="J1977" s="100">
        <v>0</v>
      </c>
      <c r="K1977" s="100">
        <v>0</v>
      </c>
      <c r="L1977" s="100" t="s">
        <v>115</v>
      </c>
      <c r="M1977" s="102"/>
      <c r="N1977" s="100"/>
      <c r="O1977" s="100" t="s">
        <v>115</v>
      </c>
      <c r="P1977" s="101"/>
      <c r="Q1977" s="100">
        <v>163</v>
      </c>
      <c r="R1977" s="100" t="s">
        <v>115</v>
      </c>
      <c r="S1977" s="100"/>
      <c r="T1977" s="100"/>
      <c r="U1977" s="100"/>
      <c r="V1977" s="100"/>
      <c r="W1977" s="100"/>
      <c r="X1977" s="100">
        <v>90190103</v>
      </c>
      <c r="Y1977" s="100" t="s">
        <v>115</v>
      </c>
      <c r="Z1977" s="100" t="s">
        <v>115</v>
      </c>
      <c r="AA1977" s="100" t="s">
        <v>115</v>
      </c>
      <c r="AB1977" s="100" t="s">
        <v>115</v>
      </c>
      <c r="AC1977" s="100" t="s">
        <v>115</v>
      </c>
      <c r="AD1977" s="100"/>
      <c r="AE1977" s="100"/>
      <c r="AF1977" s="100"/>
      <c r="AG1977" s="100"/>
      <c r="AH1977" s="100"/>
      <c r="AI1977" s="100" t="s">
        <v>115</v>
      </c>
      <c r="AJ1977" s="100"/>
      <c r="AK1977" s="100"/>
      <c r="AL1977" s="100"/>
      <c r="AM1977" s="100"/>
      <c r="AN1977" s="100"/>
      <c r="AO1977" s="100"/>
      <c r="AP1977" s="89" t="s">
        <v>115</v>
      </c>
    </row>
    <row r="1978" spans="1:42" s="89" customFormat="1" x14ac:dyDescent="0.15">
      <c r="A1978" s="100" t="s">
        <v>1</v>
      </c>
      <c r="B1978" s="101">
        <v>90190103</v>
      </c>
      <c r="C1978" s="101">
        <v>1901</v>
      </c>
      <c r="D1978" s="101">
        <v>19</v>
      </c>
      <c r="E1978" s="101"/>
      <c r="F1978" s="101" t="s">
        <v>116</v>
      </c>
      <c r="G1978" s="101">
        <v>314</v>
      </c>
      <c r="H1978" s="101" t="s">
        <v>4298</v>
      </c>
      <c r="I1978" s="101">
        <v>2</v>
      </c>
      <c r="J1978" s="100">
        <v>0</v>
      </c>
      <c r="K1978" s="100">
        <v>0</v>
      </c>
      <c r="L1978" s="100" t="s">
        <v>115</v>
      </c>
      <c r="M1978" s="102"/>
      <c r="N1978" s="100"/>
      <c r="O1978" s="100" t="s">
        <v>115</v>
      </c>
      <c r="P1978" s="101"/>
      <c r="Q1978" s="100">
        <v>163</v>
      </c>
      <c r="R1978" s="100" t="s">
        <v>115</v>
      </c>
      <c r="S1978" s="100"/>
      <c r="T1978" s="100"/>
      <c r="U1978" s="100"/>
      <c r="V1978" s="100"/>
      <c r="W1978" s="100"/>
      <c r="X1978" s="100">
        <v>90190104</v>
      </c>
      <c r="Y1978" s="100" t="s">
        <v>115</v>
      </c>
      <c r="Z1978" s="100" t="s">
        <v>115</v>
      </c>
      <c r="AA1978" s="100" t="s">
        <v>115</v>
      </c>
      <c r="AB1978" s="100" t="s">
        <v>115</v>
      </c>
      <c r="AC1978" s="100" t="s">
        <v>115</v>
      </c>
      <c r="AD1978" s="100"/>
      <c r="AE1978" s="100"/>
      <c r="AF1978" s="100"/>
      <c r="AG1978" s="100"/>
      <c r="AH1978" s="100"/>
      <c r="AI1978" s="100" t="s">
        <v>115</v>
      </c>
      <c r="AJ1978" s="100"/>
      <c r="AK1978" s="100"/>
      <c r="AL1978" s="100"/>
      <c r="AM1978" s="100"/>
      <c r="AN1978" s="100"/>
      <c r="AO1978" s="100"/>
      <c r="AP1978" s="89" t="s">
        <v>115</v>
      </c>
    </row>
    <row r="1979" spans="1:42" s="89" customFormat="1" x14ac:dyDescent="0.15">
      <c r="A1979" s="100" t="s">
        <v>1</v>
      </c>
      <c r="B1979" s="101">
        <v>90190104</v>
      </c>
      <c r="C1979" s="101">
        <v>1901</v>
      </c>
      <c r="D1979" s="101">
        <v>19</v>
      </c>
      <c r="E1979" s="101"/>
      <c r="F1979" s="101" t="s">
        <v>115</v>
      </c>
      <c r="G1979" s="101" t="s">
        <v>115</v>
      </c>
      <c r="H1979" s="101" t="s">
        <v>4299</v>
      </c>
      <c r="I1979" s="101">
        <v>4</v>
      </c>
      <c r="J1979" s="100">
        <v>0</v>
      </c>
      <c r="K1979" s="100">
        <v>0</v>
      </c>
      <c r="L1979" s="100" t="s">
        <v>115</v>
      </c>
      <c r="M1979" s="102"/>
      <c r="N1979" s="100"/>
      <c r="O1979" s="100" t="s">
        <v>115</v>
      </c>
      <c r="P1979" s="101"/>
      <c r="Q1979" s="100">
        <v>192</v>
      </c>
      <c r="R1979" s="100" t="s">
        <v>115</v>
      </c>
      <c r="S1979" s="100"/>
      <c r="T1979" s="100"/>
      <c r="U1979" s="100"/>
      <c r="V1979" s="100"/>
      <c r="W1979" s="100"/>
      <c r="X1979" s="100">
        <v>90190105</v>
      </c>
      <c r="Y1979" s="100" t="s">
        <v>115</v>
      </c>
      <c r="Z1979" s="100" t="s">
        <v>115</v>
      </c>
      <c r="AA1979" s="100" t="s">
        <v>115</v>
      </c>
      <c r="AB1979" s="100" t="s">
        <v>115</v>
      </c>
      <c r="AC1979" s="100" t="s">
        <v>115</v>
      </c>
      <c r="AD1979" s="100"/>
      <c r="AE1979" s="100"/>
      <c r="AF1979" s="100"/>
      <c r="AG1979" s="100"/>
      <c r="AH1979" s="100"/>
      <c r="AI1979" s="100" t="s">
        <v>115</v>
      </c>
      <c r="AJ1979" s="100"/>
      <c r="AK1979" s="100"/>
      <c r="AL1979" s="100"/>
      <c r="AM1979" s="100"/>
      <c r="AN1979" s="100"/>
      <c r="AO1979" s="100"/>
      <c r="AP1979" s="89" t="s">
        <v>115</v>
      </c>
    </row>
    <row r="1980" spans="1:42" s="89" customFormat="1" x14ac:dyDescent="0.15">
      <c r="A1980" s="100" t="s">
        <v>1</v>
      </c>
      <c r="B1980" s="101">
        <v>90190105</v>
      </c>
      <c r="C1980" s="101">
        <v>1901</v>
      </c>
      <c r="D1980" s="101">
        <v>19</v>
      </c>
      <c r="E1980" s="101"/>
      <c r="F1980" s="101" t="s">
        <v>2001</v>
      </c>
      <c r="G1980" s="101" t="s">
        <v>115</v>
      </c>
      <c r="H1980" s="101" t="s">
        <v>4300</v>
      </c>
      <c r="I1980" s="101">
        <v>3</v>
      </c>
      <c r="J1980" s="100">
        <v>0</v>
      </c>
      <c r="K1980" s="100">
        <v>0</v>
      </c>
      <c r="L1980" s="100" t="s">
        <v>115</v>
      </c>
      <c r="M1980" s="102"/>
      <c r="N1980" s="100"/>
      <c r="O1980" s="100" t="s">
        <v>115</v>
      </c>
      <c r="P1980" s="101"/>
      <c r="Q1980" s="100">
        <v>192</v>
      </c>
      <c r="R1980" s="100">
        <v>245</v>
      </c>
      <c r="S1980" s="100"/>
      <c r="T1980" s="100"/>
      <c r="U1980" s="100"/>
      <c r="V1980" s="100"/>
      <c r="W1980" s="100"/>
      <c r="X1980" s="100">
        <v>90190106</v>
      </c>
      <c r="Y1980" s="100" t="s">
        <v>115</v>
      </c>
      <c r="Z1980" s="100" t="s">
        <v>115</v>
      </c>
      <c r="AA1980" s="100" t="s">
        <v>115</v>
      </c>
      <c r="AB1980" s="100" t="s">
        <v>115</v>
      </c>
      <c r="AC1980" s="100" t="s">
        <v>115</v>
      </c>
      <c r="AD1980" s="100"/>
      <c r="AE1980" s="100"/>
      <c r="AF1980" s="100"/>
      <c r="AG1980" s="100"/>
      <c r="AH1980" s="100"/>
      <c r="AI1980" s="100" t="s">
        <v>115</v>
      </c>
      <c r="AJ1980" s="100"/>
      <c r="AK1980" s="100"/>
      <c r="AL1980" s="100"/>
      <c r="AM1980" s="100"/>
      <c r="AN1980" s="100"/>
      <c r="AO1980" s="100"/>
      <c r="AP1980" s="89" t="s">
        <v>115</v>
      </c>
    </row>
    <row r="1981" spans="1:42" s="89" customFormat="1" x14ac:dyDescent="0.15">
      <c r="A1981" s="100" t="s">
        <v>1</v>
      </c>
      <c r="B1981" s="101">
        <v>90190106</v>
      </c>
      <c r="C1981" s="101">
        <v>1901</v>
      </c>
      <c r="D1981" s="101">
        <v>19</v>
      </c>
      <c r="E1981" s="101"/>
      <c r="F1981" s="101" t="s">
        <v>2001</v>
      </c>
      <c r="G1981" s="101" t="s">
        <v>115</v>
      </c>
      <c r="H1981" s="101" t="s">
        <v>4301</v>
      </c>
      <c r="I1981" s="101">
        <v>3</v>
      </c>
      <c r="J1981" s="100">
        <v>0</v>
      </c>
      <c r="K1981" s="100">
        <v>0</v>
      </c>
      <c r="L1981" s="100" t="s">
        <v>115</v>
      </c>
      <c r="M1981" s="102"/>
      <c r="N1981" s="100"/>
      <c r="O1981" s="100" t="s">
        <v>115</v>
      </c>
      <c r="P1981" s="101"/>
      <c r="Q1981" s="100">
        <v>192</v>
      </c>
      <c r="R1981" s="100">
        <v>245</v>
      </c>
      <c r="S1981" s="100"/>
      <c r="T1981" s="100"/>
      <c r="U1981" s="100"/>
      <c r="V1981" s="100"/>
      <c r="W1981" s="100"/>
      <c r="X1981" s="100">
        <v>90190107</v>
      </c>
      <c r="Y1981" s="100" t="s">
        <v>115</v>
      </c>
      <c r="Z1981" s="100" t="s">
        <v>115</v>
      </c>
      <c r="AA1981" s="100" t="s">
        <v>115</v>
      </c>
      <c r="AB1981" s="100" t="s">
        <v>115</v>
      </c>
      <c r="AC1981" s="100" t="s">
        <v>115</v>
      </c>
      <c r="AD1981" s="100"/>
      <c r="AE1981" s="100"/>
      <c r="AF1981" s="100"/>
      <c r="AG1981" s="100"/>
      <c r="AH1981" s="100"/>
      <c r="AI1981" s="100" t="s">
        <v>115</v>
      </c>
      <c r="AJ1981" s="100"/>
      <c r="AK1981" s="100"/>
      <c r="AL1981" s="100"/>
      <c r="AM1981" s="100"/>
      <c r="AN1981" s="100"/>
      <c r="AO1981" s="100"/>
      <c r="AP1981" s="89" t="s">
        <v>115</v>
      </c>
    </row>
    <row r="1982" spans="1:42" s="89" customFormat="1" x14ac:dyDescent="0.15">
      <c r="A1982" s="100" t="s">
        <v>1</v>
      </c>
      <c r="B1982" s="101">
        <v>90190107</v>
      </c>
      <c r="C1982" s="101">
        <v>1901</v>
      </c>
      <c r="D1982" s="101">
        <v>19</v>
      </c>
      <c r="E1982" s="101"/>
      <c r="F1982" s="101" t="s">
        <v>115</v>
      </c>
      <c r="G1982" s="101" t="s">
        <v>115</v>
      </c>
      <c r="H1982" s="101" t="s">
        <v>4302</v>
      </c>
      <c r="I1982" s="101">
        <v>4</v>
      </c>
      <c r="J1982" s="100">
        <v>0</v>
      </c>
      <c r="K1982" s="100">
        <v>0</v>
      </c>
      <c r="L1982" s="100" t="s">
        <v>115</v>
      </c>
      <c r="M1982" s="102"/>
      <c r="N1982" s="100"/>
      <c r="O1982" s="100" t="s">
        <v>115</v>
      </c>
      <c r="P1982" s="101"/>
      <c r="Q1982" s="100">
        <v>192</v>
      </c>
      <c r="R1982" s="100">
        <v>245</v>
      </c>
      <c r="S1982" s="100"/>
      <c r="T1982" s="100"/>
      <c r="U1982" s="100"/>
      <c r="V1982" s="100"/>
      <c r="W1982" s="100"/>
      <c r="X1982" s="100">
        <v>90190108</v>
      </c>
      <c r="Y1982" s="100" t="s">
        <v>115</v>
      </c>
      <c r="Z1982" s="100" t="s">
        <v>115</v>
      </c>
      <c r="AA1982" s="100" t="s">
        <v>115</v>
      </c>
      <c r="AB1982" s="100" t="s">
        <v>115</v>
      </c>
      <c r="AC1982" s="100" t="s">
        <v>115</v>
      </c>
      <c r="AD1982" s="100"/>
      <c r="AE1982" s="100"/>
      <c r="AF1982" s="100"/>
      <c r="AG1982" s="100"/>
      <c r="AH1982" s="100"/>
      <c r="AI1982" s="100" t="s">
        <v>115</v>
      </c>
      <c r="AJ1982" s="100"/>
      <c r="AK1982" s="100"/>
      <c r="AL1982" s="100"/>
      <c r="AM1982" s="100"/>
      <c r="AN1982" s="100"/>
      <c r="AO1982" s="100"/>
      <c r="AP1982" s="89" t="s">
        <v>115</v>
      </c>
    </row>
    <row r="1983" spans="1:42" s="89" customFormat="1" x14ac:dyDescent="0.15">
      <c r="A1983" s="100" t="s">
        <v>1</v>
      </c>
      <c r="B1983" s="101">
        <v>90190108</v>
      </c>
      <c r="C1983" s="101">
        <v>1901</v>
      </c>
      <c r="D1983" s="101">
        <v>19</v>
      </c>
      <c r="E1983" s="101"/>
      <c r="F1983" s="101" t="s">
        <v>115</v>
      </c>
      <c r="G1983" s="101" t="s">
        <v>115</v>
      </c>
      <c r="H1983" s="101" t="s">
        <v>4303</v>
      </c>
      <c r="I1983" s="101">
        <v>4</v>
      </c>
      <c r="J1983" s="100">
        <v>0</v>
      </c>
      <c r="K1983" s="100">
        <v>2</v>
      </c>
      <c r="L1983" s="100" t="s">
        <v>115</v>
      </c>
      <c r="M1983" s="102"/>
      <c r="N1983" s="100"/>
      <c r="O1983" s="100" t="s">
        <v>115</v>
      </c>
      <c r="P1983" s="101"/>
      <c r="Q1983" s="100">
        <v>192</v>
      </c>
      <c r="R1983" s="100">
        <v>245</v>
      </c>
      <c r="S1983" s="100"/>
      <c r="T1983" s="100"/>
      <c r="U1983" s="100"/>
      <c r="V1983" s="100"/>
      <c r="W1983" s="100"/>
      <c r="X1983" s="100" t="s">
        <v>4304</v>
      </c>
      <c r="Y1983" s="100">
        <v>1</v>
      </c>
      <c r="Z1983" s="100">
        <v>1</v>
      </c>
      <c r="AA1983" s="100" t="s">
        <v>115</v>
      </c>
      <c r="AB1983" s="100" t="s">
        <v>115</v>
      </c>
      <c r="AC1983" s="100" t="s">
        <v>115</v>
      </c>
      <c r="AD1983" s="100"/>
      <c r="AE1983" s="100"/>
      <c r="AF1983" s="100"/>
      <c r="AG1983" s="100"/>
      <c r="AH1983" s="100"/>
      <c r="AI1983" s="100" t="s">
        <v>115</v>
      </c>
      <c r="AJ1983" s="100"/>
      <c r="AK1983" s="100"/>
      <c r="AL1983" s="100"/>
      <c r="AM1983" s="100"/>
      <c r="AN1983" s="100"/>
      <c r="AO1983" s="100"/>
      <c r="AP1983" s="89" t="s">
        <v>115</v>
      </c>
    </row>
    <row r="1984" spans="1:42" s="89" customFormat="1" x14ac:dyDescent="0.15">
      <c r="A1984" s="100" t="s">
        <v>1</v>
      </c>
      <c r="B1984" s="101">
        <v>90190109</v>
      </c>
      <c r="C1984" s="101">
        <v>1901</v>
      </c>
      <c r="D1984" s="101">
        <v>19</v>
      </c>
      <c r="E1984" s="101"/>
      <c r="F1984" s="101" t="s">
        <v>115</v>
      </c>
      <c r="G1984" s="101" t="s">
        <v>115</v>
      </c>
      <c r="H1984" s="101" t="s">
        <v>4305</v>
      </c>
      <c r="I1984" s="101">
        <v>4</v>
      </c>
      <c r="J1984" s="100">
        <v>0</v>
      </c>
      <c r="K1984" s="100">
        <v>3</v>
      </c>
      <c r="L1984" s="100" t="s">
        <v>115</v>
      </c>
      <c r="M1984" s="102"/>
      <c r="N1984" s="100"/>
      <c r="O1984" s="100" t="s">
        <v>115</v>
      </c>
      <c r="P1984" s="101"/>
      <c r="Q1984" s="100">
        <v>192</v>
      </c>
      <c r="R1984" s="100">
        <v>245</v>
      </c>
      <c r="S1984" s="100"/>
      <c r="T1984" s="100"/>
      <c r="U1984" s="100"/>
      <c r="V1984" s="100"/>
      <c r="W1984" s="100"/>
      <c r="X1984" s="100">
        <v>90190110</v>
      </c>
      <c r="Y1984" s="100">
        <v>-1</v>
      </c>
      <c r="Z1984" s="100">
        <v>2</v>
      </c>
      <c r="AA1984" s="100" t="s">
        <v>115</v>
      </c>
      <c r="AB1984" s="100" t="s">
        <v>115</v>
      </c>
      <c r="AC1984" s="100" t="s">
        <v>4306</v>
      </c>
      <c r="AD1984" s="100"/>
      <c r="AE1984" s="100"/>
      <c r="AF1984" s="100"/>
      <c r="AG1984" s="100"/>
      <c r="AH1984" s="100"/>
      <c r="AI1984" s="100" t="s">
        <v>115</v>
      </c>
      <c r="AJ1984" s="100"/>
      <c r="AK1984" s="100"/>
      <c r="AL1984" s="100"/>
      <c r="AM1984" s="100"/>
      <c r="AN1984" s="100"/>
      <c r="AO1984" s="100"/>
      <c r="AP1984" s="89" t="s">
        <v>115</v>
      </c>
    </row>
    <row r="1985" spans="1:42" s="89" customFormat="1" x14ac:dyDescent="0.15">
      <c r="A1985" s="100" t="s">
        <v>1</v>
      </c>
      <c r="B1985" s="101">
        <v>90190110</v>
      </c>
      <c r="C1985" s="101">
        <v>1901</v>
      </c>
      <c r="D1985" s="101">
        <v>19</v>
      </c>
      <c r="E1985" s="101"/>
      <c r="F1985" s="101" t="s">
        <v>2001</v>
      </c>
      <c r="G1985" s="101" t="s">
        <v>115</v>
      </c>
      <c r="H1985" s="101" t="s">
        <v>4307</v>
      </c>
      <c r="I1985" s="101">
        <v>3</v>
      </c>
      <c r="J1985" s="100">
        <v>0</v>
      </c>
      <c r="K1985" s="100">
        <v>0</v>
      </c>
      <c r="L1985" s="100" t="s">
        <v>115</v>
      </c>
      <c r="M1985" s="102"/>
      <c r="N1985" s="100"/>
      <c r="O1985" s="100" t="s">
        <v>115</v>
      </c>
      <c r="P1985" s="101"/>
      <c r="Q1985" s="100">
        <v>192</v>
      </c>
      <c r="R1985" s="100">
        <v>245</v>
      </c>
      <c r="S1985" s="100"/>
      <c r="T1985" s="100"/>
      <c r="U1985" s="100"/>
      <c r="V1985" s="100"/>
      <c r="W1985" s="100"/>
      <c r="X1985" s="100">
        <v>90190111</v>
      </c>
      <c r="Y1985" s="100" t="s">
        <v>115</v>
      </c>
      <c r="Z1985" s="100" t="s">
        <v>115</v>
      </c>
      <c r="AA1985" s="100" t="s">
        <v>115</v>
      </c>
      <c r="AB1985" s="100" t="s">
        <v>115</v>
      </c>
      <c r="AC1985" s="100" t="s">
        <v>115</v>
      </c>
      <c r="AD1985" s="100"/>
      <c r="AE1985" s="100"/>
      <c r="AF1985" s="100"/>
      <c r="AG1985" s="100"/>
      <c r="AH1985" s="100"/>
      <c r="AI1985" s="100" t="s">
        <v>115</v>
      </c>
      <c r="AJ1985" s="100"/>
      <c r="AK1985" s="100"/>
      <c r="AL1985" s="100"/>
      <c r="AM1985" s="100"/>
      <c r="AN1985" s="100"/>
      <c r="AO1985" s="100"/>
      <c r="AP1985" s="89" t="s">
        <v>115</v>
      </c>
    </row>
    <row r="1986" spans="1:42" s="89" customFormat="1" x14ac:dyDescent="0.15">
      <c r="A1986" s="100" t="s">
        <v>1</v>
      </c>
      <c r="B1986" s="101">
        <v>90190111</v>
      </c>
      <c r="C1986" s="101">
        <v>1901</v>
      </c>
      <c r="D1986" s="101">
        <v>19</v>
      </c>
      <c r="E1986" s="101"/>
      <c r="F1986" s="101" t="s">
        <v>2001</v>
      </c>
      <c r="G1986" s="101" t="s">
        <v>115</v>
      </c>
      <c r="H1986" s="101" t="s">
        <v>4308</v>
      </c>
      <c r="I1986" s="101">
        <v>3</v>
      </c>
      <c r="J1986" s="100">
        <v>0</v>
      </c>
      <c r="K1986" s="100">
        <v>0</v>
      </c>
      <c r="L1986" s="100" t="s">
        <v>115</v>
      </c>
      <c r="M1986" s="102"/>
      <c r="N1986" s="100"/>
      <c r="O1986" s="100" t="s">
        <v>115</v>
      </c>
      <c r="P1986" s="101"/>
      <c r="Q1986" s="100">
        <v>192</v>
      </c>
      <c r="R1986" s="100">
        <v>245</v>
      </c>
      <c r="S1986" s="100"/>
      <c r="T1986" s="100"/>
      <c r="U1986" s="100"/>
      <c r="V1986" s="100"/>
      <c r="W1986" s="100"/>
      <c r="X1986" s="100">
        <v>90190112</v>
      </c>
      <c r="Y1986" s="100" t="s">
        <v>115</v>
      </c>
      <c r="Z1986" s="100" t="s">
        <v>115</v>
      </c>
      <c r="AA1986" s="100" t="s">
        <v>115</v>
      </c>
      <c r="AB1986" s="100" t="s">
        <v>115</v>
      </c>
      <c r="AC1986" s="100" t="s">
        <v>115</v>
      </c>
      <c r="AD1986" s="100"/>
      <c r="AE1986" s="100"/>
      <c r="AF1986" s="100"/>
      <c r="AG1986" s="100"/>
      <c r="AH1986" s="100"/>
      <c r="AI1986" s="100" t="s">
        <v>115</v>
      </c>
      <c r="AJ1986" s="100"/>
      <c r="AK1986" s="100"/>
      <c r="AL1986" s="100"/>
      <c r="AM1986" s="100"/>
      <c r="AN1986" s="100"/>
      <c r="AO1986" s="100"/>
      <c r="AP1986" s="89" t="s">
        <v>115</v>
      </c>
    </row>
    <row r="1987" spans="1:42" s="89" customFormat="1" x14ac:dyDescent="0.15">
      <c r="A1987" s="100" t="s">
        <v>1</v>
      </c>
      <c r="B1987" s="101">
        <v>90190112</v>
      </c>
      <c r="C1987" s="101">
        <v>1901</v>
      </c>
      <c r="D1987" s="101">
        <v>19</v>
      </c>
      <c r="E1987" s="101"/>
      <c r="F1987" s="101" t="s">
        <v>2001</v>
      </c>
      <c r="G1987" s="101" t="s">
        <v>115</v>
      </c>
      <c r="H1987" s="101" t="s">
        <v>4309</v>
      </c>
      <c r="I1987" s="101">
        <v>3</v>
      </c>
      <c r="J1987" s="100">
        <v>0</v>
      </c>
      <c r="K1987" s="100">
        <v>0</v>
      </c>
      <c r="L1987" s="100" t="s">
        <v>115</v>
      </c>
      <c r="M1987" s="102"/>
      <c r="N1987" s="100"/>
      <c r="O1987" s="100" t="s">
        <v>115</v>
      </c>
      <c r="P1987" s="101"/>
      <c r="Q1987" s="100">
        <v>192</v>
      </c>
      <c r="R1987" s="100">
        <v>245</v>
      </c>
      <c r="S1987" s="100"/>
      <c r="T1987" s="100"/>
      <c r="U1987" s="100"/>
      <c r="V1987" s="100"/>
      <c r="W1987" s="100"/>
      <c r="X1987" s="100">
        <v>90190113</v>
      </c>
      <c r="Y1987" s="100" t="s">
        <v>115</v>
      </c>
      <c r="Z1987" s="100" t="s">
        <v>115</v>
      </c>
      <c r="AA1987" s="100" t="s">
        <v>115</v>
      </c>
      <c r="AB1987" s="100" t="s">
        <v>115</v>
      </c>
      <c r="AC1987" s="100" t="s">
        <v>115</v>
      </c>
      <c r="AD1987" s="100"/>
      <c r="AE1987" s="100"/>
      <c r="AF1987" s="100"/>
      <c r="AG1987" s="100"/>
      <c r="AH1987" s="100"/>
      <c r="AI1987" s="100" t="s">
        <v>115</v>
      </c>
      <c r="AJ1987" s="100"/>
      <c r="AK1987" s="100"/>
      <c r="AL1987" s="100"/>
      <c r="AM1987" s="100"/>
      <c r="AN1987" s="100"/>
      <c r="AO1987" s="100"/>
      <c r="AP1987" s="89" t="s">
        <v>115</v>
      </c>
    </row>
    <row r="1988" spans="1:42" s="89" customFormat="1" x14ac:dyDescent="0.15">
      <c r="A1988" s="100" t="s">
        <v>1</v>
      </c>
      <c r="B1988" s="101">
        <v>90190113</v>
      </c>
      <c r="C1988" s="101">
        <v>1901</v>
      </c>
      <c r="D1988" s="101">
        <v>19</v>
      </c>
      <c r="E1988" s="101"/>
      <c r="F1988" s="101" t="s">
        <v>2001</v>
      </c>
      <c r="G1988" s="101" t="s">
        <v>115</v>
      </c>
      <c r="H1988" s="101" t="s">
        <v>4310</v>
      </c>
      <c r="I1988" s="101">
        <v>3</v>
      </c>
      <c r="J1988" s="100">
        <v>0</v>
      </c>
      <c r="K1988" s="100">
        <v>4</v>
      </c>
      <c r="L1988" s="100" t="s">
        <v>115</v>
      </c>
      <c r="M1988" s="102"/>
      <c r="N1988" s="100"/>
      <c r="O1988" s="100">
        <v>1</v>
      </c>
      <c r="P1988" s="101"/>
      <c r="Q1988" s="100">
        <v>192</v>
      </c>
      <c r="R1988" s="100">
        <v>245</v>
      </c>
      <c r="S1988" s="100"/>
      <c r="T1988" s="100"/>
      <c r="U1988" s="100"/>
      <c r="V1988" s="100"/>
      <c r="W1988" s="100"/>
      <c r="X1988" s="100" t="s">
        <v>115</v>
      </c>
      <c r="Y1988" s="100" t="s">
        <v>115</v>
      </c>
      <c r="Z1988" s="100">
        <v>3</v>
      </c>
      <c r="AA1988" s="100" t="s">
        <v>115</v>
      </c>
      <c r="AB1988" s="100" t="s">
        <v>115</v>
      </c>
      <c r="AC1988" s="100" t="s">
        <v>115</v>
      </c>
      <c r="AD1988" s="100"/>
      <c r="AE1988" s="100"/>
      <c r="AF1988" s="100"/>
      <c r="AG1988" s="100"/>
      <c r="AH1988" s="100"/>
      <c r="AI1988" s="100" t="s">
        <v>115</v>
      </c>
      <c r="AJ1988" s="100"/>
      <c r="AK1988" s="100"/>
      <c r="AL1988" s="100"/>
      <c r="AM1988" s="100"/>
      <c r="AN1988" s="100"/>
      <c r="AO1988" s="100"/>
      <c r="AP1988" s="89" t="s">
        <v>4311</v>
      </c>
    </row>
    <row r="1989" spans="1:42" s="89" customFormat="1" x14ac:dyDescent="0.15">
      <c r="A1989" s="100" t="s">
        <v>1</v>
      </c>
      <c r="B1989" s="101" t="s">
        <v>3971</v>
      </c>
      <c r="C1989" s="101">
        <v>1902</v>
      </c>
      <c r="D1989" s="101">
        <v>19</v>
      </c>
      <c r="E1989" s="101"/>
      <c r="F1989" s="101" t="s">
        <v>115</v>
      </c>
      <c r="G1989" s="101" t="s">
        <v>115</v>
      </c>
      <c r="H1989" s="101" t="s">
        <v>4312</v>
      </c>
      <c r="I1989" s="101">
        <v>4</v>
      </c>
      <c r="J1989" s="100">
        <v>1</v>
      </c>
      <c r="K1989" s="100">
        <v>1</v>
      </c>
      <c r="L1989" s="100" t="s">
        <v>115</v>
      </c>
      <c r="M1989" s="102"/>
      <c r="N1989" s="100"/>
      <c r="O1989" s="100" t="s">
        <v>115</v>
      </c>
      <c r="P1989" s="101"/>
      <c r="Q1989" s="100">
        <v>105</v>
      </c>
      <c r="R1989" s="100" t="s">
        <v>115</v>
      </c>
      <c r="S1989" s="100"/>
      <c r="T1989" s="100"/>
      <c r="U1989" s="100"/>
      <c r="V1989" s="100"/>
      <c r="W1989" s="100"/>
      <c r="X1989" s="100">
        <v>90190202</v>
      </c>
      <c r="Y1989" s="100" t="s">
        <v>115</v>
      </c>
      <c r="Z1989" s="100" t="s">
        <v>115</v>
      </c>
      <c r="AA1989" s="100" t="s">
        <v>115</v>
      </c>
      <c r="AB1989" s="100" t="s">
        <v>115</v>
      </c>
      <c r="AC1989" s="100" t="s">
        <v>115</v>
      </c>
      <c r="AD1989" s="100"/>
      <c r="AE1989" s="100"/>
      <c r="AF1989" s="100"/>
      <c r="AG1989" s="100"/>
      <c r="AH1989" s="100"/>
      <c r="AI1989" s="100" t="s">
        <v>115</v>
      </c>
      <c r="AJ1989" s="100"/>
      <c r="AK1989" s="100"/>
      <c r="AL1989" s="100"/>
      <c r="AM1989" s="100"/>
      <c r="AN1989" s="100"/>
      <c r="AO1989" s="100"/>
      <c r="AP1989" s="89" t="s">
        <v>115</v>
      </c>
    </row>
    <row r="1990" spans="1:42" s="89" customFormat="1" x14ac:dyDescent="0.15">
      <c r="A1990" s="100" t="s">
        <v>1</v>
      </c>
      <c r="B1990" s="101">
        <v>90190202</v>
      </c>
      <c r="C1990" s="101">
        <v>1902</v>
      </c>
      <c r="D1990" s="101">
        <v>19</v>
      </c>
      <c r="E1990" s="101"/>
      <c r="F1990" s="101" t="s">
        <v>115</v>
      </c>
      <c r="G1990" s="101" t="s">
        <v>115</v>
      </c>
      <c r="H1990" s="101" t="s">
        <v>4313</v>
      </c>
      <c r="I1990" s="101">
        <v>4</v>
      </c>
      <c r="J1990" s="100">
        <v>0</v>
      </c>
      <c r="K1990" s="100">
        <v>0</v>
      </c>
      <c r="L1990" s="100" t="s">
        <v>115</v>
      </c>
      <c r="M1990" s="102"/>
      <c r="N1990" s="100"/>
      <c r="O1990" s="100" t="s">
        <v>115</v>
      </c>
      <c r="P1990" s="101"/>
      <c r="Q1990" s="100">
        <v>105</v>
      </c>
      <c r="R1990" s="100" t="s">
        <v>115</v>
      </c>
      <c r="S1990" s="100"/>
      <c r="T1990" s="100"/>
      <c r="U1990" s="100"/>
      <c r="V1990" s="100"/>
      <c r="W1990" s="100"/>
      <c r="X1990" s="100">
        <v>90190203</v>
      </c>
      <c r="Y1990" s="100" t="s">
        <v>115</v>
      </c>
      <c r="Z1990" s="100" t="s">
        <v>115</v>
      </c>
      <c r="AA1990" s="100" t="s">
        <v>115</v>
      </c>
      <c r="AB1990" s="100" t="s">
        <v>115</v>
      </c>
      <c r="AC1990" s="100" t="s">
        <v>115</v>
      </c>
      <c r="AD1990" s="100"/>
      <c r="AE1990" s="100"/>
      <c r="AF1990" s="100"/>
      <c r="AG1990" s="100"/>
      <c r="AH1990" s="100"/>
      <c r="AI1990" s="100" t="s">
        <v>115</v>
      </c>
      <c r="AJ1990" s="100"/>
      <c r="AK1990" s="100"/>
      <c r="AL1990" s="100"/>
      <c r="AM1990" s="100"/>
      <c r="AN1990" s="100"/>
      <c r="AO1990" s="100"/>
      <c r="AP1990" s="89" t="s">
        <v>115</v>
      </c>
    </row>
    <row r="1991" spans="1:42" s="89" customFormat="1" x14ac:dyDescent="0.15">
      <c r="A1991" s="100" t="s">
        <v>1</v>
      </c>
      <c r="B1991" s="101">
        <v>90190203</v>
      </c>
      <c r="C1991" s="101">
        <v>1902</v>
      </c>
      <c r="D1991" s="101">
        <v>19</v>
      </c>
      <c r="E1991" s="101"/>
      <c r="F1991" s="101" t="s">
        <v>115</v>
      </c>
      <c r="G1991" s="101" t="s">
        <v>115</v>
      </c>
      <c r="H1991" s="101" t="s">
        <v>4314</v>
      </c>
      <c r="I1991" s="101">
        <v>4</v>
      </c>
      <c r="J1991" s="100">
        <v>0</v>
      </c>
      <c r="K1991" s="100">
        <v>2</v>
      </c>
      <c r="L1991" s="100" t="s">
        <v>115</v>
      </c>
      <c r="M1991" s="102"/>
      <c r="N1991" s="100"/>
      <c r="O1991" s="100" t="s">
        <v>115</v>
      </c>
      <c r="P1991" s="101"/>
      <c r="Q1991" s="100">
        <v>105</v>
      </c>
      <c r="R1991" s="100" t="s">
        <v>115</v>
      </c>
      <c r="S1991" s="100"/>
      <c r="T1991" s="100"/>
      <c r="U1991" s="100"/>
      <c r="V1991" s="100"/>
      <c r="W1991" s="100"/>
      <c r="X1991" s="100" t="s">
        <v>4315</v>
      </c>
      <c r="Y1991" s="100">
        <v>1</v>
      </c>
      <c r="Z1991" s="100">
        <v>1</v>
      </c>
      <c r="AA1991" s="100" t="s">
        <v>115</v>
      </c>
      <c r="AB1991" s="100" t="s">
        <v>115</v>
      </c>
      <c r="AC1991" s="100" t="s">
        <v>115</v>
      </c>
      <c r="AD1991" s="100"/>
      <c r="AE1991" s="100"/>
      <c r="AF1991" s="100"/>
      <c r="AG1991" s="100"/>
      <c r="AH1991" s="100"/>
      <c r="AI1991" s="100" t="s">
        <v>115</v>
      </c>
      <c r="AJ1991" s="100"/>
      <c r="AK1991" s="100"/>
      <c r="AL1991" s="100"/>
      <c r="AM1991" s="100"/>
      <c r="AN1991" s="100"/>
      <c r="AO1991" s="100"/>
      <c r="AP1991" s="89" t="s">
        <v>115</v>
      </c>
    </row>
    <row r="1992" spans="1:42" s="89" customFormat="1" x14ac:dyDescent="0.15">
      <c r="A1992" s="100" t="s">
        <v>1</v>
      </c>
      <c r="B1992" s="101">
        <v>90190204</v>
      </c>
      <c r="C1992" s="101">
        <v>1902</v>
      </c>
      <c r="D1992" s="101">
        <v>19</v>
      </c>
      <c r="E1992" s="101"/>
      <c r="F1992" s="101" t="s">
        <v>115</v>
      </c>
      <c r="G1992" s="101" t="s">
        <v>115</v>
      </c>
      <c r="H1992" s="101" t="s">
        <v>4316</v>
      </c>
      <c r="I1992" s="101">
        <v>4</v>
      </c>
      <c r="J1992" s="100">
        <v>0</v>
      </c>
      <c r="K1992" s="100">
        <v>3</v>
      </c>
      <c r="L1992" s="100" t="s">
        <v>115</v>
      </c>
      <c r="M1992" s="102"/>
      <c r="N1992" s="100"/>
      <c r="O1992" s="100" t="s">
        <v>115</v>
      </c>
      <c r="P1992" s="101"/>
      <c r="Q1992" s="100">
        <v>105</v>
      </c>
      <c r="R1992" s="100" t="s">
        <v>115</v>
      </c>
      <c r="S1992" s="100"/>
      <c r="T1992" s="100"/>
      <c r="U1992" s="100"/>
      <c r="V1992" s="100"/>
      <c r="W1992" s="100"/>
      <c r="X1992" s="100">
        <v>90190207</v>
      </c>
      <c r="Y1992" s="100">
        <v>-1</v>
      </c>
      <c r="Z1992" s="100">
        <v>2</v>
      </c>
      <c r="AA1992" s="100" t="s">
        <v>115</v>
      </c>
      <c r="AB1992" s="100" t="s">
        <v>115</v>
      </c>
      <c r="AC1992" s="100" t="s">
        <v>115</v>
      </c>
      <c r="AD1992" s="100"/>
      <c r="AE1992" s="100"/>
      <c r="AF1992" s="100"/>
      <c r="AG1992" s="100"/>
      <c r="AH1992" s="100"/>
      <c r="AI1992" s="100" t="s">
        <v>115</v>
      </c>
      <c r="AJ1992" s="100"/>
      <c r="AK1992" s="100"/>
      <c r="AL1992" s="100"/>
      <c r="AM1992" s="100"/>
      <c r="AN1992" s="100"/>
      <c r="AO1992" s="100"/>
      <c r="AP1992" s="89" t="s">
        <v>115</v>
      </c>
    </row>
    <row r="1993" spans="1:42" s="89" customFormat="1" x14ac:dyDescent="0.15">
      <c r="A1993" s="100" t="s">
        <v>1</v>
      </c>
      <c r="B1993" s="101">
        <v>90190205</v>
      </c>
      <c r="C1993" s="101">
        <v>1902</v>
      </c>
      <c r="D1993" s="101">
        <v>19</v>
      </c>
      <c r="E1993" s="101"/>
      <c r="F1993" s="101" t="s">
        <v>115</v>
      </c>
      <c r="G1993" s="101" t="s">
        <v>115</v>
      </c>
      <c r="H1993" s="101" t="s">
        <v>4317</v>
      </c>
      <c r="I1993" s="101">
        <v>4</v>
      </c>
      <c r="J1993" s="100">
        <v>0</v>
      </c>
      <c r="K1993" s="100">
        <v>4</v>
      </c>
      <c r="L1993" s="100" t="s">
        <v>115</v>
      </c>
      <c r="M1993" s="102"/>
      <c r="N1993" s="100"/>
      <c r="O1993" s="100" t="s">
        <v>115</v>
      </c>
      <c r="P1993" s="101"/>
      <c r="Q1993" s="100">
        <v>105</v>
      </c>
      <c r="R1993" s="100" t="s">
        <v>115</v>
      </c>
      <c r="S1993" s="100"/>
      <c r="T1993" s="100"/>
      <c r="U1993" s="100"/>
      <c r="V1993" s="100"/>
      <c r="W1993" s="100"/>
      <c r="X1993" s="100">
        <v>90190210</v>
      </c>
      <c r="Y1993" s="100">
        <v>-1</v>
      </c>
      <c r="Z1993" s="100">
        <v>2</v>
      </c>
      <c r="AA1993" s="100" t="s">
        <v>115</v>
      </c>
      <c r="AB1993" s="100" t="s">
        <v>115</v>
      </c>
      <c r="AC1993" s="100" t="s">
        <v>115</v>
      </c>
      <c r="AD1993" s="100"/>
      <c r="AE1993" s="100"/>
      <c r="AF1993" s="100"/>
      <c r="AG1993" s="100"/>
      <c r="AH1993" s="100"/>
      <c r="AI1993" s="100" t="s">
        <v>115</v>
      </c>
      <c r="AJ1993" s="100"/>
      <c r="AK1993" s="100"/>
      <c r="AL1993" s="100"/>
      <c r="AM1993" s="100"/>
      <c r="AN1993" s="100"/>
      <c r="AO1993" s="100"/>
      <c r="AP1993" s="89" t="s">
        <v>115</v>
      </c>
    </row>
    <row r="1994" spans="1:42" s="89" customFormat="1" x14ac:dyDescent="0.15">
      <c r="A1994" s="100" t="s">
        <v>1</v>
      </c>
      <c r="B1994" s="101">
        <v>90190206</v>
      </c>
      <c r="C1994" s="101">
        <v>1902</v>
      </c>
      <c r="D1994" s="101">
        <v>19</v>
      </c>
      <c r="E1994" s="101"/>
      <c r="F1994" s="101" t="s">
        <v>115</v>
      </c>
      <c r="G1994" s="101" t="s">
        <v>115</v>
      </c>
      <c r="H1994" s="101" t="s">
        <v>4318</v>
      </c>
      <c r="I1994" s="101">
        <v>4</v>
      </c>
      <c r="J1994" s="100">
        <v>0</v>
      </c>
      <c r="K1994" s="100">
        <v>5</v>
      </c>
      <c r="L1994" s="100" t="s">
        <v>115</v>
      </c>
      <c r="M1994" s="102"/>
      <c r="N1994" s="100"/>
      <c r="O1994" s="100" t="s">
        <v>115</v>
      </c>
      <c r="P1994" s="101"/>
      <c r="Q1994" s="100">
        <v>105</v>
      </c>
      <c r="R1994" s="100" t="s">
        <v>115</v>
      </c>
      <c r="S1994" s="100"/>
      <c r="T1994" s="100"/>
      <c r="U1994" s="100"/>
      <c r="V1994" s="100"/>
      <c r="W1994" s="100"/>
      <c r="X1994" s="100">
        <v>90190212</v>
      </c>
      <c r="Y1994" s="100">
        <v>-1</v>
      </c>
      <c r="Z1994" s="100">
        <v>2</v>
      </c>
      <c r="AA1994" s="100" t="s">
        <v>4319</v>
      </c>
      <c r="AB1994" s="100" t="s">
        <v>115</v>
      </c>
      <c r="AC1994" s="100" t="s">
        <v>115</v>
      </c>
      <c r="AD1994" s="100"/>
      <c r="AE1994" s="100"/>
      <c r="AF1994" s="100"/>
      <c r="AG1994" s="100"/>
      <c r="AH1994" s="100"/>
      <c r="AI1994" s="100" t="s">
        <v>115</v>
      </c>
      <c r="AJ1994" s="100"/>
      <c r="AK1994" s="100"/>
      <c r="AL1994" s="100"/>
      <c r="AM1994" s="100"/>
      <c r="AN1994" s="100"/>
      <c r="AO1994" s="100"/>
      <c r="AP1994" s="89" t="s">
        <v>115</v>
      </c>
    </row>
    <row r="1995" spans="1:42" s="89" customFormat="1" x14ac:dyDescent="0.15">
      <c r="A1995" s="100" t="s">
        <v>1</v>
      </c>
      <c r="B1995" s="101">
        <v>90190207</v>
      </c>
      <c r="C1995" s="101">
        <v>1902</v>
      </c>
      <c r="D1995" s="101">
        <v>19</v>
      </c>
      <c r="E1995" s="101"/>
      <c r="F1995" s="101" t="s">
        <v>115</v>
      </c>
      <c r="G1995" s="101" t="s">
        <v>115</v>
      </c>
      <c r="H1995" s="101" t="s">
        <v>4320</v>
      </c>
      <c r="I1995" s="101">
        <v>4</v>
      </c>
      <c r="J1995" s="100">
        <v>0</v>
      </c>
      <c r="K1995" s="100">
        <v>0</v>
      </c>
      <c r="L1995" s="100" t="s">
        <v>115</v>
      </c>
      <c r="M1995" s="102"/>
      <c r="N1995" s="100"/>
      <c r="O1995" s="100" t="s">
        <v>115</v>
      </c>
      <c r="P1995" s="101"/>
      <c r="Q1995" s="100">
        <v>105</v>
      </c>
      <c r="R1995" s="100" t="s">
        <v>115</v>
      </c>
      <c r="S1995" s="100"/>
      <c r="T1995" s="100"/>
      <c r="U1995" s="100"/>
      <c r="V1995" s="100"/>
      <c r="W1995" s="100"/>
      <c r="X1995" s="100">
        <v>90190208</v>
      </c>
      <c r="Y1995" s="100" t="s">
        <v>115</v>
      </c>
      <c r="Z1995" s="100" t="s">
        <v>115</v>
      </c>
      <c r="AA1995" s="100" t="s">
        <v>115</v>
      </c>
      <c r="AB1995" s="100" t="s">
        <v>115</v>
      </c>
      <c r="AC1995" s="100" t="s">
        <v>115</v>
      </c>
      <c r="AD1995" s="100"/>
      <c r="AE1995" s="100"/>
      <c r="AF1995" s="100"/>
      <c r="AG1995" s="100"/>
      <c r="AH1995" s="100"/>
      <c r="AI1995" s="100" t="s">
        <v>115</v>
      </c>
      <c r="AJ1995" s="100"/>
      <c r="AK1995" s="100"/>
      <c r="AL1995" s="100"/>
      <c r="AM1995" s="100"/>
      <c r="AN1995" s="100"/>
      <c r="AO1995" s="100"/>
      <c r="AP1995" s="89" t="s">
        <v>115</v>
      </c>
    </row>
    <row r="1996" spans="1:42" s="89" customFormat="1" x14ac:dyDescent="0.15">
      <c r="A1996" s="100" t="s">
        <v>1</v>
      </c>
      <c r="B1996" s="101">
        <v>90190208</v>
      </c>
      <c r="C1996" s="101">
        <v>1902</v>
      </c>
      <c r="D1996" s="101">
        <v>19</v>
      </c>
      <c r="E1996" s="101"/>
      <c r="F1996" s="101" t="s">
        <v>115</v>
      </c>
      <c r="G1996" s="101" t="s">
        <v>115</v>
      </c>
      <c r="H1996" s="101" t="s">
        <v>4321</v>
      </c>
      <c r="I1996" s="101">
        <v>4</v>
      </c>
      <c r="J1996" s="100">
        <v>0</v>
      </c>
      <c r="K1996" s="100">
        <v>6</v>
      </c>
      <c r="L1996" s="100" t="s">
        <v>4322</v>
      </c>
      <c r="M1996" s="102"/>
      <c r="N1996" s="100"/>
      <c r="O1996" s="100" t="s">
        <v>115</v>
      </c>
      <c r="P1996" s="101"/>
      <c r="Q1996" s="100">
        <v>105</v>
      </c>
      <c r="R1996" s="100" t="s">
        <v>115</v>
      </c>
      <c r="S1996" s="100"/>
      <c r="T1996" s="100"/>
      <c r="U1996" s="100"/>
      <c r="V1996" s="100"/>
      <c r="W1996" s="100"/>
      <c r="X1996" s="100">
        <v>90190209</v>
      </c>
      <c r="Y1996" s="100" t="s">
        <v>115</v>
      </c>
      <c r="Z1996" s="100">
        <v>5</v>
      </c>
      <c r="AA1996" s="100" t="s">
        <v>115</v>
      </c>
      <c r="AB1996" s="100" t="s">
        <v>115</v>
      </c>
      <c r="AC1996" s="100" t="s">
        <v>115</v>
      </c>
      <c r="AD1996" s="100"/>
      <c r="AE1996" s="100"/>
      <c r="AF1996" s="100"/>
      <c r="AG1996" s="100"/>
      <c r="AH1996" s="100"/>
      <c r="AI1996" s="100" t="s">
        <v>115</v>
      </c>
      <c r="AJ1996" s="100"/>
      <c r="AK1996" s="100"/>
      <c r="AL1996" s="100"/>
      <c r="AM1996" s="100"/>
      <c r="AN1996" s="100"/>
      <c r="AO1996" s="100"/>
      <c r="AP1996" s="89" t="s">
        <v>115</v>
      </c>
    </row>
    <row r="1997" spans="1:42" s="89" customFormat="1" x14ac:dyDescent="0.15">
      <c r="A1997" s="100" t="s">
        <v>1</v>
      </c>
      <c r="B1997" s="101">
        <v>90190209</v>
      </c>
      <c r="C1997" s="101">
        <v>1902</v>
      </c>
      <c r="D1997" s="101">
        <v>19</v>
      </c>
      <c r="E1997" s="101"/>
      <c r="F1997" s="101" t="s">
        <v>116</v>
      </c>
      <c r="G1997" s="101">
        <v>314</v>
      </c>
      <c r="H1997" s="101" t="s">
        <v>4323</v>
      </c>
      <c r="I1997" s="101">
        <v>0</v>
      </c>
      <c r="J1997" s="100">
        <v>0</v>
      </c>
      <c r="K1997" s="100">
        <v>0</v>
      </c>
      <c r="L1997" s="100" t="s">
        <v>115</v>
      </c>
      <c r="M1997" s="102"/>
      <c r="N1997" s="100"/>
      <c r="O1997" s="100" t="s">
        <v>115</v>
      </c>
      <c r="P1997" s="101"/>
      <c r="Q1997" s="100">
        <v>105</v>
      </c>
      <c r="R1997" s="100" t="s">
        <v>115</v>
      </c>
      <c r="S1997" s="100"/>
      <c r="T1997" s="100"/>
      <c r="U1997" s="100"/>
      <c r="V1997" s="100"/>
      <c r="W1997" s="100"/>
      <c r="X1997" s="100">
        <v>90190203</v>
      </c>
      <c r="Y1997" s="100" t="s">
        <v>115</v>
      </c>
      <c r="Z1997" s="100" t="s">
        <v>115</v>
      </c>
      <c r="AA1997" s="100" t="s">
        <v>115</v>
      </c>
      <c r="AB1997" s="100" t="s">
        <v>115</v>
      </c>
      <c r="AC1997" s="100" t="s">
        <v>115</v>
      </c>
      <c r="AD1997" s="100"/>
      <c r="AE1997" s="100"/>
      <c r="AF1997" s="100"/>
      <c r="AG1997" s="100"/>
      <c r="AH1997" s="100"/>
      <c r="AI1997" s="100" t="s">
        <v>115</v>
      </c>
      <c r="AJ1997" s="100"/>
      <c r="AK1997" s="100"/>
      <c r="AL1997" s="100"/>
      <c r="AM1997" s="100"/>
      <c r="AN1997" s="100"/>
      <c r="AO1997" s="100"/>
      <c r="AP1997" s="89" t="s">
        <v>115</v>
      </c>
    </row>
    <row r="1998" spans="1:42" s="89" customFormat="1" x14ac:dyDescent="0.15">
      <c r="A1998" s="100" t="s">
        <v>1</v>
      </c>
      <c r="B1998" s="101">
        <v>90190210</v>
      </c>
      <c r="C1998" s="101">
        <v>1902</v>
      </c>
      <c r="D1998" s="101">
        <v>19</v>
      </c>
      <c r="E1998" s="101"/>
      <c r="F1998" s="101" t="s">
        <v>115</v>
      </c>
      <c r="G1998" s="101" t="s">
        <v>115</v>
      </c>
      <c r="H1998" s="101" t="s">
        <v>4324</v>
      </c>
      <c r="I1998" s="101">
        <v>4</v>
      </c>
      <c r="J1998" s="100">
        <v>0</v>
      </c>
      <c r="K1998" s="100">
        <v>0</v>
      </c>
      <c r="L1998" s="100" t="s">
        <v>115</v>
      </c>
      <c r="M1998" s="102"/>
      <c r="N1998" s="100"/>
      <c r="O1998" s="100" t="s">
        <v>115</v>
      </c>
      <c r="P1998" s="101"/>
      <c r="Q1998" s="100">
        <v>105</v>
      </c>
      <c r="R1998" s="100" t="s">
        <v>115</v>
      </c>
      <c r="S1998" s="100"/>
      <c r="T1998" s="100"/>
      <c r="U1998" s="100"/>
      <c r="V1998" s="100"/>
      <c r="W1998" s="100"/>
      <c r="X1998" s="100">
        <v>90190211</v>
      </c>
      <c r="Y1998" s="100" t="s">
        <v>115</v>
      </c>
      <c r="Z1998" s="100" t="s">
        <v>115</v>
      </c>
      <c r="AA1998" s="100" t="s">
        <v>115</v>
      </c>
      <c r="AB1998" s="100" t="s">
        <v>115</v>
      </c>
      <c r="AC1998" s="100" t="s">
        <v>115</v>
      </c>
      <c r="AD1998" s="100"/>
      <c r="AE1998" s="100"/>
      <c r="AF1998" s="100"/>
      <c r="AG1998" s="100"/>
      <c r="AH1998" s="100"/>
      <c r="AI1998" s="100" t="s">
        <v>115</v>
      </c>
      <c r="AJ1998" s="100"/>
      <c r="AK1998" s="100"/>
      <c r="AL1998" s="100"/>
      <c r="AM1998" s="100"/>
      <c r="AN1998" s="100"/>
      <c r="AO1998" s="100"/>
      <c r="AP1998" s="89" t="s">
        <v>115</v>
      </c>
    </row>
    <row r="1999" spans="1:42" s="89" customFormat="1" x14ac:dyDescent="0.15">
      <c r="A1999" s="100" t="s">
        <v>1</v>
      </c>
      <c r="B1999" s="101">
        <v>90190211</v>
      </c>
      <c r="C1999" s="101">
        <v>1902</v>
      </c>
      <c r="D1999" s="101">
        <v>19</v>
      </c>
      <c r="E1999" s="101"/>
      <c r="F1999" s="101" t="s">
        <v>116</v>
      </c>
      <c r="G1999" s="101">
        <v>314</v>
      </c>
      <c r="H1999" s="101" t="s">
        <v>4325</v>
      </c>
      <c r="I1999" s="101">
        <v>2</v>
      </c>
      <c r="J1999" s="100">
        <v>0</v>
      </c>
      <c r="K1999" s="100">
        <v>0</v>
      </c>
      <c r="L1999" s="100" t="s">
        <v>115</v>
      </c>
      <c r="M1999" s="102"/>
      <c r="N1999" s="100"/>
      <c r="O1999" s="100" t="s">
        <v>115</v>
      </c>
      <c r="P1999" s="101"/>
      <c r="Q1999" s="100">
        <v>105</v>
      </c>
      <c r="R1999" s="100" t="s">
        <v>115</v>
      </c>
      <c r="S1999" s="100"/>
      <c r="T1999" s="100"/>
      <c r="U1999" s="100"/>
      <c r="V1999" s="100"/>
      <c r="W1999" s="100"/>
      <c r="X1999" s="100">
        <v>90190203</v>
      </c>
      <c r="Y1999" s="100" t="s">
        <v>115</v>
      </c>
      <c r="Z1999" s="100" t="s">
        <v>115</v>
      </c>
      <c r="AA1999" s="100" t="s">
        <v>115</v>
      </c>
      <c r="AB1999" s="100" t="s">
        <v>115</v>
      </c>
      <c r="AC1999" s="100" t="s">
        <v>115</v>
      </c>
      <c r="AD1999" s="100"/>
      <c r="AE1999" s="100"/>
      <c r="AF1999" s="100"/>
      <c r="AG1999" s="100"/>
      <c r="AH1999" s="100"/>
      <c r="AI1999" s="100" t="s">
        <v>115</v>
      </c>
      <c r="AJ1999" s="100"/>
      <c r="AK1999" s="100"/>
      <c r="AL1999" s="100"/>
      <c r="AM1999" s="100"/>
      <c r="AN1999" s="100"/>
      <c r="AO1999" s="100"/>
      <c r="AP1999" s="89" t="s">
        <v>115</v>
      </c>
    </row>
    <row r="2000" spans="1:42" s="89" customFormat="1" x14ac:dyDescent="0.15">
      <c r="A2000" s="100" t="s">
        <v>1</v>
      </c>
      <c r="B2000" s="101">
        <v>90190212</v>
      </c>
      <c r="C2000" s="101">
        <v>1902</v>
      </c>
      <c r="D2000" s="101">
        <v>19</v>
      </c>
      <c r="E2000" s="101"/>
      <c r="F2000" s="101" t="s">
        <v>115</v>
      </c>
      <c r="G2000" s="101" t="s">
        <v>115</v>
      </c>
      <c r="H2000" s="101" t="s">
        <v>4326</v>
      </c>
      <c r="I2000" s="101">
        <v>4</v>
      </c>
      <c r="J2000" s="100">
        <v>0</v>
      </c>
      <c r="K2000" s="100">
        <v>0</v>
      </c>
      <c r="L2000" s="100" t="s">
        <v>115</v>
      </c>
      <c r="M2000" s="102"/>
      <c r="N2000" s="100"/>
      <c r="O2000" s="100" t="s">
        <v>115</v>
      </c>
      <c r="P2000" s="101"/>
      <c r="Q2000" s="100">
        <v>200</v>
      </c>
      <c r="R2000" s="100" t="s">
        <v>115</v>
      </c>
      <c r="S2000" s="100"/>
      <c r="T2000" s="100"/>
      <c r="U2000" s="100"/>
      <c r="V2000" s="100"/>
      <c r="W2000" s="100"/>
      <c r="X2000" s="100">
        <v>90190213</v>
      </c>
      <c r="Y2000" s="100" t="s">
        <v>115</v>
      </c>
      <c r="Z2000" s="100" t="s">
        <v>115</v>
      </c>
      <c r="AA2000" s="100" t="s">
        <v>115</v>
      </c>
      <c r="AB2000" s="100" t="s">
        <v>115</v>
      </c>
      <c r="AC2000" s="100" t="s">
        <v>115</v>
      </c>
      <c r="AD2000" s="100"/>
      <c r="AE2000" s="100"/>
      <c r="AF2000" s="100"/>
      <c r="AG2000" s="100"/>
      <c r="AH2000" s="100"/>
      <c r="AI2000" s="100" t="s">
        <v>115</v>
      </c>
      <c r="AJ2000" s="100"/>
      <c r="AK2000" s="100"/>
      <c r="AL2000" s="100"/>
      <c r="AM2000" s="100"/>
      <c r="AN2000" s="100"/>
      <c r="AO2000" s="100"/>
      <c r="AP2000" s="89" t="s">
        <v>115</v>
      </c>
    </row>
    <row r="2001" spans="1:42" s="89" customFormat="1" x14ac:dyDescent="0.15">
      <c r="A2001" s="100" t="s">
        <v>1</v>
      </c>
      <c r="B2001" s="101">
        <v>90190213</v>
      </c>
      <c r="C2001" s="101">
        <v>1902</v>
      </c>
      <c r="D2001" s="101">
        <v>19</v>
      </c>
      <c r="E2001" s="101"/>
      <c r="F2001" s="101" t="s">
        <v>431</v>
      </c>
      <c r="G2001" s="101" t="s">
        <v>115</v>
      </c>
      <c r="H2001" s="101" t="s">
        <v>4327</v>
      </c>
      <c r="I2001" s="101">
        <v>3</v>
      </c>
      <c r="J2001" s="100">
        <v>0</v>
      </c>
      <c r="K2001" s="100">
        <v>0</v>
      </c>
      <c r="L2001" s="100" t="s">
        <v>115</v>
      </c>
      <c r="M2001" s="102"/>
      <c r="N2001" s="100"/>
      <c r="O2001" s="100" t="s">
        <v>115</v>
      </c>
      <c r="P2001" s="101"/>
      <c r="Q2001" s="100">
        <v>200</v>
      </c>
      <c r="R2001" s="100" t="s">
        <v>115</v>
      </c>
      <c r="S2001" s="100"/>
      <c r="T2001" s="100"/>
      <c r="U2001" s="100"/>
      <c r="V2001" s="100"/>
      <c r="W2001" s="100"/>
      <c r="X2001" s="100">
        <v>90190214</v>
      </c>
      <c r="Y2001" s="100" t="s">
        <v>115</v>
      </c>
      <c r="Z2001" s="100" t="s">
        <v>115</v>
      </c>
      <c r="AA2001" s="100" t="s">
        <v>115</v>
      </c>
      <c r="AB2001" s="100" t="s">
        <v>115</v>
      </c>
      <c r="AC2001" s="100" t="s">
        <v>115</v>
      </c>
      <c r="AD2001" s="100"/>
      <c r="AE2001" s="100"/>
      <c r="AF2001" s="100"/>
      <c r="AG2001" s="100"/>
      <c r="AH2001" s="100"/>
      <c r="AI2001" s="100" t="s">
        <v>115</v>
      </c>
      <c r="AJ2001" s="100"/>
      <c r="AK2001" s="100"/>
      <c r="AL2001" s="100"/>
      <c r="AM2001" s="100"/>
      <c r="AN2001" s="100"/>
      <c r="AO2001" s="100"/>
      <c r="AP2001" s="89" t="s">
        <v>115</v>
      </c>
    </row>
    <row r="2002" spans="1:42" s="89" customFormat="1" x14ac:dyDescent="0.15">
      <c r="A2002" s="100" t="s">
        <v>1</v>
      </c>
      <c r="B2002" s="101">
        <v>90190214</v>
      </c>
      <c r="C2002" s="101">
        <v>1902</v>
      </c>
      <c r="D2002" s="101">
        <v>19</v>
      </c>
      <c r="E2002" s="101"/>
      <c r="F2002" s="101" t="s">
        <v>115</v>
      </c>
      <c r="G2002" s="101" t="s">
        <v>115</v>
      </c>
      <c r="H2002" s="101" t="s">
        <v>4328</v>
      </c>
      <c r="I2002" s="101">
        <v>4</v>
      </c>
      <c r="J2002" s="100">
        <v>0</v>
      </c>
      <c r="K2002" s="100">
        <v>0</v>
      </c>
      <c r="L2002" s="100" t="s">
        <v>115</v>
      </c>
      <c r="M2002" s="102"/>
      <c r="N2002" s="100"/>
      <c r="O2002" s="100" t="s">
        <v>115</v>
      </c>
      <c r="P2002" s="101"/>
      <c r="Q2002" s="100">
        <v>200</v>
      </c>
      <c r="R2002" s="100" t="s">
        <v>115</v>
      </c>
      <c r="S2002" s="100"/>
      <c r="T2002" s="100"/>
      <c r="U2002" s="100"/>
      <c r="V2002" s="100"/>
      <c r="W2002" s="100"/>
      <c r="X2002" s="100">
        <v>90190215</v>
      </c>
      <c r="Y2002" s="100" t="s">
        <v>115</v>
      </c>
      <c r="Z2002" s="100" t="s">
        <v>115</v>
      </c>
      <c r="AA2002" s="100" t="s">
        <v>115</v>
      </c>
      <c r="AB2002" s="100" t="s">
        <v>115</v>
      </c>
      <c r="AC2002" s="100" t="s">
        <v>115</v>
      </c>
      <c r="AD2002" s="100"/>
      <c r="AE2002" s="100"/>
      <c r="AF2002" s="100"/>
      <c r="AG2002" s="100"/>
      <c r="AH2002" s="100"/>
      <c r="AI2002" s="100" t="s">
        <v>115</v>
      </c>
      <c r="AJ2002" s="100"/>
      <c r="AK2002" s="100"/>
      <c r="AL2002" s="100"/>
      <c r="AM2002" s="100"/>
      <c r="AN2002" s="100"/>
      <c r="AO2002" s="100"/>
      <c r="AP2002" s="89" t="s">
        <v>115</v>
      </c>
    </row>
    <row r="2003" spans="1:42" s="89" customFormat="1" x14ac:dyDescent="0.15">
      <c r="A2003" s="100" t="s">
        <v>1</v>
      </c>
      <c r="B2003" s="101">
        <v>90190215</v>
      </c>
      <c r="C2003" s="101">
        <v>1902</v>
      </c>
      <c r="D2003" s="101">
        <v>19</v>
      </c>
      <c r="E2003" s="101"/>
      <c r="F2003" s="101" t="s">
        <v>116</v>
      </c>
      <c r="G2003" s="101">
        <v>317</v>
      </c>
      <c r="H2003" s="101" t="s">
        <v>4329</v>
      </c>
      <c r="I2003" s="101">
        <v>0</v>
      </c>
      <c r="J2003" s="100">
        <v>0</v>
      </c>
      <c r="K2003" s="100">
        <v>0</v>
      </c>
      <c r="L2003" s="100" t="s">
        <v>115</v>
      </c>
      <c r="M2003" s="102"/>
      <c r="N2003" s="100"/>
      <c r="O2003" s="100" t="s">
        <v>115</v>
      </c>
      <c r="P2003" s="101"/>
      <c r="Q2003" s="100">
        <v>200</v>
      </c>
      <c r="R2003" s="100" t="s">
        <v>115</v>
      </c>
      <c r="S2003" s="100"/>
      <c r="T2003" s="100"/>
      <c r="U2003" s="100"/>
      <c r="V2003" s="100"/>
      <c r="W2003" s="100"/>
      <c r="X2003" s="100">
        <v>90190216</v>
      </c>
      <c r="Y2003" s="100" t="s">
        <v>115</v>
      </c>
      <c r="Z2003" s="100" t="s">
        <v>115</v>
      </c>
      <c r="AA2003" s="100" t="s">
        <v>115</v>
      </c>
      <c r="AB2003" s="100" t="s">
        <v>115</v>
      </c>
      <c r="AC2003" s="100" t="s">
        <v>115</v>
      </c>
      <c r="AD2003" s="100"/>
      <c r="AE2003" s="100"/>
      <c r="AF2003" s="100"/>
      <c r="AG2003" s="100"/>
      <c r="AH2003" s="100"/>
      <c r="AI2003" s="100" t="s">
        <v>115</v>
      </c>
      <c r="AJ2003" s="100"/>
      <c r="AK2003" s="100"/>
      <c r="AL2003" s="100"/>
      <c r="AM2003" s="100"/>
      <c r="AN2003" s="100"/>
      <c r="AO2003" s="100"/>
      <c r="AP2003" s="89" t="s">
        <v>115</v>
      </c>
    </row>
    <row r="2004" spans="1:42" s="89" customFormat="1" x14ac:dyDescent="0.15">
      <c r="A2004" s="100" t="s">
        <v>1</v>
      </c>
      <c r="B2004" s="101">
        <v>90190216</v>
      </c>
      <c r="C2004" s="101">
        <v>1902</v>
      </c>
      <c r="D2004" s="101">
        <v>19</v>
      </c>
      <c r="E2004" s="101"/>
      <c r="F2004" s="101" t="s">
        <v>115</v>
      </c>
      <c r="G2004" s="101" t="s">
        <v>115</v>
      </c>
      <c r="H2004" s="101" t="s">
        <v>4330</v>
      </c>
      <c r="I2004" s="101">
        <v>4</v>
      </c>
      <c r="J2004" s="100">
        <v>0</v>
      </c>
      <c r="K2004" s="100">
        <v>0</v>
      </c>
      <c r="L2004" s="100" t="s">
        <v>115</v>
      </c>
      <c r="M2004" s="102"/>
      <c r="N2004" s="100"/>
      <c r="O2004" s="100" t="s">
        <v>115</v>
      </c>
      <c r="P2004" s="101"/>
      <c r="Q2004" s="100">
        <v>200</v>
      </c>
      <c r="R2004" s="100" t="s">
        <v>115</v>
      </c>
      <c r="S2004" s="100"/>
      <c r="T2004" s="100"/>
      <c r="U2004" s="100"/>
      <c r="V2004" s="100"/>
      <c r="W2004" s="100"/>
      <c r="X2004" s="100">
        <v>90190217</v>
      </c>
      <c r="Y2004" s="100" t="s">
        <v>115</v>
      </c>
      <c r="Z2004" s="100" t="s">
        <v>115</v>
      </c>
      <c r="AA2004" s="100" t="s">
        <v>115</v>
      </c>
      <c r="AB2004" s="100" t="s">
        <v>115</v>
      </c>
      <c r="AC2004" s="100" t="s">
        <v>115</v>
      </c>
      <c r="AD2004" s="100"/>
      <c r="AE2004" s="100"/>
      <c r="AF2004" s="100"/>
      <c r="AG2004" s="100"/>
      <c r="AH2004" s="100"/>
      <c r="AI2004" s="100" t="s">
        <v>115</v>
      </c>
      <c r="AJ2004" s="100"/>
      <c r="AK2004" s="100"/>
      <c r="AL2004" s="100"/>
      <c r="AM2004" s="100"/>
      <c r="AN2004" s="100"/>
      <c r="AO2004" s="100"/>
      <c r="AP2004" s="89" t="s">
        <v>115</v>
      </c>
    </row>
    <row r="2005" spans="1:42" s="89" customFormat="1" x14ac:dyDescent="0.15">
      <c r="A2005" s="100" t="s">
        <v>1</v>
      </c>
      <c r="B2005" s="101">
        <v>90190217</v>
      </c>
      <c r="C2005" s="101">
        <v>1902</v>
      </c>
      <c r="D2005" s="101">
        <v>19</v>
      </c>
      <c r="E2005" s="101"/>
      <c r="F2005" s="101" t="s">
        <v>116</v>
      </c>
      <c r="G2005" s="101">
        <v>308</v>
      </c>
      <c r="H2005" s="101" t="s">
        <v>4331</v>
      </c>
      <c r="I2005" s="101">
        <v>2</v>
      </c>
      <c r="J2005" s="100">
        <v>0</v>
      </c>
      <c r="K2005" s="100">
        <v>7</v>
      </c>
      <c r="L2005" s="100" t="s">
        <v>4332</v>
      </c>
      <c r="M2005" s="102"/>
      <c r="N2005" s="100"/>
      <c r="O2005" s="100" t="s">
        <v>115</v>
      </c>
      <c r="P2005" s="101"/>
      <c r="Q2005" s="100">
        <v>200</v>
      </c>
      <c r="R2005" s="100" t="s">
        <v>115</v>
      </c>
      <c r="S2005" s="100"/>
      <c r="T2005" s="100"/>
      <c r="U2005" s="100"/>
      <c r="V2005" s="100"/>
      <c r="W2005" s="100"/>
      <c r="X2005" s="100">
        <v>90190218</v>
      </c>
      <c r="Y2005" s="100" t="s">
        <v>115</v>
      </c>
      <c r="Z2005" s="100">
        <v>6</v>
      </c>
      <c r="AA2005" s="100" t="s">
        <v>115</v>
      </c>
      <c r="AB2005" s="100" t="s">
        <v>115</v>
      </c>
      <c r="AC2005" s="100" t="s">
        <v>115</v>
      </c>
      <c r="AD2005" s="100"/>
      <c r="AE2005" s="100"/>
      <c r="AF2005" s="100"/>
      <c r="AG2005" s="100"/>
      <c r="AH2005" s="100"/>
      <c r="AI2005" s="100" t="s">
        <v>115</v>
      </c>
      <c r="AJ2005" s="100"/>
      <c r="AK2005" s="100"/>
      <c r="AL2005" s="100"/>
      <c r="AM2005" s="100"/>
      <c r="AN2005" s="100"/>
      <c r="AO2005" s="100"/>
      <c r="AP2005" s="89" t="s">
        <v>115</v>
      </c>
    </row>
    <row r="2006" spans="1:42" s="89" customFormat="1" x14ac:dyDescent="0.15">
      <c r="A2006" s="100" t="s">
        <v>1</v>
      </c>
      <c r="B2006" s="101">
        <v>90190218</v>
      </c>
      <c r="C2006" s="101">
        <v>1902</v>
      </c>
      <c r="D2006" s="101">
        <v>19</v>
      </c>
      <c r="E2006" s="101"/>
      <c r="F2006" s="101" t="s">
        <v>115</v>
      </c>
      <c r="G2006" s="101" t="s">
        <v>115</v>
      </c>
      <c r="H2006" s="101" t="s">
        <v>4333</v>
      </c>
      <c r="I2006" s="101">
        <v>4</v>
      </c>
      <c r="J2006" s="100">
        <v>0</v>
      </c>
      <c r="K2006" s="100">
        <v>0</v>
      </c>
      <c r="L2006" s="100" t="s">
        <v>115</v>
      </c>
      <c r="M2006" s="102"/>
      <c r="N2006" s="100"/>
      <c r="O2006" s="100" t="s">
        <v>115</v>
      </c>
      <c r="P2006" s="101"/>
      <c r="Q2006" s="100">
        <v>105</v>
      </c>
      <c r="R2006" s="100" t="s">
        <v>115</v>
      </c>
      <c r="S2006" s="100"/>
      <c r="T2006" s="100"/>
      <c r="U2006" s="100"/>
      <c r="V2006" s="100"/>
      <c r="W2006" s="100"/>
      <c r="X2006" s="100">
        <v>90190219</v>
      </c>
      <c r="Y2006" s="100" t="s">
        <v>115</v>
      </c>
      <c r="Z2006" s="100" t="s">
        <v>115</v>
      </c>
      <c r="AA2006" s="100" t="s">
        <v>115</v>
      </c>
      <c r="AB2006" s="100" t="s">
        <v>115</v>
      </c>
      <c r="AC2006" s="100" t="s">
        <v>115</v>
      </c>
      <c r="AD2006" s="100"/>
      <c r="AE2006" s="100"/>
      <c r="AF2006" s="100"/>
      <c r="AG2006" s="100"/>
      <c r="AH2006" s="100"/>
      <c r="AI2006" s="100">
        <v>500</v>
      </c>
      <c r="AJ2006" s="100"/>
      <c r="AK2006" s="100"/>
      <c r="AL2006" s="100"/>
      <c r="AM2006" s="100"/>
      <c r="AN2006" s="100"/>
      <c r="AO2006" s="100"/>
      <c r="AP2006" s="89" t="s">
        <v>115</v>
      </c>
    </row>
    <row r="2007" spans="1:42" s="89" customFormat="1" x14ac:dyDescent="0.15">
      <c r="A2007" s="100" t="s">
        <v>1</v>
      </c>
      <c r="B2007" s="101">
        <v>90190219</v>
      </c>
      <c r="C2007" s="101">
        <v>1902</v>
      </c>
      <c r="D2007" s="101">
        <v>19</v>
      </c>
      <c r="E2007" s="101"/>
      <c r="F2007" s="101" t="s">
        <v>4334</v>
      </c>
      <c r="G2007" s="101" t="s">
        <v>115</v>
      </c>
      <c r="H2007" s="101" t="s">
        <v>4335</v>
      </c>
      <c r="I2007" s="101">
        <v>1</v>
      </c>
      <c r="J2007" s="100">
        <v>0</v>
      </c>
      <c r="K2007" s="100">
        <v>0</v>
      </c>
      <c r="L2007" s="100" t="s">
        <v>115</v>
      </c>
      <c r="M2007" s="102"/>
      <c r="N2007" s="100"/>
      <c r="O2007" s="100" t="s">
        <v>115</v>
      </c>
      <c r="P2007" s="101"/>
      <c r="Q2007" s="100">
        <v>105</v>
      </c>
      <c r="R2007" s="100" t="s">
        <v>115</v>
      </c>
      <c r="S2007" s="100"/>
      <c r="T2007" s="100"/>
      <c r="U2007" s="100"/>
      <c r="V2007" s="100"/>
      <c r="W2007" s="100"/>
      <c r="X2007" s="100">
        <v>90190220</v>
      </c>
      <c r="Y2007" s="100" t="s">
        <v>115</v>
      </c>
      <c r="Z2007" s="100" t="s">
        <v>115</v>
      </c>
      <c r="AA2007" s="100" t="s">
        <v>115</v>
      </c>
      <c r="AB2007" s="100" t="s">
        <v>115</v>
      </c>
      <c r="AC2007" s="100" t="s">
        <v>115</v>
      </c>
      <c r="AD2007" s="100"/>
      <c r="AE2007" s="100"/>
      <c r="AF2007" s="100"/>
      <c r="AG2007" s="100"/>
      <c r="AH2007" s="100"/>
      <c r="AI2007" s="100">
        <v>500</v>
      </c>
      <c r="AJ2007" s="100"/>
      <c r="AK2007" s="100"/>
      <c r="AL2007" s="100"/>
      <c r="AM2007" s="100"/>
      <c r="AN2007" s="100"/>
      <c r="AO2007" s="100"/>
      <c r="AP2007" s="89" t="s">
        <v>115</v>
      </c>
    </row>
    <row r="2008" spans="1:42" s="89" customFormat="1" x14ac:dyDescent="0.15">
      <c r="A2008" s="100" t="s">
        <v>1</v>
      </c>
      <c r="B2008" s="101">
        <v>90190220</v>
      </c>
      <c r="C2008" s="101">
        <v>1902</v>
      </c>
      <c r="D2008" s="101">
        <v>19</v>
      </c>
      <c r="E2008" s="101"/>
      <c r="F2008" s="101" t="s">
        <v>115</v>
      </c>
      <c r="G2008" s="101" t="s">
        <v>115</v>
      </c>
      <c r="H2008" s="101" t="s">
        <v>4336</v>
      </c>
      <c r="I2008" s="101">
        <v>4</v>
      </c>
      <c r="J2008" s="100">
        <v>0</v>
      </c>
      <c r="K2008" s="100">
        <v>0</v>
      </c>
      <c r="L2008" s="100" t="s">
        <v>115</v>
      </c>
      <c r="M2008" s="102"/>
      <c r="N2008" s="100"/>
      <c r="O2008" s="100" t="s">
        <v>115</v>
      </c>
      <c r="P2008" s="101"/>
      <c r="Q2008" s="100">
        <v>105</v>
      </c>
      <c r="R2008" s="100" t="s">
        <v>115</v>
      </c>
      <c r="S2008" s="100"/>
      <c r="T2008" s="100"/>
      <c r="U2008" s="100"/>
      <c r="V2008" s="100"/>
      <c r="W2008" s="100"/>
      <c r="X2008" s="100">
        <v>90190221</v>
      </c>
      <c r="Y2008" s="100" t="s">
        <v>115</v>
      </c>
      <c r="Z2008" s="100" t="s">
        <v>115</v>
      </c>
      <c r="AA2008" s="100" t="s">
        <v>115</v>
      </c>
      <c r="AB2008" s="100" t="s">
        <v>115</v>
      </c>
      <c r="AC2008" s="100" t="s">
        <v>115</v>
      </c>
      <c r="AD2008" s="100"/>
      <c r="AE2008" s="100"/>
      <c r="AF2008" s="100"/>
      <c r="AG2008" s="100"/>
      <c r="AH2008" s="100"/>
      <c r="AI2008" s="100">
        <v>500</v>
      </c>
      <c r="AJ2008" s="100"/>
      <c r="AK2008" s="100"/>
      <c r="AL2008" s="100"/>
      <c r="AM2008" s="100"/>
      <c r="AN2008" s="100"/>
      <c r="AO2008" s="100"/>
      <c r="AP2008" s="89" t="s">
        <v>115</v>
      </c>
    </row>
    <row r="2009" spans="1:42" s="89" customFormat="1" x14ac:dyDescent="0.15">
      <c r="A2009" s="100" t="s">
        <v>1</v>
      </c>
      <c r="B2009" s="101">
        <v>90190221</v>
      </c>
      <c r="C2009" s="101">
        <v>1902</v>
      </c>
      <c r="D2009" s="101">
        <v>19</v>
      </c>
      <c r="E2009" s="101"/>
      <c r="F2009" s="101" t="s">
        <v>116</v>
      </c>
      <c r="G2009" s="101">
        <v>317</v>
      </c>
      <c r="H2009" s="101" t="s">
        <v>4337</v>
      </c>
      <c r="I2009" s="101">
        <v>0</v>
      </c>
      <c r="J2009" s="100">
        <v>0</v>
      </c>
      <c r="K2009" s="100">
        <v>0</v>
      </c>
      <c r="L2009" s="100" t="s">
        <v>115</v>
      </c>
      <c r="M2009" s="102"/>
      <c r="N2009" s="100"/>
      <c r="O2009" s="100" t="s">
        <v>115</v>
      </c>
      <c r="P2009" s="101"/>
      <c r="Q2009" s="100">
        <v>105</v>
      </c>
      <c r="R2009" s="100" t="s">
        <v>115</v>
      </c>
      <c r="S2009" s="100"/>
      <c r="T2009" s="100"/>
      <c r="U2009" s="100"/>
      <c r="V2009" s="100"/>
      <c r="W2009" s="100"/>
      <c r="X2009" s="100">
        <v>90190222</v>
      </c>
      <c r="Y2009" s="100" t="s">
        <v>115</v>
      </c>
      <c r="Z2009" s="100" t="s">
        <v>115</v>
      </c>
      <c r="AA2009" s="100" t="s">
        <v>115</v>
      </c>
      <c r="AB2009" s="100" t="s">
        <v>115</v>
      </c>
      <c r="AC2009" s="100" t="s">
        <v>115</v>
      </c>
      <c r="AD2009" s="100"/>
      <c r="AE2009" s="100"/>
      <c r="AF2009" s="100"/>
      <c r="AG2009" s="100"/>
      <c r="AH2009" s="100"/>
      <c r="AI2009" s="100">
        <v>500</v>
      </c>
      <c r="AJ2009" s="100"/>
      <c r="AK2009" s="100"/>
      <c r="AL2009" s="100"/>
      <c r="AM2009" s="100"/>
      <c r="AN2009" s="100"/>
      <c r="AO2009" s="100"/>
      <c r="AP2009" s="89" t="s">
        <v>115</v>
      </c>
    </row>
    <row r="2010" spans="1:42" s="89" customFormat="1" x14ac:dyDescent="0.15">
      <c r="A2010" s="100" t="s">
        <v>1</v>
      </c>
      <c r="B2010" s="101">
        <v>90190222</v>
      </c>
      <c r="C2010" s="101">
        <v>1902</v>
      </c>
      <c r="D2010" s="101">
        <v>19</v>
      </c>
      <c r="E2010" s="101"/>
      <c r="F2010" s="101" t="s">
        <v>116</v>
      </c>
      <c r="G2010" s="101">
        <v>362</v>
      </c>
      <c r="H2010" s="101" t="s">
        <v>4338</v>
      </c>
      <c r="I2010" s="101">
        <v>0</v>
      </c>
      <c r="J2010" s="100">
        <v>0</v>
      </c>
      <c r="K2010" s="100">
        <v>0</v>
      </c>
      <c r="L2010" s="100" t="s">
        <v>115</v>
      </c>
      <c r="M2010" s="102"/>
      <c r="N2010" s="100"/>
      <c r="O2010" s="100" t="s">
        <v>115</v>
      </c>
      <c r="P2010" s="101"/>
      <c r="Q2010" s="100">
        <v>105</v>
      </c>
      <c r="R2010" s="100" t="s">
        <v>115</v>
      </c>
      <c r="S2010" s="100"/>
      <c r="T2010" s="100"/>
      <c r="U2010" s="100"/>
      <c r="V2010" s="100"/>
      <c r="W2010" s="100"/>
      <c r="X2010" s="100">
        <v>90190223</v>
      </c>
      <c r="Y2010" s="100" t="s">
        <v>115</v>
      </c>
      <c r="Z2010" s="100" t="s">
        <v>115</v>
      </c>
      <c r="AA2010" s="100" t="s">
        <v>115</v>
      </c>
      <c r="AB2010" s="100" t="s">
        <v>115</v>
      </c>
      <c r="AC2010" s="100" t="s">
        <v>115</v>
      </c>
      <c r="AD2010" s="100"/>
      <c r="AE2010" s="100"/>
      <c r="AF2010" s="100"/>
      <c r="AG2010" s="100"/>
      <c r="AH2010" s="100"/>
      <c r="AI2010" s="100">
        <v>500</v>
      </c>
      <c r="AJ2010" s="100"/>
      <c r="AK2010" s="100"/>
      <c r="AL2010" s="100"/>
      <c r="AM2010" s="100"/>
      <c r="AN2010" s="100"/>
      <c r="AO2010" s="100"/>
      <c r="AP2010" s="89" t="s">
        <v>115</v>
      </c>
    </row>
    <row r="2011" spans="1:42" s="89" customFormat="1" x14ac:dyDescent="0.15">
      <c r="A2011" s="100" t="s">
        <v>1</v>
      </c>
      <c r="B2011" s="101">
        <v>90190223</v>
      </c>
      <c r="C2011" s="101">
        <v>1902</v>
      </c>
      <c r="D2011" s="101">
        <v>19</v>
      </c>
      <c r="E2011" s="101"/>
      <c r="F2011" s="101" t="s">
        <v>116</v>
      </c>
      <c r="G2011" s="101">
        <v>317</v>
      </c>
      <c r="H2011" s="101" t="s">
        <v>4339</v>
      </c>
      <c r="I2011" s="101">
        <v>2</v>
      </c>
      <c r="J2011" s="100">
        <v>0</v>
      </c>
      <c r="K2011" s="100">
        <v>0</v>
      </c>
      <c r="L2011" s="100" t="s">
        <v>115</v>
      </c>
      <c r="M2011" s="102"/>
      <c r="N2011" s="100"/>
      <c r="O2011" s="100" t="s">
        <v>115</v>
      </c>
      <c r="P2011" s="101"/>
      <c r="Q2011" s="100">
        <v>105</v>
      </c>
      <c r="R2011" s="100" t="s">
        <v>115</v>
      </c>
      <c r="S2011" s="100"/>
      <c r="T2011" s="100"/>
      <c r="U2011" s="100"/>
      <c r="V2011" s="100"/>
      <c r="W2011" s="100"/>
      <c r="X2011" s="100">
        <v>90190224</v>
      </c>
      <c r="Y2011" s="100" t="s">
        <v>115</v>
      </c>
      <c r="Z2011" s="100" t="s">
        <v>115</v>
      </c>
      <c r="AA2011" s="100" t="s">
        <v>115</v>
      </c>
      <c r="AB2011" s="100" t="s">
        <v>115</v>
      </c>
      <c r="AC2011" s="100" t="s">
        <v>115</v>
      </c>
      <c r="AD2011" s="100"/>
      <c r="AE2011" s="100"/>
      <c r="AF2011" s="100"/>
      <c r="AG2011" s="100"/>
      <c r="AH2011" s="100"/>
      <c r="AI2011" s="100">
        <v>500</v>
      </c>
      <c r="AJ2011" s="100"/>
      <c r="AK2011" s="100"/>
      <c r="AL2011" s="100"/>
      <c r="AM2011" s="100"/>
      <c r="AN2011" s="100"/>
      <c r="AO2011" s="100"/>
      <c r="AP2011" s="89" t="s">
        <v>115</v>
      </c>
    </row>
    <row r="2012" spans="1:42" s="89" customFormat="1" x14ac:dyDescent="0.15">
      <c r="A2012" s="100" t="s">
        <v>1</v>
      </c>
      <c r="B2012" s="101">
        <v>90190224</v>
      </c>
      <c r="C2012" s="101">
        <v>1902</v>
      </c>
      <c r="D2012" s="101">
        <v>19</v>
      </c>
      <c r="E2012" s="101"/>
      <c r="F2012" s="101" t="s">
        <v>115</v>
      </c>
      <c r="G2012" s="101" t="s">
        <v>115</v>
      </c>
      <c r="H2012" s="101" t="s">
        <v>4340</v>
      </c>
      <c r="I2012" s="101">
        <v>4</v>
      </c>
      <c r="J2012" s="100">
        <v>0</v>
      </c>
      <c r="K2012" s="100">
        <v>0</v>
      </c>
      <c r="L2012" s="100" t="s">
        <v>115</v>
      </c>
      <c r="M2012" s="102"/>
      <c r="N2012" s="100"/>
      <c r="O2012" s="100" t="s">
        <v>115</v>
      </c>
      <c r="P2012" s="101"/>
      <c r="Q2012" s="100">
        <v>105</v>
      </c>
      <c r="R2012" s="100" t="s">
        <v>115</v>
      </c>
      <c r="S2012" s="100"/>
      <c r="T2012" s="100"/>
      <c r="U2012" s="100"/>
      <c r="V2012" s="100"/>
      <c r="W2012" s="100"/>
      <c r="X2012" s="100">
        <v>90190225</v>
      </c>
      <c r="Y2012" s="100" t="s">
        <v>115</v>
      </c>
      <c r="Z2012" s="100" t="s">
        <v>115</v>
      </c>
      <c r="AA2012" s="100" t="s">
        <v>115</v>
      </c>
      <c r="AB2012" s="100" t="s">
        <v>115</v>
      </c>
      <c r="AC2012" s="100" t="s">
        <v>115</v>
      </c>
      <c r="AD2012" s="100"/>
      <c r="AE2012" s="100"/>
      <c r="AF2012" s="100"/>
      <c r="AG2012" s="100"/>
      <c r="AH2012" s="100"/>
      <c r="AI2012" s="100">
        <v>500</v>
      </c>
      <c r="AJ2012" s="100"/>
      <c r="AK2012" s="100"/>
      <c r="AL2012" s="100"/>
      <c r="AM2012" s="100"/>
      <c r="AN2012" s="100"/>
      <c r="AO2012" s="100"/>
      <c r="AP2012" s="89" t="s">
        <v>115</v>
      </c>
    </row>
    <row r="2013" spans="1:42" s="89" customFormat="1" x14ac:dyDescent="0.15">
      <c r="A2013" s="100" t="s">
        <v>1</v>
      </c>
      <c r="B2013" s="101">
        <v>90190225</v>
      </c>
      <c r="C2013" s="101">
        <v>1902</v>
      </c>
      <c r="D2013" s="101">
        <v>19</v>
      </c>
      <c r="E2013" s="101"/>
      <c r="F2013" s="101" t="s">
        <v>116</v>
      </c>
      <c r="G2013" s="101">
        <v>362</v>
      </c>
      <c r="H2013" s="101" t="s">
        <v>4341</v>
      </c>
      <c r="I2013" s="101">
        <v>2</v>
      </c>
      <c r="J2013" s="100">
        <v>0</v>
      </c>
      <c r="K2013" s="100">
        <v>0</v>
      </c>
      <c r="L2013" s="100" t="s">
        <v>115</v>
      </c>
      <c r="M2013" s="102"/>
      <c r="N2013" s="100"/>
      <c r="O2013" s="100" t="s">
        <v>115</v>
      </c>
      <c r="P2013" s="101"/>
      <c r="Q2013" s="100">
        <v>105</v>
      </c>
      <c r="R2013" s="100" t="s">
        <v>115</v>
      </c>
      <c r="S2013" s="100"/>
      <c r="T2013" s="100"/>
      <c r="U2013" s="100"/>
      <c r="V2013" s="100"/>
      <c r="W2013" s="100"/>
      <c r="X2013" s="100">
        <v>90190226</v>
      </c>
      <c r="Y2013" s="100" t="s">
        <v>115</v>
      </c>
      <c r="Z2013" s="100" t="s">
        <v>115</v>
      </c>
      <c r="AA2013" s="100" t="s">
        <v>115</v>
      </c>
      <c r="AB2013" s="100" t="s">
        <v>115</v>
      </c>
      <c r="AC2013" s="100" t="s">
        <v>115</v>
      </c>
      <c r="AD2013" s="100"/>
      <c r="AE2013" s="100"/>
      <c r="AF2013" s="100"/>
      <c r="AG2013" s="100"/>
      <c r="AH2013" s="100"/>
      <c r="AI2013" s="100">
        <v>500</v>
      </c>
      <c r="AJ2013" s="100"/>
      <c r="AK2013" s="100"/>
      <c r="AL2013" s="100"/>
      <c r="AM2013" s="100"/>
      <c r="AN2013" s="100"/>
      <c r="AO2013" s="100"/>
      <c r="AP2013" s="89" t="s">
        <v>115</v>
      </c>
    </row>
    <row r="2014" spans="1:42" s="89" customFormat="1" x14ac:dyDescent="0.15">
      <c r="A2014" s="100" t="s">
        <v>1</v>
      </c>
      <c r="B2014" s="101">
        <v>90190226</v>
      </c>
      <c r="C2014" s="101">
        <v>1902</v>
      </c>
      <c r="D2014" s="101">
        <v>19</v>
      </c>
      <c r="E2014" s="101"/>
      <c r="F2014" s="101" t="s">
        <v>4334</v>
      </c>
      <c r="G2014" s="101" t="s">
        <v>115</v>
      </c>
      <c r="H2014" s="101" t="s">
        <v>4342</v>
      </c>
      <c r="I2014" s="101">
        <v>1</v>
      </c>
      <c r="J2014" s="100">
        <v>0</v>
      </c>
      <c r="K2014" s="100">
        <v>0</v>
      </c>
      <c r="L2014" s="100" t="s">
        <v>115</v>
      </c>
      <c r="M2014" s="102"/>
      <c r="N2014" s="100"/>
      <c r="O2014" s="100" t="s">
        <v>115</v>
      </c>
      <c r="P2014" s="101"/>
      <c r="Q2014" s="100">
        <v>105</v>
      </c>
      <c r="R2014" s="100" t="s">
        <v>115</v>
      </c>
      <c r="S2014" s="100"/>
      <c r="T2014" s="100"/>
      <c r="U2014" s="100"/>
      <c r="V2014" s="100"/>
      <c r="W2014" s="100"/>
      <c r="X2014" s="100">
        <v>90190227</v>
      </c>
      <c r="Y2014" s="100" t="s">
        <v>115</v>
      </c>
      <c r="Z2014" s="100" t="s">
        <v>115</v>
      </c>
      <c r="AA2014" s="100" t="s">
        <v>115</v>
      </c>
      <c r="AB2014" s="100" t="s">
        <v>115</v>
      </c>
      <c r="AC2014" s="100" t="s">
        <v>115</v>
      </c>
      <c r="AD2014" s="100"/>
      <c r="AE2014" s="100"/>
      <c r="AF2014" s="100"/>
      <c r="AG2014" s="100"/>
      <c r="AH2014" s="100"/>
      <c r="AI2014" s="100">
        <v>500</v>
      </c>
      <c r="AJ2014" s="100"/>
      <c r="AK2014" s="100"/>
      <c r="AL2014" s="100"/>
      <c r="AM2014" s="100"/>
      <c r="AN2014" s="100"/>
      <c r="AO2014" s="100"/>
      <c r="AP2014" s="89" t="s">
        <v>115</v>
      </c>
    </row>
    <row r="2015" spans="1:42" s="89" customFormat="1" x14ac:dyDescent="0.15">
      <c r="A2015" s="100" t="s">
        <v>1</v>
      </c>
      <c r="B2015" s="101">
        <v>90190227</v>
      </c>
      <c r="C2015" s="101">
        <v>1902</v>
      </c>
      <c r="D2015" s="101">
        <v>19</v>
      </c>
      <c r="E2015" s="101"/>
      <c r="F2015" s="101" t="s">
        <v>4334</v>
      </c>
      <c r="G2015" s="101" t="s">
        <v>115</v>
      </c>
      <c r="H2015" s="101" t="s">
        <v>4343</v>
      </c>
      <c r="I2015" s="101">
        <v>1</v>
      </c>
      <c r="J2015" s="100">
        <v>0</v>
      </c>
      <c r="K2015" s="100">
        <v>0</v>
      </c>
      <c r="L2015" s="100" t="s">
        <v>115</v>
      </c>
      <c r="M2015" s="102"/>
      <c r="N2015" s="100"/>
      <c r="O2015" s="100" t="s">
        <v>115</v>
      </c>
      <c r="P2015" s="101"/>
      <c r="Q2015" s="100">
        <v>105</v>
      </c>
      <c r="R2015" s="100" t="s">
        <v>115</v>
      </c>
      <c r="S2015" s="100"/>
      <c r="T2015" s="100"/>
      <c r="U2015" s="100"/>
      <c r="V2015" s="100"/>
      <c r="W2015" s="100"/>
      <c r="X2015" s="100">
        <v>90190228</v>
      </c>
      <c r="Y2015" s="100" t="s">
        <v>115</v>
      </c>
      <c r="Z2015" s="100" t="s">
        <v>115</v>
      </c>
      <c r="AA2015" s="100" t="s">
        <v>115</v>
      </c>
      <c r="AB2015" s="100" t="s">
        <v>115</v>
      </c>
      <c r="AC2015" s="100" t="s">
        <v>115</v>
      </c>
      <c r="AD2015" s="100"/>
      <c r="AE2015" s="100"/>
      <c r="AF2015" s="100"/>
      <c r="AG2015" s="100"/>
      <c r="AH2015" s="100"/>
      <c r="AI2015" s="100">
        <v>500</v>
      </c>
      <c r="AJ2015" s="100"/>
      <c r="AK2015" s="100"/>
      <c r="AL2015" s="100"/>
      <c r="AM2015" s="100"/>
      <c r="AN2015" s="100"/>
      <c r="AO2015" s="100"/>
      <c r="AP2015" s="89" t="s">
        <v>115</v>
      </c>
    </row>
    <row r="2016" spans="1:42" s="89" customFormat="1" x14ac:dyDescent="0.15">
      <c r="A2016" s="100" t="s">
        <v>1</v>
      </c>
      <c r="B2016" s="101">
        <v>90190228</v>
      </c>
      <c r="C2016" s="101">
        <v>1902</v>
      </c>
      <c r="D2016" s="101">
        <v>19</v>
      </c>
      <c r="E2016" s="101"/>
      <c r="F2016" s="101" t="s">
        <v>115</v>
      </c>
      <c r="G2016" s="101" t="s">
        <v>115</v>
      </c>
      <c r="H2016" s="101" t="s">
        <v>4344</v>
      </c>
      <c r="I2016" s="101">
        <v>4</v>
      </c>
      <c r="J2016" s="100">
        <v>0</v>
      </c>
      <c r="K2016" s="100">
        <v>8</v>
      </c>
      <c r="L2016" s="100" t="s">
        <v>115</v>
      </c>
      <c r="M2016" s="102"/>
      <c r="N2016" s="100"/>
      <c r="O2016" s="100">
        <v>1</v>
      </c>
      <c r="P2016" s="101"/>
      <c r="Q2016" s="100">
        <v>105</v>
      </c>
      <c r="R2016" s="100" t="s">
        <v>115</v>
      </c>
      <c r="S2016" s="100"/>
      <c r="T2016" s="100"/>
      <c r="U2016" s="100"/>
      <c r="V2016" s="100"/>
      <c r="W2016" s="100"/>
      <c r="X2016" s="100" t="s">
        <v>115</v>
      </c>
      <c r="Y2016" s="100" t="s">
        <v>115</v>
      </c>
      <c r="Z2016" s="100">
        <v>7</v>
      </c>
      <c r="AA2016" s="100" t="s">
        <v>115</v>
      </c>
      <c r="AB2016" s="100" t="s">
        <v>115</v>
      </c>
      <c r="AC2016" s="100" t="s">
        <v>115</v>
      </c>
      <c r="AD2016" s="100"/>
      <c r="AE2016" s="100"/>
      <c r="AF2016" s="100"/>
      <c r="AG2016" s="100"/>
      <c r="AH2016" s="100"/>
      <c r="AI2016" s="100">
        <v>500</v>
      </c>
      <c r="AJ2016" s="100"/>
      <c r="AK2016" s="100"/>
      <c r="AL2016" s="100"/>
      <c r="AM2016" s="100"/>
      <c r="AN2016" s="100"/>
      <c r="AO2016" s="100"/>
      <c r="AP2016" s="89" t="s">
        <v>4345</v>
      </c>
    </row>
    <row r="2017" spans="1:42" s="89" customFormat="1" x14ac:dyDescent="0.15">
      <c r="A2017" s="100" t="s">
        <v>1</v>
      </c>
      <c r="B2017" s="101" t="s">
        <v>3973</v>
      </c>
      <c r="C2017" s="101">
        <v>1903</v>
      </c>
      <c r="D2017" s="101">
        <v>19</v>
      </c>
      <c r="E2017" s="101"/>
      <c r="F2017" s="101" t="s">
        <v>115</v>
      </c>
      <c r="G2017" s="101" t="s">
        <v>115</v>
      </c>
      <c r="H2017" s="101" t="s">
        <v>4346</v>
      </c>
      <c r="I2017" s="101">
        <v>4</v>
      </c>
      <c r="J2017" s="100">
        <v>1</v>
      </c>
      <c r="K2017" s="100">
        <v>1</v>
      </c>
      <c r="L2017" s="100" t="s">
        <v>115</v>
      </c>
      <c r="M2017" s="102"/>
      <c r="N2017" s="100"/>
      <c r="O2017" s="100" t="s">
        <v>115</v>
      </c>
      <c r="P2017" s="101"/>
      <c r="Q2017" s="100">
        <v>205</v>
      </c>
      <c r="R2017" s="100" t="s">
        <v>115</v>
      </c>
      <c r="S2017" s="100"/>
      <c r="T2017" s="100"/>
      <c r="U2017" s="100"/>
      <c r="V2017" s="100"/>
      <c r="W2017" s="100"/>
      <c r="X2017" s="100">
        <v>90190302</v>
      </c>
      <c r="Y2017" s="100" t="s">
        <v>115</v>
      </c>
      <c r="Z2017" s="100" t="s">
        <v>115</v>
      </c>
      <c r="AA2017" s="100" t="s">
        <v>115</v>
      </c>
      <c r="AB2017" s="100" t="s">
        <v>115</v>
      </c>
      <c r="AC2017" s="100" t="s">
        <v>115</v>
      </c>
      <c r="AD2017" s="100"/>
      <c r="AE2017" s="100"/>
      <c r="AF2017" s="100"/>
      <c r="AG2017" s="100"/>
      <c r="AH2017" s="100"/>
      <c r="AI2017" s="100">
        <v>500</v>
      </c>
      <c r="AJ2017" s="100"/>
      <c r="AK2017" s="100"/>
      <c r="AL2017" s="100"/>
      <c r="AM2017" s="100"/>
      <c r="AN2017" s="100"/>
      <c r="AO2017" s="100"/>
      <c r="AP2017" s="89" t="s">
        <v>115</v>
      </c>
    </row>
    <row r="2018" spans="1:42" s="89" customFormat="1" x14ac:dyDescent="0.15">
      <c r="A2018" s="100" t="s">
        <v>1</v>
      </c>
      <c r="B2018" s="101">
        <v>90190302</v>
      </c>
      <c r="C2018" s="101">
        <v>1903</v>
      </c>
      <c r="D2018" s="101">
        <v>19</v>
      </c>
      <c r="E2018" s="101"/>
      <c r="F2018" s="101" t="s">
        <v>115</v>
      </c>
      <c r="G2018" s="101" t="s">
        <v>115</v>
      </c>
      <c r="H2018" s="101" t="s">
        <v>4347</v>
      </c>
      <c r="I2018" s="101">
        <v>4</v>
      </c>
      <c r="J2018" s="100">
        <v>0</v>
      </c>
      <c r="K2018" s="100">
        <v>0</v>
      </c>
      <c r="L2018" s="100" t="s">
        <v>115</v>
      </c>
      <c r="M2018" s="102"/>
      <c r="N2018" s="100"/>
      <c r="O2018" s="100" t="s">
        <v>115</v>
      </c>
      <c r="P2018" s="101"/>
      <c r="Q2018" s="100">
        <v>205</v>
      </c>
      <c r="R2018" s="100" t="s">
        <v>115</v>
      </c>
      <c r="S2018" s="100"/>
      <c r="T2018" s="100"/>
      <c r="U2018" s="100"/>
      <c r="V2018" s="100"/>
      <c r="W2018" s="100"/>
      <c r="X2018" s="100">
        <v>90190303</v>
      </c>
      <c r="Y2018" s="100" t="s">
        <v>115</v>
      </c>
      <c r="Z2018" s="100" t="s">
        <v>115</v>
      </c>
      <c r="AA2018" s="100" t="s">
        <v>115</v>
      </c>
      <c r="AB2018" s="100" t="s">
        <v>115</v>
      </c>
      <c r="AC2018" s="100" t="s">
        <v>115</v>
      </c>
      <c r="AD2018" s="100"/>
      <c r="AE2018" s="100"/>
      <c r="AF2018" s="100"/>
      <c r="AG2018" s="100"/>
      <c r="AH2018" s="100"/>
      <c r="AI2018" s="100">
        <v>500</v>
      </c>
      <c r="AJ2018" s="100"/>
      <c r="AK2018" s="100"/>
      <c r="AL2018" s="100"/>
      <c r="AM2018" s="100"/>
      <c r="AN2018" s="100"/>
      <c r="AO2018" s="100"/>
      <c r="AP2018" s="89" t="s">
        <v>115</v>
      </c>
    </row>
    <row r="2019" spans="1:42" s="89" customFormat="1" x14ac:dyDescent="0.15">
      <c r="A2019" s="100" t="s">
        <v>1</v>
      </c>
      <c r="B2019" s="101">
        <v>90190303</v>
      </c>
      <c r="C2019" s="101">
        <v>1903</v>
      </c>
      <c r="D2019" s="101">
        <v>19</v>
      </c>
      <c r="E2019" s="101"/>
      <c r="F2019" s="101" t="s">
        <v>115</v>
      </c>
      <c r="G2019" s="101" t="s">
        <v>115</v>
      </c>
      <c r="H2019" s="101" t="s">
        <v>4348</v>
      </c>
      <c r="I2019" s="101">
        <v>4</v>
      </c>
      <c r="J2019" s="100">
        <v>0</v>
      </c>
      <c r="K2019" s="100">
        <v>0</v>
      </c>
      <c r="L2019" s="100" t="s">
        <v>115</v>
      </c>
      <c r="M2019" s="102"/>
      <c r="N2019" s="100"/>
      <c r="O2019" s="100" t="s">
        <v>115</v>
      </c>
      <c r="P2019" s="101"/>
      <c r="Q2019" s="100">
        <v>205</v>
      </c>
      <c r="R2019" s="100" t="s">
        <v>115</v>
      </c>
      <c r="S2019" s="100"/>
      <c r="T2019" s="100"/>
      <c r="U2019" s="100"/>
      <c r="V2019" s="100"/>
      <c r="W2019" s="100"/>
      <c r="X2019" s="100">
        <v>90190304</v>
      </c>
      <c r="Y2019" s="100" t="s">
        <v>115</v>
      </c>
      <c r="Z2019" s="100" t="s">
        <v>115</v>
      </c>
      <c r="AA2019" s="100" t="s">
        <v>115</v>
      </c>
      <c r="AB2019" s="100" t="s">
        <v>115</v>
      </c>
      <c r="AC2019" s="100" t="s">
        <v>115</v>
      </c>
      <c r="AD2019" s="100"/>
      <c r="AE2019" s="100"/>
      <c r="AF2019" s="100"/>
      <c r="AG2019" s="100"/>
      <c r="AH2019" s="100"/>
      <c r="AI2019" s="100">
        <v>500</v>
      </c>
      <c r="AJ2019" s="100"/>
      <c r="AK2019" s="100"/>
      <c r="AL2019" s="100"/>
      <c r="AM2019" s="100"/>
      <c r="AN2019" s="100"/>
      <c r="AO2019" s="100"/>
      <c r="AP2019" s="89" t="s">
        <v>115</v>
      </c>
    </row>
    <row r="2020" spans="1:42" s="89" customFormat="1" x14ac:dyDescent="0.15">
      <c r="A2020" s="100" t="s">
        <v>1</v>
      </c>
      <c r="B2020" s="101">
        <v>90190304</v>
      </c>
      <c r="C2020" s="101">
        <v>1903</v>
      </c>
      <c r="D2020" s="101">
        <v>19</v>
      </c>
      <c r="E2020" s="101"/>
      <c r="F2020" s="101" t="s">
        <v>116</v>
      </c>
      <c r="G2020" s="101">
        <v>362</v>
      </c>
      <c r="H2020" s="101" t="s">
        <v>4349</v>
      </c>
      <c r="I2020" s="101">
        <v>2</v>
      </c>
      <c r="J2020" s="100">
        <v>0</v>
      </c>
      <c r="K2020" s="100">
        <v>2</v>
      </c>
      <c r="L2020" s="100" t="s">
        <v>115</v>
      </c>
      <c r="M2020" s="102"/>
      <c r="N2020" s="100"/>
      <c r="O2020" s="100" t="s">
        <v>115</v>
      </c>
      <c r="P2020" s="101"/>
      <c r="Q2020" s="100">
        <v>205</v>
      </c>
      <c r="R2020" s="100" t="s">
        <v>115</v>
      </c>
      <c r="S2020" s="100"/>
      <c r="T2020" s="100"/>
      <c r="U2020" s="100"/>
      <c r="V2020" s="100"/>
      <c r="W2020" s="100"/>
      <c r="X2020" s="100" t="s">
        <v>4350</v>
      </c>
      <c r="Y2020" s="100">
        <v>1</v>
      </c>
      <c r="Z2020" s="100">
        <v>1</v>
      </c>
      <c r="AA2020" s="100" t="s">
        <v>115</v>
      </c>
      <c r="AB2020" s="100" t="s">
        <v>115</v>
      </c>
      <c r="AC2020" s="100" t="s">
        <v>115</v>
      </c>
      <c r="AD2020" s="100"/>
      <c r="AE2020" s="100"/>
      <c r="AF2020" s="100"/>
      <c r="AG2020" s="100"/>
      <c r="AH2020" s="100"/>
      <c r="AI2020" s="100" t="s">
        <v>115</v>
      </c>
      <c r="AJ2020" s="100"/>
      <c r="AK2020" s="100"/>
      <c r="AL2020" s="100"/>
      <c r="AM2020" s="100"/>
      <c r="AN2020" s="100"/>
      <c r="AO2020" s="100"/>
      <c r="AP2020" s="89" t="s">
        <v>115</v>
      </c>
    </row>
    <row r="2021" spans="1:42" s="89" customFormat="1" x14ac:dyDescent="0.15">
      <c r="A2021" s="100" t="s">
        <v>1</v>
      </c>
      <c r="B2021" s="101">
        <v>90190305</v>
      </c>
      <c r="C2021" s="101">
        <v>1903</v>
      </c>
      <c r="D2021" s="101">
        <v>19</v>
      </c>
      <c r="E2021" s="101"/>
      <c r="F2021" s="101" t="s">
        <v>115</v>
      </c>
      <c r="G2021" s="101" t="s">
        <v>115</v>
      </c>
      <c r="H2021" s="101" t="s">
        <v>4351</v>
      </c>
      <c r="I2021" s="101">
        <v>4</v>
      </c>
      <c r="J2021" s="100">
        <v>0</v>
      </c>
      <c r="K2021" s="100">
        <v>3</v>
      </c>
      <c r="L2021" s="100" t="s">
        <v>115</v>
      </c>
      <c r="M2021" s="102"/>
      <c r="N2021" s="100"/>
      <c r="O2021" s="100" t="s">
        <v>115</v>
      </c>
      <c r="P2021" s="101"/>
      <c r="Q2021" s="100">
        <v>205</v>
      </c>
      <c r="R2021" s="100" t="s">
        <v>115</v>
      </c>
      <c r="S2021" s="100"/>
      <c r="T2021" s="100"/>
      <c r="U2021" s="100"/>
      <c r="V2021" s="100"/>
      <c r="W2021" s="100"/>
      <c r="X2021" s="100">
        <v>90190306</v>
      </c>
      <c r="Y2021" s="100">
        <v>-1</v>
      </c>
      <c r="Z2021" s="100">
        <v>2</v>
      </c>
      <c r="AA2021" s="100" t="s">
        <v>115</v>
      </c>
      <c r="AB2021" s="100" t="s">
        <v>115</v>
      </c>
      <c r="AC2021" s="100" t="s">
        <v>4352</v>
      </c>
      <c r="AD2021" s="100"/>
      <c r="AE2021" s="100"/>
      <c r="AF2021" s="100"/>
      <c r="AG2021" s="100"/>
      <c r="AH2021" s="100"/>
      <c r="AI2021" s="100" t="s">
        <v>115</v>
      </c>
      <c r="AJ2021" s="100"/>
      <c r="AK2021" s="100"/>
      <c r="AL2021" s="100"/>
      <c r="AM2021" s="100"/>
      <c r="AN2021" s="100"/>
      <c r="AO2021" s="100"/>
      <c r="AP2021" s="89" t="s">
        <v>115</v>
      </c>
    </row>
    <row r="2022" spans="1:42" s="89" customFormat="1" x14ac:dyDescent="0.15">
      <c r="A2022" s="100" t="s">
        <v>1</v>
      </c>
      <c r="B2022" s="101">
        <v>90190306</v>
      </c>
      <c r="C2022" s="101">
        <v>1903</v>
      </c>
      <c r="D2022" s="101">
        <v>19</v>
      </c>
      <c r="E2022" s="101"/>
      <c r="F2022" s="101" t="s">
        <v>115</v>
      </c>
      <c r="G2022" s="101" t="s">
        <v>115</v>
      </c>
      <c r="H2022" s="101" t="s">
        <v>4353</v>
      </c>
      <c r="I2022" s="101">
        <v>4</v>
      </c>
      <c r="J2022" s="100">
        <v>0</v>
      </c>
      <c r="K2022" s="100">
        <v>0</v>
      </c>
      <c r="L2022" s="100" t="s">
        <v>115</v>
      </c>
      <c r="M2022" s="102"/>
      <c r="N2022" s="100"/>
      <c r="O2022" s="100" t="s">
        <v>115</v>
      </c>
      <c r="P2022" s="101"/>
      <c r="Q2022" s="100">
        <v>205</v>
      </c>
      <c r="R2022" s="100" t="s">
        <v>115</v>
      </c>
      <c r="S2022" s="100"/>
      <c r="T2022" s="100"/>
      <c r="U2022" s="100"/>
      <c r="V2022" s="100"/>
      <c r="W2022" s="100"/>
      <c r="X2022" s="100">
        <v>90190307</v>
      </c>
      <c r="Y2022" s="100" t="s">
        <v>115</v>
      </c>
      <c r="Z2022" s="100" t="s">
        <v>115</v>
      </c>
      <c r="AA2022" s="100" t="s">
        <v>115</v>
      </c>
      <c r="AB2022" s="100" t="s">
        <v>115</v>
      </c>
      <c r="AC2022" s="100" t="s">
        <v>115</v>
      </c>
      <c r="AD2022" s="100"/>
      <c r="AE2022" s="100"/>
      <c r="AF2022" s="100"/>
      <c r="AG2022" s="100"/>
      <c r="AH2022" s="100"/>
      <c r="AI2022" s="100" t="s">
        <v>115</v>
      </c>
      <c r="AJ2022" s="100"/>
      <c r="AK2022" s="100"/>
      <c r="AL2022" s="100"/>
      <c r="AM2022" s="100"/>
      <c r="AN2022" s="100"/>
      <c r="AO2022" s="100"/>
      <c r="AP2022" s="89" t="s">
        <v>115</v>
      </c>
    </row>
    <row r="2023" spans="1:42" s="89" customFormat="1" x14ac:dyDescent="0.15">
      <c r="A2023" s="100" t="s">
        <v>1</v>
      </c>
      <c r="B2023" s="101">
        <v>90190307</v>
      </c>
      <c r="C2023" s="101">
        <v>1903</v>
      </c>
      <c r="D2023" s="101">
        <v>19</v>
      </c>
      <c r="E2023" s="101"/>
      <c r="F2023" s="101" t="s">
        <v>116</v>
      </c>
      <c r="G2023" s="101">
        <v>312</v>
      </c>
      <c r="H2023" s="101" t="s">
        <v>4354</v>
      </c>
      <c r="I2023" s="101">
        <v>0</v>
      </c>
      <c r="J2023" s="100">
        <v>0</v>
      </c>
      <c r="K2023" s="100">
        <v>0</v>
      </c>
      <c r="L2023" s="100" t="s">
        <v>115</v>
      </c>
      <c r="M2023" s="102"/>
      <c r="N2023" s="100"/>
      <c r="O2023" s="100" t="s">
        <v>115</v>
      </c>
      <c r="P2023" s="101"/>
      <c r="Q2023" s="100">
        <v>205</v>
      </c>
      <c r="R2023" s="100" t="s">
        <v>115</v>
      </c>
      <c r="S2023" s="100"/>
      <c r="T2023" s="100"/>
      <c r="U2023" s="100"/>
      <c r="V2023" s="100"/>
      <c r="W2023" s="100"/>
      <c r="X2023" s="100">
        <v>90190308</v>
      </c>
      <c r="Y2023" s="100" t="s">
        <v>115</v>
      </c>
      <c r="Z2023" s="100" t="s">
        <v>115</v>
      </c>
      <c r="AA2023" s="100" t="s">
        <v>115</v>
      </c>
      <c r="AB2023" s="100" t="s">
        <v>115</v>
      </c>
      <c r="AC2023" s="100" t="s">
        <v>115</v>
      </c>
      <c r="AD2023" s="100"/>
      <c r="AE2023" s="100"/>
      <c r="AF2023" s="100"/>
      <c r="AG2023" s="100"/>
      <c r="AH2023" s="100"/>
      <c r="AI2023" s="100" t="s">
        <v>115</v>
      </c>
      <c r="AJ2023" s="100"/>
      <c r="AK2023" s="100"/>
      <c r="AL2023" s="100"/>
      <c r="AM2023" s="100"/>
      <c r="AN2023" s="100"/>
      <c r="AO2023" s="100"/>
      <c r="AP2023" s="89" t="s">
        <v>115</v>
      </c>
    </row>
    <row r="2024" spans="1:42" s="89" customFormat="1" x14ac:dyDescent="0.15">
      <c r="A2024" s="100" t="s">
        <v>1</v>
      </c>
      <c r="B2024" s="101">
        <v>90190308</v>
      </c>
      <c r="C2024" s="101">
        <v>1903</v>
      </c>
      <c r="D2024" s="101">
        <v>19</v>
      </c>
      <c r="E2024" s="101"/>
      <c r="F2024" s="101" t="s">
        <v>115</v>
      </c>
      <c r="G2024" s="101" t="s">
        <v>115</v>
      </c>
      <c r="H2024" s="101" t="s">
        <v>4355</v>
      </c>
      <c r="I2024" s="101">
        <v>4</v>
      </c>
      <c r="J2024" s="100">
        <v>0</v>
      </c>
      <c r="K2024" s="100">
        <v>0</v>
      </c>
      <c r="L2024" s="100" t="s">
        <v>115</v>
      </c>
      <c r="M2024" s="102"/>
      <c r="N2024" s="100"/>
      <c r="O2024" s="100" t="s">
        <v>115</v>
      </c>
      <c r="P2024" s="101"/>
      <c r="Q2024" s="100">
        <v>205</v>
      </c>
      <c r="R2024" s="100">
        <v>298</v>
      </c>
      <c r="S2024" s="100"/>
      <c r="T2024" s="100"/>
      <c r="U2024" s="100"/>
      <c r="V2024" s="100"/>
      <c r="W2024" s="100"/>
      <c r="X2024" s="100">
        <v>90190309</v>
      </c>
      <c r="Y2024" s="100" t="s">
        <v>115</v>
      </c>
      <c r="Z2024" s="100" t="s">
        <v>115</v>
      </c>
      <c r="AA2024" s="100" t="s">
        <v>115</v>
      </c>
      <c r="AB2024" s="100" t="s">
        <v>115</v>
      </c>
      <c r="AC2024" s="100" t="s">
        <v>115</v>
      </c>
      <c r="AD2024" s="100"/>
      <c r="AE2024" s="100"/>
      <c r="AF2024" s="100"/>
      <c r="AG2024" s="100"/>
      <c r="AH2024" s="100"/>
      <c r="AI2024" s="100" t="s">
        <v>115</v>
      </c>
      <c r="AJ2024" s="100"/>
      <c r="AK2024" s="100"/>
      <c r="AL2024" s="100"/>
      <c r="AM2024" s="100"/>
      <c r="AN2024" s="100"/>
      <c r="AO2024" s="100"/>
      <c r="AP2024" s="89" t="s">
        <v>115</v>
      </c>
    </row>
    <row r="2025" spans="1:42" s="89" customFormat="1" x14ac:dyDescent="0.15">
      <c r="A2025" s="100" t="s">
        <v>1</v>
      </c>
      <c r="B2025" s="101">
        <v>90190309</v>
      </c>
      <c r="C2025" s="101">
        <v>1903</v>
      </c>
      <c r="D2025" s="101">
        <v>19</v>
      </c>
      <c r="E2025" s="101"/>
      <c r="F2025" s="101" t="s">
        <v>115</v>
      </c>
      <c r="G2025" s="101" t="s">
        <v>115</v>
      </c>
      <c r="H2025" s="101" t="s">
        <v>4356</v>
      </c>
      <c r="I2025" s="101">
        <v>4</v>
      </c>
      <c r="J2025" s="100">
        <v>0</v>
      </c>
      <c r="K2025" s="100">
        <v>0</v>
      </c>
      <c r="L2025" s="100" t="s">
        <v>115</v>
      </c>
      <c r="M2025" s="102"/>
      <c r="N2025" s="100"/>
      <c r="O2025" s="100" t="s">
        <v>115</v>
      </c>
      <c r="P2025" s="101"/>
      <c r="Q2025" s="100">
        <v>205</v>
      </c>
      <c r="R2025" s="100">
        <v>298</v>
      </c>
      <c r="S2025" s="100"/>
      <c r="T2025" s="100"/>
      <c r="U2025" s="100"/>
      <c r="V2025" s="100"/>
      <c r="W2025" s="100"/>
      <c r="X2025" s="100">
        <v>90190310</v>
      </c>
      <c r="Y2025" s="100" t="s">
        <v>115</v>
      </c>
      <c r="Z2025" s="100" t="s">
        <v>115</v>
      </c>
      <c r="AA2025" s="100" t="s">
        <v>115</v>
      </c>
      <c r="AB2025" s="100" t="s">
        <v>115</v>
      </c>
      <c r="AC2025" s="100" t="s">
        <v>115</v>
      </c>
      <c r="AD2025" s="100"/>
      <c r="AE2025" s="100"/>
      <c r="AF2025" s="100"/>
      <c r="AG2025" s="100"/>
      <c r="AH2025" s="100"/>
      <c r="AI2025" s="100" t="s">
        <v>115</v>
      </c>
      <c r="AJ2025" s="100"/>
      <c r="AK2025" s="100"/>
      <c r="AL2025" s="100"/>
      <c r="AM2025" s="100"/>
      <c r="AN2025" s="100"/>
      <c r="AO2025" s="100"/>
      <c r="AP2025" s="89" t="s">
        <v>115</v>
      </c>
    </row>
    <row r="2026" spans="1:42" s="89" customFormat="1" x14ac:dyDescent="0.15">
      <c r="A2026" s="100" t="s">
        <v>1</v>
      </c>
      <c r="B2026" s="101">
        <v>90190310</v>
      </c>
      <c r="C2026" s="101">
        <v>1903</v>
      </c>
      <c r="D2026" s="101">
        <v>19</v>
      </c>
      <c r="E2026" s="101"/>
      <c r="F2026" s="101" t="s">
        <v>116</v>
      </c>
      <c r="G2026" s="101">
        <v>315</v>
      </c>
      <c r="H2026" s="101" t="s">
        <v>4357</v>
      </c>
      <c r="I2026" s="101">
        <v>0</v>
      </c>
      <c r="J2026" s="100">
        <v>0</v>
      </c>
      <c r="K2026" s="100">
        <v>0</v>
      </c>
      <c r="L2026" s="100" t="s">
        <v>115</v>
      </c>
      <c r="M2026" s="102"/>
      <c r="N2026" s="100"/>
      <c r="O2026" s="100" t="s">
        <v>115</v>
      </c>
      <c r="P2026" s="101"/>
      <c r="Q2026" s="100">
        <v>205</v>
      </c>
      <c r="R2026" s="100">
        <v>298</v>
      </c>
      <c r="S2026" s="100"/>
      <c r="T2026" s="100"/>
      <c r="U2026" s="100"/>
      <c r="V2026" s="100"/>
      <c r="W2026" s="100"/>
      <c r="X2026" s="100">
        <v>90190311</v>
      </c>
      <c r="Y2026" s="100" t="s">
        <v>115</v>
      </c>
      <c r="Z2026" s="100" t="s">
        <v>115</v>
      </c>
      <c r="AA2026" s="100" t="s">
        <v>115</v>
      </c>
      <c r="AB2026" s="100" t="s">
        <v>115</v>
      </c>
      <c r="AC2026" s="100" t="s">
        <v>115</v>
      </c>
      <c r="AD2026" s="100"/>
      <c r="AE2026" s="100"/>
      <c r="AF2026" s="100"/>
      <c r="AG2026" s="100"/>
      <c r="AH2026" s="100"/>
      <c r="AI2026" s="100" t="s">
        <v>115</v>
      </c>
      <c r="AJ2026" s="100"/>
      <c r="AK2026" s="100"/>
      <c r="AL2026" s="100"/>
      <c r="AM2026" s="100"/>
      <c r="AN2026" s="100"/>
      <c r="AO2026" s="100"/>
      <c r="AP2026" s="89" t="s">
        <v>115</v>
      </c>
    </row>
    <row r="2027" spans="1:42" s="89" customFormat="1" x14ac:dyDescent="0.15">
      <c r="A2027" s="100" t="s">
        <v>1</v>
      </c>
      <c r="B2027" s="101">
        <v>90190311</v>
      </c>
      <c r="C2027" s="101">
        <v>1903</v>
      </c>
      <c r="D2027" s="101">
        <v>19</v>
      </c>
      <c r="E2027" s="101"/>
      <c r="F2027" s="101" t="s">
        <v>115</v>
      </c>
      <c r="G2027" s="101" t="s">
        <v>115</v>
      </c>
      <c r="H2027" s="101" t="s">
        <v>4358</v>
      </c>
      <c r="I2027" s="101">
        <v>4</v>
      </c>
      <c r="J2027" s="100">
        <v>0</v>
      </c>
      <c r="K2027" s="100">
        <v>0</v>
      </c>
      <c r="L2027" s="100" t="s">
        <v>115</v>
      </c>
      <c r="M2027" s="102"/>
      <c r="N2027" s="100"/>
      <c r="O2027" s="100" t="s">
        <v>115</v>
      </c>
      <c r="P2027" s="101"/>
      <c r="Q2027" s="100">
        <v>205</v>
      </c>
      <c r="R2027" s="100" t="s">
        <v>115</v>
      </c>
      <c r="S2027" s="100"/>
      <c r="T2027" s="100"/>
      <c r="U2027" s="100"/>
      <c r="V2027" s="100"/>
      <c r="W2027" s="100"/>
      <c r="X2027" s="100">
        <v>90190312</v>
      </c>
      <c r="Y2027" s="100" t="s">
        <v>115</v>
      </c>
      <c r="Z2027" s="100" t="s">
        <v>115</v>
      </c>
      <c r="AA2027" s="100" t="s">
        <v>115</v>
      </c>
      <c r="AB2027" s="100" t="s">
        <v>115</v>
      </c>
      <c r="AC2027" s="100" t="s">
        <v>115</v>
      </c>
      <c r="AD2027" s="100"/>
      <c r="AE2027" s="100"/>
      <c r="AF2027" s="100"/>
      <c r="AG2027" s="100"/>
      <c r="AH2027" s="100"/>
      <c r="AI2027" s="100">
        <v>500</v>
      </c>
      <c r="AJ2027" s="100"/>
      <c r="AK2027" s="100"/>
      <c r="AL2027" s="100"/>
      <c r="AM2027" s="100"/>
      <c r="AN2027" s="100"/>
      <c r="AO2027" s="100"/>
      <c r="AP2027" s="89" t="s">
        <v>115</v>
      </c>
    </row>
    <row r="2028" spans="1:42" s="89" customFormat="1" x14ac:dyDescent="0.15">
      <c r="A2028" s="100" t="s">
        <v>1</v>
      </c>
      <c r="B2028" s="101">
        <v>90190312</v>
      </c>
      <c r="C2028" s="101">
        <v>1903</v>
      </c>
      <c r="D2028" s="101">
        <v>19</v>
      </c>
      <c r="E2028" s="101"/>
      <c r="F2028" s="101" t="s">
        <v>115</v>
      </c>
      <c r="G2028" s="101" t="s">
        <v>115</v>
      </c>
      <c r="H2028" s="101" t="s">
        <v>4359</v>
      </c>
      <c r="I2028" s="101">
        <v>4</v>
      </c>
      <c r="J2028" s="100">
        <v>0</v>
      </c>
      <c r="K2028" s="100">
        <v>0</v>
      </c>
      <c r="L2028" s="100" t="s">
        <v>115</v>
      </c>
      <c r="M2028" s="102"/>
      <c r="N2028" s="100"/>
      <c r="O2028" s="100" t="s">
        <v>115</v>
      </c>
      <c r="P2028" s="101"/>
      <c r="Q2028" s="100">
        <v>205</v>
      </c>
      <c r="R2028" s="100" t="s">
        <v>115</v>
      </c>
      <c r="S2028" s="100"/>
      <c r="T2028" s="100"/>
      <c r="U2028" s="100"/>
      <c r="V2028" s="100"/>
      <c r="W2028" s="100"/>
      <c r="X2028" s="100">
        <v>90190313</v>
      </c>
      <c r="Y2028" s="100" t="s">
        <v>115</v>
      </c>
      <c r="Z2028" s="100" t="s">
        <v>115</v>
      </c>
      <c r="AA2028" s="100" t="s">
        <v>115</v>
      </c>
      <c r="AB2028" s="100" t="s">
        <v>115</v>
      </c>
      <c r="AC2028" s="100" t="s">
        <v>115</v>
      </c>
      <c r="AD2028" s="100"/>
      <c r="AE2028" s="100"/>
      <c r="AF2028" s="100"/>
      <c r="AG2028" s="100"/>
      <c r="AH2028" s="100"/>
      <c r="AI2028" s="100">
        <v>500</v>
      </c>
      <c r="AJ2028" s="100"/>
      <c r="AK2028" s="100"/>
      <c r="AL2028" s="100"/>
      <c r="AM2028" s="100"/>
      <c r="AN2028" s="100"/>
      <c r="AO2028" s="100"/>
      <c r="AP2028" s="89" t="s">
        <v>115</v>
      </c>
    </row>
    <row r="2029" spans="1:42" s="89" customFormat="1" x14ac:dyDescent="0.15">
      <c r="A2029" s="100" t="s">
        <v>1</v>
      </c>
      <c r="B2029" s="101">
        <v>90190313</v>
      </c>
      <c r="C2029" s="101">
        <v>1903</v>
      </c>
      <c r="D2029" s="101">
        <v>19</v>
      </c>
      <c r="E2029" s="101"/>
      <c r="F2029" s="101" t="s">
        <v>4360</v>
      </c>
      <c r="G2029" s="101" t="s">
        <v>115</v>
      </c>
      <c r="H2029" s="101" t="s">
        <v>4361</v>
      </c>
      <c r="I2029" s="101">
        <v>3</v>
      </c>
      <c r="J2029" s="100">
        <v>0</v>
      </c>
      <c r="K2029" s="100">
        <v>0</v>
      </c>
      <c r="L2029" s="100" t="s">
        <v>115</v>
      </c>
      <c r="M2029" s="102"/>
      <c r="N2029" s="100"/>
      <c r="O2029" s="100" t="s">
        <v>115</v>
      </c>
      <c r="P2029" s="101"/>
      <c r="Q2029" s="100">
        <v>205</v>
      </c>
      <c r="R2029" s="100">
        <v>298</v>
      </c>
      <c r="S2029" s="100"/>
      <c r="T2029" s="100"/>
      <c r="U2029" s="100"/>
      <c r="V2029" s="100"/>
      <c r="W2029" s="100"/>
      <c r="X2029" s="100">
        <v>90190314</v>
      </c>
      <c r="Y2029" s="100" t="s">
        <v>115</v>
      </c>
      <c r="Z2029" s="100" t="s">
        <v>115</v>
      </c>
      <c r="AA2029" s="100" t="s">
        <v>115</v>
      </c>
      <c r="AB2029" s="100" t="s">
        <v>115</v>
      </c>
      <c r="AC2029" s="100" t="s">
        <v>115</v>
      </c>
      <c r="AD2029" s="100"/>
      <c r="AE2029" s="100"/>
      <c r="AF2029" s="100"/>
      <c r="AG2029" s="100"/>
      <c r="AH2029" s="100"/>
      <c r="AI2029" s="100" t="s">
        <v>115</v>
      </c>
      <c r="AJ2029" s="100"/>
      <c r="AK2029" s="100"/>
      <c r="AL2029" s="100"/>
      <c r="AM2029" s="100"/>
      <c r="AN2029" s="100"/>
      <c r="AO2029" s="100"/>
      <c r="AP2029" s="89" t="s">
        <v>115</v>
      </c>
    </row>
    <row r="2030" spans="1:42" s="89" customFormat="1" x14ac:dyDescent="0.15">
      <c r="A2030" s="100" t="s">
        <v>1</v>
      </c>
      <c r="B2030" s="101">
        <v>90190314</v>
      </c>
      <c r="C2030" s="101">
        <v>1903</v>
      </c>
      <c r="D2030" s="101">
        <v>19</v>
      </c>
      <c r="E2030" s="101"/>
      <c r="F2030" s="101" t="s">
        <v>4334</v>
      </c>
      <c r="G2030" s="101" t="s">
        <v>115</v>
      </c>
      <c r="H2030" s="101" t="s">
        <v>4362</v>
      </c>
      <c r="I2030" s="101">
        <v>1</v>
      </c>
      <c r="J2030" s="100">
        <v>0</v>
      </c>
      <c r="K2030" s="100">
        <v>0</v>
      </c>
      <c r="L2030" s="100" t="s">
        <v>115</v>
      </c>
      <c r="M2030" s="102"/>
      <c r="N2030" s="100"/>
      <c r="O2030" s="100" t="s">
        <v>115</v>
      </c>
      <c r="P2030" s="101"/>
      <c r="Q2030" s="100">
        <v>205</v>
      </c>
      <c r="R2030" s="100" t="s">
        <v>115</v>
      </c>
      <c r="S2030" s="100"/>
      <c r="T2030" s="100"/>
      <c r="U2030" s="100"/>
      <c r="V2030" s="100"/>
      <c r="W2030" s="100"/>
      <c r="X2030" s="100">
        <v>90190315</v>
      </c>
      <c r="Y2030" s="100" t="s">
        <v>115</v>
      </c>
      <c r="Z2030" s="100" t="s">
        <v>115</v>
      </c>
      <c r="AA2030" s="100" t="s">
        <v>115</v>
      </c>
      <c r="AB2030" s="100" t="s">
        <v>115</v>
      </c>
      <c r="AC2030" s="100" t="s">
        <v>115</v>
      </c>
      <c r="AD2030" s="100"/>
      <c r="AE2030" s="100"/>
      <c r="AF2030" s="100"/>
      <c r="AG2030" s="100"/>
      <c r="AH2030" s="100"/>
      <c r="AI2030" s="100">
        <v>500</v>
      </c>
      <c r="AJ2030" s="100"/>
      <c r="AK2030" s="100"/>
      <c r="AL2030" s="100"/>
      <c r="AM2030" s="100"/>
      <c r="AN2030" s="100"/>
      <c r="AO2030" s="100"/>
      <c r="AP2030" s="89" t="s">
        <v>115</v>
      </c>
    </row>
    <row r="2031" spans="1:42" s="89" customFormat="1" x14ac:dyDescent="0.15">
      <c r="A2031" s="100" t="s">
        <v>1</v>
      </c>
      <c r="B2031" s="101">
        <v>90190315</v>
      </c>
      <c r="C2031" s="101">
        <v>1903</v>
      </c>
      <c r="D2031" s="101">
        <v>19</v>
      </c>
      <c r="E2031" s="101"/>
      <c r="F2031" s="101" t="s">
        <v>116</v>
      </c>
      <c r="G2031" s="101">
        <v>312</v>
      </c>
      <c r="H2031" s="101" t="s">
        <v>4363</v>
      </c>
      <c r="I2031" s="101">
        <v>0</v>
      </c>
      <c r="J2031" s="100">
        <v>0</v>
      </c>
      <c r="K2031" s="100">
        <v>0</v>
      </c>
      <c r="L2031" s="100" t="s">
        <v>115</v>
      </c>
      <c r="M2031" s="102"/>
      <c r="N2031" s="100"/>
      <c r="O2031" s="100" t="s">
        <v>115</v>
      </c>
      <c r="P2031" s="101"/>
      <c r="Q2031" s="100">
        <v>205</v>
      </c>
      <c r="R2031" s="100">
        <v>298</v>
      </c>
      <c r="S2031" s="100"/>
      <c r="T2031" s="100"/>
      <c r="U2031" s="100"/>
      <c r="V2031" s="100"/>
      <c r="W2031" s="100"/>
      <c r="X2031" s="100">
        <v>90190316</v>
      </c>
      <c r="Y2031" s="100" t="s">
        <v>115</v>
      </c>
      <c r="Z2031" s="100" t="s">
        <v>115</v>
      </c>
      <c r="AA2031" s="100" t="s">
        <v>115</v>
      </c>
      <c r="AB2031" s="100" t="s">
        <v>115</v>
      </c>
      <c r="AC2031" s="100" t="s">
        <v>115</v>
      </c>
      <c r="AD2031" s="100"/>
      <c r="AE2031" s="100"/>
      <c r="AF2031" s="100"/>
      <c r="AG2031" s="100"/>
      <c r="AH2031" s="100"/>
      <c r="AI2031" s="100" t="s">
        <v>115</v>
      </c>
      <c r="AJ2031" s="100"/>
      <c r="AK2031" s="100"/>
      <c r="AL2031" s="100"/>
      <c r="AM2031" s="100"/>
      <c r="AN2031" s="100"/>
      <c r="AO2031" s="100"/>
      <c r="AP2031" s="89" t="s">
        <v>115</v>
      </c>
    </row>
    <row r="2032" spans="1:42" s="89" customFormat="1" x14ac:dyDescent="0.15">
      <c r="A2032" s="100" t="s">
        <v>1</v>
      </c>
      <c r="B2032" s="101">
        <v>90190316</v>
      </c>
      <c r="C2032" s="101">
        <v>1903</v>
      </c>
      <c r="D2032" s="101">
        <v>19</v>
      </c>
      <c r="E2032" s="101"/>
      <c r="F2032" s="101" t="s">
        <v>4360</v>
      </c>
      <c r="G2032" s="101" t="s">
        <v>115</v>
      </c>
      <c r="H2032" s="101" t="s">
        <v>4364</v>
      </c>
      <c r="I2032" s="101">
        <v>3</v>
      </c>
      <c r="J2032" s="100">
        <v>0</v>
      </c>
      <c r="K2032" s="100">
        <v>0</v>
      </c>
      <c r="L2032" s="100" t="s">
        <v>115</v>
      </c>
      <c r="M2032" s="102"/>
      <c r="N2032" s="100"/>
      <c r="O2032" s="100" t="s">
        <v>115</v>
      </c>
      <c r="P2032" s="101"/>
      <c r="Q2032" s="100">
        <v>205</v>
      </c>
      <c r="R2032" s="100">
        <v>298</v>
      </c>
      <c r="S2032" s="100"/>
      <c r="T2032" s="100"/>
      <c r="U2032" s="100"/>
      <c r="V2032" s="100"/>
      <c r="W2032" s="100"/>
      <c r="X2032" s="100">
        <v>90190317</v>
      </c>
      <c r="Y2032" s="100" t="s">
        <v>115</v>
      </c>
      <c r="Z2032" s="100" t="s">
        <v>115</v>
      </c>
      <c r="AA2032" s="100" t="s">
        <v>115</v>
      </c>
      <c r="AB2032" s="100" t="s">
        <v>115</v>
      </c>
      <c r="AC2032" s="100" t="s">
        <v>115</v>
      </c>
      <c r="AD2032" s="100"/>
      <c r="AE2032" s="100"/>
      <c r="AF2032" s="100"/>
      <c r="AG2032" s="100"/>
      <c r="AH2032" s="100"/>
      <c r="AI2032" s="100" t="s">
        <v>115</v>
      </c>
      <c r="AJ2032" s="100"/>
      <c r="AK2032" s="100"/>
      <c r="AL2032" s="100"/>
      <c r="AM2032" s="100"/>
      <c r="AN2032" s="100"/>
      <c r="AO2032" s="100"/>
      <c r="AP2032" s="89" t="s">
        <v>115</v>
      </c>
    </row>
    <row r="2033" spans="1:42" s="89" customFormat="1" x14ac:dyDescent="0.15">
      <c r="A2033" s="100" t="s">
        <v>1</v>
      </c>
      <c r="B2033" s="101">
        <v>90190317</v>
      </c>
      <c r="C2033" s="101">
        <v>1903</v>
      </c>
      <c r="D2033" s="101">
        <v>19</v>
      </c>
      <c r="E2033" s="101"/>
      <c r="F2033" s="101" t="s">
        <v>4360</v>
      </c>
      <c r="G2033" s="101" t="s">
        <v>115</v>
      </c>
      <c r="H2033" s="101" t="s">
        <v>4365</v>
      </c>
      <c r="I2033" s="101">
        <v>3</v>
      </c>
      <c r="J2033" s="100">
        <v>0</v>
      </c>
      <c r="K2033" s="100">
        <v>0</v>
      </c>
      <c r="L2033" s="100" t="s">
        <v>115</v>
      </c>
      <c r="M2033" s="102"/>
      <c r="N2033" s="100"/>
      <c r="O2033" s="100" t="s">
        <v>115</v>
      </c>
      <c r="P2033" s="101"/>
      <c r="Q2033" s="100">
        <v>205</v>
      </c>
      <c r="R2033" s="100">
        <v>298</v>
      </c>
      <c r="S2033" s="100"/>
      <c r="T2033" s="100"/>
      <c r="U2033" s="100"/>
      <c r="V2033" s="100"/>
      <c r="W2033" s="100"/>
      <c r="X2033" s="100">
        <v>90190318</v>
      </c>
      <c r="Y2033" s="100" t="s">
        <v>115</v>
      </c>
      <c r="Z2033" s="100" t="s">
        <v>115</v>
      </c>
      <c r="AA2033" s="100" t="s">
        <v>115</v>
      </c>
      <c r="AB2033" s="100" t="s">
        <v>115</v>
      </c>
      <c r="AC2033" s="100" t="s">
        <v>115</v>
      </c>
      <c r="AD2033" s="100"/>
      <c r="AE2033" s="100"/>
      <c r="AF2033" s="100"/>
      <c r="AG2033" s="100"/>
      <c r="AH2033" s="100"/>
      <c r="AI2033" s="100" t="s">
        <v>115</v>
      </c>
      <c r="AJ2033" s="100"/>
      <c r="AK2033" s="100"/>
      <c r="AL2033" s="100"/>
      <c r="AM2033" s="100"/>
      <c r="AN2033" s="100"/>
      <c r="AO2033" s="100"/>
      <c r="AP2033" s="89" t="s">
        <v>115</v>
      </c>
    </row>
    <row r="2034" spans="1:42" s="89" customFormat="1" x14ac:dyDescent="0.15">
      <c r="A2034" s="100" t="s">
        <v>1</v>
      </c>
      <c r="B2034" s="101">
        <v>90190318</v>
      </c>
      <c r="C2034" s="101">
        <v>1903</v>
      </c>
      <c r="D2034" s="101">
        <v>19</v>
      </c>
      <c r="E2034" s="101"/>
      <c r="F2034" s="101" t="s">
        <v>115</v>
      </c>
      <c r="G2034" s="101" t="s">
        <v>115</v>
      </c>
      <c r="H2034" s="101" t="s">
        <v>4366</v>
      </c>
      <c r="I2034" s="101">
        <v>4</v>
      </c>
      <c r="J2034" s="100">
        <v>0</v>
      </c>
      <c r="K2034" s="100">
        <v>0</v>
      </c>
      <c r="L2034" s="100" t="s">
        <v>115</v>
      </c>
      <c r="M2034" s="102"/>
      <c r="N2034" s="100"/>
      <c r="O2034" s="100" t="s">
        <v>115</v>
      </c>
      <c r="P2034" s="101"/>
      <c r="Q2034" s="100">
        <v>205</v>
      </c>
      <c r="R2034" s="100" t="s">
        <v>115</v>
      </c>
      <c r="S2034" s="100"/>
      <c r="T2034" s="100"/>
      <c r="U2034" s="100"/>
      <c r="V2034" s="100"/>
      <c r="W2034" s="100"/>
      <c r="X2034" s="100">
        <v>90190319</v>
      </c>
      <c r="Y2034" s="100" t="s">
        <v>115</v>
      </c>
      <c r="Z2034" s="100" t="s">
        <v>115</v>
      </c>
      <c r="AA2034" s="100" t="s">
        <v>115</v>
      </c>
      <c r="AB2034" s="100" t="s">
        <v>115</v>
      </c>
      <c r="AC2034" s="100" t="s">
        <v>115</v>
      </c>
      <c r="AD2034" s="100"/>
      <c r="AE2034" s="100"/>
      <c r="AF2034" s="100"/>
      <c r="AG2034" s="100"/>
      <c r="AH2034" s="100"/>
      <c r="AI2034" s="100" t="s">
        <v>115</v>
      </c>
      <c r="AJ2034" s="100"/>
      <c r="AK2034" s="100"/>
      <c r="AL2034" s="100"/>
      <c r="AM2034" s="100"/>
      <c r="AN2034" s="100"/>
      <c r="AO2034" s="100"/>
      <c r="AP2034" s="89" t="s">
        <v>115</v>
      </c>
    </row>
    <row r="2035" spans="1:42" s="89" customFormat="1" x14ac:dyDescent="0.15">
      <c r="A2035" s="100" t="s">
        <v>1</v>
      </c>
      <c r="B2035" s="101">
        <v>90190319</v>
      </c>
      <c r="C2035" s="101">
        <v>1903</v>
      </c>
      <c r="D2035" s="101">
        <v>19</v>
      </c>
      <c r="E2035" s="101"/>
      <c r="F2035" s="101" t="s">
        <v>116</v>
      </c>
      <c r="G2035" s="101">
        <v>313</v>
      </c>
      <c r="H2035" s="101" t="s">
        <v>4367</v>
      </c>
      <c r="I2035" s="101">
        <v>0</v>
      </c>
      <c r="J2035" s="100">
        <v>0</v>
      </c>
      <c r="K2035" s="100">
        <v>0</v>
      </c>
      <c r="L2035" s="100" t="s">
        <v>115</v>
      </c>
      <c r="M2035" s="102"/>
      <c r="N2035" s="100"/>
      <c r="O2035" s="100" t="s">
        <v>115</v>
      </c>
      <c r="P2035" s="101"/>
      <c r="Q2035" s="100">
        <v>205</v>
      </c>
      <c r="R2035" s="100" t="s">
        <v>115</v>
      </c>
      <c r="S2035" s="100"/>
      <c r="T2035" s="100"/>
      <c r="U2035" s="100"/>
      <c r="V2035" s="100"/>
      <c r="W2035" s="100"/>
      <c r="X2035" s="100">
        <v>90190320</v>
      </c>
      <c r="Y2035" s="100" t="s">
        <v>115</v>
      </c>
      <c r="Z2035" s="100" t="s">
        <v>115</v>
      </c>
      <c r="AA2035" s="100" t="s">
        <v>115</v>
      </c>
      <c r="AB2035" s="100" t="s">
        <v>115</v>
      </c>
      <c r="AC2035" s="100" t="s">
        <v>115</v>
      </c>
      <c r="AD2035" s="100"/>
      <c r="AE2035" s="100"/>
      <c r="AF2035" s="100"/>
      <c r="AG2035" s="100"/>
      <c r="AH2035" s="100"/>
      <c r="AI2035" s="100" t="s">
        <v>115</v>
      </c>
      <c r="AJ2035" s="100"/>
      <c r="AK2035" s="100"/>
      <c r="AL2035" s="100"/>
      <c r="AM2035" s="100"/>
      <c r="AN2035" s="100"/>
      <c r="AO2035" s="100"/>
      <c r="AP2035" s="89" t="s">
        <v>115</v>
      </c>
    </row>
    <row r="2036" spans="1:42" s="89" customFormat="1" x14ac:dyDescent="0.15">
      <c r="A2036" s="100" t="s">
        <v>1</v>
      </c>
      <c r="B2036" s="101">
        <v>90190320</v>
      </c>
      <c r="C2036" s="101">
        <v>1903</v>
      </c>
      <c r="D2036" s="101">
        <v>19</v>
      </c>
      <c r="E2036" s="101"/>
      <c r="F2036" s="101" t="s">
        <v>116</v>
      </c>
      <c r="G2036" s="101">
        <v>308</v>
      </c>
      <c r="H2036" s="101" t="s">
        <v>4368</v>
      </c>
      <c r="I2036" s="101">
        <v>2</v>
      </c>
      <c r="J2036" s="100">
        <v>0</v>
      </c>
      <c r="K2036" s="100">
        <v>4</v>
      </c>
      <c r="L2036" s="100" t="s">
        <v>115</v>
      </c>
      <c r="M2036" s="102"/>
      <c r="N2036" s="100"/>
      <c r="O2036" s="100">
        <v>1</v>
      </c>
      <c r="P2036" s="101"/>
      <c r="Q2036" s="100">
        <v>205</v>
      </c>
      <c r="R2036" s="100" t="s">
        <v>115</v>
      </c>
      <c r="S2036" s="100"/>
      <c r="T2036" s="100"/>
      <c r="U2036" s="100"/>
      <c r="V2036" s="100"/>
      <c r="W2036" s="100"/>
      <c r="X2036" s="100" t="s">
        <v>115</v>
      </c>
      <c r="Y2036" s="100" t="s">
        <v>115</v>
      </c>
      <c r="Z2036" s="100">
        <v>3</v>
      </c>
      <c r="AA2036" s="100" t="s">
        <v>115</v>
      </c>
      <c r="AB2036" s="100" t="s">
        <v>115</v>
      </c>
      <c r="AC2036" s="100" t="s">
        <v>115</v>
      </c>
      <c r="AD2036" s="100"/>
      <c r="AE2036" s="100"/>
      <c r="AF2036" s="100"/>
      <c r="AG2036" s="100"/>
      <c r="AH2036" s="100"/>
      <c r="AI2036" s="100" t="s">
        <v>115</v>
      </c>
      <c r="AJ2036" s="100"/>
      <c r="AK2036" s="100"/>
      <c r="AL2036" s="100"/>
      <c r="AM2036" s="100"/>
      <c r="AN2036" s="100"/>
      <c r="AO2036" s="100"/>
      <c r="AP2036" s="89" t="s">
        <v>4369</v>
      </c>
    </row>
    <row r="2037" spans="1:42" s="89" customFormat="1" x14ac:dyDescent="0.15">
      <c r="A2037" s="100" t="s">
        <v>1</v>
      </c>
      <c r="B2037" s="101" t="s">
        <v>3974</v>
      </c>
      <c r="C2037" s="101">
        <v>1904</v>
      </c>
      <c r="D2037" s="101">
        <v>19</v>
      </c>
      <c r="E2037" s="101"/>
      <c r="F2037" s="101" t="s">
        <v>115</v>
      </c>
      <c r="G2037" s="101" t="s">
        <v>115</v>
      </c>
      <c r="H2037" s="101" t="s">
        <v>4370</v>
      </c>
      <c r="I2037" s="101">
        <v>4</v>
      </c>
      <c r="J2037" s="100">
        <v>1</v>
      </c>
      <c r="K2037" s="100">
        <v>1</v>
      </c>
      <c r="L2037" s="100" t="s">
        <v>115</v>
      </c>
      <c r="M2037" s="102"/>
      <c r="N2037" s="100"/>
      <c r="O2037" s="100" t="s">
        <v>115</v>
      </c>
      <c r="P2037" s="101"/>
      <c r="Q2037" s="100">
        <v>109</v>
      </c>
      <c r="R2037" s="100" t="s">
        <v>115</v>
      </c>
      <c r="S2037" s="100"/>
      <c r="T2037" s="100"/>
      <c r="U2037" s="100"/>
      <c r="V2037" s="100"/>
      <c r="W2037" s="100"/>
      <c r="X2037" s="100">
        <v>90190402</v>
      </c>
      <c r="Y2037" s="100" t="s">
        <v>115</v>
      </c>
      <c r="Z2037" s="100" t="s">
        <v>115</v>
      </c>
      <c r="AA2037" s="100" t="s">
        <v>115</v>
      </c>
      <c r="AB2037" s="100" t="s">
        <v>115</v>
      </c>
      <c r="AC2037" s="100" t="s">
        <v>115</v>
      </c>
      <c r="AD2037" s="100"/>
      <c r="AE2037" s="100"/>
      <c r="AF2037" s="100"/>
      <c r="AG2037" s="100"/>
      <c r="AH2037" s="100"/>
      <c r="AI2037" s="100" t="s">
        <v>115</v>
      </c>
      <c r="AJ2037" s="100"/>
      <c r="AK2037" s="100"/>
      <c r="AL2037" s="100"/>
      <c r="AM2037" s="100"/>
      <c r="AN2037" s="100"/>
      <c r="AO2037" s="100"/>
      <c r="AP2037" s="89" t="s">
        <v>115</v>
      </c>
    </row>
    <row r="2038" spans="1:42" s="89" customFormat="1" x14ac:dyDescent="0.15">
      <c r="A2038" s="100" t="s">
        <v>1</v>
      </c>
      <c r="B2038" s="101">
        <v>90190402</v>
      </c>
      <c r="C2038" s="101">
        <v>1904</v>
      </c>
      <c r="D2038" s="101">
        <v>19</v>
      </c>
      <c r="E2038" s="101"/>
      <c r="F2038" s="101" t="s">
        <v>116</v>
      </c>
      <c r="G2038" s="101">
        <v>308</v>
      </c>
      <c r="H2038" s="101" t="s">
        <v>4371</v>
      </c>
      <c r="I2038" s="101">
        <v>2</v>
      </c>
      <c r="J2038" s="100">
        <v>0</v>
      </c>
      <c r="K2038" s="100">
        <v>0</v>
      </c>
      <c r="L2038" s="100" t="s">
        <v>115</v>
      </c>
      <c r="M2038" s="102"/>
      <c r="N2038" s="100"/>
      <c r="O2038" s="100" t="s">
        <v>115</v>
      </c>
      <c r="P2038" s="101"/>
      <c r="Q2038" s="100">
        <v>109</v>
      </c>
      <c r="R2038" s="100" t="s">
        <v>115</v>
      </c>
      <c r="S2038" s="100"/>
      <c r="T2038" s="100"/>
      <c r="U2038" s="100"/>
      <c r="V2038" s="100"/>
      <c r="W2038" s="100"/>
      <c r="X2038" s="100">
        <v>90190403</v>
      </c>
      <c r="Y2038" s="100" t="s">
        <v>115</v>
      </c>
      <c r="Z2038" s="100" t="s">
        <v>115</v>
      </c>
      <c r="AA2038" s="100" t="s">
        <v>115</v>
      </c>
      <c r="AB2038" s="100" t="s">
        <v>115</v>
      </c>
      <c r="AC2038" s="100" t="s">
        <v>115</v>
      </c>
      <c r="AD2038" s="100"/>
      <c r="AE2038" s="100"/>
      <c r="AF2038" s="100"/>
      <c r="AG2038" s="100"/>
      <c r="AH2038" s="100"/>
      <c r="AI2038" s="100" t="s">
        <v>115</v>
      </c>
      <c r="AJ2038" s="100"/>
      <c r="AK2038" s="100"/>
      <c r="AL2038" s="100"/>
      <c r="AM2038" s="100"/>
      <c r="AN2038" s="100"/>
      <c r="AO2038" s="100"/>
      <c r="AP2038" s="89" t="s">
        <v>115</v>
      </c>
    </row>
    <row r="2039" spans="1:42" s="89" customFormat="1" x14ac:dyDescent="0.15">
      <c r="A2039" s="100" t="s">
        <v>1</v>
      </c>
      <c r="B2039" s="101">
        <v>90190403</v>
      </c>
      <c r="C2039" s="101">
        <v>1904</v>
      </c>
      <c r="D2039" s="101">
        <v>19</v>
      </c>
      <c r="E2039" s="101"/>
      <c r="F2039" s="101" t="s">
        <v>115</v>
      </c>
      <c r="G2039" s="101" t="s">
        <v>115</v>
      </c>
      <c r="H2039" s="101" t="s">
        <v>4372</v>
      </c>
      <c r="I2039" s="101">
        <v>4</v>
      </c>
      <c r="J2039" s="100">
        <v>0</v>
      </c>
      <c r="K2039" s="100">
        <v>2</v>
      </c>
      <c r="L2039" s="100" t="s">
        <v>115</v>
      </c>
      <c r="M2039" s="102"/>
      <c r="N2039" s="100"/>
      <c r="O2039" s="100" t="s">
        <v>115</v>
      </c>
      <c r="P2039" s="101"/>
      <c r="Q2039" s="100">
        <v>109</v>
      </c>
      <c r="R2039" s="100" t="s">
        <v>115</v>
      </c>
      <c r="S2039" s="100"/>
      <c r="T2039" s="100"/>
      <c r="U2039" s="100"/>
      <c r="V2039" s="100"/>
      <c r="W2039" s="100"/>
      <c r="X2039" s="100" t="s">
        <v>4373</v>
      </c>
      <c r="Y2039" s="100">
        <v>1</v>
      </c>
      <c r="Z2039" s="100">
        <v>1</v>
      </c>
      <c r="AA2039" s="100" t="s">
        <v>115</v>
      </c>
      <c r="AB2039" s="100" t="s">
        <v>115</v>
      </c>
      <c r="AC2039" s="100" t="s">
        <v>115</v>
      </c>
      <c r="AD2039" s="100"/>
      <c r="AE2039" s="100"/>
      <c r="AF2039" s="100"/>
      <c r="AG2039" s="100"/>
      <c r="AH2039" s="100"/>
      <c r="AI2039" s="100" t="s">
        <v>115</v>
      </c>
      <c r="AJ2039" s="100"/>
      <c r="AK2039" s="100"/>
      <c r="AL2039" s="100"/>
      <c r="AM2039" s="100"/>
      <c r="AN2039" s="100"/>
      <c r="AO2039" s="100"/>
      <c r="AP2039" s="89" t="s">
        <v>115</v>
      </c>
    </row>
    <row r="2040" spans="1:42" s="89" customFormat="1" x14ac:dyDescent="0.15">
      <c r="A2040" s="100" t="s">
        <v>1</v>
      </c>
      <c r="B2040" s="101">
        <v>90190404</v>
      </c>
      <c r="C2040" s="101">
        <v>1904</v>
      </c>
      <c r="D2040" s="101">
        <v>19</v>
      </c>
      <c r="E2040" s="101"/>
      <c r="F2040" s="101" t="s">
        <v>115</v>
      </c>
      <c r="G2040" s="101" t="s">
        <v>115</v>
      </c>
      <c r="H2040" s="101" t="s">
        <v>4374</v>
      </c>
      <c r="I2040" s="101">
        <v>4</v>
      </c>
      <c r="J2040" s="100">
        <v>0</v>
      </c>
      <c r="K2040" s="100">
        <v>3</v>
      </c>
      <c r="L2040" s="100" t="s">
        <v>115</v>
      </c>
      <c r="M2040" s="102"/>
      <c r="N2040" s="100"/>
      <c r="O2040" s="100" t="s">
        <v>115</v>
      </c>
      <c r="P2040" s="101"/>
      <c r="Q2040" s="100">
        <v>109</v>
      </c>
      <c r="R2040" s="100" t="s">
        <v>115</v>
      </c>
      <c r="S2040" s="100"/>
      <c r="T2040" s="100"/>
      <c r="U2040" s="100"/>
      <c r="V2040" s="100"/>
      <c r="W2040" s="100"/>
      <c r="X2040" s="100">
        <v>90190406</v>
      </c>
      <c r="Y2040" s="100">
        <v>-1</v>
      </c>
      <c r="Z2040" s="100">
        <v>2</v>
      </c>
      <c r="AA2040" s="100" t="s">
        <v>115</v>
      </c>
      <c r="AB2040" s="100" t="s">
        <v>115</v>
      </c>
      <c r="AC2040" s="100" t="s">
        <v>4375</v>
      </c>
      <c r="AD2040" s="100"/>
      <c r="AE2040" s="100"/>
      <c r="AF2040" s="100"/>
      <c r="AG2040" s="100"/>
      <c r="AH2040" s="100"/>
      <c r="AI2040" s="100" t="s">
        <v>115</v>
      </c>
      <c r="AJ2040" s="100"/>
      <c r="AK2040" s="100"/>
      <c r="AL2040" s="100"/>
      <c r="AM2040" s="100"/>
      <c r="AN2040" s="100"/>
      <c r="AO2040" s="100"/>
      <c r="AP2040" s="89" t="s">
        <v>115</v>
      </c>
    </row>
    <row r="2041" spans="1:42" s="89" customFormat="1" x14ac:dyDescent="0.15">
      <c r="A2041" s="100" t="s">
        <v>1</v>
      </c>
      <c r="B2041" s="101">
        <v>90190405</v>
      </c>
      <c r="C2041" s="101">
        <v>1904</v>
      </c>
      <c r="D2041" s="101">
        <v>19</v>
      </c>
      <c r="E2041" s="101"/>
      <c r="F2041" s="101" t="s">
        <v>115</v>
      </c>
      <c r="G2041" s="101" t="s">
        <v>115</v>
      </c>
      <c r="H2041" s="101" t="s">
        <v>4376</v>
      </c>
      <c r="I2041" s="101">
        <v>4</v>
      </c>
      <c r="J2041" s="100">
        <v>0</v>
      </c>
      <c r="K2041" s="100">
        <v>4</v>
      </c>
      <c r="L2041" s="100" t="s">
        <v>115</v>
      </c>
      <c r="M2041" s="102"/>
      <c r="N2041" s="100"/>
      <c r="O2041" s="100" t="s">
        <v>115</v>
      </c>
      <c r="P2041" s="101"/>
      <c r="Q2041" s="100">
        <v>109</v>
      </c>
      <c r="R2041" s="100" t="s">
        <v>115</v>
      </c>
      <c r="S2041" s="100"/>
      <c r="T2041" s="100"/>
      <c r="U2041" s="100"/>
      <c r="V2041" s="100"/>
      <c r="W2041" s="100"/>
      <c r="X2041" s="100">
        <v>90190410</v>
      </c>
      <c r="Y2041" s="100">
        <v>-1</v>
      </c>
      <c r="Z2041" s="100">
        <v>2</v>
      </c>
      <c r="AA2041" s="100" t="s">
        <v>4377</v>
      </c>
      <c r="AB2041" s="100" t="s">
        <v>115</v>
      </c>
      <c r="AC2041" s="100" t="s">
        <v>115</v>
      </c>
      <c r="AD2041" s="100"/>
      <c r="AE2041" s="100"/>
      <c r="AF2041" s="100"/>
      <c r="AG2041" s="100"/>
      <c r="AH2041" s="100"/>
      <c r="AI2041" s="100" t="s">
        <v>115</v>
      </c>
      <c r="AJ2041" s="100"/>
      <c r="AK2041" s="100"/>
      <c r="AL2041" s="100"/>
      <c r="AM2041" s="100"/>
      <c r="AN2041" s="100"/>
      <c r="AO2041" s="100"/>
      <c r="AP2041" s="89" t="s">
        <v>115</v>
      </c>
    </row>
    <row r="2042" spans="1:42" s="89" customFormat="1" x14ac:dyDescent="0.15">
      <c r="A2042" s="100" t="s">
        <v>1</v>
      </c>
      <c r="B2042" s="101">
        <v>90190406</v>
      </c>
      <c r="C2042" s="101">
        <v>1904</v>
      </c>
      <c r="D2042" s="101">
        <v>19</v>
      </c>
      <c r="E2042" s="101"/>
      <c r="F2042" s="101" t="s">
        <v>115</v>
      </c>
      <c r="G2042" s="101" t="s">
        <v>115</v>
      </c>
      <c r="H2042" s="101" t="s">
        <v>4378</v>
      </c>
      <c r="I2042" s="101">
        <v>4</v>
      </c>
      <c r="J2042" s="100">
        <v>0</v>
      </c>
      <c r="K2042" s="100">
        <v>0</v>
      </c>
      <c r="L2042" s="100" t="s">
        <v>115</v>
      </c>
      <c r="M2042" s="102"/>
      <c r="N2042" s="100"/>
      <c r="O2042" s="100" t="s">
        <v>115</v>
      </c>
      <c r="P2042" s="101"/>
      <c r="Q2042" s="100">
        <v>109</v>
      </c>
      <c r="R2042" s="100" t="s">
        <v>115</v>
      </c>
      <c r="S2042" s="100"/>
      <c r="T2042" s="100"/>
      <c r="U2042" s="100"/>
      <c r="V2042" s="100"/>
      <c r="W2042" s="100"/>
      <c r="X2042" s="100">
        <v>90190407</v>
      </c>
      <c r="Y2042" s="100" t="s">
        <v>115</v>
      </c>
      <c r="Z2042" s="100" t="s">
        <v>115</v>
      </c>
      <c r="AA2042" s="100" t="s">
        <v>115</v>
      </c>
      <c r="AB2042" s="100" t="s">
        <v>115</v>
      </c>
      <c r="AC2042" s="100" t="s">
        <v>115</v>
      </c>
      <c r="AD2042" s="100"/>
      <c r="AE2042" s="100"/>
      <c r="AF2042" s="100"/>
      <c r="AG2042" s="100"/>
      <c r="AH2042" s="100"/>
      <c r="AI2042" s="100">
        <v>500</v>
      </c>
      <c r="AJ2042" s="100"/>
      <c r="AK2042" s="100"/>
      <c r="AL2042" s="100"/>
      <c r="AM2042" s="100"/>
      <c r="AN2042" s="100"/>
      <c r="AO2042" s="100"/>
      <c r="AP2042" s="89" t="s">
        <v>115</v>
      </c>
    </row>
    <row r="2043" spans="1:42" s="89" customFormat="1" x14ac:dyDescent="0.15">
      <c r="A2043" s="100" t="s">
        <v>1</v>
      </c>
      <c r="B2043" s="101">
        <v>90190407</v>
      </c>
      <c r="C2043" s="101">
        <v>1904</v>
      </c>
      <c r="D2043" s="101">
        <v>19</v>
      </c>
      <c r="E2043" s="101"/>
      <c r="F2043" s="101" t="s">
        <v>116</v>
      </c>
      <c r="G2043" s="101">
        <v>312</v>
      </c>
      <c r="H2043" s="101" t="s">
        <v>4379</v>
      </c>
      <c r="I2043" s="101">
        <v>0</v>
      </c>
      <c r="J2043" s="100">
        <v>0</v>
      </c>
      <c r="K2043" s="100">
        <v>0</v>
      </c>
      <c r="L2043" s="100" t="s">
        <v>115</v>
      </c>
      <c r="M2043" s="102"/>
      <c r="N2043" s="100"/>
      <c r="O2043" s="100" t="s">
        <v>115</v>
      </c>
      <c r="P2043" s="101"/>
      <c r="Q2043" s="100">
        <v>109</v>
      </c>
      <c r="R2043" s="100" t="s">
        <v>115</v>
      </c>
      <c r="S2043" s="100"/>
      <c r="T2043" s="100"/>
      <c r="U2043" s="100"/>
      <c r="V2043" s="100"/>
      <c r="W2043" s="100"/>
      <c r="X2043" s="100">
        <v>90190408</v>
      </c>
      <c r="Y2043" s="100" t="s">
        <v>115</v>
      </c>
      <c r="Z2043" s="100" t="s">
        <v>115</v>
      </c>
      <c r="AA2043" s="100" t="s">
        <v>115</v>
      </c>
      <c r="AB2043" s="100" t="s">
        <v>115</v>
      </c>
      <c r="AC2043" s="100" t="s">
        <v>115</v>
      </c>
      <c r="AD2043" s="100"/>
      <c r="AE2043" s="100"/>
      <c r="AF2043" s="100"/>
      <c r="AG2043" s="100"/>
      <c r="AH2043" s="100"/>
      <c r="AI2043" s="100">
        <v>500</v>
      </c>
      <c r="AJ2043" s="100"/>
      <c r="AK2043" s="100"/>
      <c r="AL2043" s="100"/>
      <c r="AM2043" s="100"/>
      <c r="AN2043" s="100"/>
      <c r="AO2043" s="100"/>
      <c r="AP2043" s="89" t="s">
        <v>115</v>
      </c>
    </row>
    <row r="2044" spans="1:42" s="89" customFormat="1" x14ac:dyDescent="0.15">
      <c r="A2044" s="100" t="s">
        <v>1</v>
      </c>
      <c r="B2044" s="101">
        <v>90190408</v>
      </c>
      <c r="C2044" s="101">
        <v>1904</v>
      </c>
      <c r="D2044" s="101">
        <v>19</v>
      </c>
      <c r="E2044" s="101"/>
      <c r="F2044" s="101" t="s">
        <v>4334</v>
      </c>
      <c r="G2044" s="101" t="s">
        <v>115</v>
      </c>
      <c r="H2044" s="101" t="s">
        <v>4380</v>
      </c>
      <c r="I2044" s="101">
        <v>1</v>
      </c>
      <c r="J2044" s="100">
        <v>0</v>
      </c>
      <c r="K2044" s="100">
        <v>0</v>
      </c>
      <c r="L2044" s="100" t="s">
        <v>115</v>
      </c>
      <c r="M2044" s="102"/>
      <c r="N2044" s="100"/>
      <c r="O2044" s="100" t="s">
        <v>115</v>
      </c>
      <c r="P2044" s="101"/>
      <c r="Q2044" s="100">
        <v>109</v>
      </c>
      <c r="R2044" s="100" t="s">
        <v>115</v>
      </c>
      <c r="S2044" s="100"/>
      <c r="T2044" s="100"/>
      <c r="U2044" s="100"/>
      <c r="V2044" s="100"/>
      <c r="W2044" s="100"/>
      <c r="X2044" s="100">
        <v>90190409</v>
      </c>
      <c r="Y2044" s="100" t="s">
        <v>115</v>
      </c>
      <c r="Z2044" s="100" t="s">
        <v>115</v>
      </c>
      <c r="AA2044" s="100" t="s">
        <v>115</v>
      </c>
      <c r="AB2044" s="100" t="s">
        <v>115</v>
      </c>
      <c r="AC2044" s="100" t="s">
        <v>115</v>
      </c>
      <c r="AD2044" s="100"/>
      <c r="AE2044" s="100"/>
      <c r="AF2044" s="100"/>
      <c r="AG2044" s="100"/>
      <c r="AH2044" s="100"/>
      <c r="AI2044" s="100">
        <v>500</v>
      </c>
      <c r="AJ2044" s="100"/>
      <c r="AK2044" s="100"/>
      <c r="AL2044" s="100"/>
      <c r="AM2044" s="100"/>
      <c r="AN2044" s="100"/>
      <c r="AO2044" s="100"/>
      <c r="AP2044" s="89" t="s">
        <v>115</v>
      </c>
    </row>
    <row r="2045" spans="1:42" s="89" customFormat="1" x14ac:dyDescent="0.15">
      <c r="A2045" s="100" t="s">
        <v>1</v>
      </c>
      <c r="B2045" s="101">
        <v>90190409</v>
      </c>
      <c r="C2045" s="101">
        <v>1904</v>
      </c>
      <c r="D2045" s="101">
        <v>19</v>
      </c>
      <c r="E2045" s="101"/>
      <c r="F2045" s="101" t="s">
        <v>116</v>
      </c>
      <c r="G2045" s="101">
        <v>312</v>
      </c>
      <c r="H2045" s="101" t="s">
        <v>4381</v>
      </c>
      <c r="I2045" s="101">
        <v>0</v>
      </c>
      <c r="J2045" s="100">
        <v>0</v>
      </c>
      <c r="K2045" s="100">
        <v>0</v>
      </c>
      <c r="L2045" s="100" t="s">
        <v>115</v>
      </c>
      <c r="M2045" s="102"/>
      <c r="N2045" s="100"/>
      <c r="O2045" s="100" t="s">
        <v>115</v>
      </c>
      <c r="P2045" s="101"/>
      <c r="Q2045" s="100">
        <v>109</v>
      </c>
      <c r="R2045" s="100" t="s">
        <v>115</v>
      </c>
      <c r="S2045" s="100"/>
      <c r="T2045" s="100"/>
      <c r="U2045" s="100"/>
      <c r="V2045" s="100"/>
      <c r="W2045" s="100"/>
      <c r="X2045" s="100">
        <v>90190414</v>
      </c>
      <c r="Y2045" s="100" t="s">
        <v>115</v>
      </c>
      <c r="Z2045" s="100" t="s">
        <v>115</v>
      </c>
      <c r="AA2045" s="100" t="s">
        <v>115</v>
      </c>
      <c r="AB2045" s="100" t="s">
        <v>115</v>
      </c>
      <c r="AC2045" s="100" t="s">
        <v>115</v>
      </c>
      <c r="AD2045" s="100"/>
      <c r="AE2045" s="100"/>
      <c r="AF2045" s="100"/>
      <c r="AG2045" s="100"/>
      <c r="AH2045" s="100"/>
      <c r="AI2045" s="100">
        <v>500</v>
      </c>
      <c r="AJ2045" s="100"/>
      <c r="AK2045" s="100"/>
      <c r="AL2045" s="100"/>
      <c r="AM2045" s="100"/>
      <c r="AN2045" s="100"/>
      <c r="AO2045" s="100"/>
      <c r="AP2045" s="89" t="s">
        <v>115</v>
      </c>
    </row>
    <row r="2046" spans="1:42" s="89" customFormat="1" x14ac:dyDescent="0.15">
      <c r="A2046" s="100" t="s">
        <v>1</v>
      </c>
      <c r="B2046" s="101">
        <v>90190410</v>
      </c>
      <c r="C2046" s="101">
        <v>1904</v>
      </c>
      <c r="D2046" s="101">
        <v>19</v>
      </c>
      <c r="E2046" s="101"/>
      <c r="F2046" s="101" t="s">
        <v>115</v>
      </c>
      <c r="G2046" s="101" t="s">
        <v>115</v>
      </c>
      <c r="H2046" s="101" t="s">
        <v>4382</v>
      </c>
      <c r="I2046" s="101">
        <v>4</v>
      </c>
      <c r="J2046" s="100">
        <v>0</v>
      </c>
      <c r="K2046" s="100">
        <v>0</v>
      </c>
      <c r="L2046" s="100" t="s">
        <v>115</v>
      </c>
      <c r="M2046" s="102"/>
      <c r="N2046" s="100"/>
      <c r="O2046" s="100" t="s">
        <v>115</v>
      </c>
      <c r="P2046" s="101"/>
      <c r="Q2046" s="100">
        <v>109</v>
      </c>
      <c r="R2046" s="100" t="s">
        <v>115</v>
      </c>
      <c r="S2046" s="100"/>
      <c r="T2046" s="100"/>
      <c r="U2046" s="100"/>
      <c r="V2046" s="100"/>
      <c r="W2046" s="100"/>
      <c r="X2046" s="100">
        <v>90190411</v>
      </c>
      <c r="Y2046" s="100" t="s">
        <v>115</v>
      </c>
      <c r="Z2046" s="100" t="s">
        <v>115</v>
      </c>
      <c r="AA2046" s="100" t="s">
        <v>115</v>
      </c>
      <c r="AB2046" s="100" t="s">
        <v>115</v>
      </c>
      <c r="AC2046" s="100" t="s">
        <v>115</v>
      </c>
      <c r="AD2046" s="100"/>
      <c r="AE2046" s="100"/>
      <c r="AF2046" s="100"/>
      <c r="AG2046" s="100"/>
      <c r="AH2046" s="100"/>
      <c r="AI2046" s="100" t="s">
        <v>115</v>
      </c>
      <c r="AJ2046" s="100"/>
      <c r="AK2046" s="100"/>
      <c r="AL2046" s="100"/>
      <c r="AM2046" s="100"/>
      <c r="AN2046" s="100"/>
      <c r="AO2046" s="100"/>
      <c r="AP2046" s="89" t="s">
        <v>115</v>
      </c>
    </row>
    <row r="2047" spans="1:42" s="89" customFormat="1" x14ac:dyDescent="0.15">
      <c r="A2047" s="100" t="s">
        <v>1</v>
      </c>
      <c r="B2047" s="101">
        <v>90190411</v>
      </c>
      <c r="C2047" s="101">
        <v>1904</v>
      </c>
      <c r="D2047" s="101">
        <v>19</v>
      </c>
      <c r="E2047" s="101"/>
      <c r="F2047" s="101" t="s">
        <v>115</v>
      </c>
      <c r="G2047" s="101" t="s">
        <v>115</v>
      </c>
      <c r="H2047" s="101" t="s">
        <v>4383</v>
      </c>
      <c r="I2047" s="101">
        <v>4</v>
      </c>
      <c r="J2047" s="100">
        <v>0</v>
      </c>
      <c r="K2047" s="100">
        <v>0</v>
      </c>
      <c r="L2047" s="100" t="s">
        <v>115</v>
      </c>
      <c r="M2047" s="102"/>
      <c r="N2047" s="100"/>
      <c r="O2047" s="100" t="s">
        <v>115</v>
      </c>
      <c r="P2047" s="101"/>
      <c r="Q2047" s="100">
        <v>109</v>
      </c>
      <c r="R2047" s="100" t="s">
        <v>115</v>
      </c>
      <c r="S2047" s="100"/>
      <c r="T2047" s="100"/>
      <c r="U2047" s="100"/>
      <c r="V2047" s="100"/>
      <c r="W2047" s="100"/>
      <c r="X2047" s="100">
        <v>90190412</v>
      </c>
      <c r="Y2047" s="100" t="s">
        <v>115</v>
      </c>
      <c r="Z2047" s="100" t="s">
        <v>115</v>
      </c>
      <c r="AA2047" s="100" t="s">
        <v>115</v>
      </c>
      <c r="AB2047" s="100" t="s">
        <v>115</v>
      </c>
      <c r="AC2047" s="100" t="s">
        <v>115</v>
      </c>
      <c r="AD2047" s="100"/>
      <c r="AE2047" s="100"/>
      <c r="AF2047" s="100"/>
      <c r="AG2047" s="100"/>
      <c r="AH2047" s="100"/>
      <c r="AI2047" s="100" t="s">
        <v>115</v>
      </c>
      <c r="AJ2047" s="100"/>
      <c r="AK2047" s="100"/>
      <c r="AL2047" s="100"/>
      <c r="AM2047" s="100"/>
      <c r="AN2047" s="100"/>
      <c r="AO2047" s="100"/>
      <c r="AP2047" s="89" t="s">
        <v>115</v>
      </c>
    </row>
    <row r="2048" spans="1:42" s="89" customFormat="1" x14ac:dyDescent="0.15">
      <c r="A2048" s="100" t="s">
        <v>1</v>
      </c>
      <c r="B2048" s="101">
        <v>90190412</v>
      </c>
      <c r="C2048" s="101">
        <v>1904</v>
      </c>
      <c r="D2048" s="101">
        <v>19</v>
      </c>
      <c r="E2048" s="101"/>
      <c r="F2048" s="101" t="s">
        <v>116</v>
      </c>
      <c r="G2048" s="101">
        <v>313</v>
      </c>
      <c r="H2048" s="101" t="s">
        <v>4384</v>
      </c>
      <c r="I2048" s="101">
        <v>0</v>
      </c>
      <c r="J2048" s="100">
        <v>0</v>
      </c>
      <c r="K2048" s="100">
        <v>0</v>
      </c>
      <c r="L2048" s="100" t="s">
        <v>115</v>
      </c>
      <c r="M2048" s="102"/>
      <c r="N2048" s="100"/>
      <c r="O2048" s="100" t="s">
        <v>115</v>
      </c>
      <c r="P2048" s="101"/>
      <c r="Q2048" s="100">
        <v>109</v>
      </c>
      <c r="R2048" s="100" t="s">
        <v>115</v>
      </c>
      <c r="S2048" s="100"/>
      <c r="T2048" s="100"/>
      <c r="U2048" s="100"/>
      <c r="V2048" s="100"/>
      <c r="W2048" s="100"/>
      <c r="X2048" s="100">
        <v>90190413</v>
      </c>
      <c r="Y2048" s="100" t="s">
        <v>115</v>
      </c>
      <c r="Z2048" s="100" t="s">
        <v>115</v>
      </c>
      <c r="AA2048" s="100" t="s">
        <v>115</v>
      </c>
      <c r="AB2048" s="100" t="s">
        <v>115</v>
      </c>
      <c r="AC2048" s="100" t="s">
        <v>115</v>
      </c>
      <c r="AD2048" s="100"/>
      <c r="AE2048" s="100"/>
      <c r="AF2048" s="100"/>
      <c r="AG2048" s="100"/>
      <c r="AH2048" s="100"/>
      <c r="AI2048" s="100">
        <v>500</v>
      </c>
      <c r="AJ2048" s="100"/>
      <c r="AK2048" s="100"/>
      <c r="AL2048" s="100"/>
      <c r="AM2048" s="100"/>
      <c r="AN2048" s="100"/>
      <c r="AO2048" s="100"/>
      <c r="AP2048" s="89" t="s">
        <v>115</v>
      </c>
    </row>
    <row r="2049" spans="1:42" s="89" customFormat="1" x14ac:dyDescent="0.15">
      <c r="A2049" s="100" t="s">
        <v>1</v>
      </c>
      <c r="B2049" s="101">
        <v>90190413</v>
      </c>
      <c r="C2049" s="101">
        <v>1904</v>
      </c>
      <c r="D2049" s="101">
        <v>19</v>
      </c>
      <c r="E2049" s="101"/>
      <c r="F2049" s="101" t="s">
        <v>115</v>
      </c>
      <c r="G2049" s="101" t="s">
        <v>115</v>
      </c>
      <c r="H2049" s="101" t="s">
        <v>4385</v>
      </c>
      <c r="I2049" s="101">
        <v>4</v>
      </c>
      <c r="J2049" s="100">
        <v>0</v>
      </c>
      <c r="K2049" s="100">
        <v>0</v>
      </c>
      <c r="L2049" s="100" t="s">
        <v>115</v>
      </c>
      <c r="M2049" s="102"/>
      <c r="N2049" s="100"/>
      <c r="O2049" s="100" t="s">
        <v>115</v>
      </c>
      <c r="P2049" s="101"/>
      <c r="Q2049" s="100">
        <v>109</v>
      </c>
      <c r="R2049" s="100" t="s">
        <v>115</v>
      </c>
      <c r="S2049" s="100"/>
      <c r="T2049" s="100"/>
      <c r="U2049" s="100"/>
      <c r="V2049" s="100"/>
      <c r="W2049" s="100"/>
      <c r="X2049" s="100">
        <v>90190414</v>
      </c>
      <c r="Y2049" s="100" t="s">
        <v>115</v>
      </c>
      <c r="Z2049" s="100" t="s">
        <v>115</v>
      </c>
      <c r="AA2049" s="100" t="s">
        <v>115</v>
      </c>
      <c r="AB2049" s="100" t="s">
        <v>115</v>
      </c>
      <c r="AC2049" s="100" t="s">
        <v>115</v>
      </c>
      <c r="AD2049" s="100"/>
      <c r="AE2049" s="100"/>
      <c r="AF2049" s="100"/>
      <c r="AG2049" s="100"/>
      <c r="AH2049" s="100"/>
      <c r="AI2049" s="100">
        <v>500</v>
      </c>
      <c r="AJ2049" s="100"/>
      <c r="AK2049" s="100"/>
      <c r="AL2049" s="100"/>
      <c r="AM2049" s="100"/>
      <c r="AN2049" s="100"/>
      <c r="AO2049" s="100"/>
      <c r="AP2049" s="89" t="s">
        <v>115</v>
      </c>
    </row>
    <row r="2050" spans="1:42" s="89" customFormat="1" x14ac:dyDescent="0.15">
      <c r="A2050" s="100" t="s">
        <v>1</v>
      </c>
      <c r="B2050" s="101">
        <v>90190414</v>
      </c>
      <c r="C2050" s="101">
        <v>1904</v>
      </c>
      <c r="D2050" s="101">
        <v>19</v>
      </c>
      <c r="E2050" s="101"/>
      <c r="F2050" s="101" t="s">
        <v>4334</v>
      </c>
      <c r="G2050" s="101" t="s">
        <v>115</v>
      </c>
      <c r="H2050" s="101" t="s">
        <v>4386</v>
      </c>
      <c r="I2050" s="101">
        <v>1</v>
      </c>
      <c r="J2050" s="100">
        <v>0</v>
      </c>
      <c r="K2050" s="100">
        <v>0</v>
      </c>
      <c r="L2050" s="100" t="s">
        <v>115</v>
      </c>
      <c r="M2050" s="102"/>
      <c r="N2050" s="100"/>
      <c r="O2050" s="100" t="s">
        <v>115</v>
      </c>
      <c r="P2050" s="101"/>
      <c r="Q2050" s="100">
        <v>109</v>
      </c>
      <c r="R2050" s="100" t="s">
        <v>115</v>
      </c>
      <c r="S2050" s="100"/>
      <c r="T2050" s="100"/>
      <c r="U2050" s="100"/>
      <c r="V2050" s="100"/>
      <c r="W2050" s="100"/>
      <c r="X2050" s="100">
        <v>90190415</v>
      </c>
      <c r="Y2050" s="100" t="s">
        <v>115</v>
      </c>
      <c r="Z2050" s="100" t="s">
        <v>115</v>
      </c>
      <c r="AA2050" s="100" t="s">
        <v>115</v>
      </c>
      <c r="AB2050" s="100" t="s">
        <v>115</v>
      </c>
      <c r="AC2050" s="100" t="s">
        <v>115</v>
      </c>
      <c r="AD2050" s="100"/>
      <c r="AE2050" s="100"/>
      <c r="AF2050" s="100"/>
      <c r="AG2050" s="100"/>
      <c r="AH2050" s="100"/>
      <c r="AI2050" s="100">
        <v>500</v>
      </c>
      <c r="AJ2050" s="100"/>
      <c r="AK2050" s="100"/>
      <c r="AL2050" s="100"/>
      <c r="AM2050" s="100"/>
      <c r="AN2050" s="100"/>
      <c r="AO2050" s="100"/>
      <c r="AP2050" s="89" t="s">
        <v>115</v>
      </c>
    </row>
    <row r="2051" spans="1:42" s="89" customFormat="1" x14ac:dyDescent="0.15">
      <c r="A2051" s="100" t="s">
        <v>1</v>
      </c>
      <c r="B2051" s="101">
        <v>90190415</v>
      </c>
      <c r="C2051" s="101">
        <v>1904</v>
      </c>
      <c r="D2051" s="101">
        <v>19</v>
      </c>
      <c r="E2051" s="101"/>
      <c r="F2051" s="101" t="s">
        <v>115</v>
      </c>
      <c r="G2051" s="101" t="s">
        <v>115</v>
      </c>
      <c r="H2051" s="101" t="s">
        <v>4387</v>
      </c>
      <c r="I2051" s="101">
        <v>4</v>
      </c>
      <c r="J2051" s="100">
        <v>0</v>
      </c>
      <c r="K2051" s="100">
        <v>0</v>
      </c>
      <c r="L2051" s="100" t="s">
        <v>115</v>
      </c>
      <c r="M2051" s="102"/>
      <c r="N2051" s="100"/>
      <c r="O2051" s="100" t="s">
        <v>115</v>
      </c>
      <c r="P2051" s="101"/>
      <c r="Q2051" s="100">
        <v>109</v>
      </c>
      <c r="R2051" s="100">
        <v>298</v>
      </c>
      <c r="S2051" s="100"/>
      <c r="T2051" s="100"/>
      <c r="U2051" s="100"/>
      <c r="V2051" s="100"/>
      <c r="W2051" s="100"/>
      <c r="X2051" s="100">
        <v>90190416</v>
      </c>
      <c r="Y2051" s="100" t="s">
        <v>115</v>
      </c>
      <c r="Z2051" s="100" t="s">
        <v>115</v>
      </c>
      <c r="AA2051" s="100" t="s">
        <v>115</v>
      </c>
      <c r="AB2051" s="100" t="s">
        <v>115</v>
      </c>
      <c r="AC2051" s="100" t="s">
        <v>115</v>
      </c>
      <c r="AD2051" s="100"/>
      <c r="AE2051" s="100"/>
      <c r="AF2051" s="100"/>
      <c r="AG2051" s="100"/>
      <c r="AH2051" s="100"/>
      <c r="AI2051" s="100" t="s">
        <v>115</v>
      </c>
      <c r="AJ2051" s="100"/>
      <c r="AK2051" s="100"/>
      <c r="AL2051" s="100"/>
      <c r="AM2051" s="100"/>
      <c r="AN2051" s="100"/>
      <c r="AO2051" s="100"/>
      <c r="AP2051" s="89" t="s">
        <v>115</v>
      </c>
    </row>
    <row r="2052" spans="1:42" s="89" customFormat="1" x14ac:dyDescent="0.15">
      <c r="A2052" s="100" t="s">
        <v>1</v>
      </c>
      <c r="B2052" s="101">
        <v>90190416</v>
      </c>
      <c r="C2052" s="101">
        <v>1904</v>
      </c>
      <c r="D2052" s="101">
        <v>19</v>
      </c>
      <c r="E2052" s="101"/>
      <c r="F2052" s="101" t="s">
        <v>4360</v>
      </c>
      <c r="G2052" s="101" t="s">
        <v>115</v>
      </c>
      <c r="H2052" s="101" t="s">
        <v>4388</v>
      </c>
      <c r="I2052" s="101">
        <v>3</v>
      </c>
      <c r="J2052" s="100">
        <v>0</v>
      </c>
      <c r="K2052" s="100">
        <v>0</v>
      </c>
      <c r="L2052" s="100" t="s">
        <v>115</v>
      </c>
      <c r="M2052" s="102"/>
      <c r="N2052" s="100"/>
      <c r="O2052" s="100" t="s">
        <v>115</v>
      </c>
      <c r="P2052" s="101"/>
      <c r="Q2052" s="100">
        <v>109</v>
      </c>
      <c r="R2052" s="100">
        <v>298</v>
      </c>
      <c r="S2052" s="100"/>
      <c r="T2052" s="100"/>
      <c r="U2052" s="100"/>
      <c r="V2052" s="100"/>
      <c r="W2052" s="100"/>
      <c r="X2052" s="100">
        <v>90190417</v>
      </c>
      <c r="Y2052" s="100" t="s">
        <v>115</v>
      </c>
      <c r="Z2052" s="100" t="s">
        <v>115</v>
      </c>
      <c r="AA2052" s="100" t="s">
        <v>115</v>
      </c>
      <c r="AB2052" s="100" t="s">
        <v>115</v>
      </c>
      <c r="AC2052" s="100" t="s">
        <v>115</v>
      </c>
      <c r="AD2052" s="100"/>
      <c r="AE2052" s="100"/>
      <c r="AF2052" s="100"/>
      <c r="AG2052" s="100"/>
      <c r="AH2052" s="100"/>
      <c r="AI2052" s="100" t="s">
        <v>115</v>
      </c>
      <c r="AJ2052" s="100"/>
      <c r="AK2052" s="100"/>
      <c r="AL2052" s="100"/>
      <c r="AM2052" s="100"/>
      <c r="AN2052" s="100"/>
      <c r="AO2052" s="100"/>
      <c r="AP2052" s="89" t="s">
        <v>115</v>
      </c>
    </row>
    <row r="2053" spans="1:42" s="89" customFormat="1" x14ac:dyDescent="0.15">
      <c r="A2053" s="100" t="s">
        <v>1</v>
      </c>
      <c r="B2053" s="101">
        <v>90190417</v>
      </c>
      <c r="C2053" s="101">
        <v>1904</v>
      </c>
      <c r="D2053" s="101">
        <v>19</v>
      </c>
      <c r="E2053" s="101"/>
      <c r="F2053" s="101" t="s">
        <v>116</v>
      </c>
      <c r="G2053" s="101">
        <v>312</v>
      </c>
      <c r="H2053" s="101" t="s">
        <v>4389</v>
      </c>
      <c r="I2053" s="101">
        <v>0</v>
      </c>
      <c r="J2053" s="100">
        <v>0</v>
      </c>
      <c r="K2053" s="100">
        <v>0</v>
      </c>
      <c r="L2053" s="100" t="s">
        <v>115</v>
      </c>
      <c r="M2053" s="102"/>
      <c r="N2053" s="100"/>
      <c r="O2053" s="100" t="s">
        <v>115</v>
      </c>
      <c r="P2053" s="101"/>
      <c r="Q2053" s="100">
        <v>109</v>
      </c>
      <c r="R2053" s="100">
        <v>298</v>
      </c>
      <c r="S2053" s="100"/>
      <c r="T2053" s="100"/>
      <c r="U2053" s="100"/>
      <c r="V2053" s="100"/>
      <c r="W2053" s="100"/>
      <c r="X2053" s="100">
        <v>90190418</v>
      </c>
      <c r="Y2053" s="100" t="s">
        <v>115</v>
      </c>
      <c r="Z2053" s="100" t="s">
        <v>115</v>
      </c>
      <c r="AA2053" s="100" t="s">
        <v>115</v>
      </c>
      <c r="AB2053" s="100" t="s">
        <v>115</v>
      </c>
      <c r="AC2053" s="100" t="s">
        <v>115</v>
      </c>
      <c r="AD2053" s="100"/>
      <c r="AE2053" s="100"/>
      <c r="AF2053" s="100"/>
      <c r="AG2053" s="100"/>
      <c r="AH2053" s="100"/>
      <c r="AI2053" s="100" t="s">
        <v>115</v>
      </c>
      <c r="AJ2053" s="100"/>
      <c r="AK2053" s="100"/>
      <c r="AL2053" s="100"/>
      <c r="AM2053" s="100"/>
      <c r="AN2053" s="100"/>
      <c r="AO2053" s="100"/>
      <c r="AP2053" s="89" t="s">
        <v>115</v>
      </c>
    </row>
    <row r="2054" spans="1:42" s="89" customFormat="1" x14ac:dyDescent="0.15">
      <c r="A2054" s="100" t="s">
        <v>1</v>
      </c>
      <c r="B2054" s="101">
        <v>90190418</v>
      </c>
      <c r="C2054" s="101">
        <v>1904</v>
      </c>
      <c r="D2054" s="101">
        <v>19</v>
      </c>
      <c r="E2054" s="101"/>
      <c r="F2054" s="101" t="s">
        <v>4360</v>
      </c>
      <c r="G2054" s="101" t="s">
        <v>115</v>
      </c>
      <c r="H2054" s="101" t="s">
        <v>4390</v>
      </c>
      <c r="I2054" s="101">
        <v>3</v>
      </c>
      <c r="J2054" s="100">
        <v>0</v>
      </c>
      <c r="K2054" s="100">
        <v>5</v>
      </c>
      <c r="L2054" s="100" t="s">
        <v>4391</v>
      </c>
      <c r="M2054" s="102"/>
      <c r="N2054" s="100"/>
      <c r="O2054" s="100" t="s">
        <v>115</v>
      </c>
      <c r="P2054" s="101"/>
      <c r="Q2054" s="100">
        <v>109</v>
      </c>
      <c r="R2054" s="100">
        <v>298</v>
      </c>
      <c r="S2054" s="100"/>
      <c r="T2054" s="100"/>
      <c r="U2054" s="100"/>
      <c r="V2054" s="100"/>
      <c r="W2054" s="100"/>
      <c r="X2054" s="100">
        <v>90190419</v>
      </c>
      <c r="Y2054" s="100" t="s">
        <v>115</v>
      </c>
      <c r="Z2054" s="100">
        <v>4</v>
      </c>
      <c r="AA2054" s="100" t="s">
        <v>115</v>
      </c>
      <c r="AB2054" s="100" t="s">
        <v>115</v>
      </c>
      <c r="AC2054" s="100" t="s">
        <v>115</v>
      </c>
      <c r="AD2054" s="100"/>
      <c r="AE2054" s="100"/>
      <c r="AF2054" s="100"/>
      <c r="AG2054" s="100"/>
      <c r="AH2054" s="100"/>
      <c r="AI2054" s="100" t="s">
        <v>115</v>
      </c>
      <c r="AJ2054" s="100"/>
      <c r="AK2054" s="100"/>
      <c r="AL2054" s="100"/>
      <c r="AM2054" s="100"/>
      <c r="AN2054" s="100"/>
      <c r="AO2054" s="100"/>
      <c r="AP2054" s="89" t="s">
        <v>115</v>
      </c>
    </row>
    <row r="2055" spans="1:42" s="89" customFormat="1" x14ac:dyDescent="0.15">
      <c r="A2055" s="100" t="s">
        <v>1</v>
      </c>
      <c r="B2055" s="101">
        <v>90190419</v>
      </c>
      <c r="C2055" s="101">
        <v>1904</v>
      </c>
      <c r="D2055" s="101">
        <v>19</v>
      </c>
      <c r="E2055" s="101"/>
      <c r="F2055" s="101" t="s">
        <v>116</v>
      </c>
      <c r="G2055" s="101">
        <v>360</v>
      </c>
      <c r="H2055" s="101" t="s">
        <v>4392</v>
      </c>
      <c r="I2055" s="101">
        <v>0</v>
      </c>
      <c r="J2055" s="100">
        <v>0</v>
      </c>
      <c r="K2055" s="100">
        <v>0</v>
      </c>
      <c r="L2055" s="100" t="s">
        <v>115</v>
      </c>
      <c r="M2055" s="102"/>
      <c r="N2055" s="100"/>
      <c r="O2055" s="100" t="s">
        <v>115</v>
      </c>
      <c r="P2055" s="101"/>
      <c r="Q2055" s="100">
        <v>109</v>
      </c>
      <c r="R2055" s="100">
        <v>298</v>
      </c>
      <c r="S2055" s="100"/>
      <c r="T2055" s="100"/>
      <c r="U2055" s="100"/>
      <c r="V2055" s="100"/>
      <c r="W2055" s="100"/>
      <c r="X2055" s="100">
        <v>90190420</v>
      </c>
      <c r="Y2055" s="100" t="s">
        <v>115</v>
      </c>
      <c r="Z2055" s="100" t="s">
        <v>115</v>
      </c>
      <c r="AA2055" s="100" t="s">
        <v>115</v>
      </c>
      <c r="AB2055" s="100" t="s">
        <v>115</v>
      </c>
      <c r="AC2055" s="100" t="s">
        <v>115</v>
      </c>
      <c r="AD2055" s="100"/>
      <c r="AE2055" s="100"/>
      <c r="AF2055" s="100"/>
      <c r="AG2055" s="100"/>
      <c r="AH2055" s="100"/>
      <c r="AI2055" s="100" t="s">
        <v>115</v>
      </c>
      <c r="AJ2055" s="100"/>
      <c r="AK2055" s="100"/>
      <c r="AL2055" s="100"/>
      <c r="AM2055" s="100"/>
      <c r="AN2055" s="100"/>
      <c r="AO2055" s="100"/>
      <c r="AP2055" s="89" t="s">
        <v>115</v>
      </c>
    </row>
    <row r="2056" spans="1:42" s="89" customFormat="1" x14ac:dyDescent="0.15">
      <c r="A2056" s="100" t="s">
        <v>1</v>
      </c>
      <c r="B2056" s="101">
        <v>90190420</v>
      </c>
      <c r="C2056" s="101">
        <v>1904</v>
      </c>
      <c r="D2056" s="101">
        <v>19</v>
      </c>
      <c r="E2056" s="101"/>
      <c r="F2056" s="101" t="s">
        <v>4360</v>
      </c>
      <c r="G2056" s="101" t="s">
        <v>115</v>
      </c>
      <c r="H2056" s="101" t="s">
        <v>4393</v>
      </c>
      <c r="I2056" s="101">
        <v>3</v>
      </c>
      <c r="J2056" s="100">
        <v>0</v>
      </c>
      <c r="K2056" s="100">
        <v>0</v>
      </c>
      <c r="L2056" s="100" t="s">
        <v>115</v>
      </c>
      <c r="M2056" s="102"/>
      <c r="N2056" s="100"/>
      <c r="O2056" s="100" t="s">
        <v>115</v>
      </c>
      <c r="P2056" s="101"/>
      <c r="Q2056" s="100">
        <v>109</v>
      </c>
      <c r="R2056" s="100">
        <v>298</v>
      </c>
      <c r="S2056" s="100"/>
      <c r="T2056" s="100"/>
      <c r="U2056" s="100"/>
      <c r="V2056" s="100"/>
      <c r="W2056" s="100"/>
      <c r="X2056" s="100">
        <v>90190421</v>
      </c>
      <c r="Y2056" s="100" t="s">
        <v>115</v>
      </c>
      <c r="Z2056" s="100" t="s">
        <v>115</v>
      </c>
      <c r="AA2056" s="100" t="s">
        <v>115</v>
      </c>
      <c r="AB2056" s="100" t="s">
        <v>115</v>
      </c>
      <c r="AC2056" s="100" t="s">
        <v>115</v>
      </c>
      <c r="AD2056" s="100"/>
      <c r="AE2056" s="100"/>
      <c r="AF2056" s="100"/>
      <c r="AG2056" s="100"/>
      <c r="AH2056" s="100"/>
      <c r="AI2056" s="100" t="s">
        <v>115</v>
      </c>
      <c r="AJ2056" s="100"/>
      <c r="AK2056" s="100"/>
      <c r="AL2056" s="100"/>
      <c r="AM2056" s="100"/>
      <c r="AN2056" s="100"/>
      <c r="AO2056" s="100"/>
      <c r="AP2056" s="89" t="s">
        <v>115</v>
      </c>
    </row>
    <row r="2057" spans="1:42" s="89" customFormat="1" x14ac:dyDescent="0.15">
      <c r="A2057" s="100" t="s">
        <v>1</v>
      </c>
      <c r="B2057" s="101">
        <v>90190421</v>
      </c>
      <c r="C2057" s="101">
        <v>1904</v>
      </c>
      <c r="D2057" s="101">
        <v>19</v>
      </c>
      <c r="E2057" s="101"/>
      <c r="F2057" s="101" t="s">
        <v>4360</v>
      </c>
      <c r="G2057" s="101" t="s">
        <v>115</v>
      </c>
      <c r="H2057" s="101" t="s">
        <v>4394</v>
      </c>
      <c r="I2057" s="101">
        <v>3</v>
      </c>
      <c r="J2057" s="100">
        <v>0</v>
      </c>
      <c r="K2057" s="100">
        <v>0</v>
      </c>
      <c r="L2057" s="100" t="s">
        <v>115</v>
      </c>
      <c r="M2057" s="102"/>
      <c r="N2057" s="100"/>
      <c r="O2057" s="100" t="s">
        <v>115</v>
      </c>
      <c r="P2057" s="101"/>
      <c r="Q2057" s="100">
        <v>109</v>
      </c>
      <c r="R2057" s="100">
        <v>298</v>
      </c>
      <c r="S2057" s="100"/>
      <c r="T2057" s="100"/>
      <c r="U2057" s="100"/>
      <c r="V2057" s="100"/>
      <c r="W2057" s="100"/>
      <c r="X2057" s="100">
        <v>90190422</v>
      </c>
      <c r="Y2057" s="100" t="s">
        <v>115</v>
      </c>
      <c r="Z2057" s="100" t="s">
        <v>115</v>
      </c>
      <c r="AA2057" s="100" t="s">
        <v>115</v>
      </c>
      <c r="AB2057" s="100" t="s">
        <v>115</v>
      </c>
      <c r="AC2057" s="100" t="s">
        <v>115</v>
      </c>
      <c r="AD2057" s="100"/>
      <c r="AE2057" s="100"/>
      <c r="AF2057" s="100"/>
      <c r="AG2057" s="100"/>
      <c r="AH2057" s="100"/>
      <c r="AI2057" s="100" t="s">
        <v>115</v>
      </c>
      <c r="AJ2057" s="100"/>
      <c r="AK2057" s="100"/>
      <c r="AL2057" s="100"/>
      <c r="AM2057" s="100"/>
      <c r="AN2057" s="100"/>
      <c r="AO2057" s="100"/>
      <c r="AP2057" s="89" t="s">
        <v>115</v>
      </c>
    </row>
    <row r="2058" spans="1:42" s="89" customFormat="1" x14ac:dyDescent="0.15">
      <c r="A2058" s="100" t="s">
        <v>1</v>
      </c>
      <c r="B2058" s="101">
        <v>90190422</v>
      </c>
      <c r="C2058" s="101">
        <v>1904</v>
      </c>
      <c r="D2058" s="101">
        <v>19</v>
      </c>
      <c r="E2058" s="101"/>
      <c r="F2058" s="101" t="s">
        <v>4360</v>
      </c>
      <c r="G2058" s="101" t="s">
        <v>115</v>
      </c>
      <c r="H2058" s="101" t="s">
        <v>4395</v>
      </c>
      <c r="I2058" s="101">
        <v>3</v>
      </c>
      <c r="J2058" s="100">
        <v>0</v>
      </c>
      <c r="K2058" s="100">
        <v>0</v>
      </c>
      <c r="L2058" s="100" t="s">
        <v>115</v>
      </c>
      <c r="M2058" s="102"/>
      <c r="N2058" s="100"/>
      <c r="O2058" s="100" t="s">
        <v>115</v>
      </c>
      <c r="P2058" s="101"/>
      <c r="Q2058" s="100">
        <v>109</v>
      </c>
      <c r="R2058" s="100">
        <v>298</v>
      </c>
      <c r="S2058" s="100"/>
      <c r="T2058" s="100"/>
      <c r="U2058" s="100"/>
      <c r="V2058" s="100"/>
      <c r="W2058" s="100"/>
      <c r="X2058" s="100">
        <v>90190423</v>
      </c>
      <c r="Y2058" s="100" t="s">
        <v>115</v>
      </c>
      <c r="Z2058" s="100" t="s">
        <v>115</v>
      </c>
      <c r="AA2058" s="100" t="s">
        <v>115</v>
      </c>
      <c r="AB2058" s="100" t="s">
        <v>115</v>
      </c>
      <c r="AC2058" s="100" t="s">
        <v>115</v>
      </c>
      <c r="AD2058" s="100"/>
      <c r="AE2058" s="100"/>
      <c r="AF2058" s="100"/>
      <c r="AG2058" s="100"/>
      <c r="AH2058" s="100"/>
      <c r="AI2058" s="100" t="s">
        <v>115</v>
      </c>
      <c r="AJ2058" s="100"/>
      <c r="AK2058" s="100"/>
      <c r="AL2058" s="100"/>
      <c r="AM2058" s="100"/>
      <c r="AN2058" s="100"/>
      <c r="AO2058" s="100"/>
      <c r="AP2058" s="89" t="s">
        <v>115</v>
      </c>
    </row>
    <row r="2059" spans="1:42" s="89" customFormat="1" x14ac:dyDescent="0.15">
      <c r="A2059" s="100" t="s">
        <v>1</v>
      </c>
      <c r="B2059" s="101">
        <v>90190423</v>
      </c>
      <c r="C2059" s="101">
        <v>1904</v>
      </c>
      <c r="D2059" s="101">
        <v>19</v>
      </c>
      <c r="E2059" s="101"/>
      <c r="F2059" s="101" t="s">
        <v>116</v>
      </c>
      <c r="G2059" s="101">
        <v>360</v>
      </c>
      <c r="H2059" s="101" t="s">
        <v>4396</v>
      </c>
      <c r="I2059" s="101">
        <v>0</v>
      </c>
      <c r="J2059" s="100">
        <v>0</v>
      </c>
      <c r="K2059" s="100">
        <v>0</v>
      </c>
      <c r="L2059" s="100" t="s">
        <v>115</v>
      </c>
      <c r="M2059" s="102"/>
      <c r="N2059" s="100"/>
      <c r="O2059" s="100" t="s">
        <v>115</v>
      </c>
      <c r="P2059" s="101"/>
      <c r="Q2059" s="100">
        <v>109</v>
      </c>
      <c r="R2059" s="100">
        <v>298</v>
      </c>
      <c r="S2059" s="100"/>
      <c r="T2059" s="100"/>
      <c r="U2059" s="100"/>
      <c r="V2059" s="100"/>
      <c r="W2059" s="100"/>
      <c r="X2059" s="100">
        <v>90190424</v>
      </c>
      <c r="Y2059" s="100" t="s">
        <v>115</v>
      </c>
      <c r="Z2059" s="100" t="s">
        <v>115</v>
      </c>
      <c r="AA2059" s="100" t="s">
        <v>115</v>
      </c>
      <c r="AB2059" s="100" t="s">
        <v>115</v>
      </c>
      <c r="AC2059" s="100" t="s">
        <v>115</v>
      </c>
      <c r="AD2059" s="100"/>
      <c r="AE2059" s="100"/>
      <c r="AF2059" s="100"/>
      <c r="AG2059" s="100"/>
      <c r="AH2059" s="100"/>
      <c r="AI2059" s="100" t="s">
        <v>115</v>
      </c>
      <c r="AJ2059" s="100"/>
      <c r="AK2059" s="100"/>
      <c r="AL2059" s="100"/>
      <c r="AM2059" s="100"/>
      <c r="AN2059" s="100"/>
      <c r="AO2059" s="100"/>
      <c r="AP2059" s="89" t="s">
        <v>115</v>
      </c>
    </row>
    <row r="2060" spans="1:42" s="89" customFormat="1" x14ac:dyDescent="0.15">
      <c r="A2060" s="100" t="s">
        <v>1</v>
      </c>
      <c r="B2060" s="101">
        <v>90190424</v>
      </c>
      <c r="C2060" s="101">
        <v>1904</v>
      </c>
      <c r="D2060" s="101">
        <v>19</v>
      </c>
      <c r="E2060" s="101"/>
      <c r="F2060" s="101" t="s">
        <v>4360</v>
      </c>
      <c r="G2060" s="101" t="s">
        <v>115</v>
      </c>
      <c r="H2060" s="101" t="s">
        <v>4397</v>
      </c>
      <c r="I2060" s="101">
        <v>3</v>
      </c>
      <c r="J2060" s="100">
        <v>0</v>
      </c>
      <c r="K2060" s="100">
        <v>0</v>
      </c>
      <c r="L2060" s="100" t="s">
        <v>115</v>
      </c>
      <c r="M2060" s="102"/>
      <c r="N2060" s="100"/>
      <c r="O2060" s="100" t="s">
        <v>115</v>
      </c>
      <c r="P2060" s="101"/>
      <c r="Q2060" s="100">
        <v>109</v>
      </c>
      <c r="R2060" s="100">
        <v>298</v>
      </c>
      <c r="S2060" s="100"/>
      <c r="T2060" s="100"/>
      <c r="U2060" s="100"/>
      <c r="V2060" s="100"/>
      <c r="W2060" s="100"/>
      <c r="X2060" s="100">
        <v>90190425</v>
      </c>
      <c r="Y2060" s="100" t="s">
        <v>115</v>
      </c>
      <c r="Z2060" s="100" t="s">
        <v>115</v>
      </c>
      <c r="AA2060" s="100" t="s">
        <v>115</v>
      </c>
      <c r="AB2060" s="100" t="s">
        <v>115</v>
      </c>
      <c r="AC2060" s="100" t="s">
        <v>115</v>
      </c>
      <c r="AD2060" s="100"/>
      <c r="AE2060" s="100"/>
      <c r="AF2060" s="100"/>
      <c r="AG2060" s="100"/>
      <c r="AH2060" s="100"/>
      <c r="AI2060" s="100" t="s">
        <v>115</v>
      </c>
      <c r="AJ2060" s="100"/>
      <c r="AK2060" s="100"/>
      <c r="AL2060" s="100"/>
      <c r="AM2060" s="100"/>
      <c r="AN2060" s="100"/>
      <c r="AO2060" s="100"/>
      <c r="AP2060" s="89" t="s">
        <v>115</v>
      </c>
    </row>
    <row r="2061" spans="1:42" s="89" customFormat="1" x14ac:dyDescent="0.15">
      <c r="A2061" s="100" t="s">
        <v>1</v>
      </c>
      <c r="B2061" s="101">
        <v>90190425</v>
      </c>
      <c r="C2061" s="101">
        <v>1904</v>
      </c>
      <c r="D2061" s="101">
        <v>19</v>
      </c>
      <c r="E2061" s="101"/>
      <c r="F2061" s="101" t="s">
        <v>115</v>
      </c>
      <c r="G2061" s="101" t="s">
        <v>115</v>
      </c>
      <c r="H2061" s="101" t="s">
        <v>4398</v>
      </c>
      <c r="I2061" s="101">
        <v>4</v>
      </c>
      <c r="J2061" s="100">
        <v>0</v>
      </c>
      <c r="K2061" s="100">
        <v>6</v>
      </c>
      <c r="L2061" s="100" t="s">
        <v>115</v>
      </c>
      <c r="M2061" s="102"/>
      <c r="N2061" s="100"/>
      <c r="O2061" s="100">
        <v>1</v>
      </c>
      <c r="P2061" s="101"/>
      <c r="Q2061" s="100">
        <v>109</v>
      </c>
      <c r="R2061" s="100">
        <v>298</v>
      </c>
      <c r="S2061" s="100"/>
      <c r="T2061" s="100"/>
      <c r="U2061" s="100"/>
      <c r="V2061" s="100"/>
      <c r="W2061" s="100"/>
      <c r="X2061" s="100" t="s">
        <v>115</v>
      </c>
      <c r="Y2061" s="100" t="s">
        <v>115</v>
      </c>
      <c r="Z2061" s="100">
        <v>5</v>
      </c>
      <c r="AA2061" s="100" t="s">
        <v>115</v>
      </c>
      <c r="AB2061" s="100" t="s">
        <v>115</v>
      </c>
      <c r="AC2061" s="100" t="s">
        <v>115</v>
      </c>
      <c r="AD2061" s="100"/>
      <c r="AE2061" s="100"/>
      <c r="AF2061" s="100"/>
      <c r="AG2061" s="100"/>
      <c r="AH2061" s="100"/>
      <c r="AI2061" s="100" t="s">
        <v>115</v>
      </c>
      <c r="AJ2061" s="100"/>
      <c r="AK2061" s="100"/>
      <c r="AL2061" s="100"/>
      <c r="AM2061" s="100"/>
      <c r="AN2061" s="100"/>
      <c r="AO2061" s="100"/>
      <c r="AP2061" s="89" t="s">
        <v>4399</v>
      </c>
    </row>
    <row r="2062" spans="1:42" s="89" customFormat="1" x14ac:dyDescent="0.15">
      <c r="A2062" s="100" t="s">
        <v>1</v>
      </c>
      <c r="B2062" s="101" t="s">
        <v>3975</v>
      </c>
      <c r="C2062" s="101">
        <v>1905</v>
      </c>
      <c r="D2062" s="101">
        <v>19</v>
      </c>
      <c r="E2062" s="101"/>
      <c r="F2062" s="101" t="s">
        <v>115</v>
      </c>
      <c r="G2062" s="101" t="s">
        <v>115</v>
      </c>
      <c r="H2062" s="101" t="s">
        <v>4400</v>
      </c>
      <c r="I2062" s="101">
        <v>4</v>
      </c>
      <c r="J2062" s="100">
        <v>1</v>
      </c>
      <c r="K2062" s="100">
        <v>1</v>
      </c>
      <c r="L2062" s="100" t="s">
        <v>115</v>
      </c>
      <c r="M2062" s="102"/>
      <c r="N2062" s="100"/>
      <c r="O2062" s="100" t="s">
        <v>115</v>
      </c>
      <c r="P2062" s="101"/>
      <c r="Q2062" s="100">
        <v>197</v>
      </c>
      <c r="R2062" s="100">
        <v>17</v>
      </c>
      <c r="S2062" s="100"/>
      <c r="T2062" s="100"/>
      <c r="U2062" s="100"/>
      <c r="V2062" s="100"/>
      <c r="W2062" s="100"/>
      <c r="X2062" s="100">
        <v>90190502</v>
      </c>
      <c r="Y2062" s="100" t="s">
        <v>115</v>
      </c>
      <c r="Z2062" s="100" t="s">
        <v>115</v>
      </c>
      <c r="AA2062" s="100" t="s">
        <v>115</v>
      </c>
      <c r="AB2062" s="100" t="s">
        <v>115</v>
      </c>
      <c r="AC2062" s="100" t="s">
        <v>115</v>
      </c>
      <c r="AD2062" s="100"/>
      <c r="AE2062" s="100"/>
      <c r="AF2062" s="100"/>
      <c r="AG2062" s="100"/>
      <c r="AH2062" s="100"/>
      <c r="AI2062" s="100" t="s">
        <v>115</v>
      </c>
      <c r="AJ2062" s="100"/>
      <c r="AK2062" s="100"/>
      <c r="AL2062" s="100"/>
      <c r="AM2062" s="100"/>
      <c r="AN2062" s="100"/>
      <c r="AO2062" s="100"/>
      <c r="AP2062" s="89" t="s">
        <v>115</v>
      </c>
    </row>
    <row r="2063" spans="1:42" s="89" customFormat="1" x14ac:dyDescent="0.15">
      <c r="A2063" s="100" t="s">
        <v>1</v>
      </c>
      <c r="B2063" s="101">
        <v>90190502</v>
      </c>
      <c r="C2063" s="101">
        <v>1905</v>
      </c>
      <c r="D2063" s="101">
        <v>19</v>
      </c>
      <c r="E2063" s="101"/>
      <c r="F2063" s="101" t="s">
        <v>116</v>
      </c>
      <c r="G2063" s="101">
        <v>312</v>
      </c>
      <c r="H2063" s="101" t="s">
        <v>4401</v>
      </c>
      <c r="I2063" s="101">
        <v>0</v>
      </c>
      <c r="J2063" s="100">
        <v>0</v>
      </c>
      <c r="K2063" s="100">
        <v>0</v>
      </c>
      <c r="L2063" s="100" t="s">
        <v>115</v>
      </c>
      <c r="M2063" s="102"/>
      <c r="N2063" s="100"/>
      <c r="O2063" s="100" t="s">
        <v>115</v>
      </c>
      <c r="P2063" s="101"/>
      <c r="Q2063" s="100">
        <v>197</v>
      </c>
      <c r="R2063" s="100">
        <v>17</v>
      </c>
      <c r="S2063" s="100"/>
      <c r="T2063" s="100"/>
      <c r="U2063" s="100"/>
      <c r="V2063" s="100"/>
      <c r="W2063" s="100"/>
      <c r="X2063" s="100">
        <v>90190503</v>
      </c>
      <c r="Y2063" s="100" t="s">
        <v>115</v>
      </c>
      <c r="Z2063" s="100" t="s">
        <v>115</v>
      </c>
      <c r="AA2063" s="100" t="s">
        <v>115</v>
      </c>
      <c r="AB2063" s="100" t="s">
        <v>115</v>
      </c>
      <c r="AC2063" s="100" t="s">
        <v>115</v>
      </c>
      <c r="AD2063" s="100"/>
      <c r="AE2063" s="100"/>
      <c r="AF2063" s="100"/>
      <c r="AG2063" s="100"/>
      <c r="AH2063" s="100"/>
      <c r="AI2063" s="100" t="s">
        <v>115</v>
      </c>
      <c r="AJ2063" s="100"/>
      <c r="AK2063" s="100"/>
      <c r="AL2063" s="100"/>
      <c r="AM2063" s="100"/>
      <c r="AN2063" s="100"/>
      <c r="AO2063" s="100"/>
      <c r="AP2063" s="89" t="s">
        <v>115</v>
      </c>
    </row>
    <row r="2064" spans="1:42" s="89" customFormat="1" x14ac:dyDescent="0.15">
      <c r="A2064" s="100" t="s">
        <v>1</v>
      </c>
      <c r="B2064" s="101">
        <v>90190503</v>
      </c>
      <c r="C2064" s="101">
        <v>1905</v>
      </c>
      <c r="D2064" s="101">
        <v>19</v>
      </c>
      <c r="E2064" s="101"/>
      <c r="F2064" s="101" t="s">
        <v>629</v>
      </c>
      <c r="G2064" s="101" t="s">
        <v>115</v>
      </c>
      <c r="H2064" s="101" t="s">
        <v>4402</v>
      </c>
      <c r="I2064" s="101">
        <v>3</v>
      </c>
      <c r="J2064" s="100">
        <v>0</v>
      </c>
      <c r="K2064" s="100">
        <v>0</v>
      </c>
      <c r="L2064" s="100" t="s">
        <v>115</v>
      </c>
      <c r="M2064" s="102"/>
      <c r="N2064" s="100"/>
      <c r="O2064" s="100" t="s">
        <v>115</v>
      </c>
      <c r="P2064" s="101"/>
      <c r="Q2064" s="100">
        <v>197</v>
      </c>
      <c r="R2064" s="100">
        <v>17</v>
      </c>
      <c r="S2064" s="100"/>
      <c r="T2064" s="100"/>
      <c r="U2064" s="100"/>
      <c r="V2064" s="100"/>
      <c r="W2064" s="100"/>
      <c r="X2064" s="100">
        <v>90190504</v>
      </c>
      <c r="Y2064" s="100" t="s">
        <v>115</v>
      </c>
      <c r="Z2064" s="100" t="s">
        <v>115</v>
      </c>
      <c r="AA2064" s="100" t="s">
        <v>115</v>
      </c>
      <c r="AB2064" s="100" t="s">
        <v>115</v>
      </c>
      <c r="AC2064" s="100" t="s">
        <v>115</v>
      </c>
      <c r="AD2064" s="100"/>
      <c r="AE2064" s="100"/>
      <c r="AF2064" s="100"/>
      <c r="AG2064" s="100"/>
      <c r="AH2064" s="100"/>
      <c r="AI2064" s="100" t="s">
        <v>115</v>
      </c>
      <c r="AJ2064" s="100"/>
      <c r="AK2064" s="100"/>
      <c r="AL2064" s="100"/>
      <c r="AM2064" s="100"/>
      <c r="AN2064" s="100"/>
      <c r="AO2064" s="100"/>
      <c r="AP2064" s="89" t="s">
        <v>115</v>
      </c>
    </row>
    <row r="2065" spans="1:42" s="89" customFormat="1" x14ac:dyDescent="0.15">
      <c r="A2065" s="100" t="s">
        <v>1</v>
      </c>
      <c r="B2065" s="101">
        <v>90190504</v>
      </c>
      <c r="C2065" s="101">
        <v>1905</v>
      </c>
      <c r="D2065" s="101">
        <v>19</v>
      </c>
      <c r="E2065" s="101"/>
      <c r="F2065" s="101" t="s">
        <v>115</v>
      </c>
      <c r="G2065" s="101" t="s">
        <v>115</v>
      </c>
      <c r="H2065" s="101" t="s">
        <v>4403</v>
      </c>
      <c r="I2065" s="101">
        <v>4</v>
      </c>
      <c r="J2065" s="100">
        <v>0</v>
      </c>
      <c r="K2065" s="100">
        <v>2</v>
      </c>
      <c r="L2065" s="100" t="s">
        <v>115</v>
      </c>
      <c r="M2065" s="102"/>
      <c r="N2065" s="100"/>
      <c r="O2065" s="100" t="s">
        <v>115</v>
      </c>
      <c r="P2065" s="101"/>
      <c r="Q2065" s="100">
        <v>197</v>
      </c>
      <c r="R2065" s="100">
        <v>17</v>
      </c>
      <c r="S2065" s="100"/>
      <c r="T2065" s="100"/>
      <c r="U2065" s="100"/>
      <c r="V2065" s="100"/>
      <c r="W2065" s="100"/>
      <c r="X2065" s="100" t="s">
        <v>4404</v>
      </c>
      <c r="Y2065" s="100">
        <v>1</v>
      </c>
      <c r="Z2065" s="100">
        <v>1</v>
      </c>
      <c r="AA2065" s="100" t="s">
        <v>115</v>
      </c>
      <c r="AB2065" s="100" t="s">
        <v>115</v>
      </c>
      <c r="AC2065" s="100" t="s">
        <v>115</v>
      </c>
      <c r="AD2065" s="100"/>
      <c r="AE2065" s="100"/>
      <c r="AF2065" s="100"/>
      <c r="AG2065" s="100"/>
      <c r="AH2065" s="100"/>
      <c r="AI2065" s="100" t="s">
        <v>115</v>
      </c>
      <c r="AJ2065" s="100"/>
      <c r="AK2065" s="100"/>
      <c r="AL2065" s="100"/>
      <c r="AM2065" s="100"/>
      <c r="AN2065" s="100"/>
      <c r="AO2065" s="100"/>
      <c r="AP2065" s="89" t="s">
        <v>115</v>
      </c>
    </row>
    <row r="2066" spans="1:42" s="89" customFormat="1" x14ac:dyDescent="0.15">
      <c r="A2066" s="100" t="s">
        <v>1</v>
      </c>
      <c r="B2066" s="101">
        <v>90190505</v>
      </c>
      <c r="C2066" s="101">
        <v>1905</v>
      </c>
      <c r="D2066" s="101">
        <v>19</v>
      </c>
      <c r="E2066" s="101"/>
      <c r="F2066" s="101" t="s">
        <v>115</v>
      </c>
      <c r="G2066" s="101" t="s">
        <v>115</v>
      </c>
      <c r="H2066" s="101" t="s">
        <v>4405</v>
      </c>
      <c r="I2066" s="101">
        <v>4</v>
      </c>
      <c r="J2066" s="100">
        <v>0</v>
      </c>
      <c r="K2066" s="100">
        <v>3</v>
      </c>
      <c r="L2066" s="100" t="s">
        <v>115</v>
      </c>
      <c r="M2066" s="102"/>
      <c r="N2066" s="100"/>
      <c r="O2066" s="100" t="s">
        <v>115</v>
      </c>
      <c r="P2066" s="101"/>
      <c r="Q2066" s="100">
        <v>197</v>
      </c>
      <c r="R2066" s="100">
        <v>17</v>
      </c>
      <c r="S2066" s="100"/>
      <c r="T2066" s="100"/>
      <c r="U2066" s="100"/>
      <c r="V2066" s="100"/>
      <c r="W2066" s="100"/>
      <c r="X2066" s="100">
        <v>90190506</v>
      </c>
      <c r="Y2066" s="100">
        <v>-1</v>
      </c>
      <c r="Z2066" s="100">
        <v>2</v>
      </c>
      <c r="AA2066" s="100" t="s">
        <v>4406</v>
      </c>
      <c r="AB2066" s="100" t="s">
        <v>115</v>
      </c>
      <c r="AC2066" s="100" t="s">
        <v>115</v>
      </c>
      <c r="AD2066" s="100"/>
      <c r="AE2066" s="100"/>
      <c r="AF2066" s="100"/>
      <c r="AG2066" s="100"/>
      <c r="AH2066" s="100"/>
      <c r="AI2066" s="100" t="s">
        <v>115</v>
      </c>
      <c r="AJ2066" s="100"/>
      <c r="AK2066" s="100"/>
      <c r="AL2066" s="100"/>
      <c r="AM2066" s="100"/>
      <c r="AN2066" s="100"/>
      <c r="AO2066" s="100"/>
      <c r="AP2066" s="89" t="s">
        <v>115</v>
      </c>
    </row>
    <row r="2067" spans="1:42" s="89" customFormat="1" x14ac:dyDescent="0.15">
      <c r="A2067" s="100" t="s">
        <v>1</v>
      </c>
      <c r="B2067" s="101">
        <v>90190506</v>
      </c>
      <c r="C2067" s="101">
        <v>1905</v>
      </c>
      <c r="D2067" s="101">
        <v>19</v>
      </c>
      <c r="E2067" s="101"/>
      <c r="F2067" s="101" t="s">
        <v>116</v>
      </c>
      <c r="G2067" s="101">
        <v>312</v>
      </c>
      <c r="H2067" s="101" t="s">
        <v>4407</v>
      </c>
      <c r="I2067" s="101">
        <v>0</v>
      </c>
      <c r="J2067" s="100">
        <v>0</v>
      </c>
      <c r="K2067" s="100">
        <v>0</v>
      </c>
      <c r="L2067" s="100" t="s">
        <v>115</v>
      </c>
      <c r="M2067" s="102"/>
      <c r="N2067" s="100"/>
      <c r="O2067" s="100" t="s">
        <v>115</v>
      </c>
      <c r="P2067" s="101"/>
      <c r="Q2067" s="100">
        <v>197</v>
      </c>
      <c r="R2067" s="100">
        <v>17</v>
      </c>
      <c r="S2067" s="100"/>
      <c r="T2067" s="100"/>
      <c r="U2067" s="100"/>
      <c r="V2067" s="100"/>
      <c r="W2067" s="100"/>
      <c r="X2067" s="100">
        <v>90190507</v>
      </c>
      <c r="Y2067" s="100" t="s">
        <v>115</v>
      </c>
      <c r="Z2067" s="100" t="s">
        <v>115</v>
      </c>
      <c r="AA2067" s="100" t="s">
        <v>115</v>
      </c>
      <c r="AB2067" s="100" t="s">
        <v>115</v>
      </c>
      <c r="AC2067" s="100" t="s">
        <v>115</v>
      </c>
      <c r="AD2067" s="100"/>
      <c r="AE2067" s="100"/>
      <c r="AF2067" s="100"/>
      <c r="AG2067" s="100"/>
      <c r="AH2067" s="100"/>
      <c r="AI2067" s="100" t="s">
        <v>115</v>
      </c>
      <c r="AJ2067" s="100"/>
      <c r="AK2067" s="100"/>
      <c r="AL2067" s="100"/>
      <c r="AM2067" s="100"/>
      <c r="AN2067" s="100"/>
      <c r="AO2067" s="100"/>
      <c r="AP2067" s="89" t="s">
        <v>115</v>
      </c>
    </row>
    <row r="2068" spans="1:42" s="89" customFormat="1" x14ac:dyDescent="0.15">
      <c r="A2068" s="100" t="s">
        <v>1</v>
      </c>
      <c r="B2068" s="101">
        <v>90190507</v>
      </c>
      <c r="C2068" s="101">
        <v>1905</v>
      </c>
      <c r="D2068" s="101">
        <v>19</v>
      </c>
      <c r="E2068" s="101"/>
      <c r="F2068" s="101" t="s">
        <v>629</v>
      </c>
      <c r="G2068" s="101" t="s">
        <v>115</v>
      </c>
      <c r="H2068" s="101" t="s">
        <v>4408</v>
      </c>
      <c r="I2068" s="101">
        <v>3</v>
      </c>
      <c r="J2068" s="100">
        <v>0</v>
      </c>
      <c r="K2068" s="100">
        <v>0</v>
      </c>
      <c r="L2068" s="100" t="s">
        <v>115</v>
      </c>
      <c r="M2068" s="102"/>
      <c r="N2068" s="100"/>
      <c r="O2068" s="100" t="s">
        <v>115</v>
      </c>
      <c r="P2068" s="101"/>
      <c r="Q2068" s="100">
        <v>197</v>
      </c>
      <c r="R2068" s="100">
        <v>17</v>
      </c>
      <c r="S2068" s="100"/>
      <c r="T2068" s="100"/>
      <c r="U2068" s="100"/>
      <c r="V2068" s="100"/>
      <c r="W2068" s="100"/>
      <c r="X2068" s="100">
        <v>90190508</v>
      </c>
      <c r="Y2068" s="100" t="s">
        <v>115</v>
      </c>
      <c r="Z2068" s="100" t="s">
        <v>115</v>
      </c>
      <c r="AA2068" s="100" t="s">
        <v>115</v>
      </c>
      <c r="AB2068" s="100" t="s">
        <v>115</v>
      </c>
      <c r="AC2068" s="100" t="s">
        <v>115</v>
      </c>
      <c r="AD2068" s="100"/>
      <c r="AE2068" s="100"/>
      <c r="AF2068" s="100"/>
      <c r="AG2068" s="100"/>
      <c r="AH2068" s="100"/>
      <c r="AI2068" s="100" t="s">
        <v>115</v>
      </c>
      <c r="AJ2068" s="100"/>
      <c r="AK2068" s="100"/>
      <c r="AL2068" s="100"/>
      <c r="AM2068" s="100"/>
      <c r="AN2068" s="100"/>
      <c r="AO2068" s="100"/>
      <c r="AP2068" s="89" t="s">
        <v>115</v>
      </c>
    </row>
    <row r="2069" spans="1:42" s="89" customFormat="1" x14ac:dyDescent="0.15">
      <c r="A2069" s="100" t="s">
        <v>1</v>
      </c>
      <c r="B2069" s="101">
        <v>90190508</v>
      </c>
      <c r="C2069" s="101">
        <v>1905</v>
      </c>
      <c r="D2069" s="101">
        <v>19</v>
      </c>
      <c r="E2069" s="101"/>
      <c r="F2069" s="101" t="s">
        <v>629</v>
      </c>
      <c r="G2069" s="101" t="s">
        <v>115</v>
      </c>
      <c r="H2069" s="101" t="s">
        <v>4409</v>
      </c>
      <c r="I2069" s="101">
        <v>3</v>
      </c>
      <c r="J2069" s="100">
        <v>0</v>
      </c>
      <c r="K2069" s="100">
        <v>0</v>
      </c>
      <c r="L2069" s="100" t="s">
        <v>115</v>
      </c>
      <c r="M2069" s="102"/>
      <c r="N2069" s="100"/>
      <c r="O2069" s="100" t="s">
        <v>115</v>
      </c>
      <c r="P2069" s="101"/>
      <c r="Q2069" s="100">
        <v>197</v>
      </c>
      <c r="R2069" s="100">
        <v>17</v>
      </c>
      <c r="S2069" s="100"/>
      <c r="T2069" s="100"/>
      <c r="U2069" s="100"/>
      <c r="V2069" s="100"/>
      <c r="W2069" s="100"/>
      <c r="X2069" s="100">
        <v>90190509</v>
      </c>
      <c r="Y2069" s="100" t="s">
        <v>115</v>
      </c>
      <c r="Z2069" s="100" t="s">
        <v>115</v>
      </c>
      <c r="AA2069" s="100" t="s">
        <v>115</v>
      </c>
      <c r="AB2069" s="100" t="s">
        <v>115</v>
      </c>
      <c r="AC2069" s="100" t="s">
        <v>115</v>
      </c>
      <c r="AD2069" s="100"/>
      <c r="AE2069" s="100"/>
      <c r="AF2069" s="100"/>
      <c r="AG2069" s="100"/>
      <c r="AH2069" s="100"/>
      <c r="AI2069" s="100" t="s">
        <v>115</v>
      </c>
      <c r="AJ2069" s="100"/>
      <c r="AK2069" s="100"/>
      <c r="AL2069" s="100"/>
      <c r="AM2069" s="100"/>
      <c r="AN2069" s="100"/>
      <c r="AO2069" s="100"/>
      <c r="AP2069" s="89" t="s">
        <v>115</v>
      </c>
    </row>
    <row r="2070" spans="1:42" s="89" customFormat="1" x14ac:dyDescent="0.15">
      <c r="A2070" s="100" t="s">
        <v>1</v>
      </c>
      <c r="B2070" s="101">
        <v>90190509</v>
      </c>
      <c r="C2070" s="101">
        <v>1905</v>
      </c>
      <c r="D2070" s="101">
        <v>19</v>
      </c>
      <c r="E2070" s="101"/>
      <c r="F2070" s="101" t="s">
        <v>629</v>
      </c>
      <c r="G2070" s="101" t="s">
        <v>115</v>
      </c>
      <c r="H2070" s="101" t="s">
        <v>4410</v>
      </c>
      <c r="I2070" s="101">
        <v>3</v>
      </c>
      <c r="J2070" s="100">
        <v>0</v>
      </c>
      <c r="K2070" s="100">
        <v>0</v>
      </c>
      <c r="L2070" s="100" t="s">
        <v>115</v>
      </c>
      <c r="M2070" s="102"/>
      <c r="N2070" s="100"/>
      <c r="O2070" s="100" t="s">
        <v>115</v>
      </c>
      <c r="P2070" s="101"/>
      <c r="Q2070" s="100">
        <v>197</v>
      </c>
      <c r="R2070" s="100">
        <v>17</v>
      </c>
      <c r="S2070" s="100"/>
      <c r="T2070" s="100"/>
      <c r="U2070" s="100"/>
      <c r="V2070" s="100"/>
      <c r="W2070" s="100"/>
      <c r="X2070" s="100">
        <v>90190510</v>
      </c>
      <c r="Y2070" s="100" t="s">
        <v>115</v>
      </c>
      <c r="Z2070" s="100" t="s">
        <v>115</v>
      </c>
      <c r="AA2070" s="100" t="s">
        <v>115</v>
      </c>
      <c r="AB2070" s="100" t="s">
        <v>115</v>
      </c>
      <c r="AC2070" s="100" t="s">
        <v>115</v>
      </c>
      <c r="AD2070" s="100"/>
      <c r="AE2070" s="100"/>
      <c r="AF2070" s="100"/>
      <c r="AG2070" s="100"/>
      <c r="AH2070" s="100"/>
      <c r="AI2070" s="100" t="s">
        <v>115</v>
      </c>
      <c r="AJ2070" s="100"/>
      <c r="AK2070" s="100"/>
      <c r="AL2070" s="100"/>
      <c r="AM2070" s="100"/>
      <c r="AN2070" s="100"/>
      <c r="AO2070" s="100"/>
      <c r="AP2070" s="89" t="s">
        <v>115</v>
      </c>
    </row>
    <row r="2071" spans="1:42" s="89" customFormat="1" x14ac:dyDescent="0.15">
      <c r="A2071" s="100" t="s">
        <v>1</v>
      </c>
      <c r="B2071" s="101">
        <v>90190510</v>
      </c>
      <c r="C2071" s="101">
        <v>1905</v>
      </c>
      <c r="D2071" s="101">
        <v>19</v>
      </c>
      <c r="E2071" s="101"/>
      <c r="F2071" s="101" t="s">
        <v>116</v>
      </c>
      <c r="G2071" s="101">
        <v>312</v>
      </c>
      <c r="H2071" s="101" t="s">
        <v>4411</v>
      </c>
      <c r="I2071" s="101">
        <v>0</v>
      </c>
      <c r="J2071" s="100">
        <v>0</v>
      </c>
      <c r="K2071" s="100">
        <v>0</v>
      </c>
      <c r="L2071" s="100" t="s">
        <v>115</v>
      </c>
      <c r="M2071" s="102"/>
      <c r="N2071" s="100"/>
      <c r="O2071" s="100" t="s">
        <v>115</v>
      </c>
      <c r="P2071" s="101"/>
      <c r="Q2071" s="100">
        <v>197</v>
      </c>
      <c r="R2071" s="100">
        <v>17</v>
      </c>
      <c r="S2071" s="100"/>
      <c r="T2071" s="100"/>
      <c r="U2071" s="100"/>
      <c r="V2071" s="100"/>
      <c r="W2071" s="100"/>
      <c r="X2071" s="100">
        <v>90190511</v>
      </c>
      <c r="Y2071" s="100" t="s">
        <v>115</v>
      </c>
      <c r="Z2071" s="100" t="s">
        <v>115</v>
      </c>
      <c r="AA2071" s="100" t="s">
        <v>115</v>
      </c>
      <c r="AB2071" s="100" t="s">
        <v>115</v>
      </c>
      <c r="AC2071" s="100" t="s">
        <v>115</v>
      </c>
      <c r="AD2071" s="100"/>
      <c r="AE2071" s="100"/>
      <c r="AF2071" s="100"/>
      <c r="AG2071" s="100"/>
      <c r="AH2071" s="100"/>
      <c r="AI2071" s="100" t="s">
        <v>115</v>
      </c>
      <c r="AJ2071" s="100"/>
      <c r="AK2071" s="100"/>
      <c r="AL2071" s="100"/>
      <c r="AM2071" s="100"/>
      <c r="AN2071" s="100"/>
      <c r="AO2071" s="100"/>
      <c r="AP2071" s="89" t="s">
        <v>115</v>
      </c>
    </row>
    <row r="2072" spans="1:42" s="89" customFormat="1" x14ac:dyDescent="0.15">
      <c r="A2072" s="100" t="s">
        <v>1</v>
      </c>
      <c r="B2072" s="101">
        <v>90190511</v>
      </c>
      <c r="C2072" s="101">
        <v>1905</v>
      </c>
      <c r="D2072" s="101">
        <v>19</v>
      </c>
      <c r="E2072" s="101"/>
      <c r="F2072" s="101" t="s">
        <v>629</v>
      </c>
      <c r="G2072" s="101" t="s">
        <v>115</v>
      </c>
      <c r="H2072" s="101" t="s">
        <v>4412</v>
      </c>
      <c r="I2072" s="101">
        <v>3</v>
      </c>
      <c r="J2072" s="100">
        <v>0</v>
      </c>
      <c r="K2072" s="100">
        <v>0</v>
      </c>
      <c r="L2072" s="100" t="s">
        <v>115</v>
      </c>
      <c r="M2072" s="102"/>
      <c r="N2072" s="100"/>
      <c r="O2072" s="100" t="s">
        <v>115</v>
      </c>
      <c r="P2072" s="101"/>
      <c r="Q2072" s="100">
        <v>197</v>
      </c>
      <c r="R2072" s="100">
        <v>17</v>
      </c>
      <c r="S2072" s="100"/>
      <c r="T2072" s="100"/>
      <c r="U2072" s="100"/>
      <c r="V2072" s="100"/>
      <c r="W2072" s="100"/>
      <c r="X2072" s="100">
        <v>90190512</v>
      </c>
      <c r="Y2072" s="100" t="s">
        <v>115</v>
      </c>
      <c r="Z2072" s="100" t="s">
        <v>115</v>
      </c>
      <c r="AA2072" s="100" t="s">
        <v>115</v>
      </c>
      <c r="AB2072" s="100" t="s">
        <v>115</v>
      </c>
      <c r="AC2072" s="100" t="s">
        <v>115</v>
      </c>
      <c r="AD2072" s="100"/>
      <c r="AE2072" s="100"/>
      <c r="AF2072" s="100"/>
      <c r="AG2072" s="100"/>
      <c r="AH2072" s="100"/>
      <c r="AI2072" s="100" t="s">
        <v>115</v>
      </c>
      <c r="AJ2072" s="100"/>
      <c r="AK2072" s="100"/>
      <c r="AL2072" s="100"/>
      <c r="AM2072" s="100"/>
      <c r="AN2072" s="100"/>
      <c r="AO2072" s="100"/>
      <c r="AP2072" s="89" t="s">
        <v>115</v>
      </c>
    </row>
    <row r="2073" spans="1:42" s="89" customFormat="1" x14ac:dyDescent="0.15">
      <c r="A2073" s="100" t="s">
        <v>1</v>
      </c>
      <c r="B2073" s="101">
        <v>90190512</v>
      </c>
      <c r="C2073" s="101">
        <v>1905</v>
      </c>
      <c r="D2073" s="101">
        <v>19</v>
      </c>
      <c r="E2073" s="101"/>
      <c r="F2073" s="101" t="s">
        <v>116</v>
      </c>
      <c r="G2073" s="101">
        <v>312</v>
      </c>
      <c r="H2073" s="101" t="s">
        <v>4413</v>
      </c>
      <c r="I2073" s="101">
        <v>0</v>
      </c>
      <c r="J2073" s="100">
        <v>0</v>
      </c>
      <c r="K2073" s="100">
        <v>0</v>
      </c>
      <c r="L2073" s="100" t="s">
        <v>115</v>
      </c>
      <c r="M2073" s="102"/>
      <c r="N2073" s="100"/>
      <c r="O2073" s="100" t="s">
        <v>115</v>
      </c>
      <c r="P2073" s="101"/>
      <c r="Q2073" s="100">
        <v>197</v>
      </c>
      <c r="R2073" s="100">
        <v>17</v>
      </c>
      <c r="S2073" s="100"/>
      <c r="T2073" s="100"/>
      <c r="U2073" s="100"/>
      <c r="V2073" s="100"/>
      <c r="W2073" s="100"/>
      <c r="X2073" s="100">
        <v>90190513</v>
      </c>
      <c r="Y2073" s="100" t="s">
        <v>115</v>
      </c>
      <c r="Z2073" s="100" t="s">
        <v>115</v>
      </c>
      <c r="AA2073" s="100" t="s">
        <v>115</v>
      </c>
      <c r="AB2073" s="100" t="s">
        <v>115</v>
      </c>
      <c r="AC2073" s="100" t="s">
        <v>115</v>
      </c>
      <c r="AD2073" s="100"/>
      <c r="AE2073" s="100"/>
      <c r="AF2073" s="100"/>
      <c r="AG2073" s="100"/>
      <c r="AH2073" s="100"/>
      <c r="AI2073" s="100" t="s">
        <v>115</v>
      </c>
      <c r="AJ2073" s="100"/>
      <c r="AK2073" s="100"/>
      <c r="AL2073" s="100"/>
      <c r="AM2073" s="100"/>
      <c r="AN2073" s="100"/>
      <c r="AO2073" s="100"/>
      <c r="AP2073" s="89" t="s">
        <v>115</v>
      </c>
    </row>
    <row r="2074" spans="1:42" s="89" customFormat="1" x14ac:dyDescent="0.15">
      <c r="A2074" s="100" t="s">
        <v>1</v>
      </c>
      <c r="B2074" s="101">
        <v>90190513</v>
      </c>
      <c r="C2074" s="101">
        <v>1905</v>
      </c>
      <c r="D2074" s="101">
        <v>19</v>
      </c>
      <c r="E2074" s="101"/>
      <c r="F2074" s="101" t="s">
        <v>629</v>
      </c>
      <c r="G2074" s="101" t="s">
        <v>115</v>
      </c>
      <c r="H2074" s="101" t="s">
        <v>4414</v>
      </c>
      <c r="I2074" s="101">
        <v>3</v>
      </c>
      <c r="J2074" s="100">
        <v>0</v>
      </c>
      <c r="K2074" s="100">
        <v>0</v>
      </c>
      <c r="L2074" s="100" t="s">
        <v>115</v>
      </c>
      <c r="M2074" s="102"/>
      <c r="N2074" s="100"/>
      <c r="O2074" s="100" t="s">
        <v>115</v>
      </c>
      <c r="P2074" s="101"/>
      <c r="Q2074" s="100">
        <v>197</v>
      </c>
      <c r="R2074" s="100">
        <v>17</v>
      </c>
      <c r="S2074" s="100"/>
      <c r="T2074" s="100"/>
      <c r="U2074" s="100"/>
      <c r="V2074" s="100"/>
      <c r="W2074" s="100"/>
      <c r="X2074" s="100">
        <v>90190514</v>
      </c>
      <c r="Y2074" s="100" t="s">
        <v>115</v>
      </c>
      <c r="Z2074" s="100" t="s">
        <v>115</v>
      </c>
      <c r="AA2074" s="100" t="s">
        <v>115</v>
      </c>
      <c r="AB2074" s="100" t="s">
        <v>115</v>
      </c>
      <c r="AC2074" s="100" t="s">
        <v>115</v>
      </c>
      <c r="AD2074" s="100"/>
      <c r="AE2074" s="100"/>
      <c r="AF2074" s="100"/>
      <c r="AG2074" s="100"/>
      <c r="AH2074" s="100"/>
      <c r="AI2074" s="100" t="s">
        <v>115</v>
      </c>
      <c r="AJ2074" s="100"/>
      <c r="AK2074" s="100"/>
      <c r="AL2074" s="100"/>
      <c r="AM2074" s="100"/>
      <c r="AN2074" s="100"/>
      <c r="AO2074" s="100"/>
      <c r="AP2074" s="89" t="s">
        <v>115</v>
      </c>
    </row>
    <row r="2075" spans="1:42" s="89" customFormat="1" x14ac:dyDescent="0.15">
      <c r="A2075" s="100" t="s">
        <v>1</v>
      </c>
      <c r="B2075" s="101">
        <v>90190514</v>
      </c>
      <c r="C2075" s="101">
        <v>1905</v>
      </c>
      <c r="D2075" s="101">
        <v>19</v>
      </c>
      <c r="E2075" s="101"/>
      <c r="F2075" s="101" t="s">
        <v>629</v>
      </c>
      <c r="G2075" s="101" t="s">
        <v>115</v>
      </c>
      <c r="H2075" s="101" t="s">
        <v>4415</v>
      </c>
      <c r="I2075" s="101">
        <v>3</v>
      </c>
      <c r="J2075" s="100">
        <v>0</v>
      </c>
      <c r="K2075" s="100">
        <v>0</v>
      </c>
      <c r="L2075" s="100" t="s">
        <v>115</v>
      </c>
      <c r="M2075" s="102"/>
      <c r="N2075" s="100"/>
      <c r="O2075" s="100" t="s">
        <v>115</v>
      </c>
      <c r="P2075" s="101"/>
      <c r="Q2075" s="100">
        <v>197</v>
      </c>
      <c r="R2075" s="100">
        <v>17</v>
      </c>
      <c r="S2075" s="100"/>
      <c r="T2075" s="100"/>
      <c r="U2075" s="100"/>
      <c r="V2075" s="100"/>
      <c r="W2075" s="100"/>
      <c r="X2075" s="100">
        <v>90190515</v>
      </c>
      <c r="Y2075" s="100" t="s">
        <v>115</v>
      </c>
      <c r="Z2075" s="100" t="s">
        <v>115</v>
      </c>
      <c r="AA2075" s="100" t="s">
        <v>115</v>
      </c>
      <c r="AB2075" s="100" t="s">
        <v>115</v>
      </c>
      <c r="AC2075" s="100" t="s">
        <v>115</v>
      </c>
      <c r="AD2075" s="100"/>
      <c r="AE2075" s="100"/>
      <c r="AF2075" s="100"/>
      <c r="AG2075" s="100"/>
      <c r="AH2075" s="100"/>
      <c r="AI2075" s="100" t="s">
        <v>115</v>
      </c>
      <c r="AJ2075" s="100"/>
      <c r="AK2075" s="100"/>
      <c r="AL2075" s="100"/>
      <c r="AM2075" s="100"/>
      <c r="AN2075" s="100"/>
      <c r="AO2075" s="100"/>
      <c r="AP2075" s="89" t="s">
        <v>115</v>
      </c>
    </row>
    <row r="2076" spans="1:42" s="89" customFormat="1" x14ac:dyDescent="0.15">
      <c r="A2076" s="100" t="s">
        <v>1</v>
      </c>
      <c r="B2076" s="101">
        <v>90190515</v>
      </c>
      <c r="C2076" s="101">
        <v>1905</v>
      </c>
      <c r="D2076" s="101">
        <v>19</v>
      </c>
      <c r="E2076" s="101"/>
      <c r="F2076" s="101" t="s">
        <v>116</v>
      </c>
      <c r="G2076" s="101">
        <v>312</v>
      </c>
      <c r="H2076" s="101" t="s">
        <v>338</v>
      </c>
      <c r="I2076" s="101">
        <v>0</v>
      </c>
      <c r="J2076" s="100">
        <v>0</v>
      </c>
      <c r="K2076" s="100">
        <v>0</v>
      </c>
      <c r="L2076" s="100" t="s">
        <v>115</v>
      </c>
      <c r="M2076" s="102"/>
      <c r="N2076" s="100"/>
      <c r="O2076" s="100" t="s">
        <v>115</v>
      </c>
      <c r="P2076" s="101"/>
      <c r="Q2076" s="100">
        <v>197</v>
      </c>
      <c r="R2076" s="100">
        <v>17</v>
      </c>
      <c r="S2076" s="100"/>
      <c r="T2076" s="100"/>
      <c r="U2076" s="100"/>
      <c r="V2076" s="100"/>
      <c r="W2076" s="100"/>
      <c r="X2076" s="100">
        <v>90190516</v>
      </c>
      <c r="Y2076" s="100" t="s">
        <v>115</v>
      </c>
      <c r="Z2076" s="100" t="s">
        <v>115</v>
      </c>
      <c r="AA2076" s="100" t="s">
        <v>115</v>
      </c>
      <c r="AB2076" s="100" t="s">
        <v>115</v>
      </c>
      <c r="AC2076" s="100" t="s">
        <v>115</v>
      </c>
      <c r="AD2076" s="100"/>
      <c r="AE2076" s="100"/>
      <c r="AF2076" s="100"/>
      <c r="AG2076" s="100"/>
      <c r="AH2076" s="100"/>
      <c r="AI2076" s="100" t="s">
        <v>115</v>
      </c>
      <c r="AJ2076" s="100"/>
      <c r="AK2076" s="100"/>
      <c r="AL2076" s="100"/>
      <c r="AM2076" s="100"/>
      <c r="AN2076" s="100"/>
      <c r="AO2076" s="100"/>
      <c r="AP2076" s="89" t="s">
        <v>115</v>
      </c>
    </row>
    <row r="2077" spans="1:42" s="89" customFormat="1" x14ac:dyDescent="0.15">
      <c r="A2077" s="100" t="s">
        <v>1</v>
      </c>
      <c r="B2077" s="101">
        <v>90190516</v>
      </c>
      <c r="C2077" s="101">
        <v>1905</v>
      </c>
      <c r="D2077" s="101">
        <v>19</v>
      </c>
      <c r="E2077" s="101"/>
      <c r="F2077" s="101" t="s">
        <v>629</v>
      </c>
      <c r="G2077" s="101" t="s">
        <v>115</v>
      </c>
      <c r="H2077" s="101" t="s">
        <v>4416</v>
      </c>
      <c r="I2077" s="101">
        <v>3</v>
      </c>
      <c r="J2077" s="100">
        <v>0</v>
      </c>
      <c r="K2077" s="100">
        <v>0</v>
      </c>
      <c r="L2077" s="100" t="s">
        <v>115</v>
      </c>
      <c r="M2077" s="102"/>
      <c r="N2077" s="100"/>
      <c r="O2077" s="100" t="s">
        <v>115</v>
      </c>
      <c r="P2077" s="101"/>
      <c r="Q2077" s="100">
        <v>197</v>
      </c>
      <c r="R2077" s="100">
        <v>17</v>
      </c>
      <c r="S2077" s="100"/>
      <c r="T2077" s="100"/>
      <c r="U2077" s="100"/>
      <c r="V2077" s="100"/>
      <c r="W2077" s="100"/>
      <c r="X2077" s="100">
        <v>90190517</v>
      </c>
      <c r="Y2077" s="100" t="s">
        <v>115</v>
      </c>
      <c r="Z2077" s="100" t="s">
        <v>115</v>
      </c>
      <c r="AA2077" s="100" t="s">
        <v>115</v>
      </c>
      <c r="AB2077" s="100" t="s">
        <v>115</v>
      </c>
      <c r="AC2077" s="100" t="s">
        <v>115</v>
      </c>
      <c r="AD2077" s="100"/>
      <c r="AE2077" s="100"/>
      <c r="AF2077" s="100"/>
      <c r="AG2077" s="100"/>
      <c r="AH2077" s="100"/>
      <c r="AI2077" s="100" t="s">
        <v>115</v>
      </c>
      <c r="AJ2077" s="100"/>
      <c r="AK2077" s="100"/>
      <c r="AL2077" s="100"/>
      <c r="AM2077" s="100"/>
      <c r="AN2077" s="100"/>
      <c r="AO2077" s="100"/>
      <c r="AP2077" s="89" t="s">
        <v>115</v>
      </c>
    </row>
    <row r="2078" spans="1:42" s="89" customFormat="1" x14ac:dyDescent="0.15">
      <c r="A2078" s="100" t="s">
        <v>1</v>
      </c>
      <c r="B2078" s="101">
        <v>90190517</v>
      </c>
      <c r="C2078" s="101">
        <v>1905</v>
      </c>
      <c r="D2078" s="101">
        <v>19</v>
      </c>
      <c r="E2078" s="101"/>
      <c r="F2078" s="101" t="s">
        <v>116</v>
      </c>
      <c r="G2078" s="101">
        <v>308</v>
      </c>
      <c r="H2078" s="101" t="s">
        <v>4417</v>
      </c>
      <c r="I2078" s="101">
        <v>2</v>
      </c>
      <c r="J2078" s="100">
        <v>0</v>
      </c>
      <c r="K2078" s="100">
        <v>4</v>
      </c>
      <c r="L2078" s="100" t="s">
        <v>115</v>
      </c>
      <c r="M2078" s="102"/>
      <c r="N2078" s="100"/>
      <c r="O2078" s="100">
        <v>1</v>
      </c>
      <c r="P2078" s="101"/>
      <c r="Q2078" s="100">
        <v>197</v>
      </c>
      <c r="R2078" s="100" t="s">
        <v>115</v>
      </c>
      <c r="S2078" s="100"/>
      <c r="T2078" s="100"/>
      <c r="U2078" s="100"/>
      <c r="V2078" s="100"/>
      <c r="W2078" s="100"/>
      <c r="X2078" s="100" t="s">
        <v>115</v>
      </c>
      <c r="Y2078" s="100" t="s">
        <v>115</v>
      </c>
      <c r="Z2078" s="100">
        <v>3</v>
      </c>
      <c r="AA2078" s="100" t="s">
        <v>115</v>
      </c>
      <c r="AB2078" s="100" t="s">
        <v>115</v>
      </c>
      <c r="AC2078" s="100" t="s">
        <v>115</v>
      </c>
      <c r="AD2078" s="100"/>
      <c r="AE2078" s="100"/>
      <c r="AF2078" s="100"/>
      <c r="AG2078" s="100"/>
      <c r="AH2078" s="100"/>
      <c r="AI2078" s="100" t="s">
        <v>115</v>
      </c>
      <c r="AJ2078" s="100"/>
      <c r="AK2078" s="100"/>
      <c r="AL2078" s="100"/>
      <c r="AM2078" s="100"/>
      <c r="AN2078" s="100"/>
      <c r="AO2078" s="100"/>
      <c r="AP2078" s="89" t="s">
        <v>115</v>
      </c>
    </row>
    <row r="2079" spans="1:42" s="89" customFormat="1" x14ac:dyDescent="0.15">
      <c r="A2079" s="100" t="s">
        <v>1</v>
      </c>
      <c r="B2079" s="101" t="s">
        <v>3976</v>
      </c>
      <c r="C2079" s="101">
        <v>1906</v>
      </c>
      <c r="D2079" s="101">
        <v>19</v>
      </c>
      <c r="E2079" s="101"/>
      <c r="F2079" s="101" t="s">
        <v>115</v>
      </c>
      <c r="G2079" s="101" t="s">
        <v>115</v>
      </c>
      <c r="H2079" s="101" t="s">
        <v>4418</v>
      </c>
      <c r="I2079" s="101">
        <v>4</v>
      </c>
      <c r="J2079" s="100">
        <v>1</v>
      </c>
      <c r="K2079" s="100">
        <v>1</v>
      </c>
      <c r="L2079" s="100" t="s">
        <v>115</v>
      </c>
      <c r="M2079" s="102"/>
      <c r="N2079" s="100"/>
      <c r="O2079" s="100" t="s">
        <v>115</v>
      </c>
      <c r="P2079" s="101"/>
      <c r="Q2079" s="100">
        <v>118</v>
      </c>
      <c r="R2079" s="100" t="s">
        <v>115</v>
      </c>
      <c r="S2079" s="100"/>
      <c r="T2079" s="100"/>
      <c r="U2079" s="100"/>
      <c r="V2079" s="100"/>
      <c r="W2079" s="100"/>
      <c r="X2079" s="100">
        <v>90190602</v>
      </c>
      <c r="Y2079" s="100" t="s">
        <v>115</v>
      </c>
      <c r="Z2079" s="100" t="s">
        <v>115</v>
      </c>
      <c r="AA2079" s="100" t="s">
        <v>115</v>
      </c>
      <c r="AB2079" s="100" t="s">
        <v>115</v>
      </c>
      <c r="AC2079" s="100" t="s">
        <v>115</v>
      </c>
      <c r="AD2079" s="100"/>
      <c r="AE2079" s="100"/>
      <c r="AF2079" s="100"/>
      <c r="AG2079" s="100"/>
      <c r="AH2079" s="100"/>
      <c r="AI2079" s="100" t="s">
        <v>115</v>
      </c>
      <c r="AJ2079" s="100"/>
      <c r="AK2079" s="100"/>
      <c r="AL2079" s="100"/>
      <c r="AM2079" s="100"/>
      <c r="AN2079" s="100"/>
      <c r="AO2079" s="100"/>
      <c r="AP2079" s="89" t="s">
        <v>115</v>
      </c>
    </row>
    <row r="2080" spans="1:42" s="89" customFormat="1" x14ac:dyDescent="0.15">
      <c r="A2080" s="100" t="s">
        <v>1</v>
      </c>
      <c r="B2080" s="101">
        <v>90190602</v>
      </c>
      <c r="C2080" s="101">
        <v>1906</v>
      </c>
      <c r="D2080" s="101">
        <v>19</v>
      </c>
      <c r="E2080" s="101"/>
      <c r="F2080" s="101" t="s">
        <v>115</v>
      </c>
      <c r="G2080" s="101" t="s">
        <v>115</v>
      </c>
      <c r="H2080" s="101" t="s">
        <v>4419</v>
      </c>
      <c r="I2080" s="101">
        <v>4</v>
      </c>
      <c r="J2080" s="100">
        <v>0</v>
      </c>
      <c r="K2080" s="100">
        <v>0</v>
      </c>
      <c r="L2080" s="100" t="s">
        <v>115</v>
      </c>
      <c r="M2080" s="102"/>
      <c r="N2080" s="100"/>
      <c r="O2080" s="100" t="s">
        <v>115</v>
      </c>
      <c r="P2080" s="101"/>
      <c r="Q2080" s="100">
        <v>118</v>
      </c>
      <c r="R2080" s="100">
        <v>306</v>
      </c>
      <c r="S2080" s="100"/>
      <c r="T2080" s="100"/>
      <c r="U2080" s="100"/>
      <c r="V2080" s="100"/>
      <c r="W2080" s="100"/>
      <c r="X2080" s="100">
        <v>90190603</v>
      </c>
      <c r="Y2080" s="100" t="s">
        <v>115</v>
      </c>
      <c r="Z2080" s="100" t="s">
        <v>115</v>
      </c>
      <c r="AA2080" s="100" t="s">
        <v>115</v>
      </c>
      <c r="AB2080" s="100" t="s">
        <v>115</v>
      </c>
      <c r="AC2080" s="100" t="s">
        <v>115</v>
      </c>
      <c r="AD2080" s="100"/>
      <c r="AE2080" s="100"/>
      <c r="AF2080" s="100"/>
      <c r="AG2080" s="100"/>
      <c r="AH2080" s="100"/>
      <c r="AI2080" s="100" t="s">
        <v>115</v>
      </c>
      <c r="AJ2080" s="100"/>
      <c r="AK2080" s="100"/>
      <c r="AL2080" s="100"/>
      <c r="AM2080" s="100"/>
      <c r="AN2080" s="100"/>
      <c r="AO2080" s="100"/>
      <c r="AP2080" s="89" t="s">
        <v>115</v>
      </c>
    </row>
    <row r="2081" spans="1:42" s="89" customFormat="1" x14ac:dyDescent="0.15">
      <c r="A2081" s="100" t="s">
        <v>1</v>
      </c>
      <c r="B2081" s="101">
        <v>90190603</v>
      </c>
      <c r="C2081" s="101">
        <v>1906</v>
      </c>
      <c r="D2081" s="101">
        <v>19</v>
      </c>
      <c r="E2081" s="101"/>
      <c r="F2081" s="101" t="s">
        <v>115</v>
      </c>
      <c r="G2081" s="101" t="s">
        <v>115</v>
      </c>
      <c r="H2081" s="101" t="s">
        <v>4420</v>
      </c>
      <c r="I2081" s="101">
        <v>4</v>
      </c>
      <c r="J2081" s="100">
        <v>0</v>
      </c>
      <c r="K2081" s="100">
        <v>0</v>
      </c>
      <c r="L2081" s="100" t="s">
        <v>115</v>
      </c>
      <c r="M2081" s="102"/>
      <c r="N2081" s="100"/>
      <c r="O2081" s="100" t="s">
        <v>115</v>
      </c>
      <c r="P2081" s="101"/>
      <c r="Q2081" s="100">
        <v>118</v>
      </c>
      <c r="R2081" s="100">
        <v>306</v>
      </c>
      <c r="S2081" s="100"/>
      <c r="T2081" s="100"/>
      <c r="U2081" s="100"/>
      <c r="V2081" s="100"/>
      <c r="W2081" s="100"/>
      <c r="X2081" s="100">
        <v>90190604</v>
      </c>
      <c r="Y2081" s="100" t="s">
        <v>115</v>
      </c>
      <c r="Z2081" s="100" t="s">
        <v>115</v>
      </c>
      <c r="AA2081" s="100" t="s">
        <v>115</v>
      </c>
      <c r="AB2081" s="100" t="s">
        <v>115</v>
      </c>
      <c r="AC2081" s="100" t="s">
        <v>115</v>
      </c>
      <c r="AD2081" s="100"/>
      <c r="AE2081" s="100"/>
      <c r="AF2081" s="100"/>
      <c r="AG2081" s="100"/>
      <c r="AH2081" s="100"/>
      <c r="AI2081" s="100" t="s">
        <v>115</v>
      </c>
      <c r="AJ2081" s="100"/>
      <c r="AK2081" s="100"/>
      <c r="AL2081" s="100"/>
      <c r="AM2081" s="100"/>
      <c r="AN2081" s="100"/>
      <c r="AO2081" s="100"/>
      <c r="AP2081" s="89" t="s">
        <v>115</v>
      </c>
    </row>
    <row r="2082" spans="1:42" s="89" customFormat="1" x14ac:dyDescent="0.15">
      <c r="A2082" s="100" t="s">
        <v>1</v>
      </c>
      <c r="B2082" s="101">
        <v>90190604</v>
      </c>
      <c r="C2082" s="101">
        <v>1906</v>
      </c>
      <c r="D2082" s="101">
        <v>19</v>
      </c>
      <c r="E2082" s="101"/>
      <c r="F2082" s="101" t="s">
        <v>115</v>
      </c>
      <c r="G2082" s="101" t="s">
        <v>115</v>
      </c>
      <c r="H2082" s="101" t="s">
        <v>4421</v>
      </c>
      <c r="I2082" s="101">
        <v>4</v>
      </c>
      <c r="J2082" s="100">
        <v>0</v>
      </c>
      <c r="K2082" s="100">
        <v>0</v>
      </c>
      <c r="L2082" s="100" t="s">
        <v>115</v>
      </c>
      <c r="M2082" s="102"/>
      <c r="N2082" s="100"/>
      <c r="O2082" s="100" t="s">
        <v>115</v>
      </c>
      <c r="P2082" s="101"/>
      <c r="Q2082" s="100">
        <v>118</v>
      </c>
      <c r="R2082" s="100">
        <v>306</v>
      </c>
      <c r="S2082" s="100"/>
      <c r="T2082" s="100"/>
      <c r="U2082" s="100"/>
      <c r="V2082" s="100"/>
      <c r="W2082" s="100"/>
      <c r="X2082" s="100">
        <v>90190605</v>
      </c>
      <c r="Y2082" s="100" t="s">
        <v>115</v>
      </c>
      <c r="Z2082" s="100" t="s">
        <v>115</v>
      </c>
      <c r="AA2082" s="100" t="s">
        <v>115</v>
      </c>
      <c r="AB2082" s="100" t="s">
        <v>115</v>
      </c>
      <c r="AC2082" s="100" t="s">
        <v>115</v>
      </c>
      <c r="AD2082" s="100"/>
      <c r="AE2082" s="100"/>
      <c r="AF2082" s="100"/>
      <c r="AG2082" s="100"/>
      <c r="AH2082" s="100"/>
      <c r="AI2082" s="100" t="s">
        <v>115</v>
      </c>
      <c r="AJ2082" s="100"/>
      <c r="AK2082" s="100"/>
      <c r="AL2082" s="100"/>
      <c r="AM2082" s="100"/>
      <c r="AN2082" s="100"/>
      <c r="AO2082" s="100"/>
      <c r="AP2082" s="89" t="s">
        <v>115</v>
      </c>
    </row>
    <row r="2083" spans="1:42" s="89" customFormat="1" x14ac:dyDescent="0.15">
      <c r="A2083" s="100" t="s">
        <v>1</v>
      </c>
      <c r="B2083" s="101">
        <v>90190605</v>
      </c>
      <c r="C2083" s="101">
        <v>1906</v>
      </c>
      <c r="D2083" s="101">
        <v>19</v>
      </c>
      <c r="E2083" s="101"/>
      <c r="F2083" s="101" t="s">
        <v>116</v>
      </c>
      <c r="G2083" s="101">
        <v>313</v>
      </c>
      <c r="H2083" s="101" t="s">
        <v>4422</v>
      </c>
      <c r="I2083" s="101">
        <v>2</v>
      </c>
      <c r="J2083" s="100">
        <v>0</v>
      </c>
      <c r="K2083" s="100">
        <v>0</v>
      </c>
      <c r="L2083" s="100" t="s">
        <v>115</v>
      </c>
      <c r="M2083" s="102"/>
      <c r="N2083" s="100"/>
      <c r="O2083" s="100" t="s">
        <v>115</v>
      </c>
      <c r="P2083" s="101"/>
      <c r="Q2083" s="100">
        <v>118</v>
      </c>
      <c r="R2083" s="100">
        <v>306</v>
      </c>
      <c r="S2083" s="100"/>
      <c r="T2083" s="100"/>
      <c r="U2083" s="100"/>
      <c r="V2083" s="100"/>
      <c r="W2083" s="100"/>
      <c r="X2083" s="100">
        <v>90190606</v>
      </c>
      <c r="Y2083" s="100" t="s">
        <v>115</v>
      </c>
      <c r="Z2083" s="100" t="s">
        <v>115</v>
      </c>
      <c r="AA2083" s="100" t="s">
        <v>115</v>
      </c>
      <c r="AB2083" s="100" t="s">
        <v>115</v>
      </c>
      <c r="AC2083" s="100" t="s">
        <v>115</v>
      </c>
      <c r="AD2083" s="100"/>
      <c r="AE2083" s="100"/>
      <c r="AF2083" s="100"/>
      <c r="AG2083" s="100"/>
      <c r="AH2083" s="100"/>
      <c r="AI2083" s="100" t="s">
        <v>115</v>
      </c>
      <c r="AJ2083" s="100"/>
      <c r="AK2083" s="100"/>
      <c r="AL2083" s="100"/>
      <c r="AM2083" s="100"/>
      <c r="AN2083" s="100"/>
      <c r="AO2083" s="100"/>
      <c r="AP2083" s="89" t="s">
        <v>115</v>
      </c>
    </row>
    <row r="2084" spans="1:42" s="89" customFormat="1" x14ac:dyDescent="0.15">
      <c r="A2084" s="100" t="s">
        <v>1</v>
      </c>
      <c r="B2084" s="101">
        <v>90190606</v>
      </c>
      <c r="C2084" s="101">
        <v>1906</v>
      </c>
      <c r="D2084" s="101">
        <v>19</v>
      </c>
      <c r="E2084" s="101"/>
      <c r="F2084" s="101" t="s">
        <v>116</v>
      </c>
      <c r="G2084" s="101">
        <v>314</v>
      </c>
      <c r="H2084" s="101" t="s">
        <v>4423</v>
      </c>
      <c r="I2084" s="101">
        <v>2</v>
      </c>
      <c r="J2084" s="100">
        <v>0</v>
      </c>
      <c r="K2084" s="100">
        <v>0</v>
      </c>
      <c r="L2084" s="100" t="s">
        <v>115</v>
      </c>
      <c r="M2084" s="102"/>
      <c r="N2084" s="100"/>
      <c r="O2084" s="100" t="s">
        <v>115</v>
      </c>
      <c r="P2084" s="101"/>
      <c r="Q2084" s="100">
        <v>118</v>
      </c>
      <c r="R2084" s="100">
        <v>306</v>
      </c>
      <c r="S2084" s="100"/>
      <c r="T2084" s="100"/>
      <c r="U2084" s="100"/>
      <c r="V2084" s="100"/>
      <c r="W2084" s="100"/>
      <c r="X2084" s="100">
        <v>90190607</v>
      </c>
      <c r="Y2084" s="100" t="s">
        <v>115</v>
      </c>
      <c r="Z2084" s="100" t="s">
        <v>115</v>
      </c>
      <c r="AA2084" s="100" t="s">
        <v>115</v>
      </c>
      <c r="AB2084" s="100" t="s">
        <v>115</v>
      </c>
      <c r="AC2084" s="100" t="s">
        <v>115</v>
      </c>
      <c r="AD2084" s="100"/>
      <c r="AE2084" s="100"/>
      <c r="AF2084" s="100"/>
      <c r="AG2084" s="100"/>
      <c r="AH2084" s="100"/>
      <c r="AI2084" s="100" t="s">
        <v>115</v>
      </c>
      <c r="AJ2084" s="100"/>
      <c r="AK2084" s="100"/>
      <c r="AL2084" s="100"/>
      <c r="AM2084" s="100"/>
      <c r="AN2084" s="100"/>
      <c r="AO2084" s="100"/>
      <c r="AP2084" s="89" t="s">
        <v>115</v>
      </c>
    </row>
    <row r="2085" spans="1:42" s="89" customFormat="1" x14ac:dyDescent="0.15">
      <c r="A2085" s="100" t="s">
        <v>1</v>
      </c>
      <c r="B2085" s="101">
        <v>90190607</v>
      </c>
      <c r="C2085" s="101">
        <v>1906</v>
      </c>
      <c r="D2085" s="101">
        <v>19</v>
      </c>
      <c r="E2085" s="101"/>
      <c r="F2085" s="101" t="s">
        <v>115</v>
      </c>
      <c r="G2085" s="101" t="s">
        <v>115</v>
      </c>
      <c r="H2085" s="101" t="s">
        <v>4424</v>
      </c>
      <c r="I2085" s="101">
        <v>4</v>
      </c>
      <c r="J2085" s="100">
        <v>0</v>
      </c>
      <c r="K2085" s="100">
        <v>2</v>
      </c>
      <c r="L2085" s="100" t="s">
        <v>115</v>
      </c>
      <c r="M2085" s="102"/>
      <c r="N2085" s="100"/>
      <c r="O2085" s="100" t="s">
        <v>115</v>
      </c>
      <c r="P2085" s="101"/>
      <c r="Q2085" s="100">
        <v>118</v>
      </c>
      <c r="R2085" s="100" t="s">
        <v>115</v>
      </c>
      <c r="S2085" s="100"/>
      <c r="T2085" s="100"/>
      <c r="U2085" s="100"/>
      <c r="V2085" s="100"/>
      <c r="W2085" s="100"/>
      <c r="X2085" s="100" t="s">
        <v>4425</v>
      </c>
      <c r="Y2085" s="100">
        <v>1</v>
      </c>
      <c r="Z2085" s="100">
        <v>1</v>
      </c>
      <c r="AA2085" s="100" t="s">
        <v>115</v>
      </c>
      <c r="AB2085" s="100" t="s">
        <v>115</v>
      </c>
      <c r="AC2085" s="100" t="s">
        <v>115</v>
      </c>
      <c r="AD2085" s="100"/>
      <c r="AE2085" s="100"/>
      <c r="AF2085" s="100"/>
      <c r="AG2085" s="100"/>
      <c r="AH2085" s="100"/>
      <c r="AI2085" s="100" t="s">
        <v>115</v>
      </c>
      <c r="AJ2085" s="100"/>
      <c r="AK2085" s="100"/>
      <c r="AL2085" s="100"/>
      <c r="AM2085" s="100"/>
      <c r="AN2085" s="100"/>
      <c r="AO2085" s="100"/>
      <c r="AP2085" s="89" t="s">
        <v>115</v>
      </c>
    </row>
    <row r="2086" spans="1:42" s="89" customFormat="1" x14ac:dyDescent="0.15">
      <c r="A2086" s="100" t="s">
        <v>1</v>
      </c>
      <c r="B2086" s="101">
        <v>90190608</v>
      </c>
      <c r="C2086" s="101">
        <v>1906</v>
      </c>
      <c r="D2086" s="101">
        <v>19</v>
      </c>
      <c r="E2086" s="101"/>
      <c r="F2086" s="101" t="s">
        <v>115</v>
      </c>
      <c r="G2086" s="101" t="s">
        <v>115</v>
      </c>
      <c r="H2086" s="101" t="s">
        <v>4426</v>
      </c>
      <c r="I2086" s="101">
        <v>4</v>
      </c>
      <c r="J2086" s="100">
        <v>0</v>
      </c>
      <c r="K2086" s="100">
        <v>3</v>
      </c>
      <c r="L2086" s="100" t="s">
        <v>115</v>
      </c>
      <c r="M2086" s="102"/>
      <c r="N2086" s="100"/>
      <c r="O2086" s="100" t="s">
        <v>115</v>
      </c>
      <c r="P2086" s="101"/>
      <c r="Q2086" s="100">
        <v>118</v>
      </c>
      <c r="R2086" s="100" t="s">
        <v>115</v>
      </c>
      <c r="S2086" s="100"/>
      <c r="T2086" s="100"/>
      <c r="U2086" s="100"/>
      <c r="V2086" s="100"/>
      <c r="W2086" s="100"/>
      <c r="X2086" s="100">
        <v>90190610</v>
      </c>
      <c r="Y2086" s="100">
        <v>-1</v>
      </c>
      <c r="Z2086" s="100">
        <v>2</v>
      </c>
      <c r="AA2086" s="100" t="s">
        <v>115</v>
      </c>
      <c r="AB2086" s="100" t="s">
        <v>115</v>
      </c>
      <c r="AC2086" s="100" t="s">
        <v>4427</v>
      </c>
      <c r="AD2086" s="100"/>
      <c r="AE2086" s="100"/>
      <c r="AF2086" s="100"/>
      <c r="AG2086" s="100"/>
      <c r="AH2086" s="100"/>
      <c r="AI2086" s="100" t="s">
        <v>115</v>
      </c>
      <c r="AJ2086" s="100"/>
      <c r="AK2086" s="100"/>
      <c r="AL2086" s="100"/>
      <c r="AM2086" s="100"/>
      <c r="AN2086" s="100"/>
      <c r="AO2086" s="100"/>
      <c r="AP2086" s="89" t="s">
        <v>115</v>
      </c>
    </row>
    <row r="2087" spans="1:42" s="89" customFormat="1" x14ac:dyDescent="0.15">
      <c r="A2087" s="100" t="s">
        <v>1</v>
      </c>
      <c r="B2087" s="101">
        <v>90190609</v>
      </c>
      <c r="C2087" s="101">
        <v>1906</v>
      </c>
      <c r="D2087" s="101">
        <v>19</v>
      </c>
      <c r="E2087" s="101"/>
      <c r="F2087" s="101" t="s">
        <v>115</v>
      </c>
      <c r="G2087" s="101" t="s">
        <v>115</v>
      </c>
      <c r="H2087" s="101" t="s">
        <v>4428</v>
      </c>
      <c r="I2087" s="101">
        <v>4</v>
      </c>
      <c r="J2087" s="100">
        <v>0</v>
      </c>
      <c r="K2087" s="100">
        <v>4</v>
      </c>
      <c r="L2087" s="100" t="s">
        <v>115</v>
      </c>
      <c r="M2087" s="102"/>
      <c r="N2087" s="100"/>
      <c r="O2087" s="100" t="s">
        <v>115</v>
      </c>
      <c r="P2087" s="101"/>
      <c r="Q2087" s="100">
        <v>118</v>
      </c>
      <c r="R2087" s="100" t="s">
        <v>115</v>
      </c>
      <c r="S2087" s="100"/>
      <c r="T2087" s="100"/>
      <c r="U2087" s="100"/>
      <c r="V2087" s="100"/>
      <c r="W2087" s="100"/>
      <c r="X2087" s="100">
        <v>90190615</v>
      </c>
      <c r="Y2087" s="100">
        <v>-1</v>
      </c>
      <c r="Z2087" s="100">
        <v>2</v>
      </c>
      <c r="AA2087" s="100" t="s">
        <v>115</v>
      </c>
      <c r="AB2087" s="100" t="s">
        <v>115</v>
      </c>
      <c r="AC2087" s="100" t="s">
        <v>115</v>
      </c>
      <c r="AD2087" s="100"/>
      <c r="AE2087" s="100"/>
      <c r="AF2087" s="100"/>
      <c r="AG2087" s="100"/>
      <c r="AH2087" s="100"/>
      <c r="AI2087" s="100" t="s">
        <v>115</v>
      </c>
      <c r="AJ2087" s="100"/>
      <c r="AK2087" s="100"/>
      <c r="AL2087" s="100"/>
      <c r="AM2087" s="100"/>
      <c r="AN2087" s="100"/>
      <c r="AO2087" s="100"/>
      <c r="AP2087" s="89" t="s">
        <v>115</v>
      </c>
    </row>
    <row r="2088" spans="1:42" s="89" customFormat="1" x14ac:dyDescent="0.15">
      <c r="A2088" s="100" t="s">
        <v>1</v>
      </c>
      <c r="B2088" s="101">
        <v>90190610</v>
      </c>
      <c r="C2088" s="101">
        <v>1906</v>
      </c>
      <c r="D2088" s="101">
        <v>19</v>
      </c>
      <c r="E2088" s="101"/>
      <c r="F2088" s="101" t="s">
        <v>115</v>
      </c>
      <c r="G2088" s="101" t="s">
        <v>115</v>
      </c>
      <c r="H2088" s="101" t="s">
        <v>4429</v>
      </c>
      <c r="I2088" s="101">
        <v>4</v>
      </c>
      <c r="J2088" s="100">
        <v>0</v>
      </c>
      <c r="K2088" s="100">
        <v>0</v>
      </c>
      <c r="L2088" s="100" t="s">
        <v>115</v>
      </c>
      <c r="M2088" s="102"/>
      <c r="N2088" s="100"/>
      <c r="O2088" s="100" t="s">
        <v>115</v>
      </c>
      <c r="P2088" s="101"/>
      <c r="Q2088" s="100">
        <v>118</v>
      </c>
      <c r="R2088" s="100">
        <v>306</v>
      </c>
      <c r="S2088" s="100"/>
      <c r="T2088" s="100"/>
      <c r="U2088" s="100"/>
      <c r="V2088" s="100"/>
      <c r="W2088" s="100"/>
      <c r="X2088" s="100">
        <v>90190611</v>
      </c>
      <c r="Y2088" s="100" t="s">
        <v>115</v>
      </c>
      <c r="Z2088" s="100" t="s">
        <v>115</v>
      </c>
      <c r="AA2088" s="100" t="s">
        <v>115</v>
      </c>
      <c r="AB2088" s="100" t="s">
        <v>115</v>
      </c>
      <c r="AC2088" s="100" t="s">
        <v>115</v>
      </c>
      <c r="AD2088" s="100"/>
      <c r="AE2088" s="100"/>
      <c r="AF2088" s="100"/>
      <c r="AG2088" s="100"/>
      <c r="AH2088" s="100"/>
      <c r="AI2088" s="100" t="s">
        <v>115</v>
      </c>
      <c r="AJ2088" s="100"/>
      <c r="AK2088" s="100"/>
      <c r="AL2088" s="100"/>
      <c r="AM2088" s="100"/>
      <c r="AN2088" s="100"/>
      <c r="AO2088" s="100"/>
      <c r="AP2088" s="89" t="s">
        <v>115</v>
      </c>
    </row>
    <row r="2089" spans="1:42" s="89" customFormat="1" x14ac:dyDescent="0.15">
      <c r="A2089" s="100" t="s">
        <v>1</v>
      </c>
      <c r="B2089" s="101">
        <v>90190611</v>
      </c>
      <c r="C2089" s="101">
        <v>1906</v>
      </c>
      <c r="D2089" s="101">
        <v>19</v>
      </c>
      <c r="E2089" s="101"/>
      <c r="F2089" s="101" t="s">
        <v>4430</v>
      </c>
      <c r="G2089" s="101" t="s">
        <v>115</v>
      </c>
      <c r="H2089" s="101" t="s">
        <v>4431</v>
      </c>
      <c r="I2089" s="101">
        <v>3</v>
      </c>
      <c r="J2089" s="100">
        <v>0</v>
      </c>
      <c r="K2089" s="100">
        <v>0</v>
      </c>
      <c r="L2089" s="100" t="s">
        <v>115</v>
      </c>
      <c r="M2089" s="102"/>
      <c r="N2089" s="100"/>
      <c r="O2089" s="100" t="s">
        <v>115</v>
      </c>
      <c r="P2089" s="101"/>
      <c r="Q2089" s="100">
        <v>118</v>
      </c>
      <c r="R2089" s="100">
        <v>306</v>
      </c>
      <c r="S2089" s="100"/>
      <c r="T2089" s="100"/>
      <c r="U2089" s="100"/>
      <c r="V2089" s="100"/>
      <c r="W2089" s="100"/>
      <c r="X2089" s="100">
        <v>90190612</v>
      </c>
      <c r="Y2089" s="100" t="s">
        <v>115</v>
      </c>
      <c r="Z2089" s="100" t="s">
        <v>115</v>
      </c>
      <c r="AA2089" s="100" t="s">
        <v>115</v>
      </c>
      <c r="AB2089" s="100" t="s">
        <v>115</v>
      </c>
      <c r="AC2089" s="100" t="s">
        <v>115</v>
      </c>
      <c r="AD2089" s="100"/>
      <c r="AE2089" s="100"/>
      <c r="AF2089" s="100"/>
      <c r="AG2089" s="100"/>
      <c r="AH2089" s="100"/>
      <c r="AI2089" s="100" t="s">
        <v>115</v>
      </c>
      <c r="AJ2089" s="100"/>
      <c r="AK2089" s="100"/>
      <c r="AL2089" s="100"/>
      <c r="AM2089" s="100"/>
      <c r="AN2089" s="100"/>
      <c r="AO2089" s="100"/>
      <c r="AP2089" s="89" t="s">
        <v>115</v>
      </c>
    </row>
    <row r="2090" spans="1:42" s="89" customFormat="1" x14ac:dyDescent="0.15">
      <c r="A2090" s="100" t="s">
        <v>1</v>
      </c>
      <c r="B2090" s="101">
        <v>90190612</v>
      </c>
      <c r="C2090" s="101">
        <v>1906</v>
      </c>
      <c r="D2090" s="101">
        <v>19</v>
      </c>
      <c r="E2090" s="101"/>
      <c r="F2090" s="101" t="s">
        <v>116</v>
      </c>
      <c r="G2090" s="101">
        <v>313</v>
      </c>
      <c r="H2090" s="101" t="s">
        <v>431</v>
      </c>
      <c r="I2090" s="101">
        <v>0</v>
      </c>
      <c r="J2090" s="100">
        <v>0</v>
      </c>
      <c r="K2090" s="100">
        <v>0</v>
      </c>
      <c r="L2090" s="100" t="s">
        <v>115</v>
      </c>
      <c r="M2090" s="102"/>
      <c r="N2090" s="100"/>
      <c r="O2090" s="100" t="s">
        <v>115</v>
      </c>
      <c r="P2090" s="101"/>
      <c r="Q2090" s="100">
        <v>118</v>
      </c>
      <c r="R2090" s="100">
        <v>306</v>
      </c>
      <c r="S2090" s="100"/>
      <c r="T2090" s="100"/>
      <c r="U2090" s="100"/>
      <c r="V2090" s="100"/>
      <c r="W2090" s="100"/>
      <c r="X2090" s="100">
        <v>90190613</v>
      </c>
      <c r="Y2090" s="100" t="s">
        <v>115</v>
      </c>
      <c r="Z2090" s="100" t="s">
        <v>115</v>
      </c>
      <c r="AA2090" s="100" t="s">
        <v>115</v>
      </c>
      <c r="AB2090" s="100" t="s">
        <v>115</v>
      </c>
      <c r="AC2090" s="100" t="s">
        <v>115</v>
      </c>
      <c r="AD2090" s="100"/>
      <c r="AE2090" s="100"/>
      <c r="AF2090" s="100"/>
      <c r="AG2090" s="100"/>
      <c r="AH2090" s="100"/>
      <c r="AI2090" s="100" t="s">
        <v>115</v>
      </c>
      <c r="AJ2090" s="100"/>
      <c r="AK2090" s="100"/>
      <c r="AL2090" s="100"/>
      <c r="AM2090" s="100"/>
      <c r="AN2090" s="100"/>
      <c r="AO2090" s="100"/>
      <c r="AP2090" s="89" t="s">
        <v>115</v>
      </c>
    </row>
    <row r="2091" spans="1:42" s="89" customFormat="1" x14ac:dyDescent="0.15">
      <c r="A2091" s="100" t="s">
        <v>1</v>
      </c>
      <c r="B2091" s="101">
        <v>90190613</v>
      </c>
      <c r="C2091" s="101">
        <v>1906</v>
      </c>
      <c r="D2091" s="101">
        <v>19</v>
      </c>
      <c r="E2091" s="101"/>
      <c r="F2091" s="101" t="s">
        <v>4430</v>
      </c>
      <c r="G2091" s="101" t="s">
        <v>115</v>
      </c>
      <c r="H2091" s="101" t="s">
        <v>4432</v>
      </c>
      <c r="I2091" s="101">
        <v>3</v>
      </c>
      <c r="J2091" s="100">
        <v>0</v>
      </c>
      <c r="K2091" s="100">
        <v>0</v>
      </c>
      <c r="L2091" s="100" t="s">
        <v>115</v>
      </c>
      <c r="M2091" s="102"/>
      <c r="N2091" s="100"/>
      <c r="O2091" s="100" t="s">
        <v>115</v>
      </c>
      <c r="P2091" s="101"/>
      <c r="Q2091" s="100">
        <v>118</v>
      </c>
      <c r="R2091" s="100">
        <v>306</v>
      </c>
      <c r="S2091" s="100"/>
      <c r="T2091" s="100"/>
      <c r="U2091" s="100"/>
      <c r="V2091" s="100"/>
      <c r="W2091" s="100"/>
      <c r="X2091" s="100">
        <v>90190614</v>
      </c>
      <c r="Y2091" s="100" t="s">
        <v>115</v>
      </c>
      <c r="Z2091" s="100" t="s">
        <v>115</v>
      </c>
      <c r="AA2091" s="100" t="s">
        <v>115</v>
      </c>
      <c r="AB2091" s="100" t="s">
        <v>115</v>
      </c>
      <c r="AC2091" s="100" t="s">
        <v>115</v>
      </c>
      <c r="AD2091" s="100"/>
      <c r="AE2091" s="100"/>
      <c r="AF2091" s="100"/>
      <c r="AG2091" s="100"/>
      <c r="AH2091" s="100"/>
      <c r="AI2091" s="100" t="s">
        <v>115</v>
      </c>
      <c r="AJ2091" s="100"/>
      <c r="AK2091" s="100"/>
      <c r="AL2091" s="100"/>
      <c r="AM2091" s="100"/>
      <c r="AN2091" s="100"/>
      <c r="AO2091" s="100"/>
      <c r="AP2091" s="89" t="s">
        <v>115</v>
      </c>
    </row>
    <row r="2092" spans="1:42" s="89" customFormat="1" x14ac:dyDescent="0.15">
      <c r="A2092" s="100" t="s">
        <v>1</v>
      </c>
      <c r="B2092" s="101">
        <v>90190614</v>
      </c>
      <c r="C2092" s="101">
        <v>1906</v>
      </c>
      <c r="D2092" s="101">
        <v>19</v>
      </c>
      <c r="E2092" s="101"/>
      <c r="F2092" s="101" t="s">
        <v>115</v>
      </c>
      <c r="G2092" s="101" t="s">
        <v>115</v>
      </c>
      <c r="H2092" s="101" t="s">
        <v>4433</v>
      </c>
      <c r="I2092" s="101">
        <v>4</v>
      </c>
      <c r="J2092" s="100">
        <v>0</v>
      </c>
      <c r="K2092" s="100">
        <v>0</v>
      </c>
      <c r="L2092" s="100" t="s">
        <v>115</v>
      </c>
      <c r="M2092" s="102"/>
      <c r="N2092" s="100"/>
      <c r="O2092" s="100" t="s">
        <v>115</v>
      </c>
      <c r="P2092" s="101"/>
      <c r="Q2092" s="100">
        <v>118</v>
      </c>
      <c r="R2092" s="100">
        <v>306</v>
      </c>
      <c r="S2092" s="100"/>
      <c r="T2092" s="100"/>
      <c r="U2092" s="100"/>
      <c r="V2092" s="100"/>
      <c r="W2092" s="100"/>
      <c r="X2092" s="100">
        <v>90190617</v>
      </c>
      <c r="Y2092" s="100" t="s">
        <v>115</v>
      </c>
      <c r="Z2092" s="100" t="s">
        <v>115</v>
      </c>
      <c r="AA2092" s="100" t="s">
        <v>115</v>
      </c>
      <c r="AB2092" s="100" t="s">
        <v>115</v>
      </c>
      <c r="AC2092" s="100" t="s">
        <v>115</v>
      </c>
      <c r="AD2092" s="100"/>
      <c r="AE2092" s="100"/>
      <c r="AF2092" s="100"/>
      <c r="AG2092" s="100"/>
      <c r="AH2092" s="100"/>
      <c r="AI2092" s="100" t="s">
        <v>115</v>
      </c>
      <c r="AJ2092" s="100"/>
      <c r="AK2092" s="100"/>
      <c r="AL2092" s="100"/>
      <c r="AM2092" s="100"/>
      <c r="AN2092" s="100"/>
      <c r="AO2092" s="100"/>
      <c r="AP2092" s="89" t="s">
        <v>115</v>
      </c>
    </row>
    <row r="2093" spans="1:42" s="89" customFormat="1" x14ac:dyDescent="0.15">
      <c r="A2093" s="100" t="s">
        <v>1</v>
      </c>
      <c r="B2093" s="101">
        <v>90190615</v>
      </c>
      <c r="C2093" s="101">
        <v>1906</v>
      </c>
      <c r="D2093" s="101">
        <v>19</v>
      </c>
      <c r="E2093" s="101"/>
      <c r="F2093" s="101" t="s">
        <v>115</v>
      </c>
      <c r="G2093" s="101" t="s">
        <v>115</v>
      </c>
      <c r="H2093" s="101" t="s">
        <v>4434</v>
      </c>
      <c r="I2093" s="101">
        <v>4</v>
      </c>
      <c r="J2093" s="100">
        <v>0</v>
      </c>
      <c r="K2093" s="100">
        <v>0</v>
      </c>
      <c r="L2093" s="100" t="s">
        <v>115</v>
      </c>
      <c r="M2093" s="102"/>
      <c r="N2093" s="100"/>
      <c r="O2093" s="100" t="s">
        <v>115</v>
      </c>
      <c r="P2093" s="101"/>
      <c r="Q2093" s="100">
        <v>192</v>
      </c>
      <c r="R2093" s="100" t="s">
        <v>115</v>
      </c>
      <c r="S2093" s="100"/>
      <c r="T2093" s="100"/>
      <c r="U2093" s="100"/>
      <c r="V2093" s="100"/>
      <c r="W2093" s="100"/>
      <c r="X2093" s="100">
        <v>90190616</v>
      </c>
      <c r="Y2093" s="100" t="s">
        <v>115</v>
      </c>
      <c r="Z2093" s="100" t="s">
        <v>115</v>
      </c>
      <c r="AA2093" s="100" t="s">
        <v>115</v>
      </c>
      <c r="AB2093" s="100" t="s">
        <v>115</v>
      </c>
      <c r="AC2093" s="100" t="s">
        <v>115</v>
      </c>
      <c r="AD2093" s="100"/>
      <c r="AE2093" s="100"/>
      <c r="AF2093" s="100"/>
      <c r="AG2093" s="100"/>
      <c r="AH2093" s="100"/>
      <c r="AI2093" s="100" t="s">
        <v>115</v>
      </c>
      <c r="AJ2093" s="100"/>
      <c r="AK2093" s="100"/>
      <c r="AL2093" s="100"/>
      <c r="AM2093" s="100"/>
      <c r="AN2093" s="100"/>
      <c r="AO2093" s="100"/>
      <c r="AP2093" s="89" t="s">
        <v>115</v>
      </c>
    </row>
    <row r="2094" spans="1:42" s="89" customFormat="1" x14ac:dyDescent="0.15">
      <c r="A2094" s="100" t="s">
        <v>1</v>
      </c>
      <c r="B2094" s="101">
        <v>90190616</v>
      </c>
      <c r="C2094" s="101">
        <v>1906</v>
      </c>
      <c r="D2094" s="101">
        <v>19</v>
      </c>
      <c r="E2094" s="101"/>
      <c r="F2094" s="101" t="s">
        <v>116</v>
      </c>
      <c r="G2094" s="101">
        <v>314</v>
      </c>
      <c r="H2094" s="101" t="s">
        <v>4435</v>
      </c>
      <c r="I2094" s="101">
        <v>2</v>
      </c>
      <c r="J2094" s="100">
        <v>0</v>
      </c>
      <c r="K2094" s="100">
        <v>0</v>
      </c>
      <c r="L2094" s="100" t="s">
        <v>115</v>
      </c>
      <c r="M2094" s="102"/>
      <c r="N2094" s="100"/>
      <c r="O2094" s="100" t="s">
        <v>115</v>
      </c>
      <c r="P2094" s="101"/>
      <c r="Q2094" s="100">
        <v>192</v>
      </c>
      <c r="R2094" s="100" t="s">
        <v>115</v>
      </c>
      <c r="S2094" s="100"/>
      <c r="T2094" s="100"/>
      <c r="U2094" s="100"/>
      <c r="V2094" s="100"/>
      <c r="W2094" s="100"/>
      <c r="X2094" s="100">
        <v>90190607</v>
      </c>
      <c r="Y2094" s="100" t="s">
        <v>115</v>
      </c>
      <c r="Z2094" s="100" t="s">
        <v>115</v>
      </c>
      <c r="AA2094" s="100" t="s">
        <v>115</v>
      </c>
      <c r="AB2094" s="100" t="s">
        <v>115</v>
      </c>
      <c r="AC2094" s="100" t="s">
        <v>115</v>
      </c>
      <c r="AD2094" s="100"/>
      <c r="AE2094" s="100"/>
      <c r="AF2094" s="100"/>
      <c r="AG2094" s="100"/>
      <c r="AH2094" s="100"/>
      <c r="AI2094" s="100" t="s">
        <v>115</v>
      </c>
      <c r="AJ2094" s="100"/>
      <c r="AK2094" s="100"/>
      <c r="AL2094" s="100"/>
      <c r="AM2094" s="100"/>
      <c r="AN2094" s="100"/>
      <c r="AO2094" s="100"/>
      <c r="AP2094" s="89" t="s">
        <v>115</v>
      </c>
    </row>
    <row r="2095" spans="1:42" s="89" customFormat="1" x14ac:dyDescent="0.15">
      <c r="A2095" s="100" t="s">
        <v>1</v>
      </c>
      <c r="B2095" s="101">
        <v>90190617</v>
      </c>
      <c r="C2095" s="101">
        <v>1906</v>
      </c>
      <c r="D2095" s="101">
        <v>19</v>
      </c>
      <c r="E2095" s="101"/>
      <c r="F2095" s="101" t="s">
        <v>115</v>
      </c>
      <c r="G2095" s="101" t="s">
        <v>115</v>
      </c>
      <c r="H2095" s="101" t="s">
        <v>4436</v>
      </c>
      <c r="I2095" s="101">
        <v>4</v>
      </c>
      <c r="J2095" s="100">
        <v>0</v>
      </c>
      <c r="K2095" s="100">
        <v>0</v>
      </c>
      <c r="L2095" s="100" t="s">
        <v>115</v>
      </c>
      <c r="M2095" s="102"/>
      <c r="N2095" s="100"/>
      <c r="O2095" s="100" t="s">
        <v>115</v>
      </c>
      <c r="P2095" s="101"/>
      <c r="Q2095" s="100">
        <v>118</v>
      </c>
      <c r="R2095" s="100">
        <v>101</v>
      </c>
      <c r="S2095" s="100"/>
      <c r="T2095" s="100"/>
      <c r="U2095" s="100"/>
      <c r="V2095" s="100"/>
      <c r="W2095" s="100"/>
      <c r="X2095" s="100">
        <v>90190618</v>
      </c>
      <c r="Y2095" s="100" t="s">
        <v>115</v>
      </c>
      <c r="Z2095" s="100" t="s">
        <v>115</v>
      </c>
      <c r="AA2095" s="100" t="s">
        <v>115</v>
      </c>
      <c r="AB2095" s="100" t="s">
        <v>115</v>
      </c>
      <c r="AC2095" s="100" t="s">
        <v>115</v>
      </c>
      <c r="AD2095" s="100"/>
      <c r="AE2095" s="100"/>
      <c r="AF2095" s="100"/>
      <c r="AG2095" s="100"/>
      <c r="AH2095" s="100"/>
      <c r="AI2095" s="100" t="s">
        <v>115</v>
      </c>
      <c r="AJ2095" s="100"/>
      <c r="AK2095" s="100"/>
      <c r="AL2095" s="100"/>
      <c r="AM2095" s="100"/>
      <c r="AN2095" s="100"/>
      <c r="AO2095" s="100"/>
      <c r="AP2095" s="89" t="s">
        <v>115</v>
      </c>
    </row>
    <row r="2096" spans="1:42" s="89" customFormat="1" x14ac:dyDescent="0.15">
      <c r="A2096" s="100" t="s">
        <v>1</v>
      </c>
      <c r="B2096" s="101">
        <v>90190618</v>
      </c>
      <c r="C2096" s="101">
        <v>1906</v>
      </c>
      <c r="D2096" s="101">
        <v>19</v>
      </c>
      <c r="E2096" s="101"/>
      <c r="F2096" s="101" t="s">
        <v>116</v>
      </c>
      <c r="G2096" s="101">
        <v>315</v>
      </c>
      <c r="H2096" s="101" t="s">
        <v>4437</v>
      </c>
      <c r="I2096" s="101">
        <v>0</v>
      </c>
      <c r="J2096" s="100">
        <v>0</v>
      </c>
      <c r="K2096" s="100">
        <v>0</v>
      </c>
      <c r="L2096" s="100" t="s">
        <v>115</v>
      </c>
      <c r="M2096" s="102"/>
      <c r="N2096" s="100"/>
      <c r="O2096" s="100" t="s">
        <v>115</v>
      </c>
      <c r="P2096" s="101"/>
      <c r="Q2096" s="100">
        <v>118</v>
      </c>
      <c r="R2096" s="100">
        <v>101</v>
      </c>
      <c r="S2096" s="100"/>
      <c r="T2096" s="100"/>
      <c r="U2096" s="100"/>
      <c r="V2096" s="100"/>
      <c r="W2096" s="100"/>
      <c r="X2096" s="100">
        <v>90190619</v>
      </c>
      <c r="Y2096" s="100" t="s">
        <v>115</v>
      </c>
      <c r="Z2096" s="100" t="s">
        <v>115</v>
      </c>
      <c r="AA2096" s="100" t="s">
        <v>115</v>
      </c>
      <c r="AB2096" s="100" t="s">
        <v>115</v>
      </c>
      <c r="AC2096" s="100" t="s">
        <v>115</v>
      </c>
      <c r="AD2096" s="100"/>
      <c r="AE2096" s="100"/>
      <c r="AF2096" s="100"/>
      <c r="AG2096" s="100"/>
      <c r="AH2096" s="100"/>
      <c r="AI2096" s="100" t="s">
        <v>115</v>
      </c>
      <c r="AJ2096" s="100"/>
      <c r="AK2096" s="100"/>
      <c r="AL2096" s="100"/>
      <c r="AM2096" s="100"/>
      <c r="AN2096" s="100"/>
      <c r="AO2096" s="100"/>
      <c r="AP2096" s="89" t="s">
        <v>115</v>
      </c>
    </row>
    <row r="2097" spans="1:42" s="89" customFormat="1" x14ac:dyDescent="0.15">
      <c r="A2097" s="100" t="s">
        <v>1</v>
      </c>
      <c r="B2097" s="101">
        <v>90190619</v>
      </c>
      <c r="C2097" s="101">
        <v>1906</v>
      </c>
      <c r="D2097" s="101">
        <v>19</v>
      </c>
      <c r="E2097" s="101"/>
      <c r="F2097" s="101" t="s">
        <v>4438</v>
      </c>
      <c r="G2097" s="101" t="s">
        <v>115</v>
      </c>
      <c r="H2097" s="101" t="s">
        <v>4439</v>
      </c>
      <c r="I2097" s="101">
        <v>3</v>
      </c>
      <c r="J2097" s="100">
        <v>0</v>
      </c>
      <c r="K2097" s="100">
        <v>0</v>
      </c>
      <c r="L2097" s="100" t="s">
        <v>115</v>
      </c>
      <c r="M2097" s="102"/>
      <c r="N2097" s="100"/>
      <c r="O2097" s="100" t="s">
        <v>115</v>
      </c>
      <c r="P2097" s="101"/>
      <c r="Q2097" s="100">
        <v>118</v>
      </c>
      <c r="R2097" s="100">
        <v>101</v>
      </c>
      <c r="S2097" s="100"/>
      <c r="T2097" s="100"/>
      <c r="U2097" s="100"/>
      <c r="V2097" s="100"/>
      <c r="W2097" s="100"/>
      <c r="X2097" s="100">
        <v>90190620</v>
      </c>
      <c r="Y2097" s="100" t="s">
        <v>115</v>
      </c>
      <c r="Z2097" s="100" t="s">
        <v>115</v>
      </c>
      <c r="AA2097" s="100" t="s">
        <v>115</v>
      </c>
      <c r="AB2097" s="100" t="s">
        <v>115</v>
      </c>
      <c r="AC2097" s="100" t="s">
        <v>115</v>
      </c>
      <c r="AD2097" s="100"/>
      <c r="AE2097" s="100"/>
      <c r="AF2097" s="100"/>
      <c r="AG2097" s="100"/>
      <c r="AH2097" s="100"/>
      <c r="AI2097" s="100" t="s">
        <v>115</v>
      </c>
      <c r="AJ2097" s="100"/>
      <c r="AK2097" s="100"/>
      <c r="AL2097" s="100"/>
      <c r="AM2097" s="100"/>
      <c r="AN2097" s="100"/>
      <c r="AO2097" s="100"/>
      <c r="AP2097" s="89" t="s">
        <v>115</v>
      </c>
    </row>
    <row r="2098" spans="1:42" s="89" customFormat="1" x14ac:dyDescent="0.15">
      <c r="A2098" s="100" t="s">
        <v>1</v>
      </c>
      <c r="B2098" s="101">
        <v>90190620</v>
      </c>
      <c r="C2098" s="101">
        <v>1906</v>
      </c>
      <c r="D2098" s="101">
        <v>19</v>
      </c>
      <c r="E2098" s="101"/>
      <c r="F2098" s="101" t="s">
        <v>115</v>
      </c>
      <c r="G2098" s="101" t="s">
        <v>115</v>
      </c>
      <c r="H2098" s="101" t="s">
        <v>4440</v>
      </c>
      <c r="I2098" s="101">
        <v>4</v>
      </c>
      <c r="J2098" s="100">
        <v>0</v>
      </c>
      <c r="K2098" s="100">
        <v>0</v>
      </c>
      <c r="L2098" s="100" t="s">
        <v>115</v>
      </c>
      <c r="M2098" s="102"/>
      <c r="N2098" s="100"/>
      <c r="O2098" s="100" t="s">
        <v>115</v>
      </c>
      <c r="P2098" s="101"/>
      <c r="Q2098" s="100">
        <v>118</v>
      </c>
      <c r="R2098" s="100">
        <v>101</v>
      </c>
      <c r="S2098" s="100"/>
      <c r="T2098" s="100"/>
      <c r="U2098" s="100"/>
      <c r="V2098" s="100"/>
      <c r="W2098" s="100"/>
      <c r="X2098" s="100">
        <v>90190621</v>
      </c>
      <c r="Y2098" s="100" t="s">
        <v>115</v>
      </c>
      <c r="Z2098" s="100" t="s">
        <v>115</v>
      </c>
      <c r="AA2098" s="100" t="s">
        <v>115</v>
      </c>
      <c r="AB2098" s="100" t="s">
        <v>115</v>
      </c>
      <c r="AC2098" s="100" t="s">
        <v>115</v>
      </c>
      <c r="AD2098" s="100"/>
      <c r="AE2098" s="100"/>
      <c r="AF2098" s="100"/>
      <c r="AG2098" s="100"/>
      <c r="AH2098" s="100"/>
      <c r="AI2098" s="100" t="s">
        <v>115</v>
      </c>
      <c r="AJ2098" s="100"/>
      <c r="AK2098" s="100"/>
      <c r="AL2098" s="100"/>
      <c r="AM2098" s="100"/>
      <c r="AN2098" s="100"/>
      <c r="AO2098" s="100"/>
      <c r="AP2098" s="89" t="s">
        <v>115</v>
      </c>
    </row>
    <row r="2099" spans="1:42" s="89" customFormat="1" x14ac:dyDescent="0.15">
      <c r="A2099" s="100" t="s">
        <v>1</v>
      </c>
      <c r="B2099" s="101">
        <v>90190621</v>
      </c>
      <c r="C2099" s="101">
        <v>1906</v>
      </c>
      <c r="D2099" s="101">
        <v>19</v>
      </c>
      <c r="E2099" s="101"/>
      <c r="F2099" s="101" t="s">
        <v>116</v>
      </c>
      <c r="G2099" s="101">
        <v>362</v>
      </c>
      <c r="H2099" s="101" t="s">
        <v>4441</v>
      </c>
      <c r="I2099" s="101">
        <v>0</v>
      </c>
      <c r="J2099" s="100">
        <v>0</v>
      </c>
      <c r="K2099" s="100">
        <v>0</v>
      </c>
      <c r="L2099" s="100" t="s">
        <v>115</v>
      </c>
      <c r="M2099" s="102"/>
      <c r="N2099" s="100"/>
      <c r="O2099" s="100" t="s">
        <v>115</v>
      </c>
      <c r="P2099" s="101"/>
      <c r="Q2099" s="100">
        <v>118</v>
      </c>
      <c r="R2099" s="100">
        <v>101</v>
      </c>
      <c r="S2099" s="100"/>
      <c r="T2099" s="100"/>
      <c r="U2099" s="100"/>
      <c r="V2099" s="100"/>
      <c r="W2099" s="100"/>
      <c r="X2099" s="100">
        <v>90190622</v>
      </c>
      <c r="Y2099" s="100" t="s">
        <v>115</v>
      </c>
      <c r="Z2099" s="100" t="s">
        <v>115</v>
      </c>
      <c r="AA2099" s="100" t="s">
        <v>115</v>
      </c>
      <c r="AB2099" s="100" t="s">
        <v>115</v>
      </c>
      <c r="AC2099" s="100" t="s">
        <v>115</v>
      </c>
      <c r="AD2099" s="100"/>
      <c r="AE2099" s="100"/>
      <c r="AF2099" s="100"/>
      <c r="AG2099" s="100"/>
      <c r="AH2099" s="100"/>
      <c r="AI2099" s="100" t="s">
        <v>115</v>
      </c>
      <c r="AJ2099" s="100"/>
      <c r="AK2099" s="100"/>
      <c r="AL2099" s="100"/>
      <c r="AM2099" s="100"/>
      <c r="AN2099" s="100"/>
      <c r="AO2099" s="100"/>
      <c r="AP2099" s="89" t="s">
        <v>115</v>
      </c>
    </row>
    <row r="2100" spans="1:42" s="89" customFormat="1" x14ac:dyDescent="0.15">
      <c r="A2100" s="100" t="s">
        <v>1</v>
      </c>
      <c r="B2100" s="101">
        <v>90190622</v>
      </c>
      <c r="C2100" s="101">
        <v>1906</v>
      </c>
      <c r="D2100" s="101">
        <v>19</v>
      </c>
      <c r="E2100" s="101"/>
      <c r="F2100" s="101" t="s">
        <v>115</v>
      </c>
      <c r="G2100" s="101" t="s">
        <v>115</v>
      </c>
      <c r="H2100" s="101" t="s">
        <v>4442</v>
      </c>
      <c r="I2100" s="101">
        <v>4</v>
      </c>
      <c r="J2100" s="100">
        <v>0</v>
      </c>
      <c r="K2100" s="100">
        <v>0</v>
      </c>
      <c r="L2100" s="100" t="s">
        <v>115</v>
      </c>
      <c r="M2100" s="102"/>
      <c r="N2100" s="100"/>
      <c r="O2100" s="100" t="s">
        <v>115</v>
      </c>
      <c r="P2100" s="101"/>
      <c r="Q2100" s="100">
        <v>118</v>
      </c>
      <c r="R2100" s="100">
        <v>101</v>
      </c>
      <c r="S2100" s="100"/>
      <c r="T2100" s="100"/>
      <c r="U2100" s="100"/>
      <c r="V2100" s="100"/>
      <c r="W2100" s="100"/>
      <c r="X2100" s="100">
        <v>90190623</v>
      </c>
      <c r="Y2100" s="100" t="s">
        <v>115</v>
      </c>
      <c r="Z2100" s="100" t="s">
        <v>115</v>
      </c>
      <c r="AA2100" s="100" t="s">
        <v>115</v>
      </c>
      <c r="AB2100" s="100" t="s">
        <v>115</v>
      </c>
      <c r="AC2100" s="100" t="s">
        <v>115</v>
      </c>
      <c r="AD2100" s="100"/>
      <c r="AE2100" s="100"/>
      <c r="AF2100" s="100"/>
      <c r="AG2100" s="100"/>
      <c r="AH2100" s="100"/>
      <c r="AI2100" s="100" t="s">
        <v>115</v>
      </c>
      <c r="AJ2100" s="100"/>
      <c r="AK2100" s="100"/>
      <c r="AL2100" s="100"/>
      <c r="AM2100" s="100"/>
      <c r="AN2100" s="100"/>
      <c r="AO2100" s="100"/>
      <c r="AP2100" s="89" t="s">
        <v>115</v>
      </c>
    </row>
    <row r="2101" spans="1:42" s="89" customFormat="1" x14ac:dyDescent="0.15">
      <c r="A2101" s="100" t="s">
        <v>1</v>
      </c>
      <c r="B2101" s="101">
        <v>90190623</v>
      </c>
      <c r="C2101" s="101">
        <v>1906</v>
      </c>
      <c r="D2101" s="101">
        <v>19</v>
      </c>
      <c r="E2101" s="101"/>
      <c r="F2101" s="101" t="s">
        <v>4443</v>
      </c>
      <c r="G2101" s="101" t="s">
        <v>115</v>
      </c>
      <c r="H2101" s="101" t="s">
        <v>4444</v>
      </c>
      <c r="I2101" s="101">
        <v>3</v>
      </c>
      <c r="J2101" s="100">
        <v>0</v>
      </c>
      <c r="K2101" s="100">
        <v>0</v>
      </c>
      <c r="L2101" s="100" t="s">
        <v>115</v>
      </c>
      <c r="M2101" s="102"/>
      <c r="N2101" s="100"/>
      <c r="O2101" s="100" t="s">
        <v>115</v>
      </c>
      <c r="P2101" s="101"/>
      <c r="Q2101" s="100">
        <v>118</v>
      </c>
      <c r="R2101" s="100">
        <v>101</v>
      </c>
      <c r="S2101" s="100"/>
      <c r="T2101" s="100"/>
      <c r="U2101" s="100"/>
      <c r="V2101" s="100"/>
      <c r="W2101" s="100"/>
      <c r="X2101" s="100">
        <v>90190624</v>
      </c>
      <c r="Y2101" s="100" t="s">
        <v>115</v>
      </c>
      <c r="Z2101" s="100" t="s">
        <v>115</v>
      </c>
      <c r="AA2101" s="100" t="s">
        <v>115</v>
      </c>
      <c r="AB2101" s="100" t="s">
        <v>115</v>
      </c>
      <c r="AC2101" s="100" t="s">
        <v>115</v>
      </c>
      <c r="AD2101" s="100"/>
      <c r="AE2101" s="100"/>
      <c r="AF2101" s="100"/>
      <c r="AG2101" s="100"/>
      <c r="AH2101" s="100"/>
      <c r="AI2101" s="100" t="s">
        <v>115</v>
      </c>
      <c r="AJ2101" s="100"/>
      <c r="AK2101" s="100"/>
      <c r="AL2101" s="100"/>
      <c r="AM2101" s="100"/>
      <c r="AN2101" s="100"/>
      <c r="AO2101" s="100"/>
      <c r="AP2101" s="89" t="s">
        <v>115</v>
      </c>
    </row>
    <row r="2102" spans="1:42" s="89" customFormat="1" x14ac:dyDescent="0.15">
      <c r="A2102" s="100" t="s">
        <v>1</v>
      </c>
      <c r="B2102" s="101">
        <v>90190624</v>
      </c>
      <c r="C2102" s="101">
        <v>1906</v>
      </c>
      <c r="D2102" s="101">
        <v>19</v>
      </c>
      <c r="E2102" s="101"/>
      <c r="F2102" s="101" t="s">
        <v>4438</v>
      </c>
      <c r="G2102" s="101" t="s">
        <v>115</v>
      </c>
      <c r="H2102" s="101" t="s">
        <v>4445</v>
      </c>
      <c r="I2102" s="101">
        <v>3</v>
      </c>
      <c r="J2102" s="100">
        <v>0</v>
      </c>
      <c r="K2102" s="100">
        <v>0</v>
      </c>
      <c r="L2102" s="100" t="s">
        <v>115</v>
      </c>
      <c r="M2102" s="102"/>
      <c r="N2102" s="100"/>
      <c r="O2102" s="100" t="s">
        <v>115</v>
      </c>
      <c r="P2102" s="101"/>
      <c r="Q2102" s="100">
        <v>118</v>
      </c>
      <c r="R2102" s="100">
        <v>101</v>
      </c>
      <c r="S2102" s="100"/>
      <c r="T2102" s="100"/>
      <c r="U2102" s="100"/>
      <c r="V2102" s="100"/>
      <c r="W2102" s="100"/>
      <c r="X2102" s="100">
        <v>90190625</v>
      </c>
      <c r="Y2102" s="100" t="s">
        <v>115</v>
      </c>
      <c r="Z2102" s="100" t="s">
        <v>115</v>
      </c>
      <c r="AA2102" s="100" t="s">
        <v>115</v>
      </c>
      <c r="AB2102" s="100" t="s">
        <v>115</v>
      </c>
      <c r="AC2102" s="100" t="s">
        <v>115</v>
      </c>
      <c r="AD2102" s="100"/>
      <c r="AE2102" s="100"/>
      <c r="AF2102" s="100"/>
      <c r="AG2102" s="100"/>
      <c r="AH2102" s="100"/>
      <c r="AI2102" s="100" t="s">
        <v>115</v>
      </c>
      <c r="AJ2102" s="100"/>
      <c r="AK2102" s="100"/>
      <c r="AL2102" s="100"/>
      <c r="AM2102" s="100"/>
      <c r="AN2102" s="100"/>
      <c r="AO2102" s="100"/>
      <c r="AP2102" s="89" t="s">
        <v>115</v>
      </c>
    </row>
    <row r="2103" spans="1:42" s="89" customFormat="1" x14ac:dyDescent="0.15">
      <c r="A2103" s="100" t="s">
        <v>1</v>
      </c>
      <c r="B2103" s="101">
        <v>90190625</v>
      </c>
      <c r="C2103" s="101">
        <v>1906</v>
      </c>
      <c r="D2103" s="101">
        <v>19</v>
      </c>
      <c r="E2103" s="101"/>
      <c r="F2103" s="101" t="s">
        <v>115</v>
      </c>
      <c r="G2103" s="101" t="s">
        <v>115</v>
      </c>
      <c r="H2103" s="101" t="s">
        <v>4446</v>
      </c>
      <c r="I2103" s="101">
        <v>4</v>
      </c>
      <c r="J2103" s="100">
        <v>0</v>
      </c>
      <c r="K2103" s="100">
        <v>0</v>
      </c>
      <c r="L2103" s="100" t="s">
        <v>115</v>
      </c>
      <c r="M2103" s="102"/>
      <c r="N2103" s="100"/>
      <c r="O2103" s="100" t="s">
        <v>115</v>
      </c>
      <c r="P2103" s="101"/>
      <c r="Q2103" s="100">
        <v>118</v>
      </c>
      <c r="R2103" s="100">
        <v>306</v>
      </c>
      <c r="S2103" s="100"/>
      <c r="T2103" s="100"/>
      <c r="U2103" s="100"/>
      <c r="V2103" s="100"/>
      <c r="W2103" s="100"/>
      <c r="X2103" s="100">
        <v>90190626</v>
      </c>
      <c r="Y2103" s="100" t="s">
        <v>115</v>
      </c>
      <c r="Z2103" s="100" t="s">
        <v>115</v>
      </c>
      <c r="AA2103" s="100" t="s">
        <v>115</v>
      </c>
      <c r="AB2103" s="100" t="s">
        <v>115</v>
      </c>
      <c r="AC2103" s="100" t="s">
        <v>115</v>
      </c>
      <c r="AD2103" s="100"/>
      <c r="AE2103" s="100"/>
      <c r="AF2103" s="100"/>
      <c r="AG2103" s="100"/>
      <c r="AH2103" s="100"/>
      <c r="AI2103" s="100" t="s">
        <v>115</v>
      </c>
      <c r="AJ2103" s="100"/>
      <c r="AK2103" s="100"/>
      <c r="AL2103" s="100"/>
      <c r="AM2103" s="100"/>
      <c r="AN2103" s="100"/>
      <c r="AO2103" s="100"/>
      <c r="AP2103" s="89" t="s">
        <v>115</v>
      </c>
    </row>
    <row r="2104" spans="1:42" s="89" customFormat="1" x14ac:dyDescent="0.15">
      <c r="A2104" s="100" t="s">
        <v>1</v>
      </c>
      <c r="B2104" s="101">
        <v>90190626</v>
      </c>
      <c r="C2104" s="101">
        <v>1906</v>
      </c>
      <c r="D2104" s="101">
        <v>19</v>
      </c>
      <c r="E2104" s="101"/>
      <c r="F2104" s="101" t="s">
        <v>4430</v>
      </c>
      <c r="G2104" s="101" t="s">
        <v>115</v>
      </c>
      <c r="H2104" s="101" t="s">
        <v>4447</v>
      </c>
      <c r="I2104" s="101">
        <v>3</v>
      </c>
      <c r="J2104" s="100">
        <v>0</v>
      </c>
      <c r="K2104" s="100">
        <v>0</v>
      </c>
      <c r="L2104" s="100" t="s">
        <v>115</v>
      </c>
      <c r="M2104" s="102"/>
      <c r="N2104" s="100"/>
      <c r="O2104" s="100" t="s">
        <v>115</v>
      </c>
      <c r="P2104" s="101"/>
      <c r="Q2104" s="100">
        <v>118</v>
      </c>
      <c r="R2104" s="100">
        <v>306</v>
      </c>
      <c r="S2104" s="100"/>
      <c r="T2104" s="100"/>
      <c r="U2104" s="100"/>
      <c r="V2104" s="100"/>
      <c r="W2104" s="100"/>
      <c r="X2104" s="100">
        <v>90190627</v>
      </c>
      <c r="Y2104" s="100" t="s">
        <v>115</v>
      </c>
      <c r="Z2104" s="100" t="s">
        <v>115</v>
      </c>
      <c r="AA2104" s="100" t="s">
        <v>115</v>
      </c>
      <c r="AB2104" s="100" t="s">
        <v>115</v>
      </c>
      <c r="AC2104" s="100" t="s">
        <v>115</v>
      </c>
      <c r="AD2104" s="100"/>
      <c r="AE2104" s="100"/>
      <c r="AF2104" s="100"/>
      <c r="AG2104" s="100"/>
      <c r="AH2104" s="100"/>
      <c r="AI2104" s="100" t="s">
        <v>115</v>
      </c>
      <c r="AJ2104" s="100"/>
      <c r="AK2104" s="100"/>
      <c r="AL2104" s="100"/>
      <c r="AM2104" s="100"/>
      <c r="AN2104" s="100"/>
      <c r="AO2104" s="100"/>
      <c r="AP2104" s="89" t="s">
        <v>115</v>
      </c>
    </row>
    <row r="2105" spans="1:42" s="89" customFormat="1" x14ac:dyDescent="0.15">
      <c r="A2105" s="100" t="s">
        <v>1</v>
      </c>
      <c r="B2105" s="101">
        <v>90190627</v>
      </c>
      <c r="C2105" s="101">
        <v>1906</v>
      </c>
      <c r="D2105" s="101">
        <v>19</v>
      </c>
      <c r="E2105" s="101"/>
      <c r="F2105" s="101" t="s">
        <v>116</v>
      </c>
      <c r="G2105" s="101">
        <v>368</v>
      </c>
      <c r="H2105" s="101" t="s">
        <v>4448</v>
      </c>
      <c r="I2105" s="101">
        <v>0</v>
      </c>
      <c r="J2105" s="100">
        <v>0</v>
      </c>
      <c r="K2105" s="100">
        <v>0</v>
      </c>
      <c r="L2105" s="100" t="s">
        <v>115</v>
      </c>
      <c r="M2105" s="102"/>
      <c r="N2105" s="100"/>
      <c r="O2105" s="100" t="s">
        <v>115</v>
      </c>
      <c r="P2105" s="101"/>
      <c r="Q2105" s="100">
        <v>118</v>
      </c>
      <c r="R2105" s="100">
        <v>306</v>
      </c>
      <c r="S2105" s="100"/>
      <c r="T2105" s="100"/>
      <c r="U2105" s="100"/>
      <c r="V2105" s="100"/>
      <c r="W2105" s="100"/>
      <c r="X2105" s="100">
        <v>90190628</v>
      </c>
      <c r="Y2105" s="100" t="s">
        <v>115</v>
      </c>
      <c r="Z2105" s="100" t="s">
        <v>115</v>
      </c>
      <c r="AA2105" s="100" t="s">
        <v>115</v>
      </c>
      <c r="AB2105" s="100" t="s">
        <v>115</v>
      </c>
      <c r="AC2105" s="100" t="s">
        <v>115</v>
      </c>
      <c r="AD2105" s="100"/>
      <c r="AE2105" s="100"/>
      <c r="AF2105" s="100"/>
      <c r="AG2105" s="100"/>
      <c r="AH2105" s="100"/>
      <c r="AI2105" s="100" t="s">
        <v>115</v>
      </c>
      <c r="AJ2105" s="100"/>
      <c r="AK2105" s="100"/>
      <c r="AL2105" s="100"/>
      <c r="AM2105" s="100"/>
      <c r="AN2105" s="100"/>
      <c r="AO2105" s="100"/>
      <c r="AP2105" s="89" t="s">
        <v>115</v>
      </c>
    </row>
    <row r="2106" spans="1:42" s="89" customFormat="1" x14ac:dyDescent="0.15">
      <c r="A2106" s="100" t="s">
        <v>1</v>
      </c>
      <c r="B2106" s="101">
        <v>90190628</v>
      </c>
      <c r="C2106" s="101">
        <v>1906</v>
      </c>
      <c r="D2106" s="101">
        <v>19</v>
      </c>
      <c r="E2106" s="101"/>
      <c r="F2106" s="101" t="s">
        <v>115</v>
      </c>
      <c r="G2106" s="101" t="s">
        <v>115</v>
      </c>
      <c r="H2106" s="101" t="s">
        <v>4449</v>
      </c>
      <c r="I2106" s="101">
        <v>4</v>
      </c>
      <c r="J2106" s="100">
        <v>0</v>
      </c>
      <c r="K2106" s="100">
        <v>0</v>
      </c>
      <c r="L2106" s="100" t="s">
        <v>115</v>
      </c>
      <c r="M2106" s="102"/>
      <c r="N2106" s="100"/>
      <c r="O2106" s="100" t="s">
        <v>115</v>
      </c>
      <c r="P2106" s="101"/>
      <c r="Q2106" s="100">
        <v>118</v>
      </c>
      <c r="R2106" s="100">
        <v>101</v>
      </c>
      <c r="S2106" s="100"/>
      <c r="T2106" s="100"/>
      <c r="U2106" s="100"/>
      <c r="V2106" s="100"/>
      <c r="W2106" s="100"/>
      <c r="X2106" s="100">
        <v>90190629</v>
      </c>
      <c r="Y2106" s="100" t="s">
        <v>115</v>
      </c>
      <c r="Z2106" s="100" t="s">
        <v>115</v>
      </c>
      <c r="AA2106" s="100" t="s">
        <v>115</v>
      </c>
      <c r="AB2106" s="100" t="s">
        <v>115</v>
      </c>
      <c r="AC2106" s="100" t="s">
        <v>115</v>
      </c>
      <c r="AD2106" s="100"/>
      <c r="AE2106" s="100"/>
      <c r="AF2106" s="100"/>
      <c r="AG2106" s="100"/>
      <c r="AH2106" s="100"/>
      <c r="AI2106" s="100" t="s">
        <v>115</v>
      </c>
      <c r="AJ2106" s="100"/>
      <c r="AK2106" s="100"/>
      <c r="AL2106" s="100"/>
      <c r="AM2106" s="100"/>
      <c r="AN2106" s="100"/>
      <c r="AO2106" s="100"/>
      <c r="AP2106" s="89" t="s">
        <v>115</v>
      </c>
    </row>
    <row r="2107" spans="1:42" s="89" customFormat="1" x14ac:dyDescent="0.15">
      <c r="A2107" s="100" t="s">
        <v>1</v>
      </c>
      <c r="B2107" s="101">
        <v>90190629</v>
      </c>
      <c r="C2107" s="101">
        <v>1906</v>
      </c>
      <c r="D2107" s="101">
        <v>19</v>
      </c>
      <c r="E2107" s="101"/>
      <c r="F2107" s="101" t="s">
        <v>115</v>
      </c>
      <c r="G2107" s="101" t="s">
        <v>115</v>
      </c>
      <c r="H2107" s="101" t="s">
        <v>4450</v>
      </c>
      <c r="I2107" s="101">
        <v>4</v>
      </c>
      <c r="J2107" s="100">
        <v>0</v>
      </c>
      <c r="K2107" s="100">
        <v>0</v>
      </c>
      <c r="L2107" s="100" t="s">
        <v>115</v>
      </c>
      <c r="M2107" s="102"/>
      <c r="N2107" s="100"/>
      <c r="O2107" s="100" t="s">
        <v>115</v>
      </c>
      <c r="P2107" s="101"/>
      <c r="Q2107" s="100">
        <v>118</v>
      </c>
      <c r="R2107" s="100" t="s">
        <v>115</v>
      </c>
      <c r="S2107" s="100"/>
      <c r="T2107" s="100"/>
      <c r="U2107" s="100"/>
      <c r="V2107" s="100"/>
      <c r="W2107" s="100"/>
      <c r="X2107" s="100">
        <v>90190630</v>
      </c>
      <c r="Y2107" s="100" t="s">
        <v>115</v>
      </c>
      <c r="Z2107" s="100" t="s">
        <v>115</v>
      </c>
      <c r="AA2107" s="100" t="s">
        <v>115</v>
      </c>
      <c r="AB2107" s="100" t="s">
        <v>115</v>
      </c>
      <c r="AC2107" s="100" t="s">
        <v>115</v>
      </c>
      <c r="AD2107" s="100"/>
      <c r="AE2107" s="100"/>
      <c r="AF2107" s="100"/>
      <c r="AG2107" s="100"/>
      <c r="AH2107" s="100"/>
      <c r="AI2107" s="100" t="s">
        <v>115</v>
      </c>
      <c r="AJ2107" s="100"/>
      <c r="AK2107" s="100"/>
      <c r="AL2107" s="100"/>
      <c r="AM2107" s="100"/>
      <c r="AN2107" s="100"/>
      <c r="AO2107" s="100"/>
      <c r="AP2107" s="89" t="s">
        <v>115</v>
      </c>
    </row>
    <row r="2108" spans="1:42" s="89" customFormat="1" x14ac:dyDescent="0.15">
      <c r="A2108" s="100" t="s">
        <v>1</v>
      </c>
      <c r="B2108" s="101">
        <v>90190630</v>
      </c>
      <c r="C2108" s="101">
        <v>1906</v>
      </c>
      <c r="D2108" s="101">
        <v>19</v>
      </c>
      <c r="E2108" s="101"/>
      <c r="F2108" s="101" t="s">
        <v>116</v>
      </c>
      <c r="G2108" s="101">
        <v>364</v>
      </c>
      <c r="H2108" s="101" t="s">
        <v>4451</v>
      </c>
      <c r="I2108" s="101">
        <v>0</v>
      </c>
      <c r="J2108" s="100">
        <v>0</v>
      </c>
      <c r="K2108" s="100">
        <v>0</v>
      </c>
      <c r="L2108" s="100" t="s">
        <v>115</v>
      </c>
      <c r="M2108" s="102"/>
      <c r="N2108" s="100"/>
      <c r="O2108" s="100" t="s">
        <v>115</v>
      </c>
      <c r="P2108" s="101"/>
      <c r="Q2108" s="100">
        <v>118</v>
      </c>
      <c r="R2108" s="100" t="s">
        <v>115</v>
      </c>
      <c r="S2108" s="100"/>
      <c r="T2108" s="100"/>
      <c r="U2108" s="100"/>
      <c r="V2108" s="100"/>
      <c r="W2108" s="100"/>
      <c r="X2108" s="100">
        <v>90190631</v>
      </c>
      <c r="Y2108" s="100" t="s">
        <v>115</v>
      </c>
      <c r="Z2108" s="100" t="s">
        <v>115</v>
      </c>
      <c r="AA2108" s="100" t="s">
        <v>115</v>
      </c>
      <c r="AB2108" s="100" t="s">
        <v>115</v>
      </c>
      <c r="AC2108" s="100" t="s">
        <v>115</v>
      </c>
      <c r="AD2108" s="100"/>
      <c r="AE2108" s="100"/>
      <c r="AF2108" s="100"/>
      <c r="AG2108" s="100"/>
      <c r="AH2108" s="100"/>
      <c r="AI2108" s="100" t="s">
        <v>115</v>
      </c>
      <c r="AJ2108" s="100"/>
      <c r="AK2108" s="100"/>
      <c r="AL2108" s="100"/>
      <c r="AM2108" s="100"/>
      <c r="AN2108" s="100"/>
      <c r="AO2108" s="100"/>
      <c r="AP2108" s="89" t="s">
        <v>115</v>
      </c>
    </row>
    <row r="2109" spans="1:42" s="89" customFormat="1" x14ac:dyDescent="0.15">
      <c r="A2109" s="100" t="s">
        <v>1</v>
      </c>
      <c r="B2109" s="101">
        <v>90190631</v>
      </c>
      <c r="C2109" s="101">
        <v>1906</v>
      </c>
      <c r="D2109" s="101">
        <v>19</v>
      </c>
      <c r="E2109" s="101"/>
      <c r="F2109" s="101" t="s">
        <v>115</v>
      </c>
      <c r="G2109" s="101" t="s">
        <v>115</v>
      </c>
      <c r="H2109" s="101" t="s">
        <v>4452</v>
      </c>
      <c r="I2109" s="101">
        <v>4</v>
      </c>
      <c r="J2109" s="100">
        <v>0</v>
      </c>
      <c r="K2109" s="100">
        <v>5</v>
      </c>
      <c r="L2109" s="100" t="s">
        <v>115</v>
      </c>
      <c r="M2109" s="102"/>
      <c r="N2109" s="100"/>
      <c r="O2109" s="100" t="s">
        <v>115</v>
      </c>
      <c r="P2109" s="101"/>
      <c r="Q2109" s="100">
        <v>118</v>
      </c>
      <c r="R2109" s="100" t="s">
        <v>115</v>
      </c>
      <c r="S2109" s="100"/>
      <c r="T2109" s="100"/>
      <c r="U2109" s="100"/>
      <c r="V2109" s="100"/>
      <c r="W2109" s="100"/>
      <c r="X2109" s="100" t="s">
        <v>4453</v>
      </c>
      <c r="Y2109" s="100">
        <v>1</v>
      </c>
      <c r="Z2109" s="100">
        <v>2</v>
      </c>
      <c r="AA2109" s="100" t="s">
        <v>115</v>
      </c>
      <c r="AB2109" s="100" t="s">
        <v>115</v>
      </c>
      <c r="AC2109" s="100" t="s">
        <v>115</v>
      </c>
      <c r="AD2109" s="100"/>
      <c r="AE2109" s="100"/>
      <c r="AF2109" s="100"/>
      <c r="AG2109" s="100"/>
      <c r="AH2109" s="100"/>
      <c r="AI2109" s="100" t="s">
        <v>115</v>
      </c>
      <c r="AJ2109" s="100"/>
      <c r="AK2109" s="100"/>
      <c r="AL2109" s="100"/>
      <c r="AM2109" s="100"/>
      <c r="AN2109" s="100"/>
      <c r="AO2109" s="100"/>
      <c r="AP2109" s="89" t="s">
        <v>115</v>
      </c>
    </row>
    <row r="2110" spans="1:42" s="89" customFormat="1" x14ac:dyDescent="0.15">
      <c r="A2110" s="100" t="s">
        <v>1</v>
      </c>
      <c r="B2110" s="101">
        <v>90190632</v>
      </c>
      <c r="C2110" s="101">
        <v>1906</v>
      </c>
      <c r="D2110" s="101">
        <v>19</v>
      </c>
      <c r="E2110" s="101"/>
      <c r="F2110" s="101" t="s">
        <v>115</v>
      </c>
      <c r="G2110" s="101" t="s">
        <v>115</v>
      </c>
      <c r="H2110" s="101" t="s">
        <v>4454</v>
      </c>
      <c r="I2110" s="101">
        <v>4</v>
      </c>
      <c r="J2110" s="100">
        <v>0</v>
      </c>
      <c r="K2110" s="100">
        <v>6</v>
      </c>
      <c r="L2110" s="100" t="s">
        <v>115</v>
      </c>
      <c r="M2110" s="102"/>
      <c r="N2110" s="100"/>
      <c r="O2110" s="100" t="s">
        <v>115</v>
      </c>
      <c r="P2110" s="101"/>
      <c r="Q2110" s="100">
        <v>118</v>
      </c>
      <c r="R2110" s="100" t="s">
        <v>115</v>
      </c>
      <c r="S2110" s="100"/>
      <c r="T2110" s="100"/>
      <c r="U2110" s="100"/>
      <c r="V2110" s="100"/>
      <c r="W2110" s="100"/>
      <c r="X2110" s="100">
        <v>90190634</v>
      </c>
      <c r="Y2110" s="100">
        <v>-1</v>
      </c>
      <c r="Z2110" s="100">
        <v>5</v>
      </c>
      <c r="AA2110" s="100" t="s">
        <v>115</v>
      </c>
      <c r="AB2110" s="100" t="s">
        <v>115</v>
      </c>
      <c r="AC2110" s="100" t="s">
        <v>4455</v>
      </c>
      <c r="AD2110" s="100"/>
      <c r="AE2110" s="100"/>
      <c r="AF2110" s="100"/>
      <c r="AG2110" s="100"/>
      <c r="AH2110" s="100"/>
      <c r="AI2110" s="100" t="s">
        <v>115</v>
      </c>
      <c r="AJ2110" s="100"/>
      <c r="AK2110" s="100"/>
      <c r="AL2110" s="100"/>
      <c r="AM2110" s="100"/>
      <c r="AN2110" s="100"/>
      <c r="AO2110" s="100"/>
      <c r="AP2110" s="89" t="s">
        <v>115</v>
      </c>
    </row>
    <row r="2111" spans="1:42" s="89" customFormat="1" x14ac:dyDescent="0.15">
      <c r="A2111" s="100" t="s">
        <v>1</v>
      </c>
      <c r="B2111" s="101">
        <v>90190633</v>
      </c>
      <c r="C2111" s="101">
        <v>1906</v>
      </c>
      <c r="D2111" s="101">
        <v>19</v>
      </c>
      <c r="E2111" s="101"/>
      <c r="F2111" s="101" t="s">
        <v>115</v>
      </c>
      <c r="G2111" s="101" t="s">
        <v>115</v>
      </c>
      <c r="H2111" s="101" t="s">
        <v>4456</v>
      </c>
      <c r="I2111" s="101">
        <v>4</v>
      </c>
      <c r="J2111" s="100">
        <v>0</v>
      </c>
      <c r="K2111" s="100">
        <v>7</v>
      </c>
      <c r="L2111" s="100" t="s">
        <v>115</v>
      </c>
      <c r="M2111" s="102"/>
      <c r="N2111" s="100"/>
      <c r="O2111" s="100" t="s">
        <v>115</v>
      </c>
      <c r="P2111" s="101"/>
      <c r="Q2111" s="100">
        <v>118</v>
      </c>
      <c r="R2111" s="100" t="s">
        <v>115</v>
      </c>
      <c r="S2111" s="100"/>
      <c r="T2111" s="100"/>
      <c r="U2111" s="100"/>
      <c r="V2111" s="100"/>
      <c r="W2111" s="100"/>
      <c r="X2111" s="100">
        <v>90190635</v>
      </c>
      <c r="Y2111" s="100">
        <v>-1</v>
      </c>
      <c r="Z2111" s="100">
        <v>5</v>
      </c>
      <c r="AA2111" s="100" t="s">
        <v>115</v>
      </c>
      <c r="AB2111" s="100" t="s">
        <v>115</v>
      </c>
      <c r="AC2111" s="100" t="s">
        <v>4457</v>
      </c>
      <c r="AD2111" s="100"/>
      <c r="AE2111" s="100"/>
      <c r="AF2111" s="100"/>
      <c r="AG2111" s="100"/>
      <c r="AH2111" s="100"/>
      <c r="AI2111" s="100" t="s">
        <v>115</v>
      </c>
      <c r="AJ2111" s="100"/>
      <c r="AK2111" s="100"/>
      <c r="AL2111" s="100"/>
      <c r="AM2111" s="100"/>
      <c r="AN2111" s="100"/>
      <c r="AO2111" s="100"/>
      <c r="AP2111" s="89" t="s">
        <v>115</v>
      </c>
    </row>
    <row r="2112" spans="1:42" s="89" customFormat="1" x14ac:dyDescent="0.15">
      <c r="A2112" s="100" t="s">
        <v>1</v>
      </c>
      <c r="B2112" s="101">
        <v>90190634</v>
      </c>
      <c r="C2112" s="101">
        <v>1906</v>
      </c>
      <c r="D2112" s="101">
        <v>19</v>
      </c>
      <c r="E2112" s="101"/>
      <c r="F2112" s="101" t="s">
        <v>115</v>
      </c>
      <c r="G2112" s="101" t="s">
        <v>115</v>
      </c>
      <c r="H2112" s="101" t="s">
        <v>4458</v>
      </c>
      <c r="I2112" s="101">
        <v>4</v>
      </c>
      <c r="J2112" s="100">
        <v>0</v>
      </c>
      <c r="K2112" s="100">
        <v>0</v>
      </c>
      <c r="L2112" s="100" t="s">
        <v>115</v>
      </c>
      <c r="M2112" s="102"/>
      <c r="N2112" s="100"/>
      <c r="O2112" s="100" t="s">
        <v>115</v>
      </c>
      <c r="P2112" s="101"/>
      <c r="Q2112" s="100">
        <v>118</v>
      </c>
      <c r="R2112" s="100" t="s">
        <v>115</v>
      </c>
      <c r="S2112" s="100"/>
      <c r="T2112" s="100"/>
      <c r="U2112" s="100"/>
      <c r="V2112" s="100"/>
      <c r="W2112" s="100"/>
      <c r="X2112" s="100">
        <v>90190636</v>
      </c>
      <c r="Y2112" s="100" t="s">
        <v>115</v>
      </c>
      <c r="Z2112" s="100" t="s">
        <v>115</v>
      </c>
      <c r="AA2112" s="100" t="s">
        <v>115</v>
      </c>
      <c r="AB2112" s="100" t="s">
        <v>115</v>
      </c>
      <c r="AC2112" s="100" t="s">
        <v>115</v>
      </c>
      <c r="AD2112" s="100"/>
      <c r="AE2112" s="100"/>
      <c r="AF2112" s="100"/>
      <c r="AG2112" s="100"/>
      <c r="AH2112" s="100"/>
      <c r="AI2112" s="100" t="s">
        <v>115</v>
      </c>
      <c r="AJ2112" s="100"/>
      <c r="AK2112" s="100"/>
      <c r="AL2112" s="100"/>
      <c r="AM2112" s="100"/>
      <c r="AN2112" s="100"/>
      <c r="AO2112" s="100"/>
      <c r="AP2112" s="89" t="s">
        <v>115</v>
      </c>
    </row>
    <row r="2113" spans="1:42" s="89" customFormat="1" x14ac:dyDescent="0.15">
      <c r="A2113" s="100" t="s">
        <v>1</v>
      </c>
      <c r="B2113" s="101">
        <v>90190635</v>
      </c>
      <c r="C2113" s="101">
        <v>1906</v>
      </c>
      <c r="D2113" s="101">
        <v>19</v>
      </c>
      <c r="E2113" s="101"/>
      <c r="F2113" s="101" t="s">
        <v>115</v>
      </c>
      <c r="G2113" s="101" t="s">
        <v>115</v>
      </c>
      <c r="H2113" s="101" t="s">
        <v>4459</v>
      </c>
      <c r="I2113" s="101">
        <v>4</v>
      </c>
      <c r="J2113" s="100">
        <v>0</v>
      </c>
      <c r="K2113" s="100">
        <v>0</v>
      </c>
      <c r="L2113" s="100" t="s">
        <v>115</v>
      </c>
      <c r="M2113" s="102"/>
      <c r="N2113" s="100"/>
      <c r="O2113" s="100" t="s">
        <v>115</v>
      </c>
      <c r="P2113" s="101"/>
      <c r="Q2113" s="100">
        <v>118</v>
      </c>
      <c r="R2113" s="100" t="s">
        <v>115</v>
      </c>
      <c r="S2113" s="100"/>
      <c r="T2113" s="100"/>
      <c r="U2113" s="100"/>
      <c r="V2113" s="100"/>
      <c r="W2113" s="100"/>
      <c r="X2113" s="100">
        <v>90190636</v>
      </c>
      <c r="Y2113" s="100" t="s">
        <v>115</v>
      </c>
      <c r="Z2113" s="100" t="s">
        <v>115</v>
      </c>
      <c r="AA2113" s="100" t="s">
        <v>115</v>
      </c>
      <c r="AB2113" s="100" t="s">
        <v>115</v>
      </c>
      <c r="AC2113" s="100" t="s">
        <v>115</v>
      </c>
      <c r="AD2113" s="100"/>
      <c r="AE2113" s="100"/>
      <c r="AF2113" s="100"/>
      <c r="AG2113" s="100"/>
      <c r="AH2113" s="100"/>
      <c r="AI2113" s="100" t="s">
        <v>115</v>
      </c>
      <c r="AJ2113" s="100"/>
      <c r="AK2113" s="100"/>
      <c r="AL2113" s="100"/>
      <c r="AM2113" s="100"/>
      <c r="AN2113" s="100"/>
      <c r="AO2113" s="100"/>
      <c r="AP2113" s="89" t="s">
        <v>115</v>
      </c>
    </row>
    <row r="2114" spans="1:42" s="89" customFormat="1" x14ac:dyDescent="0.15">
      <c r="A2114" s="100" t="s">
        <v>1</v>
      </c>
      <c r="B2114" s="101">
        <v>90190636</v>
      </c>
      <c r="C2114" s="101">
        <v>1906</v>
      </c>
      <c r="D2114" s="101">
        <v>19</v>
      </c>
      <c r="E2114" s="101"/>
      <c r="F2114" s="101" t="s">
        <v>115</v>
      </c>
      <c r="G2114" s="101" t="s">
        <v>115</v>
      </c>
      <c r="H2114" s="101" t="s">
        <v>4460</v>
      </c>
      <c r="I2114" s="101">
        <v>4</v>
      </c>
      <c r="J2114" s="100">
        <v>0</v>
      </c>
      <c r="K2114" s="100">
        <v>0</v>
      </c>
      <c r="L2114" s="100" t="s">
        <v>115</v>
      </c>
      <c r="M2114" s="102"/>
      <c r="N2114" s="100"/>
      <c r="O2114" s="100" t="s">
        <v>115</v>
      </c>
      <c r="P2114" s="101"/>
      <c r="Q2114" s="100">
        <v>118</v>
      </c>
      <c r="R2114" s="100" t="s">
        <v>115</v>
      </c>
      <c r="S2114" s="100"/>
      <c r="T2114" s="100"/>
      <c r="U2114" s="100"/>
      <c r="V2114" s="100"/>
      <c r="W2114" s="100"/>
      <c r="X2114" s="100">
        <v>90190637</v>
      </c>
      <c r="Y2114" s="100" t="s">
        <v>115</v>
      </c>
      <c r="Z2114" s="100" t="s">
        <v>115</v>
      </c>
      <c r="AA2114" s="100" t="s">
        <v>115</v>
      </c>
      <c r="AB2114" s="100" t="s">
        <v>115</v>
      </c>
      <c r="AC2114" s="100" t="s">
        <v>115</v>
      </c>
      <c r="AD2114" s="100"/>
      <c r="AE2114" s="100"/>
      <c r="AF2114" s="100"/>
      <c r="AG2114" s="100"/>
      <c r="AH2114" s="100"/>
      <c r="AI2114" s="100" t="s">
        <v>115</v>
      </c>
      <c r="AJ2114" s="100"/>
      <c r="AK2114" s="100"/>
      <c r="AL2114" s="100"/>
      <c r="AM2114" s="100"/>
      <c r="AN2114" s="100"/>
      <c r="AO2114" s="100"/>
      <c r="AP2114" s="89" t="s">
        <v>115</v>
      </c>
    </row>
    <row r="2115" spans="1:42" s="89" customFormat="1" x14ac:dyDescent="0.15">
      <c r="A2115" s="100" t="s">
        <v>1</v>
      </c>
      <c r="B2115" s="101">
        <v>90190637</v>
      </c>
      <c r="C2115" s="101">
        <v>1906</v>
      </c>
      <c r="D2115" s="101">
        <v>19</v>
      </c>
      <c r="E2115" s="101"/>
      <c r="F2115" s="101" t="s">
        <v>116</v>
      </c>
      <c r="G2115" s="101">
        <v>309</v>
      </c>
      <c r="H2115" s="101" t="s">
        <v>4461</v>
      </c>
      <c r="I2115" s="101">
        <v>0</v>
      </c>
      <c r="J2115" s="100">
        <v>0</v>
      </c>
      <c r="K2115" s="100">
        <v>8</v>
      </c>
      <c r="L2115" s="100" t="s">
        <v>4462</v>
      </c>
      <c r="M2115" s="102"/>
      <c r="N2115" s="100"/>
      <c r="O2115" s="100" t="s">
        <v>115</v>
      </c>
      <c r="P2115" s="101"/>
      <c r="Q2115" s="100">
        <v>118</v>
      </c>
      <c r="R2115" s="100" t="s">
        <v>115</v>
      </c>
      <c r="S2115" s="100"/>
      <c r="T2115" s="100"/>
      <c r="U2115" s="100"/>
      <c r="V2115" s="100"/>
      <c r="W2115" s="100"/>
      <c r="X2115" s="100">
        <v>90190638</v>
      </c>
      <c r="Y2115" s="100" t="s">
        <v>115</v>
      </c>
      <c r="Z2115" s="100">
        <v>7</v>
      </c>
      <c r="AA2115" s="100" t="s">
        <v>115</v>
      </c>
      <c r="AB2115" s="100" t="s">
        <v>115</v>
      </c>
      <c r="AC2115" s="100" t="s">
        <v>115</v>
      </c>
      <c r="AD2115" s="100"/>
      <c r="AE2115" s="100"/>
      <c r="AF2115" s="100"/>
      <c r="AG2115" s="100"/>
      <c r="AH2115" s="100"/>
      <c r="AI2115" s="100" t="s">
        <v>115</v>
      </c>
      <c r="AJ2115" s="100"/>
      <c r="AK2115" s="100"/>
      <c r="AL2115" s="100"/>
      <c r="AM2115" s="100"/>
      <c r="AN2115" s="100"/>
      <c r="AO2115" s="100"/>
      <c r="AP2115" s="89" t="s">
        <v>115</v>
      </c>
    </row>
    <row r="2116" spans="1:42" s="89" customFormat="1" x14ac:dyDescent="0.15">
      <c r="A2116" s="100" t="s">
        <v>1</v>
      </c>
      <c r="B2116" s="101">
        <v>90190638</v>
      </c>
      <c r="C2116" s="101">
        <v>1906</v>
      </c>
      <c r="D2116" s="101">
        <v>19</v>
      </c>
      <c r="E2116" s="101"/>
      <c r="F2116" s="101" t="s">
        <v>115</v>
      </c>
      <c r="G2116" s="101" t="s">
        <v>115</v>
      </c>
      <c r="H2116" s="101" t="s">
        <v>4463</v>
      </c>
      <c r="I2116" s="101">
        <v>4</v>
      </c>
      <c r="J2116" s="100">
        <v>0</v>
      </c>
      <c r="K2116" s="100">
        <v>0</v>
      </c>
      <c r="L2116" s="100" t="s">
        <v>115</v>
      </c>
      <c r="M2116" s="102"/>
      <c r="N2116" s="100"/>
      <c r="O2116" s="100" t="s">
        <v>115</v>
      </c>
      <c r="P2116" s="101"/>
      <c r="Q2116" s="100">
        <v>118</v>
      </c>
      <c r="R2116" s="100">
        <v>306</v>
      </c>
      <c r="S2116" s="100"/>
      <c r="T2116" s="100"/>
      <c r="U2116" s="100"/>
      <c r="V2116" s="100"/>
      <c r="W2116" s="100"/>
      <c r="X2116" s="100">
        <v>90190639</v>
      </c>
      <c r="Y2116" s="100" t="s">
        <v>115</v>
      </c>
      <c r="Z2116" s="100" t="s">
        <v>115</v>
      </c>
      <c r="AA2116" s="100" t="s">
        <v>115</v>
      </c>
      <c r="AB2116" s="100" t="s">
        <v>115</v>
      </c>
      <c r="AC2116" s="100" t="s">
        <v>115</v>
      </c>
      <c r="AD2116" s="100"/>
      <c r="AE2116" s="100"/>
      <c r="AF2116" s="100"/>
      <c r="AG2116" s="100"/>
      <c r="AH2116" s="100"/>
      <c r="AI2116" s="100" t="s">
        <v>115</v>
      </c>
      <c r="AJ2116" s="100"/>
      <c r="AK2116" s="100"/>
      <c r="AL2116" s="100"/>
      <c r="AM2116" s="100"/>
      <c r="AN2116" s="100"/>
      <c r="AO2116" s="100"/>
      <c r="AP2116" s="89" t="s">
        <v>115</v>
      </c>
    </row>
    <row r="2117" spans="1:42" s="89" customFormat="1" x14ac:dyDescent="0.15">
      <c r="A2117" s="100" t="s">
        <v>1</v>
      </c>
      <c r="B2117" s="101">
        <v>90190639</v>
      </c>
      <c r="C2117" s="101">
        <v>1906</v>
      </c>
      <c r="D2117" s="101">
        <v>19</v>
      </c>
      <c r="E2117" s="101"/>
      <c r="F2117" s="101" t="s">
        <v>4443</v>
      </c>
      <c r="G2117" s="101" t="s">
        <v>115</v>
      </c>
      <c r="H2117" s="101" t="s">
        <v>4464</v>
      </c>
      <c r="I2117" s="101">
        <v>3</v>
      </c>
      <c r="J2117" s="100">
        <v>0</v>
      </c>
      <c r="K2117" s="100">
        <v>0</v>
      </c>
      <c r="L2117" s="100" t="s">
        <v>115</v>
      </c>
      <c r="M2117" s="102"/>
      <c r="N2117" s="100"/>
      <c r="O2117" s="100" t="s">
        <v>115</v>
      </c>
      <c r="P2117" s="101"/>
      <c r="Q2117" s="100">
        <v>118</v>
      </c>
      <c r="R2117" s="100">
        <v>306</v>
      </c>
      <c r="S2117" s="100"/>
      <c r="T2117" s="100"/>
      <c r="U2117" s="100"/>
      <c r="V2117" s="100"/>
      <c r="W2117" s="100"/>
      <c r="X2117" s="100">
        <v>90190640</v>
      </c>
      <c r="Y2117" s="100" t="s">
        <v>115</v>
      </c>
      <c r="Z2117" s="100" t="s">
        <v>115</v>
      </c>
      <c r="AA2117" s="100" t="s">
        <v>115</v>
      </c>
      <c r="AB2117" s="100" t="s">
        <v>115</v>
      </c>
      <c r="AC2117" s="100" t="s">
        <v>115</v>
      </c>
      <c r="AD2117" s="100"/>
      <c r="AE2117" s="100"/>
      <c r="AF2117" s="100"/>
      <c r="AG2117" s="100"/>
      <c r="AH2117" s="100"/>
      <c r="AI2117" s="100" t="s">
        <v>115</v>
      </c>
      <c r="AJ2117" s="100"/>
      <c r="AK2117" s="100"/>
      <c r="AL2117" s="100"/>
      <c r="AM2117" s="100"/>
      <c r="AN2117" s="100"/>
      <c r="AO2117" s="100"/>
      <c r="AP2117" s="89" t="s">
        <v>115</v>
      </c>
    </row>
    <row r="2118" spans="1:42" s="89" customFormat="1" x14ac:dyDescent="0.15">
      <c r="A2118" s="100" t="s">
        <v>1</v>
      </c>
      <c r="B2118" s="101">
        <v>90190640</v>
      </c>
      <c r="C2118" s="101">
        <v>1906</v>
      </c>
      <c r="D2118" s="101">
        <v>19</v>
      </c>
      <c r="E2118" s="101"/>
      <c r="F2118" s="101" t="s">
        <v>115</v>
      </c>
      <c r="G2118" s="101" t="s">
        <v>115</v>
      </c>
      <c r="H2118" s="101" t="s">
        <v>4465</v>
      </c>
      <c r="I2118" s="101">
        <v>4</v>
      </c>
      <c r="J2118" s="100">
        <v>0</v>
      </c>
      <c r="K2118" s="100">
        <v>0</v>
      </c>
      <c r="L2118" s="100" t="s">
        <v>115</v>
      </c>
      <c r="M2118" s="102"/>
      <c r="N2118" s="100"/>
      <c r="O2118" s="100" t="s">
        <v>115</v>
      </c>
      <c r="P2118" s="101"/>
      <c r="Q2118" s="100">
        <v>118</v>
      </c>
      <c r="R2118" s="100">
        <v>101</v>
      </c>
      <c r="S2118" s="100"/>
      <c r="T2118" s="100"/>
      <c r="U2118" s="100"/>
      <c r="V2118" s="100"/>
      <c r="W2118" s="100"/>
      <c r="X2118" s="100">
        <v>90190641</v>
      </c>
      <c r="Y2118" s="100" t="s">
        <v>115</v>
      </c>
      <c r="Z2118" s="100" t="s">
        <v>115</v>
      </c>
      <c r="AA2118" s="100" t="s">
        <v>115</v>
      </c>
      <c r="AB2118" s="100" t="s">
        <v>115</v>
      </c>
      <c r="AC2118" s="100" t="s">
        <v>115</v>
      </c>
      <c r="AD2118" s="100"/>
      <c r="AE2118" s="100"/>
      <c r="AF2118" s="100"/>
      <c r="AG2118" s="100"/>
      <c r="AH2118" s="100"/>
      <c r="AI2118" s="100" t="s">
        <v>115</v>
      </c>
      <c r="AJ2118" s="100"/>
      <c r="AK2118" s="100"/>
      <c r="AL2118" s="100"/>
      <c r="AM2118" s="100"/>
      <c r="AN2118" s="100"/>
      <c r="AO2118" s="100"/>
      <c r="AP2118" s="89" t="s">
        <v>115</v>
      </c>
    </row>
    <row r="2119" spans="1:42" s="89" customFormat="1" x14ac:dyDescent="0.15">
      <c r="A2119" s="100" t="s">
        <v>1</v>
      </c>
      <c r="B2119" s="101">
        <v>90190641</v>
      </c>
      <c r="C2119" s="101">
        <v>1906</v>
      </c>
      <c r="D2119" s="101">
        <v>19</v>
      </c>
      <c r="E2119" s="101"/>
      <c r="F2119" s="101" t="s">
        <v>115</v>
      </c>
      <c r="G2119" s="101" t="s">
        <v>115</v>
      </c>
      <c r="H2119" s="101" t="s">
        <v>4466</v>
      </c>
      <c r="I2119" s="101">
        <v>4</v>
      </c>
      <c r="J2119" s="100">
        <v>0</v>
      </c>
      <c r="K2119" s="100">
        <v>0</v>
      </c>
      <c r="L2119" s="100" t="s">
        <v>115</v>
      </c>
      <c r="M2119" s="102"/>
      <c r="N2119" s="100"/>
      <c r="O2119" s="100" t="s">
        <v>115</v>
      </c>
      <c r="P2119" s="101"/>
      <c r="Q2119" s="100">
        <v>118</v>
      </c>
      <c r="R2119" s="100">
        <v>101</v>
      </c>
      <c r="S2119" s="100"/>
      <c r="T2119" s="100"/>
      <c r="U2119" s="100"/>
      <c r="V2119" s="100"/>
      <c r="W2119" s="100"/>
      <c r="X2119" s="100">
        <v>90190642</v>
      </c>
      <c r="Y2119" s="100" t="s">
        <v>115</v>
      </c>
      <c r="Z2119" s="100" t="s">
        <v>115</v>
      </c>
      <c r="AA2119" s="100" t="s">
        <v>115</v>
      </c>
      <c r="AB2119" s="100" t="s">
        <v>115</v>
      </c>
      <c r="AC2119" s="100" t="s">
        <v>115</v>
      </c>
      <c r="AD2119" s="100"/>
      <c r="AE2119" s="100"/>
      <c r="AF2119" s="100"/>
      <c r="AG2119" s="100"/>
      <c r="AH2119" s="100"/>
      <c r="AI2119" s="100" t="s">
        <v>115</v>
      </c>
      <c r="AJ2119" s="100"/>
      <c r="AK2119" s="100"/>
      <c r="AL2119" s="100"/>
      <c r="AM2119" s="100"/>
      <c r="AN2119" s="100"/>
      <c r="AO2119" s="100"/>
      <c r="AP2119" s="89" t="s">
        <v>115</v>
      </c>
    </row>
    <row r="2120" spans="1:42" s="89" customFormat="1" x14ac:dyDescent="0.15">
      <c r="A2120" s="100" t="s">
        <v>1</v>
      </c>
      <c r="B2120" s="101">
        <v>90190642</v>
      </c>
      <c r="C2120" s="101">
        <v>1906</v>
      </c>
      <c r="D2120" s="101">
        <v>19</v>
      </c>
      <c r="E2120" s="101"/>
      <c r="F2120" s="101" t="s">
        <v>116</v>
      </c>
      <c r="G2120" s="101">
        <v>309</v>
      </c>
      <c r="H2120" s="101" t="s">
        <v>4467</v>
      </c>
      <c r="I2120" s="101">
        <v>2</v>
      </c>
      <c r="J2120" s="100">
        <v>0</v>
      </c>
      <c r="K2120" s="100">
        <v>9</v>
      </c>
      <c r="L2120" s="100" t="s">
        <v>115</v>
      </c>
      <c r="M2120" s="102"/>
      <c r="N2120" s="100"/>
      <c r="O2120" s="100">
        <v>1</v>
      </c>
      <c r="P2120" s="101"/>
      <c r="Q2120" s="100">
        <v>118</v>
      </c>
      <c r="R2120" s="100" t="s">
        <v>115</v>
      </c>
      <c r="S2120" s="100"/>
      <c r="T2120" s="100"/>
      <c r="U2120" s="100"/>
      <c r="V2120" s="100"/>
      <c r="W2120" s="100"/>
      <c r="X2120" s="100" t="s">
        <v>115</v>
      </c>
      <c r="Y2120" s="100" t="s">
        <v>115</v>
      </c>
      <c r="Z2120" s="100">
        <v>8</v>
      </c>
      <c r="AA2120" s="100" t="s">
        <v>115</v>
      </c>
      <c r="AB2120" s="100" t="s">
        <v>115</v>
      </c>
      <c r="AC2120" s="100" t="s">
        <v>115</v>
      </c>
      <c r="AD2120" s="100"/>
      <c r="AE2120" s="100"/>
      <c r="AF2120" s="100"/>
      <c r="AG2120" s="100"/>
      <c r="AH2120" s="100"/>
      <c r="AI2120" s="100" t="s">
        <v>115</v>
      </c>
      <c r="AJ2120" s="100"/>
      <c r="AK2120" s="100"/>
      <c r="AL2120" s="100"/>
      <c r="AM2120" s="100"/>
      <c r="AN2120" s="100"/>
      <c r="AO2120" s="100"/>
      <c r="AP2120" s="89" t="s">
        <v>4468</v>
      </c>
    </row>
    <row r="2121" spans="1:42" s="89" customFormat="1" x14ac:dyDescent="0.15">
      <c r="A2121" s="100" t="s">
        <v>1</v>
      </c>
      <c r="B2121" s="101" t="s">
        <v>3977</v>
      </c>
      <c r="C2121" s="101">
        <v>1907</v>
      </c>
      <c r="D2121" s="101">
        <v>19</v>
      </c>
      <c r="E2121" s="101"/>
      <c r="F2121" s="101" t="s">
        <v>115</v>
      </c>
      <c r="G2121" s="101" t="s">
        <v>115</v>
      </c>
      <c r="H2121" s="101" t="s">
        <v>4469</v>
      </c>
      <c r="I2121" s="101">
        <v>4</v>
      </c>
      <c r="J2121" s="100">
        <v>1</v>
      </c>
      <c r="K2121" s="100">
        <v>1</v>
      </c>
      <c r="L2121" s="100" t="s">
        <v>115</v>
      </c>
      <c r="M2121" s="102"/>
      <c r="N2121" s="100"/>
      <c r="O2121" s="100" t="s">
        <v>115</v>
      </c>
      <c r="P2121" s="101"/>
      <c r="Q2121" s="100">
        <v>192</v>
      </c>
      <c r="R2121" s="100" t="s">
        <v>115</v>
      </c>
      <c r="S2121" s="100"/>
      <c r="T2121" s="100"/>
      <c r="U2121" s="100"/>
      <c r="V2121" s="100"/>
      <c r="W2121" s="100"/>
      <c r="X2121" s="100">
        <v>90190702</v>
      </c>
      <c r="Y2121" s="100" t="s">
        <v>115</v>
      </c>
      <c r="Z2121" s="100" t="s">
        <v>115</v>
      </c>
      <c r="AA2121" s="100" t="s">
        <v>115</v>
      </c>
      <c r="AB2121" s="100" t="s">
        <v>115</v>
      </c>
      <c r="AC2121" s="100" t="s">
        <v>115</v>
      </c>
      <c r="AD2121" s="100"/>
      <c r="AE2121" s="100"/>
      <c r="AF2121" s="100"/>
      <c r="AG2121" s="100"/>
      <c r="AH2121" s="100"/>
      <c r="AI2121" s="100" t="s">
        <v>115</v>
      </c>
      <c r="AJ2121" s="100"/>
      <c r="AK2121" s="100"/>
      <c r="AL2121" s="100"/>
      <c r="AM2121" s="100"/>
      <c r="AN2121" s="100"/>
      <c r="AO2121" s="100"/>
      <c r="AP2121" s="89" t="s">
        <v>115</v>
      </c>
    </row>
    <row r="2122" spans="1:42" s="89" customFormat="1" x14ac:dyDescent="0.15">
      <c r="A2122" s="100" t="s">
        <v>1</v>
      </c>
      <c r="B2122" s="101">
        <v>90190702</v>
      </c>
      <c r="C2122" s="101">
        <v>1907</v>
      </c>
      <c r="D2122" s="101">
        <v>19</v>
      </c>
      <c r="E2122" s="101"/>
      <c r="F2122" s="101" t="s">
        <v>4470</v>
      </c>
      <c r="G2122" s="101" t="s">
        <v>115</v>
      </c>
      <c r="H2122" s="101" t="s">
        <v>4471</v>
      </c>
      <c r="I2122" s="101">
        <v>3</v>
      </c>
      <c r="J2122" s="100">
        <v>0</v>
      </c>
      <c r="K2122" s="100">
        <v>0</v>
      </c>
      <c r="L2122" s="100" t="s">
        <v>115</v>
      </c>
      <c r="M2122" s="102"/>
      <c r="N2122" s="100"/>
      <c r="O2122" s="100" t="s">
        <v>115</v>
      </c>
      <c r="P2122" s="101"/>
      <c r="Q2122" s="100">
        <v>145</v>
      </c>
      <c r="R2122" s="100">
        <v>129</v>
      </c>
      <c r="S2122" s="100"/>
      <c r="T2122" s="100"/>
      <c r="U2122" s="100"/>
      <c r="V2122" s="100"/>
      <c r="W2122" s="100"/>
      <c r="X2122" s="100">
        <v>90190703</v>
      </c>
      <c r="Y2122" s="100" t="s">
        <v>115</v>
      </c>
      <c r="Z2122" s="100" t="s">
        <v>115</v>
      </c>
      <c r="AA2122" s="100" t="s">
        <v>115</v>
      </c>
      <c r="AB2122" s="100" t="s">
        <v>115</v>
      </c>
      <c r="AC2122" s="100" t="s">
        <v>115</v>
      </c>
      <c r="AD2122" s="100"/>
      <c r="AE2122" s="100"/>
      <c r="AF2122" s="100"/>
      <c r="AG2122" s="100"/>
      <c r="AH2122" s="100"/>
      <c r="AI2122" s="100" t="s">
        <v>115</v>
      </c>
      <c r="AJ2122" s="100"/>
      <c r="AK2122" s="100"/>
      <c r="AL2122" s="100"/>
      <c r="AM2122" s="100"/>
      <c r="AN2122" s="100"/>
      <c r="AO2122" s="100"/>
      <c r="AP2122" s="89" t="s">
        <v>115</v>
      </c>
    </row>
    <row r="2123" spans="1:42" s="89" customFormat="1" x14ac:dyDescent="0.15">
      <c r="A2123" s="100" t="s">
        <v>1</v>
      </c>
      <c r="B2123" s="101">
        <v>90190703</v>
      </c>
      <c r="C2123" s="101">
        <v>1907</v>
      </c>
      <c r="D2123" s="101">
        <v>19</v>
      </c>
      <c r="E2123" s="101"/>
      <c r="F2123" s="101" t="s">
        <v>116</v>
      </c>
      <c r="G2123" s="101">
        <v>368</v>
      </c>
      <c r="H2123" s="101" t="s">
        <v>4472</v>
      </c>
      <c r="I2123" s="101">
        <v>0</v>
      </c>
      <c r="J2123" s="100">
        <v>0</v>
      </c>
      <c r="K2123" s="100">
        <v>2</v>
      </c>
      <c r="L2123" s="100" t="s">
        <v>115</v>
      </c>
      <c r="M2123" s="102"/>
      <c r="N2123" s="100"/>
      <c r="O2123" s="100" t="s">
        <v>115</v>
      </c>
      <c r="P2123" s="101"/>
      <c r="Q2123" s="100">
        <v>145</v>
      </c>
      <c r="R2123" s="100">
        <v>129</v>
      </c>
      <c r="S2123" s="100"/>
      <c r="T2123" s="100"/>
      <c r="U2123" s="100"/>
      <c r="V2123" s="100"/>
      <c r="W2123" s="100"/>
      <c r="X2123" s="100" t="s">
        <v>4473</v>
      </c>
      <c r="Y2123" s="100">
        <v>1</v>
      </c>
      <c r="Z2123" s="100">
        <v>1</v>
      </c>
      <c r="AA2123" s="100" t="s">
        <v>115</v>
      </c>
      <c r="AB2123" s="100" t="s">
        <v>115</v>
      </c>
      <c r="AC2123" s="100" t="s">
        <v>115</v>
      </c>
      <c r="AD2123" s="100"/>
      <c r="AE2123" s="100"/>
      <c r="AF2123" s="100"/>
      <c r="AG2123" s="100"/>
      <c r="AH2123" s="100"/>
      <c r="AI2123" s="100" t="s">
        <v>115</v>
      </c>
      <c r="AJ2123" s="100"/>
      <c r="AK2123" s="100"/>
      <c r="AL2123" s="100"/>
      <c r="AM2123" s="100"/>
      <c r="AN2123" s="100"/>
      <c r="AO2123" s="100"/>
      <c r="AP2123" s="89" t="s">
        <v>115</v>
      </c>
    </row>
    <row r="2124" spans="1:42" s="89" customFormat="1" x14ac:dyDescent="0.15">
      <c r="A2124" s="100" t="s">
        <v>1</v>
      </c>
      <c r="B2124" s="101">
        <v>90190704</v>
      </c>
      <c r="C2124" s="101">
        <v>1907</v>
      </c>
      <c r="D2124" s="101">
        <v>19</v>
      </c>
      <c r="E2124" s="101"/>
      <c r="F2124" s="101" t="s">
        <v>115</v>
      </c>
      <c r="G2124" s="101" t="s">
        <v>115</v>
      </c>
      <c r="H2124" s="101" t="s">
        <v>4474</v>
      </c>
      <c r="I2124" s="101">
        <v>4</v>
      </c>
      <c r="J2124" s="100">
        <v>0</v>
      </c>
      <c r="K2124" s="100">
        <v>3</v>
      </c>
      <c r="L2124" s="100" t="s">
        <v>115</v>
      </c>
      <c r="M2124" s="102"/>
      <c r="N2124" s="100"/>
      <c r="O2124" s="100" t="s">
        <v>115</v>
      </c>
      <c r="P2124" s="101"/>
      <c r="Q2124" s="100">
        <v>145</v>
      </c>
      <c r="R2124" s="100">
        <v>129</v>
      </c>
      <c r="S2124" s="100"/>
      <c r="T2124" s="100"/>
      <c r="U2124" s="100"/>
      <c r="V2124" s="100"/>
      <c r="W2124" s="100"/>
      <c r="X2124" s="100">
        <v>90190706</v>
      </c>
      <c r="Y2124" s="100">
        <v>-1</v>
      </c>
      <c r="Z2124" s="100">
        <v>2</v>
      </c>
      <c r="AA2124" s="100" t="s">
        <v>115</v>
      </c>
      <c r="AB2124" s="100" t="s">
        <v>115</v>
      </c>
      <c r="AC2124" s="100" t="s">
        <v>4475</v>
      </c>
      <c r="AD2124" s="100"/>
      <c r="AE2124" s="100"/>
      <c r="AF2124" s="100"/>
      <c r="AG2124" s="100"/>
      <c r="AH2124" s="100"/>
      <c r="AI2124" s="100" t="s">
        <v>115</v>
      </c>
      <c r="AJ2124" s="100"/>
      <c r="AK2124" s="100"/>
      <c r="AL2124" s="100"/>
      <c r="AM2124" s="100"/>
      <c r="AN2124" s="100"/>
      <c r="AO2124" s="100"/>
      <c r="AP2124" s="89" t="s">
        <v>115</v>
      </c>
    </row>
    <row r="2125" spans="1:42" s="89" customFormat="1" x14ac:dyDescent="0.15">
      <c r="A2125" s="100" t="s">
        <v>1</v>
      </c>
      <c r="B2125" s="101">
        <v>90190705</v>
      </c>
      <c r="C2125" s="101">
        <v>1907</v>
      </c>
      <c r="D2125" s="101">
        <v>19</v>
      </c>
      <c r="E2125" s="101"/>
      <c r="F2125" s="101" t="s">
        <v>115</v>
      </c>
      <c r="G2125" s="101" t="s">
        <v>115</v>
      </c>
      <c r="H2125" s="101" t="s">
        <v>4476</v>
      </c>
      <c r="I2125" s="101">
        <v>4</v>
      </c>
      <c r="J2125" s="100">
        <v>0</v>
      </c>
      <c r="K2125" s="100">
        <v>4</v>
      </c>
      <c r="L2125" s="100" t="s">
        <v>115</v>
      </c>
      <c r="M2125" s="102"/>
      <c r="N2125" s="100"/>
      <c r="O2125" s="100" t="s">
        <v>115</v>
      </c>
      <c r="P2125" s="101"/>
      <c r="Q2125" s="100">
        <v>145</v>
      </c>
      <c r="R2125" s="100">
        <v>129</v>
      </c>
      <c r="S2125" s="100"/>
      <c r="T2125" s="100"/>
      <c r="U2125" s="100"/>
      <c r="V2125" s="100"/>
      <c r="W2125" s="100"/>
      <c r="X2125" s="100">
        <v>90190711</v>
      </c>
      <c r="Y2125" s="100">
        <v>-1</v>
      </c>
      <c r="Z2125" s="100">
        <v>2</v>
      </c>
      <c r="AA2125" s="100" t="s">
        <v>115</v>
      </c>
      <c r="AB2125" s="100" t="s">
        <v>115</v>
      </c>
      <c r="AC2125" s="100" t="s">
        <v>4477</v>
      </c>
      <c r="AD2125" s="100"/>
      <c r="AE2125" s="100"/>
      <c r="AF2125" s="100"/>
      <c r="AG2125" s="100"/>
      <c r="AH2125" s="100"/>
      <c r="AI2125" s="100" t="s">
        <v>115</v>
      </c>
      <c r="AJ2125" s="100"/>
      <c r="AK2125" s="100"/>
      <c r="AL2125" s="100"/>
      <c r="AM2125" s="100"/>
      <c r="AN2125" s="100"/>
      <c r="AO2125" s="100"/>
      <c r="AP2125" s="89" t="s">
        <v>115</v>
      </c>
    </row>
    <row r="2126" spans="1:42" s="89" customFormat="1" x14ac:dyDescent="0.15">
      <c r="A2126" s="100" t="s">
        <v>1</v>
      </c>
      <c r="B2126" s="101">
        <v>90190706</v>
      </c>
      <c r="C2126" s="101">
        <v>1907</v>
      </c>
      <c r="D2126" s="101">
        <v>19</v>
      </c>
      <c r="E2126" s="101"/>
      <c r="F2126" s="101" t="s">
        <v>116</v>
      </c>
      <c r="G2126" s="101">
        <v>368</v>
      </c>
      <c r="H2126" s="101" t="s">
        <v>4478</v>
      </c>
      <c r="I2126" s="101">
        <v>0</v>
      </c>
      <c r="J2126" s="100">
        <v>0</v>
      </c>
      <c r="K2126" s="100">
        <v>0</v>
      </c>
      <c r="L2126" s="100" t="s">
        <v>115</v>
      </c>
      <c r="M2126" s="102"/>
      <c r="N2126" s="100"/>
      <c r="O2126" s="100" t="s">
        <v>115</v>
      </c>
      <c r="P2126" s="101"/>
      <c r="Q2126" s="100">
        <v>145</v>
      </c>
      <c r="R2126" s="100">
        <v>129</v>
      </c>
      <c r="S2126" s="100"/>
      <c r="T2126" s="100"/>
      <c r="U2126" s="100"/>
      <c r="V2126" s="100"/>
      <c r="W2126" s="100"/>
      <c r="X2126" s="100">
        <v>90190707</v>
      </c>
      <c r="Y2126" s="100" t="s">
        <v>115</v>
      </c>
      <c r="Z2126" s="100" t="s">
        <v>115</v>
      </c>
      <c r="AA2126" s="100" t="s">
        <v>115</v>
      </c>
      <c r="AB2126" s="100" t="s">
        <v>115</v>
      </c>
      <c r="AC2126" s="100" t="s">
        <v>115</v>
      </c>
      <c r="AD2126" s="100"/>
      <c r="AE2126" s="100"/>
      <c r="AF2126" s="100"/>
      <c r="AG2126" s="100"/>
      <c r="AH2126" s="100"/>
      <c r="AI2126" s="100" t="s">
        <v>115</v>
      </c>
      <c r="AJ2126" s="100"/>
      <c r="AK2126" s="100"/>
      <c r="AL2126" s="100"/>
      <c r="AM2126" s="100"/>
      <c r="AN2126" s="100"/>
      <c r="AO2126" s="100"/>
      <c r="AP2126" s="89" t="s">
        <v>115</v>
      </c>
    </row>
    <row r="2127" spans="1:42" s="89" customFormat="1" x14ac:dyDescent="0.15">
      <c r="A2127" s="100" t="s">
        <v>1</v>
      </c>
      <c r="B2127" s="101">
        <v>90190707</v>
      </c>
      <c r="C2127" s="101">
        <v>1907</v>
      </c>
      <c r="D2127" s="101">
        <v>19</v>
      </c>
      <c r="E2127" s="101"/>
      <c r="F2127" s="101" t="s">
        <v>4470</v>
      </c>
      <c r="G2127" s="101" t="s">
        <v>115</v>
      </c>
      <c r="H2127" s="101" t="s">
        <v>4479</v>
      </c>
      <c r="I2127" s="101">
        <v>3</v>
      </c>
      <c r="J2127" s="100">
        <v>0</v>
      </c>
      <c r="K2127" s="100">
        <v>0</v>
      </c>
      <c r="L2127" s="100" t="s">
        <v>115</v>
      </c>
      <c r="M2127" s="102"/>
      <c r="N2127" s="100"/>
      <c r="O2127" s="100" t="s">
        <v>115</v>
      </c>
      <c r="P2127" s="101"/>
      <c r="Q2127" s="100">
        <v>145</v>
      </c>
      <c r="R2127" s="100">
        <v>129</v>
      </c>
      <c r="S2127" s="100"/>
      <c r="T2127" s="100"/>
      <c r="U2127" s="100"/>
      <c r="V2127" s="100"/>
      <c r="W2127" s="100"/>
      <c r="X2127" s="100">
        <v>90190708</v>
      </c>
      <c r="Y2127" s="100" t="s">
        <v>115</v>
      </c>
      <c r="Z2127" s="100" t="s">
        <v>115</v>
      </c>
      <c r="AA2127" s="100" t="s">
        <v>115</v>
      </c>
      <c r="AB2127" s="100" t="s">
        <v>115</v>
      </c>
      <c r="AC2127" s="100" t="s">
        <v>115</v>
      </c>
      <c r="AD2127" s="100"/>
      <c r="AE2127" s="100"/>
      <c r="AF2127" s="100"/>
      <c r="AG2127" s="100"/>
      <c r="AH2127" s="100"/>
      <c r="AI2127" s="100" t="s">
        <v>115</v>
      </c>
      <c r="AJ2127" s="100"/>
      <c r="AK2127" s="100"/>
      <c r="AL2127" s="100"/>
      <c r="AM2127" s="100"/>
      <c r="AN2127" s="100"/>
      <c r="AO2127" s="100"/>
      <c r="AP2127" s="89" t="s">
        <v>115</v>
      </c>
    </row>
    <row r="2128" spans="1:42" s="89" customFormat="1" x14ac:dyDescent="0.15">
      <c r="A2128" s="100" t="s">
        <v>1</v>
      </c>
      <c r="B2128" s="101">
        <v>90190708</v>
      </c>
      <c r="C2128" s="101">
        <v>1907</v>
      </c>
      <c r="D2128" s="101">
        <v>19</v>
      </c>
      <c r="E2128" s="101"/>
      <c r="F2128" s="101" t="s">
        <v>116</v>
      </c>
      <c r="G2128" s="101">
        <v>368</v>
      </c>
      <c r="H2128" s="101" t="s">
        <v>4480</v>
      </c>
      <c r="I2128" s="101">
        <v>0</v>
      </c>
      <c r="J2128" s="100">
        <v>0</v>
      </c>
      <c r="K2128" s="100">
        <v>0</v>
      </c>
      <c r="L2128" s="100" t="s">
        <v>115</v>
      </c>
      <c r="M2128" s="102"/>
      <c r="N2128" s="100"/>
      <c r="O2128" s="100" t="s">
        <v>115</v>
      </c>
      <c r="P2128" s="101"/>
      <c r="Q2128" s="100">
        <v>145</v>
      </c>
      <c r="R2128" s="100">
        <v>129</v>
      </c>
      <c r="S2128" s="100"/>
      <c r="T2128" s="100"/>
      <c r="U2128" s="100"/>
      <c r="V2128" s="100"/>
      <c r="W2128" s="100"/>
      <c r="X2128" s="100">
        <v>90190709</v>
      </c>
      <c r="Y2128" s="100" t="s">
        <v>115</v>
      </c>
      <c r="Z2128" s="100" t="s">
        <v>115</v>
      </c>
      <c r="AA2128" s="100" t="s">
        <v>115</v>
      </c>
      <c r="AB2128" s="100" t="s">
        <v>115</v>
      </c>
      <c r="AC2128" s="100" t="s">
        <v>115</v>
      </c>
      <c r="AD2128" s="100"/>
      <c r="AE2128" s="100"/>
      <c r="AF2128" s="100"/>
      <c r="AG2128" s="100"/>
      <c r="AH2128" s="100"/>
      <c r="AI2128" s="100" t="s">
        <v>115</v>
      </c>
      <c r="AJ2128" s="100"/>
      <c r="AK2128" s="100"/>
      <c r="AL2128" s="100"/>
      <c r="AM2128" s="100"/>
      <c r="AN2128" s="100"/>
      <c r="AO2128" s="100"/>
      <c r="AP2128" s="89" t="s">
        <v>115</v>
      </c>
    </row>
    <row r="2129" spans="1:42" s="89" customFormat="1" x14ac:dyDescent="0.15">
      <c r="A2129" s="100" t="s">
        <v>1</v>
      </c>
      <c r="B2129" s="101">
        <v>90190709</v>
      </c>
      <c r="C2129" s="101">
        <v>1907</v>
      </c>
      <c r="D2129" s="101">
        <v>19</v>
      </c>
      <c r="E2129" s="101"/>
      <c r="F2129" s="101" t="s">
        <v>4470</v>
      </c>
      <c r="G2129" s="101" t="s">
        <v>115</v>
      </c>
      <c r="H2129" s="101" t="s">
        <v>4481</v>
      </c>
      <c r="I2129" s="101">
        <v>3</v>
      </c>
      <c r="J2129" s="100">
        <v>0</v>
      </c>
      <c r="K2129" s="100">
        <v>0</v>
      </c>
      <c r="L2129" s="100" t="s">
        <v>115</v>
      </c>
      <c r="M2129" s="102"/>
      <c r="N2129" s="100"/>
      <c r="O2129" s="100" t="s">
        <v>115</v>
      </c>
      <c r="P2129" s="101"/>
      <c r="Q2129" s="100">
        <v>145</v>
      </c>
      <c r="R2129" s="100">
        <v>129</v>
      </c>
      <c r="S2129" s="100"/>
      <c r="T2129" s="100"/>
      <c r="U2129" s="100"/>
      <c r="V2129" s="100"/>
      <c r="W2129" s="100"/>
      <c r="X2129" s="100">
        <v>90190710</v>
      </c>
      <c r="Y2129" s="100" t="s">
        <v>115</v>
      </c>
      <c r="Z2129" s="100" t="s">
        <v>115</v>
      </c>
      <c r="AA2129" s="100" t="s">
        <v>115</v>
      </c>
      <c r="AB2129" s="100" t="s">
        <v>115</v>
      </c>
      <c r="AC2129" s="100" t="s">
        <v>115</v>
      </c>
      <c r="AD2129" s="100"/>
      <c r="AE2129" s="100"/>
      <c r="AF2129" s="100"/>
      <c r="AG2129" s="100"/>
      <c r="AH2129" s="100"/>
      <c r="AI2129" s="100" t="s">
        <v>115</v>
      </c>
      <c r="AJ2129" s="100"/>
      <c r="AK2129" s="100"/>
      <c r="AL2129" s="100"/>
      <c r="AM2129" s="100"/>
      <c r="AN2129" s="100"/>
      <c r="AO2129" s="100"/>
      <c r="AP2129" s="89" t="s">
        <v>115</v>
      </c>
    </row>
    <row r="2130" spans="1:42" s="89" customFormat="1" x14ac:dyDescent="0.15">
      <c r="A2130" s="100" t="s">
        <v>1</v>
      </c>
      <c r="B2130" s="101">
        <v>90190710</v>
      </c>
      <c r="C2130" s="101">
        <v>1907</v>
      </c>
      <c r="D2130" s="101">
        <v>19</v>
      </c>
      <c r="E2130" s="101"/>
      <c r="F2130" s="101" t="s">
        <v>116</v>
      </c>
      <c r="G2130" s="101">
        <v>362</v>
      </c>
      <c r="H2130" s="101" t="s">
        <v>4482</v>
      </c>
      <c r="I2130" s="101">
        <v>0</v>
      </c>
      <c r="J2130" s="100">
        <v>0</v>
      </c>
      <c r="K2130" s="100">
        <v>0</v>
      </c>
      <c r="L2130" s="100" t="s">
        <v>115</v>
      </c>
      <c r="M2130" s="102"/>
      <c r="N2130" s="100"/>
      <c r="O2130" s="100" t="s">
        <v>115</v>
      </c>
      <c r="P2130" s="101"/>
      <c r="Q2130" s="100">
        <v>145</v>
      </c>
      <c r="R2130" s="100">
        <v>129</v>
      </c>
      <c r="S2130" s="100"/>
      <c r="T2130" s="100"/>
      <c r="U2130" s="100"/>
      <c r="V2130" s="100"/>
      <c r="W2130" s="100"/>
      <c r="X2130" s="100">
        <v>90190712</v>
      </c>
      <c r="Y2130" s="100" t="s">
        <v>115</v>
      </c>
      <c r="Z2130" s="100" t="s">
        <v>115</v>
      </c>
      <c r="AA2130" s="100" t="s">
        <v>115</v>
      </c>
      <c r="AB2130" s="100" t="s">
        <v>115</v>
      </c>
      <c r="AC2130" s="100" t="s">
        <v>115</v>
      </c>
      <c r="AD2130" s="100"/>
      <c r="AE2130" s="100"/>
      <c r="AF2130" s="100"/>
      <c r="AG2130" s="100"/>
      <c r="AH2130" s="100"/>
      <c r="AI2130" s="100" t="s">
        <v>115</v>
      </c>
      <c r="AJ2130" s="100"/>
      <c r="AK2130" s="100"/>
      <c r="AL2130" s="100"/>
      <c r="AM2130" s="100"/>
      <c r="AN2130" s="100"/>
      <c r="AO2130" s="100"/>
      <c r="AP2130" s="89" t="s">
        <v>115</v>
      </c>
    </row>
    <row r="2131" spans="1:42" s="89" customFormat="1" x14ac:dyDescent="0.15">
      <c r="A2131" s="100" t="s">
        <v>1</v>
      </c>
      <c r="B2131" s="101">
        <v>90190711</v>
      </c>
      <c r="C2131" s="101">
        <v>1907</v>
      </c>
      <c r="D2131" s="101">
        <v>19</v>
      </c>
      <c r="E2131" s="101"/>
      <c r="F2131" s="101" t="s">
        <v>116</v>
      </c>
      <c r="G2131" s="101">
        <v>362</v>
      </c>
      <c r="H2131" s="101" t="s">
        <v>4482</v>
      </c>
      <c r="I2131" s="101">
        <v>0</v>
      </c>
      <c r="J2131" s="100">
        <v>0</v>
      </c>
      <c r="K2131" s="100">
        <v>0</v>
      </c>
      <c r="L2131" s="100" t="s">
        <v>115</v>
      </c>
      <c r="M2131" s="102"/>
      <c r="N2131" s="100"/>
      <c r="O2131" s="100" t="s">
        <v>115</v>
      </c>
      <c r="P2131" s="101"/>
      <c r="Q2131" s="100">
        <v>145</v>
      </c>
      <c r="R2131" s="100">
        <v>129</v>
      </c>
      <c r="S2131" s="100"/>
      <c r="T2131" s="100"/>
      <c r="U2131" s="100"/>
      <c r="V2131" s="100"/>
      <c r="W2131" s="100"/>
      <c r="X2131" s="100">
        <v>90190712</v>
      </c>
      <c r="Y2131" s="100" t="s">
        <v>115</v>
      </c>
      <c r="Z2131" s="100" t="s">
        <v>115</v>
      </c>
      <c r="AA2131" s="100" t="s">
        <v>115</v>
      </c>
      <c r="AB2131" s="100" t="s">
        <v>115</v>
      </c>
      <c r="AC2131" s="100" t="s">
        <v>115</v>
      </c>
      <c r="AD2131" s="100"/>
      <c r="AE2131" s="100"/>
      <c r="AF2131" s="100"/>
      <c r="AG2131" s="100"/>
      <c r="AH2131" s="100"/>
      <c r="AI2131" s="100" t="s">
        <v>115</v>
      </c>
      <c r="AJ2131" s="100"/>
      <c r="AK2131" s="100"/>
      <c r="AL2131" s="100"/>
      <c r="AM2131" s="100"/>
      <c r="AN2131" s="100"/>
      <c r="AO2131" s="100"/>
      <c r="AP2131" s="89" t="s">
        <v>115</v>
      </c>
    </row>
    <row r="2132" spans="1:42" s="89" customFormat="1" x14ac:dyDescent="0.15">
      <c r="A2132" s="100" t="s">
        <v>1</v>
      </c>
      <c r="B2132" s="101">
        <v>90190712</v>
      </c>
      <c r="C2132" s="101">
        <v>1907</v>
      </c>
      <c r="D2132" s="101">
        <v>19</v>
      </c>
      <c r="E2132" s="101"/>
      <c r="F2132" s="101" t="s">
        <v>115</v>
      </c>
      <c r="G2132" s="101" t="s">
        <v>115</v>
      </c>
      <c r="H2132" s="101" t="s">
        <v>4483</v>
      </c>
      <c r="I2132" s="101">
        <v>4</v>
      </c>
      <c r="J2132" s="100">
        <v>0</v>
      </c>
      <c r="K2132" s="100">
        <v>0</v>
      </c>
      <c r="L2132" s="100" t="s">
        <v>115</v>
      </c>
      <c r="M2132" s="102"/>
      <c r="N2132" s="100"/>
      <c r="O2132" s="100" t="s">
        <v>115</v>
      </c>
      <c r="P2132" s="101"/>
      <c r="Q2132" s="100">
        <v>145</v>
      </c>
      <c r="R2132" s="100">
        <v>245</v>
      </c>
      <c r="S2132" s="100"/>
      <c r="T2132" s="100"/>
      <c r="U2132" s="100"/>
      <c r="V2132" s="100"/>
      <c r="W2132" s="100"/>
      <c r="X2132" s="100">
        <v>90190713</v>
      </c>
      <c r="Y2132" s="100" t="s">
        <v>115</v>
      </c>
      <c r="Z2132" s="100" t="s">
        <v>115</v>
      </c>
      <c r="AA2132" s="100" t="s">
        <v>115</v>
      </c>
      <c r="AB2132" s="100" t="s">
        <v>115</v>
      </c>
      <c r="AC2132" s="100" t="s">
        <v>115</v>
      </c>
      <c r="AD2132" s="100"/>
      <c r="AE2132" s="100"/>
      <c r="AF2132" s="100"/>
      <c r="AG2132" s="100"/>
      <c r="AH2132" s="100"/>
      <c r="AI2132" s="100" t="s">
        <v>115</v>
      </c>
      <c r="AJ2132" s="100"/>
      <c r="AK2132" s="100"/>
      <c r="AL2132" s="100"/>
      <c r="AM2132" s="100"/>
      <c r="AN2132" s="100"/>
      <c r="AO2132" s="100"/>
      <c r="AP2132" s="89" t="s">
        <v>115</v>
      </c>
    </row>
    <row r="2133" spans="1:42" s="89" customFormat="1" x14ac:dyDescent="0.15">
      <c r="A2133" s="100" t="s">
        <v>1</v>
      </c>
      <c r="B2133" s="101">
        <v>90190713</v>
      </c>
      <c r="C2133" s="101">
        <v>1907</v>
      </c>
      <c r="D2133" s="101">
        <v>19</v>
      </c>
      <c r="E2133" s="101"/>
      <c r="F2133" s="101" t="s">
        <v>2001</v>
      </c>
      <c r="G2133" s="101" t="s">
        <v>115</v>
      </c>
      <c r="H2133" s="101" t="s">
        <v>4484</v>
      </c>
      <c r="I2133" s="101">
        <v>3</v>
      </c>
      <c r="J2133" s="100">
        <v>0</v>
      </c>
      <c r="K2133" s="100">
        <v>0</v>
      </c>
      <c r="L2133" s="100" t="s">
        <v>115</v>
      </c>
      <c r="M2133" s="102"/>
      <c r="N2133" s="100"/>
      <c r="O2133" s="100" t="s">
        <v>115</v>
      </c>
      <c r="P2133" s="101"/>
      <c r="Q2133" s="100">
        <v>145</v>
      </c>
      <c r="R2133" s="100">
        <v>245</v>
      </c>
      <c r="S2133" s="100"/>
      <c r="T2133" s="100"/>
      <c r="U2133" s="100"/>
      <c r="V2133" s="100"/>
      <c r="W2133" s="100"/>
      <c r="X2133" s="100">
        <v>90190714</v>
      </c>
      <c r="Y2133" s="100" t="s">
        <v>115</v>
      </c>
      <c r="Z2133" s="100" t="s">
        <v>115</v>
      </c>
      <c r="AA2133" s="100" t="s">
        <v>115</v>
      </c>
      <c r="AB2133" s="100" t="s">
        <v>115</v>
      </c>
      <c r="AC2133" s="100" t="s">
        <v>115</v>
      </c>
      <c r="AD2133" s="100"/>
      <c r="AE2133" s="100"/>
      <c r="AF2133" s="100"/>
      <c r="AG2133" s="100"/>
      <c r="AH2133" s="100"/>
      <c r="AI2133" s="100" t="s">
        <v>115</v>
      </c>
      <c r="AJ2133" s="100"/>
      <c r="AK2133" s="100"/>
      <c r="AL2133" s="100"/>
      <c r="AM2133" s="100"/>
      <c r="AN2133" s="100"/>
      <c r="AO2133" s="100"/>
      <c r="AP2133" s="89" t="s">
        <v>115</v>
      </c>
    </row>
    <row r="2134" spans="1:42" s="89" customFormat="1" x14ac:dyDescent="0.15">
      <c r="A2134" s="100" t="s">
        <v>1</v>
      </c>
      <c r="B2134" s="101">
        <v>90190714</v>
      </c>
      <c r="C2134" s="101">
        <v>1907</v>
      </c>
      <c r="D2134" s="101">
        <v>19</v>
      </c>
      <c r="E2134" s="101"/>
      <c r="F2134" s="101" t="s">
        <v>115</v>
      </c>
      <c r="G2134" s="101" t="s">
        <v>115</v>
      </c>
      <c r="H2134" s="101" t="s">
        <v>4485</v>
      </c>
      <c r="I2134" s="101">
        <v>4</v>
      </c>
      <c r="J2134" s="100">
        <v>0</v>
      </c>
      <c r="K2134" s="100">
        <v>0</v>
      </c>
      <c r="L2134" s="100" t="s">
        <v>115</v>
      </c>
      <c r="M2134" s="102"/>
      <c r="N2134" s="100"/>
      <c r="O2134" s="100" t="s">
        <v>115</v>
      </c>
      <c r="P2134" s="101"/>
      <c r="Q2134" s="100">
        <v>144</v>
      </c>
      <c r="R2134" s="100" t="s">
        <v>115</v>
      </c>
      <c r="S2134" s="100"/>
      <c r="T2134" s="100"/>
      <c r="U2134" s="100"/>
      <c r="V2134" s="100"/>
      <c r="W2134" s="100"/>
      <c r="X2134" s="100">
        <v>90190715</v>
      </c>
      <c r="Y2134" s="100" t="s">
        <v>115</v>
      </c>
      <c r="Z2134" s="100" t="s">
        <v>115</v>
      </c>
      <c r="AA2134" s="100" t="s">
        <v>115</v>
      </c>
      <c r="AB2134" s="100" t="s">
        <v>115</v>
      </c>
      <c r="AC2134" s="100" t="s">
        <v>115</v>
      </c>
      <c r="AD2134" s="100"/>
      <c r="AE2134" s="100"/>
      <c r="AF2134" s="100"/>
      <c r="AG2134" s="100"/>
      <c r="AH2134" s="100"/>
      <c r="AI2134" s="100" t="s">
        <v>115</v>
      </c>
      <c r="AJ2134" s="100"/>
      <c r="AK2134" s="100"/>
      <c r="AL2134" s="100"/>
      <c r="AM2134" s="100"/>
      <c r="AN2134" s="100"/>
      <c r="AO2134" s="100"/>
      <c r="AP2134" s="89" t="s">
        <v>115</v>
      </c>
    </row>
    <row r="2135" spans="1:42" s="89" customFormat="1" x14ac:dyDescent="0.15">
      <c r="A2135" s="100" t="s">
        <v>1</v>
      </c>
      <c r="B2135" s="101">
        <v>90190715</v>
      </c>
      <c r="C2135" s="101">
        <v>1907</v>
      </c>
      <c r="D2135" s="101">
        <v>19</v>
      </c>
      <c r="E2135" s="101"/>
      <c r="F2135" s="101" t="s">
        <v>115</v>
      </c>
      <c r="G2135" s="101" t="s">
        <v>115</v>
      </c>
      <c r="H2135" s="101" t="s">
        <v>4486</v>
      </c>
      <c r="I2135" s="101">
        <v>4</v>
      </c>
      <c r="J2135" s="100">
        <v>0</v>
      </c>
      <c r="K2135" s="100">
        <v>0</v>
      </c>
      <c r="L2135" s="100" t="s">
        <v>115</v>
      </c>
      <c r="M2135" s="102"/>
      <c r="N2135" s="100"/>
      <c r="O2135" s="100" t="s">
        <v>115</v>
      </c>
      <c r="P2135" s="101"/>
      <c r="Q2135" s="100">
        <v>144</v>
      </c>
      <c r="R2135" s="100">
        <v>304</v>
      </c>
      <c r="S2135" s="100"/>
      <c r="T2135" s="100"/>
      <c r="U2135" s="100"/>
      <c r="V2135" s="100"/>
      <c r="W2135" s="100"/>
      <c r="X2135" s="100">
        <v>90190716</v>
      </c>
      <c r="Y2135" s="100" t="s">
        <v>115</v>
      </c>
      <c r="Z2135" s="100" t="s">
        <v>115</v>
      </c>
      <c r="AA2135" s="100" t="s">
        <v>115</v>
      </c>
      <c r="AB2135" s="100" t="s">
        <v>115</v>
      </c>
      <c r="AC2135" s="100" t="s">
        <v>115</v>
      </c>
      <c r="AD2135" s="100"/>
      <c r="AE2135" s="100"/>
      <c r="AF2135" s="100"/>
      <c r="AG2135" s="100"/>
      <c r="AH2135" s="100"/>
      <c r="AI2135" s="100" t="s">
        <v>115</v>
      </c>
      <c r="AJ2135" s="100"/>
      <c r="AK2135" s="100"/>
      <c r="AL2135" s="100"/>
      <c r="AM2135" s="100"/>
      <c r="AN2135" s="100"/>
      <c r="AO2135" s="100"/>
      <c r="AP2135" s="89" t="s">
        <v>115</v>
      </c>
    </row>
    <row r="2136" spans="1:42" s="89" customFormat="1" x14ac:dyDescent="0.15">
      <c r="A2136" s="100" t="s">
        <v>1</v>
      </c>
      <c r="B2136" s="101">
        <v>90190716</v>
      </c>
      <c r="C2136" s="101">
        <v>1907</v>
      </c>
      <c r="D2136" s="101">
        <v>19</v>
      </c>
      <c r="E2136" s="101"/>
      <c r="F2136" s="101" t="s">
        <v>4487</v>
      </c>
      <c r="G2136" s="101" t="s">
        <v>115</v>
      </c>
      <c r="H2136" s="101" t="s">
        <v>4488</v>
      </c>
      <c r="I2136" s="101">
        <v>3</v>
      </c>
      <c r="J2136" s="100">
        <v>0</v>
      </c>
      <c r="K2136" s="100">
        <v>0</v>
      </c>
      <c r="L2136" s="100" t="s">
        <v>115</v>
      </c>
      <c r="M2136" s="102"/>
      <c r="N2136" s="100"/>
      <c r="O2136" s="100" t="s">
        <v>115</v>
      </c>
      <c r="P2136" s="101"/>
      <c r="Q2136" s="100">
        <v>144</v>
      </c>
      <c r="R2136" s="100">
        <v>304</v>
      </c>
      <c r="S2136" s="100"/>
      <c r="T2136" s="100"/>
      <c r="U2136" s="100"/>
      <c r="V2136" s="100"/>
      <c r="W2136" s="100"/>
      <c r="X2136" s="100">
        <v>90190717</v>
      </c>
      <c r="Y2136" s="100" t="s">
        <v>115</v>
      </c>
      <c r="Z2136" s="100" t="s">
        <v>115</v>
      </c>
      <c r="AA2136" s="100" t="s">
        <v>115</v>
      </c>
      <c r="AB2136" s="100" t="s">
        <v>115</v>
      </c>
      <c r="AC2136" s="100" t="s">
        <v>115</v>
      </c>
      <c r="AD2136" s="100"/>
      <c r="AE2136" s="100"/>
      <c r="AF2136" s="100"/>
      <c r="AG2136" s="100"/>
      <c r="AH2136" s="100"/>
      <c r="AI2136" s="100" t="s">
        <v>115</v>
      </c>
      <c r="AJ2136" s="100"/>
      <c r="AK2136" s="100"/>
      <c r="AL2136" s="100"/>
      <c r="AM2136" s="100"/>
      <c r="AN2136" s="100"/>
      <c r="AO2136" s="100"/>
      <c r="AP2136" s="89" t="s">
        <v>115</v>
      </c>
    </row>
    <row r="2137" spans="1:42" s="89" customFormat="1" x14ac:dyDescent="0.15">
      <c r="A2137" s="100" t="s">
        <v>1</v>
      </c>
      <c r="B2137" s="101">
        <v>90190717</v>
      </c>
      <c r="C2137" s="101">
        <v>1907</v>
      </c>
      <c r="D2137" s="101">
        <v>19</v>
      </c>
      <c r="E2137" s="101"/>
      <c r="F2137" s="101" t="s">
        <v>116</v>
      </c>
      <c r="G2137" s="101">
        <v>362</v>
      </c>
      <c r="H2137" s="101" t="s">
        <v>4489</v>
      </c>
      <c r="I2137" s="101">
        <v>0</v>
      </c>
      <c r="J2137" s="100">
        <v>0</v>
      </c>
      <c r="K2137" s="100">
        <v>0</v>
      </c>
      <c r="L2137" s="100" t="s">
        <v>115</v>
      </c>
      <c r="M2137" s="102"/>
      <c r="N2137" s="100"/>
      <c r="O2137" s="100" t="s">
        <v>115</v>
      </c>
      <c r="P2137" s="101"/>
      <c r="Q2137" s="100">
        <v>144</v>
      </c>
      <c r="R2137" s="100">
        <v>304</v>
      </c>
      <c r="S2137" s="100"/>
      <c r="T2137" s="100"/>
      <c r="U2137" s="100"/>
      <c r="V2137" s="100"/>
      <c r="W2137" s="100"/>
      <c r="X2137" s="100">
        <v>90190718</v>
      </c>
      <c r="Y2137" s="100" t="s">
        <v>115</v>
      </c>
      <c r="Z2137" s="100" t="s">
        <v>115</v>
      </c>
      <c r="AA2137" s="100" t="s">
        <v>115</v>
      </c>
      <c r="AB2137" s="100" t="s">
        <v>115</v>
      </c>
      <c r="AC2137" s="100" t="s">
        <v>115</v>
      </c>
      <c r="AD2137" s="100"/>
      <c r="AE2137" s="100"/>
      <c r="AF2137" s="100"/>
      <c r="AG2137" s="100"/>
      <c r="AH2137" s="100"/>
      <c r="AI2137" s="100" t="s">
        <v>115</v>
      </c>
      <c r="AJ2137" s="100"/>
      <c r="AK2137" s="100"/>
      <c r="AL2137" s="100"/>
      <c r="AM2137" s="100"/>
      <c r="AN2137" s="100"/>
      <c r="AO2137" s="100"/>
      <c r="AP2137" s="89" t="s">
        <v>115</v>
      </c>
    </row>
    <row r="2138" spans="1:42" s="89" customFormat="1" x14ac:dyDescent="0.15">
      <c r="A2138" s="100" t="s">
        <v>1</v>
      </c>
      <c r="B2138" s="101">
        <v>90190718</v>
      </c>
      <c r="C2138" s="101">
        <v>1907</v>
      </c>
      <c r="D2138" s="101">
        <v>19</v>
      </c>
      <c r="E2138" s="101"/>
      <c r="F2138" s="101" t="s">
        <v>4487</v>
      </c>
      <c r="G2138" s="101" t="s">
        <v>115</v>
      </c>
      <c r="H2138" s="101" t="s">
        <v>4490</v>
      </c>
      <c r="I2138" s="101">
        <v>3</v>
      </c>
      <c r="J2138" s="100">
        <v>0</v>
      </c>
      <c r="K2138" s="100">
        <v>0</v>
      </c>
      <c r="L2138" s="100" t="s">
        <v>115</v>
      </c>
      <c r="M2138" s="102"/>
      <c r="N2138" s="100"/>
      <c r="O2138" s="100" t="s">
        <v>115</v>
      </c>
      <c r="P2138" s="101"/>
      <c r="Q2138" s="100">
        <v>144</v>
      </c>
      <c r="R2138" s="100">
        <v>304</v>
      </c>
      <c r="S2138" s="100"/>
      <c r="T2138" s="100"/>
      <c r="U2138" s="100"/>
      <c r="V2138" s="100"/>
      <c r="W2138" s="100"/>
      <c r="X2138" s="100">
        <v>90190719</v>
      </c>
      <c r="Y2138" s="100" t="s">
        <v>115</v>
      </c>
      <c r="Z2138" s="100" t="s">
        <v>115</v>
      </c>
      <c r="AA2138" s="100" t="s">
        <v>115</v>
      </c>
      <c r="AB2138" s="100" t="s">
        <v>115</v>
      </c>
      <c r="AC2138" s="100" t="s">
        <v>115</v>
      </c>
      <c r="AD2138" s="100"/>
      <c r="AE2138" s="100"/>
      <c r="AF2138" s="100"/>
      <c r="AG2138" s="100"/>
      <c r="AH2138" s="100"/>
      <c r="AI2138" s="100" t="s">
        <v>115</v>
      </c>
      <c r="AJ2138" s="100"/>
      <c r="AK2138" s="100"/>
      <c r="AL2138" s="100"/>
      <c r="AM2138" s="100"/>
      <c r="AN2138" s="100"/>
      <c r="AO2138" s="100"/>
      <c r="AP2138" s="89" t="s">
        <v>115</v>
      </c>
    </row>
    <row r="2139" spans="1:42" s="89" customFormat="1" x14ac:dyDescent="0.15">
      <c r="A2139" s="100" t="s">
        <v>1</v>
      </c>
      <c r="B2139" s="101">
        <v>90190719</v>
      </c>
      <c r="C2139" s="101">
        <v>1907</v>
      </c>
      <c r="D2139" s="101">
        <v>19</v>
      </c>
      <c r="E2139" s="101"/>
      <c r="F2139" s="101" t="s">
        <v>116</v>
      </c>
      <c r="G2139" s="101">
        <v>362</v>
      </c>
      <c r="H2139" s="101" t="s">
        <v>4491</v>
      </c>
      <c r="I2139" s="101">
        <v>0</v>
      </c>
      <c r="J2139" s="100">
        <v>0</v>
      </c>
      <c r="K2139" s="100">
        <v>0</v>
      </c>
      <c r="L2139" s="100" t="s">
        <v>115</v>
      </c>
      <c r="M2139" s="102"/>
      <c r="N2139" s="100"/>
      <c r="O2139" s="100" t="s">
        <v>115</v>
      </c>
      <c r="P2139" s="101"/>
      <c r="Q2139" s="100">
        <v>144</v>
      </c>
      <c r="R2139" s="100">
        <v>304</v>
      </c>
      <c r="S2139" s="100"/>
      <c r="T2139" s="100"/>
      <c r="U2139" s="100"/>
      <c r="V2139" s="100"/>
      <c r="W2139" s="100"/>
      <c r="X2139" s="100">
        <v>90190720</v>
      </c>
      <c r="Y2139" s="100" t="s">
        <v>115</v>
      </c>
      <c r="Z2139" s="100" t="s">
        <v>115</v>
      </c>
      <c r="AA2139" s="100" t="s">
        <v>115</v>
      </c>
      <c r="AB2139" s="100" t="s">
        <v>115</v>
      </c>
      <c r="AC2139" s="100" t="s">
        <v>115</v>
      </c>
      <c r="AD2139" s="100"/>
      <c r="AE2139" s="100"/>
      <c r="AF2139" s="100"/>
      <c r="AG2139" s="100"/>
      <c r="AH2139" s="100"/>
      <c r="AI2139" s="100" t="s">
        <v>115</v>
      </c>
      <c r="AJ2139" s="100"/>
      <c r="AK2139" s="100"/>
      <c r="AL2139" s="100"/>
      <c r="AM2139" s="100"/>
      <c r="AN2139" s="100"/>
      <c r="AO2139" s="100"/>
      <c r="AP2139" s="89" t="s">
        <v>115</v>
      </c>
    </row>
    <row r="2140" spans="1:42" s="89" customFormat="1" x14ac:dyDescent="0.15">
      <c r="A2140" s="100" t="s">
        <v>1</v>
      </c>
      <c r="B2140" s="101">
        <v>90190720</v>
      </c>
      <c r="C2140" s="101">
        <v>1907</v>
      </c>
      <c r="D2140" s="101">
        <v>19</v>
      </c>
      <c r="E2140" s="101"/>
      <c r="F2140" s="101" t="s">
        <v>4487</v>
      </c>
      <c r="G2140" s="101" t="s">
        <v>115</v>
      </c>
      <c r="H2140" s="101" t="s">
        <v>4492</v>
      </c>
      <c r="I2140" s="101">
        <v>3</v>
      </c>
      <c r="J2140" s="100">
        <v>0</v>
      </c>
      <c r="K2140" s="100">
        <v>0</v>
      </c>
      <c r="L2140" s="100" t="s">
        <v>115</v>
      </c>
      <c r="M2140" s="102"/>
      <c r="N2140" s="100"/>
      <c r="O2140" s="100" t="s">
        <v>115</v>
      </c>
      <c r="P2140" s="101"/>
      <c r="Q2140" s="100">
        <v>144</v>
      </c>
      <c r="R2140" s="100">
        <v>304</v>
      </c>
      <c r="S2140" s="100"/>
      <c r="T2140" s="100"/>
      <c r="U2140" s="100"/>
      <c r="V2140" s="100"/>
      <c r="W2140" s="100"/>
      <c r="X2140" s="100">
        <v>90190721</v>
      </c>
      <c r="Y2140" s="100" t="s">
        <v>115</v>
      </c>
      <c r="Z2140" s="100" t="s">
        <v>115</v>
      </c>
      <c r="AA2140" s="100" t="s">
        <v>115</v>
      </c>
      <c r="AB2140" s="100" t="s">
        <v>115</v>
      </c>
      <c r="AC2140" s="100" t="s">
        <v>115</v>
      </c>
      <c r="AD2140" s="100"/>
      <c r="AE2140" s="100"/>
      <c r="AF2140" s="100"/>
      <c r="AG2140" s="100"/>
      <c r="AH2140" s="100"/>
      <c r="AI2140" s="100" t="s">
        <v>115</v>
      </c>
      <c r="AJ2140" s="100"/>
      <c r="AK2140" s="100"/>
      <c r="AL2140" s="100"/>
      <c r="AM2140" s="100"/>
      <c r="AN2140" s="100"/>
      <c r="AO2140" s="100"/>
      <c r="AP2140" s="89" t="s">
        <v>115</v>
      </c>
    </row>
    <row r="2141" spans="1:42" s="89" customFormat="1" x14ac:dyDescent="0.15">
      <c r="A2141" s="100" t="s">
        <v>1</v>
      </c>
      <c r="B2141" s="101">
        <v>90190721</v>
      </c>
      <c r="C2141" s="101">
        <v>1907</v>
      </c>
      <c r="D2141" s="101">
        <v>19</v>
      </c>
      <c r="E2141" s="101"/>
      <c r="F2141" s="101" t="s">
        <v>116</v>
      </c>
      <c r="G2141" s="101">
        <v>362</v>
      </c>
      <c r="H2141" s="101" t="s">
        <v>4493</v>
      </c>
      <c r="I2141" s="101">
        <v>0</v>
      </c>
      <c r="J2141" s="100">
        <v>0</v>
      </c>
      <c r="K2141" s="100">
        <v>0</v>
      </c>
      <c r="L2141" s="100" t="s">
        <v>115</v>
      </c>
      <c r="M2141" s="102"/>
      <c r="N2141" s="100"/>
      <c r="O2141" s="100" t="s">
        <v>115</v>
      </c>
      <c r="P2141" s="101"/>
      <c r="Q2141" s="100">
        <v>144</v>
      </c>
      <c r="R2141" s="100">
        <v>304</v>
      </c>
      <c r="S2141" s="100"/>
      <c r="T2141" s="100"/>
      <c r="U2141" s="100"/>
      <c r="V2141" s="100"/>
      <c r="W2141" s="100"/>
      <c r="X2141" s="100">
        <v>90190722</v>
      </c>
      <c r="Y2141" s="100" t="s">
        <v>115</v>
      </c>
      <c r="Z2141" s="100" t="s">
        <v>115</v>
      </c>
      <c r="AA2141" s="100" t="s">
        <v>115</v>
      </c>
      <c r="AB2141" s="100" t="s">
        <v>115</v>
      </c>
      <c r="AC2141" s="100" t="s">
        <v>115</v>
      </c>
      <c r="AD2141" s="100"/>
      <c r="AE2141" s="100"/>
      <c r="AF2141" s="100"/>
      <c r="AG2141" s="100"/>
      <c r="AH2141" s="100"/>
      <c r="AI2141" s="100" t="s">
        <v>115</v>
      </c>
      <c r="AJ2141" s="100"/>
      <c r="AK2141" s="100"/>
      <c r="AL2141" s="100"/>
      <c r="AM2141" s="100"/>
      <c r="AN2141" s="100"/>
      <c r="AO2141" s="100"/>
      <c r="AP2141" s="89" t="s">
        <v>115</v>
      </c>
    </row>
    <row r="2142" spans="1:42" s="89" customFormat="1" x14ac:dyDescent="0.15">
      <c r="A2142" s="100" t="s">
        <v>1</v>
      </c>
      <c r="B2142" s="101">
        <v>90190722</v>
      </c>
      <c r="C2142" s="101">
        <v>1907</v>
      </c>
      <c r="D2142" s="101">
        <v>19</v>
      </c>
      <c r="E2142" s="101"/>
      <c r="F2142" s="101" t="s">
        <v>115</v>
      </c>
      <c r="G2142" s="101" t="s">
        <v>115</v>
      </c>
      <c r="H2142" s="101" t="s">
        <v>4494</v>
      </c>
      <c r="I2142" s="101">
        <v>4</v>
      </c>
      <c r="J2142" s="100">
        <v>0</v>
      </c>
      <c r="K2142" s="100">
        <v>0</v>
      </c>
      <c r="L2142" s="100" t="s">
        <v>115</v>
      </c>
      <c r="M2142" s="102"/>
      <c r="N2142" s="100"/>
      <c r="O2142" s="100" t="s">
        <v>115</v>
      </c>
      <c r="P2142" s="101"/>
      <c r="Q2142" s="100">
        <v>144</v>
      </c>
      <c r="R2142" s="100">
        <v>304</v>
      </c>
      <c r="S2142" s="100"/>
      <c r="T2142" s="100"/>
      <c r="U2142" s="100"/>
      <c r="V2142" s="100"/>
      <c r="W2142" s="100"/>
      <c r="X2142" s="100">
        <v>90190723</v>
      </c>
      <c r="Y2142" s="100" t="s">
        <v>115</v>
      </c>
      <c r="Z2142" s="100" t="s">
        <v>115</v>
      </c>
      <c r="AA2142" s="100" t="s">
        <v>115</v>
      </c>
      <c r="AB2142" s="100" t="s">
        <v>115</v>
      </c>
      <c r="AC2142" s="100" t="s">
        <v>115</v>
      </c>
      <c r="AD2142" s="100"/>
      <c r="AE2142" s="100"/>
      <c r="AF2142" s="100"/>
      <c r="AG2142" s="100"/>
      <c r="AH2142" s="100"/>
      <c r="AI2142" s="100" t="s">
        <v>115</v>
      </c>
      <c r="AJ2142" s="100"/>
      <c r="AK2142" s="100"/>
      <c r="AL2142" s="100"/>
      <c r="AM2142" s="100"/>
      <c r="AN2142" s="100"/>
      <c r="AO2142" s="100"/>
      <c r="AP2142" s="89" t="s">
        <v>115</v>
      </c>
    </row>
    <row r="2143" spans="1:42" s="89" customFormat="1" x14ac:dyDescent="0.15">
      <c r="A2143" s="100" t="s">
        <v>1</v>
      </c>
      <c r="B2143" s="101">
        <v>90190723</v>
      </c>
      <c r="C2143" s="101">
        <v>1907</v>
      </c>
      <c r="D2143" s="101">
        <v>19</v>
      </c>
      <c r="E2143" s="101"/>
      <c r="F2143" s="101" t="s">
        <v>4487</v>
      </c>
      <c r="G2143" s="101" t="s">
        <v>115</v>
      </c>
      <c r="H2143" s="101" t="s">
        <v>4495</v>
      </c>
      <c r="I2143" s="101">
        <v>3</v>
      </c>
      <c r="J2143" s="100">
        <v>0</v>
      </c>
      <c r="K2143" s="100">
        <v>0</v>
      </c>
      <c r="L2143" s="100" t="s">
        <v>115</v>
      </c>
      <c r="M2143" s="102"/>
      <c r="N2143" s="100"/>
      <c r="O2143" s="100" t="s">
        <v>115</v>
      </c>
      <c r="P2143" s="101"/>
      <c r="Q2143" s="100">
        <v>144</v>
      </c>
      <c r="R2143" s="100">
        <v>304</v>
      </c>
      <c r="S2143" s="100"/>
      <c r="T2143" s="100"/>
      <c r="U2143" s="100"/>
      <c r="V2143" s="100"/>
      <c r="W2143" s="100"/>
      <c r="X2143" s="100">
        <v>90190724</v>
      </c>
      <c r="Y2143" s="100" t="s">
        <v>115</v>
      </c>
      <c r="Z2143" s="100" t="s">
        <v>115</v>
      </c>
      <c r="AA2143" s="100" t="s">
        <v>115</v>
      </c>
      <c r="AB2143" s="100" t="s">
        <v>115</v>
      </c>
      <c r="AC2143" s="100" t="s">
        <v>115</v>
      </c>
      <c r="AD2143" s="100"/>
      <c r="AE2143" s="100"/>
      <c r="AF2143" s="100"/>
      <c r="AG2143" s="100"/>
      <c r="AH2143" s="100"/>
      <c r="AI2143" s="100" t="s">
        <v>115</v>
      </c>
      <c r="AJ2143" s="100"/>
      <c r="AK2143" s="100"/>
      <c r="AL2143" s="100"/>
      <c r="AM2143" s="100"/>
      <c r="AN2143" s="100"/>
      <c r="AO2143" s="100"/>
      <c r="AP2143" s="89" t="s">
        <v>115</v>
      </c>
    </row>
    <row r="2144" spans="1:42" s="89" customFormat="1" x14ac:dyDescent="0.15">
      <c r="A2144" s="100" t="s">
        <v>1</v>
      </c>
      <c r="B2144" s="101">
        <v>90190724</v>
      </c>
      <c r="C2144" s="101">
        <v>1907</v>
      </c>
      <c r="D2144" s="101">
        <v>19</v>
      </c>
      <c r="E2144" s="101"/>
      <c r="F2144" s="101" t="s">
        <v>116</v>
      </c>
      <c r="G2144" s="101">
        <v>362</v>
      </c>
      <c r="H2144" s="101" t="s">
        <v>4496</v>
      </c>
      <c r="I2144" s="101">
        <v>0</v>
      </c>
      <c r="J2144" s="100">
        <v>0</v>
      </c>
      <c r="K2144" s="100">
        <v>0</v>
      </c>
      <c r="L2144" s="100" t="s">
        <v>115</v>
      </c>
      <c r="M2144" s="102"/>
      <c r="N2144" s="100"/>
      <c r="O2144" s="100" t="s">
        <v>115</v>
      </c>
      <c r="P2144" s="101"/>
      <c r="Q2144" s="100">
        <v>144</v>
      </c>
      <c r="R2144" s="100">
        <v>304</v>
      </c>
      <c r="S2144" s="100"/>
      <c r="T2144" s="100"/>
      <c r="U2144" s="100"/>
      <c r="V2144" s="100"/>
      <c r="W2144" s="100"/>
      <c r="X2144" s="100">
        <v>90190725</v>
      </c>
      <c r="Y2144" s="100" t="s">
        <v>115</v>
      </c>
      <c r="Z2144" s="100" t="s">
        <v>115</v>
      </c>
      <c r="AA2144" s="100" t="s">
        <v>115</v>
      </c>
      <c r="AB2144" s="100" t="s">
        <v>115</v>
      </c>
      <c r="AC2144" s="100" t="s">
        <v>115</v>
      </c>
      <c r="AD2144" s="100"/>
      <c r="AE2144" s="100"/>
      <c r="AF2144" s="100"/>
      <c r="AG2144" s="100"/>
      <c r="AH2144" s="100"/>
      <c r="AI2144" s="100" t="s">
        <v>115</v>
      </c>
      <c r="AJ2144" s="100"/>
      <c r="AK2144" s="100"/>
      <c r="AL2144" s="100"/>
      <c r="AM2144" s="100"/>
      <c r="AN2144" s="100"/>
      <c r="AO2144" s="100"/>
      <c r="AP2144" s="89" t="s">
        <v>115</v>
      </c>
    </row>
    <row r="2145" spans="1:42" s="89" customFormat="1" x14ac:dyDescent="0.15">
      <c r="A2145" s="100" t="s">
        <v>1</v>
      </c>
      <c r="B2145" s="101">
        <v>90190725</v>
      </c>
      <c r="C2145" s="101">
        <v>1907</v>
      </c>
      <c r="D2145" s="101">
        <v>19</v>
      </c>
      <c r="E2145" s="101"/>
      <c r="F2145" s="101" t="s">
        <v>4487</v>
      </c>
      <c r="G2145" s="101" t="s">
        <v>115</v>
      </c>
      <c r="H2145" s="101" t="s">
        <v>4497</v>
      </c>
      <c r="I2145" s="101">
        <v>3</v>
      </c>
      <c r="J2145" s="100">
        <v>0</v>
      </c>
      <c r="K2145" s="100">
        <v>0</v>
      </c>
      <c r="L2145" s="100" t="s">
        <v>115</v>
      </c>
      <c r="M2145" s="102"/>
      <c r="N2145" s="100"/>
      <c r="O2145" s="100" t="s">
        <v>115</v>
      </c>
      <c r="P2145" s="101"/>
      <c r="Q2145" s="100">
        <v>144</v>
      </c>
      <c r="R2145" s="100">
        <v>304</v>
      </c>
      <c r="S2145" s="100"/>
      <c r="T2145" s="100"/>
      <c r="U2145" s="100"/>
      <c r="V2145" s="100"/>
      <c r="W2145" s="100"/>
      <c r="X2145" s="100">
        <v>90190726</v>
      </c>
      <c r="Y2145" s="100" t="s">
        <v>115</v>
      </c>
      <c r="Z2145" s="100" t="s">
        <v>115</v>
      </c>
      <c r="AA2145" s="100" t="s">
        <v>115</v>
      </c>
      <c r="AB2145" s="100" t="s">
        <v>115</v>
      </c>
      <c r="AC2145" s="100" t="s">
        <v>115</v>
      </c>
      <c r="AD2145" s="100"/>
      <c r="AE2145" s="100"/>
      <c r="AF2145" s="100"/>
      <c r="AG2145" s="100"/>
      <c r="AH2145" s="100"/>
      <c r="AI2145" s="100" t="s">
        <v>115</v>
      </c>
      <c r="AJ2145" s="100"/>
      <c r="AK2145" s="100"/>
      <c r="AL2145" s="100"/>
      <c r="AM2145" s="100"/>
      <c r="AN2145" s="100"/>
      <c r="AO2145" s="100"/>
      <c r="AP2145" s="89" t="s">
        <v>115</v>
      </c>
    </row>
    <row r="2146" spans="1:42" s="89" customFormat="1" x14ac:dyDescent="0.15">
      <c r="A2146" s="100" t="s">
        <v>1</v>
      </c>
      <c r="B2146" s="101">
        <v>90190726</v>
      </c>
      <c r="C2146" s="101">
        <v>1907</v>
      </c>
      <c r="D2146" s="101">
        <v>19</v>
      </c>
      <c r="E2146" s="101"/>
      <c r="F2146" s="101" t="s">
        <v>4487</v>
      </c>
      <c r="G2146" s="101" t="s">
        <v>115</v>
      </c>
      <c r="H2146" s="101" t="s">
        <v>4498</v>
      </c>
      <c r="I2146" s="101">
        <v>3</v>
      </c>
      <c r="J2146" s="100">
        <v>0</v>
      </c>
      <c r="K2146" s="100">
        <v>0</v>
      </c>
      <c r="L2146" s="100" t="s">
        <v>115</v>
      </c>
      <c r="M2146" s="102"/>
      <c r="N2146" s="100"/>
      <c r="O2146" s="100" t="s">
        <v>115</v>
      </c>
      <c r="P2146" s="101"/>
      <c r="Q2146" s="100">
        <v>144</v>
      </c>
      <c r="R2146" s="100">
        <v>304</v>
      </c>
      <c r="S2146" s="100"/>
      <c r="T2146" s="100"/>
      <c r="U2146" s="100"/>
      <c r="V2146" s="100"/>
      <c r="W2146" s="100"/>
      <c r="X2146" s="100">
        <v>90190727</v>
      </c>
      <c r="Y2146" s="100" t="s">
        <v>115</v>
      </c>
      <c r="Z2146" s="100" t="s">
        <v>115</v>
      </c>
      <c r="AA2146" s="100" t="s">
        <v>115</v>
      </c>
      <c r="AB2146" s="100" t="s">
        <v>115</v>
      </c>
      <c r="AC2146" s="100" t="s">
        <v>115</v>
      </c>
      <c r="AD2146" s="100"/>
      <c r="AE2146" s="100"/>
      <c r="AF2146" s="100"/>
      <c r="AG2146" s="100"/>
      <c r="AH2146" s="100"/>
      <c r="AI2146" s="100" t="s">
        <v>115</v>
      </c>
      <c r="AJ2146" s="100"/>
      <c r="AK2146" s="100"/>
      <c r="AL2146" s="100"/>
      <c r="AM2146" s="100"/>
      <c r="AN2146" s="100"/>
      <c r="AO2146" s="100"/>
      <c r="AP2146" s="89" t="s">
        <v>115</v>
      </c>
    </row>
    <row r="2147" spans="1:42" s="89" customFormat="1" x14ac:dyDescent="0.15">
      <c r="A2147" s="100" t="s">
        <v>1</v>
      </c>
      <c r="B2147" s="101">
        <v>90190727</v>
      </c>
      <c r="C2147" s="101">
        <v>1907</v>
      </c>
      <c r="D2147" s="101">
        <v>19</v>
      </c>
      <c r="E2147" s="101"/>
      <c r="F2147" s="101" t="s">
        <v>116</v>
      </c>
      <c r="G2147" s="101">
        <v>362</v>
      </c>
      <c r="H2147" s="101" t="s">
        <v>4499</v>
      </c>
      <c r="I2147" s="101">
        <v>0</v>
      </c>
      <c r="J2147" s="100">
        <v>0</v>
      </c>
      <c r="K2147" s="100">
        <v>0</v>
      </c>
      <c r="L2147" s="100" t="s">
        <v>115</v>
      </c>
      <c r="M2147" s="102"/>
      <c r="N2147" s="100"/>
      <c r="O2147" s="100" t="s">
        <v>115</v>
      </c>
      <c r="P2147" s="101"/>
      <c r="Q2147" s="100">
        <v>144</v>
      </c>
      <c r="R2147" s="100">
        <v>304</v>
      </c>
      <c r="S2147" s="100"/>
      <c r="T2147" s="100"/>
      <c r="U2147" s="100"/>
      <c r="V2147" s="100"/>
      <c r="W2147" s="100"/>
      <c r="X2147" s="100">
        <v>90190728</v>
      </c>
      <c r="Y2147" s="100" t="s">
        <v>115</v>
      </c>
      <c r="Z2147" s="100" t="s">
        <v>115</v>
      </c>
      <c r="AA2147" s="100" t="s">
        <v>115</v>
      </c>
      <c r="AB2147" s="100" t="s">
        <v>115</v>
      </c>
      <c r="AC2147" s="100" t="s">
        <v>115</v>
      </c>
      <c r="AD2147" s="100"/>
      <c r="AE2147" s="100"/>
      <c r="AF2147" s="100"/>
      <c r="AG2147" s="100"/>
      <c r="AH2147" s="100"/>
      <c r="AI2147" s="100" t="s">
        <v>115</v>
      </c>
      <c r="AJ2147" s="100"/>
      <c r="AK2147" s="100"/>
      <c r="AL2147" s="100"/>
      <c r="AM2147" s="100"/>
      <c r="AN2147" s="100"/>
      <c r="AO2147" s="100"/>
      <c r="AP2147" s="89" t="s">
        <v>115</v>
      </c>
    </row>
    <row r="2148" spans="1:42" s="89" customFormat="1" x14ac:dyDescent="0.15">
      <c r="A2148" s="100" t="s">
        <v>1</v>
      </c>
      <c r="B2148" s="101">
        <v>90190728</v>
      </c>
      <c r="C2148" s="101">
        <v>1907</v>
      </c>
      <c r="D2148" s="101">
        <v>19</v>
      </c>
      <c r="E2148" s="101"/>
      <c r="F2148" s="101" t="s">
        <v>115</v>
      </c>
      <c r="G2148" s="101" t="s">
        <v>115</v>
      </c>
      <c r="H2148" s="101" t="s">
        <v>4500</v>
      </c>
      <c r="I2148" s="101">
        <v>4</v>
      </c>
      <c r="J2148" s="100">
        <v>0</v>
      </c>
      <c r="K2148" s="100">
        <v>0</v>
      </c>
      <c r="L2148" s="100" t="s">
        <v>115</v>
      </c>
      <c r="M2148" s="102"/>
      <c r="N2148" s="100"/>
      <c r="O2148" s="100" t="s">
        <v>115</v>
      </c>
      <c r="P2148" s="101"/>
      <c r="Q2148" s="100">
        <v>144</v>
      </c>
      <c r="R2148" s="100">
        <v>304</v>
      </c>
      <c r="S2148" s="100"/>
      <c r="T2148" s="100"/>
      <c r="U2148" s="100"/>
      <c r="V2148" s="100"/>
      <c r="W2148" s="100"/>
      <c r="X2148" s="100">
        <v>90190729</v>
      </c>
      <c r="Y2148" s="100" t="s">
        <v>115</v>
      </c>
      <c r="Z2148" s="100" t="s">
        <v>115</v>
      </c>
      <c r="AA2148" s="100" t="s">
        <v>115</v>
      </c>
      <c r="AB2148" s="100" t="s">
        <v>115</v>
      </c>
      <c r="AC2148" s="100" t="s">
        <v>115</v>
      </c>
      <c r="AD2148" s="100"/>
      <c r="AE2148" s="100"/>
      <c r="AF2148" s="100"/>
      <c r="AG2148" s="100"/>
      <c r="AH2148" s="100"/>
      <c r="AI2148" s="100" t="s">
        <v>115</v>
      </c>
      <c r="AJ2148" s="100"/>
      <c r="AK2148" s="100"/>
      <c r="AL2148" s="100"/>
      <c r="AM2148" s="100"/>
      <c r="AN2148" s="100"/>
      <c r="AO2148" s="100"/>
      <c r="AP2148" s="89" t="s">
        <v>115</v>
      </c>
    </row>
    <row r="2149" spans="1:42" s="89" customFormat="1" x14ac:dyDescent="0.15">
      <c r="A2149" s="100" t="s">
        <v>1</v>
      </c>
      <c r="B2149" s="101">
        <v>90190729</v>
      </c>
      <c r="C2149" s="101">
        <v>1907</v>
      </c>
      <c r="D2149" s="101">
        <v>19</v>
      </c>
      <c r="E2149" s="101"/>
      <c r="F2149" s="101" t="s">
        <v>4487</v>
      </c>
      <c r="G2149" s="101" t="s">
        <v>115</v>
      </c>
      <c r="H2149" s="101" t="s">
        <v>4501</v>
      </c>
      <c r="I2149" s="101">
        <v>3</v>
      </c>
      <c r="J2149" s="100">
        <v>0</v>
      </c>
      <c r="K2149" s="100">
        <v>0</v>
      </c>
      <c r="L2149" s="100" t="s">
        <v>115</v>
      </c>
      <c r="M2149" s="102"/>
      <c r="N2149" s="100"/>
      <c r="O2149" s="100" t="s">
        <v>115</v>
      </c>
      <c r="P2149" s="101"/>
      <c r="Q2149" s="100">
        <v>144</v>
      </c>
      <c r="R2149" s="100">
        <v>304</v>
      </c>
      <c r="S2149" s="100"/>
      <c r="T2149" s="100"/>
      <c r="U2149" s="100"/>
      <c r="V2149" s="100"/>
      <c r="W2149" s="100"/>
      <c r="X2149" s="100">
        <v>90190730</v>
      </c>
      <c r="Y2149" s="100" t="s">
        <v>115</v>
      </c>
      <c r="Z2149" s="100" t="s">
        <v>115</v>
      </c>
      <c r="AA2149" s="100" t="s">
        <v>115</v>
      </c>
      <c r="AB2149" s="100" t="s">
        <v>115</v>
      </c>
      <c r="AC2149" s="100" t="s">
        <v>115</v>
      </c>
      <c r="AD2149" s="100"/>
      <c r="AE2149" s="100"/>
      <c r="AF2149" s="100"/>
      <c r="AG2149" s="100"/>
      <c r="AH2149" s="100"/>
      <c r="AI2149" s="100" t="s">
        <v>115</v>
      </c>
      <c r="AJ2149" s="100"/>
      <c r="AK2149" s="100"/>
      <c r="AL2149" s="100"/>
      <c r="AM2149" s="100"/>
      <c r="AN2149" s="100"/>
      <c r="AO2149" s="100"/>
      <c r="AP2149" s="89" t="s">
        <v>115</v>
      </c>
    </row>
    <row r="2150" spans="1:42" s="89" customFormat="1" x14ac:dyDescent="0.15">
      <c r="A2150" s="100" t="s">
        <v>1</v>
      </c>
      <c r="B2150" s="101">
        <v>90190730</v>
      </c>
      <c r="C2150" s="101">
        <v>1907</v>
      </c>
      <c r="D2150" s="101">
        <v>19</v>
      </c>
      <c r="E2150" s="101"/>
      <c r="F2150" s="101" t="s">
        <v>116</v>
      </c>
      <c r="G2150" s="101">
        <v>362</v>
      </c>
      <c r="H2150" s="101" t="s">
        <v>4502</v>
      </c>
      <c r="I2150" s="101">
        <v>0</v>
      </c>
      <c r="J2150" s="100">
        <v>0</v>
      </c>
      <c r="K2150" s="100">
        <v>0</v>
      </c>
      <c r="L2150" s="100" t="s">
        <v>115</v>
      </c>
      <c r="M2150" s="102"/>
      <c r="N2150" s="100"/>
      <c r="O2150" s="100" t="s">
        <v>115</v>
      </c>
      <c r="P2150" s="101"/>
      <c r="Q2150" s="100">
        <v>144</v>
      </c>
      <c r="R2150" s="100">
        <v>304</v>
      </c>
      <c r="S2150" s="100"/>
      <c r="T2150" s="100"/>
      <c r="U2150" s="100"/>
      <c r="V2150" s="100"/>
      <c r="W2150" s="100"/>
      <c r="X2150" s="100">
        <v>90190731</v>
      </c>
      <c r="Y2150" s="100" t="s">
        <v>115</v>
      </c>
      <c r="Z2150" s="100" t="s">
        <v>115</v>
      </c>
      <c r="AA2150" s="100" t="s">
        <v>115</v>
      </c>
      <c r="AB2150" s="100" t="s">
        <v>115</v>
      </c>
      <c r="AC2150" s="100" t="s">
        <v>115</v>
      </c>
      <c r="AD2150" s="100"/>
      <c r="AE2150" s="100"/>
      <c r="AF2150" s="100"/>
      <c r="AG2150" s="100"/>
      <c r="AH2150" s="100"/>
      <c r="AI2150" s="100" t="s">
        <v>115</v>
      </c>
      <c r="AJ2150" s="100"/>
      <c r="AK2150" s="100"/>
      <c r="AL2150" s="100"/>
      <c r="AM2150" s="100"/>
      <c r="AN2150" s="100"/>
      <c r="AO2150" s="100"/>
      <c r="AP2150" s="89" t="s">
        <v>115</v>
      </c>
    </row>
    <row r="2151" spans="1:42" s="89" customFormat="1" x14ac:dyDescent="0.15">
      <c r="A2151" s="100" t="s">
        <v>1</v>
      </c>
      <c r="B2151" s="101">
        <v>90190731</v>
      </c>
      <c r="C2151" s="101">
        <v>1907</v>
      </c>
      <c r="D2151" s="101">
        <v>19</v>
      </c>
      <c r="E2151" s="101"/>
      <c r="F2151" s="101" t="s">
        <v>115</v>
      </c>
      <c r="G2151" s="101" t="s">
        <v>115</v>
      </c>
      <c r="H2151" s="101" t="s">
        <v>4503</v>
      </c>
      <c r="I2151" s="101">
        <v>4</v>
      </c>
      <c r="J2151" s="100">
        <v>0</v>
      </c>
      <c r="K2151" s="100">
        <v>0</v>
      </c>
      <c r="L2151" s="100" t="s">
        <v>115</v>
      </c>
      <c r="M2151" s="102"/>
      <c r="N2151" s="100"/>
      <c r="O2151" s="100" t="s">
        <v>115</v>
      </c>
      <c r="P2151" s="101"/>
      <c r="Q2151" s="100">
        <v>145</v>
      </c>
      <c r="R2151" s="100" t="s">
        <v>115</v>
      </c>
      <c r="S2151" s="100"/>
      <c r="T2151" s="100"/>
      <c r="U2151" s="100"/>
      <c r="V2151" s="100"/>
      <c r="W2151" s="100"/>
      <c r="X2151" s="100">
        <v>90190732</v>
      </c>
      <c r="Y2151" s="100" t="s">
        <v>115</v>
      </c>
      <c r="Z2151" s="100" t="s">
        <v>115</v>
      </c>
      <c r="AA2151" s="100" t="s">
        <v>115</v>
      </c>
      <c r="AB2151" s="100" t="s">
        <v>115</v>
      </c>
      <c r="AC2151" s="100" t="s">
        <v>115</v>
      </c>
      <c r="AD2151" s="100"/>
      <c r="AE2151" s="100"/>
      <c r="AF2151" s="100"/>
      <c r="AG2151" s="100"/>
      <c r="AH2151" s="100"/>
      <c r="AI2151" s="100" t="s">
        <v>115</v>
      </c>
      <c r="AJ2151" s="100"/>
      <c r="AK2151" s="100"/>
      <c r="AL2151" s="100"/>
      <c r="AM2151" s="100"/>
      <c r="AN2151" s="100"/>
      <c r="AO2151" s="100"/>
      <c r="AP2151" s="89" t="s">
        <v>115</v>
      </c>
    </row>
    <row r="2152" spans="1:42" s="89" customFormat="1" x14ac:dyDescent="0.15">
      <c r="A2152" s="100" t="s">
        <v>1</v>
      </c>
      <c r="B2152" s="101">
        <v>90190732</v>
      </c>
      <c r="C2152" s="101">
        <v>1907</v>
      </c>
      <c r="D2152" s="101">
        <v>19</v>
      </c>
      <c r="E2152" s="101"/>
      <c r="F2152" s="101" t="s">
        <v>116</v>
      </c>
      <c r="G2152" s="101">
        <v>309</v>
      </c>
      <c r="H2152" s="101" t="s">
        <v>4504</v>
      </c>
      <c r="I2152" s="101">
        <v>2</v>
      </c>
      <c r="J2152" s="100">
        <v>0</v>
      </c>
      <c r="K2152" s="100">
        <v>5</v>
      </c>
      <c r="L2152" s="100" t="s">
        <v>115</v>
      </c>
      <c r="M2152" s="102"/>
      <c r="N2152" s="100"/>
      <c r="O2152" s="100">
        <v>1</v>
      </c>
      <c r="P2152" s="101"/>
      <c r="Q2152" s="100">
        <v>145</v>
      </c>
      <c r="R2152" s="100" t="s">
        <v>115</v>
      </c>
      <c r="S2152" s="100"/>
      <c r="T2152" s="100"/>
      <c r="U2152" s="100"/>
      <c r="V2152" s="100"/>
      <c r="W2152" s="100"/>
      <c r="X2152" s="100" t="s">
        <v>115</v>
      </c>
      <c r="Y2152" s="100" t="s">
        <v>115</v>
      </c>
      <c r="Z2152" s="100">
        <v>4</v>
      </c>
      <c r="AA2152" s="100" t="s">
        <v>115</v>
      </c>
      <c r="AB2152" s="100" t="s">
        <v>115</v>
      </c>
      <c r="AC2152" s="100" t="s">
        <v>115</v>
      </c>
      <c r="AD2152" s="100"/>
      <c r="AE2152" s="100"/>
      <c r="AF2152" s="100"/>
      <c r="AG2152" s="100"/>
      <c r="AH2152" s="100"/>
      <c r="AI2152" s="100" t="s">
        <v>115</v>
      </c>
      <c r="AJ2152" s="100"/>
      <c r="AK2152" s="100"/>
      <c r="AL2152" s="100"/>
      <c r="AM2152" s="100"/>
      <c r="AN2152" s="100"/>
      <c r="AO2152" s="100"/>
      <c r="AP2152" s="89" t="s">
        <v>115</v>
      </c>
    </row>
    <row r="2153" spans="1:42" s="89" customFormat="1" x14ac:dyDescent="0.15">
      <c r="A2153" s="100" t="s">
        <v>1</v>
      </c>
      <c r="B2153" s="101" t="s">
        <v>3979</v>
      </c>
      <c r="C2153" s="101">
        <v>2001</v>
      </c>
      <c r="D2153" s="101">
        <v>20</v>
      </c>
      <c r="E2153" s="101"/>
      <c r="F2153" s="101" t="s">
        <v>115</v>
      </c>
      <c r="G2153" s="101" t="s">
        <v>115</v>
      </c>
      <c r="H2153" s="101" t="s">
        <v>4505</v>
      </c>
      <c r="I2153" s="101">
        <v>4</v>
      </c>
      <c r="J2153" s="100">
        <v>1</v>
      </c>
      <c r="K2153" s="100">
        <v>1</v>
      </c>
      <c r="L2153" s="100" t="s">
        <v>115</v>
      </c>
      <c r="M2153" s="102"/>
      <c r="N2153" s="100"/>
      <c r="O2153" s="100" t="s">
        <v>115</v>
      </c>
      <c r="P2153" s="101"/>
      <c r="Q2153" s="100">
        <v>163</v>
      </c>
      <c r="R2153" s="100" t="s">
        <v>115</v>
      </c>
      <c r="S2153" s="100"/>
      <c r="T2153" s="100"/>
      <c r="U2153" s="100"/>
      <c r="V2153" s="100"/>
      <c r="W2153" s="100"/>
      <c r="X2153" s="100">
        <v>90200102</v>
      </c>
      <c r="Y2153" s="100" t="s">
        <v>115</v>
      </c>
      <c r="Z2153" s="100" t="s">
        <v>115</v>
      </c>
      <c r="AA2153" s="100" t="s">
        <v>115</v>
      </c>
      <c r="AB2153" s="100" t="s">
        <v>115</v>
      </c>
      <c r="AC2153" s="100" t="s">
        <v>115</v>
      </c>
      <c r="AD2153" s="100"/>
      <c r="AE2153" s="100"/>
      <c r="AF2153" s="100"/>
      <c r="AG2153" s="100"/>
      <c r="AH2153" s="100"/>
      <c r="AI2153" s="100" t="s">
        <v>115</v>
      </c>
      <c r="AJ2153" s="100"/>
      <c r="AK2153" s="100"/>
      <c r="AL2153" s="100"/>
      <c r="AM2153" s="100"/>
      <c r="AN2153" s="100"/>
      <c r="AO2153" s="100"/>
      <c r="AP2153" s="89" t="s">
        <v>115</v>
      </c>
    </row>
    <row r="2154" spans="1:42" s="89" customFormat="1" x14ac:dyDescent="0.15">
      <c r="A2154" s="100" t="s">
        <v>1</v>
      </c>
      <c r="B2154" s="101">
        <v>90200102</v>
      </c>
      <c r="C2154" s="101">
        <v>2001</v>
      </c>
      <c r="D2154" s="101">
        <v>20</v>
      </c>
      <c r="E2154" s="101"/>
      <c r="F2154" s="101" t="s">
        <v>116</v>
      </c>
      <c r="G2154" s="101">
        <v>310</v>
      </c>
      <c r="H2154" s="101" t="s">
        <v>4506</v>
      </c>
      <c r="I2154" s="101">
        <v>2</v>
      </c>
      <c r="J2154" s="100">
        <v>0</v>
      </c>
      <c r="K2154" s="100">
        <v>0</v>
      </c>
      <c r="L2154" s="100" t="s">
        <v>115</v>
      </c>
      <c r="M2154" s="102"/>
      <c r="N2154" s="100"/>
      <c r="O2154" s="100" t="s">
        <v>115</v>
      </c>
      <c r="P2154" s="101"/>
      <c r="Q2154" s="100">
        <v>163</v>
      </c>
      <c r="R2154" s="100" t="s">
        <v>115</v>
      </c>
      <c r="S2154" s="100"/>
      <c r="T2154" s="100"/>
      <c r="U2154" s="100"/>
      <c r="V2154" s="100"/>
      <c r="W2154" s="100"/>
      <c r="X2154" s="100">
        <v>90200103</v>
      </c>
      <c r="Y2154" s="100" t="s">
        <v>115</v>
      </c>
      <c r="Z2154" s="100" t="s">
        <v>115</v>
      </c>
      <c r="AA2154" s="100" t="s">
        <v>115</v>
      </c>
      <c r="AB2154" s="100" t="s">
        <v>115</v>
      </c>
      <c r="AC2154" s="100" t="s">
        <v>115</v>
      </c>
      <c r="AD2154" s="100"/>
      <c r="AE2154" s="100"/>
      <c r="AF2154" s="100"/>
      <c r="AG2154" s="100"/>
      <c r="AH2154" s="100"/>
      <c r="AI2154" s="100" t="s">
        <v>115</v>
      </c>
      <c r="AJ2154" s="100"/>
      <c r="AK2154" s="100"/>
      <c r="AL2154" s="100"/>
      <c r="AM2154" s="100"/>
      <c r="AN2154" s="100"/>
      <c r="AO2154" s="100"/>
      <c r="AP2154" s="89" t="s">
        <v>115</v>
      </c>
    </row>
    <row r="2155" spans="1:42" s="89" customFormat="1" x14ac:dyDescent="0.15">
      <c r="A2155" s="100" t="s">
        <v>1</v>
      </c>
      <c r="B2155" s="101">
        <v>90200103</v>
      </c>
      <c r="C2155" s="101">
        <v>2001</v>
      </c>
      <c r="D2155" s="101">
        <v>20</v>
      </c>
      <c r="E2155" s="101"/>
      <c r="F2155" s="101" t="s">
        <v>115</v>
      </c>
      <c r="G2155" s="101" t="s">
        <v>115</v>
      </c>
      <c r="H2155" s="101" t="s">
        <v>4507</v>
      </c>
      <c r="I2155" s="101">
        <v>4</v>
      </c>
      <c r="J2155" s="100">
        <v>0</v>
      </c>
      <c r="K2155" s="100">
        <v>0</v>
      </c>
      <c r="L2155" s="100" t="s">
        <v>115</v>
      </c>
      <c r="M2155" s="102"/>
      <c r="N2155" s="100"/>
      <c r="O2155" s="100" t="s">
        <v>115</v>
      </c>
      <c r="P2155" s="101"/>
      <c r="Q2155" s="100">
        <v>198</v>
      </c>
      <c r="R2155" s="100" t="s">
        <v>115</v>
      </c>
      <c r="S2155" s="100"/>
      <c r="T2155" s="100"/>
      <c r="U2155" s="100"/>
      <c r="V2155" s="100"/>
      <c r="W2155" s="100"/>
      <c r="X2155" s="100">
        <v>90200104</v>
      </c>
      <c r="Y2155" s="100" t="s">
        <v>115</v>
      </c>
      <c r="Z2155" s="100" t="s">
        <v>115</v>
      </c>
      <c r="AA2155" s="100" t="s">
        <v>115</v>
      </c>
      <c r="AB2155" s="100" t="s">
        <v>115</v>
      </c>
      <c r="AC2155" s="100" t="s">
        <v>115</v>
      </c>
      <c r="AD2155" s="100"/>
      <c r="AE2155" s="100"/>
      <c r="AF2155" s="100"/>
      <c r="AG2155" s="100"/>
      <c r="AH2155" s="100"/>
      <c r="AI2155" s="100" t="s">
        <v>115</v>
      </c>
      <c r="AJ2155" s="100"/>
      <c r="AK2155" s="100"/>
      <c r="AL2155" s="100"/>
      <c r="AM2155" s="100"/>
      <c r="AN2155" s="100"/>
      <c r="AO2155" s="100"/>
      <c r="AP2155" s="89" t="s">
        <v>115</v>
      </c>
    </row>
    <row r="2156" spans="1:42" s="89" customFormat="1" x14ac:dyDescent="0.15">
      <c r="A2156" s="100" t="s">
        <v>1</v>
      </c>
      <c r="B2156" s="101">
        <v>90200104</v>
      </c>
      <c r="C2156" s="101">
        <v>2001</v>
      </c>
      <c r="D2156" s="101">
        <v>20</v>
      </c>
      <c r="E2156" s="101"/>
      <c r="F2156" s="101" t="s">
        <v>115</v>
      </c>
      <c r="G2156" s="101" t="s">
        <v>115</v>
      </c>
      <c r="H2156" s="101" t="s">
        <v>4508</v>
      </c>
      <c r="I2156" s="101">
        <v>4</v>
      </c>
      <c r="J2156" s="100">
        <v>0</v>
      </c>
      <c r="K2156" s="100">
        <v>0</v>
      </c>
      <c r="L2156" s="100" t="s">
        <v>115</v>
      </c>
      <c r="M2156" s="102"/>
      <c r="N2156" s="100"/>
      <c r="O2156" s="100" t="s">
        <v>115</v>
      </c>
      <c r="P2156" s="101"/>
      <c r="Q2156" s="100">
        <v>198</v>
      </c>
      <c r="R2156" s="100" t="s">
        <v>115</v>
      </c>
      <c r="S2156" s="100"/>
      <c r="T2156" s="100"/>
      <c r="U2156" s="100"/>
      <c r="V2156" s="100"/>
      <c r="W2156" s="100"/>
      <c r="X2156" s="100">
        <v>90200105</v>
      </c>
      <c r="Y2156" s="100" t="s">
        <v>115</v>
      </c>
      <c r="Z2156" s="100" t="s">
        <v>115</v>
      </c>
      <c r="AA2156" s="100" t="s">
        <v>115</v>
      </c>
      <c r="AB2156" s="100" t="s">
        <v>115</v>
      </c>
      <c r="AC2156" s="100" t="s">
        <v>115</v>
      </c>
      <c r="AD2156" s="100"/>
      <c r="AE2156" s="100"/>
      <c r="AF2156" s="100"/>
      <c r="AG2156" s="100"/>
      <c r="AH2156" s="100"/>
      <c r="AI2156" s="100" t="s">
        <v>115</v>
      </c>
      <c r="AJ2156" s="100"/>
      <c r="AK2156" s="100"/>
      <c r="AL2156" s="100"/>
      <c r="AM2156" s="100"/>
      <c r="AN2156" s="100"/>
      <c r="AO2156" s="100"/>
      <c r="AP2156" s="89" t="s">
        <v>115</v>
      </c>
    </row>
    <row r="2157" spans="1:42" s="89" customFormat="1" x14ac:dyDescent="0.15">
      <c r="A2157" s="100" t="s">
        <v>1</v>
      </c>
      <c r="B2157" s="101">
        <v>90200105</v>
      </c>
      <c r="C2157" s="101">
        <v>2001</v>
      </c>
      <c r="D2157" s="101">
        <v>20</v>
      </c>
      <c r="E2157" s="101"/>
      <c r="F2157" s="101" t="s">
        <v>4509</v>
      </c>
      <c r="G2157" s="101" t="s">
        <v>115</v>
      </c>
      <c r="H2157" s="101" t="s">
        <v>4510</v>
      </c>
      <c r="I2157" s="101">
        <v>3</v>
      </c>
      <c r="J2157" s="100">
        <v>0</v>
      </c>
      <c r="K2157" s="100">
        <v>0</v>
      </c>
      <c r="L2157" s="100" t="s">
        <v>115</v>
      </c>
      <c r="M2157" s="102"/>
      <c r="N2157" s="100"/>
      <c r="O2157" s="100" t="s">
        <v>115</v>
      </c>
      <c r="P2157" s="101"/>
      <c r="Q2157" s="100">
        <v>198</v>
      </c>
      <c r="R2157" s="100">
        <v>357</v>
      </c>
      <c r="S2157" s="100"/>
      <c r="T2157" s="100"/>
      <c r="U2157" s="100"/>
      <c r="V2157" s="100"/>
      <c r="W2157" s="100"/>
      <c r="X2157" s="100">
        <v>90200106</v>
      </c>
      <c r="Y2157" s="100" t="s">
        <v>115</v>
      </c>
      <c r="Z2157" s="100" t="s">
        <v>115</v>
      </c>
      <c r="AA2157" s="100" t="s">
        <v>115</v>
      </c>
      <c r="AB2157" s="100" t="s">
        <v>115</v>
      </c>
      <c r="AC2157" s="100" t="s">
        <v>115</v>
      </c>
      <c r="AD2157" s="100"/>
      <c r="AE2157" s="100"/>
      <c r="AF2157" s="100"/>
      <c r="AG2157" s="100"/>
      <c r="AH2157" s="100"/>
      <c r="AI2157" s="100" t="s">
        <v>115</v>
      </c>
      <c r="AJ2157" s="100"/>
      <c r="AK2157" s="100"/>
      <c r="AL2157" s="100"/>
      <c r="AM2157" s="100"/>
      <c r="AN2157" s="100"/>
      <c r="AO2157" s="100"/>
      <c r="AP2157" s="89" t="s">
        <v>115</v>
      </c>
    </row>
    <row r="2158" spans="1:42" s="89" customFormat="1" x14ac:dyDescent="0.15">
      <c r="A2158" s="100" t="s">
        <v>1</v>
      </c>
      <c r="B2158" s="101">
        <v>90200106</v>
      </c>
      <c r="C2158" s="101">
        <v>2001</v>
      </c>
      <c r="D2158" s="101">
        <v>20</v>
      </c>
      <c r="E2158" s="101"/>
      <c r="F2158" s="101" t="s">
        <v>115</v>
      </c>
      <c r="G2158" s="101" t="s">
        <v>115</v>
      </c>
      <c r="H2158" s="101" t="s">
        <v>4511</v>
      </c>
      <c r="I2158" s="101">
        <v>4</v>
      </c>
      <c r="J2158" s="100">
        <v>0</v>
      </c>
      <c r="K2158" s="100">
        <v>0</v>
      </c>
      <c r="L2158" s="100" t="s">
        <v>115</v>
      </c>
      <c r="M2158" s="102"/>
      <c r="N2158" s="100"/>
      <c r="O2158" s="100" t="s">
        <v>115</v>
      </c>
      <c r="P2158" s="101"/>
      <c r="Q2158" s="100">
        <v>198</v>
      </c>
      <c r="R2158" s="100">
        <v>357</v>
      </c>
      <c r="S2158" s="100"/>
      <c r="T2158" s="100"/>
      <c r="U2158" s="100"/>
      <c r="V2158" s="100"/>
      <c r="W2158" s="100"/>
      <c r="X2158" s="100">
        <v>90200107</v>
      </c>
      <c r="Y2158" s="100" t="s">
        <v>115</v>
      </c>
      <c r="Z2158" s="100" t="s">
        <v>115</v>
      </c>
      <c r="AA2158" s="100" t="s">
        <v>115</v>
      </c>
      <c r="AB2158" s="100" t="s">
        <v>115</v>
      </c>
      <c r="AC2158" s="100" t="s">
        <v>115</v>
      </c>
      <c r="AD2158" s="100"/>
      <c r="AE2158" s="100"/>
      <c r="AF2158" s="100"/>
      <c r="AG2158" s="100"/>
      <c r="AH2158" s="100"/>
      <c r="AI2158" s="100" t="s">
        <v>115</v>
      </c>
      <c r="AJ2158" s="100"/>
      <c r="AK2158" s="100"/>
      <c r="AL2158" s="100"/>
      <c r="AM2158" s="100"/>
      <c r="AN2158" s="100"/>
      <c r="AO2158" s="100"/>
      <c r="AP2158" s="89" t="s">
        <v>115</v>
      </c>
    </row>
    <row r="2159" spans="1:42" s="89" customFormat="1" x14ac:dyDescent="0.15">
      <c r="A2159" s="100" t="s">
        <v>1</v>
      </c>
      <c r="B2159" s="101">
        <v>90200107</v>
      </c>
      <c r="C2159" s="101">
        <v>2001</v>
      </c>
      <c r="D2159" s="101">
        <v>20</v>
      </c>
      <c r="E2159" s="101"/>
      <c r="F2159" s="101" t="s">
        <v>4509</v>
      </c>
      <c r="G2159" s="101" t="s">
        <v>115</v>
      </c>
      <c r="H2159" s="101" t="s">
        <v>4512</v>
      </c>
      <c r="I2159" s="101">
        <v>3</v>
      </c>
      <c r="J2159" s="100">
        <v>0</v>
      </c>
      <c r="K2159" s="100">
        <v>0</v>
      </c>
      <c r="L2159" s="100" t="s">
        <v>115</v>
      </c>
      <c r="M2159" s="102"/>
      <c r="N2159" s="100"/>
      <c r="O2159" s="100" t="s">
        <v>115</v>
      </c>
      <c r="P2159" s="101"/>
      <c r="Q2159" s="100">
        <v>198</v>
      </c>
      <c r="R2159" s="100">
        <v>357</v>
      </c>
      <c r="S2159" s="100"/>
      <c r="T2159" s="100"/>
      <c r="U2159" s="100"/>
      <c r="V2159" s="100"/>
      <c r="W2159" s="100"/>
      <c r="X2159" s="100">
        <v>90200108</v>
      </c>
      <c r="Y2159" s="100" t="s">
        <v>115</v>
      </c>
      <c r="Z2159" s="100" t="s">
        <v>115</v>
      </c>
      <c r="AA2159" s="100" t="s">
        <v>115</v>
      </c>
      <c r="AB2159" s="100" t="s">
        <v>115</v>
      </c>
      <c r="AC2159" s="100" t="s">
        <v>115</v>
      </c>
      <c r="AD2159" s="100"/>
      <c r="AE2159" s="100"/>
      <c r="AF2159" s="100"/>
      <c r="AG2159" s="100"/>
      <c r="AH2159" s="100"/>
      <c r="AI2159" s="100" t="s">
        <v>115</v>
      </c>
      <c r="AJ2159" s="100"/>
      <c r="AK2159" s="100"/>
      <c r="AL2159" s="100"/>
      <c r="AM2159" s="100"/>
      <c r="AN2159" s="100"/>
      <c r="AO2159" s="100"/>
      <c r="AP2159" s="89" t="s">
        <v>115</v>
      </c>
    </row>
    <row r="2160" spans="1:42" s="89" customFormat="1" x14ac:dyDescent="0.15">
      <c r="A2160" s="100" t="s">
        <v>1</v>
      </c>
      <c r="B2160" s="101">
        <v>90200108</v>
      </c>
      <c r="C2160" s="101">
        <v>2001</v>
      </c>
      <c r="D2160" s="101">
        <v>20</v>
      </c>
      <c r="E2160" s="101"/>
      <c r="F2160" s="101" t="s">
        <v>4509</v>
      </c>
      <c r="G2160" s="101" t="s">
        <v>115</v>
      </c>
      <c r="H2160" s="101" t="s">
        <v>4513</v>
      </c>
      <c r="I2160" s="101">
        <v>3</v>
      </c>
      <c r="J2160" s="100">
        <v>0</v>
      </c>
      <c r="K2160" s="100">
        <v>0</v>
      </c>
      <c r="L2160" s="100" t="s">
        <v>115</v>
      </c>
      <c r="M2160" s="102"/>
      <c r="N2160" s="100"/>
      <c r="O2160" s="100" t="s">
        <v>115</v>
      </c>
      <c r="P2160" s="101"/>
      <c r="Q2160" s="100">
        <v>198</v>
      </c>
      <c r="R2160" s="100">
        <v>357</v>
      </c>
      <c r="S2160" s="100"/>
      <c r="T2160" s="100"/>
      <c r="U2160" s="100"/>
      <c r="V2160" s="100"/>
      <c r="W2160" s="100"/>
      <c r="X2160" s="100">
        <v>90200109</v>
      </c>
      <c r="Y2160" s="100" t="s">
        <v>115</v>
      </c>
      <c r="Z2160" s="100" t="s">
        <v>115</v>
      </c>
      <c r="AA2160" s="100" t="s">
        <v>115</v>
      </c>
      <c r="AB2160" s="100" t="s">
        <v>115</v>
      </c>
      <c r="AC2160" s="100" t="s">
        <v>115</v>
      </c>
      <c r="AD2160" s="100"/>
      <c r="AE2160" s="100"/>
      <c r="AF2160" s="100"/>
      <c r="AG2160" s="100"/>
      <c r="AH2160" s="100"/>
      <c r="AI2160" s="100" t="s">
        <v>115</v>
      </c>
      <c r="AJ2160" s="100"/>
      <c r="AK2160" s="100"/>
      <c r="AL2160" s="100"/>
      <c r="AM2160" s="100"/>
      <c r="AN2160" s="100"/>
      <c r="AO2160" s="100"/>
      <c r="AP2160" s="89" t="s">
        <v>115</v>
      </c>
    </row>
    <row r="2161" spans="1:42" s="89" customFormat="1" x14ac:dyDescent="0.15">
      <c r="A2161" s="100" t="s">
        <v>1</v>
      </c>
      <c r="B2161" s="101">
        <v>90200109</v>
      </c>
      <c r="C2161" s="101">
        <v>2001</v>
      </c>
      <c r="D2161" s="101">
        <v>20</v>
      </c>
      <c r="E2161" s="101"/>
      <c r="F2161" s="101" t="s">
        <v>116</v>
      </c>
      <c r="G2161" s="101">
        <v>312</v>
      </c>
      <c r="H2161" s="101" t="s">
        <v>4514</v>
      </c>
      <c r="I2161" s="101">
        <v>2</v>
      </c>
      <c r="J2161" s="100">
        <v>0</v>
      </c>
      <c r="K2161" s="100">
        <v>0</v>
      </c>
      <c r="L2161" s="100" t="s">
        <v>115</v>
      </c>
      <c r="M2161" s="102"/>
      <c r="N2161" s="100"/>
      <c r="O2161" s="100" t="s">
        <v>115</v>
      </c>
      <c r="P2161" s="101"/>
      <c r="Q2161" s="100">
        <v>198</v>
      </c>
      <c r="R2161" s="100">
        <v>357</v>
      </c>
      <c r="S2161" s="100"/>
      <c r="T2161" s="100"/>
      <c r="U2161" s="100"/>
      <c r="V2161" s="100"/>
      <c r="W2161" s="100"/>
      <c r="X2161" s="100">
        <v>90200110</v>
      </c>
      <c r="Y2161" s="100" t="s">
        <v>115</v>
      </c>
      <c r="Z2161" s="100" t="s">
        <v>115</v>
      </c>
      <c r="AA2161" s="100" t="s">
        <v>115</v>
      </c>
      <c r="AB2161" s="100" t="s">
        <v>115</v>
      </c>
      <c r="AC2161" s="100" t="s">
        <v>115</v>
      </c>
      <c r="AD2161" s="100"/>
      <c r="AE2161" s="100"/>
      <c r="AF2161" s="100"/>
      <c r="AG2161" s="100"/>
      <c r="AH2161" s="100"/>
      <c r="AI2161" s="100" t="s">
        <v>115</v>
      </c>
      <c r="AJ2161" s="100"/>
      <c r="AK2161" s="100"/>
      <c r="AL2161" s="100"/>
      <c r="AM2161" s="100"/>
      <c r="AN2161" s="100"/>
      <c r="AO2161" s="100"/>
      <c r="AP2161" s="89" t="s">
        <v>115</v>
      </c>
    </row>
    <row r="2162" spans="1:42" s="89" customFormat="1" x14ac:dyDescent="0.15">
      <c r="A2162" s="100" t="s">
        <v>1</v>
      </c>
      <c r="B2162" s="101">
        <v>90200110</v>
      </c>
      <c r="C2162" s="101">
        <v>2001</v>
      </c>
      <c r="D2162" s="101">
        <v>20</v>
      </c>
      <c r="E2162" s="101"/>
      <c r="F2162" s="101" t="s">
        <v>115</v>
      </c>
      <c r="G2162" s="101" t="s">
        <v>115</v>
      </c>
      <c r="H2162" s="101" t="s">
        <v>4515</v>
      </c>
      <c r="I2162" s="101">
        <v>4</v>
      </c>
      <c r="J2162" s="100">
        <v>0</v>
      </c>
      <c r="K2162" s="100">
        <v>2</v>
      </c>
      <c r="L2162" s="100" t="s">
        <v>115</v>
      </c>
      <c r="M2162" s="102"/>
      <c r="N2162" s="100"/>
      <c r="O2162" s="100" t="s">
        <v>115</v>
      </c>
      <c r="P2162" s="101"/>
      <c r="Q2162" s="100">
        <v>198</v>
      </c>
      <c r="R2162" s="100">
        <v>357</v>
      </c>
      <c r="S2162" s="100"/>
      <c r="T2162" s="100"/>
      <c r="U2162" s="100"/>
      <c r="V2162" s="100"/>
      <c r="W2162" s="100"/>
      <c r="X2162" s="100" t="s">
        <v>4516</v>
      </c>
      <c r="Y2162" s="100">
        <v>1</v>
      </c>
      <c r="Z2162" s="100">
        <v>1</v>
      </c>
      <c r="AA2162" s="100" t="s">
        <v>115</v>
      </c>
      <c r="AB2162" s="100" t="s">
        <v>115</v>
      </c>
      <c r="AC2162" s="100" t="s">
        <v>115</v>
      </c>
      <c r="AD2162" s="100"/>
      <c r="AE2162" s="100"/>
      <c r="AF2162" s="100"/>
      <c r="AG2162" s="100"/>
      <c r="AH2162" s="100"/>
      <c r="AI2162" s="100" t="s">
        <v>115</v>
      </c>
      <c r="AJ2162" s="100"/>
      <c r="AK2162" s="100"/>
      <c r="AL2162" s="100"/>
      <c r="AM2162" s="100"/>
      <c r="AN2162" s="100"/>
      <c r="AO2162" s="100"/>
      <c r="AP2162" s="89" t="s">
        <v>115</v>
      </c>
    </row>
    <row r="2163" spans="1:42" s="89" customFormat="1" x14ac:dyDescent="0.15">
      <c r="A2163" s="100" t="s">
        <v>1</v>
      </c>
      <c r="B2163" s="101">
        <v>90200111</v>
      </c>
      <c r="C2163" s="101">
        <v>2001</v>
      </c>
      <c r="D2163" s="101">
        <v>20</v>
      </c>
      <c r="E2163" s="101"/>
      <c r="F2163" s="101" t="s">
        <v>115</v>
      </c>
      <c r="G2163" s="101" t="s">
        <v>115</v>
      </c>
      <c r="H2163" s="101" t="s">
        <v>4517</v>
      </c>
      <c r="I2163" s="101">
        <v>4</v>
      </c>
      <c r="J2163" s="100">
        <v>0</v>
      </c>
      <c r="K2163" s="100">
        <v>3</v>
      </c>
      <c r="L2163" s="100" t="s">
        <v>115</v>
      </c>
      <c r="M2163" s="102"/>
      <c r="N2163" s="100"/>
      <c r="O2163" s="100" t="s">
        <v>115</v>
      </c>
      <c r="P2163" s="101"/>
      <c r="Q2163" s="100">
        <v>198</v>
      </c>
      <c r="R2163" s="100">
        <v>357</v>
      </c>
      <c r="S2163" s="100"/>
      <c r="T2163" s="100"/>
      <c r="U2163" s="100"/>
      <c r="V2163" s="100"/>
      <c r="W2163" s="100"/>
      <c r="X2163" s="100">
        <v>90200114</v>
      </c>
      <c r="Y2163" s="100">
        <v>-1</v>
      </c>
      <c r="Z2163" s="100">
        <v>2</v>
      </c>
      <c r="AA2163" s="100" t="s">
        <v>115</v>
      </c>
      <c r="AB2163" s="100" t="s">
        <v>115</v>
      </c>
      <c r="AC2163" s="100" t="s">
        <v>115</v>
      </c>
      <c r="AD2163" s="100"/>
      <c r="AE2163" s="100"/>
      <c r="AF2163" s="100"/>
      <c r="AG2163" s="100"/>
      <c r="AH2163" s="100"/>
      <c r="AI2163" s="100" t="s">
        <v>115</v>
      </c>
      <c r="AJ2163" s="100"/>
      <c r="AK2163" s="100"/>
      <c r="AL2163" s="100"/>
      <c r="AM2163" s="100"/>
      <c r="AN2163" s="100"/>
      <c r="AO2163" s="100"/>
      <c r="AP2163" s="89" t="s">
        <v>115</v>
      </c>
    </row>
    <row r="2164" spans="1:42" s="89" customFormat="1" x14ac:dyDescent="0.15">
      <c r="A2164" s="100" t="s">
        <v>1</v>
      </c>
      <c r="B2164" s="101">
        <v>90200112</v>
      </c>
      <c r="C2164" s="101">
        <v>2001</v>
      </c>
      <c r="D2164" s="101">
        <v>20</v>
      </c>
      <c r="E2164" s="101"/>
      <c r="F2164" s="101" t="s">
        <v>115</v>
      </c>
      <c r="G2164" s="101" t="s">
        <v>115</v>
      </c>
      <c r="H2164" s="101" t="s">
        <v>4518</v>
      </c>
      <c r="I2164" s="101">
        <v>4</v>
      </c>
      <c r="J2164" s="100">
        <v>0</v>
      </c>
      <c r="K2164" s="100">
        <v>4</v>
      </c>
      <c r="L2164" s="100" t="s">
        <v>115</v>
      </c>
      <c r="M2164" s="102"/>
      <c r="N2164" s="100"/>
      <c r="O2164" s="100" t="s">
        <v>115</v>
      </c>
      <c r="P2164" s="101"/>
      <c r="Q2164" s="100">
        <v>198</v>
      </c>
      <c r="R2164" s="100">
        <v>357</v>
      </c>
      <c r="S2164" s="100"/>
      <c r="T2164" s="100"/>
      <c r="U2164" s="100"/>
      <c r="V2164" s="100"/>
      <c r="W2164" s="100"/>
      <c r="X2164" s="100">
        <v>90200117</v>
      </c>
      <c r="Y2164" s="100">
        <v>-1</v>
      </c>
      <c r="Z2164" s="100">
        <v>2</v>
      </c>
      <c r="AA2164" s="100" t="s">
        <v>115</v>
      </c>
      <c r="AB2164" s="100" t="s">
        <v>115</v>
      </c>
      <c r="AC2164" s="100" t="s">
        <v>115</v>
      </c>
      <c r="AD2164" s="100"/>
      <c r="AE2164" s="100"/>
      <c r="AF2164" s="100"/>
      <c r="AG2164" s="100"/>
      <c r="AH2164" s="100"/>
      <c r="AI2164" s="100" t="s">
        <v>115</v>
      </c>
      <c r="AJ2164" s="100"/>
      <c r="AK2164" s="100"/>
      <c r="AL2164" s="100"/>
      <c r="AM2164" s="100"/>
      <c r="AN2164" s="100"/>
      <c r="AO2164" s="100"/>
      <c r="AP2164" s="89" t="s">
        <v>115</v>
      </c>
    </row>
    <row r="2165" spans="1:42" s="89" customFormat="1" x14ac:dyDescent="0.15">
      <c r="A2165" s="100" t="s">
        <v>1</v>
      </c>
      <c r="B2165" s="101">
        <v>90200113</v>
      </c>
      <c r="C2165" s="101">
        <v>2001</v>
      </c>
      <c r="D2165" s="101">
        <v>20</v>
      </c>
      <c r="E2165" s="101"/>
      <c r="F2165" s="101" t="s">
        <v>115</v>
      </c>
      <c r="G2165" s="101" t="s">
        <v>115</v>
      </c>
      <c r="H2165" s="101" t="s">
        <v>4519</v>
      </c>
      <c r="I2165" s="101">
        <v>4</v>
      </c>
      <c r="J2165" s="100">
        <v>0</v>
      </c>
      <c r="K2165" s="100">
        <v>5</v>
      </c>
      <c r="L2165" s="100" t="s">
        <v>115</v>
      </c>
      <c r="M2165" s="102"/>
      <c r="N2165" s="100"/>
      <c r="O2165" s="100" t="s">
        <v>115</v>
      </c>
      <c r="P2165" s="101"/>
      <c r="Q2165" s="100">
        <v>198</v>
      </c>
      <c r="R2165" s="100">
        <v>357</v>
      </c>
      <c r="S2165" s="100"/>
      <c r="T2165" s="100"/>
      <c r="U2165" s="100"/>
      <c r="V2165" s="100"/>
      <c r="W2165" s="100"/>
      <c r="X2165" s="100">
        <v>90200127</v>
      </c>
      <c r="Y2165" s="100">
        <v>-1</v>
      </c>
      <c r="Z2165" s="100">
        <v>2</v>
      </c>
      <c r="AA2165" s="100" t="s">
        <v>115</v>
      </c>
      <c r="AB2165" s="100" t="s">
        <v>115</v>
      </c>
      <c r="AC2165" s="100" t="s">
        <v>115</v>
      </c>
      <c r="AD2165" s="100"/>
      <c r="AE2165" s="100"/>
      <c r="AF2165" s="100"/>
      <c r="AG2165" s="100"/>
      <c r="AH2165" s="100"/>
      <c r="AI2165" s="100" t="s">
        <v>115</v>
      </c>
      <c r="AJ2165" s="100"/>
      <c r="AK2165" s="100"/>
      <c r="AL2165" s="100"/>
      <c r="AM2165" s="100"/>
      <c r="AN2165" s="100"/>
      <c r="AO2165" s="100"/>
      <c r="AP2165" s="89" t="s">
        <v>115</v>
      </c>
    </row>
    <row r="2166" spans="1:42" s="89" customFormat="1" x14ac:dyDescent="0.15">
      <c r="A2166" s="100" t="s">
        <v>1</v>
      </c>
      <c r="B2166" s="101">
        <v>90200114</v>
      </c>
      <c r="C2166" s="101">
        <v>2001</v>
      </c>
      <c r="D2166" s="101">
        <v>20</v>
      </c>
      <c r="E2166" s="101"/>
      <c r="F2166" s="101" t="s">
        <v>4509</v>
      </c>
      <c r="G2166" s="101" t="s">
        <v>115</v>
      </c>
      <c r="H2166" s="101" t="s">
        <v>4520</v>
      </c>
      <c r="I2166" s="101">
        <v>3</v>
      </c>
      <c r="J2166" s="100">
        <v>0</v>
      </c>
      <c r="K2166" s="100">
        <v>0</v>
      </c>
      <c r="L2166" s="100" t="s">
        <v>115</v>
      </c>
      <c r="M2166" s="102"/>
      <c r="N2166" s="100"/>
      <c r="O2166" s="100" t="s">
        <v>115</v>
      </c>
      <c r="P2166" s="101"/>
      <c r="Q2166" s="100">
        <v>198</v>
      </c>
      <c r="R2166" s="100">
        <v>357</v>
      </c>
      <c r="S2166" s="100"/>
      <c r="T2166" s="100"/>
      <c r="U2166" s="100"/>
      <c r="V2166" s="100"/>
      <c r="W2166" s="100"/>
      <c r="X2166" s="100">
        <v>90200115</v>
      </c>
      <c r="Y2166" s="100" t="s">
        <v>115</v>
      </c>
      <c r="Z2166" s="100" t="s">
        <v>115</v>
      </c>
      <c r="AA2166" s="100" t="s">
        <v>115</v>
      </c>
      <c r="AB2166" s="100" t="s">
        <v>115</v>
      </c>
      <c r="AC2166" s="100" t="s">
        <v>115</v>
      </c>
      <c r="AD2166" s="100"/>
      <c r="AE2166" s="100"/>
      <c r="AF2166" s="100"/>
      <c r="AG2166" s="100"/>
      <c r="AH2166" s="100"/>
      <c r="AI2166" s="100" t="s">
        <v>115</v>
      </c>
      <c r="AJ2166" s="100"/>
      <c r="AK2166" s="100"/>
      <c r="AL2166" s="100"/>
      <c r="AM2166" s="100"/>
      <c r="AN2166" s="100"/>
      <c r="AO2166" s="100"/>
      <c r="AP2166" s="89" t="s">
        <v>115</v>
      </c>
    </row>
    <row r="2167" spans="1:42" s="89" customFormat="1" x14ac:dyDescent="0.15">
      <c r="A2167" s="100" t="s">
        <v>1</v>
      </c>
      <c r="B2167" s="101">
        <v>90200115</v>
      </c>
      <c r="C2167" s="101">
        <v>2001</v>
      </c>
      <c r="D2167" s="101">
        <v>20</v>
      </c>
      <c r="E2167" s="101"/>
      <c r="F2167" s="101" t="s">
        <v>4509</v>
      </c>
      <c r="G2167" s="101" t="s">
        <v>115</v>
      </c>
      <c r="H2167" s="101" t="s">
        <v>4521</v>
      </c>
      <c r="I2167" s="101">
        <v>3</v>
      </c>
      <c r="J2167" s="100">
        <v>0</v>
      </c>
      <c r="K2167" s="100">
        <v>0</v>
      </c>
      <c r="L2167" s="100" t="s">
        <v>115</v>
      </c>
      <c r="M2167" s="102"/>
      <c r="N2167" s="100"/>
      <c r="O2167" s="100" t="s">
        <v>115</v>
      </c>
      <c r="P2167" s="101"/>
      <c r="Q2167" s="100">
        <v>198</v>
      </c>
      <c r="R2167" s="100">
        <v>357</v>
      </c>
      <c r="S2167" s="100"/>
      <c r="T2167" s="100"/>
      <c r="U2167" s="100"/>
      <c r="V2167" s="100"/>
      <c r="W2167" s="100"/>
      <c r="X2167" s="100">
        <v>90200116</v>
      </c>
      <c r="Y2167" s="100" t="s">
        <v>115</v>
      </c>
      <c r="Z2167" s="100" t="s">
        <v>115</v>
      </c>
      <c r="AA2167" s="100" t="s">
        <v>115</v>
      </c>
      <c r="AB2167" s="100" t="s">
        <v>115</v>
      </c>
      <c r="AC2167" s="100" t="s">
        <v>115</v>
      </c>
      <c r="AD2167" s="100"/>
      <c r="AE2167" s="100"/>
      <c r="AF2167" s="100"/>
      <c r="AG2167" s="100"/>
      <c r="AH2167" s="100"/>
      <c r="AI2167" s="100" t="s">
        <v>115</v>
      </c>
      <c r="AJ2167" s="100"/>
      <c r="AK2167" s="100"/>
      <c r="AL2167" s="100"/>
      <c r="AM2167" s="100"/>
      <c r="AN2167" s="100"/>
      <c r="AO2167" s="100"/>
      <c r="AP2167" s="89" t="s">
        <v>115</v>
      </c>
    </row>
    <row r="2168" spans="1:42" s="89" customFormat="1" x14ac:dyDescent="0.15">
      <c r="A2168" s="100" t="s">
        <v>1</v>
      </c>
      <c r="B2168" s="101">
        <v>90200116</v>
      </c>
      <c r="C2168" s="101">
        <v>2001</v>
      </c>
      <c r="D2168" s="101">
        <v>20</v>
      </c>
      <c r="E2168" s="101"/>
      <c r="F2168" s="101" t="s">
        <v>4509</v>
      </c>
      <c r="G2168" s="101" t="s">
        <v>115</v>
      </c>
      <c r="H2168" s="101" t="s">
        <v>4522</v>
      </c>
      <c r="I2168" s="101">
        <v>3</v>
      </c>
      <c r="J2168" s="100">
        <v>0</v>
      </c>
      <c r="K2168" s="100">
        <v>0</v>
      </c>
      <c r="L2168" s="100" t="s">
        <v>115</v>
      </c>
      <c r="M2168" s="102"/>
      <c r="N2168" s="100"/>
      <c r="O2168" s="100" t="s">
        <v>115</v>
      </c>
      <c r="P2168" s="101"/>
      <c r="Q2168" s="100">
        <v>198</v>
      </c>
      <c r="R2168" s="100">
        <v>357</v>
      </c>
      <c r="S2168" s="100"/>
      <c r="T2168" s="100"/>
      <c r="U2168" s="100"/>
      <c r="V2168" s="100"/>
      <c r="W2168" s="100"/>
      <c r="X2168" s="100">
        <v>90200110</v>
      </c>
      <c r="Y2168" s="100" t="s">
        <v>115</v>
      </c>
      <c r="Z2168" s="100" t="s">
        <v>115</v>
      </c>
      <c r="AA2168" s="100" t="s">
        <v>115</v>
      </c>
      <c r="AB2168" s="100" t="s">
        <v>115</v>
      </c>
      <c r="AC2168" s="100" t="s">
        <v>115</v>
      </c>
      <c r="AD2168" s="100"/>
      <c r="AE2168" s="100"/>
      <c r="AF2168" s="100"/>
      <c r="AG2168" s="100"/>
      <c r="AH2168" s="100"/>
      <c r="AI2168" s="100" t="s">
        <v>115</v>
      </c>
      <c r="AJ2168" s="100"/>
      <c r="AK2168" s="100"/>
      <c r="AL2168" s="100"/>
      <c r="AM2168" s="100"/>
      <c r="AN2168" s="100"/>
      <c r="AO2168" s="100"/>
      <c r="AP2168" s="89" t="s">
        <v>115</v>
      </c>
    </row>
    <row r="2169" spans="1:42" s="89" customFormat="1" x14ac:dyDescent="0.15">
      <c r="A2169" s="100" t="s">
        <v>1</v>
      </c>
      <c r="B2169" s="101">
        <v>90200117</v>
      </c>
      <c r="C2169" s="101">
        <v>2001</v>
      </c>
      <c r="D2169" s="101">
        <v>20</v>
      </c>
      <c r="E2169" s="101"/>
      <c r="F2169" s="101" t="s">
        <v>116</v>
      </c>
      <c r="G2169" s="101">
        <v>312</v>
      </c>
      <c r="H2169" s="101" t="s">
        <v>4523</v>
      </c>
      <c r="I2169" s="101">
        <v>0</v>
      </c>
      <c r="J2169" s="100">
        <v>0</v>
      </c>
      <c r="K2169" s="100">
        <v>0</v>
      </c>
      <c r="L2169" s="100" t="s">
        <v>115</v>
      </c>
      <c r="M2169" s="102"/>
      <c r="N2169" s="100"/>
      <c r="O2169" s="100" t="s">
        <v>115</v>
      </c>
      <c r="P2169" s="101"/>
      <c r="Q2169" s="100">
        <v>198</v>
      </c>
      <c r="R2169" s="100">
        <v>357</v>
      </c>
      <c r="S2169" s="100"/>
      <c r="T2169" s="100"/>
      <c r="U2169" s="100"/>
      <c r="V2169" s="100"/>
      <c r="W2169" s="100"/>
      <c r="X2169" s="100">
        <v>90200118</v>
      </c>
      <c r="Y2169" s="100" t="s">
        <v>115</v>
      </c>
      <c r="Z2169" s="100" t="s">
        <v>115</v>
      </c>
      <c r="AA2169" s="100" t="s">
        <v>115</v>
      </c>
      <c r="AB2169" s="100" t="s">
        <v>115</v>
      </c>
      <c r="AC2169" s="100" t="s">
        <v>115</v>
      </c>
      <c r="AD2169" s="100"/>
      <c r="AE2169" s="100"/>
      <c r="AF2169" s="100"/>
      <c r="AG2169" s="100"/>
      <c r="AH2169" s="100"/>
      <c r="AI2169" s="100" t="s">
        <v>115</v>
      </c>
      <c r="AJ2169" s="100"/>
      <c r="AK2169" s="100"/>
      <c r="AL2169" s="100"/>
      <c r="AM2169" s="100"/>
      <c r="AN2169" s="100"/>
      <c r="AO2169" s="100"/>
      <c r="AP2169" s="89" t="s">
        <v>115</v>
      </c>
    </row>
    <row r="2170" spans="1:42" s="89" customFormat="1" x14ac:dyDescent="0.15">
      <c r="A2170" s="100" t="s">
        <v>1</v>
      </c>
      <c r="B2170" s="101">
        <v>90200118</v>
      </c>
      <c r="C2170" s="101">
        <v>2001</v>
      </c>
      <c r="D2170" s="101">
        <v>20</v>
      </c>
      <c r="E2170" s="101"/>
      <c r="F2170" s="101" t="s">
        <v>115</v>
      </c>
      <c r="G2170" s="101" t="s">
        <v>115</v>
      </c>
      <c r="H2170" s="101" t="s">
        <v>4524</v>
      </c>
      <c r="I2170" s="101">
        <v>4</v>
      </c>
      <c r="J2170" s="100">
        <v>0</v>
      </c>
      <c r="K2170" s="100">
        <v>0</v>
      </c>
      <c r="L2170" s="100" t="s">
        <v>115</v>
      </c>
      <c r="M2170" s="102"/>
      <c r="N2170" s="100"/>
      <c r="O2170" s="100" t="s">
        <v>115</v>
      </c>
      <c r="P2170" s="101"/>
      <c r="Q2170" s="100">
        <v>198</v>
      </c>
      <c r="R2170" s="100">
        <v>357</v>
      </c>
      <c r="S2170" s="100"/>
      <c r="T2170" s="100"/>
      <c r="U2170" s="100"/>
      <c r="V2170" s="100"/>
      <c r="W2170" s="100"/>
      <c r="X2170" s="100">
        <v>90200119</v>
      </c>
      <c r="Y2170" s="100" t="s">
        <v>115</v>
      </c>
      <c r="Z2170" s="100" t="s">
        <v>115</v>
      </c>
      <c r="AA2170" s="100" t="s">
        <v>115</v>
      </c>
      <c r="AB2170" s="100" t="s">
        <v>115</v>
      </c>
      <c r="AC2170" s="100" t="s">
        <v>115</v>
      </c>
      <c r="AD2170" s="100"/>
      <c r="AE2170" s="100"/>
      <c r="AF2170" s="100"/>
      <c r="AG2170" s="100"/>
      <c r="AH2170" s="100"/>
      <c r="AI2170" s="100" t="s">
        <v>115</v>
      </c>
      <c r="AJ2170" s="100"/>
      <c r="AK2170" s="100"/>
      <c r="AL2170" s="100"/>
      <c r="AM2170" s="100"/>
      <c r="AN2170" s="100"/>
      <c r="AO2170" s="100"/>
      <c r="AP2170" s="89" t="s">
        <v>115</v>
      </c>
    </row>
    <row r="2171" spans="1:42" s="89" customFormat="1" x14ac:dyDescent="0.15">
      <c r="A2171" s="100" t="s">
        <v>1</v>
      </c>
      <c r="B2171" s="101">
        <v>90200119</v>
      </c>
      <c r="C2171" s="101">
        <v>2001</v>
      </c>
      <c r="D2171" s="101">
        <v>20</v>
      </c>
      <c r="E2171" s="101"/>
      <c r="F2171" s="101" t="s">
        <v>116</v>
      </c>
      <c r="G2171" s="101">
        <v>313</v>
      </c>
      <c r="H2171" s="101" t="s">
        <v>4525</v>
      </c>
      <c r="I2171" s="101">
        <v>0</v>
      </c>
      <c r="J2171" s="100">
        <v>0</v>
      </c>
      <c r="K2171" s="100">
        <v>0</v>
      </c>
      <c r="L2171" s="100" t="s">
        <v>115</v>
      </c>
      <c r="M2171" s="102"/>
      <c r="N2171" s="100"/>
      <c r="O2171" s="100" t="s">
        <v>115</v>
      </c>
      <c r="P2171" s="101"/>
      <c r="Q2171" s="100">
        <v>198</v>
      </c>
      <c r="R2171" s="100">
        <v>357</v>
      </c>
      <c r="S2171" s="100"/>
      <c r="T2171" s="100"/>
      <c r="U2171" s="100"/>
      <c r="V2171" s="100"/>
      <c r="W2171" s="100"/>
      <c r="X2171" s="100">
        <v>90200120</v>
      </c>
      <c r="Y2171" s="100" t="s">
        <v>115</v>
      </c>
      <c r="Z2171" s="100" t="s">
        <v>115</v>
      </c>
      <c r="AA2171" s="100" t="s">
        <v>115</v>
      </c>
      <c r="AB2171" s="100" t="s">
        <v>115</v>
      </c>
      <c r="AC2171" s="100" t="s">
        <v>115</v>
      </c>
      <c r="AD2171" s="100"/>
      <c r="AE2171" s="100"/>
      <c r="AF2171" s="100"/>
      <c r="AG2171" s="100"/>
      <c r="AH2171" s="100"/>
      <c r="AI2171" s="100" t="s">
        <v>115</v>
      </c>
      <c r="AJ2171" s="100"/>
      <c r="AK2171" s="100"/>
      <c r="AL2171" s="100"/>
      <c r="AM2171" s="100"/>
      <c r="AN2171" s="100"/>
      <c r="AO2171" s="100"/>
      <c r="AP2171" s="89" t="s">
        <v>115</v>
      </c>
    </row>
    <row r="2172" spans="1:42" s="89" customFormat="1" x14ac:dyDescent="0.15">
      <c r="A2172" s="100" t="s">
        <v>1</v>
      </c>
      <c r="B2172" s="101">
        <v>90200120</v>
      </c>
      <c r="C2172" s="101">
        <v>2001</v>
      </c>
      <c r="D2172" s="101">
        <v>20</v>
      </c>
      <c r="E2172" s="101"/>
      <c r="F2172" s="101" t="s">
        <v>4509</v>
      </c>
      <c r="G2172" s="101" t="s">
        <v>115</v>
      </c>
      <c r="H2172" s="101" t="s">
        <v>4526</v>
      </c>
      <c r="I2172" s="101">
        <v>3</v>
      </c>
      <c r="J2172" s="100">
        <v>0</v>
      </c>
      <c r="K2172" s="100">
        <v>0</v>
      </c>
      <c r="L2172" s="100" t="s">
        <v>115</v>
      </c>
      <c r="M2172" s="102"/>
      <c r="N2172" s="100"/>
      <c r="O2172" s="100" t="s">
        <v>115</v>
      </c>
      <c r="P2172" s="101"/>
      <c r="Q2172" s="100">
        <v>198</v>
      </c>
      <c r="R2172" s="100">
        <v>357</v>
      </c>
      <c r="S2172" s="100"/>
      <c r="T2172" s="100"/>
      <c r="U2172" s="100"/>
      <c r="V2172" s="100"/>
      <c r="W2172" s="100"/>
      <c r="X2172" s="100">
        <v>90200121</v>
      </c>
      <c r="Y2172" s="100" t="s">
        <v>115</v>
      </c>
      <c r="Z2172" s="100" t="s">
        <v>115</v>
      </c>
      <c r="AA2172" s="100" t="s">
        <v>115</v>
      </c>
      <c r="AB2172" s="100" t="s">
        <v>115</v>
      </c>
      <c r="AC2172" s="100" t="s">
        <v>115</v>
      </c>
      <c r="AD2172" s="100"/>
      <c r="AE2172" s="100"/>
      <c r="AF2172" s="100"/>
      <c r="AG2172" s="100"/>
      <c r="AH2172" s="100"/>
      <c r="AI2172" s="100" t="s">
        <v>115</v>
      </c>
      <c r="AJ2172" s="100"/>
      <c r="AK2172" s="100"/>
      <c r="AL2172" s="100"/>
      <c r="AM2172" s="100"/>
      <c r="AN2172" s="100"/>
      <c r="AO2172" s="100"/>
      <c r="AP2172" s="89" t="s">
        <v>115</v>
      </c>
    </row>
    <row r="2173" spans="1:42" s="89" customFormat="1" x14ac:dyDescent="0.15">
      <c r="A2173" s="100" t="s">
        <v>1</v>
      </c>
      <c r="B2173" s="101">
        <v>90200121</v>
      </c>
      <c r="C2173" s="101">
        <v>2001</v>
      </c>
      <c r="D2173" s="101">
        <v>20</v>
      </c>
      <c r="E2173" s="101"/>
      <c r="F2173" s="101" t="s">
        <v>115</v>
      </c>
      <c r="G2173" s="101" t="s">
        <v>115</v>
      </c>
      <c r="H2173" s="101" t="s">
        <v>4527</v>
      </c>
      <c r="I2173" s="101">
        <v>4</v>
      </c>
      <c r="J2173" s="100">
        <v>0</v>
      </c>
      <c r="K2173" s="100">
        <v>0</v>
      </c>
      <c r="L2173" s="100" t="s">
        <v>115</v>
      </c>
      <c r="M2173" s="102"/>
      <c r="N2173" s="100"/>
      <c r="O2173" s="100" t="s">
        <v>115</v>
      </c>
      <c r="P2173" s="101"/>
      <c r="Q2173" s="100">
        <v>198</v>
      </c>
      <c r="R2173" s="100">
        <v>357</v>
      </c>
      <c r="S2173" s="100"/>
      <c r="T2173" s="100"/>
      <c r="U2173" s="100"/>
      <c r="V2173" s="100"/>
      <c r="W2173" s="100"/>
      <c r="X2173" s="100">
        <v>90200122</v>
      </c>
      <c r="Y2173" s="100" t="s">
        <v>115</v>
      </c>
      <c r="Z2173" s="100" t="s">
        <v>115</v>
      </c>
      <c r="AA2173" s="100" t="s">
        <v>115</v>
      </c>
      <c r="AB2173" s="100" t="s">
        <v>115</v>
      </c>
      <c r="AC2173" s="100" t="s">
        <v>115</v>
      </c>
      <c r="AD2173" s="100"/>
      <c r="AE2173" s="100"/>
      <c r="AF2173" s="100"/>
      <c r="AG2173" s="100"/>
      <c r="AH2173" s="100"/>
      <c r="AI2173" s="100" t="s">
        <v>115</v>
      </c>
      <c r="AJ2173" s="100"/>
      <c r="AK2173" s="100"/>
      <c r="AL2173" s="100"/>
      <c r="AM2173" s="100"/>
      <c r="AN2173" s="100"/>
      <c r="AO2173" s="100"/>
      <c r="AP2173" s="89" t="s">
        <v>115</v>
      </c>
    </row>
    <row r="2174" spans="1:42" s="89" customFormat="1" x14ac:dyDescent="0.15">
      <c r="A2174" s="100" t="s">
        <v>1</v>
      </c>
      <c r="B2174" s="101">
        <v>90200122</v>
      </c>
      <c r="C2174" s="101">
        <v>2001</v>
      </c>
      <c r="D2174" s="101">
        <v>20</v>
      </c>
      <c r="E2174" s="101"/>
      <c r="F2174" s="101" t="s">
        <v>115</v>
      </c>
      <c r="G2174" s="101" t="s">
        <v>115</v>
      </c>
      <c r="H2174" s="101" t="s">
        <v>4528</v>
      </c>
      <c r="I2174" s="101">
        <v>4</v>
      </c>
      <c r="J2174" s="100">
        <v>0</v>
      </c>
      <c r="K2174" s="100">
        <v>0</v>
      </c>
      <c r="L2174" s="100" t="s">
        <v>115</v>
      </c>
      <c r="M2174" s="102"/>
      <c r="N2174" s="100"/>
      <c r="O2174" s="100" t="s">
        <v>115</v>
      </c>
      <c r="P2174" s="101"/>
      <c r="Q2174" s="100">
        <v>198</v>
      </c>
      <c r="R2174" s="100">
        <v>357</v>
      </c>
      <c r="S2174" s="100"/>
      <c r="T2174" s="100"/>
      <c r="U2174" s="100"/>
      <c r="V2174" s="100"/>
      <c r="W2174" s="100"/>
      <c r="X2174" s="100">
        <v>90200123</v>
      </c>
      <c r="Y2174" s="100" t="s">
        <v>115</v>
      </c>
      <c r="Z2174" s="100" t="s">
        <v>115</v>
      </c>
      <c r="AA2174" s="100" t="s">
        <v>115</v>
      </c>
      <c r="AB2174" s="100" t="s">
        <v>115</v>
      </c>
      <c r="AC2174" s="100" t="s">
        <v>115</v>
      </c>
      <c r="AD2174" s="100"/>
      <c r="AE2174" s="100"/>
      <c r="AF2174" s="100"/>
      <c r="AG2174" s="100"/>
      <c r="AH2174" s="100"/>
      <c r="AI2174" s="100" t="s">
        <v>115</v>
      </c>
      <c r="AJ2174" s="100"/>
      <c r="AK2174" s="100"/>
      <c r="AL2174" s="100"/>
      <c r="AM2174" s="100"/>
      <c r="AN2174" s="100"/>
      <c r="AO2174" s="100"/>
      <c r="AP2174" s="89" t="s">
        <v>115</v>
      </c>
    </row>
    <row r="2175" spans="1:42" s="89" customFormat="1" x14ac:dyDescent="0.15">
      <c r="A2175" s="100" t="s">
        <v>1</v>
      </c>
      <c r="B2175" s="101">
        <v>90200123</v>
      </c>
      <c r="C2175" s="101">
        <v>2001</v>
      </c>
      <c r="D2175" s="101">
        <v>20</v>
      </c>
      <c r="E2175" s="101"/>
      <c r="F2175" s="101" t="s">
        <v>116</v>
      </c>
      <c r="G2175" s="101">
        <v>313</v>
      </c>
      <c r="H2175" s="101" t="s">
        <v>4529</v>
      </c>
      <c r="I2175" s="101">
        <v>2</v>
      </c>
      <c r="J2175" s="100">
        <v>0</v>
      </c>
      <c r="K2175" s="100">
        <v>0</v>
      </c>
      <c r="L2175" s="100" t="s">
        <v>115</v>
      </c>
      <c r="M2175" s="102"/>
      <c r="N2175" s="100"/>
      <c r="O2175" s="100" t="s">
        <v>115</v>
      </c>
      <c r="P2175" s="101"/>
      <c r="Q2175" s="100">
        <v>198</v>
      </c>
      <c r="R2175" s="100">
        <v>357</v>
      </c>
      <c r="S2175" s="100"/>
      <c r="T2175" s="100"/>
      <c r="U2175" s="100"/>
      <c r="V2175" s="100"/>
      <c r="W2175" s="100"/>
      <c r="X2175" s="100">
        <v>90200124</v>
      </c>
      <c r="Y2175" s="100" t="s">
        <v>115</v>
      </c>
      <c r="Z2175" s="100" t="s">
        <v>115</v>
      </c>
      <c r="AA2175" s="100" t="s">
        <v>115</v>
      </c>
      <c r="AB2175" s="100" t="s">
        <v>115</v>
      </c>
      <c r="AC2175" s="100" t="s">
        <v>115</v>
      </c>
      <c r="AD2175" s="100"/>
      <c r="AE2175" s="100"/>
      <c r="AF2175" s="100"/>
      <c r="AG2175" s="100"/>
      <c r="AH2175" s="100"/>
      <c r="AI2175" s="100" t="s">
        <v>115</v>
      </c>
      <c r="AJ2175" s="100"/>
      <c r="AK2175" s="100"/>
      <c r="AL2175" s="100"/>
      <c r="AM2175" s="100"/>
      <c r="AN2175" s="100"/>
      <c r="AO2175" s="100"/>
      <c r="AP2175" s="89" t="s">
        <v>115</v>
      </c>
    </row>
    <row r="2176" spans="1:42" s="89" customFormat="1" x14ac:dyDescent="0.15">
      <c r="A2176" s="100" t="s">
        <v>1</v>
      </c>
      <c r="B2176" s="101">
        <v>90200124</v>
      </c>
      <c r="C2176" s="101">
        <v>2001</v>
      </c>
      <c r="D2176" s="101">
        <v>20</v>
      </c>
      <c r="E2176" s="101"/>
      <c r="F2176" s="101" t="s">
        <v>115</v>
      </c>
      <c r="G2176" s="101" t="s">
        <v>115</v>
      </c>
      <c r="H2176" s="101" t="s">
        <v>4530</v>
      </c>
      <c r="I2176" s="101">
        <v>4</v>
      </c>
      <c r="J2176" s="100">
        <v>0</v>
      </c>
      <c r="K2176" s="100">
        <v>0</v>
      </c>
      <c r="L2176" s="100" t="s">
        <v>115</v>
      </c>
      <c r="M2176" s="102"/>
      <c r="N2176" s="100"/>
      <c r="O2176" s="100" t="s">
        <v>115</v>
      </c>
      <c r="P2176" s="101"/>
      <c r="Q2176" s="100">
        <v>198</v>
      </c>
      <c r="R2176" s="100">
        <v>357</v>
      </c>
      <c r="S2176" s="100"/>
      <c r="T2176" s="100"/>
      <c r="U2176" s="100"/>
      <c r="V2176" s="100"/>
      <c r="W2176" s="100"/>
      <c r="X2176" s="100">
        <v>90200125</v>
      </c>
      <c r="Y2176" s="100" t="s">
        <v>115</v>
      </c>
      <c r="Z2176" s="100" t="s">
        <v>115</v>
      </c>
      <c r="AA2176" s="100" t="s">
        <v>115</v>
      </c>
      <c r="AB2176" s="100" t="s">
        <v>115</v>
      </c>
      <c r="AC2176" s="100" t="s">
        <v>115</v>
      </c>
      <c r="AD2176" s="100"/>
      <c r="AE2176" s="100"/>
      <c r="AF2176" s="100"/>
      <c r="AG2176" s="100"/>
      <c r="AH2176" s="100"/>
      <c r="AI2176" s="100" t="s">
        <v>115</v>
      </c>
      <c r="AJ2176" s="100"/>
      <c r="AK2176" s="100"/>
      <c r="AL2176" s="100"/>
      <c r="AM2176" s="100"/>
      <c r="AN2176" s="100"/>
      <c r="AO2176" s="100"/>
      <c r="AP2176" s="89" t="s">
        <v>115</v>
      </c>
    </row>
    <row r="2177" spans="1:42" s="89" customFormat="1" x14ac:dyDescent="0.15">
      <c r="A2177" s="100" t="s">
        <v>1</v>
      </c>
      <c r="B2177" s="101">
        <v>90200125</v>
      </c>
      <c r="C2177" s="101">
        <v>2001</v>
      </c>
      <c r="D2177" s="101">
        <v>20</v>
      </c>
      <c r="E2177" s="101"/>
      <c r="F2177" s="101" t="s">
        <v>4509</v>
      </c>
      <c r="G2177" s="101" t="s">
        <v>115</v>
      </c>
      <c r="H2177" s="101" t="s">
        <v>4531</v>
      </c>
      <c r="I2177" s="101">
        <v>3</v>
      </c>
      <c r="J2177" s="100">
        <v>0</v>
      </c>
      <c r="K2177" s="100">
        <v>0</v>
      </c>
      <c r="L2177" s="100" t="s">
        <v>115</v>
      </c>
      <c r="M2177" s="102"/>
      <c r="N2177" s="100"/>
      <c r="O2177" s="100" t="s">
        <v>115</v>
      </c>
      <c r="P2177" s="101"/>
      <c r="Q2177" s="100">
        <v>198</v>
      </c>
      <c r="R2177" s="100">
        <v>357</v>
      </c>
      <c r="S2177" s="100"/>
      <c r="T2177" s="100"/>
      <c r="U2177" s="100"/>
      <c r="V2177" s="100"/>
      <c r="W2177" s="100"/>
      <c r="X2177" s="100">
        <v>90200126</v>
      </c>
      <c r="Y2177" s="100" t="s">
        <v>115</v>
      </c>
      <c r="Z2177" s="100" t="s">
        <v>115</v>
      </c>
      <c r="AA2177" s="100" t="s">
        <v>115</v>
      </c>
      <c r="AB2177" s="100" t="s">
        <v>115</v>
      </c>
      <c r="AC2177" s="100" t="s">
        <v>115</v>
      </c>
      <c r="AD2177" s="100"/>
      <c r="AE2177" s="100"/>
      <c r="AF2177" s="100"/>
      <c r="AG2177" s="100"/>
      <c r="AH2177" s="100"/>
      <c r="AI2177" s="100" t="s">
        <v>115</v>
      </c>
      <c r="AJ2177" s="100"/>
      <c r="AK2177" s="100"/>
      <c r="AL2177" s="100"/>
      <c r="AM2177" s="100"/>
      <c r="AN2177" s="100"/>
      <c r="AO2177" s="100"/>
      <c r="AP2177" s="89" t="s">
        <v>115</v>
      </c>
    </row>
    <row r="2178" spans="1:42" s="89" customFormat="1" x14ac:dyDescent="0.15">
      <c r="A2178" s="100" t="s">
        <v>1</v>
      </c>
      <c r="B2178" s="101">
        <v>90200126</v>
      </c>
      <c r="C2178" s="101">
        <v>2001</v>
      </c>
      <c r="D2178" s="101">
        <v>20</v>
      </c>
      <c r="E2178" s="101"/>
      <c r="F2178" s="101" t="s">
        <v>116</v>
      </c>
      <c r="G2178" s="101">
        <v>313</v>
      </c>
      <c r="H2178" s="101" t="s">
        <v>4532</v>
      </c>
      <c r="I2178" s="101">
        <v>0</v>
      </c>
      <c r="J2178" s="100">
        <v>0</v>
      </c>
      <c r="K2178" s="100">
        <v>0</v>
      </c>
      <c r="L2178" s="100" t="s">
        <v>115</v>
      </c>
      <c r="M2178" s="102"/>
      <c r="N2178" s="100"/>
      <c r="O2178" s="100" t="s">
        <v>115</v>
      </c>
      <c r="P2178" s="101"/>
      <c r="Q2178" s="100">
        <v>198</v>
      </c>
      <c r="R2178" s="100">
        <v>357</v>
      </c>
      <c r="S2178" s="100"/>
      <c r="T2178" s="100"/>
      <c r="U2178" s="100"/>
      <c r="V2178" s="100"/>
      <c r="W2178" s="100"/>
      <c r="X2178" s="100">
        <v>90200110</v>
      </c>
      <c r="Y2178" s="100" t="s">
        <v>115</v>
      </c>
      <c r="Z2178" s="100" t="s">
        <v>115</v>
      </c>
      <c r="AA2178" s="100" t="s">
        <v>115</v>
      </c>
      <c r="AB2178" s="100" t="s">
        <v>115</v>
      </c>
      <c r="AC2178" s="100" t="s">
        <v>115</v>
      </c>
      <c r="AD2178" s="100"/>
      <c r="AE2178" s="100"/>
      <c r="AF2178" s="100"/>
      <c r="AG2178" s="100"/>
      <c r="AH2178" s="100"/>
      <c r="AI2178" s="100" t="s">
        <v>115</v>
      </c>
      <c r="AJ2178" s="100"/>
      <c r="AK2178" s="100"/>
      <c r="AL2178" s="100"/>
      <c r="AM2178" s="100"/>
      <c r="AN2178" s="100"/>
      <c r="AO2178" s="100"/>
      <c r="AP2178" s="89" t="s">
        <v>115</v>
      </c>
    </row>
    <row r="2179" spans="1:42" s="89" customFormat="1" x14ac:dyDescent="0.15">
      <c r="A2179" s="100" t="s">
        <v>1</v>
      </c>
      <c r="B2179" s="101">
        <v>90200127</v>
      </c>
      <c r="C2179" s="101">
        <v>2001</v>
      </c>
      <c r="D2179" s="101">
        <v>20</v>
      </c>
      <c r="E2179" s="101"/>
      <c r="F2179" s="101" t="s">
        <v>116</v>
      </c>
      <c r="G2179" s="101">
        <v>312</v>
      </c>
      <c r="H2179" s="101" t="s">
        <v>4533</v>
      </c>
      <c r="I2179" s="101">
        <v>0</v>
      </c>
      <c r="J2179" s="100">
        <v>0</v>
      </c>
      <c r="K2179" s="100">
        <v>0</v>
      </c>
      <c r="L2179" s="100" t="s">
        <v>115</v>
      </c>
      <c r="M2179" s="102"/>
      <c r="N2179" s="100"/>
      <c r="O2179" s="100" t="s">
        <v>115</v>
      </c>
      <c r="P2179" s="101"/>
      <c r="Q2179" s="100">
        <v>198</v>
      </c>
      <c r="R2179" s="100">
        <v>357</v>
      </c>
      <c r="S2179" s="100"/>
      <c r="T2179" s="100"/>
      <c r="U2179" s="100"/>
      <c r="V2179" s="100"/>
      <c r="W2179" s="100"/>
      <c r="X2179" s="100">
        <v>90200128</v>
      </c>
      <c r="Y2179" s="100" t="s">
        <v>115</v>
      </c>
      <c r="Z2179" s="100" t="s">
        <v>115</v>
      </c>
      <c r="AA2179" s="100" t="s">
        <v>115</v>
      </c>
      <c r="AB2179" s="100" t="s">
        <v>115</v>
      </c>
      <c r="AC2179" s="100" t="s">
        <v>115</v>
      </c>
      <c r="AD2179" s="100"/>
      <c r="AE2179" s="100"/>
      <c r="AF2179" s="100"/>
      <c r="AG2179" s="100"/>
      <c r="AH2179" s="100"/>
      <c r="AI2179" s="100" t="s">
        <v>115</v>
      </c>
      <c r="AJ2179" s="100"/>
      <c r="AK2179" s="100"/>
      <c r="AL2179" s="100"/>
      <c r="AM2179" s="100"/>
      <c r="AN2179" s="100"/>
      <c r="AO2179" s="100"/>
      <c r="AP2179" s="89" t="s">
        <v>115</v>
      </c>
    </row>
    <row r="2180" spans="1:42" s="89" customFormat="1" x14ac:dyDescent="0.15">
      <c r="A2180" s="100" t="s">
        <v>1</v>
      </c>
      <c r="B2180" s="101">
        <v>90200128</v>
      </c>
      <c r="C2180" s="101">
        <v>2001</v>
      </c>
      <c r="D2180" s="101">
        <v>20</v>
      </c>
      <c r="E2180" s="101"/>
      <c r="F2180" s="101" t="s">
        <v>4509</v>
      </c>
      <c r="G2180" s="101" t="s">
        <v>115</v>
      </c>
      <c r="H2180" s="101" t="s">
        <v>4534</v>
      </c>
      <c r="I2180" s="101">
        <v>3</v>
      </c>
      <c r="J2180" s="100">
        <v>0</v>
      </c>
      <c r="K2180" s="100">
        <v>0</v>
      </c>
      <c r="L2180" s="100" t="s">
        <v>115</v>
      </c>
      <c r="M2180" s="102"/>
      <c r="N2180" s="100"/>
      <c r="O2180" s="100" t="s">
        <v>115</v>
      </c>
      <c r="P2180" s="101"/>
      <c r="Q2180" s="100">
        <v>198</v>
      </c>
      <c r="R2180" s="100">
        <v>357</v>
      </c>
      <c r="S2180" s="100"/>
      <c r="T2180" s="100"/>
      <c r="U2180" s="100"/>
      <c r="V2180" s="100"/>
      <c r="W2180" s="100"/>
      <c r="X2180" s="100">
        <v>90200129</v>
      </c>
      <c r="Y2180" s="100" t="s">
        <v>115</v>
      </c>
      <c r="Z2180" s="100" t="s">
        <v>115</v>
      </c>
      <c r="AA2180" s="100" t="s">
        <v>115</v>
      </c>
      <c r="AB2180" s="100" t="s">
        <v>115</v>
      </c>
      <c r="AC2180" s="100" t="s">
        <v>115</v>
      </c>
      <c r="AD2180" s="100"/>
      <c r="AE2180" s="100"/>
      <c r="AF2180" s="100"/>
      <c r="AG2180" s="100"/>
      <c r="AH2180" s="100"/>
      <c r="AI2180" s="100" t="s">
        <v>115</v>
      </c>
      <c r="AJ2180" s="100"/>
      <c r="AK2180" s="100"/>
      <c r="AL2180" s="100"/>
      <c r="AM2180" s="100"/>
      <c r="AN2180" s="100"/>
      <c r="AO2180" s="100"/>
      <c r="AP2180" s="89" t="s">
        <v>115</v>
      </c>
    </row>
    <row r="2181" spans="1:42" s="89" customFormat="1" x14ac:dyDescent="0.15">
      <c r="A2181" s="100" t="s">
        <v>1</v>
      </c>
      <c r="B2181" s="101">
        <v>90200129</v>
      </c>
      <c r="C2181" s="101">
        <v>2001</v>
      </c>
      <c r="D2181" s="101">
        <v>20</v>
      </c>
      <c r="E2181" s="101"/>
      <c r="F2181" s="101" t="s">
        <v>4509</v>
      </c>
      <c r="G2181" s="101" t="s">
        <v>115</v>
      </c>
      <c r="H2181" s="101" t="s">
        <v>4535</v>
      </c>
      <c r="I2181" s="101">
        <v>3</v>
      </c>
      <c r="J2181" s="100">
        <v>0</v>
      </c>
      <c r="K2181" s="100">
        <v>0</v>
      </c>
      <c r="L2181" s="100" t="s">
        <v>115</v>
      </c>
      <c r="M2181" s="102"/>
      <c r="N2181" s="100"/>
      <c r="O2181" s="100" t="s">
        <v>115</v>
      </c>
      <c r="P2181" s="101"/>
      <c r="Q2181" s="100">
        <v>198</v>
      </c>
      <c r="R2181" s="100">
        <v>357</v>
      </c>
      <c r="S2181" s="100"/>
      <c r="T2181" s="100"/>
      <c r="U2181" s="100"/>
      <c r="V2181" s="100"/>
      <c r="W2181" s="100"/>
      <c r="X2181" s="100">
        <v>90200130</v>
      </c>
      <c r="Y2181" s="100" t="s">
        <v>115</v>
      </c>
      <c r="Z2181" s="100" t="s">
        <v>115</v>
      </c>
      <c r="AA2181" s="100" t="s">
        <v>115</v>
      </c>
      <c r="AB2181" s="100" t="s">
        <v>115</v>
      </c>
      <c r="AC2181" s="100" t="s">
        <v>115</v>
      </c>
      <c r="AD2181" s="100"/>
      <c r="AE2181" s="100"/>
      <c r="AF2181" s="100"/>
      <c r="AG2181" s="100"/>
      <c r="AH2181" s="100"/>
      <c r="AI2181" s="100" t="s">
        <v>115</v>
      </c>
      <c r="AJ2181" s="100"/>
      <c r="AK2181" s="100"/>
      <c r="AL2181" s="100"/>
      <c r="AM2181" s="100"/>
      <c r="AN2181" s="100"/>
      <c r="AO2181" s="100"/>
      <c r="AP2181" s="89" t="s">
        <v>115</v>
      </c>
    </row>
    <row r="2182" spans="1:42" s="89" customFormat="1" x14ac:dyDescent="0.15">
      <c r="A2182" s="100" t="s">
        <v>1</v>
      </c>
      <c r="B2182" s="101">
        <v>90200130</v>
      </c>
      <c r="C2182" s="101">
        <v>2001</v>
      </c>
      <c r="D2182" s="101">
        <v>20</v>
      </c>
      <c r="E2182" s="101"/>
      <c r="F2182" s="101" t="s">
        <v>115</v>
      </c>
      <c r="G2182" s="101" t="s">
        <v>115</v>
      </c>
      <c r="H2182" s="101" t="s">
        <v>4536</v>
      </c>
      <c r="I2182" s="101">
        <v>4</v>
      </c>
      <c r="J2182" s="100">
        <v>0</v>
      </c>
      <c r="K2182" s="100">
        <v>0</v>
      </c>
      <c r="L2182" s="100" t="s">
        <v>115</v>
      </c>
      <c r="M2182" s="102"/>
      <c r="N2182" s="100"/>
      <c r="O2182" s="100" t="s">
        <v>115</v>
      </c>
      <c r="P2182" s="101"/>
      <c r="Q2182" s="100">
        <v>198</v>
      </c>
      <c r="R2182" s="100">
        <v>357</v>
      </c>
      <c r="S2182" s="100"/>
      <c r="T2182" s="100"/>
      <c r="U2182" s="100"/>
      <c r="V2182" s="100"/>
      <c r="W2182" s="100"/>
      <c r="X2182" s="100">
        <v>90200131</v>
      </c>
      <c r="Y2182" s="100" t="s">
        <v>115</v>
      </c>
      <c r="Z2182" s="100" t="s">
        <v>115</v>
      </c>
      <c r="AA2182" s="100" t="s">
        <v>115</v>
      </c>
      <c r="AB2182" s="100" t="s">
        <v>115</v>
      </c>
      <c r="AC2182" s="100" t="s">
        <v>115</v>
      </c>
      <c r="AD2182" s="100"/>
      <c r="AE2182" s="100"/>
      <c r="AF2182" s="100"/>
      <c r="AG2182" s="100"/>
      <c r="AH2182" s="100"/>
      <c r="AI2182" s="100" t="s">
        <v>115</v>
      </c>
      <c r="AJ2182" s="100"/>
      <c r="AK2182" s="100"/>
      <c r="AL2182" s="100"/>
      <c r="AM2182" s="100"/>
      <c r="AN2182" s="100"/>
      <c r="AO2182" s="100"/>
      <c r="AP2182" s="89" t="s">
        <v>115</v>
      </c>
    </row>
    <row r="2183" spans="1:42" s="89" customFormat="1" x14ac:dyDescent="0.15">
      <c r="A2183" s="100" t="s">
        <v>1</v>
      </c>
      <c r="B2183" s="101">
        <v>90200131</v>
      </c>
      <c r="C2183" s="101">
        <v>2001</v>
      </c>
      <c r="D2183" s="101">
        <v>20</v>
      </c>
      <c r="E2183" s="101"/>
      <c r="F2183" s="101" t="s">
        <v>115</v>
      </c>
      <c r="G2183" s="101" t="s">
        <v>115</v>
      </c>
      <c r="H2183" s="101" t="s">
        <v>4537</v>
      </c>
      <c r="I2183" s="101">
        <v>4</v>
      </c>
      <c r="J2183" s="100">
        <v>0</v>
      </c>
      <c r="K2183" s="100">
        <v>0</v>
      </c>
      <c r="L2183" s="100" t="s">
        <v>115</v>
      </c>
      <c r="M2183" s="102"/>
      <c r="N2183" s="100"/>
      <c r="O2183" s="100" t="s">
        <v>115</v>
      </c>
      <c r="P2183" s="101"/>
      <c r="Q2183" s="100">
        <v>198</v>
      </c>
      <c r="R2183" s="100">
        <v>357</v>
      </c>
      <c r="S2183" s="100"/>
      <c r="T2183" s="100"/>
      <c r="U2183" s="100"/>
      <c r="V2183" s="100"/>
      <c r="W2183" s="100"/>
      <c r="X2183" s="100">
        <v>90200132</v>
      </c>
      <c r="Y2183" s="100" t="s">
        <v>115</v>
      </c>
      <c r="Z2183" s="100" t="s">
        <v>115</v>
      </c>
      <c r="AA2183" s="100" t="s">
        <v>115</v>
      </c>
      <c r="AB2183" s="100" t="s">
        <v>115</v>
      </c>
      <c r="AC2183" s="100" t="s">
        <v>115</v>
      </c>
      <c r="AD2183" s="100"/>
      <c r="AE2183" s="100"/>
      <c r="AF2183" s="100"/>
      <c r="AG2183" s="100"/>
      <c r="AH2183" s="100"/>
      <c r="AI2183" s="100" t="s">
        <v>115</v>
      </c>
      <c r="AJ2183" s="100"/>
      <c r="AK2183" s="100"/>
      <c r="AL2183" s="100"/>
      <c r="AM2183" s="100"/>
      <c r="AN2183" s="100"/>
      <c r="AO2183" s="100"/>
      <c r="AP2183" s="89" t="s">
        <v>115</v>
      </c>
    </row>
    <row r="2184" spans="1:42" s="89" customFormat="1" x14ac:dyDescent="0.15">
      <c r="A2184" s="100" t="s">
        <v>1</v>
      </c>
      <c r="B2184" s="101">
        <v>90200132</v>
      </c>
      <c r="C2184" s="101">
        <v>2001</v>
      </c>
      <c r="D2184" s="101">
        <v>20</v>
      </c>
      <c r="E2184" s="101"/>
      <c r="F2184" s="101" t="s">
        <v>4509</v>
      </c>
      <c r="G2184" s="101" t="s">
        <v>115</v>
      </c>
      <c r="H2184" s="101" t="s">
        <v>4538</v>
      </c>
      <c r="I2184" s="101">
        <v>3</v>
      </c>
      <c r="J2184" s="100">
        <v>0</v>
      </c>
      <c r="K2184" s="100">
        <v>0</v>
      </c>
      <c r="L2184" s="100" t="s">
        <v>115</v>
      </c>
      <c r="M2184" s="102"/>
      <c r="N2184" s="100"/>
      <c r="O2184" s="100" t="s">
        <v>115</v>
      </c>
      <c r="P2184" s="101"/>
      <c r="Q2184" s="100">
        <v>198</v>
      </c>
      <c r="R2184" s="100">
        <v>357</v>
      </c>
      <c r="S2184" s="100"/>
      <c r="T2184" s="100"/>
      <c r="U2184" s="100"/>
      <c r="V2184" s="100"/>
      <c r="W2184" s="100"/>
      <c r="X2184" s="100">
        <v>90200133</v>
      </c>
      <c r="Y2184" s="100" t="s">
        <v>115</v>
      </c>
      <c r="Z2184" s="100" t="s">
        <v>115</v>
      </c>
      <c r="AA2184" s="100" t="s">
        <v>115</v>
      </c>
      <c r="AB2184" s="100" t="s">
        <v>115</v>
      </c>
      <c r="AC2184" s="100" t="s">
        <v>115</v>
      </c>
      <c r="AD2184" s="100"/>
      <c r="AE2184" s="100"/>
      <c r="AF2184" s="100"/>
      <c r="AG2184" s="100"/>
      <c r="AH2184" s="100"/>
      <c r="AI2184" s="100" t="s">
        <v>115</v>
      </c>
      <c r="AJ2184" s="100"/>
      <c r="AK2184" s="100"/>
      <c r="AL2184" s="100"/>
      <c r="AM2184" s="100"/>
      <c r="AN2184" s="100"/>
      <c r="AO2184" s="100"/>
      <c r="AP2184" s="89" t="s">
        <v>115</v>
      </c>
    </row>
    <row r="2185" spans="1:42" s="89" customFormat="1" x14ac:dyDescent="0.15">
      <c r="A2185" s="100" t="s">
        <v>1</v>
      </c>
      <c r="B2185" s="101">
        <v>90200133</v>
      </c>
      <c r="C2185" s="101">
        <v>2001</v>
      </c>
      <c r="D2185" s="101">
        <v>20</v>
      </c>
      <c r="E2185" s="101"/>
      <c r="F2185" s="101" t="s">
        <v>4509</v>
      </c>
      <c r="G2185" s="101" t="s">
        <v>115</v>
      </c>
      <c r="H2185" s="101" t="s">
        <v>4539</v>
      </c>
      <c r="I2185" s="101">
        <v>3</v>
      </c>
      <c r="J2185" s="100">
        <v>0</v>
      </c>
      <c r="K2185" s="100">
        <v>0</v>
      </c>
      <c r="L2185" s="100" t="s">
        <v>115</v>
      </c>
      <c r="M2185" s="102"/>
      <c r="N2185" s="100"/>
      <c r="O2185" s="100" t="s">
        <v>115</v>
      </c>
      <c r="P2185" s="101"/>
      <c r="Q2185" s="100">
        <v>198</v>
      </c>
      <c r="R2185" s="100">
        <v>357</v>
      </c>
      <c r="S2185" s="100"/>
      <c r="T2185" s="100"/>
      <c r="U2185" s="100"/>
      <c r="V2185" s="100"/>
      <c r="W2185" s="100"/>
      <c r="X2185" s="100">
        <v>90200134</v>
      </c>
      <c r="Y2185" s="100" t="s">
        <v>115</v>
      </c>
      <c r="Z2185" s="100" t="s">
        <v>115</v>
      </c>
      <c r="AA2185" s="100" t="s">
        <v>115</v>
      </c>
      <c r="AB2185" s="100" t="s">
        <v>115</v>
      </c>
      <c r="AC2185" s="100" t="s">
        <v>115</v>
      </c>
      <c r="AD2185" s="100"/>
      <c r="AE2185" s="100"/>
      <c r="AF2185" s="100"/>
      <c r="AG2185" s="100"/>
      <c r="AH2185" s="100"/>
      <c r="AI2185" s="100" t="s">
        <v>115</v>
      </c>
      <c r="AJ2185" s="100"/>
      <c r="AK2185" s="100"/>
      <c r="AL2185" s="100"/>
      <c r="AM2185" s="100"/>
      <c r="AN2185" s="100"/>
      <c r="AO2185" s="100"/>
      <c r="AP2185" s="89" t="s">
        <v>115</v>
      </c>
    </row>
    <row r="2186" spans="1:42" s="89" customFormat="1" x14ac:dyDescent="0.15">
      <c r="A2186" s="100" t="s">
        <v>1</v>
      </c>
      <c r="B2186" s="101">
        <v>90200134</v>
      </c>
      <c r="C2186" s="101">
        <v>2001</v>
      </c>
      <c r="D2186" s="101">
        <v>20</v>
      </c>
      <c r="E2186" s="101"/>
      <c r="F2186" s="101" t="s">
        <v>4509</v>
      </c>
      <c r="G2186" s="101" t="s">
        <v>115</v>
      </c>
      <c r="H2186" s="101" t="s">
        <v>4540</v>
      </c>
      <c r="I2186" s="101">
        <v>3</v>
      </c>
      <c r="J2186" s="100">
        <v>0</v>
      </c>
      <c r="K2186" s="100">
        <v>0</v>
      </c>
      <c r="L2186" s="100" t="s">
        <v>115</v>
      </c>
      <c r="M2186" s="102"/>
      <c r="N2186" s="100"/>
      <c r="O2186" s="100" t="s">
        <v>115</v>
      </c>
      <c r="P2186" s="101"/>
      <c r="Q2186" s="100">
        <v>198</v>
      </c>
      <c r="R2186" s="100">
        <v>357</v>
      </c>
      <c r="S2186" s="100"/>
      <c r="T2186" s="100"/>
      <c r="U2186" s="100"/>
      <c r="V2186" s="100"/>
      <c r="W2186" s="100"/>
      <c r="X2186" s="100">
        <v>90200135</v>
      </c>
      <c r="Y2186" s="100" t="s">
        <v>115</v>
      </c>
      <c r="Z2186" s="100" t="s">
        <v>115</v>
      </c>
      <c r="AA2186" s="100" t="s">
        <v>115</v>
      </c>
      <c r="AB2186" s="100" t="s">
        <v>115</v>
      </c>
      <c r="AC2186" s="100" t="s">
        <v>115</v>
      </c>
      <c r="AD2186" s="100"/>
      <c r="AE2186" s="100"/>
      <c r="AF2186" s="100"/>
      <c r="AG2186" s="100"/>
      <c r="AH2186" s="100"/>
      <c r="AI2186" s="100" t="s">
        <v>115</v>
      </c>
      <c r="AJ2186" s="100"/>
      <c r="AK2186" s="100"/>
      <c r="AL2186" s="100"/>
      <c r="AM2186" s="100"/>
      <c r="AN2186" s="100"/>
      <c r="AO2186" s="100"/>
      <c r="AP2186" s="89" t="s">
        <v>115</v>
      </c>
    </row>
    <row r="2187" spans="1:42" s="89" customFormat="1" x14ac:dyDescent="0.15">
      <c r="A2187" s="100" t="s">
        <v>1</v>
      </c>
      <c r="B2187" s="101">
        <v>90200135</v>
      </c>
      <c r="C2187" s="101">
        <v>2001</v>
      </c>
      <c r="D2187" s="101">
        <v>20</v>
      </c>
      <c r="E2187" s="101"/>
      <c r="F2187" s="101" t="s">
        <v>4509</v>
      </c>
      <c r="G2187" s="101" t="s">
        <v>115</v>
      </c>
      <c r="H2187" s="101" t="s">
        <v>4820</v>
      </c>
      <c r="I2187" s="101">
        <v>3</v>
      </c>
      <c r="J2187" s="100">
        <v>0</v>
      </c>
      <c r="K2187" s="100">
        <v>6</v>
      </c>
      <c r="L2187" s="100" t="s">
        <v>115</v>
      </c>
      <c r="M2187" s="102"/>
      <c r="N2187" s="100"/>
      <c r="O2187" s="100">
        <v>1</v>
      </c>
      <c r="P2187" s="101"/>
      <c r="Q2187" s="100">
        <v>198</v>
      </c>
      <c r="R2187" s="100">
        <v>357</v>
      </c>
      <c r="S2187" s="100"/>
      <c r="T2187" s="100"/>
      <c r="U2187" s="100"/>
      <c r="V2187" s="100"/>
      <c r="W2187" s="100"/>
      <c r="X2187" s="100" t="s">
        <v>115</v>
      </c>
      <c r="Y2187" s="100" t="s">
        <v>115</v>
      </c>
      <c r="Z2187" s="100">
        <v>5</v>
      </c>
      <c r="AA2187" s="100" t="s">
        <v>115</v>
      </c>
      <c r="AB2187" s="100" t="s">
        <v>115</v>
      </c>
      <c r="AC2187" s="100" t="s">
        <v>115</v>
      </c>
      <c r="AD2187" s="100"/>
      <c r="AE2187" s="100"/>
      <c r="AF2187" s="100"/>
      <c r="AG2187" s="100"/>
      <c r="AH2187" s="100"/>
      <c r="AI2187" s="100" t="s">
        <v>115</v>
      </c>
      <c r="AJ2187" s="100"/>
      <c r="AK2187" s="100"/>
      <c r="AL2187" s="100"/>
      <c r="AM2187" s="100"/>
      <c r="AN2187" s="100"/>
      <c r="AO2187" s="100"/>
      <c r="AP2187" s="89" t="s">
        <v>4541</v>
      </c>
    </row>
    <row r="2188" spans="1:42" s="89" customFormat="1" x14ac:dyDescent="0.15">
      <c r="A2188" s="100" t="s">
        <v>1</v>
      </c>
      <c r="B2188" s="101" t="s">
        <v>3982</v>
      </c>
      <c r="C2188" s="101">
        <v>2002</v>
      </c>
      <c r="D2188" s="101">
        <v>20</v>
      </c>
      <c r="E2188" s="101"/>
      <c r="F2188" s="101" t="s">
        <v>115</v>
      </c>
      <c r="G2188" s="101" t="s">
        <v>115</v>
      </c>
      <c r="H2188" s="101" t="s">
        <v>4542</v>
      </c>
      <c r="I2188" s="101">
        <v>4</v>
      </c>
      <c r="J2188" s="100">
        <v>1</v>
      </c>
      <c r="K2188" s="100">
        <v>1</v>
      </c>
      <c r="L2188" s="100" t="s">
        <v>115</v>
      </c>
      <c r="M2188" s="102"/>
      <c r="N2188" s="100"/>
      <c r="O2188" s="100" t="s">
        <v>115</v>
      </c>
      <c r="P2188" s="101"/>
      <c r="Q2188" s="100">
        <v>171</v>
      </c>
      <c r="R2188" s="100" t="s">
        <v>115</v>
      </c>
      <c r="S2188" s="100"/>
      <c r="T2188" s="100"/>
      <c r="U2188" s="100"/>
      <c r="V2188" s="100"/>
      <c r="W2188" s="100"/>
      <c r="X2188" s="100">
        <v>90200202</v>
      </c>
      <c r="Y2188" s="100" t="s">
        <v>115</v>
      </c>
      <c r="Z2188" s="100" t="s">
        <v>115</v>
      </c>
      <c r="AA2188" s="100" t="s">
        <v>115</v>
      </c>
      <c r="AB2188" s="100" t="s">
        <v>115</v>
      </c>
      <c r="AC2188" s="100" t="s">
        <v>115</v>
      </c>
      <c r="AD2188" s="100"/>
      <c r="AE2188" s="100"/>
      <c r="AF2188" s="100"/>
      <c r="AG2188" s="100"/>
      <c r="AH2188" s="100"/>
      <c r="AI2188" s="100" t="s">
        <v>115</v>
      </c>
      <c r="AJ2188" s="100"/>
      <c r="AK2188" s="100"/>
      <c r="AL2188" s="100"/>
      <c r="AM2188" s="100"/>
      <c r="AN2188" s="100"/>
      <c r="AO2188" s="100"/>
      <c r="AP2188" s="89" t="s">
        <v>115</v>
      </c>
    </row>
    <row r="2189" spans="1:42" s="89" customFormat="1" x14ac:dyDescent="0.15">
      <c r="A2189" s="100" t="s">
        <v>1</v>
      </c>
      <c r="B2189" s="101">
        <v>90200202</v>
      </c>
      <c r="C2189" s="101">
        <v>2002</v>
      </c>
      <c r="D2189" s="101">
        <v>20</v>
      </c>
      <c r="E2189" s="101"/>
      <c r="F2189" s="101" t="s">
        <v>115</v>
      </c>
      <c r="G2189" s="101" t="s">
        <v>115</v>
      </c>
      <c r="H2189" s="101" t="s">
        <v>4543</v>
      </c>
      <c r="I2189" s="101">
        <v>4</v>
      </c>
      <c r="J2189" s="100">
        <v>0</v>
      </c>
      <c r="K2189" s="100">
        <v>0</v>
      </c>
      <c r="L2189" s="100" t="s">
        <v>115</v>
      </c>
      <c r="M2189" s="102"/>
      <c r="N2189" s="100"/>
      <c r="O2189" s="100" t="s">
        <v>115</v>
      </c>
      <c r="P2189" s="101"/>
      <c r="Q2189" s="100">
        <v>171</v>
      </c>
      <c r="R2189" s="100" t="s">
        <v>115</v>
      </c>
      <c r="S2189" s="100"/>
      <c r="T2189" s="100"/>
      <c r="U2189" s="100"/>
      <c r="V2189" s="100"/>
      <c r="W2189" s="100"/>
      <c r="X2189" s="100">
        <v>90200203</v>
      </c>
      <c r="Y2189" s="100" t="s">
        <v>115</v>
      </c>
      <c r="Z2189" s="100" t="s">
        <v>115</v>
      </c>
      <c r="AA2189" s="100" t="s">
        <v>115</v>
      </c>
      <c r="AB2189" s="100" t="s">
        <v>115</v>
      </c>
      <c r="AC2189" s="100" t="s">
        <v>115</v>
      </c>
      <c r="AD2189" s="100"/>
      <c r="AE2189" s="100"/>
      <c r="AF2189" s="100"/>
      <c r="AG2189" s="100"/>
      <c r="AH2189" s="100"/>
      <c r="AI2189" s="100" t="s">
        <v>115</v>
      </c>
      <c r="AJ2189" s="100"/>
      <c r="AK2189" s="100"/>
      <c r="AL2189" s="100"/>
      <c r="AM2189" s="100"/>
      <c r="AN2189" s="100"/>
      <c r="AO2189" s="100"/>
      <c r="AP2189" s="89" t="s">
        <v>115</v>
      </c>
    </row>
    <row r="2190" spans="1:42" s="89" customFormat="1" x14ac:dyDescent="0.15">
      <c r="A2190" s="100" t="s">
        <v>1</v>
      </c>
      <c r="B2190" s="101">
        <v>90200203</v>
      </c>
      <c r="C2190" s="101">
        <v>2002</v>
      </c>
      <c r="D2190" s="101">
        <v>20</v>
      </c>
      <c r="E2190" s="101"/>
      <c r="F2190" s="101" t="s">
        <v>115</v>
      </c>
      <c r="G2190" s="101" t="s">
        <v>115</v>
      </c>
      <c r="H2190" s="101" t="s">
        <v>4544</v>
      </c>
      <c r="I2190" s="101">
        <v>4</v>
      </c>
      <c r="J2190" s="100">
        <v>0</v>
      </c>
      <c r="K2190" s="100">
        <v>0</v>
      </c>
      <c r="L2190" s="100" t="s">
        <v>115</v>
      </c>
      <c r="M2190" s="102"/>
      <c r="N2190" s="100"/>
      <c r="O2190" s="100" t="s">
        <v>115</v>
      </c>
      <c r="P2190" s="101"/>
      <c r="Q2190" s="100">
        <v>171</v>
      </c>
      <c r="R2190" s="100" t="s">
        <v>115</v>
      </c>
      <c r="S2190" s="100"/>
      <c r="T2190" s="100"/>
      <c r="U2190" s="100"/>
      <c r="V2190" s="100"/>
      <c r="W2190" s="100"/>
      <c r="X2190" s="100">
        <v>90200204</v>
      </c>
      <c r="Y2190" s="100" t="s">
        <v>115</v>
      </c>
      <c r="Z2190" s="100" t="s">
        <v>115</v>
      </c>
      <c r="AA2190" s="100" t="s">
        <v>115</v>
      </c>
      <c r="AB2190" s="100" t="s">
        <v>115</v>
      </c>
      <c r="AC2190" s="100" t="s">
        <v>115</v>
      </c>
      <c r="AD2190" s="100"/>
      <c r="AE2190" s="100"/>
      <c r="AF2190" s="100"/>
      <c r="AG2190" s="100"/>
      <c r="AH2190" s="100"/>
      <c r="AI2190" s="100" t="s">
        <v>115</v>
      </c>
      <c r="AJ2190" s="100"/>
      <c r="AK2190" s="100"/>
      <c r="AL2190" s="100"/>
      <c r="AM2190" s="100"/>
      <c r="AN2190" s="100"/>
      <c r="AO2190" s="100"/>
      <c r="AP2190" s="89" t="s">
        <v>115</v>
      </c>
    </row>
    <row r="2191" spans="1:42" s="89" customFormat="1" x14ac:dyDescent="0.15">
      <c r="A2191" s="100" t="s">
        <v>1</v>
      </c>
      <c r="B2191" s="101">
        <v>90200204</v>
      </c>
      <c r="C2191" s="101">
        <v>2002</v>
      </c>
      <c r="D2191" s="101">
        <v>20</v>
      </c>
      <c r="E2191" s="101"/>
      <c r="F2191" s="101" t="s">
        <v>116</v>
      </c>
      <c r="G2191" s="101">
        <v>314</v>
      </c>
      <c r="H2191" s="101" t="s">
        <v>4545</v>
      </c>
      <c r="I2191" s="101">
        <v>2</v>
      </c>
      <c r="J2191" s="100">
        <v>0</v>
      </c>
      <c r="K2191" s="100">
        <v>0</v>
      </c>
      <c r="L2191" s="100" t="s">
        <v>115</v>
      </c>
      <c r="M2191" s="102"/>
      <c r="N2191" s="100"/>
      <c r="O2191" s="100" t="s">
        <v>115</v>
      </c>
      <c r="P2191" s="101"/>
      <c r="Q2191" s="100">
        <v>171</v>
      </c>
      <c r="R2191" s="100" t="s">
        <v>115</v>
      </c>
      <c r="S2191" s="100"/>
      <c r="T2191" s="100"/>
      <c r="U2191" s="100"/>
      <c r="V2191" s="100"/>
      <c r="W2191" s="100"/>
      <c r="X2191" s="100">
        <v>90200205</v>
      </c>
      <c r="Y2191" s="100" t="s">
        <v>115</v>
      </c>
      <c r="Z2191" s="100" t="s">
        <v>115</v>
      </c>
      <c r="AA2191" s="100" t="s">
        <v>115</v>
      </c>
      <c r="AB2191" s="100" t="s">
        <v>115</v>
      </c>
      <c r="AC2191" s="100" t="s">
        <v>115</v>
      </c>
      <c r="AD2191" s="100"/>
      <c r="AE2191" s="100"/>
      <c r="AF2191" s="100"/>
      <c r="AG2191" s="100"/>
      <c r="AH2191" s="100"/>
      <c r="AI2191" s="100" t="s">
        <v>115</v>
      </c>
      <c r="AJ2191" s="100"/>
      <c r="AK2191" s="100"/>
      <c r="AL2191" s="100"/>
      <c r="AM2191" s="100"/>
      <c r="AN2191" s="100"/>
      <c r="AO2191" s="100"/>
      <c r="AP2191" s="89" t="s">
        <v>115</v>
      </c>
    </row>
    <row r="2192" spans="1:42" s="89" customFormat="1" x14ac:dyDescent="0.15">
      <c r="A2192" s="100" t="s">
        <v>1</v>
      </c>
      <c r="B2192" s="101">
        <v>90200205</v>
      </c>
      <c r="C2192" s="101">
        <v>2002</v>
      </c>
      <c r="D2192" s="101">
        <v>20</v>
      </c>
      <c r="E2192" s="101"/>
      <c r="F2192" s="101" t="s">
        <v>116</v>
      </c>
      <c r="G2192" s="101">
        <v>314</v>
      </c>
      <c r="H2192" s="101" t="s">
        <v>4546</v>
      </c>
      <c r="I2192" s="101">
        <v>2</v>
      </c>
      <c r="J2192" s="100">
        <v>0</v>
      </c>
      <c r="K2192" s="100">
        <v>0</v>
      </c>
      <c r="L2192" s="100" t="s">
        <v>115</v>
      </c>
      <c r="M2192" s="102"/>
      <c r="N2192" s="100"/>
      <c r="O2192" s="100" t="s">
        <v>115</v>
      </c>
      <c r="P2192" s="101"/>
      <c r="Q2192" s="100">
        <v>171</v>
      </c>
      <c r="R2192" s="100" t="s">
        <v>115</v>
      </c>
      <c r="S2192" s="100"/>
      <c r="T2192" s="100"/>
      <c r="U2192" s="100"/>
      <c r="V2192" s="100"/>
      <c r="W2192" s="100"/>
      <c r="X2192" s="100">
        <v>90200206</v>
      </c>
      <c r="Y2192" s="100" t="s">
        <v>115</v>
      </c>
      <c r="Z2192" s="100" t="s">
        <v>115</v>
      </c>
      <c r="AA2192" s="100" t="s">
        <v>115</v>
      </c>
      <c r="AB2192" s="100" t="s">
        <v>115</v>
      </c>
      <c r="AC2192" s="100" t="s">
        <v>115</v>
      </c>
      <c r="AD2192" s="100"/>
      <c r="AE2192" s="100"/>
      <c r="AF2192" s="100"/>
      <c r="AG2192" s="100"/>
      <c r="AH2192" s="100"/>
      <c r="AI2192" s="100" t="s">
        <v>115</v>
      </c>
      <c r="AJ2192" s="100"/>
      <c r="AK2192" s="100"/>
      <c r="AL2192" s="100"/>
      <c r="AM2192" s="100"/>
      <c r="AN2192" s="100"/>
      <c r="AO2192" s="100"/>
      <c r="AP2192" s="89" t="s">
        <v>115</v>
      </c>
    </row>
    <row r="2193" spans="1:42" s="89" customFormat="1" x14ac:dyDescent="0.15">
      <c r="A2193" s="100" t="s">
        <v>1</v>
      </c>
      <c r="B2193" s="101">
        <v>90200206</v>
      </c>
      <c r="C2193" s="101">
        <v>2002</v>
      </c>
      <c r="D2193" s="101">
        <v>20</v>
      </c>
      <c r="E2193" s="101"/>
      <c r="F2193" s="101" t="s">
        <v>115</v>
      </c>
      <c r="G2193" s="101" t="s">
        <v>115</v>
      </c>
      <c r="H2193" s="101" t="s">
        <v>4821</v>
      </c>
      <c r="I2193" s="101">
        <v>4</v>
      </c>
      <c r="J2193" s="100">
        <v>0</v>
      </c>
      <c r="K2193" s="100">
        <v>0</v>
      </c>
      <c r="L2193" s="100" t="s">
        <v>115</v>
      </c>
      <c r="M2193" s="102"/>
      <c r="N2193" s="100"/>
      <c r="O2193" s="100" t="s">
        <v>115</v>
      </c>
      <c r="P2193" s="101"/>
      <c r="Q2193" s="100">
        <v>171</v>
      </c>
      <c r="R2193" s="100" t="s">
        <v>115</v>
      </c>
      <c r="S2193" s="100"/>
      <c r="T2193" s="100"/>
      <c r="U2193" s="100"/>
      <c r="V2193" s="100"/>
      <c r="W2193" s="100"/>
      <c r="X2193" s="100">
        <v>90200207</v>
      </c>
      <c r="Y2193" s="100" t="s">
        <v>115</v>
      </c>
      <c r="Z2193" s="100" t="s">
        <v>115</v>
      </c>
      <c r="AA2193" s="100" t="s">
        <v>115</v>
      </c>
      <c r="AB2193" s="100" t="s">
        <v>115</v>
      </c>
      <c r="AC2193" s="100" t="s">
        <v>115</v>
      </c>
      <c r="AD2193" s="100"/>
      <c r="AE2193" s="100"/>
      <c r="AF2193" s="100"/>
      <c r="AG2193" s="100"/>
      <c r="AH2193" s="100"/>
      <c r="AI2193" s="100" t="s">
        <v>115</v>
      </c>
      <c r="AJ2193" s="100"/>
      <c r="AK2193" s="100"/>
      <c r="AL2193" s="100"/>
      <c r="AM2193" s="100"/>
      <c r="AN2193" s="100"/>
      <c r="AO2193" s="100"/>
      <c r="AP2193" s="89" t="s">
        <v>115</v>
      </c>
    </row>
    <row r="2194" spans="1:42" s="89" customFormat="1" x14ac:dyDescent="0.15">
      <c r="A2194" s="100" t="s">
        <v>1</v>
      </c>
      <c r="B2194" s="101">
        <v>90200207</v>
      </c>
      <c r="C2194" s="101">
        <v>2002</v>
      </c>
      <c r="D2194" s="101">
        <v>20</v>
      </c>
      <c r="E2194" s="101"/>
      <c r="F2194" s="101" t="s">
        <v>116</v>
      </c>
      <c r="G2194" s="101">
        <v>314</v>
      </c>
      <c r="H2194" s="101" t="s">
        <v>4547</v>
      </c>
      <c r="I2194" s="101">
        <v>2</v>
      </c>
      <c r="J2194" s="100">
        <v>0</v>
      </c>
      <c r="K2194" s="100">
        <v>0</v>
      </c>
      <c r="L2194" s="100" t="s">
        <v>115</v>
      </c>
      <c r="M2194" s="102"/>
      <c r="N2194" s="100"/>
      <c r="O2194" s="100" t="s">
        <v>115</v>
      </c>
      <c r="P2194" s="101"/>
      <c r="Q2194" s="100">
        <v>171</v>
      </c>
      <c r="R2194" s="100" t="s">
        <v>115</v>
      </c>
      <c r="S2194" s="100"/>
      <c r="T2194" s="100"/>
      <c r="U2194" s="100"/>
      <c r="V2194" s="100"/>
      <c r="W2194" s="100"/>
      <c r="X2194" s="100">
        <v>90200208</v>
      </c>
      <c r="Y2194" s="100" t="s">
        <v>115</v>
      </c>
      <c r="Z2194" s="100" t="s">
        <v>115</v>
      </c>
      <c r="AA2194" s="100" t="s">
        <v>115</v>
      </c>
      <c r="AB2194" s="100" t="s">
        <v>115</v>
      </c>
      <c r="AC2194" s="100" t="s">
        <v>115</v>
      </c>
      <c r="AD2194" s="100"/>
      <c r="AE2194" s="100"/>
      <c r="AF2194" s="100"/>
      <c r="AG2194" s="100"/>
      <c r="AH2194" s="100"/>
      <c r="AI2194" s="100" t="s">
        <v>115</v>
      </c>
      <c r="AJ2194" s="100"/>
      <c r="AK2194" s="100"/>
      <c r="AL2194" s="100"/>
      <c r="AM2194" s="100"/>
      <c r="AN2194" s="100"/>
      <c r="AO2194" s="100"/>
      <c r="AP2194" s="89" t="s">
        <v>115</v>
      </c>
    </row>
    <row r="2195" spans="1:42" s="89" customFormat="1" x14ac:dyDescent="0.15">
      <c r="A2195" s="100" t="s">
        <v>1</v>
      </c>
      <c r="B2195" s="101">
        <v>90200208</v>
      </c>
      <c r="C2195" s="101">
        <v>2002</v>
      </c>
      <c r="D2195" s="101">
        <v>20</v>
      </c>
      <c r="E2195" s="101"/>
      <c r="F2195" s="101" t="s">
        <v>115</v>
      </c>
      <c r="G2195" s="101" t="s">
        <v>115</v>
      </c>
      <c r="H2195" s="101" t="s">
        <v>4548</v>
      </c>
      <c r="I2195" s="101">
        <v>4</v>
      </c>
      <c r="J2195" s="100">
        <v>0</v>
      </c>
      <c r="K2195" s="100">
        <v>0</v>
      </c>
      <c r="L2195" s="100" t="s">
        <v>115</v>
      </c>
      <c r="M2195" s="102"/>
      <c r="N2195" s="100"/>
      <c r="O2195" s="100" t="s">
        <v>115</v>
      </c>
      <c r="P2195" s="101"/>
      <c r="Q2195" s="100">
        <v>171</v>
      </c>
      <c r="R2195" s="100">
        <v>155</v>
      </c>
      <c r="S2195" s="100"/>
      <c r="T2195" s="100"/>
      <c r="U2195" s="100"/>
      <c r="V2195" s="100"/>
      <c r="W2195" s="100"/>
      <c r="X2195" s="100">
        <v>90200209</v>
      </c>
      <c r="Y2195" s="100" t="s">
        <v>115</v>
      </c>
      <c r="Z2195" s="100" t="s">
        <v>115</v>
      </c>
      <c r="AA2195" s="100" t="s">
        <v>115</v>
      </c>
      <c r="AB2195" s="100" t="s">
        <v>115</v>
      </c>
      <c r="AC2195" s="100" t="s">
        <v>115</v>
      </c>
      <c r="AD2195" s="100"/>
      <c r="AE2195" s="100"/>
      <c r="AF2195" s="100"/>
      <c r="AG2195" s="100"/>
      <c r="AH2195" s="100"/>
      <c r="AI2195" s="100" t="s">
        <v>115</v>
      </c>
      <c r="AJ2195" s="100"/>
      <c r="AK2195" s="100"/>
      <c r="AL2195" s="100"/>
      <c r="AM2195" s="100"/>
      <c r="AN2195" s="100"/>
      <c r="AO2195" s="100"/>
      <c r="AP2195" s="89" t="s">
        <v>115</v>
      </c>
    </row>
    <row r="2196" spans="1:42" s="89" customFormat="1" x14ac:dyDescent="0.15">
      <c r="A2196" s="100" t="s">
        <v>1</v>
      </c>
      <c r="B2196" s="101">
        <v>90200209</v>
      </c>
      <c r="C2196" s="101">
        <v>2002</v>
      </c>
      <c r="D2196" s="101">
        <v>20</v>
      </c>
      <c r="E2196" s="101"/>
      <c r="F2196" s="101" t="s">
        <v>115</v>
      </c>
      <c r="G2196" s="101" t="s">
        <v>115</v>
      </c>
      <c r="H2196" s="101" t="s">
        <v>4549</v>
      </c>
      <c r="I2196" s="101">
        <v>4</v>
      </c>
      <c r="J2196" s="100">
        <v>0</v>
      </c>
      <c r="K2196" s="100">
        <v>0</v>
      </c>
      <c r="L2196" s="100" t="s">
        <v>115</v>
      </c>
      <c r="M2196" s="102"/>
      <c r="N2196" s="100"/>
      <c r="O2196" s="100" t="s">
        <v>115</v>
      </c>
      <c r="P2196" s="101"/>
      <c r="Q2196" s="100">
        <v>171</v>
      </c>
      <c r="R2196" s="100">
        <v>155</v>
      </c>
      <c r="S2196" s="100"/>
      <c r="T2196" s="100"/>
      <c r="U2196" s="100"/>
      <c r="V2196" s="100"/>
      <c r="W2196" s="100"/>
      <c r="X2196" s="100">
        <v>90200210</v>
      </c>
      <c r="Y2196" s="100" t="s">
        <v>115</v>
      </c>
      <c r="Z2196" s="100" t="s">
        <v>115</v>
      </c>
      <c r="AA2196" s="100" t="s">
        <v>115</v>
      </c>
      <c r="AB2196" s="100" t="s">
        <v>115</v>
      </c>
      <c r="AC2196" s="100" t="s">
        <v>115</v>
      </c>
      <c r="AD2196" s="100"/>
      <c r="AE2196" s="100"/>
      <c r="AF2196" s="100"/>
      <c r="AG2196" s="100"/>
      <c r="AH2196" s="100"/>
      <c r="AI2196" s="100" t="s">
        <v>115</v>
      </c>
      <c r="AJ2196" s="100"/>
      <c r="AK2196" s="100"/>
      <c r="AL2196" s="100"/>
      <c r="AM2196" s="100"/>
      <c r="AN2196" s="100"/>
      <c r="AO2196" s="100"/>
      <c r="AP2196" s="89" t="s">
        <v>115</v>
      </c>
    </row>
    <row r="2197" spans="1:42" s="89" customFormat="1" x14ac:dyDescent="0.15">
      <c r="A2197" s="100" t="s">
        <v>1</v>
      </c>
      <c r="B2197" s="101">
        <v>90200210</v>
      </c>
      <c r="C2197" s="101">
        <v>2002</v>
      </c>
      <c r="D2197" s="101">
        <v>20</v>
      </c>
      <c r="E2197" s="101"/>
      <c r="F2197" s="101" t="s">
        <v>4550</v>
      </c>
      <c r="G2197" s="101" t="s">
        <v>115</v>
      </c>
      <c r="H2197" s="101" t="s">
        <v>4551</v>
      </c>
      <c r="I2197" s="101">
        <v>3</v>
      </c>
      <c r="J2197" s="100">
        <v>0</v>
      </c>
      <c r="K2197" s="100">
        <v>0</v>
      </c>
      <c r="L2197" s="100" t="s">
        <v>115</v>
      </c>
      <c r="M2197" s="102"/>
      <c r="N2197" s="100"/>
      <c r="O2197" s="100" t="s">
        <v>115</v>
      </c>
      <c r="P2197" s="101"/>
      <c r="Q2197" s="100">
        <v>171</v>
      </c>
      <c r="R2197" s="100">
        <v>155</v>
      </c>
      <c r="S2197" s="100"/>
      <c r="T2197" s="100"/>
      <c r="U2197" s="100"/>
      <c r="V2197" s="100"/>
      <c r="W2197" s="100"/>
      <c r="X2197" s="100">
        <v>90200211</v>
      </c>
      <c r="Y2197" s="100" t="s">
        <v>115</v>
      </c>
      <c r="Z2197" s="100" t="s">
        <v>115</v>
      </c>
      <c r="AA2197" s="100" t="s">
        <v>115</v>
      </c>
      <c r="AB2197" s="100" t="s">
        <v>115</v>
      </c>
      <c r="AC2197" s="100" t="s">
        <v>115</v>
      </c>
      <c r="AD2197" s="100"/>
      <c r="AE2197" s="100"/>
      <c r="AF2197" s="100"/>
      <c r="AG2197" s="100"/>
      <c r="AH2197" s="100"/>
      <c r="AI2197" s="100" t="s">
        <v>115</v>
      </c>
      <c r="AJ2197" s="100"/>
      <c r="AK2197" s="100"/>
      <c r="AL2197" s="100"/>
      <c r="AM2197" s="100"/>
      <c r="AN2197" s="100"/>
      <c r="AO2197" s="100"/>
      <c r="AP2197" s="89" t="s">
        <v>115</v>
      </c>
    </row>
    <row r="2198" spans="1:42" s="89" customFormat="1" x14ac:dyDescent="0.15">
      <c r="A2198" s="100" t="s">
        <v>1</v>
      </c>
      <c r="B2198" s="101">
        <v>90200211</v>
      </c>
      <c r="C2198" s="101">
        <v>2002</v>
      </c>
      <c r="D2198" s="101">
        <v>20</v>
      </c>
      <c r="E2198" s="101"/>
      <c r="F2198" s="101" t="s">
        <v>115</v>
      </c>
      <c r="G2198" s="101" t="s">
        <v>115</v>
      </c>
      <c r="H2198" s="101" t="s">
        <v>4552</v>
      </c>
      <c r="I2198" s="101">
        <v>4</v>
      </c>
      <c r="J2198" s="100">
        <v>0</v>
      </c>
      <c r="K2198" s="100">
        <v>2</v>
      </c>
      <c r="L2198" s="100" t="s">
        <v>115</v>
      </c>
      <c r="M2198" s="102"/>
      <c r="N2198" s="100"/>
      <c r="O2198" s="100" t="s">
        <v>115</v>
      </c>
      <c r="P2198" s="101"/>
      <c r="Q2198" s="100">
        <v>171</v>
      </c>
      <c r="R2198" s="100">
        <v>155</v>
      </c>
      <c r="S2198" s="100"/>
      <c r="T2198" s="100"/>
      <c r="U2198" s="100"/>
      <c r="V2198" s="100"/>
      <c r="W2198" s="100"/>
      <c r="X2198" s="100" t="s">
        <v>4553</v>
      </c>
      <c r="Y2198" s="100">
        <v>1</v>
      </c>
      <c r="Z2198" s="100">
        <v>1</v>
      </c>
      <c r="AA2198" s="100" t="s">
        <v>115</v>
      </c>
      <c r="AB2198" s="100" t="s">
        <v>115</v>
      </c>
      <c r="AC2198" s="100" t="s">
        <v>115</v>
      </c>
      <c r="AD2198" s="100"/>
      <c r="AE2198" s="100"/>
      <c r="AF2198" s="100"/>
      <c r="AG2198" s="100"/>
      <c r="AH2198" s="100"/>
      <c r="AI2198" s="100" t="s">
        <v>115</v>
      </c>
      <c r="AJ2198" s="100"/>
      <c r="AK2198" s="100"/>
      <c r="AL2198" s="100"/>
      <c r="AM2198" s="100"/>
      <c r="AN2198" s="100"/>
      <c r="AO2198" s="100"/>
      <c r="AP2198" s="89" t="s">
        <v>115</v>
      </c>
    </row>
    <row r="2199" spans="1:42" s="89" customFormat="1" x14ac:dyDescent="0.15">
      <c r="A2199" s="100" t="s">
        <v>1</v>
      </c>
      <c r="B2199" s="101">
        <v>90200212</v>
      </c>
      <c r="C2199" s="101">
        <v>2002</v>
      </c>
      <c r="D2199" s="101">
        <v>20</v>
      </c>
      <c r="E2199" s="101"/>
      <c r="F2199" s="101" t="s">
        <v>115</v>
      </c>
      <c r="G2199" s="101" t="s">
        <v>115</v>
      </c>
      <c r="H2199" s="101" t="s">
        <v>4554</v>
      </c>
      <c r="I2199" s="101">
        <v>4</v>
      </c>
      <c r="J2199" s="100">
        <v>0</v>
      </c>
      <c r="K2199" s="100">
        <v>3</v>
      </c>
      <c r="L2199" s="100" t="s">
        <v>115</v>
      </c>
      <c r="M2199" s="102"/>
      <c r="N2199" s="100"/>
      <c r="O2199" s="100" t="s">
        <v>115</v>
      </c>
      <c r="P2199" s="101"/>
      <c r="Q2199" s="100">
        <v>171</v>
      </c>
      <c r="R2199" s="100">
        <v>155</v>
      </c>
      <c r="S2199" s="100"/>
      <c r="T2199" s="100"/>
      <c r="U2199" s="100"/>
      <c r="V2199" s="100"/>
      <c r="W2199" s="100"/>
      <c r="X2199" s="100">
        <v>90200214</v>
      </c>
      <c r="Y2199" s="100">
        <v>-1</v>
      </c>
      <c r="Z2199" s="100">
        <v>2</v>
      </c>
      <c r="AA2199" s="100" t="s">
        <v>115</v>
      </c>
      <c r="AB2199" s="100" t="s">
        <v>115</v>
      </c>
      <c r="AC2199" s="100" t="s">
        <v>4555</v>
      </c>
      <c r="AD2199" s="100"/>
      <c r="AE2199" s="100"/>
      <c r="AF2199" s="100"/>
      <c r="AG2199" s="100"/>
      <c r="AH2199" s="100"/>
      <c r="AI2199" s="100" t="s">
        <v>115</v>
      </c>
      <c r="AJ2199" s="100"/>
      <c r="AK2199" s="100"/>
      <c r="AL2199" s="100"/>
      <c r="AM2199" s="100"/>
      <c r="AN2199" s="100"/>
      <c r="AO2199" s="100"/>
      <c r="AP2199" s="89" t="s">
        <v>115</v>
      </c>
    </row>
    <row r="2200" spans="1:42" s="89" customFormat="1" x14ac:dyDescent="0.15">
      <c r="A2200" s="100" t="s">
        <v>1</v>
      </c>
      <c r="B2200" s="101">
        <v>90200213</v>
      </c>
      <c r="C2200" s="101">
        <v>2002</v>
      </c>
      <c r="D2200" s="101">
        <v>20</v>
      </c>
      <c r="E2200" s="101"/>
      <c r="F2200" s="101" t="s">
        <v>115</v>
      </c>
      <c r="G2200" s="101" t="s">
        <v>115</v>
      </c>
      <c r="H2200" s="101" t="s">
        <v>4556</v>
      </c>
      <c r="I2200" s="101">
        <v>4</v>
      </c>
      <c r="J2200" s="100">
        <v>0</v>
      </c>
      <c r="K2200" s="100">
        <v>4</v>
      </c>
      <c r="L2200" s="100" t="s">
        <v>115</v>
      </c>
      <c r="M2200" s="102"/>
      <c r="N2200" s="100"/>
      <c r="O2200" s="100" t="s">
        <v>115</v>
      </c>
      <c r="P2200" s="101"/>
      <c r="Q2200" s="100">
        <v>171</v>
      </c>
      <c r="R2200" s="100">
        <v>155</v>
      </c>
      <c r="S2200" s="100"/>
      <c r="T2200" s="100"/>
      <c r="U2200" s="100"/>
      <c r="V2200" s="100"/>
      <c r="W2200" s="100"/>
      <c r="X2200" s="100">
        <v>90200216</v>
      </c>
      <c r="Y2200" s="100">
        <v>-1</v>
      </c>
      <c r="Z2200" s="100">
        <v>2</v>
      </c>
      <c r="AA2200" s="100" t="s">
        <v>115</v>
      </c>
      <c r="AB2200" s="100" t="s">
        <v>115</v>
      </c>
      <c r="AC2200" s="100" t="s">
        <v>115</v>
      </c>
      <c r="AD2200" s="100"/>
      <c r="AE2200" s="100"/>
      <c r="AF2200" s="100"/>
      <c r="AG2200" s="100"/>
      <c r="AH2200" s="100"/>
      <c r="AI2200" s="100" t="s">
        <v>115</v>
      </c>
      <c r="AJ2200" s="100"/>
      <c r="AK2200" s="100"/>
      <c r="AL2200" s="100"/>
      <c r="AM2200" s="100"/>
      <c r="AN2200" s="100"/>
      <c r="AO2200" s="100"/>
      <c r="AP2200" s="89" t="s">
        <v>115</v>
      </c>
    </row>
    <row r="2201" spans="1:42" s="89" customFormat="1" x14ac:dyDescent="0.15">
      <c r="A2201" s="100" t="s">
        <v>1</v>
      </c>
      <c r="B2201" s="101">
        <v>90200214</v>
      </c>
      <c r="C2201" s="101">
        <v>2002</v>
      </c>
      <c r="D2201" s="101">
        <v>20</v>
      </c>
      <c r="E2201" s="101"/>
      <c r="F2201" s="101" t="s">
        <v>115</v>
      </c>
      <c r="G2201" s="101" t="s">
        <v>115</v>
      </c>
      <c r="H2201" s="101" t="s">
        <v>4557</v>
      </c>
      <c r="I2201" s="101">
        <v>4</v>
      </c>
      <c r="J2201" s="100">
        <v>0</v>
      </c>
      <c r="K2201" s="100">
        <v>0</v>
      </c>
      <c r="L2201" s="100" t="s">
        <v>115</v>
      </c>
      <c r="M2201" s="102"/>
      <c r="N2201" s="100"/>
      <c r="O2201" s="100" t="s">
        <v>115</v>
      </c>
      <c r="P2201" s="101"/>
      <c r="Q2201" s="100">
        <v>171</v>
      </c>
      <c r="R2201" s="100">
        <v>155</v>
      </c>
      <c r="S2201" s="100"/>
      <c r="T2201" s="100"/>
      <c r="U2201" s="100"/>
      <c r="V2201" s="100"/>
      <c r="W2201" s="100"/>
      <c r="X2201" s="100">
        <v>90200215</v>
      </c>
      <c r="Y2201" s="100" t="s">
        <v>115</v>
      </c>
      <c r="Z2201" s="100" t="s">
        <v>115</v>
      </c>
      <c r="AA2201" s="100" t="s">
        <v>115</v>
      </c>
      <c r="AB2201" s="100" t="s">
        <v>115</v>
      </c>
      <c r="AC2201" s="100" t="s">
        <v>115</v>
      </c>
      <c r="AD2201" s="100"/>
      <c r="AE2201" s="100"/>
      <c r="AF2201" s="100"/>
      <c r="AG2201" s="100"/>
      <c r="AH2201" s="100"/>
      <c r="AI2201" s="100" t="s">
        <v>115</v>
      </c>
      <c r="AJ2201" s="100"/>
      <c r="AK2201" s="100"/>
      <c r="AL2201" s="100"/>
      <c r="AM2201" s="100"/>
      <c r="AN2201" s="100"/>
      <c r="AO2201" s="100"/>
      <c r="AP2201" s="89" t="s">
        <v>115</v>
      </c>
    </row>
    <row r="2202" spans="1:42" s="89" customFormat="1" x14ac:dyDescent="0.15">
      <c r="A2202" s="100" t="s">
        <v>1</v>
      </c>
      <c r="B2202" s="101">
        <v>90200215</v>
      </c>
      <c r="C2202" s="101">
        <v>2002</v>
      </c>
      <c r="D2202" s="101">
        <v>20</v>
      </c>
      <c r="E2202" s="101"/>
      <c r="F2202" s="101" t="s">
        <v>4550</v>
      </c>
      <c r="G2202" s="101" t="s">
        <v>115</v>
      </c>
      <c r="H2202" s="101" t="s">
        <v>4558</v>
      </c>
      <c r="I2202" s="101">
        <v>3</v>
      </c>
      <c r="J2202" s="100">
        <v>0</v>
      </c>
      <c r="K2202" s="100">
        <v>0</v>
      </c>
      <c r="L2202" s="100" t="s">
        <v>115</v>
      </c>
      <c r="M2202" s="102"/>
      <c r="N2202" s="100"/>
      <c r="O2202" s="100" t="s">
        <v>115</v>
      </c>
      <c r="P2202" s="101"/>
      <c r="Q2202" s="100">
        <v>171</v>
      </c>
      <c r="R2202" s="100">
        <v>155</v>
      </c>
      <c r="S2202" s="100"/>
      <c r="T2202" s="100"/>
      <c r="U2202" s="100"/>
      <c r="V2202" s="100"/>
      <c r="W2202" s="100"/>
      <c r="X2202" s="100">
        <v>90200218</v>
      </c>
      <c r="Y2202" s="100" t="s">
        <v>115</v>
      </c>
      <c r="Z2202" s="100" t="s">
        <v>115</v>
      </c>
      <c r="AA2202" s="100" t="s">
        <v>115</v>
      </c>
      <c r="AB2202" s="100" t="s">
        <v>115</v>
      </c>
      <c r="AC2202" s="100" t="s">
        <v>115</v>
      </c>
      <c r="AD2202" s="100"/>
      <c r="AE2202" s="100"/>
      <c r="AF2202" s="100"/>
      <c r="AG2202" s="100"/>
      <c r="AH2202" s="100"/>
      <c r="AI2202" s="100" t="s">
        <v>115</v>
      </c>
      <c r="AJ2202" s="100"/>
      <c r="AK2202" s="100"/>
      <c r="AL2202" s="100"/>
      <c r="AM2202" s="100"/>
      <c r="AN2202" s="100"/>
      <c r="AO2202" s="100"/>
      <c r="AP2202" s="89" t="s">
        <v>115</v>
      </c>
    </row>
    <row r="2203" spans="1:42" s="89" customFormat="1" x14ac:dyDescent="0.15">
      <c r="A2203" s="100" t="s">
        <v>1</v>
      </c>
      <c r="B2203" s="101">
        <v>90200216</v>
      </c>
      <c r="C2203" s="101">
        <v>2002</v>
      </c>
      <c r="D2203" s="101">
        <v>20</v>
      </c>
      <c r="E2203" s="101"/>
      <c r="F2203" s="101" t="s">
        <v>115</v>
      </c>
      <c r="G2203" s="101" t="s">
        <v>115</v>
      </c>
      <c r="H2203" s="101" t="s">
        <v>4559</v>
      </c>
      <c r="I2203" s="101">
        <v>4</v>
      </c>
      <c r="J2203" s="100">
        <v>0</v>
      </c>
      <c r="K2203" s="100">
        <v>0</v>
      </c>
      <c r="L2203" s="100" t="s">
        <v>115</v>
      </c>
      <c r="M2203" s="102"/>
      <c r="N2203" s="100"/>
      <c r="O2203" s="100" t="s">
        <v>115</v>
      </c>
      <c r="P2203" s="101"/>
      <c r="Q2203" s="100">
        <v>171</v>
      </c>
      <c r="R2203" s="100">
        <v>155</v>
      </c>
      <c r="S2203" s="100"/>
      <c r="T2203" s="100"/>
      <c r="U2203" s="100"/>
      <c r="V2203" s="100"/>
      <c r="W2203" s="100"/>
      <c r="X2203" s="100">
        <v>90200217</v>
      </c>
      <c r="Y2203" s="100" t="s">
        <v>115</v>
      </c>
      <c r="Z2203" s="100" t="s">
        <v>115</v>
      </c>
      <c r="AA2203" s="100" t="s">
        <v>115</v>
      </c>
      <c r="AB2203" s="100" t="s">
        <v>115</v>
      </c>
      <c r="AC2203" s="100" t="s">
        <v>115</v>
      </c>
      <c r="AD2203" s="100"/>
      <c r="AE2203" s="100"/>
      <c r="AF2203" s="100"/>
      <c r="AG2203" s="100"/>
      <c r="AH2203" s="100"/>
      <c r="AI2203" s="100" t="s">
        <v>115</v>
      </c>
      <c r="AJ2203" s="100"/>
      <c r="AK2203" s="100"/>
      <c r="AL2203" s="100"/>
      <c r="AM2203" s="100"/>
      <c r="AN2203" s="100"/>
      <c r="AO2203" s="100"/>
      <c r="AP2203" s="89" t="s">
        <v>115</v>
      </c>
    </row>
    <row r="2204" spans="1:42" s="89" customFormat="1" x14ac:dyDescent="0.15">
      <c r="A2204" s="100" t="s">
        <v>1</v>
      </c>
      <c r="B2204" s="101">
        <v>90200217</v>
      </c>
      <c r="C2204" s="101">
        <v>2002</v>
      </c>
      <c r="D2204" s="101">
        <v>20</v>
      </c>
      <c r="E2204" s="101"/>
      <c r="F2204" s="101" t="s">
        <v>115</v>
      </c>
      <c r="G2204" s="101" t="s">
        <v>115</v>
      </c>
      <c r="H2204" s="101" t="s">
        <v>4560</v>
      </c>
      <c r="I2204" s="101">
        <v>4</v>
      </c>
      <c r="J2204" s="100">
        <v>0</v>
      </c>
      <c r="K2204" s="100">
        <v>0</v>
      </c>
      <c r="L2204" s="100" t="s">
        <v>115</v>
      </c>
      <c r="M2204" s="102"/>
      <c r="N2204" s="100"/>
      <c r="O2204" s="100" t="s">
        <v>115</v>
      </c>
      <c r="P2204" s="101"/>
      <c r="Q2204" s="100">
        <v>171</v>
      </c>
      <c r="R2204" s="100">
        <v>155</v>
      </c>
      <c r="S2204" s="100"/>
      <c r="T2204" s="100"/>
      <c r="U2204" s="100"/>
      <c r="V2204" s="100"/>
      <c r="W2204" s="100"/>
      <c r="X2204" s="100">
        <v>90200211</v>
      </c>
      <c r="Y2204" s="100" t="s">
        <v>115</v>
      </c>
      <c r="Z2204" s="100" t="s">
        <v>115</v>
      </c>
      <c r="AA2204" s="100" t="s">
        <v>115</v>
      </c>
      <c r="AB2204" s="100" t="s">
        <v>115</v>
      </c>
      <c r="AC2204" s="100" t="s">
        <v>115</v>
      </c>
      <c r="AD2204" s="100"/>
      <c r="AE2204" s="100"/>
      <c r="AF2204" s="100"/>
      <c r="AG2204" s="100"/>
      <c r="AH2204" s="100"/>
      <c r="AI2204" s="100" t="s">
        <v>115</v>
      </c>
      <c r="AJ2204" s="100"/>
      <c r="AK2204" s="100"/>
      <c r="AL2204" s="100"/>
      <c r="AM2204" s="100"/>
      <c r="AN2204" s="100"/>
      <c r="AO2204" s="100"/>
      <c r="AP2204" s="89" t="s">
        <v>115</v>
      </c>
    </row>
    <row r="2205" spans="1:42" s="89" customFormat="1" x14ac:dyDescent="0.15">
      <c r="A2205" s="100" t="s">
        <v>1</v>
      </c>
      <c r="B2205" s="101">
        <v>90200218</v>
      </c>
      <c r="C2205" s="101">
        <v>2002</v>
      </c>
      <c r="D2205" s="101">
        <v>20</v>
      </c>
      <c r="E2205" s="101"/>
      <c r="F2205" s="101" t="s">
        <v>4550</v>
      </c>
      <c r="G2205" s="101" t="s">
        <v>115</v>
      </c>
      <c r="H2205" s="101" t="s">
        <v>4561</v>
      </c>
      <c r="I2205" s="101">
        <v>3</v>
      </c>
      <c r="J2205" s="100">
        <v>0</v>
      </c>
      <c r="K2205" s="100">
        <v>0</v>
      </c>
      <c r="L2205" s="100" t="s">
        <v>115</v>
      </c>
      <c r="M2205" s="102"/>
      <c r="N2205" s="100"/>
      <c r="O2205" s="100" t="s">
        <v>115</v>
      </c>
      <c r="P2205" s="101"/>
      <c r="Q2205" s="100">
        <v>171</v>
      </c>
      <c r="R2205" s="100">
        <v>155</v>
      </c>
      <c r="S2205" s="100"/>
      <c r="T2205" s="100"/>
      <c r="U2205" s="100"/>
      <c r="V2205" s="100"/>
      <c r="W2205" s="100"/>
      <c r="X2205" s="100">
        <v>90200219</v>
      </c>
      <c r="Y2205" s="100" t="s">
        <v>115</v>
      </c>
      <c r="Z2205" s="100" t="s">
        <v>115</v>
      </c>
      <c r="AA2205" s="100" t="s">
        <v>115</v>
      </c>
      <c r="AB2205" s="100" t="s">
        <v>115</v>
      </c>
      <c r="AC2205" s="100" t="s">
        <v>115</v>
      </c>
      <c r="AD2205" s="100"/>
      <c r="AE2205" s="100"/>
      <c r="AF2205" s="100"/>
      <c r="AG2205" s="100"/>
      <c r="AH2205" s="100"/>
      <c r="AI2205" s="100" t="s">
        <v>115</v>
      </c>
      <c r="AJ2205" s="100"/>
      <c r="AK2205" s="100"/>
      <c r="AL2205" s="100"/>
      <c r="AM2205" s="100"/>
      <c r="AN2205" s="100"/>
      <c r="AO2205" s="100"/>
      <c r="AP2205" s="89" t="s">
        <v>115</v>
      </c>
    </row>
    <row r="2206" spans="1:42" s="89" customFormat="1" x14ac:dyDescent="0.15">
      <c r="A2206" s="100" t="s">
        <v>1</v>
      </c>
      <c r="B2206" s="101">
        <v>90200219</v>
      </c>
      <c r="C2206" s="101">
        <v>2002</v>
      </c>
      <c r="D2206" s="101">
        <v>20</v>
      </c>
      <c r="E2206" s="101"/>
      <c r="F2206" s="101" t="s">
        <v>116</v>
      </c>
      <c r="G2206" s="101">
        <v>312</v>
      </c>
      <c r="H2206" s="101" t="s">
        <v>4562</v>
      </c>
      <c r="I2206" s="101">
        <v>0</v>
      </c>
      <c r="J2206" s="100">
        <v>0</v>
      </c>
      <c r="K2206" s="100">
        <v>0</v>
      </c>
      <c r="L2206" s="100" t="s">
        <v>115</v>
      </c>
      <c r="M2206" s="102"/>
      <c r="N2206" s="100"/>
      <c r="O2206" s="100" t="s">
        <v>115</v>
      </c>
      <c r="P2206" s="101"/>
      <c r="Q2206" s="100">
        <v>171</v>
      </c>
      <c r="R2206" s="100">
        <v>155</v>
      </c>
      <c r="S2206" s="100"/>
      <c r="T2206" s="100"/>
      <c r="U2206" s="100"/>
      <c r="V2206" s="100"/>
      <c r="W2206" s="100"/>
      <c r="X2206" s="100">
        <v>90200220</v>
      </c>
      <c r="Y2206" s="100" t="s">
        <v>115</v>
      </c>
      <c r="Z2206" s="100" t="s">
        <v>115</v>
      </c>
      <c r="AA2206" s="100" t="s">
        <v>115</v>
      </c>
      <c r="AB2206" s="100" t="s">
        <v>115</v>
      </c>
      <c r="AC2206" s="100" t="s">
        <v>115</v>
      </c>
      <c r="AD2206" s="100"/>
      <c r="AE2206" s="100"/>
      <c r="AF2206" s="100"/>
      <c r="AG2206" s="100"/>
      <c r="AH2206" s="100"/>
      <c r="AI2206" s="100" t="s">
        <v>115</v>
      </c>
      <c r="AJ2206" s="100"/>
      <c r="AK2206" s="100"/>
      <c r="AL2206" s="100"/>
      <c r="AM2206" s="100"/>
      <c r="AN2206" s="100"/>
      <c r="AO2206" s="100"/>
      <c r="AP2206" s="89" t="s">
        <v>115</v>
      </c>
    </row>
    <row r="2207" spans="1:42" s="89" customFormat="1" x14ac:dyDescent="0.15">
      <c r="A2207" s="100" t="s">
        <v>1</v>
      </c>
      <c r="B2207" s="101">
        <v>90200220</v>
      </c>
      <c r="C2207" s="101">
        <v>2002</v>
      </c>
      <c r="D2207" s="101">
        <v>20</v>
      </c>
      <c r="E2207" s="101"/>
      <c r="F2207" s="101" t="s">
        <v>115</v>
      </c>
      <c r="G2207" s="101" t="s">
        <v>115</v>
      </c>
      <c r="H2207" s="101" t="s">
        <v>4563</v>
      </c>
      <c r="I2207" s="101">
        <v>4</v>
      </c>
      <c r="J2207" s="100">
        <v>0</v>
      </c>
      <c r="K2207" s="100">
        <v>0</v>
      </c>
      <c r="L2207" s="100" t="s">
        <v>115</v>
      </c>
      <c r="M2207" s="102"/>
      <c r="N2207" s="100"/>
      <c r="O2207" s="100" t="s">
        <v>115</v>
      </c>
      <c r="P2207" s="101"/>
      <c r="Q2207" s="100">
        <v>171</v>
      </c>
      <c r="R2207" s="100">
        <v>155</v>
      </c>
      <c r="S2207" s="100"/>
      <c r="T2207" s="100"/>
      <c r="U2207" s="100"/>
      <c r="V2207" s="100"/>
      <c r="W2207" s="100"/>
      <c r="X2207" s="100">
        <v>90200221</v>
      </c>
      <c r="Y2207" s="100" t="s">
        <v>115</v>
      </c>
      <c r="Z2207" s="100" t="s">
        <v>115</v>
      </c>
      <c r="AA2207" s="100" t="s">
        <v>115</v>
      </c>
      <c r="AB2207" s="100" t="s">
        <v>115</v>
      </c>
      <c r="AC2207" s="100" t="s">
        <v>115</v>
      </c>
      <c r="AD2207" s="100"/>
      <c r="AE2207" s="100"/>
      <c r="AF2207" s="100"/>
      <c r="AG2207" s="100"/>
      <c r="AH2207" s="100"/>
      <c r="AI2207" s="100" t="s">
        <v>115</v>
      </c>
      <c r="AJ2207" s="100"/>
      <c r="AK2207" s="100"/>
      <c r="AL2207" s="100"/>
      <c r="AM2207" s="100"/>
      <c r="AN2207" s="100"/>
      <c r="AO2207" s="100"/>
      <c r="AP2207" s="89" t="s">
        <v>115</v>
      </c>
    </row>
    <row r="2208" spans="1:42" s="89" customFormat="1" x14ac:dyDescent="0.15">
      <c r="A2208" s="100" t="s">
        <v>1</v>
      </c>
      <c r="B2208" s="101">
        <v>90200221</v>
      </c>
      <c r="C2208" s="101">
        <v>2002</v>
      </c>
      <c r="D2208" s="101">
        <v>20</v>
      </c>
      <c r="E2208" s="101"/>
      <c r="F2208" s="101" t="s">
        <v>4550</v>
      </c>
      <c r="G2208" s="101" t="s">
        <v>115</v>
      </c>
      <c r="H2208" s="101" t="s">
        <v>4564</v>
      </c>
      <c r="I2208" s="101">
        <v>3</v>
      </c>
      <c r="J2208" s="100">
        <v>0</v>
      </c>
      <c r="K2208" s="100">
        <v>0</v>
      </c>
      <c r="L2208" s="100" t="s">
        <v>115</v>
      </c>
      <c r="M2208" s="102"/>
      <c r="N2208" s="100"/>
      <c r="O2208" s="100" t="s">
        <v>115</v>
      </c>
      <c r="P2208" s="101"/>
      <c r="Q2208" s="100">
        <v>171</v>
      </c>
      <c r="R2208" s="100">
        <v>155</v>
      </c>
      <c r="S2208" s="100"/>
      <c r="T2208" s="100"/>
      <c r="U2208" s="100"/>
      <c r="V2208" s="100"/>
      <c r="W2208" s="100"/>
      <c r="X2208" s="100">
        <v>90200222</v>
      </c>
      <c r="Y2208" s="100" t="s">
        <v>115</v>
      </c>
      <c r="Z2208" s="100" t="s">
        <v>115</v>
      </c>
      <c r="AA2208" s="100" t="s">
        <v>115</v>
      </c>
      <c r="AB2208" s="100" t="s">
        <v>115</v>
      </c>
      <c r="AC2208" s="100" t="s">
        <v>115</v>
      </c>
      <c r="AD2208" s="100"/>
      <c r="AE2208" s="100"/>
      <c r="AF2208" s="100"/>
      <c r="AG2208" s="100"/>
      <c r="AH2208" s="100"/>
      <c r="AI2208" s="100" t="s">
        <v>115</v>
      </c>
      <c r="AJ2208" s="100"/>
      <c r="AK2208" s="100"/>
      <c r="AL2208" s="100"/>
      <c r="AM2208" s="100"/>
      <c r="AN2208" s="100"/>
      <c r="AO2208" s="100"/>
      <c r="AP2208" s="89" t="s">
        <v>115</v>
      </c>
    </row>
    <row r="2209" spans="1:42" s="89" customFormat="1" x14ac:dyDescent="0.15">
      <c r="A2209" s="100" t="s">
        <v>1</v>
      </c>
      <c r="B2209" s="101">
        <v>90200222</v>
      </c>
      <c r="C2209" s="101">
        <v>2002</v>
      </c>
      <c r="D2209" s="101">
        <v>20</v>
      </c>
      <c r="E2209" s="101"/>
      <c r="F2209" s="101" t="s">
        <v>4550</v>
      </c>
      <c r="G2209" s="101" t="s">
        <v>115</v>
      </c>
      <c r="H2209" s="101" t="s">
        <v>4565</v>
      </c>
      <c r="I2209" s="101">
        <v>3</v>
      </c>
      <c r="J2209" s="100">
        <v>0</v>
      </c>
      <c r="K2209" s="100">
        <v>5</v>
      </c>
      <c r="L2209" s="100" t="s">
        <v>115</v>
      </c>
      <c r="M2209" s="102"/>
      <c r="N2209" s="100"/>
      <c r="O2209" s="100">
        <v>1</v>
      </c>
      <c r="P2209" s="101"/>
      <c r="Q2209" s="100">
        <v>171</v>
      </c>
      <c r="R2209" s="100">
        <v>155</v>
      </c>
      <c r="S2209" s="100"/>
      <c r="T2209" s="100"/>
      <c r="U2209" s="100"/>
      <c r="V2209" s="100"/>
      <c r="W2209" s="100"/>
      <c r="X2209" s="100" t="s">
        <v>115</v>
      </c>
      <c r="Y2209" s="100" t="s">
        <v>115</v>
      </c>
      <c r="Z2209" s="100">
        <v>4</v>
      </c>
      <c r="AA2209" s="100" t="s">
        <v>115</v>
      </c>
      <c r="AB2209" s="100" t="s">
        <v>115</v>
      </c>
      <c r="AC2209" s="100" t="s">
        <v>115</v>
      </c>
      <c r="AD2209" s="100"/>
      <c r="AE2209" s="100"/>
      <c r="AF2209" s="100"/>
      <c r="AG2209" s="100"/>
      <c r="AH2209" s="100"/>
      <c r="AI2209" s="100" t="s">
        <v>115</v>
      </c>
      <c r="AJ2209" s="100"/>
      <c r="AK2209" s="100"/>
      <c r="AL2209" s="100"/>
      <c r="AM2209" s="100"/>
      <c r="AN2209" s="100"/>
      <c r="AO2209" s="100"/>
      <c r="AP2209" s="89" t="s">
        <v>4566</v>
      </c>
    </row>
    <row r="2210" spans="1:42" s="89" customFormat="1" x14ac:dyDescent="0.15">
      <c r="A2210" s="100" t="s">
        <v>1</v>
      </c>
      <c r="B2210" s="101" t="s">
        <v>3984</v>
      </c>
      <c r="C2210" s="101">
        <v>2003</v>
      </c>
      <c r="D2210" s="101">
        <v>20</v>
      </c>
      <c r="E2210" s="101"/>
      <c r="F2210" s="101" t="s">
        <v>115</v>
      </c>
      <c r="G2210" s="101" t="s">
        <v>115</v>
      </c>
      <c r="H2210" s="101" t="s">
        <v>4567</v>
      </c>
      <c r="I2210" s="101">
        <v>4</v>
      </c>
      <c r="J2210" s="100">
        <v>1</v>
      </c>
      <c r="K2210" s="100">
        <v>1</v>
      </c>
      <c r="L2210" s="100" t="s">
        <v>115</v>
      </c>
      <c r="M2210" s="102"/>
      <c r="N2210" s="100"/>
      <c r="O2210" s="100" t="s">
        <v>115</v>
      </c>
      <c r="P2210" s="101"/>
      <c r="Q2210" s="100">
        <v>12</v>
      </c>
      <c r="R2210" s="100" t="s">
        <v>115</v>
      </c>
      <c r="S2210" s="100"/>
      <c r="T2210" s="100"/>
      <c r="U2210" s="100"/>
      <c r="V2210" s="100"/>
      <c r="W2210" s="100"/>
      <c r="X2210" s="100">
        <v>90200302</v>
      </c>
      <c r="Y2210" s="100" t="s">
        <v>115</v>
      </c>
      <c r="Z2210" s="100" t="s">
        <v>115</v>
      </c>
      <c r="AA2210" s="100" t="s">
        <v>115</v>
      </c>
      <c r="AB2210" s="100" t="s">
        <v>115</v>
      </c>
      <c r="AC2210" s="100" t="s">
        <v>115</v>
      </c>
      <c r="AD2210" s="100"/>
      <c r="AE2210" s="100"/>
      <c r="AF2210" s="100"/>
      <c r="AG2210" s="100"/>
      <c r="AH2210" s="100"/>
      <c r="AI2210" s="100" t="s">
        <v>115</v>
      </c>
      <c r="AJ2210" s="100"/>
      <c r="AK2210" s="100"/>
      <c r="AL2210" s="100"/>
      <c r="AM2210" s="100"/>
      <c r="AN2210" s="100"/>
      <c r="AO2210" s="100"/>
      <c r="AP2210" s="89" t="s">
        <v>115</v>
      </c>
    </row>
    <row r="2211" spans="1:42" s="89" customFormat="1" x14ac:dyDescent="0.15">
      <c r="A2211" s="100" t="s">
        <v>1</v>
      </c>
      <c r="B2211" s="101">
        <v>90200302</v>
      </c>
      <c r="C2211" s="101">
        <v>2003</v>
      </c>
      <c r="D2211" s="101">
        <v>20</v>
      </c>
      <c r="E2211" s="101"/>
      <c r="F2211" s="101" t="s">
        <v>116</v>
      </c>
      <c r="G2211" s="101">
        <v>314</v>
      </c>
      <c r="H2211" s="101" t="s">
        <v>4568</v>
      </c>
      <c r="I2211" s="101">
        <v>2</v>
      </c>
      <c r="J2211" s="100">
        <v>0</v>
      </c>
      <c r="K2211" s="100">
        <v>0</v>
      </c>
      <c r="L2211" s="100" t="s">
        <v>115</v>
      </c>
      <c r="M2211" s="102"/>
      <c r="N2211" s="100"/>
      <c r="O2211" s="100" t="s">
        <v>115</v>
      </c>
      <c r="P2211" s="101"/>
      <c r="Q2211" s="100">
        <v>12</v>
      </c>
      <c r="R2211" s="100" t="s">
        <v>115</v>
      </c>
      <c r="S2211" s="100"/>
      <c r="T2211" s="100"/>
      <c r="U2211" s="100"/>
      <c r="V2211" s="100"/>
      <c r="W2211" s="100"/>
      <c r="X2211" s="100">
        <v>90200303</v>
      </c>
      <c r="Y2211" s="100" t="s">
        <v>115</v>
      </c>
      <c r="Z2211" s="100" t="s">
        <v>115</v>
      </c>
      <c r="AA2211" s="100" t="s">
        <v>115</v>
      </c>
      <c r="AB2211" s="100" t="s">
        <v>115</v>
      </c>
      <c r="AC2211" s="100" t="s">
        <v>115</v>
      </c>
      <c r="AD2211" s="100"/>
      <c r="AE2211" s="100"/>
      <c r="AF2211" s="100"/>
      <c r="AG2211" s="100"/>
      <c r="AH2211" s="100"/>
      <c r="AI2211" s="100" t="s">
        <v>115</v>
      </c>
      <c r="AJ2211" s="100"/>
      <c r="AK2211" s="100"/>
      <c r="AL2211" s="100"/>
      <c r="AM2211" s="100"/>
      <c r="AN2211" s="100"/>
      <c r="AO2211" s="100"/>
      <c r="AP2211" s="89" t="s">
        <v>115</v>
      </c>
    </row>
    <row r="2212" spans="1:42" s="89" customFormat="1" x14ac:dyDescent="0.15">
      <c r="A2212" s="100" t="s">
        <v>1</v>
      </c>
      <c r="B2212" s="101">
        <v>90200303</v>
      </c>
      <c r="C2212" s="101">
        <v>2003</v>
      </c>
      <c r="D2212" s="101">
        <v>20</v>
      </c>
      <c r="E2212" s="101"/>
      <c r="F2212" s="101" t="s">
        <v>115</v>
      </c>
      <c r="G2212" s="101" t="s">
        <v>115</v>
      </c>
      <c r="H2212" s="101" t="s">
        <v>4569</v>
      </c>
      <c r="I2212" s="101">
        <v>4</v>
      </c>
      <c r="J2212" s="100">
        <v>0</v>
      </c>
      <c r="K2212" s="100">
        <v>2</v>
      </c>
      <c r="L2212" s="100" t="s">
        <v>115</v>
      </c>
      <c r="M2212" s="102"/>
      <c r="N2212" s="100"/>
      <c r="O2212" s="100" t="s">
        <v>115</v>
      </c>
      <c r="P2212" s="101"/>
      <c r="Q2212" s="100">
        <v>12</v>
      </c>
      <c r="R2212" s="100" t="s">
        <v>115</v>
      </c>
      <c r="S2212" s="100"/>
      <c r="T2212" s="100"/>
      <c r="U2212" s="100"/>
      <c r="V2212" s="100"/>
      <c r="W2212" s="100"/>
      <c r="X2212" s="100" t="s">
        <v>4570</v>
      </c>
      <c r="Y2212" s="100">
        <v>1</v>
      </c>
      <c r="Z2212" s="100">
        <v>1</v>
      </c>
      <c r="AA2212" s="100" t="s">
        <v>115</v>
      </c>
      <c r="AB2212" s="100" t="s">
        <v>115</v>
      </c>
      <c r="AC2212" s="100" t="s">
        <v>115</v>
      </c>
      <c r="AD2212" s="100"/>
      <c r="AE2212" s="100"/>
      <c r="AF2212" s="100"/>
      <c r="AG2212" s="100"/>
      <c r="AH2212" s="100"/>
      <c r="AI2212" s="100" t="s">
        <v>115</v>
      </c>
      <c r="AJ2212" s="100"/>
      <c r="AK2212" s="100"/>
      <c r="AL2212" s="100"/>
      <c r="AM2212" s="100"/>
      <c r="AN2212" s="100"/>
      <c r="AO2212" s="100"/>
      <c r="AP2212" s="89" t="s">
        <v>115</v>
      </c>
    </row>
    <row r="2213" spans="1:42" s="89" customFormat="1" x14ac:dyDescent="0.15">
      <c r="A2213" s="100" t="s">
        <v>1</v>
      </c>
      <c r="B2213" s="101">
        <v>90200304</v>
      </c>
      <c r="C2213" s="101">
        <v>2003</v>
      </c>
      <c r="D2213" s="101">
        <v>20</v>
      </c>
      <c r="E2213" s="101"/>
      <c r="F2213" s="101" t="s">
        <v>115</v>
      </c>
      <c r="G2213" s="101" t="s">
        <v>115</v>
      </c>
      <c r="H2213" s="101" t="s">
        <v>4571</v>
      </c>
      <c r="I2213" s="101">
        <v>4</v>
      </c>
      <c r="J2213" s="100">
        <v>0</v>
      </c>
      <c r="K2213" s="100">
        <v>3</v>
      </c>
      <c r="L2213" s="100" t="s">
        <v>115</v>
      </c>
      <c r="M2213" s="102"/>
      <c r="N2213" s="100"/>
      <c r="O2213" s="100" t="s">
        <v>115</v>
      </c>
      <c r="P2213" s="101"/>
      <c r="Q2213" s="100">
        <v>12</v>
      </c>
      <c r="R2213" s="100" t="s">
        <v>115</v>
      </c>
      <c r="S2213" s="100"/>
      <c r="T2213" s="100"/>
      <c r="U2213" s="100"/>
      <c r="V2213" s="100"/>
      <c r="W2213" s="100"/>
      <c r="X2213" s="100">
        <v>90200307</v>
      </c>
      <c r="Y2213" s="100">
        <v>-1</v>
      </c>
      <c r="Z2213" s="100">
        <v>2</v>
      </c>
      <c r="AA2213" s="100" t="s">
        <v>115</v>
      </c>
      <c r="AB2213" s="100" t="s">
        <v>115</v>
      </c>
      <c r="AC2213" s="100" t="s">
        <v>4572</v>
      </c>
      <c r="AD2213" s="100"/>
      <c r="AE2213" s="100"/>
      <c r="AF2213" s="100"/>
      <c r="AG2213" s="100"/>
      <c r="AH2213" s="100"/>
      <c r="AI2213" s="100" t="s">
        <v>115</v>
      </c>
      <c r="AJ2213" s="100"/>
      <c r="AK2213" s="100"/>
      <c r="AL2213" s="100"/>
      <c r="AM2213" s="100"/>
      <c r="AN2213" s="100"/>
      <c r="AO2213" s="100"/>
      <c r="AP2213" s="89" t="s">
        <v>115</v>
      </c>
    </row>
    <row r="2214" spans="1:42" s="89" customFormat="1" x14ac:dyDescent="0.15">
      <c r="A2214" s="100" t="s">
        <v>1</v>
      </c>
      <c r="B2214" s="101">
        <v>90200305</v>
      </c>
      <c r="C2214" s="101">
        <v>2003</v>
      </c>
      <c r="D2214" s="101">
        <v>20</v>
      </c>
      <c r="E2214" s="101"/>
      <c r="F2214" s="101" t="s">
        <v>115</v>
      </c>
      <c r="G2214" s="101" t="s">
        <v>115</v>
      </c>
      <c r="H2214" s="101" t="s">
        <v>4573</v>
      </c>
      <c r="I2214" s="101">
        <v>4</v>
      </c>
      <c r="J2214" s="100">
        <v>0</v>
      </c>
      <c r="K2214" s="100">
        <v>4</v>
      </c>
      <c r="L2214" s="100" t="s">
        <v>115</v>
      </c>
      <c r="M2214" s="102"/>
      <c r="N2214" s="100"/>
      <c r="O2214" s="100" t="s">
        <v>115</v>
      </c>
      <c r="P2214" s="101"/>
      <c r="Q2214" s="100">
        <v>12</v>
      </c>
      <c r="R2214" s="100" t="s">
        <v>115</v>
      </c>
      <c r="S2214" s="100"/>
      <c r="T2214" s="100"/>
      <c r="U2214" s="100"/>
      <c r="V2214" s="100"/>
      <c r="W2214" s="100"/>
      <c r="X2214" s="100">
        <v>90200309</v>
      </c>
      <c r="Y2214" s="100">
        <v>-1</v>
      </c>
      <c r="Z2214" s="100">
        <v>2</v>
      </c>
      <c r="AA2214" s="100" t="s">
        <v>115</v>
      </c>
      <c r="AB2214" s="100" t="s">
        <v>115</v>
      </c>
      <c r="AC2214" s="100" t="s">
        <v>115</v>
      </c>
      <c r="AD2214" s="100"/>
      <c r="AE2214" s="100"/>
      <c r="AF2214" s="100"/>
      <c r="AG2214" s="100"/>
      <c r="AH2214" s="100"/>
      <c r="AI2214" s="100" t="s">
        <v>115</v>
      </c>
      <c r="AJ2214" s="100"/>
      <c r="AK2214" s="100"/>
      <c r="AL2214" s="100"/>
      <c r="AM2214" s="100"/>
      <c r="AN2214" s="100"/>
      <c r="AO2214" s="100"/>
      <c r="AP2214" s="89" t="s">
        <v>115</v>
      </c>
    </row>
    <row r="2215" spans="1:42" s="89" customFormat="1" x14ac:dyDescent="0.15">
      <c r="A2215" s="100" t="s">
        <v>1</v>
      </c>
      <c r="B2215" s="101">
        <v>90200306</v>
      </c>
      <c r="C2215" s="101">
        <v>2003</v>
      </c>
      <c r="D2215" s="101">
        <v>20</v>
      </c>
      <c r="E2215" s="101"/>
      <c r="F2215" s="101" t="s">
        <v>115</v>
      </c>
      <c r="G2215" s="101" t="s">
        <v>115</v>
      </c>
      <c r="H2215" s="101" t="s">
        <v>4574</v>
      </c>
      <c r="I2215" s="101">
        <v>4</v>
      </c>
      <c r="J2215" s="100">
        <v>0</v>
      </c>
      <c r="K2215" s="100">
        <v>5</v>
      </c>
      <c r="L2215" s="100" t="s">
        <v>115</v>
      </c>
      <c r="M2215" s="102"/>
      <c r="N2215" s="100"/>
      <c r="O2215" s="100" t="s">
        <v>115</v>
      </c>
      <c r="P2215" s="101"/>
      <c r="Q2215" s="100">
        <v>12</v>
      </c>
      <c r="R2215" s="100" t="s">
        <v>115</v>
      </c>
      <c r="S2215" s="100"/>
      <c r="T2215" s="100"/>
      <c r="U2215" s="100"/>
      <c r="V2215" s="100"/>
      <c r="W2215" s="100"/>
      <c r="X2215" s="100">
        <v>90200313</v>
      </c>
      <c r="Y2215" s="100">
        <v>-1</v>
      </c>
      <c r="Z2215" s="100">
        <v>2</v>
      </c>
      <c r="AA2215" s="100" t="s">
        <v>115</v>
      </c>
      <c r="AB2215" s="100" t="s">
        <v>115</v>
      </c>
      <c r="AC2215" s="100" t="s">
        <v>4575</v>
      </c>
      <c r="AD2215" s="100"/>
      <c r="AE2215" s="100"/>
      <c r="AF2215" s="100"/>
      <c r="AG2215" s="100"/>
      <c r="AH2215" s="100"/>
      <c r="AI2215" s="100" t="s">
        <v>115</v>
      </c>
      <c r="AJ2215" s="100"/>
      <c r="AK2215" s="100"/>
      <c r="AL2215" s="100"/>
      <c r="AM2215" s="100"/>
      <c r="AN2215" s="100"/>
      <c r="AO2215" s="100"/>
      <c r="AP2215" s="89" t="s">
        <v>115</v>
      </c>
    </row>
    <row r="2216" spans="1:42" s="89" customFormat="1" x14ac:dyDescent="0.15">
      <c r="A2216" s="100" t="s">
        <v>1</v>
      </c>
      <c r="B2216" s="101">
        <v>90200307</v>
      </c>
      <c r="C2216" s="101">
        <v>2003</v>
      </c>
      <c r="D2216" s="101">
        <v>20</v>
      </c>
      <c r="E2216" s="101"/>
      <c r="F2216" s="101" t="s">
        <v>115</v>
      </c>
      <c r="G2216" s="101" t="s">
        <v>115</v>
      </c>
      <c r="H2216" s="101" t="s">
        <v>4576</v>
      </c>
      <c r="I2216" s="101">
        <v>4</v>
      </c>
      <c r="J2216" s="100">
        <v>0</v>
      </c>
      <c r="K2216" s="100">
        <v>0</v>
      </c>
      <c r="L2216" s="100" t="s">
        <v>115</v>
      </c>
      <c r="M2216" s="102"/>
      <c r="N2216" s="100"/>
      <c r="O2216" s="100" t="s">
        <v>115</v>
      </c>
      <c r="P2216" s="101"/>
      <c r="Q2216" s="100">
        <v>12</v>
      </c>
      <c r="R2216" s="100" t="s">
        <v>115</v>
      </c>
      <c r="S2216" s="100"/>
      <c r="T2216" s="100"/>
      <c r="U2216" s="100"/>
      <c r="V2216" s="100"/>
      <c r="W2216" s="100"/>
      <c r="X2216" s="100">
        <v>90200308</v>
      </c>
      <c r="Y2216" s="100" t="s">
        <v>115</v>
      </c>
      <c r="Z2216" s="100" t="s">
        <v>115</v>
      </c>
      <c r="AA2216" s="100" t="s">
        <v>115</v>
      </c>
      <c r="AB2216" s="100" t="s">
        <v>115</v>
      </c>
      <c r="AC2216" s="100" t="s">
        <v>115</v>
      </c>
      <c r="AD2216" s="100"/>
      <c r="AE2216" s="100"/>
      <c r="AF2216" s="100"/>
      <c r="AG2216" s="100"/>
      <c r="AH2216" s="100"/>
      <c r="AI2216" s="100" t="s">
        <v>115</v>
      </c>
      <c r="AJ2216" s="100"/>
      <c r="AK2216" s="100"/>
      <c r="AL2216" s="100"/>
      <c r="AM2216" s="100"/>
      <c r="AN2216" s="100"/>
      <c r="AO2216" s="100"/>
      <c r="AP2216" s="89" t="s">
        <v>115</v>
      </c>
    </row>
    <row r="2217" spans="1:42" s="89" customFormat="1" x14ac:dyDescent="0.15">
      <c r="A2217" s="100" t="s">
        <v>1</v>
      </c>
      <c r="B2217" s="101">
        <v>90200308</v>
      </c>
      <c r="C2217" s="101">
        <v>2003</v>
      </c>
      <c r="D2217" s="101">
        <v>20</v>
      </c>
      <c r="E2217" s="101"/>
      <c r="F2217" s="101" t="s">
        <v>931</v>
      </c>
      <c r="G2217" s="101" t="s">
        <v>115</v>
      </c>
      <c r="H2217" s="101" t="s">
        <v>4577</v>
      </c>
      <c r="I2217" s="101">
        <v>3</v>
      </c>
      <c r="J2217" s="100">
        <v>0</v>
      </c>
      <c r="K2217" s="100">
        <v>0</v>
      </c>
      <c r="L2217" s="100" t="s">
        <v>115</v>
      </c>
      <c r="M2217" s="102"/>
      <c r="N2217" s="100"/>
      <c r="O2217" s="100" t="s">
        <v>115</v>
      </c>
      <c r="P2217" s="101"/>
      <c r="Q2217" s="100">
        <v>12</v>
      </c>
      <c r="R2217" s="100">
        <v>156</v>
      </c>
      <c r="S2217" s="100"/>
      <c r="T2217" s="100"/>
      <c r="U2217" s="100"/>
      <c r="V2217" s="100"/>
      <c r="W2217" s="100"/>
      <c r="X2217" s="100">
        <v>90200321</v>
      </c>
      <c r="Y2217" s="100" t="s">
        <v>115</v>
      </c>
      <c r="Z2217" s="100" t="s">
        <v>115</v>
      </c>
      <c r="AA2217" s="100" t="s">
        <v>115</v>
      </c>
      <c r="AB2217" s="100" t="s">
        <v>115</v>
      </c>
      <c r="AC2217" s="100" t="s">
        <v>115</v>
      </c>
      <c r="AD2217" s="100"/>
      <c r="AE2217" s="100"/>
      <c r="AF2217" s="100"/>
      <c r="AG2217" s="100"/>
      <c r="AH2217" s="100"/>
      <c r="AI2217" s="100" t="s">
        <v>115</v>
      </c>
      <c r="AJ2217" s="100"/>
      <c r="AK2217" s="100"/>
      <c r="AL2217" s="100"/>
      <c r="AM2217" s="100"/>
      <c r="AN2217" s="100"/>
      <c r="AO2217" s="100"/>
      <c r="AP2217" s="89" t="s">
        <v>115</v>
      </c>
    </row>
    <row r="2218" spans="1:42" s="89" customFormat="1" x14ac:dyDescent="0.15">
      <c r="A2218" s="100" t="s">
        <v>1</v>
      </c>
      <c r="B2218" s="101">
        <v>90200309</v>
      </c>
      <c r="C2218" s="101">
        <v>2003</v>
      </c>
      <c r="D2218" s="101">
        <v>20</v>
      </c>
      <c r="E2218" s="101"/>
      <c r="F2218" s="101" t="s">
        <v>115</v>
      </c>
      <c r="G2218" s="101" t="s">
        <v>115</v>
      </c>
      <c r="H2218" s="101" t="s">
        <v>4578</v>
      </c>
      <c r="I2218" s="101">
        <v>4</v>
      </c>
      <c r="J2218" s="100">
        <v>0</v>
      </c>
      <c r="K2218" s="100">
        <v>0</v>
      </c>
      <c r="L2218" s="100" t="s">
        <v>115</v>
      </c>
      <c r="M2218" s="102"/>
      <c r="N2218" s="100"/>
      <c r="O2218" s="100" t="s">
        <v>115</v>
      </c>
      <c r="P2218" s="101"/>
      <c r="Q2218" s="100">
        <v>12</v>
      </c>
      <c r="R2218" s="100" t="s">
        <v>115</v>
      </c>
      <c r="S2218" s="100"/>
      <c r="T2218" s="100"/>
      <c r="U2218" s="100"/>
      <c r="V2218" s="100"/>
      <c r="W2218" s="100"/>
      <c r="X2218" s="100">
        <v>90200310</v>
      </c>
      <c r="Y2218" s="100" t="s">
        <v>115</v>
      </c>
      <c r="Z2218" s="100" t="s">
        <v>115</v>
      </c>
      <c r="AA2218" s="100" t="s">
        <v>115</v>
      </c>
      <c r="AB2218" s="100" t="s">
        <v>115</v>
      </c>
      <c r="AC2218" s="100" t="s">
        <v>115</v>
      </c>
      <c r="AD2218" s="100"/>
      <c r="AE2218" s="100"/>
      <c r="AF2218" s="100"/>
      <c r="AG2218" s="100"/>
      <c r="AH2218" s="100"/>
      <c r="AI2218" s="100" t="s">
        <v>115</v>
      </c>
      <c r="AJ2218" s="100"/>
      <c r="AK2218" s="100"/>
      <c r="AL2218" s="100"/>
      <c r="AM2218" s="100"/>
      <c r="AN2218" s="100"/>
      <c r="AO2218" s="100"/>
      <c r="AP2218" s="89" t="s">
        <v>115</v>
      </c>
    </row>
    <row r="2219" spans="1:42" s="89" customFormat="1" x14ac:dyDescent="0.15">
      <c r="A2219" s="100" t="s">
        <v>1</v>
      </c>
      <c r="B2219" s="101">
        <v>90200310</v>
      </c>
      <c r="C2219" s="101">
        <v>2003</v>
      </c>
      <c r="D2219" s="101">
        <v>20</v>
      </c>
      <c r="E2219" s="101"/>
      <c r="F2219" s="101" t="s">
        <v>931</v>
      </c>
      <c r="G2219" s="101" t="s">
        <v>115</v>
      </c>
      <c r="H2219" s="101" t="s">
        <v>4579</v>
      </c>
      <c r="I2219" s="101">
        <v>3</v>
      </c>
      <c r="J2219" s="100">
        <v>0</v>
      </c>
      <c r="K2219" s="100">
        <v>0</v>
      </c>
      <c r="L2219" s="100" t="s">
        <v>115</v>
      </c>
      <c r="M2219" s="102"/>
      <c r="N2219" s="100"/>
      <c r="O2219" s="100" t="s">
        <v>115</v>
      </c>
      <c r="P2219" s="101"/>
      <c r="Q2219" s="100">
        <v>12</v>
      </c>
      <c r="R2219" s="100">
        <v>156</v>
      </c>
      <c r="S2219" s="100"/>
      <c r="T2219" s="100"/>
      <c r="U2219" s="100"/>
      <c r="V2219" s="100"/>
      <c r="W2219" s="100"/>
      <c r="X2219" s="100">
        <v>90200311</v>
      </c>
      <c r="Y2219" s="100" t="s">
        <v>115</v>
      </c>
      <c r="Z2219" s="100" t="s">
        <v>115</v>
      </c>
      <c r="AA2219" s="100" t="s">
        <v>115</v>
      </c>
      <c r="AB2219" s="100" t="s">
        <v>115</v>
      </c>
      <c r="AC2219" s="100" t="s">
        <v>115</v>
      </c>
      <c r="AD2219" s="100"/>
      <c r="AE2219" s="100"/>
      <c r="AF2219" s="100"/>
      <c r="AG2219" s="100"/>
      <c r="AH2219" s="100"/>
      <c r="AI2219" s="100" t="s">
        <v>115</v>
      </c>
      <c r="AJ2219" s="100"/>
      <c r="AK2219" s="100"/>
      <c r="AL2219" s="100"/>
      <c r="AM2219" s="100"/>
      <c r="AN2219" s="100"/>
      <c r="AO2219" s="100"/>
      <c r="AP2219" s="89" t="s">
        <v>115</v>
      </c>
    </row>
    <row r="2220" spans="1:42" s="89" customFormat="1" x14ac:dyDescent="0.15">
      <c r="A2220" s="100" t="s">
        <v>1</v>
      </c>
      <c r="B2220" s="101">
        <v>90200311</v>
      </c>
      <c r="C2220" s="101">
        <v>2003</v>
      </c>
      <c r="D2220" s="101">
        <v>20</v>
      </c>
      <c r="E2220" s="101"/>
      <c r="F2220" s="101" t="s">
        <v>115</v>
      </c>
      <c r="G2220" s="101" t="s">
        <v>115</v>
      </c>
      <c r="H2220" s="101" t="s">
        <v>4580</v>
      </c>
      <c r="I2220" s="101">
        <v>4</v>
      </c>
      <c r="J2220" s="100">
        <v>0</v>
      </c>
      <c r="K2220" s="100">
        <v>0</v>
      </c>
      <c r="L2220" s="100" t="s">
        <v>115</v>
      </c>
      <c r="M2220" s="102"/>
      <c r="N2220" s="100"/>
      <c r="O2220" s="100" t="s">
        <v>115</v>
      </c>
      <c r="P2220" s="101"/>
      <c r="Q2220" s="100">
        <v>12</v>
      </c>
      <c r="R2220" s="100">
        <v>156</v>
      </c>
      <c r="S2220" s="100"/>
      <c r="T2220" s="100"/>
      <c r="U2220" s="100"/>
      <c r="V2220" s="100"/>
      <c r="W2220" s="100"/>
      <c r="X2220" s="100">
        <v>90200312</v>
      </c>
      <c r="Y2220" s="100" t="s">
        <v>115</v>
      </c>
      <c r="Z2220" s="100" t="s">
        <v>115</v>
      </c>
      <c r="AA2220" s="100" t="s">
        <v>115</v>
      </c>
      <c r="AB2220" s="100" t="s">
        <v>115</v>
      </c>
      <c r="AC2220" s="100" t="s">
        <v>115</v>
      </c>
      <c r="AD2220" s="100"/>
      <c r="AE2220" s="100"/>
      <c r="AF2220" s="100"/>
      <c r="AG2220" s="100"/>
      <c r="AH2220" s="100"/>
      <c r="AI2220" s="100" t="s">
        <v>115</v>
      </c>
      <c r="AJ2220" s="100"/>
      <c r="AK2220" s="100"/>
      <c r="AL2220" s="100"/>
      <c r="AM2220" s="100"/>
      <c r="AN2220" s="100"/>
      <c r="AO2220" s="100"/>
      <c r="AP2220" s="89" t="s">
        <v>115</v>
      </c>
    </row>
    <row r="2221" spans="1:42" s="89" customFormat="1" x14ac:dyDescent="0.15">
      <c r="A2221" s="100" t="s">
        <v>1</v>
      </c>
      <c r="B2221" s="101">
        <v>90200312</v>
      </c>
      <c r="C2221" s="101">
        <v>2003</v>
      </c>
      <c r="D2221" s="101">
        <v>20</v>
      </c>
      <c r="E2221" s="101"/>
      <c r="F2221" s="101" t="s">
        <v>116</v>
      </c>
      <c r="G2221" s="101">
        <v>308</v>
      </c>
      <c r="H2221" s="101" t="s">
        <v>4581</v>
      </c>
      <c r="I2221" s="101">
        <v>2</v>
      </c>
      <c r="J2221" s="100">
        <v>0</v>
      </c>
      <c r="K2221" s="100">
        <v>0</v>
      </c>
      <c r="L2221" s="100" t="s">
        <v>115</v>
      </c>
      <c r="M2221" s="102"/>
      <c r="N2221" s="100"/>
      <c r="O2221" s="100" t="s">
        <v>115</v>
      </c>
      <c r="P2221" s="101"/>
      <c r="Q2221" s="100">
        <v>12</v>
      </c>
      <c r="R2221" s="100">
        <v>156</v>
      </c>
      <c r="S2221" s="100"/>
      <c r="T2221" s="100"/>
      <c r="U2221" s="100"/>
      <c r="V2221" s="100"/>
      <c r="W2221" s="100"/>
      <c r="X2221" s="100">
        <v>90200303</v>
      </c>
      <c r="Y2221" s="100" t="s">
        <v>115</v>
      </c>
      <c r="Z2221" s="100" t="s">
        <v>115</v>
      </c>
      <c r="AA2221" s="100" t="s">
        <v>115</v>
      </c>
      <c r="AB2221" s="100" t="s">
        <v>115</v>
      </c>
      <c r="AC2221" s="100" t="s">
        <v>115</v>
      </c>
      <c r="AD2221" s="100"/>
      <c r="AE2221" s="100"/>
      <c r="AF2221" s="100"/>
      <c r="AG2221" s="100"/>
      <c r="AH2221" s="100"/>
      <c r="AI2221" s="100" t="s">
        <v>115</v>
      </c>
      <c r="AJ2221" s="100"/>
      <c r="AK2221" s="100"/>
      <c r="AL2221" s="100"/>
      <c r="AM2221" s="100"/>
      <c r="AN2221" s="100"/>
      <c r="AO2221" s="100"/>
      <c r="AP2221" s="89" t="s">
        <v>115</v>
      </c>
    </row>
    <row r="2222" spans="1:42" s="89" customFormat="1" x14ac:dyDescent="0.15">
      <c r="A2222" s="100" t="s">
        <v>1</v>
      </c>
      <c r="B2222" s="101">
        <v>90200313</v>
      </c>
      <c r="C2222" s="101">
        <v>2003</v>
      </c>
      <c r="D2222" s="101">
        <v>20</v>
      </c>
      <c r="E2222" s="101"/>
      <c r="F2222" s="101" t="s">
        <v>115</v>
      </c>
      <c r="G2222" s="101" t="s">
        <v>115</v>
      </c>
      <c r="H2222" s="101" t="s">
        <v>4582</v>
      </c>
      <c r="I2222" s="101">
        <v>4</v>
      </c>
      <c r="J2222" s="100">
        <v>0</v>
      </c>
      <c r="K2222" s="100">
        <v>0</v>
      </c>
      <c r="L2222" s="100" t="s">
        <v>115</v>
      </c>
      <c r="M2222" s="102"/>
      <c r="N2222" s="100"/>
      <c r="O2222" s="100" t="s">
        <v>115</v>
      </c>
      <c r="P2222" s="101"/>
      <c r="Q2222" s="100">
        <v>12</v>
      </c>
      <c r="R2222" s="100" t="s">
        <v>115</v>
      </c>
      <c r="S2222" s="100"/>
      <c r="T2222" s="100"/>
      <c r="U2222" s="100"/>
      <c r="V2222" s="100"/>
      <c r="W2222" s="100"/>
      <c r="X2222" s="100">
        <v>90200314</v>
      </c>
      <c r="Y2222" s="100" t="s">
        <v>115</v>
      </c>
      <c r="Z2222" s="100" t="s">
        <v>115</v>
      </c>
      <c r="AA2222" s="100" t="s">
        <v>115</v>
      </c>
      <c r="AB2222" s="100" t="s">
        <v>115</v>
      </c>
      <c r="AC2222" s="100" t="s">
        <v>115</v>
      </c>
      <c r="AD2222" s="100"/>
      <c r="AE2222" s="100"/>
      <c r="AF2222" s="100"/>
      <c r="AG2222" s="100"/>
      <c r="AH2222" s="100"/>
      <c r="AI2222" s="100" t="s">
        <v>115</v>
      </c>
      <c r="AJ2222" s="100"/>
      <c r="AK2222" s="100"/>
      <c r="AL2222" s="100"/>
      <c r="AM2222" s="100"/>
      <c r="AN2222" s="100"/>
      <c r="AO2222" s="100"/>
      <c r="AP2222" s="89" t="s">
        <v>115</v>
      </c>
    </row>
    <row r="2223" spans="1:42" s="89" customFormat="1" x14ac:dyDescent="0.15">
      <c r="A2223" s="100" t="s">
        <v>1</v>
      </c>
      <c r="B2223" s="101">
        <v>90200314</v>
      </c>
      <c r="C2223" s="101">
        <v>2003</v>
      </c>
      <c r="D2223" s="101">
        <v>20</v>
      </c>
      <c r="E2223" s="101"/>
      <c r="F2223" s="101" t="s">
        <v>115</v>
      </c>
      <c r="G2223" s="101" t="s">
        <v>115</v>
      </c>
      <c r="H2223" s="101" t="s">
        <v>4583</v>
      </c>
      <c r="I2223" s="101">
        <v>4</v>
      </c>
      <c r="J2223" s="100">
        <v>0</v>
      </c>
      <c r="K2223" s="100">
        <v>0</v>
      </c>
      <c r="L2223" s="100" t="s">
        <v>115</v>
      </c>
      <c r="M2223" s="102"/>
      <c r="N2223" s="100"/>
      <c r="O2223" s="100" t="s">
        <v>115</v>
      </c>
      <c r="P2223" s="101"/>
      <c r="Q2223" s="100">
        <v>12</v>
      </c>
      <c r="R2223" s="100" t="s">
        <v>115</v>
      </c>
      <c r="S2223" s="100"/>
      <c r="T2223" s="100"/>
      <c r="U2223" s="100"/>
      <c r="V2223" s="100"/>
      <c r="W2223" s="100"/>
      <c r="X2223" s="100">
        <v>90200315</v>
      </c>
      <c r="Y2223" s="100" t="s">
        <v>115</v>
      </c>
      <c r="Z2223" s="100" t="s">
        <v>115</v>
      </c>
      <c r="AA2223" s="100" t="s">
        <v>115</v>
      </c>
      <c r="AB2223" s="100" t="s">
        <v>115</v>
      </c>
      <c r="AC2223" s="100" t="s">
        <v>115</v>
      </c>
      <c r="AD2223" s="100"/>
      <c r="AE2223" s="100"/>
      <c r="AF2223" s="100"/>
      <c r="AG2223" s="100"/>
      <c r="AH2223" s="100"/>
      <c r="AI2223" s="100" t="s">
        <v>115</v>
      </c>
      <c r="AJ2223" s="100"/>
      <c r="AK2223" s="100"/>
      <c r="AL2223" s="100"/>
      <c r="AM2223" s="100"/>
      <c r="AN2223" s="100"/>
      <c r="AO2223" s="100"/>
      <c r="AP2223" s="89" t="s">
        <v>115</v>
      </c>
    </row>
    <row r="2224" spans="1:42" s="89" customFormat="1" x14ac:dyDescent="0.15">
      <c r="A2224" s="100" t="s">
        <v>1</v>
      </c>
      <c r="B2224" s="101">
        <v>90200315</v>
      </c>
      <c r="C2224" s="101">
        <v>2003</v>
      </c>
      <c r="D2224" s="101">
        <v>20</v>
      </c>
      <c r="E2224" s="101"/>
      <c r="F2224" s="101" t="s">
        <v>116</v>
      </c>
      <c r="G2224" s="101">
        <v>308</v>
      </c>
      <c r="H2224" s="101" t="s">
        <v>4584</v>
      </c>
      <c r="I2224" s="101">
        <v>2</v>
      </c>
      <c r="J2224" s="100">
        <v>0</v>
      </c>
      <c r="K2224" s="100">
        <v>0</v>
      </c>
      <c r="L2224" s="100" t="s">
        <v>115</v>
      </c>
      <c r="M2224" s="102"/>
      <c r="N2224" s="100"/>
      <c r="O2224" s="100" t="s">
        <v>115</v>
      </c>
      <c r="P2224" s="101"/>
      <c r="Q2224" s="100">
        <v>12</v>
      </c>
      <c r="R2224" s="100" t="s">
        <v>115</v>
      </c>
      <c r="S2224" s="100"/>
      <c r="T2224" s="100"/>
      <c r="U2224" s="100"/>
      <c r="V2224" s="100"/>
      <c r="W2224" s="100"/>
      <c r="X2224" s="100">
        <v>90200316</v>
      </c>
      <c r="Y2224" s="100" t="s">
        <v>115</v>
      </c>
      <c r="Z2224" s="100" t="s">
        <v>115</v>
      </c>
      <c r="AA2224" s="100" t="s">
        <v>115</v>
      </c>
      <c r="AB2224" s="100" t="s">
        <v>115</v>
      </c>
      <c r="AC2224" s="100" t="s">
        <v>115</v>
      </c>
      <c r="AD2224" s="100"/>
      <c r="AE2224" s="100"/>
      <c r="AF2224" s="100"/>
      <c r="AG2224" s="100"/>
      <c r="AH2224" s="100"/>
      <c r="AI2224" s="100" t="s">
        <v>115</v>
      </c>
      <c r="AJ2224" s="100"/>
      <c r="AK2224" s="100"/>
      <c r="AL2224" s="100"/>
      <c r="AM2224" s="100"/>
      <c r="AN2224" s="100"/>
      <c r="AO2224" s="100"/>
      <c r="AP2224" s="89" t="s">
        <v>115</v>
      </c>
    </row>
    <row r="2225" spans="1:42" s="89" customFormat="1" x14ac:dyDescent="0.15">
      <c r="A2225" s="100" t="s">
        <v>1</v>
      </c>
      <c r="B2225" s="101">
        <v>90200316</v>
      </c>
      <c r="C2225" s="101">
        <v>2003</v>
      </c>
      <c r="D2225" s="101">
        <v>20</v>
      </c>
      <c r="E2225" s="101"/>
      <c r="F2225" s="101" t="s">
        <v>115</v>
      </c>
      <c r="G2225" s="101" t="s">
        <v>115</v>
      </c>
      <c r="H2225" s="101" t="s">
        <v>4585</v>
      </c>
      <c r="I2225" s="101">
        <v>4</v>
      </c>
      <c r="J2225" s="100">
        <v>0</v>
      </c>
      <c r="K2225" s="100">
        <v>0</v>
      </c>
      <c r="L2225" s="100" t="s">
        <v>115</v>
      </c>
      <c r="M2225" s="102"/>
      <c r="N2225" s="100"/>
      <c r="O2225" s="100" t="s">
        <v>115</v>
      </c>
      <c r="P2225" s="101"/>
      <c r="Q2225" s="100">
        <v>12</v>
      </c>
      <c r="R2225" s="100">
        <v>98</v>
      </c>
      <c r="S2225" s="100"/>
      <c r="T2225" s="100"/>
      <c r="U2225" s="100"/>
      <c r="V2225" s="100"/>
      <c r="W2225" s="100"/>
      <c r="X2225" s="100">
        <v>90200317</v>
      </c>
      <c r="Y2225" s="100" t="s">
        <v>115</v>
      </c>
      <c r="Z2225" s="100" t="s">
        <v>115</v>
      </c>
      <c r="AA2225" s="100" t="s">
        <v>115</v>
      </c>
      <c r="AB2225" s="100" t="s">
        <v>115</v>
      </c>
      <c r="AC2225" s="100" t="s">
        <v>115</v>
      </c>
      <c r="AD2225" s="100"/>
      <c r="AE2225" s="100"/>
      <c r="AF2225" s="100"/>
      <c r="AG2225" s="100"/>
      <c r="AH2225" s="100"/>
      <c r="AI2225" s="100" t="s">
        <v>115</v>
      </c>
      <c r="AJ2225" s="100"/>
      <c r="AK2225" s="100"/>
      <c r="AL2225" s="100"/>
      <c r="AM2225" s="100"/>
      <c r="AN2225" s="100"/>
      <c r="AO2225" s="100"/>
      <c r="AP2225" s="89" t="s">
        <v>115</v>
      </c>
    </row>
    <row r="2226" spans="1:42" s="89" customFormat="1" x14ac:dyDescent="0.15">
      <c r="A2226" s="100" t="s">
        <v>1</v>
      </c>
      <c r="B2226" s="101">
        <v>90200317</v>
      </c>
      <c r="C2226" s="101">
        <v>2003</v>
      </c>
      <c r="D2226" s="101">
        <v>20</v>
      </c>
      <c r="E2226" s="101"/>
      <c r="F2226" s="101" t="s">
        <v>4586</v>
      </c>
      <c r="G2226" s="101" t="s">
        <v>115</v>
      </c>
      <c r="H2226" s="101" t="s">
        <v>4587</v>
      </c>
      <c r="I2226" s="101">
        <v>3</v>
      </c>
      <c r="J2226" s="100">
        <v>0</v>
      </c>
      <c r="K2226" s="100">
        <v>0</v>
      </c>
      <c r="L2226" s="100" t="s">
        <v>115</v>
      </c>
      <c r="M2226" s="102"/>
      <c r="N2226" s="100"/>
      <c r="O2226" s="100" t="s">
        <v>115</v>
      </c>
      <c r="P2226" s="101"/>
      <c r="Q2226" s="100">
        <v>12</v>
      </c>
      <c r="R2226" s="100">
        <v>98</v>
      </c>
      <c r="S2226" s="100"/>
      <c r="T2226" s="100"/>
      <c r="U2226" s="100"/>
      <c r="V2226" s="100"/>
      <c r="W2226" s="100"/>
      <c r="X2226" s="100">
        <v>90200318</v>
      </c>
      <c r="Y2226" s="100" t="s">
        <v>115</v>
      </c>
      <c r="Z2226" s="100" t="s">
        <v>115</v>
      </c>
      <c r="AA2226" s="100" t="s">
        <v>115</v>
      </c>
      <c r="AB2226" s="100" t="s">
        <v>115</v>
      </c>
      <c r="AC2226" s="100" t="s">
        <v>115</v>
      </c>
      <c r="AD2226" s="100"/>
      <c r="AE2226" s="100"/>
      <c r="AF2226" s="100"/>
      <c r="AG2226" s="100"/>
      <c r="AH2226" s="100"/>
      <c r="AI2226" s="100" t="s">
        <v>115</v>
      </c>
      <c r="AJ2226" s="100"/>
      <c r="AK2226" s="100"/>
      <c r="AL2226" s="100"/>
      <c r="AM2226" s="100"/>
      <c r="AN2226" s="100"/>
      <c r="AO2226" s="100"/>
      <c r="AP2226" s="89" t="s">
        <v>115</v>
      </c>
    </row>
    <row r="2227" spans="1:42" s="89" customFormat="1" x14ac:dyDescent="0.15">
      <c r="A2227" s="100" t="s">
        <v>1</v>
      </c>
      <c r="B2227" s="101">
        <v>90200318</v>
      </c>
      <c r="C2227" s="101">
        <v>2003</v>
      </c>
      <c r="D2227" s="101">
        <v>20</v>
      </c>
      <c r="E2227" s="101"/>
      <c r="F2227" s="101" t="s">
        <v>4586</v>
      </c>
      <c r="G2227" s="101" t="s">
        <v>115</v>
      </c>
      <c r="H2227" s="101" t="s">
        <v>4588</v>
      </c>
      <c r="I2227" s="101">
        <v>3</v>
      </c>
      <c r="J2227" s="100">
        <v>0</v>
      </c>
      <c r="K2227" s="100">
        <v>0</v>
      </c>
      <c r="L2227" s="100" t="s">
        <v>115</v>
      </c>
      <c r="M2227" s="102"/>
      <c r="N2227" s="100"/>
      <c r="O2227" s="100" t="s">
        <v>115</v>
      </c>
      <c r="P2227" s="101"/>
      <c r="Q2227" s="100">
        <v>12</v>
      </c>
      <c r="R2227" s="100">
        <v>98</v>
      </c>
      <c r="S2227" s="100"/>
      <c r="T2227" s="100"/>
      <c r="U2227" s="100"/>
      <c r="V2227" s="100"/>
      <c r="W2227" s="100"/>
      <c r="X2227" s="100">
        <v>90200319</v>
      </c>
      <c r="Y2227" s="100" t="s">
        <v>115</v>
      </c>
      <c r="Z2227" s="100" t="s">
        <v>115</v>
      </c>
      <c r="AA2227" s="100" t="s">
        <v>115</v>
      </c>
      <c r="AB2227" s="100" t="s">
        <v>115</v>
      </c>
      <c r="AC2227" s="100" t="s">
        <v>115</v>
      </c>
      <c r="AD2227" s="100"/>
      <c r="AE2227" s="100"/>
      <c r="AF2227" s="100"/>
      <c r="AG2227" s="100"/>
      <c r="AH2227" s="100"/>
      <c r="AI2227" s="100" t="s">
        <v>115</v>
      </c>
      <c r="AJ2227" s="100"/>
      <c r="AK2227" s="100"/>
      <c r="AL2227" s="100"/>
      <c r="AM2227" s="100"/>
      <c r="AN2227" s="100"/>
      <c r="AO2227" s="100"/>
      <c r="AP2227" s="89" t="s">
        <v>115</v>
      </c>
    </row>
    <row r="2228" spans="1:42" s="89" customFormat="1" x14ac:dyDescent="0.15">
      <c r="A2228" s="100" t="s">
        <v>1</v>
      </c>
      <c r="B2228" s="101">
        <v>90200319</v>
      </c>
      <c r="C2228" s="101">
        <v>2003</v>
      </c>
      <c r="D2228" s="101">
        <v>20</v>
      </c>
      <c r="E2228" s="101"/>
      <c r="F2228" s="101" t="s">
        <v>4586</v>
      </c>
      <c r="G2228" s="101" t="s">
        <v>115</v>
      </c>
      <c r="H2228" s="101" t="s">
        <v>4589</v>
      </c>
      <c r="I2228" s="101">
        <v>3</v>
      </c>
      <c r="J2228" s="100">
        <v>0</v>
      </c>
      <c r="K2228" s="100">
        <v>6</v>
      </c>
      <c r="L2228" s="100" t="s">
        <v>4590</v>
      </c>
      <c r="M2228" s="102"/>
      <c r="N2228" s="100"/>
      <c r="O2228" s="100" t="s">
        <v>115</v>
      </c>
      <c r="P2228" s="101"/>
      <c r="Q2228" s="100">
        <v>12</v>
      </c>
      <c r="R2228" s="100">
        <v>98</v>
      </c>
      <c r="S2228" s="100"/>
      <c r="T2228" s="100"/>
      <c r="U2228" s="100"/>
      <c r="V2228" s="100"/>
      <c r="W2228" s="100"/>
      <c r="X2228" s="100">
        <v>90200320</v>
      </c>
      <c r="Y2228" s="100" t="s">
        <v>115</v>
      </c>
      <c r="Z2228" s="100">
        <v>5</v>
      </c>
      <c r="AA2228" s="100" t="s">
        <v>115</v>
      </c>
      <c r="AB2228" s="100" t="s">
        <v>115</v>
      </c>
      <c r="AC2228" s="100" t="s">
        <v>115</v>
      </c>
      <c r="AD2228" s="100"/>
      <c r="AE2228" s="100"/>
      <c r="AF2228" s="100"/>
      <c r="AG2228" s="100"/>
      <c r="AH2228" s="100"/>
      <c r="AI2228" s="100" t="s">
        <v>115</v>
      </c>
      <c r="AJ2228" s="100"/>
      <c r="AK2228" s="100"/>
      <c r="AL2228" s="100"/>
      <c r="AM2228" s="100"/>
      <c r="AN2228" s="100"/>
      <c r="AO2228" s="100"/>
      <c r="AP2228" s="89" t="s">
        <v>115</v>
      </c>
    </row>
    <row r="2229" spans="1:42" s="89" customFormat="1" x14ac:dyDescent="0.15">
      <c r="A2229" s="100" t="s">
        <v>1</v>
      </c>
      <c r="B2229" s="101">
        <v>90200320</v>
      </c>
      <c r="C2229" s="101">
        <v>2003</v>
      </c>
      <c r="D2229" s="101">
        <v>20</v>
      </c>
      <c r="E2229" s="101"/>
      <c r="F2229" s="101" t="s">
        <v>116</v>
      </c>
      <c r="G2229" s="101">
        <v>313</v>
      </c>
      <c r="H2229" s="101" t="s">
        <v>4591</v>
      </c>
      <c r="I2229" s="101">
        <v>2</v>
      </c>
      <c r="J2229" s="100">
        <v>0</v>
      </c>
      <c r="K2229" s="100">
        <v>0</v>
      </c>
      <c r="L2229" s="100" t="s">
        <v>115</v>
      </c>
      <c r="M2229" s="102"/>
      <c r="N2229" s="100"/>
      <c r="O2229" s="100" t="s">
        <v>115</v>
      </c>
      <c r="P2229" s="101"/>
      <c r="Q2229" s="100">
        <v>12</v>
      </c>
      <c r="R2229" s="100">
        <v>98</v>
      </c>
      <c r="S2229" s="100"/>
      <c r="T2229" s="100"/>
      <c r="U2229" s="100"/>
      <c r="V2229" s="100"/>
      <c r="W2229" s="100"/>
      <c r="X2229" s="100">
        <v>90200303</v>
      </c>
      <c r="Y2229" s="100" t="s">
        <v>115</v>
      </c>
      <c r="Z2229" s="100" t="s">
        <v>115</v>
      </c>
      <c r="AA2229" s="100" t="s">
        <v>115</v>
      </c>
      <c r="AB2229" s="100" t="s">
        <v>115</v>
      </c>
      <c r="AC2229" s="100" t="s">
        <v>115</v>
      </c>
      <c r="AD2229" s="100"/>
      <c r="AE2229" s="100"/>
      <c r="AF2229" s="100"/>
      <c r="AG2229" s="100"/>
      <c r="AH2229" s="100"/>
      <c r="AI2229" s="100" t="s">
        <v>115</v>
      </c>
      <c r="AJ2229" s="100"/>
      <c r="AK2229" s="100"/>
      <c r="AL2229" s="100"/>
      <c r="AM2229" s="100"/>
      <c r="AN2229" s="100"/>
      <c r="AO2229" s="100"/>
      <c r="AP2229" s="89" t="s">
        <v>115</v>
      </c>
    </row>
    <row r="2230" spans="1:42" s="89" customFormat="1" x14ac:dyDescent="0.15">
      <c r="A2230" s="100" t="s">
        <v>1</v>
      </c>
      <c r="B2230" s="101">
        <v>90200321</v>
      </c>
      <c r="C2230" s="101">
        <v>2003</v>
      </c>
      <c r="D2230" s="101">
        <v>20</v>
      </c>
      <c r="E2230" s="101"/>
      <c r="F2230" s="101" t="s">
        <v>115</v>
      </c>
      <c r="G2230" s="101" t="s">
        <v>115</v>
      </c>
      <c r="H2230" s="101" t="s">
        <v>4592</v>
      </c>
      <c r="I2230" s="101">
        <v>4</v>
      </c>
      <c r="J2230" s="100">
        <v>0</v>
      </c>
      <c r="K2230" s="100">
        <v>0</v>
      </c>
      <c r="L2230" s="100" t="s">
        <v>115</v>
      </c>
      <c r="M2230" s="102"/>
      <c r="N2230" s="100"/>
      <c r="O2230" s="100" t="s">
        <v>115</v>
      </c>
      <c r="P2230" s="101"/>
      <c r="Q2230" s="100">
        <v>138</v>
      </c>
      <c r="R2230" s="100" t="s">
        <v>115</v>
      </c>
      <c r="S2230" s="100"/>
      <c r="T2230" s="100"/>
      <c r="U2230" s="100"/>
      <c r="V2230" s="100"/>
      <c r="W2230" s="100"/>
      <c r="X2230" s="100">
        <v>90200322</v>
      </c>
      <c r="Y2230" s="100" t="s">
        <v>115</v>
      </c>
      <c r="Z2230" s="100" t="s">
        <v>115</v>
      </c>
      <c r="AA2230" s="100" t="s">
        <v>115</v>
      </c>
      <c r="AB2230" s="100" t="s">
        <v>115</v>
      </c>
      <c r="AC2230" s="100" t="s">
        <v>115</v>
      </c>
      <c r="AD2230" s="100"/>
      <c r="AE2230" s="100"/>
      <c r="AF2230" s="100"/>
      <c r="AG2230" s="100"/>
      <c r="AH2230" s="100"/>
      <c r="AI2230" s="100" t="s">
        <v>115</v>
      </c>
      <c r="AJ2230" s="100"/>
      <c r="AK2230" s="100"/>
      <c r="AL2230" s="100"/>
      <c r="AM2230" s="100"/>
      <c r="AN2230" s="100"/>
      <c r="AO2230" s="100"/>
      <c r="AP2230" s="89" t="s">
        <v>115</v>
      </c>
    </row>
    <row r="2231" spans="1:42" s="89" customFormat="1" x14ac:dyDescent="0.15">
      <c r="A2231" s="100" t="s">
        <v>1</v>
      </c>
      <c r="B2231" s="101">
        <v>90200322</v>
      </c>
      <c r="C2231" s="101">
        <v>2003</v>
      </c>
      <c r="D2231" s="101">
        <v>20</v>
      </c>
      <c r="E2231" s="101"/>
      <c r="F2231" s="101" t="s">
        <v>4593</v>
      </c>
      <c r="G2231" s="101" t="s">
        <v>115</v>
      </c>
      <c r="H2231" s="101" t="s">
        <v>4594</v>
      </c>
      <c r="I2231" s="101">
        <v>3</v>
      </c>
      <c r="J2231" s="100">
        <v>0</v>
      </c>
      <c r="K2231" s="100">
        <v>0</v>
      </c>
      <c r="L2231" s="100" t="s">
        <v>115</v>
      </c>
      <c r="M2231" s="102"/>
      <c r="N2231" s="100"/>
      <c r="O2231" s="100" t="s">
        <v>115</v>
      </c>
      <c r="P2231" s="101"/>
      <c r="Q2231" s="100">
        <v>138</v>
      </c>
      <c r="R2231" s="100">
        <v>241</v>
      </c>
      <c r="S2231" s="100"/>
      <c r="T2231" s="100"/>
      <c r="U2231" s="100"/>
      <c r="V2231" s="100"/>
      <c r="W2231" s="100"/>
      <c r="X2231" s="100">
        <v>90200323</v>
      </c>
      <c r="Y2231" s="100" t="s">
        <v>115</v>
      </c>
      <c r="Z2231" s="100" t="s">
        <v>115</v>
      </c>
      <c r="AA2231" s="100" t="s">
        <v>115</v>
      </c>
      <c r="AB2231" s="100" t="s">
        <v>115</v>
      </c>
      <c r="AC2231" s="100" t="s">
        <v>115</v>
      </c>
      <c r="AD2231" s="100"/>
      <c r="AE2231" s="100"/>
      <c r="AF2231" s="100"/>
      <c r="AG2231" s="100"/>
      <c r="AH2231" s="100"/>
      <c r="AI2231" s="100" t="s">
        <v>115</v>
      </c>
      <c r="AJ2231" s="100"/>
      <c r="AK2231" s="100"/>
      <c r="AL2231" s="100"/>
      <c r="AM2231" s="100"/>
      <c r="AN2231" s="100"/>
      <c r="AO2231" s="100"/>
      <c r="AP2231" s="89" t="s">
        <v>115</v>
      </c>
    </row>
    <row r="2232" spans="1:42" s="89" customFormat="1" x14ac:dyDescent="0.15">
      <c r="A2232" s="100" t="s">
        <v>1</v>
      </c>
      <c r="B2232" s="101">
        <v>90200323</v>
      </c>
      <c r="C2232" s="101">
        <v>2003</v>
      </c>
      <c r="D2232" s="101">
        <v>20</v>
      </c>
      <c r="E2232" s="101"/>
      <c r="F2232" s="101" t="s">
        <v>116</v>
      </c>
      <c r="G2232" s="101">
        <v>314</v>
      </c>
      <c r="H2232" s="101" t="s">
        <v>4595</v>
      </c>
      <c r="I2232" s="101">
        <v>2</v>
      </c>
      <c r="J2232" s="100">
        <v>0</v>
      </c>
      <c r="K2232" s="100">
        <v>0</v>
      </c>
      <c r="L2232" s="100" t="s">
        <v>115</v>
      </c>
      <c r="M2232" s="102"/>
      <c r="N2232" s="100"/>
      <c r="O2232" s="100" t="s">
        <v>115</v>
      </c>
      <c r="P2232" s="101"/>
      <c r="Q2232" s="100">
        <v>138</v>
      </c>
      <c r="R2232" s="100">
        <v>241</v>
      </c>
      <c r="S2232" s="100"/>
      <c r="T2232" s="100"/>
      <c r="U2232" s="100"/>
      <c r="V2232" s="100"/>
      <c r="W2232" s="100"/>
      <c r="X2232" s="100">
        <v>90200324</v>
      </c>
      <c r="Y2232" s="100" t="s">
        <v>115</v>
      </c>
      <c r="Z2232" s="100" t="s">
        <v>115</v>
      </c>
      <c r="AA2232" s="100" t="s">
        <v>115</v>
      </c>
      <c r="AB2232" s="100" t="s">
        <v>115</v>
      </c>
      <c r="AC2232" s="100" t="s">
        <v>115</v>
      </c>
      <c r="AD2232" s="100"/>
      <c r="AE2232" s="100"/>
      <c r="AF2232" s="100"/>
      <c r="AG2232" s="100"/>
      <c r="AH2232" s="100"/>
      <c r="AI2232" s="100" t="s">
        <v>115</v>
      </c>
      <c r="AJ2232" s="100"/>
      <c r="AK2232" s="100"/>
      <c r="AL2232" s="100"/>
      <c r="AM2232" s="100"/>
      <c r="AN2232" s="100"/>
      <c r="AO2232" s="100"/>
      <c r="AP2232" s="89" t="s">
        <v>115</v>
      </c>
    </row>
    <row r="2233" spans="1:42" s="89" customFormat="1" x14ac:dyDescent="0.15">
      <c r="A2233" s="100" t="s">
        <v>1</v>
      </c>
      <c r="B2233" s="101">
        <v>90200324</v>
      </c>
      <c r="C2233" s="101">
        <v>2003</v>
      </c>
      <c r="D2233" s="101">
        <v>20</v>
      </c>
      <c r="E2233" s="101"/>
      <c r="F2233" s="101" t="s">
        <v>116</v>
      </c>
      <c r="G2233" s="101">
        <v>312</v>
      </c>
      <c r="H2233" s="101" t="s">
        <v>4596</v>
      </c>
      <c r="I2233" s="101">
        <v>0</v>
      </c>
      <c r="J2233" s="100">
        <v>0</v>
      </c>
      <c r="K2233" s="100">
        <v>0</v>
      </c>
      <c r="L2233" s="100" t="s">
        <v>115</v>
      </c>
      <c r="M2233" s="102"/>
      <c r="N2233" s="100"/>
      <c r="O2233" s="100" t="s">
        <v>115</v>
      </c>
      <c r="P2233" s="101"/>
      <c r="Q2233" s="100">
        <v>138</v>
      </c>
      <c r="R2233" s="100">
        <v>241</v>
      </c>
      <c r="S2233" s="100"/>
      <c r="T2233" s="100"/>
      <c r="U2233" s="100"/>
      <c r="V2233" s="100"/>
      <c r="W2233" s="100"/>
      <c r="X2233" s="100">
        <v>90200325</v>
      </c>
      <c r="Y2233" s="100" t="s">
        <v>115</v>
      </c>
      <c r="Z2233" s="100" t="s">
        <v>115</v>
      </c>
      <c r="AA2233" s="100" t="s">
        <v>115</v>
      </c>
      <c r="AB2233" s="100" t="s">
        <v>115</v>
      </c>
      <c r="AC2233" s="100" t="s">
        <v>115</v>
      </c>
      <c r="AD2233" s="100"/>
      <c r="AE2233" s="100"/>
      <c r="AF2233" s="100"/>
      <c r="AG2233" s="100"/>
      <c r="AH2233" s="100"/>
      <c r="AI2233" s="100" t="s">
        <v>115</v>
      </c>
      <c r="AJ2233" s="100"/>
      <c r="AK2233" s="100"/>
      <c r="AL2233" s="100"/>
      <c r="AM2233" s="100"/>
      <c r="AN2233" s="100"/>
      <c r="AO2233" s="100"/>
      <c r="AP2233" s="89" t="s">
        <v>115</v>
      </c>
    </row>
    <row r="2234" spans="1:42" s="89" customFormat="1" x14ac:dyDescent="0.15">
      <c r="A2234" s="100" t="s">
        <v>1</v>
      </c>
      <c r="B2234" s="101">
        <v>90200325</v>
      </c>
      <c r="C2234" s="101">
        <v>2003</v>
      </c>
      <c r="D2234" s="101">
        <v>20</v>
      </c>
      <c r="E2234" s="101"/>
      <c r="F2234" s="101" t="s">
        <v>4593</v>
      </c>
      <c r="G2234" s="101" t="s">
        <v>115</v>
      </c>
      <c r="H2234" s="101" t="s">
        <v>4597</v>
      </c>
      <c r="I2234" s="101">
        <v>3</v>
      </c>
      <c r="J2234" s="100">
        <v>0</v>
      </c>
      <c r="K2234" s="100">
        <v>0</v>
      </c>
      <c r="L2234" s="100" t="s">
        <v>115</v>
      </c>
      <c r="M2234" s="102"/>
      <c r="N2234" s="100"/>
      <c r="O2234" s="100" t="s">
        <v>115</v>
      </c>
      <c r="P2234" s="101"/>
      <c r="Q2234" s="100">
        <v>138</v>
      </c>
      <c r="R2234" s="100">
        <v>241</v>
      </c>
      <c r="S2234" s="100"/>
      <c r="T2234" s="100"/>
      <c r="U2234" s="100"/>
      <c r="V2234" s="100"/>
      <c r="W2234" s="100"/>
      <c r="X2234" s="100">
        <v>90200326</v>
      </c>
      <c r="Y2234" s="100" t="s">
        <v>115</v>
      </c>
      <c r="Z2234" s="100" t="s">
        <v>115</v>
      </c>
      <c r="AA2234" s="100" t="s">
        <v>115</v>
      </c>
      <c r="AB2234" s="100" t="s">
        <v>115</v>
      </c>
      <c r="AC2234" s="100" t="s">
        <v>115</v>
      </c>
      <c r="AD2234" s="100"/>
      <c r="AE2234" s="100"/>
      <c r="AF2234" s="100"/>
      <c r="AG2234" s="100"/>
      <c r="AH2234" s="100"/>
      <c r="AI2234" s="100" t="s">
        <v>115</v>
      </c>
      <c r="AJ2234" s="100"/>
      <c r="AK2234" s="100"/>
      <c r="AL2234" s="100"/>
      <c r="AM2234" s="100"/>
      <c r="AN2234" s="100"/>
      <c r="AO2234" s="100"/>
      <c r="AP2234" s="89" t="s">
        <v>115</v>
      </c>
    </row>
    <row r="2235" spans="1:42" s="89" customFormat="1" x14ac:dyDescent="0.15">
      <c r="A2235" s="100" t="s">
        <v>1</v>
      </c>
      <c r="B2235" s="101">
        <v>90200326</v>
      </c>
      <c r="C2235" s="101">
        <v>2003</v>
      </c>
      <c r="D2235" s="101">
        <v>20</v>
      </c>
      <c r="E2235" s="101"/>
      <c r="F2235" s="101" t="s">
        <v>116</v>
      </c>
      <c r="G2235" s="101">
        <v>314</v>
      </c>
      <c r="H2235" s="101" t="s">
        <v>4598</v>
      </c>
      <c r="I2235" s="101">
        <v>0</v>
      </c>
      <c r="J2235" s="100">
        <v>0</v>
      </c>
      <c r="K2235" s="100">
        <v>0</v>
      </c>
      <c r="L2235" s="100" t="s">
        <v>115</v>
      </c>
      <c r="M2235" s="102"/>
      <c r="N2235" s="100"/>
      <c r="O2235" s="100" t="s">
        <v>115</v>
      </c>
      <c r="P2235" s="101"/>
      <c r="Q2235" s="100">
        <v>138</v>
      </c>
      <c r="R2235" s="100">
        <v>241</v>
      </c>
      <c r="S2235" s="100"/>
      <c r="T2235" s="100"/>
      <c r="U2235" s="100"/>
      <c r="V2235" s="100"/>
      <c r="W2235" s="100"/>
      <c r="X2235" s="100">
        <v>90200327</v>
      </c>
      <c r="Y2235" s="100" t="s">
        <v>115</v>
      </c>
      <c r="Z2235" s="100" t="s">
        <v>115</v>
      </c>
      <c r="AA2235" s="100" t="s">
        <v>115</v>
      </c>
      <c r="AB2235" s="100" t="s">
        <v>115</v>
      </c>
      <c r="AC2235" s="100" t="s">
        <v>115</v>
      </c>
      <c r="AD2235" s="100"/>
      <c r="AE2235" s="100"/>
      <c r="AF2235" s="100"/>
      <c r="AG2235" s="100"/>
      <c r="AH2235" s="100"/>
      <c r="AI2235" s="100" t="s">
        <v>115</v>
      </c>
      <c r="AJ2235" s="100"/>
      <c r="AK2235" s="100"/>
      <c r="AL2235" s="100"/>
      <c r="AM2235" s="100"/>
      <c r="AN2235" s="100"/>
      <c r="AO2235" s="100"/>
      <c r="AP2235" s="89" t="s">
        <v>115</v>
      </c>
    </row>
    <row r="2236" spans="1:42" s="89" customFormat="1" x14ac:dyDescent="0.15">
      <c r="A2236" s="100" t="s">
        <v>1</v>
      </c>
      <c r="B2236" s="101">
        <v>90200327</v>
      </c>
      <c r="C2236" s="101">
        <v>2003</v>
      </c>
      <c r="D2236" s="101">
        <v>20</v>
      </c>
      <c r="E2236" s="101"/>
      <c r="F2236" s="101" t="s">
        <v>116</v>
      </c>
      <c r="G2236" s="101">
        <v>315</v>
      </c>
      <c r="H2236" s="101" t="s">
        <v>4599</v>
      </c>
      <c r="I2236" s="101">
        <v>0</v>
      </c>
      <c r="J2236" s="100">
        <v>0</v>
      </c>
      <c r="K2236" s="100">
        <v>0</v>
      </c>
      <c r="L2236" s="100" t="s">
        <v>115</v>
      </c>
      <c r="M2236" s="102"/>
      <c r="N2236" s="100"/>
      <c r="O2236" s="100" t="s">
        <v>115</v>
      </c>
      <c r="P2236" s="101"/>
      <c r="Q2236" s="100">
        <v>138</v>
      </c>
      <c r="R2236" s="100">
        <v>241</v>
      </c>
      <c r="S2236" s="100"/>
      <c r="T2236" s="100"/>
      <c r="U2236" s="100"/>
      <c r="V2236" s="100"/>
      <c r="W2236" s="100"/>
      <c r="X2236" s="100">
        <v>90200328</v>
      </c>
      <c r="Y2236" s="100" t="s">
        <v>115</v>
      </c>
      <c r="Z2236" s="100" t="s">
        <v>115</v>
      </c>
      <c r="AA2236" s="100" t="s">
        <v>115</v>
      </c>
      <c r="AB2236" s="100" t="s">
        <v>115</v>
      </c>
      <c r="AC2236" s="100" t="s">
        <v>115</v>
      </c>
      <c r="AD2236" s="100"/>
      <c r="AE2236" s="100"/>
      <c r="AF2236" s="100"/>
      <c r="AG2236" s="100"/>
      <c r="AH2236" s="100"/>
      <c r="AI2236" s="100" t="s">
        <v>115</v>
      </c>
      <c r="AJ2236" s="100"/>
      <c r="AK2236" s="100"/>
      <c r="AL2236" s="100"/>
      <c r="AM2236" s="100"/>
      <c r="AN2236" s="100"/>
      <c r="AO2236" s="100"/>
      <c r="AP2236" s="89" t="s">
        <v>115</v>
      </c>
    </row>
    <row r="2237" spans="1:42" s="89" customFormat="1" x14ac:dyDescent="0.15">
      <c r="A2237" s="100" t="s">
        <v>1</v>
      </c>
      <c r="B2237" s="101">
        <v>90200328</v>
      </c>
      <c r="C2237" s="101">
        <v>2003</v>
      </c>
      <c r="D2237" s="101">
        <v>20</v>
      </c>
      <c r="E2237" s="101"/>
      <c r="F2237" s="101" t="s">
        <v>4593</v>
      </c>
      <c r="G2237" s="101" t="s">
        <v>115</v>
      </c>
      <c r="H2237" s="101" t="s">
        <v>4600</v>
      </c>
      <c r="I2237" s="101">
        <v>3</v>
      </c>
      <c r="J2237" s="100">
        <v>0</v>
      </c>
      <c r="K2237" s="100">
        <v>0</v>
      </c>
      <c r="L2237" s="100" t="s">
        <v>115</v>
      </c>
      <c r="M2237" s="102"/>
      <c r="N2237" s="100"/>
      <c r="O2237" s="100" t="s">
        <v>115</v>
      </c>
      <c r="P2237" s="101"/>
      <c r="Q2237" s="100">
        <v>138</v>
      </c>
      <c r="R2237" s="100">
        <v>241</v>
      </c>
      <c r="S2237" s="100"/>
      <c r="T2237" s="100"/>
      <c r="U2237" s="100"/>
      <c r="V2237" s="100"/>
      <c r="W2237" s="100"/>
      <c r="X2237" s="100">
        <v>90200329</v>
      </c>
      <c r="Y2237" s="100" t="s">
        <v>115</v>
      </c>
      <c r="Z2237" s="100" t="s">
        <v>115</v>
      </c>
      <c r="AA2237" s="100" t="s">
        <v>115</v>
      </c>
      <c r="AB2237" s="100" t="s">
        <v>115</v>
      </c>
      <c r="AC2237" s="100" t="s">
        <v>115</v>
      </c>
      <c r="AD2237" s="100"/>
      <c r="AE2237" s="100"/>
      <c r="AF2237" s="100"/>
      <c r="AG2237" s="100"/>
      <c r="AH2237" s="100"/>
      <c r="AI2237" s="100" t="s">
        <v>115</v>
      </c>
      <c r="AJ2237" s="100"/>
      <c r="AK2237" s="100"/>
      <c r="AL2237" s="100"/>
      <c r="AM2237" s="100"/>
      <c r="AN2237" s="100"/>
      <c r="AO2237" s="100"/>
      <c r="AP2237" s="89" t="s">
        <v>115</v>
      </c>
    </row>
    <row r="2238" spans="1:42" s="89" customFormat="1" x14ac:dyDescent="0.15">
      <c r="A2238" s="100" t="s">
        <v>1</v>
      </c>
      <c r="B2238" s="101">
        <v>90200329</v>
      </c>
      <c r="C2238" s="101">
        <v>2003</v>
      </c>
      <c r="D2238" s="101">
        <v>20</v>
      </c>
      <c r="E2238" s="101"/>
      <c r="F2238" s="101" t="s">
        <v>4593</v>
      </c>
      <c r="G2238" s="101" t="s">
        <v>115</v>
      </c>
      <c r="H2238" s="101" t="s">
        <v>4601</v>
      </c>
      <c r="I2238" s="101">
        <v>3</v>
      </c>
      <c r="J2238" s="100">
        <v>0</v>
      </c>
      <c r="K2238" s="100">
        <v>0</v>
      </c>
      <c r="L2238" s="100" t="s">
        <v>115</v>
      </c>
      <c r="M2238" s="102"/>
      <c r="N2238" s="100"/>
      <c r="O2238" s="100" t="s">
        <v>115</v>
      </c>
      <c r="P2238" s="101"/>
      <c r="Q2238" s="100">
        <v>138</v>
      </c>
      <c r="R2238" s="100">
        <v>241</v>
      </c>
      <c r="S2238" s="100"/>
      <c r="T2238" s="100"/>
      <c r="U2238" s="100"/>
      <c r="V2238" s="100"/>
      <c r="W2238" s="100"/>
      <c r="X2238" s="100">
        <v>90200330</v>
      </c>
      <c r="Y2238" s="100" t="s">
        <v>115</v>
      </c>
      <c r="Z2238" s="100" t="s">
        <v>115</v>
      </c>
      <c r="AA2238" s="100" t="s">
        <v>115</v>
      </c>
      <c r="AB2238" s="100" t="s">
        <v>115</v>
      </c>
      <c r="AC2238" s="100" t="s">
        <v>115</v>
      </c>
      <c r="AD2238" s="100"/>
      <c r="AE2238" s="100"/>
      <c r="AF2238" s="100"/>
      <c r="AG2238" s="100"/>
      <c r="AH2238" s="100"/>
      <c r="AI2238" s="100" t="s">
        <v>115</v>
      </c>
      <c r="AJ2238" s="100"/>
      <c r="AK2238" s="100"/>
      <c r="AL2238" s="100"/>
      <c r="AM2238" s="100"/>
      <c r="AN2238" s="100"/>
      <c r="AO2238" s="100"/>
      <c r="AP2238" s="89" t="s">
        <v>115</v>
      </c>
    </row>
    <row r="2239" spans="1:42" s="89" customFormat="1" x14ac:dyDescent="0.15">
      <c r="A2239" s="100" t="s">
        <v>1</v>
      </c>
      <c r="B2239" s="101">
        <v>90200330</v>
      </c>
      <c r="C2239" s="101">
        <v>2003</v>
      </c>
      <c r="D2239" s="101">
        <v>20</v>
      </c>
      <c r="E2239" s="101"/>
      <c r="F2239" s="101" t="s">
        <v>116</v>
      </c>
      <c r="G2239" s="101">
        <v>313</v>
      </c>
      <c r="H2239" s="101" t="s">
        <v>4602</v>
      </c>
      <c r="I2239" s="101">
        <v>0</v>
      </c>
      <c r="J2239" s="100">
        <v>0</v>
      </c>
      <c r="K2239" s="100">
        <v>0</v>
      </c>
      <c r="L2239" s="100" t="s">
        <v>115</v>
      </c>
      <c r="M2239" s="102"/>
      <c r="N2239" s="100"/>
      <c r="O2239" s="100" t="s">
        <v>115</v>
      </c>
      <c r="P2239" s="101"/>
      <c r="Q2239" s="100">
        <v>138</v>
      </c>
      <c r="R2239" s="100">
        <v>241</v>
      </c>
      <c r="S2239" s="100"/>
      <c r="T2239" s="100"/>
      <c r="U2239" s="100"/>
      <c r="V2239" s="100"/>
      <c r="W2239" s="100"/>
      <c r="X2239" s="100">
        <v>90200331</v>
      </c>
      <c r="Y2239" s="100" t="s">
        <v>115</v>
      </c>
      <c r="Z2239" s="100" t="s">
        <v>115</v>
      </c>
      <c r="AA2239" s="100" t="s">
        <v>115</v>
      </c>
      <c r="AB2239" s="100" t="s">
        <v>115</v>
      </c>
      <c r="AC2239" s="100" t="s">
        <v>115</v>
      </c>
      <c r="AD2239" s="100"/>
      <c r="AE2239" s="100"/>
      <c r="AF2239" s="100"/>
      <c r="AG2239" s="100"/>
      <c r="AH2239" s="100"/>
      <c r="AI2239" s="100" t="s">
        <v>115</v>
      </c>
      <c r="AJ2239" s="100"/>
      <c r="AK2239" s="100"/>
      <c r="AL2239" s="100"/>
      <c r="AM2239" s="100"/>
      <c r="AN2239" s="100"/>
      <c r="AO2239" s="100"/>
      <c r="AP2239" s="89" t="s">
        <v>115</v>
      </c>
    </row>
    <row r="2240" spans="1:42" s="89" customFormat="1" x14ac:dyDescent="0.15">
      <c r="A2240" s="100" t="s">
        <v>1</v>
      </c>
      <c r="B2240" s="101">
        <v>90200331</v>
      </c>
      <c r="C2240" s="101">
        <v>2003</v>
      </c>
      <c r="D2240" s="101">
        <v>20</v>
      </c>
      <c r="E2240" s="101"/>
      <c r="F2240" s="101" t="s">
        <v>4593</v>
      </c>
      <c r="G2240" s="101" t="s">
        <v>115</v>
      </c>
      <c r="H2240" s="101" t="s">
        <v>4603</v>
      </c>
      <c r="I2240" s="101">
        <v>3</v>
      </c>
      <c r="J2240" s="100">
        <v>0</v>
      </c>
      <c r="K2240" s="100">
        <v>0</v>
      </c>
      <c r="L2240" s="100" t="s">
        <v>115</v>
      </c>
      <c r="M2240" s="102"/>
      <c r="N2240" s="100"/>
      <c r="O2240" s="100" t="s">
        <v>115</v>
      </c>
      <c r="P2240" s="101"/>
      <c r="Q2240" s="100">
        <v>138</v>
      </c>
      <c r="R2240" s="100">
        <v>241</v>
      </c>
      <c r="S2240" s="100"/>
      <c r="T2240" s="100"/>
      <c r="U2240" s="100"/>
      <c r="V2240" s="100"/>
      <c r="W2240" s="100"/>
      <c r="X2240" s="100">
        <v>90200332</v>
      </c>
      <c r="Y2240" s="100" t="s">
        <v>115</v>
      </c>
      <c r="Z2240" s="100" t="s">
        <v>115</v>
      </c>
      <c r="AA2240" s="100" t="s">
        <v>115</v>
      </c>
      <c r="AB2240" s="100" t="s">
        <v>115</v>
      </c>
      <c r="AC2240" s="100" t="s">
        <v>115</v>
      </c>
      <c r="AD2240" s="100"/>
      <c r="AE2240" s="100"/>
      <c r="AF2240" s="100"/>
      <c r="AG2240" s="100"/>
      <c r="AH2240" s="100"/>
      <c r="AI2240" s="100" t="s">
        <v>115</v>
      </c>
      <c r="AJ2240" s="100"/>
      <c r="AK2240" s="100"/>
      <c r="AL2240" s="100"/>
      <c r="AM2240" s="100"/>
      <c r="AN2240" s="100"/>
      <c r="AO2240" s="100"/>
      <c r="AP2240" s="89" t="s">
        <v>115</v>
      </c>
    </row>
    <row r="2241" spans="1:42" s="89" customFormat="1" x14ac:dyDescent="0.15">
      <c r="A2241" s="100" t="s">
        <v>1</v>
      </c>
      <c r="B2241" s="101">
        <v>90200332</v>
      </c>
      <c r="C2241" s="101">
        <v>2003</v>
      </c>
      <c r="D2241" s="101">
        <v>20</v>
      </c>
      <c r="E2241" s="101"/>
      <c r="F2241" s="101" t="s">
        <v>116</v>
      </c>
      <c r="G2241" s="101">
        <v>313</v>
      </c>
      <c r="H2241" s="101" t="s">
        <v>4604</v>
      </c>
      <c r="I2241" s="101">
        <v>2</v>
      </c>
      <c r="J2241" s="100">
        <v>0</v>
      </c>
      <c r="K2241" s="100">
        <v>7</v>
      </c>
      <c r="L2241" s="100" t="s">
        <v>115</v>
      </c>
      <c r="M2241" s="102"/>
      <c r="N2241" s="100"/>
      <c r="O2241" s="100">
        <v>1</v>
      </c>
      <c r="P2241" s="101"/>
      <c r="Q2241" s="100">
        <v>138</v>
      </c>
      <c r="R2241" s="100">
        <v>241</v>
      </c>
      <c r="S2241" s="100"/>
      <c r="T2241" s="100"/>
      <c r="U2241" s="100"/>
      <c r="V2241" s="100"/>
      <c r="W2241" s="100"/>
      <c r="X2241" s="100" t="s">
        <v>115</v>
      </c>
      <c r="Y2241" s="100" t="s">
        <v>115</v>
      </c>
      <c r="Z2241" s="100">
        <v>6</v>
      </c>
      <c r="AA2241" s="100" t="s">
        <v>115</v>
      </c>
      <c r="AB2241" s="100" t="s">
        <v>115</v>
      </c>
      <c r="AC2241" s="100" t="s">
        <v>115</v>
      </c>
      <c r="AD2241" s="100"/>
      <c r="AE2241" s="100"/>
      <c r="AF2241" s="100"/>
      <c r="AG2241" s="100"/>
      <c r="AH2241" s="100"/>
      <c r="AI2241" s="100" t="s">
        <v>115</v>
      </c>
      <c r="AJ2241" s="100"/>
      <c r="AK2241" s="100"/>
      <c r="AL2241" s="100"/>
      <c r="AM2241" s="100"/>
      <c r="AN2241" s="100"/>
      <c r="AO2241" s="100"/>
      <c r="AP2241" s="89" t="s">
        <v>4605</v>
      </c>
    </row>
    <row r="2242" spans="1:42" s="89" customFormat="1" x14ac:dyDescent="0.15">
      <c r="A2242" s="100" t="s">
        <v>1</v>
      </c>
      <c r="B2242" s="101" t="s">
        <v>3986</v>
      </c>
      <c r="C2242" s="101">
        <v>2004</v>
      </c>
      <c r="D2242" s="101">
        <v>20</v>
      </c>
      <c r="E2242" s="101"/>
      <c r="F2242" s="101" t="s">
        <v>116</v>
      </c>
      <c r="G2242" s="101">
        <v>314</v>
      </c>
      <c r="H2242" s="101" t="s">
        <v>4606</v>
      </c>
      <c r="I2242" s="101">
        <v>2</v>
      </c>
      <c r="J2242" s="100">
        <v>1</v>
      </c>
      <c r="K2242" s="100">
        <v>1</v>
      </c>
      <c r="L2242" s="100" t="s">
        <v>115</v>
      </c>
      <c r="M2242" s="102"/>
      <c r="N2242" s="100"/>
      <c r="O2242" s="100" t="s">
        <v>115</v>
      </c>
      <c r="P2242" s="101"/>
      <c r="Q2242" s="100">
        <v>197</v>
      </c>
      <c r="R2242" s="100" t="s">
        <v>115</v>
      </c>
      <c r="S2242" s="100"/>
      <c r="T2242" s="100"/>
      <c r="U2242" s="100"/>
      <c r="V2242" s="100"/>
      <c r="W2242" s="100"/>
      <c r="X2242" s="100">
        <v>90200402</v>
      </c>
      <c r="Y2242" s="100" t="s">
        <v>115</v>
      </c>
      <c r="Z2242" s="100" t="s">
        <v>115</v>
      </c>
      <c r="AA2242" s="100" t="s">
        <v>115</v>
      </c>
      <c r="AB2242" s="100" t="s">
        <v>115</v>
      </c>
      <c r="AC2242" s="100" t="s">
        <v>115</v>
      </c>
      <c r="AD2242" s="100"/>
      <c r="AE2242" s="100"/>
      <c r="AF2242" s="100"/>
      <c r="AG2242" s="100"/>
      <c r="AH2242" s="100"/>
      <c r="AI2242" s="100" t="s">
        <v>115</v>
      </c>
      <c r="AJ2242" s="100"/>
      <c r="AK2242" s="100"/>
      <c r="AL2242" s="100"/>
      <c r="AM2242" s="100"/>
      <c r="AN2242" s="100"/>
      <c r="AO2242" s="100"/>
      <c r="AP2242" s="89" t="s">
        <v>115</v>
      </c>
    </row>
    <row r="2243" spans="1:42" s="89" customFormat="1" x14ac:dyDescent="0.15">
      <c r="A2243" s="100" t="s">
        <v>1</v>
      </c>
      <c r="B2243" s="101">
        <v>90200402</v>
      </c>
      <c r="C2243" s="101">
        <v>2004</v>
      </c>
      <c r="D2243" s="101">
        <v>20</v>
      </c>
      <c r="E2243" s="101"/>
      <c r="F2243" s="101" t="s">
        <v>115</v>
      </c>
      <c r="G2243" s="101" t="s">
        <v>115</v>
      </c>
      <c r="H2243" s="101" t="s">
        <v>4607</v>
      </c>
      <c r="I2243" s="101">
        <v>4</v>
      </c>
      <c r="J2243" s="100">
        <v>0</v>
      </c>
      <c r="K2243" s="100">
        <v>2</v>
      </c>
      <c r="L2243" s="100" t="s">
        <v>115</v>
      </c>
      <c r="M2243" s="102"/>
      <c r="N2243" s="100"/>
      <c r="O2243" s="100" t="s">
        <v>115</v>
      </c>
      <c r="P2243" s="101"/>
      <c r="Q2243" s="100">
        <v>197</v>
      </c>
      <c r="R2243" s="100" t="s">
        <v>115</v>
      </c>
      <c r="S2243" s="100"/>
      <c r="T2243" s="100"/>
      <c r="U2243" s="100"/>
      <c r="V2243" s="100"/>
      <c r="W2243" s="100"/>
      <c r="X2243" s="100" t="s">
        <v>4608</v>
      </c>
      <c r="Y2243" s="100">
        <v>1</v>
      </c>
      <c r="Z2243" s="100">
        <v>1</v>
      </c>
      <c r="AA2243" s="100" t="s">
        <v>115</v>
      </c>
      <c r="AB2243" s="100" t="s">
        <v>115</v>
      </c>
      <c r="AC2243" s="100" t="s">
        <v>115</v>
      </c>
      <c r="AD2243" s="100"/>
      <c r="AE2243" s="100"/>
      <c r="AF2243" s="100"/>
      <c r="AG2243" s="100"/>
      <c r="AH2243" s="100"/>
      <c r="AI2243" s="100" t="s">
        <v>115</v>
      </c>
      <c r="AJ2243" s="100"/>
      <c r="AK2243" s="100"/>
      <c r="AL2243" s="100"/>
      <c r="AM2243" s="100"/>
      <c r="AN2243" s="100"/>
      <c r="AO2243" s="100"/>
      <c r="AP2243" s="89" t="s">
        <v>115</v>
      </c>
    </row>
    <row r="2244" spans="1:42" s="89" customFormat="1" x14ac:dyDescent="0.15">
      <c r="A2244" s="100" t="s">
        <v>1</v>
      </c>
      <c r="B2244" s="101">
        <v>90200403</v>
      </c>
      <c r="C2244" s="101">
        <v>2004</v>
      </c>
      <c r="D2244" s="101">
        <v>20</v>
      </c>
      <c r="E2244" s="101"/>
      <c r="F2244" s="101" t="s">
        <v>115</v>
      </c>
      <c r="G2244" s="101" t="s">
        <v>115</v>
      </c>
      <c r="H2244" s="101" t="s">
        <v>4609</v>
      </c>
      <c r="I2244" s="101">
        <v>4</v>
      </c>
      <c r="J2244" s="100">
        <v>0</v>
      </c>
      <c r="K2244" s="100">
        <v>3</v>
      </c>
      <c r="L2244" s="100" t="s">
        <v>115</v>
      </c>
      <c r="M2244" s="102"/>
      <c r="N2244" s="100"/>
      <c r="O2244" s="100" t="s">
        <v>115</v>
      </c>
      <c r="P2244" s="101"/>
      <c r="Q2244" s="100">
        <v>197</v>
      </c>
      <c r="R2244" s="100" t="s">
        <v>115</v>
      </c>
      <c r="S2244" s="100"/>
      <c r="T2244" s="100"/>
      <c r="U2244" s="100"/>
      <c r="V2244" s="100"/>
      <c r="W2244" s="100"/>
      <c r="X2244" s="100">
        <v>90200404</v>
      </c>
      <c r="Y2244" s="100">
        <v>-1</v>
      </c>
      <c r="Z2244" s="100">
        <v>2</v>
      </c>
      <c r="AA2244" s="100" t="s">
        <v>115</v>
      </c>
      <c r="AB2244" s="100" t="s">
        <v>115</v>
      </c>
      <c r="AC2244" s="100" t="s">
        <v>4610</v>
      </c>
      <c r="AD2244" s="100"/>
      <c r="AE2244" s="100"/>
      <c r="AF2244" s="100"/>
      <c r="AG2244" s="100"/>
      <c r="AH2244" s="100"/>
      <c r="AI2244" s="100" t="s">
        <v>115</v>
      </c>
      <c r="AJ2244" s="100"/>
      <c r="AK2244" s="100"/>
      <c r="AL2244" s="100"/>
      <c r="AM2244" s="100"/>
      <c r="AN2244" s="100"/>
      <c r="AO2244" s="100"/>
      <c r="AP2244" s="89" t="s">
        <v>115</v>
      </c>
    </row>
    <row r="2245" spans="1:42" s="89" customFormat="1" x14ac:dyDescent="0.15">
      <c r="A2245" s="100" t="s">
        <v>1</v>
      </c>
      <c r="B2245" s="101">
        <v>90200404</v>
      </c>
      <c r="C2245" s="101">
        <v>2004</v>
      </c>
      <c r="D2245" s="101">
        <v>20</v>
      </c>
      <c r="E2245" s="101"/>
      <c r="F2245" s="101" t="s">
        <v>115</v>
      </c>
      <c r="G2245" s="101" t="s">
        <v>115</v>
      </c>
      <c r="H2245" s="101" t="s">
        <v>4611</v>
      </c>
      <c r="I2245" s="101">
        <v>4</v>
      </c>
      <c r="J2245" s="100">
        <v>0</v>
      </c>
      <c r="K2245" s="100">
        <v>0</v>
      </c>
      <c r="L2245" s="100" t="s">
        <v>115</v>
      </c>
      <c r="M2245" s="102"/>
      <c r="N2245" s="100"/>
      <c r="O2245" s="100" t="s">
        <v>115</v>
      </c>
      <c r="P2245" s="101"/>
      <c r="Q2245" s="100">
        <v>197</v>
      </c>
      <c r="R2245" s="100" t="s">
        <v>115</v>
      </c>
      <c r="S2245" s="100"/>
      <c r="T2245" s="100"/>
      <c r="U2245" s="100"/>
      <c r="V2245" s="100"/>
      <c r="W2245" s="100"/>
      <c r="X2245" s="100">
        <v>90200405</v>
      </c>
      <c r="Y2245" s="100" t="s">
        <v>115</v>
      </c>
      <c r="Z2245" s="100" t="s">
        <v>115</v>
      </c>
      <c r="AA2245" s="100" t="s">
        <v>115</v>
      </c>
      <c r="AB2245" s="100" t="s">
        <v>115</v>
      </c>
      <c r="AC2245" s="100" t="s">
        <v>115</v>
      </c>
      <c r="AD2245" s="100"/>
      <c r="AE2245" s="100"/>
      <c r="AF2245" s="100"/>
      <c r="AG2245" s="100"/>
      <c r="AH2245" s="100"/>
      <c r="AI2245" s="100" t="s">
        <v>115</v>
      </c>
      <c r="AJ2245" s="100"/>
      <c r="AK2245" s="100"/>
      <c r="AL2245" s="100"/>
      <c r="AM2245" s="100"/>
      <c r="AN2245" s="100"/>
      <c r="AO2245" s="100"/>
      <c r="AP2245" s="89" t="s">
        <v>115</v>
      </c>
    </row>
    <row r="2246" spans="1:42" s="89" customFormat="1" x14ac:dyDescent="0.15">
      <c r="A2246" s="100" t="s">
        <v>1</v>
      </c>
      <c r="B2246" s="101">
        <v>90200405</v>
      </c>
      <c r="C2246" s="101">
        <v>2004</v>
      </c>
      <c r="D2246" s="101">
        <v>20</v>
      </c>
      <c r="E2246" s="101"/>
      <c r="F2246" s="101" t="s">
        <v>2202</v>
      </c>
      <c r="G2246" s="101" t="s">
        <v>115</v>
      </c>
      <c r="H2246" s="101" t="s">
        <v>4612</v>
      </c>
      <c r="I2246" s="101">
        <v>3</v>
      </c>
      <c r="J2246" s="100">
        <v>0</v>
      </c>
      <c r="K2246" s="100">
        <v>0</v>
      </c>
      <c r="L2246" s="100" t="s">
        <v>115</v>
      </c>
      <c r="M2246" s="102"/>
      <c r="N2246" s="100"/>
      <c r="O2246" s="100" t="s">
        <v>115</v>
      </c>
      <c r="P2246" s="101"/>
      <c r="Q2246" s="100">
        <v>197</v>
      </c>
      <c r="R2246" s="100">
        <v>213</v>
      </c>
      <c r="S2246" s="100"/>
      <c r="T2246" s="100"/>
      <c r="U2246" s="100"/>
      <c r="V2246" s="100"/>
      <c r="W2246" s="100"/>
      <c r="X2246" s="100">
        <v>90200406</v>
      </c>
      <c r="Y2246" s="100" t="s">
        <v>115</v>
      </c>
      <c r="Z2246" s="100" t="s">
        <v>115</v>
      </c>
      <c r="AA2246" s="100" t="s">
        <v>115</v>
      </c>
      <c r="AB2246" s="100" t="s">
        <v>115</v>
      </c>
      <c r="AC2246" s="100" t="s">
        <v>115</v>
      </c>
      <c r="AD2246" s="100"/>
      <c r="AE2246" s="100"/>
      <c r="AF2246" s="100"/>
      <c r="AG2246" s="100"/>
      <c r="AH2246" s="100"/>
      <c r="AI2246" s="100" t="s">
        <v>115</v>
      </c>
      <c r="AJ2246" s="100"/>
      <c r="AK2246" s="100"/>
      <c r="AL2246" s="100"/>
      <c r="AM2246" s="100"/>
      <c r="AN2246" s="100"/>
      <c r="AO2246" s="100"/>
      <c r="AP2246" s="89" t="s">
        <v>115</v>
      </c>
    </row>
    <row r="2247" spans="1:42" s="89" customFormat="1" x14ac:dyDescent="0.15">
      <c r="A2247" s="100" t="s">
        <v>1</v>
      </c>
      <c r="B2247" s="101">
        <v>90200406</v>
      </c>
      <c r="C2247" s="101">
        <v>2004</v>
      </c>
      <c r="D2247" s="101">
        <v>20</v>
      </c>
      <c r="E2247" s="101"/>
      <c r="F2247" s="101" t="s">
        <v>116</v>
      </c>
      <c r="G2247" s="101">
        <v>314</v>
      </c>
      <c r="H2247" s="101" t="s">
        <v>4613</v>
      </c>
      <c r="I2247" s="101">
        <v>0</v>
      </c>
      <c r="J2247" s="100">
        <v>0</v>
      </c>
      <c r="K2247" s="100">
        <v>0</v>
      </c>
      <c r="L2247" s="100" t="s">
        <v>115</v>
      </c>
      <c r="M2247" s="102"/>
      <c r="N2247" s="100"/>
      <c r="O2247" s="100" t="s">
        <v>115</v>
      </c>
      <c r="P2247" s="101"/>
      <c r="Q2247" s="100">
        <v>197</v>
      </c>
      <c r="R2247" s="100">
        <v>213</v>
      </c>
      <c r="S2247" s="100"/>
      <c r="T2247" s="100"/>
      <c r="U2247" s="100"/>
      <c r="V2247" s="100"/>
      <c r="W2247" s="100"/>
      <c r="X2247" s="100">
        <v>90200407</v>
      </c>
      <c r="Y2247" s="100" t="s">
        <v>115</v>
      </c>
      <c r="Z2247" s="100" t="s">
        <v>115</v>
      </c>
      <c r="AA2247" s="100" t="s">
        <v>115</v>
      </c>
      <c r="AB2247" s="100" t="s">
        <v>115</v>
      </c>
      <c r="AC2247" s="100" t="s">
        <v>115</v>
      </c>
      <c r="AD2247" s="100"/>
      <c r="AE2247" s="100"/>
      <c r="AF2247" s="100"/>
      <c r="AG2247" s="100"/>
      <c r="AH2247" s="100"/>
      <c r="AI2247" s="100" t="s">
        <v>115</v>
      </c>
      <c r="AJ2247" s="100"/>
      <c r="AK2247" s="100"/>
      <c r="AL2247" s="100"/>
      <c r="AM2247" s="100"/>
      <c r="AN2247" s="100"/>
      <c r="AO2247" s="100"/>
      <c r="AP2247" s="89" t="s">
        <v>115</v>
      </c>
    </row>
    <row r="2248" spans="1:42" s="89" customFormat="1" x14ac:dyDescent="0.15">
      <c r="A2248" s="100" t="s">
        <v>1</v>
      </c>
      <c r="B2248" s="101">
        <v>90200407</v>
      </c>
      <c r="C2248" s="101">
        <v>2004</v>
      </c>
      <c r="D2248" s="101">
        <v>20</v>
      </c>
      <c r="E2248" s="101"/>
      <c r="F2248" s="101" t="s">
        <v>116</v>
      </c>
      <c r="G2248" s="101">
        <v>314</v>
      </c>
      <c r="H2248" s="101" t="s">
        <v>4614</v>
      </c>
      <c r="I2248" s="101">
        <v>0</v>
      </c>
      <c r="J2248" s="100">
        <v>0</v>
      </c>
      <c r="K2248" s="100">
        <v>0</v>
      </c>
      <c r="L2248" s="100" t="s">
        <v>115</v>
      </c>
      <c r="M2248" s="102"/>
      <c r="N2248" s="100"/>
      <c r="O2248" s="100" t="s">
        <v>115</v>
      </c>
      <c r="P2248" s="101"/>
      <c r="Q2248" s="100">
        <v>197</v>
      </c>
      <c r="R2248" s="100">
        <v>213</v>
      </c>
      <c r="S2248" s="100"/>
      <c r="T2248" s="100"/>
      <c r="U2248" s="100"/>
      <c r="V2248" s="100"/>
      <c r="W2248" s="100"/>
      <c r="X2248" s="100">
        <v>90200408</v>
      </c>
      <c r="Y2248" s="100" t="s">
        <v>115</v>
      </c>
      <c r="Z2248" s="100" t="s">
        <v>115</v>
      </c>
      <c r="AA2248" s="100" t="s">
        <v>115</v>
      </c>
      <c r="AB2248" s="100" t="s">
        <v>115</v>
      </c>
      <c r="AC2248" s="100" t="s">
        <v>115</v>
      </c>
      <c r="AD2248" s="100"/>
      <c r="AE2248" s="100"/>
      <c r="AF2248" s="100"/>
      <c r="AG2248" s="100"/>
      <c r="AH2248" s="100"/>
      <c r="AI2248" s="100" t="s">
        <v>115</v>
      </c>
      <c r="AJ2248" s="100"/>
      <c r="AK2248" s="100"/>
      <c r="AL2248" s="100"/>
      <c r="AM2248" s="100"/>
      <c r="AN2248" s="100"/>
      <c r="AO2248" s="100"/>
      <c r="AP2248" s="89" t="s">
        <v>115</v>
      </c>
    </row>
    <row r="2249" spans="1:42" s="89" customFormat="1" x14ac:dyDescent="0.15">
      <c r="A2249" s="100" t="s">
        <v>1</v>
      </c>
      <c r="B2249" s="101">
        <v>90200408</v>
      </c>
      <c r="C2249" s="101">
        <v>2004</v>
      </c>
      <c r="D2249" s="101">
        <v>20</v>
      </c>
      <c r="E2249" s="101"/>
      <c r="F2249" s="101" t="s">
        <v>2202</v>
      </c>
      <c r="G2249" s="101" t="s">
        <v>115</v>
      </c>
      <c r="H2249" s="101" t="s">
        <v>4615</v>
      </c>
      <c r="I2249" s="101">
        <v>3</v>
      </c>
      <c r="J2249" s="100">
        <v>0</v>
      </c>
      <c r="K2249" s="100">
        <v>0</v>
      </c>
      <c r="L2249" s="100" t="s">
        <v>115</v>
      </c>
      <c r="M2249" s="102"/>
      <c r="N2249" s="100"/>
      <c r="O2249" s="100" t="s">
        <v>115</v>
      </c>
      <c r="P2249" s="101"/>
      <c r="Q2249" s="100">
        <v>197</v>
      </c>
      <c r="R2249" s="100">
        <v>213</v>
      </c>
      <c r="S2249" s="100"/>
      <c r="T2249" s="100"/>
      <c r="U2249" s="100"/>
      <c r="V2249" s="100"/>
      <c r="W2249" s="100"/>
      <c r="X2249" s="100">
        <v>90200409</v>
      </c>
      <c r="Y2249" s="100" t="s">
        <v>115</v>
      </c>
      <c r="Z2249" s="100" t="s">
        <v>115</v>
      </c>
      <c r="AA2249" s="100" t="s">
        <v>115</v>
      </c>
      <c r="AB2249" s="100" t="s">
        <v>115</v>
      </c>
      <c r="AC2249" s="100" t="s">
        <v>115</v>
      </c>
      <c r="AD2249" s="100"/>
      <c r="AE2249" s="100"/>
      <c r="AF2249" s="100"/>
      <c r="AG2249" s="100"/>
      <c r="AH2249" s="100"/>
      <c r="AI2249" s="100" t="s">
        <v>115</v>
      </c>
      <c r="AJ2249" s="100"/>
      <c r="AK2249" s="100"/>
      <c r="AL2249" s="100"/>
      <c r="AM2249" s="100"/>
      <c r="AN2249" s="100"/>
      <c r="AO2249" s="100"/>
      <c r="AP2249" s="89" t="s">
        <v>115</v>
      </c>
    </row>
    <row r="2250" spans="1:42" s="89" customFormat="1" x14ac:dyDescent="0.15">
      <c r="A2250" s="100" t="s">
        <v>1</v>
      </c>
      <c r="B2250" s="101">
        <v>90200409</v>
      </c>
      <c r="C2250" s="101">
        <v>2004</v>
      </c>
      <c r="D2250" s="101">
        <v>20</v>
      </c>
      <c r="E2250" s="101"/>
      <c r="F2250" s="101" t="s">
        <v>116</v>
      </c>
      <c r="G2250" s="101">
        <v>309</v>
      </c>
      <c r="H2250" s="101" t="s">
        <v>4616</v>
      </c>
      <c r="I2250" s="101">
        <v>0</v>
      </c>
      <c r="J2250" s="100">
        <v>0</v>
      </c>
      <c r="K2250" s="100">
        <v>0</v>
      </c>
      <c r="L2250" s="100" t="s">
        <v>115</v>
      </c>
      <c r="M2250" s="102"/>
      <c r="N2250" s="100"/>
      <c r="O2250" s="100" t="s">
        <v>115</v>
      </c>
      <c r="P2250" s="101"/>
      <c r="Q2250" s="100">
        <v>197</v>
      </c>
      <c r="R2250" s="100">
        <v>213</v>
      </c>
      <c r="S2250" s="100"/>
      <c r="T2250" s="100"/>
      <c r="U2250" s="100"/>
      <c r="V2250" s="100"/>
      <c r="W2250" s="100"/>
      <c r="X2250" s="100">
        <v>90200410</v>
      </c>
      <c r="Y2250" s="100" t="s">
        <v>115</v>
      </c>
      <c r="Z2250" s="100" t="s">
        <v>115</v>
      </c>
      <c r="AA2250" s="100" t="s">
        <v>115</v>
      </c>
      <c r="AB2250" s="100" t="s">
        <v>115</v>
      </c>
      <c r="AC2250" s="100" t="s">
        <v>115</v>
      </c>
      <c r="AD2250" s="100"/>
      <c r="AE2250" s="100"/>
      <c r="AF2250" s="100"/>
      <c r="AG2250" s="100"/>
      <c r="AH2250" s="100"/>
      <c r="AI2250" s="100" t="s">
        <v>115</v>
      </c>
      <c r="AJ2250" s="100"/>
      <c r="AK2250" s="100"/>
      <c r="AL2250" s="100"/>
      <c r="AM2250" s="100"/>
      <c r="AN2250" s="100"/>
      <c r="AO2250" s="100"/>
      <c r="AP2250" s="89" t="s">
        <v>115</v>
      </c>
    </row>
    <row r="2251" spans="1:42" s="89" customFormat="1" x14ac:dyDescent="0.15">
      <c r="A2251" s="100" t="s">
        <v>1</v>
      </c>
      <c r="B2251" s="101">
        <v>90200410</v>
      </c>
      <c r="C2251" s="101">
        <v>2004</v>
      </c>
      <c r="D2251" s="101">
        <v>20</v>
      </c>
      <c r="E2251" s="101"/>
      <c r="F2251" s="101" t="s">
        <v>115</v>
      </c>
      <c r="G2251" s="101" t="s">
        <v>115</v>
      </c>
      <c r="H2251" s="101" t="s">
        <v>4617</v>
      </c>
      <c r="I2251" s="101">
        <v>4</v>
      </c>
      <c r="J2251" s="100">
        <v>0</v>
      </c>
      <c r="K2251" s="100">
        <v>0</v>
      </c>
      <c r="L2251" s="100" t="s">
        <v>115</v>
      </c>
      <c r="M2251" s="102"/>
      <c r="N2251" s="100"/>
      <c r="O2251" s="100" t="s">
        <v>115</v>
      </c>
      <c r="P2251" s="101"/>
      <c r="Q2251" s="100">
        <v>197</v>
      </c>
      <c r="R2251" s="100">
        <v>213</v>
      </c>
      <c r="S2251" s="100"/>
      <c r="T2251" s="100"/>
      <c r="U2251" s="100"/>
      <c r="V2251" s="100"/>
      <c r="W2251" s="100"/>
      <c r="X2251" s="100">
        <v>90200411</v>
      </c>
      <c r="Y2251" s="100" t="s">
        <v>115</v>
      </c>
      <c r="Z2251" s="100" t="s">
        <v>115</v>
      </c>
      <c r="AA2251" s="100" t="s">
        <v>115</v>
      </c>
      <c r="AB2251" s="100" t="s">
        <v>115</v>
      </c>
      <c r="AC2251" s="100" t="s">
        <v>115</v>
      </c>
      <c r="AD2251" s="100"/>
      <c r="AE2251" s="100"/>
      <c r="AF2251" s="100"/>
      <c r="AG2251" s="100"/>
      <c r="AH2251" s="100"/>
      <c r="AI2251" s="100" t="s">
        <v>115</v>
      </c>
      <c r="AJ2251" s="100"/>
      <c r="AK2251" s="100"/>
      <c r="AL2251" s="100"/>
      <c r="AM2251" s="100"/>
      <c r="AN2251" s="100"/>
      <c r="AO2251" s="100"/>
      <c r="AP2251" s="89" t="s">
        <v>115</v>
      </c>
    </row>
    <row r="2252" spans="1:42" s="89" customFormat="1" x14ac:dyDescent="0.15">
      <c r="A2252" s="100" t="s">
        <v>1</v>
      </c>
      <c r="B2252" s="101">
        <v>90200411</v>
      </c>
      <c r="C2252" s="101">
        <v>2004</v>
      </c>
      <c r="D2252" s="101">
        <v>20</v>
      </c>
      <c r="E2252" s="101"/>
      <c r="F2252" s="101" t="s">
        <v>116</v>
      </c>
      <c r="G2252" s="101">
        <v>314</v>
      </c>
      <c r="H2252" s="101" t="s">
        <v>4618</v>
      </c>
      <c r="I2252" s="101">
        <v>2</v>
      </c>
      <c r="J2252" s="100">
        <v>0</v>
      </c>
      <c r="K2252" s="100">
        <v>4</v>
      </c>
      <c r="L2252" s="100" t="s">
        <v>115</v>
      </c>
      <c r="M2252" s="102"/>
      <c r="N2252" s="100"/>
      <c r="O2252" s="100">
        <v>1</v>
      </c>
      <c r="P2252" s="101"/>
      <c r="Q2252" s="100">
        <v>197</v>
      </c>
      <c r="R2252" s="100">
        <v>213</v>
      </c>
      <c r="S2252" s="100"/>
      <c r="T2252" s="100"/>
      <c r="U2252" s="100"/>
      <c r="V2252" s="100"/>
      <c r="W2252" s="100"/>
      <c r="X2252" s="100" t="s">
        <v>115</v>
      </c>
      <c r="Y2252" s="100" t="s">
        <v>115</v>
      </c>
      <c r="Z2252" s="100">
        <v>3</v>
      </c>
      <c r="AA2252" s="100" t="s">
        <v>115</v>
      </c>
      <c r="AB2252" s="100" t="s">
        <v>115</v>
      </c>
      <c r="AC2252" s="100" t="s">
        <v>115</v>
      </c>
      <c r="AD2252" s="100"/>
      <c r="AE2252" s="100"/>
      <c r="AF2252" s="100"/>
      <c r="AG2252" s="100"/>
      <c r="AH2252" s="100"/>
      <c r="AI2252" s="100" t="s">
        <v>115</v>
      </c>
      <c r="AJ2252" s="100"/>
      <c r="AK2252" s="100"/>
      <c r="AL2252" s="100"/>
      <c r="AM2252" s="100"/>
      <c r="AN2252" s="100"/>
      <c r="AO2252" s="100"/>
      <c r="AP2252" s="89" t="s">
        <v>4619</v>
      </c>
    </row>
    <row r="2253" spans="1:42" s="89" customFormat="1" x14ac:dyDescent="0.15">
      <c r="A2253" s="100" t="s">
        <v>1</v>
      </c>
      <c r="B2253" s="101" t="s">
        <v>3987</v>
      </c>
      <c r="C2253" s="101">
        <v>2005</v>
      </c>
      <c r="D2253" s="101">
        <v>20</v>
      </c>
      <c r="E2253" s="101"/>
      <c r="F2253" s="101" t="s">
        <v>115</v>
      </c>
      <c r="G2253" s="101" t="s">
        <v>115</v>
      </c>
      <c r="H2253" s="101" t="s">
        <v>4620</v>
      </c>
      <c r="I2253" s="101">
        <v>4</v>
      </c>
      <c r="J2253" s="100">
        <v>1</v>
      </c>
      <c r="K2253" s="100">
        <v>1</v>
      </c>
      <c r="L2253" s="100" t="s">
        <v>115</v>
      </c>
      <c r="M2253" s="102"/>
      <c r="N2253" s="100"/>
      <c r="O2253" s="100" t="s">
        <v>115</v>
      </c>
      <c r="P2253" s="101"/>
      <c r="Q2253" s="100">
        <v>198</v>
      </c>
      <c r="R2253" s="100">
        <v>357</v>
      </c>
      <c r="S2253" s="100"/>
      <c r="T2253" s="100"/>
      <c r="U2253" s="100"/>
      <c r="V2253" s="100"/>
      <c r="W2253" s="100"/>
      <c r="X2253" s="100">
        <v>90200502</v>
      </c>
      <c r="Y2253" s="100" t="s">
        <v>115</v>
      </c>
      <c r="Z2253" s="100" t="s">
        <v>115</v>
      </c>
      <c r="AA2253" s="100" t="s">
        <v>115</v>
      </c>
      <c r="AB2253" s="100" t="s">
        <v>115</v>
      </c>
      <c r="AC2253" s="100" t="s">
        <v>115</v>
      </c>
      <c r="AD2253" s="100"/>
      <c r="AE2253" s="100"/>
      <c r="AF2253" s="100"/>
      <c r="AG2253" s="100"/>
      <c r="AH2253" s="100"/>
      <c r="AI2253" s="100" t="s">
        <v>115</v>
      </c>
      <c r="AJ2253" s="100"/>
      <c r="AK2253" s="100"/>
      <c r="AL2253" s="100"/>
      <c r="AM2253" s="100"/>
      <c r="AN2253" s="100"/>
      <c r="AO2253" s="100"/>
      <c r="AP2253" s="89" t="s">
        <v>115</v>
      </c>
    </row>
    <row r="2254" spans="1:42" s="89" customFormat="1" x14ac:dyDescent="0.15">
      <c r="A2254" s="100" t="s">
        <v>1</v>
      </c>
      <c r="B2254" s="101">
        <v>90200502</v>
      </c>
      <c r="C2254" s="101">
        <v>2005</v>
      </c>
      <c r="D2254" s="101">
        <v>20</v>
      </c>
      <c r="E2254" s="101"/>
      <c r="F2254" s="101" t="s">
        <v>115</v>
      </c>
      <c r="G2254" s="101" t="s">
        <v>115</v>
      </c>
      <c r="H2254" s="101" t="s">
        <v>4621</v>
      </c>
      <c r="I2254" s="101">
        <v>4</v>
      </c>
      <c r="J2254" s="100">
        <v>0</v>
      </c>
      <c r="K2254" s="100">
        <v>2</v>
      </c>
      <c r="L2254" s="100" t="s">
        <v>115</v>
      </c>
      <c r="M2254" s="102"/>
      <c r="N2254" s="100"/>
      <c r="O2254" s="100" t="s">
        <v>115</v>
      </c>
      <c r="P2254" s="101"/>
      <c r="Q2254" s="100">
        <v>198</v>
      </c>
      <c r="R2254" s="100">
        <v>357</v>
      </c>
      <c r="S2254" s="100"/>
      <c r="T2254" s="100"/>
      <c r="U2254" s="100"/>
      <c r="V2254" s="100"/>
      <c r="W2254" s="100"/>
      <c r="X2254" s="100" t="s">
        <v>4622</v>
      </c>
      <c r="Y2254" s="100">
        <v>1</v>
      </c>
      <c r="Z2254" s="100">
        <v>1</v>
      </c>
      <c r="AA2254" s="100" t="s">
        <v>115</v>
      </c>
      <c r="AB2254" s="100" t="s">
        <v>115</v>
      </c>
      <c r="AC2254" s="100" t="s">
        <v>115</v>
      </c>
      <c r="AD2254" s="100"/>
      <c r="AE2254" s="100"/>
      <c r="AF2254" s="100"/>
      <c r="AG2254" s="100"/>
      <c r="AH2254" s="100"/>
      <c r="AI2254" s="100" t="s">
        <v>115</v>
      </c>
      <c r="AJ2254" s="100"/>
      <c r="AK2254" s="100"/>
      <c r="AL2254" s="100"/>
      <c r="AM2254" s="100"/>
      <c r="AN2254" s="100"/>
      <c r="AO2254" s="100"/>
      <c r="AP2254" s="89" t="s">
        <v>115</v>
      </c>
    </row>
    <row r="2255" spans="1:42" s="89" customFormat="1" x14ac:dyDescent="0.15">
      <c r="A2255" s="100" t="s">
        <v>1</v>
      </c>
      <c r="B2255" s="101">
        <v>90200503</v>
      </c>
      <c r="C2255" s="101">
        <v>2005</v>
      </c>
      <c r="D2255" s="101">
        <v>20</v>
      </c>
      <c r="E2255" s="101"/>
      <c r="F2255" s="101" t="s">
        <v>115</v>
      </c>
      <c r="G2255" s="101" t="s">
        <v>115</v>
      </c>
      <c r="H2255" s="101" t="s">
        <v>4623</v>
      </c>
      <c r="I2255" s="101">
        <v>4</v>
      </c>
      <c r="J2255" s="100">
        <v>0</v>
      </c>
      <c r="K2255" s="100">
        <v>3</v>
      </c>
      <c r="L2255" s="100" t="s">
        <v>115</v>
      </c>
      <c r="M2255" s="102"/>
      <c r="N2255" s="100"/>
      <c r="O2255" s="100" t="s">
        <v>115</v>
      </c>
      <c r="P2255" s="101"/>
      <c r="Q2255" s="100">
        <v>198</v>
      </c>
      <c r="R2255" s="100">
        <v>357</v>
      </c>
      <c r="S2255" s="100"/>
      <c r="T2255" s="100"/>
      <c r="U2255" s="100"/>
      <c r="V2255" s="100"/>
      <c r="W2255" s="100"/>
      <c r="X2255" s="100">
        <v>90200505</v>
      </c>
      <c r="Y2255" s="100">
        <v>-1</v>
      </c>
      <c r="Z2255" s="100">
        <v>2</v>
      </c>
      <c r="AA2255" s="100" t="s">
        <v>115</v>
      </c>
      <c r="AB2255" s="100" t="s">
        <v>115</v>
      </c>
      <c r="AC2255" s="100" t="s">
        <v>4624</v>
      </c>
      <c r="AD2255" s="100"/>
      <c r="AE2255" s="100"/>
      <c r="AF2255" s="100"/>
      <c r="AG2255" s="100"/>
      <c r="AH2255" s="100"/>
      <c r="AI2255" s="100" t="s">
        <v>115</v>
      </c>
      <c r="AJ2255" s="100"/>
      <c r="AK2255" s="100"/>
      <c r="AL2255" s="100"/>
      <c r="AM2255" s="100"/>
      <c r="AN2255" s="100"/>
      <c r="AO2255" s="100"/>
      <c r="AP2255" s="89" t="s">
        <v>115</v>
      </c>
    </row>
    <row r="2256" spans="1:42" s="89" customFormat="1" x14ac:dyDescent="0.15">
      <c r="A2256" s="100" t="s">
        <v>1</v>
      </c>
      <c r="B2256" s="101">
        <v>90200504</v>
      </c>
      <c r="C2256" s="101">
        <v>2005</v>
      </c>
      <c r="D2256" s="101">
        <v>20</v>
      </c>
      <c r="E2256" s="101"/>
      <c r="F2256" s="101" t="s">
        <v>115</v>
      </c>
      <c r="G2256" s="101" t="s">
        <v>115</v>
      </c>
      <c r="H2256" s="101" t="s">
        <v>4625</v>
      </c>
      <c r="I2256" s="101">
        <v>4</v>
      </c>
      <c r="J2256" s="100">
        <v>0</v>
      </c>
      <c r="K2256" s="100">
        <v>4</v>
      </c>
      <c r="L2256" s="100" t="s">
        <v>115</v>
      </c>
      <c r="M2256" s="102"/>
      <c r="N2256" s="100"/>
      <c r="O2256" s="100" t="s">
        <v>115</v>
      </c>
      <c r="P2256" s="101"/>
      <c r="Q2256" s="100">
        <v>198</v>
      </c>
      <c r="R2256" s="100">
        <v>357</v>
      </c>
      <c r="S2256" s="100"/>
      <c r="T2256" s="100"/>
      <c r="U2256" s="100"/>
      <c r="V2256" s="100"/>
      <c r="W2256" s="100"/>
      <c r="X2256" s="100">
        <v>90200506</v>
      </c>
      <c r="Y2256" s="100">
        <v>-1</v>
      </c>
      <c r="Z2256" s="100">
        <v>2</v>
      </c>
      <c r="AA2256" s="100" t="s">
        <v>115</v>
      </c>
      <c r="AB2256" s="100" t="s">
        <v>115</v>
      </c>
      <c r="AC2256" s="100" t="s">
        <v>4626</v>
      </c>
      <c r="AD2256" s="100"/>
      <c r="AE2256" s="100"/>
      <c r="AF2256" s="100"/>
      <c r="AG2256" s="100"/>
      <c r="AH2256" s="100"/>
      <c r="AI2256" s="100" t="s">
        <v>115</v>
      </c>
      <c r="AJ2256" s="100"/>
      <c r="AK2256" s="100"/>
      <c r="AL2256" s="100"/>
      <c r="AM2256" s="100"/>
      <c r="AN2256" s="100"/>
      <c r="AO2256" s="100"/>
      <c r="AP2256" s="89" t="s">
        <v>115</v>
      </c>
    </row>
    <row r="2257" spans="1:42" s="89" customFormat="1" x14ac:dyDescent="0.15">
      <c r="A2257" s="100" t="s">
        <v>1</v>
      </c>
      <c r="B2257" s="101">
        <v>90200505</v>
      </c>
      <c r="C2257" s="101">
        <v>2005</v>
      </c>
      <c r="D2257" s="101">
        <v>20</v>
      </c>
      <c r="E2257" s="101"/>
      <c r="F2257" s="101" t="s">
        <v>115</v>
      </c>
      <c r="G2257" s="101" t="s">
        <v>115</v>
      </c>
      <c r="H2257" s="101" t="s">
        <v>4627</v>
      </c>
      <c r="I2257" s="101">
        <v>4</v>
      </c>
      <c r="J2257" s="100">
        <v>0</v>
      </c>
      <c r="K2257" s="100">
        <v>0</v>
      </c>
      <c r="L2257" s="100" t="s">
        <v>115</v>
      </c>
      <c r="M2257" s="102"/>
      <c r="N2257" s="100"/>
      <c r="O2257" s="100" t="s">
        <v>115</v>
      </c>
      <c r="P2257" s="101"/>
      <c r="Q2257" s="100">
        <v>198</v>
      </c>
      <c r="R2257" s="100">
        <v>357</v>
      </c>
      <c r="S2257" s="100"/>
      <c r="T2257" s="100"/>
      <c r="U2257" s="100"/>
      <c r="V2257" s="100"/>
      <c r="W2257" s="100"/>
      <c r="X2257" s="100">
        <v>90200509</v>
      </c>
      <c r="Y2257" s="100" t="s">
        <v>115</v>
      </c>
      <c r="Z2257" s="100" t="s">
        <v>115</v>
      </c>
      <c r="AA2257" s="100" t="s">
        <v>115</v>
      </c>
      <c r="AB2257" s="100" t="s">
        <v>115</v>
      </c>
      <c r="AC2257" s="100" t="s">
        <v>115</v>
      </c>
      <c r="AD2257" s="100"/>
      <c r="AE2257" s="100"/>
      <c r="AF2257" s="100"/>
      <c r="AG2257" s="100"/>
      <c r="AH2257" s="100"/>
      <c r="AI2257" s="100" t="s">
        <v>115</v>
      </c>
      <c r="AJ2257" s="100"/>
      <c r="AK2257" s="100"/>
      <c r="AL2257" s="100"/>
      <c r="AM2257" s="100"/>
      <c r="AN2257" s="100"/>
      <c r="AO2257" s="100"/>
      <c r="AP2257" s="89" t="s">
        <v>115</v>
      </c>
    </row>
    <row r="2258" spans="1:42" s="89" customFormat="1" x14ac:dyDescent="0.15">
      <c r="A2258" s="100" t="s">
        <v>1</v>
      </c>
      <c r="B2258" s="101">
        <v>90200506</v>
      </c>
      <c r="C2258" s="101">
        <v>2005</v>
      </c>
      <c r="D2258" s="101">
        <v>20</v>
      </c>
      <c r="E2258" s="101"/>
      <c r="F2258" s="101" t="s">
        <v>116</v>
      </c>
      <c r="G2258" s="101">
        <v>310</v>
      </c>
      <c r="H2258" s="101" t="s">
        <v>4628</v>
      </c>
      <c r="I2258" s="101">
        <v>0</v>
      </c>
      <c r="J2258" s="100">
        <v>0</v>
      </c>
      <c r="K2258" s="100">
        <v>0</v>
      </c>
      <c r="L2258" s="100" t="s">
        <v>115</v>
      </c>
      <c r="M2258" s="102"/>
      <c r="N2258" s="100"/>
      <c r="O2258" s="100" t="s">
        <v>115</v>
      </c>
      <c r="P2258" s="101"/>
      <c r="Q2258" s="100">
        <v>198</v>
      </c>
      <c r="R2258" s="100">
        <v>357</v>
      </c>
      <c r="S2258" s="100"/>
      <c r="T2258" s="100"/>
      <c r="U2258" s="100"/>
      <c r="V2258" s="100"/>
      <c r="W2258" s="100"/>
      <c r="X2258" s="100">
        <v>90200507</v>
      </c>
      <c r="Y2258" s="100" t="s">
        <v>115</v>
      </c>
      <c r="Z2258" s="100" t="s">
        <v>115</v>
      </c>
      <c r="AA2258" s="100" t="s">
        <v>115</v>
      </c>
      <c r="AB2258" s="100" t="s">
        <v>115</v>
      </c>
      <c r="AC2258" s="100" t="s">
        <v>115</v>
      </c>
      <c r="AD2258" s="100"/>
      <c r="AE2258" s="100"/>
      <c r="AF2258" s="100"/>
      <c r="AG2258" s="100"/>
      <c r="AH2258" s="100"/>
      <c r="AI2258" s="100" t="s">
        <v>115</v>
      </c>
      <c r="AJ2258" s="100"/>
      <c r="AK2258" s="100"/>
      <c r="AL2258" s="100"/>
      <c r="AM2258" s="100"/>
      <c r="AN2258" s="100"/>
      <c r="AO2258" s="100"/>
      <c r="AP2258" s="89" t="s">
        <v>115</v>
      </c>
    </row>
    <row r="2259" spans="1:42" s="89" customFormat="1" x14ac:dyDescent="0.15">
      <c r="A2259" s="100" t="s">
        <v>1</v>
      </c>
      <c r="B2259" s="101">
        <v>90200507</v>
      </c>
      <c r="C2259" s="101">
        <v>2005</v>
      </c>
      <c r="D2259" s="101">
        <v>20</v>
      </c>
      <c r="E2259" s="101"/>
      <c r="F2259" s="101" t="s">
        <v>116</v>
      </c>
      <c r="G2259" s="101">
        <v>310</v>
      </c>
      <c r="H2259" s="101" t="s">
        <v>4629</v>
      </c>
      <c r="I2259" s="101">
        <v>0</v>
      </c>
      <c r="J2259" s="100">
        <v>0</v>
      </c>
      <c r="K2259" s="100">
        <v>0</v>
      </c>
      <c r="L2259" s="100" t="s">
        <v>115</v>
      </c>
      <c r="M2259" s="102"/>
      <c r="N2259" s="100"/>
      <c r="O2259" s="100" t="s">
        <v>115</v>
      </c>
      <c r="P2259" s="101"/>
      <c r="Q2259" s="100">
        <v>198</v>
      </c>
      <c r="R2259" s="100">
        <v>357</v>
      </c>
      <c r="S2259" s="100"/>
      <c r="T2259" s="100"/>
      <c r="U2259" s="100"/>
      <c r="V2259" s="100"/>
      <c r="W2259" s="100"/>
      <c r="X2259" s="100">
        <v>90200508</v>
      </c>
      <c r="Y2259" s="100" t="s">
        <v>115</v>
      </c>
      <c r="Z2259" s="100" t="s">
        <v>115</v>
      </c>
      <c r="AA2259" s="100" t="s">
        <v>115</v>
      </c>
      <c r="AB2259" s="100" t="s">
        <v>115</v>
      </c>
      <c r="AC2259" s="100" t="s">
        <v>115</v>
      </c>
      <c r="AD2259" s="100"/>
      <c r="AE2259" s="100"/>
      <c r="AF2259" s="100"/>
      <c r="AG2259" s="100"/>
      <c r="AH2259" s="100"/>
      <c r="AI2259" s="100" t="s">
        <v>115</v>
      </c>
      <c r="AJ2259" s="100"/>
      <c r="AK2259" s="100"/>
      <c r="AL2259" s="100"/>
      <c r="AM2259" s="100"/>
      <c r="AN2259" s="100"/>
      <c r="AO2259" s="100"/>
      <c r="AP2259" s="89" t="s">
        <v>115</v>
      </c>
    </row>
    <row r="2260" spans="1:42" s="89" customFormat="1" x14ac:dyDescent="0.15">
      <c r="A2260" s="100" t="s">
        <v>1</v>
      </c>
      <c r="B2260" s="101">
        <v>90200508</v>
      </c>
      <c r="C2260" s="101">
        <v>2005</v>
      </c>
      <c r="D2260" s="101">
        <v>20</v>
      </c>
      <c r="E2260" s="101"/>
      <c r="F2260" s="101" t="s">
        <v>4509</v>
      </c>
      <c r="G2260" s="101" t="s">
        <v>115</v>
      </c>
      <c r="H2260" s="101" t="s">
        <v>4630</v>
      </c>
      <c r="I2260" s="101">
        <v>3</v>
      </c>
      <c r="J2260" s="100">
        <v>0</v>
      </c>
      <c r="K2260" s="100">
        <v>0</v>
      </c>
      <c r="L2260" s="100" t="s">
        <v>115</v>
      </c>
      <c r="M2260" s="102"/>
      <c r="N2260" s="100"/>
      <c r="O2260" s="100" t="s">
        <v>115</v>
      </c>
      <c r="P2260" s="101"/>
      <c r="Q2260" s="100">
        <v>198</v>
      </c>
      <c r="R2260" s="100">
        <v>357</v>
      </c>
      <c r="S2260" s="100"/>
      <c r="T2260" s="100"/>
      <c r="U2260" s="100"/>
      <c r="V2260" s="100"/>
      <c r="W2260" s="100"/>
      <c r="X2260" s="100">
        <v>90200509</v>
      </c>
      <c r="Y2260" s="100" t="s">
        <v>115</v>
      </c>
      <c r="Z2260" s="100" t="s">
        <v>115</v>
      </c>
      <c r="AA2260" s="100" t="s">
        <v>115</v>
      </c>
      <c r="AB2260" s="100" t="s">
        <v>115</v>
      </c>
      <c r="AC2260" s="100" t="s">
        <v>115</v>
      </c>
      <c r="AD2260" s="100"/>
      <c r="AE2260" s="100"/>
      <c r="AF2260" s="100"/>
      <c r="AG2260" s="100"/>
      <c r="AH2260" s="100"/>
      <c r="AI2260" s="100" t="s">
        <v>115</v>
      </c>
      <c r="AJ2260" s="100"/>
      <c r="AK2260" s="100"/>
      <c r="AL2260" s="100"/>
      <c r="AM2260" s="100"/>
      <c r="AN2260" s="100"/>
      <c r="AO2260" s="100"/>
      <c r="AP2260" s="89" t="s">
        <v>115</v>
      </c>
    </row>
    <row r="2261" spans="1:42" s="89" customFormat="1" x14ac:dyDescent="0.15">
      <c r="A2261" s="100" t="s">
        <v>1</v>
      </c>
      <c r="B2261" s="101">
        <v>90200509</v>
      </c>
      <c r="C2261" s="101">
        <v>2005</v>
      </c>
      <c r="D2261" s="101">
        <v>20</v>
      </c>
      <c r="E2261" s="101"/>
      <c r="F2261" s="101" t="s">
        <v>115</v>
      </c>
      <c r="G2261" s="101" t="s">
        <v>115</v>
      </c>
      <c r="H2261" s="101" t="s">
        <v>4631</v>
      </c>
      <c r="I2261" s="101">
        <v>4</v>
      </c>
      <c r="J2261" s="100">
        <v>0</v>
      </c>
      <c r="K2261" s="100">
        <v>0</v>
      </c>
      <c r="L2261" s="100" t="s">
        <v>115</v>
      </c>
      <c r="M2261" s="102"/>
      <c r="N2261" s="100"/>
      <c r="O2261" s="100" t="s">
        <v>115</v>
      </c>
      <c r="P2261" s="101"/>
      <c r="Q2261" s="100">
        <v>292</v>
      </c>
      <c r="R2261" s="100" t="s">
        <v>115</v>
      </c>
      <c r="S2261" s="100"/>
      <c r="T2261" s="100"/>
      <c r="U2261" s="100"/>
      <c r="V2261" s="100"/>
      <c r="W2261" s="100"/>
      <c r="X2261" s="100">
        <v>90200510</v>
      </c>
      <c r="Y2261" s="100" t="s">
        <v>115</v>
      </c>
      <c r="Z2261" s="100" t="s">
        <v>115</v>
      </c>
      <c r="AA2261" s="100" t="s">
        <v>115</v>
      </c>
      <c r="AB2261" s="100" t="s">
        <v>115</v>
      </c>
      <c r="AC2261" s="100" t="s">
        <v>115</v>
      </c>
      <c r="AD2261" s="100"/>
      <c r="AE2261" s="100"/>
      <c r="AF2261" s="100"/>
      <c r="AG2261" s="100"/>
      <c r="AH2261" s="100"/>
      <c r="AI2261" s="100" t="s">
        <v>115</v>
      </c>
      <c r="AJ2261" s="100"/>
      <c r="AK2261" s="100"/>
      <c r="AL2261" s="100"/>
      <c r="AM2261" s="100"/>
      <c r="AN2261" s="100"/>
      <c r="AO2261" s="100"/>
      <c r="AP2261" s="89" t="s">
        <v>115</v>
      </c>
    </row>
    <row r="2262" spans="1:42" s="89" customFormat="1" x14ac:dyDescent="0.15">
      <c r="A2262" s="100" t="s">
        <v>1</v>
      </c>
      <c r="B2262" s="101">
        <v>90200510</v>
      </c>
      <c r="C2262" s="101">
        <v>2005</v>
      </c>
      <c r="D2262" s="101">
        <v>20</v>
      </c>
      <c r="E2262" s="101"/>
      <c r="F2262" s="101" t="s">
        <v>2202</v>
      </c>
      <c r="G2262" s="101" t="s">
        <v>115</v>
      </c>
      <c r="H2262" s="101" t="s">
        <v>4632</v>
      </c>
      <c r="I2262" s="101">
        <v>3</v>
      </c>
      <c r="J2262" s="100">
        <v>0</v>
      </c>
      <c r="K2262" s="100">
        <v>0</v>
      </c>
      <c r="L2262" s="100" t="s">
        <v>115</v>
      </c>
      <c r="M2262" s="102"/>
      <c r="N2262" s="100"/>
      <c r="O2262" s="100" t="s">
        <v>115</v>
      </c>
      <c r="P2262" s="101"/>
      <c r="Q2262" s="100">
        <v>292</v>
      </c>
      <c r="R2262" s="100">
        <v>213</v>
      </c>
      <c r="S2262" s="100"/>
      <c r="T2262" s="100"/>
      <c r="U2262" s="100"/>
      <c r="V2262" s="100"/>
      <c r="W2262" s="100"/>
      <c r="X2262" s="100">
        <v>90200511</v>
      </c>
      <c r="Y2262" s="100" t="s">
        <v>115</v>
      </c>
      <c r="Z2262" s="100" t="s">
        <v>115</v>
      </c>
      <c r="AA2262" s="100" t="s">
        <v>115</v>
      </c>
      <c r="AB2262" s="100" t="s">
        <v>115</v>
      </c>
      <c r="AC2262" s="100" t="s">
        <v>115</v>
      </c>
      <c r="AD2262" s="100"/>
      <c r="AE2262" s="100"/>
      <c r="AF2262" s="100"/>
      <c r="AG2262" s="100"/>
      <c r="AH2262" s="100"/>
      <c r="AI2262" s="100" t="s">
        <v>115</v>
      </c>
      <c r="AJ2262" s="100"/>
      <c r="AK2262" s="100"/>
      <c r="AL2262" s="100"/>
      <c r="AM2262" s="100"/>
      <c r="AN2262" s="100"/>
      <c r="AO2262" s="100"/>
      <c r="AP2262" s="89" t="s">
        <v>115</v>
      </c>
    </row>
    <row r="2263" spans="1:42" s="89" customFormat="1" x14ac:dyDescent="0.15">
      <c r="A2263" s="100" t="s">
        <v>1</v>
      </c>
      <c r="B2263" s="101">
        <v>90200511</v>
      </c>
      <c r="C2263" s="101">
        <v>2005</v>
      </c>
      <c r="D2263" s="101">
        <v>20</v>
      </c>
      <c r="E2263" s="101"/>
      <c r="F2263" s="101" t="s">
        <v>2202</v>
      </c>
      <c r="G2263" s="101" t="s">
        <v>115</v>
      </c>
      <c r="H2263" s="101" t="s">
        <v>4633</v>
      </c>
      <c r="I2263" s="101">
        <v>3</v>
      </c>
      <c r="J2263" s="100">
        <v>0</v>
      </c>
      <c r="K2263" s="100">
        <v>0</v>
      </c>
      <c r="L2263" s="100" t="s">
        <v>115</v>
      </c>
      <c r="M2263" s="102"/>
      <c r="N2263" s="100"/>
      <c r="O2263" s="100" t="s">
        <v>115</v>
      </c>
      <c r="P2263" s="101"/>
      <c r="Q2263" s="100">
        <v>292</v>
      </c>
      <c r="R2263" s="100">
        <v>213</v>
      </c>
      <c r="S2263" s="100"/>
      <c r="T2263" s="100"/>
      <c r="U2263" s="100"/>
      <c r="V2263" s="100"/>
      <c r="W2263" s="100"/>
      <c r="X2263" s="100">
        <v>90200512</v>
      </c>
      <c r="Y2263" s="100" t="s">
        <v>115</v>
      </c>
      <c r="Z2263" s="100" t="s">
        <v>115</v>
      </c>
      <c r="AA2263" s="100" t="s">
        <v>115</v>
      </c>
      <c r="AB2263" s="100" t="s">
        <v>115</v>
      </c>
      <c r="AC2263" s="100" t="s">
        <v>115</v>
      </c>
      <c r="AD2263" s="100"/>
      <c r="AE2263" s="100"/>
      <c r="AF2263" s="100"/>
      <c r="AG2263" s="100"/>
      <c r="AH2263" s="100"/>
      <c r="AI2263" s="100" t="s">
        <v>115</v>
      </c>
      <c r="AJ2263" s="100"/>
      <c r="AK2263" s="100"/>
      <c r="AL2263" s="100"/>
      <c r="AM2263" s="100"/>
      <c r="AN2263" s="100"/>
      <c r="AO2263" s="100"/>
      <c r="AP2263" s="89" t="s">
        <v>115</v>
      </c>
    </row>
    <row r="2264" spans="1:42" s="89" customFormat="1" x14ac:dyDescent="0.15">
      <c r="A2264" s="100" t="s">
        <v>1</v>
      </c>
      <c r="B2264" s="101">
        <v>90200512</v>
      </c>
      <c r="C2264" s="101">
        <v>2005</v>
      </c>
      <c r="D2264" s="101">
        <v>20</v>
      </c>
      <c r="E2264" s="101"/>
      <c r="F2264" s="101" t="s">
        <v>115</v>
      </c>
      <c r="G2264" s="101" t="s">
        <v>115</v>
      </c>
      <c r="H2264" s="101" t="s">
        <v>4634</v>
      </c>
      <c r="I2264" s="101">
        <v>4</v>
      </c>
      <c r="J2264" s="100">
        <v>0</v>
      </c>
      <c r="K2264" s="100">
        <v>0</v>
      </c>
      <c r="L2264" s="100" t="s">
        <v>115</v>
      </c>
      <c r="M2264" s="102"/>
      <c r="N2264" s="100"/>
      <c r="O2264" s="100" t="s">
        <v>115</v>
      </c>
      <c r="P2264" s="101"/>
      <c r="Q2264" s="100">
        <v>292</v>
      </c>
      <c r="R2264" s="100">
        <v>213</v>
      </c>
      <c r="S2264" s="100"/>
      <c r="T2264" s="100"/>
      <c r="U2264" s="100"/>
      <c r="V2264" s="100"/>
      <c r="W2264" s="100"/>
      <c r="X2264" s="100">
        <v>90200513</v>
      </c>
      <c r="Y2264" s="100" t="s">
        <v>115</v>
      </c>
      <c r="Z2264" s="100" t="s">
        <v>115</v>
      </c>
      <c r="AA2264" s="100" t="s">
        <v>115</v>
      </c>
      <c r="AB2264" s="100" t="s">
        <v>115</v>
      </c>
      <c r="AC2264" s="100" t="s">
        <v>115</v>
      </c>
      <c r="AD2264" s="100"/>
      <c r="AE2264" s="100"/>
      <c r="AF2264" s="100"/>
      <c r="AG2264" s="100"/>
      <c r="AH2264" s="100"/>
      <c r="AI2264" s="100" t="s">
        <v>115</v>
      </c>
      <c r="AJ2264" s="100"/>
      <c r="AK2264" s="100"/>
      <c r="AL2264" s="100"/>
      <c r="AM2264" s="100"/>
      <c r="AN2264" s="100"/>
      <c r="AO2264" s="100"/>
      <c r="AP2264" s="89" t="s">
        <v>115</v>
      </c>
    </row>
    <row r="2265" spans="1:42" s="89" customFormat="1" x14ac:dyDescent="0.15">
      <c r="A2265" s="100" t="s">
        <v>1</v>
      </c>
      <c r="B2265" s="101">
        <v>90200513</v>
      </c>
      <c r="C2265" s="101">
        <v>2005</v>
      </c>
      <c r="D2265" s="101">
        <v>20</v>
      </c>
      <c r="E2265" s="101"/>
      <c r="F2265" s="101" t="s">
        <v>116</v>
      </c>
      <c r="G2265" s="101">
        <v>314</v>
      </c>
      <c r="H2265" s="101" t="s">
        <v>4635</v>
      </c>
      <c r="I2265" s="101">
        <v>0</v>
      </c>
      <c r="J2265" s="100">
        <v>0</v>
      </c>
      <c r="K2265" s="100">
        <v>0</v>
      </c>
      <c r="L2265" s="100" t="s">
        <v>115</v>
      </c>
      <c r="M2265" s="102"/>
      <c r="N2265" s="100"/>
      <c r="O2265" s="100" t="s">
        <v>115</v>
      </c>
      <c r="P2265" s="101"/>
      <c r="Q2265" s="100">
        <v>292</v>
      </c>
      <c r="R2265" s="100">
        <v>213</v>
      </c>
      <c r="S2265" s="100"/>
      <c r="T2265" s="100"/>
      <c r="U2265" s="100"/>
      <c r="V2265" s="100"/>
      <c r="W2265" s="100"/>
      <c r="X2265" s="100">
        <v>90200514</v>
      </c>
      <c r="Y2265" s="100" t="s">
        <v>115</v>
      </c>
      <c r="Z2265" s="100" t="s">
        <v>115</v>
      </c>
      <c r="AA2265" s="100" t="s">
        <v>115</v>
      </c>
      <c r="AB2265" s="100" t="s">
        <v>115</v>
      </c>
      <c r="AC2265" s="100" t="s">
        <v>115</v>
      </c>
      <c r="AD2265" s="100"/>
      <c r="AE2265" s="100"/>
      <c r="AF2265" s="100"/>
      <c r="AG2265" s="100"/>
      <c r="AH2265" s="100"/>
      <c r="AI2265" s="100" t="s">
        <v>115</v>
      </c>
      <c r="AJ2265" s="100"/>
      <c r="AK2265" s="100"/>
      <c r="AL2265" s="100"/>
      <c r="AM2265" s="100"/>
      <c r="AN2265" s="100"/>
      <c r="AO2265" s="100"/>
      <c r="AP2265" s="89" t="s">
        <v>115</v>
      </c>
    </row>
    <row r="2266" spans="1:42" s="89" customFormat="1" x14ac:dyDescent="0.15">
      <c r="A2266" s="100" t="s">
        <v>1</v>
      </c>
      <c r="B2266" s="101">
        <v>90200514</v>
      </c>
      <c r="C2266" s="101">
        <v>2005</v>
      </c>
      <c r="D2266" s="101">
        <v>20</v>
      </c>
      <c r="E2266" s="101"/>
      <c r="F2266" s="101" t="s">
        <v>115</v>
      </c>
      <c r="G2266" s="101" t="s">
        <v>115</v>
      </c>
      <c r="H2266" s="101" t="s">
        <v>4636</v>
      </c>
      <c r="I2266" s="101">
        <v>4</v>
      </c>
      <c r="J2266" s="100">
        <v>0</v>
      </c>
      <c r="K2266" s="100">
        <v>0</v>
      </c>
      <c r="L2266" s="100" t="s">
        <v>115</v>
      </c>
      <c r="M2266" s="102"/>
      <c r="N2266" s="100"/>
      <c r="O2266" s="100" t="s">
        <v>115</v>
      </c>
      <c r="P2266" s="101"/>
      <c r="Q2266" s="100">
        <v>292</v>
      </c>
      <c r="R2266" s="100">
        <v>213</v>
      </c>
      <c r="S2266" s="100"/>
      <c r="T2266" s="100"/>
      <c r="U2266" s="100"/>
      <c r="V2266" s="100"/>
      <c r="W2266" s="100"/>
      <c r="X2266" s="100">
        <v>90200515</v>
      </c>
      <c r="Y2266" s="100" t="s">
        <v>115</v>
      </c>
      <c r="Z2266" s="100" t="s">
        <v>115</v>
      </c>
      <c r="AA2266" s="100" t="s">
        <v>115</v>
      </c>
      <c r="AB2266" s="100" t="s">
        <v>115</v>
      </c>
      <c r="AC2266" s="100" t="s">
        <v>115</v>
      </c>
      <c r="AD2266" s="100"/>
      <c r="AE2266" s="100"/>
      <c r="AF2266" s="100"/>
      <c r="AG2266" s="100"/>
      <c r="AH2266" s="100"/>
      <c r="AI2266" s="100" t="s">
        <v>115</v>
      </c>
      <c r="AJ2266" s="100"/>
      <c r="AK2266" s="100"/>
      <c r="AL2266" s="100"/>
      <c r="AM2266" s="100"/>
      <c r="AN2266" s="100"/>
      <c r="AO2266" s="100"/>
      <c r="AP2266" s="89" t="s">
        <v>115</v>
      </c>
    </row>
    <row r="2267" spans="1:42" s="89" customFormat="1" x14ac:dyDescent="0.15">
      <c r="A2267" s="100" t="s">
        <v>1</v>
      </c>
      <c r="B2267" s="101">
        <v>90200515</v>
      </c>
      <c r="C2267" s="101">
        <v>2005</v>
      </c>
      <c r="D2267" s="101">
        <v>20</v>
      </c>
      <c r="E2267" s="101"/>
      <c r="F2267" s="101" t="s">
        <v>115</v>
      </c>
      <c r="G2267" s="101" t="s">
        <v>115</v>
      </c>
      <c r="H2267" s="101" t="s">
        <v>4637</v>
      </c>
      <c r="I2267" s="101">
        <v>4</v>
      </c>
      <c r="J2267" s="100">
        <v>0</v>
      </c>
      <c r="K2267" s="100">
        <v>0</v>
      </c>
      <c r="L2267" s="100" t="s">
        <v>115</v>
      </c>
      <c r="M2267" s="102"/>
      <c r="N2267" s="100"/>
      <c r="O2267" s="100" t="s">
        <v>115</v>
      </c>
      <c r="P2267" s="101"/>
      <c r="Q2267" s="100">
        <v>198</v>
      </c>
      <c r="R2267" s="100" t="s">
        <v>115</v>
      </c>
      <c r="S2267" s="100"/>
      <c r="T2267" s="100"/>
      <c r="U2267" s="100"/>
      <c r="V2267" s="100"/>
      <c r="W2267" s="100"/>
      <c r="X2267" s="100">
        <v>90200516</v>
      </c>
      <c r="Y2267" s="100" t="s">
        <v>115</v>
      </c>
      <c r="Z2267" s="100" t="s">
        <v>115</v>
      </c>
      <c r="AA2267" s="100" t="s">
        <v>115</v>
      </c>
      <c r="AB2267" s="100" t="s">
        <v>115</v>
      </c>
      <c r="AC2267" s="100" t="s">
        <v>115</v>
      </c>
      <c r="AD2267" s="100"/>
      <c r="AE2267" s="100"/>
      <c r="AF2267" s="100"/>
      <c r="AG2267" s="100"/>
      <c r="AH2267" s="100"/>
      <c r="AI2267" s="100" t="s">
        <v>115</v>
      </c>
      <c r="AJ2267" s="100"/>
      <c r="AK2267" s="100"/>
      <c r="AL2267" s="100"/>
      <c r="AM2267" s="100"/>
      <c r="AN2267" s="100"/>
      <c r="AO2267" s="100"/>
      <c r="AP2267" s="89" t="s">
        <v>115</v>
      </c>
    </row>
    <row r="2268" spans="1:42" s="89" customFormat="1" x14ac:dyDescent="0.15">
      <c r="A2268" s="100" t="s">
        <v>1</v>
      </c>
      <c r="B2268" s="101">
        <v>90200516</v>
      </c>
      <c r="C2268" s="101">
        <v>2005</v>
      </c>
      <c r="D2268" s="101">
        <v>20</v>
      </c>
      <c r="E2268" s="101"/>
      <c r="F2268" s="101" t="s">
        <v>115</v>
      </c>
      <c r="G2268" s="101" t="s">
        <v>115</v>
      </c>
      <c r="H2268" s="101" t="s">
        <v>4638</v>
      </c>
      <c r="I2268" s="101">
        <v>4</v>
      </c>
      <c r="J2268" s="100">
        <v>0</v>
      </c>
      <c r="K2268" s="100">
        <v>0</v>
      </c>
      <c r="L2268" s="100" t="s">
        <v>115</v>
      </c>
      <c r="M2268" s="102"/>
      <c r="N2268" s="100"/>
      <c r="O2268" s="100" t="s">
        <v>115</v>
      </c>
      <c r="P2268" s="101"/>
      <c r="Q2268" s="100">
        <v>205</v>
      </c>
      <c r="R2268" s="100" t="s">
        <v>115</v>
      </c>
      <c r="S2268" s="100"/>
      <c r="T2268" s="100"/>
      <c r="U2268" s="100"/>
      <c r="V2268" s="100"/>
      <c r="W2268" s="100"/>
      <c r="X2268" s="100">
        <v>90200517</v>
      </c>
      <c r="Y2268" s="100" t="s">
        <v>115</v>
      </c>
      <c r="Z2268" s="100" t="s">
        <v>115</v>
      </c>
      <c r="AA2268" s="100" t="s">
        <v>115</v>
      </c>
      <c r="AB2268" s="100" t="s">
        <v>115</v>
      </c>
      <c r="AC2268" s="100" t="s">
        <v>115</v>
      </c>
      <c r="AD2268" s="100"/>
      <c r="AE2268" s="100"/>
      <c r="AF2268" s="100"/>
      <c r="AG2268" s="100"/>
      <c r="AH2268" s="100"/>
      <c r="AI2268" s="100" t="s">
        <v>115</v>
      </c>
      <c r="AJ2268" s="100"/>
      <c r="AK2268" s="100"/>
      <c r="AL2268" s="100"/>
      <c r="AM2268" s="100"/>
      <c r="AN2268" s="100"/>
      <c r="AO2268" s="100"/>
      <c r="AP2268" s="89" t="s">
        <v>115</v>
      </c>
    </row>
    <row r="2269" spans="1:42" s="89" customFormat="1" x14ac:dyDescent="0.15">
      <c r="A2269" s="100" t="s">
        <v>1</v>
      </c>
      <c r="B2269" s="101">
        <v>90200517</v>
      </c>
      <c r="C2269" s="101">
        <v>2005</v>
      </c>
      <c r="D2269" s="101">
        <v>20</v>
      </c>
      <c r="E2269" s="101"/>
      <c r="F2269" s="101" t="s">
        <v>116</v>
      </c>
      <c r="G2269" s="101">
        <v>314</v>
      </c>
      <c r="H2269" s="101" t="s">
        <v>4639</v>
      </c>
      <c r="I2269" s="101">
        <v>0</v>
      </c>
      <c r="J2269" s="100">
        <v>0</v>
      </c>
      <c r="K2269" s="100">
        <v>0</v>
      </c>
      <c r="L2269" s="100" t="s">
        <v>115</v>
      </c>
      <c r="M2269" s="102"/>
      <c r="N2269" s="100"/>
      <c r="O2269" s="100" t="s">
        <v>115</v>
      </c>
      <c r="P2269" s="101"/>
      <c r="Q2269" s="100">
        <v>205</v>
      </c>
      <c r="R2269" s="100">
        <v>357</v>
      </c>
      <c r="S2269" s="100"/>
      <c r="T2269" s="100"/>
      <c r="U2269" s="100"/>
      <c r="V2269" s="100"/>
      <c r="W2269" s="100"/>
      <c r="X2269" s="100">
        <v>90200518</v>
      </c>
      <c r="Y2269" s="100" t="s">
        <v>115</v>
      </c>
      <c r="Z2269" s="100" t="s">
        <v>115</v>
      </c>
      <c r="AA2269" s="100" t="s">
        <v>115</v>
      </c>
      <c r="AB2269" s="100" t="s">
        <v>115</v>
      </c>
      <c r="AC2269" s="100" t="s">
        <v>115</v>
      </c>
      <c r="AD2269" s="100"/>
      <c r="AE2269" s="100"/>
      <c r="AF2269" s="100"/>
      <c r="AG2269" s="100"/>
      <c r="AH2269" s="100"/>
      <c r="AI2269" s="100" t="s">
        <v>115</v>
      </c>
      <c r="AJ2269" s="100"/>
      <c r="AK2269" s="100"/>
      <c r="AL2269" s="100"/>
      <c r="AM2269" s="100"/>
      <c r="AN2269" s="100"/>
      <c r="AO2269" s="100"/>
      <c r="AP2269" s="89" t="s">
        <v>115</v>
      </c>
    </row>
    <row r="2270" spans="1:42" s="89" customFormat="1" x14ac:dyDescent="0.15">
      <c r="A2270" s="100" t="s">
        <v>1</v>
      </c>
      <c r="B2270" s="101">
        <v>90200518</v>
      </c>
      <c r="C2270" s="101">
        <v>2005</v>
      </c>
      <c r="D2270" s="101">
        <v>20</v>
      </c>
      <c r="E2270" s="101"/>
      <c r="F2270" s="101" t="s">
        <v>4509</v>
      </c>
      <c r="G2270" s="101" t="s">
        <v>115</v>
      </c>
      <c r="H2270" s="101" t="s">
        <v>4640</v>
      </c>
      <c r="I2270" s="101">
        <v>3</v>
      </c>
      <c r="J2270" s="100">
        <v>0</v>
      </c>
      <c r="K2270" s="100">
        <v>0</v>
      </c>
      <c r="L2270" s="100" t="s">
        <v>115</v>
      </c>
      <c r="M2270" s="102"/>
      <c r="N2270" s="100"/>
      <c r="O2270" s="100" t="s">
        <v>115</v>
      </c>
      <c r="P2270" s="101"/>
      <c r="Q2270" s="100">
        <v>205</v>
      </c>
      <c r="R2270" s="100">
        <v>357</v>
      </c>
      <c r="S2270" s="100"/>
      <c r="T2270" s="100"/>
      <c r="U2270" s="100"/>
      <c r="V2270" s="100"/>
      <c r="W2270" s="100"/>
      <c r="X2270" s="100">
        <v>90200519</v>
      </c>
      <c r="Y2270" s="100" t="s">
        <v>115</v>
      </c>
      <c r="Z2270" s="100" t="s">
        <v>115</v>
      </c>
      <c r="AA2270" s="100" t="s">
        <v>115</v>
      </c>
      <c r="AB2270" s="100" t="s">
        <v>115</v>
      </c>
      <c r="AC2270" s="100" t="s">
        <v>115</v>
      </c>
      <c r="AD2270" s="100"/>
      <c r="AE2270" s="100"/>
      <c r="AF2270" s="100"/>
      <c r="AG2270" s="100"/>
      <c r="AH2270" s="100"/>
      <c r="AI2270" s="100" t="s">
        <v>115</v>
      </c>
      <c r="AJ2270" s="100"/>
      <c r="AK2270" s="100"/>
      <c r="AL2270" s="100"/>
      <c r="AM2270" s="100"/>
      <c r="AN2270" s="100"/>
      <c r="AO2270" s="100"/>
      <c r="AP2270" s="89" t="s">
        <v>115</v>
      </c>
    </row>
    <row r="2271" spans="1:42" s="89" customFormat="1" x14ac:dyDescent="0.15">
      <c r="A2271" s="100" t="s">
        <v>1</v>
      </c>
      <c r="B2271" s="101">
        <v>90200519</v>
      </c>
      <c r="C2271" s="101">
        <v>2005</v>
      </c>
      <c r="D2271" s="101">
        <v>20</v>
      </c>
      <c r="E2271" s="101"/>
      <c r="F2271" s="101" t="s">
        <v>4509</v>
      </c>
      <c r="G2271" s="101" t="s">
        <v>115</v>
      </c>
      <c r="H2271" s="101" t="s">
        <v>4641</v>
      </c>
      <c r="I2271" s="101">
        <v>3</v>
      </c>
      <c r="J2271" s="100">
        <v>0</v>
      </c>
      <c r="K2271" s="100">
        <v>0</v>
      </c>
      <c r="L2271" s="100" t="s">
        <v>115</v>
      </c>
      <c r="M2271" s="102"/>
      <c r="N2271" s="100"/>
      <c r="O2271" s="100" t="s">
        <v>115</v>
      </c>
      <c r="P2271" s="101"/>
      <c r="Q2271" s="100">
        <v>205</v>
      </c>
      <c r="R2271" s="100">
        <v>357</v>
      </c>
      <c r="S2271" s="100"/>
      <c r="T2271" s="100"/>
      <c r="U2271" s="100"/>
      <c r="V2271" s="100"/>
      <c r="W2271" s="100"/>
      <c r="X2271" s="100">
        <v>90200520</v>
      </c>
      <c r="Y2271" s="100" t="s">
        <v>115</v>
      </c>
      <c r="Z2271" s="100" t="s">
        <v>115</v>
      </c>
      <c r="AA2271" s="100" t="s">
        <v>115</v>
      </c>
      <c r="AB2271" s="100" t="s">
        <v>115</v>
      </c>
      <c r="AC2271" s="100" t="s">
        <v>115</v>
      </c>
      <c r="AD2271" s="100"/>
      <c r="AE2271" s="100"/>
      <c r="AF2271" s="100"/>
      <c r="AG2271" s="100"/>
      <c r="AH2271" s="100"/>
      <c r="AI2271" s="100" t="s">
        <v>115</v>
      </c>
      <c r="AJ2271" s="100"/>
      <c r="AK2271" s="100"/>
      <c r="AL2271" s="100"/>
      <c r="AM2271" s="100"/>
      <c r="AN2271" s="100"/>
      <c r="AO2271" s="100"/>
      <c r="AP2271" s="89" t="s">
        <v>115</v>
      </c>
    </row>
    <row r="2272" spans="1:42" s="89" customFormat="1" x14ac:dyDescent="0.15">
      <c r="A2272" s="100" t="s">
        <v>1</v>
      </c>
      <c r="B2272" s="101">
        <v>90200520</v>
      </c>
      <c r="C2272" s="101">
        <v>2005</v>
      </c>
      <c r="D2272" s="101">
        <v>20</v>
      </c>
      <c r="E2272" s="101"/>
      <c r="F2272" s="101" t="s">
        <v>4509</v>
      </c>
      <c r="G2272" s="101" t="s">
        <v>115</v>
      </c>
      <c r="H2272" s="101" t="s">
        <v>4642</v>
      </c>
      <c r="I2272" s="101">
        <v>3</v>
      </c>
      <c r="J2272" s="100">
        <v>0</v>
      </c>
      <c r="K2272" s="100">
        <v>0</v>
      </c>
      <c r="L2272" s="100" t="s">
        <v>115</v>
      </c>
      <c r="M2272" s="102"/>
      <c r="N2272" s="100"/>
      <c r="O2272" s="100" t="s">
        <v>115</v>
      </c>
      <c r="P2272" s="101"/>
      <c r="Q2272" s="100">
        <v>205</v>
      </c>
      <c r="R2272" s="100">
        <v>357</v>
      </c>
      <c r="S2272" s="100"/>
      <c r="T2272" s="100"/>
      <c r="U2272" s="100"/>
      <c r="V2272" s="100"/>
      <c r="W2272" s="100"/>
      <c r="X2272" s="100">
        <v>90200521</v>
      </c>
      <c r="Y2272" s="100" t="s">
        <v>115</v>
      </c>
      <c r="Z2272" s="100" t="s">
        <v>115</v>
      </c>
      <c r="AA2272" s="100" t="s">
        <v>115</v>
      </c>
      <c r="AB2272" s="100" t="s">
        <v>115</v>
      </c>
      <c r="AC2272" s="100" t="s">
        <v>115</v>
      </c>
      <c r="AD2272" s="100"/>
      <c r="AE2272" s="100"/>
      <c r="AF2272" s="100"/>
      <c r="AG2272" s="100"/>
      <c r="AH2272" s="100"/>
      <c r="AI2272" s="100" t="s">
        <v>115</v>
      </c>
      <c r="AJ2272" s="100"/>
      <c r="AK2272" s="100"/>
      <c r="AL2272" s="100"/>
      <c r="AM2272" s="100"/>
      <c r="AN2272" s="100"/>
      <c r="AO2272" s="100"/>
      <c r="AP2272" s="89" t="s">
        <v>115</v>
      </c>
    </row>
    <row r="2273" spans="1:42" s="89" customFormat="1" x14ac:dyDescent="0.15">
      <c r="A2273" s="100" t="s">
        <v>1</v>
      </c>
      <c r="B2273" s="101">
        <v>90200521</v>
      </c>
      <c r="C2273" s="101">
        <v>2005</v>
      </c>
      <c r="D2273" s="101">
        <v>20</v>
      </c>
      <c r="E2273" s="101"/>
      <c r="F2273" s="101" t="s">
        <v>116</v>
      </c>
      <c r="G2273" s="101">
        <v>314</v>
      </c>
      <c r="H2273" s="101" t="s">
        <v>4643</v>
      </c>
      <c r="I2273" s="101">
        <v>2</v>
      </c>
      <c r="J2273" s="100">
        <v>0</v>
      </c>
      <c r="K2273" s="100">
        <v>0</v>
      </c>
      <c r="L2273" s="100" t="s">
        <v>115</v>
      </c>
      <c r="M2273" s="102"/>
      <c r="N2273" s="100"/>
      <c r="O2273" s="100" t="s">
        <v>115</v>
      </c>
      <c r="P2273" s="101"/>
      <c r="Q2273" s="100">
        <v>205</v>
      </c>
      <c r="R2273" s="100">
        <v>357</v>
      </c>
      <c r="S2273" s="100"/>
      <c r="T2273" s="100"/>
      <c r="U2273" s="100"/>
      <c r="V2273" s="100"/>
      <c r="W2273" s="100"/>
      <c r="X2273" s="100">
        <v>90200522</v>
      </c>
      <c r="Y2273" s="100" t="s">
        <v>115</v>
      </c>
      <c r="Z2273" s="100" t="s">
        <v>115</v>
      </c>
      <c r="AA2273" s="100" t="s">
        <v>115</v>
      </c>
      <c r="AB2273" s="100" t="s">
        <v>115</v>
      </c>
      <c r="AC2273" s="100" t="s">
        <v>115</v>
      </c>
      <c r="AD2273" s="100"/>
      <c r="AE2273" s="100"/>
      <c r="AF2273" s="100"/>
      <c r="AG2273" s="100"/>
      <c r="AH2273" s="100"/>
      <c r="AI2273" s="100" t="s">
        <v>115</v>
      </c>
      <c r="AJ2273" s="100"/>
      <c r="AK2273" s="100"/>
      <c r="AL2273" s="100"/>
      <c r="AM2273" s="100"/>
      <c r="AN2273" s="100"/>
      <c r="AO2273" s="100"/>
      <c r="AP2273" s="89" t="s">
        <v>115</v>
      </c>
    </row>
    <row r="2274" spans="1:42" s="89" customFormat="1" x14ac:dyDescent="0.15">
      <c r="A2274" s="100" t="s">
        <v>1</v>
      </c>
      <c r="B2274" s="101">
        <v>90200522</v>
      </c>
      <c r="C2274" s="101">
        <v>2005</v>
      </c>
      <c r="D2274" s="101">
        <v>20</v>
      </c>
      <c r="E2274" s="101"/>
      <c r="F2274" s="101" t="s">
        <v>116</v>
      </c>
      <c r="G2274" s="101">
        <v>368</v>
      </c>
      <c r="H2274" s="101" t="s">
        <v>4644</v>
      </c>
      <c r="I2274" s="101">
        <v>2</v>
      </c>
      <c r="J2274" s="100">
        <v>0</v>
      </c>
      <c r="K2274" s="100">
        <v>0</v>
      </c>
      <c r="L2274" s="100" t="s">
        <v>115</v>
      </c>
      <c r="M2274" s="102"/>
      <c r="N2274" s="100"/>
      <c r="O2274" s="100" t="s">
        <v>115</v>
      </c>
      <c r="P2274" s="101"/>
      <c r="Q2274" s="100">
        <v>205</v>
      </c>
      <c r="R2274" s="100">
        <v>357</v>
      </c>
      <c r="S2274" s="100"/>
      <c r="T2274" s="100"/>
      <c r="U2274" s="100"/>
      <c r="V2274" s="100"/>
      <c r="W2274" s="100"/>
      <c r="X2274" s="100">
        <v>90200523</v>
      </c>
      <c r="Y2274" s="100" t="s">
        <v>115</v>
      </c>
      <c r="Z2274" s="100" t="s">
        <v>115</v>
      </c>
      <c r="AA2274" s="100" t="s">
        <v>115</v>
      </c>
      <c r="AB2274" s="100" t="s">
        <v>115</v>
      </c>
      <c r="AC2274" s="100" t="s">
        <v>115</v>
      </c>
      <c r="AD2274" s="100"/>
      <c r="AE2274" s="100"/>
      <c r="AF2274" s="100"/>
      <c r="AG2274" s="100"/>
      <c r="AH2274" s="100"/>
      <c r="AI2274" s="100" t="s">
        <v>115</v>
      </c>
      <c r="AJ2274" s="100"/>
      <c r="AK2274" s="100"/>
      <c r="AL2274" s="100"/>
      <c r="AM2274" s="100"/>
      <c r="AN2274" s="100"/>
      <c r="AO2274" s="100"/>
      <c r="AP2274" s="89" t="s">
        <v>115</v>
      </c>
    </row>
    <row r="2275" spans="1:42" s="89" customFormat="1" x14ac:dyDescent="0.15">
      <c r="A2275" s="100" t="s">
        <v>1</v>
      </c>
      <c r="B2275" s="101">
        <v>90200523</v>
      </c>
      <c r="C2275" s="101">
        <v>2005</v>
      </c>
      <c r="D2275" s="101">
        <v>20</v>
      </c>
      <c r="E2275" s="101"/>
      <c r="F2275" s="101" t="s">
        <v>115</v>
      </c>
      <c r="G2275" s="101" t="s">
        <v>115</v>
      </c>
      <c r="H2275" s="101" t="s">
        <v>4645</v>
      </c>
      <c r="I2275" s="101">
        <v>4</v>
      </c>
      <c r="J2275" s="100">
        <v>0</v>
      </c>
      <c r="K2275" s="100">
        <v>5</v>
      </c>
      <c r="L2275" s="100" t="s">
        <v>115</v>
      </c>
      <c r="M2275" s="102"/>
      <c r="N2275" s="100"/>
      <c r="O2275" s="100">
        <v>1</v>
      </c>
      <c r="P2275" s="101"/>
      <c r="Q2275" s="100">
        <v>205</v>
      </c>
      <c r="R2275" s="100">
        <v>357</v>
      </c>
      <c r="S2275" s="100"/>
      <c r="T2275" s="100"/>
      <c r="U2275" s="100"/>
      <c r="V2275" s="100"/>
      <c r="W2275" s="100"/>
      <c r="X2275" s="100" t="s">
        <v>115</v>
      </c>
      <c r="Y2275" s="100" t="s">
        <v>115</v>
      </c>
      <c r="Z2275" s="100">
        <v>4</v>
      </c>
      <c r="AA2275" s="100" t="s">
        <v>115</v>
      </c>
      <c r="AB2275" s="100" t="s">
        <v>115</v>
      </c>
      <c r="AC2275" s="100" t="s">
        <v>115</v>
      </c>
      <c r="AD2275" s="100"/>
      <c r="AE2275" s="100"/>
      <c r="AF2275" s="100"/>
      <c r="AG2275" s="100"/>
      <c r="AH2275" s="100"/>
      <c r="AI2275" s="100" t="s">
        <v>115</v>
      </c>
      <c r="AJ2275" s="100"/>
      <c r="AK2275" s="100"/>
      <c r="AL2275" s="100"/>
      <c r="AM2275" s="100"/>
      <c r="AN2275" s="100"/>
      <c r="AO2275" s="100"/>
      <c r="AP2275" s="89" t="s">
        <v>115</v>
      </c>
    </row>
    <row r="2276" spans="1:42" s="89" customFormat="1" x14ac:dyDescent="0.15">
      <c r="A2276" s="100" t="s">
        <v>1</v>
      </c>
      <c r="B2276" s="101" t="s">
        <v>3988</v>
      </c>
      <c r="C2276" s="101">
        <v>2006</v>
      </c>
      <c r="D2276" s="101">
        <v>20</v>
      </c>
      <c r="E2276" s="101"/>
      <c r="F2276" s="101" t="s">
        <v>115</v>
      </c>
      <c r="G2276" s="101" t="s">
        <v>115</v>
      </c>
      <c r="H2276" s="101" t="s">
        <v>4646</v>
      </c>
      <c r="I2276" s="101">
        <v>4</v>
      </c>
      <c r="J2276" s="100">
        <v>1</v>
      </c>
      <c r="K2276" s="100">
        <v>1</v>
      </c>
      <c r="L2276" s="100" t="s">
        <v>115</v>
      </c>
      <c r="M2276" s="102"/>
      <c r="N2276" s="100"/>
      <c r="O2276" s="100" t="s">
        <v>115</v>
      </c>
      <c r="P2276" s="101"/>
      <c r="Q2276" s="100">
        <v>12</v>
      </c>
      <c r="R2276" s="100" t="s">
        <v>115</v>
      </c>
      <c r="S2276" s="100"/>
      <c r="T2276" s="100"/>
      <c r="U2276" s="100"/>
      <c r="V2276" s="100"/>
      <c r="W2276" s="100"/>
      <c r="X2276" s="100">
        <v>90200602</v>
      </c>
      <c r="Y2276" s="100" t="s">
        <v>115</v>
      </c>
      <c r="Z2276" s="100" t="s">
        <v>115</v>
      </c>
      <c r="AA2276" s="100" t="s">
        <v>115</v>
      </c>
      <c r="AB2276" s="100" t="s">
        <v>115</v>
      </c>
      <c r="AC2276" s="100" t="s">
        <v>115</v>
      </c>
      <c r="AD2276" s="100"/>
      <c r="AE2276" s="100"/>
      <c r="AF2276" s="100"/>
      <c r="AG2276" s="100"/>
      <c r="AH2276" s="100"/>
      <c r="AI2276" s="100" t="s">
        <v>115</v>
      </c>
      <c r="AJ2276" s="100"/>
      <c r="AK2276" s="100"/>
      <c r="AL2276" s="100"/>
      <c r="AM2276" s="100"/>
      <c r="AN2276" s="100"/>
      <c r="AO2276" s="100"/>
      <c r="AP2276" s="89" t="s">
        <v>115</v>
      </c>
    </row>
    <row r="2277" spans="1:42" s="89" customFormat="1" x14ac:dyDescent="0.15">
      <c r="A2277" s="100" t="s">
        <v>1</v>
      </c>
      <c r="B2277" s="101">
        <v>90200602</v>
      </c>
      <c r="C2277" s="101">
        <v>2006</v>
      </c>
      <c r="D2277" s="101">
        <v>20</v>
      </c>
      <c r="E2277" s="101"/>
      <c r="F2277" s="101" t="s">
        <v>115</v>
      </c>
      <c r="G2277" s="101" t="s">
        <v>115</v>
      </c>
      <c r="H2277" s="101" t="s">
        <v>4647</v>
      </c>
      <c r="I2277" s="101">
        <v>4</v>
      </c>
      <c r="J2277" s="100">
        <v>0</v>
      </c>
      <c r="K2277" s="100">
        <v>2</v>
      </c>
      <c r="L2277" s="100" t="s">
        <v>115</v>
      </c>
      <c r="M2277" s="102"/>
      <c r="N2277" s="100"/>
      <c r="O2277" s="100" t="s">
        <v>115</v>
      </c>
      <c r="P2277" s="101"/>
      <c r="Q2277" s="100">
        <v>12</v>
      </c>
      <c r="R2277" s="100" t="s">
        <v>115</v>
      </c>
      <c r="S2277" s="100"/>
      <c r="T2277" s="100"/>
      <c r="U2277" s="100"/>
      <c r="V2277" s="100"/>
      <c r="W2277" s="100"/>
      <c r="X2277" s="100" t="s">
        <v>4648</v>
      </c>
      <c r="Y2277" s="100">
        <v>1</v>
      </c>
      <c r="Z2277" s="100">
        <v>1</v>
      </c>
      <c r="AA2277" s="100" t="s">
        <v>115</v>
      </c>
      <c r="AB2277" s="100" t="s">
        <v>115</v>
      </c>
      <c r="AC2277" s="100" t="s">
        <v>115</v>
      </c>
      <c r="AD2277" s="100"/>
      <c r="AE2277" s="100"/>
      <c r="AF2277" s="100"/>
      <c r="AG2277" s="100"/>
      <c r="AH2277" s="100"/>
      <c r="AI2277" s="100" t="s">
        <v>115</v>
      </c>
      <c r="AJ2277" s="100"/>
      <c r="AK2277" s="100"/>
      <c r="AL2277" s="100"/>
      <c r="AM2277" s="100"/>
      <c r="AN2277" s="100"/>
      <c r="AO2277" s="100"/>
      <c r="AP2277" s="89" t="s">
        <v>115</v>
      </c>
    </row>
    <row r="2278" spans="1:42" s="89" customFormat="1" x14ac:dyDescent="0.15">
      <c r="A2278" s="100" t="s">
        <v>1</v>
      </c>
      <c r="B2278" s="101">
        <v>90200603</v>
      </c>
      <c r="C2278" s="101">
        <v>2006</v>
      </c>
      <c r="D2278" s="101">
        <v>20</v>
      </c>
      <c r="E2278" s="101"/>
      <c r="F2278" s="101" t="s">
        <v>115</v>
      </c>
      <c r="G2278" s="101" t="s">
        <v>115</v>
      </c>
      <c r="H2278" s="101" t="s">
        <v>4649</v>
      </c>
      <c r="I2278" s="101">
        <v>4</v>
      </c>
      <c r="J2278" s="100">
        <v>0</v>
      </c>
      <c r="K2278" s="100">
        <v>3</v>
      </c>
      <c r="L2278" s="100" t="s">
        <v>115</v>
      </c>
      <c r="M2278" s="102"/>
      <c r="N2278" s="100"/>
      <c r="O2278" s="100" t="s">
        <v>115</v>
      </c>
      <c r="P2278" s="101"/>
      <c r="Q2278" s="100">
        <v>12</v>
      </c>
      <c r="R2278" s="100" t="s">
        <v>115</v>
      </c>
      <c r="S2278" s="100"/>
      <c r="T2278" s="100"/>
      <c r="U2278" s="100"/>
      <c r="V2278" s="100"/>
      <c r="W2278" s="100"/>
      <c r="X2278" s="100">
        <v>90200604</v>
      </c>
      <c r="Y2278" s="100">
        <v>-1</v>
      </c>
      <c r="Z2278" s="100">
        <v>2</v>
      </c>
      <c r="AA2278" s="100" t="s">
        <v>115</v>
      </c>
      <c r="AB2278" s="100" t="s">
        <v>115</v>
      </c>
      <c r="AC2278" s="100" t="s">
        <v>4650</v>
      </c>
      <c r="AD2278" s="100"/>
      <c r="AE2278" s="100"/>
      <c r="AF2278" s="100"/>
      <c r="AG2278" s="100"/>
      <c r="AH2278" s="100"/>
      <c r="AI2278" s="100" t="s">
        <v>115</v>
      </c>
      <c r="AJ2278" s="100"/>
      <c r="AK2278" s="100"/>
      <c r="AL2278" s="100"/>
      <c r="AM2278" s="100"/>
      <c r="AN2278" s="100"/>
      <c r="AO2278" s="100"/>
      <c r="AP2278" s="89" t="s">
        <v>115</v>
      </c>
    </row>
    <row r="2279" spans="1:42" s="89" customFormat="1" x14ac:dyDescent="0.15">
      <c r="A2279" s="100" t="s">
        <v>1</v>
      </c>
      <c r="B2279" s="101">
        <v>90200604</v>
      </c>
      <c r="C2279" s="101">
        <v>2006</v>
      </c>
      <c r="D2279" s="101">
        <v>20</v>
      </c>
      <c r="E2279" s="101"/>
      <c r="F2279" s="101" t="s">
        <v>115</v>
      </c>
      <c r="G2279" s="101" t="s">
        <v>115</v>
      </c>
      <c r="H2279" s="101" t="s">
        <v>4651</v>
      </c>
      <c r="I2279" s="101">
        <v>4</v>
      </c>
      <c r="J2279" s="100">
        <v>0</v>
      </c>
      <c r="K2279" s="100">
        <v>0</v>
      </c>
      <c r="L2279" s="100" t="s">
        <v>115</v>
      </c>
      <c r="M2279" s="102"/>
      <c r="N2279" s="100"/>
      <c r="O2279" s="100" t="s">
        <v>115</v>
      </c>
      <c r="P2279" s="101"/>
      <c r="Q2279" s="100">
        <v>201</v>
      </c>
      <c r="R2279" s="100" t="s">
        <v>115</v>
      </c>
      <c r="S2279" s="100"/>
      <c r="T2279" s="100"/>
      <c r="U2279" s="100"/>
      <c r="V2279" s="100"/>
      <c r="W2279" s="100"/>
      <c r="X2279" s="100">
        <v>90200605</v>
      </c>
      <c r="Y2279" s="100" t="s">
        <v>115</v>
      </c>
      <c r="Z2279" s="100" t="s">
        <v>115</v>
      </c>
      <c r="AA2279" s="100" t="s">
        <v>115</v>
      </c>
      <c r="AB2279" s="100" t="s">
        <v>115</v>
      </c>
      <c r="AC2279" s="100" t="s">
        <v>115</v>
      </c>
      <c r="AD2279" s="100"/>
      <c r="AE2279" s="100"/>
      <c r="AF2279" s="100"/>
      <c r="AG2279" s="100"/>
      <c r="AH2279" s="100"/>
      <c r="AI2279" s="100" t="s">
        <v>115</v>
      </c>
      <c r="AJ2279" s="100"/>
      <c r="AK2279" s="100"/>
      <c r="AL2279" s="100"/>
      <c r="AM2279" s="100"/>
      <c r="AN2279" s="100"/>
      <c r="AO2279" s="100"/>
      <c r="AP2279" s="89" t="s">
        <v>115</v>
      </c>
    </row>
    <row r="2280" spans="1:42" s="89" customFormat="1" x14ac:dyDescent="0.15">
      <c r="A2280" s="100" t="s">
        <v>1</v>
      </c>
      <c r="B2280" s="101">
        <v>90200605</v>
      </c>
      <c r="C2280" s="101">
        <v>2006</v>
      </c>
      <c r="D2280" s="101">
        <v>20</v>
      </c>
      <c r="E2280" s="101"/>
      <c r="F2280" s="101" t="s">
        <v>116</v>
      </c>
      <c r="G2280" s="101">
        <v>314</v>
      </c>
      <c r="H2280" s="101" t="s">
        <v>4652</v>
      </c>
      <c r="I2280" s="101">
        <v>2</v>
      </c>
      <c r="J2280" s="100">
        <v>0</v>
      </c>
      <c r="K2280" s="100">
        <v>0</v>
      </c>
      <c r="L2280" s="100" t="s">
        <v>115</v>
      </c>
      <c r="M2280" s="102"/>
      <c r="N2280" s="100"/>
      <c r="O2280" s="100" t="s">
        <v>115</v>
      </c>
      <c r="P2280" s="101"/>
      <c r="Q2280" s="100">
        <v>201</v>
      </c>
      <c r="R2280" s="100" t="s">
        <v>115</v>
      </c>
      <c r="S2280" s="100"/>
      <c r="T2280" s="100"/>
      <c r="U2280" s="100"/>
      <c r="V2280" s="100"/>
      <c r="W2280" s="100"/>
      <c r="X2280" s="100">
        <v>90200606</v>
      </c>
      <c r="Y2280" s="100" t="s">
        <v>115</v>
      </c>
      <c r="Z2280" s="100" t="s">
        <v>115</v>
      </c>
      <c r="AA2280" s="100" t="s">
        <v>115</v>
      </c>
      <c r="AB2280" s="100" t="s">
        <v>115</v>
      </c>
      <c r="AC2280" s="100" t="s">
        <v>115</v>
      </c>
      <c r="AD2280" s="100"/>
      <c r="AE2280" s="100"/>
      <c r="AF2280" s="100"/>
      <c r="AG2280" s="100"/>
      <c r="AH2280" s="100"/>
      <c r="AI2280" s="100" t="s">
        <v>115</v>
      </c>
      <c r="AJ2280" s="100"/>
      <c r="AK2280" s="100"/>
      <c r="AL2280" s="100"/>
      <c r="AM2280" s="100"/>
      <c r="AN2280" s="100"/>
      <c r="AO2280" s="100"/>
      <c r="AP2280" s="89" t="s">
        <v>115</v>
      </c>
    </row>
    <row r="2281" spans="1:42" s="89" customFormat="1" x14ac:dyDescent="0.15">
      <c r="A2281" s="100" t="s">
        <v>1</v>
      </c>
      <c r="B2281" s="101">
        <v>90200606</v>
      </c>
      <c r="C2281" s="101">
        <v>2006</v>
      </c>
      <c r="D2281" s="101">
        <v>20</v>
      </c>
      <c r="E2281" s="101"/>
      <c r="F2281" s="101" t="s">
        <v>115</v>
      </c>
      <c r="G2281" s="101" t="s">
        <v>115</v>
      </c>
      <c r="H2281" s="101" t="s">
        <v>4653</v>
      </c>
      <c r="I2281" s="101">
        <v>4</v>
      </c>
      <c r="J2281" s="100">
        <v>0</v>
      </c>
      <c r="K2281" s="100">
        <v>0</v>
      </c>
      <c r="L2281" s="100" t="s">
        <v>115</v>
      </c>
      <c r="M2281" s="102"/>
      <c r="N2281" s="100"/>
      <c r="O2281" s="100" t="s">
        <v>115</v>
      </c>
      <c r="P2281" s="101"/>
      <c r="Q2281" s="100">
        <v>201</v>
      </c>
      <c r="R2281" s="100" t="s">
        <v>115</v>
      </c>
      <c r="S2281" s="100"/>
      <c r="T2281" s="100"/>
      <c r="U2281" s="100"/>
      <c r="V2281" s="100"/>
      <c r="W2281" s="100"/>
      <c r="X2281" s="100">
        <v>90200607</v>
      </c>
      <c r="Y2281" s="100" t="s">
        <v>115</v>
      </c>
      <c r="Z2281" s="100" t="s">
        <v>115</v>
      </c>
      <c r="AA2281" s="100" t="s">
        <v>115</v>
      </c>
      <c r="AB2281" s="100" t="s">
        <v>115</v>
      </c>
      <c r="AC2281" s="100" t="s">
        <v>115</v>
      </c>
      <c r="AD2281" s="100"/>
      <c r="AE2281" s="100"/>
      <c r="AF2281" s="100"/>
      <c r="AG2281" s="100"/>
      <c r="AH2281" s="100"/>
      <c r="AI2281" s="100" t="s">
        <v>115</v>
      </c>
      <c r="AJ2281" s="100"/>
      <c r="AK2281" s="100"/>
      <c r="AL2281" s="100"/>
      <c r="AM2281" s="100"/>
      <c r="AN2281" s="100"/>
      <c r="AO2281" s="100"/>
      <c r="AP2281" s="89" t="s">
        <v>115</v>
      </c>
    </row>
    <row r="2282" spans="1:42" s="89" customFormat="1" x14ac:dyDescent="0.15">
      <c r="A2282" s="100" t="s">
        <v>1</v>
      </c>
      <c r="B2282" s="101">
        <v>90200607</v>
      </c>
      <c r="C2282" s="101">
        <v>2006</v>
      </c>
      <c r="D2282" s="101">
        <v>20</v>
      </c>
      <c r="E2282" s="101"/>
      <c r="F2282" s="101" t="s">
        <v>116</v>
      </c>
      <c r="G2282" s="101">
        <v>312</v>
      </c>
      <c r="H2282" s="101" t="s">
        <v>4654</v>
      </c>
      <c r="I2282" s="101">
        <v>2</v>
      </c>
      <c r="J2282" s="100">
        <v>0</v>
      </c>
      <c r="K2282" s="100">
        <v>4</v>
      </c>
      <c r="L2282" s="100" t="s">
        <v>4655</v>
      </c>
      <c r="M2282" s="102"/>
      <c r="N2282" s="100"/>
      <c r="O2282" s="100" t="s">
        <v>115</v>
      </c>
      <c r="P2282" s="101"/>
      <c r="Q2282" s="100">
        <v>201</v>
      </c>
      <c r="R2282" s="100" t="s">
        <v>115</v>
      </c>
      <c r="S2282" s="100"/>
      <c r="T2282" s="100"/>
      <c r="U2282" s="100"/>
      <c r="V2282" s="100"/>
      <c r="W2282" s="100"/>
      <c r="X2282" s="100">
        <v>90200608</v>
      </c>
      <c r="Y2282" s="100" t="s">
        <v>115</v>
      </c>
      <c r="Z2282" s="100">
        <v>3</v>
      </c>
      <c r="AA2282" s="100" t="s">
        <v>115</v>
      </c>
      <c r="AB2282" s="100" t="s">
        <v>115</v>
      </c>
      <c r="AC2282" s="100" t="s">
        <v>115</v>
      </c>
      <c r="AD2282" s="100"/>
      <c r="AE2282" s="100"/>
      <c r="AF2282" s="100"/>
      <c r="AG2282" s="100"/>
      <c r="AH2282" s="100"/>
      <c r="AI2282" s="100" t="s">
        <v>115</v>
      </c>
      <c r="AJ2282" s="100"/>
      <c r="AK2282" s="100"/>
      <c r="AL2282" s="100"/>
      <c r="AM2282" s="100"/>
      <c r="AN2282" s="100"/>
      <c r="AO2282" s="100"/>
      <c r="AP2282" s="89" t="s">
        <v>115</v>
      </c>
    </row>
    <row r="2283" spans="1:42" s="89" customFormat="1" x14ac:dyDescent="0.15">
      <c r="A2283" s="100" t="s">
        <v>1</v>
      </c>
      <c r="B2283" s="101">
        <v>90200608</v>
      </c>
      <c r="C2283" s="101">
        <v>2006</v>
      </c>
      <c r="D2283" s="101">
        <v>20</v>
      </c>
      <c r="E2283" s="101"/>
      <c r="F2283" s="101" t="s">
        <v>115</v>
      </c>
      <c r="G2283" s="101" t="s">
        <v>115</v>
      </c>
      <c r="H2283" s="101" t="s">
        <v>4656</v>
      </c>
      <c r="I2283" s="101">
        <v>4</v>
      </c>
      <c r="J2283" s="100">
        <v>0</v>
      </c>
      <c r="K2283" s="100">
        <v>5</v>
      </c>
      <c r="L2283" s="100" t="s">
        <v>115</v>
      </c>
      <c r="M2283" s="102"/>
      <c r="N2283" s="100"/>
      <c r="O2283" s="100" t="s">
        <v>115</v>
      </c>
      <c r="P2283" s="101"/>
      <c r="Q2283" s="100">
        <v>201</v>
      </c>
      <c r="R2283" s="100" t="s">
        <v>115</v>
      </c>
      <c r="S2283" s="100"/>
      <c r="T2283" s="100"/>
      <c r="U2283" s="100"/>
      <c r="V2283" s="100"/>
      <c r="W2283" s="100"/>
      <c r="X2283" s="100" t="s">
        <v>4657</v>
      </c>
      <c r="Y2283" s="100">
        <v>1</v>
      </c>
      <c r="Z2283" s="100">
        <v>2</v>
      </c>
      <c r="AA2283" s="100" t="s">
        <v>115</v>
      </c>
      <c r="AB2283" s="100" t="s">
        <v>115</v>
      </c>
      <c r="AC2283" s="100" t="s">
        <v>115</v>
      </c>
      <c r="AD2283" s="100"/>
      <c r="AE2283" s="100"/>
      <c r="AF2283" s="100"/>
      <c r="AG2283" s="100"/>
      <c r="AH2283" s="100"/>
      <c r="AI2283" s="100" t="s">
        <v>115</v>
      </c>
      <c r="AJ2283" s="100"/>
      <c r="AK2283" s="100"/>
      <c r="AL2283" s="100"/>
      <c r="AM2283" s="100"/>
      <c r="AN2283" s="100"/>
      <c r="AO2283" s="100"/>
      <c r="AP2283" s="89" t="s">
        <v>115</v>
      </c>
    </row>
    <row r="2284" spans="1:42" s="89" customFormat="1" x14ac:dyDescent="0.15">
      <c r="A2284" s="100" t="s">
        <v>1</v>
      </c>
      <c r="B2284" s="101">
        <v>90200609</v>
      </c>
      <c r="C2284" s="101">
        <v>2006</v>
      </c>
      <c r="D2284" s="101">
        <v>20</v>
      </c>
      <c r="E2284" s="101"/>
      <c r="F2284" s="101" t="s">
        <v>115</v>
      </c>
      <c r="G2284" s="101" t="s">
        <v>115</v>
      </c>
      <c r="H2284" s="101" t="s">
        <v>4658</v>
      </c>
      <c r="I2284" s="101">
        <v>4</v>
      </c>
      <c r="J2284" s="100">
        <v>0</v>
      </c>
      <c r="K2284" s="100">
        <v>6</v>
      </c>
      <c r="L2284" s="100" t="s">
        <v>115</v>
      </c>
      <c r="M2284" s="102"/>
      <c r="N2284" s="100"/>
      <c r="O2284" s="100" t="s">
        <v>115</v>
      </c>
      <c r="P2284" s="101"/>
      <c r="Q2284" s="100">
        <v>201</v>
      </c>
      <c r="R2284" s="100" t="s">
        <v>115</v>
      </c>
      <c r="S2284" s="100"/>
      <c r="T2284" s="100"/>
      <c r="U2284" s="100"/>
      <c r="V2284" s="100"/>
      <c r="W2284" s="100"/>
      <c r="X2284" s="100">
        <v>90200610</v>
      </c>
      <c r="Y2284" s="100">
        <v>-1</v>
      </c>
      <c r="Z2284" s="100">
        <v>5</v>
      </c>
      <c r="AA2284" s="100" t="s">
        <v>4659</v>
      </c>
      <c r="AB2284" s="100" t="s">
        <v>115</v>
      </c>
      <c r="AC2284" s="100" t="s">
        <v>115</v>
      </c>
      <c r="AD2284" s="100"/>
      <c r="AE2284" s="100"/>
      <c r="AF2284" s="100"/>
      <c r="AG2284" s="100"/>
      <c r="AH2284" s="100"/>
      <c r="AI2284" s="100" t="s">
        <v>115</v>
      </c>
      <c r="AJ2284" s="100"/>
      <c r="AK2284" s="100"/>
      <c r="AL2284" s="100"/>
      <c r="AM2284" s="100"/>
      <c r="AN2284" s="100"/>
      <c r="AO2284" s="100"/>
      <c r="AP2284" s="89" t="s">
        <v>115</v>
      </c>
    </row>
    <row r="2285" spans="1:42" s="89" customFormat="1" x14ac:dyDescent="0.15">
      <c r="A2285" s="100" t="s">
        <v>1</v>
      </c>
      <c r="B2285" s="101">
        <v>90200610</v>
      </c>
      <c r="C2285" s="101">
        <v>2006</v>
      </c>
      <c r="D2285" s="101">
        <v>20</v>
      </c>
      <c r="E2285" s="101"/>
      <c r="F2285" s="101" t="s">
        <v>115</v>
      </c>
      <c r="G2285" s="101" t="s">
        <v>115</v>
      </c>
      <c r="H2285" s="101" t="s">
        <v>4660</v>
      </c>
      <c r="I2285" s="101">
        <v>4</v>
      </c>
      <c r="J2285" s="100">
        <v>0</v>
      </c>
      <c r="K2285" s="100">
        <v>0</v>
      </c>
      <c r="L2285" s="100" t="s">
        <v>115</v>
      </c>
      <c r="M2285" s="102"/>
      <c r="N2285" s="100"/>
      <c r="O2285" s="100" t="s">
        <v>115</v>
      </c>
      <c r="P2285" s="101"/>
      <c r="Q2285" s="100">
        <v>138</v>
      </c>
      <c r="R2285" s="100">
        <v>241</v>
      </c>
      <c r="S2285" s="100"/>
      <c r="T2285" s="100"/>
      <c r="U2285" s="100"/>
      <c r="V2285" s="100"/>
      <c r="W2285" s="100"/>
      <c r="X2285" s="100">
        <v>90200611</v>
      </c>
      <c r="Y2285" s="100" t="s">
        <v>115</v>
      </c>
      <c r="Z2285" s="100" t="s">
        <v>115</v>
      </c>
      <c r="AA2285" s="100" t="s">
        <v>115</v>
      </c>
      <c r="AB2285" s="100" t="s">
        <v>115</v>
      </c>
      <c r="AC2285" s="100" t="s">
        <v>115</v>
      </c>
      <c r="AD2285" s="100"/>
      <c r="AE2285" s="100"/>
      <c r="AF2285" s="100"/>
      <c r="AG2285" s="100"/>
      <c r="AH2285" s="100"/>
      <c r="AI2285" s="100" t="s">
        <v>115</v>
      </c>
      <c r="AJ2285" s="100"/>
      <c r="AK2285" s="100"/>
      <c r="AL2285" s="100"/>
      <c r="AM2285" s="100"/>
      <c r="AN2285" s="100"/>
      <c r="AO2285" s="100"/>
      <c r="AP2285" s="89" t="s">
        <v>115</v>
      </c>
    </row>
    <row r="2286" spans="1:42" s="89" customFormat="1" x14ac:dyDescent="0.15">
      <c r="A2286" s="100" t="s">
        <v>1</v>
      </c>
      <c r="B2286" s="101">
        <v>90200611</v>
      </c>
      <c r="C2286" s="101">
        <v>2006</v>
      </c>
      <c r="D2286" s="101">
        <v>20</v>
      </c>
      <c r="E2286" s="101"/>
      <c r="F2286" s="101" t="s">
        <v>116</v>
      </c>
      <c r="G2286" s="101">
        <v>315</v>
      </c>
      <c r="H2286" s="101" t="s">
        <v>4661</v>
      </c>
      <c r="I2286" s="101">
        <v>0</v>
      </c>
      <c r="J2286" s="100">
        <v>0</v>
      </c>
      <c r="K2286" s="100">
        <v>0</v>
      </c>
      <c r="L2286" s="100" t="s">
        <v>115</v>
      </c>
      <c r="M2286" s="102"/>
      <c r="N2286" s="100"/>
      <c r="O2286" s="100" t="s">
        <v>115</v>
      </c>
      <c r="P2286" s="101"/>
      <c r="Q2286" s="100">
        <v>138</v>
      </c>
      <c r="R2286" s="100">
        <v>241</v>
      </c>
      <c r="S2286" s="100"/>
      <c r="T2286" s="100"/>
      <c r="U2286" s="100"/>
      <c r="V2286" s="100"/>
      <c r="W2286" s="100"/>
      <c r="X2286" s="100">
        <v>90200612</v>
      </c>
      <c r="Y2286" s="100" t="s">
        <v>115</v>
      </c>
      <c r="Z2286" s="100" t="s">
        <v>115</v>
      </c>
      <c r="AA2286" s="100" t="s">
        <v>115</v>
      </c>
      <c r="AB2286" s="100" t="s">
        <v>115</v>
      </c>
      <c r="AC2286" s="100" t="s">
        <v>115</v>
      </c>
      <c r="AD2286" s="100"/>
      <c r="AE2286" s="100"/>
      <c r="AF2286" s="100"/>
      <c r="AG2286" s="100"/>
      <c r="AH2286" s="100"/>
      <c r="AI2286" s="100" t="s">
        <v>115</v>
      </c>
      <c r="AJ2286" s="100"/>
      <c r="AK2286" s="100"/>
      <c r="AL2286" s="100"/>
      <c r="AM2286" s="100"/>
      <c r="AN2286" s="100"/>
      <c r="AO2286" s="100"/>
      <c r="AP2286" s="89" t="s">
        <v>115</v>
      </c>
    </row>
    <row r="2287" spans="1:42" s="89" customFormat="1" x14ac:dyDescent="0.15">
      <c r="A2287" s="100" t="s">
        <v>1</v>
      </c>
      <c r="B2287" s="101">
        <v>90200612</v>
      </c>
      <c r="C2287" s="101">
        <v>2006</v>
      </c>
      <c r="D2287" s="101">
        <v>20</v>
      </c>
      <c r="E2287" s="101"/>
      <c r="F2287" s="101" t="s">
        <v>115</v>
      </c>
      <c r="G2287" s="101" t="s">
        <v>115</v>
      </c>
      <c r="H2287" s="101" t="s">
        <v>4662</v>
      </c>
      <c r="I2287" s="101">
        <v>4</v>
      </c>
      <c r="J2287" s="100">
        <v>0</v>
      </c>
      <c r="K2287" s="100">
        <v>0</v>
      </c>
      <c r="L2287" s="100" t="s">
        <v>115</v>
      </c>
      <c r="M2287" s="102"/>
      <c r="N2287" s="100"/>
      <c r="O2287" s="100" t="s">
        <v>115</v>
      </c>
      <c r="P2287" s="101"/>
      <c r="Q2287" s="100">
        <v>138</v>
      </c>
      <c r="R2287" s="100">
        <v>241</v>
      </c>
      <c r="S2287" s="100"/>
      <c r="T2287" s="100"/>
      <c r="U2287" s="100"/>
      <c r="V2287" s="100"/>
      <c r="W2287" s="100"/>
      <c r="X2287" s="100">
        <v>90200613</v>
      </c>
      <c r="Y2287" s="100" t="s">
        <v>115</v>
      </c>
      <c r="Z2287" s="100" t="s">
        <v>115</v>
      </c>
      <c r="AA2287" s="100" t="s">
        <v>115</v>
      </c>
      <c r="AB2287" s="100" t="s">
        <v>115</v>
      </c>
      <c r="AC2287" s="100" t="s">
        <v>115</v>
      </c>
      <c r="AD2287" s="100"/>
      <c r="AE2287" s="100"/>
      <c r="AF2287" s="100"/>
      <c r="AG2287" s="100"/>
      <c r="AH2287" s="100"/>
      <c r="AI2287" s="100" t="s">
        <v>115</v>
      </c>
      <c r="AJ2287" s="100"/>
      <c r="AK2287" s="100"/>
      <c r="AL2287" s="100"/>
      <c r="AM2287" s="100"/>
      <c r="AN2287" s="100"/>
      <c r="AO2287" s="100"/>
      <c r="AP2287" s="89" t="s">
        <v>115</v>
      </c>
    </row>
    <row r="2288" spans="1:42" s="89" customFormat="1" x14ac:dyDescent="0.15">
      <c r="A2288" s="100" t="s">
        <v>1</v>
      </c>
      <c r="B2288" s="101">
        <v>90200613</v>
      </c>
      <c r="C2288" s="101">
        <v>2006</v>
      </c>
      <c r="D2288" s="101">
        <v>20</v>
      </c>
      <c r="E2288" s="101"/>
      <c r="F2288" s="101" t="s">
        <v>116</v>
      </c>
      <c r="G2288" s="101">
        <v>314</v>
      </c>
      <c r="H2288" s="101" t="s">
        <v>4663</v>
      </c>
      <c r="I2288" s="101">
        <v>0</v>
      </c>
      <c r="J2288" s="100">
        <v>0</v>
      </c>
      <c r="K2288" s="100">
        <v>7</v>
      </c>
      <c r="L2288" s="100" t="s">
        <v>4664</v>
      </c>
      <c r="M2288" s="102"/>
      <c r="N2288" s="100"/>
      <c r="O2288" s="100" t="s">
        <v>115</v>
      </c>
      <c r="P2288" s="101"/>
      <c r="Q2288" s="100">
        <v>138</v>
      </c>
      <c r="R2288" s="100">
        <v>241</v>
      </c>
      <c r="S2288" s="100"/>
      <c r="T2288" s="100"/>
      <c r="U2288" s="100"/>
      <c r="V2288" s="100"/>
      <c r="W2288" s="100"/>
      <c r="X2288" s="100">
        <v>90200614</v>
      </c>
      <c r="Y2288" s="100" t="s">
        <v>115</v>
      </c>
      <c r="Z2288" s="100">
        <v>6</v>
      </c>
      <c r="AA2288" s="100" t="s">
        <v>115</v>
      </c>
      <c r="AB2288" s="100" t="s">
        <v>115</v>
      </c>
      <c r="AC2288" s="100" t="s">
        <v>115</v>
      </c>
      <c r="AD2288" s="100"/>
      <c r="AE2288" s="100"/>
      <c r="AF2288" s="100"/>
      <c r="AG2288" s="100"/>
      <c r="AH2288" s="100"/>
      <c r="AI2288" s="100" t="s">
        <v>115</v>
      </c>
      <c r="AJ2288" s="100"/>
      <c r="AK2288" s="100"/>
      <c r="AL2288" s="100"/>
      <c r="AM2288" s="100"/>
      <c r="AN2288" s="100"/>
      <c r="AO2288" s="100"/>
      <c r="AP2288" s="89" t="s">
        <v>115</v>
      </c>
    </row>
    <row r="2289" spans="1:42" s="89" customFormat="1" x14ac:dyDescent="0.15">
      <c r="A2289" s="100" t="s">
        <v>1</v>
      </c>
      <c r="B2289" s="101">
        <v>90200614</v>
      </c>
      <c r="C2289" s="101">
        <v>2006</v>
      </c>
      <c r="D2289" s="101">
        <v>20</v>
      </c>
      <c r="E2289" s="101"/>
      <c r="F2289" s="101" t="s">
        <v>116</v>
      </c>
      <c r="G2289" s="101">
        <v>314</v>
      </c>
      <c r="H2289" s="101" t="s">
        <v>4665</v>
      </c>
      <c r="I2289" s="101">
        <v>0</v>
      </c>
      <c r="J2289" s="100">
        <v>0</v>
      </c>
      <c r="K2289" s="100">
        <v>0</v>
      </c>
      <c r="L2289" s="100" t="s">
        <v>115</v>
      </c>
      <c r="M2289" s="102"/>
      <c r="N2289" s="100"/>
      <c r="O2289" s="100" t="s">
        <v>115</v>
      </c>
      <c r="P2289" s="101"/>
      <c r="Q2289" s="100">
        <v>138</v>
      </c>
      <c r="R2289" s="100">
        <v>241</v>
      </c>
      <c r="S2289" s="100"/>
      <c r="T2289" s="100"/>
      <c r="U2289" s="100"/>
      <c r="V2289" s="100"/>
      <c r="W2289" s="100"/>
      <c r="X2289" s="100">
        <v>90200615</v>
      </c>
      <c r="Y2289" s="100" t="s">
        <v>115</v>
      </c>
      <c r="Z2289" s="100" t="s">
        <v>115</v>
      </c>
      <c r="AA2289" s="100" t="s">
        <v>115</v>
      </c>
      <c r="AB2289" s="100" t="s">
        <v>115</v>
      </c>
      <c r="AC2289" s="100" t="s">
        <v>115</v>
      </c>
      <c r="AD2289" s="100"/>
      <c r="AE2289" s="100"/>
      <c r="AF2289" s="100"/>
      <c r="AG2289" s="100"/>
      <c r="AH2289" s="100"/>
      <c r="AI2289" s="100" t="s">
        <v>115</v>
      </c>
      <c r="AJ2289" s="100"/>
      <c r="AK2289" s="100"/>
      <c r="AL2289" s="100"/>
      <c r="AM2289" s="100"/>
      <c r="AN2289" s="100"/>
      <c r="AO2289" s="100"/>
      <c r="AP2289" s="89" t="s">
        <v>115</v>
      </c>
    </row>
    <row r="2290" spans="1:42" s="89" customFormat="1" x14ac:dyDescent="0.15">
      <c r="A2290" s="100" t="s">
        <v>1</v>
      </c>
      <c r="B2290" s="101">
        <v>90200615</v>
      </c>
      <c r="C2290" s="101">
        <v>2006</v>
      </c>
      <c r="D2290" s="101">
        <v>20</v>
      </c>
      <c r="E2290" s="101"/>
      <c r="F2290" s="101" t="s">
        <v>116</v>
      </c>
      <c r="G2290" s="101">
        <v>315</v>
      </c>
      <c r="H2290" s="101" t="s">
        <v>4666</v>
      </c>
      <c r="I2290" s="101">
        <v>0</v>
      </c>
      <c r="J2290" s="100">
        <v>0</v>
      </c>
      <c r="K2290" s="100">
        <v>0</v>
      </c>
      <c r="L2290" s="100" t="s">
        <v>115</v>
      </c>
      <c r="M2290" s="102"/>
      <c r="N2290" s="100"/>
      <c r="O2290" s="100" t="s">
        <v>115</v>
      </c>
      <c r="P2290" s="101"/>
      <c r="Q2290" s="100">
        <v>138</v>
      </c>
      <c r="R2290" s="100">
        <v>241</v>
      </c>
      <c r="S2290" s="100"/>
      <c r="T2290" s="100"/>
      <c r="U2290" s="100"/>
      <c r="V2290" s="100"/>
      <c r="W2290" s="100"/>
      <c r="X2290" s="100">
        <v>90200616</v>
      </c>
      <c r="Y2290" s="100" t="s">
        <v>115</v>
      </c>
      <c r="Z2290" s="100" t="s">
        <v>115</v>
      </c>
      <c r="AA2290" s="100" t="s">
        <v>115</v>
      </c>
      <c r="AB2290" s="100" t="s">
        <v>115</v>
      </c>
      <c r="AC2290" s="100" t="s">
        <v>115</v>
      </c>
      <c r="AD2290" s="100"/>
      <c r="AE2290" s="100"/>
      <c r="AF2290" s="100"/>
      <c r="AG2290" s="100"/>
      <c r="AH2290" s="100"/>
      <c r="AI2290" s="100" t="s">
        <v>115</v>
      </c>
      <c r="AJ2290" s="100"/>
      <c r="AK2290" s="100"/>
      <c r="AL2290" s="100"/>
      <c r="AM2290" s="100"/>
      <c r="AN2290" s="100"/>
      <c r="AO2290" s="100"/>
      <c r="AP2290" s="89" t="s">
        <v>115</v>
      </c>
    </row>
    <row r="2291" spans="1:42" s="89" customFormat="1" x14ac:dyDescent="0.15">
      <c r="A2291" s="100" t="s">
        <v>1</v>
      </c>
      <c r="B2291" s="101">
        <v>90200616</v>
      </c>
      <c r="C2291" s="101">
        <v>2006</v>
      </c>
      <c r="D2291" s="101">
        <v>20</v>
      </c>
      <c r="E2291" s="101"/>
      <c r="F2291" s="101" t="s">
        <v>4593</v>
      </c>
      <c r="G2291" s="101" t="s">
        <v>115</v>
      </c>
      <c r="H2291" s="101" t="s">
        <v>4667</v>
      </c>
      <c r="I2291" s="101">
        <v>3</v>
      </c>
      <c r="J2291" s="100">
        <v>0</v>
      </c>
      <c r="K2291" s="100">
        <v>0</v>
      </c>
      <c r="L2291" s="100" t="s">
        <v>115</v>
      </c>
      <c r="M2291" s="102"/>
      <c r="N2291" s="100"/>
      <c r="O2291" s="100" t="s">
        <v>115</v>
      </c>
      <c r="P2291" s="101"/>
      <c r="Q2291" s="100">
        <v>138</v>
      </c>
      <c r="R2291" s="100">
        <v>241</v>
      </c>
      <c r="S2291" s="100"/>
      <c r="T2291" s="100"/>
      <c r="U2291" s="100"/>
      <c r="V2291" s="100"/>
      <c r="W2291" s="100"/>
      <c r="X2291" s="100">
        <v>90200617</v>
      </c>
      <c r="Y2291" s="100" t="s">
        <v>115</v>
      </c>
      <c r="Z2291" s="100" t="s">
        <v>115</v>
      </c>
      <c r="AA2291" s="100" t="s">
        <v>115</v>
      </c>
      <c r="AB2291" s="100" t="s">
        <v>115</v>
      </c>
      <c r="AC2291" s="100" t="s">
        <v>115</v>
      </c>
      <c r="AD2291" s="100"/>
      <c r="AE2291" s="100"/>
      <c r="AF2291" s="100"/>
      <c r="AG2291" s="100"/>
      <c r="AH2291" s="100"/>
      <c r="AI2291" s="100" t="s">
        <v>115</v>
      </c>
      <c r="AJ2291" s="100"/>
      <c r="AK2291" s="100"/>
      <c r="AL2291" s="100"/>
      <c r="AM2291" s="100"/>
      <c r="AN2291" s="100"/>
      <c r="AO2291" s="100"/>
      <c r="AP2291" s="89" t="s">
        <v>115</v>
      </c>
    </row>
    <row r="2292" spans="1:42" s="89" customFormat="1" x14ac:dyDescent="0.15">
      <c r="A2292" s="100" t="s">
        <v>1</v>
      </c>
      <c r="B2292" s="101">
        <v>90200617</v>
      </c>
      <c r="C2292" s="101">
        <v>2006</v>
      </c>
      <c r="D2292" s="101">
        <v>20</v>
      </c>
      <c r="E2292" s="101"/>
      <c r="F2292" s="101" t="s">
        <v>4593</v>
      </c>
      <c r="G2292" s="101" t="s">
        <v>115</v>
      </c>
      <c r="H2292" s="101" t="s">
        <v>4668</v>
      </c>
      <c r="I2292" s="101">
        <v>3</v>
      </c>
      <c r="J2292" s="100">
        <v>0</v>
      </c>
      <c r="K2292" s="100">
        <v>0</v>
      </c>
      <c r="L2292" s="100" t="s">
        <v>115</v>
      </c>
      <c r="M2292" s="102"/>
      <c r="N2292" s="100"/>
      <c r="O2292" s="100" t="s">
        <v>115</v>
      </c>
      <c r="P2292" s="101"/>
      <c r="Q2292" s="100">
        <v>138</v>
      </c>
      <c r="R2292" s="100">
        <v>241</v>
      </c>
      <c r="S2292" s="100"/>
      <c r="T2292" s="100"/>
      <c r="U2292" s="100"/>
      <c r="V2292" s="100"/>
      <c r="W2292" s="100"/>
      <c r="X2292" s="100">
        <v>90200618</v>
      </c>
      <c r="Y2292" s="100" t="s">
        <v>115</v>
      </c>
      <c r="Z2292" s="100" t="s">
        <v>115</v>
      </c>
      <c r="AA2292" s="100" t="s">
        <v>115</v>
      </c>
      <c r="AB2292" s="100" t="s">
        <v>115</v>
      </c>
      <c r="AC2292" s="100" t="s">
        <v>115</v>
      </c>
      <c r="AD2292" s="100"/>
      <c r="AE2292" s="100"/>
      <c r="AF2292" s="100"/>
      <c r="AG2292" s="100"/>
      <c r="AH2292" s="100"/>
      <c r="AI2292" s="100" t="s">
        <v>115</v>
      </c>
      <c r="AJ2292" s="100"/>
      <c r="AK2292" s="100"/>
      <c r="AL2292" s="100"/>
      <c r="AM2292" s="100"/>
      <c r="AN2292" s="100"/>
      <c r="AO2292" s="100"/>
      <c r="AP2292" s="89" t="s">
        <v>115</v>
      </c>
    </row>
    <row r="2293" spans="1:42" s="89" customFormat="1" x14ac:dyDescent="0.15">
      <c r="A2293" s="100" t="s">
        <v>1</v>
      </c>
      <c r="B2293" s="101">
        <v>90200618</v>
      </c>
      <c r="C2293" s="101">
        <v>2006</v>
      </c>
      <c r="D2293" s="101">
        <v>20</v>
      </c>
      <c r="E2293" s="101"/>
      <c r="F2293" s="101" t="s">
        <v>116</v>
      </c>
      <c r="G2293" s="101">
        <v>309</v>
      </c>
      <c r="H2293" s="101" t="s">
        <v>4669</v>
      </c>
      <c r="I2293" s="101">
        <v>0</v>
      </c>
      <c r="J2293" s="100">
        <v>0</v>
      </c>
      <c r="K2293" s="100">
        <v>0</v>
      </c>
      <c r="L2293" s="100" t="s">
        <v>115</v>
      </c>
      <c r="M2293" s="102"/>
      <c r="N2293" s="100"/>
      <c r="O2293" s="100" t="s">
        <v>115</v>
      </c>
      <c r="P2293" s="101"/>
      <c r="Q2293" s="100">
        <v>138</v>
      </c>
      <c r="R2293" s="100">
        <v>241</v>
      </c>
      <c r="S2293" s="100"/>
      <c r="T2293" s="100"/>
      <c r="U2293" s="100"/>
      <c r="V2293" s="100"/>
      <c r="W2293" s="100"/>
      <c r="X2293" s="100">
        <v>90200619</v>
      </c>
      <c r="Y2293" s="100" t="s">
        <v>115</v>
      </c>
      <c r="Z2293" s="100" t="s">
        <v>115</v>
      </c>
      <c r="AA2293" s="100" t="s">
        <v>115</v>
      </c>
      <c r="AB2293" s="100" t="s">
        <v>115</v>
      </c>
      <c r="AC2293" s="100" t="s">
        <v>115</v>
      </c>
      <c r="AD2293" s="100"/>
      <c r="AE2293" s="100"/>
      <c r="AF2293" s="100"/>
      <c r="AG2293" s="100"/>
      <c r="AH2293" s="100"/>
      <c r="AI2293" s="100" t="s">
        <v>115</v>
      </c>
      <c r="AJ2293" s="100"/>
      <c r="AK2293" s="100"/>
      <c r="AL2293" s="100"/>
      <c r="AM2293" s="100"/>
      <c r="AN2293" s="100"/>
      <c r="AO2293" s="100"/>
      <c r="AP2293" s="89" t="s">
        <v>115</v>
      </c>
    </row>
    <row r="2294" spans="1:42" s="89" customFormat="1" x14ac:dyDescent="0.15">
      <c r="A2294" s="100" t="s">
        <v>1</v>
      </c>
      <c r="B2294" s="101">
        <v>90200619</v>
      </c>
      <c r="C2294" s="101">
        <v>2006</v>
      </c>
      <c r="D2294" s="101">
        <v>20</v>
      </c>
      <c r="E2294" s="101"/>
      <c r="F2294" s="101" t="s">
        <v>116</v>
      </c>
      <c r="G2294" s="101">
        <v>309</v>
      </c>
      <c r="H2294" s="101" t="s">
        <v>4670</v>
      </c>
      <c r="I2294" s="101">
        <v>0</v>
      </c>
      <c r="J2294" s="100">
        <v>0</v>
      </c>
      <c r="K2294" s="100">
        <v>0</v>
      </c>
      <c r="L2294" s="100" t="s">
        <v>115</v>
      </c>
      <c r="M2294" s="102"/>
      <c r="N2294" s="100"/>
      <c r="O2294" s="100" t="s">
        <v>115</v>
      </c>
      <c r="P2294" s="101"/>
      <c r="Q2294" s="100">
        <v>138</v>
      </c>
      <c r="R2294" s="100">
        <v>241</v>
      </c>
      <c r="S2294" s="100"/>
      <c r="T2294" s="100"/>
      <c r="U2294" s="100"/>
      <c r="V2294" s="100"/>
      <c r="W2294" s="100"/>
      <c r="X2294" s="100">
        <v>90200620</v>
      </c>
      <c r="Y2294" s="100" t="s">
        <v>115</v>
      </c>
      <c r="Z2294" s="100" t="s">
        <v>115</v>
      </c>
      <c r="AA2294" s="100" t="s">
        <v>115</v>
      </c>
      <c r="AB2294" s="100" t="s">
        <v>115</v>
      </c>
      <c r="AC2294" s="100" t="s">
        <v>115</v>
      </c>
      <c r="AD2294" s="100"/>
      <c r="AE2294" s="100"/>
      <c r="AF2294" s="100"/>
      <c r="AG2294" s="100"/>
      <c r="AH2294" s="100"/>
      <c r="AI2294" s="100" t="s">
        <v>115</v>
      </c>
      <c r="AJ2294" s="100"/>
      <c r="AK2294" s="100"/>
      <c r="AL2294" s="100"/>
      <c r="AM2294" s="100"/>
      <c r="AN2294" s="100"/>
      <c r="AO2294" s="100"/>
      <c r="AP2294" s="89" t="s">
        <v>115</v>
      </c>
    </row>
    <row r="2295" spans="1:42" x14ac:dyDescent="0.15">
      <c r="A2295" s="40" t="s">
        <v>1</v>
      </c>
      <c r="B2295" s="23">
        <v>90200620</v>
      </c>
      <c r="C2295" s="23">
        <v>2006</v>
      </c>
      <c r="D2295" s="23">
        <v>20</v>
      </c>
      <c r="F2295" s="23" t="s">
        <v>116</v>
      </c>
      <c r="G2295" s="23">
        <v>309</v>
      </c>
      <c r="H2295" s="23" t="s">
        <v>4671</v>
      </c>
      <c r="I2295" s="23">
        <v>0</v>
      </c>
      <c r="J2295" s="40">
        <v>0</v>
      </c>
      <c r="K2295" s="40">
        <v>0</v>
      </c>
      <c r="L2295" s="40" t="s">
        <v>115</v>
      </c>
      <c r="O2295" s="40" t="s">
        <v>115</v>
      </c>
      <c r="Q2295" s="40">
        <v>138</v>
      </c>
      <c r="R2295" s="40">
        <v>241</v>
      </c>
      <c r="X2295" s="40">
        <v>90200621</v>
      </c>
      <c r="Y2295" s="40" t="s">
        <v>115</v>
      </c>
      <c r="Z2295" s="40" t="s">
        <v>115</v>
      </c>
      <c r="AA2295" s="40" t="s">
        <v>115</v>
      </c>
      <c r="AB2295" s="40" t="s">
        <v>115</v>
      </c>
      <c r="AC2295" s="40" t="s">
        <v>115</v>
      </c>
      <c r="AI2295" s="40" t="s">
        <v>115</v>
      </c>
      <c r="AP2295" s="4" t="s">
        <v>115</v>
      </c>
    </row>
    <row r="2296" spans="1:42" x14ac:dyDescent="0.15">
      <c r="A2296" s="40" t="s">
        <v>1</v>
      </c>
      <c r="B2296" s="23">
        <v>90200621</v>
      </c>
      <c r="C2296" s="23">
        <v>2006</v>
      </c>
      <c r="D2296" s="23">
        <v>20</v>
      </c>
      <c r="F2296" s="23" t="s">
        <v>115</v>
      </c>
      <c r="G2296" s="23" t="s">
        <v>115</v>
      </c>
      <c r="H2296" s="23" t="s">
        <v>4672</v>
      </c>
      <c r="I2296" s="23">
        <v>4</v>
      </c>
      <c r="J2296" s="40">
        <v>0</v>
      </c>
      <c r="K2296" s="40">
        <v>0</v>
      </c>
      <c r="L2296" s="40" t="s">
        <v>115</v>
      </c>
      <c r="O2296" s="40" t="s">
        <v>115</v>
      </c>
      <c r="Q2296" s="40">
        <v>138</v>
      </c>
      <c r="R2296" s="40">
        <v>241</v>
      </c>
      <c r="X2296" s="40">
        <v>90200622</v>
      </c>
      <c r="Y2296" s="40" t="s">
        <v>115</v>
      </c>
      <c r="Z2296" s="40" t="s">
        <v>115</v>
      </c>
      <c r="AA2296" s="40" t="s">
        <v>115</v>
      </c>
      <c r="AB2296" s="40" t="s">
        <v>115</v>
      </c>
      <c r="AC2296" s="40" t="s">
        <v>115</v>
      </c>
      <c r="AI2296" s="40" t="s">
        <v>115</v>
      </c>
      <c r="AP2296" s="4" t="s">
        <v>115</v>
      </c>
    </row>
    <row r="2297" spans="1:42" x14ac:dyDescent="0.15">
      <c r="A2297" s="40" t="s">
        <v>1</v>
      </c>
      <c r="B2297" s="23">
        <v>90200622</v>
      </c>
      <c r="C2297" s="23">
        <v>2006</v>
      </c>
      <c r="D2297" s="23">
        <v>20</v>
      </c>
      <c r="F2297" s="23" t="s">
        <v>4673</v>
      </c>
      <c r="G2297" s="23" t="s">
        <v>115</v>
      </c>
      <c r="H2297" s="23" t="s">
        <v>4674</v>
      </c>
      <c r="I2297" s="23">
        <v>3</v>
      </c>
      <c r="J2297" s="40">
        <v>0</v>
      </c>
      <c r="K2297" s="40">
        <v>0</v>
      </c>
      <c r="L2297" s="40" t="s">
        <v>115</v>
      </c>
      <c r="O2297" s="40" t="s">
        <v>115</v>
      </c>
      <c r="Q2297" s="40">
        <v>138</v>
      </c>
      <c r="R2297" s="40">
        <v>164</v>
      </c>
      <c r="X2297" s="40">
        <v>90200623</v>
      </c>
      <c r="Y2297" s="40" t="s">
        <v>115</v>
      </c>
      <c r="Z2297" s="40" t="s">
        <v>115</v>
      </c>
      <c r="AA2297" s="40" t="s">
        <v>115</v>
      </c>
      <c r="AB2297" s="40" t="s">
        <v>115</v>
      </c>
      <c r="AC2297" s="40" t="s">
        <v>115</v>
      </c>
      <c r="AI2297" s="40" t="s">
        <v>115</v>
      </c>
      <c r="AP2297" s="4" t="s">
        <v>115</v>
      </c>
    </row>
    <row r="2298" spans="1:42" x14ac:dyDescent="0.15">
      <c r="A2298" s="40" t="s">
        <v>1</v>
      </c>
      <c r="B2298" s="23">
        <v>90200623</v>
      </c>
      <c r="C2298" s="23">
        <v>2006</v>
      </c>
      <c r="D2298" s="23">
        <v>20</v>
      </c>
      <c r="F2298" s="23" t="s">
        <v>4673</v>
      </c>
      <c r="G2298" s="23" t="s">
        <v>115</v>
      </c>
      <c r="H2298" s="23" t="s">
        <v>4675</v>
      </c>
      <c r="I2298" s="23">
        <v>3</v>
      </c>
      <c r="J2298" s="40">
        <v>0</v>
      </c>
      <c r="K2298" s="40">
        <v>0</v>
      </c>
      <c r="L2298" s="40" t="s">
        <v>115</v>
      </c>
      <c r="O2298" s="40" t="s">
        <v>115</v>
      </c>
      <c r="Q2298" s="40">
        <v>138</v>
      </c>
      <c r="R2298" s="40">
        <v>164</v>
      </c>
      <c r="X2298" s="40">
        <v>90200624</v>
      </c>
      <c r="Y2298" s="40" t="s">
        <v>115</v>
      </c>
      <c r="Z2298" s="40" t="s">
        <v>115</v>
      </c>
      <c r="AA2298" s="40" t="s">
        <v>115</v>
      </c>
      <c r="AB2298" s="40" t="s">
        <v>115</v>
      </c>
      <c r="AC2298" s="40" t="s">
        <v>115</v>
      </c>
      <c r="AI2298" s="40" t="s">
        <v>115</v>
      </c>
      <c r="AP2298" s="4" t="s">
        <v>115</v>
      </c>
    </row>
    <row r="2299" spans="1:42" x14ac:dyDescent="0.15">
      <c r="A2299" s="40" t="s">
        <v>1</v>
      </c>
      <c r="B2299" s="23">
        <v>90200624</v>
      </c>
      <c r="C2299" s="23">
        <v>2006</v>
      </c>
      <c r="D2299" s="23">
        <v>20</v>
      </c>
      <c r="F2299" s="23" t="s">
        <v>4673</v>
      </c>
      <c r="G2299" s="23" t="s">
        <v>115</v>
      </c>
      <c r="H2299" s="23" t="s">
        <v>4676</v>
      </c>
      <c r="I2299" s="23">
        <v>3</v>
      </c>
      <c r="J2299" s="40">
        <v>0</v>
      </c>
      <c r="K2299" s="40">
        <v>8</v>
      </c>
      <c r="L2299" s="40" t="s">
        <v>115</v>
      </c>
      <c r="O2299" s="40">
        <v>1</v>
      </c>
      <c r="Q2299" s="40">
        <v>138</v>
      </c>
      <c r="R2299" s="40">
        <v>164</v>
      </c>
      <c r="X2299" s="40" t="s">
        <v>115</v>
      </c>
      <c r="Y2299" s="40" t="s">
        <v>115</v>
      </c>
      <c r="Z2299" s="40">
        <v>7</v>
      </c>
      <c r="AA2299" s="40" t="s">
        <v>115</v>
      </c>
      <c r="AB2299" s="40" t="s">
        <v>115</v>
      </c>
      <c r="AC2299" s="40" t="s">
        <v>115</v>
      </c>
      <c r="AI2299" s="40" t="s">
        <v>115</v>
      </c>
      <c r="AP2299" s="4" t="s">
        <v>115</v>
      </c>
    </row>
    <row r="2300" spans="1:42" x14ac:dyDescent="0.15">
      <c r="A2300" s="40" t="s">
        <v>1</v>
      </c>
      <c r="B2300" s="23" t="s">
        <v>4823</v>
      </c>
      <c r="C2300" s="23">
        <v>2101</v>
      </c>
      <c r="D2300" s="23">
        <v>21</v>
      </c>
      <c r="F2300" s="23" t="s">
        <v>115</v>
      </c>
      <c r="G2300" s="23" t="s">
        <v>115</v>
      </c>
      <c r="H2300" s="23" t="s">
        <v>4950</v>
      </c>
      <c r="I2300" s="23">
        <v>4</v>
      </c>
      <c r="J2300" s="40">
        <v>1</v>
      </c>
      <c r="K2300" s="40">
        <v>1</v>
      </c>
      <c r="L2300" s="40" t="s">
        <v>115</v>
      </c>
      <c r="O2300" s="40" t="s">
        <v>115</v>
      </c>
      <c r="Q2300" s="40">
        <v>137</v>
      </c>
      <c r="R2300" s="40" t="s">
        <v>115</v>
      </c>
      <c r="X2300" s="40">
        <v>90210102</v>
      </c>
      <c r="Y2300" s="40" t="s">
        <v>115</v>
      </c>
      <c r="Z2300" s="40" t="s">
        <v>115</v>
      </c>
      <c r="AA2300" s="40" t="s">
        <v>115</v>
      </c>
      <c r="AB2300" s="40" t="s">
        <v>115</v>
      </c>
      <c r="AC2300" s="40" t="s">
        <v>115</v>
      </c>
      <c r="AI2300" s="40" t="s">
        <v>115</v>
      </c>
      <c r="AP2300" s="4" t="s">
        <v>115</v>
      </c>
    </row>
    <row r="2301" spans="1:42" x14ac:dyDescent="0.15">
      <c r="A2301" s="40" t="s">
        <v>1</v>
      </c>
      <c r="B2301" s="23">
        <v>90210102</v>
      </c>
      <c r="C2301" s="23">
        <v>2101</v>
      </c>
      <c r="D2301" s="23">
        <v>21</v>
      </c>
      <c r="F2301" s="23" t="s">
        <v>503</v>
      </c>
      <c r="G2301" s="23" t="s">
        <v>115</v>
      </c>
      <c r="H2301" s="23" t="s">
        <v>4951</v>
      </c>
      <c r="I2301" s="23">
        <v>3</v>
      </c>
      <c r="J2301" s="40">
        <v>0</v>
      </c>
      <c r="K2301" s="40">
        <v>0</v>
      </c>
      <c r="L2301" s="40" t="s">
        <v>115</v>
      </c>
      <c r="O2301" s="40" t="s">
        <v>115</v>
      </c>
      <c r="Q2301" s="40">
        <v>137</v>
      </c>
      <c r="R2301" s="40">
        <v>161</v>
      </c>
      <c r="X2301" s="40">
        <v>90210103</v>
      </c>
      <c r="Y2301" s="40" t="s">
        <v>115</v>
      </c>
      <c r="Z2301" s="40" t="s">
        <v>115</v>
      </c>
      <c r="AA2301" s="40" t="s">
        <v>115</v>
      </c>
      <c r="AB2301" s="40" t="s">
        <v>115</v>
      </c>
      <c r="AC2301" s="40" t="s">
        <v>115</v>
      </c>
      <c r="AI2301" s="40" t="s">
        <v>115</v>
      </c>
      <c r="AP2301" s="4" t="s">
        <v>115</v>
      </c>
    </row>
    <row r="2302" spans="1:42" x14ac:dyDescent="0.15">
      <c r="A2302" s="40" t="s">
        <v>1</v>
      </c>
      <c r="B2302" s="23">
        <v>90210103</v>
      </c>
      <c r="C2302" s="23">
        <v>2101</v>
      </c>
      <c r="D2302" s="23">
        <v>21</v>
      </c>
      <c r="F2302" s="23" t="s">
        <v>116</v>
      </c>
      <c r="G2302" s="23">
        <v>312</v>
      </c>
      <c r="H2302" s="23" t="s">
        <v>4952</v>
      </c>
      <c r="I2302" s="23">
        <v>0</v>
      </c>
      <c r="J2302" s="40">
        <v>0</v>
      </c>
      <c r="K2302" s="40">
        <v>0</v>
      </c>
      <c r="L2302" s="40" t="s">
        <v>115</v>
      </c>
      <c r="O2302" s="40" t="s">
        <v>115</v>
      </c>
      <c r="Q2302" s="40">
        <v>137</v>
      </c>
      <c r="R2302" s="40">
        <v>161</v>
      </c>
      <c r="X2302" s="40">
        <v>90210104</v>
      </c>
      <c r="Y2302" s="40" t="s">
        <v>115</v>
      </c>
      <c r="Z2302" s="40" t="s">
        <v>115</v>
      </c>
      <c r="AA2302" s="40" t="s">
        <v>115</v>
      </c>
      <c r="AB2302" s="40" t="s">
        <v>115</v>
      </c>
      <c r="AC2302" s="40" t="s">
        <v>115</v>
      </c>
      <c r="AI2302" s="40" t="s">
        <v>115</v>
      </c>
      <c r="AP2302" s="4" t="s">
        <v>115</v>
      </c>
    </row>
    <row r="2303" spans="1:42" x14ac:dyDescent="0.15">
      <c r="A2303" s="40" t="s">
        <v>1</v>
      </c>
      <c r="B2303" s="23">
        <v>90210104</v>
      </c>
      <c r="C2303" s="23">
        <v>2101</v>
      </c>
      <c r="D2303" s="23">
        <v>21</v>
      </c>
      <c r="F2303" s="23" t="s">
        <v>503</v>
      </c>
      <c r="G2303" s="23" t="s">
        <v>115</v>
      </c>
      <c r="H2303" s="23" t="s">
        <v>7149</v>
      </c>
      <c r="I2303" s="23">
        <v>3</v>
      </c>
      <c r="J2303" s="40">
        <v>0</v>
      </c>
      <c r="K2303" s="40">
        <v>0</v>
      </c>
      <c r="L2303" s="40" t="s">
        <v>115</v>
      </c>
      <c r="O2303" s="40" t="s">
        <v>115</v>
      </c>
      <c r="Q2303" s="40">
        <v>137</v>
      </c>
      <c r="R2303" s="40">
        <v>161</v>
      </c>
      <c r="X2303" s="40">
        <v>90210105</v>
      </c>
      <c r="Y2303" s="40" t="s">
        <v>115</v>
      </c>
      <c r="Z2303" s="40" t="s">
        <v>115</v>
      </c>
      <c r="AA2303" s="40" t="s">
        <v>115</v>
      </c>
      <c r="AB2303" s="40" t="s">
        <v>115</v>
      </c>
      <c r="AC2303" s="40" t="s">
        <v>115</v>
      </c>
      <c r="AI2303" s="40" t="s">
        <v>115</v>
      </c>
      <c r="AP2303" s="4" t="s">
        <v>115</v>
      </c>
    </row>
    <row r="2304" spans="1:42" x14ac:dyDescent="0.15">
      <c r="A2304" s="40" t="s">
        <v>1</v>
      </c>
      <c r="B2304" s="23">
        <v>90210105</v>
      </c>
      <c r="C2304" s="23">
        <v>2101</v>
      </c>
      <c r="D2304" s="23">
        <v>21</v>
      </c>
      <c r="F2304" s="23" t="s">
        <v>503</v>
      </c>
      <c r="G2304" s="23" t="s">
        <v>115</v>
      </c>
      <c r="H2304" s="23" t="s">
        <v>4953</v>
      </c>
      <c r="I2304" s="23">
        <v>3</v>
      </c>
      <c r="J2304" s="40">
        <v>0</v>
      </c>
      <c r="K2304" s="40">
        <v>0</v>
      </c>
      <c r="L2304" s="40" t="s">
        <v>115</v>
      </c>
      <c r="O2304" s="40" t="s">
        <v>115</v>
      </c>
      <c r="Q2304" s="40">
        <v>137</v>
      </c>
      <c r="R2304" s="40">
        <v>161</v>
      </c>
      <c r="X2304" s="40">
        <v>90210106</v>
      </c>
      <c r="Y2304" s="40" t="s">
        <v>115</v>
      </c>
      <c r="Z2304" s="40" t="s">
        <v>115</v>
      </c>
      <c r="AA2304" s="40" t="s">
        <v>115</v>
      </c>
      <c r="AB2304" s="40" t="s">
        <v>115</v>
      </c>
      <c r="AC2304" s="40" t="s">
        <v>115</v>
      </c>
      <c r="AI2304" s="40" t="s">
        <v>115</v>
      </c>
      <c r="AP2304" s="4" t="s">
        <v>115</v>
      </c>
    </row>
    <row r="2305" spans="1:42" x14ac:dyDescent="0.15">
      <c r="A2305" s="40" t="s">
        <v>1</v>
      </c>
      <c r="B2305" s="23">
        <v>90210106</v>
      </c>
      <c r="C2305" s="23">
        <v>2101</v>
      </c>
      <c r="D2305" s="23">
        <v>21</v>
      </c>
      <c r="F2305" s="23" t="s">
        <v>503</v>
      </c>
      <c r="G2305" s="23" t="s">
        <v>115</v>
      </c>
      <c r="H2305" s="23" t="s">
        <v>4954</v>
      </c>
      <c r="I2305" s="23">
        <v>3</v>
      </c>
      <c r="J2305" s="40">
        <v>0</v>
      </c>
      <c r="K2305" s="40">
        <v>0</v>
      </c>
      <c r="L2305" s="40" t="s">
        <v>115</v>
      </c>
      <c r="O2305" s="40" t="s">
        <v>115</v>
      </c>
      <c r="Q2305" s="40">
        <v>137</v>
      </c>
      <c r="R2305" s="40">
        <v>161</v>
      </c>
      <c r="X2305" s="40">
        <v>90210107</v>
      </c>
      <c r="Y2305" s="40" t="s">
        <v>115</v>
      </c>
      <c r="Z2305" s="40" t="s">
        <v>115</v>
      </c>
      <c r="AA2305" s="40" t="s">
        <v>115</v>
      </c>
      <c r="AB2305" s="40" t="s">
        <v>115</v>
      </c>
      <c r="AC2305" s="40" t="s">
        <v>115</v>
      </c>
      <c r="AI2305" s="40" t="s">
        <v>115</v>
      </c>
      <c r="AP2305" s="4" t="s">
        <v>115</v>
      </c>
    </row>
    <row r="2306" spans="1:42" x14ac:dyDescent="0.15">
      <c r="A2306" s="40" t="s">
        <v>1</v>
      </c>
      <c r="B2306" s="23">
        <v>90210107</v>
      </c>
      <c r="C2306" s="23">
        <v>2101</v>
      </c>
      <c r="D2306" s="23">
        <v>21</v>
      </c>
      <c r="F2306" s="23" t="s">
        <v>116</v>
      </c>
      <c r="G2306" s="23">
        <v>312</v>
      </c>
      <c r="H2306" s="23" t="s">
        <v>4955</v>
      </c>
      <c r="I2306" s="23">
        <v>0</v>
      </c>
      <c r="J2306" s="40">
        <v>0</v>
      </c>
      <c r="K2306" s="40">
        <v>0</v>
      </c>
      <c r="L2306" s="40" t="s">
        <v>115</v>
      </c>
      <c r="O2306" s="40" t="s">
        <v>115</v>
      </c>
      <c r="Q2306" s="40">
        <v>137</v>
      </c>
      <c r="R2306" s="40">
        <v>161</v>
      </c>
      <c r="X2306" s="40">
        <v>90210108</v>
      </c>
      <c r="Y2306" s="40" t="s">
        <v>115</v>
      </c>
      <c r="Z2306" s="40" t="s">
        <v>115</v>
      </c>
      <c r="AA2306" s="40" t="s">
        <v>115</v>
      </c>
      <c r="AB2306" s="40" t="s">
        <v>115</v>
      </c>
      <c r="AC2306" s="40" t="s">
        <v>115</v>
      </c>
      <c r="AI2306" s="40" t="s">
        <v>115</v>
      </c>
      <c r="AP2306" s="4" t="s">
        <v>115</v>
      </c>
    </row>
    <row r="2307" spans="1:42" x14ac:dyDescent="0.15">
      <c r="A2307" s="40" t="s">
        <v>1</v>
      </c>
      <c r="B2307" s="23">
        <v>90210108</v>
      </c>
      <c r="C2307" s="23">
        <v>2101</v>
      </c>
      <c r="D2307" s="23">
        <v>21</v>
      </c>
      <c r="F2307" s="23" t="s">
        <v>115</v>
      </c>
      <c r="G2307" s="23" t="s">
        <v>115</v>
      </c>
      <c r="H2307" s="23" t="s">
        <v>4956</v>
      </c>
      <c r="I2307" s="23">
        <v>4</v>
      </c>
      <c r="J2307" s="40">
        <v>0</v>
      </c>
      <c r="K2307" s="40">
        <v>0</v>
      </c>
      <c r="L2307" s="40" t="s">
        <v>115</v>
      </c>
      <c r="O2307" s="40" t="s">
        <v>115</v>
      </c>
      <c r="Q2307" s="40">
        <v>137</v>
      </c>
      <c r="R2307" s="40">
        <v>161</v>
      </c>
      <c r="X2307" s="40">
        <v>90210109</v>
      </c>
      <c r="Y2307" s="40" t="s">
        <v>115</v>
      </c>
      <c r="Z2307" s="40" t="s">
        <v>115</v>
      </c>
      <c r="AA2307" s="40" t="s">
        <v>115</v>
      </c>
      <c r="AB2307" s="40" t="s">
        <v>115</v>
      </c>
      <c r="AC2307" s="40" t="s">
        <v>115</v>
      </c>
      <c r="AI2307" s="40" t="s">
        <v>115</v>
      </c>
      <c r="AP2307" s="4" t="s">
        <v>115</v>
      </c>
    </row>
    <row r="2308" spans="1:42" x14ac:dyDescent="0.15">
      <c r="A2308" s="40" t="s">
        <v>1</v>
      </c>
      <c r="B2308" s="23">
        <v>90210109</v>
      </c>
      <c r="C2308" s="23">
        <v>2101</v>
      </c>
      <c r="D2308" s="23">
        <v>21</v>
      </c>
      <c r="F2308" s="23" t="s">
        <v>503</v>
      </c>
      <c r="G2308" s="23" t="s">
        <v>115</v>
      </c>
      <c r="H2308" s="23" t="s">
        <v>4957</v>
      </c>
      <c r="I2308" s="23">
        <v>3</v>
      </c>
      <c r="J2308" s="40">
        <v>0</v>
      </c>
      <c r="K2308" s="40">
        <v>0</v>
      </c>
      <c r="L2308" s="40" t="s">
        <v>115</v>
      </c>
      <c r="O2308" s="40" t="s">
        <v>115</v>
      </c>
      <c r="Q2308" s="40">
        <v>137</v>
      </c>
      <c r="R2308" s="40">
        <v>161</v>
      </c>
      <c r="X2308" s="40">
        <v>90210110</v>
      </c>
      <c r="Y2308" s="40" t="s">
        <v>115</v>
      </c>
      <c r="Z2308" s="40" t="s">
        <v>115</v>
      </c>
      <c r="AA2308" s="40" t="s">
        <v>115</v>
      </c>
      <c r="AB2308" s="40" t="s">
        <v>115</v>
      </c>
      <c r="AC2308" s="40" t="s">
        <v>115</v>
      </c>
      <c r="AI2308" s="40" t="s">
        <v>115</v>
      </c>
      <c r="AP2308" s="4" t="s">
        <v>115</v>
      </c>
    </row>
    <row r="2309" spans="1:42" x14ac:dyDescent="0.15">
      <c r="A2309" s="40" t="s">
        <v>1</v>
      </c>
      <c r="B2309" s="23">
        <v>90210110</v>
      </c>
      <c r="C2309" s="23">
        <v>2101</v>
      </c>
      <c r="D2309" s="23">
        <v>21</v>
      </c>
      <c r="F2309" s="23" t="s">
        <v>503</v>
      </c>
      <c r="G2309" s="23" t="s">
        <v>115</v>
      </c>
      <c r="H2309" s="23" t="s">
        <v>4958</v>
      </c>
      <c r="I2309" s="23">
        <v>3</v>
      </c>
      <c r="J2309" s="40">
        <v>0</v>
      </c>
      <c r="K2309" s="40">
        <v>0</v>
      </c>
      <c r="L2309" s="40" t="s">
        <v>115</v>
      </c>
      <c r="O2309" s="40" t="s">
        <v>115</v>
      </c>
      <c r="Q2309" s="40">
        <v>137</v>
      </c>
      <c r="R2309" s="40">
        <v>161</v>
      </c>
      <c r="X2309" s="40">
        <v>90210111</v>
      </c>
      <c r="Y2309" s="40" t="s">
        <v>115</v>
      </c>
      <c r="Z2309" s="40" t="s">
        <v>115</v>
      </c>
      <c r="AA2309" s="40" t="s">
        <v>115</v>
      </c>
      <c r="AB2309" s="40" t="s">
        <v>115</v>
      </c>
      <c r="AC2309" s="40" t="s">
        <v>115</v>
      </c>
      <c r="AI2309" s="40" t="s">
        <v>115</v>
      </c>
      <c r="AP2309" s="4" t="s">
        <v>115</v>
      </c>
    </row>
    <row r="2310" spans="1:42" x14ac:dyDescent="0.15">
      <c r="A2310" s="40" t="s">
        <v>1</v>
      </c>
      <c r="B2310" s="23">
        <v>90210111</v>
      </c>
      <c r="C2310" s="23">
        <v>2101</v>
      </c>
      <c r="D2310" s="23">
        <v>21</v>
      </c>
      <c r="F2310" s="23" t="s">
        <v>503</v>
      </c>
      <c r="G2310" s="23" t="s">
        <v>115</v>
      </c>
      <c r="H2310" s="23" t="s">
        <v>7150</v>
      </c>
      <c r="I2310" s="23">
        <v>3</v>
      </c>
      <c r="J2310" s="40">
        <v>0</v>
      </c>
      <c r="K2310" s="40">
        <v>2</v>
      </c>
      <c r="L2310" s="40" t="s">
        <v>4959</v>
      </c>
      <c r="O2310" s="40" t="s">
        <v>115</v>
      </c>
      <c r="Q2310" s="40">
        <v>137</v>
      </c>
      <c r="R2310" s="40">
        <v>161</v>
      </c>
      <c r="X2310" s="40">
        <v>90210112</v>
      </c>
      <c r="Y2310" s="40" t="s">
        <v>115</v>
      </c>
      <c r="Z2310" s="40">
        <v>1</v>
      </c>
      <c r="AA2310" s="40" t="s">
        <v>115</v>
      </c>
      <c r="AB2310" s="40" t="s">
        <v>115</v>
      </c>
      <c r="AC2310" s="40" t="s">
        <v>115</v>
      </c>
      <c r="AI2310" s="40" t="s">
        <v>115</v>
      </c>
      <c r="AP2310" s="4" t="s">
        <v>115</v>
      </c>
    </row>
    <row r="2311" spans="1:42" x14ac:dyDescent="0.15">
      <c r="A2311" s="40" t="s">
        <v>1</v>
      </c>
      <c r="B2311" s="23">
        <v>90210112</v>
      </c>
      <c r="C2311" s="23">
        <v>2101</v>
      </c>
      <c r="D2311" s="23">
        <v>21</v>
      </c>
      <c r="F2311" s="23" t="s">
        <v>115</v>
      </c>
      <c r="G2311" s="23" t="s">
        <v>115</v>
      </c>
      <c r="H2311" s="23" t="s">
        <v>4960</v>
      </c>
      <c r="I2311" s="23">
        <v>4</v>
      </c>
      <c r="J2311" s="40">
        <v>0</v>
      </c>
      <c r="K2311" s="40">
        <v>0</v>
      </c>
      <c r="L2311" s="40" t="s">
        <v>115</v>
      </c>
      <c r="O2311" s="40" t="s">
        <v>115</v>
      </c>
      <c r="Q2311" s="40">
        <v>137</v>
      </c>
      <c r="R2311" s="40">
        <v>161</v>
      </c>
      <c r="X2311" s="40">
        <v>90210113</v>
      </c>
      <c r="Y2311" s="40" t="s">
        <v>115</v>
      </c>
      <c r="Z2311" s="40" t="s">
        <v>115</v>
      </c>
      <c r="AA2311" s="40" t="s">
        <v>115</v>
      </c>
      <c r="AB2311" s="40" t="s">
        <v>115</v>
      </c>
      <c r="AC2311" s="40" t="s">
        <v>115</v>
      </c>
      <c r="AI2311" s="40" t="s">
        <v>115</v>
      </c>
      <c r="AP2311" s="4" t="s">
        <v>115</v>
      </c>
    </row>
    <row r="2312" spans="1:42" x14ac:dyDescent="0.15">
      <c r="A2312" s="40" t="s">
        <v>1</v>
      </c>
      <c r="B2312" s="23">
        <v>90210113</v>
      </c>
      <c r="C2312" s="23">
        <v>2101</v>
      </c>
      <c r="D2312" s="23">
        <v>21</v>
      </c>
      <c r="F2312" s="23" t="s">
        <v>503</v>
      </c>
      <c r="G2312" s="23" t="s">
        <v>115</v>
      </c>
      <c r="H2312" s="23" t="s">
        <v>4961</v>
      </c>
      <c r="I2312" s="23">
        <v>3</v>
      </c>
      <c r="J2312" s="40">
        <v>0</v>
      </c>
      <c r="K2312" s="40">
        <v>0</v>
      </c>
      <c r="L2312" s="40" t="s">
        <v>115</v>
      </c>
      <c r="O2312" s="40" t="s">
        <v>115</v>
      </c>
      <c r="Q2312" s="40">
        <v>137</v>
      </c>
      <c r="R2312" s="40">
        <v>161</v>
      </c>
      <c r="X2312" s="40">
        <v>90210114</v>
      </c>
      <c r="Y2312" s="40" t="s">
        <v>115</v>
      </c>
      <c r="Z2312" s="40" t="s">
        <v>115</v>
      </c>
      <c r="AA2312" s="40" t="s">
        <v>115</v>
      </c>
      <c r="AB2312" s="40" t="s">
        <v>115</v>
      </c>
      <c r="AC2312" s="40" t="s">
        <v>115</v>
      </c>
      <c r="AI2312" s="40" t="s">
        <v>115</v>
      </c>
      <c r="AP2312" s="4" t="s">
        <v>115</v>
      </c>
    </row>
    <row r="2313" spans="1:42" x14ac:dyDescent="0.15">
      <c r="A2313" s="40" t="s">
        <v>1</v>
      </c>
      <c r="B2313" s="23">
        <v>90210114</v>
      </c>
      <c r="C2313" s="23">
        <v>2101</v>
      </c>
      <c r="D2313" s="23">
        <v>21</v>
      </c>
      <c r="F2313" s="23" t="s">
        <v>116</v>
      </c>
      <c r="G2313" s="23">
        <v>314</v>
      </c>
      <c r="H2313" s="23" t="s">
        <v>4962</v>
      </c>
      <c r="I2313" s="23">
        <v>2</v>
      </c>
      <c r="J2313" s="40">
        <v>0</v>
      </c>
      <c r="K2313" s="40">
        <v>0</v>
      </c>
      <c r="L2313" s="40" t="s">
        <v>115</v>
      </c>
      <c r="O2313" s="40" t="s">
        <v>115</v>
      </c>
      <c r="Q2313" s="40">
        <v>137</v>
      </c>
      <c r="R2313" s="40">
        <v>161</v>
      </c>
      <c r="X2313" s="40">
        <v>90210115</v>
      </c>
      <c r="Y2313" s="40" t="s">
        <v>115</v>
      </c>
      <c r="Z2313" s="40" t="s">
        <v>115</v>
      </c>
      <c r="AA2313" s="40" t="s">
        <v>115</v>
      </c>
      <c r="AB2313" s="40" t="s">
        <v>115</v>
      </c>
      <c r="AC2313" s="40" t="s">
        <v>115</v>
      </c>
      <c r="AI2313" s="40" t="s">
        <v>115</v>
      </c>
      <c r="AP2313" s="4" t="s">
        <v>115</v>
      </c>
    </row>
    <row r="2314" spans="1:42" x14ac:dyDescent="0.15">
      <c r="A2314" s="40" t="s">
        <v>1</v>
      </c>
      <c r="B2314" s="23">
        <v>90210115</v>
      </c>
      <c r="C2314" s="23">
        <v>2101</v>
      </c>
      <c r="D2314" s="23">
        <v>21</v>
      </c>
      <c r="F2314" s="23" t="s">
        <v>503</v>
      </c>
      <c r="G2314" s="23" t="s">
        <v>115</v>
      </c>
      <c r="H2314" s="23" t="s">
        <v>4963</v>
      </c>
      <c r="I2314" s="23">
        <v>3</v>
      </c>
      <c r="J2314" s="40">
        <v>0</v>
      </c>
      <c r="K2314" s="40">
        <v>0</v>
      </c>
      <c r="L2314" s="40" t="s">
        <v>115</v>
      </c>
      <c r="O2314" s="40" t="s">
        <v>115</v>
      </c>
      <c r="Q2314" s="40">
        <v>137</v>
      </c>
      <c r="R2314" s="40">
        <v>161</v>
      </c>
      <c r="X2314" s="40">
        <v>90210116</v>
      </c>
      <c r="Y2314" s="40" t="s">
        <v>115</v>
      </c>
      <c r="Z2314" s="40" t="s">
        <v>115</v>
      </c>
      <c r="AA2314" s="40" t="s">
        <v>115</v>
      </c>
      <c r="AB2314" s="40" t="s">
        <v>115</v>
      </c>
      <c r="AC2314" s="40" t="s">
        <v>115</v>
      </c>
      <c r="AI2314" s="40" t="s">
        <v>115</v>
      </c>
      <c r="AP2314" s="4" t="s">
        <v>115</v>
      </c>
    </row>
    <row r="2315" spans="1:42" x14ac:dyDescent="0.15">
      <c r="A2315" s="40" t="s">
        <v>1</v>
      </c>
      <c r="B2315" s="23">
        <v>90210116</v>
      </c>
      <c r="C2315" s="23">
        <v>2101</v>
      </c>
      <c r="D2315" s="23">
        <v>21</v>
      </c>
      <c r="F2315" s="23" t="s">
        <v>503</v>
      </c>
      <c r="G2315" s="23" t="s">
        <v>115</v>
      </c>
      <c r="H2315" s="23" t="s">
        <v>4964</v>
      </c>
      <c r="I2315" s="23">
        <v>3</v>
      </c>
      <c r="J2315" s="40">
        <v>0</v>
      </c>
      <c r="K2315" s="40">
        <v>0</v>
      </c>
      <c r="L2315" s="40" t="s">
        <v>115</v>
      </c>
      <c r="O2315" s="40" t="s">
        <v>115</v>
      </c>
      <c r="Q2315" s="40">
        <v>137</v>
      </c>
      <c r="R2315" s="40">
        <v>161</v>
      </c>
      <c r="X2315" s="40">
        <v>90210117</v>
      </c>
      <c r="Y2315" s="40" t="s">
        <v>115</v>
      </c>
      <c r="Z2315" s="40" t="s">
        <v>115</v>
      </c>
      <c r="AA2315" s="40" t="s">
        <v>115</v>
      </c>
      <c r="AB2315" s="40" t="s">
        <v>115</v>
      </c>
      <c r="AC2315" s="40" t="s">
        <v>115</v>
      </c>
      <c r="AI2315" s="40" t="s">
        <v>115</v>
      </c>
      <c r="AP2315" s="4" t="s">
        <v>115</v>
      </c>
    </row>
    <row r="2316" spans="1:42" x14ac:dyDescent="0.15">
      <c r="A2316" s="40" t="s">
        <v>1</v>
      </c>
      <c r="B2316" s="23">
        <v>90210117</v>
      </c>
      <c r="C2316" s="23">
        <v>2101</v>
      </c>
      <c r="D2316" s="23">
        <v>21</v>
      </c>
      <c r="F2316" s="23" t="s">
        <v>503</v>
      </c>
      <c r="G2316" s="23" t="s">
        <v>115</v>
      </c>
      <c r="H2316" s="23" t="s">
        <v>4965</v>
      </c>
      <c r="I2316" s="23">
        <v>3</v>
      </c>
      <c r="J2316" s="40">
        <v>0</v>
      </c>
      <c r="K2316" s="40">
        <v>0</v>
      </c>
      <c r="L2316" s="40" t="s">
        <v>115</v>
      </c>
      <c r="O2316" s="40" t="s">
        <v>115</v>
      </c>
      <c r="Q2316" s="40">
        <v>137</v>
      </c>
      <c r="R2316" s="40">
        <v>161</v>
      </c>
      <c r="X2316" s="40">
        <v>90210118</v>
      </c>
      <c r="Y2316" s="40" t="s">
        <v>115</v>
      </c>
      <c r="Z2316" s="40" t="s">
        <v>115</v>
      </c>
      <c r="AA2316" s="40" t="s">
        <v>115</v>
      </c>
      <c r="AB2316" s="40" t="s">
        <v>115</v>
      </c>
      <c r="AC2316" s="40" t="s">
        <v>115</v>
      </c>
      <c r="AI2316" s="40" t="s">
        <v>115</v>
      </c>
      <c r="AP2316" s="4" t="s">
        <v>115</v>
      </c>
    </row>
    <row r="2317" spans="1:42" x14ac:dyDescent="0.15">
      <c r="A2317" s="40" t="s">
        <v>1</v>
      </c>
      <c r="B2317" s="23">
        <v>90210118</v>
      </c>
      <c r="C2317" s="23">
        <v>2101</v>
      </c>
      <c r="D2317" s="23">
        <v>21</v>
      </c>
      <c r="F2317" s="23" t="s">
        <v>503</v>
      </c>
      <c r="G2317" s="23" t="s">
        <v>115</v>
      </c>
      <c r="H2317" s="23" t="s">
        <v>4966</v>
      </c>
      <c r="I2317" s="23">
        <v>3</v>
      </c>
      <c r="J2317" s="40">
        <v>0</v>
      </c>
      <c r="K2317" s="40">
        <v>0</v>
      </c>
      <c r="L2317" s="40" t="s">
        <v>115</v>
      </c>
      <c r="O2317" s="40" t="s">
        <v>115</v>
      </c>
      <c r="Q2317" s="40">
        <v>137</v>
      </c>
      <c r="R2317" s="40">
        <v>161</v>
      </c>
      <c r="X2317" s="40">
        <v>90210119</v>
      </c>
      <c r="Y2317" s="40" t="s">
        <v>115</v>
      </c>
      <c r="Z2317" s="40" t="s">
        <v>115</v>
      </c>
      <c r="AA2317" s="40" t="s">
        <v>115</v>
      </c>
      <c r="AB2317" s="40" t="s">
        <v>115</v>
      </c>
      <c r="AC2317" s="40" t="s">
        <v>115</v>
      </c>
      <c r="AI2317" s="40" t="s">
        <v>115</v>
      </c>
      <c r="AP2317" s="4" t="s">
        <v>115</v>
      </c>
    </row>
    <row r="2318" spans="1:42" x14ac:dyDescent="0.15">
      <c r="A2318" s="40" t="s">
        <v>1</v>
      </c>
      <c r="B2318" s="23">
        <v>90210119</v>
      </c>
      <c r="C2318" s="23">
        <v>2101</v>
      </c>
      <c r="D2318" s="23">
        <v>21</v>
      </c>
      <c r="F2318" s="23" t="s">
        <v>503</v>
      </c>
      <c r="G2318" s="23" t="s">
        <v>115</v>
      </c>
      <c r="H2318" s="23" t="s">
        <v>4967</v>
      </c>
      <c r="I2318" s="23">
        <v>3</v>
      </c>
      <c r="J2318" s="40">
        <v>0</v>
      </c>
      <c r="K2318" s="40">
        <v>0</v>
      </c>
      <c r="L2318" s="40" t="s">
        <v>115</v>
      </c>
      <c r="O2318" s="40" t="s">
        <v>115</v>
      </c>
      <c r="Q2318" s="40">
        <v>137</v>
      </c>
      <c r="R2318" s="40">
        <v>161</v>
      </c>
      <c r="X2318" s="40">
        <v>90210120</v>
      </c>
      <c r="Y2318" s="40" t="s">
        <v>115</v>
      </c>
      <c r="Z2318" s="40" t="s">
        <v>115</v>
      </c>
      <c r="AA2318" s="40" t="s">
        <v>115</v>
      </c>
      <c r="AB2318" s="40" t="s">
        <v>115</v>
      </c>
      <c r="AC2318" s="40" t="s">
        <v>115</v>
      </c>
      <c r="AI2318" s="40" t="s">
        <v>115</v>
      </c>
      <c r="AP2318" s="4" t="s">
        <v>115</v>
      </c>
    </row>
    <row r="2319" spans="1:42" x14ac:dyDescent="0.15">
      <c r="A2319" s="40" t="s">
        <v>1</v>
      </c>
      <c r="B2319" s="23">
        <v>90210120</v>
      </c>
      <c r="C2319" s="23">
        <v>2101</v>
      </c>
      <c r="D2319" s="23">
        <v>21</v>
      </c>
      <c r="F2319" s="23" t="s">
        <v>503</v>
      </c>
      <c r="G2319" s="23" t="s">
        <v>115</v>
      </c>
      <c r="H2319" s="23" t="s">
        <v>4968</v>
      </c>
      <c r="I2319" s="23">
        <v>3</v>
      </c>
      <c r="J2319" s="40">
        <v>0</v>
      </c>
      <c r="K2319" s="40">
        <v>0</v>
      </c>
      <c r="L2319" s="40" t="s">
        <v>115</v>
      </c>
      <c r="O2319" s="40" t="s">
        <v>115</v>
      </c>
      <c r="Q2319" s="40">
        <v>137</v>
      </c>
      <c r="R2319" s="40">
        <v>161</v>
      </c>
      <c r="X2319" s="40">
        <v>90210121</v>
      </c>
      <c r="Y2319" s="40" t="s">
        <v>115</v>
      </c>
      <c r="Z2319" s="40" t="s">
        <v>115</v>
      </c>
      <c r="AA2319" s="40" t="s">
        <v>115</v>
      </c>
      <c r="AB2319" s="40" t="s">
        <v>115</v>
      </c>
      <c r="AC2319" s="40" t="s">
        <v>115</v>
      </c>
      <c r="AI2319" s="40" t="s">
        <v>115</v>
      </c>
      <c r="AP2319" s="4" t="s">
        <v>115</v>
      </c>
    </row>
    <row r="2320" spans="1:42" x14ac:dyDescent="0.15">
      <c r="A2320" s="40" t="s">
        <v>1</v>
      </c>
      <c r="B2320" s="23">
        <v>90210121</v>
      </c>
      <c r="C2320" s="23">
        <v>2101</v>
      </c>
      <c r="D2320" s="23">
        <v>21</v>
      </c>
      <c r="F2320" s="23" t="s">
        <v>116</v>
      </c>
      <c r="G2320" s="23">
        <v>312</v>
      </c>
      <c r="H2320" s="23" t="s">
        <v>4969</v>
      </c>
      <c r="I2320" s="23">
        <v>0</v>
      </c>
      <c r="J2320" s="40">
        <v>0</v>
      </c>
      <c r="K2320" s="40">
        <v>0</v>
      </c>
      <c r="L2320" s="40" t="s">
        <v>115</v>
      </c>
      <c r="O2320" s="40" t="s">
        <v>115</v>
      </c>
      <c r="Q2320" s="40">
        <v>137</v>
      </c>
      <c r="R2320" s="40">
        <v>161</v>
      </c>
      <c r="X2320" s="40">
        <v>90210122</v>
      </c>
      <c r="Y2320" s="40" t="s">
        <v>115</v>
      </c>
      <c r="Z2320" s="40" t="s">
        <v>115</v>
      </c>
      <c r="AA2320" s="40" t="s">
        <v>115</v>
      </c>
      <c r="AB2320" s="40" t="s">
        <v>115</v>
      </c>
      <c r="AC2320" s="40" t="s">
        <v>115</v>
      </c>
      <c r="AI2320" s="40" t="s">
        <v>115</v>
      </c>
      <c r="AP2320" s="4" t="s">
        <v>115</v>
      </c>
    </row>
    <row r="2321" spans="1:42" x14ac:dyDescent="0.15">
      <c r="A2321" s="40" t="s">
        <v>1</v>
      </c>
      <c r="B2321" s="23">
        <v>90210122</v>
      </c>
      <c r="C2321" s="23">
        <v>2101</v>
      </c>
      <c r="D2321" s="23">
        <v>21</v>
      </c>
      <c r="F2321" s="23" t="s">
        <v>116</v>
      </c>
      <c r="G2321" s="23">
        <v>312</v>
      </c>
      <c r="H2321" s="23" t="s">
        <v>4970</v>
      </c>
      <c r="I2321" s="23">
        <v>0</v>
      </c>
      <c r="J2321" s="40">
        <v>0</v>
      </c>
      <c r="K2321" s="40">
        <v>0</v>
      </c>
      <c r="L2321" s="40" t="s">
        <v>115</v>
      </c>
      <c r="O2321" s="40" t="s">
        <v>115</v>
      </c>
      <c r="Q2321" s="40">
        <v>137</v>
      </c>
      <c r="R2321" s="40">
        <v>161</v>
      </c>
      <c r="X2321" s="40">
        <v>90210123</v>
      </c>
      <c r="Y2321" s="40" t="s">
        <v>115</v>
      </c>
      <c r="Z2321" s="40" t="s">
        <v>115</v>
      </c>
      <c r="AA2321" s="40" t="s">
        <v>115</v>
      </c>
      <c r="AB2321" s="40" t="s">
        <v>115</v>
      </c>
      <c r="AC2321" s="40" t="s">
        <v>115</v>
      </c>
      <c r="AI2321" s="40" t="s">
        <v>115</v>
      </c>
      <c r="AP2321" s="4" t="s">
        <v>115</v>
      </c>
    </row>
    <row r="2322" spans="1:42" x14ac:dyDescent="0.15">
      <c r="A2322" s="40" t="s">
        <v>1</v>
      </c>
      <c r="B2322" s="23">
        <v>90210123</v>
      </c>
      <c r="C2322" s="23">
        <v>2101</v>
      </c>
      <c r="D2322" s="23">
        <v>21</v>
      </c>
      <c r="F2322" s="23" t="s">
        <v>115</v>
      </c>
      <c r="G2322" s="23" t="s">
        <v>115</v>
      </c>
      <c r="H2322" s="23" t="s">
        <v>4971</v>
      </c>
      <c r="I2322" s="23">
        <v>4</v>
      </c>
      <c r="J2322" s="40">
        <v>0</v>
      </c>
      <c r="K2322" s="40">
        <v>0</v>
      </c>
      <c r="L2322" s="40" t="s">
        <v>115</v>
      </c>
      <c r="O2322" s="40" t="s">
        <v>115</v>
      </c>
      <c r="Q2322" s="40">
        <v>137</v>
      </c>
      <c r="R2322" s="40">
        <v>161</v>
      </c>
      <c r="X2322" s="40">
        <v>90210124</v>
      </c>
      <c r="Y2322" s="40" t="s">
        <v>115</v>
      </c>
      <c r="Z2322" s="40" t="s">
        <v>115</v>
      </c>
      <c r="AA2322" s="40" t="s">
        <v>115</v>
      </c>
      <c r="AB2322" s="40" t="s">
        <v>115</v>
      </c>
      <c r="AC2322" s="40" t="s">
        <v>115</v>
      </c>
      <c r="AI2322" s="40" t="s">
        <v>115</v>
      </c>
      <c r="AP2322" s="4" t="s">
        <v>115</v>
      </c>
    </row>
    <row r="2323" spans="1:42" x14ac:dyDescent="0.15">
      <c r="A2323" s="40" t="s">
        <v>1</v>
      </c>
      <c r="B2323" s="23">
        <v>90210124</v>
      </c>
      <c r="C2323" s="23">
        <v>2101</v>
      </c>
      <c r="D2323" s="23">
        <v>21</v>
      </c>
      <c r="F2323" s="23" t="s">
        <v>503</v>
      </c>
      <c r="G2323" s="23" t="s">
        <v>115</v>
      </c>
      <c r="H2323" s="23" t="s">
        <v>4972</v>
      </c>
      <c r="I2323" s="23">
        <v>3</v>
      </c>
      <c r="J2323" s="40">
        <v>0</v>
      </c>
      <c r="K2323" s="40">
        <v>0</v>
      </c>
      <c r="L2323" s="40" t="s">
        <v>115</v>
      </c>
      <c r="O2323" s="40" t="s">
        <v>115</v>
      </c>
      <c r="Q2323" s="40">
        <v>137</v>
      </c>
      <c r="R2323" s="40">
        <v>161</v>
      </c>
      <c r="X2323" s="40">
        <v>90210125</v>
      </c>
      <c r="Y2323" s="40" t="s">
        <v>115</v>
      </c>
      <c r="Z2323" s="40" t="s">
        <v>115</v>
      </c>
      <c r="AA2323" s="40" t="s">
        <v>115</v>
      </c>
      <c r="AB2323" s="40" t="s">
        <v>115</v>
      </c>
      <c r="AC2323" s="40" t="s">
        <v>115</v>
      </c>
      <c r="AI2323" s="40" t="s">
        <v>115</v>
      </c>
      <c r="AP2323" s="4" t="s">
        <v>115</v>
      </c>
    </row>
    <row r="2324" spans="1:42" x14ac:dyDescent="0.15">
      <c r="A2324" s="40" t="s">
        <v>1</v>
      </c>
      <c r="B2324" s="23">
        <v>90210125</v>
      </c>
      <c r="C2324" s="23">
        <v>2101</v>
      </c>
      <c r="D2324" s="23">
        <v>21</v>
      </c>
      <c r="F2324" s="23" t="s">
        <v>116</v>
      </c>
      <c r="G2324" s="23">
        <v>312</v>
      </c>
      <c r="H2324" s="23" t="s">
        <v>4973</v>
      </c>
      <c r="I2324" s="23">
        <v>0</v>
      </c>
      <c r="J2324" s="40">
        <v>0</v>
      </c>
      <c r="K2324" s="40">
        <v>0</v>
      </c>
      <c r="L2324" s="40" t="s">
        <v>115</v>
      </c>
      <c r="O2324" s="40" t="s">
        <v>115</v>
      </c>
      <c r="Q2324" s="40">
        <v>137</v>
      </c>
      <c r="R2324" s="40">
        <v>161</v>
      </c>
      <c r="X2324" s="40">
        <v>90210126</v>
      </c>
      <c r="Y2324" s="40" t="s">
        <v>115</v>
      </c>
      <c r="Z2324" s="40" t="s">
        <v>115</v>
      </c>
      <c r="AA2324" s="40" t="s">
        <v>115</v>
      </c>
      <c r="AB2324" s="40" t="s">
        <v>115</v>
      </c>
      <c r="AC2324" s="40" t="s">
        <v>115</v>
      </c>
      <c r="AI2324" s="40" t="s">
        <v>115</v>
      </c>
      <c r="AP2324" s="4" t="s">
        <v>115</v>
      </c>
    </row>
    <row r="2325" spans="1:42" x14ac:dyDescent="0.15">
      <c r="A2325" s="40" t="s">
        <v>1</v>
      </c>
      <c r="B2325" s="23">
        <v>90210126</v>
      </c>
      <c r="C2325" s="23">
        <v>2101</v>
      </c>
      <c r="D2325" s="23">
        <v>21</v>
      </c>
      <c r="F2325" s="23" t="s">
        <v>115</v>
      </c>
      <c r="G2325" s="23" t="s">
        <v>115</v>
      </c>
      <c r="H2325" s="23" t="s">
        <v>4974</v>
      </c>
      <c r="I2325" s="23">
        <v>4</v>
      </c>
      <c r="J2325" s="40">
        <v>0</v>
      </c>
      <c r="K2325" s="40">
        <v>3</v>
      </c>
      <c r="L2325" s="40" t="s">
        <v>115</v>
      </c>
      <c r="O2325" s="40">
        <v>1</v>
      </c>
      <c r="Q2325" s="40">
        <v>137</v>
      </c>
      <c r="R2325" s="40">
        <v>161</v>
      </c>
      <c r="X2325" s="40" t="s">
        <v>115</v>
      </c>
      <c r="Y2325" s="40" t="s">
        <v>115</v>
      </c>
      <c r="Z2325" s="40">
        <v>2</v>
      </c>
      <c r="AA2325" s="40" t="s">
        <v>115</v>
      </c>
      <c r="AB2325" s="40" t="s">
        <v>115</v>
      </c>
      <c r="AC2325" s="40" t="s">
        <v>115</v>
      </c>
      <c r="AI2325" s="40" t="s">
        <v>115</v>
      </c>
      <c r="AP2325" s="4" t="s">
        <v>4975</v>
      </c>
    </row>
    <row r="2326" spans="1:42" x14ac:dyDescent="0.15">
      <c r="A2326" s="40" t="s">
        <v>1</v>
      </c>
      <c r="B2326" s="23" t="s">
        <v>4826</v>
      </c>
      <c r="C2326" s="23">
        <v>2102</v>
      </c>
      <c r="D2326" s="23">
        <v>21</v>
      </c>
      <c r="F2326" s="23" t="s">
        <v>115</v>
      </c>
      <c r="G2326" s="23" t="s">
        <v>115</v>
      </c>
      <c r="H2326" s="23" t="s">
        <v>4976</v>
      </c>
      <c r="I2326" s="23">
        <v>4</v>
      </c>
      <c r="J2326" s="40">
        <v>1</v>
      </c>
      <c r="K2326" s="40">
        <v>1</v>
      </c>
      <c r="L2326" s="40" t="s">
        <v>115</v>
      </c>
      <c r="O2326" s="40" t="s">
        <v>115</v>
      </c>
      <c r="Q2326" s="40">
        <v>135</v>
      </c>
      <c r="R2326" s="40" t="s">
        <v>115</v>
      </c>
      <c r="X2326" s="40">
        <v>90210202</v>
      </c>
      <c r="Y2326" s="40" t="s">
        <v>115</v>
      </c>
      <c r="Z2326" s="40" t="s">
        <v>115</v>
      </c>
      <c r="AA2326" s="40" t="s">
        <v>115</v>
      </c>
      <c r="AB2326" s="40" t="s">
        <v>115</v>
      </c>
      <c r="AC2326" s="40" t="s">
        <v>115</v>
      </c>
      <c r="AI2326" s="40" t="s">
        <v>115</v>
      </c>
      <c r="AP2326" s="4" t="s">
        <v>115</v>
      </c>
    </row>
    <row r="2327" spans="1:42" x14ac:dyDescent="0.15">
      <c r="A2327" s="40" t="s">
        <v>1</v>
      </c>
      <c r="B2327" s="23">
        <v>90210202</v>
      </c>
      <c r="C2327" s="23">
        <v>2102</v>
      </c>
      <c r="D2327" s="23">
        <v>21</v>
      </c>
      <c r="F2327" s="23" t="s">
        <v>115</v>
      </c>
      <c r="G2327" s="23" t="s">
        <v>115</v>
      </c>
      <c r="H2327" s="23" t="s">
        <v>4977</v>
      </c>
      <c r="I2327" s="23">
        <v>4</v>
      </c>
      <c r="J2327" s="40">
        <v>0</v>
      </c>
      <c r="K2327" s="40">
        <v>2</v>
      </c>
      <c r="L2327" s="40" t="s">
        <v>115</v>
      </c>
      <c r="O2327" s="40" t="s">
        <v>115</v>
      </c>
      <c r="Q2327" s="40">
        <v>135</v>
      </c>
      <c r="R2327" s="40" t="s">
        <v>115</v>
      </c>
      <c r="X2327" s="40" t="s">
        <v>4978</v>
      </c>
      <c r="Y2327" s="40">
        <v>1</v>
      </c>
      <c r="Z2327" s="40">
        <v>1</v>
      </c>
      <c r="AA2327" s="40" t="s">
        <v>115</v>
      </c>
      <c r="AB2327" s="40" t="s">
        <v>115</v>
      </c>
      <c r="AC2327" s="40" t="s">
        <v>115</v>
      </c>
      <c r="AI2327" s="40" t="s">
        <v>115</v>
      </c>
      <c r="AP2327" s="4" t="s">
        <v>115</v>
      </c>
    </row>
    <row r="2328" spans="1:42" x14ac:dyDescent="0.15">
      <c r="A2328" s="40" t="s">
        <v>1</v>
      </c>
      <c r="B2328" s="23">
        <v>90210203</v>
      </c>
      <c r="C2328" s="23">
        <v>2102</v>
      </c>
      <c r="D2328" s="23">
        <v>21</v>
      </c>
      <c r="F2328" s="23" t="s">
        <v>115</v>
      </c>
      <c r="G2328" s="23" t="s">
        <v>115</v>
      </c>
      <c r="H2328" s="23" t="s">
        <v>4979</v>
      </c>
      <c r="I2328" s="23">
        <v>4</v>
      </c>
      <c r="J2328" s="40">
        <v>0</v>
      </c>
      <c r="K2328" s="40">
        <v>3</v>
      </c>
      <c r="L2328" s="40" t="s">
        <v>115</v>
      </c>
      <c r="O2328" s="40" t="s">
        <v>115</v>
      </c>
      <c r="Q2328" s="40">
        <v>135</v>
      </c>
      <c r="R2328" s="40" t="s">
        <v>115</v>
      </c>
      <c r="X2328" s="40">
        <v>90210205</v>
      </c>
      <c r="Y2328" s="40">
        <v>-1</v>
      </c>
      <c r="Z2328" s="40">
        <v>2</v>
      </c>
      <c r="AA2328" s="40" t="s">
        <v>115</v>
      </c>
      <c r="AB2328" s="40" t="s">
        <v>115</v>
      </c>
      <c r="AC2328" s="40" t="s">
        <v>115</v>
      </c>
      <c r="AI2328" s="40" t="s">
        <v>115</v>
      </c>
      <c r="AP2328" s="4" t="s">
        <v>115</v>
      </c>
    </row>
    <row r="2329" spans="1:42" x14ac:dyDescent="0.15">
      <c r="A2329" s="40" t="s">
        <v>1</v>
      </c>
      <c r="B2329" s="23">
        <v>90210204</v>
      </c>
      <c r="C2329" s="23">
        <v>2102</v>
      </c>
      <c r="D2329" s="23">
        <v>21</v>
      </c>
      <c r="F2329" s="23" t="s">
        <v>115</v>
      </c>
      <c r="G2329" s="23" t="s">
        <v>115</v>
      </c>
      <c r="H2329" s="23" t="s">
        <v>4980</v>
      </c>
      <c r="I2329" s="23">
        <v>4</v>
      </c>
      <c r="J2329" s="40">
        <v>0</v>
      </c>
      <c r="K2329" s="40">
        <v>4</v>
      </c>
      <c r="L2329" s="40" t="s">
        <v>115</v>
      </c>
      <c r="O2329" s="40" t="s">
        <v>115</v>
      </c>
      <c r="Q2329" s="40">
        <v>135</v>
      </c>
      <c r="R2329" s="40" t="s">
        <v>115</v>
      </c>
      <c r="X2329" s="40">
        <v>90210212</v>
      </c>
      <c r="Y2329" s="40">
        <v>-1</v>
      </c>
      <c r="Z2329" s="40">
        <v>2</v>
      </c>
      <c r="AA2329" s="40" t="s">
        <v>115</v>
      </c>
      <c r="AB2329" s="40" t="s">
        <v>115</v>
      </c>
      <c r="AC2329" s="40" t="s">
        <v>4981</v>
      </c>
      <c r="AI2329" s="40" t="s">
        <v>115</v>
      </c>
      <c r="AP2329" s="4" t="s">
        <v>115</v>
      </c>
    </row>
    <row r="2330" spans="1:42" x14ac:dyDescent="0.15">
      <c r="A2330" s="40" t="s">
        <v>1</v>
      </c>
      <c r="B2330" s="23">
        <v>90210205</v>
      </c>
      <c r="C2330" s="23">
        <v>2102</v>
      </c>
      <c r="D2330" s="23">
        <v>21</v>
      </c>
      <c r="F2330" s="23" t="s">
        <v>115</v>
      </c>
      <c r="G2330" s="23" t="s">
        <v>115</v>
      </c>
      <c r="H2330" s="23" t="s">
        <v>4982</v>
      </c>
      <c r="I2330" s="23">
        <v>4</v>
      </c>
      <c r="J2330" s="40">
        <v>0</v>
      </c>
      <c r="K2330" s="40">
        <v>0</v>
      </c>
      <c r="L2330" s="40" t="s">
        <v>115</v>
      </c>
      <c r="O2330" s="40" t="s">
        <v>115</v>
      </c>
      <c r="Q2330" s="40">
        <v>135</v>
      </c>
      <c r="R2330" s="40" t="s">
        <v>115</v>
      </c>
      <c r="X2330" s="40">
        <v>90210206</v>
      </c>
      <c r="Y2330" s="40" t="s">
        <v>115</v>
      </c>
      <c r="Z2330" s="40" t="s">
        <v>115</v>
      </c>
      <c r="AA2330" s="40" t="s">
        <v>115</v>
      </c>
      <c r="AB2330" s="40" t="s">
        <v>115</v>
      </c>
      <c r="AC2330" s="40" t="s">
        <v>115</v>
      </c>
      <c r="AI2330" s="40" t="s">
        <v>115</v>
      </c>
      <c r="AP2330" s="4" t="s">
        <v>115</v>
      </c>
    </row>
    <row r="2331" spans="1:42" x14ac:dyDescent="0.15">
      <c r="A2331" s="40" t="s">
        <v>1</v>
      </c>
      <c r="B2331" s="23">
        <v>90210206</v>
      </c>
      <c r="C2331" s="23">
        <v>2102</v>
      </c>
      <c r="D2331" s="23">
        <v>21</v>
      </c>
      <c r="F2331" s="23" t="s">
        <v>4983</v>
      </c>
      <c r="G2331" s="23" t="s">
        <v>115</v>
      </c>
      <c r="H2331" s="23" t="s">
        <v>4984</v>
      </c>
      <c r="I2331" s="23">
        <v>3</v>
      </c>
      <c r="J2331" s="40">
        <v>0</v>
      </c>
      <c r="K2331" s="40">
        <v>0</v>
      </c>
      <c r="L2331" s="40" t="s">
        <v>115</v>
      </c>
      <c r="O2331" s="40" t="s">
        <v>115</v>
      </c>
      <c r="Q2331" s="40">
        <v>135</v>
      </c>
      <c r="R2331" s="40">
        <v>159</v>
      </c>
      <c r="X2331" s="40">
        <v>90210207</v>
      </c>
      <c r="Y2331" s="40" t="s">
        <v>115</v>
      </c>
      <c r="Z2331" s="40" t="s">
        <v>115</v>
      </c>
      <c r="AA2331" s="40" t="s">
        <v>115</v>
      </c>
      <c r="AB2331" s="40" t="s">
        <v>115</v>
      </c>
      <c r="AC2331" s="40" t="s">
        <v>115</v>
      </c>
      <c r="AI2331" s="40" t="s">
        <v>115</v>
      </c>
      <c r="AP2331" s="4" t="s">
        <v>115</v>
      </c>
    </row>
    <row r="2332" spans="1:42" x14ac:dyDescent="0.15">
      <c r="A2332" s="40" t="s">
        <v>1</v>
      </c>
      <c r="B2332" s="23">
        <v>90210207</v>
      </c>
      <c r="C2332" s="23">
        <v>2102</v>
      </c>
      <c r="D2332" s="23">
        <v>21</v>
      </c>
      <c r="F2332" s="23" t="s">
        <v>4983</v>
      </c>
      <c r="G2332" s="23" t="s">
        <v>115</v>
      </c>
      <c r="H2332" s="23" t="s">
        <v>4985</v>
      </c>
      <c r="I2332" s="23">
        <v>3</v>
      </c>
      <c r="J2332" s="40">
        <v>0</v>
      </c>
      <c r="K2332" s="40">
        <v>0</v>
      </c>
      <c r="L2332" s="40" t="s">
        <v>115</v>
      </c>
      <c r="O2332" s="40" t="s">
        <v>115</v>
      </c>
      <c r="Q2332" s="40">
        <v>135</v>
      </c>
      <c r="R2332" s="40">
        <v>159</v>
      </c>
      <c r="X2332" s="40">
        <v>90210208</v>
      </c>
      <c r="Y2332" s="40" t="s">
        <v>115</v>
      </c>
      <c r="Z2332" s="40" t="s">
        <v>115</v>
      </c>
      <c r="AA2332" s="40" t="s">
        <v>115</v>
      </c>
      <c r="AB2332" s="40" t="s">
        <v>115</v>
      </c>
      <c r="AC2332" s="40" t="s">
        <v>115</v>
      </c>
      <c r="AI2332" s="40" t="s">
        <v>115</v>
      </c>
      <c r="AP2332" s="4" t="s">
        <v>115</v>
      </c>
    </row>
    <row r="2333" spans="1:42" x14ac:dyDescent="0.15">
      <c r="A2333" s="40" t="s">
        <v>1</v>
      </c>
      <c r="B2333" s="23">
        <v>90210208</v>
      </c>
      <c r="C2333" s="23">
        <v>2102</v>
      </c>
      <c r="D2333" s="23">
        <v>21</v>
      </c>
      <c r="F2333" s="23" t="s">
        <v>4983</v>
      </c>
      <c r="G2333" s="23" t="s">
        <v>115</v>
      </c>
      <c r="H2333" s="23" t="s">
        <v>4986</v>
      </c>
      <c r="I2333" s="23">
        <v>3</v>
      </c>
      <c r="J2333" s="40">
        <v>0</v>
      </c>
      <c r="K2333" s="40">
        <v>0</v>
      </c>
      <c r="L2333" s="40" t="s">
        <v>115</v>
      </c>
      <c r="O2333" s="40" t="s">
        <v>115</v>
      </c>
      <c r="Q2333" s="40">
        <v>135</v>
      </c>
      <c r="R2333" s="40">
        <v>159</v>
      </c>
      <c r="X2333" s="40">
        <v>90210209</v>
      </c>
      <c r="Y2333" s="40" t="s">
        <v>115</v>
      </c>
      <c r="Z2333" s="40" t="s">
        <v>115</v>
      </c>
      <c r="AA2333" s="40" t="s">
        <v>115</v>
      </c>
      <c r="AB2333" s="40" t="s">
        <v>115</v>
      </c>
      <c r="AC2333" s="40" t="s">
        <v>115</v>
      </c>
      <c r="AI2333" s="40" t="s">
        <v>115</v>
      </c>
      <c r="AP2333" s="4" t="s">
        <v>115</v>
      </c>
    </row>
    <row r="2334" spans="1:42" x14ac:dyDescent="0.15">
      <c r="A2334" s="40" t="s">
        <v>1</v>
      </c>
      <c r="B2334" s="23">
        <v>90210209</v>
      </c>
      <c r="C2334" s="23">
        <v>2102</v>
      </c>
      <c r="D2334" s="23">
        <v>21</v>
      </c>
      <c r="F2334" s="23" t="s">
        <v>115</v>
      </c>
      <c r="G2334" s="23" t="s">
        <v>115</v>
      </c>
      <c r="H2334" s="23" t="s">
        <v>4987</v>
      </c>
      <c r="I2334" s="23">
        <v>4</v>
      </c>
      <c r="J2334" s="40">
        <v>0</v>
      </c>
      <c r="K2334" s="40">
        <v>0</v>
      </c>
      <c r="L2334" s="40" t="s">
        <v>115</v>
      </c>
      <c r="O2334" s="40" t="s">
        <v>115</v>
      </c>
      <c r="Q2334" s="40">
        <v>135</v>
      </c>
      <c r="R2334" s="40">
        <v>159</v>
      </c>
      <c r="X2334" s="40">
        <v>90210210</v>
      </c>
      <c r="Y2334" s="40" t="s">
        <v>115</v>
      </c>
      <c r="Z2334" s="40" t="s">
        <v>115</v>
      </c>
      <c r="AA2334" s="40" t="s">
        <v>115</v>
      </c>
      <c r="AB2334" s="40" t="s">
        <v>115</v>
      </c>
      <c r="AC2334" s="40" t="s">
        <v>115</v>
      </c>
      <c r="AI2334" s="40" t="s">
        <v>115</v>
      </c>
      <c r="AP2334" s="4" t="s">
        <v>115</v>
      </c>
    </row>
    <row r="2335" spans="1:42" x14ac:dyDescent="0.15">
      <c r="A2335" s="40" t="s">
        <v>1</v>
      </c>
      <c r="B2335" s="23">
        <v>90210210</v>
      </c>
      <c r="C2335" s="23">
        <v>2102</v>
      </c>
      <c r="D2335" s="23">
        <v>21</v>
      </c>
      <c r="F2335" s="23" t="s">
        <v>116</v>
      </c>
      <c r="G2335" s="23">
        <v>314</v>
      </c>
      <c r="H2335" s="23" t="s">
        <v>4988</v>
      </c>
      <c r="I2335" s="23">
        <v>2</v>
      </c>
      <c r="J2335" s="40">
        <v>0</v>
      </c>
      <c r="K2335" s="40">
        <v>0</v>
      </c>
      <c r="L2335" s="40" t="s">
        <v>115</v>
      </c>
      <c r="O2335" s="40" t="s">
        <v>115</v>
      </c>
      <c r="Q2335" s="40">
        <v>135</v>
      </c>
      <c r="R2335" s="40">
        <v>159</v>
      </c>
      <c r="X2335" s="40">
        <v>90210211</v>
      </c>
      <c r="Y2335" s="40" t="s">
        <v>115</v>
      </c>
      <c r="Z2335" s="40" t="s">
        <v>115</v>
      </c>
      <c r="AA2335" s="40" t="s">
        <v>115</v>
      </c>
      <c r="AB2335" s="40" t="s">
        <v>115</v>
      </c>
      <c r="AC2335" s="40" t="s">
        <v>115</v>
      </c>
      <c r="AI2335" s="40" t="s">
        <v>115</v>
      </c>
      <c r="AP2335" s="4" t="s">
        <v>115</v>
      </c>
    </row>
    <row r="2336" spans="1:42" x14ac:dyDescent="0.15">
      <c r="A2336" s="40" t="s">
        <v>1</v>
      </c>
      <c r="B2336" s="23">
        <v>90210211</v>
      </c>
      <c r="C2336" s="23">
        <v>2102</v>
      </c>
      <c r="D2336" s="23">
        <v>21</v>
      </c>
      <c r="F2336" s="23" t="s">
        <v>116</v>
      </c>
      <c r="G2336" s="23">
        <v>314</v>
      </c>
      <c r="H2336" s="23" t="s">
        <v>4989</v>
      </c>
      <c r="I2336" s="23">
        <v>2</v>
      </c>
      <c r="J2336" s="40">
        <v>0</v>
      </c>
      <c r="K2336" s="40">
        <v>0</v>
      </c>
      <c r="L2336" s="40" t="s">
        <v>115</v>
      </c>
      <c r="O2336" s="40" t="s">
        <v>115</v>
      </c>
      <c r="Q2336" s="40">
        <v>135</v>
      </c>
      <c r="R2336" s="40" t="s">
        <v>115</v>
      </c>
      <c r="X2336" s="40">
        <v>90210202</v>
      </c>
      <c r="Y2336" s="40" t="s">
        <v>115</v>
      </c>
      <c r="Z2336" s="40" t="s">
        <v>115</v>
      </c>
      <c r="AA2336" s="40" t="s">
        <v>115</v>
      </c>
      <c r="AB2336" s="40" t="s">
        <v>115</v>
      </c>
      <c r="AC2336" s="40" t="s">
        <v>115</v>
      </c>
      <c r="AI2336" s="40" t="s">
        <v>115</v>
      </c>
      <c r="AP2336" s="4" t="s">
        <v>115</v>
      </c>
    </row>
    <row r="2337" spans="1:42" x14ac:dyDescent="0.15">
      <c r="A2337" s="40" t="s">
        <v>1</v>
      </c>
      <c r="B2337" s="23">
        <v>90210212</v>
      </c>
      <c r="C2337" s="23">
        <v>2102</v>
      </c>
      <c r="D2337" s="23">
        <v>21</v>
      </c>
      <c r="F2337" s="23" t="s">
        <v>115</v>
      </c>
      <c r="G2337" s="23" t="s">
        <v>115</v>
      </c>
      <c r="H2337" s="23" t="s">
        <v>4990</v>
      </c>
      <c r="I2337" s="23">
        <v>4</v>
      </c>
      <c r="J2337" s="40">
        <v>0</v>
      </c>
      <c r="K2337" s="40">
        <v>0</v>
      </c>
      <c r="L2337" s="40" t="s">
        <v>115</v>
      </c>
      <c r="O2337" s="40" t="s">
        <v>115</v>
      </c>
      <c r="Q2337" s="40">
        <v>135</v>
      </c>
      <c r="R2337" s="40">
        <v>229</v>
      </c>
      <c r="X2337" s="40">
        <v>90210213</v>
      </c>
      <c r="Y2337" s="40" t="s">
        <v>115</v>
      </c>
      <c r="Z2337" s="40" t="s">
        <v>115</v>
      </c>
      <c r="AA2337" s="40" t="s">
        <v>115</v>
      </c>
      <c r="AB2337" s="40" t="s">
        <v>115</v>
      </c>
      <c r="AC2337" s="40" t="s">
        <v>115</v>
      </c>
      <c r="AI2337" s="40" t="s">
        <v>115</v>
      </c>
      <c r="AP2337" s="4" t="s">
        <v>115</v>
      </c>
    </row>
    <row r="2338" spans="1:42" x14ac:dyDescent="0.15">
      <c r="A2338" s="40" t="s">
        <v>1</v>
      </c>
      <c r="B2338" s="23">
        <v>90210213</v>
      </c>
      <c r="C2338" s="23">
        <v>2102</v>
      </c>
      <c r="D2338" s="23">
        <v>21</v>
      </c>
      <c r="F2338" s="23" t="s">
        <v>4991</v>
      </c>
      <c r="G2338" s="23" t="s">
        <v>115</v>
      </c>
      <c r="H2338" s="23" t="s">
        <v>4992</v>
      </c>
      <c r="I2338" s="23">
        <v>3</v>
      </c>
      <c r="J2338" s="40">
        <v>0</v>
      </c>
      <c r="K2338" s="40">
        <v>0</v>
      </c>
      <c r="L2338" s="40" t="s">
        <v>115</v>
      </c>
      <c r="O2338" s="40" t="s">
        <v>115</v>
      </c>
      <c r="Q2338" s="40">
        <v>135</v>
      </c>
      <c r="R2338" s="40">
        <v>229</v>
      </c>
      <c r="X2338" s="40">
        <v>90210214</v>
      </c>
      <c r="Y2338" s="40" t="s">
        <v>115</v>
      </c>
      <c r="Z2338" s="40" t="s">
        <v>115</v>
      </c>
      <c r="AA2338" s="40" t="s">
        <v>115</v>
      </c>
      <c r="AB2338" s="40" t="s">
        <v>115</v>
      </c>
      <c r="AC2338" s="40" t="s">
        <v>115</v>
      </c>
      <c r="AI2338" s="40" t="s">
        <v>115</v>
      </c>
      <c r="AP2338" s="4" t="s">
        <v>115</v>
      </c>
    </row>
    <row r="2339" spans="1:42" x14ac:dyDescent="0.15">
      <c r="A2339" s="40" t="s">
        <v>1</v>
      </c>
      <c r="B2339" s="23">
        <v>90210214</v>
      </c>
      <c r="C2339" s="23">
        <v>2102</v>
      </c>
      <c r="D2339" s="23">
        <v>21</v>
      </c>
      <c r="F2339" s="23" t="s">
        <v>4991</v>
      </c>
      <c r="G2339" s="23" t="s">
        <v>115</v>
      </c>
      <c r="H2339" s="23" t="s">
        <v>4993</v>
      </c>
      <c r="I2339" s="23">
        <v>3</v>
      </c>
      <c r="J2339" s="40">
        <v>0</v>
      </c>
      <c r="K2339" s="40">
        <v>0</v>
      </c>
      <c r="L2339" s="40" t="s">
        <v>115</v>
      </c>
      <c r="O2339" s="40" t="s">
        <v>115</v>
      </c>
      <c r="Q2339" s="40">
        <v>135</v>
      </c>
      <c r="R2339" s="40">
        <v>229</v>
      </c>
      <c r="X2339" s="40">
        <v>90210215</v>
      </c>
      <c r="Y2339" s="40" t="s">
        <v>115</v>
      </c>
      <c r="Z2339" s="40" t="s">
        <v>115</v>
      </c>
      <c r="AA2339" s="40" t="s">
        <v>115</v>
      </c>
      <c r="AB2339" s="40" t="s">
        <v>115</v>
      </c>
      <c r="AC2339" s="40" t="s">
        <v>115</v>
      </c>
      <c r="AI2339" s="40" t="s">
        <v>115</v>
      </c>
      <c r="AP2339" s="4" t="s">
        <v>115</v>
      </c>
    </row>
    <row r="2340" spans="1:42" x14ac:dyDescent="0.15">
      <c r="A2340" s="40" t="s">
        <v>1</v>
      </c>
      <c r="B2340" s="23">
        <v>90210215</v>
      </c>
      <c r="C2340" s="23">
        <v>2102</v>
      </c>
      <c r="D2340" s="23">
        <v>21</v>
      </c>
      <c r="F2340" s="23" t="s">
        <v>116</v>
      </c>
      <c r="G2340" s="23">
        <v>312</v>
      </c>
      <c r="H2340" s="23" t="s">
        <v>4994</v>
      </c>
      <c r="I2340" s="23">
        <v>0</v>
      </c>
      <c r="J2340" s="40">
        <v>0</v>
      </c>
      <c r="K2340" s="40">
        <v>0</v>
      </c>
      <c r="L2340" s="40" t="s">
        <v>115</v>
      </c>
      <c r="O2340" s="40" t="s">
        <v>115</v>
      </c>
      <c r="Q2340" s="40">
        <v>135</v>
      </c>
      <c r="R2340" s="40">
        <v>229</v>
      </c>
      <c r="X2340" s="40">
        <v>90210216</v>
      </c>
      <c r="Y2340" s="40" t="s">
        <v>115</v>
      </c>
      <c r="Z2340" s="40" t="s">
        <v>115</v>
      </c>
      <c r="AA2340" s="40" t="s">
        <v>115</v>
      </c>
      <c r="AB2340" s="40" t="s">
        <v>115</v>
      </c>
      <c r="AC2340" s="40" t="s">
        <v>115</v>
      </c>
      <c r="AI2340" s="40" t="s">
        <v>115</v>
      </c>
      <c r="AP2340" s="4" t="s">
        <v>115</v>
      </c>
    </row>
    <row r="2341" spans="1:42" x14ac:dyDescent="0.15">
      <c r="A2341" s="40" t="s">
        <v>1</v>
      </c>
      <c r="B2341" s="23">
        <v>90210216</v>
      </c>
      <c r="C2341" s="23">
        <v>2102</v>
      </c>
      <c r="D2341" s="23">
        <v>21</v>
      </c>
      <c r="F2341" s="23" t="s">
        <v>4991</v>
      </c>
      <c r="G2341" s="23" t="s">
        <v>115</v>
      </c>
      <c r="H2341" s="23" t="s">
        <v>4995</v>
      </c>
      <c r="I2341" s="23">
        <v>3</v>
      </c>
      <c r="J2341" s="40">
        <v>0</v>
      </c>
      <c r="K2341" s="40">
        <v>0</v>
      </c>
      <c r="L2341" s="40" t="s">
        <v>115</v>
      </c>
      <c r="O2341" s="40" t="s">
        <v>115</v>
      </c>
      <c r="Q2341" s="40">
        <v>135</v>
      </c>
      <c r="R2341" s="40">
        <v>229</v>
      </c>
      <c r="X2341" s="40">
        <v>90210217</v>
      </c>
      <c r="Y2341" s="40" t="s">
        <v>115</v>
      </c>
      <c r="Z2341" s="40" t="s">
        <v>115</v>
      </c>
      <c r="AA2341" s="40" t="s">
        <v>115</v>
      </c>
      <c r="AB2341" s="40" t="s">
        <v>115</v>
      </c>
      <c r="AC2341" s="40" t="s">
        <v>115</v>
      </c>
      <c r="AI2341" s="40" t="s">
        <v>115</v>
      </c>
      <c r="AP2341" s="4" t="s">
        <v>115</v>
      </c>
    </row>
    <row r="2342" spans="1:42" x14ac:dyDescent="0.15">
      <c r="A2342" s="40" t="s">
        <v>1</v>
      </c>
      <c r="B2342" s="23">
        <v>90210217</v>
      </c>
      <c r="C2342" s="23">
        <v>2102</v>
      </c>
      <c r="D2342" s="23">
        <v>21</v>
      </c>
      <c r="F2342" s="23" t="s">
        <v>116</v>
      </c>
      <c r="G2342" s="23">
        <v>312</v>
      </c>
      <c r="H2342" s="23" t="s">
        <v>7151</v>
      </c>
      <c r="I2342" s="23">
        <v>0</v>
      </c>
      <c r="J2342" s="40">
        <v>0</v>
      </c>
      <c r="K2342" s="40">
        <v>0</v>
      </c>
      <c r="L2342" s="40" t="s">
        <v>115</v>
      </c>
      <c r="O2342" s="40" t="s">
        <v>115</v>
      </c>
      <c r="Q2342" s="40">
        <v>135</v>
      </c>
      <c r="R2342" s="40">
        <v>229</v>
      </c>
      <c r="X2342" s="40">
        <v>90210218</v>
      </c>
      <c r="Y2342" s="40" t="s">
        <v>115</v>
      </c>
      <c r="Z2342" s="40" t="s">
        <v>115</v>
      </c>
      <c r="AA2342" s="40" t="s">
        <v>115</v>
      </c>
      <c r="AB2342" s="40" t="s">
        <v>115</v>
      </c>
      <c r="AC2342" s="40" t="s">
        <v>115</v>
      </c>
      <c r="AI2342" s="40" t="s">
        <v>115</v>
      </c>
      <c r="AP2342" s="4" t="s">
        <v>115</v>
      </c>
    </row>
    <row r="2343" spans="1:42" x14ac:dyDescent="0.15">
      <c r="A2343" s="40" t="s">
        <v>1</v>
      </c>
      <c r="B2343" s="23">
        <v>90210218</v>
      </c>
      <c r="C2343" s="23">
        <v>2102</v>
      </c>
      <c r="D2343" s="23">
        <v>21</v>
      </c>
      <c r="F2343" s="23" t="s">
        <v>116</v>
      </c>
      <c r="G2343" s="23">
        <v>312</v>
      </c>
      <c r="H2343" s="23" t="s">
        <v>4996</v>
      </c>
      <c r="I2343" s="23">
        <v>0</v>
      </c>
      <c r="J2343" s="40">
        <v>0</v>
      </c>
      <c r="K2343" s="40">
        <v>0</v>
      </c>
      <c r="L2343" s="40" t="s">
        <v>115</v>
      </c>
      <c r="O2343" s="40" t="s">
        <v>115</v>
      </c>
      <c r="Q2343" s="40">
        <v>135</v>
      </c>
      <c r="R2343" s="40">
        <v>229</v>
      </c>
      <c r="X2343" s="40">
        <v>90210219</v>
      </c>
      <c r="Y2343" s="40" t="s">
        <v>115</v>
      </c>
      <c r="Z2343" s="40" t="s">
        <v>115</v>
      </c>
      <c r="AA2343" s="40" t="s">
        <v>115</v>
      </c>
      <c r="AB2343" s="40" t="s">
        <v>115</v>
      </c>
      <c r="AC2343" s="40" t="s">
        <v>115</v>
      </c>
      <c r="AI2343" s="40" t="s">
        <v>115</v>
      </c>
      <c r="AP2343" s="4" t="s">
        <v>115</v>
      </c>
    </row>
    <row r="2344" spans="1:42" x14ac:dyDescent="0.15">
      <c r="A2344" s="40" t="s">
        <v>1</v>
      </c>
      <c r="B2344" s="23">
        <v>90210219</v>
      </c>
      <c r="C2344" s="23">
        <v>2102</v>
      </c>
      <c r="D2344" s="23">
        <v>21</v>
      </c>
      <c r="F2344" s="23" t="s">
        <v>115</v>
      </c>
      <c r="G2344" s="23" t="s">
        <v>115</v>
      </c>
      <c r="H2344" s="23" t="s">
        <v>4997</v>
      </c>
      <c r="I2344" s="23">
        <v>4</v>
      </c>
      <c r="J2344" s="40">
        <v>0</v>
      </c>
      <c r="K2344" s="40">
        <v>0</v>
      </c>
      <c r="L2344" s="40" t="s">
        <v>115</v>
      </c>
      <c r="O2344" s="40" t="s">
        <v>115</v>
      </c>
      <c r="Q2344" s="40">
        <v>135</v>
      </c>
      <c r="R2344" s="40">
        <v>229</v>
      </c>
      <c r="X2344" s="40">
        <v>90210220</v>
      </c>
      <c r="Y2344" s="40" t="s">
        <v>115</v>
      </c>
      <c r="Z2344" s="40" t="s">
        <v>115</v>
      </c>
      <c r="AA2344" s="40" t="s">
        <v>115</v>
      </c>
      <c r="AB2344" s="40" t="s">
        <v>115</v>
      </c>
      <c r="AC2344" s="40" t="s">
        <v>115</v>
      </c>
      <c r="AI2344" s="40" t="s">
        <v>115</v>
      </c>
      <c r="AP2344" s="4" t="s">
        <v>115</v>
      </c>
    </row>
    <row r="2345" spans="1:42" x14ac:dyDescent="0.15">
      <c r="A2345" s="40" t="s">
        <v>1</v>
      </c>
      <c r="B2345" s="23">
        <v>90210220</v>
      </c>
      <c r="C2345" s="23">
        <v>2102</v>
      </c>
      <c r="D2345" s="23">
        <v>21</v>
      </c>
      <c r="F2345" s="23" t="s">
        <v>4991</v>
      </c>
      <c r="G2345" s="23" t="s">
        <v>115</v>
      </c>
      <c r="H2345" s="23" t="s">
        <v>4998</v>
      </c>
      <c r="I2345" s="23">
        <v>3</v>
      </c>
      <c r="J2345" s="40">
        <v>0</v>
      </c>
      <c r="K2345" s="40">
        <v>0</v>
      </c>
      <c r="L2345" s="40" t="s">
        <v>115</v>
      </c>
      <c r="O2345" s="40" t="s">
        <v>115</v>
      </c>
      <c r="Q2345" s="40">
        <v>135</v>
      </c>
      <c r="R2345" s="40">
        <v>229</v>
      </c>
      <c r="X2345" s="40">
        <v>90210221</v>
      </c>
      <c r="Y2345" s="40" t="s">
        <v>115</v>
      </c>
      <c r="Z2345" s="40" t="s">
        <v>115</v>
      </c>
      <c r="AA2345" s="40" t="s">
        <v>115</v>
      </c>
      <c r="AB2345" s="40" t="s">
        <v>115</v>
      </c>
      <c r="AC2345" s="40" t="s">
        <v>115</v>
      </c>
      <c r="AI2345" s="40" t="s">
        <v>115</v>
      </c>
      <c r="AP2345" s="4" t="s">
        <v>115</v>
      </c>
    </row>
    <row r="2346" spans="1:42" x14ac:dyDescent="0.15">
      <c r="A2346" s="40" t="s">
        <v>1</v>
      </c>
      <c r="B2346" s="23">
        <v>90210221</v>
      </c>
      <c r="C2346" s="23">
        <v>2102</v>
      </c>
      <c r="D2346" s="23">
        <v>21</v>
      </c>
      <c r="F2346" s="23" t="s">
        <v>4991</v>
      </c>
      <c r="G2346" s="23" t="s">
        <v>115</v>
      </c>
      <c r="H2346" s="23" t="s">
        <v>7152</v>
      </c>
      <c r="I2346" s="23">
        <v>3</v>
      </c>
      <c r="J2346" s="40">
        <v>0</v>
      </c>
      <c r="K2346" s="40">
        <v>0</v>
      </c>
      <c r="L2346" s="40" t="s">
        <v>115</v>
      </c>
      <c r="O2346" s="40" t="s">
        <v>115</v>
      </c>
      <c r="Q2346" s="40">
        <v>135</v>
      </c>
      <c r="R2346" s="40">
        <v>229</v>
      </c>
      <c r="X2346" s="40">
        <v>90210222</v>
      </c>
      <c r="Y2346" s="40" t="s">
        <v>115</v>
      </c>
      <c r="Z2346" s="40" t="s">
        <v>115</v>
      </c>
      <c r="AA2346" s="40" t="s">
        <v>115</v>
      </c>
      <c r="AB2346" s="40" t="s">
        <v>115</v>
      </c>
      <c r="AC2346" s="40" t="s">
        <v>115</v>
      </c>
      <c r="AI2346" s="40" t="s">
        <v>115</v>
      </c>
      <c r="AP2346" s="4" t="s">
        <v>115</v>
      </c>
    </row>
    <row r="2347" spans="1:42" x14ac:dyDescent="0.15">
      <c r="A2347" s="40" t="s">
        <v>1</v>
      </c>
      <c r="B2347" s="23">
        <v>90210222</v>
      </c>
      <c r="C2347" s="23">
        <v>2102</v>
      </c>
      <c r="D2347" s="23">
        <v>21</v>
      </c>
      <c r="F2347" s="23" t="s">
        <v>4991</v>
      </c>
      <c r="G2347" s="23" t="s">
        <v>115</v>
      </c>
      <c r="H2347" s="23" t="s">
        <v>4999</v>
      </c>
      <c r="I2347" s="23">
        <v>3</v>
      </c>
      <c r="J2347" s="40">
        <v>0</v>
      </c>
      <c r="K2347" s="40">
        <v>0</v>
      </c>
      <c r="L2347" s="40" t="s">
        <v>115</v>
      </c>
      <c r="O2347" s="40" t="s">
        <v>115</v>
      </c>
      <c r="Q2347" s="40">
        <v>135</v>
      </c>
      <c r="R2347" s="40">
        <v>229</v>
      </c>
      <c r="X2347" s="40">
        <v>90210223</v>
      </c>
      <c r="Y2347" s="40" t="s">
        <v>115</v>
      </c>
      <c r="Z2347" s="40" t="s">
        <v>115</v>
      </c>
      <c r="AA2347" s="40" t="s">
        <v>115</v>
      </c>
      <c r="AB2347" s="40" t="s">
        <v>115</v>
      </c>
      <c r="AC2347" s="40" t="s">
        <v>115</v>
      </c>
      <c r="AI2347" s="40" t="s">
        <v>115</v>
      </c>
      <c r="AP2347" s="4" t="s">
        <v>115</v>
      </c>
    </row>
    <row r="2348" spans="1:42" x14ac:dyDescent="0.15">
      <c r="A2348" s="40" t="s">
        <v>1</v>
      </c>
      <c r="B2348" s="23">
        <v>90210223</v>
      </c>
      <c r="C2348" s="23">
        <v>2102</v>
      </c>
      <c r="D2348" s="23">
        <v>21</v>
      </c>
      <c r="F2348" s="23" t="s">
        <v>116</v>
      </c>
      <c r="G2348" s="23">
        <v>312</v>
      </c>
      <c r="H2348" s="23" t="s">
        <v>5000</v>
      </c>
      <c r="I2348" s="23">
        <v>0</v>
      </c>
      <c r="J2348" s="40">
        <v>0</v>
      </c>
      <c r="K2348" s="40">
        <v>0</v>
      </c>
      <c r="L2348" s="40" t="s">
        <v>115</v>
      </c>
      <c r="O2348" s="40" t="s">
        <v>115</v>
      </c>
      <c r="Q2348" s="40">
        <v>135</v>
      </c>
      <c r="R2348" s="40">
        <v>229</v>
      </c>
      <c r="X2348" s="40">
        <v>90210224</v>
      </c>
      <c r="Y2348" s="40" t="s">
        <v>115</v>
      </c>
      <c r="Z2348" s="40" t="s">
        <v>115</v>
      </c>
      <c r="AA2348" s="40" t="s">
        <v>115</v>
      </c>
      <c r="AB2348" s="40" t="s">
        <v>115</v>
      </c>
      <c r="AC2348" s="40" t="s">
        <v>115</v>
      </c>
      <c r="AI2348" s="40" t="s">
        <v>115</v>
      </c>
      <c r="AP2348" s="4" t="s">
        <v>115</v>
      </c>
    </row>
    <row r="2349" spans="1:42" x14ac:dyDescent="0.15">
      <c r="A2349" s="40" t="s">
        <v>1</v>
      </c>
      <c r="B2349" s="23">
        <v>90210224</v>
      </c>
      <c r="C2349" s="23">
        <v>2102</v>
      </c>
      <c r="D2349" s="23">
        <v>21</v>
      </c>
      <c r="F2349" s="23" t="s">
        <v>4991</v>
      </c>
      <c r="G2349" s="23" t="s">
        <v>115</v>
      </c>
      <c r="H2349" s="23" t="s">
        <v>5001</v>
      </c>
      <c r="I2349" s="23">
        <v>3</v>
      </c>
      <c r="J2349" s="40">
        <v>0</v>
      </c>
      <c r="K2349" s="40">
        <v>0</v>
      </c>
      <c r="L2349" s="40" t="s">
        <v>115</v>
      </c>
      <c r="O2349" s="40" t="s">
        <v>115</v>
      </c>
      <c r="Q2349" s="40">
        <v>135</v>
      </c>
      <c r="R2349" s="40">
        <v>229</v>
      </c>
      <c r="X2349" s="40">
        <v>90210225</v>
      </c>
      <c r="Y2349" s="40" t="s">
        <v>115</v>
      </c>
      <c r="Z2349" s="40" t="s">
        <v>115</v>
      </c>
      <c r="AA2349" s="40" t="s">
        <v>115</v>
      </c>
      <c r="AB2349" s="40" t="s">
        <v>115</v>
      </c>
      <c r="AC2349" s="40" t="s">
        <v>115</v>
      </c>
      <c r="AI2349" s="40" t="s">
        <v>115</v>
      </c>
      <c r="AP2349" s="4" t="s">
        <v>115</v>
      </c>
    </row>
    <row r="2350" spans="1:42" x14ac:dyDescent="0.15">
      <c r="A2350" s="40" t="s">
        <v>1</v>
      </c>
      <c r="B2350" s="23">
        <v>90210225</v>
      </c>
      <c r="C2350" s="23">
        <v>2102</v>
      </c>
      <c r="D2350" s="23">
        <v>21</v>
      </c>
      <c r="F2350" s="23" t="s">
        <v>116</v>
      </c>
      <c r="G2350" s="23">
        <v>312</v>
      </c>
      <c r="H2350" s="23" t="s">
        <v>5002</v>
      </c>
      <c r="I2350" s="23">
        <v>0</v>
      </c>
      <c r="J2350" s="40">
        <v>0</v>
      </c>
      <c r="K2350" s="40">
        <v>0</v>
      </c>
      <c r="L2350" s="40" t="s">
        <v>115</v>
      </c>
      <c r="O2350" s="40" t="s">
        <v>115</v>
      </c>
      <c r="Q2350" s="40">
        <v>135</v>
      </c>
      <c r="R2350" s="40">
        <v>229</v>
      </c>
      <c r="X2350" s="40">
        <v>90210226</v>
      </c>
      <c r="Y2350" s="40" t="s">
        <v>115</v>
      </c>
      <c r="Z2350" s="40" t="s">
        <v>115</v>
      </c>
      <c r="AA2350" s="40" t="s">
        <v>115</v>
      </c>
      <c r="AB2350" s="40" t="s">
        <v>115</v>
      </c>
      <c r="AC2350" s="40" t="s">
        <v>115</v>
      </c>
      <c r="AI2350" s="40" t="s">
        <v>115</v>
      </c>
      <c r="AP2350" s="4" t="s">
        <v>115</v>
      </c>
    </row>
    <row r="2351" spans="1:42" x14ac:dyDescent="0.15">
      <c r="A2351" s="40" t="s">
        <v>1</v>
      </c>
      <c r="B2351" s="23">
        <v>90210226</v>
      </c>
      <c r="C2351" s="23">
        <v>2102</v>
      </c>
      <c r="D2351" s="23">
        <v>21</v>
      </c>
      <c r="F2351" s="23" t="s">
        <v>4991</v>
      </c>
      <c r="G2351" s="23" t="s">
        <v>115</v>
      </c>
      <c r="H2351" s="23" t="s">
        <v>5003</v>
      </c>
      <c r="I2351" s="23">
        <v>3</v>
      </c>
      <c r="J2351" s="40">
        <v>0</v>
      </c>
      <c r="K2351" s="40">
        <v>0</v>
      </c>
      <c r="L2351" s="40" t="s">
        <v>115</v>
      </c>
      <c r="O2351" s="40" t="s">
        <v>115</v>
      </c>
      <c r="Q2351" s="40">
        <v>135</v>
      </c>
      <c r="R2351" s="40">
        <v>229</v>
      </c>
      <c r="X2351" s="40">
        <v>90210227</v>
      </c>
      <c r="Y2351" s="40" t="s">
        <v>115</v>
      </c>
      <c r="Z2351" s="40" t="s">
        <v>115</v>
      </c>
      <c r="AA2351" s="40" t="s">
        <v>115</v>
      </c>
      <c r="AB2351" s="40" t="s">
        <v>115</v>
      </c>
      <c r="AC2351" s="40" t="s">
        <v>115</v>
      </c>
      <c r="AI2351" s="40" t="s">
        <v>115</v>
      </c>
      <c r="AP2351" s="4" t="s">
        <v>115</v>
      </c>
    </row>
    <row r="2352" spans="1:42" x14ac:dyDescent="0.15">
      <c r="A2352" s="40" t="s">
        <v>1</v>
      </c>
      <c r="B2352" s="23">
        <v>90210227</v>
      </c>
      <c r="C2352" s="23">
        <v>2102</v>
      </c>
      <c r="D2352" s="23">
        <v>21</v>
      </c>
      <c r="F2352" s="23" t="s">
        <v>116</v>
      </c>
      <c r="G2352" s="23">
        <v>312</v>
      </c>
      <c r="H2352" s="23" t="s">
        <v>5004</v>
      </c>
      <c r="I2352" s="23">
        <v>0</v>
      </c>
      <c r="J2352" s="40">
        <v>0</v>
      </c>
      <c r="K2352" s="40">
        <v>0</v>
      </c>
      <c r="L2352" s="40" t="s">
        <v>115</v>
      </c>
      <c r="O2352" s="40" t="s">
        <v>115</v>
      </c>
      <c r="Q2352" s="40">
        <v>135</v>
      </c>
      <c r="R2352" s="40">
        <v>229</v>
      </c>
      <c r="X2352" s="40">
        <v>90210228</v>
      </c>
      <c r="Y2352" s="40" t="s">
        <v>115</v>
      </c>
      <c r="Z2352" s="40" t="s">
        <v>115</v>
      </c>
      <c r="AA2352" s="40" t="s">
        <v>115</v>
      </c>
      <c r="AB2352" s="40" t="s">
        <v>115</v>
      </c>
      <c r="AC2352" s="40" t="s">
        <v>115</v>
      </c>
      <c r="AI2352" s="40" t="s">
        <v>115</v>
      </c>
      <c r="AP2352" s="4" t="s">
        <v>115</v>
      </c>
    </row>
    <row r="2353" spans="1:42" x14ac:dyDescent="0.15">
      <c r="A2353" s="40" t="s">
        <v>1</v>
      </c>
      <c r="B2353" s="23">
        <v>90210228</v>
      </c>
      <c r="C2353" s="23">
        <v>2102</v>
      </c>
      <c r="D2353" s="23">
        <v>21</v>
      </c>
      <c r="F2353" s="23" t="s">
        <v>4991</v>
      </c>
      <c r="G2353" s="23" t="s">
        <v>115</v>
      </c>
      <c r="H2353" s="23" t="s">
        <v>5005</v>
      </c>
      <c r="I2353" s="23">
        <v>3</v>
      </c>
      <c r="J2353" s="40">
        <v>0</v>
      </c>
      <c r="K2353" s="40">
        <v>0</v>
      </c>
      <c r="L2353" s="40" t="s">
        <v>115</v>
      </c>
      <c r="O2353" s="40" t="s">
        <v>115</v>
      </c>
      <c r="Q2353" s="40">
        <v>135</v>
      </c>
      <c r="R2353" s="40">
        <v>229</v>
      </c>
      <c r="X2353" s="40">
        <v>90210229</v>
      </c>
      <c r="Y2353" s="40" t="s">
        <v>115</v>
      </c>
      <c r="Z2353" s="40" t="s">
        <v>115</v>
      </c>
      <c r="AA2353" s="40" t="s">
        <v>115</v>
      </c>
      <c r="AB2353" s="40" t="s">
        <v>115</v>
      </c>
      <c r="AC2353" s="40" t="s">
        <v>115</v>
      </c>
      <c r="AI2353" s="40" t="s">
        <v>115</v>
      </c>
      <c r="AP2353" s="4" t="s">
        <v>115</v>
      </c>
    </row>
    <row r="2354" spans="1:42" x14ac:dyDescent="0.15">
      <c r="A2354" s="40" t="s">
        <v>1</v>
      </c>
      <c r="B2354" s="23">
        <v>90210229</v>
      </c>
      <c r="C2354" s="23">
        <v>2102</v>
      </c>
      <c r="D2354" s="23">
        <v>21</v>
      </c>
      <c r="F2354" s="23" t="s">
        <v>116</v>
      </c>
      <c r="G2354" s="23">
        <v>312</v>
      </c>
      <c r="H2354" s="23" t="s">
        <v>5006</v>
      </c>
      <c r="I2354" s="23">
        <v>0</v>
      </c>
      <c r="J2354" s="40">
        <v>0</v>
      </c>
      <c r="K2354" s="40">
        <v>0</v>
      </c>
      <c r="L2354" s="40" t="s">
        <v>115</v>
      </c>
      <c r="O2354" s="40" t="s">
        <v>115</v>
      </c>
      <c r="Q2354" s="40">
        <v>135</v>
      </c>
      <c r="R2354" s="40">
        <v>229</v>
      </c>
      <c r="X2354" s="40">
        <v>90210230</v>
      </c>
      <c r="Y2354" s="40" t="s">
        <v>115</v>
      </c>
      <c r="Z2354" s="40" t="s">
        <v>115</v>
      </c>
      <c r="AA2354" s="40" t="s">
        <v>115</v>
      </c>
      <c r="AB2354" s="40" t="s">
        <v>115</v>
      </c>
      <c r="AC2354" s="40" t="s">
        <v>115</v>
      </c>
      <c r="AI2354" s="40" t="s">
        <v>115</v>
      </c>
      <c r="AP2354" s="4" t="s">
        <v>115</v>
      </c>
    </row>
    <row r="2355" spans="1:42" x14ac:dyDescent="0.15">
      <c r="A2355" s="40" t="s">
        <v>1</v>
      </c>
      <c r="B2355" s="23">
        <v>90210230</v>
      </c>
      <c r="C2355" s="23">
        <v>2102</v>
      </c>
      <c r="D2355" s="23">
        <v>21</v>
      </c>
      <c r="F2355" s="23" t="s">
        <v>4991</v>
      </c>
      <c r="G2355" s="23" t="s">
        <v>115</v>
      </c>
      <c r="H2355" s="23" t="s">
        <v>5007</v>
      </c>
      <c r="I2355" s="23">
        <v>3</v>
      </c>
      <c r="J2355" s="40">
        <v>0</v>
      </c>
      <c r="K2355" s="40">
        <v>0</v>
      </c>
      <c r="L2355" s="40" t="s">
        <v>115</v>
      </c>
      <c r="O2355" s="40" t="s">
        <v>115</v>
      </c>
      <c r="Q2355" s="40">
        <v>135</v>
      </c>
      <c r="R2355" s="40">
        <v>229</v>
      </c>
      <c r="X2355" s="40">
        <v>90210231</v>
      </c>
      <c r="Y2355" s="40" t="s">
        <v>115</v>
      </c>
      <c r="Z2355" s="40" t="s">
        <v>115</v>
      </c>
      <c r="AA2355" s="40" t="s">
        <v>115</v>
      </c>
      <c r="AB2355" s="40" t="s">
        <v>115</v>
      </c>
      <c r="AC2355" s="40" t="s">
        <v>115</v>
      </c>
      <c r="AI2355" s="40" t="s">
        <v>115</v>
      </c>
      <c r="AP2355" s="4" t="s">
        <v>115</v>
      </c>
    </row>
    <row r="2356" spans="1:42" x14ac:dyDescent="0.15">
      <c r="A2356" s="40" t="s">
        <v>1</v>
      </c>
      <c r="B2356" s="23">
        <v>90210231</v>
      </c>
      <c r="C2356" s="23">
        <v>2102</v>
      </c>
      <c r="D2356" s="23">
        <v>21</v>
      </c>
      <c r="F2356" s="23" t="s">
        <v>116</v>
      </c>
      <c r="G2356" s="23">
        <v>312</v>
      </c>
      <c r="H2356" s="23" t="s">
        <v>5008</v>
      </c>
      <c r="I2356" s="23">
        <v>0</v>
      </c>
      <c r="J2356" s="40">
        <v>0</v>
      </c>
      <c r="K2356" s="40">
        <v>0</v>
      </c>
      <c r="L2356" s="40" t="s">
        <v>115</v>
      </c>
      <c r="O2356" s="40" t="s">
        <v>115</v>
      </c>
      <c r="Q2356" s="40">
        <v>135</v>
      </c>
      <c r="R2356" s="40">
        <v>229</v>
      </c>
      <c r="X2356" s="40">
        <v>90210232</v>
      </c>
      <c r="Y2356" s="40" t="s">
        <v>115</v>
      </c>
      <c r="Z2356" s="40" t="s">
        <v>115</v>
      </c>
      <c r="AA2356" s="40" t="s">
        <v>115</v>
      </c>
      <c r="AB2356" s="40" t="s">
        <v>115</v>
      </c>
      <c r="AC2356" s="40" t="s">
        <v>115</v>
      </c>
      <c r="AI2356" s="40" t="s">
        <v>115</v>
      </c>
      <c r="AP2356" s="4" t="s">
        <v>115</v>
      </c>
    </row>
    <row r="2357" spans="1:42" x14ac:dyDescent="0.15">
      <c r="A2357" s="40" t="s">
        <v>1</v>
      </c>
      <c r="B2357" s="23">
        <v>90210232</v>
      </c>
      <c r="C2357" s="23">
        <v>2102</v>
      </c>
      <c r="D2357" s="23">
        <v>21</v>
      </c>
      <c r="F2357" s="23" t="s">
        <v>116</v>
      </c>
      <c r="G2357" s="23">
        <v>312</v>
      </c>
      <c r="H2357" s="23" t="s">
        <v>5009</v>
      </c>
      <c r="I2357" s="23">
        <v>0</v>
      </c>
      <c r="J2357" s="40">
        <v>0</v>
      </c>
      <c r="K2357" s="40">
        <v>0</v>
      </c>
      <c r="L2357" s="40" t="s">
        <v>115</v>
      </c>
      <c r="O2357" s="40" t="s">
        <v>115</v>
      </c>
      <c r="Q2357" s="40">
        <v>135</v>
      </c>
      <c r="R2357" s="40">
        <v>229</v>
      </c>
      <c r="X2357" s="40">
        <v>90210233</v>
      </c>
      <c r="Y2357" s="40" t="s">
        <v>115</v>
      </c>
      <c r="Z2357" s="40" t="s">
        <v>115</v>
      </c>
      <c r="AA2357" s="40" t="s">
        <v>115</v>
      </c>
      <c r="AB2357" s="40" t="s">
        <v>115</v>
      </c>
      <c r="AC2357" s="40" t="s">
        <v>115</v>
      </c>
      <c r="AI2357" s="40" t="s">
        <v>115</v>
      </c>
      <c r="AP2357" s="4" t="s">
        <v>115</v>
      </c>
    </row>
    <row r="2358" spans="1:42" x14ac:dyDescent="0.15">
      <c r="A2358" s="40" t="s">
        <v>1</v>
      </c>
      <c r="B2358" s="23">
        <v>90210233</v>
      </c>
      <c r="C2358" s="23">
        <v>2102</v>
      </c>
      <c r="D2358" s="23">
        <v>21</v>
      </c>
      <c r="F2358" s="23" t="s">
        <v>4991</v>
      </c>
      <c r="G2358" s="23" t="s">
        <v>115</v>
      </c>
      <c r="H2358" s="23" t="s">
        <v>5010</v>
      </c>
      <c r="I2358" s="23">
        <v>3</v>
      </c>
      <c r="J2358" s="40">
        <v>0</v>
      </c>
      <c r="K2358" s="40">
        <v>0</v>
      </c>
      <c r="L2358" s="40" t="s">
        <v>115</v>
      </c>
      <c r="O2358" s="40" t="s">
        <v>115</v>
      </c>
      <c r="Q2358" s="40">
        <v>135</v>
      </c>
      <c r="R2358" s="40">
        <v>229</v>
      </c>
      <c r="X2358" s="40">
        <v>90210234</v>
      </c>
      <c r="Y2358" s="40" t="s">
        <v>115</v>
      </c>
      <c r="Z2358" s="40" t="s">
        <v>115</v>
      </c>
      <c r="AA2358" s="40" t="s">
        <v>115</v>
      </c>
      <c r="AB2358" s="40" t="s">
        <v>115</v>
      </c>
      <c r="AC2358" s="40" t="s">
        <v>115</v>
      </c>
      <c r="AI2358" s="40" t="s">
        <v>115</v>
      </c>
      <c r="AP2358" s="4" t="s">
        <v>115</v>
      </c>
    </row>
    <row r="2359" spans="1:42" x14ac:dyDescent="0.15">
      <c r="A2359" s="40" t="s">
        <v>1</v>
      </c>
      <c r="B2359" s="23">
        <v>90210234</v>
      </c>
      <c r="C2359" s="23">
        <v>2102</v>
      </c>
      <c r="D2359" s="23">
        <v>21</v>
      </c>
      <c r="F2359" s="23" t="s">
        <v>116</v>
      </c>
      <c r="G2359" s="23">
        <v>312</v>
      </c>
      <c r="H2359" s="23" t="s">
        <v>5011</v>
      </c>
      <c r="I2359" s="23">
        <v>0</v>
      </c>
      <c r="J2359" s="40">
        <v>0</v>
      </c>
      <c r="K2359" s="40">
        <v>0</v>
      </c>
      <c r="L2359" s="40" t="s">
        <v>115</v>
      </c>
      <c r="O2359" s="40" t="s">
        <v>115</v>
      </c>
      <c r="Q2359" s="40">
        <v>135</v>
      </c>
      <c r="R2359" s="40">
        <v>229</v>
      </c>
      <c r="X2359" s="40">
        <v>90210235</v>
      </c>
      <c r="Y2359" s="40" t="s">
        <v>115</v>
      </c>
      <c r="Z2359" s="40" t="s">
        <v>115</v>
      </c>
      <c r="AA2359" s="40" t="s">
        <v>115</v>
      </c>
      <c r="AB2359" s="40" t="s">
        <v>115</v>
      </c>
      <c r="AC2359" s="40" t="s">
        <v>115</v>
      </c>
      <c r="AI2359" s="40" t="s">
        <v>115</v>
      </c>
      <c r="AP2359" s="4" t="s">
        <v>115</v>
      </c>
    </row>
    <row r="2360" spans="1:42" x14ac:dyDescent="0.15">
      <c r="A2360" s="40" t="s">
        <v>1</v>
      </c>
      <c r="B2360" s="23">
        <v>90210235</v>
      </c>
      <c r="C2360" s="23">
        <v>2102</v>
      </c>
      <c r="D2360" s="23">
        <v>21</v>
      </c>
      <c r="F2360" s="23" t="s">
        <v>115</v>
      </c>
      <c r="G2360" s="23" t="s">
        <v>115</v>
      </c>
      <c r="H2360" s="23" t="s">
        <v>5012</v>
      </c>
      <c r="I2360" s="23">
        <v>4</v>
      </c>
      <c r="J2360" s="40">
        <v>0</v>
      </c>
      <c r="K2360" s="40">
        <v>5</v>
      </c>
      <c r="L2360" s="40" t="s">
        <v>115</v>
      </c>
      <c r="O2360" s="40">
        <v>1</v>
      </c>
      <c r="Q2360" s="40">
        <v>135</v>
      </c>
      <c r="R2360" s="40">
        <v>229</v>
      </c>
      <c r="X2360" s="40" t="s">
        <v>115</v>
      </c>
      <c r="Y2360" s="40" t="s">
        <v>115</v>
      </c>
      <c r="Z2360" s="40">
        <v>4</v>
      </c>
      <c r="AA2360" s="40" t="s">
        <v>115</v>
      </c>
      <c r="AB2360" s="40" t="s">
        <v>115</v>
      </c>
      <c r="AC2360" s="40" t="s">
        <v>115</v>
      </c>
      <c r="AI2360" s="40" t="s">
        <v>115</v>
      </c>
      <c r="AP2360" s="4" t="s">
        <v>7305</v>
      </c>
    </row>
    <row r="2361" spans="1:42" x14ac:dyDescent="0.15">
      <c r="A2361" s="40" t="s">
        <v>1</v>
      </c>
      <c r="B2361" s="23" t="s">
        <v>4827</v>
      </c>
      <c r="C2361" s="23">
        <v>2103</v>
      </c>
      <c r="D2361" s="23">
        <v>21</v>
      </c>
      <c r="F2361" s="23" t="s">
        <v>115</v>
      </c>
      <c r="G2361" s="23" t="s">
        <v>115</v>
      </c>
      <c r="H2361" s="23" t="s">
        <v>5013</v>
      </c>
      <c r="I2361" s="23">
        <v>4</v>
      </c>
      <c r="J2361" s="40">
        <v>1</v>
      </c>
      <c r="K2361" s="40">
        <v>1</v>
      </c>
      <c r="L2361" s="40" t="s">
        <v>115</v>
      </c>
      <c r="O2361" s="40" t="s">
        <v>115</v>
      </c>
      <c r="Q2361" s="40">
        <v>205</v>
      </c>
      <c r="R2361" s="40" t="s">
        <v>115</v>
      </c>
      <c r="X2361" s="40">
        <v>90210302</v>
      </c>
      <c r="Y2361" s="40" t="s">
        <v>115</v>
      </c>
      <c r="Z2361" s="40" t="s">
        <v>115</v>
      </c>
      <c r="AA2361" s="40" t="s">
        <v>115</v>
      </c>
      <c r="AB2361" s="40" t="s">
        <v>115</v>
      </c>
      <c r="AC2361" s="40" t="s">
        <v>115</v>
      </c>
      <c r="AI2361" s="40" t="s">
        <v>115</v>
      </c>
      <c r="AP2361" s="4" t="s">
        <v>115</v>
      </c>
    </row>
    <row r="2362" spans="1:42" x14ac:dyDescent="0.15">
      <c r="A2362" s="40" t="s">
        <v>1</v>
      </c>
      <c r="B2362" s="23">
        <v>90210302</v>
      </c>
      <c r="C2362" s="23">
        <v>2103</v>
      </c>
      <c r="D2362" s="23">
        <v>21</v>
      </c>
      <c r="F2362" s="23" t="s">
        <v>115</v>
      </c>
      <c r="G2362" s="23" t="s">
        <v>115</v>
      </c>
      <c r="H2362" s="23" t="s">
        <v>5014</v>
      </c>
      <c r="I2362" s="23">
        <v>4</v>
      </c>
      <c r="J2362" s="40">
        <v>0</v>
      </c>
      <c r="K2362" s="40">
        <v>2</v>
      </c>
      <c r="L2362" s="40" t="s">
        <v>115</v>
      </c>
      <c r="O2362" s="40" t="s">
        <v>115</v>
      </c>
      <c r="Q2362" s="40">
        <v>205</v>
      </c>
      <c r="R2362" s="40" t="s">
        <v>115</v>
      </c>
      <c r="X2362" s="40" t="s">
        <v>5015</v>
      </c>
      <c r="Y2362" s="40">
        <v>1</v>
      </c>
      <c r="Z2362" s="40">
        <v>1</v>
      </c>
      <c r="AA2362" s="40" t="s">
        <v>115</v>
      </c>
      <c r="AB2362" s="40" t="s">
        <v>115</v>
      </c>
      <c r="AC2362" s="40" t="s">
        <v>115</v>
      </c>
      <c r="AI2362" s="40" t="s">
        <v>115</v>
      </c>
      <c r="AP2362" s="4" t="s">
        <v>115</v>
      </c>
    </row>
    <row r="2363" spans="1:42" x14ac:dyDescent="0.15">
      <c r="A2363" s="40" t="s">
        <v>1</v>
      </c>
      <c r="B2363" s="23">
        <v>90210303</v>
      </c>
      <c r="C2363" s="23">
        <v>2103</v>
      </c>
      <c r="D2363" s="23">
        <v>21</v>
      </c>
      <c r="F2363" s="23" t="s">
        <v>115</v>
      </c>
      <c r="G2363" s="23" t="s">
        <v>115</v>
      </c>
      <c r="H2363" s="23" t="s">
        <v>5016</v>
      </c>
      <c r="I2363" s="23">
        <v>4</v>
      </c>
      <c r="J2363" s="40">
        <v>0</v>
      </c>
      <c r="K2363" s="40">
        <v>3</v>
      </c>
      <c r="L2363" s="40" t="s">
        <v>115</v>
      </c>
      <c r="O2363" s="40" t="s">
        <v>115</v>
      </c>
      <c r="Q2363" s="40">
        <v>205</v>
      </c>
      <c r="R2363" s="40" t="s">
        <v>115</v>
      </c>
      <c r="X2363" s="40">
        <v>90210304</v>
      </c>
      <c r="Y2363" s="40">
        <v>-1</v>
      </c>
      <c r="Z2363" s="40">
        <v>2</v>
      </c>
      <c r="AA2363" s="40" t="s">
        <v>115</v>
      </c>
      <c r="AB2363" s="40" t="s">
        <v>115</v>
      </c>
      <c r="AC2363" s="40" t="s">
        <v>5017</v>
      </c>
      <c r="AI2363" s="40" t="s">
        <v>115</v>
      </c>
      <c r="AP2363" s="4" t="s">
        <v>115</v>
      </c>
    </row>
    <row r="2364" spans="1:42" x14ac:dyDescent="0.15">
      <c r="A2364" s="40" t="s">
        <v>1</v>
      </c>
      <c r="B2364" s="23">
        <v>90210304</v>
      </c>
      <c r="C2364" s="23">
        <v>2103</v>
      </c>
      <c r="D2364" s="23">
        <v>21</v>
      </c>
      <c r="F2364" s="23" t="s">
        <v>115</v>
      </c>
      <c r="G2364" s="23" t="s">
        <v>115</v>
      </c>
      <c r="H2364" s="23" t="s">
        <v>5018</v>
      </c>
      <c r="I2364" s="23">
        <v>4</v>
      </c>
      <c r="J2364" s="40">
        <v>0</v>
      </c>
      <c r="K2364" s="40">
        <v>0</v>
      </c>
      <c r="L2364" s="40" t="s">
        <v>115</v>
      </c>
      <c r="O2364" s="40" t="s">
        <v>115</v>
      </c>
      <c r="Q2364" s="40">
        <v>205</v>
      </c>
      <c r="R2364" s="40">
        <v>285</v>
      </c>
      <c r="X2364" s="40">
        <v>90210305</v>
      </c>
      <c r="Y2364" s="40" t="s">
        <v>115</v>
      </c>
      <c r="Z2364" s="40" t="s">
        <v>115</v>
      </c>
      <c r="AA2364" s="40" t="s">
        <v>115</v>
      </c>
      <c r="AB2364" s="40" t="s">
        <v>115</v>
      </c>
      <c r="AC2364" s="40" t="s">
        <v>115</v>
      </c>
      <c r="AI2364" s="40" t="s">
        <v>115</v>
      </c>
      <c r="AP2364" s="4" t="s">
        <v>115</v>
      </c>
    </row>
    <row r="2365" spans="1:42" x14ac:dyDescent="0.15">
      <c r="A2365" s="40" t="s">
        <v>1</v>
      </c>
      <c r="B2365" s="23">
        <v>90210305</v>
      </c>
      <c r="C2365" s="23">
        <v>2103</v>
      </c>
      <c r="D2365" s="23">
        <v>21</v>
      </c>
      <c r="F2365" s="23" t="s">
        <v>5019</v>
      </c>
      <c r="G2365" s="23" t="s">
        <v>115</v>
      </c>
      <c r="H2365" s="23" t="s">
        <v>5020</v>
      </c>
      <c r="I2365" s="23">
        <v>3</v>
      </c>
      <c r="J2365" s="40">
        <v>0</v>
      </c>
      <c r="K2365" s="40">
        <v>0</v>
      </c>
      <c r="L2365" s="40" t="s">
        <v>115</v>
      </c>
      <c r="O2365" s="40" t="s">
        <v>115</v>
      </c>
      <c r="Q2365" s="40">
        <v>205</v>
      </c>
      <c r="R2365" s="40">
        <v>285</v>
      </c>
      <c r="X2365" s="40">
        <v>90210306</v>
      </c>
      <c r="Y2365" s="40" t="s">
        <v>115</v>
      </c>
      <c r="Z2365" s="40" t="s">
        <v>115</v>
      </c>
      <c r="AA2365" s="40" t="s">
        <v>115</v>
      </c>
      <c r="AB2365" s="40" t="s">
        <v>115</v>
      </c>
      <c r="AC2365" s="40" t="s">
        <v>115</v>
      </c>
      <c r="AI2365" s="40" t="s">
        <v>115</v>
      </c>
      <c r="AP2365" s="4" t="s">
        <v>115</v>
      </c>
    </row>
    <row r="2366" spans="1:42" x14ac:dyDescent="0.15">
      <c r="A2366" s="40" t="s">
        <v>1</v>
      </c>
      <c r="B2366" s="23">
        <v>90210306</v>
      </c>
      <c r="C2366" s="23">
        <v>2103</v>
      </c>
      <c r="D2366" s="23">
        <v>21</v>
      </c>
      <c r="F2366" s="23" t="s">
        <v>5019</v>
      </c>
      <c r="G2366" s="23" t="s">
        <v>115</v>
      </c>
      <c r="H2366" s="23" t="s">
        <v>7153</v>
      </c>
      <c r="I2366" s="23">
        <v>3</v>
      </c>
      <c r="J2366" s="40">
        <v>0</v>
      </c>
      <c r="K2366" s="40">
        <v>0</v>
      </c>
      <c r="L2366" s="40" t="s">
        <v>115</v>
      </c>
      <c r="O2366" s="40" t="s">
        <v>115</v>
      </c>
      <c r="Q2366" s="40">
        <v>205</v>
      </c>
      <c r="R2366" s="40">
        <v>285</v>
      </c>
      <c r="X2366" s="40">
        <v>90210307</v>
      </c>
      <c r="Y2366" s="40" t="s">
        <v>115</v>
      </c>
      <c r="Z2366" s="40" t="s">
        <v>115</v>
      </c>
      <c r="AA2366" s="40" t="s">
        <v>115</v>
      </c>
      <c r="AB2366" s="40" t="s">
        <v>115</v>
      </c>
      <c r="AC2366" s="40" t="s">
        <v>115</v>
      </c>
      <c r="AI2366" s="40" t="s">
        <v>115</v>
      </c>
      <c r="AP2366" s="4" t="s">
        <v>115</v>
      </c>
    </row>
    <row r="2367" spans="1:42" x14ac:dyDescent="0.15">
      <c r="A2367" s="40" t="s">
        <v>1</v>
      </c>
      <c r="B2367" s="23">
        <v>90210307</v>
      </c>
      <c r="C2367" s="23">
        <v>2103</v>
      </c>
      <c r="D2367" s="23">
        <v>21</v>
      </c>
      <c r="F2367" s="23" t="s">
        <v>5019</v>
      </c>
      <c r="G2367" s="23" t="s">
        <v>115</v>
      </c>
      <c r="H2367" s="23" t="s">
        <v>5021</v>
      </c>
      <c r="I2367" s="23">
        <v>3</v>
      </c>
      <c r="J2367" s="40">
        <v>0</v>
      </c>
      <c r="K2367" s="40">
        <v>0</v>
      </c>
      <c r="L2367" s="40" t="s">
        <v>115</v>
      </c>
      <c r="O2367" s="40" t="s">
        <v>115</v>
      </c>
      <c r="Q2367" s="40">
        <v>205</v>
      </c>
      <c r="R2367" s="40">
        <v>285</v>
      </c>
      <c r="X2367" s="40">
        <v>90210308</v>
      </c>
      <c r="Y2367" s="40" t="s">
        <v>115</v>
      </c>
      <c r="Z2367" s="40" t="s">
        <v>115</v>
      </c>
      <c r="AA2367" s="40" t="s">
        <v>115</v>
      </c>
      <c r="AB2367" s="40" t="s">
        <v>115</v>
      </c>
      <c r="AC2367" s="40" t="s">
        <v>115</v>
      </c>
      <c r="AI2367" s="40" t="s">
        <v>115</v>
      </c>
      <c r="AP2367" s="4" t="s">
        <v>115</v>
      </c>
    </row>
    <row r="2368" spans="1:42" x14ac:dyDescent="0.15">
      <c r="A2368" s="40" t="s">
        <v>1</v>
      </c>
      <c r="B2368" s="23">
        <v>90210308</v>
      </c>
      <c r="C2368" s="23">
        <v>2103</v>
      </c>
      <c r="D2368" s="23">
        <v>21</v>
      </c>
      <c r="F2368" s="23" t="s">
        <v>5019</v>
      </c>
      <c r="G2368" s="23" t="s">
        <v>115</v>
      </c>
      <c r="H2368" s="23" t="s">
        <v>7154</v>
      </c>
      <c r="I2368" s="23">
        <v>3</v>
      </c>
      <c r="J2368" s="40">
        <v>0</v>
      </c>
      <c r="K2368" s="40">
        <v>0</v>
      </c>
      <c r="L2368" s="40" t="s">
        <v>115</v>
      </c>
      <c r="O2368" s="40" t="s">
        <v>115</v>
      </c>
      <c r="Q2368" s="40">
        <v>205</v>
      </c>
      <c r="R2368" s="40">
        <v>285</v>
      </c>
      <c r="X2368" s="40">
        <v>90210309</v>
      </c>
      <c r="Y2368" s="40" t="s">
        <v>115</v>
      </c>
      <c r="Z2368" s="40" t="s">
        <v>115</v>
      </c>
      <c r="AA2368" s="40" t="s">
        <v>115</v>
      </c>
      <c r="AB2368" s="40" t="s">
        <v>115</v>
      </c>
      <c r="AC2368" s="40" t="s">
        <v>115</v>
      </c>
      <c r="AI2368" s="40" t="s">
        <v>115</v>
      </c>
      <c r="AP2368" s="4" t="s">
        <v>115</v>
      </c>
    </row>
    <row r="2369" spans="1:42" x14ac:dyDescent="0.15">
      <c r="A2369" s="40" t="s">
        <v>1</v>
      </c>
      <c r="B2369" s="23">
        <v>90210309</v>
      </c>
      <c r="C2369" s="23">
        <v>2103</v>
      </c>
      <c r="D2369" s="23">
        <v>21</v>
      </c>
      <c r="F2369" s="23" t="s">
        <v>5019</v>
      </c>
      <c r="G2369" s="23" t="s">
        <v>115</v>
      </c>
      <c r="H2369" s="23" t="s">
        <v>5022</v>
      </c>
      <c r="I2369" s="23">
        <v>3</v>
      </c>
      <c r="J2369" s="40">
        <v>0</v>
      </c>
      <c r="K2369" s="40">
        <v>4</v>
      </c>
      <c r="L2369" s="40" t="s">
        <v>5023</v>
      </c>
      <c r="O2369" s="40" t="s">
        <v>115</v>
      </c>
      <c r="Q2369" s="40">
        <v>205</v>
      </c>
      <c r="R2369" s="40">
        <v>285</v>
      </c>
      <c r="X2369" s="40">
        <v>90210310</v>
      </c>
      <c r="Y2369" s="40" t="s">
        <v>115</v>
      </c>
      <c r="Z2369" s="40">
        <v>3</v>
      </c>
      <c r="AA2369" s="40" t="s">
        <v>115</v>
      </c>
      <c r="AB2369" s="40" t="s">
        <v>115</v>
      </c>
      <c r="AC2369" s="40" t="s">
        <v>115</v>
      </c>
      <c r="AI2369" s="40" t="s">
        <v>115</v>
      </c>
      <c r="AP2369" s="4" t="s">
        <v>115</v>
      </c>
    </row>
    <row r="2370" spans="1:42" x14ac:dyDescent="0.15">
      <c r="A2370" s="40" t="s">
        <v>1</v>
      </c>
      <c r="B2370" s="23">
        <v>90210310</v>
      </c>
      <c r="C2370" s="23">
        <v>2103</v>
      </c>
      <c r="D2370" s="23">
        <v>21</v>
      </c>
      <c r="F2370" s="23" t="s">
        <v>116</v>
      </c>
      <c r="G2370" s="23">
        <v>312</v>
      </c>
      <c r="H2370" s="23" t="s">
        <v>5024</v>
      </c>
      <c r="I2370" s="23">
        <v>0</v>
      </c>
      <c r="J2370" s="40">
        <v>0</v>
      </c>
      <c r="K2370" s="40">
        <v>0</v>
      </c>
      <c r="L2370" s="40" t="s">
        <v>115</v>
      </c>
      <c r="O2370" s="40" t="s">
        <v>115</v>
      </c>
      <c r="Q2370" s="40">
        <v>205</v>
      </c>
      <c r="R2370" s="40">
        <v>285</v>
      </c>
      <c r="X2370" s="40">
        <v>90210311</v>
      </c>
      <c r="Y2370" s="40" t="s">
        <v>115</v>
      </c>
      <c r="Z2370" s="40" t="s">
        <v>115</v>
      </c>
      <c r="AA2370" s="40" t="s">
        <v>115</v>
      </c>
      <c r="AB2370" s="40" t="s">
        <v>115</v>
      </c>
      <c r="AC2370" s="40" t="s">
        <v>115</v>
      </c>
      <c r="AI2370" s="40" t="s">
        <v>115</v>
      </c>
      <c r="AP2370" s="4" t="s">
        <v>115</v>
      </c>
    </row>
    <row r="2371" spans="1:42" x14ac:dyDescent="0.15">
      <c r="A2371" s="40" t="s">
        <v>1</v>
      </c>
      <c r="B2371" s="23">
        <v>90210311</v>
      </c>
      <c r="C2371" s="23">
        <v>2103</v>
      </c>
      <c r="D2371" s="23">
        <v>21</v>
      </c>
      <c r="F2371" s="23" t="s">
        <v>5019</v>
      </c>
      <c r="G2371" s="23" t="s">
        <v>115</v>
      </c>
      <c r="H2371" s="23" t="s">
        <v>7155</v>
      </c>
      <c r="I2371" s="23">
        <v>3</v>
      </c>
      <c r="J2371" s="40">
        <v>0</v>
      </c>
      <c r="K2371" s="40">
        <v>5</v>
      </c>
      <c r="L2371" s="40" t="s">
        <v>115</v>
      </c>
      <c r="O2371" s="40">
        <v>1</v>
      </c>
      <c r="Q2371" s="40">
        <v>205</v>
      </c>
      <c r="R2371" s="40">
        <v>285</v>
      </c>
      <c r="X2371" s="40" t="s">
        <v>115</v>
      </c>
      <c r="Y2371" s="40" t="s">
        <v>115</v>
      </c>
      <c r="Z2371" s="40">
        <v>4</v>
      </c>
      <c r="AA2371" s="40" t="s">
        <v>115</v>
      </c>
      <c r="AB2371" s="40" t="s">
        <v>115</v>
      </c>
      <c r="AC2371" s="40" t="s">
        <v>115</v>
      </c>
      <c r="AI2371" s="40" t="s">
        <v>115</v>
      </c>
      <c r="AP2371" s="4" t="s">
        <v>5025</v>
      </c>
    </row>
    <row r="2372" spans="1:42" x14ac:dyDescent="0.15">
      <c r="A2372" s="40" t="s">
        <v>1</v>
      </c>
      <c r="B2372" s="23" t="s">
        <v>4829</v>
      </c>
      <c r="C2372" s="23">
        <v>2104</v>
      </c>
      <c r="D2372" s="23">
        <v>21</v>
      </c>
      <c r="F2372" s="23" t="s">
        <v>115</v>
      </c>
      <c r="G2372" s="23" t="s">
        <v>115</v>
      </c>
      <c r="H2372" s="23" t="s">
        <v>5026</v>
      </c>
      <c r="I2372" s="23">
        <v>4</v>
      </c>
      <c r="J2372" s="40">
        <v>1</v>
      </c>
      <c r="K2372" s="40">
        <v>1</v>
      </c>
      <c r="L2372" s="40" t="s">
        <v>115</v>
      </c>
      <c r="O2372" s="40" t="s">
        <v>115</v>
      </c>
      <c r="Q2372" s="40">
        <v>198</v>
      </c>
      <c r="R2372" s="40" t="s">
        <v>115</v>
      </c>
      <c r="X2372" s="40">
        <v>90210402</v>
      </c>
      <c r="Y2372" s="40" t="s">
        <v>115</v>
      </c>
      <c r="Z2372" s="40" t="s">
        <v>115</v>
      </c>
      <c r="AA2372" s="40" t="s">
        <v>115</v>
      </c>
      <c r="AB2372" s="40" t="s">
        <v>115</v>
      </c>
      <c r="AC2372" s="40" t="s">
        <v>115</v>
      </c>
      <c r="AI2372" s="40" t="s">
        <v>115</v>
      </c>
      <c r="AP2372" s="4" t="s">
        <v>115</v>
      </c>
    </row>
    <row r="2373" spans="1:42" x14ac:dyDescent="0.15">
      <c r="A2373" s="40" t="s">
        <v>1</v>
      </c>
      <c r="B2373" s="23">
        <v>90210402</v>
      </c>
      <c r="C2373" s="23">
        <v>2104</v>
      </c>
      <c r="D2373" s="23">
        <v>21</v>
      </c>
      <c r="F2373" s="23" t="s">
        <v>116</v>
      </c>
      <c r="G2373" s="23">
        <v>312</v>
      </c>
      <c r="H2373" s="23" t="s">
        <v>5027</v>
      </c>
      <c r="I2373" s="23">
        <v>0</v>
      </c>
      <c r="J2373" s="40">
        <v>0</v>
      </c>
      <c r="K2373" s="40">
        <v>0</v>
      </c>
      <c r="L2373" s="40" t="s">
        <v>115</v>
      </c>
      <c r="O2373" s="40" t="s">
        <v>115</v>
      </c>
      <c r="Q2373" s="40">
        <v>198</v>
      </c>
      <c r="R2373" s="40">
        <v>252</v>
      </c>
      <c r="X2373" s="40">
        <v>90210403</v>
      </c>
      <c r="Y2373" s="40" t="s">
        <v>115</v>
      </c>
      <c r="Z2373" s="40" t="s">
        <v>115</v>
      </c>
      <c r="AA2373" s="40" t="s">
        <v>115</v>
      </c>
      <c r="AB2373" s="40" t="s">
        <v>115</v>
      </c>
      <c r="AC2373" s="40" t="s">
        <v>115</v>
      </c>
      <c r="AI2373" s="40" t="s">
        <v>115</v>
      </c>
      <c r="AP2373" s="4" t="s">
        <v>115</v>
      </c>
    </row>
    <row r="2374" spans="1:42" x14ac:dyDescent="0.15">
      <c r="A2374" s="40" t="s">
        <v>1</v>
      </c>
      <c r="B2374" s="23">
        <v>90210403</v>
      </c>
      <c r="C2374" s="23">
        <v>2104</v>
      </c>
      <c r="D2374" s="23">
        <v>21</v>
      </c>
      <c r="F2374" s="23" t="s">
        <v>931</v>
      </c>
      <c r="G2374" s="23" t="s">
        <v>115</v>
      </c>
      <c r="H2374" s="23" t="s">
        <v>5028</v>
      </c>
      <c r="I2374" s="23">
        <v>3</v>
      </c>
      <c r="J2374" s="40">
        <v>0</v>
      </c>
      <c r="K2374" s="40">
        <v>0</v>
      </c>
      <c r="L2374" s="40" t="s">
        <v>115</v>
      </c>
      <c r="O2374" s="40" t="s">
        <v>115</v>
      </c>
      <c r="Q2374" s="40">
        <v>198</v>
      </c>
      <c r="R2374" s="40">
        <v>252</v>
      </c>
      <c r="X2374" s="40">
        <v>90210404</v>
      </c>
      <c r="Y2374" s="40" t="s">
        <v>115</v>
      </c>
      <c r="Z2374" s="40" t="s">
        <v>115</v>
      </c>
      <c r="AA2374" s="40" t="s">
        <v>115</v>
      </c>
      <c r="AB2374" s="40" t="s">
        <v>115</v>
      </c>
      <c r="AC2374" s="40" t="s">
        <v>115</v>
      </c>
      <c r="AI2374" s="40" t="s">
        <v>115</v>
      </c>
      <c r="AP2374" s="4" t="s">
        <v>115</v>
      </c>
    </row>
    <row r="2375" spans="1:42" x14ac:dyDescent="0.15">
      <c r="A2375" s="40" t="s">
        <v>1</v>
      </c>
      <c r="B2375" s="23">
        <v>90210404</v>
      </c>
      <c r="C2375" s="23">
        <v>2104</v>
      </c>
      <c r="D2375" s="23">
        <v>21</v>
      </c>
      <c r="F2375" s="23" t="s">
        <v>115</v>
      </c>
      <c r="G2375" s="23" t="s">
        <v>115</v>
      </c>
      <c r="H2375" s="23" t="s">
        <v>5029</v>
      </c>
      <c r="I2375" s="23">
        <v>4</v>
      </c>
      <c r="J2375" s="40">
        <v>0</v>
      </c>
      <c r="K2375" s="40">
        <v>2</v>
      </c>
      <c r="L2375" s="40" t="s">
        <v>115</v>
      </c>
      <c r="O2375" s="40" t="s">
        <v>115</v>
      </c>
      <c r="Q2375" s="40">
        <v>198</v>
      </c>
      <c r="R2375" s="40">
        <v>252</v>
      </c>
      <c r="X2375" s="40" t="s">
        <v>5030</v>
      </c>
      <c r="Y2375" s="40">
        <v>1</v>
      </c>
      <c r="Z2375" s="40">
        <v>1</v>
      </c>
      <c r="AA2375" s="40" t="s">
        <v>115</v>
      </c>
      <c r="AB2375" s="40" t="s">
        <v>115</v>
      </c>
      <c r="AC2375" s="40" t="s">
        <v>115</v>
      </c>
      <c r="AI2375" s="40" t="s">
        <v>115</v>
      </c>
      <c r="AP2375" s="4" t="s">
        <v>115</v>
      </c>
    </row>
    <row r="2376" spans="1:42" x14ac:dyDescent="0.15">
      <c r="A2376" s="40" t="s">
        <v>1</v>
      </c>
      <c r="B2376" s="23">
        <v>90210405</v>
      </c>
      <c r="C2376" s="23">
        <v>2104</v>
      </c>
      <c r="D2376" s="23">
        <v>21</v>
      </c>
      <c r="F2376" s="23" t="s">
        <v>115</v>
      </c>
      <c r="G2376" s="23" t="s">
        <v>115</v>
      </c>
      <c r="H2376" s="23" t="s">
        <v>5031</v>
      </c>
      <c r="I2376" s="23">
        <v>4</v>
      </c>
      <c r="J2376" s="40">
        <v>0</v>
      </c>
      <c r="K2376" s="40">
        <v>3</v>
      </c>
      <c r="L2376" s="40" t="s">
        <v>115</v>
      </c>
      <c r="O2376" s="40" t="s">
        <v>115</v>
      </c>
      <c r="Q2376" s="40">
        <v>198</v>
      </c>
      <c r="R2376" s="40">
        <v>252</v>
      </c>
      <c r="X2376" s="40">
        <v>90210407</v>
      </c>
      <c r="Y2376" s="40">
        <v>-1</v>
      </c>
      <c r="Z2376" s="40">
        <v>2</v>
      </c>
      <c r="AA2376" s="40" t="s">
        <v>115</v>
      </c>
      <c r="AB2376" s="40" t="s">
        <v>115</v>
      </c>
      <c r="AC2376" s="40" t="s">
        <v>5032</v>
      </c>
      <c r="AI2376" s="40" t="s">
        <v>115</v>
      </c>
      <c r="AP2376" s="4" t="s">
        <v>115</v>
      </c>
    </row>
    <row r="2377" spans="1:42" x14ac:dyDescent="0.15">
      <c r="A2377" s="40" t="s">
        <v>1</v>
      </c>
      <c r="B2377" s="23">
        <v>90210406</v>
      </c>
      <c r="C2377" s="23">
        <v>2104</v>
      </c>
      <c r="D2377" s="23">
        <v>21</v>
      </c>
      <c r="F2377" s="23" t="s">
        <v>115</v>
      </c>
      <c r="G2377" s="23" t="s">
        <v>115</v>
      </c>
      <c r="H2377" s="23" t="s">
        <v>5033</v>
      </c>
      <c r="I2377" s="23">
        <v>4</v>
      </c>
      <c r="J2377" s="40">
        <v>0</v>
      </c>
      <c r="K2377" s="40">
        <v>4</v>
      </c>
      <c r="L2377" s="40" t="s">
        <v>115</v>
      </c>
      <c r="O2377" s="40" t="s">
        <v>115</v>
      </c>
      <c r="Q2377" s="40">
        <v>198</v>
      </c>
      <c r="R2377" s="40">
        <v>252</v>
      </c>
      <c r="X2377" s="40">
        <v>90210409</v>
      </c>
      <c r="Y2377" s="40">
        <v>-1</v>
      </c>
      <c r="Z2377" s="40">
        <v>2</v>
      </c>
      <c r="AA2377" s="40" t="s">
        <v>5034</v>
      </c>
      <c r="AB2377" s="40" t="s">
        <v>115</v>
      </c>
      <c r="AC2377" s="40" t="s">
        <v>115</v>
      </c>
      <c r="AI2377" s="40" t="s">
        <v>115</v>
      </c>
      <c r="AP2377" s="4" t="s">
        <v>115</v>
      </c>
    </row>
    <row r="2378" spans="1:42" x14ac:dyDescent="0.15">
      <c r="A2378" s="40" t="s">
        <v>1</v>
      </c>
      <c r="B2378" s="23">
        <v>90210407</v>
      </c>
      <c r="C2378" s="23">
        <v>2104</v>
      </c>
      <c r="D2378" s="23">
        <v>21</v>
      </c>
      <c r="F2378" s="23" t="s">
        <v>116</v>
      </c>
      <c r="G2378" s="23">
        <v>312</v>
      </c>
      <c r="H2378" s="23" t="s">
        <v>5035</v>
      </c>
      <c r="I2378" s="23">
        <v>0</v>
      </c>
      <c r="J2378" s="40">
        <v>0</v>
      </c>
      <c r="K2378" s="40">
        <v>0</v>
      </c>
      <c r="L2378" s="40" t="s">
        <v>115</v>
      </c>
      <c r="O2378" s="40" t="s">
        <v>115</v>
      </c>
      <c r="Q2378" s="40">
        <v>198</v>
      </c>
      <c r="R2378" s="40">
        <v>252</v>
      </c>
      <c r="X2378" s="40">
        <v>90210408</v>
      </c>
      <c r="Y2378" s="40" t="s">
        <v>115</v>
      </c>
      <c r="Z2378" s="40" t="s">
        <v>115</v>
      </c>
      <c r="AA2378" s="40" t="s">
        <v>115</v>
      </c>
      <c r="AB2378" s="40" t="s">
        <v>115</v>
      </c>
      <c r="AC2378" s="40" t="s">
        <v>115</v>
      </c>
      <c r="AI2378" s="40" t="s">
        <v>115</v>
      </c>
      <c r="AP2378" s="4" t="s">
        <v>115</v>
      </c>
    </row>
    <row r="2379" spans="1:42" x14ac:dyDescent="0.15">
      <c r="A2379" s="40" t="s">
        <v>1</v>
      </c>
      <c r="B2379" s="23">
        <v>90210408</v>
      </c>
      <c r="C2379" s="23">
        <v>2104</v>
      </c>
      <c r="D2379" s="23">
        <v>21</v>
      </c>
      <c r="F2379" s="23" t="s">
        <v>931</v>
      </c>
      <c r="G2379" s="23" t="s">
        <v>115</v>
      </c>
      <c r="H2379" s="23" t="s">
        <v>5036</v>
      </c>
      <c r="I2379" s="23">
        <v>3</v>
      </c>
      <c r="J2379" s="40">
        <v>0</v>
      </c>
      <c r="K2379" s="40">
        <v>0</v>
      </c>
      <c r="L2379" s="40" t="s">
        <v>115</v>
      </c>
      <c r="O2379" s="40" t="s">
        <v>115</v>
      </c>
      <c r="Q2379" s="40">
        <v>198</v>
      </c>
      <c r="R2379" s="40">
        <v>252</v>
      </c>
      <c r="X2379" s="40">
        <v>90210412</v>
      </c>
      <c r="Y2379" s="40" t="s">
        <v>115</v>
      </c>
      <c r="Z2379" s="40" t="s">
        <v>115</v>
      </c>
      <c r="AA2379" s="40" t="s">
        <v>115</v>
      </c>
      <c r="AB2379" s="40" t="s">
        <v>115</v>
      </c>
      <c r="AC2379" s="40" t="s">
        <v>115</v>
      </c>
      <c r="AI2379" s="40" t="s">
        <v>115</v>
      </c>
      <c r="AP2379" s="4" t="s">
        <v>115</v>
      </c>
    </row>
    <row r="2380" spans="1:42" x14ac:dyDescent="0.15">
      <c r="A2380" s="40" t="s">
        <v>1</v>
      </c>
      <c r="B2380" s="23">
        <v>90210409</v>
      </c>
      <c r="C2380" s="23">
        <v>2104</v>
      </c>
      <c r="D2380" s="23">
        <v>21</v>
      </c>
      <c r="F2380" s="23" t="s">
        <v>116</v>
      </c>
      <c r="G2380" s="23">
        <v>313</v>
      </c>
      <c r="H2380" s="23" t="s">
        <v>5037</v>
      </c>
      <c r="I2380" s="23">
        <v>0</v>
      </c>
      <c r="J2380" s="40">
        <v>0</v>
      </c>
      <c r="K2380" s="40">
        <v>0</v>
      </c>
      <c r="L2380" s="40" t="s">
        <v>115</v>
      </c>
      <c r="O2380" s="40" t="s">
        <v>115</v>
      </c>
      <c r="Q2380" s="40">
        <v>198</v>
      </c>
      <c r="R2380" s="40">
        <v>252</v>
      </c>
      <c r="X2380" s="40">
        <v>90210410</v>
      </c>
      <c r="Y2380" s="40" t="s">
        <v>115</v>
      </c>
      <c r="Z2380" s="40" t="s">
        <v>115</v>
      </c>
      <c r="AA2380" s="40" t="s">
        <v>115</v>
      </c>
      <c r="AB2380" s="40" t="s">
        <v>115</v>
      </c>
      <c r="AC2380" s="40" t="s">
        <v>115</v>
      </c>
      <c r="AI2380" s="40" t="s">
        <v>115</v>
      </c>
      <c r="AP2380" s="4" t="s">
        <v>115</v>
      </c>
    </row>
    <row r="2381" spans="1:42" x14ac:dyDescent="0.15">
      <c r="A2381" s="40" t="s">
        <v>1</v>
      </c>
      <c r="B2381" s="23">
        <v>90210410</v>
      </c>
      <c r="C2381" s="23">
        <v>2104</v>
      </c>
      <c r="D2381" s="23">
        <v>21</v>
      </c>
      <c r="F2381" s="23" t="s">
        <v>931</v>
      </c>
      <c r="G2381" s="23" t="s">
        <v>115</v>
      </c>
      <c r="H2381" s="23" t="s">
        <v>5038</v>
      </c>
      <c r="I2381" s="23">
        <v>3</v>
      </c>
      <c r="J2381" s="40">
        <v>0</v>
      </c>
      <c r="K2381" s="40">
        <v>0</v>
      </c>
      <c r="L2381" s="40" t="s">
        <v>115</v>
      </c>
      <c r="O2381" s="40" t="s">
        <v>115</v>
      </c>
      <c r="Q2381" s="40">
        <v>198</v>
      </c>
      <c r="R2381" s="40">
        <v>252</v>
      </c>
      <c r="X2381" s="40">
        <v>90210411</v>
      </c>
      <c r="Y2381" s="40" t="s">
        <v>115</v>
      </c>
      <c r="Z2381" s="40" t="s">
        <v>115</v>
      </c>
      <c r="AA2381" s="40" t="s">
        <v>115</v>
      </c>
      <c r="AB2381" s="40" t="s">
        <v>115</v>
      </c>
      <c r="AC2381" s="40" t="s">
        <v>115</v>
      </c>
      <c r="AI2381" s="40" t="s">
        <v>115</v>
      </c>
      <c r="AP2381" s="4" t="s">
        <v>115</v>
      </c>
    </row>
    <row r="2382" spans="1:42" x14ac:dyDescent="0.15">
      <c r="A2382" s="40" t="s">
        <v>1</v>
      </c>
      <c r="B2382" s="23">
        <v>90210411</v>
      </c>
      <c r="C2382" s="23">
        <v>2104</v>
      </c>
      <c r="D2382" s="23">
        <v>21</v>
      </c>
      <c r="F2382" s="23" t="s">
        <v>116</v>
      </c>
      <c r="G2382" s="23">
        <v>313</v>
      </c>
      <c r="H2382" s="23" t="s">
        <v>5039</v>
      </c>
      <c r="I2382" s="23">
        <v>2</v>
      </c>
      <c r="J2382" s="40">
        <v>0</v>
      </c>
      <c r="K2382" s="40">
        <v>0</v>
      </c>
      <c r="L2382" s="40" t="s">
        <v>115</v>
      </c>
      <c r="O2382" s="40" t="s">
        <v>115</v>
      </c>
      <c r="Q2382" s="40">
        <v>198</v>
      </c>
      <c r="R2382" s="40">
        <v>252</v>
      </c>
      <c r="X2382" s="40">
        <v>90210412</v>
      </c>
      <c r="Y2382" s="40" t="s">
        <v>115</v>
      </c>
      <c r="Z2382" s="40" t="s">
        <v>115</v>
      </c>
      <c r="AA2382" s="40" t="s">
        <v>115</v>
      </c>
      <c r="AB2382" s="40" t="s">
        <v>115</v>
      </c>
      <c r="AC2382" s="40" t="s">
        <v>115</v>
      </c>
      <c r="AI2382" s="40" t="s">
        <v>115</v>
      </c>
      <c r="AP2382" s="4" t="s">
        <v>115</v>
      </c>
    </row>
    <row r="2383" spans="1:42" x14ac:dyDescent="0.15">
      <c r="A2383" s="40" t="s">
        <v>1</v>
      </c>
      <c r="B2383" s="23">
        <v>90210412</v>
      </c>
      <c r="C2383" s="23">
        <v>2104</v>
      </c>
      <c r="D2383" s="23">
        <v>21</v>
      </c>
      <c r="F2383" s="23" t="s">
        <v>116</v>
      </c>
      <c r="G2383" s="23">
        <v>313</v>
      </c>
      <c r="H2383" s="23" t="s">
        <v>5040</v>
      </c>
      <c r="I2383" s="23">
        <v>0</v>
      </c>
      <c r="J2383" s="40">
        <v>0</v>
      </c>
      <c r="K2383" s="40">
        <v>0</v>
      </c>
      <c r="L2383" s="40" t="s">
        <v>115</v>
      </c>
      <c r="O2383" s="40" t="s">
        <v>115</v>
      </c>
      <c r="Q2383" s="40">
        <v>198</v>
      </c>
      <c r="R2383" s="40">
        <v>252</v>
      </c>
      <c r="X2383" s="40">
        <v>90210413</v>
      </c>
      <c r="Y2383" s="40" t="s">
        <v>115</v>
      </c>
      <c r="Z2383" s="40" t="s">
        <v>115</v>
      </c>
      <c r="AA2383" s="40" t="s">
        <v>115</v>
      </c>
      <c r="AB2383" s="40" t="s">
        <v>115</v>
      </c>
      <c r="AC2383" s="40" t="s">
        <v>115</v>
      </c>
      <c r="AI2383" s="40" t="s">
        <v>115</v>
      </c>
      <c r="AP2383" s="4" t="s">
        <v>115</v>
      </c>
    </row>
    <row r="2384" spans="1:42" x14ac:dyDescent="0.15">
      <c r="A2384" s="40" t="s">
        <v>1</v>
      </c>
      <c r="B2384" s="23">
        <v>90210413</v>
      </c>
      <c r="C2384" s="23">
        <v>2104</v>
      </c>
      <c r="D2384" s="23">
        <v>21</v>
      </c>
      <c r="F2384" s="23" t="s">
        <v>931</v>
      </c>
      <c r="G2384" s="23" t="s">
        <v>115</v>
      </c>
      <c r="H2384" s="23" t="s">
        <v>7156</v>
      </c>
      <c r="I2384" s="23">
        <v>3</v>
      </c>
      <c r="J2384" s="40">
        <v>0</v>
      </c>
      <c r="K2384" s="40">
        <v>0</v>
      </c>
      <c r="L2384" s="40" t="s">
        <v>115</v>
      </c>
      <c r="O2384" s="40" t="s">
        <v>115</v>
      </c>
      <c r="Q2384" s="40">
        <v>198</v>
      </c>
      <c r="R2384" s="40">
        <v>252</v>
      </c>
      <c r="X2384" s="40">
        <v>90210414</v>
      </c>
      <c r="Y2384" s="40" t="s">
        <v>115</v>
      </c>
      <c r="Z2384" s="40" t="s">
        <v>115</v>
      </c>
      <c r="AA2384" s="40" t="s">
        <v>115</v>
      </c>
      <c r="AB2384" s="40" t="s">
        <v>115</v>
      </c>
      <c r="AC2384" s="40" t="s">
        <v>115</v>
      </c>
      <c r="AI2384" s="40" t="s">
        <v>115</v>
      </c>
      <c r="AP2384" s="4" t="s">
        <v>115</v>
      </c>
    </row>
    <row r="2385" spans="1:42" x14ac:dyDescent="0.15">
      <c r="A2385" s="40" t="s">
        <v>1</v>
      </c>
      <c r="B2385" s="23">
        <v>90210414</v>
      </c>
      <c r="C2385" s="23">
        <v>2104</v>
      </c>
      <c r="D2385" s="23">
        <v>21</v>
      </c>
      <c r="F2385" s="23" t="s">
        <v>931</v>
      </c>
      <c r="G2385" s="23" t="s">
        <v>115</v>
      </c>
      <c r="H2385" s="23" t="s">
        <v>5041</v>
      </c>
      <c r="I2385" s="23">
        <v>3</v>
      </c>
      <c r="J2385" s="40">
        <v>0</v>
      </c>
      <c r="K2385" s="40">
        <v>0</v>
      </c>
      <c r="L2385" s="40" t="s">
        <v>115</v>
      </c>
      <c r="O2385" s="40" t="s">
        <v>115</v>
      </c>
      <c r="Q2385" s="40">
        <v>198</v>
      </c>
      <c r="R2385" s="40">
        <v>252</v>
      </c>
      <c r="X2385" s="40">
        <v>90210415</v>
      </c>
      <c r="Y2385" s="40" t="s">
        <v>115</v>
      </c>
      <c r="Z2385" s="40" t="s">
        <v>115</v>
      </c>
      <c r="AA2385" s="40" t="s">
        <v>115</v>
      </c>
      <c r="AB2385" s="40" t="s">
        <v>115</v>
      </c>
      <c r="AC2385" s="40" t="s">
        <v>115</v>
      </c>
      <c r="AI2385" s="40" t="s">
        <v>115</v>
      </c>
      <c r="AP2385" s="4" t="s">
        <v>115</v>
      </c>
    </row>
    <row r="2386" spans="1:42" x14ac:dyDescent="0.15">
      <c r="A2386" s="40" t="s">
        <v>1</v>
      </c>
      <c r="B2386" s="23">
        <v>90210415</v>
      </c>
      <c r="C2386" s="23">
        <v>2104</v>
      </c>
      <c r="D2386" s="23">
        <v>21</v>
      </c>
      <c r="F2386" s="23" t="s">
        <v>116</v>
      </c>
      <c r="G2386" s="23">
        <v>314</v>
      </c>
      <c r="H2386" s="23" t="s">
        <v>5042</v>
      </c>
      <c r="I2386" s="23">
        <v>2</v>
      </c>
      <c r="J2386" s="40">
        <v>0</v>
      </c>
      <c r="K2386" s="40">
        <v>0</v>
      </c>
      <c r="L2386" s="40" t="s">
        <v>115</v>
      </c>
      <c r="O2386" s="40" t="s">
        <v>115</v>
      </c>
      <c r="Q2386" s="40">
        <v>198</v>
      </c>
      <c r="R2386" s="40">
        <v>252</v>
      </c>
      <c r="X2386" s="40">
        <v>90210416</v>
      </c>
      <c r="Y2386" s="40" t="s">
        <v>115</v>
      </c>
      <c r="Z2386" s="40" t="s">
        <v>115</v>
      </c>
      <c r="AA2386" s="40" t="s">
        <v>115</v>
      </c>
      <c r="AB2386" s="40" t="s">
        <v>115</v>
      </c>
      <c r="AC2386" s="40" t="s">
        <v>115</v>
      </c>
      <c r="AI2386" s="40" t="s">
        <v>115</v>
      </c>
      <c r="AP2386" s="4" t="s">
        <v>115</v>
      </c>
    </row>
    <row r="2387" spans="1:42" x14ac:dyDescent="0.15">
      <c r="A2387" s="40" t="s">
        <v>1</v>
      </c>
      <c r="B2387" s="23">
        <v>90210416</v>
      </c>
      <c r="C2387" s="23">
        <v>2104</v>
      </c>
      <c r="D2387" s="23">
        <v>21</v>
      </c>
      <c r="F2387" s="23" t="s">
        <v>115</v>
      </c>
      <c r="G2387" s="23" t="s">
        <v>115</v>
      </c>
      <c r="H2387" s="23" t="s">
        <v>5043</v>
      </c>
      <c r="I2387" s="23">
        <v>4</v>
      </c>
      <c r="J2387" s="40">
        <v>0</v>
      </c>
      <c r="K2387" s="40">
        <v>0</v>
      </c>
      <c r="L2387" s="40" t="s">
        <v>115</v>
      </c>
      <c r="O2387" s="40" t="s">
        <v>115</v>
      </c>
      <c r="Q2387" s="40">
        <v>198</v>
      </c>
      <c r="R2387" s="40">
        <v>252</v>
      </c>
      <c r="X2387" s="40">
        <v>90210417</v>
      </c>
      <c r="Y2387" s="40" t="s">
        <v>115</v>
      </c>
      <c r="Z2387" s="40" t="s">
        <v>115</v>
      </c>
      <c r="AA2387" s="40" t="s">
        <v>115</v>
      </c>
      <c r="AB2387" s="40" t="s">
        <v>115</v>
      </c>
      <c r="AC2387" s="40" t="s">
        <v>115</v>
      </c>
      <c r="AI2387" s="40" t="s">
        <v>115</v>
      </c>
      <c r="AP2387" s="4" t="s">
        <v>115</v>
      </c>
    </row>
    <row r="2388" spans="1:42" x14ac:dyDescent="0.15">
      <c r="A2388" s="40" t="s">
        <v>1</v>
      </c>
      <c r="B2388" s="23">
        <v>90210417</v>
      </c>
      <c r="C2388" s="23">
        <v>2104</v>
      </c>
      <c r="D2388" s="23">
        <v>21</v>
      </c>
      <c r="F2388" s="23" t="s">
        <v>931</v>
      </c>
      <c r="G2388" s="23" t="s">
        <v>115</v>
      </c>
      <c r="H2388" s="23" t="s">
        <v>7157</v>
      </c>
      <c r="I2388" s="23">
        <v>3</v>
      </c>
      <c r="J2388" s="40">
        <v>0</v>
      </c>
      <c r="K2388" s="40">
        <v>0</v>
      </c>
      <c r="L2388" s="40" t="s">
        <v>115</v>
      </c>
      <c r="O2388" s="40" t="s">
        <v>115</v>
      </c>
      <c r="Q2388" s="40">
        <v>198</v>
      </c>
      <c r="R2388" s="40">
        <v>252</v>
      </c>
      <c r="X2388" s="40">
        <v>90210418</v>
      </c>
      <c r="Y2388" s="40" t="s">
        <v>115</v>
      </c>
      <c r="Z2388" s="40" t="s">
        <v>115</v>
      </c>
      <c r="AA2388" s="40" t="s">
        <v>115</v>
      </c>
      <c r="AB2388" s="40" t="s">
        <v>115</v>
      </c>
      <c r="AC2388" s="40" t="s">
        <v>115</v>
      </c>
      <c r="AI2388" s="40" t="s">
        <v>115</v>
      </c>
      <c r="AP2388" s="4" t="s">
        <v>115</v>
      </c>
    </row>
    <row r="2389" spans="1:42" x14ac:dyDescent="0.15">
      <c r="A2389" s="40" t="s">
        <v>1</v>
      </c>
      <c r="B2389" s="23">
        <v>90210418</v>
      </c>
      <c r="C2389" s="23">
        <v>2104</v>
      </c>
      <c r="D2389" s="23">
        <v>21</v>
      </c>
      <c r="F2389" s="23" t="s">
        <v>931</v>
      </c>
      <c r="G2389" s="23" t="s">
        <v>115</v>
      </c>
      <c r="H2389" s="23" t="s">
        <v>7158</v>
      </c>
      <c r="I2389" s="23">
        <v>3</v>
      </c>
      <c r="J2389" s="40">
        <v>0</v>
      </c>
      <c r="K2389" s="40">
        <v>0</v>
      </c>
      <c r="L2389" s="40" t="s">
        <v>115</v>
      </c>
      <c r="O2389" s="40" t="s">
        <v>115</v>
      </c>
      <c r="Q2389" s="40">
        <v>198</v>
      </c>
      <c r="R2389" s="40">
        <v>252</v>
      </c>
      <c r="X2389" s="40">
        <v>90210419</v>
      </c>
      <c r="Y2389" s="40" t="s">
        <v>115</v>
      </c>
      <c r="Z2389" s="40" t="s">
        <v>115</v>
      </c>
      <c r="AA2389" s="40" t="s">
        <v>115</v>
      </c>
      <c r="AB2389" s="40" t="s">
        <v>115</v>
      </c>
      <c r="AC2389" s="40" t="s">
        <v>115</v>
      </c>
      <c r="AI2389" s="40" t="s">
        <v>115</v>
      </c>
      <c r="AP2389" s="4" t="s">
        <v>115</v>
      </c>
    </row>
    <row r="2390" spans="1:42" x14ac:dyDescent="0.15">
      <c r="A2390" s="40" t="s">
        <v>1</v>
      </c>
      <c r="B2390" s="23">
        <v>90210419</v>
      </c>
      <c r="C2390" s="23">
        <v>2104</v>
      </c>
      <c r="D2390" s="23">
        <v>21</v>
      </c>
      <c r="F2390" s="23" t="s">
        <v>116</v>
      </c>
      <c r="G2390" s="23">
        <v>314</v>
      </c>
      <c r="H2390" s="23" t="s">
        <v>7159</v>
      </c>
      <c r="I2390" s="23">
        <v>2</v>
      </c>
      <c r="J2390" s="40">
        <v>0</v>
      </c>
      <c r="K2390" s="40">
        <v>0</v>
      </c>
      <c r="L2390" s="40" t="s">
        <v>115</v>
      </c>
      <c r="O2390" s="40" t="s">
        <v>115</v>
      </c>
      <c r="Q2390" s="40">
        <v>198</v>
      </c>
      <c r="R2390" s="40">
        <v>252</v>
      </c>
      <c r="X2390" s="40">
        <v>90210420</v>
      </c>
      <c r="Y2390" s="40" t="s">
        <v>115</v>
      </c>
      <c r="Z2390" s="40" t="s">
        <v>115</v>
      </c>
      <c r="AA2390" s="40" t="s">
        <v>115</v>
      </c>
      <c r="AB2390" s="40" t="s">
        <v>115</v>
      </c>
      <c r="AC2390" s="40" t="s">
        <v>115</v>
      </c>
      <c r="AI2390" s="40" t="s">
        <v>115</v>
      </c>
      <c r="AP2390" s="4" t="s">
        <v>115</v>
      </c>
    </row>
    <row r="2391" spans="1:42" x14ac:dyDescent="0.15">
      <c r="A2391" s="40" t="s">
        <v>1</v>
      </c>
      <c r="B2391" s="23">
        <v>90210420</v>
      </c>
      <c r="C2391" s="23">
        <v>2104</v>
      </c>
      <c r="D2391" s="23">
        <v>21</v>
      </c>
      <c r="F2391" s="23" t="s">
        <v>931</v>
      </c>
      <c r="G2391" s="23" t="s">
        <v>115</v>
      </c>
      <c r="H2391" s="23" t="s">
        <v>5044</v>
      </c>
      <c r="I2391" s="23">
        <v>3</v>
      </c>
      <c r="J2391" s="40">
        <v>0</v>
      </c>
      <c r="K2391" s="40">
        <v>0</v>
      </c>
      <c r="L2391" s="40" t="s">
        <v>115</v>
      </c>
      <c r="O2391" s="40" t="s">
        <v>115</v>
      </c>
      <c r="Q2391" s="40">
        <v>198</v>
      </c>
      <c r="R2391" s="40">
        <v>252</v>
      </c>
      <c r="X2391" s="40">
        <v>90210421</v>
      </c>
      <c r="Y2391" s="40" t="s">
        <v>115</v>
      </c>
      <c r="Z2391" s="40" t="s">
        <v>115</v>
      </c>
      <c r="AA2391" s="40" t="s">
        <v>115</v>
      </c>
      <c r="AB2391" s="40" t="s">
        <v>115</v>
      </c>
      <c r="AC2391" s="40" t="s">
        <v>115</v>
      </c>
      <c r="AI2391" s="40" t="s">
        <v>115</v>
      </c>
      <c r="AP2391" s="4" t="s">
        <v>115</v>
      </c>
    </row>
    <row r="2392" spans="1:42" x14ac:dyDescent="0.15">
      <c r="A2392" s="40" t="s">
        <v>1</v>
      </c>
      <c r="B2392" s="23">
        <v>90210421</v>
      </c>
      <c r="C2392" s="23">
        <v>2104</v>
      </c>
      <c r="D2392" s="23">
        <v>21</v>
      </c>
      <c r="F2392" s="23" t="s">
        <v>931</v>
      </c>
      <c r="G2392" s="23" t="s">
        <v>115</v>
      </c>
      <c r="H2392" s="23" t="s">
        <v>5045</v>
      </c>
      <c r="I2392" s="23">
        <v>3</v>
      </c>
      <c r="J2392" s="40">
        <v>0</v>
      </c>
      <c r="K2392" s="40">
        <v>0</v>
      </c>
      <c r="L2392" s="40" t="s">
        <v>115</v>
      </c>
      <c r="O2392" s="40" t="s">
        <v>115</v>
      </c>
      <c r="Q2392" s="40">
        <v>198</v>
      </c>
      <c r="R2392" s="40">
        <v>252</v>
      </c>
      <c r="X2392" s="40">
        <v>90210422</v>
      </c>
      <c r="Y2392" s="40" t="s">
        <v>115</v>
      </c>
      <c r="Z2392" s="40" t="s">
        <v>115</v>
      </c>
      <c r="AA2392" s="40" t="s">
        <v>115</v>
      </c>
      <c r="AB2392" s="40" t="s">
        <v>115</v>
      </c>
      <c r="AC2392" s="40" t="s">
        <v>115</v>
      </c>
      <c r="AI2392" s="40" t="s">
        <v>115</v>
      </c>
      <c r="AP2392" s="4" t="s">
        <v>115</v>
      </c>
    </row>
    <row r="2393" spans="1:42" x14ac:dyDescent="0.15">
      <c r="A2393" s="40" t="s">
        <v>1</v>
      </c>
      <c r="B2393" s="23">
        <v>90210422</v>
      </c>
      <c r="C2393" s="23">
        <v>2104</v>
      </c>
      <c r="D2393" s="23">
        <v>21</v>
      </c>
      <c r="F2393" s="23" t="s">
        <v>116</v>
      </c>
      <c r="G2393" s="23">
        <v>312</v>
      </c>
      <c r="H2393" s="23" t="s">
        <v>5046</v>
      </c>
      <c r="I2393" s="23">
        <v>0</v>
      </c>
      <c r="J2393" s="40">
        <v>0</v>
      </c>
      <c r="K2393" s="40">
        <v>0</v>
      </c>
      <c r="L2393" s="40" t="s">
        <v>115</v>
      </c>
      <c r="O2393" s="40" t="s">
        <v>115</v>
      </c>
      <c r="Q2393" s="40">
        <v>198</v>
      </c>
      <c r="R2393" s="40">
        <v>252</v>
      </c>
      <c r="X2393" s="40">
        <v>90210423</v>
      </c>
      <c r="Y2393" s="40" t="s">
        <v>115</v>
      </c>
      <c r="Z2393" s="40" t="s">
        <v>115</v>
      </c>
      <c r="AA2393" s="40" t="s">
        <v>115</v>
      </c>
      <c r="AB2393" s="40" t="s">
        <v>115</v>
      </c>
      <c r="AC2393" s="40" t="s">
        <v>115</v>
      </c>
      <c r="AI2393" s="40" t="s">
        <v>115</v>
      </c>
      <c r="AP2393" s="4" t="s">
        <v>115</v>
      </c>
    </row>
    <row r="2394" spans="1:42" x14ac:dyDescent="0.15">
      <c r="A2394" s="40" t="s">
        <v>1</v>
      </c>
      <c r="B2394" s="23">
        <v>90210423</v>
      </c>
      <c r="C2394" s="23">
        <v>2104</v>
      </c>
      <c r="D2394" s="23">
        <v>21</v>
      </c>
      <c r="F2394" s="23" t="s">
        <v>931</v>
      </c>
      <c r="G2394" s="23" t="s">
        <v>115</v>
      </c>
      <c r="H2394" s="23" t="s">
        <v>7160</v>
      </c>
      <c r="I2394" s="23">
        <v>3</v>
      </c>
      <c r="J2394" s="40">
        <v>0</v>
      </c>
      <c r="K2394" s="40">
        <v>0</v>
      </c>
      <c r="L2394" s="40" t="s">
        <v>115</v>
      </c>
      <c r="O2394" s="40" t="s">
        <v>115</v>
      </c>
      <c r="Q2394" s="40">
        <v>198</v>
      </c>
      <c r="R2394" s="40">
        <v>252</v>
      </c>
      <c r="X2394" s="40">
        <v>90210424</v>
      </c>
      <c r="Y2394" s="40" t="s">
        <v>115</v>
      </c>
      <c r="Z2394" s="40" t="s">
        <v>115</v>
      </c>
      <c r="AA2394" s="40" t="s">
        <v>115</v>
      </c>
      <c r="AB2394" s="40" t="s">
        <v>115</v>
      </c>
      <c r="AC2394" s="40" t="s">
        <v>115</v>
      </c>
      <c r="AI2394" s="40" t="s">
        <v>115</v>
      </c>
      <c r="AP2394" s="4" t="s">
        <v>115</v>
      </c>
    </row>
    <row r="2395" spans="1:42" x14ac:dyDescent="0.15">
      <c r="A2395" s="40" t="s">
        <v>1</v>
      </c>
      <c r="B2395" s="23">
        <v>90210424</v>
      </c>
      <c r="C2395" s="23">
        <v>2104</v>
      </c>
      <c r="D2395" s="23">
        <v>21</v>
      </c>
      <c r="F2395" s="23" t="s">
        <v>116</v>
      </c>
      <c r="G2395" s="23">
        <v>312</v>
      </c>
      <c r="H2395" s="23" t="s">
        <v>5047</v>
      </c>
      <c r="I2395" s="23">
        <v>0</v>
      </c>
      <c r="J2395" s="40">
        <v>0</v>
      </c>
      <c r="K2395" s="40">
        <v>0</v>
      </c>
      <c r="L2395" s="40" t="s">
        <v>115</v>
      </c>
      <c r="O2395" s="40" t="s">
        <v>115</v>
      </c>
      <c r="Q2395" s="40">
        <v>198</v>
      </c>
      <c r="R2395" s="40">
        <v>252</v>
      </c>
      <c r="X2395" s="40">
        <v>90210425</v>
      </c>
      <c r="Y2395" s="40" t="s">
        <v>115</v>
      </c>
      <c r="Z2395" s="40" t="s">
        <v>115</v>
      </c>
      <c r="AA2395" s="40" t="s">
        <v>115</v>
      </c>
      <c r="AB2395" s="40" t="s">
        <v>115</v>
      </c>
      <c r="AC2395" s="40" t="s">
        <v>115</v>
      </c>
      <c r="AI2395" s="40" t="s">
        <v>115</v>
      </c>
      <c r="AP2395" s="4" t="s">
        <v>115</v>
      </c>
    </row>
    <row r="2396" spans="1:42" x14ac:dyDescent="0.15">
      <c r="A2396" s="40" t="s">
        <v>1</v>
      </c>
      <c r="B2396" s="23">
        <v>90210425</v>
      </c>
      <c r="C2396" s="23">
        <v>2104</v>
      </c>
      <c r="D2396" s="23">
        <v>21</v>
      </c>
      <c r="F2396" s="23" t="s">
        <v>115</v>
      </c>
      <c r="G2396" s="23" t="s">
        <v>115</v>
      </c>
      <c r="H2396" s="23" t="s">
        <v>5048</v>
      </c>
      <c r="I2396" s="23">
        <v>4</v>
      </c>
      <c r="J2396" s="40">
        <v>0</v>
      </c>
      <c r="K2396" s="40">
        <v>0</v>
      </c>
      <c r="L2396" s="40" t="s">
        <v>115</v>
      </c>
      <c r="O2396" s="40" t="s">
        <v>115</v>
      </c>
      <c r="Q2396" s="40">
        <v>198</v>
      </c>
      <c r="R2396" s="40">
        <v>252</v>
      </c>
      <c r="X2396" s="40">
        <v>90210426</v>
      </c>
      <c r="Y2396" s="40" t="s">
        <v>115</v>
      </c>
      <c r="Z2396" s="40" t="s">
        <v>115</v>
      </c>
      <c r="AA2396" s="40" t="s">
        <v>115</v>
      </c>
      <c r="AB2396" s="40" t="s">
        <v>115</v>
      </c>
      <c r="AC2396" s="40" t="s">
        <v>115</v>
      </c>
      <c r="AI2396" s="40" t="s">
        <v>115</v>
      </c>
      <c r="AP2396" s="4" t="s">
        <v>115</v>
      </c>
    </row>
    <row r="2397" spans="1:42" x14ac:dyDescent="0.15">
      <c r="A2397" s="40" t="s">
        <v>1</v>
      </c>
      <c r="B2397" s="23">
        <v>90210426</v>
      </c>
      <c r="C2397" s="23">
        <v>2104</v>
      </c>
      <c r="D2397" s="23">
        <v>21</v>
      </c>
      <c r="F2397" s="23" t="s">
        <v>931</v>
      </c>
      <c r="G2397" s="23" t="s">
        <v>115</v>
      </c>
      <c r="H2397" s="23" t="s">
        <v>7161</v>
      </c>
      <c r="I2397" s="23">
        <v>3</v>
      </c>
      <c r="J2397" s="40">
        <v>0</v>
      </c>
      <c r="K2397" s="40">
        <v>0</v>
      </c>
      <c r="L2397" s="40" t="s">
        <v>115</v>
      </c>
      <c r="O2397" s="40" t="s">
        <v>115</v>
      </c>
      <c r="Q2397" s="40">
        <v>198</v>
      </c>
      <c r="R2397" s="40">
        <v>252</v>
      </c>
      <c r="X2397" s="40">
        <v>90210427</v>
      </c>
      <c r="Y2397" s="40" t="s">
        <v>115</v>
      </c>
      <c r="Z2397" s="40" t="s">
        <v>115</v>
      </c>
      <c r="AA2397" s="40" t="s">
        <v>115</v>
      </c>
      <c r="AB2397" s="40" t="s">
        <v>115</v>
      </c>
      <c r="AC2397" s="40" t="s">
        <v>115</v>
      </c>
      <c r="AI2397" s="40" t="s">
        <v>115</v>
      </c>
      <c r="AP2397" s="4" t="s">
        <v>115</v>
      </c>
    </row>
    <row r="2398" spans="1:42" x14ac:dyDescent="0.15">
      <c r="A2398" s="40" t="s">
        <v>1</v>
      </c>
      <c r="B2398" s="23">
        <v>90210427</v>
      </c>
      <c r="C2398" s="23">
        <v>2104</v>
      </c>
      <c r="D2398" s="23">
        <v>21</v>
      </c>
      <c r="F2398" s="23" t="s">
        <v>116</v>
      </c>
      <c r="G2398" s="23">
        <v>312</v>
      </c>
      <c r="H2398" s="23" t="s">
        <v>5049</v>
      </c>
      <c r="I2398" s="23">
        <v>0</v>
      </c>
      <c r="J2398" s="40">
        <v>0</v>
      </c>
      <c r="K2398" s="40">
        <v>0</v>
      </c>
      <c r="L2398" s="40" t="s">
        <v>115</v>
      </c>
      <c r="O2398" s="40" t="s">
        <v>115</v>
      </c>
      <c r="Q2398" s="40">
        <v>198</v>
      </c>
      <c r="R2398" s="40">
        <v>252</v>
      </c>
      <c r="X2398" s="40">
        <v>90210428</v>
      </c>
      <c r="Y2398" s="40" t="s">
        <v>115</v>
      </c>
      <c r="Z2398" s="40" t="s">
        <v>115</v>
      </c>
      <c r="AA2398" s="40" t="s">
        <v>115</v>
      </c>
      <c r="AB2398" s="40" t="s">
        <v>115</v>
      </c>
      <c r="AC2398" s="40" t="s">
        <v>115</v>
      </c>
      <c r="AI2398" s="40" t="s">
        <v>115</v>
      </c>
      <c r="AP2398" s="4" t="s">
        <v>115</v>
      </c>
    </row>
    <row r="2399" spans="1:42" x14ac:dyDescent="0.15">
      <c r="A2399" s="40" t="s">
        <v>1</v>
      </c>
      <c r="B2399" s="23">
        <v>90210428</v>
      </c>
      <c r="C2399" s="23">
        <v>2104</v>
      </c>
      <c r="D2399" s="23">
        <v>21</v>
      </c>
      <c r="F2399" s="23" t="s">
        <v>931</v>
      </c>
      <c r="G2399" s="23" t="s">
        <v>115</v>
      </c>
      <c r="H2399" s="23" t="s">
        <v>5050</v>
      </c>
      <c r="I2399" s="23">
        <v>3</v>
      </c>
      <c r="J2399" s="40">
        <v>0</v>
      </c>
      <c r="K2399" s="40">
        <v>0</v>
      </c>
      <c r="L2399" s="40" t="s">
        <v>115</v>
      </c>
      <c r="O2399" s="40" t="s">
        <v>115</v>
      </c>
      <c r="Q2399" s="40">
        <v>198</v>
      </c>
      <c r="R2399" s="40">
        <v>252</v>
      </c>
      <c r="X2399" s="40">
        <v>90210429</v>
      </c>
      <c r="Y2399" s="40" t="s">
        <v>115</v>
      </c>
      <c r="Z2399" s="40" t="s">
        <v>115</v>
      </c>
      <c r="AA2399" s="40" t="s">
        <v>115</v>
      </c>
      <c r="AB2399" s="40" t="s">
        <v>115</v>
      </c>
      <c r="AC2399" s="40" t="s">
        <v>115</v>
      </c>
      <c r="AI2399" s="40" t="s">
        <v>115</v>
      </c>
      <c r="AP2399" s="4" t="s">
        <v>115</v>
      </c>
    </row>
    <row r="2400" spans="1:42" x14ac:dyDescent="0.15">
      <c r="A2400" s="40" t="s">
        <v>1</v>
      </c>
      <c r="B2400" s="23">
        <v>90210429</v>
      </c>
      <c r="C2400" s="23">
        <v>2104</v>
      </c>
      <c r="D2400" s="23">
        <v>21</v>
      </c>
      <c r="F2400" s="23" t="s">
        <v>116</v>
      </c>
      <c r="G2400" s="23">
        <v>312</v>
      </c>
      <c r="H2400" s="23" t="s">
        <v>5051</v>
      </c>
      <c r="I2400" s="23">
        <v>0</v>
      </c>
      <c r="J2400" s="40">
        <v>0</v>
      </c>
      <c r="K2400" s="40">
        <v>0</v>
      </c>
      <c r="L2400" s="40" t="s">
        <v>115</v>
      </c>
      <c r="O2400" s="40" t="s">
        <v>115</v>
      </c>
      <c r="Q2400" s="40">
        <v>198</v>
      </c>
      <c r="R2400" s="40">
        <v>252</v>
      </c>
      <c r="X2400" s="40">
        <v>90210430</v>
      </c>
      <c r="Y2400" s="40" t="s">
        <v>115</v>
      </c>
      <c r="Z2400" s="40" t="s">
        <v>115</v>
      </c>
      <c r="AA2400" s="40" t="s">
        <v>115</v>
      </c>
      <c r="AB2400" s="40" t="s">
        <v>115</v>
      </c>
      <c r="AC2400" s="40" t="s">
        <v>115</v>
      </c>
      <c r="AI2400" s="40" t="s">
        <v>115</v>
      </c>
      <c r="AP2400" s="4" t="s">
        <v>115</v>
      </c>
    </row>
    <row r="2401" spans="1:42" x14ac:dyDescent="0.15">
      <c r="A2401" s="40" t="s">
        <v>1</v>
      </c>
      <c r="B2401" s="23">
        <v>90210430</v>
      </c>
      <c r="C2401" s="23">
        <v>2104</v>
      </c>
      <c r="D2401" s="23">
        <v>21</v>
      </c>
      <c r="F2401" s="23" t="s">
        <v>931</v>
      </c>
      <c r="G2401" s="23" t="s">
        <v>115</v>
      </c>
      <c r="H2401" s="23" t="s">
        <v>7162</v>
      </c>
      <c r="I2401" s="23">
        <v>3</v>
      </c>
      <c r="J2401" s="40">
        <v>0</v>
      </c>
      <c r="K2401" s="40">
        <v>5</v>
      </c>
      <c r="L2401" s="40" t="s">
        <v>115</v>
      </c>
      <c r="O2401" s="40">
        <v>1</v>
      </c>
      <c r="Q2401" s="40">
        <v>198</v>
      </c>
      <c r="R2401" s="40">
        <v>252</v>
      </c>
      <c r="X2401" s="40" t="s">
        <v>115</v>
      </c>
      <c r="Y2401" s="40" t="s">
        <v>115</v>
      </c>
      <c r="Z2401" s="40">
        <v>4</v>
      </c>
      <c r="AA2401" s="40" t="s">
        <v>115</v>
      </c>
      <c r="AB2401" s="40" t="s">
        <v>115</v>
      </c>
      <c r="AC2401" s="40" t="s">
        <v>115</v>
      </c>
      <c r="AI2401" s="40" t="s">
        <v>115</v>
      </c>
      <c r="AP2401" s="4" t="s">
        <v>5052</v>
      </c>
    </row>
    <row r="2402" spans="1:42" x14ac:dyDescent="0.15">
      <c r="A2402" s="40" t="s">
        <v>1</v>
      </c>
      <c r="B2402" s="23" t="s">
        <v>4831</v>
      </c>
      <c r="C2402" s="23">
        <v>2105</v>
      </c>
      <c r="D2402" s="23">
        <v>21</v>
      </c>
      <c r="F2402" s="23" t="s">
        <v>115</v>
      </c>
      <c r="G2402" s="23" t="s">
        <v>115</v>
      </c>
      <c r="H2402" s="23" t="s">
        <v>5053</v>
      </c>
      <c r="I2402" s="23">
        <v>4</v>
      </c>
      <c r="J2402" s="40">
        <v>1</v>
      </c>
      <c r="K2402" s="40">
        <v>1</v>
      </c>
      <c r="L2402" s="40" t="s">
        <v>115</v>
      </c>
      <c r="O2402" s="40" t="s">
        <v>115</v>
      </c>
      <c r="Q2402" s="40">
        <v>118</v>
      </c>
      <c r="R2402" s="40" t="s">
        <v>115</v>
      </c>
      <c r="X2402" s="40">
        <v>90210502</v>
      </c>
      <c r="Y2402" s="40" t="s">
        <v>115</v>
      </c>
      <c r="Z2402" s="40" t="s">
        <v>115</v>
      </c>
      <c r="AA2402" s="40" t="s">
        <v>115</v>
      </c>
      <c r="AB2402" s="40" t="s">
        <v>115</v>
      </c>
      <c r="AC2402" s="40" t="s">
        <v>115</v>
      </c>
      <c r="AI2402" s="40" t="s">
        <v>115</v>
      </c>
      <c r="AP2402" s="4" t="s">
        <v>115</v>
      </c>
    </row>
    <row r="2403" spans="1:42" x14ac:dyDescent="0.15">
      <c r="A2403" s="40" t="s">
        <v>1</v>
      </c>
      <c r="B2403" s="23">
        <v>90210502</v>
      </c>
      <c r="C2403" s="23">
        <v>2105</v>
      </c>
      <c r="D2403" s="23">
        <v>21</v>
      </c>
      <c r="F2403" s="23" t="s">
        <v>115</v>
      </c>
      <c r="G2403" s="23" t="s">
        <v>115</v>
      </c>
      <c r="H2403" s="23" t="s">
        <v>5054</v>
      </c>
      <c r="I2403" s="23">
        <v>4</v>
      </c>
      <c r="J2403" s="40">
        <v>0</v>
      </c>
      <c r="K2403" s="40">
        <v>0</v>
      </c>
      <c r="L2403" s="40" t="s">
        <v>115</v>
      </c>
      <c r="O2403" s="40" t="s">
        <v>115</v>
      </c>
      <c r="Q2403" s="40">
        <v>31</v>
      </c>
      <c r="R2403" s="40">
        <v>129</v>
      </c>
      <c r="X2403" s="40">
        <v>90210503</v>
      </c>
      <c r="Y2403" s="40" t="s">
        <v>115</v>
      </c>
      <c r="Z2403" s="40" t="s">
        <v>115</v>
      </c>
      <c r="AA2403" s="40" t="s">
        <v>115</v>
      </c>
      <c r="AB2403" s="40" t="s">
        <v>115</v>
      </c>
      <c r="AC2403" s="40" t="s">
        <v>115</v>
      </c>
      <c r="AI2403" s="40" t="s">
        <v>115</v>
      </c>
      <c r="AP2403" s="4" t="s">
        <v>115</v>
      </c>
    </row>
    <row r="2404" spans="1:42" x14ac:dyDescent="0.15">
      <c r="A2404" s="40" t="s">
        <v>1</v>
      </c>
      <c r="B2404" s="23">
        <v>90210503</v>
      </c>
      <c r="C2404" s="23">
        <v>2105</v>
      </c>
      <c r="D2404" s="23">
        <v>21</v>
      </c>
      <c r="F2404" s="23" t="s">
        <v>116</v>
      </c>
      <c r="G2404" s="23">
        <v>312</v>
      </c>
      <c r="H2404" s="23" t="s">
        <v>5055</v>
      </c>
      <c r="I2404" s="23">
        <v>0</v>
      </c>
      <c r="J2404" s="40">
        <v>0</v>
      </c>
      <c r="K2404" s="40">
        <v>0</v>
      </c>
      <c r="L2404" s="40" t="s">
        <v>115</v>
      </c>
      <c r="O2404" s="40" t="s">
        <v>115</v>
      </c>
      <c r="Q2404" s="40">
        <v>31</v>
      </c>
      <c r="R2404" s="40">
        <v>129</v>
      </c>
      <c r="X2404" s="40">
        <v>90210504</v>
      </c>
      <c r="Y2404" s="40" t="s">
        <v>115</v>
      </c>
      <c r="Z2404" s="40" t="s">
        <v>115</v>
      </c>
      <c r="AA2404" s="40" t="s">
        <v>115</v>
      </c>
      <c r="AB2404" s="40" t="s">
        <v>115</v>
      </c>
      <c r="AC2404" s="40" t="s">
        <v>115</v>
      </c>
      <c r="AI2404" s="40" t="s">
        <v>115</v>
      </c>
      <c r="AP2404" s="4" t="s">
        <v>115</v>
      </c>
    </row>
    <row r="2405" spans="1:42" x14ac:dyDescent="0.15">
      <c r="A2405" s="40" t="s">
        <v>1</v>
      </c>
      <c r="B2405" s="23">
        <v>90210504</v>
      </c>
      <c r="C2405" s="23">
        <v>2105</v>
      </c>
      <c r="D2405" s="23">
        <v>21</v>
      </c>
      <c r="F2405" s="23" t="s">
        <v>115</v>
      </c>
      <c r="G2405" s="23" t="s">
        <v>115</v>
      </c>
      <c r="H2405" s="23" t="s">
        <v>5056</v>
      </c>
      <c r="I2405" s="23">
        <v>4</v>
      </c>
      <c r="J2405" s="40">
        <v>0</v>
      </c>
      <c r="K2405" s="40">
        <v>2</v>
      </c>
      <c r="L2405" s="40" t="s">
        <v>115</v>
      </c>
      <c r="O2405" s="40" t="s">
        <v>115</v>
      </c>
      <c r="Q2405" s="40">
        <v>31</v>
      </c>
      <c r="R2405" s="40">
        <v>129</v>
      </c>
      <c r="X2405" s="40" t="s">
        <v>5057</v>
      </c>
      <c r="Y2405" s="40">
        <v>1</v>
      </c>
      <c r="Z2405" s="40">
        <v>1</v>
      </c>
      <c r="AA2405" s="40" t="s">
        <v>115</v>
      </c>
      <c r="AB2405" s="40" t="s">
        <v>115</v>
      </c>
      <c r="AC2405" s="40" t="s">
        <v>115</v>
      </c>
      <c r="AI2405" s="40" t="s">
        <v>115</v>
      </c>
      <c r="AP2405" s="4" t="s">
        <v>115</v>
      </c>
    </row>
    <row r="2406" spans="1:42" x14ac:dyDescent="0.15">
      <c r="A2406" s="40" t="s">
        <v>1</v>
      </c>
      <c r="B2406" s="23">
        <v>90210505</v>
      </c>
      <c r="C2406" s="23">
        <v>2105</v>
      </c>
      <c r="D2406" s="23">
        <v>21</v>
      </c>
      <c r="F2406" s="23" t="s">
        <v>115</v>
      </c>
      <c r="G2406" s="23" t="s">
        <v>115</v>
      </c>
      <c r="H2406" s="23" t="s">
        <v>2349</v>
      </c>
      <c r="I2406" s="23">
        <v>4</v>
      </c>
      <c r="J2406" s="40">
        <v>0</v>
      </c>
      <c r="K2406" s="40">
        <v>3</v>
      </c>
      <c r="L2406" s="40" t="s">
        <v>115</v>
      </c>
      <c r="O2406" s="40" t="s">
        <v>115</v>
      </c>
      <c r="Q2406" s="40">
        <v>31</v>
      </c>
      <c r="R2406" s="40">
        <v>129</v>
      </c>
      <c r="X2406" s="40">
        <v>90210506</v>
      </c>
      <c r="Y2406" s="40">
        <v>-1</v>
      </c>
      <c r="Z2406" s="40">
        <v>2</v>
      </c>
      <c r="AA2406" s="40" t="s">
        <v>115</v>
      </c>
      <c r="AB2406" s="40" t="s">
        <v>115</v>
      </c>
      <c r="AC2406" s="40" t="s">
        <v>5058</v>
      </c>
      <c r="AI2406" s="40" t="s">
        <v>115</v>
      </c>
      <c r="AP2406" s="4" t="s">
        <v>115</v>
      </c>
    </row>
    <row r="2407" spans="1:42" x14ac:dyDescent="0.15">
      <c r="A2407" s="40" t="s">
        <v>1</v>
      </c>
      <c r="B2407" s="23">
        <v>90210506</v>
      </c>
      <c r="C2407" s="23">
        <v>2105</v>
      </c>
      <c r="D2407" s="23">
        <v>21</v>
      </c>
      <c r="F2407" s="23" t="s">
        <v>116</v>
      </c>
      <c r="G2407" s="23">
        <v>313</v>
      </c>
      <c r="H2407" s="23" t="s">
        <v>5059</v>
      </c>
      <c r="I2407" s="23">
        <v>0</v>
      </c>
      <c r="J2407" s="40">
        <v>0</v>
      </c>
      <c r="K2407" s="40">
        <v>0</v>
      </c>
      <c r="L2407" s="40" t="s">
        <v>115</v>
      </c>
      <c r="O2407" s="40" t="s">
        <v>115</v>
      </c>
      <c r="Q2407" s="40">
        <v>31</v>
      </c>
      <c r="R2407" s="40">
        <v>129</v>
      </c>
      <c r="X2407" s="40">
        <v>90210507</v>
      </c>
      <c r="Y2407" s="40" t="s">
        <v>115</v>
      </c>
      <c r="Z2407" s="40" t="s">
        <v>115</v>
      </c>
      <c r="AA2407" s="40" t="s">
        <v>115</v>
      </c>
      <c r="AB2407" s="40" t="s">
        <v>115</v>
      </c>
      <c r="AC2407" s="40" t="s">
        <v>115</v>
      </c>
      <c r="AI2407" s="40" t="s">
        <v>115</v>
      </c>
      <c r="AP2407" s="4" t="s">
        <v>115</v>
      </c>
    </row>
    <row r="2408" spans="1:42" x14ac:dyDescent="0.15">
      <c r="A2408" s="40" t="s">
        <v>1</v>
      </c>
      <c r="B2408" s="23">
        <v>90210507</v>
      </c>
      <c r="C2408" s="23">
        <v>2105</v>
      </c>
      <c r="D2408" s="23">
        <v>21</v>
      </c>
      <c r="F2408" s="23" t="s">
        <v>115</v>
      </c>
      <c r="G2408" s="23" t="s">
        <v>115</v>
      </c>
      <c r="H2408" s="23" t="s">
        <v>5060</v>
      </c>
      <c r="I2408" s="23">
        <v>4</v>
      </c>
      <c r="J2408" s="40">
        <v>0</v>
      </c>
      <c r="K2408" s="40">
        <v>0</v>
      </c>
      <c r="L2408" s="40" t="s">
        <v>115</v>
      </c>
      <c r="O2408" s="40" t="s">
        <v>115</v>
      </c>
      <c r="Q2408" s="40">
        <v>31</v>
      </c>
      <c r="R2408" s="40">
        <v>129</v>
      </c>
      <c r="X2408" s="40">
        <v>90210508</v>
      </c>
      <c r="Y2408" s="40" t="s">
        <v>115</v>
      </c>
      <c r="Z2408" s="40" t="s">
        <v>115</v>
      </c>
      <c r="AA2408" s="40" t="s">
        <v>115</v>
      </c>
      <c r="AB2408" s="40" t="s">
        <v>115</v>
      </c>
      <c r="AC2408" s="40" t="s">
        <v>115</v>
      </c>
      <c r="AI2408" s="40" t="s">
        <v>115</v>
      </c>
      <c r="AP2408" s="4" t="s">
        <v>115</v>
      </c>
    </row>
    <row r="2409" spans="1:42" x14ac:dyDescent="0.15">
      <c r="A2409" s="40" t="s">
        <v>1</v>
      </c>
      <c r="B2409" s="23">
        <v>90210508</v>
      </c>
      <c r="C2409" s="23">
        <v>2105</v>
      </c>
      <c r="D2409" s="23">
        <v>21</v>
      </c>
      <c r="F2409" s="23" t="s">
        <v>5061</v>
      </c>
      <c r="G2409" s="23" t="s">
        <v>115</v>
      </c>
      <c r="H2409" s="23" t="s">
        <v>7163</v>
      </c>
      <c r="I2409" s="23">
        <v>3</v>
      </c>
      <c r="J2409" s="40">
        <v>0</v>
      </c>
      <c r="K2409" s="40">
        <v>0</v>
      </c>
      <c r="L2409" s="40" t="s">
        <v>115</v>
      </c>
      <c r="O2409" s="40" t="s">
        <v>115</v>
      </c>
      <c r="Q2409" s="40">
        <v>31</v>
      </c>
      <c r="R2409" s="40">
        <v>129</v>
      </c>
      <c r="X2409" s="40">
        <v>90210509</v>
      </c>
      <c r="Y2409" s="40" t="s">
        <v>115</v>
      </c>
      <c r="Z2409" s="40" t="s">
        <v>115</v>
      </c>
      <c r="AA2409" s="40" t="s">
        <v>115</v>
      </c>
      <c r="AB2409" s="40" t="s">
        <v>115</v>
      </c>
      <c r="AC2409" s="40" t="s">
        <v>115</v>
      </c>
      <c r="AI2409" s="40" t="s">
        <v>115</v>
      </c>
      <c r="AP2409" s="4" t="s">
        <v>115</v>
      </c>
    </row>
    <row r="2410" spans="1:42" x14ac:dyDescent="0.15">
      <c r="A2410" s="40" t="s">
        <v>1</v>
      </c>
      <c r="B2410" s="23">
        <v>90210509</v>
      </c>
      <c r="C2410" s="23">
        <v>2105</v>
      </c>
      <c r="D2410" s="23">
        <v>21</v>
      </c>
      <c r="F2410" s="23" t="s">
        <v>116</v>
      </c>
      <c r="G2410" s="23">
        <v>313</v>
      </c>
      <c r="H2410" s="23" t="s">
        <v>5062</v>
      </c>
      <c r="I2410" s="23">
        <v>0</v>
      </c>
      <c r="J2410" s="40">
        <v>0</v>
      </c>
      <c r="K2410" s="40">
        <v>0</v>
      </c>
      <c r="L2410" s="40" t="s">
        <v>115</v>
      </c>
      <c r="O2410" s="40" t="s">
        <v>115</v>
      </c>
      <c r="Q2410" s="40">
        <v>31</v>
      </c>
      <c r="R2410" s="40">
        <v>129</v>
      </c>
      <c r="X2410" s="40">
        <v>90210510</v>
      </c>
      <c r="Y2410" s="40" t="s">
        <v>115</v>
      </c>
      <c r="Z2410" s="40" t="s">
        <v>115</v>
      </c>
      <c r="AA2410" s="40" t="s">
        <v>115</v>
      </c>
      <c r="AB2410" s="40" t="s">
        <v>115</v>
      </c>
      <c r="AC2410" s="40" t="s">
        <v>115</v>
      </c>
      <c r="AI2410" s="40" t="s">
        <v>115</v>
      </c>
      <c r="AP2410" s="4" t="s">
        <v>115</v>
      </c>
    </row>
    <row r="2411" spans="1:42" x14ac:dyDescent="0.15">
      <c r="A2411" s="40" t="s">
        <v>1</v>
      </c>
      <c r="B2411" s="23">
        <v>90210510</v>
      </c>
      <c r="C2411" s="23">
        <v>2105</v>
      </c>
      <c r="D2411" s="23">
        <v>21</v>
      </c>
      <c r="F2411" s="23" t="s">
        <v>5061</v>
      </c>
      <c r="G2411" s="23" t="s">
        <v>115</v>
      </c>
      <c r="H2411" s="23" t="s">
        <v>5063</v>
      </c>
      <c r="I2411" s="23">
        <v>3</v>
      </c>
      <c r="J2411" s="40">
        <v>0</v>
      </c>
      <c r="K2411" s="40">
        <v>0</v>
      </c>
      <c r="L2411" s="40" t="s">
        <v>115</v>
      </c>
      <c r="O2411" s="40" t="s">
        <v>115</v>
      </c>
      <c r="Q2411" s="40">
        <v>31</v>
      </c>
      <c r="R2411" s="40">
        <v>129</v>
      </c>
      <c r="X2411" s="40">
        <v>90210511</v>
      </c>
      <c r="Y2411" s="40" t="s">
        <v>115</v>
      </c>
      <c r="Z2411" s="40" t="s">
        <v>115</v>
      </c>
      <c r="AA2411" s="40" t="s">
        <v>115</v>
      </c>
      <c r="AB2411" s="40" t="s">
        <v>115</v>
      </c>
      <c r="AC2411" s="40" t="s">
        <v>115</v>
      </c>
      <c r="AI2411" s="40" t="s">
        <v>115</v>
      </c>
      <c r="AP2411" s="4" t="s">
        <v>115</v>
      </c>
    </row>
    <row r="2412" spans="1:42" x14ac:dyDescent="0.15">
      <c r="A2412" s="40" t="s">
        <v>1</v>
      </c>
      <c r="B2412" s="23">
        <v>90210511</v>
      </c>
      <c r="C2412" s="23">
        <v>2105</v>
      </c>
      <c r="D2412" s="23">
        <v>21</v>
      </c>
      <c r="F2412" s="23" t="s">
        <v>115</v>
      </c>
      <c r="G2412" s="23" t="s">
        <v>115</v>
      </c>
      <c r="H2412" s="23" t="s">
        <v>5064</v>
      </c>
      <c r="I2412" s="23">
        <v>4</v>
      </c>
      <c r="J2412" s="40">
        <v>0</v>
      </c>
      <c r="K2412" s="40">
        <v>0</v>
      </c>
      <c r="L2412" s="40" t="s">
        <v>115</v>
      </c>
      <c r="O2412" s="40" t="s">
        <v>115</v>
      </c>
      <c r="Q2412" s="40">
        <v>31</v>
      </c>
      <c r="R2412" s="40">
        <v>129</v>
      </c>
      <c r="X2412" s="40">
        <v>90210512</v>
      </c>
      <c r="Y2412" s="40" t="s">
        <v>115</v>
      </c>
      <c r="Z2412" s="40" t="s">
        <v>115</v>
      </c>
      <c r="AA2412" s="40" t="s">
        <v>115</v>
      </c>
      <c r="AB2412" s="40" t="s">
        <v>115</v>
      </c>
      <c r="AC2412" s="40" t="s">
        <v>115</v>
      </c>
      <c r="AI2412" s="40" t="s">
        <v>115</v>
      </c>
      <c r="AP2412" s="4" t="s">
        <v>115</v>
      </c>
    </row>
    <row r="2413" spans="1:42" x14ac:dyDescent="0.15">
      <c r="A2413" s="40" t="s">
        <v>1</v>
      </c>
      <c r="B2413" s="23">
        <v>90210512</v>
      </c>
      <c r="C2413" s="23">
        <v>2105</v>
      </c>
      <c r="D2413" s="23">
        <v>21</v>
      </c>
      <c r="F2413" s="23" t="s">
        <v>5061</v>
      </c>
      <c r="G2413" s="23" t="s">
        <v>115</v>
      </c>
      <c r="H2413" s="23" t="s">
        <v>7164</v>
      </c>
      <c r="I2413" s="23">
        <v>3</v>
      </c>
      <c r="J2413" s="40">
        <v>0</v>
      </c>
      <c r="K2413" s="40">
        <v>0</v>
      </c>
      <c r="L2413" s="40" t="s">
        <v>115</v>
      </c>
      <c r="O2413" s="40" t="s">
        <v>115</v>
      </c>
      <c r="Q2413" s="40">
        <v>31</v>
      </c>
      <c r="R2413" s="40">
        <v>129</v>
      </c>
      <c r="X2413" s="40">
        <v>90210513</v>
      </c>
      <c r="Y2413" s="40" t="s">
        <v>115</v>
      </c>
      <c r="Z2413" s="40" t="s">
        <v>115</v>
      </c>
      <c r="AA2413" s="40" t="s">
        <v>115</v>
      </c>
      <c r="AB2413" s="40" t="s">
        <v>115</v>
      </c>
      <c r="AC2413" s="40" t="s">
        <v>115</v>
      </c>
      <c r="AI2413" s="40" t="s">
        <v>115</v>
      </c>
      <c r="AP2413" s="4" t="s">
        <v>115</v>
      </c>
    </row>
    <row r="2414" spans="1:42" x14ac:dyDescent="0.15">
      <c r="A2414" s="40" t="s">
        <v>1</v>
      </c>
      <c r="B2414" s="23">
        <v>90210513</v>
      </c>
      <c r="C2414" s="23">
        <v>2105</v>
      </c>
      <c r="D2414" s="23">
        <v>21</v>
      </c>
      <c r="F2414" s="23" t="s">
        <v>115</v>
      </c>
      <c r="G2414" s="23" t="s">
        <v>115</v>
      </c>
      <c r="H2414" s="23" t="s">
        <v>7165</v>
      </c>
      <c r="I2414" s="23">
        <v>4</v>
      </c>
      <c r="J2414" s="40">
        <v>0</v>
      </c>
      <c r="K2414" s="40">
        <v>0</v>
      </c>
      <c r="L2414" s="40" t="s">
        <v>115</v>
      </c>
      <c r="O2414" s="40" t="s">
        <v>115</v>
      </c>
      <c r="Q2414" s="40">
        <v>31</v>
      </c>
      <c r="R2414" s="40">
        <v>129</v>
      </c>
      <c r="X2414" s="40">
        <v>90210514</v>
      </c>
      <c r="Y2414" s="40" t="s">
        <v>115</v>
      </c>
      <c r="Z2414" s="40" t="s">
        <v>115</v>
      </c>
      <c r="AA2414" s="40" t="s">
        <v>115</v>
      </c>
      <c r="AB2414" s="40" t="s">
        <v>115</v>
      </c>
      <c r="AC2414" s="40" t="s">
        <v>115</v>
      </c>
      <c r="AI2414" s="40" t="s">
        <v>115</v>
      </c>
      <c r="AP2414" s="4" t="s">
        <v>115</v>
      </c>
    </row>
    <row r="2415" spans="1:42" x14ac:dyDescent="0.15">
      <c r="A2415" s="40" t="s">
        <v>1</v>
      </c>
      <c r="B2415" s="23">
        <v>90210514</v>
      </c>
      <c r="C2415" s="23">
        <v>2105</v>
      </c>
      <c r="D2415" s="23">
        <v>21</v>
      </c>
      <c r="F2415" s="23" t="s">
        <v>5061</v>
      </c>
      <c r="G2415" s="23" t="s">
        <v>115</v>
      </c>
      <c r="H2415" s="23" t="s">
        <v>7166</v>
      </c>
      <c r="I2415" s="23">
        <v>3</v>
      </c>
      <c r="J2415" s="40">
        <v>0</v>
      </c>
      <c r="K2415" s="40">
        <v>0</v>
      </c>
      <c r="L2415" s="40" t="s">
        <v>115</v>
      </c>
      <c r="O2415" s="40" t="s">
        <v>115</v>
      </c>
      <c r="Q2415" s="40">
        <v>31</v>
      </c>
      <c r="R2415" s="40">
        <v>129</v>
      </c>
      <c r="X2415" s="40">
        <v>90210515</v>
      </c>
      <c r="Y2415" s="40" t="s">
        <v>115</v>
      </c>
      <c r="Z2415" s="40" t="s">
        <v>115</v>
      </c>
      <c r="AA2415" s="40" t="s">
        <v>115</v>
      </c>
      <c r="AB2415" s="40" t="s">
        <v>115</v>
      </c>
      <c r="AC2415" s="40" t="s">
        <v>115</v>
      </c>
      <c r="AI2415" s="40" t="s">
        <v>115</v>
      </c>
      <c r="AP2415" s="4" t="s">
        <v>115</v>
      </c>
    </row>
    <row r="2416" spans="1:42" x14ac:dyDescent="0.15">
      <c r="A2416" s="40" t="s">
        <v>1</v>
      </c>
      <c r="B2416" s="23">
        <v>90210515</v>
      </c>
      <c r="C2416" s="23">
        <v>2105</v>
      </c>
      <c r="D2416" s="23">
        <v>21</v>
      </c>
      <c r="F2416" s="23" t="s">
        <v>5061</v>
      </c>
      <c r="G2416" s="23" t="s">
        <v>115</v>
      </c>
      <c r="H2416" s="23" t="s">
        <v>7167</v>
      </c>
      <c r="I2416" s="23">
        <v>3</v>
      </c>
      <c r="J2416" s="40">
        <v>0</v>
      </c>
      <c r="K2416" s="40">
        <v>0</v>
      </c>
      <c r="L2416" s="40" t="s">
        <v>115</v>
      </c>
      <c r="O2416" s="40" t="s">
        <v>115</v>
      </c>
      <c r="Q2416" s="40">
        <v>31</v>
      </c>
      <c r="R2416" s="40">
        <v>129</v>
      </c>
      <c r="X2416" s="40">
        <v>90210516</v>
      </c>
      <c r="Y2416" s="40" t="s">
        <v>115</v>
      </c>
      <c r="Z2416" s="40" t="s">
        <v>115</v>
      </c>
      <c r="AA2416" s="40" t="s">
        <v>115</v>
      </c>
      <c r="AB2416" s="40" t="s">
        <v>115</v>
      </c>
      <c r="AC2416" s="40" t="s">
        <v>115</v>
      </c>
      <c r="AI2416" s="40" t="s">
        <v>115</v>
      </c>
      <c r="AP2416" s="4" t="s">
        <v>115</v>
      </c>
    </row>
    <row r="2417" spans="1:42" x14ac:dyDescent="0.15">
      <c r="A2417" s="40" t="s">
        <v>1</v>
      </c>
      <c r="B2417" s="23">
        <v>90210516</v>
      </c>
      <c r="C2417" s="23">
        <v>2105</v>
      </c>
      <c r="D2417" s="23">
        <v>21</v>
      </c>
      <c r="F2417" s="23" t="s">
        <v>5061</v>
      </c>
      <c r="G2417" s="23" t="s">
        <v>115</v>
      </c>
      <c r="H2417" s="23" t="s">
        <v>7168</v>
      </c>
      <c r="I2417" s="23">
        <v>3</v>
      </c>
      <c r="J2417" s="40">
        <v>0</v>
      </c>
      <c r="K2417" s="40">
        <v>0</v>
      </c>
      <c r="L2417" s="40" t="s">
        <v>115</v>
      </c>
      <c r="O2417" s="40" t="s">
        <v>115</v>
      </c>
      <c r="Q2417" s="40">
        <v>31</v>
      </c>
      <c r="R2417" s="40">
        <v>129</v>
      </c>
      <c r="X2417" s="40">
        <v>90210517</v>
      </c>
      <c r="Y2417" s="40" t="s">
        <v>115</v>
      </c>
      <c r="Z2417" s="40" t="s">
        <v>115</v>
      </c>
      <c r="AA2417" s="40" t="s">
        <v>115</v>
      </c>
      <c r="AB2417" s="40" t="s">
        <v>115</v>
      </c>
      <c r="AC2417" s="40" t="s">
        <v>115</v>
      </c>
      <c r="AI2417" s="40" t="s">
        <v>115</v>
      </c>
      <c r="AP2417" s="4" t="s">
        <v>115</v>
      </c>
    </row>
    <row r="2418" spans="1:42" x14ac:dyDescent="0.15">
      <c r="A2418" s="40" t="s">
        <v>1</v>
      </c>
      <c r="B2418" s="23">
        <v>90210517</v>
      </c>
      <c r="C2418" s="23">
        <v>2105</v>
      </c>
      <c r="D2418" s="23">
        <v>21</v>
      </c>
      <c r="F2418" s="23" t="s">
        <v>116</v>
      </c>
      <c r="G2418" s="23">
        <v>314</v>
      </c>
      <c r="H2418" s="23" t="s">
        <v>7169</v>
      </c>
      <c r="I2418" s="23">
        <v>2</v>
      </c>
      <c r="J2418" s="40">
        <v>0</v>
      </c>
      <c r="K2418" s="40">
        <v>4</v>
      </c>
      <c r="L2418" s="40" t="s">
        <v>5065</v>
      </c>
      <c r="O2418" s="40" t="s">
        <v>115</v>
      </c>
      <c r="Q2418" s="40">
        <v>31</v>
      </c>
      <c r="R2418" s="40">
        <v>129</v>
      </c>
      <c r="X2418" s="40">
        <v>90210518</v>
      </c>
      <c r="Y2418" s="40" t="s">
        <v>115</v>
      </c>
      <c r="Z2418" s="40">
        <v>3</v>
      </c>
      <c r="AA2418" s="40" t="s">
        <v>115</v>
      </c>
      <c r="AB2418" s="40" t="s">
        <v>115</v>
      </c>
      <c r="AC2418" s="40" t="s">
        <v>115</v>
      </c>
      <c r="AI2418" s="40" t="s">
        <v>115</v>
      </c>
      <c r="AP2418" s="4" t="s">
        <v>115</v>
      </c>
    </row>
    <row r="2419" spans="1:42" x14ac:dyDescent="0.15">
      <c r="A2419" s="40" t="s">
        <v>1</v>
      </c>
      <c r="B2419" s="23">
        <v>90210518</v>
      </c>
      <c r="C2419" s="23">
        <v>2105</v>
      </c>
      <c r="D2419" s="23">
        <v>21</v>
      </c>
      <c r="F2419" s="23" t="s">
        <v>5061</v>
      </c>
      <c r="G2419" s="23" t="s">
        <v>115</v>
      </c>
      <c r="H2419" s="23" t="s">
        <v>5066</v>
      </c>
      <c r="I2419" s="23">
        <v>3</v>
      </c>
      <c r="J2419" s="40">
        <v>0</v>
      </c>
      <c r="K2419" s="40">
        <v>0</v>
      </c>
      <c r="L2419" s="40" t="s">
        <v>115</v>
      </c>
      <c r="O2419" s="40" t="s">
        <v>115</v>
      </c>
      <c r="Q2419" s="40">
        <v>31</v>
      </c>
      <c r="R2419" s="40">
        <v>129</v>
      </c>
      <c r="X2419" s="40">
        <v>90210519</v>
      </c>
      <c r="Y2419" s="40" t="s">
        <v>115</v>
      </c>
      <c r="Z2419" s="40" t="s">
        <v>115</v>
      </c>
      <c r="AA2419" s="40" t="s">
        <v>115</v>
      </c>
      <c r="AB2419" s="40" t="s">
        <v>115</v>
      </c>
      <c r="AC2419" s="40" t="s">
        <v>115</v>
      </c>
      <c r="AI2419" s="40" t="s">
        <v>115</v>
      </c>
      <c r="AP2419" s="4" t="s">
        <v>115</v>
      </c>
    </row>
    <row r="2420" spans="1:42" x14ac:dyDescent="0.15">
      <c r="A2420" s="40" t="s">
        <v>1</v>
      </c>
      <c r="B2420" s="23">
        <v>90210519</v>
      </c>
      <c r="C2420" s="23">
        <v>2105</v>
      </c>
      <c r="D2420" s="23">
        <v>21</v>
      </c>
      <c r="F2420" s="23" t="s">
        <v>5061</v>
      </c>
      <c r="G2420" s="23" t="s">
        <v>115</v>
      </c>
      <c r="H2420" s="23" t="s">
        <v>5067</v>
      </c>
      <c r="I2420" s="23">
        <v>3</v>
      </c>
      <c r="J2420" s="40">
        <v>0</v>
      </c>
      <c r="K2420" s="40">
        <v>0</v>
      </c>
      <c r="L2420" s="40" t="s">
        <v>115</v>
      </c>
      <c r="O2420" s="40" t="s">
        <v>115</v>
      </c>
      <c r="Q2420" s="40">
        <v>31</v>
      </c>
      <c r="R2420" s="40">
        <v>129</v>
      </c>
      <c r="X2420" s="40">
        <v>90210520</v>
      </c>
      <c r="Y2420" s="40" t="s">
        <v>115</v>
      </c>
      <c r="Z2420" s="40" t="s">
        <v>115</v>
      </c>
      <c r="AA2420" s="40" t="s">
        <v>115</v>
      </c>
      <c r="AB2420" s="40" t="s">
        <v>115</v>
      </c>
      <c r="AC2420" s="40" t="s">
        <v>115</v>
      </c>
      <c r="AI2420" s="40" t="s">
        <v>115</v>
      </c>
      <c r="AP2420" s="4" t="s">
        <v>115</v>
      </c>
    </row>
    <row r="2421" spans="1:42" x14ac:dyDescent="0.15">
      <c r="A2421" s="40" t="s">
        <v>1</v>
      </c>
      <c r="B2421" s="23">
        <v>90210520</v>
      </c>
      <c r="C2421" s="23">
        <v>2105</v>
      </c>
      <c r="D2421" s="23">
        <v>21</v>
      </c>
      <c r="F2421" s="23" t="s">
        <v>5061</v>
      </c>
      <c r="G2421" s="23" t="s">
        <v>115</v>
      </c>
      <c r="H2421" s="23" t="s">
        <v>5068</v>
      </c>
      <c r="I2421" s="23">
        <v>3</v>
      </c>
      <c r="J2421" s="40">
        <v>0</v>
      </c>
      <c r="K2421" s="40">
        <v>0</v>
      </c>
      <c r="L2421" s="40" t="s">
        <v>115</v>
      </c>
      <c r="O2421" s="40" t="s">
        <v>115</v>
      </c>
      <c r="Q2421" s="40">
        <v>31</v>
      </c>
      <c r="R2421" s="40">
        <v>129</v>
      </c>
      <c r="X2421" s="40">
        <v>90210521</v>
      </c>
      <c r="Y2421" s="40" t="s">
        <v>115</v>
      </c>
      <c r="Z2421" s="40" t="s">
        <v>115</v>
      </c>
      <c r="AA2421" s="40" t="s">
        <v>115</v>
      </c>
      <c r="AB2421" s="40" t="s">
        <v>115</v>
      </c>
      <c r="AC2421" s="40" t="s">
        <v>115</v>
      </c>
      <c r="AI2421" s="40" t="s">
        <v>115</v>
      </c>
      <c r="AP2421" s="4" t="s">
        <v>115</v>
      </c>
    </row>
    <row r="2422" spans="1:42" x14ac:dyDescent="0.15">
      <c r="A2422" s="40" t="s">
        <v>1</v>
      </c>
      <c r="B2422" s="23">
        <v>90210521</v>
      </c>
      <c r="C2422" s="23">
        <v>2105</v>
      </c>
      <c r="D2422" s="23">
        <v>21</v>
      </c>
      <c r="F2422" s="23" t="s">
        <v>115</v>
      </c>
      <c r="G2422" s="23" t="s">
        <v>115</v>
      </c>
      <c r="H2422" s="23" t="s">
        <v>5069</v>
      </c>
      <c r="I2422" s="23">
        <v>4</v>
      </c>
      <c r="J2422" s="40">
        <v>0</v>
      </c>
      <c r="K2422" s="40">
        <v>0</v>
      </c>
      <c r="L2422" s="40" t="s">
        <v>115</v>
      </c>
      <c r="O2422" s="40" t="s">
        <v>115</v>
      </c>
      <c r="Q2422" s="40">
        <v>118</v>
      </c>
      <c r="R2422" s="40" t="s">
        <v>115</v>
      </c>
      <c r="X2422" s="40">
        <v>90210522</v>
      </c>
      <c r="Y2422" s="40" t="s">
        <v>115</v>
      </c>
      <c r="Z2422" s="40" t="s">
        <v>115</v>
      </c>
      <c r="AA2422" s="40" t="s">
        <v>115</v>
      </c>
      <c r="AB2422" s="40" t="s">
        <v>115</v>
      </c>
      <c r="AC2422" s="40" t="s">
        <v>115</v>
      </c>
      <c r="AI2422" s="40" t="s">
        <v>115</v>
      </c>
      <c r="AP2422" s="4" t="s">
        <v>115</v>
      </c>
    </row>
    <row r="2423" spans="1:42" x14ac:dyDescent="0.15">
      <c r="A2423" s="40" t="s">
        <v>1</v>
      </c>
      <c r="B2423" s="23">
        <v>90210522</v>
      </c>
      <c r="C2423" s="23">
        <v>2105</v>
      </c>
      <c r="D2423" s="23">
        <v>21</v>
      </c>
      <c r="F2423" s="23" t="s">
        <v>116</v>
      </c>
      <c r="G2423" s="23">
        <v>314</v>
      </c>
      <c r="H2423" s="23" t="s">
        <v>7170</v>
      </c>
      <c r="I2423" s="23">
        <v>2</v>
      </c>
      <c r="J2423" s="40">
        <v>0</v>
      </c>
      <c r="K2423" s="40">
        <v>5</v>
      </c>
      <c r="L2423" s="40" t="s">
        <v>115</v>
      </c>
      <c r="O2423" s="40">
        <v>1</v>
      </c>
      <c r="Q2423" s="40">
        <v>118</v>
      </c>
      <c r="R2423" s="40" t="s">
        <v>115</v>
      </c>
      <c r="X2423" s="40" t="s">
        <v>115</v>
      </c>
      <c r="Y2423" s="40" t="s">
        <v>115</v>
      </c>
      <c r="Z2423" s="40">
        <v>4</v>
      </c>
      <c r="AA2423" s="40" t="s">
        <v>115</v>
      </c>
      <c r="AB2423" s="40" t="s">
        <v>115</v>
      </c>
      <c r="AC2423" s="40" t="s">
        <v>115</v>
      </c>
      <c r="AI2423" s="40" t="s">
        <v>115</v>
      </c>
      <c r="AP2423" s="4" t="s">
        <v>5070</v>
      </c>
    </row>
    <row r="2424" spans="1:42" x14ac:dyDescent="0.15">
      <c r="A2424" s="40" t="s">
        <v>1</v>
      </c>
      <c r="B2424" s="23" t="s">
        <v>4832</v>
      </c>
      <c r="C2424" s="23">
        <v>2106</v>
      </c>
      <c r="D2424" s="23">
        <v>21</v>
      </c>
      <c r="F2424" s="23" t="s">
        <v>115</v>
      </c>
      <c r="G2424" s="23" t="s">
        <v>115</v>
      </c>
      <c r="H2424" s="23" t="s">
        <v>5071</v>
      </c>
      <c r="I2424" s="23">
        <v>4</v>
      </c>
      <c r="J2424" s="40">
        <v>1</v>
      </c>
      <c r="K2424" s="40">
        <v>1</v>
      </c>
      <c r="L2424" s="40" t="s">
        <v>115</v>
      </c>
      <c r="O2424" s="40" t="s">
        <v>115</v>
      </c>
      <c r="Q2424" s="40">
        <v>174</v>
      </c>
      <c r="R2424" s="40" t="s">
        <v>115</v>
      </c>
      <c r="X2424" s="40">
        <v>90210602</v>
      </c>
      <c r="Y2424" s="40" t="s">
        <v>115</v>
      </c>
      <c r="Z2424" s="40" t="s">
        <v>115</v>
      </c>
      <c r="AA2424" s="40" t="s">
        <v>115</v>
      </c>
      <c r="AB2424" s="40" t="s">
        <v>115</v>
      </c>
      <c r="AC2424" s="40" t="s">
        <v>115</v>
      </c>
      <c r="AI2424" s="40" t="s">
        <v>115</v>
      </c>
      <c r="AP2424" s="4" t="s">
        <v>115</v>
      </c>
    </row>
    <row r="2425" spans="1:42" x14ac:dyDescent="0.15">
      <c r="A2425" s="40" t="s">
        <v>1</v>
      </c>
      <c r="B2425" s="23">
        <v>90210602</v>
      </c>
      <c r="C2425" s="23">
        <v>2106</v>
      </c>
      <c r="D2425" s="23">
        <v>21</v>
      </c>
      <c r="F2425" s="23" t="s">
        <v>3679</v>
      </c>
      <c r="G2425" s="23" t="s">
        <v>115</v>
      </c>
      <c r="H2425" s="23" t="s">
        <v>5072</v>
      </c>
      <c r="I2425" s="23">
        <v>3</v>
      </c>
      <c r="J2425" s="40">
        <v>0</v>
      </c>
      <c r="K2425" s="40">
        <v>0</v>
      </c>
      <c r="L2425" s="40" t="s">
        <v>115</v>
      </c>
      <c r="O2425" s="40" t="s">
        <v>115</v>
      </c>
      <c r="Q2425" s="40">
        <v>174</v>
      </c>
      <c r="R2425" s="40">
        <v>248</v>
      </c>
      <c r="X2425" s="40">
        <v>90210603</v>
      </c>
      <c r="Y2425" s="40" t="s">
        <v>115</v>
      </c>
      <c r="Z2425" s="40" t="s">
        <v>115</v>
      </c>
      <c r="AA2425" s="40" t="s">
        <v>115</v>
      </c>
      <c r="AB2425" s="40" t="s">
        <v>115</v>
      </c>
      <c r="AC2425" s="40" t="s">
        <v>115</v>
      </c>
      <c r="AI2425" s="40" t="s">
        <v>115</v>
      </c>
      <c r="AP2425" s="4" t="s">
        <v>115</v>
      </c>
    </row>
    <row r="2426" spans="1:42" x14ac:dyDescent="0.15">
      <c r="A2426" s="40" t="s">
        <v>1</v>
      </c>
      <c r="B2426" s="23">
        <v>90210603</v>
      </c>
      <c r="C2426" s="23">
        <v>2106</v>
      </c>
      <c r="D2426" s="23">
        <v>21</v>
      </c>
      <c r="F2426" s="23" t="s">
        <v>115</v>
      </c>
      <c r="G2426" s="23" t="s">
        <v>115</v>
      </c>
      <c r="H2426" s="23" t="s">
        <v>5073</v>
      </c>
      <c r="I2426" s="23">
        <v>4</v>
      </c>
      <c r="J2426" s="40">
        <v>0</v>
      </c>
      <c r="K2426" s="40">
        <v>2</v>
      </c>
      <c r="L2426" s="40" t="s">
        <v>115</v>
      </c>
      <c r="O2426" s="40" t="s">
        <v>115</v>
      </c>
      <c r="Q2426" s="40">
        <v>174</v>
      </c>
      <c r="R2426" s="40">
        <v>248</v>
      </c>
      <c r="X2426" s="40" t="s">
        <v>5074</v>
      </c>
      <c r="Y2426" s="40">
        <v>1</v>
      </c>
      <c r="Z2426" s="40">
        <v>1</v>
      </c>
      <c r="AA2426" s="40" t="s">
        <v>5075</v>
      </c>
      <c r="AB2426" s="40" t="s">
        <v>115</v>
      </c>
      <c r="AC2426" s="40" t="s">
        <v>115</v>
      </c>
      <c r="AI2426" s="40" t="s">
        <v>115</v>
      </c>
      <c r="AP2426" s="4" t="s">
        <v>115</v>
      </c>
    </row>
    <row r="2427" spans="1:42" x14ac:dyDescent="0.15">
      <c r="A2427" s="40" t="s">
        <v>1</v>
      </c>
      <c r="B2427" s="23">
        <v>90210604</v>
      </c>
      <c r="C2427" s="23">
        <v>2106</v>
      </c>
      <c r="D2427" s="23">
        <v>21</v>
      </c>
      <c r="F2427" s="23" t="s">
        <v>115</v>
      </c>
      <c r="G2427" s="23" t="s">
        <v>115</v>
      </c>
      <c r="H2427" s="23" t="s">
        <v>5076</v>
      </c>
      <c r="I2427" s="23">
        <v>4</v>
      </c>
      <c r="J2427" s="40">
        <v>0</v>
      </c>
      <c r="K2427" s="40">
        <v>3</v>
      </c>
      <c r="L2427" s="40" t="s">
        <v>115</v>
      </c>
      <c r="O2427" s="40" t="s">
        <v>115</v>
      </c>
      <c r="Q2427" s="40">
        <v>174</v>
      </c>
      <c r="R2427" s="40">
        <v>248</v>
      </c>
      <c r="X2427" s="40">
        <v>90210605</v>
      </c>
      <c r="Y2427" s="40">
        <v>-1</v>
      </c>
      <c r="Z2427" s="40">
        <v>2</v>
      </c>
      <c r="AA2427" s="40" t="s">
        <v>115</v>
      </c>
      <c r="AB2427" s="40" t="s">
        <v>115</v>
      </c>
      <c r="AC2427" s="40" t="s">
        <v>115</v>
      </c>
      <c r="AI2427" s="40" t="s">
        <v>115</v>
      </c>
      <c r="AP2427" s="4" t="s">
        <v>115</v>
      </c>
    </row>
    <row r="2428" spans="1:42" x14ac:dyDescent="0.15">
      <c r="A2428" s="40" t="s">
        <v>1</v>
      </c>
      <c r="B2428" s="23">
        <v>90210605</v>
      </c>
      <c r="C2428" s="23">
        <v>2106</v>
      </c>
      <c r="D2428" s="23">
        <v>21</v>
      </c>
      <c r="F2428" s="23" t="s">
        <v>3679</v>
      </c>
      <c r="G2428" s="23" t="s">
        <v>115</v>
      </c>
      <c r="H2428" s="23" t="s">
        <v>7171</v>
      </c>
      <c r="I2428" s="23">
        <v>3</v>
      </c>
      <c r="J2428" s="40">
        <v>0</v>
      </c>
      <c r="K2428" s="40">
        <v>0</v>
      </c>
      <c r="L2428" s="40" t="s">
        <v>115</v>
      </c>
      <c r="O2428" s="40" t="s">
        <v>115</v>
      </c>
      <c r="Q2428" s="40">
        <v>174</v>
      </c>
      <c r="R2428" s="40">
        <v>248</v>
      </c>
      <c r="X2428" s="40">
        <v>90210606</v>
      </c>
      <c r="Y2428" s="40" t="s">
        <v>115</v>
      </c>
      <c r="Z2428" s="40" t="s">
        <v>115</v>
      </c>
      <c r="AA2428" s="40" t="s">
        <v>115</v>
      </c>
      <c r="AB2428" s="40" t="s">
        <v>115</v>
      </c>
      <c r="AC2428" s="40" t="s">
        <v>115</v>
      </c>
      <c r="AI2428" s="40" t="s">
        <v>115</v>
      </c>
      <c r="AP2428" s="4" t="s">
        <v>115</v>
      </c>
    </row>
    <row r="2429" spans="1:42" x14ac:dyDescent="0.15">
      <c r="A2429" s="40" t="s">
        <v>1</v>
      </c>
      <c r="B2429" s="23">
        <v>90210606</v>
      </c>
      <c r="C2429" s="23">
        <v>2106</v>
      </c>
      <c r="D2429" s="23">
        <v>21</v>
      </c>
      <c r="F2429" s="23" t="s">
        <v>3679</v>
      </c>
      <c r="G2429" s="23" t="s">
        <v>115</v>
      </c>
      <c r="H2429" s="23" t="s">
        <v>5077</v>
      </c>
      <c r="I2429" s="23">
        <v>3</v>
      </c>
      <c r="J2429" s="40">
        <v>0</v>
      </c>
      <c r="K2429" s="40">
        <v>0</v>
      </c>
      <c r="L2429" s="40" t="s">
        <v>115</v>
      </c>
      <c r="O2429" s="40" t="s">
        <v>115</v>
      </c>
      <c r="Q2429" s="40">
        <v>174</v>
      </c>
      <c r="R2429" s="40">
        <v>248</v>
      </c>
      <c r="X2429" s="40">
        <v>90210607</v>
      </c>
      <c r="Y2429" s="40" t="s">
        <v>115</v>
      </c>
      <c r="Z2429" s="40" t="s">
        <v>115</v>
      </c>
      <c r="AA2429" s="40" t="s">
        <v>115</v>
      </c>
      <c r="AB2429" s="40" t="s">
        <v>115</v>
      </c>
      <c r="AC2429" s="40" t="s">
        <v>115</v>
      </c>
      <c r="AI2429" s="40" t="s">
        <v>115</v>
      </c>
      <c r="AP2429" s="4" t="s">
        <v>115</v>
      </c>
    </row>
    <row r="2430" spans="1:42" x14ac:dyDescent="0.15">
      <c r="A2430" s="40" t="s">
        <v>1</v>
      </c>
      <c r="B2430" s="23">
        <v>90210607</v>
      </c>
      <c r="C2430" s="23">
        <v>2106</v>
      </c>
      <c r="D2430" s="23">
        <v>21</v>
      </c>
      <c r="F2430" s="23" t="s">
        <v>3679</v>
      </c>
      <c r="G2430" s="23" t="s">
        <v>115</v>
      </c>
      <c r="H2430" s="23" t="s">
        <v>5078</v>
      </c>
      <c r="I2430" s="23">
        <v>3</v>
      </c>
      <c r="J2430" s="40">
        <v>0</v>
      </c>
      <c r="K2430" s="40">
        <v>0</v>
      </c>
      <c r="L2430" s="40" t="s">
        <v>115</v>
      </c>
      <c r="O2430" s="40" t="s">
        <v>115</v>
      </c>
      <c r="Q2430" s="40">
        <v>174</v>
      </c>
      <c r="R2430" s="40">
        <v>248</v>
      </c>
      <c r="X2430" s="40">
        <v>90210608</v>
      </c>
      <c r="Y2430" s="40" t="s">
        <v>115</v>
      </c>
      <c r="Z2430" s="40" t="s">
        <v>115</v>
      </c>
      <c r="AA2430" s="40" t="s">
        <v>115</v>
      </c>
      <c r="AB2430" s="40" t="s">
        <v>115</v>
      </c>
      <c r="AC2430" s="40" t="s">
        <v>115</v>
      </c>
      <c r="AI2430" s="40" t="s">
        <v>115</v>
      </c>
      <c r="AP2430" s="4" t="s">
        <v>115</v>
      </c>
    </row>
    <row r="2431" spans="1:42" x14ac:dyDescent="0.15">
      <c r="A2431" s="40" t="s">
        <v>1</v>
      </c>
      <c r="B2431" s="23">
        <v>90210608</v>
      </c>
      <c r="C2431" s="23">
        <v>2106</v>
      </c>
      <c r="D2431" s="23">
        <v>21</v>
      </c>
      <c r="F2431" s="23" t="s">
        <v>116</v>
      </c>
      <c r="G2431" s="23">
        <v>314</v>
      </c>
      <c r="H2431" s="23" t="s">
        <v>5079</v>
      </c>
      <c r="I2431" s="23">
        <v>2</v>
      </c>
      <c r="J2431" s="40">
        <v>0</v>
      </c>
      <c r="K2431" s="40">
        <v>0</v>
      </c>
      <c r="L2431" s="40" t="s">
        <v>115</v>
      </c>
      <c r="O2431" s="40" t="s">
        <v>115</v>
      </c>
      <c r="Q2431" s="40">
        <v>174</v>
      </c>
      <c r="R2431" s="40">
        <v>248</v>
      </c>
      <c r="X2431" s="40">
        <v>90210609</v>
      </c>
      <c r="Y2431" s="40" t="s">
        <v>115</v>
      </c>
      <c r="Z2431" s="40" t="s">
        <v>115</v>
      </c>
      <c r="AA2431" s="40" t="s">
        <v>115</v>
      </c>
      <c r="AB2431" s="40" t="s">
        <v>115</v>
      </c>
      <c r="AC2431" s="40" t="s">
        <v>115</v>
      </c>
      <c r="AI2431" s="40" t="s">
        <v>115</v>
      </c>
      <c r="AP2431" s="4" t="s">
        <v>115</v>
      </c>
    </row>
    <row r="2432" spans="1:42" x14ac:dyDescent="0.15">
      <c r="A2432" s="40" t="s">
        <v>1</v>
      </c>
      <c r="B2432" s="23">
        <v>90210609</v>
      </c>
      <c r="C2432" s="23">
        <v>2106</v>
      </c>
      <c r="D2432" s="23">
        <v>21</v>
      </c>
      <c r="F2432" s="23" t="s">
        <v>115</v>
      </c>
      <c r="G2432" s="23" t="s">
        <v>115</v>
      </c>
      <c r="H2432" s="23" t="s">
        <v>5080</v>
      </c>
      <c r="I2432" s="23">
        <v>4</v>
      </c>
      <c r="J2432" s="40">
        <v>0</v>
      </c>
      <c r="K2432" s="40">
        <v>0</v>
      </c>
      <c r="L2432" s="40" t="s">
        <v>115</v>
      </c>
      <c r="O2432" s="40" t="s">
        <v>115</v>
      </c>
      <c r="Q2432" s="40">
        <v>174</v>
      </c>
      <c r="R2432" s="40">
        <v>248</v>
      </c>
      <c r="X2432" s="40">
        <v>90210610</v>
      </c>
      <c r="Y2432" s="40" t="s">
        <v>115</v>
      </c>
      <c r="Z2432" s="40" t="s">
        <v>115</v>
      </c>
      <c r="AA2432" s="40" t="s">
        <v>115</v>
      </c>
      <c r="AB2432" s="40" t="s">
        <v>115</v>
      </c>
      <c r="AC2432" s="40" t="s">
        <v>115</v>
      </c>
      <c r="AI2432" s="40" t="s">
        <v>115</v>
      </c>
      <c r="AP2432" s="4" t="s">
        <v>115</v>
      </c>
    </row>
    <row r="2433" spans="1:42" x14ac:dyDescent="0.15">
      <c r="A2433" s="40" t="s">
        <v>1</v>
      </c>
      <c r="B2433" s="23">
        <v>90210610</v>
      </c>
      <c r="C2433" s="23">
        <v>2106</v>
      </c>
      <c r="D2433" s="23">
        <v>21</v>
      </c>
      <c r="F2433" s="23" t="s">
        <v>3679</v>
      </c>
      <c r="G2433" s="23" t="s">
        <v>115</v>
      </c>
      <c r="H2433" s="23" t="s">
        <v>5081</v>
      </c>
      <c r="I2433" s="23">
        <v>3</v>
      </c>
      <c r="J2433" s="40">
        <v>0</v>
      </c>
      <c r="K2433" s="40">
        <v>0</v>
      </c>
      <c r="L2433" s="40" t="s">
        <v>115</v>
      </c>
      <c r="O2433" s="40" t="s">
        <v>115</v>
      </c>
      <c r="Q2433" s="40">
        <v>174</v>
      </c>
      <c r="R2433" s="40">
        <v>248</v>
      </c>
      <c r="X2433" s="40">
        <v>90210611</v>
      </c>
      <c r="Y2433" s="40" t="s">
        <v>115</v>
      </c>
      <c r="Z2433" s="40" t="s">
        <v>115</v>
      </c>
      <c r="AA2433" s="40" t="s">
        <v>115</v>
      </c>
      <c r="AB2433" s="40" t="s">
        <v>115</v>
      </c>
      <c r="AC2433" s="40" t="s">
        <v>115</v>
      </c>
      <c r="AI2433" s="40" t="s">
        <v>115</v>
      </c>
      <c r="AP2433" s="4" t="s">
        <v>115</v>
      </c>
    </row>
    <row r="2434" spans="1:42" x14ac:dyDescent="0.15">
      <c r="A2434" s="40" t="s">
        <v>1</v>
      </c>
      <c r="B2434" s="23">
        <v>90210611</v>
      </c>
      <c r="C2434" s="23">
        <v>2106</v>
      </c>
      <c r="D2434" s="23">
        <v>21</v>
      </c>
      <c r="F2434" s="23" t="s">
        <v>115</v>
      </c>
      <c r="G2434" s="23" t="s">
        <v>115</v>
      </c>
      <c r="H2434" s="23" t="s">
        <v>7172</v>
      </c>
      <c r="I2434" s="23">
        <v>4</v>
      </c>
      <c r="J2434" s="40">
        <v>0</v>
      </c>
      <c r="K2434" s="40">
        <v>0</v>
      </c>
      <c r="L2434" s="40" t="s">
        <v>115</v>
      </c>
      <c r="O2434" s="40" t="s">
        <v>115</v>
      </c>
      <c r="Q2434" s="40">
        <v>205</v>
      </c>
      <c r="R2434" s="40" t="s">
        <v>115</v>
      </c>
      <c r="X2434" s="40">
        <v>90210612</v>
      </c>
      <c r="Y2434" s="40" t="s">
        <v>115</v>
      </c>
      <c r="Z2434" s="40" t="s">
        <v>115</v>
      </c>
      <c r="AA2434" s="40" t="s">
        <v>115</v>
      </c>
      <c r="AB2434" s="40" t="s">
        <v>115</v>
      </c>
      <c r="AC2434" s="40" t="s">
        <v>115</v>
      </c>
      <c r="AI2434" s="40" t="s">
        <v>115</v>
      </c>
      <c r="AP2434" s="4" t="s">
        <v>115</v>
      </c>
    </row>
    <row r="2435" spans="1:42" x14ac:dyDescent="0.15">
      <c r="A2435" s="40" t="s">
        <v>1</v>
      </c>
      <c r="B2435" s="23">
        <v>90210612</v>
      </c>
      <c r="C2435" s="23">
        <v>2106</v>
      </c>
      <c r="D2435" s="23">
        <v>21</v>
      </c>
      <c r="F2435" s="23" t="s">
        <v>116</v>
      </c>
      <c r="G2435" s="23">
        <v>313</v>
      </c>
      <c r="H2435" s="23" t="s">
        <v>7173</v>
      </c>
      <c r="I2435" s="23">
        <v>2</v>
      </c>
      <c r="J2435" s="40">
        <v>0</v>
      </c>
      <c r="K2435" s="40">
        <v>0</v>
      </c>
      <c r="L2435" s="40" t="s">
        <v>115</v>
      </c>
      <c r="O2435" s="40" t="s">
        <v>115</v>
      </c>
      <c r="Q2435" s="40">
        <v>205</v>
      </c>
      <c r="R2435" s="40" t="s">
        <v>115</v>
      </c>
      <c r="X2435" s="40">
        <v>90210613</v>
      </c>
      <c r="Y2435" s="40" t="s">
        <v>115</v>
      </c>
      <c r="Z2435" s="40" t="s">
        <v>115</v>
      </c>
      <c r="AA2435" s="40" t="s">
        <v>115</v>
      </c>
      <c r="AB2435" s="40" t="s">
        <v>115</v>
      </c>
      <c r="AC2435" s="40" t="s">
        <v>115</v>
      </c>
      <c r="AI2435" s="40" t="s">
        <v>115</v>
      </c>
      <c r="AP2435" s="4" t="s">
        <v>115</v>
      </c>
    </row>
    <row r="2436" spans="1:42" x14ac:dyDescent="0.15">
      <c r="A2436" s="40" t="s">
        <v>1</v>
      </c>
      <c r="B2436" s="23">
        <v>90210613</v>
      </c>
      <c r="C2436" s="23">
        <v>2106</v>
      </c>
      <c r="D2436" s="23">
        <v>21</v>
      </c>
      <c r="F2436" s="23" t="s">
        <v>115</v>
      </c>
      <c r="G2436" s="23" t="s">
        <v>115</v>
      </c>
      <c r="H2436" s="23" t="s">
        <v>5082</v>
      </c>
      <c r="I2436" s="23">
        <v>4</v>
      </c>
      <c r="J2436" s="40">
        <v>0</v>
      </c>
      <c r="K2436" s="40">
        <v>0</v>
      </c>
      <c r="L2436" s="40" t="s">
        <v>115</v>
      </c>
      <c r="O2436" s="40" t="s">
        <v>115</v>
      </c>
      <c r="Q2436" s="40">
        <v>205</v>
      </c>
      <c r="R2436" s="40">
        <v>229</v>
      </c>
      <c r="X2436" s="40">
        <v>90210614</v>
      </c>
      <c r="Y2436" s="40" t="s">
        <v>115</v>
      </c>
      <c r="Z2436" s="40" t="s">
        <v>115</v>
      </c>
      <c r="AA2436" s="40" t="s">
        <v>115</v>
      </c>
      <c r="AB2436" s="40" t="s">
        <v>115</v>
      </c>
      <c r="AC2436" s="40" t="s">
        <v>115</v>
      </c>
      <c r="AI2436" s="40" t="s">
        <v>115</v>
      </c>
      <c r="AP2436" s="4" t="s">
        <v>115</v>
      </c>
    </row>
    <row r="2437" spans="1:42" x14ac:dyDescent="0.15">
      <c r="A2437" s="40" t="s">
        <v>1</v>
      </c>
      <c r="B2437" s="23">
        <v>90210614</v>
      </c>
      <c r="C2437" s="23">
        <v>2106</v>
      </c>
      <c r="D2437" s="23">
        <v>21</v>
      </c>
      <c r="F2437" s="23" t="s">
        <v>116</v>
      </c>
      <c r="G2437" s="23">
        <v>313</v>
      </c>
      <c r="H2437" s="23" t="s">
        <v>5083</v>
      </c>
      <c r="I2437" s="23">
        <v>0</v>
      </c>
      <c r="J2437" s="40">
        <v>0</v>
      </c>
      <c r="K2437" s="40">
        <v>0</v>
      </c>
      <c r="L2437" s="40" t="s">
        <v>115</v>
      </c>
      <c r="O2437" s="40" t="s">
        <v>115</v>
      </c>
      <c r="Q2437" s="40">
        <v>205</v>
      </c>
      <c r="R2437" s="40">
        <v>229</v>
      </c>
      <c r="X2437" s="40">
        <v>90210615</v>
      </c>
      <c r="Y2437" s="40" t="s">
        <v>115</v>
      </c>
      <c r="Z2437" s="40" t="s">
        <v>115</v>
      </c>
      <c r="AA2437" s="40" t="s">
        <v>115</v>
      </c>
      <c r="AB2437" s="40" t="s">
        <v>115</v>
      </c>
      <c r="AC2437" s="40" t="s">
        <v>115</v>
      </c>
      <c r="AI2437" s="40" t="s">
        <v>115</v>
      </c>
      <c r="AP2437" s="4" t="s">
        <v>115</v>
      </c>
    </row>
    <row r="2438" spans="1:42" x14ac:dyDescent="0.15">
      <c r="A2438" s="40" t="s">
        <v>1</v>
      </c>
      <c r="B2438" s="23">
        <v>90210615</v>
      </c>
      <c r="C2438" s="23">
        <v>2106</v>
      </c>
      <c r="D2438" s="23">
        <v>21</v>
      </c>
      <c r="F2438" s="23" t="s">
        <v>115</v>
      </c>
      <c r="G2438" s="23" t="s">
        <v>115</v>
      </c>
      <c r="H2438" s="23" t="s">
        <v>5084</v>
      </c>
      <c r="I2438" s="23">
        <v>4</v>
      </c>
      <c r="J2438" s="40">
        <v>0</v>
      </c>
      <c r="K2438" s="40">
        <v>4</v>
      </c>
      <c r="L2438" s="40" t="s">
        <v>115</v>
      </c>
      <c r="O2438" s="40">
        <v>1</v>
      </c>
      <c r="Q2438" s="40">
        <v>205</v>
      </c>
      <c r="R2438" s="40" t="s">
        <v>115</v>
      </c>
      <c r="X2438" s="40" t="s">
        <v>115</v>
      </c>
      <c r="Y2438" s="40" t="s">
        <v>115</v>
      </c>
      <c r="Z2438" s="40">
        <v>3</v>
      </c>
      <c r="AA2438" s="40" t="s">
        <v>115</v>
      </c>
      <c r="AB2438" s="40" t="s">
        <v>115</v>
      </c>
      <c r="AC2438" s="40" t="s">
        <v>115</v>
      </c>
      <c r="AI2438" s="40" t="s">
        <v>115</v>
      </c>
      <c r="AP2438" s="4" t="s">
        <v>115</v>
      </c>
    </row>
    <row r="2439" spans="1:42" x14ac:dyDescent="0.15">
      <c r="A2439" s="40" t="s">
        <v>1</v>
      </c>
      <c r="B2439" s="23" t="s">
        <v>4834</v>
      </c>
      <c r="C2439" s="23">
        <v>2107</v>
      </c>
      <c r="D2439" s="23">
        <v>21</v>
      </c>
      <c r="F2439" s="23" t="s">
        <v>115</v>
      </c>
      <c r="G2439" s="23" t="s">
        <v>115</v>
      </c>
      <c r="H2439" s="23" t="s">
        <v>5085</v>
      </c>
      <c r="I2439" s="23">
        <v>4</v>
      </c>
      <c r="J2439" s="40">
        <v>1</v>
      </c>
      <c r="K2439" s="40">
        <v>1</v>
      </c>
      <c r="L2439" s="40" t="s">
        <v>115</v>
      </c>
      <c r="O2439" s="40" t="s">
        <v>115</v>
      </c>
      <c r="Q2439" s="40">
        <v>205</v>
      </c>
      <c r="R2439" s="40" t="s">
        <v>115</v>
      </c>
      <c r="X2439" s="40">
        <v>90210702</v>
      </c>
      <c r="Y2439" s="40" t="s">
        <v>115</v>
      </c>
      <c r="Z2439" s="40" t="s">
        <v>115</v>
      </c>
      <c r="AA2439" s="40" t="s">
        <v>115</v>
      </c>
      <c r="AB2439" s="40" t="s">
        <v>115</v>
      </c>
      <c r="AC2439" s="40" t="s">
        <v>115</v>
      </c>
      <c r="AI2439" s="40" t="s">
        <v>115</v>
      </c>
      <c r="AP2439" s="4" t="s">
        <v>115</v>
      </c>
    </row>
    <row r="2440" spans="1:42" x14ac:dyDescent="0.15">
      <c r="A2440" s="40" t="s">
        <v>1</v>
      </c>
      <c r="B2440" s="23">
        <v>90210702</v>
      </c>
      <c r="C2440" s="23">
        <v>2107</v>
      </c>
      <c r="D2440" s="23">
        <v>21</v>
      </c>
      <c r="F2440" s="23" t="s">
        <v>115</v>
      </c>
      <c r="G2440" s="23" t="s">
        <v>115</v>
      </c>
      <c r="H2440" s="23" t="s">
        <v>5086</v>
      </c>
      <c r="I2440" s="23">
        <v>4</v>
      </c>
      <c r="J2440" s="40">
        <v>0</v>
      </c>
      <c r="K2440" s="40">
        <v>0</v>
      </c>
      <c r="L2440" s="40" t="s">
        <v>115</v>
      </c>
      <c r="O2440" s="40" t="s">
        <v>115</v>
      </c>
      <c r="Q2440" s="40">
        <v>205</v>
      </c>
      <c r="R2440" s="40" t="s">
        <v>115</v>
      </c>
      <c r="X2440" s="40">
        <v>90210703</v>
      </c>
      <c r="Y2440" s="40" t="s">
        <v>115</v>
      </c>
      <c r="Z2440" s="40" t="s">
        <v>115</v>
      </c>
      <c r="AA2440" s="40" t="s">
        <v>115</v>
      </c>
      <c r="AB2440" s="40" t="s">
        <v>115</v>
      </c>
      <c r="AC2440" s="40" t="s">
        <v>115</v>
      </c>
      <c r="AI2440" s="40" t="s">
        <v>115</v>
      </c>
      <c r="AP2440" s="4" t="s">
        <v>115</v>
      </c>
    </row>
    <row r="2441" spans="1:42" x14ac:dyDescent="0.15">
      <c r="A2441" s="40" t="s">
        <v>1</v>
      </c>
      <c r="B2441" s="23">
        <v>90210703</v>
      </c>
      <c r="C2441" s="23">
        <v>2107</v>
      </c>
      <c r="D2441" s="23">
        <v>21</v>
      </c>
      <c r="F2441" s="23" t="s">
        <v>5087</v>
      </c>
      <c r="G2441" s="23" t="s">
        <v>115</v>
      </c>
      <c r="H2441" s="23" t="s">
        <v>5088</v>
      </c>
      <c r="I2441" s="23">
        <v>3</v>
      </c>
      <c r="J2441" s="40">
        <v>0</v>
      </c>
      <c r="K2441" s="40">
        <v>0</v>
      </c>
      <c r="L2441" s="40" t="s">
        <v>115</v>
      </c>
      <c r="O2441" s="40" t="s">
        <v>115</v>
      </c>
      <c r="Q2441" s="40">
        <v>205</v>
      </c>
      <c r="R2441" s="40" t="s">
        <v>115</v>
      </c>
      <c r="X2441" s="40">
        <v>90210704</v>
      </c>
      <c r="Y2441" s="40" t="s">
        <v>115</v>
      </c>
      <c r="Z2441" s="40" t="s">
        <v>115</v>
      </c>
      <c r="AA2441" s="40" t="s">
        <v>115</v>
      </c>
      <c r="AB2441" s="40" t="s">
        <v>115</v>
      </c>
      <c r="AC2441" s="40" t="s">
        <v>115</v>
      </c>
      <c r="AI2441" s="40" t="s">
        <v>115</v>
      </c>
      <c r="AP2441" s="4" t="s">
        <v>115</v>
      </c>
    </row>
    <row r="2442" spans="1:42" x14ac:dyDescent="0.15">
      <c r="A2442" s="40" t="s">
        <v>1</v>
      </c>
      <c r="B2442" s="23">
        <v>90210704</v>
      </c>
      <c r="C2442" s="23">
        <v>2107</v>
      </c>
      <c r="D2442" s="23">
        <v>21</v>
      </c>
      <c r="F2442" s="23" t="s">
        <v>5087</v>
      </c>
      <c r="G2442" s="23" t="s">
        <v>115</v>
      </c>
      <c r="H2442" s="23" t="s">
        <v>5089</v>
      </c>
      <c r="I2442" s="23">
        <v>3</v>
      </c>
      <c r="J2442" s="40">
        <v>0</v>
      </c>
      <c r="K2442" s="40">
        <v>0</v>
      </c>
      <c r="L2442" s="40" t="s">
        <v>115</v>
      </c>
      <c r="O2442" s="40" t="s">
        <v>115</v>
      </c>
      <c r="Q2442" s="40">
        <v>205</v>
      </c>
      <c r="R2442" s="40" t="s">
        <v>115</v>
      </c>
      <c r="X2442" s="40">
        <v>90210705</v>
      </c>
      <c r="Y2442" s="40" t="s">
        <v>115</v>
      </c>
      <c r="Z2442" s="40" t="s">
        <v>115</v>
      </c>
      <c r="AA2442" s="40" t="s">
        <v>115</v>
      </c>
      <c r="AB2442" s="40" t="s">
        <v>115</v>
      </c>
      <c r="AC2442" s="40" t="s">
        <v>115</v>
      </c>
      <c r="AI2442" s="40" t="s">
        <v>115</v>
      </c>
      <c r="AP2442" s="4" t="s">
        <v>115</v>
      </c>
    </row>
    <row r="2443" spans="1:42" x14ac:dyDescent="0.15">
      <c r="A2443" s="40" t="s">
        <v>1</v>
      </c>
      <c r="B2443" s="23">
        <v>90210705</v>
      </c>
      <c r="C2443" s="23">
        <v>2107</v>
      </c>
      <c r="D2443" s="23">
        <v>21</v>
      </c>
      <c r="F2443" s="23" t="s">
        <v>116</v>
      </c>
      <c r="G2443" s="23">
        <v>312</v>
      </c>
      <c r="H2443" s="23" t="s">
        <v>5090</v>
      </c>
      <c r="I2443" s="23">
        <v>0</v>
      </c>
      <c r="J2443" s="40">
        <v>0</v>
      </c>
      <c r="K2443" s="40">
        <v>0</v>
      </c>
      <c r="L2443" s="40" t="s">
        <v>115</v>
      </c>
      <c r="O2443" s="40" t="s">
        <v>115</v>
      </c>
      <c r="Q2443" s="40">
        <v>205</v>
      </c>
      <c r="R2443" s="40">
        <v>15</v>
      </c>
      <c r="X2443" s="40">
        <v>90210706</v>
      </c>
      <c r="Y2443" s="40" t="s">
        <v>115</v>
      </c>
      <c r="Z2443" s="40" t="s">
        <v>115</v>
      </c>
      <c r="AA2443" s="40" t="s">
        <v>115</v>
      </c>
      <c r="AB2443" s="40" t="s">
        <v>115</v>
      </c>
      <c r="AC2443" s="40" t="s">
        <v>115</v>
      </c>
      <c r="AI2443" s="40" t="s">
        <v>115</v>
      </c>
      <c r="AP2443" s="4" t="s">
        <v>115</v>
      </c>
    </row>
    <row r="2444" spans="1:42" x14ac:dyDescent="0.15">
      <c r="A2444" s="40" t="s">
        <v>1</v>
      </c>
      <c r="B2444" s="23">
        <v>90210706</v>
      </c>
      <c r="C2444" s="23">
        <v>2107</v>
      </c>
      <c r="D2444" s="23">
        <v>21</v>
      </c>
      <c r="F2444" s="23" t="s">
        <v>5087</v>
      </c>
      <c r="G2444" s="23" t="s">
        <v>115</v>
      </c>
      <c r="H2444" s="23" t="s">
        <v>5091</v>
      </c>
      <c r="I2444" s="23">
        <v>3</v>
      </c>
      <c r="J2444" s="40">
        <v>0</v>
      </c>
      <c r="K2444" s="40">
        <v>0</v>
      </c>
      <c r="L2444" s="40" t="s">
        <v>115</v>
      </c>
      <c r="O2444" s="40" t="s">
        <v>115</v>
      </c>
      <c r="Q2444" s="40">
        <v>205</v>
      </c>
      <c r="R2444" s="40">
        <v>15</v>
      </c>
      <c r="X2444" s="40">
        <v>90210707</v>
      </c>
      <c r="Y2444" s="40" t="s">
        <v>115</v>
      </c>
      <c r="Z2444" s="40" t="s">
        <v>115</v>
      </c>
      <c r="AA2444" s="40" t="s">
        <v>115</v>
      </c>
      <c r="AB2444" s="40" t="s">
        <v>115</v>
      </c>
      <c r="AC2444" s="40" t="s">
        <v>115</v>
      </c>
      <c r="AI2444" s="40" t="s">
        <v>115</v>
      </c>
      <c r="AP2444" s="4" t="s">
        <v>115</v>
      </c>
    </row>
    <row r="2445" spans="1:42" x14ac:dyDescent="0.15">
      <c r="A2445" s="40" t="s">
        <v>1</v>
      </c>
      <c r="B2445" s="23">
        <v>90210707</v>
      </c>
      <c r="C2445" s="23">
        <v>2107</v>
      </c>
      <c r="D2445" s="23">
        <v>21</v>
      </c>
      <c r="F2445" s="23" t="s">
        <v>5087</v>
      </c>
      <c r="G2445" s="23" t="s">
        <v>115</v>
      </c>
      <c r="H2445" s="23" t="s">
        <v>7174</v>
      </c>
      <c r="I2445" s="23">
        <v>3</v>
      </c>
      <c r="J2445" s="40">
        <v>0</v>
      </c>
      <c r="K2445" s="40">
        <v>0</v>
      </c>
      <c r="L2445" s="40" t="s">
        <v>115</v>
      </c>
      <c r="O2445" s="40" t="s">
        <v>115</v>
      </c>
      <c r="Q2445" s="40">
        <v>205</v>
      </c>
      <c r="R2445" s="40">
        <v>15</v>
      </c>
      <c r="X2445" s="40">
        <v>90210708</v>
      </c>
      <c r="Y2445" s="40" t="s">
        <v>115</v>
      </c>
      <c r="Z2445" s="40" t="s">
        <v>115</v>
      </c>
      <c r="AA2445" s="40" t="s">
        <v>115</v>
      </c>
      <c r="AB2445" s="40" t="s">
        <v>115</v>
      </c>
      <c r="AC2445" s="40" t="s">
        <v>115</v>
      </c>
      <c r="AI2445" s="40" t="s">
        <v>115</v>
      </c>
      <c r="AP2445" s="4" t="s">
        <v>115</v>
      </c>
    </row>
    <row r="2446" spans="1:42" x14ac:dyDescent="0.15">
      <c r="A2446" s="40" t="s">
        <v>1</v>
      </c>
      <c r="B2446" s="23">
        <v>90210708</v>
      </c>
      <c r="C2446" s="23">
        <v>2107</v>
      </c>
      <c r="D2446" s="23">
        <v>21</v>
      </c>
      <c r="F2446" s="23" t="s">
        <v>5087</v>
      </c>
      <c r="G2446" s="23" t="s">
        <v>115</v>
      </c>
      <c r="H2446" s="23" t="s">
        <v>5092</v>
      </c>
      <c r="I2446" s="23">
        <v>3</v>
      </c>
      <c r="J2446" s="40">
        <v>0</v>
      </c>
      <c r="K2446" s="40">
        <v>0</v>
      </c>
      <c r="L2446" s="40" t="s">
        <v>115</v>
      </c>
      <c r="O2446" s="40" t="s">
        <v>115</v>
      </c>
      <c r="Q2446" s="40">
        <v>205</v>
      </c>
      <c r="R2446" s="40">
        <v>15</v>
      </c>
      <c r="X2446" s="40">
        <v>90210709</v>
      </c>
      <c r="Y2446" s="40" t="s">
        <v>115</v>
      </c>
      <c r="Z2446" s="40" t="s">
        <v>115</v>
      </c>
      <c r="AA2446" s="40" t="s">
        <v>115</v>
      </c>
      <c r="AB2446" s="40" t="s">
        <v>115</v>
      </c>
      <c r="AC2446" s="40" t="s">
        <v>115</v>
      </c>
      <c r="AI2446" s="40" t="s">
        <v>115</v>
      </c>
      <c r="AP2446" s="4" t="s">
        <v>115</v>
      </c>
    </row>
    <row r="2447" spans="1:42" x14ac:dyDescent="0.15">
      <c r="A2447" s="40" t="s">
        <v>1</v>
      </c>
      <c r="B2447" s="23">
        <v>90210709</v>
      </c>
      <c r="C2447" s="23">
        <v>2107</v>
      </c>
      <c r="D2447" s="23">
        <v>21</v>
      </c>
      <c r="F2447" s="23" t="s">
        <v>5087</v>
      </c>
      <c r="G2447" s="23" t="s">
        <v>115</v>
      </c>
      <c r="H2447" s="23" t="s">
        <v>5093</v>
      </c>
      <c r="I2447" s="23">
        <v>3</v>
      </c>
      <c r="J2447" s="40">
        <v>0</v>
      </c>
      <c r="K2447" s="40">
        <v>0</v>
      </c>
      <c r="L2447" s="40" t="s">
        <v>115</v>
      </c>
      <c r="O2447" s="40" t="s">
        <v>115</v>
      </c>
      <c r="Q2447" s="40">
        <v>205</v>
      </c>
      <c r="R2447" s="40">
        <v>15</v>
      </c>
      <c r="X2447" s="40">
        <v>90210710</v>
      </c>
      <c r="Y2447" s="40" t="s">
        <v>115</v>
      </c>
      <c r="Z2447" s="40" t="s">
        <v>115</v>
      </c>
      <c r="AA2447" s="40" t="s">
        <v>115</v>
      </c>
      <c r="AB2447" s="40" t="s">
        <v>115</v>
      </c>
      <c r="AC2447" s="40" t="s">
        <v>115</v>
      </c>
      <c r="AI2447" s="40" t="s">
        <v>115</v>
      </c>
      <c r="AP2447" s="4" t="s">
        <v>115</v>
      </c>
    </row>
    <row r="2448" spans="1:42" x14ac:dyDescent="0.15">
      <c r="A2448" s="40" t="s">
        <v>1</v>
      </c>
      <c r="B2448" s="23">
        <v>90210710</v>
      </c>
      <c r="C2448" s="23">
        <v>2107</v>
      </c>
      <c r="D2448" s="23">
        <v>21</v>
      </c>
      <c r="F2448" s="23" t="s">
        <v>115</v>
      </c>
      <c r="G2448" s="23" t="s">
        <v>115</v>
      </c>
      <c r="H2448" s="23" t="s">
        <v>5094</v>
      </c>
      <c r="I2448" s="23">
        <v>4</v>
      </c>
      <c r="J2448" s="40">
        <v>0</v>
      </c>
      <c r="K2448" s="40">
        <v>2</v>
      </c>
      <c r="L2448" s="40" t="s">
        <v>115</v>
      </c>
      <c r="O2448" s="40">
        <v>1</v>
      </c>
      <c r="Q2448" s="40">
        <v>205</v>
      </c>
      <c r="R2448" s="40" t="s">
        <v>115</v>
      </c>
      <c r="X2448" s="40" t="s">
        <v>115</v>
      </c>
      <c r="Y2448" s="40" t="s">
        <v>115</v>
      </c>
      <c r="Z2448" s="40">
        <v>1</v>
      </c>
      <c r="AA2448" s="40" t="s">
        <v>115</v>
      </c>
      <c r="AB2448" s="40" t="s">
        <v>115</v>
      </c>
      <c r="AC2448" s="40" t="s">
        <v>115</v>
      </c>
      <c r="AI2448" s="40" t="s">
        <v>115</v>
      </c>
      <c r="AP2448" s="4" t="s">
        <v>115</v>
      </c>
    </row>
    <row r="2449" spans="1:42" s="89" customFormat="1" x14ac:dyDescent="0.15">
      <c r="A2449" s="100" t="s">
        <v>1</v>
      </c>
      <c r="B2449" s="101" t="s">
        <v>4836</v>
      </c>
      <c r="C2449" s="101">
        <v>2108</v>
      </c>
      <c r="D2449" s="101">
        <v>21</v>
      </c>
      <c r="E2449" s="101"/>
      <c r="F2449" s="101" t="s">
        <v>115</v>
      </c>
      <c r="G2449" s="101" t="s">
        <v>115</v>
      </c>
      <c r="H2449" s="101" t="s">
        <v>5095</v>
      </c>
      <c r="I2449" s="101">
        <v>4</v>
      </c>
      <c r="J2449" s="100">
        <v>1</v>
      </c>
      <c r="K2449" s="100">
        <v>1</v>
      </c>
      <c r="L2449" s="100" t="s">
        <v>115</v>
      </c>
      <c r="M2449" s="102"/>
      <c r="N2449" s="100"/>
      <c r="O2449" s="100" t="s">
        <v>115</v>
      </c>
      <c r="P2449" s="101"/>
      <c r="Q2449" s="100">
        <v>355</v>
      </c>
      <c r="R2449" s="100" t="s">
        <v>115</v>
      </c>
      <c r="S2449" s="100"/>
      <c r="T2449" s="100"/>
      <c r="U2449" s="100"/>
      <c r="V2449" s="100"/>
      <c r="W2449" s="100"/>
      <c r="X2449" s="100">
        <v>90210802</v>
      </c>
      <c r="Y2449" s="100" t="s">
        <v>115</v>
      </c>
      <c r="Z2449" s="100" t="s">
        <v>115</v>
      </c>
      <c r="AA2449" s="100" t="s">
        <v>115</v>
      </c>
      <c r="AB2449" s="100" t="s">
        <v>115</v>
      </c>
      <c r="AC2449" s="100" t="s">
        <v>115</v>
      </c>
      <c r="AD2449" s="100"/>
      <c r="AE2449" s="100"/>
      <c r="AF2449" s="100"/>
      <c r="AG2449" s="100"/>
      <c r="AH2449" s="100"/>
      <c r="AI2449" s="100" t="s">
        <v>115</v>
      </c>
      <c r="AJ2449" s="100"/>
      <c r="AK2449" s="100"/>
      <c r="AL2449" s="100"/>
      <c r="AM2449" s="100"/>
      <c r="AN2449" s="100"/>
      <c r="AO2449" s="100"/>
      <c r="AP2449" s="89" t="s">
        <v>115</v>
      </c>
    </row>
    <row r="2450" spans="1:42" s="89" customFormat="1" x14ac:dyDescent="0.15">
      <c r="A2450" s="100" t="s">
        <v>1</v>
      </c>
      <c r="B2450" s="101">
        <v>90210802</v>
      </c>
      <c r="C2450" s="101">
        <v>2108</v>
      </c>
      <c r="D2450" s="101">
        <v>21</v>
      </c>
      <c r="E2450" s="101"/>
      <c r="F2450" s="101" t="s">
        <v>115</v>
      </c>
      <c r="G2450" s="101" t="s">
        <v>115</v>
      </c>
      <c r="H2450" s="101" t="s">
        <v>5096</v>
      </c>
      <c r="I2450" s="101">
        <v>4</v>
      </c>
      <c r="J2450" s="100">
        <v>0</v>
      </c>
      <c r="K2450" s="100">
        <v>0</v>
      </c>
      <c r="L2450" s="100" t="s">
        <v>115</v>
      </c>
      <c r="M2450" s="102"/>
      <c r="N2450" s="100"/>
      <c r="O2450" s="100" t="s">
        <v>115</v>
      </c>
      <c r="P2450" s="101"/>
      <c r="Q2450" s="100">
        <v>355</v>
      </c>
      <c r="R2450" s="100" t="s">
        <v>115</v>
      </c>
      <c r="S2450" s="100"/>
      <c r="T2450" s="100"/>
      <c r="U2450" s="100"/>
      <c r="V2450" s="100"/>
      <c r="W2450" s="100"/>
      <c r="X2450" s="100">
        <v>90210803</v>
      </c>
      <c r="Y2450" s="100" t="s">
        <v>115</v>
      </c>
      <c r="Z2450" s="100" t="s">
        <v>115</v>
      </c>
      <c r="AA2450" s="100" t="s">
        <v>115</v>
      </c>
      <c r="AB2450" s="100" t="s">
        <v>115</v>
      </c>
      <c r="AC2450" s="100" t="s">
        <v>115</v>
      </c>
      <c r="AD2450" s="100"/>
      <c r="AE2450" s="100"/>
      <c r="AF2450" s="100"/>
      <c r="AG2450" s="100"/>
      <c r="AH2450" s="100"/>
      <c r="AI2450" s="100" t="s">
        <v>115</v>
      </c>
      <c r="AJ2450" s="100"/>
      <c r="AK2450" s="100"/>
      <c r="AL2450" s="100"/>
      <c r="AM2450" s="100"/>
      <c r="AN2450" s="100"/>
      <c r="AO2450" s="100"/>
      <c r="AP2450" s="89" t="s">
        <v>115</v>
      </c>
    </row>
    <row r="2451" spans="1:42" s="89" customFormat="1" x14ac:dyDescent="0.15">
      <c r="A2451" s="100" t="s">
        <v>1</v>
      </c>
      <c r="B2451" s="101">
        <v>90210803</v>
      </c>
      <c r="C2451" s="101">
        <v>2108</v>
      </c>
      <c r="D2451" s="101">
        <v>21</v>
      </c>
      <c r="E2451" s="101"/>
      <c r="F2451" s="101" t="s">
        <v>115</v>
      </c>
      <c r="G2451" s="101" t="s">
        <v>115</v>
      </c>
      <c r="H2451" s="101" t="s">
        <v>5098</v>
      </c>
      <c r="I2451" s="101">
        <v>4</v>
      </c>
      <c r="J2451" s="100">
        <v>0</v>
      </c>
      <c r="K2451" s="100">
        <v>0</v>
      </c>
      <c r="L2451" s="100" t="s">
        <v>115</v>
      </c>
      <c r="M2451" s="102"/>
      <c r="N2451" s="100"/>
      <c r="O2451" s="100" t="s">
        <v>115</v>
      </c>
      <c r="P2451" s="101"/>
      <c r="Q2451" s="100">
        <v>146</v>
      </c>
      <c r="R2451" s="100">
        <v>229</v>
      </c>
      <c r="S2451" s="100"/>
      <c r="T2451" s="100"/>
      <c r="U2451" s="100"/>
      <c r="V2451" s="100"/>
      <c r="W2451" s="100"/>
      <c r="X2451" s="100">
        <v>90210804</v>
      </c>
      <c r="Y2451" s="100" t="s">
        <v>115</v>
      </c>
      <c r="Z2451" s="100" t="s">
        <v>115</v>
      </c>
      <c r="AA2451" s="100" t="s">
        <v>115</v>
      </c>
      <c r="AB2451" s="100" t="s">
        <v>115</v>
      </c>
      <c r="AC2451" s="100" t="s">
        <v>115</v>
      </c>
      <c r="AD2451" s="100"/>
      <c r="AE2451" s="100"/>
      <c r="AF2451" s="100"/>
      <c r="AG2451" s="100"/>
      <c r="AH2451" s="100"/>
      <c r="AI2451" s="100" t="s">
        <v>115</v>
      </c>
      <c r="AJ2451" s="100"/>
      <c r="AK2451" s="100"/>
      <c r="AL2451" s="100"/>
      <c r="AM2451" s="100"/>
      <c r="AN2451" s="100"/>
      <c r="AO2451" s="100"/>
      <c r="AP2451" s="89" t="s">
        <v>115</v>
      </c>
    </row>
    <row r="2452" spans="1:42" s="89" customFormat="1" x14ac:dyDescent="0.15">
      <c r="A2452" s="100" t="s">
        <v>1</v>
      </c>
      <c r="B2452" s="101">
        <v>90210804</v>
      </c>
      <c r="C2452" s="101">
        <v>2108</v>
      </c>
      <c r="D2452" s="101">
        <v>21</v>
      </c>
      <c r="E2452" s="101"/>
      <c r="F2452" s="101" t="s">
        <v>4991</v>
      </c>
      <c r="G2452" s="101" t="s">
        <v>115</v>
      </c>
      <c r="H2452" s="101" t="s">
        <v>5097</v>
      </c>
      <c r="I2452" s="101">
        <v>3</v>
      </c>
      <c r="J2452" s="100">
        <v>0</v>
      </c>
      <c r="K2452" s="100">
        <v>0</v>
      </c>
      <c r="L2452" s="100" t="s">
        <v>115</v>
      </c>
      <c r="M2452" s="102"/>
      <c r="N2452" s="100"/>
      <c r="O2452" s="100" t="s">
        <v>115</v>
      </c>
      <c r="P2452" s="101"/>
      <c r="Q2452" s="100">
        <v>146</v>
      </c>
      <c r="R2452" s="100">
        <v>229</v>
      </c>
      <c r="S2452" s="100"/>
      <c r="T2452" s="100"/>
      <c r="U2452" s="100"/>
      <c r="V2452" s="100"/>
      <c r="W2452" s="100"/>
      <c r="X2452" s="100">
        <v>90210805</v>
      </c>
      <c r="Y2452" s="100" t="s">
        <v>115</v>
      </c>
      <c r="Z2452" s="100" t="s">
        <v>115</v>
      </c>
      <c r="AA2452" s="100" t="s">
        <v>115</v>
      </c>
      <c r="AB2452" s="100" t="s">
        <v>115</v>
      </c>
      <c r="AC2452" s="100" t="s">
        <v>115</v>
      </c>
      <c r="AD2452" s="100"/>
      <c r="AE2452" s="100"/>
      <c r="AF2452" s="100"/>
      <c r="AG2452" s="100"/>
      <c r="AH2452" s="100"/>
      <c r="AI2452" s="100" t="s">
        <v>115</v>
      </c>
      <c r="AJ2452" s="100"/>
      <c r="AK2452" s="100"/>
      <c r="AL2452" s="100"/>
      <c r="AM2452" s="100"/>
      <c r="AN2452" s="100"/>
      <c r="AO2452" s="100"/>
      <c r="AP2452" s="89" t="s">
        <v>115</v>
      </c>
    </row>
    <row r="2453" spans="1:42" s="89" customFormat="1" x14ac:dyDescent="0.15">
      <c r="A2453" s="100" t="s">
        <v>1</v>
      </c>
      <c r="B2453" s="101">
        <v>90210805</v>
      </c>
      <c r="C2453" s="101">
        <v>2108</v>
      </c>
      <c r="D2453" s="101">
        <v>21</v>
      </c>
      <c r="E2453" s="101"/>
      <c r="F2453" s="101" t="s">
        <v>4991</v>
      </c>
      <c r="G2453" s="101" t="s">
        <v>115</v>
      </c>
      <c r="H2453" s="101" t="s">
        <v>5099</v>
      </c>
      <c r="I2453" s="101">
        <v>3</v>
      </c>
      <c r="J2453" s="100">
        <v>0</v>
      </c>
      <c r="K2453" s="100">
        <v>0</v>
      </c>
      <c r="L2453" s="100" t="s">
        <v>115</v>
      </c>
      <c r="M2453" s="102"/>
      <c r="N2453" s="100"/>
      <c r="O2453" s="100" t="s">
        <v>115</v>
      </c>
      <c r="P2453" s="101"/>
      <c r="Q2453" s="100">
        <v>146</v>
      </c>
      <c r="R2453" s="100">
        <v>229</v>
      </c>
      <c r="S2453" s="100"/>
      <c r="T2453" s="100"/>
      <c r="U2453" s="100"/>
      <c r="V2453" s="100"/>
      <c r="W2453" s="100"/>
      <c r="X2453" s="100">
        <v>90210806</v>
      </c>
      <c r="Y2453" s="100" t="s">
        <v>115</v>
      </c>
      <c r="Z2453" s="100" t="s">
        <v>115</v>
      </c>
      <c r="AA2453" s="100" t="s">
        <v>115</v>
      </c>
      <c r="AB2453" s="100" t="s">
        <v>115</v>
      </c>
      <c r="AC2453" s="100" t="s">
        <v>115</v>
      </c>
      <c r="AD2453" s="100"/>
      <c r="AE2453" s="100"/>
      <c r="AF2453" s="100"/>
      <c r="AG2453" s="100"/>
      <c r="AH2453" s="100"/>
      <c r="AI2453" s="100" t="s">
        <v>115</v>
      </c>
      <c r="AJ2453" s="100"/>
      <c r="AK2453" s="100"/>
      <c r="AL2453" s="100"/>
      <c r="AM2453" s="100"/>
      <c r="AN2453" s="100"/>
      <c r="AO2453" s="100"/>
      <c r="AP2453" s="89" t="s">
        <v>115</v>
      </c>
    </row>
    <row r="2454" spans="1:42" s="89" customFormat="1" x14ac:dyDescent="0.15">
      <c r="A2454" s="100" t="s">
        <v>1</v>
      </c>
      <c r="B2454" s="101">
        <v>90210806</v>
      </c>
      <c r="C2454" s="101">
        <v>2108</v>
      </c>
      <c r="D2454" s="101">
        <v>21</v>
      </c>
      <c r="E2454" s="101"/>
      <c r="F2454" s="101" t="s">
        <v>116</v>
      </c>
      <c r="G2454" s="101">
        <v>312</v>
      </c>
      <c r="H2454" s="101" t="s">
        <v>5100</v>
      </c>
      <c r="I2454" s="101">
        <v>0</v>
      </c>
      <c r="J2454" s="100">
        <v>0</v>
      </c>
      <c r="K2454" s="100">
        <v>0</v>
      </c>
      <c r="L2454" s="100" t="s">
        <v>115</v>
      </c>
      <c r="M2454" s="102"/>
      <c r="N2454" s="100"/>
      <c r="O2454" s="100" t="s">
        <v>115</v>
      </c>
      <c r="P2454" s="101"/>
      <c r="Q2454" s="100">
        <v>146</v>
      </c>
      <c r="R2454" s="100">
        <v>229</v>
      </c>
      <c r="S2454" s="100"/>
      <c r="T2454" s="100"/>
      <c r="U2454" s="100"/>
      <c r="V2454" s="100"/>
      <c r="W2454" s="100"/>
      <c r="X2454" s="100">
        <v>90210807</v>
      </c>
      <c r="Y2454" s="100" t="s">
        <v>115</v>
      </c>
      <c r="Z2454" s="100" t="s">
        <v>115</v>
      </c>
      <c r="AA2454" s="100" t="s">
        <v>115</v>
      </c>
      <c r="AB2454" s="100" t="s">
        <v>115</v>
      </c>
      <c r="AC2454" s="100" t="s">
        <v>115</v>
      </c>
      <c r="AD2454" s="100"/>
      <c r="AE2454" s="100"/>
      <c r="AF2454" s="100"/>
      <c r="AG2454" s="100"/>
      <c r="AH2454" s="100"/>
      <c r="AI2454" s="100" t="s">
        <v>115</v>
      </c>
      <c r="AJ2454" s="100"/>
      <c r="AK2454" s="100"/>
      <c r="AL2454" s="100"/>
      <c r="AM2454" s="100"/>
      <c r="AN2454" s="100"/>
      <c r="AO2454" s="100"/>
      <c r="AP2454" s="89" t="s">
        <v>115</v>
      </c>
    </row>
    <row r="2455" spans="1:42" s="89" customFormat="1" x14ac:dyDescent="0.15">
      <c r="A2455" s="100" t="s">
        <v>1</v>
      </c>
      <c r="B2455" s="101">
        <v>90210807</v>
      </c>
      <c r="C2455" s="101">
        <v>2108</v>
      </c>
      <c r="D2455" s="101">
        <v>21</v>
      </c>
      <c r="E2455" s="101"/>
      <c r="F2455" s="101" t="s">
        <v>4991</v>
      </c>
      <c r="G2455" s="101" t="s">
        <v>115</v>
      </c>
      <c r="H2455" s="101" t="s">
        <v>5101</v>
      </c>
      <c r="I2455" s="101">
        <v>3</v>
      </c>
      <c r="J2455" s="100">
        <v>0</v>
      </c>
      <c r="K2455" s="100">
        <v>0</v>
      </c>
      <c r="L2455" s="100" t="s">
        <v>115</v>
      </c>
      <c r="M2455" s="102"/>
      <c r="N2455" s="100"/>
      <c r="O2455" s="100" t="s">
        <v>115</v>
      </c>
      <c r="P2455" s="101"/>
      <c r="Q2455" s="100">
        <v>146</v>
      </c>
      <c r="R2455" s="100">
        <v>229</v>
      </c>
      <c r="S2455" s="100"/>
      <c r="T2455" s="100"/>
      <c r="U2455" s="100"/>
      <c r="V2455" s="100"/>
      <c r="W2455" s="100"/>
      <c r="X2455" s="100">
        <v>90210808</v>
      </c>
      <c r="Y2455" s="100" t="s">
        <v>115</v>
      </c>
      <c r="Z2455" s="100" t="s">
        <v>115</v>
      </c>
      <c r="AA2455" s="100" t="s">
        <v>115</v>
      </c>
      <c r="AB2455" s="100" t="s">
        <v>115</v>
      </c>
      <c r="AC2455" s="100" t="s">
        <v>115</v>
      </c>
      <c r="AD2455" s="100"/>
      <c r="AE2455" s="100"/>
      <c r="AF2455" s="100"/>
      <c r="AG2455" s="100"/>
      <c r="AH2455" s="100"/>
      <c r="AI2455" s="100" t="s">
        <v>115</v>
      </c>
      <c r="AJ2455" s="100"/>
      <c r="AK2455" s="100"/>
      <c r="AL2455" s="100"/>
      <c r="AM2455" s="100"/>
      <c r="AN2455" s="100"/>
      <c r="AO2455" s="100"/>
      <c r="AP2455" s="89" t="s">
        <v>115</v>
      </c>
    </row>
    <row r="2456" spans="1:42" s="89" customFormat="1" x14ac:dyDescent="0.15">
      <c r="A2456" s="100" t="s">
        <v>1</v>
      </c>
      <c r="B2456" s="101">
        <v>90210808</v>
      </c>
      <c r="C2456" s="101">
        <v>2108</v>
      </c>
      <c r="D2456" s="101">
        <v>21</v>
      </c>
      <c r="E2456" s="101"/>
      <c r="F2456" s="101" t="s">
        <v>115</v>
      </c>
      <c r="G2456" s="101" t="s">
        <v>115</v>
      </c>
      <c r="H2456" s="101" t="s">
        <v>5102</v>
      </c>
      <c r="I2456" s="101">
        <v>4</v>
      </c>
      <c r="J2456" s="100">
        <v>0</v>
      </c>
      <c r="K2456" s="100">
        <v>2</v>
      </c>
      <c r="L2456" s="100" t="s">
        <v>115</v>
      </c>
      <c r="M2456" s="102"/>
      <c r="N2456" s="100"/>
      <c r="O2456" s="100" t="s">
        <v>115</v>
      </c>
      <c r="P2456" s="101"/>
      <c r="Q2456" s="100">
        <v>146</v>
      </c>
      <c r="R2456" s="100">
        <v>229</v>
      </c>
      <c r="S2456" s="100"/>
      <c r="T2456" s="100"/>
      <c r="U2456" s="100"/>
      <c r="V2456" s="100"/>
      <c r="W2456" s="100"/>
      <c r="X2456" s="100" t="s">
        <v>7299</v>
      </c>
      <c r="Y2456" s="100">
        <v>1</v>
      </c>
      <c r="Z2456" s="100">
        <v>1</v>
      </c>
      <c r="AA2456" s="100" t="s">
        <v>115</v>
      </c>
      <c r="AB2456" s="100" t="s">
        <v>115</v>
      </c>
      <c r="AC2456" s="100" t="s">
        <v>115</v>
      </c>
      <c r="AD2456" s="100"/>
      <c r="AE2456" s="100"/>
      <c r="AF2456" s="100"/>
      <c r="AG2456" s="100"/>
      <c r="AH2456" s="100"/>
      <c r="AI2456" s="100" t="s">
        <v>115</v>
      </c>
      <c r="AJ2456" s="100"/>
      <c r="AK2456" s="100"/>
      <c r="AL2456" s="100"/>
      <c r="AM2456" s="100"/>
      <c r="AN2456" s="100"/>
      <c r="AO2456" s="100"/>
      <c r="AP2456" s="89" t="s">
        <v>115</v>
      </c>
    </row>
    <row r="2457" spans="1:42" s="89" customFormat="1" x14ac:dyDescent="0.15">
      <c r="A2457" s="100" t="s">
        <v>1</v>
      </c>
      <c r="B2457" s="101">
        <v>90210809</v>
      </c>
      <c r="C2457" s="101">
        <v>2108</v>
      </c>
      <c r="D2457" s="101">
        <v>21</v>
      </c>
      <c r="E2457" s="101"/>
      <c r="F2457" s="101" t="s">
        <v>115</v>
      </c>
      <c r="G2457" s="101" t="s">
        <v>115</v>
      </c>
      <c r="H2457" s="101" t="s">
        <v>7306</v>
      </c>
      <c r="I2457" s="101">
        <v>4</v>
      </c>
      <c r="J2457" s="100">
        <v>0</v>
      </c>
      <c r="K2457" s="100">
        <v>3</v>
      </c>
      <c r="L2457" s="100" t="s">
        <v>115</v>
      </c>
      <c r="M2457" s="102"/>
      <c r="N2457" s="100"/>
      <c r="O2457" s="100" t="s">
        <v>115</v>
      </c>
      <c r="P2457" s="101"/>
      <c r="Q2457" s="100">
        <v>146</v>
      </c>
      <c r="R2457" s="100">
        <v>229</v>
      </c>
      <c r="S2457" s="100"/>
      <c r="T2457" s="100"/>
      <c r="U2457" s="100"/>
      <c r="V2457" s="100"/>
      <c r="W2457" s="100"/>
      <c r="X2457" s="100">
        <v>90210811</v>
      </c>
      <c r="Y2457" s="100">
        <v>-1</v>
      </c>
      <c r="Z2457" s="100">
        <v>2</v>
      </c>
      <c r="AA2457" s="100" t="s">
        <v>115</v>
      </c>
      <c r="AB2457" s="100" t="s">
        <v>115</v>
      </c>
      <c r="AC2457" s="100" t="s">
        <v>5103</v>
      </c>
      <c r="AD2457" s="100"/>
      <c r="AE2457" s="100"/>
      <c r="AF2457" s="100"/>
      <c r="AG2457" s="100"/>
      <c r="AH2457" s="100"/>
      <c r="AI2457" s="100" t="s">
        <v>115</v>
      </c>
      <c r="AJ2457" s="100"/>
      <c r="AK2457" s="100"/>
      <c r="AL2457" s="100"/>
      <c r="AM2457" s="100"/>
      <c r="AN2457" s="100"/>
      <c r="AO2457" s="100"/>
      <c r="AP2457" s="89" t="s">
        <v>115</v>
      </c>
    </row>
    <row r="2458" spans="1:42" s="89" customFormat="1" x14ac:dyDescent="0.15">
      <c r="A2458" s="100" t="s">
        <v>1</v>
      </c>
      <c r="B2458" s="101">
        <v>90210810</v>
      </c>
      <c r="C2458" s="101">
        <v>2108</v>
      </c>
      <c r="D2458" s="101">
        <v>21</v>
      </c>
      <c r="E2458" s="101"/>
      <c r="F2458" s="101" t="s">
        <v>115</v>
      </c>
      <c r="G2458" s="101" t="s">
        <v>115</v>
      </c>
      <c r="H2458" s="101" t="s">
        <v>5105</v>
      </c>
      <c r="I2458" s="101">
        <v>4</v>
      </c>
      <c r="J2458" s="100">
        <v>0</v>
      </c>
      <c r="K2458" s="100">
        <v>4</v>
      </c>
      <c r="L2458" s="100" t="s">
        <v>115</v>
      </c>
      <c r="M2458" s="102"/>
      <c r="N2458" s="100"/>
      <c r="O2458" s="100" t="s">
        <v>115</v>
      </c>
      <c r="P2458" s="101"/>
      <c r="Q2458" s="100">
        <v>146</v>
      </c>
      <c r="R2458" s="100">
        <v>229</v>
      </c>
      <c r="S2458" s="100"/>
      <c r="T2458" s="100"/>
      <c r="U2458" s="100"/>
      <c r="V2458" s="100"/>
      <c r="W2458" s="100"/>
      <c r="X2458" s="100">
        <v>90210817</v>
      </c>
      <c r="Y2458" s="100">
        <v>-1</v>
      </c>
      <c r="Z2458" s="100">
        <v>2</v>
      </c>
      <c r="AA2458" s="100" t="s">
        <v>115</v>
      </c>
      <c r="AB2458" s="100" t="s">
        <v>115</v>
      </c>
      <c r="AC2458" s="100" t="s">
        <v>5104</v>
      </c>
      <c r="AD2458" s="100"/>
      <c r="AE2458" s="100"/>
      <c r="AF2458" s="100"/>
      <c r="AG2458" s="100"/>
      <c r="AH2458" s="100"/>
      <c r="AI2458" s="100" t="s">
        <v>115</v>
      </c>
      <c r="AJ2458" s="100"/>
      <c r="AK2458" s="100"/>
      <c r="AL2458" s="100"/>
      <c r="AM2458" s="100"/>
      <c r="AN2458" s="100"/>
      <c r="AO2458" s="100"/>
      <c r="AP2458" s="89" t="s">
        <v>115</v>
      </c>
    </row>
    <row r="2459" spans="1:42" s="89" customFormat="1" x14ac:dyDescent="0.15">
      <c r="A2459" s="100" t="s">
        <v>1</v>
      </c>
      <c r="B2459" s="101">
        <v>90210811</v>
      </c>
      <c r="C2459" s="101">
        <v>2108</v>
      </c>
      <c r="D2459" s="101">
        <v>21</v>
      </c>
      <c r="E2459" s="101"/>
      <c r="F2459" s="101" t="s">
        <v>116</v>
      </c>
      <c r="G2459" s="101">
        <v>312</v>
      </c>
      <c r="H2459" s="101" t="s">
        <v>5106</v>
      </c>
      <c r="I2459" s="101">
        <v>0</v>
      </c>
      <c r="J2459" s="100">
        <v>0</v>
      </c>
      <c r="K2459" s="100">
        <v>0</v>
      </c>
      <c r="L2459" s="100" t="s">
        <v>115</v>
      </c>
      <c r="M2459" s="102"/>
      <c r="N2459" s="100"/>
      <c r="O2459" s="100" t="s">
        <v>115</v>
      </c>
      <c r="P2459" s="101"/>
      <c r="Q2459" s="100">
        <v>146</v>
      </c>
      <c r="R2459" s="100">
        <v>229</v>
      </c>
      <c r="S2459" s="100"/>
      <c r="T2459" s="100"/>
      <c r="U2459" s="100"/>
      <c r="V2459" s="100"/>
      <c r="W2459" s="100"/>
      <c r="X2459" s="100">
        <v>90210812</v>
      </c>
      <c r="Y2459" s="100" t="s">
        <v>115</v>
      </c>
      <c r="Z2459" s="100" t="s">
        <v>115</v>
      </c>
      <c r="AA2459" s="100" t="s">
        <v>115</v>
      </c>
      <c r="AB2459" s="100" t="s">
        <v>115</v>
      </c>
      <c r="AC2459" s="100" t="s">
        <v>115</v>
      </c>
      <c r="AD2459" s="100"/>
      <c r="AE2459" s="100"/>
      <c r="AF2459" s="100"/>
      <c r="AG2459" s="100"/>
      <c r="AH2459" s="100"/>
      <c r="AI2459" s="100" t="s">
        <v>115</v>
      </c>
      <c r="AJ2459" s="100"/>
      <c r="AK2459" s="100"/>
      <c r="AL2459" s="100"/>
      <c r="AM2459" s="100"/>
      <c r="AN2459" s="100"/>
      <c r="AO2459" s="100"/>
      <c r="AP2459" s="89" t="s">
        <v>115</v>
      </c>
    </row>
    <row r="2460" spans="1:42" s="89" customFormat="1" x14ac:dyDescent="0.15">
      <c r="A2460" s="100" t="s">
        <v>1</v>
      </c>
      <c r="B2460" s="101">
        <v>90210812</v>
      </c>
      <c r="C2460" s="101">
        <v>2108</v>
      </c>
      <c r="D2460" s="101">
        <v>21</v>
      </c>
      <c r="E2460" s="101"/>
      <c r="F2460" s="101" t="s">
        <v>115</v>
      </c>
      <c r="G2460" s="101" t="s">
        <v>115</v>
      </c>
      <c r="H2460" s="101" t="s">
        <v>5107</v>
      </c>
      <c r="I2460" s="101">
        <v>4</v>
      </c>
      <c r="J2460" s="100">
        <v>0</v>
      </c>
      <c r="K2460" s="100">
        <v>0</v>
      </c>
      <c r="L2460" s="100" t="s">
        <v>115</v>
      </c>
      <c r="M2460" s="102"/>
      <c r="N2460" s="100"/>
      <c r="O2460" s="100" t="s">
        <v>115</v>
      </c>
      <c r="P2460" s="101"/>
      <c r="Q2460" s="100">
        <v>146</v>
      </c>
      <c r="R2460" s="100">
        <v>229</v>
      </c>
      <c r="S2460" s="100"/>
      <c r="T2460" s="100"/>
      <c r="U2460" s="100"/>
      <c r="V2460" s="100"/>
      <c r="W2460" s="100"/>
      <c r="X2460" s="100">
        <v>90210813</v>
      </c>
      <c r="Y2460" s="100" t="s">
        <v>115</v>
      </c>
      <c r="Z2460" s="100" t="s">
        <v>115</v>
      </c>
      <c r="AA2460" s="100" t="s">
        <v>115</v>
      </c>
      <c r="AB2460" s="100" t="s">
        <v>115</v>
      </c>
      <c r="AC2460" s="100" t="s">
        <v>115</v>
      </c>
      <c r="AD2460" s="100"/>
      <c r="AE2460" s="100"/>
      <c r="AF2460" s="100"/>
      <c r="AG2460" s="100"/>
      <c r="AH2460" s="100"/>
      <c r="AI2460" s="100" t="s">
        <v>115</v>
      </c>
      <c r="AJ2460" s="100"/>
      <c r="AK2460" s="100"/>
      <c r="AL2460" s="100"/>
      <c r="AM2460" s="100"/>
      <c r="AN2460" s="100"/>
      <c r="AO2460" s="100"/>
      <c r="AP2460" s="89" t="s">
        <v>115</v>
      </c>
    </row>
    <row r="2461" spans="1:42" s="89" customFormat="1" x14ac:dyDescent="0.15">
      <c r="A2461" s="100" t="s">
        <v>1</v>
      </c>
      <c r="B2461" s="101">
        <v>90210813</v>
      </c>
      <c r="C2461" s="101">
        <v>2108</v>
      </c>
      <c r="D2461" s="101">
        <v>21</v>
      </c>
      <c r="E2461" s="101"/>
      <c r="F2461" s="101" t="s">
        <v>4991</v>
      </c>
      <c r="G2461" s="101" t="s">
        <v>115</v>
      </c>
      <c r="H2461" s="101" t="s">
        <v>7175</v>
      </c>
      <c r="I2461" s="101">
        <v>3</v>
      </c>
      <c r="J2461" s="100">
        <v>0</v>
      </c>
      <c r="K2461" s="100">
        <v>0</v>
      </c>
      <c r="L2461" s="100" t="s">
        <v>115</v>
      </c>
      <c r="M2461" s="102"/>
      <c r="N2461" s="100"/>
      <c r="O2461" s="100" t="s">
        <v>115</v>
      </c>
      <c r="P2461" s="101"/>
      <c r="Q2461" s="100">
        <v>146</v>
      </c>
      <c r="R2461" s="100">
        <v>229</v>
      </c>
      <c r="S2461" s="100"/>
      <c r="T2461" s="100"/>
      <c r="U2461" s="100"/>
      <c r="V2461" s="100"/>
      <c r="W2461" s="100"/>
      <c r="X2461" s="100">
        <v>90210814</v>
      </c>
      <c r="Y2461" s="100" t="s">
        <v>115</v>
      </c>
      <c r="Z2461" s="100" t="s">
        <v>115</v>
      </c>
      <c r="AA2461" s="100" t="s">
        <v>115</v>
      </c>
      <c r="AB2461" s="100" t="s">
        <v>115</v>
      </c>
      <c r="AC2461" s="100" t="s">
        <v>115</v>
      </c>
      <c r="AD2461" s="100"/>
      <c r="AE2461" s="100"/>
      <c r="AF2461" s="100"/>
      <c r="AG2461" s="100"/>
      <c r="AH2461" s="100"/>
      <c r="AI2461" s="100" t="s">
        <v>115</v>
      </c>
      <c r="AJ2461" s="100"/>
      <c r="AK2461" s="100"/>
      <c r="AL2461" s="100"/>
      <c r="AM2461" s="100"/>
      <c r="AN2461" s="100"/>
      <c r="AO2461" s="100"/>
      <c r="AP2461" s="89" t="s">
        <v>115</v>
      </c>
    </row>
    <row r="2462" spans="1:42" s="89" customFormat="1" x14ac:dyDescent="0.15">
      <c r="A2462" s="100" t="s">
        <v>1</v>
      </c>
      <c r="B2462" s="101">
        <v>90210814</v>
      </c>
      <c r="C2462" s="101">
        <v>2108</v>
      </c>
      <c r="D2462" s="101">
        <v>21</v>
      </c>
      <c r="E2462" s="101"/>
      <c r="F2462" s="101" t="s">
        <v>4991</v>
      </c>
      <c r="G2462" s="101" t="s">
        <v>115</v>
      </c>
      <c r="H2462" s="101" t="s">
        <v>7176</v>
      </c>
      <c r="I2462" s="101">
        <v>3</v>
      </c>
      <c r="J2462" s="100">
        <v>0</v>
      </c>
      <c r="K2462" s="100">
        <v>0</v>
      </c>
      <c r="L2462" s="100" t="s">
        <v>115</v>
      </c>
      <c r="M2462" s="102"/>
      <c r="N2462" s="100"/>
      <c r="O2462" s="100" t="s">
        <v>115</v>
      </c>
      <c r="P2462" s="101"/>
      <c r="Q2462" s="100">
        <v>146</v>
      </c>
      <c r="R2462" s="100">
        <v>229</v>
      </c>
      <c r="S2462" s="100"/>
      <c r="T2462" s="100"/>
      <c r="U2462" s="100"/>
      <c r="V2462" s="100"/>
      <c r="W2462" s="100"/>
      <c r="X2462" s="100">
        <v>90210815</v>
      </c>
      <c r="Y2462" s="100" t="s">
        <v>115</v>
      </c>
      <c r="Z2462" s="100" t="s">
        <v>115</v>
      </c>
      <c r="AA2462" s="100" t="s">
        <v>115</v>
      </c>
      <c r="AB2462" s="100" t="s">
        <v>115</v>
      </c>
      <c r="AC2462" s="100" t="s">
        <v>115</v>
      </c>
      <c r="AD2462" s="100"/>
      <c r="AE2462" s="100"/>
      <c r="AF2462" s="100"/>
      <c r="AG2462" s="100"/>
      <c r="AH2462" s="100"/>
      <c r="AI2462" s="100" t="s">
        <v>115</v>
      </c>
      <c r="AJ2462" s="100"/>
      <c r="AK2462" s="100"/>
      <c r="AL2462" s="100"/>
      <c r="AM2462" s="100"/>
      <c r="AN2462" s="100"/>
      <c r="AO2462" s="100"/>
      <c r="AP2462" s="89" t="s">
        <v>115</v>
      </c>
    </row>
    <row r="2463" spans="1:42" s="89" customFormat="1" x14ac:dyDescent="0.15">
      <c r="A2463" s="100" t="s">
        <v>1</v>
      </c>
      <c r="B2463" s="101">
        <v>90210815</v>
      </c>
      <c r="C2463" s="101">
        <v>2108</v>
      </c>
      <c r="D2463" s="101">
        <v>21</v>
      </c>
      <c r="E2463" s="101"/>
      <c r="F2463" s="101" t="s">
        <v>4991</v>
      </c>
      <c r="G2463" s="101" t="s">
        <v>115</v>
      </c>
      <c r="H2463" s="101" t="s">
        <v>5108</v>
      </c>
      <c r="I2463" s="101">
        <v>3</v>
      </c>
      <c r="J2463" s="100">
        <v>0</v>
      </c>
      <c r="K2463" s="100">
        <v>0</v>
      </c>
      <c r="L2463" s="100" t="s">
        <v>115</v>
      </c>
      <c r="M2463" s="102"/>
      <c r="N2463" s="100"/>
      <c r="O2463" s="100" t="s">
        <v>115</v>
      </c>
      <c r="P2463" s="101"/>
      <c r="Q2463" s="100">
        <v>146</v>
      </c>
      <c r="R2463" s="100">
        <v>229</v>
      </c>
      <c r="S2463" s="100"/>
      <c r="T2463" s="100"/>
      <c r="U2463" s="100"/>
      <c r="V2463" s="100"/>
      <c r="W2463" s="100"/>
      <c r="X2463" s="100">
        <v>90210816</v>
      </c>
      <c r="Y2463" s="100" t="s">
        <v>115</v>
      </c>
      <c r="Z2463" s="100" t="s">
        <v>115</v>
      </c>
      <c r="AA2463" s="100" t="s">
        <v>115</v>
      </c>
      <c r="AB2463" s="100" t="s">
        <v>115</v>
      </c>
      <c r="AC2463" s="100" t="s">
        <v>115</v>
      </c>
      <c r="AD2463" s="100"/>
      <c r="AE2463" s="100"/>
      <c r="AF2463" s="100"/>
      <c r="AG2463" s="100"/>
      <c r="AH2463" s="100"/>
      <c r="AI2463" s="100" t="s">
        <v>115</v>
      </c>
      <c r="AJ2463" s="100"/>
      <c r="AK2463" s="100"/>
      <c r="AL2463" s="100"/>
      <c r="AM2463" s="100"/>
      <c r="AN2463" s="100"/>
      <c r="AO2463" s="100"/>
      <c r="AP2463" s="89" t="s">
        <v>115</v>
      </c>
    </row>
    <row r="2464" spans="1:42" s="89" customFormat="1" x14ac:dyDescent="0.15">
      <c r="A2464" s="100" t="s">
        <v>1</v>
      </c>
      <c r="B2464" s="101">
        <v>90210816</v>
      </c>
      <c r="C2464" s="101">
        <v>2108</v>
      </c>
      <c r="D2464" s="101">
        <v>21</v>
      </c>
      <c r="E2464" s="101"/>
      <c r="F2464" s="101" t="s">
        <v>116</v>
      </c>
      <c r="G2464" s="101">
        <v>314</v>
      </c>
      <c r="H2464" s="101" t="s">
        <v>7177</v>
      </c>
      <c r="I2464" s="101">
        <v>2</v>
      </c>
      <c r="J2464" s="100">
        <v>0</v>
      </c>
      <c r="K2464" s="100">
        <v>0</v>
      </c>
      <c r="L2464" s="100" t="s">
        <v>115</v>
      </c>
      <c r="M2464" s="102"/>
      <c r="N2464" s="100"/>
      <c r="O2464" s="100" t="s">
        <v>115</v>
      </c>
      <c r="P2464" s="101"/>
      <c r="Q2464" s="100">
        <v>146</v>
      </c>
      <c r="R2464" s="100">
        <v>229</v>
      </c>
      <c r="S2464" s="100"/>
      <c r="T2464" s="100"/>
      <c r="U2464" s="100"/>
      <c r="V2464" s="100"/>
      <c r="W2464" s="100"/>
      <c r="X2464" s="100">
        <v>90210819</v>
      </c>
      <c r="Y2464" s="100" t="s">
        <v>115</v>
      </c>
      <c r="Z2464" s="100" t="s">
        <v>115</v>
      </c>
      <c r="AA2464" s="100" t="s">
        <v>115</v>
      </c>
      <c r="AB2464" s="100" t="s">
        <v>115</v>
      </c>
      <c r="AC2464" s="100" t="s">
        <v>115</v>
      </c>
      <c r="AD2464" s="100"/>
      <c r="AE2464" s="100"/>
      <c r="AF2464" s="100"/>
      <c r="AG2464" s="100"/>
      <c r="AH2464" s="100"/>
      <c r="AI2464" s="100" t="s">
        <v>115</v>
      </c>
      <c r="AJ2464" s="100"/>
      <c r="AK2464" s="100"/>
      <c r="AL2464" s="100"/>
      <c r="AM2464" s="100"/>
      <c r="AN2464" s="100"/>
      <c r="AO2464" s="100"/>
      <c r="AP2464" s="89" t="s">
        <v>115</v>
      </c>
    </row>
    <row r="2465" spans="1:42" s="89" customFormat="1" x14ac:dyDescent="0.15">
      <c r="A2465" s="100" t="s">
        <v>1</v>
      </c>
      <c r="B2465" s="101">
        <v>90210817</v>
      </c>
      <c r="C2465" s="101">
        <v>2108</v>
      </c>
      <c r="D2465" s="101">
        <v>21</v>
      </c>
      <c r="E2465" s="101"/>
      <c r="F2465" s="101" t="s">
        <v>116</v>
      </c>
      <c r="G2465" s="101">
        <v>314</v>
      </c>
      <c r="H2465" s="101" t="s">
        <v>5109</v>
      </c>
      <c r="I2465" s="101">
        <v>2</v>
      </c>
      <c r="J2465" s="100">
        <v>0</v>
      </c>
      <c r="K2465" s="100">
        <v>0</v>
      </c>
      <c r="L2465" s="100" t="s">
        <v>115</v>
      </c>
      <c r="M2465" s="102"/>
      <c r="N2465" s="100"/>
      <c r="O2465" s="100" t="s">
        <v>115</v>
      </c>
      <c r="P2465" s="101"/>
      <c r="Q2465" s="100">
        <v>146</v>
      </c>
      <c r="R2465" s="100">
        <v>229</v>
      </c>
      <c r="S2465" s="100"/>
      <c r="T2465" s="100"/>
      <c r="U2465" s="100"/>
      <c r="V2465" s="100"/>
      <c r="W2465" s="100"/>
      <c r="X2465" s="100">
        <v>90210818</v>
      </c>
      <c r="Y2465" s="100" t="s">
        <v>115</v>
      </c>
      <c r="Z2465" s="100" t="s">
        <v>115</v>
      </c>
      <c r="AA2465" s="100" t="s">
        <v>115</v>
      </c>
      <c r="AB2465" s="100" t="s">
        <v>115</v>
      </c>
      <c r="AC2465" s="100" t="s">
        <v>115</v>
      </c>
      <c r="AD2465" s="100"/>
      <c r="AE2465" s="100"/>
      <c r="AF2465" s="100"/>
      <c r="AG2465" s="100"/>
      <c r="AH2465" s="100"/>
      <c r="AI2465" s="100" t="s">
        <v>115</v>
      </c>
      <c r="AJ2465" s="100"/>
      <c r="AK2465" s="100"/>
      <c r="AL2465" s="100"/>
      <c r="AM2465" s="100"/>
      <c r="AN2465" s="100"/>
      <c r="AO2465" s="100"/>
      <c r="AP2465" s="89" t="s">
        <v>115</v>
      </c>
    </row>
    <row r="2466" spans="1:42" s="89" customFormat="1" x14ac:dyDescent="0.15">
      <c r="A2466" s="100" t="s">
        <v>1</v>
      </c>
      <c r="B2466" s="101">
        <v>90210818</v>
      </c>
      <c r="C2466" s="101">
        <v>2108</v>
      </c>
      <c r="D2466" s="101">
        <v>21</v>
      </c>
      <c r="E2466" s="101"/>
      <c r="F2466" s="101" t="s">
        <v>115</v>
      </c>
      <c r="G2466" s="101" t="s">
        <v>115</v>
      </c>
      <c r="H2466" s="101" t="s">
        <v>7178</v>
      </c>
      <c r="I2466" s="101">
        <v>4</v>
      </c>
      <c r="J2466" s="100">
        <v>0</v>
      </c>
      <c r="K2466" s="100">
        <v>0</v>
      </c>
      <c r="L2466" s="100" t="s">
        <v>115</v>
      </c>
      <c r="M2466" s="102"/>
      <c r="N2466" s="100"/>
      <c r="O2466" s="100" t="s">
        <v>115</v>
      </c>
      <c r="P2466" s="101"/>
      <c r="Q2466" s="100">
        <v>146</v>
      </c>
      <c r="R2466" s="100">
        <v>229</v>
      </c>
      <c r="S2466" s="100"/>
      <c r="T2466" s="100"/>
      <c r="U2466" s="100"/>
      <c r="V2466" s="100"/>
      <c r="W2466" s="100"/>
      <c r="X2466" s="100">
        <v>90210819</v>
      </c>
      <c r="Y2466" s="100" t="s">
        <v>115</v>
      </c>
      <c r="Z2466" s="100" t="s">
        <v>115</v>
      </c>
      <c r="AA2466" s="100" t="s">
        <v>115</v>
      </c>
      <c r="AB2466" s="100" t="s">
        <v>115</v>
      </c>
      <c r="AC2466" s="100" t="s">
        <v>115</v>
      </c>
      <c r="AD2466" s="100"/>
      <c r="AE2466" s="100"/>
      <c r="AF2466" s="100"/>
      <c r="AG2466" s="100"/>
      <c r="AH2466" s="100"/>
      <c r="AI2466" s="100" t="s">
        <v>115</v>
      </c>
      <c r="AJ2466" s="100"/>
      <c r="AK2466" s="100"/>
      <c r="AL2466" s="100"/>
      <c r="AM2466" s="100"/>
      <c r="AN2466" s="100"/>
      <c r="AO2466" s="100"/>
      <c r="AP2466" s="89" t="s">
        <v>115</v>
      </c>
    </row>
    <row r="2467" spans="1:42" s="89" customFormat="1" x14ac:dyDescent="0.15">
      <c r="A2467" s="100" t="s">
        <v>1</v>
      </c>
      <c r="B2467" s="101">
        <v>90210819</v>
      </c>
      <c r="C2467" s="101">
        <v>2108</v>
      </c>
      <c r="D2467" s="101">
        <v>21</v>
      </c>
      <c r="E2467" s="101"/>
      <c r="F2467" s="101" t="s">
        <v>115</v>
      </c>
      <c r="G2467" s="101" t="s">
        <v>115</v>
      </c>
      <c r="H2467" s="101" t="s">
        <v>5110</v>
      </c>
      <c r="I2467" s="101">
        <v>4</v>
      </c>
      <c r="J2467" s="100">
        <v>0</v>
      </c>
      <c r="K2467" s="100">
        <v>0</v>
      </c>
      <c r="L2467" s="100" t="s">
        <v>115</v>
      </c>
      <c r="M2467" s="102"/>
      <c r="N2467" s="100"/>
      <c r="O2467" s="100" t="s">
        <v>115</v>
      </c>
      <c r="P2467" s="101"/>
      <c r="Q2467" s="100">
        <v>146</v>
      </c>
      <c r="R2467" s="100">
        <v>229</v>
      </c>
      <c r="S2467" s="100"/>
      <c r="T2467" s="100"/>
      <c r="U2467" s="100"/>
      <c r="V2467" s="100"/>
      <c r="W2467" s="100"/>
      <c r="X2467" s="100">
        <v>90210820</v>
      </c>
      <c r="Y2467" s="100" t="s">
        <v>115</v>
      </c>
      <c r="Z2467" s="100" t="s">
        <v>115</v>
      </c>
      <c r="AA2467" s="100" t="s">
        <v>115</v>
      </c>
      <c r="AB2467" s="100" t="s">
        <v>115</v>
      </c>
      <c r="AC2467" s="100" t="s">
        <v>115</v>
      </c>
      <c r="AD2467" s="100"/>
      <c r="AE2467" s="100"/>
      <c r="AF2467" s="100"/>
      <c r="AG2467" s="100"/>
      <c r="AH2467" s="100"/>
      <c r="AI2467" s="100" t="s">
        <v>115</v>
      </c>
      <c r="AJ2467" s="100"/>
      <c r="AK2467" s="100"/>
      <c r="AL2467" s="100"/>
      <c r="AM2467" s="100"/>
      <c r="AN2467" s="100"/>
      <c r="AO2467" s="100"/>
      <c r="AP2467" s="89" t="s">
        <v>115</v>
      </c>
    </row>
    <row r="2468" spans="1:42" s="89" customFormat="1" x14ac:dyDescent="0.15">
      <c r="A2468" s="100" t="s">
        <v>1</v>
      </c>
      <c r="B2468" s="101">
        <v>90210820</v>
      </c>
      <c r="C2468" s="101">
        <v>2108</v>
      </c>
      <c r="D2468" s="101">
        <v>21</v>
      </c>
      <c r="E2468" s="101"/>
      <c r="F2468" s="101" t="s">
        <v>115</v>
      </c>
      <c r="G2468" s="101" t="s">
        <v>115</v>
      </c>
      <c r="H2468" s="101" t="s">
        <v>7179</v>
      </c>
      <c r="I2468" s="101">
        <v>4</v>
      </c>
      <c r="J2468" s="100">
        <v>0</v>
      </c>
      <c r="K2468" s="100">
        <v>5</v>
      </c>
      <c r="L2468" s="100" t="s">
        <v>5111</v>
      </c>
      <c r="M2468" s="102"/>
      <c r="N2468" s="100"/>
      <c r="O2468" s="100" t="s">
        <v>115</v>
      </c>
      <c r="P2468" s="101"/>
      <c r="Q2468" s="100">
        <v>146</v>
      </c>
      <c r="R2468" s="100">
        <v>229</v>
      </c>
      <c r="S2468" s="100"/>
      <c r="T2468" s="100"/>
      <c r="U2468" s="100"/>
      <c r="V2468" s="100"/>
      <c r="W2468" s="100"/>
      <c r="X2468" s="100">
        <v>90210821</v>
      </c>
      <c r="Y2468" s="100" t="s">
        <v>115</v>
      </c>
      <c r="Z2468" s="100">
        <v>4</v>
      </c>
      <c r="AA2468" s="100" t="s">
        <v>115</v>
      </c>
      <c r="AB2468" s="100" t="s">
        <v>115</v>
      </c>
      <c r="AC2468" s="100" t="s">
        <v>115</v>
      </c>
      <c r="AD2468" s="100"/>
      <c r="AE2468" s="100"/>
      <c r="AF2468" s="100"/>
      <c r="AG2468" s="100"/>
      <c r="AH2468" s="100"/>
      <c r="AI2468" s="100" t="s">
        <v>115</v>
      </c>
      <c r="AJ2468" s="100"/>
      <c r="AK2468" s="100"/>
      <c r="AL2468" s="100"/>
      <c r="AM2468" s="100"/>
      <c r="AN2468" s="100"/>
      <c r="AO2468" s="100"/>
      <c r="AP2468" s="89" t="s">
        <v>115</v>
      </c>
    </row>
    <row r="2469" spans="1:42" s="89" customFormat="1" x14ac:dyDescent="0.15">
      <c r="A2469" s="100" t="s">
        <v>1</v>
      </c>
      <c r="B2469" s="101">
        <v>90210821</v>
      </c>
      <c r="C2469" s="101">
        <v>2108</v>
      </c>
      <c r="D2469" s="101">
        <v>21</v>
      </c>
      <c r="E2469" s="101"/>
      <c r="F2469" s="101" t="s">
        <v>116</v>
      </c>
      <c r="G2469" s="101">
        <v>314</v>
      </c>
      <c r="H2469" s="101" t="s">
        <v>5112</v>
      </c>
      <c r="I2469" s="101">
        <v>0</v>
      </c>
      <c r="J2469" s="100">
        <v>0</v>
      </c>
      <c r="K2469" s="100">
        <v>0</v>
      </c>
      <c r="L2469" s="100" t="s">
        <v>115</v>
      </c>
      <c r="M2469" s="102"/>
      <c r="N2469" s="100"/>
      <c r="O2469" s="100" t="s">
        <v>115</v>
      </c>
      <c r="P2469" s="101"/>
      <c r="Q2469" s="100">
        <v>146</v>
      </c>
      <c r="R2469" s="100">
        <v>229</v>
      </c>
      <c r="S2469" s="100"/>
      <c r="T2469" s="100"/>
      <c r="U2469" s="100"/>
      <c r="V2469" s="100"/>
      <c r="W2469" s="100"/>
      <c r="X2469" s="100">
        <v>90210822</v>
      </c>
      <c r="Y2469" s="100" t="s">
        <v>115</v>
      </c>
      <c r="Z2469" s="100" t="s">
        <v>115</v>
      </c>
      <c r="AA2469" s="100" t="s">
        <v>115</v>
      </c>
      <c r="AB2469" s="100" t="s">
        <v>115</v>
      </c>
      <c r="AC2469" s="100" t="s">
        <v>115</v>
      </c>
      <c r="AD2469" s="100"/>
      <c r="AE2469" s="100"/>
      <c r="AF2469" s="100"/>
      <c r="AG2469" s="100"/>
      <c r="AH2469" s="100"/>
      <c r="AI2469" s="100" t="s">
        <v>115</v>
      </c>
      <c r="AJ2469" s="100"/>
      <c r="AK2469" s="100"/>
      <c r="AL2469" s="100"/>
      <c r="AM2469" s="100"/>
      <c r="AN2469" s="100"/>
      <c r="AO2469" s="100"/>
      <c r="AP2469" s="89" t="s">
        <v>115</v>
      </c>
    </row>
    <row r="2470" spans="1:42" s="89" customFormat="1" x14ac:dyDescent="0.15">
      <c r="A2470" s="100" t="s">
        <v>1</v>
      </c>
      <c r="B2470" s="101">
        <v>90210822</v>
      </c>
      <c r="C2470" s="101">
        <v>2108</v>
      </c>
      <c r="D2470" s="101">
        <v>21</v>
      </c>
      <c r="E2470" s="101"/>
      <c r="F2470" s="101" t="s">
        <v>4991</v>
      </c>
      <c r="G2470" s="101" t="s">
        <v>115</v>
      </c>
      <c r="H2470" s="101" t="s">
        <v>5113</v>
      </c>
      <c r="I2470" s="101">
        <v>3</v>
      </c>
      <c r="J2470" s="100">
        <v>0</v>
      </c>
      <c r="K2470" s="100">
        <v>0</v>
      </c>
      <c r="L2470" s="100" t="s">
        <v>115</v>
      </c>
      <c r="M2470" s="102"/>
      <c r="N2470" s="100"/>
      <c r="O2470" s="100" t="s">
        <v>115</v>
      </c>
      <c r="P2470" s="101"/>
      <c r="Q2470" s="100">
        <v>146</v>
      </c>
      <c r="R2470" s="100">
        <v>229</v>
      </c>
      <c r="S2470" s="100"/>
      <c r="T2470" s="100"/>
      <c r="U2470" s="100"/>
      <c r="V2470" s="100"/>
      <c r="W2470" s="100"/>
      <c r="X2470" s="100">
        <v>90210823</v>
      </c>
      <c r="Y2470" s="100" t="s">
        <v>115</v>
      </c>
      <c r="Z2470" s="100" t="s">
        <v>115</v>
      </c>
      <c r="AA2470" s="100" t="s">
        <v>115</v>
      </c>
      <c r="AB2470" s="100" t="s">
        <v>115</v>
      </c>
      <c r="AC2470" s="100" t="s">
        <v>115</v>
      </c>
      <c r="AD2470" s="100"/>
      <c r="AE2470" s="100"/>
      <c r="AF2470" s="100"/>
      <c r="AG2470" s="100"/>
      <c r="AH2470" s="100"/>
      <c r="AI2470" s="100" t="s">
        <v>115</v>
      </c>
      <c r="AJ2470" s="100"/>
      <c r="AK2470" s="100"/>
      <c r="AL2470" s="100"/>
      <c r="AM2470" s="100"/>
      <c r="AN2470" s="100"/>
      <c r="AO2470" s="100"/>
      <c r="AP2470" s="89" t="s">
        <v>115</v>
      </c>
    </row>
    <row r="2471" spans="1:42" s="89" customFormat="1" x14ac:dyDescent="0.15">
      <c r="A2471" s="100" t="s">
        <v>1</v>
      </c>
      <c r="B2471" s="101">
        <v>90210823</v>
      </c>
      <c r="C2471" s="101">
        <v>2108</v>
      </c>
      <c r="D2471" s="101">
        <v>21</v>
      </c>
      <c r="E2471" s="101"/>
      <c r="F2471" s="101" t="s">
        <v>115</v>
      </c>
      <c r="G2471" s="101" t="s">
        <v>115</v>
      </c>
      <c r="H2471" s="101" t="s">
        <v>5114</v>
      </c>
      <c r="I2471" s="101">
        <v>4</v>
      </c>
      <c r="J2471" s="100">
        <v>0</v>
      </c>
      <c r="K2471" s="100">
        <v>0</v>
      </c>
      <c r="L2471" s="100" t="s">
        <v>115</v>
      </c>
      <c r="M2471" s="102"/>
      <c r="N2471" s="100"/>
      <c r="O2471" s="100" t="s">
        <v>115</v>
      </c>
      <c r="P2471" s="101"/>
      <c r="Q2471" s="100">
        <v>146</v>
      </c>
      <c r="R2471" s="100">
        <v>229</v>
      </c>
      <c r="S2471" s="100"/>
      <c r="T2471" s="100"/>
      <c r="U2471" s="100"/>
      <c r="V2471" s="100"/>
      <c r="W2471" s="100"/>
      <c r="X2471" s="100">
        <v>90210824</v>
      </c>
      <c r="Y2471" s="100" t="s">
        <v>115</v>
      </c>
      <c r="Z2471" s="100" t="s">
        <v>115</v>
      </c>
      <c r="AA2471" s="100" t="s">
        <v>115</v>
      </c>
      <c r="AB2471" s="100" t="s">
        <v>115</v>
      </c>
      <c r="AC2471" s="100" t="s">
        <v>115</v>
      </c>
      <c r="AD2471" s="100"/>
      <c r="AE2471" s="100"/>
      <c r="AF2471" s="100"/>
      <c r="AG2471" s="100"/>
      <c r="AH2471" s="100"/>
      <c r="AI2471" s="100" t="s">
        <v>115</v>
      </c>
      <c r="AJ2471" s="100"/>
      <c r="AK2471" s="100"/>
      <c r="AL2471" s="100"/>
      <c r="AM2471" s="100"/>
      <c r="AN2471" s="100"/>
      <c r="AO2471" s="100"/>
      <c r="AP2471" s="89" t="s">
        <v>115</v>
      </c>
    </row>
    <row r="2472" spans="1:42" s="89" customFormat="1" x14ac:dyDescent="0.15">
      <c r="A2472" s="100" t="s">
        <v>1</v>
      </c>
      <c r="B2472" s="101">
        <v>90210824</v>
      </c>
      <c r="C2472" s="101">
        <v>2108</v>
      </c>
      <c r="D2472" s="101">
        <v>21</v>
      </c>
      <c r="E2472" s="101"/>
      <c r="F2472" s="101" t="s">
        <v>4991</v>
      </c>
      <c r="G2472" s="101" t="s">
        <v>115</v>
      </c>
      <c r="H2472" s="101" t="s">
        <v>5115</v>
      </c>
      <c r="I2472" s="101">
        <v>3</v>
      </c>
      <c r="J2472" s="100">
        <v>0</v>
      </c>
      <c r="K2472" s="100">
        <v>0</v>
      </c>
      <c r="L2472" s="100" t="s">
        <v>115</v>
      </c>
      <c r="M2472" s="102"/>
      <c r="N2472" s="100"/>
      <c r="O2472" s="100" t="s">
        <v>115</v>
      </c>
      <c r="P2472" s="101"/>
      <c r="Q2472" s="100">
        <v>146</v>
      </c>
      <c r="R2472" s="100">
        <v>229</v>
      </c>
      <c r="S2472" s="100"/>
      <c r="T2472" s="100"/>
      <c r="U2472" s="100"/>
      <c r="V2472" s="100"/>
      <c r="W2472" s="100"/>
      <c r="X2472" s="100">
        <v>90210825</v>
      </c>
      <c r="Y2472" s="100" t="s">
        <v>115</v>
      </c>
      <c r="Z2472" s="100" t="s">
        <v>115</v>
      </c>
      <c r="AA2472" s="100" t="s">
        <v>115</v>
      </c>
      <c r="AB2472" s="100" t="s">
        <v>115</v>
      </c>
      <c r="AC2472" s="100" t="s">
        <v>115</v>
      </c>
      <c r="AD2472" s="100"/>
      <c r="AE2472" s="100"/>
      <c r="AF2472" s="100"/>
      <c r="AG2472" s="100"/>
      <c r="AH2472" s="100"/>
      <c r="AI2472" s="100" t="s">
        <v>115</v>
      </c>
      <c r="AJ2472" s="100"/>
      <c r="AK2472" s="100"/>
      <c r="AL2472" s="100"/>
      <c r="AM2472" s="100"/>
      <c r="AN2472" s="100"/>
      <c r="AO2472" s="100"/>
      <c r="AP2472" s="89" t="s">
        <v>115</v>
      </c>
    </row>
    <row r="2473" spans="1:42" s="89" customFormat="1" x14ac:dyDescent="0.15">
      <c r="A2473" s="100" t="s">
        <v>1</v>
      </c>
      <c r="B2473" s="101">
        <v>90210825</v>
      </c>
      <c r="C2473" s="101">
        <v>2108</v>
      </c>
      <c r="D2473" s="101">
        <v>21</v>
      </c>
      <c r="E2473" s="101"/>
      <c r="F2473" s="101" t="s">
        <v>115</v>
      </c>
      <c r="G2473" s="101" t="s">
        <v>115</v>
      </c>
      <c r="H2473" s="101" t="s">
        <v>5116</v>
      </c>
      <c r="I2473" s="101">
        <v>4</v>
      </c>
      <c r="J2473" s="100">
        <v>0</v>
      </c>
      <c r="K2473" s="100">
        <v>0</v>
      </c>
      <c r="L2473" s="100" t="s">
        <v>115</v>
      </c>
      <c r="M2473" s="102"/>
      <c r="N2473" s="100"/>
      <c r="O2473" s="100" t="s">
        <v>115</v>
      </c>
      <c r="P2473" s="101"/>
      <c r="Q2473" s="100">
        <v>146</v>
      </c>
      <c r="R2473" s="100">
        <v>229</v>
      </c>
      <c r="S2473" s="100"/>
      <c r="T2473" s="100"/>
      <c r="U2473" s="100"/>
      <c r="V2473" s="100"/>
      <c r="W2473" s="100"/>
      <c r="X2473" s="100">
        <v>90210826</v>
      </c>
      <c r="Y2473" s="100" t="s">
        <v>115</v>
      </c>
      <c r="Z2473" s="100" t="s">
        <v>115</v>
      </c>
      <c r="AA2473" s="100" t="s">
        <v>115</v>
      </c>
      <c r="AB2473" s="100" t="s">
        <v>115</v>
      </c>
      <c r="AC2473" s="100" t="s">
        <v>115</v>
      </c>
      <c r="AD2473" s="100"/>
      <c r="AE2473" s="100"/>
      <c r="AF2473" s="100"/>
      <c r="AG2473" s="100"/>
      <c r="AH2473" s="100"/>
      <c r="AI2473" s="100" t="s">
        <v>115</v>
      </c>
      <c r="AJ2473" s="100"/>
      <c r="AK2473" s="100"/>
      <c r="AL2473" s="100"/>
      <c r="AM2473" s="100"/>
      <c r="AN2473" s="100"/>
      <c r="AO2473" s="100"/>
      <c r="AP2473" s="89" t="s">
        <v>115</v>
      </c>
    </row>
    <row r="2474" spans="1:42" s="89" customFormat="1" x14ac:dyDescent="0.15">
      <c r="A2474" s="100" t="s">
        <v>1</v>
      </c>
      <c r="B2474" s="101">
        <v>90210826</v>
      </c>
      <c r="C2474" s="101">
        <v>2108</v>
      </c>
      <c r="D2474" s="101">
        <v>21</v>
      </c>
      <c r="E2474" s="101"/>
      <c r="F2474" s="101" t="s">
        <v>4991</v>
      </c>
      <c r="G2474" s="101" t="s">
        <v>115</v>
      </c>
      <c r="H2474" s="101" t="s">
        <v>5117</v>
      </c>
      <c r="I2474" s="101">
        <v>3</v>
      </c>
      <c r="J2474" s="100">
        <v>0</v>
      </c>
      <c r="K2474" s="100">
        <v>0</v>
      </c>
      <c r="L2474" s="100" t="s">
        <v>115</v>
      </c>
      <c r="M2474" s="102"/>
      <c r="N2474" s="100"/>
      <c r="O2474" s="100" t="s">
        <v>115</v>
      </c>
      <c r="P2474" s="101"/>
      <c r="Q2474" s="100">
        <v>146</v>
      </c>
      <c r="R2474" s="100">
        <v>229</v>
      </c>
      <c r="S2474" s="100"/>
      <c r="T2474" s="100"/>
      <c r="U2474" s="100"/>
      <c r="V2474" s="100"/>
      <c r="W2474" s="100"/>
      <c r="X2474" s="100">
        <v>90210827</v>
      </c>
      <c r="Y2474" s="100" t="s">
        <v>115</v>
      </c>
      <c r="Z2474" s="100" t="s">
        <v>115</v>
      </c>
      <c r="AA2474" s="100" t="s">
        <v>115</v>
      </c>
      <c r="AB2474" s="100" t="s">
        <v>115</v>
      </c>
      <c r="AC2474" s="100" t="s">
        <v>115</v>
      </c>
      <c r="AD2474" s="100"/>
      <c r="AE2474" s="100"/>
      <c r="AF2474" s="100"/>
      <c r="AG2474" s="100"/>
      <c r="AH2474" s="100"/>
      <c r="AI2474" s="100" t="s">
        <v>115</v>
      </c>
      <c r="AJ2474" s="100"/>
      <c r="AK2474" s="100"/>
      <c r="AL2474" s="100"/>
      <c r="AM2474" s="100"/>
      <c r="AN2474" s="100"/>
      <c r="AO2474" s="100"/>
      <c r="AP2474" s="89" t="s">
        <v>115</v>
      </c>
    </row>
    <row r="2475" spans="1:42" s="89" customFormat="1" x14ac:dyDescent="0.15">
      <c r="A2475" s="100" t="s">
        <v>1</v>
      </c>
      <c r="B2475" s="101">
        <v>90210827</v>
      </c>
      <c r="C2475" s="101">
        <v>2108</v>
      </c>
      <c r="D2475" s="101">
        <v>21</v>
      </c>
      <c r="E2475" s="101"/>
      <c r="F2475" s="101" t="s">
        <v>116</v>
      </c>
      <c r="G2475" s="101">
        <v>312</v>
      </c>
      <c r="H2475" s="101" t="s">
        <v>5118</v>
      </c>
      <c r="I2475" s="101">
        <v>2</v>
      </c>
      <c r="J2475" s="100">
        <v>0</v>
      </c>
      <c r="K2475" s="100">
        <v>0</v>
      </c>
      <c r="L2475" s="100" t="s">
        <v>115</v>
      </c>
      <c r="M2475" s="102"/>
      <c r="N2475" s="100"/>
      <c r="O2475" s="100" t="s">
        <v>115</v>
      </c>
      <c r="P2475" s="101"/>
      <c r="Q2475" s="100">
        <v>146</v>
      </c>
      <c r="R2475" s="100">
        <v>229</v>
      </c>
      <c r="S2475" s="100"/>
      <c r="T2475" s="100"/>
      <c r="U2475" s="100"/>
      <c r="V2475" s="100"/>
      <c r="W2475" s="100"/>
      <c r="X2475" s="100">
        <v>90210828</v>
      </c>
      <c r="Y2475" s="100" t="s">
        <v>115</v>
      </c>
      <c r="Z2475" s="100" t="s">
        <v>115</v>
      </c>
      <c r="AA2475" s="100" t="s">
        <v>115</v>
      </c>
      <c r="AB2475" s="100" t="s">
        <v>115</v>
      </c>
      <c r="AC2475" s="100" t="s">
        <v>115</v>
      </c>
      <c r="AD2475" s="100"/>
      <c r="AE2475" s="100"/>
      <c r="AF2475" s="100"/>
      <c r="AG2475" s="100"/>
      <c r="AH2475" s="100"/>
      <c r="AI2475" s="100" t="s">
        <v>115</v>
      </c>
      <c r="AJ2475" s="100"/>
      <c r="AK2475" s="100"/>
      <c r="AL2475" s="100"/>
      <c r="AM2475" s="100"/>
      <c r="AN2475" s="100"/>
      <c r="AO2475" s="100"/>
      <c r="AP2475" s="89" t="s">
        <v>115</v>
      </c>
    </row>
    <row r="2476" spans="1:42" s="89" customFormat="1" x14ac:dyDescent="0.15">
      <c r="A2476" s="100" t="s">
        <v>1</v>
      </c>
      <c r="B2476" s="101">
        <v>90210828</v>
      </c>
      <c r="C2476" s="101">
        <v>2108</v>
      </c>
      <c r="D2476" s="101">
        <v>21</v>
      </c>
      <c r="E2476" s="101"/>
      <c r="F2476" s="101" t="s">
        <v>115</v>
      </c>
      <c r="G2476" s="101" t="s">
        <v>115</v>
      </c>
      <c r="H2476" s="101" t="s">
        <v>7180</v>
      </c>
      <c r="I2476" s="101">
        <v>4</v>
      </c>
      <c r="J2476" s="100">
        <v>0</v>
      </c>
      <c r="K2476" s="100">
        <v>6</v>
      </c>
      <c r="L2476" s="100" t="s">
        <v>115</v>
      </c>
      <c r="M2476" s="102"/>
      <c r="N2476" s="100"/>
      <c r="O2476" s="100">
        <v>1</v>
      </c>
      <c r="P2476" s="101"/>
      <c r="Q2476" s="100">
        <v>146</v>
      </c>
      <c r="R2476" s="100">
        <v>229</v>
      </c>
      <c r="S2476" s="100"/>
      <c r="T2476" s="100"/>
      <c r="U2476" s="100"/>
      <c r="V2476" s="100"/>
      <c r="W2476" s="100"/>
      <c r="X2476" s="100" t="s">
        <v>115</v>
      </c>
      <c r="Y2476" s="100" t="s">
        <v>115</v>
      </c>
      <c r="Z2476" s="100">
        <v>5</v>
      </c>
      <c r="AA2476" s="100" t="s">
        <v>115</v>
      </c>
      <c r="AB2476" s="100" t="s">
        <v>115</v>
      </c>
      <c r="AC2476" s="100" t="s">
        <v>115</v>
      </c>
      <c r="AD2476" s="100"/>
      <c r="AE2476" s="100"/>
      <c r="AF2476" s="100"/>
      <c r="AG2476" s="100"/>
      <c r="AH2476" s="100"/>
      <c r="AI2476" s="100" t="s">
        <v>115</v>
      </c>
      <c r="AJ2476" s="100"/>
      <c r="AK2476" s="100"/>
      <c r="AL2476" s="100"/>
      <c r="AM2476" s="100"/>
      <c r="AN2476" s="100"/>
      <c r="AO2476" s="100"/>
      <c r="AP2476" s="89" t="s">
        <v>115</v>
      </c>
    </row>
    <row r="2477" spans="1:42" x14ac:dyDescent="0.15">
      <c r="A2477" s="40" t="s">
        <v>1</v>
      </c>
      <c r="B2477" s="23" t="s">
        <v>4838</v>
      </c>
      <c r="C2477" s="23">
        <v>2201</v>
      </c>
      <c r="D2477" s="23">
        <v>22</v>
      </c>
      <c r="F2477" s="23" t="s">
        <v>116</v>
      </c>
      <c r="G2477" s="23">
        <v>314</v>
      </c>
      <c r="H2477" s="23" t="s">
        <v>5119</v>
      </c>
      <c r="I2477" s="23">
        <v>2</v>
      </c>
      <c r="J2477" s="40">
        <v>1</v>
      </c>
      <c r="K2477" s="40">
        <v>1</v>
      </c>
      <c r="L2477" s="40" t="s">
        <v>115</v>
      </c>
      <c r="O2477" s="40" t="s">
        <v>115</v>
      </c>
      <c r="Q2477" s="40">
        <v>163</v>
      </c>
      <c r="R2477" s="40" t="s">
        <v>115</v>
      </c>
      <c r="X2477" s="40">
        <v>90220102</v>
      </c>
      <c r="Y2477" s="40" t="s">
        <v>115</v>
      </c>
      <c r="Z2477" s="40" t="s">
        <v>115</v>
      </c>
      <c r="AA2477" s="40" t="s">
        <v>115</v>
      </c>
      <c r="AB2477" s="40" t="s">
        <v>115</v>
      </c>
      <c r="AC2477" s="40" t="s">
        <v>115</v>
      </c>
      <c r="AI2477" s="40" t="s">
        <v>115</v>
      </c>
      <c r="AP2477" s="4" t="s">
        <v>115</v>
      </c>
    </row>
    <row r="2478" spans="1:42" x14ac:dyDescent="0.15">
      <c r="A2478" s="40" t="s">
        <v>1</v>
      </c>
      <c r="B2478" s="23">
        <v>90220102</v>
      </c>
      <c r="C2478" s="23">
        <v>2201</v>
      </c>
      <c r="D2478" s="23">
        <v>22</v>
      </c>
      <c r="F2478" s="23" t="s">
        <v>115</v>
      </c>
      <c r="G2478" s="23" t="s">
        <v>115</v>
      </c>
      <c r="H2478" s="23" t="s">
        <v>7463</v>
      </c>
      <c r="I2478" s="23">
        <v>4</v>
      </c>
      <c r="J2478" s="40">
        <v>0</v>
      </c>
      <c r="K2478" s="40">
        <v>0</v>
      </c>
      <c r="L2478" s="40" t="s">
        <v>115</v>
      </c>
      <c r="O2478" s="40" t="s">
        <v>115</v>
      </c>
      <c r="Q2478" s="40">
        <v>163</v>
      </c>
      <c r="R2478" s="40" t="s">
        <v>115</v>
      </c>
      <c r="X2478" s="40">
        <v>90220103</v>
      </c>
      <c r="Y2478" s="40" t="s">
        <v>115</v>
      </c>
      <c r="Z2478" s="40" t="s">
        <v>115</v>
      </c>
      <c r="AA2478" s="40" t="s">
        <v>115</v>
      </c>
      <c r="AB2478" s="40" t="s">
        <v>115</v>
      </c>
      <c r="AC2478" s="40" t="s">
        <v>115</v>
      </c>
      <c r="AI2478" s="40" t="s">
        <v>115</v>
      </c>
      <c r="AP2478" s="4" t="s">
        <v>115</v>
      </c>
    </row>
    <row r="2479" spans="1:42" x14ac:dyDescent="0.15">
      <c r="A2479" s="40" t="s">
        <v>1</v>
      </c>
      <c r="B2479" s="23">
        <v>90220103</v>
      </c>
      <c r="C2479" s="23">
        <v>2201</v>
      </c>
      <c r="D2479" s="23">
        <v>22</v>
      </c>
      <c r="F2479" s="23" t="s">
        <v>116</v>
      </c>
      <c r="G2479" s="23">
        <v>314</v>
      </c>
      <c r="H2479" s="23" t="s">
        <v>5120</v>
      </c>
      <c r="I2479" s="23">
        <v>2</v>
      </c>
      <c r="J2479" s="40">
        <v>0</v>
      </c>
      <c r="K2479" s="40">
        <v>0</v>
      </c>
      <c r="L2479" s="40" t="s">
        <v>115</v>
      </c>
      <c r="O2479" s="40" t="s">
        <v>115</v>
      </c>
      <c r="Q2479" s="40">
        <v>163</v>
      </c>
      <c r="R2479" s="40" t="s">
        <v>115</v>
      </c>
      <c r="X2479" s="40">
        <v>90220104</v>
      </c>
      <c r="Y2479" s="40" t="s">
        <v>115</v>
      </c>
      <c r="Z2479" s="40" t="s">
        <v>115</v>
      </c>
      <c r="AA2479" s="40" t="s">
        <v>115</v>
      </c>
      <c r="AB2479" s="40" t="s">
        <v>115</v>
      </c>
      <c r="AC2479" s="40" t="s">
        <v>115</v>
      </c>
      <c r="AI2479" s="40" t="s">
        <v>115</v>
      </c>
      <c r="AP2479" s="4" t="s">
        <v>115</v>
      </c>
    </row>
    <row r="2480" spans="1:42" x14ac:dyDescent="0.15">
      <c r="A2480" s="40" t="s">
        <v>1</v>
      </c>
      <c r="B2480" s="23">
        <v>90220104</v>
      </c>
      <c r="C2480" s="23">
        <v>2201</v>
      </c>
      <c r="D2480" s="23">
        <v>22</v>
      </c>
      <c r="F2480" s="23" t="s">
        <v>115</v>
      </c>
      <c r="G2480" s="23" t="s">
        <v>115</v>
      </c>
      <c r="H2480" s="23" t="s">
        <v>7181</v>
      </c>
      <c r="I2480" s="23">
        <v>4</v>
      </c>
      <c r="J2480" s="40">
        <v>0</v>
      </c>
      <c r="K2480" s="40">
        <v>0</v>
      </c>
      <c r="L2480" s="40" t="s">
        <v>115</v>
      </c>
      <c r="O2480" s="40" t="s">
        <v>115</v>
      </c>
      <c r="Q2480" s="40">
        <v>118</v>
      </c>
      <c r="R2480" s="40">
        <v>277</v>
      </c>
      <c r="X2480" s="40">
        <v>90220105</v>
      </c>
      <c r="Y2480" s="40" t="s">
        <v>115</v>
      </c>
      <c r="Z2480" s="40" t="s">
        <v>115</v>
      </c>
      <c r="AA2480" s="40" t="s">
        <v>115</v>
      </c>
      <c r="AB2480" s="40" t="s">
        <v>115</v>
      </c>
      <c r="AC2480" s="40" t="s">
        <v>115</v>
      </c>
      <c r="AI2480" s="40" t="s">
        <v>115</v>
      </c>
      <c r="AP2480" s="4" t="s">
        <v>115</v>
      </c>
    </row>
    <row r="2481" spans="1:42" x14ac:dyDescent="0.15">
      <c r="A2481" s="40" t="s">
        <v>1</v>
      </c>
      <c r="B2481" s="23">
        <v>90220105</v>
      </c>
      <c r="C2481" s="23">
        <v>2201</v>
      </c>
      <c r="D2481" s="23">
        <v>22</v>
      </c>
      <c r="F2481" s="23" t="s">
        <v>5121</v>
      </c>
      <c r="G2481" s="23" t="s">
        <v>115</v>
      </c>
      <c r="H2481" s="23" t="s">
        <v>7182</v>
      </c>
      <c r="I2481" s="23">
        <v>3</v>
      </c>
      <c r="J2481" s="40">
        <v>0</v>
      </c>
      <c r="K2481" s="40">
        <v>0</v>
      </c>
      <c r="L2481" s="40" t="s">
        <v>115</v>
      </c>
      <c r="O2481" s="40" t="s">
        <v>115</v>
      </c>
      <c r="Q2481" s="40">
        <v>118</v>
      </c>
      <c r="R2481" s="40">
        <v>277</v>
      </c>
      <c r="X2481" s="40">
        <v>90220106</v>
      </c>
      <c r="Y2481" s="40" t="s">
        <v>115</v>
      </c>
      <c r="Z2481" s="40" t="s">
        <v>115</v>
      </c>
      <c r="AA2481" s="40" t="s">
        <v>115</v>
      </c>
      <c r="AB2481" s="40" t="s">
        <v>115</v>
      </c>
      <c r="AC2481" s="40" t="s">
        <v>115</v>
      </c>
      <c r="AI2481" s="40" t="s">
        <v>115</v>
      </c>
      <c r="AP2481" s="4" t="s">
        <v>115</v>
      </c>
    </row>
    <row r="2482" spans="1:42" x14ac:dyDescent="0.15">
      <c r="A2482" s="40" t="s">
        <v>1</v>
      </c>
      <c r="B2482" s="23">
        <v>90220106</v>
      </c>
      <c r="C2482" s="23">
        <v>2201</v>
      </c>
      <c r="D2482" s="23">
        <v>22</v>
      </c>
      <c r="F2482" s="23" t="s">
        <v>116</v>
      </c>
      <c r="G2482" s="23">
        <v>312</v>
      </c>
      <c r="H2482" s="23" t="s">
        <v>5122</v>
      </c>
      <c r="I2482" s="23">
        <v>0</v>
      </c>
      <c r="J2482" s="40">
        <v>0</v>
      </c>
      <c r="K2482" s="40">
        <v>0</v>
      </c>
      <c r="L2482" s="40" t="s">
        <v>115</v>
      </c>
      <c r="O2482" s="40" t="s">
        <v>115</v>
      </c>
      <c r="Q2482" s="40">
        <v>118</v>
      </c>
      <c r="R2482" s="40">
        <v>277</v>
      </c>
      <c r="X2482" s="40">
        <v>90220107</v>
      </c>
      <c r="Y2482" s="40" t="s">
        <v>115</v>
      </c>
      <c r="Z2482" s="40" t="s">
        <v>115</v>
      </c>
      <c r="AA2482" s="40" t="s">
        <v>115</v>
      </c>
      <c r="AB2482" s="40" t="s">
        <v>115</v>
      </c>
      <c r="AC2482" s="40" t="s">
        <v>115</v>
      </c>
      <c r="AI2482" s="40" t="s">
        <v>115</v>
      </c>
      <c r="AP2482" s="4" t="s">
        <v>115</v>
      </c>
    </row>
    <row r="2483" spans="1:42" x14ac:dyDescent="0.15">
      <c r="A2483" s="40" t="s">
        <v>1</v>
      </c>
      <c r="B2483" s="23">
        <v>90220107</v>
      </c>
      <c r="C2483" s="23">
        <v>2201</v>
      </c>
      <c r="D2483" s="23">
        <v>22</v>
      </c>
      <c r="F2483" s="23" t="s">
        <v>5121</v>
      </c>
      <c r="G2483" s="23" t="s">
        <v>115</v>
      </c>
      <c r="H2483" s="23" t="s">
        <v>7183</v>
      </c>
      <c r="I2483" s="23">
        <v>3</v>
      </c>
      <c r="J2483" s="40">
        <v>0</v>
      </c>
      <c r="K2483" s="40">
        <v>0</v>
      </c>
      <c r="L2483" s="40" t="s">
        <v>115</v>
      </c>
      <c r="O2483" s="40" t="s">
        <v>115</v>
      </c>
      <c r="Q2483" s="40">
        <v>118</v>
      </c>
      <c r="R2483" s="40">
        <v>277</v>
      </c>
      <c r="X2483" s="40">
        <v>90220108</v>
      </c>
      <c r="Y2483" s="40" t="s">
        <v>115</v>
      </c>
      <c r="Z2483" s="40" t="s">
        <v>115</v>
      </c>
      <c r="AA2483" s="40" t="s">
        <v>115</v>
      </c>
      <c r="AB2483" s="40" t="s">
        <v>115</v>
      </c>
      <c r="AC2483" s="40" t="s">
        <v>115</v>
      </c>
      <c r="AI2483" s="40" t="s">
        <v>115</v>
      </c>
      <c r="AP2483" s="4" t="s">
        <v>115</v>
      </c>
    </row>
    <row r="2484" spans="1:42" x14ac:dyDescent="0.15">
      <c r="A2484" s="40" t="s">
        <v>1</v>
      </c>
      <c r="B2484" s="23">
        <v>90220108</v>
      </c>
      <c r="C2484" s="23">
        <v>2201</v>
      </c>
      <c r="D2484" s="23">
        <v>22</v>
      </c>
      <c r="F2484" s="23" t="s">
        <v>116</v>
      </c>
      <c r="G2484" s="23">
        <v>312</v>
      </c>
      <c r="H2484" s="23" t="s">
        <v>7184</v>
      </c>
      <c r="I2484" s="23">
        <v>0</v>
      </c>
      <c r="J2484" s="40">
        <v>0</v>
      </c>
      <c r="K2484" s="40">
        <v>0</v>
      </c>
      <c r="L2484" s="40" t="s">
        <v>115</v>
      </c>
      <c r="O2484" s="40" t="s">
        <v>115</v>
      </c>
      <c r="Q2484" s="40">
        <v>118</v>
      </c>
      <c r="R2484" s="40">
        <v>277</v>
      </c>
      <c r="X2484" s="40">
        <v>90220109</v>
      </c>
      <c r="Y2484" s="40" t="s">
        <v>115</v>
      </c>
      <c r="Z2484" s="40" t="s">
        <v>115</v>
      </c>
      <c r="AA2484" s="40" t="s">
        <v>115</v>
      </c>
      <c r="AB2484" s="40" t="s">
        <v>115</v>
      </c>
      <c r="AC2484" s="40" t="s">
        <v>115</v>
      </c>
      <c r="AI2484" s="40" t="s">
        <v>115</v>
      </c>
      <c r="AP2484" s="4" t="s">
        <v>115</v>
      </c>
    </row>
    <row r="2485" spans="1:42" x14ac:dyDescent="0.15">
      <c r="A2485" s="40" t="s">
        <v>1</v>
      </c>
      <c r="B2485" s="23">
        <v>90220109</v>
      </c>
      <c r="C2485" s="23">
        <v>2201</v>
      </c>
      <c r="D2485" s="23">
        <v>22</v>
      </c>
      <c r="F2485" s="23" t="s">
        <v>115</v>
      </c>
      <c r="G2485" s="23" t="s">
        <v>115</v>
      </c>
      <c r="H2485" s="23" t="s">
        <v>7185</v>
      </c>
      <c r="I2485" s="23">
        <v>4</v>
      </c>
      <c r="J2485" s="40">
        <v>0</v>
      </c>
      <c r="K2485" s="40">
        <v>0</v>
      </c>
      <c r="L2485" s="40" t="s">
        <v>115</v>
      </c>
      <c r="O2485" s="40" t="s">
        <v>115</v>
      </c>
      <c r="Q2485" s="40">
        <v>118</v>
      </c>
      <c r="R2485" s="40">
        <v>277</v>
      </c>
      <c r="X2485" s="40">
        <v>90220110</v>
      </c>
      <c r="Y2485" s="40" t="s">
        <v>115</v>
      </c>
      <c r="Z2485" s="40" t="s">
        <v>115</v>
      </c>
      <c r="AA2485" s="40" t="s">
        <v>115</v>
      </c>
      <c r="AB2485" s="40" t="s">
        <v>115</v>
      </c>
      <c r="AC2485" s="40" t="s">
        <v>115</v>
      </c>
      <c r="AI2485" s="40" t="s">
        <v>115</v>
      </c>
      <c r="AP2485" s="4" t="s">
        <v>115</v>
      </c>
    </row>
    <row r="2486" spans="1:42" x14ac:dyDescent="0.15">
      <c r="A2486" s="40" t="s">
        <v>1</v>
      </c>
      <c r="B2486" s="23">
        <v>90220110</v>
      </c>
      <c r="C2486" s="23">
        <v>2201</v>
      </c>
      <c r="D2486" s="23">
        <v>22</v>
      </c>
      <c r="F2486" s="23" t="s">
        <v>5121</v>
      </c>
      <c r="G2486" s="23" t="s">
        <v>115</v>
      </c>
      <c r="H2486" s="23" t="s">
        <v>7186</v>
      </c>
      <c r="I2486" s="23">
        <v>3</v>
      </c>
      <c r="J2486" s="40">
        <v>0</v>
      </c>
      <c r="K2486" s="40">
        <v>0</v>
      </c>
      <c r="L2486" s="40" t="s">
        <v>115</v>
      </c>
      <c r="O2486" s="40" t="s">
        <v>115</v>
      </c>
      <c r="Q2486" s="40">
        <v>118</v>
      </c>
      <c r="R2486" s="40">
        <v>277</v>
      </c>
      <c r="X2486" s="40">
        <v>90220111</v>
      </c>
      <c r="Y2486" s="40" t="s">
        <v>115</v>
      </c>
      <c r="Z2486" s="40" t="s">
        <v>115</v>
      </c>
      <c r="AA2486" s="40" t="s">
        <v>115</v>
      </c>
      <c r="AB2486" s="40" t="s">
        <v>115</v>
      </c>
      <c r="AC2486" s="40" t="s">
        <v>115</v>
      </c>
      <c r="AI2486" s="40" t="s">
        <v>115</v>
      </c>
      <c r="AP2486" s="4" t="s">
        <v>115</v>
      </c>
    </row>
    <row r="2487" spans="1:42" x14ac:dyDescent="0.15">
      <c r="A2487" s="40" t="s">
        <v>1</v>
      </c>
      <c r="B2487" s="23">
        <v>90220111</v>
      </c>
      <c r="C2487" s="23">
        <v>2201</v>
      </c>
      <c r="D2487" s="23">
        <v>22</v>
      </c>
      <c r="F2487" s="23" t="s">
        <v>116</v>
      </c>
      <c r="G2487" s="23">
        <v>312</v>
      </c>
      <c r="H2487" s="23" t="s">
        <v>5123</v>
      </c>
      <c r="I2487" s="23">
        <v>0</v>
      </c>
      <c r="J2487" s="40">
        <v>0</v>
      </c>
      <c r="K2487" s="40">
        <v>0</v>
      </c>
      <c r="L2487" s="40" t="s">
        <v>115</v>
      </c>
      <c r="O2487" s="40" t="s">
        <v>115</v>
      </c>
      <c r="Q2487" s="40">
        <v>118</v>
      </c>
      <c r="R2487" s="40">
        <v>277</v>
      </c>
      <c r="X2487" s="40">
        <v>90220112</v>
      </c>
      <c r="Y2487" s="40" t="s">
        <v>115</v>
      </c>
      <c r="Z2487" s="40" t="s">
        <v>115</v>
      </c>
      <c r="AA2487" s="40" t="s">
        <v>115</v>
      </c>
      <c r="AB2487" s="40" t="s">
        <v>115</v>
      </c>
      <c r="AC2487" s="40" t="s">
        <v>115</v>
      </c>
      <c r="AI2487" s="40" t="s">
        <v>115</v>
      </c>
      <c r="AP2487" s="4" t="s">
        <v>115</v>
      </c>
    </row>
    <row r="2488" spans="1:42" x14ac:dyDescent="0.15">
      <c r="A2488" s="40" t="s">
        <v>1</v>
      </c>
      <c r="B2488" s="23">
        <v>90220112</v>
      </c>
      <c r="C2488" s="23">
        <v>2201</v>
      </c>
      <c r="D2488" s="23">
        <v>22</v>
      </c>
      <c r="F2488" s="23" t="s">
        <v>5121</v>
      </c>
      <c r="G2488" s="23" t="s">
        <v>115</v>
      </c>
      <c r="H2488" s="23" t="s">
        <v>5124</v>
      </c>
      <c r="I2488" s="23">
        <v>3</v>
      </c>
      <c r="J2488" s="40">
        <v>0</v>
      </c>
      <c r="K2488" s="40">
        <v>0</v>
      </c>
      <c r="L2488" s="40" t="s">
        <v>115</v>
      </c>
      <c r="O2488" s="40" t="s">
        <v>115</v>
      </c>
      <c r="Q2488" s="40">
        <v>118</v>
      </c>
      <c r="R2488" s="40">
        <v>277</v>
      </c>
      <c r="X2488" s="40">
        <v>90220113</v>
      </c>
      <c r="Y2488" s="40" t="s">
        <v>115</v>
      </c>
      <c r="Z2488" s="40" t="s">
        <v>115</v>
      </c>
      <c r="AA2488" s="40" t="s">
        <v>115</v>
      </c>
      <c r="AB2488" s="40" t="s">
        <v>115</v>
      </c>
      <c r="AC2488" s="40" t="s">
        <v>115</v>
      </c>
      <c r="AI2488" s="40" t="s">
        <v>115</v>
      </c>
      <c r="AP2488" s="4" t="s">
        <v>115</v>
      </c>
    </row>
    <row r="2489" spans="1:42" x14ac:dyDescent="0.15">
      <c r="A2489" s="40" t="s">
        <v>1</v>
      </c>
      <c r="B2489" s="23">
        <v>90220113</v>
      </c>
      <c r="C2489" s="23">
        <v>2201</v>
      </c>
      <c r="D2489" s="23">
        <v>22</v>
      </c>
      <c r="F2489" s="23" t="s">
        <v>116</v>
      </c>
      <c r="G2489" s="23">
        <v>312</v>
      </c>
      <c r="H2489" s="23" t="s">
        <v>5125</v>
      </c>
      <c r="I2489" s="23">
        <v>0</v>
      </c>
      <c r="J2489" s="40">
        <v>0</v>
      </c>
      <c r="K2489" s="40">
        <v>0</v>
      </c>
      <c r="L2489" s="40" t="s">
        <v>115</v>
      </c>
      <c r="O2489" s="40" t="s">
        <v>115</v>
      </c>
      <c r="Q2489" s="40">
        <v>118</v>
      </c>
      <c r="R2489" s="40">
        <v>277</v>
      </c>
      <c r="X2489" s="40">
        <v>90220114</v>
      </c>
      <c r="Y2489" s="40" t="s">
        <v>115</v>
      </c>
      <c r="Z2489" s="40" t="s">
        <v>115</v>
      </c>
      <c r="AA2489" s="40" t="s">
        <v>115</v>
      </c>
      <c r="AB2489" s="40" t="s">
        <v>115</v>
      </c>
      <c r="AC2489" s="40" t="s">
        <v>115</v>
      </c>
      <c r="AI2489" s="40" t="s">
        <v>115</v>
      </c>
      <c r="AP2489" s="4" t="s">
        <v>115</v>
      </c>
    </row>
    <row r="2490" spans="1:42" x14ac:dyDescent="0.15">
      <c r="A2490" s="40" t="s">
        <v>1</v>
      </c>
      <c r="B2490" s="23">
        <v>90220114</v>
      </c>
      <c r="C2490" s="23">
        <v>2201</v>
      </c>
      <c r="D2490" s="23">
        <v>22</v>
      </c>
      <c r="F2490" s="23" t="s">
        <v>115</v>
      </c>
      <c r="G2490" s="23" t="s">
        <v>115</v>
      </c>
      <c r="H2490" s="23" t="s">
        <v>7187</v>
      </c>
      <c r="I2490" s="23">
        <v>4</v>
      </c>
      <c r="J2490" s="40">
        <v>0</v>
      </c>
      <c r="K2490" s="40">
        <v>0</v>
      </c>
      <c r="L2490" s="40" t="s">
        <v>115</v>
      </c>
      <c r="O2490" s="40" t="s">
        <v>115</v>
      </c>
      <c r="Q2490" s="40">
        <v>118</v>
      </c>
      <c r="R2490" s="40">
        <v>277</v>
      </c>
      <c r="X2490" s="40">
        <v>90220115</v>
      </c>
      <c r="Y2490" s="40" t="s">
        <v>115</v>
      </c>
      <c r="Z2490" s="40" t="s">
        <v>115</v>
      </c>
      <c r="AA2490" s="40" t="s">
        <v>115</v>
      </c>
      <c r="AB2490" s="40" t="s">
        <v>115</v>
      </c>
      <c r="AC2490" s="40" t="s">
        <v>115</v>
      </c>
      <c r="AI2490" s="40" t="s">
        <v>115</v>
      </c>
      <c r="AP2490" s="4" t="s">
        <v>115</v>
      </c>
    </row>
    <row r="2491" spans="1:42" x14ac:dyDescent="0.15">
      <c r="A2491" s="40" t="s">
        <v>1</v>
      </c>
      <c r="B2491" s="23">
        <v>90220115</v>
      </c>
      <c r="C2491" s="23">
        <v>2201</v>
      </c>
      <c r="D2491" s="23">
        <v>22</v>
      </c>
      <c r="F2491" s="23" t="s">
        <v>116</v>
      </c>
      <c r="G2491" s="23">
        <v>314</v>
      </c>
      <c r="H2491" s="23" t="s">
        <v>5126</v>
      </c>
      <c r="I2491" s="23">
        <v>0</v>
      </c>
      <c r="J2491" s="40">
        <v>0</v>
      </c>
      <c r="K2491" s="40">
        <v>0</v>
      </c>
      <c r="L2491" s="40" t="s">
        <v>115</v>
      </c>
      <c r="O2491" s="40" t="s">
        <v>115</v>
      </c>
      <c r="Q2491" s="40">
        <v>118</v>
      </c>
      <c r="R2491" s="40">
        <v>277</v>
      </c>
      <c r="X2491" s="40">
        <v>90220116</v>
      </c>
      <c r="Y2491" s="40" t="s">
        <v>115</v>
      </c>
      <c r="Z2491" s="40" t="s">
        <v>115</v>
      </c>
      <c r="AA2491" s="40" t="s">
        <v>115</v>
      </c>
      <c r="AB2491" s="40" t="s">
        <v>115</v>
      </c>
      <c r="AC2491" s="40" t="s">
        <v>115</v>
      </c>
      <c r="AI2491" s="40" t="s">
        <v>115</v>
      </c>
      <c r="AP2491" s="4" t="s">
        <v>115</v>
      </c>
    </row>
    <row r="2492" spans="1:42" x14ac:dyDescent="0.15">
      <c r="A2492" s="40" t="s">
        <v>1</v>
      </c>
      <c r="B2492" s="23">
        <v>90220116</v>
      </c>
      <c r="C2492" s="23">
        <v>2201</v>
      </c>
      <c r="D2492" s="23">
        <v>22</v>
      </c>
      <c r="F2492" s="23" t="s">
        <v>5121</v>
      </c>
      <c r="G2492" s="23" t="s">
        <v>115</v>
      </c>
      <c r="H2492" s="23" t="s">
        <v>5127</v>
      </c>
      <c r="I2492" s="23">
        <v>3</v>
      </c>
      <c r="J2492" s="40">
        <v>0</v>
      </c>
      <c r="K2492" s="40">
        <v>0</v>
      </c>
      <c r="L2492" s="40" t="s">
        <v>115</v>
      </c>
      <c r="O2492" s="40" t="s">
        <v>115</v>
      </c>
      <c r="Q2492" s="40">
        <v>118</v>
      </c>
      <c r="R2492" s="40">
        <v>277</v>
      </c>
      <c r="X2492" s="40">
        <v>90220117</v>
      </c>
      <c r="Y2492" s="40" t="s">
        <v>115</v>
      </c>
      <c r="Z2492" s="40" t="s">
        <v>115</v>
      </c>
      <c r="AA2492" s="40" t="s">
        <v>115</v>
      </c>
      <c r="AB2492" s="40" t="s">
        <v>115</v>
      </c>
      <c r="AC2492" s="40" t="s">
        <v>115</v>
      </c>
      <c r="AI2492" s="40" t="s">
        <v>115</v>
      </c>
      <c r="AP2492" s="4" t="s">
        <v>115</v>
      </c>
    </row>
    <row r="2493" spans="1:42" x14ac:dyDescent="0.15">
      <c r="A2493" s="40" t="s">
        <v>1</v>
      </c>
      <c r="B2493" s="23">
        <v>90220117</v>
      </c>
      <c r="C2493" s="23">
        <v>2201</v>
      </c>
      <c r="D2493" s="23">
        <v>22</v>
      </c>
      <c r="F2493" s="23" t="s">
        <v>5121</v>
      </c>
      <c r="G2493" s="23" t="s">
        <v>115</v>
      </c>
      <c r="H2493" s="23" t="s">
        <v>5128</v>
      </c>
      <c r="I2493" s="23">
        <v>3</v>
      </c>
      <c r="J2493" s="40">
        <v>0</v>
      </c>
      <c r="K2493" s="40">
        <v>0</v>
      </c>
      <c r="L2493" s="40" t="s">
        <v>115</v>
      </c>
      <c r="O2493" s="40" t="s">
        <v>115</v>
      </c>
      <c r="Q2493" s="40">
        <v>118</v>
      </c>
      <c r="R2493" s="40">
        <v>277</v>
      </c>
      <c r="X2493" s="40">
        <v>90220118</v>
      </c>
      <c r="Y2493" s="40" t="s">
        <v>115</v>
      </c>
      <c r="Z2493" s="40" t="s">
        <v>115</v>
      </c>
      <c r="AA2493" s="40" t="s">
        <v>115</v>
      </c>
      <c r="AB2493" s="40" t="s">
        <v>115</v>
      </c>
      <c r="AC2493" s="40" t="s">
        <v>115</v>
      </c>
      <c r="AI2493" s="40" t="s">
        <v>115</v>
      </c>
      <c r="AP2493" s="4" t="s">
        <v>115</v>
      </c>
    </row>
    <row r="2494" spans="1:42" x14ac:dyDescent="0.15">
      <c r="A2494" s="40" t="s">
        <v>1</v>
      </c>
      <c r="B2494" s="23">
        <v>90220118</v>
      </c>
      <c r="C2494" s="23">
        <v>2201</v>
      </c>
      <c r="D2494" s="23">
        <v>22</v>
      </c>
      <c r="F2494" s="23" t="s">
        <v>5121</v>
      </c>
      <c r="G2494" s="23" t="s">
        <v>115</v>
      </c>
      <c r="H2494" s="23" t="s">
        <v>5129</v>
      </c>
      <c r="I2494" s="23">
        <v>3</v>
      </c>
      <c r="J2494" s="40">
        <v>0</v>
      </c>
      <c r="K2494" s="40">
        <v>0</v>
      </c>
      <c r="L2494" s="40" t="s">
        <v>115</v>
      </c>
      <c r="O2494" s="40" t="s">
        <v>115</v>
      </c>
      <c r="Q2494" s="40">
        <v>118</v>
      </c>
      <c r="R2494" s="40">
        <v>277</v>
      </c>
      <c r="X2494" s="40">
        <v>90220119</v>
      </c>
      <c r="Y2494" s="40" t="s">
        <v>115</v>
      </c>
      <c r="Z2494" s="40" t="s">
        <v>115</v>
      </c>
      <c r="AA2494" s="40" t="s">
        <v>115</v>
      </c>
      <c r="AB2494" s="40" t="s">
        <v>115</v>
      </c>
      <c r="AC2494" s="40" t="s">
        <v>115</v>
      </c>
      <c r="AI2494" s="40" t="s">
        <v>115</v>
      </c>
      <c r="AP2494" s="4" t="s">
        <v>115</v>
      </c>
    </row>
    <row r="2495" spans="1:42" x14ac:dyDescent="0.15">
      <c r="A2495" s="40" t="s">
        <v>1</v>
      </c>
      <c r="B2495" s="23">
        <v>90220119</v>
      </c>
      <c r="C2495" s="23">
        <v>2201</v>
      </c>
      <c r="D2495" s="23">
        <v>22</v>
      </c>
      <c r="F2495" s="23" t="s">
        <v>116</v>
      </c>
      <c r="G2495" s="23">
        <v>313</v>
      </c>
      <c r="H2495" s="23" t="s">
        <v>5130</v>
      </c>
      <c r="I2495" s="23">
        <v>0</v>
      </c>
      <c r="J2495" s="40">
        <v>0</v>
      </c>
      <c r="K2495" s="40">
        <v>0</v>
      </c>
      <c r="L2495" s="40" t="s">
        <v>115</v>
      </c>
      <c r="O2495" s="40" t="s">
        <v>115</v>
      </c>
      <c r="Q2495" s="40">
        <v>118</v>
      </c>
      <c r="R2495" s="40">
        <v>277</v>
      </c>
      <c r="X2495" s="40">
        <v>90220120</v>
      </c>
      <c r="Y2495" s="40" t="s">
        <v>115</v>
      </c>
      <c r="Z2495" s="40" t="s">
        <v>115</v>
      </c>
      <c r="AA2495" s="40" t="s">
        <v>115</v>
      </c>
      <c r="AB2495" s="40" t="s">
        <v>115</v>
      </c>
      <c r="AC2495" s="40" t="s">
        <v>115</v>
      </c>
      <c r="AI2495" s="40" t="s">
        <v>115</v>
      </c>
      <c r="AP2495" s="4" t="s">
        <v>115</v>
      </c>
    </row>
    <row r="2496" spans="1:42" x14ac:dyDescent="0.15">
      <c r="A2496" s="40" t="s">
        <v>1</v>
      </c>
      <c r="B2496" s="23">
        <v>90220120</v>
      </c>
      <c r="C2496" s="23">
        <v>2201</v>
      </c>
      <c r="D2496" s="23">
        <v>22</v>
      </c>
      <c r="F2496" s="23" t="s">
        <v>5121</v>
      </c>
      <c r="G2496" s="23" t="s">
        <v>115</v>
      </c>
      <c r="H2496" s="23" t="s">
        <v>5131</v>
      </c>
      <c r="I2496" s="23">
        <v>3</v>
      </c>
      <c r="J2496" s="40">
        <v>0</v>
      </c>
      <c r="K2496" s="40">
        <v>0</v>
      </c>
      <c r="L2496" s="40" t="s">
        <v>115</v>
      </c>
      <c r="O2496" s="40" t="s">
        <v>115</v>
      </c>
      <c r="Q2496" s="40">
        <v>118</v>
      </c>
      <c r="R2496" s="40">
        <v>277</v>
      </c>
      <c r="X2496" s="40">
        <v>90220121</v>
      </c>
      <c r="Y2496" s="40" t="s">
        <v>115</v>
      </c>
      <c r="Z2496" s="40" t="s">
        <v>115</v>
      </c>
      <c r="AA2496" s="40" t="s">
        <v>115</v>
      </c>
      <c r="AB2496" s="40" t="s">
        <v>115</v>
      </c>
      <c r="AC2496" s="40" t="s">
        <v>115</v>
      </c>
      <c r="AI2496" s="40" t="s">
        <v>115</v>
      </c>
      <c r="AP2496" s="4" t="s">
        <v>115</v>
      </c>
    </row>
    <row r="2497" spans="1:42" x14ac:dyDescent="0.15">
      <c r="A2497" s="40" t="s">
        <v>1</v>
      </c>
      <c r="B2497" s="23">
        <v>90220121</v>
      </c>
      <c r="C2497" s="23">
        <v>2201</v>
      </c>
      <c r="D2497" s="23">
        <v>22</v>
      </c>
      <c r="F2497" s="23" t="s">
        <v>116</v>
      </c>
      <c r="G2497" s="23">
        <v>312</v>
      </c>
      <c r="H2497" s="23" t="s">
        <v>5132</v>
      </c>
      <c r="I2497" s="23">
        <v>0</v>
      </c>
      <c r="J2497" s="40">
        <v>0</v>
      </c>
      <c r="K2497" s="40">
        <v>0</v>
      </c>
      <c r="L2497" s="40" t="s">
        <v>115</v>
      </c>
      <c r="O2497" s="40" t="s">
        <v>115</v>
      </c>
      <c r="Q2497" s="40">
        <v>118</v>
      </c>
      <c r="R2497" s="40">
        <v>277</v>
      </c>
      <c r="X2497" s="40">
        <v>90220122</v>
      </c>
      <c r="Y2497" s="40" t="s">
        <v>115</v>
      </c>
      <c r="Z2497" s="40" t="s">
        <v>115</v>
      </c>
      <c r="AA2497" s="40" t="s">
        <v>115</v>
      </c>
      <c r="AB2497" s="40" t="s">
        <v>115</v>
      </c>
      <c r="AC2497" s="40" t="s">
        <v>115</v>
      </c>
      <c r="AI2497" s="40" t="s">
        <v>115</v>
      </c>
      <c r="AP2497" s="4" t="s">
        <v>115</v>
      </c>
    </row>
    <row r="2498" spans="1:42" x14ac:dyDescent="0.15">
      <c r="A2498" s="40" t="s">
        <v>1</v>
      </c>
      <c r="B2498" s="23">
        <v>90220122</v>
      </c>
      <c r="C2498" s="23">
        <v>2201</v>
      </c>
      <c r="D2498" s="23">
        <v>22</v>
      </c>
      <c r="F2498" s="23" t="s">
        <v>116</v>
      </c>
      <c r="G2498" s="23">
        <v>312</v>
      </c>
      <c r="H2498" s="23" t="s">
        <v>7188</v>
      </c>
      <c r="I2498" s="23">
        <v>2</v>
      </c>
      <c r="J2498" s="40">
        <v>0</v>
      </c>
      <c r="K2498" s="40">
        <v>2</v>
      </c>
      <c r="L2498" s="40" t="s">
        <v>115</v>
      </c>
      <c r="O2498" s="40">
        <v>1</v>
      </c>
      <c r="Q2498" s="40">
        <v>118</v>
      </c>
      <c r="R2498" s="40" t="s">
        <v>115</v>
      </c>
      <c r="X2498" s="40" t="s">
        <v>115</v>
      </c>
      <c r="Y2498" s="40" t="s">
        <v>115</v>
      </c>
      <c r="Z2498" s="40">
        <v>1</v>
      </c>
      <c r="AA2498" s="40" t="s">
        <v>115</v>
      </c>
      <c r="AB2498" s="40" t="s">
        <v>115</v>
      </c>
      <c r="AC2498" s="40" t="s">
        <v>115</v>
      </c>
      <c r="AI2498" s="40" t="s">
        <v>115</v>
      </c>
      <c r="AP2498" s="4" t="s">
        <v>5133</v>
      </c>
    </row>
    <row r="2499" spans="1:42" x14ac:dyDescent="0.15">
      <c r="A2499" s="40" t="s">
        <v>1</v>
      </c>
      <c r="B2499" s="23" t="s">
        <v>4840</v>
      </c>
      <c r="C2499" s="23">
        <v>2202</v>
      </c>
      <c r="D2499" s="23">
        <v>22</v>
      </c>
      <c r="F2499" s="23" t="s">
        <v>115</v>
      </c>
      <c r="G2499" s="23" t="s">
        <v>115</v>
      </c>
      <c r="H2499" s="23" t="s">
        <v>7189</v>
      </c>
      <c r="I2499" s="23">
        <v>4</v>
      </c>
      <c r="J2499" s="40">
        <v>1</v>
      </c>
      <c r="K2499" s="40">
        <v>1</v>
      </c>
      <c r="L2499" s="40" t="s">
        <v>115</v>
      </c>
      <c r="O2499" s="40" t="s">
        <v>115</v>
      </c>
      <c r="Q2499" s="40">
        <v>192</v>
      </c>
      <c r="R2499" s="40" t="s">
        <v>115</v>
      </c>
      <c r="X2499" s="40">
        <v>90220202</v>
      </c>
      <c r="Y2499" s="40" t="s">
        <v>115</v>
      </c>
      <c r="Z2499" s="40" t="s">
        <v>115</v>
      </c>
      <c r="AA2499" s="40" t="s">
        <v>115</v>
      </c>
      <c r="AB2499" s="40" t="s">
        <v>115</v>
      </c>
      <c r="AC2499" s="40" t="s">
        <v>115</v>
      </c>
      <c r="AI2499" s="40" t="s">
        <v>115</v>
      </c>
      <c r="AP2499" s="4" t="s">
        <v>115</v>
      </c>
    </row>
    <row r="2500" spans="1:42" x14ac:dyDescent="0.15">
      <c r="A2500" s="40" t="s">
        <v>1</v>
      </c>
      <c r="B2500" s="23">
        <v>90220202</v>
      </c>
      <c r="C2500" s="23">
        <v>2202</v>
      </c>
      <c r="D2500" s="23">
        <v>22</v>
      </c>
      <c r="F2500" s="23" t="s">
        <v>115</v>
      </c>
      <c r="G2500" s="23" t="s">
        <v>115</v>
      </c>
      <c r="H2500" s="23" t="s">
        <v>5134</v>
      </c>
      <c r="I2500" s="23">
        <v>4</v>
      </c>
      <c r="J2500" s="40">
        <v>0</v>
      </c>
      <c r="K2500" s="40">
        <v>0</v>
      </c>
      <c r="L2500" s="40" t="s">
        <v>115</v>
      </c>
      <c r="O2500" s="40" t="s">
        <v>115</v>
      </c>
      <c r="Q2500" s="40">
        <v>192</v>
      </c>
      <c r="R2500" s="40" t="s">
        <v>115</v>
      </c>
      <c r="X2500" s="40">
        <v>90220203</v>
      </c>
      <c r="Y2500" s="40" t="s">
        <v>115</v>
      </c>
      <c r="Z2500" s="40" t="s">
        <v>115</v>
      </c>
      <c r="AA2500" s="40" t="s">
        <v>115</v>
      </c>
      <c r="AB2500" s="40" t="s">
        <v>115</v>
      </c>
      <c r="AC2500" s="40" t="s">
        <v>115</v>
      </c>
      <c r="AI2500" s="40" t="s">
        <v>115</v>
      </c>
      <c r="AP2500" s="4" t="s">
        <v>115</v>
      </c>
    </row>
    <row r="2501" spans="1:42" x14ac:dyDescent="0.15">
      <c r="A2501" s="40" t="s">
        <v>1</v>
      </c>
      <c r="B2501" s="23">
        <v>90220203</v>
      </c>
      <c r="C2501" s="23">
        <v>2202</v>
      </c>
      <c r="D2501" s="23">
        <v>22</v>
      </c>
      <c r="F2501" s="23" t="s">
        <v>116</v>
      </c>
      <c r="G2501" s="23">
        <v>313</v>
      </c>
      <c r="H2501" s="23" t="s">
        <v>5135</v>
      </c>
      <c r="I2501" s="23">
        <v>0</v>
      </c>
      <c r="J2501" s="40">
        <v>0</v>
      </c>
      <c r="K2501" s="40">
        <v>0</v>
      </c>
      <c r="L2501" s="40" t="s">
        <v>115</v>
      </c>
      <c r="O2501" s="40" t="s">
        <v>115</v>
      </c>
      <c r="Q2501" s="40">
        <v>192</v>
      </c>
      <c r="R2501" s="40" t="s">
        <v>115</v>
      </c>
      <c r="X2501" s="40">
        <v>90220204</v>
      </c>
      <c r="Y2501" s="40" t="s">
        <v>115</v>
      </c>
      <c r="Z2501" s="40" t="s">
        <v>115</v>
      </c>
      <c r="AA2501" s="40" t="s">
        <v>115</v>
      </c>
      <c r="AB2501" s="40" t="s">
        <v>115</v>
      </c>
      <c r="AC2501" s="40" t="s">
        <v>115</v>
      </c>
      <c r="AI2501" s="40" t="s">
        <v>115</v>
      </c>
      <c r="AP2501" s="4" t="s">
        <v>115</v>
      </c>
    </row>
    <row r="2502" spans="1:42" x14ac:dyDescent="0.15">
      <c r="A2502" s="40" t="s">
        <v>1</v>
      </c>
      <c r="B2502" s="23">
        <v>90220204</v>
      </c>
      <c r="C2502" s="23">
        <v>2202</v>
      </c>
      <c r="D2502" s="23">
        <v>22</v>
      </c>
      <c r="F2502" s="23" t="s">
        <v>115</v>
      </c>
      <c r="G2502" s="23" t="s">
        <v>115</v>
      </c>
      <c r="H2502" s="23" t="s">
        <v>5136</v>
      </c>
      <c r="I2502" s="23">
        <v>4</v>
      </c>
      <c r="J2502" s="40">
        <v>0</v>
      </c>
      <c r="K2502" s="40">
        <v>2</v>
      </c>
      <c r="L2502" s="40" t="s">
        <v>115</v>
      </c>
      <c r="O2502" s="40" t="s">
        <v>115</v>
      </c>
      <c r="Q2502" s="40">
        <v>192</v>
      </c>
      <c r="R2502" s="40" t="s">
        <v>115</v>
      </c>
      <c r="X2502" s="40" t="s">
        <v>5137</v>
      </c>
      <c r="Y2502" s="40">
        <v>1</v>
      </c>
      <c r="Z2502" s="40">
        <v>1</v>
      </c>
      <c r="AA2502" s="40" t="s">
        <v>115</v>
      </c>
      <c r="AB2502" s="40" t="s">
        <v>115</v>
      </c>
      <c r="AC2502" s="40" t="s">
        <v>115</v>
      </c>
      <c r="AI2502" s="40" t="s">
        <v>115</v>
      </c>
      <c r="AP2502" s="4" t="s">
        <v>115</v>
      </c>
    </row>
    <row r="2503" spans="1:42" x14ac:dyDescent="0.15">
      <c r="A2503" s="40" t="s">
        <v>1</v>
      </c>
      <c r="B2503" s="23">
        <v>90220205</v>
      </c>
      <c r="C2503" s="23">
        <v>2202</v>
      </c>
      <c r="D2503" s="23">
        <v>22</v>
      </c>
      <c r="F2503" s="23" t="s">
        <v>115</v>
      </c>
      <c r="G2503" s="23" t="s">
        <v>115</v>
      </c>
      <c r="H2503" s="23" t="s">
        <v>5138</v>
      </c>
      <c r="I2503" s="23">
        <v>4</v>
      </c>
      <c r="J2503" s="40">
        <v>0</v>
      </c>
      <c r="K2503" s="40">
        <v>3</v>
      </c>
      <c r="L2503" s="40" t="s">
        <v>115</v>
      </c>
      <c r="O2503" s="40" t="s">
        <v>115</v>
      </c>
      <c r="Q2503" s="40">
        <v>192</v>
      </c>
      <c r="R2503" s="40" t="s">
        <v>115</v>
      </c>
      <c r="X2503" s="40">
        <v>90220206</v>
      </c>
      <c r="Y2503" s="40">
        <v>-1</v>
      </c>
      <c r="Z2503" s="40">
        <v>2</v>
      </c>
      <c r="AA2503" s="40" t="s">
        <v>115</v>
      </c>
      <c r="AB2503" s="40" t="s">
        <v>115</v>
      </c>
      <c r="AC2503" s="40" t="s">
        <v>5139</v>
      </c>
      <c r="AI2503" s="40" t="s">
        <v>115</v>
      </c>
      <c r="AP2503" s="4" t="s">
        <v>115</v>
      </c>
    </row>
    <row r="2504" spans="1:42" x14ac:dyDescent="0.15">
      <c r="A2504" s="40" t="s">
        <v>1</v>
      </c>
      <c r="B2504" s="23">
        <v>90220206</v>
      </c>
      <c r="C2504" s="23">
        <v>2202</v>
      </c>
      <c r="D2504" s="23">
        <v>22</v>
      </c>
      <c r="F2504" s="23" t="s">
        <v>115</v>
      </c>
      <c r="G2504" s="23" t="s">
        <v>115</v>
      </c>
      <c r="H2504" s="23" t="s">
        <v>5140</v>
      </c>
      <c r="I2504" s="23">
        <v>4</v>
      </c>
      <c r="J2504" s="40">
        <v>0</v>
      </c>
      <c r="K2504" s="40">
        <v>0</v>
      </c>
      <c r="L2504" s="40" t="s">
        <v>115</v>
      </c>
      <c r="O2504" s="40" t="s">
        <v>115</v>
      </c>
      <c r="Q2504" s="40">
        <v>192</v>
      </c>
      <c r="R2504" s="40">
        <v>15</v>
      </c>
      <c r="X2504" s="40">
        <v>90220207</v>
      </c>
      <c r="Y2504" s="40" t="s">
        <v>115</v>
      </c>
      <c r="Z2504" s="40" t="s">
        <v>115</v>
      </c>
      <c r="AA2504" s="40" t="s">
        <v>115</v>
      </c>
      <c r="AB2504" s="40" t="s">
        <v>115</v>
      </c>
      <c r="AC2504" s="40" t="s">
        <v>115</v>
      </c>
      <c r="AI2504" s="40" t="s">
        <v>115</v>
      </c>
      <c r="AP2504" s="4" t="s">
        <v>115</v>
      </c>
    </row>
    <row r="2505" spans="1:42" x14ac:dyDescent="0.15">
      <c r="A2505" s="40" t="s">
        <v>1</v>
      </c>
      <c r="B2505" s="23">
        <v>90220207</v>
      </c>
      <c r="C2505" s="23">
        <v>2202</v>
      </c>
      <c r="D2505" s="23">
        <v>22</v>
      </c>
      <c r="F2505" s="23" t="s">
        <v>5141</v>
      </c>
      <c r="G2505" s="23" t="s">
        <v>115</v>
      </c>
      <c r="H2505" s="23" t="s">
        <v>7190</v>
      </c>
      <c r="I2505" s="23">
        <v>3</v>
      </c>
      <c r="J2505" s="40">
        <v>0</v>
      </c>
      <c r="K2505" s="40">
        <v>0</v>
      </c>
      <c r="L2505" s="40" t="s">
        <v>115</v>
      </c>
      <c r="O2505" s="40" t="s">
        <v>115</v>
      </c>
      <c r="Q2505" s="40">
        <v>192</v>
      </c>
      <c r="R2505" s="40">
        <v>15</v>
      </c>
      <c r="X2505" s="40">
        <v>90220208</v>
      </c>
      <c r="Y2505" s="40" t="s">
        <v>115</v>
      </c>
      <c r="Z2505" s="40" t="s">
        <v>115</v>
      </c>
      <c r="AA2505" s="40" t="s">
        <v>115</v>
      </c>
      <c r="AB2505" s="40" t="s">
        <v>115</v>
      </c>
      <c r="AC2505" s="40" t="s">
        <v>115</v>
      </c>
      <c r="AI2505" s="40" t="s">
        <v>115</v>
      </c>
      <c r="AP2505" s="4" t="s">
        <v>115</v>
      </c>
    </row>
    <row r="2506" spans="1:42" x14ac:dyDescent="0.15">
      <c r="A2506" s="40" t="s">
        <v>1</v>
      </c>
      <c r="B2506" s="23">
        <v>90220208</v>
      </c>
      <c r="C2506" s="23">
        <v>2202</v>
      </c>
      <c r="D2506" s="23">
        <v>22</v>
      </c>
      <c r="F2506" s="23" t="s">
        <v>5141</v>
      </c>
      <c r="G2506" s="23" t="s">
        <v>115</v>
      </c>
      <c r="H2506" s="23" t="s">
        <v>7191</v>
      </c>
      <c r="I2506" s="23">
        <v>3</v>
      </c>
      <c r="J2506" s="40">
        <v>0</v>
      </c>
      <c r="K2506" s="40">
        <v>0</v>
      </c>
      <c r="L2506" s="40" t="s">
        <v>115</v>
      </c>
      <c r="O2506" s="40" t="s">
        <v>115</v>
      </c>
      <c r="Q2506" s="40">
        <v>192</v>
      </c>
      <c r="R2506" s="40">
        <v>15</v>
      </c>
      <c r="X2506" s="40">
        <v>90220209</v>
      </c>
      <c r="Y2506" s="40" t="s">
        <v>115</v>
      </c>
      <c r="Z2506" s="40" t="s">
        <v>115</v>
      </c>
      <c r="AA2506" s="40" t="s">
        <v>115</v>
      </c>
      <c r="AB2506" s="40" t="s">
        <v>115</v>
      </c>
      <c r="AC2506" s="40" t="s">
        <v>115</v>
      </c>
      <c r="AI2506" s="40" t="s">
        <v>115</v>
      </c>
      <c r="AP2506" s="4" t="s">
        <v>115</v>
      </c>
    </row>
    <row r="2507" spans="1:42" x14ac:dyDescent="0.15">
      <c r="A2507" s="40" t="s">
        <v>1</v>
      </c>
      <c r="B2507" s="23">
        <v>90220209</v>
      </c>
      <c r="C2507" s="23">
        <v>2202</v>
      </c>
      <c r="D2507" s="23">
        <v>22</v>
      </c>
      <c r="F2507" s="23" t="s">
        <v>5141</v>
      </c>
      <c r="G2507" s="23" t="s">
        <v>115</v>
      </c>
      <c r="H2507" s="23" t="s">
        <v>7192</v>
      </c>
      <c r="I2507" s="23">
        <v>3</v>
      </c>
      <c r="J2507" s="40">
        <v>0</v>
      </c>
      <c r="K2507" s="40">
        <v>4</v>
      </c>
      <c r="L2507" s="40" t="s">
        <v>5142</v>
      </c>
      <c r="O2507" s="40" t="s">
        <v>115</v>
      </c>
      <c r="Q2507" s="40">
        <v>192</v>
      </c>
      <c r="R2507" s="40">
        <v>15</v>
      </c>
      <c r="X2507" s="40">
        <v>90220210</v>
      </c>
      <c r="Y2507" s="40" t="s">
        <v>115</v>
      </c>
      <c r="Z2507" s="40">
        <v>3</v>
      </c>
      <c r="AA2507" s="40" t="s">
        <v>115</v>
      </c>
      <c r="AB2507" s="40" t="s">
        <v>115</v>
      </c>
      <c r="AC2507" s="40" t="s">
        <v>115</v>
      </c>
      <c r="AI2507" s="40" t="s">
        <v>115</v>
      </c>
      <c r="AP2507" s="4" t="s">
        <v>115</v>
      </c>
    </row>
    <row r="2508" spans="1:42" x14ac:dyDescent="0.15">
      <c r="A2508" s="40" t="s">
        <v>1</v>
      </c>
      <c r="B2508" s="23">
        <v>90220210</v>
      </c>
      <c r="C2508" s="23">
        <v>2202</v>
      </c>
      <c r="D2508" s="23">
        <v>22</v>
      </c>
      <c r="F2508" s="23" t="s">
        <v>5141</v>
      </c>
      <c r="G2508" s="23" t="s">
        <v>115</v>
      </c>
      <c r="H2508" s="23" t="s">
        <v>5143</v>
      </c>
      <c r="I2508" s="23">
        <v>3</v>
      </c>
      <c r="J2508" s="40">
        <v>0</v>
      </c>
      <c r="K2508" s="40">
        <v>0</v>
      </c>
      <c r="L2508" s="40" t="s">
        <v>115</v>
      </c>
      <c r="O2508" s="40" t="s">
        <v>115</v>
      </c>
      <c r="Q2508" s="40">
        <v>192</v>
      </c>
      <c r="R2508" s="40">
        <v>15</v>
      </c>
      <c r="X2508" s="40">
        <v>90220211</v>
      </c>
      <c r="Y2508" s="40" t="s">
        <v>115</v>
      </c>
      <c r="Z2508" s="40" t="s">
        <v>115</v>
      </c>
      <c r="AA2508" s="40" t="s">
        <v>115</v>
      </c>
      <c r="AB2508" s="40" t="s">
        <v>115</v>
      </c>
      <c r="AC2508" s="40" t="s">
        <v>115</v>
      </c>
      <c r="AI2508" s="40" t="s">
        <v>115</v>
      </c>
      <c r="AP2508" s="4" t="s">
        <v>115</v>
      </c>
    </row>
    <row r="2509" spans="1:42" x14ac:dyDescent="0.15">
      <c r="A2509" s="40" t="s">
        <v>1</v>
      </c>
      <c r="B2509" s="23">
        <v>90220211</v>
      </c>
      <c r="C2509" s="23">
        <v>2202</v>
      </c>
      <c r="D2509" s="23">
        <v>22</v>
      </c>
      <c r="F2509" s="23" t="s">
        <v>5141</v>
      </c>
      <c r="G2509" s="23" t="s">
        <v>115</v>
      </c>
      <c r="H2509" s="23" t="s">
        <v>5144</v>
      </c>
      <c r="I2509" s="23">
        <v>3</v>
      </c>
      <c r="J2509" s="40">
        <v>0</v>
      </c>
      <c r="K2509" s="40">
        <v>0</v>
      </c>
      <c r="L2509" s="40" t="s">
        <v>115</v>
      </c>
      <c r="O2509" s="40" t="s">
        <v>115</v>
      </c>
      <c r="Q2509" s="40">
        <v>192</v>
      </c>
      <c r="R2509" s="40">
        <v>15</v>
      </c>
      <c r="X2509" s="40">
        <v>90220212</v>
      </c>
      <c r="Y2509" s="40" t="s">
        <v>115</v>
      </c>
      <c r="Z2509" s="40" t="s">
        <v>115</v>
      </c>
      <c r="AA2509" s="40" t="s">
        <v>115</v>
      </c>
      <c r="AB2509" s="40" t="s">
        <v>115</v>
      </c>
      <c r="AC2509" s="40" t="s">
        <v>115</v>
      </c>
      <c r="AI2509" s="40" t="s">
        <v>115</v>
      </c>
      <c r="AP2509" s="4" t="s">
        <v>115</v>
      </c>
    </row>
    <row r="2510" spans="1:42" x14ac:dyDescent="0.15">
      <c r="A2510" s="40" t="s">
        <v>1</v>
      </c>
      <c r="B2510" s="23">
        <v>90220212</v>
      </c>
      <c r="C2510" s="23">
        <v>2202</v>
      </c>
      <c r="D2510" s="23">
        <v>22</v>
      </c>
      <c r="F2510" s="23" t="s">
        <v>116</v>
      </c>
      <c r="G2510" s="23">
        <v>312</v>
      </c>
      <c r="H2510" s="23" t="s">
        <v>5145</v>
      </c>
      <c r="I2510" s="23">
        <v>0</v>
      </c>
      <c r="J2510" s="40">
        <v>0</v>
      </c>
      <c r="K2510" s="40">
        <v>0</v>
      </c>
      <c r="L2510" s="40" t="s">
        <v>115</v>
      </c>
      <c r="O2510" s="40" t="s">
        <v>115</v>
      </c>
      <c r="Q2510" s="40">
        <v>192</v>
      </c>
      <c r="R2510" s="40">
        <v>15</v>
      </c>
      <c r="X2510" s="40">
        <v>90220213</v>
      </c>
      <c r="Y2510" s="40" t="s">
        <v>115</v>
      </c>
      <c r="Z2510" s="40" t="s">
        <v>115</v>
      </c>
      <c r="AA2510" s="40" t="s">
        <v>115</v>
      </c>
      <c r="AB2510" s="40" t="s">
        <v>115</v>
      </c>
      <c r="AC2510" s="40" t="s">
        <v>115</v>
      </c>
      <c r="AI2510" s="40" t="s">
        <v>115</v>
      </c>
      <c r="AP2510" s="4" t="s">
        <v>115</v>
      </c>
    </row>
    <row r="2511" spans="1:42" x14ac:dyDescent="0.15">
      <c r="A2511" s="40" t="s">
        <v>1</v>
      </c>
      <c r="B2511" s="23">
        <v>90220213</v>
      </c>
      <c r="C2511" s="23">
        <v>2202</v>
      </c>
      <c r="D2511" s="23">
        <v>22</v>
      </c>
      <c r="F2511" s="23" t="s">
        <v>5141</v>
      </c>
      <c r="G2511" s="23" t="s">
        <v>115</v>
      </c>
      <c r="H2511" s="23" t="s">
        <v>7193</v>
      </c>
      <c r="I2511" s="23">
        <v>3</v>
      </c>
      <c r="J2511" s="40">
        <v>0</v>
      </c>
      <c r="K2511" s="40">
        <v>0</v>
      </c>
      <c r="L2511" s="40" t="s">
        <v>115</v>
      </c>
      <c r="O2511" s="40" t="s">
        <v>115</v>
      </c>
      <c r="Q2511" s="40">
        <v>192</v>
      </c>
      <c r="R2511" s="40">
        <v>15</v>
      </c>
      <c r="X2511" s="40">
        <v>90220214</v>
      </c>
      <c r="Y2511" s="40" t="s">
        <v>115</v>
      </c>
      <c r="Z2511" s="40" t="s">
        <v>115</v>
      </c>
      <c r="AA2511" s="40" t="s">
        <v>115</v>
      </c>
      <c r="AB2511" s="40" t="s">
        <v>115</v>
      </c>
      <c r="AC2511" s="40" t="s">
        <v>115</v>
      </c>
      <c r="AI2511" s="40" t="s">
        <v>115</v>
      </c>
      <c r="AP2511" s="4" t="s">
        <v>115</v>
      </c>
    </row>
    <row r="2512" spans="1:42" x14ac:dyDescent="0.15">
      <c r="A2512" s="40" t="s">
        <v>1</v>
      </c>
      <c r="B2512" s="23">
        <v>90220214</v>
      </c>
      <c r="C2512" s="23">
        <v>2202</v>
      </c>
      <c r="D2512" s="23">
        <v>22</v>
      </c>
      <c r="F2512" s="23" t="s">
        <v>116</v>
      </c>
      <c r="G2512" s="23">
        <v>313</v>
      </c>
      <c r="H2512" s="23" t="s">
        <v>5146</v>
      </c>
      <c r="I2512" s="23">
        <v>0</v>
      </c>
      <c r="J2512" s="40">
        <v>0</v>
      </c>
      <c r="K2512" s="40">
        <v>0</v>
      </c>
      <c r="L2512" s="40" t="s">
        <v>115</v>
      </c>
      <c r="O2512" s="40" t="s">
        <v>115</v>
      </c>
      <c r="Q2512" s="40">
        <v>192</v>
      </c>
      <c r="R2512" s="40">
        <v>15</v>
      </c>
      <c r="X2512" s="40">
        <v>90220215</v>
      </c>
      <c r="Y2512" s="40" t="s">
        <v>115</v>
      </c>
      <c r="Z2512" s="40" t="s">
        <v>115</v>
      </c>
      <c r="AA2512" s="40" t="s">
        <v>115</v>
      </c>
      <c r="AB2512" s="40" t="s">
        <v>115</v>
      </c>
      <c r="AC2512" s="40" t="s">
        <v>115</v>
      </c>
      <c r="AI2512" s="40" t="s">
        <v>115</v>
      </c>
      <c r="AP2512" s="4" t="s">
        <v>115</v>
      </c>
    </row>
    <row r="2513" spans="1:42" x14ac:dyDescent="0.15">
      <c r="A2513" s="40" t="s">
        <v>1</v>
      </c>
      <c r="B2513" s="23">
        <v>90220215</v>
      </c>
      <c r="C2513" s="23">
        <v>2202</v>
      </c>
      <c r="D2513" s="23">
        <v>22</v>
      </c>
      <c r="F2513" s="23" t="s">
        <v>5141</v>
      </c>
      <c r="G2513" s="23" t="s">
        <v>115</v>
      </c>
      <c r="H2513" s="23" t="s">
        <v>5147</v>
      </c>
      <c r="I2513" s="23">
        <v>3</v>
      </c>
      <c r="J2513" s="40">
        <v>0</v>
      </c>
      <c r="K2513" s="40">
        <v>0</v>
      </c>
      <c r="L2513" s="40" t="s">
        <v>115</v>
      </c>
      <c r="O2513" s="40" t="s">
        <v>115</v>
      </c>
      <c r="Q2513" s="40">
        <v>192</v>
      </c>
      <c r="R2513" s="40">
        <v>15</v>
      </c>
      <c r="X2513" s="40">
        <v>90220216</v>
      </c>
      <c r="Y2513" s="40" t="s">
        <v>115</v>
      </c>
      <c r="Z2513" s="40" t="s">
        <v>115</v>
      </c>
      <c r="AA2513" s="40" t="s">
        <v>115</v>
      </c>
      <c r="AB2513" s="40" t="s">
        <v>115</v>
      </c>
      <c r="AC2513" s="40" t="s">
        <v>115</v>
      </c>
      <c r="AI2513" s="40" t="s">
        <v>115</v>
      </c>
      <c r="AP2513" s="4" t="s">
        <v>115</v>
      </c>
    </row>
    <row r="2514" spans="1:42" x14ac:dyDescent="0.15">
      <c r="A2514" s="40" t="s">
        <v>1</v>
      </c>
      <c r="B2514" s="23">
        <v>90220216</v>
      </c>
      <c r="C2514" s="23">
        <v>2202</v>
      </c>
      <c r="D2514" s="23">
        <v>22</v>
      </c>
      <c r="F2514" s="23" t="s">
        <v>116</v>
      </c>
      <c r="G2514" s="23">
        <v>312</v>
      </c>
      <c r="H2514" s="23" t="s">
        <v>5148</v>
      </c>
      <c r="I2514" s="23">
        <v>0</v>
      </c>
      <c r="J2514" s="40">
        <v>0</v>
      </c>
      <c r="K2514" s="40">
        <v>0</v>
      </c>
      <c r="L2514" s="40" t="s">
        <v>115</v>
      </c>
      <c r="O2514" s="40" t="s">
        <v>115</v>
      </c>
      <c r="Q2514" s="40">
        <v>192</v>
      </c>
      <c r="R2514" s="40">
        <v>15</v>
      </c>
      <c r="X2514" s="40">
        <v>90220217</v>
      </c>
      <c r="Y2514" s="40" t="s">
        <v>115</v>
      </c>
      <c r="Z2514" s="40" t="s">
        <v>115</v>
      </c>
      <c r="AA2514" s="40" t="s">
        <v>115</v>
      </c>
      <c r="AB2514" s="40" t="s">
        <v>115</v>
      </c>
      <c r="AC2514" s="40" t="s">
        <v>115</v>
      </c>
      <c r="AI2514" s="40" t="s">
        <v>115</v>
      </c>
      <c r="AP2514" s="4" t="s">
        <v>115</v>
      </c>
    </row>
    <row r="2515" spans="1:42" x14ac:dyDescent="0.15">
      <c r="A2515" s="40" t="s">
        <v>1</v>
      </c>
      <c r="B2515" s="23">
        <v>90220217</v>
      </c>
      <c r="C2515" s="23">
        <v>2202</v>
      </c>
      <c r="D2515" s="23">
        <v>22</v>
      </c>
      <c r="F2515" s="23" t="s">
        <v>5141</v>
      </c>
      <c r="G2515" s="23" t="s">
        <v>115</v>
      </c>
      <c r="H2515" s="23" t="s">
        <v>7194</v>
      </c>
      <c r="I2515" s="23">
        <v>3</v>
      </c>
      <c r="J2515" s="40">
        <v>0</v>
      </c>
      <c r="K2515" s="40">
        <v>0</v>
      </c>
      <c r="L2515" s="40" t="s">
        <v>115</v>
      </c>
      <c r="O2515" s="40" t="s">
        <v>115</v>
      </c>
      <c r="Q2515" s="40">
        <v>192</v>
      </c>
      <c r="R2515" s="40">
        <v>15</v>
      </c>
      <c r="X2515" s="40">
        <v>90220218</v>
      </c>
      <c r="Y2515" s="40" t="s">
        <v>115</v>
      </c>
      <c r="Z2515" s="40" t="s">
        <v>115</v>
      </c>
      <c r="AA2515" s="40" t="s">
        <v>115</v>
      </c>
      <c r="AB2515" s="40" t="s">
        <v>115</v>
      </c>
      <c r="AC2515" s="40" t="s">
        <v>115</v>
      </c>
      <c r="AI2515" s="40" t="s">
        <v>115</v>
      </c>
      <c r="AP2515" s="4" t="s">
        <v>115</v>
      </c>
    </row>
    <row r="2516" spans="1:42" x14ac:dyDescent="0.15">
      <c r="A2516" s="40" t="s">
        <v>1</v>
      </c>
      <c r="B2516" s="23">
        <v>90220218</v>
      </c>
      <c r="C2516" s="23">
        <v>2202</v>
      </c>
      <c r="D2516" s="23">
        <v>22</v>
      </c>
      <c r="F2516" s="23" t="s">
        <v>5141</v>
      </c>
      <c r="G2516" s="23" t="s">
        <v>115</v>
      </c>
      <c r="H2516" s="23" t="s">
        <v>5149</v>
      </c>
      <c r="I2516" s="23">
        <v>3</v>
      </c>
      <c r="J2516" s="40">
        <v>0</v>
      </c>
      <c r="K2516" s="40">
        <v>0</v>
      </c>
      <c r="L2516" s="40" t="s">
        <v>115</v>
      </c>
      <c r="O2516" s="40" t="s">
        <v>115</v>
      </c>
      <c r="Q2516" s="40">
        <v>192</v>
      </c>
      <c r="R2516" s="40">
        <v>15</v>
      </c>
      <c r="X2516" s="40">
        <v>90220219</v>
      </c>
      <c r="Y2516" s="40" t="s">
        <v>115</v>
      </c>
      <c r="Z2516" s="40" t="s">
        <v>115</v>
      </c>
      <c r="AA2516" s="40" t="s">
        <v>115</v>
      </c>
      <c r="AB2516" s="40" t="s">
        <v>115</v>
      </c>
      <c r="AC2516" s="40" t="s">
        <v>115</v>
      </c>
      <c r="AI2516" s="40" t="s">
        <v>115</v>
      </c>
      <c r="AP2516" s="4" t="s">
        <v>115</v>
      </c>
    </row>
    <row r="2517" spans="1:42" x14ac:dyDescent="0.15">
      <c r="A2517" s="40" t="s">
        <v>1</v>
      </c>
      <c r="B2517" s="23">
        <v>90220219</v>
      </c>
      <c r="C2517" s="23">
        <v>2202</v>
      </c>
      <c r="D2517" s="23">
        <v>22</v>
      </c>
      <c r="F2517" s="23" t="s">
        <v>5141</v>
      </c>
      <c r="G2517" s="23" t="s">
        <v>115</v>
      </c>
      <c r="H2517" s="23" t="s">
        <v>5150</v>
      </c>
      <c r="I2517" s="23">
        <v>3</v>
      </c>
      <c r="J2517" s="40">
        <v>0</v>
      </c>
      <c r="K2517" s="40">
        <v>0</v>
      </c>
      <c r="L2517" s="40" t="s">
        <v>115</v>
      </c>
      <c r="O2517" s="40" t="s">
        <v>115</v>
      </c>
      <c r="Q2517" s="40">
        <v>192</v>
      </c>
      <c r="R2517" s="40">
        <v>15</v>
      </c>
      <c r="X2517" s="40">
        <v>90220220</v>
      </c>
      <c r="Y2517" s="40" t="s">
        <v>115</v>
      </c>
      <c r="Z2517" s="40" t="s">
        <v>115</v>
      </c>
      <c r="AA2517" s="40" t="s">
        <v>115</v>
      </c>
      <c r="AB2517" s="40" t="s">
        <v>115</v>
      </c>
      <c r="AC2517" s="40" t="s">
        <v>115</v>
      </c>
      <c r="AI2517" s="40" t="s">
        <v>115</v>
      </c>
      <c r="AP2517" s="4" t="s">
        <v>115</v>
      </c>
    </row>
    <row r="2518" spans="1:42" x14ac:dyDescent="0.15">
      <c r="A2518" s="40" t="s">
        <v>1</v>
      </c>
      <c r="B2518" s="23">
        <v>90220220</v>
      </c>
      <c r="C2518" s="23">
        <v>2202</v>
      </c>
      <c r="D2518" s="23">
        <v>22</v>
      </c>
      <c r="F2518" s="23" t="s">
        <v>116</v>
      </c>
      <c r="G2518" s="23">
        <v>314</v>
      </c>
      <c r="H2518" s="23" t="s">
        <v>5151</v>
      </c>
      <c r="I2518" s="23">
        <v>2</v>
      </c>
      <c r="J2518" s="40">
        <v>0</v>
      </c>
      <c r="K2518" s="40">
        <v>0</v>
      </c>
      <c r="L2518" s="40" t="s">
        <v>115</v>
      </c>
      <c r="O2518" s="40" t="s">
        <v>115</v>
      </c>
      <c r="Q2518" s="40">
        <v>192</v>
      </c>
      <c r="R2518" s="40" t="s">
        <v>115</v>
      </c>
      <c r="X2518" s="40">
        <v>90220221</v>
      </c>
      <c r="Y2518" s="40" t="s">
        <v>115</v>
      </c>
      <c r="Z2518" s="40" t="s">
        <v>115</v>
      </c>
      <c r="AA2518" s="40" t="s">
        <v>115</v>
      </c>
      <c r="AB2518" s="40" t="s">
        <v>115</v>
      </c>
      <c r="AC2518" s="40" t="s">
        <v>115</v>
      </c>
      <c r="AI2518" s="40" t="s">
        <v>115</v>
      </c>
      <c r="AP2518" s="4" t="s">
        <v>115</v>
      </c>
    </row>
    <row r="2519" spans="1:42" x14ac:dyDescent="0.15">
      <c r="A2519" s="40" t="s">
        <v>1</v>
      </c>
      <c r="B2519" s="23">
        <v>90220221</v>
      </c>
      <c r="C2519" s="23">
        <v>2202</v>
      </c>
      <c r="D2519" s="23">
        <v>22</v>
      </c>
      <c r="F2519" s="23" t="s">
        <v>116</v>
      </c>
      <c r="G2519" s="23">
        <v>314</v>
      </c>
      <c r="H2519" s="23" t="s">
        <v>7195</v>
      </c>
      <c r="I2519" s="23">
        <v>2</v>
      </c>
      <c r="J2519" s="40">
        <v>0</v>
      </c>
      <c r="K2519" s="40">
        <v>5</v>
      </c>
      <c r="L2519" s="40" t="s">
        <v>115</v>
      </c>
      <c r="O2519" s="40">
        <v>1</v>
      </c>
      <c r="Q2519" s="40">
        <v>192</v>
      </c>
      <c r="R2519" s="40" t="s">
        <v>115</v>
      </c>
      <c r="X2519" s="40" t="s">
        <v>115</v>
      </c>
      <c r="Y2519" s="40" t="s">
        <v>115</v>
      </c>
      <c r="Z2519" s="40">
        <v>4</v>
      </c>
      <c r="AA2519" s="40" t="s">
        <v>115</v>
      </c>
      <c r="AB2519" s="40" t="s">
        <v>115</v>
      </c>
      <c r="AC2519" s="40" t="s">
        <v>115</v>
      </c>
      <c r="AI2519" s="40" t="s">
        <v>115</v>
      </c>
      <c r="AP2519" s="4" t="s">
        <v>5152</v>
      </c>
    </row>
    <row r="2520" spans="1:42" x14ac:dyDescent="0.15">
      <c r="A2520" s="40" t="s">
        <v>1</v>
      </c>
      <c r="B2520" s="23" t="s">
        <v>4841</v>
      </c>
      <c r="C2520" s="23">
        <v>2203</v>
      </c>
      <c r="D2520" s="23">
        <v>22</v>
      </c>
      <c r="F2520" s="23" t="s">
        <v>115</v>
      </c>
      <c r="G2520" s="23" t="s">
        <v>115</v>
      </c>
      <c r="H2520" s="23" t="s">
        <v>5153</v>
      </c>
      <c r="I2520" s="23">
        <v>4</v>
      </c>
      <c r="J2520" s="40">
        <v>1</v>
      </c>
      <c r="K2520" s="40">
        <v>1</v>
      </c>
      <c r="L2520" s="40" t="s">
        <v>115</v>
      </c>
      <c r="O2520" s="40" t="s">
        <v>115</v>
      </c>
      <c r="Q2520" s="40">
        <v>112</v>
      </c>
      <c r="R2520" s="40" t="s">
        <v>115</v>
      </c>
      <c r="X2520" s="40">
        <v>90220302</v>
      </c>
      <c r="Y2520" s="40" t="s">
        <v>115</v>
      </c>
      <c r="Z2520" s="40" t="s">
        <v>115</v>
      </c>
      <c r="AA2520" s="40" t="s">
        <v>115</v>
      </c>
      <c r="AB2520" s="40" t="s">
        <v>115</v>
      </c>
      <c r="AC2520" s="40" t="s">
        <v>115</v>
      </c>
      <c r="AI2520" s="40" t="s">
        <v>115</v>
      </c>
      <c r="AP2520" s="4" t="s">
        <v>115</v>
      </c>
    </row>
    <row r="2521" spans="1:42" x14ac:dyDescent="0.15">
      <c r="A2521" s="40" t="s">
        <v>1</v>
      </c>
      <c r="B2521" s="23">
        <v>90220302</v>
      </c>
      <c r="C2521" s="23">
        <v>2203</v>
      </c>
      <c r="D2521" s="23">
        <v>22</v>
      </c>
      <c r="F2521" s="23" t="s">
        <v>115</v>
      </c>
      <c r="G2521" s="23" t="s">
        <v>115</v>
      </c>
      <c r="H2521" s="23" t="s">
        <v>5154</v>
      </c>
      <c r="I2521" s="23">
        <v>4</v>
      </c>
      <c r="J2521" s="40">
        <v>0</v>
      </c>
      <c r="K2521" s="40">
        <v>0</v>
      </c>
      <c r="L2521" s="40" t="s">
        <v>115</v>
      </c>
      <c r="O2521" s="40" t="s">
        <v>115</v>
      </c>
      <c r="Q2521" s="40">
        <v>112</v>
      </c>
      <c r="R2521" s="40" t="s">
        <v>115</v>
      </c>
      <c r="X2521" s="40">
        <v>90220303</v>
      </c>
      <c r="Y2521" s="40" t="s">
        <v>115</v>
      </c>
      <c r="Z2521" s="40" t="s">
        <v>115</v>
      </c>
      <c r="AA2521" s="40" t="s">
        <v>115</v>
      </c>
      <c r="AB2521" s="40" t="s">
        <v>115</v>
      </c>
      <c r="AC2521" s="40" t="s">
        <v>115</v>
      </c>
      <c r="AI2521" s="40" t="s">
        <v>115</v>
      </c>
      <c r="AP2521" s="4" t="s">
        <v>115</v>
      </c>
    </row>
    <row r="2522" spans="1:42" x14ac:dyDescent="0.15">
      <c r="A2522" s="40" t="s">
        <v>1</v>
      </c>
      <c r="B2522" s="23">
        <v>90220303</v>
      </c>
      <c r="C2522" s="23">
        <v>2203</v>
      </c>
      <c r="D2522" s="23">
        <v>22</v>
      </c>
      <c r="F2522" s="23" t="s">
        <v>931</v>
      </c>
      <c r="G2522" s="23" t="s">
        <v>115</v>
      </c>
      <c r="H2522" s="23" t="s">
        <v>5155</v>
      </c>
      <c r="I2522" s="23">
        <v>3</v>
      </c>
      <c r="J2522" s="40">
        <v>0</v>
      </c>
      <c r="K2522" s="40">
        <v>0</v>
      </c>
      <c r="L2522" s="40" t="s">
        <v>115</v>
      </c>
      <c r="O2522" s="40" t="s">
        <v>115</v>
      </c>
      <c r="Q2522" s="40">
        <v>112</v>
      </c>
      <c r="R2522" s="40">
        <v>19</v>
      </c>
      <c r="X2522" s="40">
        <v>90220304</v>
      </c>
      <c r="Y2522" s="40" t="s">
        <v>115</v>
      </c>
      <c r="Z2522" s="40" t="s">
        <v>115</v>
      </c>
      <c r="AA2522" s="40" t="s">
        <v>115</v>
      </c>
      <c r="AB2522" s="40" t="s">
        <v>115</v>
      </c>
      <c r="AC2522" s="40" t="s">
        <v>115</v>
      </c>
      <c r="AI2522" s="40" t="s">
        <v>115</v>
      </c>
      <c r="AP2522" s="4" t="s">
        <v>115</v>
      </c>
    </row>
    <row r="2523" spans="1:42" x14ac:dyDescent="0.15">
      <c r="A2523" s="40" t="s">
        <v>1</v>
      </c>
      <c r="B2523" s="23">
        <v>90220304</v>
      </c>
      <c r="C2523" s="23">
        <v>2203</v>
      </c>
      <c r="D2523" s="23">
        <v>22</v>
      </c>
      <c r="F2523" s="23" t="s">
        <v>116</v>
      </c>
      <c r="G2523" s="23">
        <v>312</v>
      </c>
      <c r="H2523" s="23" t="s">
        <v>5156</v>
      </c>
      <c r="I2523" s="23">
        <v>0</v>
      </c>
      <c r="J2523" s="40">
        <v>0</v>
      </c>
      <c r="K2523" s="40">
        <v>0</v>
      </c>
      <c r="L2523" s="40" t="s">
        <v>115</v>
      </c>
      <c r="O2523" s="40" t="s">
        <v>115</v>
      </c>
      <c r="Q2523" s="40">
        <v>112</v>
      </c>
      <c r="R2523" s="40">
        <v>19</v>
      </c>
      <c r="X2523" s="40">
        <v>90220305</v>
      </c>
      <c r="Y2523" s="40" t="s">
        <v>115</v>
      </c>
      <c r="Z2523" s="40" t="s">
        <v>115</v>
      </c>
      <c r="AA2523" s="40" t="s">
        <v>115</v>
      </c>
      <c r="AB2523" s="40" t="s">
        <v>115</v>
      </c>
      <c r="AC2523" s="40" t="s">
        <v>115</v>
      </c>
      <c r="AI2523" s="40" t="s">
        <v>115</v>
      </c>
      <c r="AP2523" s="4" t="s">
        <v>115</v>
      </c>
    </row>
    <row r="2524" spans="1:42" x14ac:dyDescent="0.15">
      <c r="A2524" s="40" t="s">
        <v>1</v>
      </c>
      <c r="B2524" s="23">
        <v>90220305</v>
      </c>
      <c r="C2524" s="23">
        <v>2203</v>
      </c>
      <c r="D2524" s="23">
        <v>22</v>
      </c>
      <c r="F2524" s="23" t="s">
        <v>931</v>
      </c>
      <c r="G2524" s="23" t="s">
        <v>115</v>
      </c>
      <c r="H2524" s="23" t="s">
        <v>5157</v>
      </c>
      <c r="I2524" s="23">
        <v>3</v>
      </c>
      <c r="J2524" s="40">
        <v>0</v>
      </c>
      <c r="K2524" s="40">
        <v>0</v>
      </c>
      <c r="L2524" s="40" t="s">
        <v>115</v>
      </c>
      <c r="O2524" s="40" t="s">
        <v>115</v>
      </c>
      <c r="Q2524" s="40">
        <v>112</v>
      </c>
      <c r="R2524" s="40">
        <v>19</v>
      </c>
      <c r="X2524" s="40">
        <v>90220306</v>
      </c>
      <c r="Y2524" s="40" t="s">
        <v>115</v>
      </c>
      <c r="Z2524" s="40" t="s">
        <v>115</v>
      </c>
      <c r="AA2524" s="40" t="s">
        <v>115</v>
      </c>
      <c r="AB2524" s="40" t="s">
        <v>115</v>
      </c>
      <c r="AC2524" s="40" t="s">
        <v>115</v>
      </c>
      <c r="AI2524" s="40" t="s">
        <v>115</v>
      </c>
      <c r="AP2524" s="4" t="s">
        <v>115</v>
      </c>
    </row>
    <row r="2525" spans="1:42" x14ac:dyDescent="0.15">
      <c r="A2525" s="40" t="s">
        <v>1</v>
      </c>
      <c r="B2525" s="23">
        <v>90220306</v>
      </c>
      <c r="C2525" s="23">
        <v>2203</v>
      </c>
      <c r="D2525" s="23">
        <v>22</v>
      </c>
      <c r="F2525" s="23" t="s">
        <v>931</v>
      </c>
      <c r="G2525" s="23" t="s">
        <v>115</v>
      </c>
      <c r="H2525" s="23" t="s">
        <v>7196</v>
      </c>
      <c r="I2525" s="23">
        <v>3</v>
      </c>
      <c r="J2525" s="40">
        <v>0</v>
      </c>
      <c r="K2525" s="40">
        <v>0</v>
      </c>
      <c r="L2525" s="40" t="s">
        <v>115</v>
      </c>
      <c r="O2525" s="40" t="s">
        <v>115</v>
      </c>
      <c r="Q2525" s="40">
        <v>112</v>
      </c>
      <c r="R2525" s="40">
        <v>19</v>
      </c>
      <c r="X2525" s="40">
        <v>90220307</v>
      </c>
      <c r="Y2525" s="40" t="s">
        <v>115</v>
      </c>
      <c r="Z2525" s="40" t="s">
        <v>115</v>
      </c>
      <c r="AA2525" s="40" t="s">
        <v>115</v>
      </c>
      <c r="AB2525" s="40" t="s">
        <v>115</v>
      </c>
      <c r="AC2525" s="40" t="s">
        <v>115</v>
      </c>
      <c r="AI2525" s="40" t="s">
        <v>115</v>
      </c>
      <c r="AP2525" s="4" t="s">
        <v>115</v>
      </c>
    </row>
    <row r="2526" spans="1:42" x14ac:dyDescent="0.15">
      <c r="A2526" s="40" t="s">
        <v>1</v>
      </c>
      <c r="B2526" s="23">
        <v>90220307</v>
      </c>
      <c r="C2526" s="23">
        <v>2203</v>
      </c>
      <c r="D2526" s="23">
        <v>22</v>
      </c>
      <c r="F2526" s="23" t="s">
        <v>116</v>
      </c>
      <c r="G2526" s="23">
        <v>312</v>
      </c>
      <c r="H2526" s="23" t="s">
        <v>7197</v>
      </c>
      <c r="I2526" s="23">
        <v>0</v>
      </c>
      <c r="J2526" s="40">
        <v>0</v>
      </c>
      <c r="K2526" s="40">
        <v>0</v>
      </c>
      <c r="L2526" s="40" t="s">
        <v>115</v>
      </c>
      <c r="O2526" s="40" t="s">
        <v>115</v>
      </c>
      <c r="Q2526" s="40">
        <v>112</v>
      </c>
      <c r="R2526" s="40">
        <v>19</v>
      </c>
      <c r="X2526" s="40">
        <v>90220308</v>
      </c>
      <c r="Y2526" s="40" t="s">
        <v>115</v>
      </c>
      <c r="Z2526" s="40" t="s">
        <v>115</v>
      </c>
      <c r="AA2526" s="40" t="s">
        <v>115</v>
      </c>
      <c r="AB2526" s="40" t="s">
        <v>115</v>
      </c>
      <c r="AC2526" s="40" t="s">
        <v>115</v>
      </c>
      <c r="AI2526" s="40" t="s">
        <v>115</v>
      </c>
      <c r="AP2526" s="4" t="s">
        <v>115</v>
      </c>
    </row>
    <row r="2527" spans="1:42" x14ac:dyDescent="0.15">
      <c r="A2527" s="40" t="s">
        <v>1</v>
      </c>
      <c r="B2527" s="23">
        <v>90220308</v>
      </c>
      <c r="C2527" s="23">
        <v>2203</v>
      </c>
      <c r="D2527" s="23">
        <v>22</v>
      </c>
      <c r="F2527" s="23" t="s">
        <v>931</v>
      </c>
      <c r="G2527" s="23" t="s">
        <v>115</v>
      </c>
      <c r="H2527" s="23" t="s">
        <v>338</v>
      </c>
      <c r="I2527" s="23">
        <v>3</v>
      </c>
      <c r="J2527" s="40">
        <v>0</v>
      </c>
      <c r="K2527" s="40">
        <v>0</v>
      </c>
      <c r="L2527" s="40" t="s">
        <v>115</v>
      </c>
      <c r="O2527" s="40" t="s">
        <v>115</v>
      </c>
      <c r="Q2527" s="40">
        <v>112</v>
      </c>
      <c r="R2527" s="40">
        <v>19</v>
      </c>
      <c r="X2527" s="40">
        <v>90220309</v>
      </c>
      <c r="Y2527" s="40" t="s">
        <v>115</v>
      </c>
      <c r="Z2527" s="40" t="s">
        <v>115</v>
      </c>
      <c r="AA2527" s="40" t="s">
        <v>115</v>
      </c>
      <c r="AB2527" s="40" t="s">
        <v>115</v>
      </c>
      <c r="AC2527" s="40" t="s">
        <v>115</v>
      </c>
      <c r="AI2527" s="40" t="s">
        <v>115</v>
      </c>
      <c r="AP2527" s="4" t="s">
        <v>115</v>
      </c>
    </row>
    <row r="2528" spans="1:42" x14ac:dyDescent="0.15">
      <c r="A2528" s="40" t="s">
        <v>1</v>
      </c>
      <c r="B2528" s="23">
        <v>90220309</v>
      </c>
      <c r="C2528" s="23">
        <v>2203</v>
      </c>
      <c r="D2528" s="23">
        <v>22</v>
      </c>
      <c r="F2528" s="23" t="s">
        <v>931</v>
      </c>
      <c r="G2528" s="23" t="s">
        <v>115</v>
      </c>
      <c r="H2528" s="23" t="s">
        <v>5158</v>
      </c>
      <c r="I2528" s="23">
        <v>3</v>
      </c>
      <c r="J2528" s="40">
        <v>0</v>
      </c>
      <c r="K2528" s="40">
        <v>0</v>
      </c>
      <c r="L2528" s="40" t="s">
        <v>115</v>
      </c>
      <c r="O2528" s="40" t="s">
        <v>115</v>
      </c>
      <c r="Q2528" s="40">
        <v>112</v>
      </c>
      <c r="R2528" s="40">
        <v>19</v>
      </c>
      <c r="X2528" s="40">
        <v>90220310</v>
      </c>
      <c r="Y2528" s="40" t="s">
        <v>115</v>
      </c>
      <c r="Z2528" s="40" t="s">
        <v>115</v>
      </c>
      <c r="AA2528" s="40" t="s">
        <v>115</v>
      </c>
      <c r="AB2528" s="40" t="s">
        <v>115</v>
      </c>
      <c r="AC2528" s="40" t="s">
        <v>115</v>
      </c>
      <c r="AI2528" s="40" t="s">
        <v>115</v>
      </c>
      <c r="AP2528" s="4" t="s">
        <v>115</v>
      </c>
    </row>
    <row r="2529" spans="1:42" x14ac:dyDescent="0.15">
      <c r="A2529" s="40" t="s">
        <v>1</v>
      </c>
      <c r="B2529" s="23">
        <v>90220310</v>
      </c>
      <c r="C2529" s="23">
        <v>2203</v>
      </c>
      <c r="D2529" s="23">
        <v>22</v>
      </c>
      <c r="F2529" s="23" t="s">
        <v>116</v>
      </c>
      <c r="G2529" s="23">
        <v>312</v>
      </c>
      <c r="H2529" s="23" t="s">
        <v>7198</v>
      </c>
      <c r="I2529" s="23">
        <v>0</v>
      </c>
      <c r="J2529" s="40">
        <v>0</v>
      </c>
      <c r="K2529" s="40">
        <v>0</v>
      </c>
      <c r="L2529" s="40" t="s">
        <v>115</v>
      </c>
      <c r="O2529" s="40" t="s">
        <v>115</v>
      </c>
      <c r="Q2529" s="40">
        <v>112</v>
      </c>
      <c r="R2529" s="40">
        <v>19</v>
      </c>
      <c r="X2529" s="40">
        <v>90220311</v>
      </c>
      <c r="Y2529" s="40" t="s">
        <v>115</v>
      </c>
      <c r="Z2529" s="40" t="s">
        <v>115</v>
      </c>
      <c r="AA2529" s="40" t="s">
        <v>115</v>
      </c>
      <c r="AB2529" s="40" t="s">
        <v>115</v>
      </c>
      <c r="AC2529" s="40" t="s">
        <v>115</v>
      </c>
      <c r="AI2529" s="40" t="s">
        <v>115</v>
      </c>
      <c r="AP2529" s="4" t="s">
        <v>115</v>
      </c>
    </row>
    <row r="2530" spans="1:42" x14ac:dyDescent="0.15">
      <c r="A2530" s="40" t="s">
        <v>1</v>
      </c>
      <c r="B2530" s="23">
        <v>90220311</v>
      </c>
      <c r="C2530" s="23">
        <v>2203</v>
      </c>
      <c r="D2530" s="23">
        <v>22</v>
      </c>
      <c r="F2530" s="23" t="s">
        <v>115</v>
      </c>
      <c r="G2530" s="23" t="s">
        <v>115</v>
      </c>
      <c r="H2530" s="23" t="s">
        <v>5159</v>
      </c>
      <c r="I2530" s="23">
        <v>4</v>
      </c>
      <c r="J2530" s="40">
        <v>0</v>
      </c>
      <c r="K2530" s="40">
        <v>0</v>
      </c>
      <c r="L2530" s="40" t="s">
        <v>115</v>
      </c>
      <c r="O2530" s="40" t="s">
        <v>115</v>
      </c>
      <c r="Q2530" s="40">
        <v>112</v>
      </c>
      <c r="R2530" s="40">
        <v>19</v>
      </c>
      <c r="X2530" s="40">
        <v>90220312</v>
      </c>
      <c r="Y2530" s="40" t="s">
        <v>115</v>
      </c>
      <c r="Z2530" s="40" t="s">
        <v>115</v>
      </c>
      <c r="AA2530" s="40" t="s">
        <v>115</v>
      </c>
      <c r="AB2530" s="40" t="s">
        <v>115</v>
      </c>
      <c r="AC2530" s="40" t="s">
        <v>115</v>
      </c>
      <c r="AI2530" s="40" t="s">
        <v>115</v>
      </c>
      <c r="AP2530" s="4" t="s">
        <v>115</v>
      </c>
    </row>
    <row r="2531" spans="1:42" x14ac:dyDescent="0.15">
      <c r="A2531" s="40" t="s">
        <v>1</v>
      </c>
      <c r="B2531" s="23">
        <v>90220312</v>
      </c>
      <c r="C2531" s="23">
        <v>2203</v>
      </c>
      <c r="D2531" s="23">
        <v>22</v>
      </c>
      <c r="F2531" s="23" t="s">
        <v>931</v>
      </c>
      <c r="G2531" s="23" t="s">
        <v>115</v>
      </c>
      <c r="H2531" s="23" t="s">
        <v>7199</v>
      </c>
      <c r="I2531" s="23">
        <v>3</v>
      </c>
      <c r="J2531" s="40">
        <v>0</v>
      </c>
      <c r="K2531" s="40">
        <v>0</v>
      </c>
      <c r="L2531" s="40" t="s">
        <v>115</v>
      </c>
      <c r="O2531" s="40" t="s">
        <v>115</v>
      </c>
      <c r="Q2531" s="40">
        <v>112</v>
      </c>
      <c r="R2531" s="40">
        <v>19</v>
      </c>
      <c r="X2531" s="40">
        <v>90220313</v>
      </c>
      <c r="Y2531" s="40" t="s">
        <v>115</v>
      </c>
      <c r="Z2531" s="40" t="s">
        <v>115</v>
      </c>
      <c r="AA2531" s="40" t="s">
        <v>115</v>
      </c>
      <c r="AB2531" s="40" t="s">
        <v>115</v>
      </c>
      <c r="AC2531" s="40" t="s">
        <v>115</v>
      </c>
      <c r="AI2531" s="40" t="s">
        <v>115</v>
      </c>
      <c r="AP2531" s="4" t="s">
        <v>115</v>
      </c>
    </row>
    <row r="2532" spans="1:42" x14ac:dyDescent="0.15">
      <c r="A2532" s="40" t="s">
        <v>1</v>
      </c>
      <c r="B2532" s="23">
        <v>90220313</v>
      </c>
      <c r="C2532" s="23">
        <v>2203</v>
      </c>
      <c r="D2532" s="23">
        <v>22</v>
      </c>
      <c r="F2532" s="23" t="s">
        <v>115</v>
      </c>
      <c r="G2532" s="23" t="s">
        <v>115</v>
      </c>
      <c r="H2532" s="23" t="s">
        <v>5160</v>
      </c>
      <c r="I2532" s="23">
        <v>4</v>
      </c>
      <c r="J2532" s="40">
        <v>0</v>
      </c>
      <c r="K2532" s="40">
        <v>2</v>
      </c>
      <c r="L2532" s="40" t="s">
        <v>115</v>
      </c>
      <c r="O2532" s="40" t="s">
        <v>115</v>
      </c>
      <c r="Q2532" s="40">
        <v>112</v>
      </c>
      <c r="R2532" s="40">
        <v>19</v>
      </c>
      <c r="X2532" s="40" t="s">
        <v>5161</v>
      </c>
      <c r="Y2532" s="40">
        <v>1</v>
      </c>
      <c r="Z2532" s="40">
        <v>1</v>
      </c>
      <c r="AA2532" s="40" t="s">
        <v>115</v>
      </c>
      <c r="AB2532" s="40" t="s">
        <v>115</v>
      </c>
      <c r="AC2532" s="40" t="s">
        <v>115</v>
      </c>
      <c r="AI2532" s="40" t="s">
        <v>115</v>
      </c>
      <c r="AP2532" s="4" t="s">
        <v>115</v>
      </c>
    </row>
    <row r="2533" spans="1:42" x14ac:dyDescent="0.15">
      <c r="A2533" s="40" t="s">
        <v>1</v>
      </c>
      <c r="B2533" s="23">
        <v>90220314</v>
      </c>
      <c r="C2533" s="23">
        <v>2203</v>
      </c>
      <c r="D2533" s="23">
        <v>22</v>
      </c>
      <c r="F2533" s="23" t="s">
        <v>115</v>
      </c>
      <c r="G2533" s="23" t="s">
        <v>115</v>
      </c>
      <c r="H2533" s="23" t="s">
        <v>5162</v>
      </c>
      <c r="I2533" s="23">
        <v>4</v>
      </c>
      <c r="J2533" s="40">
        <v>0</v>
      </c>
      <c r="K2533" s="40">
        <v>3</v>
      </c>
      <c r="L2533" s="40" t="s">
        <v>115</v>
      </c>
      <c r="O2533" s="40" t="s">
        <v>115</v>
      </c>
      <c r="Q2533" s="40">
        <v>112</v>
      </c>
      <c r="R2533" s="40">
        <v>19</v>
      </c>
      <c r="X2533" s="40">
        <v>90220315</v>
      </c>
      <c r="Y2533" s="40">
        <v>-1</v>
      </c>
      <c r="Z2533" s="40">
        <v>2</v>
      </c>
      <c r="AA2533" s="40" t="s">
        <v>115</v>
      </c>
      <c r="AB2533" s="40" t="s">
        <v>115</v>
      </c>
      <c r="AC2533" s="40" t="s">
        <v>5163</v>
      </c>
      <c r="AI2533" s="40" t="s">
        <v>115</v>
      </c>
      <c r="AP2533" s="4" t="s">
        <v>115</v>
      </c>
    </row>
    <row r="2534" spans="1:42" x14ac:dyDescent="0.15">
      <c r="A2534" s="40" t="s">
        <v>1</v>
      </c>
      <c r="B2534" s="23">
        <v>90220315</v>
      </c>
      <c r="C2534" s="23">
        <v>2203</v>
      </c>
      <c r="D2534" s="23">
        <v>22</v>
      </c>
      <c r="F2534" s="23" t="s">
        <v>116</v>
      </c>
      <c r="G2534" s="23">
        <v>312</v>
      </c>
      <c r="H2534" s="23" t="s">
        <v>7200</v>
      </c>
      <c r="I2534" s="23">
        <v>0</v>
      </c>
      <c r="J2534" s="40">
        <v>0</v>
      </c>
      <c r="K2534" s="40">
        <v>0</v>
      </c>
      <c r="L2534" s="40" t="s">
        <v>115</v>
      </c>
      <c r="O2534" s="40" t="s">
        <v>115</v>
      </c>
      <c r="Q2534" s="40">
        <v>112</v>
      </c>
      <c r="R2534" s="40">
        <v>19</v>
      </c>
      <c r="X2534" s="40">
        <v>90220316</v>
      </c>
      <c r="Y2534" s="40" t="s">
        <v>115</v>
      </c>
      <c r="Z2534" s="40" t="s">
        <v>115</v>
      </c>
      <c r="AA2534" s="40" t="s">
        <v>115</v>
      </c>
      <c r="AB2534" s="40" t="s">
        <v>115</v>
      </c>
      <c r="AC2534" s="40" t="s">
        <v>115</v>
      </c>
      <c r="AI2534" s="40" t="s">
        <v>115</v>
      </c>
      <c r="AP2534" s="4" t="s">
        <v>115</v>
      </c>
    </row>
    <row r="2535" spans="1:42" x14ac:dyDescent="0.15">
      <c r="A2535" s="40" t="s">
        <v>1</v>
      </c>
      <c r="B2535" s="23">
        <v>90220316</v>
      </c>
      <c r="C2535" s="23">
        <v>2203</v>
      </c>
      <c r="D2535" s="23">
        <v>22</v>
      </c>
      <c r="F2535" s="23" t="s">
        <v>115</v>
      </c>
      <c r="G2535" s="23" t="s">
        <v>115</v>
      </c>
      <c r="H2535" s="23" t="s">
        <v>5164</v>
      </c>
      <c r="I2535" s="23">
        <v>4</v>
      </c>
      <c r="J2535" s="40">
        <v>0</v>
      </c>
      <c r="K2535" s="40">
        <v>0</v>
      </c>
      <c r="L2535" s="40" t="s">
        <v>115</v>
      </c>
      <c r="O2535" s="40" t="s">
        <v>115</v>
      </c>
      <c r="Q2535" s="40">
        <v>112</v>
      </c>
      <c r="R2535" s="40">
        <v>19</v>
      </c>
      <c r="X2535" s="40">
        <v>90220317</v>
      </c>
      <c r="Y2535" s="40" t="s">
        <v>115</v>
      </c>
      <c r="Z2535" s="40" t="s">
        <v>115</v>
      </c>
      <c r="AA2535" s="40" t="s">
        <v>115</v>
      </c>
      <c r="AB2535" s="40" t="s">
        <v>115</v>
      </c>
      <c r="AC2535" s="40" t="s">
        <v>115</v>
      </c>
      <c r="AI2535" s="40" t="s">
        <v>115</v>
      </c>
      <c r="AP2535" s="4" t="s">
        <v>115</v>
      </c>
    </row>
    <row r="2536" spans="1:42" x14ac:dyDescent="0.15">
      <c r="A2536" s="40" t="s">
        <v>1</v>
      </c>
      <c r="B2536" s="23">
        <v>90220317</v>
      </c>
      <c r="C2536" s="23">
        <v>2203</v>
      </c>
      <c r="D2536" s="23">
        <v>22</v>
      </c>
      <c r="F2536" s="23" t="s">
        <v>931</v>
      </c>
      <c r="G2536" s="23" t="s">
        <v>115</v>
      </c>
      <c r="H2536" s="23" t="s">
        <v>7201</v>
      </c>
      <c r="I2536" s="23">
        <v>3</v>
      </c>
      <c r="J2536" s="40">
        <v>0</v>
      </c>
      <c r="K2536" s="40">
        <v>0</v>
      </c>
      <c r="L2536" s="40" t="s">
        <v>115</v>
      </c>
      <c r="O2536" s="40" t="s">
        <v>115</v>
      </c>
      <c r="Q2536" s="40">
        <v>112</v>
      </c>
      <c r="R2536" s="40">
        <v>19</v>
      </c>
      <c r="X2536" s="40">
        <v>90220318</v>
      </c>
      <c r="Y2536" s="40" t="s">
        <v>115</v>
      </c>
      <c r="Z2536" s="40" t="s">
        <v>115</v>
      </c>
      <c r="AA2536" s="40" t="s">
        <v>115</v>
      </c>
      <c r="AB2536" s="40" t="s">
        <v>115</v>
      </c>
      <c r="AC2536" s="40" t="s">
        <v>115</v>
      </c>
      <c r="AI2536" s="40" t="s">
        <v>115</v>
      </c>
      <c r="AP2536" s="4" t="s">
        <v>115</v>
      </c>
    </row>
    <row r="2537" spans="1:42" x14ac:dyDescent="0.15">
      <c r="A2537" s="40" t="s">
        <v>1</v>
      </c>
      <c r="B2537" s="23">
        <v>90220318</v>
      </c>
      <c r="C2537" s="23">
        <v>2203</v>
      </c>
      <c r="D2537" s="23">
        <v>22</v>
      </c>
      <c r="F2537" s="23" t="s">
        <v>116</v>
      </c>
      <c r="G2537" s="23">
        <v>313</v>
      </c>
      <c r="H2537" s="23" t="s">
        <v>5165</v>
      </c>
      <c r="I2537" s="23">
        <v>0</v>
      </c>
      <c r="J2537" s="40">
        <v>0</v>
      </c>
      <c r="K2537" s="40">
        <v>0</v>
      </c>
      <c r="L2537" s="40" t="s">
        <v>115</v>
      </c>
      <c r="O2537" s="40" t="s">
        <v>115</v>
      </c>
      <c r="Q2537" s="40">
        <v>112</v>
      </c>
      <c r="R2537" s="40">
        <v>19</v>
      </c>
      <c r="X2537" s="40">
        <v>90220319</v>
      </c>
      <c r="Y2537" s="40" t="s">
        <v>115</v>
      </c>
      <c r="Z2537" s="40" t="s">
        <v>115</v>
      </c>
      <c r="AA2537" s="40" t="s">
        <v>115</v>
      </c>
      <c r="AB2537" s="40" t="s">
        <v>115</v>
      </c>
      <c r="AC2537" s="40" t="s">
        <v>115</v>
      </c>
      <c r="AI2537" s="40" t="s">
        <v>115</v>
      </c>
      <c r="AP2537" s="4" t="s">
        <v>115</v>
      </c>
    </row>
    <row r="2538" spans="1:42" x14ac:dyDescent="0.15">
      <c r="A2538" s="40" t="s">
        <v>1</v>
      </c>
      <c r="B2538" s="23">
        <v>90220319</v>
      </c>
      <c r="C2538" s="23">
        <v>2203</v>
      </c>
      <c r="D2538" s="23">
        <v>22</v>
      </c>
      <c r="F2538" s="23" t="s">
        <v>115</v>
      </c>
      <c r="G2538" s="23" t="s">
        <v>115</v>
      </c>
      <c r="H2538" s="23" t="s">
        <v>5166</v>
      </c>
      <c r="I2538" s="23">
        <v>4</v>
      </c>
      <c r="J2538" s="40">
        <v>0</v>
      </c>
      <c r="K2538" s="40">
        <v>0</v>
      </c>
      <c r="L2538" s="40" t="s">
        <v>115</v>
      </c>
      <c r="O2538" s="40" t="s">
        <v>115</v>
      </c>
      <c r="Q2538" s="40">
        <v>112</v>
      </c>
      <c r="R2538" s="40">
        <v>19</v>
      </c>
      <c r="X2538" s="40">
        <v>90220320</v>
      </c>
      <c r="Y2538" s="40" t="s">
        <v>115</v>
      </c>
      <c r="Z2538" s="40" t="s">
        <v>115</v>
      </c>
      <c r="AA2538" s="40" t="s">
        <v>115</v>
      </c>
      <c r="AB2538" s="40" t="s">
        <v>115</v>
      </c>
      <c r="AC2538" s="40" t="s">
        <v>115</v>
      </c>
      <c r="AI2538" s="40" t="s">
        <v>115</v>
      </c>
      <c r="AP2538" s="4" t="s">
        <v>115</v>
      </c>
    </row>
    <row r="2539" spans="1:42" x14ac:dyDescent="0.15">
      <c r="A2539" s="40" t="s">
        <v>1</v>
      </c>
      <c r="B2539" s="23">
        <v>90220320</v>
      </c>
      <c r="C2539" s="23">
        <v>2203</v>
      </c>
      <c r="D2539" s="23">
        <v>22</v>
      </c>
      <c r="F2539" s="23" t="s">
        <v>116</v>
      </c>
      <c r="G2539" s="23">
        <v>312</v>
      </c>
      <c r="H2539" s="23" t="s">
        <v>5167</v>
      </c>
      <c r="I2539" s="23">
        <v>0</v>
      </c>
      <c r="J2539" s="40">
        <v>0</v>
      </c>
      <c r="K2539" s="40">
        <v>0</v>
      </c>
      <c r="L2539" s="40" t="s">
        <v>115</v>
      </c>
      <c r="O2539" s="40" t="s">
        <v>115</v>
      </c>
      <c r="Q2539" s="40">
        <v>112</v>
      </c>
      <c r="R2539" s="40">
        <v>19</v>
      </c>
      <c r="X2539" s="40">
        <v>90220321</v>
      </c>
      <c r="Y2539" s="40" t="s">
        <v>115</v>
      </c>
      <c r="Z2539" s="40" t="s">
        <v>115</v>
      </c>
      <c r="AA2539" s="40" t="s">
        <v>115</v>
      </c>
      <c r="AB2539" s="40" t="s">
        <v>115</v>
      </c>
      <c r="AC2539" s="40" t="s">
        <v>115</v>
      </c>
      <c r="AI2539" s="40" t="s">
        <v>115</v>
      </c>
      <c r="AP2539" s="4" t="s">
        <v>115</v>
      </c>
    </row>
    <row r="2540" spans="1:42" x14ac:dyDescent="0.15">
      <c r="A2540" s="40" t="s">
        <v>1</v>
      </c>
      <c r="B2540" s="23">
        <v>90220321</v>
      </c>
      <c r="C2540" s="23">
        <v>2203</v>
      </c>
      <c r="D2540" s="23">
        <v>22</v>
      </c>
      <c r="F2540" s="23" t="s">
        <v>115</v>
      </c>
      <c r="G2540" s="23" t="s">
        <v>115</v>
      </c>
      <c r="H2540" s="23" t="s">
        <v>7202</v>
      </c>
      <c r="I2540" s="23">
        <v>4</v>
      </c>
      <c r="J2540" s="40">
        <v>0</v>
      </c>
      <c r="K2540" s="40">
        <v>0</v>
      </c>
      <c r="L2540" s="40" t="s">
        <v>115</v>
      </c>
      <c r="O2540" s="40" t="s">
        <v>115</v>
      </c>
      <c r="Q2540" s="40">
        <v>112</v>
      </c>
      <c r="R2540" s="40">
        <v>19</v>
      </c>
      <c r="X2540" s="40">
        <v>90220322</v>
      </c>
      <c r="Y2540" s="40" t="s">
        <v>115</v>
      </c>
      <c r="Z2540" s="40" t="s">
        <v>115</v>
      </c>
      <c r="AA2540" s="40" t="s">
        <v>115</v>
      </c>
      <c r="AB2540" s="40" t="s">
        <v>115</v>
      </c>
      <c r="AC2540" s="40" t="s">
        <v>115</v>
      </c>
      <c r="AI2540" s="40" t="s">
        <v>115</v>
      </c>
      <c r="AP2540" s="4" t="s">
        <v>115</v>
      </c>
    </row>
    <row r="2541" spans="1:42" x14ac:dyDescent="0.15">
      <c r="A2541" s="40" t="s">
        <v>1</v>
      </c>
      <c r="B2541" s="23">
        <v>90220322</v>
      </c>
      <c r="C2541" s="23">
        <v>2203</v>
      </c>
      <c r="D2541" s="23">
        <v>22</v>
      </c>
      <c r="F2541" s="23" t="s">
        <v>931</v>
      </c>
      <c r="G2541" s="23" t="s">
        <v>115</v>
      </c>
      <c r="H2541" s="23" t="s">
        <v>5168</v>
      </c>
      <c r="I2541" s="23">
        <v>3</v>
      </c>
      <c r="J2541" s="40">
        <v>0</v>
      </c>
      <c r="K2541" s="40">
        <v>0</v>
      </c>
      <c r="L2541" s="40" t="s">
        <v>115</v>
      </c>
      <c r="O2541" s="40" t="s">
        <v>115</v>
      </c>
      <c r="Q2541" s="40">
        <v>112</v>
      </c>
      <c r="R2541" s="40">
        <v>19</v>
      </c>
      <c r="X2541" s="40">
        <v>90220323</v>
      </c>
      <c r="Y2541" s="40" t="s">
        <v>115</v>
      </c>
      <c r="Z2541" s="40" t="s">
        <v>115</v>
      </c>
      <c r="AA2541" s="40" t="s">
        <v>115</v>
      </c>
      <c r="AB2541" s="40" t="s">
        <v>115</v>
      </c>
      <c r="AC2541" s="40" t="s">
        <v>115</v>
      </c>
      <c r="AI2541" s="40" t="s">
        <v>115</v>
      </c>
      <c r="AP2541" s="4" t="s">
        <v>115</v>
      </c>
    </row>
    <row r="2542" spans="1:42" x14ac:dyDescent="0.15">
      <c r="A2542" s="40" t="s">
        <v>1</v>
      </c>
      <c r="B2542" s="23">
        <v>90220323</v>
      </c>
      <c r="C2542" s="23">
        <v>2203</v>
      </c>
      <c r="D2542" s="23">
        <v>22</v>
      </c>
      <c r="F2542" s="23" t="s">
        <v>931</v>
      </c>
      <c r="G2542" s="23" t="s">
        <v>115</v>
      </c>
      <c r="H2542" s="23" t="s">
        <v>7203</v>
      </c>
      <c r="I2542" s="23">
        <v>3</v>
      </c>
      <c r="J2542" s="40">
        <v>0</v>
      </c>
      <c r="K2542" s="40">
        <v>0</v>
      </c>
      <c r="L2542" s="40" t="s">
        <v>115</v>
      </c>
      <c r="O2542" s="40" t="s">
        <v>115</v>
      </c>
      <c r="Q2542" s="40">
        <v>112</v>
      </c>
      <c r="R2542" s="40">
        <v>19</v>
      </c>
      <c r="X2542" s="40">
        <v>90220324</v>
      </c>
      <c r="Y2542" s="40" t="s">
        <v>115</v>
      </c>
      <c r="Z2542" s="40" t="s">
        <v>115</v>
      </c>
      <c r="AA2542" s="40" t="s">
        <v>115</v>
      </c>
      <c r="AB2542" s="40" t="s">
        <v>115</v>
      </c>
      <c r="AC2542" s="40" t="s">
        <v>115</v>
      </c>
      <c r="AI2542" s="40" t="s">
        <v>115</v>
      </c>
      <c r="AP2542" s="4" t="s">
        <v>115</v>
      </c>
    </row>
    <row r="2543" spans="1:42" x14ac:dyDescent="0.15">
      <c r="A2543" s="40" t="s">
        <v>1</v>
      </c>
      <c r="B2543" s="23">
        <v>90220324</v>
      </c>
      <c r="C2543" s="23">
        <v>2203</v>
      </c>
      <c r="D2543" s="23">
        <v>22</v>
      </c>
      <c r="F2543" s="23" t="s">
        <v>115</v>
      </c>
      <c r="G2543" s="23" t="s">
        <v>115</v>
      </c>
      <c r="H2543" s="23" t="s">
        <v>7204</v>
      </c>
      <c r="I2543" s="23">
        <v>4</v>
      </c>
      <c r="J2543" s="40">
        <v>0</v>
      </c>
      <c r="K2543" s="40">
        <v>0</v>
      </c>
      <c r="L2543" s="40" t="s">
        <v>115</v>
      </c>
      <c r="O2543" s="40" t="s">
        <v>115</v>
      </c>
      <c r="Q2543" s="40">
        <v>112</v>
      </c>
      <c r="R2543" s="40">
        <v>19</v>
      </c>
      <c r="X2543" s="40">
        <v>90220325</v>
      </c>
      <c r="Y2543" s="40" t="s">
        <v>115</v>
      </c>
      <c r="Z2543" s="40" t="s">
        <v>115</v>
      </c>
      <c r="AA2543" s="40" t="s">
        <v>115</v>
      </c>
      <c r="AB2543" s="40" t="s">
        <v>115</v>
      </c>
      <c r="AC2543" s="40" t="s">
        <v>115</v>
      </c>
      <c r="AI2543" s="40" t="s">
        <v>115</v>
      </c>
      <c r="AP2543" s="4" t="s">
        <v>115</v>
      </c>
    </row>
    <row r="2544" spans="1:42" x14ac:dyDescent="0.15">
      <c r="A2544" s="40" t="s">
        <v>1</v>
      </c>
      <c r="B2544" s="23">
        <v>90220325</v>
      </c>
      <c r="C2544" s="23">
        <v>2203</v>
      </c>
      <c r="D2544" s="23">
        <v>22</v>
      </c>
      <c r="F2544" s="23" t="s">
        <v>116</v>
      </c>
      <c r="G2544" s="23" t="s">
        <v>115</v>
      </c>
      <c r="H2544" s="23" t="s">
        <v>7205</v>
      </c>
      <c r="I2544" s="23">
        <v>0</v>
      </c>
      <c r="J2544" s="40">
        <v>0</v>
      </c>
      <c r="K2544" s="40">
        <v>0</v>
      </c>
      <c r="L2544" s="40" t="s">
        <v>115</v>
      </c>
      <c r="O2544" s="40" t="s">
        <v>115</v>
      </c>
      <c r="Q2544" s="40">
        <v>112</v>
      </c>
      <c r="R2544" s="40">
        <v>19</v>
      </c>
      <c r="X2544" s="40">
        <v>90220326</v>
      </c>
      <c r="Y2544" s="40" t="s">
        <v>115</v>
      </c>
      <c r="Z2544" s="40" t="s">
        <v>115</v>
      </c>
      <c r="AA2544" s="40" t="s">
        <v>115</v>
      </c>
      <c r="AB2544" s="40" t="s">
        <v>115</v>
      </c>
      <c r="AC2544" s="40" t="s">
        <v>115</v>
      </c>
      <c r="AI2544" s="40" t="s">
        <v>115</v>
      </c>
      <c r="AP2544" s="4" t="s">
        <v>115</v>
      </c>
    </row>
    <row r="2545" spans="1:42" x14ac:dyDescent="0.15">
      <c r="A2545" s="40" t="s">
        <v>1</v>
      </c>
      <c r="B2545" s="23">
        <v>90220326</v>
      </c>
      <c r="C2545" s="23">
        <v>2203</v>
      </c>
      <c r="D2545" s="23">
        <v>22</v>
      </c>
      <c r="F2545" s="23" t="s">
        <v>931</v>
      </c>
      <c r="G2545" s="23" t="s">
        <v>115</v>
      </c>
      <c r="H2545" s="23" t="s">
        <v>7206</v>
      </c>
      <c r="I2545" s="23">
        <v>3</v>
      </c>
      <c r="J2545" s="40">
        <v>0</v>
      </c>
      <c r="K2545" s="40">
        <v>0</v>
      </c>
      <c r="L2545" s="40" t="s">
        <v>115</v>
      </c>
      <c r="O2545" s="40" t="s">
        <v>115</v>
      </c>
      <c r="Q2545" s="40">
        <v>112</v>
      </c>
      <c r="R2545" s="40">
        <v>19</v>
      </c>
      <c r="X2545" s="40">
        <v>90220327</v>
      </c>
      <c r="Y2545" s="40" t="s">
        <v>115</v>
      </c>
      <c r="Z2545" s="40" t="s">
        <v>115</v>
      </c>
      <c r="AA2545" s="40" t="s">
        <v>115</v>
      </c>
      <c r="AB2545" s="40" t="s">
        <v>115</v>
      </c>
      <c r="AC2545" s="40" t="s">
        <v>115</v>
      </c>
      <c r="AI2545" s="40" t="s">
        <v>115</v>
      </c>
      <c r="AP2545" s="4" t="s">
        <v>115</v>
      </c>
    </row>
    <row r="2546" spans="1:42" x14ac:dyDescent="0.15">
      <c r="A2546" s="40" t="s">
        <v>1</v>
      </c>
      <c r="B2546" s="23">
        <v>90220327</v>
      </c>
      <c r="C2546" s="23">
        <v>2203</v>
      </c>
      <c r="D2546" s="23">
        <v>22</v>
      </c>
      <c r="F2546" s="23" t="s">
        <v>116</v>
      </c>
      <c r="G2546" s="23">
        <v>313</v>
      </c>
      <c r="H2546" s="23" t="s">
        <v>7207</v>
      </c>
      <c r="I2546" s="23">
        <v>0</v>
      </c>
      <c r="J2546" s="40">
        <v>0</v>
      </c>
      <c r="K2546" s="40">
        <v>0</v>
      </c>
      <c r="L2546" s="40" t="s">
        <v>115</v>
      </c>
      <c r="O2546" s="40" t="s">
        <v>115</v>
      </c>
      <c r="Q2546" s="40">
        <v>112</v>
      </c>
      <c r="R2546" s="40">
        <v>19</v>
      </c>
      <c r="X2546" s="40">
        <v>90220328</v>
      </c>
      <c r="Y2546" s="40" t="s">
        <v>115</v>
      </c>
      <c r="Z2546" s="40" t="s">
        <v>115</v>
      </c>
      <c r="AA2546" s="40" t="s">
        <v>115</v>
      </c>
      <c r="AB2546" s="40" t="s">
        <v>115</v>
      </c>
      <c r="AC2546" s="40" t="s">
        <v>115</v>
      </c>
      <c r="AI2546" s="40" t="s">
        <v>115</v>
      </c>
      <c r="AP2546" s="4" t="s">
        <v>115</v>
      </c>
    </row>
    <row r="2547" spans="1:42" x14ac:dyDescent="0.15">
      <c r="A2547" s="40" t="s">
        <v>1</v>
      </c>
      <c r="B2547" s="23">
        <v>90220328</v>
      </c>
      <c r="C2547" s="23">
        <v>2203</v>
      </c>
      <c r="D2547" s="23">
        <v>22</v>
      </c>
      <c r="F2547" s="23" t="s">
        <v>931</v>
      </c>
      <c r="G2547" s="23" t="s">
        <v>115</v>
      </c>
      <c r="H2547" s="23" t="s">
        <v>7208</v>
      </c>
      <c r="I2547" s="23">
        <v>3</v>
      </c>
      <c r="J2547" s="40">
        <v>0</v>
      </c>
      <c r="K2547" s="40">
        <v>4</v>
      </c>
      <c r="L2547" s="40" t="s">
        <v>5169</v>
      </c>
      <c r="O2547" s="40" t="s">
        <v>115</v>
      </c>
      <c r="Q2547" s="40">
        <v>112</v>
      </c>
      <c r="R2547" s="40">
        <v>19</v>
      </c>
      <c r="X2547" s="40">
        <v>90220329</v>
      </c>
      <c r="Y2547" s="40" t="s">
        <v>115</v>
      </c>
      <c r="Z2547" s="40">
        <v>3</v>
      </c>
      <c r="AA2547" s="40" t="s">
        <v>115</v>
      </c>
      <c r="AB2547" s="40" t="s">
        <v>115</v>
      </c>
      <c r="AC2547" s="40" t="s">
        <v>115</v>
      </c>
      <c r="AI2547" s="40" t="s">
        <v>115</v>
      </c>
      <c r="AP2547" s="4" t="s">
        <v>115</v>
      </c>
    </row>
    <row r="2548" spans="1:42" x14ac:dyDescent="0.15">
      <c r="A2548" s="40" t="s">
        <v>1</v>
      </c>
      <c r="B2548" s="23">
        <v>90220329</v>
      </c>
      <c r="C2548" s="23">
        <v>2203</v>
      </c>
      <c r="D2548" s="23">
        <v>22</v>
      </c>
      <c r="F2548" s="23" t="s">
        <v>931</v>
      </c>
      <c r="G2548" s="23" t="s">
        <v>115</v>
      </c>
      <c r="H2548" s="23" t="s">
        <v>5170</v>
      </c>
      <c r="I2548" s="23">
        <v>3</v>
      </c>
      <c r="J2548" s="40">
        <v>0</v>
      </c>
      <c r="K2548" s="40">
        <v>0</v>
      </c>
      <c r="L2548" s="40" t="s">
        <v>115</v>
      </c>
      <c r="O2548" s="40" t="s">
        <v>115</v>
      </c>
      <c r="Q2548" s="40">
        <v>112</v>
      </c>
      <c r="R2548" s="40">
        <v>19</v>
      </c>
      <c r="X2548" s="40">
        <v>90220330</v>
      </c>
      <c r="Y2548" s="40" t="s">
        <v>115</v>
      </c>
      <c r="Z2548" s="40" t="s">
        <v>115</v>
      </c>
      <c r="AA2548" s="40" t="s">
        <v>115</v>
      </c>
      <c r="AB2548" s="40" t="s">
        <v>115</v>
      </c>
      <c r="AC2548" s="40" t="s">
        <v>115</v>
      </c>
      <c r="AI2548" s="40" t="s">
        <v>115</v>
      </c>
      <c r="AP2548" s="4" t="s">
        <v>115</v>
      </c>
    </row>
    <row r="2549" spans="1:42" x14ac:dyDescent="0.15">
      <c r="A2549" s="40" t="s">
        <v>1</v>
      </c>
      <c r="B2549" s="23">
        <v>90220330</v>
      </c>
      <c r="C2549" s="23">
        <v>2203</v>
      </c>
      <c r="D2549" s="23">
        <v>22</v>
      </c>
      <c r="F2549" s="23" t="s">
        <v>931</v>
      </c>
      <c r="G2549" s="23" t="s">
        <v>115</v>
      </c>
      <c r="H2549" s="23" t="s">
        <v>5171</v>
      </c>
      <c r="I2549" s="23">
        <v>3</v>
      </c>
      <c r="J2549" s="40">
        <v>0</v>
      </c>
      <c r="K2549" s="40">
        <v>0</v>
      </c>
      <c r="L2549" s="40" t="s">
        <v>115</v>
      </c>
      <c r="O2549" s="40" t="s">
        <v>115</v>
      </c>
      <c r="Q2549" s="40">
        <v>112</v>
      </c>
      <c r="R2549" s="40">
        <v>19</v>
      </c>
      <c r="X2549" s="40">
        <v>90220331</v>
      </c>
      <c r="Y2549" s="40" t="s">
        <v>115</v>
      </c>
      <c r="Z2549" s="40" t="s">
        <v>115</v>
      </c>
      <c r="AA2549" s="40" t="s">
        <v>115</v>
      </c>
      <c r="AB2549" s="40" t="s">
        <v>115</v>
      </c>
      <c r="AC2549" s="40" t="s">
        <v>115</v>
      </c>
      <c r="AI2549" s="40" t="s">
        <v>115</v>
      </c>
      <c r="AP2549" s="4" t="s">
        <v>115</v>
      </c>
    </row>
    <row r="2550" spans="1:42" x14ac:dyDescent="0.15">
      <c r="A2550" s="40" t="s">
        <v>1</v>
      </c>
      <c r="B2550" s="23">
        <v>90220331</v>
      </c>
      <c r="C2550" s="23">
        <v>2203</v>
      </c>
      <c r="D2550" s="23">
        <v>22</v>
      </c>
      <c r="F2550" s="23" t="s">
        <v>116</v>
      </c>
      <c r="G2550" s="23">
        <v>312</v>
      </c>
      <c r="H2550" s="23" t="s">
        <v>5172</v>
      </c>
      <c r="I2550" s="23">
        <v>0</v>
      </c>
      <c r="J2550" s="40">
        <v>0</v>
      </c>
      <c r="K2550" s="40">
        <v>0</v>
      </c>
      <c r="L2550" s="40" t="s">
        <v>115</v>
      </c>
      <c r="O2550" s="40" t="s">
        <v>115</v>
      </c>
      <c r="Q2550" s="40">
        <v>112</v>
      </c>
      <c r="R2550" s="40">
        <v>19</v>
      </c>
      <c r="X2550" s="40">
        <v>90220332</v>
      </c>
      <c r="Y2550" s="40" t="s">
        <v>115</v>
      </c>
      <c r="Z2550" s="40" t="s">
        <v>115</v>
      </c>
      <c r="AA2550" s="40" t="s">
        <v>115</v>
      </c>
      <c r="AB2550" s="40" t="s">
        <v>115</v>
      </c>
      <c r="AC2550" s="40" t="s">
        <v>115</v>
      </c>
      <c r="AI2550" s="40" t="s">
        <v>115</v>
      </c>
      <c r="AP2550" s="4" t="s">
        <v>115</v>
      </c>
    </row>
    <row r="2551" spans="1:42" x14ac:dyDescent="0.15">
      <c r="A2551" s="40" t="s">
        <v>1</v>
      </c>
      <c r="B2551" s="23">
        <v>90220332</v>
      </c>
      <c r="C2551" s="23">
        <v>2203</v>
      </c>
      <c r="D2551" s="23">
        <v>22</v>
      </c>
      <c r="F2551" s="23" t="s">
        <v>931</v>
      </c>
      <c r="G2551" s="23" t="s">
        <v>115</v>
      </c>
      <c r="H2551" s="23" t="s">
        <v>7209</v>
      </c>
      <c r="I2551" s="23">
        <v>3</v>
      </c>
      <c r="J2551" s="40">
        <v>0</v>
      </c>
      <c r="K2551" s="40">
        <v>0</v>
      </c>
      <c r="L2551" s="40" t="s">
        <v>115</v>
      </c>
      <c r="O2551" s="40" t="s">
        <v>115</v>
      </c>
      <c r="Q2551" s="40">
        <v>112</v>
      </c>
      <c r="R2551" s="40">
        <v>19</v>
      </c>
      <c r="X2551" s="40">
        <v>90220333</v>
      </c>
      <c r="Y2551" s="40" t="s">
        <v>115</v>
      </c>
      <c r="Z2551" s="40" t="s">
        <v>115</v>
      </c>
      <c r="AA2551" s="40" t="s">
        <v>115</v>
      </c>
      <c r="AB2551" s="40" t="s">
        <v>115</v>
      </c>
      <c r="AC2551" s="40" t="s">
        <v>115</v>
      </c>
      <c r="AI2551" s="40" t="s">
        <v>115</v>
      </c>
      <c r="AP2551" s="4" t="s">
        <v>115</v>
      </c>
    </row>
    <row r="2552" spans="1:42" x14ac:dyDescent="0.15">
      <c r="A2552" s="40" t="s">
        <v>1</v>
      </c>
      <c r="B2552" s="23">
        <v>90220333</v>
      </c>
      <c r="C2552" s="23">
        <v>2203</v>
      </c>
      <c r="D2552" s="23">
        <v>22</v>
      </c>
      <c r="F2552" s="23" t="s">
        <v>116</v>
      </c>
      <c r="G2552" s="23">
        <v>312</v>
      </c>
      <c r="H2552" s="23" t="s">
        <v>7210</v>
      </c>
      <c r="I2552" s="23">
        <v>0</v>
      </c>
      <c r="J2552" s="40">
        <v>0</v>
      </c>
      <c r="K2552" s="40">
        <v>0</v>
      </c>
      <c r="L2552" s="40" t="s">
        <v>115</v>
      </c>
      <c r="O2552" s="40" t="s">
        <v>115</v>
      </c>
      <c r="Q2552" s="40">
        <v>112</v>
      </c>
      <c r="R2552" s="40">
        <v>19</v>
      </c>
      <c r="X2552" s="40">
        <v>90220334</v>
      </c>
      <c r="Y2552" s="40" t="s">
        <v>115</v>
      </c>
      <c r="Z2552" s="40" t="s">
        <v>115</v>
      </c>
      <c r="AA2552" s="40" t="s">
        <v>115</v>
      </c>
      <c r="AB2552" s="40" t="s">
        <v>115</v>
      </c>
      <c r="AC2552" s="40" t="s">
        <v>115</v>
      </c>
      <c r="AI2552" s="40" t="s">
        <v>115</v>
      </c>
      <c r="AP2552" s="4" t="s">
        <v>115</v>
      </c>
    </row>
    <row r="2553" spans="1:42" x14ac:dyDescent="0.15">
      <c r="A2553" s="40" t="s">
        <v>1</v>
      </c>
      <c r="B2553" s="23">
        <v>90220334</v>
      </c>
      <c r="C2553" s="23">
        <v>2203</v>
      </c>
      <c r="D2553" s="23">
        <v>22</v>
      </c>
      <c r="F2553" s="23" t="s">
        <v>115</v>
      </c>
      <c r="G2553" s="23" t="s">
        <v>115</v>
      </c>
      <c r="H2553" s="23" t="s">
        <v>5173</v>
      </c>
      <c r="I2553" s="23">
        <v>4</v>
      </c>
      <c r="J2553" s="40">
        <v>0</v>
      </c>
      <c r="K2553" s="40">
        <v>0</v>
      </c>
      <c r="L2553" s="40" t="s">
        <v>115</v>
      </c>
      <c r="O2553" s="40" t="s">
        <v>115</v>
      </c>
      <c r="Q2553" s="40">
        <v>112</v>
      </c>
      <c r="R2553" s="40" t="s">
        <v>115</v>
      </c>
      <c r="X2553" s="40">
        <v>90220335</v>
      </c>
      <c r="Y2553" s="40" t="s">
        <v>115</v>
      </c>
      <c r="Z2553" s="40" t="s">
        <v>115</v>
      </c>
      <c r="AA2553" s="40" t="s">
        <v>115</v>
      </c>
      <c r="AB2553" s="40" t="s">
        <v>115</v>
      </c>
      <c r="AC2553" s="40" t="s">
        <v>115</v>
      </c>
      <c r="AI2553" s="40" t="s">
        <v>115</v>
      </c>
      <c r="AP2553" s="4" t="s">
        <v>115</v>
      </c>
    </row>
    <row r="2554" spans="1:42" x14ac:dyDescent="0.15">
      <c r="A2554" s="40" t="s">
        <v>1</v>
      </c>
      <c r="B2554" s="23">
        <v>90220335</v>
      </c>
      <c r="C2554" s="23">
        <v>2203</v>
      </c>
      <c r="D2554" s="23">
        <v>22</v>
      </c>
      <c r="F2554" s="23" t="s">
        <v>116</v>
      </c>
      <c r="G2554" s="23">
        <v>317</v>
      </c>
      <c r="H2554" s="23" t="s">
        <v>5174</v>
      </c>
      <c r="I2554" s="23">
        <v>2</v>
      </c>
      <c r="J2554" s="40">
        <v>0</v>
      </c>
      <c r="K2554" s="40">
        <v>5</v>
      </c>
      <c r="L2554" s="40" t="s">
        <v>115</v>
      </c>
      <c r="O2554" s="40">
        <v>1</v>
      </c>
      <c r="Q2554" s="40">
        <v>112</v>
      </c>
      <c r="R2554" s="40" t="s">
        <v>115</v>
      </c>
      <c r="X2554" s="40" t="s">
        <v>115</v>
      </c>
      <c r="Y2554" s="40" t="s">
        <v>115</v>
      </c>
      <c r="Z2554" s="40">
        <v>4</v>
      </c>
      <c r="AA2554" s="40" t="s">
        <v>115</v>
      </c>
      <c r="AB2554" s="40" t="s">
        <v>115</v>
      </c>
      <c r="AC2554" s="40" t="s">
        <v>115</v>
      </c>
      <c r="AI2554" s="40" t="s">
        <v>115</v>
      </c>
      <c r="AP2554" s="4" t="s">
        <v>115</v>
      </c>
    </row>
    <row r="2555" spans="1:42" x14ac:dyDescent="0.15">
      <c r="A2555" s="40" t="s">
        <v>1</v>
      </c>
      <c r="B2555" s="23" t="s">
        <v>4842</v>
      </c>
      <c r="C2555" s="23">
        <v>2204</v>
      </c>
      <c r="D2555" s="23">
        <v>22</v>
      </c>
      <c r="F2555" s="23" t="s">
        <v>115</v>
      </c>
      <c r="G2555" s="23" t="s">
        <v>115</v>
      </c>
      <c r="H2555" s="23" t="s">
        <v>7211</v>
      </c>
      <c r="I2555" s="23">
        <v>4</v>
      </c>
      <c r="J2555" s="40">
        <v>1</v>
      </c>
      <c r="K2555" s="40">
        <v>1</v>
      </c>
      <c r="L2555" s="40" t="s">
        <v>115</v>
      </c>
      <c r="O2555" s="40" t="s">
        <v>115</v>
      </c>
      <c r="Q2555" s="40">
        <v>105</v>
      </c>
      <c r="R2555" s="40" t="s">
        <v>115</v>
      </c>
      <c r="X2555" s="40">
        <v>90220402</v>
      </c>
      <c r="Y2555" s="40" t="s">
        <v>115</v>
      </c>
      <c r="Z2555" s="40" t="s">
        <v>115</v>
      </c>
      <c r="AA2555" s="40" t="s">
        <v>115</v>
      </c>
      <c r="AB2555" s="40" t="s">
        <v>115</v>
      </c>
      <c r="AC2555" s="40" t="s">
        <v>115</v>
      </c>
      <c r="AI2555" s="40" t="s">
        <v>115</v>
      </c>
      <c r="AP2555" s="4" t="s">
        <v>115</v>
      </c>
    </row>
    <row r="2556" spans="1:42" x14ac:dyDescent="0.15">
      <c r="A2556" s="40" t="s">
        <v>1</v>
      </c>
      <c r="B2556" s="23">
        <v>90220402</v>
      </c>
      <c r="C2556" s="23">
        <v>2204</v>
      </c>
      <c r="D2556" s="23">
        <v>22</v>
      </c>
      <c r="F2556" s="23" t="s">
        <v>115</v>
      </c>
      <c r="G2556" s="23" t="s">
        <v>115</v>
      </c>
      <c r="H2556" s="23" t="s">
        <v>5175</v>
      </c>
      <c r="I2556" s="23">
        <v>4</v>
      </c>
      <c r="J2556" s="40">
        <v>0</v>
      </c>
      <c r="K2556" s="40">
        <v>2</v>
      </c>
      <c r="L2556" s="40" t="s">
        <v>115</v>
      </c>
      <c r="O2556" s="40" t="s">
        <v>115</v>
      </c>
      <c r="Q2556" s="40">
        <v>105</v>
      </c>
      <c r="R2556" s="40" t="s">
        <v>115</v>
      </c>
      <c r="X2556" s="40" t="s">
        <v>5176</v>
      </c>
      <c r="Y2556" s="40">
        <v>1</v>
      </c>
      <c r="Z2556" s="40">
        <v>1</v>
      </c>
      <c r="AA2556" s="40" t="s">
        <v>115</v>
      </c>
      <c r="AB2556" s="40" t="s">
        <v>115</v>
      </c>
      <c r="AC2556" s="40" t="s">
        <v>115</v>
      </c>
      <c r="AI2556" s="40" t="s">
        <v>115</v>
      </c>
      <c r="AP2556" s="4" t="s">
        <v>115</v>
      </c>
    </row>
    <row r="2557" spans="1:42" x14ac:dyDescent="0.15">
      <c r="A2557" s="40" t="s">
        <v>1</v>
      </c>
      <c r="B2557" s="23">
        <v>90220403</v>
      </c>
      <c r="C2557" s="23">
        <v>2204</v>
      </c>
      <c r="D2557" s="23">
        <v>22</v>
      </c>
      <c r="F2557" s="23" t="s">
        <v>115</v>
      </c>
      <c r="G2557" s="23" t="s">
        <v>115</v>
      </c>
      <c r="H2557" s="23" t="s">
        <v>525</v>
      </c>
      <c r="I2557" s="23">
        <v>4</v>
      </c>
      <c r="J2557" s="40">
        <v>0</v>
      </c>
      <c r="K2557" s="40">
        <v>3</v>
      </c>
      <c r="L2557" s="40" t="s">
        <v>115</v>
      </c>
      <c r="O2557" s="40" t="s">
        <v>115</v>
      </c>
      <c r="Q2557" s="40">
        <v>105</v>
      </c>
      <c r="R2557" s="40" t="s">
        <v>115</v>
      </c>
      <c r="X2557" s="40">
        <v>90220404</v>
      </c>
      <c r="Y2557" s="40">
        <v>-1</v>
      </c>
      <c r="Z2557" s="40">
        <v>2</v>
      </c>
      <c r="AA2557" s="40" t="s">
        <v>115</v>
      </c>
      <c r="AB2557" s="40" t="s">
        <v>115</v>
      </c>
      <c r="AC2557" s="40" t="s">
        <v>5177</v>
      </c>
      <c r="AI2557" s="40" t="s">
        <v>115</v>
      </c>
      <c r="AP2557" s="4" t="s">
        <v>115</v>
      </c>
    </row>
    <row r="2558" spans="1:42" x14ac:dyDescent="0.15">
      <c r="A2558" s="40" t="s">
        <v>1</v>
      </c>
      <c r="B2558" s="23">
        <v>90220404</v>
      </c>
      <c r="C2558" s="23">
        <v>2204</v>
      </c>
      <c r="D2558" s="23">
        <v>22</v>
      </c>
      <c r="F2558" s="23" t="s">
        <v>115</v>
      </c>
      <c r="G2558" s="23" t="s">
        <v>115</v>
      </c>
      <c r="H2558" s="23" t="s">
        <v>5178</v>
      </c>
      <c r="I2558" s="23">
        <v>4</v>
      </c>
      <c r="J2558" s="40">
        <v>0</v>
      </c>
      <c r="K2558" s="40">
        <v>0</v>
      </c>
      <c r="L2558" s="40" t="s">
        <v>115</v>
      </c>
      <c r="O2558" s="40" t="s">
        <v>115</v>
      </c>
      <c r="Q2558" s="40">
        <v>105</v>
      </c>
      <c r="R2558" s="40">
        <v>298</v>
      </c>
      <c r="X2558" s="40">
        <v>90220405</v>
      </c>
      <c r="Y2558" s="40" t="s">
        <v>115</v>
      </c>
      <c r="Z2558" s="40" t="s">
        <v>115</v>
      </c>
      <c r="AA2558" s="40" t="s">
        <v>115</v>
      </c>
      <c r="AB2558" s="40" t="s">
        <v>115</v>
      </c>
      <c r="AC2558" s="40" t="s">
        <v>115</v>
      </c>
      <c r="AI2558" s="40" t="s">
        <v>115</v>
      </c>
      <c r="AP2558" s="4" t="s">
        <v>115</v>
      </c>
    </row>
    <row r="2559" spans="1:42" x14ac:dyDescent="0.15">
      <c r="A2559" s="40" t="s">
        <v>1</v>
      </c>
      <c r="B2559" s="23">
        <v>90220405</v>
      </c>
      <c r="C2559" s="23">
        <v>2204</v>
      </c>
      <c r="D2559" s="23">
        <v>22</v>
      </c>
      <c r="F2559" s="23" t="s">
        <v>116</v>
      </c>
      <c r="G2559" s="23">
        <v>312</v>
      </c>
      <c r="H2559" s="23" t="s">
        <v>5179</v>
      </c>
      <c r="I2559" s="23">
        <v>0</v>
      </c>
      <c r="J2559" s="40">
        <v>0</v>
      </c>
      <c r="K2559" s="40">
        <v>0</v>
      </c>
      <c r="L2559" s="40" t="s">
        <v>115</v>
      </c>
      <c r="O2559" s="40" t="s">
        <v>115</v>
      </c>
      <c r="Q2559" s="40">
        <v>105</v>
      </c>
      <c r="R2559" s="40">
        <v>298</v>
      </c>
      <c r="X2559" s="40">
        <v>90220406</v>
      </c>
      <c r="Y2559" s="40" t="s">
        <v>115</v>
      </c>
      <c r="Z2559" s="40" t="s">
        <v>115</v>
      </c>
      <c r="AA2559" s="40" t="s">
        <v>115</v>
      </c>
      <c r="AB2559" s="40" t="s">
        <v>115</v>
      </c>
      <c r="AC2559" s="40" t="s">
        <v>115</v>
      </c>
      <c r="AI2559" s="40" t="s">
        <v>115</v>
      </c>
      <c r="AP2559" s="4" t="s">
        <v>115</v>
      </c>
    </row>
    <row r="2560" spans="1:42" x14ac:dyDescent="0.15">
      <c r="A2560" s="40" t="s">
        <v>1</v>
      </c>
      <c r="B2560" s="23">
        <v>90220406</v>
      </c>
      <c r="C2560" s="23">
        <v>2204</v>
      </c>
      <c r="D2560" s="23">
        <v>22</v>
      </c>
      <c r="F2560" s="23" t="s">
        <v>5180</v>
      </c>
      <c r="G2560" s="23" t="s">
        <v>115</v>
      </c>
      <c r="H2560" s="23" t="s">
        <v>5181</v>
      </c>
      <c r="I2560" s="23">
        <v>3</v>
      </c>
      <c r="J2560" s="40">
        <v>0</v>
      </c>
      <c r="K2560" s="40">
        <v>0</v>
      </c>
      <c r="L2560" s="40" t="s">
        <v>115</v>
      </c>
      <c r="O2560" s="40" t="s">
        <v>115</v>
      </c>
      <c r="Q2560" s="40">
        <v>105</v>
      </c>
      <c r="R2560" s="40">
        <v>298</v>
      </c>
      <c r="X2560" s="40">
        <v>90220407</v>
      </c>
      <c r="Y2560" s="40" t="s">
        <v>115</v>
      </c>
      <c r="Z2560" s="40" t="s">
        <v>115</v>
      </c>
      <c r="AA2560" s="40" t="s">
        <v>115</v>
      </c>
      <c r="AB2560" s="40" t="s">
        <v>115</v>
      </c>
      <c r="AC2560" s="40" t="s">
        <v>115</v>
      </c>
      <c r="AI2560" s="40" t="s">
        <v>115</v>
      </c>
      <c r="AP2560" s="4" t="s">
        <v>115</v>
      </c>
    </row>
    <row r="2561" spans="1:42" x14ac:dyDescent="0.15">
      <c r="A2561" s="40" t="s">
        <v>1</v>
      </c>
      <c r="B2561" s="23">
        <v>90220407</v>
      </c>
      <c r="C2561" s="23">
        <v>2204</v>
      </c>
      <c r="D2561" s="23">
        <v>22</v>
      </c>
      <c r="F2561" s="23" t="s">
        <v>116</v>
      </c>
      <c r="G2561" s="23">
        <v>312</v>
      </c>
      <c r="H2561" s="23" t="s">
        <v>7212</v>
      </c>
      <c r="I2561" s="23">
        <v>0</v>
      </c>
      <c r="J2561" s="40">
        <v>0</v>
      </c>
      <c r="K2561" s="40">
        <v>0</v>
      </c>
      <c r="L2561" s="40" t="s">
        <v>115</v>
      </c>
      <c r="O2561" s="40" t="s">
        <v>115</v>
      </c>
      <c r="Q2561" s="40">
        <v>105</v>
      </c>
      <c r="R2561" s="40">
        <v>298</v>
      </c>
      <c r="X2561" s="40">
        <v>90220408</v>
      </c>
      <c r="Y2561" s="40" t="s">
        <v>115</v>
      </c>
      <c r="Z2561" s="40" t="s">
        <v>115</v>
      </c>
      <c r="AA2561" s="40" t="s">
        <v>115</v>
      </c>
      <c r="AB2561" s="40" t="s">
        <v>115</v>
      </c>
      <c r="AC2561" s="40" t="s">
        <v>115</v>
      </c>
      <c r="AI2561" s="40" t="s">
        <v>115</v>
      </c>
      <c r="AP2561" s="4" t="s">
        <v>115</v>
      </c>
    </row>
    <row r="2562" spans="1:42" x14ac:dyDescent="0.15">
      <c r="A2562" s="40" t="s">
        <v>1</v>
      </c>
      <c r="B2562" s="23">
        <v>90220408</v>
      </c>
      <c r="C2562" s="23">
        <v>2204</v>
      </c>
      <c r="D2562" s="23">
        <v>22</v>
      </c>
      <c r="F2562" s="23" t="s">
        <v>5180</v>
      </c>
      <c r="G2562" s="23" t="s">
        <v>115</v>
      </c>
      <c r="H2562" s="23" t="s">
        <v>5182</v>
      </c>
      <c r="I2562" s="23">
        <v>3</v>
      </c>
      <c r="J2562" s="40">
        <v>0</v>
      </c>
      <c r="K2562" s="40">
        <v>0</v>
      </c>
      <c r="L2562" s="40" t="s">
        <v>115</v>
      </c>
      <c r="O2562" s="40" t="s">
        <v>115</v>
      </c>
      <c r="Q2562" s="40">
        <v>105</v>
      </c>
      <c r="R2562" s="40">
        <v>298</v>
      </c>
      <c r="X2562" s="40">
        <v>90220409</v>
      </c>
      <c r="Y2562" s="40" t="s">
        <v>115</v>
      </c>
      <c r="Z2562" s="40" t="s">
        <v>115</v>
      </c>
      <c r="AA2562" s="40" t="s">
        <v>115</v>
      </c>
      <c r="AB2562" s="40" t="s">
        <v>115</v>
      </c>
      <c r="AC2562" s="40" t="s">
        <v>115</v>
      </c>
      <c r="AI2562" s="40" t="s">
        <v>115</v>
      </c>
      <c r="AP2562" s="4" t="s">
        <v>115</v>
      </c>
    </row>
    <row r="2563" spans="1:42" x14ac:dyDescent="0.15">
      <c r="A2563" s="40" t="s">
        <v>1</v>
      </c>
      <c r="B2563" s="23">
        <v>90220409</v>
      </c>
      <c r="C2563" s="23">
        <v>2204</v>
      </c>
      <c r="D2563" s="23">
        <v>22</v>
      </c>
      <c r="F2563" s="23" t="s">
        <v>116</v>
      </c>
      <c r="G2563" s="23">
        <v>312</v>
      </c>
      <c r="H2563" s="23" t="s">
        <v>5183</v>
      </c>
      <c r="I2563" s="23">
        <v>0</v>
      </c>
      <c r="J2563" s="40">
        <v>0</v>
      </c>
      <c r="K2563" s="40">
        <v>0</v>
      </c>
      <c r="L2563" s="40" t="s">
        <v>115</v>
      </c>
      <c r="O2563" s="40" t="s">
        <v>115</v>
      </c>
      <c r="Q2563" s="40">
        <v>105</v>
      </c>
      <c r="R2563" s="40">
        <v>298</v>
      </c>
      <c r="X2563" s="40">
        <v>90220410</v>
      </c>
      <c r="Y2563" s="40" t="s">
        <v>115</v>
      </c>
      <c r="Z2563" s="40" t="s">
        <v>115</v>
      </c>
      <c r="AA2563" s="40" t="s">
        <v>115</v>
      </c>
      <c r="AB2563" s="40" t="s">
        <v>115</v>
      </c>
      <c r="AC2563" s="40" t="s">
        <v>115</v>
      </c>
      <c r="AI2563" s="40" t="s">
        <v>115</v>
      </c>
      <c r="AP2563" s="4" t="s">
        <v>115</v>
      </c>
    </row>
    <row r="2564" spans="1:42" x14ac:dyDescent="0.15">
      <c r="A2564" s="40" t="s">
        <v>1</v>
      </c>
      <c r="B2564" s="23">
        <v>90220410</v>
      </c>
      <c r="C2564" s="23">
        <v>2204</v>
      </c>
      <c r="D2564" s="23">
        <v>22</v>
      </c>
      <c r="F2564" s="23" t="s">
        <v>115</v>
      </c>
      <c r="G2564" s="23" t="s">
        <v>115</v>
      </c>
      <c r="H2564" s="23" t="s">
        <v>5184</v>
      </c>
      <c r="I2564" s="23">
        <v>4</v>
      </c>
      <c r="J2564" s="40">
        <v>0</v>
      </c>
      <c r="K2564" s="40">
        <v>0</v>
      </c>
      <c r="L2564" s="40" t="s">
        <v>115</v>
      </c>
      <c r="O2564" s="40" t="s">
        <v>115</v>
      </c>
      <c r="Q2564" s="40">
        <v>105</v>
      </c>
      <c r="R2564" s="40">
        <v>298</v>
      </c>
      <c r="X2564" s="40">
        <v>90220411</v>
      </c>
      <c r="Y2564" s="40" t="s">
        <v>115</v>
      </c>
      <c r="Z2564" s="40" t="s">
        <v>115</v>
      </c>
      <c r="AA2564" s="40" t="s">
        <v>115</v>
      </c>
      <c r="AB2564" s="40" t="s">
        <v>115</v>
      </c>
      <c r="AC2564" s="40" t="s">
        <v>115</v>
      </c>
      <c r="AI2564" s="40" t="s">
        <v>115</v>
      </c>
      <c r="AP2564" s="4" t="s">
        <v>115</v>
      </c>
    </row>
    <row r="2565" spans="1:42" x14ac:dyDescent="0.15">
      <c r="A2565" s="40" t="s">
        <v>1</v>
      </c>
      <c r="B2565" s="23">
        <v>90220411</v>
      </c>
      <c r="C2565" s="23">
        <v>2204</v>
      </c>
      <c r="D2565" s="23">
        <v>22</v>
      </c>
      <c r="F2565" s="23" t="s">
        <v>5180</v>
      </c>
      <c r="G2565" s="23" t="s">
        <v>115</v>
      </c>
      <c r="H2565" s="23" t="s">
        <v>5185</v>
      </c>
      <c r="I2565" s="23">
        <v>3</v>
      </c>
      <c r="J2565" s="40">
        <v>0</v>
      </c>
      <c r="K2565" s="40">
        <v>0</v>
      </c>
      <c r="L2565" s="40" t="s">
        <v>115</v>
      </c>
      <c r="O2565" s="40" t="s">
        <v>115</v>
      </c>
      <c r="Q2565" s="40">
        <v>105</v>
      </c>
      <c r="R2565" s="40">
        <v>298</v>
      </c>
      <c r="X2565" s="40">
        <v>90220412</v>
      </c>
      <c r="Y2565" s="40" t="s">
        <v>115</v>
      </c>
      <c r="Z2565" s="40" t="s">
        <v>115</v>
      </c>
      <c r="AA2565" s="40" t="s">
        <v>115</v>
      </c>
      <c r="AB2565" s="40" t="s">
        <v>115</v>
      </c>
      <c r="AC2565" s="40" t="s">
        <v>115</v>
      </c>
      <c r="AI2565" s="40" t="s">
        <v>115</v>
      </c>
      <c r="AP2565" s="4" t="s">
        <v>115</v>
      </c>
    </row>
    <row r="2566" spans="1:42" x14ac:dyDescent="0.15">
      <c r="A2566" s="40" t="s">
        <v>1</v>
      </c>
      <c r="B2566" s="23">
        <v>90220412</v>
      </c>
      <c r="C2566" s="23">
        <v>2204</v>
      </c>
      <c r="D2566" s="23">
        <v>22</v>
      </c>
      <c r="F2566" s="23" t="s">
        <v>5180</v>
      </c>
      <c r="G2566" s="23" t="s">
        <v>115</v>
      </c>
      <c r="H2566" s="23" t="s">
        <v>5186</v>
      </c>
      <c r="I2566" s="23">
        <v>3</v>
      </c>
      <c r="J2566" s="40">
        <v>0</v>
      </c>
      <c r="K2566" s="40">
        <v>0</v>
      </c>
      <c r="L2566" s="40" t="s">
        <v>115</v>
      </c>
      <c r="O2566" s="40" t="s">
        <v>115</v>
      </c>
      <c r="Q2566" s="40">
        <v>105</v>
      </c>
      <c r="R2566" s="40">
        <v>298</v>
      </c>
      <c r="X2566" s="40">
        <v>90220413</v>
      </c>
      <c r="Y2566" s="40" t="s">
        <v>115</v>
      </c>
      <c r="Z2566" s="40" t="s">
        <v>115</v>
      </c>
      <c r="AA2566" s="40" t="s">
        <v>115</v>
      </c>
      <c r="AB2566" s="40" t="s">
        <v>115</v>
      </c>
      <c r="AC2566" s="40" t="s">
        <v>115</v>
      </c>
      <c r="AI2566" s="40" t="s">
        <v>115</v>
      </c>
      <c r="AP2566" s="4" t="s">
        <v>115</v>
      </c>
    </row>
    <row r="2567" spans="1:42" x14ac:dyDescent="0.15">
      <c r="A2567" s="40" t="s">
        <v>1</v>
      </c>
      <c r="B2567" s="23">
        <v>90220413</v>
      </c>
      <c r="C2567" s="23">
        <v>2204</v>
      </c>
      <c r="D2567" s="23">
        <v>22</v>
      </c>
      <c r="F2567" s="23" t="s">
        <v>5180</v>
      </c>
      <c r="G2567" s="23" t="s">
        <v>115</v>
      </c>
      <c r="H2567" s="23" t="s">
        <v>7213</v>
      </c>
      <c r="I2567" s="23">
        <v>3</v>
      </c>
      <c r="J2567" s="40">
        <v>0</v>
      </c>
      <c r="K2567" s="40">
        <v>0</v>
      </c>
      <c r="L2567" s="40" t="s">
        <v>115</v>
      </c>
      <c r="O2567" s="40" t="s">
        <v>115</v>
      </c>
      <c r="Q2567" s="40">
        <v>105</v>
      </c>
      <c r="R2567" s="40">
        <v>298</v>
      </c>
      <c r="X2567" s="40">
        <v>90220414</v>
      </c>
      <c r="Y2567" s="40" t="s">
        <v>115</v>
      </c>
      <c r="Z2567" s="40" t="s">
        <v>115</v>
      </c>
      <c r="AA2567" s="40" t="s">
        <v>115</v>
      </c>
      <c r="AB2567" s="40" t="s">
        <v>115</v>
      </c>
      <c r="AC2567" s="40" t="s">
        <v>115</v>
      </c>
      <c r="AI2567" s="40" t="s">
        <v>115</v>
      </c>
      <c r="AP2567" s="4" t="s">
        <v>115</v>
      </c>
    </row>
    <row r="2568" spans="1:42" x14ac:dyDescent="0.15">
      <c r="A2568" s="40" t="s">
        <v>1</v>
      </c>
      <c r="B2568" s="23">
        <v>90220414</v>
      </c>
      <c r="C2568" s="23">
        <v>2204</v>
      </c>
      <c r="D2568" s="23">
        <v>22</v>
      </c>
      <c r="F2568" s="23" t="s">
        <v>116</v>
      </c>
      <c r="G2568" s="23">
        <v>312</v>
      </c>
      <c r="H2568" s="23" t="s">
        <v>5187</v>
      </c>
      <c r="I2568" s="23">
        <v>0</v>
      </c>
      <c r="J2568" s="40">
        <v>0</v>
      </c>
      <c r="K2568" s="40">
        <v>0</v>
      </c>
      <c r="L2568" s="40" t="s">
        <v>115</v>
      </c>
      <c r="O2568" s="40" t="s">
        <v>115</v>
      </c>
      <c r="Q2568" s="40">
        <v>105</v>
      </c>
      <c r="R2568" s="40">
        <v>298</v>
      </c>
      <c r="X2568" s="40">
        <v>90220415</v>
      </c>
      <c r="Y2568" s="40" t="s">
        <v>115</v>
      </c>
      <c r="Z2568" s="40" t="s">
        <v>115</v>
      </c>
      <c r="AA2568" s="40" t="s">
        <v>115</v>
      </c>
      <c r="AB2568" s="40" t="s">
        <v>115</v>
      </c>
      <c r="AC2568" s="40" t="s">
        <v>115</v>
      </c>
      <c r="AI2568" s="40" t="s">
        <v>115</v>
      </c>
      <c r="AP2568" s="4" t="s">
        <v>115</v>
      </c>
    </row>
    <row r="2569" spans="1:42" x14ac:dyDescent="0.15">
      <c r="A2569" s="40" t="s">
        <v>1</v>
      </c>
      <c r="B2569" s="23">
        <v>90220415</v>
      </c>
      <c r="C2569" s="23">
        <v>2204</v>
      </c>
      <c r="D2569" s="23">
        <v>22</v>
      </c>
      <c r="F2569" s="23" t="s">
        <v>115</v>
      </c>
      <c r="G2569" s="23" t="s">
        <v>115</v>
      </c>
      <c r="H2569" s="23" t="s">
        <v>5188</v>
      </c>
      <c r="I2569" s="23">
        <v>4</v>
      </c>
      <c r="J2569" s="40">
        <v>0</v>
      </c>
      <c r="K2569" s="40">
        <v>0</v>
      </c>
      <c r="L2569" s="40" t="s">
        <v>115</v>
      </c>
      <c r="O2569" s="40" t="s">
        <v>115</v>
      </c>
      <c r="Q2569" s="40">
        <v>105</v>
      </c>
      <c r="R2569" s="40">
        <v>298</v>
      </c>
      <c r="X2569" s="40">
        <v>90220416</v>
      </c>
      <c r="Y2569" s="40" t="s">
        <v>115</v>
      </c>
      <c r="Z2569" s="40" t="s">
        <v>115</v>
      </c>
      <c r="AA2569" s="40" t="s">
        <v>115</v>
      </c>
      <c r="AB2569" s="40" t="s">
        <v>115</v>
      </c>
      <c r="AC2569" s="40" t="s">
        <v>115</v>
      </c>
      <c r="AI2569" s="40" t="s">
        <v>115</v>
      </c>
      <c r="AP2569" s="4" t="s">
        <v>115</v>
      </c>
    </row>
    <row r="2570" spans="1:42" x14ac:dyDescent="0.15">
      <c r="A2570" s="40" t="s">
        <v>1</v>
      </c>
      <c r="B2570" s="23">
        <v>90220416</v>
      </c>
      <c r="C2570" s="23">
        <v>2204</v>
      </c>
      <c r="D2570" s="23">
        <v>22</v>
      </c>
      <c r="F2570" s="23" t="s">
        <v>5180</v>
      </c>
      <c r="G2570" s="23" t="s">
        <v>115</v>
      </c>
      <c r="H2570" s="23" t="s">
        <v>5189</v>
      </c>
      <c r="I2570" s="23">
        <v>3</v>
      </c>
      <c r="J2570" s="40">
        <v>0</v>
      </c>
      <c r="K2570" s="40">
        <v>0</v>
      </c>
      <c r="L2570" s="40" t="s">
        <v>115</v>
      </c>
      <c r="O2570" s="40" t="s">
        <v>115</v>
      </c>
      <c r="Q2570" s="40">
        <v>105</v>
      </c>
      <c r="R2570" s="40">
        <v>298</v>
      </c>
      <c r="X2570" s="40">
        <v>90220417</v>
      </c>
      <c r="Y2570" s="40" t="s">
        <v>115</v>
      </c>
      <c r="Z2570" s="40" t="s">
        <v>115</v>
      </c>
      <c r="AA2570" s="40" t="s">
        <v>115</v>
      </c>
      <c r="AB2570" s="40" t="s">
        <v>115</v>
      </c>
      <c r="AC2570" s="40" t="s">
        <v>115</v>
      </c>
      <c r="AI2570" s="40" t="s">
        <v>115</v>
      </c>
      <c r="AP2570" s="4" t="s">
        <v>115</v>
      </c>
    </row>
    <row r="2571" spans="1:42" x14ac:dyDescent="0.15">
      <c r="A2571" s="40" t="s">
        <v>1</v>
      </c>
      <c r="B2571" s="23">
        <v>90220417</v>
      </c>
      <c r="C2571" s="23">
        <v>2204</v>
      </c>
      <c r="D2571" s="23">
        <v>22</v>
      </c>
      <c r="F2571" s="23" t="s">
        <v>116</v>
      </c>
      <c r="G2571" s="23">
        <v>313</v>
      </c>
      <c r="H2571" s="23" t="s">
        <v>5190</v>
      </c>
      <c r="I2571" s="23">
        <v>0</v>
      </c>
      <c r="J2571" s="40">
        <v>0</v>
      </c>
      <c r="K2571" s="40">
        <v>0</v>
      </c>
      <c r="L2571" s="40" t="s">
        <v>115</v>
      </c>
      <c r="O2571" s="40" t="s">
        <v>115</v>
      </c>
      <c r="Q2571" s="40">
        <v>105</v>
      </c>
      <c r="R2571" s="40">
        <v>298</v>
      </c>
      <c r="X2571" s="40">
        <v>90220418</v>
      </c>
      <c r="Y2571" s="40" t="s">
        <v>115</v>
      </c>
      <c r="Z2571" s="40" t="s">
        <v>115</v>
      </c>
      <c r="AA2571" s="40" t="s">
        <v>115</v>
      </c>
      <c r="AB2571" s="40" t="s">
        <v>115</v>
      </c>
      <c r="AC2571" s="40" t="s">
        <v>115</v>
      </c>
      <c r="AI2571" s="40" t="s">
        <v>115</v>
      </c>
      <c r="AP2571" s="4" t="s">
        <v>115</v>
      </c>
    </row>
    <row r="2572" spans="1:42" x14ac:dyDescent="0.15">
      <c r="A2572" s="40" t="s">
        <v>1</v>
      </c>
      <c r="B2572" s="23">
        <v>90220418</v>
      </c>
      <c r="C2572" s="23">
        <v>2204</v>
      </c>
      <c r="D2572" s="23">
        <v>22</v>
      </c>
      <c r="F2572" s="23" t="s">
        <v>5180</v>
      </c>
      <c r="G2572" s="23" t="s">
        <v>115</v>
      </c>
      <c r="H2572" s="23" t="s">
        <v>7214</v>
      </c>
      <c r="I2572" s="23">
        <v>3</v>
      </c>
      <c r="J2572" s="40">
        <v>0</v>
      </c>
      <c r="K2572" s="40">
        <v>0</v>
      </c>
      <c r="L2572" s="40" t="s">
        <v>115</v>
      </c>
      <c r="O2572" s="40" t="s">
        <v>115</v>
      </c>
      <c r="Q2572" s="40">
        <v>105</v>
      </c>
      <c r="R2572" s="40">
        <v>298</v>
      </c>
      <c r="X2572" s="40">
        <v>90220419</v>
      </c>
      <c r="Y2572" s="40" t="s">
        <v>115</v>
      </c>
      <c r="Z2572" s="40" t="s">
        <v>115</v>
      </c>
      <c r="AA2572" s="40" t="s">
        <v>115</v>
      </c>
      <c r="AB2572" s="40" t="s">
        <v>115</v>
      </c>
      <c r="AC2572" s="40" t="s">
        <v>115</v>
      </c>
      <c r="AI2572" s="40" t="s">
        <v>115</v>
      </c>
      <c r="AP2572" s="4" t="s">
        <v>115</v>
      </c>
    </row>
    <row r="2573" spans="1:42" x14ac:dyDescent="0.15">
      <c r="A2573" s="40" t="s">
        <v>1</v>
      </c>
      <c r="B2573" s="23">
        <v>90220419</v>
      </c>
      <c r="C2573" s="23">
        <v>2204</v>
      </c>
      <c r="D2573" s="23">
        <v>22</v>
      </c>
      <c r="F2573" s="23" t="s">
        <v>115</v>
      </c>
      <c r="G2573" s="23" t="s">
        <v>115</v>
      </c>
      <c r="H2573" s="23" t="s">
        <v>5191</v>
      </c>
      <c r="I2573" s="23">
        <v>4</v>
      </c>
      <c r="J2573" s="40">
        <v>0</v>
      </c>
      <c r="K2573" s="40">
        <v>0</v>
      </c>
      <c r="L2573" s="40" t="s">
        <v>115</v>
      </c>
      <c r="O2573" s="40" t="s">
        <v>115</v>
      </c>
      <c r="Q2573" s="40">
        <v>105</v>
      </c>
      <c r="R2573" s="40" t="s">
        <v>115</v>
      </c>
      <c r="X2573" s="40">
        <v>90220420</v>
      </c>
      <c r="Y2573" s="40" t="s">
        <v>115</v>
      </c>
      <c r="Z2573" s="40" t="s">
        <v>115</v>
      </c>
      <c r="AA2573" s="40" t="s">
        <v>115</v>
      </c>
      <c r="AB2573" s="40" t="s">
        <v>115</v>
      </c>
      <c r="AC2573" s="40" t="s">
        <v>115</v>
      </c>
      <c r="AI2573" s="40" t="s">
        <v>115</v>
      </c>
      <c r="AP2573" s="4" t="s">
        <v>115</v>
      </c>
    </row>
    <row r="2574" spans="1:42" x14ac:dyDescent="0.15">
      <c r="A2574" s="40" t="s">
        <v>1</v>
      </c>
      <c r="B2574" s="23">
        <v>90220420</v>
      </c>
      <c r="C2574" s="23">
        <v>2204</v>
      </c>
      <c r="D2574" s="23">
        <v>22</v>
      </c>
      <c r="F2574" s="23" t="s">
        <v>5180</v>
      </c>
      <c r="G2574" s="23" t="s">
        <v>115</v>
      </c>
      <c r="H2574" s="23" t="s">
        <v>7215</v>
      </c>
      <c r="I2574" s="23">
        <v>3</v>
      </c>
      <c r="J2574" s="40">
        <v>0</v>
      </c>
      <c r="K2574" s="40">
        <v>0</v>
      </c>
      <c r="L2574" s="40" t="s">
        <v>115</v>
      </c>
      <c r="O2574" s="40" t="s">
        <v>115</v>
      </c>
      <c r="Q2574" s="40">
        <v>105</v>
      </c>
      <c r="R2574" s="40">
        <v>298</v>
      </c>
      <c r="X2574" s="40">
        <v>90220421</v>
      </c>
      <c r="Y2574" s="40" t="s">
        <v>115</v>
      </c>
      <c r="Z2574" s="40" t="s">
        <v>115</v>
      </c>
      <c r="AA2574" s="40" t="s">
        <v>115</v>
      </c>
      <c r="AB2574" s="40" t="s">
        <v>115</v>
      </c>
      <c r="AC2574" s="40" t="s">
        <v>115</v>
      </c>
      <c r="AI2574" s="40" t="s">
        <v>115</v>
      </c>
      <c r="AP2574" s="4" t="s">
        <v>115</v>
      </c>
    </row>
    <row r="2575" spans="1:42" x14ac:dyDescent="0.15">
      <c r="A2575" s="40" t="s">
        <v>1</v>
      </c>
      <c r="B2575" s="23">
        <v>90220421</v>
      </c>
      <c r="C2575" s="23">
        <v>2204</v>
      </c>
      <c r="D2575" s="23">
        <v>22</v>
      </c>
      <c r="F2575" s="23" t="s">
        <v>116</v>
      </c>
      <c r="G2575" s="23">
        <v>308</v>
      </c>
      <c r="H2575" s="23" t="s">
        <v>5192</v>
      </c>
      <c r="I2575" s="23">
        <v>0</v>
      </c>
      <c r="J2575" s="40">
        <v>0</v>
      </c>
      <c r="K2575" s="40">
        <v>0</v>
      </c>
      <c r="L2575" s="40" t="s">
        <v>115</v>
      </c>
      <c r="O2575" s="40" t="s">
        <v>115</v>
      </c>
      <c r="Q2575" s="40">
        <v>105</v>
      </c>
      <c r="R2575" s="40">
        <v>298</v>
      </c>
      <c r="X2575" s="40">
        <v>90220422</v>
      </c>
      <c r="Y2575" s="40" t="s">
        <v>115</v>
      </c>
      <c r="Z2575" s="40" t="s">
        <v>115</v>
      </c>
      <c r="AA2575" s="40" t="s">
        <v>115</v>
      </c>
      <c r="AB2575" s="40" t="s">
        <v>115</v>
      </c>
      <c r="AC2575" s="40" t="s">
        <v>115</v>
      </c>
      <c r="AI2575" s="40" t="s">
        <v>115</v>
      </c>
      <c r="AP2575" s="4" t="s">
        <v>115</v>
      </c>
    </row>
    <row r="2576" spans="1:42" x14ac:dyDescent="0.15">
      <c r="A2576" s="40" t="s">
        <v>1</v>
      </c>
      <c r="B2576" s="23">
        <v>90220422</v>
      </c>
      <c r="C2576" s="23">
        <v>2204</v>
      </c>
      <c r="D2576" s="23">
        <v>22</v>
      </c>
      <c r="F2576" s="23" t="s">
        <v>5180</v>
      </c>
      <c r="G2576" s="23" t="s">
        <v>115</v>
      </c>
      <c r="H2576" s="23" t="s">
        <v>7216</v>
      </c>
      <c r="I2576" s="23">
        <v>3</v>
      </c>
      <c r="J2576" s="40">
        <v>0</v>
      </c>
      <c r="K2576" s="40">
        <v>0</v>
      </c>
      <c r="L2576" s="40" t="s">
        <v>115</v>
      </c>
      <c r="O2576" s="40" t="s">
        <v>115</v>
      </c>
      <c r="Q2576" s="40">
        <v>105</v>
      </c>
      <c r="R2576" s="40">
        <v>298</v>
      </c>
      <c r="X2576" s="40">
        <v>90220423</v>
      </c>
      <c r="Y2576" s="40" t="s">
        <v>115</v>
      </c>
      <c r="Z2576" s="40" t="s">
        <v>115</v>
      </c>
      <c r="AA2576" s="40" t="s">
        <v>115</v>
      </c>
      <c r="AB2576" s="40" t="s">
        <v>115</v>
      </c>
      <c r="AC2576" s="40" t="s">
        <v>115</v>
      </c>
      <c r="AI2576" s="40" t="s">
        <v>115</v>
      </c>
      <c r="AP2576" s="4" t="s">
        <v>115</v>
      </c>
    </row>
    <row r="2577" spans="1:42" x14ac:dyDescent="0.15">
      <c r="A2577" s="40" t="s">
        <v>1</v>
      </c>
      <c r="B2577" s="23">
        <v>90220423</v>
      </c>
      <c r="C2577" s="23">
        <v>2204</v>
      </c>
      <c r="D2577" s="23">
        <v>22</v>
      </c>
      <c r="F2577" s="23" t="s">
        <v>116</v>
      </c>
      <c r="G2577" s="23">
        <v>313</v>
      </c>
      <c r="H2577" s="23" t="s">
        <v>5193</v>
      </c>
      <c r="I2577" s="23">
        <v>0</v>
      </c>
      <c r="J2577" s="40">
        <v>0</v>
      </c>
      <c r="K2577" s="40">
        <v>0</v>
      </c>
      <c r="L2577" s="40" t="s">
        <v>115</v>
      </c>
      <c r="O2577" s="40" t="s">
        <v>115</v>
      </c>
      <c r="Q2577" s="40">
        <v>105</v>
      </c>
      <c r="R2577" s="40">
        <v>298</v>
      </c>
      <c r="X2577" s="40">
        <v>90220424</v>
      </c>
      <c r="Y2577" s="40" t="s">
        <v>115</v>
      </c>
      <c r="Z2577" s="40" t="s">
        <v>115</v>
      </c>
      <c r="AA2577" s="40" t="s">
        <v>115</v>
      </c>
      <c r="AB2577" s="40" t="s">
        <v>115</v>
      </c>
      <c r="AC2577" s="40" t="s">
        <v>115</v>
      </c>
      <c r="AI2577" s="40" t="s">
        <v>115</v>
      </c>
      <c r="AP2577" s="4" t="s">
        <v>115</v>
      </c>
    </row>
    <row r="2578" spans="1:42" x14ac:dyDescent="0.15">
      <c r="A2578" s="40" t="s">
        <v>1</v>
      </c>
      <c r="B2578" s="23">
        <v>90220424</v>
      </c>
      <c r="C2578" s="23">
        <v>2204</v>
      </c>
      <c r="D2578" s="23">
        <v>22</v>
      </c>
      <c r="F2578" s="23" t="s">
        <v>5180</v>
      </c>
      <c r="G2578" s="23" t="s">
        <v>115</v>
      </c>
      <c r="H2578" s="23" t="s">
        <v>7217</v>
      </c>
      <c r="I2578" s="23">
        <v>3</v>
      </c>
      <c r="J2578" s="40">
        <v>0</v>
      </c>
      <c r="K2578" s="40">
        <v>4</v>
      </c>
      <c r="L2578" s="40" t="s">
        <v>5194</v>
      </c>
      <c r="O2578" s="40" t="s">
        <v>115</v>
      </c>
      <c r="Q2578" s="40">
        <v>105</v>
      </c>
      <c r="R2578" s="40">
        <v>298</v>
      </c>
      <c r="X2578" s="40">
        <v>90220425</v>
      </c>
      <c r="Y2578" s="40" t="s">
        <v>115</v>
      </c>
      <c r="Z2578" s="40">
        <v>3</v>
      </c>
      <c r="AA2578" s="40" t="s">
        <v>115</v>
      </c>
      <c r="AB2578" s="40" t="s">
        <v>115</v>
      </c>
      <c r="AC2578" s="40" t="s">
        <v>115</v>
      </c>
      <c r="AI2578" s="40" t="s">
        <v>115</v>
      </c>
      <c r="AP2578" s="4" t="s">
        <v>115</v>
      </c>
    </row>
    <row r="2579" spans="1:42" x14ac:dyDescent="0.15">
      <c r="A2579" s="40" t="s">
        <v>1</v>
      </c>
      <c r="B2579" s="23">
        <v>90220425</v>
      </c>
      <c r="C2579" s="23">
        <v>2204</v>
      </c>
      <c r="D2579" s="23">
        <v>22</v>
      </c>
      <c r="F2579" s="23" t="s">
        <v>116</v>
      </c>
      <c r="G2579" s="23">
        <v>314</v>
      </c>
      <c r="H2579" s="23" t="s">
        <v>5195</v>
      </c>
      <c r="I2579" s="23">
        <v>2</v>
      </c>
      <c r="J2579" s="40">
        <v>0</v>
      </c>
      <c r="K2579" s="40">
        <v>0</v>
      </c>
      <c r="L2579" s="40" t="s">
        <v>115</v>
      </c>
      <c r="O2579" s="40" t="s">
        <v>115</v>
      </c>
      <c r="Q2579" s="40">
        <v>105</v>
      </c>
      <c r="R2579" s="40">
        <v>298</v>
      </c>
      <c r="X2579" s="40">
        <v>90220426</v>
      </c>
      <c r="Y2579" s="40" t="s">
        <v>115</v>
      </c>
      <c r="Z2579" s="40" t="s">
        <v>115</v>
      </c>
      <c r="AA2579" s="40" t="s">
        <v>115</v>
      </c>
      <c r="AB2579" s="40" t="s">
        <v>115</v>
      </c>
      <c r="AC2579" s="40" t="s">
        <v>115</v>
      </c>
      <c r="AI2579" s="40" t="s">
        <v>115</v>
      </c>
      <c r="AP2579" s="4" t="s">
        <v>115</v>
      </c>
    </row>
    <row r="2580" spans="1:42" x14ac:dyDescent="0.15">
      <c r="A2580" s="40" t="s">
        <v>1</v>
      </c>
      <c r="B2580" s="23">
        <v>90220426</v>
      </c>
      <c r="C2580" s="23">
        <v>2204</v>
      </c>
      <c r="D2580" s="23">
        <v>22</v>
      </c>
      <c r="F2580" s="23" t="s">
        <v>116</v>
      </c>
      <c r="G2580" s="23">
        <v>312</v>
      </c>
      <c r="H2580" s="23" t="s">
        <v>5196</v>
      </c>
      <c r="I2580" s="23">
        <v>0</v>
      </c>
      <c r="J2580" s="40">
        <v>0</v>
      </c>
      <c r="K2580" s="40">
        <v>0</v>
      </c>
      <c r="L2580" s="40" t="s">
        <v>115</v>
      </c>
      <c r="O2580" s="40" t="s">
        <v>115</v>
      </c>
      <c r="Q2580" s="40">
        <v>105</v>
      </c>
      <c r="R2580" s="40">
        <v>298</v>
      </c>
      <c r="X2580" s="40">
        <v>90220427</v>
      </c>
      <c r="Y2580" s="40" t="s">
        <v>115</v>
      </c>
      <c r="Z2580" s="40" t="s">
        <v>115</v>
      </c>
      <c r="AA2580" s="40" t="s">
        <v>115</v>
      </c>
      <c r="AB2580" s="40" t="s">
        <v>115</v>
      </c>
      <c r="AC2580" s="40" t="s">
        <v>115</v>
      </c>
      <c r="AI2580" s="40" t="s">
        <v>115</v>
      </c>
      <c r="AP2580" s="4" t="s">
        <v>115</v>
      </c>
    </row>
    <row r="2581" spans="1:42" x14ac:dyDescent="0.15">
      <c r="A2581" s="40" t="s">
        <v>1</v>
      </c>
      <c r="B2581" s="23">
        <v>90220427</v>
      </c>
      <c r="C2581" s="23">
        <v>2204</v>
      </c>
      <c r="D2581" s="23">
        <v>22</v>
      </c>
      <c r="F2581" s="23" t="s">
        <v>115</v>
      </c>
      <c r="G2581" s="23" t="s">
        <v>115</v>
      </c>
      <c r="H2581" s="23" t="s">
        <v>7218</v>
      </c>
      <c r="I2581" s="23">
        <v>4</v>
      </c>
      <c r="J2581" s="40">
        <v>0</v>
      </c>
      <c r="K2581" s="40">
        <v>0</v>
      </c>
      <c r="L2581" s="40" t="s">
        <v>115</v>
      </c>
      <c r="O2581" s="40" t="s">
        <v>115</v>
      </c>
      <c r="Q2581" s="40">
        <v>105</v>
      </c>
      <c r="R2581" s="40">
        <v>298</v>
      </c>
      <c r="X2581" s="40">
        <v>90220428</v>
      </c>
      <c r="Y2581" s="40" t="s">
        <v>115</v>
      </c>
      <c r="Z2581" s="40" t="s">
        <v>115</v>
      </c>
      <c r="AA2581" s="40" t="s">
        <v>115</v>
      </c>
      <c r="AB2581" s="40" t="s">
        <v>115</v>
      </c>
      <c r="AC2581" s="40" t="s">
        <v>115</v>
      </c>
      <c r="AI2581" s="40" t="s">
        <v>115</v>
      </c>
      <c r="AP2581" s="4" t="s">
        <v>115</v>
      </c>
    </row>
    <row r="2582" spans="1:42" x14ac:dyDescent="0.15">
      <c r="A2582" s="40" t="s">
        <v>1</v>
      </c>
      <c r="B2582" s="23">
        <v>90220428</v>
      </c>
      <c r="C2582" s="23">
        <v>2204</v>
      </c>
      <c r="D2582" s="23">
        <v>22</v>
      </c>
      <c r="F2582" s="23" t="s">
        <v>5180</v>
      </c>
      <c r="G2582" s="23" t="s">
        <v>115</v>
      </c>
      <c r="H2582" s="23" t="s">
        <v>7219</v>
      </c>
      <c r="I2582" s="23">
        <v>3</v>
      </c>
      <c r="J2582" s="40">
        <v>0</v>
      </c>
      <c r="K2582" s="40">
        <v>0</v>
      </c>
      <c r="L2582" s="40" t="s">
        <v>115</v>
      </c>
      <c r="O2582" s="40" t="s">
        <v>115</v>
      </c>
      <c r="Q2582" s="40">
        <v>105</v>
      </c>
      <c r="R2582" s="40">
        <v>298</v>
      </c>
      <c r="X2582" s="40">
        <v>90220429</v>
      </c>
      <c r="Y2582" s="40" t="s">
        <v>115</v>
      </c>
      <c r="Z2582" s="40" t="s">
        <v>115</v>
      </c>
      <c r="AA2582" s="40" t="s">
        <v>115</v>
      </c>
      <c r="AB2582" s="40" t="s">
        <v>115</v>
      </c>
      <c r="AC2582" s="40" t="s">
        <v>115</v>
      </c>
      <c r="AI2582" s="40" t="s">
        <v>115</v>
      </c>
      <c r="AP2582" s="4" t="s">
        <v>115</v>
      </c>
    </row>
    <row r="2583" spans="1:42" x14ac:dyDescent="0.15">
      <c r="A2583" s="40" t="s">
        <v>1</v>
      </c>
      <c r="B2583" s="23">
        <v>90220429</v>
      </c>
      <c r="C2583" s="23">
        <v>2204</v>
      </c>
      <c r="D2583" s="23">
        <v>22</v>
      </c>
      <c r="F2583" s="23" t="s">
        <v>115</v>
      </c>
      <c r="G2583" s="23" t="s">
        <v>115</v>
      </c>
      <c r="H2583" s="23" t="s">
        <v>7220</v>
      </c>
      <c r="I2583" s="23">
        <v>4</v>
      </c>
      <c r="J2583" s="40">
        <v>0</v>
      </c>
      <c r="K2583" s="40">
        <v>0</v>
      </c>
      <c r="L2583" s="40" t="s">
        <v>115</v>
      </c>
      <c r="O2583" s="40" t="s">
        <v>115</v>
      </c>
      <c r="Q2583" s="40">
        <v>105</v>
      </c>
      <c r="R2583" s="40">
        <v>298</v>
      </c>
      <c r="X2583" s="40">
        <v>90220430</v>
      </c>
      <c r="Y2583" s="40" t="s">
        <v>115</v>
      </c>
      <c r="Z2583" s="40" t="s">
        <v>115</v>
      </c>
      <c r="AA2583" s="40" t="s">
        <v>115</v>
      </c>
      <c r="AB2583" s="40" t="s">
        <v>115</v>
      </c>
      <c r="AC2583" s="40" t="s">
        <v>115</v>
      </c>
      <c r="AI2583" s="40" t="s">
        <v>115</v>
      </c>
      <c r="AP2583" s="4" t="s">
        <v>115</v>
      </c>
    </row>
    <row r="2584" spans="1:42" x14ac:dyDescent="0.15">
      <c r="A2584" s="40" t="s">
        <v>1</v>
      </c>
      <c r="B2584" s="23">
        <v>90220430</v>
      </c>
      <c r="C2584" s="23">
        <v>2204</v>
      </c>
      <c r="D2584" s="23">
        <v>22</v>
      </c>
      <c r="F2584" s="23" t="s">
        <v>116</v>
      </c>
      <c r="G2584" s="23">
        <v>313</v>
      </c>
      <c r="H2584" s="23" t="s">
        <v>7221</v>
      </c>
      <c r="I2584" s="23">
        <v>0</v>
      </c>
      <c r="J2584" s="40">
        <v>0</v>
      </c>
      <c r="K2584" s="40">
        <v>0</v>
      </c>
      <c r="L2584" s="40" t="s">
        <v>115</v>
      </c>
      <c r="O2584" s="40" t="s">
        <v>115</v>
      </c>
      <c r="Q2584" s="40">
        <v>105</v>
      </c>
      <c r="R2584" s="40">
        <v>298</v>
      </c>
      <c r="X2584" s="40">
        <v>90220431</v>
      </c>
      <c r="Y2584" s="40" t="s">
        <v>115</v>
      </c>
      <c r="Z2584" s="40" t="s">
        <v>115</v>
      </c>
      <c r="AA2584" s="40" t="s">
        <v>115</v>
      </c>
      <c r="AB2584" s="40" t="s">
        <v>115</v>
      </c>
      <c r="AC2584" s="40" t="s">
        <v>115</v>
      </c>
      <c r="AI2584" s="40" t="s">
        <v>115</v>
      </c>
      <c r="AP2584" s="4" t="s">
        <v>115</v>
      </c>
    </row>
    <row r="2585" spans="1:42" x14ac:dyDescent="0.15">
      <c r="A2585" s="40" t="s">
        <v>1</v>
      </c>
      <c r="B2585" s="23">
        <v>90220431</v>
      </c>
      <c r="C2585" s="23">
        <v>2204</v>
      </c>
      <c r="D2585" s="23">
        <v>22</v>
      </c>
      <c r="F2585" s="23" t="s">
        <v>5180</v>
      </c>
      <c r="G2585" s="23" t="s">
        <v>115</v>
      </c>
      <c r="H2585" s="23" t="s">
        <v>5197</v>
      </c>
      <c r="I2585" s="23">
        <v>3</v>
      </c>
      <c r="J2585" s="40">
        <v>0</v>
      </c>
      <c r="K2585" s="40">
        <v>0</v>
      </c>
      <c r="L2585" s="40" t="s">
        <v>115</v>
      </c>
      <c r="O2585" s="40" t="s">
        <v>115</v>
      </c>
      <c r="Q2585" s="40">
        <v>105</v>
      </c>
      <c r="R2585" s="40">
        <v>298</v>
      </c>
      <c r="X2585" s="40">
        <v>90220432</v>
      </c>
      <c r="Y2585" s="40" t="s">
        <v>115</v>
      </c>
      <c r="Z2585" s="40" t="s">
        <v>115</v>
      </c>
      <c r="AA2585" s="40" t="s">
        <v>115</v>
      </c>
      <c r="AB2585" s="40" t="s">
        <v>115</v>
      </c>
      <c r="AC2585" s="40" t="s">
        <v>115</v>
      </c>
      <c r="AI2585" s="40" t="s">
        <v>115</v>
      </c>
      <c r="AP2585" s="4" t="s">
        <v>115</v>
      </c>
    </row>
    <row r="2586" spans="1:42" x14ac:dyDescent="0.15">
      <c r="A2586" s="40" t="s">
        <v>1</v>
      </c>
      <c r="B2586" s="23">
        <v>90220432</v>
      </c>
      <c r="C2586" s="23">
        <v>2204</v>
      </c>
      <c r="D2586" s="23">
        <v>22</v>
      </c>
      <c r="F2586" s="23" t="s">
        <v>116</v>
      </c>
      <c r="G2586" s="23">
        <v>317</v>
      </c>
      <c r="H2586" s="23" t="s">
        <v>5198</v>
      </c>
      <c r="I2586" s="23">
        <v>0</v>
      </c>
      <c r="J2586" s="40">
        <v>0</v>
      </c>
      <c r="K2586" s="40">
        <v>0</v>
      </c>
      <c r="L2586" s="40" t="s">
        <v>115</v>
      </c>
      <c r="O2586" s="40" t="s">
        <v>115</v>
      </c>
      <c r="Q2586" s="40">
        <v>105</v>
      </c>
      <c r="R2586" s="40">
        <v>298</v>
      </c>
      <c r="X2586" s="40">
        <v>90220433</v>
      </c>
      <c r="Y2586" s="40" t="s">
        <v>115</v>
      </c>
      <c r="Z2586" s="40" t="s">
        <v>115</v>
      </c>
      <c r="AA2586" s="40" t="s">
        <v>115</v>
      </c>
      <c r="AB2586" s="40" t="s">
        <v>115</v>
      </c>
      <c r="AC2586" s="40" t="s">
        <v>115</v>
      </c>
      <c r="AI2586" s="40" t="s">
        <v>115</v>
      </c>
      <c r="AP2586" s="4" t="s">
        <v>115</v>
      </c>
    </row>
    <row r="2587" spans="1:42" x14ac:dyDescent="0.15">
      <c r="A2587" s="40" t="s">
        <v>1</v>
      </c>
      <c r="B2587" s="23">
        <v>90220433</v>
      </c>
      <c r="C2587" s="23">
        <v>2204</v>
      </c>
      <c r="D2587" s="23">
        <v>22</v>
      </c>
      <c r="F2587" s="23" t="s">
        <v>116</v>
      </c>
      <c r="G2587" s="23">
        <v>317</v>
      </c>
      <c r="H2587" s="23" t="s">
        <v>5199</v>
      </c>
      <c r="I2587" s="23">
        <v>0</v>
      </c>
      <c r="J2587" s="40">
        <v>0</v>
      </c>
      <c r="K2587" s="40">
        <v>5</v>
      </c>
      <c r="L2587" s="40" t="s">
        <v>115</v>
      </c>
      <c r="O2587" s="40">
        <v>1</v>
      </c>
      <c r="Q2587" s="40">
        <v>105</v>
      </c>
      <c r="R2587" s="40">
        <v>298</v>
      </c>
      <c r="X2587" s="40" t="s">
        <v>115</v>
      </c>
      <c r="Y2587" s="40" t="s">
        <v>115</v>
      </c>
      <c r="Z2587" s="40">
        <v>4</v>
      </c>
      <c r="AA2587" s="40" t="s">
        <v>115</v>
      </c>
      <c r="AB2587" s="40" t="s">
        <v>115</v>
      </c>
      <c r="AC2587" s="40" t="s">
        <v>115</v>
      </c>
      <c r="AI2587" s="40" t="s">
        <v>115</v>
      </c>
      <c r="AP2587" s="4" t="s">
        <v>5200</v>
      </c>
    </row>
    <row r="2588" spans="1:42" x14ac:dyDescent="0.15">
      <c r="A2588" s="40" t="s">
        <v>1</v>
      </c>
      <c r="B2588" s="23" t="s">
        <v>4844</v>
      </c>
      <c r="C2588" s="23">
        <v>2205</v>
      </c>
      <c r="D2588" s="23">
        <v>22</v>
      </c>
      <c r="F2588" s="23" t="s">
        <v>115</v>
      </c>
      <c r="G2588" s="23" t="s">
        <v>115</v>
      </c>
      <c r="H2588" s="23" t="s">
        <v>5201</v>
      </c>
      <c r="I2588" s="23">
        <v>4</v>
      </c>
      <c r="J2588" s="40">
        <v>1</v>
      </c>
      <c r="K2588" s="40">
        <v>1</v>
      </c>
      <c r="L2588" s="40" t="s">
        <v>115</v>
      </c>
      <c r="O2588" s="40" t="s">
        <v>115</v>
      </c>
      <c r="Q2588" s="40">
        <v>351</v>
      </c>
      <c r="R2588" s="40" t="s">
        <v>115</v>
      </c>
      <c r="X2588" s="40">
        <v>90220502</v>
      </c>
      <c r="Y2588" s="40" t="s">
        <v>115</v>
      </c>
      <c r="Z2588" s="40" t="s">
        <v>115</v>
      </c>
      <c r="AA2588" s="40" t="s">
        <v>115</v>
      </c>
      <c r="AB2588" s="40" t="s">
        <v>115</v>
      </c>
      <c r="AC2588" s="40" t="s">
        <v>115</v>
      </c>
      <c r="AI2588" s="40" t="s">
        <v>115</v>
      </c>
      <c r="AP2588" s="4" t="s">
        <v>115</v>
      </c>
    </row>
    <row r="2589" spans="1:42" x14ac:dyDescent="0.15">
      <c r="A2589" s="40" t="s">
        <v>1</v>
      </c>
      <c r="B2589" s="23">
        <v>90220502</v>
      </c>
      <c r="C2589" s="23">
        <v>2205</v>
      </c>
      <c r="D2589" s="23">
        <v>22</v>
      </c>
      <c r="F2589" s="23" t="s">
        <v>116</v>
      </c>
      <c r="G2589" s="23">
        <v>317</v>
      </c>
      <c r="H2589" s="23" t="s">
        <v>5202</v>
      </c>
      <c r="I2589" s="23">
        <v>2</v>
      </c>
      <c r="J2589" s="40">
        <v>0</v>
      </c>
      <c r="K2589" s="40">
        <v>0</v>
      </c>
      <c r="L2589" s="40" t="s">
        <v>115</v>
      </c>
      <c r="O2589" s="40" t="s">
        <v>115</v>
      </c>
      <c r="Q2589" s="40">
        <v>351</v>
      </c>
      <c r="R2589" s="40" t="s">
        <v>115</v>
      </c>
      <c r="X2589" s="40">
        <v>90220503</v>
      </c>
      <c r="Y2589" s="40" t="s">
        <v>115</v>
      </c>
      <c r="Z2589" s="40" t="s">
        <v>115</v>
      </c>
      <c r="AA2589" s="40" t="s">
        <v>115</v>
      </c>
      <c r="AB2589" s="40" t="s">
        <v>115</v>
      </c>
      <c r="AC2589" s="40" t="s">
        <v>115</v>
      </c>
      <c r="AI2589" s="40" t="s">
        <v>115</v>
      </c>
      <c r="AP2589" s="4" t="s">
        <v>115</v>
      </c>
    </row>
    <row r="2590" spans="1:42" x14ac:dyDescent="0.15">
      <c r="A2590" s="40" t="s">
        <v>1</v>
      </c>
      <c r="B2590" s="23">
        <v>90220503</v>
      </c>
      <c r="C2590" s="23">
        <v>2205</v>
      </c>
      <c r="D2590" s="23">
        <v>22</v>
      </c>
      <c r="F2590" s="23" t="s">
        <v>116</v>
      </c>
      <c r="G2590" s="23">
        <v>308</v>
      </c>
      <c r="H2590" s="23" t="s">
        <v>7222</v>
      </c>
      <c r="I2590" s="23">
        <v>2</v>
      </c>
      <c r="J2590" s="40">
        <v>0</v>
      </c>
      <c r="K2590" s="40">
        <v>0</v>
      </c>
      <c r="L2590" s="40" t="s">
        <v>115</v>
      </c>
      <c r="O2590" s="40" t="s">
        <v>115</v>
      </c>
      <c r="Q2590" s="40">
        <v>351</v>
      </c>
      <c r="R2590" s="40" t="s">
        <v>115</v>
      </c>
      <c r="X2590" s="40">
        <v>90220504</v>
      </c>
      <c r="Y2590" s="40" t="s">
        <v>115</v>
      </c>
      <c r="Z2590" s="40" t="s">
        <v>115</v>
      </c>
      <c r="AA2590" s="40" t="s">
        <v>115</v>
      </c>
      <c r="AB2590" s="40" t="s">
        <v>115</v>
      </c>
      <c r="AC2590" s="40" t="s">
        <v>115</v>
      </c>
      <c r="AI2590" s="40" t="s">
        <v>115</v>
      </c>
      <c r="AP2590" s="4" t="s">
        <v>115</v>
      </c>
    </row>
    <row r="2591" spans="1:42" x14ac:dyDescent="0.15">
      <c r="A2591" s="40" t="s">
        <v>1</v>
      </c>
      <c r="B2591" s="23">
        <v>90220504</v>
      </c>
      <c r="C2591" s="23">
        <v>2205</v>
      </c>
      <c r="D2591" s="23">
        <v>22</v>
      </c>
      <c r="F2591" s="23" t="s">
        <v>116</v>
      </c>
      <c r="G2591" s="23">
        <v>317</v>
      </c>
      <c r="H2591" s="23" t="s">
        <v>7223</v>
      </c>
      <c r="I2591" s="23">
        <v>2</v>
      </c>
      <c r="J2591" s="40">
        <v>0</v>
      </c>
      <c r="K2591" s="40">
        <v>0</v>
      </c>
      <c r="L2591" s="40" t="s">
        <v>115</v>
      </c>
      <c r="O2591" s="40" t="s">
        <v>115</v>
      </c>
      <c r="Q2591" s="40">
        <v>351</v>
      </c>
      <c r="R2591" s="40" t="s">
        <v>115</v>
      </c>
      <c r="X2591" s="40">
        <v>90220505</v>
      </c>
      <c r="Y2591" s="40" t="s">
        <v>115</v>
      </c>
      <c r="Z2591" s="40" t="s">
        <v>115</v>
      </c>
      <c r="AA2591" s="40" t="s">
        <v>115</v>
      </c>
      <c r="AB2591" s="40" t="s">
        <v>115</v>
      </c>
      <c r="AC2591" s="40" t="s">
        <v>115</v>
      </c>
      <c r="AI2591" s="40" t="s">
        <v>115</v>
      </c>
      <c r="AP2591" s="4" t="s">
        <v>115</v>
      </c>
    </row>
    <row r="2592" spans="1:42" x14ac:dyDescent="0.15">
      <c r="A2592" s="40" t="s">
        <v>1</v>
      </c>
      <c r="B2592" s="23">
        <v>90220505</v>
      </c>
      <c r="C2592" s="23">
        <v>2205</v>
      </c>
      <c r="D2592" s="23">
        <v>22</v>
      </c>
      <c r="F2592" s="23" t="s">
        <v>115</v>
      </c>
      <c r="G2592" s="23" t="s">
        <v>115</v>
      </c>
      <c r="H2592" s="23" t="s">
        <v>5203</v>
      </c>
      <c r="I2592" s="23">
        <v>4</v>
      </c>
      <c r="J2592" s="40">
        <v>0</v>
      </c>
      <c r="K2592" s="40">
        <v>0</v>
      </c>
      <c r="L2592" s="40" t="s">
        <v>115</v>
      </c>
      <c r="O2592" s="40" t="s">
        <v>115</v>
      </c>
      <c r="Q2592" s="40">
        <v>351</v>
      </c>
      <c r="R2592" s="40" t="s">
        <v>115</v>
      </c>
      <c r="X2592" s="40">
        <v>90220506</v>
      </c>
      <c r="Y2592" s="40" t="s">
        <v>115</v>
      </c>
      <c r="Z2592" s="40" t="s">
        <v>115</v>
      </c>
      <c r="AA2592" s="40" t="s">
        <v>115</v>
      </c>
      <c r="AB2592" s="40" t="s">
        <v>115</v>
      </c>
      <c r="AC2592" s="40" t="s">
        <v>115</v>
      </c>
      <c r="AI2592" s="40" t="s">
        <v>115</v>
      </c>
      <c r="AP2592" s="4" t="s">
        <v>115</v>
      </c>
    </row>
    <row r="2593" spans="1:42" x14ac:dyDescent="0.15">
      <c r="A2593" s="40" t="s">
        <v>1</v>
      </c>
      <c r="B2593" s="23">
        <v>90220506</v>
      </c>
      <c r="C2593" s="23">
        <v>2205</v>
      </c>
      <c r="D2593" s="23">
        <v>22</v>
      </c>
      <c r="F2593" s="23" t="s">
        <v>115</v>
      </c>
      <c r="G2593" s="23" t="s">
        <v>115</v>
      </c>
      <c r="H2593" s="23" t="s">
        <v>7224</v>
      </c>
      <c r="I2593" s="23">
        <v>4</v>
      </c>
      <c r="J2593" s="40">
        <v>0</v>
      </c>
      <c r="K2593" s="40">
        <v>0</v>
      </c>
      <c r="L2593" s="40" t="s">
        <v>115</v>
      </c>
      <c r="O2593" s="40" t="s">
        <v>115</v>
      </c>
      <c r="Q2593" s="40">
        <v>351</v>
      </c>
      <c r="R2593" s="40" t="s">
        <v>115</v>
      </c>
      <c r="X2593" s="40">
        <v>90220507</v>
      </c>
      <c r="Y2593" s="40" t="s">
        <v>115</v>
      </c>
      <c r="Z2593" s="40" t="s">
        <v>115</v>
      </c>
      <c r="AA2593" s="40" t="s">
        <v>115</v>
      </c>
      <c r="AB2593" s="40" t="s">
        <v>115</v>
      </c>
      <c r="AC2593" s="40" t="s">
        <v>115</v>
      </c>
      <c r="AI2593" s="40" t="s">
        <v>115</v>
      </c>
      <c r="AP2593" s="4" t="s">
        <v>115</v>
      </c>
    </row>
    <row r="2594" spans="1:42" x14ac:dyDescent="0.15">
      <c r="A2594" s="40" t="s">
        <v>1</v>
      </c>
      <c r="B2594" s="23">
        <v>90220507</v>
      </c>
      <c r="C2594" s="23">
        <v>2205</v>
      </c>
      <c r="D2594" s="23">
        <v>22</v>
      </c>
      <c r="F2594" s="23" t="s">
        <v>5204</v>
      </c>
      <c r="G2594" s="23" t="s">
        <v>115</v>
      </c>
      <c r="H2594" s="23" t="s">
        <v>5205</v>
      </c>
      <c r="I2594" s="23">
        <v>3</v>
      </c>
      <c r="J2594" s="40">
        <v>0</v>
      </c>
      <c r="K2594" s="40">
        <v>0</v>
      </c>
      <c r="L2594" s="40" t="s">
        <v>115</v>
      </c>
      <c r="O2594" s="40" t="s">
        <v>115</v>
      </c>
      <c r="Q2594" s="40">
        <v>351</v>
      </c>
      <c r="R2594" s="40">
        <v>98</v>
      </c>
      <c r="X2594" s="40">
        <v>90220508</v>
      </c>
      <c r="Y2594" s="40" t="s">
        <v>115</v>
      </c>
      <c r="Z2594" s="40" t="s">
        <v>115</v>
      </c>
      <c r="AA2594" s="40" t="s">
        <v>115</v>
      </c>
      <c r="AB2594" s="40" t="s">
        <v>115</v>
      </c>
      <c r="AC2594" s="40" t="s">
        <v>115</v>
      </c>
      <c r="AI2594" s="40" t="s">
        <v>115</v>
      </c>
      <c r="AP2594" s="4" t="s">
        <v>115</v>
      </c>
    </row>
    <row r="2595" spans="1:42" x14ac:dyDescent="0.15">
      <c r="A2595" s="40" t="s">
        <v>1</v>
      </c>
      <c r="B2595" s="23">
        <v>90220508</v>
      </c>
      <c r="C2595" s="23">
        <v>2205</v>
      </c>
      <c r="D2595" s="23">
        <v>22</v>
      </c>
      <c r="F2595" s="23" t="s">
        <v>116</v>
      </c>
      <c r="G2595" s="23">
        <v>312</v>
      </c>
      <c r="H2595" s="23" t="s">
        <v>5206</v>
      </c>
      <c r="I2595" s="23">
        <v>0</v>
      </c>
      <c r="J2595" s="40">
        <v>0</v>
      </c>
      <c r="K2595" s="40">
        <v>0</v>
      </c>
      <c r="L2595" s="40" t="s">
        <v>115</v>
      </c>
      <c r="O2595" s="40" t="s">
        <v>115</v>
      </c>
      <c r="Q2595" s="40">
        <v>351</v>
      </c>
      <c r="R2595" s="40">
        <v>98</v>
      </c>
      <c r="X2595" s="40">
        <v>90220509</v>
      </c>
      <c r="Y2595" s="40" t="s">
        <v>115</v>
      </c>
      <c r="Z2595" s="40" t="s">
        <v>115</v>
      </c>
      <c r="AA2595" s="40" t="s">
        <v>115</v>
      </c>
      <c r="AB2595" s="40" t="s">
        <v>115</v>
      </c>
      <c r="AC2595" s="40" t="s">
        <v>115</v>
      </c>
      <c r="AI2595" s="40" t="s">
        <v>115</v>
      </c>
      <c r="AP2595" s="4" t="s">
        <v>115</v>
      </c>
    </row>
    <row r="2596" spans="1:42" x14ac:dyDescent="0.15">
      <c r="A2596" s="40" t="s">
        <v>1</v>
      </c>
      <c r="B2596" s="23">
        <v>90220509</v>
      </c>
      <c r="C2596" s="23">
        <v>2205</v>
      </c>
      <c r="D2596" s="23">
        <v>22</v>
      </c>
      <c r="F2596" s="23" t="s">
        <v>5204</v>
      </c>
      <c r="G2596" s="23" t="s">
        <v>115</v>
      </c>
      <c r="H2596" s="23" t="s">
        <v>5207</v>
      </c>
      <c r="I2596" s="23">
        <v>3</v>
      </c>
      <c r="J2596" s="40">
        <v>0</v>
      </c>
      <c r="K2596" s="40">
        <v>0</v>
      </c>
      <c r="L2596" s="40" t="s">
        <v>115</v>
      </c>
      <c r="O2596" s="40" t="s">
        <v>115</v>
      </c>
      <c r="Q2596" s="40">
        <v>351</v>
      </c>
      <c r="R2596" s="40">
        <v>98</v>
      </c>
      <c r="X2596" s="40">
        <v>90220510</v>
      </c>
      <c r="Y2596" s="40" t="s">
        <v>115</v>
      </c>
      <c r="Z2596" s="40" t="s">
        <v>115</v>
      </c>
      <c r="AA2596" s="40" t="s">
        <v>115</v>
      </c>
      <c r="AB2596" s="40" t="s">
        <v>115</v>
      </c>
      <c r="AC2596" s="40" t="s">
        <v>115</v>
      </c>
      <c r="AI2596" s="40" t="s">
        <v>115</v>
      </c>
      <c r="AP2596" s="4" t="s">
        <v>115</v>
      </c>
    </row>
    <row r="2597" spans="1:42" x14ac:dyDescent="0.15">
      <c r="A2597" s="40" t="s">
        <v>1</v>
      </c>
      <c r="B2597" s="23">
        <v>90220510</v>
      </c>
      <c r="C2597" s="23">
        <v>2205</v>
      </c>
      <c r="D2597" s="23">
        <v>22</v>
      </c>
      <c r="F2597" s="23" t="s">
        <v>116</v>
      </c>
      <c r="G2597" s="23">
        <v>312</v>
      </c>
      <c r="H2597" s="23" t="s">
        <v>7225</v>
      </c>
      <c r="I2597" s="23">
        <v>0</v>
      </c>
      <c r="J2597" s="40">
        <v>0</v>
      </c>
      <c r="K2597" s="40">
        <v>0</v>
      </c>
      <c r="L2597" s="40" t="s">
        <v>115</v>
      </c>
      <c r="O2597" s="40" t="s">
        <v>115</v>
      </c>
      <c r="Q2597" s="40">
        <v>351</v>
      </c>
      <c r="R2597" s="40">
        <v>98</v>
      </c>
      <c r="X2597" s="40">
        <v>90220511</v>
      </c>
      <c r="Y2597" s="40" t="s">
        <v>115</v>
      </c>
      <c r="Z2597" s="40" t="s">
        <v>115</v>
      </c>
      <c r="AA2597" s="40" t="s">
        <v>115</v>
      </c>
      <c r="AB2597" s="40" t="s">
        <v>115</v>
      </c>
      <c r="AC2597" s="40" t="s">
        <v>115</v>
      </c>
      <c r="AI2597" s="40" t="s">
        <v>115</v>
      </c>
      <c r="AP2597" s="4" t="s">
        <v>115</v>
      </c>
    </row>
    <row r="2598" spans="1:42" x14ac:dyDescent="0.15">
      <c r="A2598" s="40" t="s">
        <v>1</v>
      </c>
      <c r="B2598" s="23">
        <v>90220511</v>
      </c>
      <c r="C2598" s="23">
        <v>2205</v>
      </c>
      <c r="D2598" s="23">
        <v>22</v>
      </c>
      <c r="F2598" s="23" t="s">
        <v>5204</v>
      </c>
      <c r="G2598" s="23" t="s">
        <v>115</v>
      </c>
      <c r="H2598" s="23" t="s">
        <v>5208</v>
      </c>
      <c r="I2598" s="23">
        <v>3</v>
      </c>
      <c r="J2598" s="40">
        <v>0</v>
      </c>
      <c r="K2598" s="40">
        <v>0</v>
      </c>
      <c r="L2598" s="40" t="s">
        <v>115</v>
      </c>
      <c r="O2598" s="40" t="s">
        <v>115</v>
      </c>
      <c r="Q2598" s="40">
        <v>351</v>
      </c>
      <c r="R2598" s="40">
        <v>98</v>
      </c>
      <c r="X2598" s="40">
        <v>90220512</v>
      </c>
      <c r="Y2598" s="40" t="s">
        <v>115</v>
      </c>
      <c r="Z2598" s="40" t="s">
        <v>115</v>
      </c>
      <c r="AA2598" s="40" t="s">
        <v>115</v>
      </c>
      <c r="AB2598" s="40" t="s">
        <v>115</v>
      </c>
      <c r="AC2598" s="40" t="s">
        <v>115</v>
      </c>
      <c r="AI2598" s="40" t="s">
        <v>115</v>
      </c>
      <c r="AP2598" s="4" t="s">
        <v>115</v>
      </c>
    </row>
    <row r="2599" spans="1:42" x14ac:dyDescent="0.15">
      <c r="A2599" s="40" t="s">
        <v>1</v>
      </c>
      <c r="B2599" s="23">
        <v>90220512</v>
      </c>
      <c r="C2599" s="23">
        <v>2205</v>
      </c>
      <c r="D2599" s="23">
        <v>22</v>
      </c>
      <c r="F2599" s="23" t="s">
        <v>115</v>
      </c>
      <c r="G2599" s="23" t="s">
        <v>115</v>
      </c>
      <c r="H2599" s="23" t="s">
        <v>5209</v>
      </c>
      <c r="I2599" s="23">
        <v>4</v>
      </c>
      <c r="J2599" s="40">
        <v>0</v>
      </c>
      <c r="K2599" s="40">
        <v>2</v>
      </c>
      <c r="L2599" s="40" t="s">
        <v>115</v>
      </c>
      <c r="O2599" s="40" t="s">
        <v>115</v>
      </c>
      <c r="Q2599" s="40">
        <v>351</v>
      </c>
      <c r="R2599" s="40" t="s">
        <v>115</v>
      </c>
      <c r="X2599" s="40" t="s">
        <v>5210</v>
      </c>
      <c r="Y2599" s="40">
        <v>1</v>
      </c>
      <c r="Z2599" s="40">
        <v>1</v>
      </c>
      <c r="AA2599" s="40" t="s">
        <v>115</v>
      </c>
      <c r="AB2599" s="40" t="s">
        <v>115</v>
      </c>
      <c r="AC2599" s="40" t="s">
        <v>115</v>
      </c>
      <c r="AI2599" s="40" t="s">
        <v>115</v>
      </c>
      <c r="AP2599" s="4" t="s">
        <v>115</v>
      </c>
    </row>
    <row r="2600" spans="1:42" x14ac:dyDescent="0.15">
      <c r="A2600" s="40" t="s">
        <v>1</v>
      </c>
      <c r="B2600" s="23">
        <v>90220513</v>
      </c>
      <c r="C2600" s="23">
        <v>2205</v>
      </c>
      <c r="D2600" s="23">
        <v>22</v>
      </c>
      <c r="F2600" s="23" t="s">
        <v>115</v>
      </c>
      <c r="G2600" s="23" t="s">
        <v>115</v>
      </c>
      <c r="H2600" s="23" t="s">
        <v>5211</v>
      </c>
      <c r="I2600" s="23">
        <v>4</v>
      </c>
      <c r="J2600" s="40">
        <v>0</v>
      </c>
      <c r="K2600" s="40">
        <v>3</v>
      </c>
      <c r="L2600" s="40" t="s">
        <v>115</v>
      </c>
      <c r="O2600" s="40" t="s">
        <v>115</v>
      </c>
      <c r="Q2600" s="40">
        <v>351</v>
      </c>
      <c r="R2600" s="40" t="s">
        <v>115</v>
      </c>
      <c r="X2600" s="40">
        <v>90220514</v>
      </c>
      <c r="Y2600" s="40">
        <v>-1</v>
      </c>
      <c r="Z2600" s="40">
        <v>2</v>
      </c>
      <c r="AA2600" s="40" t="s">
        <v>115</v>
      </c>
      <c r="AB2600" s="40" t="s">
        <v>115</v>
      </c>
      <c r="AC2600" s="40" t="s">
        <v>5212</v>
      </c>
      <c r="AI2600" s="40" t="s">
        <v>115</v>
      </c>
      <c r="AP2600" s="4" t="s">
        <v>115</v>
      </c>
    </row>
    <row r="2601" spans="1:42" x14ac:dyDescent="0.15">
      <c r="A2601" s="40" t="s">
        <v>1</v>
      </c>
      <c r="B2601" s="23">
        <v>90220514</v>
      </c>
      <c r="C2601" s="23">
        <v>2205</v>
      </c>
      <c r="D2601" s="23">
        <v>22</v>
      </c>
      <c r="F2601" s="23" t="s">
        <v>115</v>
      </c>
      <c r="G2601" s="23" t="s">
        <v>115</v>
      </c>
      <c r="H2601" s="23" t="s">
        <v>5213</v>
      </c>
      <c r="I2601" s="23">
        <v>4</v>
      </c>
      <c r="J2601" s="40">
        <v>0</v>
      </c>
      <c r="K2601" s="40">
        <v>0</v>
      </c>
      <c r="L2601" s="40" t="s">
        <v>115</v>
      </c>
      <c r="O2601" s="40" t="s">
        <v>115</v>
      </c>
      <c r="Q2601" s="40">
        <v>351</v>
      </c>
      <c r="R2601" s="40" t="s">
        <v>115</v>
      </c>
      <c r="X2601" s="40">
        <v>90220515</v>
      </c>
      <c r="Y2601" s="40" t="s">
        <v>115</v>
      </c>
      <c r="Z2601" s="40" t="s">
        <v>115</v>
      </c>
      <c r="AA2601" s="40" t="s">
        <v>115</v>
      </c>
      <c r="AB2601" s="40" t="s">
        <v>115</v>
      </c>
      <c r="AC2601" s="40" t="s">
        <v>115</v>
      </c>
      <c r="AI2601" s="40" t="s">
        <v>115</v>
      </c>
      <c r="AP2601" s="4" t="s">
        <v>115</v>
      </c>
    </row>
    <row r="2602" spans="1:42" x14ac:dyDescent="0.15">
      <c r="A2602" s="40" t="s">
        <v>1</v>
      </c>
      <c r="B2602" s="23">
        <v>90220515</v>
      </c>
      <c r="C2602" s="23">
        <v>2205</v>
      </c>
      <c r="D2602" s="23">
        <v>22</v>
      </c>
      <c r="F2602" s="23" t="s">
        <v>116</v>
      </c>
      <c r="G2602" s="23">
        <v>310</v>
      </c>
      <c r="H2602" s="23" t="s">
        <v>7226</v>
      </c>
      <c r="I2602" s="23">
        <v>2</v>
      </c>
      <c r="J2602" s="40">
        <v>0</v>
      </c>
      <c r="K2602" s="40">
        <v>0</v>
      </c>
      <c r="L2602" s="40" t="s">
        <v>115</v>
      </c>
      <c r="O2602" s="40" t="s">
        <v>115</v>
      </c>
      <c r="Q2602" s="40">
        <v>351</v>
      </c>
      <c r="R2602" s="40" t="s">
        <v>115</v>
      </c>
      <c r="X2602" s="40">
        <v>90220516</v>
      </c>
      <c r="Y2602" s="40" t="s">
        <v>115</v>
      </c>
      <c r="Z2602" s="40" t="s">
        <v>115</v>
      </c>
      <c r="AA2602" s="40" t="s">
        <v>115</v>
      </c>
      <c r="AB2602" s="40" t="s">
        <v>115</v>
      </c>
      <c r="AC2602" s="40" t="s">
        <v>115</v>
      </c>
      <c r="AI2602" s="40" t="s">
        <v>115</v>
      </c>
      <c r="AP2602" s="4" t="s">
        <v>115</v>
      </c>
    </row>
    <row r="2603" spans="1:42" x14ac:dyDescent="0.15">
      <c r="A2603" s="40" t="s">
        <v>1</v>
      </c>
      <c r="B2603" s="23">
        <v>90220516</v>
      </c>
      <c r="C2603" s="23">
        <v>2205</v>
      </c>
      <c r="D2603" s="23">
        <v>22</v>
      </c>
      <c r="F2603" s="23" t="s">
        <v>116</v>
      </c>
      <c r="G2603" s="23">
        <v>310</v>
      </c>
      <c r="H2603" s="23" t="s">
        <v>7227</v>
      </c>
      <c r="I2603" s="23">
        <v>2</v>
      </c>
      <c r="J2603" s="40">
        <v>0</v>
      </c>
      <c r="K2603" s="40">
        <v>0</v>
      </c>
      <c r="L2603" s="40" t="s">
        <v>115</v>
      </c>
      <c r="O2603" s="40" t="s">
        <v>115</v>
      </c>
      <c r="Q2603" s="40">
        <v>351</v>
      </c>
      <c r="R2603" s="40" t="s">
        <v>115</v>
      </c>
      <c r="X2603" s="40">
        <v>90220517</v>
      </c>
      <c r="Y2603" s="40" t="s">
        <v>115</v>
      </c>
      <c r="Z2603" s="40" t="s">
        <v>115</v>
      </c>
      <c r="AA2603" s="40" t="s">
        <v>115</v>
      </c>
      <c r="AB2603" s="40" t="s">
        <v>115</v>
      </c>
      <c r="AC2603" s="40" t="s">
        <v>115</v>
      </c>
      <c r="AI2603" s="40" t="s">
        <v>115</v>
      </c>
      <c r="AP2603" s="4" t="s">
        <v>115</v>
      </c>
    </row>
    <row r="2604" spans="1:42" x14ac:dyDescent="0.15">
      <c r="A2604" s="40" t="s">
        <v>1</v>
      </c>
      <c r="B2604" s="23">
        <v>90220517</v>
      </c>
      <c r="C2604" s="23">
        <v>2205</v>
      </c>
      <c r="D2604" s="23">
        <v>22</v>
      </c>
      <c r="F2604" s="23" t="s">
        <v>116</v>
      </c>
      <c r="G2604" s="23">
        <v>310</v>
      </c>
      <c r="H2604" s="23" t="s">
        <v>5214</v>
      </c>
      <c r="I2604" s="23">
        <v>2</v>
      </c>
      <c r="J2604" s="40">
        <v>0</v>
      </c>
      <c r="K2604" s="40">
        <v>0</v>
      </c>
      <c r="L2604" s="40" t="s">
        <v>115</v>
      </c>
      <c r="O2604" s="40" t="s">
        <v>115</v>
      </c>
      <c r="Q2604" s="40">
        <v>351</v>
      </c>
      <c r="R2604" s="40" t="s">
        <v>115</v>
      </c>
      <c r="X2604" s="40">
        <v>90220518</v>
      </c>
      <c r="Y2604" s="40" t="s">
        <v>115</v>
      </c>
      <c r="Z2604" s="40" t="s">
        <v>115</v>
      </c>
      <c r="AA2604" s="40" t="s">
        <v>115</v>
      </c>
      <c r="AB2604" s="40" t="s">
        <v>115</v>
      </c>
      <c r="AC2604" s="40" t="s">
        <v>115</v>
      </c>
      <c r="AI2604" s="40" t="s">
        <v>115</v>
      </c>
      <c r="AP2604" s="4" t="s">
        <v>115</v>
      </c>
    </row>
    <row r="2605" spans="1:42" x14ac:dyDescent="0.15">
      <c r="A2605" s="40" t="s">
        <v>1</v>
      </c>
      <c r="B2605" s="23">
        <v>90220518</v>
      </c>
      <c r="C2605" s="23">
        <v>2205</v>
      </c>
      <c r="D2605" s="23">
        <v>22</v>
      </c>
      <c r="F2605" s="23" t="s">
        <v>115</v>
      </c>
      <c r="G2605" s="23" t="s">
        <v>115</v>
      </c>
      <c r="H2605" s="23" t="s">
        <v>7228</v>
      </c>
      <c r="I2605" s="23">
        <v>4</v>
      </c>
      <c r="J2605" s="40">
        <v>0</v>
      </c>
      <c r="K2605" s="40">
        <v>4</v>
      </c>
      <c r="L2605" s="40" t="s">
        <v>115</v>
      </c>
      <c r="O2605" s="40">
        <v>1</v>
      </c>
      <c r="Q2605" s="40">
        <v>351</v>
      </c>
      <c r="R2605" s="40" t="s">
        <v>115</v>
      </c>
      <c r="X2605" s="40" t="s">
        <v>115</v>
      </c>
      <c r="Y2605" s="40" t="s">
        <v>115</v>
      </c>
      <c r="Z2605" s="40">
        <v>3</v>
      </c>
      <c r="AA2605" s="40" t="s">
        <v>115</v>
      </c>
      <c r="AB2605" s="40" t="s">
        <v>115</v>
      </c>
      <c r="AC2605" s="40" t="s">
        <v>115</v>
      </c>
      <c r="AI2605" s="40" t="s">
        <v>115</v>
      </c>
      <c r="AP2605" s="4" t="s">
        <v>115</v>
      </c>
    </row>
    <row r="2606" spans="1:42" x14ac:dyDescent="0.15">
      <c r="A2606" s="40" t="s">
        <v>1</v>
      </c>
      <c r="B2606" s="23" t="s">
        <v>4845</v>
      </c>
      <c r="C2606" s="23">
        <v>2206</v>
      </c>
      <c r="D2606" s="23">
        <v>22</v>
      </c>
      <c r="F2606" s="23" t="s">
        <v>115</v>
      </c>
      <c r="G2606" s="23" t="s">
        <v>115</v>
      </c>
      <c r="H2606" s="23" t="s">
        <v>7229</v>
      </c>
      <c r="I2606" s="23">
        <v>4</v>
      </c>
      <c r="J2606" s="40">
        <v>1</v>
      </c>
      <c r="K2606" s="40">
        <v>1</v>
      </c>
      <c r="L2606" s="40" t="s">
        <v>115</v>
      </c>
      <c r="O2606" s="40" t="s">
        <v>115</v>
      </c>
      <c r="Q2606" s="40">
        <v>137</v>
      </c>
      <c r="R2606" s="40" t="s">
        <v>115</v>
      </c>
      <c r="X2606" s="40">
        <v>90220602</v>
      </c>
      <c r="Y2606" s="40" t="s">
        <v>115</v>
      </c>
      <c r="Z2606" s="40" t="s">
        <v>115</v>
      </c>
      <c r="AA2606" s="40" t="s">
        <v>115</v>
      </c>
      <c r="AB2606" s="40" t="s">
        <v>115</v>
      </c>
      <c r="AC2606" s="40" t="s">
        <v>115</v>
      </c>
      <c r="AI2606" s="40" t="s">
        <v>115</v>
      </c>
      <c r="AP2606" s="4" t="s">
        <v>115</v>
      </c>
    </row>
    <row r="2607" spans="1:42" x14ac:dyDescent="0.15">
      <c r="A2607" s="40" t="s">
        <v>1</v>
      </c>
      <c r="B2607" s="23">
        <v>90220602</v>
      </c>
      <c r="C2607" s="23">
        <v>2206</v>
      </c>
      <c r="D2607" s="23">
        <v>22</v>
      </c>
      <c r="F2607" s="23" t="s">
        <v>115</v>
      </c>
      <c r="G2607" s="23" t="s">
        <v>115</v>
      </c>
      <c r="H2607" s="23" t="s">
        <v>5215</v>
      </c>
      <c r="I2607" s="23">
        <v>4</v>
      </c>
      <c r="J2607" s="40">
        <v>0</v>
      </c>
      <c r="K2607" s="40">
        <v>0</v>
      </c>
      <c r="L2607" s="40" t="s">
        <v>115</v>
      </c>
      <c r="O2607" s="40" t="s">
        <v>115</v>
      </c>
      <c r="Q2607" s="40">
        <v>137</v>
      </c>
      <c r="R2607" s="40" t="s">
        <v>115</v>
      </c>
      <c r="X2607" s="40">
        <v>90220603</v>
      </c>
      <c r="Y2607" s="40" t="s">
        <v>115</v>
      </c>
      <c r="Z2607" s="40" t="s">
        <v>115</v>
      </c>
      <c r="AA2607" s="40" t="s">
        <v>115</v>
      </c>
      <c r="AB2607" s="40" t="s">
        <v>115</v>
      </c>
      <c r="AC2607" s="40" t="s">
        <v>115</v>
      </c>
      <c r="AI2607" s="40" t="s">
        <v>115</v>
      </c>
      <c r="AP2607" s="4" t="s">
        <v>115</v>
      </c>
    </row>
    <row r="2608" spans="1:42" x14ac:dyDescent="0.15">
      <c r="A2608" s="40" t="s">
        <v>1</v>
      </c>
      <c r="B2608" s="23">
        <v>90220603</v>
      </c>
      <c r="C2608" s="23">
        <v>2206</v>
      </c>
      <c r="D2608" s="23">
        <v>22</v>
      </c>
      <c r="F2608" s="23" t="s">
        <v>116</v>
      </c>
      <c r="G2608" s="23">
        <v>313</v>
      </c>
      <c r="H2608" s="23" t="s">
        <v>5216</v>
      </c>
      <c r="I2608" s="23">
        <v>2</v>
      </c>
      <c r="J2608" s="40">
        <v>0</v>
      </c>
      <c r="K2608" s="40">
        <v>0</v>
      </c>
      <c r="L2608" s="40" t="s">
        <v>115</v>
      </c>
      <c r="O2608" s="40" t="s">
        <v>115</v>
      </c>
      <c r="Q2608" s="40">
        <v>12</v>
      </c>
      <c r="R2608" s="40" t="s">
        <v>115</v>
      </c>
      <c r="X2608" s="40">
        <v>90220604</v>
      </c>
      <c r="Y2608" s="40" t="s">
        <v>115</v>
      </c>
      <c r="Z2608" s="40" t="s">
        <v>115</v>
      </c>
      <c r="AA2608" s="40" t="s">
        <v>115</v>
      </c>
      <c r="AB2608" s="40" t="s">
        <v>115</v>
      </c>
      <c r="AC2608" s="40" t="s">
        <v>115</v>
      </c>
      <c r="AI2608" s="40" t="s">
        <v>115</v>
      </c>
      <c r="AP2608" s="4" t="s">
        <v>115</v>
      </c>
    </row>
    <row r="2609" spans="1:42" x14ac:dyDescent="0.15">
      <c r="A2609" s="40" t="s">
        <v>1</v>
      </c>
      <c r="B2609" s="23">
        <v>90220604</v>
      </c>
      <c r="C2609" s="23">
        <v>2206</v>
      </c>
      <c r="D2609" s="23">
        <v>22</v>
      </c>
      <c r="F2609" s="23" t="s">
        <v>115</v>
      </c>
      <c r="G2609" s="23" t="s">
        <v>115</v>
      </c>
      <c r="H2609" s="23" t="s">
        <v>5217</v>
      </c>
      <c r="I2609" s="23">
        <v>4</v>
      </c>
      <c r="J2609" s="40">
        <v>0</v>
      </c>
      <c r="K2609" s="40">
        <v>0</v>
      </c>
      <c r="L2609" s="40" t="s">
        <v>115</v>
      </c>
      <c r="O2609" s="40" t="s">
        <v>115</v>
      </c>
      <c r="Q2609" s="40">
        <v>12</v>
      </c>
      <c r="R2609" s="40" t="s">
        <v>115</v>
      </c>
      <c r="X2609" s="40">
        <v>90220605</v>
      </c>
      <c r="Y2609" s="40" t="s">
        <v>115</v>
      </c>
      <c r="Z2609" s="40" t="s">
        <v>115</v>
      </c>
      <c r="AA2609" s="40" t="s">
        <v>115</v>
      </c>
      <c r="AB2609" s="40" t="s">
        <v>115</v>
      </c>
      <c r="AC2609" s="40" t="s">
        <v>115</v>
      </c>
      <c r="AI2609" s="40" t="s">
        <v>115</v>
      </c>
      <c r="AP2609" s="4" t="s">
        <v>115</v>
      </c>
    </row>
    <row r="2610" spans="1:42" x14ac:dyDescent="0.15">
      <c r="A2610" s="40" t="s">
        <v>1</v>
      </c>
      <c r="B2610" s="23">
        <v>90220605</v>
      </c>
      <c r="C2610" s="23">
        <v>2206</v>
      </c>
      <c r="D2610" s="23">
        <v>22</v>
      </c>
      <c r="F2610" s="23" t="s">
        <v>115</v>
      </c>
      <c r="G2610" s="23" t="s">
        <v>115</v>
      </c>
      <c r="H2610" s="23" t="s">
        <v>5218</v>
      </c>
      <c r="I2610" s="23">
        <v>4</v>
      </c>
      <c r="J2610" s="40">
        <v>0</v>
      </c>
      <c r="K2610" s="40">
        <v>0</v>
      </c>
      <c r="L2610" s="40" t="s">
        <v>115</v>
      </c>
      <c r="O2610" s="40" t="s">
        <v>115</v>
      </c>
      <c r="Q2610" s="40">
        <v>12</v>
      </c>
      <c r="R2610" s="40">
        <v>133</v>
      </c>
      <c r="X2610" s="40">
        <v>90220606</v>
      </c>
      <c r="Y2610" s="40" t="s">
        <v>115</v>
      </c>
      <c r="Z2610" s="40" t="s">
        <v>115</v>
      </c>
      <c r="AA2610" s="40" t="s">
        <v>115</v>
      </c>
      <c r="AB2610" s="40" t="s">
        <v>115</v>
      </c>
      <c r="AC2610" s="40" t="s">
        <v>115</v>
      </c>
      <c r="AI2610" s="40" t="s">
        <v>115</v>
      </c>
      <c r="AP2610" s="4" t="s">
        <v>115</v>
      </c>
    </row>
    <row r="2611" spans="1:42" x14ac:dyDescent="0.15">
      <c r="A2611" s="40" t="s">
        <v>1</v>
      </c>
      <c r="B2611" s="23">
        <v>90220606</v>
      </c>
      <c r="C2611" s="23">
        <v>2206</v>
      </c>
      <c r="D2611" s="23">
        <v>22</v>
      </c>
      <c r="F2611" s="23" t="s">
        <v>5219</v>
      </c>
      <c r="G2611" s="23" t="s">
        <v>115</v>
      </c>
      <c r="H2611" s="23" t="s">
        <v>5220</v>
      </c>
      <c r="I2611" s="23">
        <v>3</v>
      </c>
      <c r="J2611" s="40">
        <v>0</v>
      </c>
      <c r="K2611" s="40">
        <v>0</v>
      </c>
      <c r="L2611" s="40" t="s">
        <v>115</v>
      </c>
      <c r="O2611" s="40" t="s">
        <v>115</v>
      </c>
      <c r="Q2611" s="40">
        <v>12</v>
      </c>
      <c r="R2611" s="40">
        <v>133</v>
      </c>
      <c r="X2611" s="40">
        <v>90220607</v>
      </c>
      <c r="Y2611" s="40" t="s">
        <v>115</v>
      </c>
      <c r="Z2611" s="40" t="s">
        <v>115</v>
      </c>
      <c r="AA2611" s="40" t="s">
        <v>115</v>
      </c>
      <c r="AB2611" s="40" t="s">
        <v>115</v>
      </c>
      <c r="AC2611" s="40" t="s">
        <v>115</v>
      </c>
      <c r="AI2611" s="40" t="s">
        <v>115</v>
      </c>
      <c r="AP2611" s="4" t="s">
        <v>115</v>
      </c>
    </row>
    <row r="2612" spans="1:42" x14ac:dyDescent="0.15">
      <c r="A2612" s="40" t="s">
        <v>1</v>
      </c>
      <c r="B2612" s="23">
        <v>90220607</v>
      </c>
      <c r="C2612" s="23">
        <v>2206</v>
      </c>
      <c r="D2612" s="23">
        <v>22</v>
      </c>
      <c r="F2612" s="23" t="s">
        <v>116</v>
      </c>
      <c r="G2612" s="23">
        <v>312</v>
      </c>
      <c r="H2612" s="23" t="s">
        <v>5221</v>
      </c>
      <c r="I2612" s="23">
        <v>0</v>
      </c>
      <c r="J2612" s="40">
        <v>0</v>
      </c>
      <c r="K2612" s="40">
        <v>0</v>
      </c>
      <c r="L2612" s="40" t="s">
        <v>115</v>
      </c>
      <c r="O2612" s="40" t="s">
        <v>115</v>
      </c>
      <c r="Q2612" s="40">
        <v>12</v>
      </c>
      <c r="R2612" s="40">
        <v>133</v>
      </c>
      <c r="X2612" s="40">
        <v>90220608</v>
      </c>
      <c r="Y2612" s="40" t="s">
        <v>115</v>
      </c>
      <c r="Z2612" s="40" t="s">
        <v>115</v>
      </c>
      <c r="AA2612" s="40" t="s">
        <v>115</v>
      </c>
      <c r="AB2612" s="40" t="s">
        <v>115</v>
      </c>
      <c r="AC2612" s="40" t="s">
        <v>115</v>
      </c>
      <c r="AI2612" s="40" t="s">
        <v>115</v>
      </c>
      <c r="AP2612" s="4" t="s">
        <v>115</v>
      </c>
    </row>
    <row r="2613" spans="1:42" x14ac:dyDescent="0.15">
      <c r="A2613" s="40" t="s">
        <v>1</v>
      </c>
      <c r="B2613" s="23">
        <v>90220608</v>
      </c>
      <c r="C2613" s="23">
        <v>2206</v>
      </c>
      <c r="D2613" s="23">
        <v>22</v>
      </c>
      <c r="F2613" s="23" t="s">
        <v>115</v>
      </c>
      <c r="G2613" s="23" t="s">
        <v>115</v>
      </c>
      <c r="H2613" s="23" t="s">
        <v>5222</v>
      </c>
      <c r="I2613" s="23">
        <v>4</v>
      </c>
      <c r="J2613" s="40">
        <v>0</v>
      </c>
      <c r="K2613" s="40">
        <v>0</v>
      </c>
      <c r="L2613" s="40" t="s">
        <v>115</v>
      </c>
      <c r="O2613" s="40" t="s">
        <v>115</v>
      </c>
      <c r="Q2613" s="40">
        <v>12</v>
      </c>
      <c r="R2613" s="40">
        <v>133</v>
      </c>
      <c r="X2613" s="40">
        <v>90220609</v>
      </c>
      <c r="Y2613" s="40" t="s">
        <v>115</v>
      </c>
      <c r="Z2613" s="40" t="s">
        <v>115</v>
      </c>
      <c r="AA2613" s="40" t="s">
        <v>115</v>
      </c>
      <c r="AB2613" s="40" t="s">
        <v>115</v>
      </c>
      <c r="AC2613" s="40" t="s">
        <v>115</v>
      </c>
      <c r="AI2613" s="40" t="s">
        <v>115</v>
      </c>
      <c r="AP2613" s="4" t="s">
        <v>115</v>
      </c>
    </row>
    <row r="2614" spans="1:42" x14ac:dyDescent="0.15">
      <c r="A2614" s="40" t="s">
        <v>1</v>
      </c>
      <c r="B2614" s="23">
        <v>90220609</v>
      </c>
      <c r="C2614" s="23">
        <v>2206</v>
      </c>
      <c r="D2614" s="23">
        <v>22</v>
      </c>
      <c r="F2614" s="23" t="s">
        <v>116</v>
      </c>
      <c r="G2614" s="23">
        <v>312</v>
      </c>
      <c r="H2614" s="23" t="s">
        <v>5223</v>
      </c>
      <c r="I2614" s="23">
        <v>0</v>
      </c>
      <c r="J2614" s="40">
        <v>0</v>
      </c>
      <c r="K2614" s="40">
        <v>0</v>
      </c>
      <c r="L2614" s="40" t="s">
        <v>115</v>
      </c>
      <c r="O2614" s="40" t="s">
        <v>115</v>
      </c>
      <c r="Q2614" s="40">
        <v>12</v>
      </c>
      <c r="R2614" s="40">
        <v>133</v>
      </c>
      <c r="X2614" s="40">
        <v>90220610</v>
      </c>
      <c r="Y2614" s="40" t="s">
        <v>115</v>
      </c>
      <c r="Z2614" s="40" t="s">
        <v>115</v>
      </c>
      <c r="AA2614" s="40" t="s">
        <v>115</v>
      </c>
      <c r="AB2614" s="40" t="s">
        <v>115</v>
      </c>
      <c r="AC2614" s="40" t="s">
        <v>115</v>
      </c>
      <c r="AI2614" s="40" t="s">
        <v>115</v>
      </c>
      <c r="AP2614" s="4" t="s">
        <v>115</v>
      </c>
    </row>
    <row r="2615" spans="1:42" x14ac:dyDescent="0.15">
      <c r="A2615" s="40" t="s">
        <v>1</v>
      </c>
      <c r="B2615" s="23">
        <v>90220610</v>
      </c>
      <c r="C2615" s="23">
        <v>2206</v>
      </c>
      <c r="D2615" s="23">
        <v>22</v>
      </c>
      <c r="F2615" s="23" t="s">
        <v>5219</v>
      </c>
      <c r="G2615" s="23" t="s">
        <v>115</v>
      </c>
      <c r="H2615" s="23" t="s">
        <v>5224</v>
      </c>
      <c r="I2615" s="23">
        <v>3</v>
      </c>
      <c r="J2615" s="40">
        <v>0</v>
      </c>
      <c r="K2615" s="40">
        <v>0</v>
      </c>
      <c r="L2615" s="40" t="s">
        <v>115</v>
      </c>
      <c r="O2615" s="40" t="s">
        <v>115</v>
      </c>
      <c r="Q2615" s="40">
        <v>12</v>
      </c>
      <c r="R2615" s="40">
        <v>133</v>
      </c>
      <c r="X2615" s="40">
        <v>90220611</v>
      </c>
      <c r="Y2615" s="40" t="s">
        <v>115</v>
      </c>
      <c r="Z2615" s="40" t="s">
        <v>115</v>
      </c>
      <c r="AA2615" s="40" t="s">
        <v>115</v>
      </c>
      <c r="AB2615" s="40" t="s">
        <v>115</v>
      </c>
      <c r="AC2615" s="40" t="s">
        <v>115</v>
      </c>
      <c r="AI2615" s="40" t="s">
        <v>115</v>
      </c>
      <c r="AP2615" s="4" t="s">
        <v>115</v>
      </c>
    </row>
    <row r="2616" spans="1:42" x14ac:dyDescent="0.15">
      <c r="A2616" s="40" t="s">
        <v>1</v>
      </c>
      <c r="B2616" s="23">
        <v>90220611</v>
      </c>
      <c r="C2616" s="23">
        <v>2206</v>
      </c>
      <c r="D2616" s="23">
        <v>22</v>
      </c>
      <c r="F2616" s="23" t="s">
        <v>116</v>
      </c>
      <c r="G2616" s="23">
        <v>313</v>
      </c>
      <c r="H2616" s="23" t="s">
        <v>5225</v>
      </c>
      <c r="I2616" s="23">
        <v>0</v>
      </c>
      <c r="J2616" s="40">
        <v>0</v>
      </c>
      <c r="K2616" s="40">
        <v>0</v>
      </c>
      <c r="L2616" s="40" t="s">
        <v>115</v>
      </c>
      <c r="O2616" s="40" t="s">
        <v>115</v>
      </c>
      <c r="Q2616" s="40">
        <v>12</v>
      </c>
      <c r="R2616" s="40">
        <v>133</v>
      </c>
      <c r="X2616" s="40">
        <v>90220612</v>
      </c>
      <c r="Y2616" s="40" t="s">
        <v>115</v>
      </c>
      <c r="Z2616" s="40" t="s">
        <v>115</v>
      </c>
      <c r="AA2616" s="40" t="s">
        <v>115</v>
      </c>
      <c r="AB2616" s="40" t="s">
        <v>115</v>
      </c>
      <c r="AC2616" s="40" t="s">
        <v>115</v>
      </c>
      <c r="AI2616" s="40" t="s">
        <v>115</v>
      </c>
      <c r="AP2616" s="4" t="s">
        <v>115</v>
      </c>
    </row>
    <row r="2617" spans="1:42" x14ac:dyDescent="0.15">
      <c r="A2617" s="40" t="s">
        <v>1</v>
      </c>
      <c r="B2617" s="23">
        <v>90220612</v>
      </c>
      <c r="C2617" s="23">
        <v>2206</v>
      </c>
      <c r="D2617" s="23">
        <v>22</v>
      </c>
      <c r="F2617" s="23" t="s">
        <v>5219</v>
      </c>
      <c r="G2617" s="23" t="s">
        <v>115</v>
      </c>
      <c r="H2617" s="23" t="s">
        <v>5226</v>
      </c>
      <c r="I2617" s="23">
        <v>3</v>
      </c>
      <c r="J2617" s="40">
        <v>0</v>
      </c>
      <c r="K2617" s="40">
        <v>0</v>
      </c>
      <c r="L2617" s="40" t="s">
        <v>115</v>
      </c>
      <c r="O2617" s="40" t="s">
        <v>115</v>
      </c>
      <c r="Q2617" s="40">
        <v>12</v>
      </c>
      <c r="R2617" s="40">
        <v>133</v>
      </c>
      <c r="X2617" s="40">
        <v>90220613</v>
      </c>
      <c r="Y2617" s="40" t="s">
        <v>115</v>
      </c>
      <c r="Z2617" s="40" t="s">
        <v>115</v>
      </c>
      <c r="AA2617" s="40" t="s">
        <v>115</v>
      </c>
      <c r="AB2617" s="40" t="s">
        <v>115</v>
      </c>
      <c r="AC2617" s="40" t="s">
        <v>115</v>
      </c>
      <c r="AI2617" s="40" t="s">
        <v>115</v>
      </c>
      <c r="AP2617" s="4" t="s">
        <v>115</v>
      </c>
    </row>
    <row r="2618" spans="1:42" x14ac:dyDescent="0.15">
      <c r="A2618" s="40" t="s">
        <v>1</v>
      </c>
      <c r="B2618" s="23">
        <v>90220613</v>
      </c>
      <c r="C2618" s="23">
        <v>2206</v>
      </c>
      <c r="D2618" s="23">
        <v>22</v>
      </c>
      <c r="F2618" s="23" t="s">
        <v>115</v>
      </c>
      <c r="G2618" s="23" t="s">
        <v>115</v>
      </c>
      <c r="H2618" s="23" t="s">
        <v>7230</v>
      </c>
      <c r="I2618" s="23">
        <v>4</v>
      </c>
      <c r="J2618" s="40">
        <v>0</v>
      </c>
      <c r="K2618" s="40">
        <v>0</v>
      </c>
      <c r="L2618" s="40" t="s">
        <v>115</v>
      </c>
      <c r="O2618" s="40" t="s">
        <v>115</v>
      </c>
      <c r="Q2618" s="40">
        <v>12</v>
      </c>
      <c r="R2618" s="40">
        <v>133</v>
      </c>
      <c r="X2618" s="40">
        <v>90220614</v>
      </c>
      <c r="Y2618" s="40" t="s">
        <v>115</v>
      </c>
      <c r="Z2618" s="40" t="s">
        <v>115</v>
      </c>
      <c r="AA2618" s="40" t="s">
        <v>115</v>
      </c>
      <c r="AB2618" s="40" t="s">
        <v>115</v>
      </c>
      <c r="AC2618" s="40" t="s">
        <v>115</v>
      </c>
      <c r="AI2618" s="40" t="s">
        <v>115</v>
      </c>
      <c r="AP2618" s="4" t="s">
        <v>115</v>
      </c>
    </row>
    <row r="2619" spans="1:42" x14ac:dyDescent="0.15">
      <c r="A2619" s="40" t="s">
        <v>1</v>
      </c>
      <c r="B2619" s="23">
        <v>90220614</v>
      </c>
      <c r="C2619" s="23">
        <v>2206</v>
      </c>
      <c r="D2619" s="23">
        <v>22</v>
      </c>
      <c r="F2619" s="23" t="s">
        <v>116</v>
      </c>
      <c r="G2619" s="23">
        <v>313</v>
      </c>
      <c r="H2619" s="23" t="s">
        <v>5227</v>
      </c>
      <c r="I2619" s="23">
        <v>0</v>
      </c>
      <c r="J2619" s="40">
        <v>0</v>
      </c>
      <c r="K2619" s="40">
        <v>0</v>
      </c>
      <c r="L2619" s="40" t="s">
        <v>115</v>
      </c>
      <c r="O2619" s="40" t="s">
        <v>115</v>
      </c>
      <c r="Q2619" s="40">
        <v>12</v>
      </c>
      <c r="R2619" s="40">
        <v>133</v>
      </c>
      <c r="X2619" s="40">
        <v>90220615</v>
      </c>
      <c r="Y2619" s="40" t="s">
        <v>115</v>
      </c>
      <c r="Z2619" s="40" t="s">
        <v>115</v>
      </c>
      <c r="AA2619" s="40" t="s">
        <v>115</v>
      </c>
      <c r="AB2619" s="40" t="s">
        <v>115</v>
      </c>
      <c r="AC2619" s="40" t="s">
        <v>115</v>
      </c>
      <c r="AI2619" s="40" t="s">
        <v>115</v>
      </c>
      <c r="AP2619" s="4" t="s">
        <v>115</v>
      </c>
    </row>
    <row r="2620" spans="1:42" x14ac:dyDescent="0.15">
      <c r="A2620" s="40" t="s">
        <v>1</v>
      </c>
      <c r="B2620" s="23">
        <v>90220615</v>
      </c>
      <c r="C2620" s="23">
        <v>2206</v>
      </c>
      <c r="D2620" s="23">
        <v>22</v>
      </c>
      <c r="F2620" s="23" t="s">
        <v>115</v>
      </c>
      <c r="G2620" s="23" t="s">
        <v>115</v>
      </c>
      <c r="H2620" s="23" t="s">
        <v>5228</v>
      </c>
      <c r="I2620" s="23">
        <v>4</v>
      </c>
      <c r="J2620" s="40">
        <v>0</v>
      </c>
      <c r="K2620" s="40">
        <v>0</v>
      </c>
      <c r="L2620" s="40" t="s">
        <v>115</v>
      </c>
      <c r="O2620" s="40" t="s">
        <v>115</v>
      </c>
      <c r="Q2620" s="40">
        <v>12</v>
      </c>
      <c r="R2620" s="40">
        <v>133</v>
      </c>
      <c r="X2620" s="40">
        <v>90220616</v>
      </c>
      <c r="Y2620" s="40" t="s">
        <v>115</v>
      </c>
      <c r="Z2620" s="40" t="s">
        <v>115</v>
      </c>
      <c r="AA2620" s="40" t="s">
        <v>115</v>
      </c>
      <c r="AB2620" s="40" t="s">
        <v>115</v>
      </c>
      <c r="AC2620" s="40" t="s">
        <v>115</v>
      </c>
      <c r="AI2620" s="40" t="s">
        <v>115</v>
      </c>
      <c r="AP2620" s="4" t="s">
        <v>115</v>
      </c>
    </row>
    <row r="2621" spans="1:42" x14ac:dyDescent="0.15">
      <c r="A2621" s="40" t="s">
        <v>1</v>
      </c>
      <c r="B2621" s="23">
        <v>90220616</v>
      </c>
      <c r="C2621" s="23">
        <v>2206</v>
      </c>
      <c r="D2621" s="23">
        <v>22</v>
      </c>
      <c r="F2621" s="23" t="s">
        <v>116</v>
      </c>
      <c r="G2621" s="23">
        <v>313</v>
      </c>
      <c r="H2621" s="23" t="s">
        <v>5229</v>
      </c>
      <c r="I2621" s="23">
        <v>0</v>
      </c>
      <c r="J2621" s="40">
        <v>0</v>
      </c>
      <c r="K2621" s="40">
        <v>0</v>
      </c>
      <c r="L2621" s="40" t="s">
        <v>115</v>
      </c>
      <c r="O2621" s="40" t="s">
        <v>115</v>
      </c>
      <c r="Q2621" s="40">
        <v>12</v>
      </c>
      <c r="R2621" s="40">
        <v>133</v>
      </c>
      <c r="X2621" s="40">
        <v>90220617</v>
      </c>
      <c r="Y2621" s="40" t="s">
        <v>115</v>
      </c>
      <c r="Z2621" s="40" t="s">
        <v>115</v>
      </c>
      <c r="AA2621" s="40" t="s">
        <v>115</v>
      </c>
      <c r="AB2621" s="40" t="s">
        <v>115</v>
      </c>
      <c r="AC2621" s="40" t="s">
        <v>115</v>
      </c>
      <c r="AI2621" s="40" t="s">
        <v>115</v>
      </c>
      <c r="AP2621" s="4" t="s">
        <v>115</v>
      </c>
    </row>
    <row r="2622" spans="1:42" x14ac:dyDescent="0.15">
      <c r="A2622" s="40" t="s">
        <v>1</v>
      </c>
      <c r="B2622" s="23">
        <v>90220617</v>
      </c>
      <c r="C2622" s="23">
        <v>2206</v>
      </c>
      <c r="D2622" s="23">
        <v>22</v>
      </c>
      <c r="F2622" s="23" t="s">
        <v>5219</v>
      </c>
      <c r="G2622" s="23" t="s">
        <v>115</v>
      </c>
      <c r="H2622" s="23" t="s">
        <v>5230</v>
      </c>
      <c r="I2622" s="23">
        <v>3</v>
      </c>
      <c r="J2622" s="40">
        <v>0</v>
      </c>
      <c r="K2622" s="40">
        <v>0</v>
      </c>
      <c r="L2622" s="40" t="s">
        <v>115</v>
      </c>
      <c r="O2622" s="40" t="s">
        <v>115</v>
      </c>
      <c r="Q2622" s="40">
        <v>12</v>
      </c>
      <c r="R2622" s="40">
        <v>133</v>
      </c>
      <c r="X2622" s="40">
        <v>90220618</v>
      </c>
      <c r="Y2622" s="40" t="s">
        <v>115</v>
      </c>
      <c r="Z2622" s="40" t="s">
        <v>115</v>
      </c>
      <c r="AA2622" s="40" t="s">
        <v>115</v>
      </c>
      <c r="AB2622" s="40" t="s">
        <v>115</v>
      </c>
      <c r="AC2622" s="40" t="s">
        <v>115</v>
      </c>
      <c r="AI2622" s="40" t="s">
        <v>115</v>
      </c>
      <c r="AP2622" s="4" t="s">
        <v>115</v>
      </c>
    </row>
    <row r="2623" spans="1:42" x14ac:dyDescent="0.15">
      <c r="A2623" s="40" t="s">
        <v>1</v>
      </c>
      <c r="B2623" s="23">
        <v>90220618</v>
      </c>
      <c r="C2623" s="23">
        <v>2206</v>
      </c>
      <c r="D2623" s="23">
        <v>22</v>
      </c>
      <c r="F2623" s="23" t="s">
        <v>115</v>
      </c>
      <c r="G2623" s="23" t="s">
        <v>115</v>
      </c>
      <c r="H2623" s="23" t="s">
        <v>5231</v>
      </c>
      <c r="I2623" s="23">
        <v>4</v>
      </c>
      <c r="J2623" s="40">
        <v>0</v>
      </c>
      <c r="K2623" s="40">
        <v>0</v>
      </c>
      <c r="L2623" s="40" t="s">
        <v>115</v>
      </c>
      <c r="O2623" s="40" t="s">
        <v>115</v>
      </c>
      <c r="Q2623" s="40">
        <v>12</v>
      </c>
      <c r="R2623" s="40">
        <v>133</v>
      </c>
      <c r="X2623" s="40">
        <v>90220619</v>
      </c>
      <c r="Y2623" s="40" t="s">
        <v>115</v>
      </c>
      <c r="Z2623" s="40" t="s">
        <v>115</v>
      </c>
      <c r="AA2623" s="40" t="s">
        <v>115</v>
      </c>
      <c r="AB2623" s="40" t="s">
        <v>115</v>
      </c>
      <c r="AC2623" s="40" t="s">
        <v>115</v>
      </c>
      <c r="AI2623" s="40" t="s">
        <v>115</v>
      </c>
      <c r="AP2623" s="4" t="s">
        <v>115</v>
      </c>
    </row>
    <row r="2624" spans="1:42" x14ac:dyDescent="0.15">
      <c r="A2624" s="40" t="s">
        <v>1</v>
      </c>
      <c r="B2624" s="23">
        <v>90220619</v>
      </c>
      <c r="C2624" s="23">
        <v>2206</v>
      </c>
      <c r="D2624" s="23">
        <v>22</v>
      </c>
      <c r="F2624" s="23" t="s">
        <v>115</v>
      </c>
      <c r="G2624" s="23" t="s">
        <v>115</v>
      </c>
      <c r="H2624" s="23" t="s">
        <v>5232</v>
      </c>
      <c r="I2624" s="23">
        <v>4</v>
      </c>
      <c r="J2624" s="40">
        <v>0</v>
      </c>
      <c r="K2624" s="40">
        <v>2</v>
      </c>
      <c r="L2624" s="40" t="s">
        <v>115</v>
      </c>
      <c r="O2624" s="40" t="s">
        <v>115</v>
      </c>
      <c r="Q2624" s="40">
        <v>12</v>
      </c>
      <c r="R2624" s="40">
        <v>133</v>
      </c>
      <c r="X2624" s="40" t="s">
        <v>5233</v>
      </c>
      <c r="Y2624" s="40">
        <v>1</v>
      </c>
      <c r="Z2624" s="40">
        <v>1</v>
      </c>
      <c r="AA2624" s="40" t="s">
        <v>115</v>
      </c>
      <c r="AB2624" s="40" t="s">
        <v>115</v>
      </c>
      <c r="AC2624" s="40" t="s">
        <v>115</v>
      </c>
      <c r="AI2624" s="40" t="s">
        <v>115</v>
      </c>
      <c r="AP2624" s="4" t="s">
        <v>115</v>
      </c>
    </row>
    <row r="2625" spans="1:42" x14ac:dyDescent="0.15">
      <c r="A2625" s="40" t="s">
        <v>1</v>
      </c>
      <c r="B2625" s="23">
        <v>90220620</v>
      </c>
      <c r="C2625" s="23">
        <v>2206</v>
      </c>
      <c r="D2625" s="23">
        <v>22</v>
      </c>
      <c r="F2625" s="23" t="s">
        <v>115</v>
      </c>
      <c r="G2625" s="23" t="s">
        <v>115</v>
      </c>
      <c r="H2625" s="23" t="s">
        <v>5234</v>
      </c>
      <c r="I2625" s="23">
        <v>4</v>
      </c>
      <c r="J2625" s="40">
        <v>0</v>
      </c>
      <c r="K2625" s="40">
        <v>3</v>
      </c>
      <c r="L2625" s="40" t="s">
        <v>115</v>
      </c>
      <c r="O2625" s="40" t="s">
        <v>115</v>
      </c>
      <c r="Q2625" s="40">
        <v>12</v>
      </c>
      <c r="R2625" s="40">
        <v>133</v>
      </c>
      <c r="X2625" s="40">
        <v>90220623</v>
      </c>
      <c r="Y2625" s="40">
        <v>-1</v>
      </c>
      <c r="Z2625" s="40">
        <v>2</v>
      </c>
      <c r="AA2625" s="40" t="s">
        <v>5235</v>
      </c>
      <c r="AB2625" s="40" t="s">
        <v>115</v>
      </c>
      <c r="AC2625" s="40" t="s">
        <v>115</v>
      </c>
      <c r="AI2625" s="40" t="s">
        <v>115</v>
      </c>
      <c r="AP2625" s="4" t="s">
        <v>115</v>
      </c>
    </row>
    <row r="2626" spans="1:42" x14ac:dyDescent="0.15">
      <c r="A2626" s="40" t="s">
        <v>1</v>
      </c>
      <c r="B2626" s="23">
        <v>90220621</v>
      </c>
      <c r="C2626" s="23">
        <v>2206</v>
      </c>
      <c r="D2626" s="23">
        <v>22</v>
      </c>
      <c r="F2626" s="23" t="s">
        <v>115</v>
      </c>
      <c r="G2626" s="23" t="s">
        <v>115</v>
      </c>
      <c r="H2626" s="23" t="s">
        <v>5236</v>
      </c>
      <c r="I2626" s="23">
        <v>4</v>
      </c>
      <c r="J2626" s="40">
        <v>0</v>
      </c>
      <c r="K2626" s="40">
        <v>4</v>
      </c>
      <c r="L2626" s="40" t="s">
        <v>115</v>
      </c>
      <c r="O2626" s="40" t="s">
        <v>115</v>
      </c>
      <c r="Q2626" s="40">
        <v>12</v>
      </c>
      <c r="R2626" s="40">
        <v>133</v>
      </c>
      <c r="X2626" s="40">
        <v>90220631</v>
      </c>
      <c r="Y2626" s="40">
        <v>-1</v>
      </c>
      <c r="Z2626" s="40">
        <v>2</v>
      </c>
      <c r="AA2626" s="40" t="s">
        <v>5237</v>
      </c>
      <c r="AB2626" s="40" t="s">
        <v>115</v>
      </c>
      <c r="AC2626" s="40" t="s">
        <v>115</v>
      </c>
      <c r="AI2626" s="40" t="s">
        <v>115</v>
      </c>
      <c r="AP2626" s="4" t="s">
        <v>115</v>
      </c>
    </row>
    <row r="2627" spans="1:42" x14ac:dyDescent="0.15">
      <c r="A2627" s="40" t="s">
        <v>1</v>
      </c>
      <c r="B2627" s="23">
        <v>90220622</v>
      </c>
      <c r="C2627" s="23">
        <v>2206</v>
      </c>
      <c r="D2627" s="23">
        <v>22</v>
      </c>
      <c r="F2627" s="23" t="s">
        <v>115</v>
      </c>
      <c r="G2627" s="23" t="s">
        <v>115</v>
      </c>
      <c r="H2627" s="23" t="s">
        <v>5238</v>
      </c>
      <c r="I2627" s="23">
        <v>4</v>
      </c>
      <c r="J2627" s="40">
        <v>0</v>
      </c>
      <c r="K2627" s="40">
        <v>5</v>
      </c>
      <c r="L2627" s="40" t="s">
        <v>115</v>
      </c>
      <c r="O2627" s="40" t="s">
        <v>115</v>
      </c>
      <c r="Q2627" s="40">
        <v>12</v>
      </c>
      <c r="R2627" s="40">
        <v>133</v>
      </c>
      <c r="X2627" s="40">
        <v>90220637</v>
      </c>
      <c r="Y2627" s="40">
        <v>-1</v>
      </c>
      <c r="Z2627" s="40">
        <v>2</v>
      </c>
      <c r="AA2627" s="40" t="s">
        <v>5239</v>
      </c>
      <c r="AB2627" s="40" t="s">
        <v>115</v>
      </c>
      <c r="AC2627" s="40" t="s">
        <v>115</v>
      </c>
      <c r="AI2627" s="40" t="s">
        <v>115</v>
      </c>
      <c r="AP2627" s="4" t="s">
        <v>115</v>
      </c>
    </row>
    <row r="2628" spans="1:42" x14ac:dyDescent="0.15">
      <c r="A2628" s="40" t="s">
        <v>1</v>
      </c>
      <c r="B2628" s="23">
        <v>90220623</v>
      </c>
      <c r="C2628" s="23">
        <v>2206</v>
      </c>
      <c r="D2628" s="23">
        <v>22</v>
      </c>
      <c r="F2628" s="23" t="s">
        <v>116</v>
      </c>
      <c r="G2628" s="23">
        <v>312</v>
      </c>
      <c r="H2628" s="23" t="s">
        <v>7231</v>
      </c>
      <c r="I2628" s="23">
        <v>0</v>
      </c>
      <c r="J2628" s="40">
        <v>0</v>
      </c>
      <c r="K2628" s="40">
        <v>0</v>
      </c>
      <c r="L2628" s="40" t="s">
        <v>115</v>
      </c>
      <c r="O2628" s="40" t="s">
        <v>115</v>
      </c>
      <c r="Q2628" s="40">
        <v>12</v>
      </c>
      <c r="R2628" s="40">
        <v>133</v>
      </c>
      <c r="X2628" s="40">
        <v>90220624</v>
      </c>
      <c r="Y2628" s="40" t="s">
        <v>115</v>
      </c>
      <c r="Z2628" s="40" t="s">
        <v>115</v>
      </c>
      <c r="AA2628" s="40" t="s">
        <v>115</v>
      </c>
      <c r="AB2628" s="40" t="s">
        <v>115</v>
      </c>
      <c r="AC2628" s="40" t="s">
        <v>115</v>
      </c>
      <c r="AI2628" s="40" t="s">
        <v>115</v>
      </c>
      <c r="AP2628" s="4" t="s">
        <v>115</v>
      </c>
    </row>
    <row r="2629" spans="1:42" x14ac:dyDescent="0.15">
      <c r="A2629" s="40" t="s">
        <v>1</v>
      </c>
      <c r="B2629" s="23">
        <v>90220624</v>
      </c>
      <c r="C2629" s="23">
        <v>2206</v>
      </c>
      <c r="D2629" s="23">
        <v>22</v>
      </c>
      <c r="F2629" s="23" t="s">
        <v>5219</v>
      </c>
      <c r="G2629" s="23" t="s">
        <v>115</v>
      </c>
      <c r="H2629" s="23" t="s">
        <v>5240</v>
      </c>
      <c r="I2629" s="23">
        <v>3</v>
      </c>
      <c r="J2629" s="40">
        <v>0</v>
      </c>
      <c r="K2629" s="40">
        <v>0</v>
      </c>
      <c r="L2629" s="40" t="s">
        <v>115</v>
      </c>
      <c r="O2629" s="40" t="s">
        <v>115</v>
      </c>
      <c r="Q2629" s="40">
        <v>12</v>
      </c>
      <c r="R2629" s="40">
        <v>133</v>
      </c>
      <c r="X2629" s="40">
        <v>90220625</v>
      </c>
      <c r="Y2629" s="40" t="s">
        <v>115</v>
      </c>
      <c r="Z2629" s="40" t="s">
        <v>115</v>
      </c>
      <c r="AA2629" s="40" t="s">
        <v>115</v>
      </c>
      <c r="AB2629" s="40" t="s">
        <v>115</v>
      </c>
      <c r="AC2629" s="40" t="s">
        <v>115</v>
      </c>
      <c r="AI2629" s="40" t="s">
        <v>115</v>
      </c>
      <c r="AP2629" s="4" t="s">
        <v>115</v>
      </c>
    </row>
    <row r="2630" spans="1:42" x14ac:dyDescent="0.15">
      <c r="A2630" s="40" t="s">
        <v>1</v>
      </c>
      <c r="B2630" s="23">
        <v>90220625</v>
      </c>
      <c r="C2630" s="23">
        <v>2206</v>
      </c>
      <c r="D2630" s="23">
        <v>22</v>
      </c>
      <c r="F2630" s="23" t="s">
        <v>116</v>
      </c>
      <c r="G2630" s="23">
        <v>312</v>
      </c>
      <c r="H2630" s="23" t="s">
        <v>5241</v>
      </c>
      <c r="I2630" s="23">
        <v>0</v>
      </c>
      <c r="J2630" s="40">
        <v>0</v>
      </c>
      <c r="K2630" s="40">
        <v>0</v>
      </c>
      <c r="L2630" s="40" t="s">
        <v>115</v>
      </c>
      <c r="O2630" s="40" t="s">
        <v>115</v>
      </c>
      <c r="Q2630" s="40">
        <v>12</v>
      </c>
      <c r="R2630" s="40">
        <v>133</v>
      </c>
      <c r="X2630" s="40">
        <v>90220626</v>
      </c>
      <c r="Y2630" s="40" t="s">
        <v>115</v>
      </c>
      <c r="Z2630" s="40" t="s">
        <v>115</v>
      </c>
      <c r="AA2630" s="40" t="s">
        <v>115</v>
      </c>
      <c r="AB2630" s="40" t="s">
        <v>115</v>
      </c>
      <c r="AC2630" s="40" t="s">
        <v>115</v>
      </c>
      <c r="AI2630" s="40" t="s">
        <v>115</v>
      </c>
      <c r="AP2630" s="4" t="s">
        <v>115</v>
      </c>
    </row>
    <row r="2631" spans="1:42" x14ac:dyDescent="0.15">
      <c r="A2631" s="40" t="s">
        <v>1</v>
      </c>
      <c r="B2631" s="23">
        <v>90220626</v>
      </c>
      <c r="C2631" s="23">
        <v>2206</v>
      </c>
      <c r="D2631" s="23">
        <v>22</v>
      </c>
      <c r="F2631" s="23" t="s">
        <v>116</v>
      </c>
      <c r="G2631" s="23">
        <v>313</v>
      </c>
      <c r="H2631" s="23" t="s">
        <v>5242</v>
      </c>
      <c r="I2631" s="23">
        <v>0</v>
      </c>
      <c r="J2631" s="40">
        <v>0</v>
      </c>
      <c r="K2631" s="40">
        <v>0</v>
      </c>
      <c r="L2631" s="40" t="s">
        <v>115</v>
      </c>
      <c r="O2631" s="40" t="s">
        <v>115</v>
      </c>
      <c r="Q2631" s="40">
        <v>12</v>
      </c>
      <c r="R2631" s="40">
        <v>133</v>
      </c>
      <c r="X2631" s="40">
        <v>90220627</v>
      </c>
      <c r="Y2631" s="40" t="s">
        <v>115</v>
      </c>
      <c r="Z2631" s="40" t="s">
        <v>115</v>
      </c>
      <c r="AA2631" s="40" t="s">
        <v>115</v>
      </c>
      <c r="AB2631" s="40" t="s">
        <v>115</v>
      </c>
      <c r="AC2631" s="40" t="s">
        <v>115</v>
      </c>
      <c r="AI2631" s="40" t="s">
        <v>115</v>
      </c>
      <c r="AP2631" s="4" t="s">
        <v>115</v>
      </c>
    </row>
    <row r="2632" spans="1:42" x14ac:dyDescent="0.15">
      <c r="A2632" s="40" t="s">
        <v>1</v>
      </c>
      <c r="B2632" s="23">
        <v>90220627</v>
      </c>
      <c r="C2632" s="23">
        <v>2206</v>
      </c>
      <c r="D2632" s="23">
        <v>22</v>
      </c>
      <c r="F2632" s="23" t="s">
        <v>115</v>
      </c>
      <c r="G2632" s="23" t="s">
        <v>115</v>
      </c>
      <c r="H2632" s="23" t="s">
        <v>5243</v>
      </c>
      <c r="I2632" s="23">
        <v>4</v>
      </c>
      <c r="J2632" s="40">
        <v>0</v>
      </c>
      <c r="K2632" s="40">
        <v>0</v>
      </c>
      <c r="L2632" s="40" t="s">
        <v>115</v>
      </c>
      <c r="O2632" s="40" t="s">
        <v>115</v>
      </c>
      <c r="Q2632" s="40">
        <v>12</v>
      </c>
      <c r="R2632" s="40">
        <v>133</v>
      </c>
      <c r="X2632" s="40">
        <v>90220628</v>
      </c>
      <c r="Y2632" s="40" t="s">
        <v>115</v>
      </c>
      <c r="Z2632" s="40" t="s">
        <v>115</v>
      </c>
      <c r="AA2632" s="40" t="s">
        <v>115</v>
      </c>
      <c r="AB2632" s="40" t="s">
        <v>115</v>
      </c>
      <c r="AC2632" s="40" t="s">
        <v>115</v>
      </c>
      <c r="AI2632" s="40" t="s">
        <v>115</v>
      </c>
      <c r="AP2632" s="4" t="s">
        <v>115</v>
      </c>
    </row>
    <row r="2633" spans="1:42" x14ac:dyDescent="0.15">
      <c r="A2633" s="40" t="s">
        <v>1</v>
      </c>
      <c r="B2633" s="23">
        <v>90220628</v>
      </c>
      <c r="C2633" s="23">
        <v>2206</v>
      </c>
      <c r="D2633" s="23">
        <v>22</v>
      </c>
      <c r="F2633" s="23" t="s">
        <v>5219</v>
      </c>
      <c r="G2633" s="23" t="s">
        <v>115</v>
      </c>
      <c r="H2633" s="23" t="s">
        <v>7232</v>
      </c>
      <c r="I2633" s="23">
        <v>3</v>
      </c>
      <c r="J2633" s="40">
        <v>0</v>
      </c>
      <c r="K2633" s="40">
        <v>0</v>
      </c>
      <c r="L2633" s="40" t="s">
        <v>115</v>
      </c>
      <c r="O2633" s="40" t="s">
        <v>115</v>
      </c>
      <c r="Q2633" s="40">
        <v>12</v>
      </c>
      <c r="R2633" s="40">
        <v>133</v>
      </c>
      <c r="X2633" s="40">
        <v>90220629</v>
      </c>
      <c r="Y2633" s="40" t="s">
        <v>115</v>
      </c>
      <c r="Z2633" s="40" t="s">
        <v>115</v>
      </c>
      <c r="AA2633" s="40" t="s">
        <v>115</v>
      </c>
      <c r="AB2633" s="40" t="s">
        <v>115</v>
      </c>
      <c r="AC2633" s="40" t="s">
        <v>115</v>
      </c>
      <c r="AI2633" s="40" t="s">
        <v>115</v>
      </c>
      <c r="AP2633" s="4" t="s">
        <v>115</v>
      </c>
    </row>
    <row r="2634" spans="1:42" x14ac:dyDescent="0.15">
      <c r="A2634" s="40" t="s">
        <v>1</v>
      </c>
      <c r="B2634" s="23">
        <v>90220629</v>
      </c>
      <c r="C2634" s="23">
        <v>2206</v>
      </c>
      <c r="D2634" s="23">
        <v>22</v>
      </c>
      <c r="F2634" s="23" t="s">
        <v>116</v>
      </c>
      <c r="G2634" s="23">
        <v>313</v>
      </c>
      <c r="H2634" s="23" t="s">
        <v>5244</v>
      </c>
      <c r="I2634" s="23">
        <v>0</v>
      </c>
      <c r="J2634" s="40">
        <v>0</v>
      </c>
      <c r="K2634" s="40">
        <v>0</v>
      </c>
      <c r="L2634" s="40" t="s">
        <v>115</v>
      </c>
      <c r="O2634" s="40" t="s">
        <v>115</v>
      </c>
      <c r="Q2634" s="40">
        <v>12</v>
      </c>
      <c r="R2634" s="40">
        <v>133</v>
      </c>
      <c r="X2634" s="40">
        <v>90220630</v>
      </c>
      <c r="Y2634" s="40" t="s">
        <v>115</v>
      </c>
      <c r="Z2634" s="40" t="s">
        <v>115</v>
      </c>
      <c r="AA2634" s="40" t="s">
        <v>115</v>
      </c>
      <c r="AB2634" s="40" t="s">
        <v>115</v>
      </c>
      <c r="AC2634" s="40" t="s">
        <v>115</v>
      </c>
      <c r="AI2634" s="40" t="s">
        <v>115</v>
      </c>
      <c r="AP2634" s="4" t="s">
        <v>115</v>
      </c>
    </row>
    <row r="2635" spans="1:42" x14ac:dyDescent="0.15">
      <c r="A2635" s="40" t="s">
        <v>1</v>
      </c>
      <c r="B2635" s="23">
        <v>90220630</v>
      </c>
      <c r="C2635" s="23">
        <v>2206</v>
      </c>
      <c r="D2635" s="23">
        <v>22</v>
      </c>
      <c r="F2635" s="23" t="s">
        <v>116</v>
      </c>
      <c r="G2635" s="23">
        <v>313</v>
      </c>
      <c r="H2635" s="23" t="s">
        <v>7233</v>
      </c>
      <c r="I2635" s="23">
        <v>0</v>
      </c>
      <c r="J2635" s="40">
        <v>0</v>
      </c>
      <c r="K2635" s="40">
        <v>0</v>
      </c>
      <c r="L2635" s="40" t="s">
        <v>115</v>
      </c>
      <c r="O2635" s="40" t="s">
        <v>115</v>
      </c>
      <c r="Q2635" s="40">
        <v>12</v>
      </c>
      <c r="R2635" s="40">
        <v>133</v>
      </c>
      <c r="X2635" s="40">
        <v>90220643</v>
      </c>
      <c r="Y2635" s="40" t="s">
        <v>115</v>
      </c>
      <c r="Z2635" s="40" t="s">
        <v>115</v>
      </c>
      <c r="AA2635" s="40" t="s">
        <v>115</v>
      </c>
      <c r="AB2635" s="40" t="s">
        <v>115</v>
      </c>
      <c r="AC2635" s="40" t="s">
        <v>115</v>
      </c>
      <c r="AI2635" s="40" t="s">
        <v>115</v>
      </c>
      <c r="AP2635" s="4" t="s">
        <v>115</v>
      </c>
    </row>
    <row r="2636" spans="1:42" x14ac:dyDescent="0.15">
      <c r="A2636" s="40" t="s">
        <v>1</v>
      </c>
      <c r="B2636" s="23">
        <v>90220631</v>
      </c>
      <c r="C2636" s="23">
        <v>2206</v>
      </c>
      <c r="D2636" s="23">
        <v>22</v>
      </c>
      <c r="F2636" s="23" t="s">
        <v>116</v>
      </c>
      <c r="G2636" s="23">
        <v>312</v>
      </c>
      <c r="H2636" s="23" t="s">
        <v>7234</v>
      </c>
      <c r="I2636" s="23">
        <v>0</v>
      </c>
      <c r="J2636" s="40">
        <v>0</v>
      </c>
      <c r="K2636" s="40">
        <v>0</v>
      </c>
      <c r="L2636" s="40" t="s">
        <v>115</v>
      </c>
      <c r="O2636" s="40" t="s">
        <v>115</v>
      </c>
      <c r="Q2636" s="40">
        <v>12</v>
      </c>
      <c r="R2636" s="40">
        <v>133</v>
      </c>
      <c r="X2636" s="40">
        <v>90220632</v>
      </c>
      <c r="Y2636" s="40" t="s">
        <v>115</v>
      </c>
      <c r="Z2636" s="40" t="s">
        <v>115</v>
      </c>
      <c r="AA2636" s="40" t="s">
        <v>115</v>
      </c>
      <c r="AB2636" s="40" t="s">
        <v>115</v>
      </c>
      <c r="AC2636" s="40" t="s">
        <v>115</v>
      </c>
      <c r="AI2636" s="40" t="s">
        <v>115</v>
      </c>
      <c r="AP2636" s="4" t="s">
        <v>115</v>
      </c>
    </row>
    <row r="2637" spans="1:42" x14ac:dyDescent="0.15">
      <c r="A2637" s="40" t="s">
        <v>1</v>
      </c>
      <c r="B2637" s="23">
        <v>90220632</v>
      </c>
      <c r="C2637" s="23">
        <v>2206</v>
      </c>
      <c r="D2637" s="23">
        <v>22</v>
      </c>
      <c r="F2637" s="23" t="s">
        <v>116</v>
      </c>
      <c r="G2637" s="23">
        <v>312</v>
      </c>
      <c r="H2637" s="23" t="s">
        <v>5245</v>
      </c>
      <c r="I2637" s="23">
        <v>0</v>
      </c>
      <c r="J2637" s="40">
        <v>0</v>
      </c>
      <c r="K2637" s="40">
        <v>0</v>
      </c>
      <c r="L2637" s="40" t="s">
        <v>115</v>
      </c>
      <c r="O2637" s="40" t="s">
        <v>115</v>
      </c>
      <c r="Q2637" s="40">
        <v>12</v>
      </c>
      <c r="R2637" s="40">
        <v>133</v>
      </c>
      <c r="X2637" s="40">
        <v>90220633</v>
      </c>
      <c r="Y2637" s="40" t="s">
        <v>115</v>
      </c>
      <c r="Z2637" s="40" t="s">
        <v>115</v>
      </c>
      <c r="AA2637" s="40" t="s">
        <v>115</v>
      </c>
      <c r="AB2637" s="40" t="s">
        <v>115</v>
      </c>
      <c r="AC2637" s="40" t="s">
        <v>115</v>
      </c>
      <c r="AI2637" s="40" t="s">
        <v>115</v>
      </c>
      <c r="AP2637" s="4" t="s">
        <v>115</v>
      </c>
    </row>
    <row r="2638" spans="1:42" x14ac:dyDescent="0.15">
      <c r="A2638" s="40" t="s">
        <v>1</v>
      </c>
      <c r="B2638" s="23">
        <v>90220633</v>
      </c>
      <c r="C2638" s="23">
        <v>2206</v>
      </c>
      <c r="D2638" s="23">
        <v>22</v>
      </c>
      <c r="F2638" s="23" t="s">
        <v>5219</v>
      </c>
      <c r="G2638" s="23" t="s">
        <v>115</v>
      </c>
      <c r="H2638" s="23" t="s">
        <v>7235</v>
      </c>
      <c r="I2638" s="23">
        <v>3</v>
      </c>
      <c r="J2638" s="40">
        <v>0</v>
      </c>
      <c r="K2638" s="40">
        <v>0</v>
      </c>
      <c r="L2638" s="40" t="s">
        <v>115</v>
      </c>
      <c r="O2638" s="40" t="s">
        <v>115</v>
      </c>
      <c r="Q2638" s="40">
        <v>12</v>
      </c>
      <c r="R2638" s="40">
        <v>133</v>
      </c>
      <c r="X2638" s="40">
        <v>90220634</v>
      </c>
      <c r="Y2638" s="40" t="s">
        <v>115</v>
      </c>
      <c r="Z2638" s="40" t="s">
        <v>115</v>
      </c>
      <c r="AA2638" s="40" t="s">
        <v>115</v>
      </c>
      <c r="AB2638" s="40" t="s">
        <v>115</v>
      </c>
      <c r="AC2638" s="40" t="s">
        <v>115</v>
      </c>
      <c r="AI2638" s="40" t="s">
        <v>115</v>
      </c>
      <c r="AP2638" s="4" t="s">
        <v>115</v>
      </c>
    </row>
    <row r="2639" spans="1:42" x14ac:dyDescent="0.15">
      <c r="A2639" s="40" t="s">
        <v>1</v>
      </c>
      <c r="B2639" s="23">
        <v>90220634</v>
      </c>
      <c r="C2639" s="23">
        <v>2206</v>
      </c>
      <c r="D2639" s="23">
        <v>22</v>
      </c>
      <c r="F2639" s="23" t="s">
        <v>116</v>
      </c>
      <c r="G2639" s="23">
        <v>313</v>
      </c>
      <c r="H2639" s="23" t="s">
        <v>5246</v>
      </c>
      <c r="I2639" s="23">
        <v>0</v>
      </c>
      <c r="J2639" s="40">
        <v>0</v>
      </c>
      <c r="K2639" s="40">
        <v>0</v>
      </c>
      <c r="L2639" s="40" t="s">
        <v>115</v>
      </c>
      <c r="O2639" s="40" t="s">
        <v>115</v>
      </c>
      <c r="Q2639" s="40">
        <v>12</v>
      </c>
      <c r="R2639" s="40">
        <v>133</v>
      </c>
      <c r="X2639" s="40">
        <v>90220635</v>
      </c>
      <c r="Y2639" s="40" t="s">
        <v>115</v>
      </c>
      <c r="Z2639" s="40" t="s">
        <v>115</v>
      </c>
      <c r="AA2639" s="40" t="s">
        <v>115</v>
      </c>
      <c r="AB2639" s="40" t="s">
        <v>115</v>
      </c>
      <c r="AC2639" s="40" t="s">
        <v>115</v>
      </c>
      <c r="AI2639" s="40" t="s">
        <v>115</v>
      </c>
      <c r="AP2639" s="4" t="s">
        <v>115</v>
      </c>
    </row>
    <row r="2640" spans="1:42" x14ac:dyDescent="0.15">
      <c r="A2640" s="40" t="s">
        <v>1</v>
      </c>
      <c r="B2640" s="23">
        <v>90220635</v>
      </c>
      <c r="C2640" s="23">
        <v>2206</v>
      </c>
      <c r="D2640" s="23">
        <v>22</v>
      </c>
      <c r="F2640" s="23" t="s">
        <v>5219</v>
      </c>
      <c r="G2640" s="23" t="s">
        <v>115</v>
      </c>
      <c r="H2640" s="23" t="s">
        <v>7236</v>
      </c>
      <c r="I2640" s="23">
        <v>3</v>
      </c>
      <c r="J2640" s="40">
        <v>0</v>
      </c>
      <c r="K2640" s="40">
        <v>0</v>
      </c>
      <c r="L2640" s="40" t="s">
        <v>115</v>
      </c>
      <c r="O2640" s="40" t="s">
        <v>115</v>
      </c>
      <c r="Q2640" s="40">
        <v>12</v>
      </c>
      <c r="R2640" s="40">
        <v>133</v>
      </c>
      <c r="X2640" s="40">
        <v>90220636</v>
      </c>
      <c r="Y2640" s="40" t="s">
        <v>115</v>
      </c>
      <c r="Z2640" s="40" t="s">
        <v>115</v>
      </c>
      <c r="AA2640" s="40" t="s">
        <v>115</v>
      </c>
      <c r="AB2640" s="40" t="s">
        <v>115</v>
      </c>
      <c r="AC2640" s="40" t="s">
        <v>115</v>
      </c>
      <c r="AI2640" s="40" t="s">
        <v>115</v>
      </c>
      <c r="AP2640" s="4" t="s">
        <v>115</v>
      </c>
    </row>
    <row r="2641" spans="1:42" x14ac:dyDescent="0.15">
      <c r="A2641" s="40" t="s">
        <v>1</v>
      </c>
      <c r="B2641" s="23">
        <v>90220636</v>
      </c>
      <c r="C2641" s="23">
        <v>2206</v>
      </c>
      <c r="D2641" s="23">
        <v>22</v>
      </c>
      <c r="F2641" s="23" t="s">
        <v>116</v>
      </c>
      <c r="G2641" s="23">
        <v>313</v>
      </c>
      <c r="H2641" s="23" t="s">
        <v>7237</v>
      </c>
      <c r="I2641" s="23">
        <v>0</v>
      </c>
      <c r="J2641" s="40">
        <v>0</v>
      </c>
      <c r="K2641" s="40">
        <v>0</v>
      </c>
      <c r="L2641" s="40" t="s">
        <v>115</v>
      </c>
      <c r="O2641" s="40" t="s">
        <v>115</v>
      </c>
      <c r="Q2641" s="40">
        <v>12</v>
      </c>
      <c r="R2641" s="40">
        <v>133</v>
      </c>
      <c r="X2641" s="40">
        <v>90220643</v>
      </c>
      <c r="Y2641" s="40" t="s">
        <v>115</v>
      </c>
      <c r="Z2641" s="40" t="s">
        <v>115</v>
      </c>
      <c r="AA2641" s="40" t="s">
        <v>115</v>
      </c>
      <c r="AB2641" s="40" t="s">
        <v>115</v>
      </c>
      <c r="AC2641" s="40" t="s">
        <v>115</v>
      </c>
      <c r="AI2641" s="40" t="s">
        <v>115</v>
      </c>
      <c r="AP2641" s="4" t="s">
        <v>115</v>
      </c>
    </row>
    <row r="2642" spans="1:42" x14ac:dyDescent="0.15">
      <c r="A2642" s="40" t="s">
        <v>1</v>
      </c>
      <c r="B2642" s="23">
        <v>90220637</v>
      </c>
      <c r="C2642" s="23">
        <v>2206</v>
      </c>
      <c r="D2642" s="23">
        <v>22</v>
      </c>
      <c r="F2642" s="23" t="s">
        <v>116</v>
      </c>
      <c r="G2642" s="23">
        <v>312</v>
      </c>
      <c r="H2642" s="23" t="s">
        <v>5247</v>
      </c>
      <c r="I2642" s="23">
        <v>0</v>
      </c>
      <c r="J2642" s="40">
        <v>0</v>
      </c>
      <c r="K2642" s="40">
        <v>0</v>
      </c>
      <c r="L2642" s="40" t="s">
        <v>115</v>
      </c>
      <c r="O2642" s="40" t="s">
        <v>115</v>
      </c>
      <c r="Q2642" s="40">
        <v>12</v>
      </c>
      <c r="R2642" s="40">
        <v>133</v>
      </c>
      <c r="X2642" s="40">
        <v>90220638</v>
      </c>
      <c r="Y2642" s="40" t="s">
        <v>115</v>
      </c>
      <c r="Z2642" s="40" t="s">
        <v>115</v>
      </c>
      <c r="AA2642" s="40" t="s">
        <v>115</v>
      </c>
      <c r="AB2642" s="40" t="s">
        <v>115</v>
      </c>
      <c r="AC2642" s="40" t="s">
        <v>115</v>
      </c>
      <c r="AI2642" s="40" t="s">
        <v>115</v>
      </c>
      <c r="AP2642" s="4" t="s">
        <v>115</v>
      </c>
    </row>
    <row r="2643" spans="1:42" x14ac:dyDescent="0.15">
      <c r="A2643" s="40" t="s">
        <v>1</v>
      </c>
      <c r="B2643" s="23">
        <v>90220638</v>
      </c>
      <c r="C2643" s="23">
        <v>2206</v>
      </c>
      <c r="D2643" s="23">
        <v>22</v>
      </c>
      <c r="F2643" s="23" t="s">
        <v>5219</v>
      </c>
      <c r="G2643" s="23" t="s">
        <v>115</v>
      </c>
      <c r="H2643" s="23" t="s">
        <v>5248</v>
      </c>
      <c r="I2643" s="23">
        <v>3</v>
      </c>
      <c r="J2643" s="40">
        <v>0</v>
      </c>
      <c r="K2643" s="40">
        <v>0</v>
      </c>
      <c r="L2643" s="40" t="s">
        <v>115</v>
      </c>
      <c r="O2643" s="40" t="s">
        <v>115</v>
      </c>
      <c r="Q2643" s="40">
        <v>12</v>
      </c>
      <c r="R2643" s="40">
        <v>133</v>
      </c>
      <c r="X2643" s="40">
        <v>90220639</v>
      </c>
      <c r="Y2643" s="40" t="s">
        <v>115</v>
      </c>
      <c r="Z2643" s="40" t="s">
        <v>115</v>
      </c>
      <c r="AA2643" s="40" t="s">
        <v>115</v>
      </c>
      <c r="AB2643" s="40" t="s">
        <v>115</v>
      </c>
      <c r="AC2643" s="40" t="s">
        <v>115</v>
      </c>
      <c r="AI2643" s="40" t="s">
        <v>115</v>
      </c>
      <c r="AP2643" s="4" t="s">
        <v>115</v>
      </c>
    </row>
    <row r="2644" spans="1:42" x14ac:dyDescent="0.15">
      <c r="A2644" s="40" t="s">
        <v>1</v>
      </c>
      <c r="B2644" s="23">
        <v>90220639</v>
      </c>
      <c r="C2644" s="23">
        <v>2206</v>
      </c>
      <c r="D2644" s="23">
        <v>22</v>
      </c>
      <c r="F2644" s="23" t="s">
        <v>5219</v>
      </c>
      <c r="G2644" s="23" t="s">
        <v>115</v>
      </c>
      <c r="H2644" s="23" t="s">
        <v>5249</v>
      </c>
      <c r="I2644" s="23">
        <v>3</v>
      </c>
      <c r="J2644" s="40">
        <v>0</v>
      </c>
      <c r="K2644" s="40">
        <v>0</v>
      </c>
      <c r="L2644" s="40" t="s">
        <v>115</v>
      </c>
      <c r="O2644" s="40" t="s">
        <v>115</v>
      </c>
      <c r="Q2644" s="40">
        <v>12</v>
      </c>
      <c r="R2644" s="40">
        <v>133</v>
      </c>
      <c r="X2644" s="40">
        <v>90220640</v>
      </c>
      <c r="Y2644" s="40" t="s">
        <v>115</v>
      </c>
      <c r="Z2644" s="40" t="s">
        <v>115</v>
      </c>
      <c r="AA2644" s="40" t="s">
        <v>115</v>
      </c>
      <c r="AB2644" s="40" t="s">
        <v>115</v>
      </c>
      <c r="AC2644" s="40" t="s">
        <v>115</v>
      </c>
      <c r="AI2644" s="40" t="s">
        <v>115</v>
      </c>
      <c r="AP2644" s="4" t="s">
        <v>115</v>
      </c>
    </row>
    <row r="2645" spans="1:42" x14ac:dyDescent="0.15">
      <c r="A2645" s="40" t="s">
        <v>1</v>
      </c>
      <c r="B2645" s="23">
        <v>90220640</v>
      </c>
      <c r="C2645" s="23">
        <v>2206</v>
      </c>
      <c r="D2645" s="23">
        <v>22</v>
      </c>
      <c r="F2645" s="23" t="s">
        <v>116</v>
      </c>
      <c r="G2645" s="23">
        <v>310</v>
      </c>
      <c r="H2645" s="23" t="s">
        <v>7238</v>
      </c>
      <c r="I2645" s="23">
        <v>0</v>
      </c>
      <c r="J2645" s="40">
        <v>0</v>
      </c>
      <c r="K2645" s="40">
        <v>0</v>
      </c>
      <c r="L2645" s="40" t="s">
        <v>115</v>
      </c>
      <c r="O2645" s="40" t="s">
        <v>115</v>
      </c>
      <c r="Q2645" s="40">
        <v>12</v>
      </c>
      <c r="R2645" s="40">
        <v>133</v>
      </c>
      <c r="X2645" s="40">
        <v>90220641</v>
      </c>
      <c r="Y2645" s="40" t="s">
        <v>115</v>
      </c>
      <c r="Z2645" s="40" t="s">
        <v>115</v>
      </c>
      <c r="AA2645" s="40" t="s">
        <v>115</v>
      </c>
      <c r="AB2645" s="40" t="s">
        <v>115</v>
      </c>
      <c r="AC2645" s="40" t="s">
        <v>115</v>
      </c>
      <c r="AI2645" s="40" t="s">
        <v>115</v>
      </c>
      <c r="AP2645" s="4" t="s">
        <v>115</v>
      </c>
    </row>
    <row r="2646" spans="1:42" x14ac:dyDescent="0.15">
      <c r="A2646" s="40" t="s">
        <v>1</v>
      </c>
      <c r="B2646" s="23">
        <v>90220641</v>
      </c>
      <c r="C2646" s="23">
        <v>2206</v>
      </c>
      <c r="D2646" s="23">
        <v>22</v>
      </c>
      <c r="F2646" s="23" t="s">
        <v>5219</v>
      </c>
      <c r="G2646" s="23" t="s">
        <v>115</v>
      </c>
      <c r="H2646" s="23" t="s">
        <v>5250</v>
      </c>
      <c r="I2646" s="23">
        <v>3</v>
      </c>
      <c r="J2646" s="40">
        <v>0</v>
      </c>
      <c r="K2646" s="40">
        <v>0</v>
      </c>
      <c r="L2646" s="40" t="s">
        <v>115</v>
      </c>
      <c r="O2646" s="40" t="s">
        <v>115</v>
      </c>
      <c r="Q2646" s="40">
        <v>12</v>
      </c>
      <c r="R2646" s="40">
        <v>133</v>
      </c>
      <c r="X2646" s="40">
        <v>90220642</v>
      </c>
      <c r="Y2646" s="40" t="s">
        <v>115</v>
      </c>
      <c r="Z2646" s="40" t="s">
        <v>115</v>
      </c>
      <c r="AA2646" s="40" t="s">
        <v>115</v>
      </c>
      <c r="AB2646" s="40" t="s">
        <v>115</v>
      </c>
      <c r="AC2646" s="40" t="s">
        <v>115</v>
      </c>
      <c r="AI2646" s="40" t="s">
        <v>115</v>
      </c>
      <c r="AP2646" s="4" t="s">
        <v>115</v>
      </c>
    </row>
    <row r="2647" spans="1:42" x14ac:dyDescent="0.15">
      <c r="A2647" s="40" t="s">
        <v>1</v>
      </c>
      <c r="B2647" s="23">
        <v>90220642</v>
      </c>
      <c r="C2647" s="23">
        <v>2206</v>
      </c>
      <c r="D2647" s="23">
        <v>22</v>
      </c>
      <c r="F2647" s="23" t="s">
        <v>116</v>
      </c>
      <c r="G2647" s="23">
        <v>312</v>
      </c>
      <c r="H2647" s="23" t="s">
        <v>7239</v>
      </c>
      <c r="I2647" s="23">
        <v>0</v>
      </c>
      <c r="J2647" s="40">
        <v>0</v>
      </c>
      <c r="K2647" s="40">
        <v>0</v>
      </c>
      <c r="L2647" s="40" t="s">
        <v>115</v>
      </c>
      <c r="O2647" s="40" t="s">
        <v>115</v>
      </c>
      <c r="Q2647" s="40">
        <v>12</v>
      </c>
      <c r="R2647" s="40">
        <v>133</v>
      </c>
      <c r="X2647" s="40">
        <v>90220643</v>
      </c>
      <c r="Y2647" s="40" t="s">
        <v>115</v>
      </c>
      <c r="Z2647" s="40" t="s">
        <v>115</v>
      </c>
      <c r="AA2647" s="40" t="s">
        <v>115</v>
      </c>
      <c r="AB2647" s="40" t="s">
        <v>115</v>
      </c>
      <c r="AC2647" s="40" t="s">
        <v>115</v>
      </c>
      <c r="AI2647" s="40" t="s">
        <v>115</v>
      </c>
      <c r="AP2647" s="4" t="s">
        <v>115</v>
      </c>
    </row>
    <row r="2648" spans="1:42" x14ac:dyDescent="0.15">
      <c r="A2648" s="40" t="s">
        <v>1</v>
      </c>
      <c r="B2648" s="23">
        <v>90220643</v>
      </c>
      <c r="C2648" s="23">
        <v>2206</v>
      </c>
      <c r="D2648" s="23">
        <v>22</v>
      </c>
      <c r="F2648" s="23" t="s">
        <v>5219</v>
      </c>
      <c r="G2648" s="23" t="s">
        <v>115</v>
      </c>
      <c r="H2648" s="23" t="s">
        <v>7240</v>
      </c>
      <c r="I2648" s="23">
        <v>3</v>
      </c>
      <c r="J2648" s="40">
        <v>0</v>
      </c>
      <c r="K2648" s="40">
        <v>0</v>
      </c>
      <c r="L2648" s="40" t="s">
        <v>115</v>
      </c>
      <c r="O2648" s="40" t="s">
        <v>115</v>
      </c>
      <c r="Q2648" s="40">
        <v>12</v>
      </c>
      <c r="R2648" s="40">
        <v>133</v>
      </c>
      <c r="X2648" s="40">
        <v>90220644</v>
      </c>
      <c r="Y2648" s="40" t="s">
        <v>115</v>
      </c>
      <c r="Z2648" s="40" t="s">
        <v>115</v>
      </c>
      <c r="AA2648" s="40" t="s">
        <v>115</v>
      </c>
      <c r="AB2648" s="40" t="s">
        <v>115</v>
      </c>
      <c r="AC2648" s="40" t="s">
        <v>115</v>
      </c>
      <c r="AI2648" s="40" t="s">
        <v>115</v>
      </c>
      <c r="AP2648" s="4" t="s">
        <v>115</v>
      </c>
    </row>
    <row r="2649" spans="1:42" x14ac:dyDescent="0.15">
      <c r="A2649" s="40" t="s">
        <v>1</v>
      </c>
      <c r="B2649" s="23">
        <v>90220644</v>
      </c>
      <c r="C2649" s="23">
        <v>2206</v>
      </c>
      <c r="D2649" s="23">
        <v>22</v>
      </c>
      <c r="F2649" s="23" t="s">
        <v>5219</v>
      </c>
      <c r="G2649" s="23" t="s">
        <v>115</v>
      </c>
      <c r="H2649" s="23" t="s">
        <v>7241</v>
      </c>
      <c r="I2649" s="23">
        <v>3</v>
      </c>
      <c r="J2649" s="40">
        <v>0</v>
      </c>
      <c r="K2649" s="40">
        <v>0</v>
      </c>
      <c r="L2649" s="40" t="s">
        <v>115</v>
      </c>
      <c r="O2649" s="40" t="s">
        <v>115</v>
      </c>
      <c r="Q2649" s="40">
        <v>12</v>
      </c>
      <c r="R2649" s="40">
        <v>133</v>
      </c>
      <c r="X2649" s="40">
        <v>90220645</v>
      </c>
      <c r="Y2649" s="40" t="s">
        <v>115</v>
      </c>
      <c r="Z2649" s="40" t="s">
        <v>115</v>
      </c>
      <c r="AA2649" s="40" t="s">
        <v>115</v>
      </c>
      <c r="AB2649" s="40" t="s">
        <v>115</v>
      </c>
      <c r="AC2649" s="40" t="s">
        <v>115</v>
      </c>
      <c r="AI2649" s="40" t="s">
        <v>115</v>
      </c>
      <c r="AP2649" s="4" t="s">
        <v>115</v>
      </c>
    </row>
    <row r="2650" spans="1:42" x14ac:dyDescent="0.15">
      <c r="A2650" s="40" t="s">
        <v>1</v>
      </c>
      <c r="B2650" s="23">
        <v>90220645</v>
      </c>
      <c r="C2650" s="23">
        <v>2206</v>
      </c>
      <c r="D2650" s="23">
        <v>22</v>
      </c>
      <c r="F2650" s="23" t="s">
        <v>116</v>
      </c>
      <c r="G2650" s="23">
        <v>312</v>
      </c>
      <c r="H2650" s="23" t="s">
        <v>7242</v>
      </c>
      <c r="I2650" s="23">
        <v>0</v>
      </c>
      <c r="J2650" s="40">
        <v>0</v>
      </c>
      <c r="K2650" s="40">
        <v>0</v>
      </c>
      <c r="L2650" s="40" t="s">
        <v>115</v>
      </c>
      <c r="O2650" s="40" t="s">
        <v>115</v>
      </c>
      <c r="Q2650" s="40">
        <v>12</v>
      </c>
      <c r="R2650" s="40">
        <v>133</v>
      </c>
      <c r="X2650" s="40">
        <v>90220646</v>
      </c>
      <c r="Y2650" s="40" t="s">
        <v>115</v>
      </c>
      <c r="Z2650" s="40" t="s">
        <v>115</v>
      </c>
      <c r="AA2650" s="40" t="s">
        <v>115</v>
      </c>
      <c r="AB2650" s="40" t="s">
        <v>115</v>
      </c>
      <c r="AC2650" s="40" t="s">
        <v>115</v>
      </c>
      <c r="AI2650" s="40" t="s">
        <v>115</v>
      </c>
      <c r="AP2650" s="4" t="s">
        <v>115</v>
      </c>
    </row>
    <row r="2651" spans="1:42" x14ac:dyDescent="0.15">
      <c r="A2651" s="40" t="s">
        <v>1</v>
      </c>
      <c r="B2651" s="23">
        <v>90220646</v>
      </c>
      <c r="C2651" s="23">
        <v>2206</v>
      </c>
      <c r="D2651" s="23">
        <v>22</v>
      </c>
      <c r="F2651" s="23" t="s">
        <v>5219</v>
      </c>
      <c r="G2651" s="23" t="s">
        <v>115</v>
      </c>
      <c r="H2651" s="23" t="s">
        <v>7243</v>
      </c>
      <c r="I2651" s="23">
        <v>3</v>
      </c>
      <c r="J2651" s="40">
        <v>0</v>
      </c>
      <c r="K2651" s="40">
        <v>0</v>
      </c>
      <c r="L2651" s="40" t="s">
        <v>115</v>
      </c>
      <c r="O2651" s="40" t="s">
        <v>115</v>
      </c>
      <c r="Q2651" s="40">
        <v>12</v>
      </c>
      <c r="R2651" s="40">
        <v>133</v>
      </c>
      <c r="X2651" s="40">
        <v>90220647</v>
      </c>
      <c r="Y2651" s="40" t="s">
        <v>115</v>
      </c>
      <c r="Z2651" s="40" t="s">
        <v>115</v>
      </c>
      <c r="AA2651" s="40" t="s">
        <v>115</v>
      </c>
      <c r="AB2651" s="40" t="s">
        <v>115</v>
      </c>
      <c r="AC2651" s="40" t="s">
        <v>115</v>
      </c>
      <c r="AI2651" s="40" t="s">
        <v>115</v>
      </c>
      <c r="AP2651" s="4" t="s">
        <v>115</v>
      </c>
    </row>
    <row r="2652" spans="1:42" x14ac:dyDescent="0.15">
      <c r="A2652" s="40" t="s">
        <v>1</v>
      </c>
      <c r="B2652" s="23">
        <v>90220647</v>
      </c>
      <c r="C2652" s="23">
        <v>2206</v>
      </c>
      <c r="D2652" s="23">
        <v>22</v>
      </c>
      <c r="F2652" s="23" t="s">
        <v>116</v>
      </c>
      <c r="G2652" s="23">
        <v>312</v>
      </c>
      <c r="H2652" s="23" t="s">
        <v>7244</v>
      </c>
      <c r="I2652" s="23">
        <v>0</v>
      </c>
      <c r="J2652" s="40">
        <v>0</v>
      </c>
      <c r="K2652" s="40">
        <v>0</v>
      </c>
      <c r="L2652" s="40" t="s">
        <v>115</v>
      </c>
      <c r="O2652" s="40" t="s">
        <v>115</v>
      </c>
      <c r="Q2652" s="40">
        <v>12</v>
      </c>
      <c r="R2652" s="40">
        <v>133</v>
      </c>
      <c r="X2652" s="40">
        <v>90220648</v>
      </c>
      <c r="Y2652" s="40" t="s">
        <v>115</v>
      </c>
      <c r="Z2652" s="40" t="s">
        <v>115</v>
      </c>
      <c r="AA2652" s="40" t="s">
        <v>115</v>
      </c>
      <c r="AB2652" s="40" t="s">
        <v>115</v>
      </c>
      <c r="AC2652" s="40" t="s">
        <v>115</v>
      </c>
      <c r="AI2652" s="40" t="s">
        <v>115</v>
      </c>
      <c r="AP2652" s="4" t="s">
        <v>115</v>
      </c>
    </row>
    <row r="2653" spans="1:42" x14ac:dyDescent="0.15">
      <c r="A2653" s="40" t="s">
        <v>1</v>
      </c>
      <c r="B2653" s="23">
        <v>90220648</v>
      </c>
      <c r="C2653" s="23">
        <v>2206</v>
      </c>
      <c r="D2653" s="23">
        <v>22</v>
      </c>
      <c r="F2653" s="23" t="s">
        <v>5219</v>
      </c>
      <c r="G2653" s="23" t="s">
        <v>115</v>
      </c>
      <c r="H2653" s="23" t="s">
        <v>7245</v>
      </c>
      <c r="I2653" s="23">
        <v>3</v>
      </c>
      <c r="J2653" s="40">
        <v>0</v>
      </c>
      <c r="K2653" s="40">
        <v>0</v>
      </c>
      <c r="L2653" s="40" t="s">
        <v>115</v>
      </c>
      <c r="O2653" s="40" t="s">
        <v>115</v>
      </c>
      <c r="Q2653" s="40">
        <v>12</v>
      </c>
      <c r="R2653" s="40">
        <v>133</v>
      </c>
      <c r="X2653" s="40">
        <v>90220649</v>
      </c>
      <c r="Y2653" s="40" t="s">
        <v>115</v>
      </c>
      <c r="Z2653" s="40" t="s">
        <v>115</v>
      </c>
      <c r="AA2653" s="40" t="s">
        <v>115</v>
      </c>
      <c r="AB2653" s="40" t="s">
        <v>115</v>
      </c>
      <c r="AC2653" s="40" t="s">
        <v>115</v>
      </c>
      <c r="AI2653" s="40" t="s">
        <v>115</v>
      </c>
      <c r="AP2653" s="4" t="s">
        <v>115</v>
      </c>
    </row>
    <row r="2654" spans="1:42" x14ac:dyDescent="0.15">
      <c r="A2654" s="40" t="s">
        <v>1</v>
      </c>
      <c r="B2654" s="23">
        <v>90220649</v>
      </c>
      <c r="C2654" s="23">
        <v>2206</v>
      </c>
      <c r="D2654" s="23">
        <v>22</v>
      </c>
      <c r="F2654" s="23" t="s">
        <v>5219</v>
      </c>
      <c r="G2654" s="23" t="s">
        <v>115</v>
      </c>
      <c r="H2654" s="23" t="s">
        <v>5251</v>
      </c>
      <c r="I2654" s="23">
        <v>3</v>
      </c>
      <c r="J2654" s="40">
        <v>0</v>
      </c>
      <c r="K2654" s="40">
        <v>0</v>
      </c>
      <c r="L2654" s="40" t="s">
        <v>115</v>
      </c>
      <c r="O2654" s="40" t="s">
        <v>115</v>
      </c>
      <c r="Q2654" s="40">
        <v>12</v>
      </c>
      <c r="R2654" s="40">
        <v>133</v>
      </c>
      <c r="X2654" s="40">
        <v>90220650</v>
      </c>
      <c r="Y2654" s="40" t="s">
        <v>115</v>
      </c>
      <c r="Z2654" s="40" t="s">
        <v>115</v>
      </c>
      <c r="AA2654" s="40" t="s">
        <v>115</v>
      </c>
      <c r="AB2654" s="40" t="s">
        <v>115</v>
      </c>
      <c r="AC2654" s="40" t="s">
        <v>115</v>
      </c>
      <c r="AI2654" s="40" t="s">
        <v>115</v>
      </c>
      <c r="AP2654" s="4" t="s">
        <v>115</v>
      </c>
    </row>
    <row r="2655" spans="1:42" x14ac:dyDescent="0.15">
      <c r="A2655" s="40" t="s">
        <v>1</v>
      </c>
      <c r="B2655" s="23">
        <v>90220650</v>
      </c>
      <c r="C2655" s="23">
        <v>2206</v>
      </c>
      <c r="D2655" s="23">
        <v>22</v>
      </c>
      <c r="F2655" s="23" t="s">
        <v>5219</v>
      </c>
      <c r="G2655" s="23" t="s">
        <v>115</v>
      </c>
      <c r="H2655" s="23" t="s">
        <v>7246</v>
      </c>
      <c r="I2655" s="23">
        <v>3</v>
      </c>
      <c r="J2655" s="40">
        <v>0</v>
      </c>
      <c r="K2655" s="40">
        <v>0</v>
      </c>
      <c r="L2655" s="40" t="s">
        <v>115</v>
      </c>
      <c r="O2655" s="40" t="s">
        <v>115</v>
      </c>
      <c r="Q2655" s="40">
        <v>12</v>
      </c>
      <c r="R2655" s="40">
        <v>133</v>
      </c>
      <c r="X2655" s="40">
        <v>90220651</v>
      </c>
      <c r="Y2655" s="40" t="s">
        <v>115</v>
      </c>
      <c r="Z2655" s="40" t="s">
        <v>115</v>
      </c>
      <c r="AA2655" s="40" t="s">
        <v>115</v>
      </c>
      <c r="AB2655" s="40" t="s">
        <v>115</v>
      </c>
      <c r="AC2655" s="40" t="s">
        <v>115</v>
      </c>
      <c r="AI2655" s="40" t="s">
        <v>115</v>
      </c>
      <c r="AP2655" s="4" t="s">
        <v>115</v>
      </c>
    </row>
    <row r="2656" spans="1:42" x14ac:dyDescent="0.15">
      <c r="A2656" s="40" t="s">
        <v>1</v>
      </c>
      <c r="B2656" s="23">
        <v>90220651</v>
      </c>
      <c r="C2656" s="23">
        <v>2206</v>
      </c>
      <c r="D2656" s="23">
        <v>22</v>
      </c>
      <c r="F2656" s="23" t="s">
        <v>116</v>
      </c>
      <c r="G2656" s="23">
        <v>312</v>
      </c>
      <c r="H2656" s="23" t="s">
        <v>5252</v>
      </c>
      <c r="I2656" s="23">
        <v>0</v>
      </c>
      <c r="J2656" s="40">
        <v>0</v>
      </c>
      <c r="K2656" s="40">
        <v>0</v>
      </c>
      <c r="L2656" s="40" t="s">
        <v>115</v>
      </c>
      <c r="O2656" s="40" t="s">
        <v>115</v>
      </c>
      <c r="Q2656" s="40">
        <v>12</v>
      </c>
      <c r="R2656" s="40">
        <v>133</v>
      </c>
      <c r="X2656" s="40">
        <v>90220652</v>
      </c>
      <c r="Y2656" s="40" t="s">
        <v>115</v>
      </c>
      <c r="Z2656" s="40" t="s">
        <v>115</v>
      </c>
      <c r="AA2656" s="40" t="s">
        <v>115</v>
      </c>
      <c r="AB2656" s="40" t="s">
        <v>115</v>
      </c>
      <c r="AC2656" s="40" t="s">
        <v>115</v>
      </c>
      <c r="AI2656" s="40" t="s">
        <v>115</v>
      </c>
      <c r="AP2656" s="4" t="s">
        <v>115</v>
      </c>
    </row>
    <row r="2657" spans="1:42" x14ac:dyDescent="0.15">
      <c r="A2657" s="40" t="s">
        <v>1</v>
      </c>
      <c r="B2657" s="23">
        <v>90220652</v>
      </c>
      <c r="C2657" s="23">
        <v>2206</v>
      </c>
      <c r="D2657" s="23">
        <v>22</v>
      </c>
      <c r="F2657" s="23" t="s">
        <v>115</v>
      </c>
      <c r="G2657" s="23" t="s">
        <v>115</v>
      </c>
      <c r="H2657" s="23" t="s">
        <v>5253</v>
      </c>
      <c r="I2657" s="23">
        <v>4</v>
      </c>
      <c r="J2657" s="40">
        <v>0</v>
      </c>
      <c r="K2657" s="40">
        <v>0</v>
      </c>
      <c r="L2657" s="40" t="s">
        <v>115</v>
      </c>
      <c r="O2657" s="40" t="s">
        <v>115</v>
      </c>
      <c r="Q2657" s="40">
        <v>12</v>
      </c>
      <c r="R2657" s="40">
        <v>133</v>
      </c>
      <c r="X2657" s="40">
        <v>90220653</v>
      </c>
      <c r="Y2657" s="40" t="s">
        <v>115</v>
      </c>
      <c r="Z2657" s="40" t="s">
        <v>115</v>
      </c>
      <c r="AA2657" s="40" t="s">
        <v>115</v>
      </c>
      <c r="AB2657" s="40" t="s">
        <v>115</v>
      </c>
      <c r="AC2657" s="40" t="s">
        <v>115</v>
      </c>
      <c r="AI2657" s="40" t="s">
        <v>115</v>
      </c>
      <c r="AP2657" s="4" t="s">
        <v>115</v>
      </c>
    </row>
    <row r="2658" spans="1:42" x14ac:dyDescent="0.15">
      <c r="A2658" s="40" t="s">
        <v>1</v>
      </c>
      <c r="B2658" s="23">
        <v>90220653</v>
      </c>
      <c r="C2658" s="23">
        <v>2206</v>
      </c>
      <c r="D2658" s="23">
        <v>22</v>
      </c>
      <c r="F2658" s="23" t="s">
        <v>116</v>
      </c>
      <c r="G2658" s="23">
        <v>313</v>
      </c>
      <c r="H2658" s="23" t="s">
        <v>5254</v>
      </c>
      <c r="I2658" s="23">
        <v>0</v>
      </c>
      <c r="J2658" s="40">
        <v>0</v>
      </c>
      <c r="K2658" s="40">
        <v>0</v>
      </c>
      <c r="L2658" s="40" t="s">
        <v>115</v>
      </c>
      <c r="O2658" s="40" t="s">
        <v>115</v>
      </c>
      <c r="Q2658" s="40">
        <v>12</v>
      </c>
      <c r="R2658" s="40">
        <v>133</v>
      </c>
      <c r="X2658" s="40">
        <v>90220654</v>
      </c>
      <c r="Y2658" s="40" t="s">
        <v>115</v>
      </c>
      <c r="Z2658" s="40" t="s">
        <v>115</v>
      </c>
      <c r="AA2658" s="40" t="s">
        <v>115</v>
      </c>
      <c r="AB2658" s="40" t="s">
        <v>115</v>
      </c>
      <c r="AC2658" s="40" t="s">
        <v>115</v>
      </c>
      <c r="AI2658" s="40" t="s">
        <v>115</v>
      </c>
      <c r="AP2658" s="4" t="s">
        <v>115</v>
      </c>
    </row>
    <row r="2659" spans="1:42" x14ac:dyDescent="0.15">
      <c r="A2659" s="40" t="s">
        <v>1</v>
      </c>
      <c r="B2659" s="23">
        <v>90220654</v>
      </c>
      <c r="C2659" s="23">
        <v>2206</v>
      </c>
      <c r="D2659" s="23">
        <v>22</v>
      </c>
      <c r="F2659" s="23" t="s">
        <v>5219</v>
      </c>
      <c r="G2659" s="23" t="s">
        <v>115</v>
      </c>
      <c r="H2659" s="23" t="s">
        <v>5255</v>
      </c>
      <c r="I2659" s="23">
        <v>3</v>
      </c>
      <c r="J2659" s="40">
        <v>0</v>
      </c>
      <c r="K2659" s="40">
        <v>0</v>
      </c>
      <c r="L2659" s="40" t="s">
        <v>115</v>
      </c>
      <c r="O2659" s="40" t="s">
        <v>115</v>
      </c>
      <c r="Q2659" s="40">
        <v>12</v>
      </c>
      <c r="R2659" s="40">
        <v>133</v>
      </c>
      <c r="X2659" s="40">
        <v>90220655</v>
      </c>
      <c r="Y2659" s="40" t="s">
        <v>115</v>
      </c>
      <c r="Z2659" s="40" t="s">
        <v>115</v>
      </c>
      <c r="AA2659" s="40" t="s">
        <v>115</v>
      </c>
      <c r="AB2659" s="40" t="s">
        <v>115</v>
      </c>
      <c r="AC2659" s="40" t="s">
        <v>115</v>
      </c>
      <c r="AI2659" s="40" t="s">
        <v>115</v>
      </c>
      <c r="AP2659" s="4" t="s">
        <v>115</v>
      </c>
    </row>
    <row r="2660" spans="1:42" x14ac:dyDescent="0.15">
      <c r="A2660" s="40" t="s">
        <v>1</v>
      </c>
      <c r="B2660" s="23">
        <v>90220655</v>
      </c>
      <c r="C2660" s="23">
        <v>2206</v>
      </c>
      <c r="D2660" s="23">
        <v>22</v>
      </c>
      <c r="F2660" s="23" t="s">
        <v>115</v>
      </c>
      <c r="G2660" s="23" t="s">
        <v>115</v>
      </c>
      <c r="H2660" s="23" t="s">
        <v>7247</v>
      </c>
      <c r="I2660" s="23">
        <v>4</v>
      </c>
      <c r="J2660" s="40">
        <v>0</v>
      </c>
      <c r="K2660" s="40">
        <v>6</v>
      </c>
      <c r="L2660" s="40" t="s">
        <v>115</v>
      </c>
      <c r="O2660" s="40">
        <v>1</v>
      </c>
      <c r="Q2660" s="40">
        <v>12</v>
      </c>
      <c r="R2660" s="40" t="s">
        <v>115</v>
      </c>
      <c r="X2660" s="40" t="s">
        <v>115</v>
      </c>
      <c r="Y2660" s="40" t="s">
        <v>115</v>
      </c>
      <c r="Z2660" s="40">
        <v>5</v>
      </c>
      <c r="AA2660" s="40" t="s">
        <v>115</v>
      </c>
      <c r="AB2660" s="40" t="s">
        <v>115</v>
      </c>
      <c r="AC2660" s="40" t="s">
        <v>115</v>
      </c>
      <c r="AI2660" s="40" t="s">
        <v>115</v>
      </c>
      <c r="AP2660" s="4" t="s">
        <v>5256</v>
      </c>
    </row>
    <row r="2661" spans="1:42" x14ac:dyDescent="0.15">
      <c r="A2661" s="40" t="s">
        <v>1</v>
      </c>
      <c r="B2661" s="23" t="s">
        <v>4846</v>
      </c>
      <c r="C2661" s="23">
        <v>2207</v>
      </c>
      <c r="D2661" s="23">
        <v>22</v>
      </c>
      <c r="F2661" s="23" t="s">
        <v>115</v>
      </c>
      <c r="G2661" s="23" t="s">
        <v>115</v>
      </c>
      <c r="H2661" s="23" t="s">
        <v>5257</v>
      </c>
      <c r="I2661" s="23">
        <v>4</v>
      </c>
      <c r="J2661" s="40">
        <v>1</v>
      </c>
      <c r="K2661" s="40">
        <v>1</v>
      </c>
      <c r="L2661" s="40" t="s">
        <v>115</v>
      </c>
      <c r="O2661" s="40" t="s">
        <v>115</v>
      </c>
      <c r="Q2661" s="40">
        <v>201</v>
      </c>
      <c r="R2661" s="40">
        <v>277</v>
      </c>
      <c r="X2661" s="40">
        <v>90220702</v>
      </c>
      <c r="Y2661" s="40" t="s">
        <v>115</v>
      </c>
      <c r="Z2661" s="40" t="s">
        <v>115</v>
      </c>
      <c r="AA2661" s="40" t="s">
        <v>115</v>
      </c>
      <c r="AB2661" s="40" t="s">
        <v>115</v>
      </c>
      <c r="AC2661" s="40" t="s">
        <v>115</v>
      </c>
      <c r="AI2661" s="40" t="s">
        <v>115</v>
      </c>
      <c r="AP2661" s="4" t="s">
        <v>115</v>
      </c>
    </row>
    <row r="2662" spans="1:42" x14ac:dyDescent="0.15">
      <c r="A2662" s="40" t="s">
        <v>1</v>
      </c>
      <c r="B2662" s="23">
        <v>90220702</v>
      </c>
      <c r="C2662" s="23">
        <v>2207</v>
      </c>
      <c r="D2662" s="23">
        <v>22</v>
      </c>
      <c r="F2662" s="23" t="s">
        <v>5121</v>
      </c>
      <c r="G2662" s="23" t="s">
        <v>115</v>
      </c>
      <c r="H2662" s="23" t="s">
        <v>5258</v>
      </c>
      <c r="I2662" s="23">
        <v>3</v>
      </c>
      <c r="J2662" s="40">
        <v>0</v>
      </c>
      <c r="K2662" s="40">
        <v>0</v>
      </c>
      <c r="L2662" s="40" t="s">
        <v>115</v>
      </c>
      <c r="O2662" s="40" t="s">
        <v>115</v>
      </c>
      <c r="Q2662" s="40">
        <v>201</v>
      </c>
      <c r="R2662" s="40">
        <v>277</v>
      </c>
      <c r="X2662" s="40">
        <v>90220703</v>
      </c>
      <c r="Y2662" s="40" t="s">
        <v>115</v>
      </c>
      <c r="Z2662" s="40" t="s">
        <v>115</v>
      </c>
      <c r="AA2662" s="40" t="s">
        <v>115</v>
      </c>
      <c r="AB2662" s="40" t="s">
        <v>115</v>
      </c>
      <c r="AC2662" s="40" t="s">
        <v>115</v>
      </c>
      <c r="AI2662" s="40" t="s">
        <v>115</v>
      </c>
      <c r="AP2662" s="4" t="s">
        <v>115</v>
      </c>
    </row>
    <row r="2663" spans="1:42" x14ac:dyDescent="0.15">
      <c r="A2663" s="40" t="s">
        <v>1</v>
      </c>
      <c r="B2663" s="23">
        <v>90220703</v>
      </c>
      <c r="C2663" s="23">
        <v>2207</v>
      </c>
      <c r="D2663" s="23">
        <v>22</v>
      </c>
      <c r="F2663" s="23" t="s">
        <v>116</v>
      </c>
      <c r="G2663" s="23">
        <v>312</v>
      </c>
      <c r="H2663" s="23" t="s">
        <v>5259</v>
      </c>
      <c r="I2663" s="23">
        <v>0</v>
      </c>
      <c r="J2663" s="40">
        <v>0</v>
      </c>
      <c r="K2663" s="40">
        <v>0</v>
      </c>
      <c r="L2663" s="40" t="s">
        <v>115</v>
      </c>
      <c r="O2663" s="40" t="s">
        <v>115</v>
      </c>
      <c r="Q2663" s="40">
        <v>201</v>
      </c>
      <c r="R2663" s="40">
        <v>277</v>
      </c>
      <c r="X2663" s="40">
        <v>90220704</v>
      </c>
      <c r="Y2663" s="40" t="s">
        <v>115</v>
      </c>
      <c r="Z2663" s="40" t="s">
        <v>115</v>
      </c>
      <c r="AA2663" s="40" t="s">
        <v>115</v>
      </c>
      <c r="AB2663" s="40" t="s">
        <v>115</v>
      </c>
      <c r="AC2663" s="40" t="s">
        <v>115</v>
      </c>
      <c r="AI2663" s="40" t="s">
        <v>115</v>
      </c>
      <c r="AP2663" s="4" t="s">
        <v>115</v>
      </c>
    </row>
    <row r="2664" spans="1:42" x14ac:dyDescent="0.15">
      <c r="A2664" s="40" t="s">
        <v>1</v>
      </c>
      <c r="B2664" s="23">
        <v>90220704</v>
      </c>
      <c r="C2664" s="23">
        <v>2207</v>
      </c>
      <c r="D2664" s="23">
        <v>22</v>
      </c>
      <c r="F2664" s="23" t="s">
        <v>115</v>
      </c>
      <c r="G2664" s="23" t="s">
        <v>115</v>
      </c>
      <c r="H2664" s="23" t="s">
        <v>5260</v>
      </c>
      <c r="I2664" s="23">
        <v>4</v>
      </c>
      <c r="J2664" s="40">
        <v>0</v>
      </c>
      <c r="K2664" s="40">
        <v>0</v>
      </c>
      <c r="L2664" s="40" t="s">
        <v>115</v>
      </c>
      <c r="O2664" s="40" t="s">
        <v>115</v>
      </c>
      <c r="Q2664" s="40">
        <v>201</v>
      </c>
      <c r="R2664" s="40">
        <v>277</v>
      </c>
      <c r="X2664" s="40">
        <v>90220705</v>
      </c>
      <c r="Y2664" s="40" t="s">
        <v>115</v>
      </c>
      <c r="Z2664" s="40" t="s">
        <v>115</v>
      </c>
      <c r="AA2664" s="40" t="s">
        <v>115</v>
      </c>
      <c r="AB2664" s="40" t="s">
        <v>115</v>
      </c>
      <c r="AC2664" s="40" t="s">
        <v>115</v>
      </c>
      <c r="AI2664" s="40" t="s">
        <v>115</v>
      </c>
      <c r="AP2664" s="4" t="s">
        <v>115</v>
      </c>
    </row>
    <row r="2665" spans="1:42" x14ac:dyDescent="0.15">
      <c r="A2665" s="40" t="s">
        <v>1</v>
      </c>
      <c r="B2665" s="23">
        <v>90220705</v>
      </c>
      <c r="C2665" s="23">
        <v>2207</v>
      </c>
      <c r="D2665" s="23">
        <v>22</v>
      </c>
      <c r="F2665" s="23" t="s">
        <v>5121</v>
      </c>
      <c r="G2665" s="23" t="s">
        <v>115</v>
      </c>
      <c r="H2665" s="23" t="s">
        <v>5261</v>
      </c>
      <c r="I2665" s="23">
        <v>3</v>
      </c>
      <c r="J2665" s="40">
        <v>0</v>
      </c>
      <c r="K2665" s="40">
        <v>0</v>
      </c>
      <c r="L2665" s="40" t="s">
        <v>115</v>
      </c>
      <c r="O2665" s="40" t="s">
        <v>115</v>
      </c>
      <c r="Q2665" s="40">
        <v>201</v>
      </c>
      <c r="R2665" s="40">
        <v>277</v>
      </c>
      <c r="X2665" s="40">
        <v>90220706</v>
      </c>
      <c r="Y2665" s="40" t="s">
        <v>115</v>
      </c>
      <c r="Z2665" s="40" t="s">
        <v>115</v>
      </c>
      <c r="AA2665" s="40" t="s">
        <v>115</v>
      </c>
      <c r="AB2665" s="40" t="s">
        <v>115</v>
      </c>
      <c r="AC2665" s="40" t="s">
        <v>115</v>
      </c>
      <c r="AI2665" s="40" t="s">
        <v>115</v>
      </c>
      <c r="AP2665" s="4" t="s">
        <v>115</v>
      </c>
    </row>
    <row r="2666" spans="1:42" x14ac:dyDescent="0.15">
      <c r="A2666" s="40" t="s">
        <v>1</v>
      </c>
      <c r="B2666" s="23">
        <v>90220706</v>
      </c>
      <c r="C2666" s="23">
        <v>2207</v>
      </c>
      <c r="D2666" s="23">
        <v>22</v>
      </c>
      <c r="F2666" s="23" t="s">
        <v>116</v>
      </c>
      <c r="G2666" s="23">
        <v>312</v>
      </c>
      <c r="H2666" s="23" t="s">
        <v>5262</v>
      </c>
      <c r="I2666" s="23">
        <v>0</v>
      </c>
      <c r="J2666" s="40">
        <v>0</v>
      </c>
      <c r="K2666" s="40">
        <v>0</v>
      </c>
      <c r="L2666" s="40" t="s">
        <v>115</v>
      </c>
      <c r="O2666" s="40" t="s">
        <v>115</v>
      </c>
      <c r="Q2666" s="40">
        <v>201</v>
      </c>
      <c r="R2666" s="40">
        <v>277</v>
      </c>
      <c r="X2666" s="40">
        <v>90220707</v>
      </c>
      <c r="Y2666" s="40" t="s">
        <v>115</v>
      </c>
      <c r="Z2666" s="40" t="s">
        <v>115</v>
      </c>
      <c r="AA2666" s="40" t="s">
        <v>115</v>
      </c>
      <c r="AB2666" s="40" t="s">
        <v>115</v>
      </c>
      <c r="AC2666" s="40" t="s">
        <v>115</v>
      </c>
      <c r="AI2666" s="40" t="s">
        <v>115</v>
      </c>
      <c r="AP2666" s="4" t="s">
        <v>115</v>
      </c>
    </row>
    <row r="2667" spans="1:42" x14ac:dyDescent="0.15">
      <c r="A2667" s="40" t="s">
        <v>1</v>
      </c>
      <c r="B2667" s="23">
        <v>90220707</v>
      </c>
      <c r="C2667" s="23">
        <v>2207</v>
      </c>
      <c r="D2667" s="23">
        <v>22</v>
      </c>
      <c r="F2667" s="23" t="s">
        <v>5121</v>
      </c>
      <c r="G2667" s="23" t="s">
        <v>115</v>
      </c>
      <c r="H2667" s="23" t="s">
        <v>5263</v>
      </c>
      <c r="I2667" s="23">
        <v>3</v>
      </c>
      <c r="J2667" s="40">
        <v>0</v>
      </c>
      <c r="K2667" s="40">
        <v>0</v>
      </c>
      <c r="L2667" s="40" t="s">
        <v>115</v>
      </c>
      <c r="O2667" s="40" t="s">
        <v>115</v>
      </c>
      <c r="Q2667" s="40">
        <v>201</v>
      </c>
      <c r="R2667" s="40">
        <v>277</v>
      </c>
      <c r="X2667" s="40">
        <v>90220708</v>
      </c>
      <c r="Y2667" s="40" t="s">
        <v>115</v>
      </c>
      <c r="Z2667" s="40" t="s">
        <v>115</v>
      </c>
      <c r="AA2667" s="40" t="s">
        <v>115</v>
      </c>
      <c r="AB2667" s="40" t="s">
        <v>115</v>
      </c>
      <c r="AC2667" s="40" t="s">
        <v>115</v>
      </c>
      <c r="AI2667" s="40" t="s">
        <v>115</v>
      </c>
      <c r="AP2667" s="4" t="s">
        <v>115</v>
      </c>
    </row>
    <row r="2668" spans="1:42" x14ac:dyDescent="0.15">
      <c r="A2668" s="40" t="s">
        <v>1</v>
      </c>
      <c r="B2668" s="23">
        <v>90220708</v>
      </c>
      <c r="C2668" s="23">
        <v>2207</v>
      </c>
      <c r="D2668" s="23">
        <v>22</v>
      </c>
      <c r="F2668" s="23" t="s">
        <v>5121</v>
      </c>
      <c r="G2668" s="23" t="s">
        <v>115</v>
      </c>
      <c r="H2668" s="23" t="s">
        <v>5264</v>
      </c>
      <c r="I2668" s="23">
        <v>3</v>
      </c>
      <c r="J2668" s="40">
        <v>0</v>
      </c>
      <c r="K2668" s="40">
        <v>0</v>
      </c>
      <c r="L2668" s="40" t="s">
        <v>115</v>
      </c>
      <c r="O2668" s="40" t="s">
        <v>115</v>
      </c>
      <c r="Q2668" s="40">
        <v>201</v>
      </c>
      <c r="R2668" s="40">
        <v>277</v>
      </c>
      <c r="X2668" s="40">
        <v>90220709</v>
      </c>
      <c r="Y2668" s="40" t="s">
        <v>115</v>
      </c>
      <c r="Z2668" s="40" t="s">
        <v>115</v>
      </c>
      <c r="AA2668" s="40" t="s">
        <v>115</v>
      </c>
      <c r="AB2668" s="40" t="s">
        <v>115</v>
      </c>
      <c r="AC2668" s="40" t="s">
        <v>115</v>
      </c>
      <c r="AI2668" s="40" t="s">
        <v>115</v>
      </c>
      <c r="AP2668" s="4" t="s">
        <v>115</v>
      </c>
    </row>
    <row r="2669" spans="1:42" x14ac:dyDescent="0.15">
      <c r="A2669" s="40" t="s">
        <v>1</v>
      </c>
      <c r="B2669" s="23">
        <v>90220709</v>
      </c>
      <c r="C2669" s="23">
        <v>2207</v>
      </c>
      <c r="D2669" s="23">
        <v>22</v>
      </c>
      <c r="F2669" s="23" t="s">
        <v>116</v>
      </c>
      <c r="G2669" s="23">
        <v>312</v>
      </c>
      <c r="H2669" s="23" t="s">
        <v>5265</v>
      </c>
      <c r="I2669" s="23">
        <v>0</v>
      </c>
      <c r="J2669" s="40">
        <v>0</v>
      </c>
      <c r="K2669" s="40">
        <v>0</v>
      </c>
      <c r="L2669" s="40" t="s">
        <v>115</v>
      </c>
      <c r="O2669" s="40" t="s">
        <v>115</v>
      </c>
      <c r="Q2669" s="40">
        <v>201</v>
      </c>
      <c r="R2669" s="40">
        <v>277</v>
      </c>
      <c r="X2669" s="40">
        <v>90220710</v>
      </c>
      <c r="Y2669" s="40" t="s">
        <v>115</v>
      </c>
      <c r="Z2669" s="40" t="s">
        <v>115</v>
      </c>
      <c r="AA2669" s="40" t="s">
        <v>115</v>
      </c>
      <c r="AB2669" s="40" t="s">
        <v>115</v>
      </c>
      <c r="AC2669" s="40" t="s">
        <v>115</v>
      </c>
      <c r="AI2669" s="40" t="s">
        <v>115</v>
      </c>
      <c r="AP2669" s="4" t="s">
        <v>115</v>
      </c>
    </row>
    <row r="2670" spans="1:42" x14ac:dyDescent="0.15">
      <c r="A2670" s="40" t="s">
        <v>1</v>
      </c>
      <c r="B2670" s="23">
        <v>90220710</v>
      </c>
      <c r="C2670" s="23">
        <v>2207</v>
      </c>
      <c r="D2670" s="23">
        <v>22</v>
      </c>
      <c r="F2670" s="23" t="s">
        <v>5121</v>
      </c>
      <c r="G2670" s="23" t="s">
        <v>115</v>
      </c>
      <c r="H2670" s="23" t="s">
        <v>7248</v>
      </c>
      <c r="I2670" s="23">
        <v>3</v>
      </c>
      <c r="J2670" s="40">
        <v>0</v>
      </c>
      <c r="K2670" s="40">
        <v>0</v>
      </c>
      <c r="L2670" s="40" t="s">
        <v>115</v>
      </c>
      <c r="O2670" s="40" t="s">
        <v>115</v>
      </c>
      <c r="Q2670" s="40">
        <v>201</v>
      </c>
      <c r="R2670" s="40">
        <v>277</v>
      </c>
      <c r="X2670" s="40">
        <v>90220711</v>
      </c>
      <c r="Y2670" s="40" t="s">
        <v>115</v>
      </c>
      <c r="Z2670" s="40" t="s">
        <v>115</v>
      </c>
      <c r="AA2670" s="40" t="s">
        <v>115</v>
      </c>
      <c r="AB2670" s="40" t="s">
        <v>115</v>
      </c>
      <c r="AC2670" s="40" t="s">
        <v>115</v>
      </c>
      <c r="AI2670" s="40" t="s">
        <v>115</v>
      </c>
      <c r="AP2670" s="4" t="s">
        <v>115</v>
      </c>
    </row>
    <row r="2671" spans="1:42" x14ac:dyDescent="0.15">
      <c r="A2671" s="40" t="s">
        <v>1</v>
      </c>
      <c r="B2671" s="23">
        <v>90220711</v>
      </c>
      <c r="C2671" s="23">
        <v>2207</v>
      </c>
      <c r="D2671" s="23">
        <v>22</v>
      </c>
      <c r="F2671" s="23" t="s">
        <v>115</v>
      </c>
      <c r="G2671" s="23" t="s">
        <v>115</v>
      </c>
      <c r="H2671" s="23" t="s">
        <v>5266</v>
      </c>
      <c r="I2671" s="23">
        <v>4</v>
      </c>
      <c r="J2671" s="40">
        <v>0</v>
      </c>
      <c r="K2671" s="40">
        <v>2</v>
      </c>
      <c r="L2671" s="40" t="s">
        <v>115</v>
      </c>
      <c r="O2671" s="40" t="s">
        <v>115</v>
      </c>
      <c r="Q2671" s="40">
        <v>201</v>
      </c>
      <c r="R2671" s="40">
        <v>277</v>
      </c>
      <c r="X2671" s="40" t="s">
        <v>5267</v>
      </c>
      <c r="Y2671" s="40">
        <v>1</v>
      </c>
      <c r="Z2671" s="40">
        <v>1</v>
      </c>
      <c r="AA2671" s="40" t="s">
        <v>115</v>
      </c>
      <c r="AB2671" s="40" t="s">
        <v>115</v>
      </c>
      <c r="AC2671" s="40" t="s">
        <v>115</v>
      </c>
      <c r="AI2671" s="40" t="s">
        <v>115</v>
      </c>
      <c r="AP2671" s="4" t="s">
        <v>115</v>
      </c>
    </row>
    <row r="2672" spans="1:42" x14ac:dyDescent="0.15">
      <c r="A2672" s="40" t="s">
        <v>1</v>
      </c>
      <c r="B2672" s="23">
        <v>90220712</v>
      </c>
      <c r="C2672" s="23">
        <v>2207</v>
      </c>
      <c r="D2672" s="23">
        <v>22</v>
      </c>
      <c r="F2672" s="23" t="s">
        <v>115</v>
      </c>
      <c r="G2672" s="23" t="s">
        <v>115</v>
      </c>
      <c r="H2672" s="23" t="s">
        <v>5268</v>
      </c>
      <c r="I2672" s="23">
        <v>4</v>
      </c>
      <c r="J2672" s="40">
        <v>0</v>
      </c>
      <c r="K2672" s="40">
        <v>3</v>
      </c>
      <c r="L2672" s="40" t="s">
        <v>115</v>
      </c>
      <c r="O2672" s="40" t="s">
        <v>115</v>
      </c>
      <c r="Q2672" s="40">
        <v>201</v>
      </c>
      <c r="R2672" s="40">
        <v>277</v>
      </c>
      <c r="X2672" s="40">
        <v>90220713</v>
      </c>
      <c r="Y2672" s="40">
        <v>-1</v>
      </c>
      <c r="Z2672" s="40">
        <v>2</v>
      </c>
      <c r="AA2672" s="40" t="s">
        <v>115</v>
      </c>
      <c r="AB2672" s="40" t="s">
        <v>115</v>
      </c>
      <c r="AC2672" s="40" t="s">
        <v>5269</v>
      </c>
      <c r="AI2672" s="40" t="s">
        <v>115</v>
      </c>
      <c r="AP2672" s="4" t="s">
        <v>115</v>
      </c>
    </row>
    <row r="2673" spans="1:42" x14ac:dyDescent="0.15">
      <c r="A2673" s="40" t="s">
        <v>1</v>
      </c>
      <c r="B2673" s="23">
        <v>90220713</v>
      </c>
      <c r="C2673" s="23">
        <v>2207</v>
      </c>
      <c r="D2673" s="23">
        <v>22</v>
      </c>
      <c r="F2673" s="23" t="s">
        <v>5121</v>
      </c>
      <c r="G2673" s="23" t="s">
        <v>115</v>
      </c>
      <c r="H2673" s="23" t="s">
        <v>5270</v>
      </c>
      <c r="I2673" s="23">
        <v>3</v>
      </c>
      <c r="J2673" s="40">
        <v>0</v>
      </c>
      <c r="K2673" s="40">
        <v>0</v>
      </c>
      <c r="L2673" s="40" t="s">
        <v>115</v>
      </c>
      <c r="O2673" s="40" t="s">
        <v>115</v>
      </c>
      <c r="Q2673" s="40">
        <v>201</v>
      </c>
      <c r="R2673" s="40">
        <v>277</v>
      </c>
      <c r="X2673" s="40">
        <v>90220714</v>
      </c>
      <c r="Y2673" s="40" t="s">
        <v>115</v>
      </c>
      <c r="Z2673" s="40" t="s">
        <v>115</v>
      </c>
      <c r="AA2673" s="40" t="s">
        <v>115</v>
      </c>
      <c r="AB2673" s="40" t="s">
        <v>115</v>
      </c>
      <c r="AC2673" s="40" t="s">
        <v>115</v>
      </c>
      <c r="AI2673" s="40" t="s">
        <v>115</v>
      </c>
      <c r="AP2673" s="4" t="s">
        <v>115</v>
      </c>
    </row>
    <row r="2674" spans="1:42" x14ac:dyDescent="0.15">
      <c r="A2674" s="40" t="s">
        <v>1</v>
      </c>
      <c r="B2674" s="23">
        <v>90220714</v>
      </c>
      <c r="C2674" s="23">
        <v>2207</v>
      </c>
      <c r="D2674" s="23">
        <v>22</v>
      </c>
      <c r="F2674" s="23" t="s">
        <v>115</v>
      </c>
      <c r="G2674" s="23" t="s">
        <v>115</v>
      </c>
      <c r="H2674" s="23" t="s">
        <v>5271</v>
      </c>
      <c r="I2674" s="23">
        <v>4</v>
      </c>
      <c r="J2674" s="40">
        <v>0</v>
      </c>
      <c r="K2674" s="40">
        <v>0</v>
      </c>
      <c r="L2674" s="40" t="s">
        <v>115</v>
      </c>
      <c r="O2674" s="40" t="s">
        <v>115</v>
      </c>
      <c r="Q2674" s="40">
        <v>201</v>
      </c>
      <c r="R2674" s="40">
        <v>277</v>
      </c>
      <c r="X2674" s="40">
        <v>90220715</v>
      </c>
      <c r="Y2674" s="40" t="s">
        <v>115</v>
      </c>
      <c r="Z2674" s="40" t="s">
        <v>115</v>
      </c>
      <c r="AA2674" s="40" t="s">
        <v>115</v>
      </c>
      <c r="AB2674" s="40" t="s">
        <v>115</v>
      </c>
      <c r="AC2674" s="40" t="s">
        <v>115</v>
      </c>
      <c r="AI2674" s="40" t="s">
        <v>115</v>
      </c>
      <c r="AP2674" s="4" t="s">
        <v>115</v>
      </c>
    </row>
    <row r="2675" spans="1:42" x14ac:dyDescent="0.15">
      <c r="A2675" s="40" t="s">
        <v>1</v>
      </c>
      <c r="B2675" s="23">
        <v>90220715</v>
      </c>
      <c r="C2675" s="23">
        <v>2207</v>
      </c>
      <c r="D2675" s="23">
        <v>22</v>
      </c>
      <c r="F2675" s="23" t="s">
        <v>115</v>
      </c>
      <c r="G2675" s="23" t="s">
        <v>115</v>
      </c>
      <c r="H2675" s="23" t="s">
        <v>5272</v>
      </c>
      <c r="I2675" s="23">
        <v>4</v>
      </c>
      <c r="J2675" s="40">
        <v>0</v>
      </c>
      <c r="K2675" s="40">
        <v>0</v>
      </c>
      <c r="L2675" s="40" t="s">
        <v>115</v>
      </c>
      <c r="O2675" s="40" t="s">
        <v>115</v>
      </c>
      <c r="Q2675" s="40">
        <v>201</v>
      </c>
      <c r="R2675" s="40">
        <v>277</v>
      </c>
      <c r="X2675" s="40">
        <v>90220716</v>
      </c>
      <c r="Y2675" s="40" t="s">
        <v>115</v>
      </c>
      <c r="Z2675" s="40" t="s">
        <v>115</v>
      </c>
      <c r="AA2675" s="40" t="s">
        <v>115</v>
      </c>
      <c r="AB2675" s="40" t="s">
        <v>115</v>
      </c>
      <c r="AC2675" s="40" t="s">
        <v>115</v>
      </c>
      <c r="AI2675" s="40" t="s">
        <v>115</v>
      </c>
      <c r="AP2675" s="4" t="s">
        <v>115</v>
      </c>
    </row>
    <row r="2676" spans="1:42" x14ac:dyDescent="0.15">
      <c r="A2676" s="40" t="s">
        <v>1</v>
      </c>
      <c r="B2676" s="23">
        <v>90220716</v>
      </c>
      <c r="C2676" s="23">
        <v>2207</v>
      </c>
      <c r="D2676" s="23">
        <v>22</v>
      </c>
      <c r="F2676" s="23" t="s">
        <v>5121</v>
      </c>
      <c r="G2676" s="23" t="s">
        <v>115</v>
      </c>
      <c r="H2676" s="23" t="s">
        <v>5273</v>
      </c>
      <c r="I2676" s="23">
        <v>3</v>
      </c>
      <c r="J2676" s="40">
        <v>0</v>
      </c>
      <c r="K2676" s="40">
        <v>0</v>
      </c>
      <c r="L2676" s="40" t="s">
        <v>115</v>
      </c>
      <c r="O2676" s="40" t="s">
        <v>115</v>
      </c>
      <c r="Q2676" s="40">
        <v>201</v>
      </c>
      <c r="R2676" s="40">
        <v>277</v>
      </c>
      <c r="X2676" s="40">
        <v>90220717</v>
      </c>
      <c r="Y2676" s="40" t="s">
        <v>115</v>
      </c>
      <c r="Z2676" s="40" t="s">
        <v>115</v>
      </c>
      <c r="AA2676" s="40" t="s">
        <v>115</v>
      </c>
      <c r="AB2676" s="40" t="s">
        <v>115</v>
      </c>
      <c r="AC2676" s="40" t="s">
        <v>115</v>
      </c>
      <c r="AI2676" s="40" t="s">
        <v>115</v>
      </c>
      <c r="AP2676" s="4" t="s">
        <v>115</v>
      </c>
    </row>
    <row r="2677" spans="1:42" x14ac:dyDescent="0.15">
      <c r="A2677" s="40" t="s">
        <v>1</v>
      </c>
      <c r="B2677" s="23">
        <v>90220717</v>
      </c>
      <c r="C2677" s="23">
        <v>2207</v>
      </c>
      <c r="D2677" s="23">
        <v>22</v>
      </c>
      <c r="F2677" s="23" t="s">
        <v>116</v>
      </c>
      <c r="G2677" s="23">
        <v>312</v>
      </c>
      <c r="H2677" s="23" t="s">
        <v>5274</v>
      </c>
      <c r="I2677" s="23">
        <v>0</v>
      </c>
      <c r="J2677" s="40">
        <v>0</v>
      </c>
      <c r="K2677" s="40">
        <v>0</v>
      </c>
      <c r="L2677" s="40" t="s">
        <v>115</v>
      </c>
      <c r="O2677" s="40" t="s">
        <v>115</v>
      </c>
      <c r="Q2677" s="40">
        <v>201</v>
      </c>
      <c r="R2677" s="40">
        <v>277</v>
      </c>
      <c r="X2677" s="40">
        <v>90220718</v>
      </c>
      <c r="Y2677" s="40" t="s">
        <v>115</v>
      </c>
      <c r="Z2677" s="40" t="s">
        <v>115</v>
      </c>
      <c r="AA2677" s="40" t="s">
        <v>115</v>
      </c>
      <c r="AB2677" s="40" t="s">
        <v>115</v>
      </c>
      <c r="AC2677" s="40" t="s">
        <v>115</v>
      </c>
      <c r="AI2677" s="40" t="s">
        <v>115</v>
      </c>
      <c r="AP2677" s="4" t="s">
        <v>115</v>
      </c>
    </row>
    <row r="2678" spans="1:42" x14ac:dyDescent="0.15">
      <c r="A2678" s="40" t="s">
        <v>1</v>
      </c>
      <c r="B2678" s="23">
        <v>90220718</v>
      </c>
      <c r="C2678" s="23">
        <v>2207</v>
      </c>
      <c r="D2678" s="23">
        <v>22</v>
      </c>
      <c r="F2678" s="23" t="s">
        <v>5121</v>
      </c>
      <c r="G2678" s="23" t="s">
        <v>115</v>
      </c>
      <c r="H2678" s="23" t="s">
        <v>5275</v>
      </c>
      <c r="I2678" s="23">
        <v>3</v>
      </c>
      <c r="J2678" s="40">
        <v>0</v>
      </c>
      <c r="K2678" s="40">
        <v>0</v>
      </c>
      <c r="L2678" s="40" t="s">
        <v>115</v>
      </c>
      <c r="O2678" s="40" t="s">
        <v>115</v>
      </c>
      <c r="Q2678" s="40">
        <v>201</v>
      </c>
      <c r="R2678" s="40">
        <v>277</v>
      </c>
      <c r="X2678" s="40">
        <v>90220719</v>
      </c>
      <c r="Y2678" s="40" t="s">
        <v>115</v>
      </c>
      <c r="Z2678" s="40" t="s">
        <v>115</v>
      </c>
      <c r="AA2678" s="40" t="s">
        <v>115</v>
      </c>
      <c r="AB2678" s="40" t="s">
        <v>115</v>
      </c>
      <c r="AC2678" s="40" t="s">
        <v>115</v>
      </c>
      <c r="AI2678" s="40" t="s">
        <v>115</v>
      </c>
      <c r="AP2678" s="4" t="s">
        <v>115</v>
      </c>
    </row>
    <row r="2679" spans="1:42" x14ac:dyDescent="0.15">
      <c r="A2679" s="40" t="s">
        <v>1</v>
      </c>
      <c r="B2679" s="23">
        <v>90220719</v>
      </c>
      <c r="C2679" s="23">
        <v>2207</v>
      </c>
      <c r="D2679" s="23">
        <v>22</v>
      </c>
      <c r="F2679" s="23" t="s">
        <v>116</v>
      </c>
      <c r="G2679" s="23">
        <v>312</v>
      </c>
      <c r="H2679" s="23" t="s">
        <v>7249</v>
      </c>
      <c r="I2679" s="23">
        <v>0</v>
      </c>
      <c r="J2679" s="40">
        <v>0</v>
      </c>
      <c r="K2679" s="40">
        <v>0</v>
      </c>
      <c r="L2679" s="40" t="s">
        <v>115</v>
      </c>
      <c r="O2679" s="40" t="s">
        <v>115</v>
      </c>
      <c r="Q2679" s="40">
        <v>201</v>
      </c>
      <c r="R2679" s="40">
        <v>277</v>
      </c>
      <c r="X2679" s="40">
        <v>90220720</v>
      </c>
      <c r="Y2679" s="40" t="s">
        <v>115</v>
      </c>
      <c r="Z2679" s="40" t="s">
        <v>115</v>
      </c>
      <c r="AA2679" s="40" t="s">
        <v>115</v>
      </c>
      <c r="AB2679" s="40" t="s">
        <v>115</v>
      </c>
      <c r="AC2679" s="40" t="s">
        <v>115</v>
      </c>
      <c r="AI2679" s="40" t="s">
        <v>115</v>
      </c>
      <c r="AP2679" s="4" t="s">
        <v>115</v>
      </c>
    </row>
    <row r="2680" spans="1:42" x14ac:dyDescent="0.15">
      <c r="A2680" s="40" t="s">
        <v>1</v>
      </c>
      <c r="B2680" s="23">
        <v>90220720</v>
      </c>
      <c r="C2680" s="23">
        <v>2207</v>
      </c>
      <c r="D2680" s="23">
        <v>22</v>
      </c>
      <c r="F2680" s="23" t="s">
        <v>5121</v>
      </c>
      <c r="G2680" s="23" t="s">
        <v>115</v>
      </c>
      <c r="H2680" s="23" t="s">
        <v>5276</v>
      </c>
      <c r="I2680" s="23">
        <v>3</v>
      </c>
      <c r="J2680" s="40">
        <v>0</v>
      </c>
      <c r="K2680" s="40">
        <v>0</v>
      </c>
      <c r="L2680" s="40" t="s">
        <v>115</v>
      </c>
      <c r="O2680" s="40" t="s">
        <v>115</v>
      </c>
      <c r="Q2680" s="40">
        <v>201</v>
      </c>
      <c r="R2680" s="40">
        <v>277</v>
      </c>
      <c r="X2680" s="40">
        <v>90220721</v>
      </c>
      <c r="Y2680" s="40" t="s">
        <v>115</v>
      </c>
      <c r="Z2680" s="40" t="s">
        <v>115</v>
      </c>
      <c r="AA2680" s="40" t="s">
        <v>115</v>
      </c>
      <c r="AB2680" s="40" t="s">
        <v>115</v>
      </c>
      <c r="AC2680" s="40" t="s">
        <v>115</v>
      </c>
      <c r="AI2680" s="40" t="s">
        <v>115</v>
      </c>
      <c r="AP2680" s="4" t="s">
        <v>115</v>
      </c>
    </row>
    <row r="2681" spans="1:42" x14ac:dyDescent="0.15">
      <c r="A2681" s="40" t="s">
        <v>1</v>
      </c>
      <c r="B2681" s="23">
        <v>90220721</v>
      </c>
      <c r="C2681" s="23">
        <v>2207</v>
      </c>
      <c r="D2681" s="23">
        <v>22</v>
      </c>
      <c r="F2681" s="23" t="s">
        <v>115</v>
      </c>
      <c r="G2681" s="23" t="s">
        <v>115</v>
      </c>
      <c r="H2681" s="23" t="s">
        <v>7250</v>
      </c>
      <c r="I2681" s="23">
        <v>4</v>
      </c>
      <c r="J2681" s="40">
        <v>0</v>
      </c>
      <c r="K2681" s="40">
        <v>0</v>
      </c>
      <c r="L2681" s="40" t="s">
        <v>115</v>
      </c>
      <c r="O2681" s="40" t="s">
        <v>115</v>
      </c>
      <c r="Q2681" s="40">
        <v>201</v>
      </c>
      <c r="R2681" s="40">
        <v>277</v>
      </c>
      <c r="X2681" s="40">
        <v>90220722</v>
      </c>
      <c r="Y2681" s="40" t="s">
        <v>115</v>
      </c>
      <c r="Z2681" s="40" t="s">
        <v>115</v>
      </c>
      <c r="AA2681" s="40" t="s">
        <v>115</v>
      </c>
      <c r="AB2681" s="40" t="s">
        <v>115</v>
      </c>
      <c r="AC2681" s="40" t="s">
        <v>115</v>
      </c>
      <c r="AI2681" s="40" t="s">
        <v>115</v>
      </c>
      <c r="AP2681" s="4" t="s">
        <v>115</v>
      </c>
    </row>
    <row r="2682" spans="1:42" x14ac:dyDescent="0.15">
      <c r="A2682" s="40" t="s">
        <v>1</v>
      </c>
      <c r="B2682" s="23">
        <v>90220722</v>
      </c>
      <c r="C2682" s="23">
        <v>2207</v>
      </c>
      <c r="D2682" s="23">
        <v>22</v>
      </c>
      <c r="F2682" s="23" t="s">
        <v>116</v>
      </c>
      <c r="G2682" s="23">
        <v>312</v>
      </c>
      <c r="H2682" s="23" t="s">
        <v>5277</v>
      </c>
      <c r="I2682" s="23">
        <v>0</v>
      </c>
      <c r="J2682" s="40">
        <v>0</v>
      </c>
      <c r="K2682" s="40">
        <v>0</v>
      </c>
      <c r="L2682" s="40" t="s">
        <v>115</v>
      </c>
      <c r="O2682" s="40" t="s">
        <v>115</v>
      </c>
      <c r="Q2682" s="40">
        <v>201</v>
      </c>
      <c r="R2682" s="40">
        <v>277</v>
      </c>
      <c r="X2682" s="40">
        <v>90220723</v>
      </c>
      <c r="Y2682" s="40" t="s">
        <v>115</v>
      </c>
      <c r="Z2682" s="40" t="s">
        <v>115</v>
      </c>
      <c r="AA2682" s="40" t="s">
        <v>115</v>
      </c>
      <c r="AB2682" s="40" t="s">
        <v>115</v>
      </c>
      <c r="AC2682" s="40" t="s">
        <v>115</v>
      </c>
      <c r="AI2682" s="40" t="s">
        <v>115</v>
      </c>
      <c r="AP2682" s="4" t="s">
        <v>115</v>
      </c>
    </row>
    <row r="2683" spans="1:42" x14ac:dyDescent="0.15">
      <c r="A2683" s="40" t="s">
        <v>1</v>
      </c>
      <c r="B2683" s="23">
        <v>90220723</v>
      </c>
      <c r="C2683" s="23">
        <v>2207</v>
      </c>
      <c r="D2683" s="23">
        <v>22</v>
      </c>
      <c r="F2683" s="23" t="s">
        <v>116</v>
      </c>
      <c r="G2683" s="23">
        <v>312</v>
      </c>
      <c r="H2683" s="23" t="s">
        <v>5278</v>
      </c>
      <c r="I2683" s="23">
        <v>0</v>
      </c>
      <c r="J2683" s="40">
        <v>0</v>
      </c>
      <c r="K2683" s="40">
        <v>0</v>
      </c>
      <c r="L2683" s="40" t="s">
        <v>115</v>
      </c>
      <c r="O2683" s="40" t="s">
        <v>115</v>
      </c>
      <c r="Q2683" s="40">
        <v>201</v>
      </c>
      <c r="R2683" s="40">
        <v>277</v>
      </c>
      <c r="X2683" s="40">
        <v>90220724</v>
      </c>
      <c r="Y2683" s="40" t="s">
        <v>115</v>
      </c>
      <c r="Z2683" s="40" t="s">
        <v>115</v>
      </c>
      <c r="AA2683" s="40" t="s">
        <v>115</v>
      </c>
      <c r="AB2683" s="40" t="s">
        <v>115</v>
      </c>
      <c r="AC2683" s="40" t="s">
        <v>115</v>
      </c>
      <c r="AI2683" s="40" t="s">
        <v>115</v>
      </c>
      <c r="AP2683" s="4" t="s">
        <v>115</v>
      </c>
    </row>
    <row r="2684" spans="1:42" x14ac:dyDescent="0.15">
      <c r="A2684" s="40" t="s">
        <v>1</v>
      </c>
      <c r="B2684" s="23">
        <v>90220724</v>
      </c>
      <c r="C2684" s="23">
        <v>2207</v>
      </c>
      <c r="D2684" s="23">
        <v>22</v>
      </c>
      <c r="F2684" s="23" t="s">
        <v>5121</v>
      </c>
      <c r="G2684" s="23" t="s">
        <v>115</v>
      </c>
      <c r="H2684" s="23" t="s">
        <v>7251</v>
      </c>
      <c r="I2684" s="23">
        <v>3</v>
      </c>
      <c r="J2684" s="40">
        <v>0</v>
      </c>
      <c r="K2684" s="40">
        <v>0</v>
      </c>
      <c r="L2684" s="40" t="s">
        <v>115</v>
      </c>
      <c r="O2684" s="40" t="s">
        <v>115</v>
      </c>
      <c r="Q2684" s="40">
        <v>201</v>
      </c>
      <c r="R2684" s="40">
        <v>277</v>
      </c>
      <c r="X2684" s="40">
        <v>90220725</v>
      </c>
      <c r="Y2684" s="40" t="s">
        <v>115</v>
      </c>
      <c r="Z2684" s="40" t="s">
        <v>115</v>
      </c>
      <c r="AA2684" s="40" t="s">
        <v>115</v>
      </c>
      <c r="AB2684" s="40" t="s">
        <v>115</v>
      </c>
      <c r="AC2684" s="40" t="s">
        <v>115</v>
      </c>
      <c r="AI2684" s="40" t="s">
        <v>115</v>
      </c>
      <c r="AP2684" s="4" t="s">
        <v>115</v>
      </c>
    </row>
    <row r="2685" spans="1:42" x14ac:dyDescent="0.15">
      <c r="A2685" s="40" t="s">
        <v>1</v>
      </c>
      <c r="B2685" s="23">
        <v>90220725</v>
      </c>
      <c r="C2685" s="23">
        <v>2207</v>
      </c>
      <c r="D2685" s="23">
        <v>22</v>
      </c>
      <c r="F2685" s="23" t="s">
        <v>116</v>
      </c>
      <c r="G2685" s="23">
        <v>312</v>
      </c>
      <c r="H2685" s="23" t="s">
        <v>7252</v>
      </c>
      <c r="I2685" s="23">
        <v>0</v>
      </c>
      <c r="J2685" s="40">
        <v>0</v>
      </c>
      <c r="K2685" s="40">
        <v>0</v>
      </c>
      <c r="L2685" s="40" t="s">
        <v>115</v>
      </c>
      <c r="O2685" s="40" t="s">
        <v>115</v>
      </c>
      <c r="Q2685" s="40">
        <v>201</v>
      </c>
      <c r="R2685" s="40">
        <v>277</v>
      </c>
      <c r="X2685" s="40">
        <v>90220726</v>
      </c>
      <c r="Y2685" s="40" t="s">
        <v>115</v>
      </c>
      <c r="Z2685" s="40" t="s">
        <v>115</v>
      </c>
      <c r="AA2685" s="40" t="s">
        <v>115</v>
      </c>
      <c r="AB2685" s="40" t="s">
        <v>115</v>
      </c>
      <c r="AC2685" s="40" t="s">
        <v>115</v>
      </c>
      <c r="AI2685" s="40" t="s">
        <v>115</v>
      </c>
      <c r="AP2685" s="4" t="s">
        <v>115</v>
      </c>
    </row>
    <row r="2686" spans="1:42" x14ac:dyDescent="0.15">
      <c r="A2686" s="40" t="s">
        <v>1</v>
      </c>
      <c r="B2686" s="23">
        <v>90220726</v>
      </c>
      <c r="C2686" s="23">
        <v>2207</v>
      </c>
      <c r="D2686" s="23">
        <v>22</v>
      </c>
      <c r="F2686" s="23" t="s">
        <v>115</v>
      </c>
      <c r="G2686" s="23" t="s">
        <v>115</v>
      </c>
      <c r="H2686" s="23" t="s">
        <v>5279</v>
      </c>
      <c r="I2686" s="23">
        <v>4</v>
      </c>
      <c r="J2686" s="40">
        <v>0</v>
      </c>
      <c r="K2686" s="40">
        <v>0</v>
      </c>
      <c r="L2686" s="40" t="s">
        <v>115</v>
      </c>
      <c r="O2686" s="40" t="s">
        <v>115</v>
      </c>
      <c r="Q2686" s="40">
        <v>178</v>
      </c>
      <c r="R2686" s="40" t="s">
        <v>115</v>
      </c>
      <c r="X2686" s="40">
        <v>90220727</v>
      </c>
      <c r="Y2686" s="40" t="s">
        <v>115</v>
      </c>
      <c r="Z2686" s="40" t="s">
        <v>115</v>
      </c>
      <c r="AA2686" s="40" t="s">
        <v>115</v>
      </c>
      <c r="AB2686" s="40" t="s">
        <v>115</v>
      </c>
      <c r="AC2686" s="40" t="s">
        <v>115</v>
      </c>
      <c r="AI2686" s="40" t="s">
        <v>115</v>
      </c>
      <c r="AP2686" s="4" t="s">
        <v>115</v>
      </c>
    </row>
    <row r="2687" spans="1:42" x14ac:dyDescent="0.15">
      <c r="A2687" s="40" t="s">
        <v>1</v>
      </c>
      <c r="B2687" s="23">
        <v>90220727</v>
      </c>
      <c r="C2687" s="23">
        <v>2207</v>
      </c>
      <c r="D2687" s="23">
        <v>22</v>
      </c>
      <c r="F2687" s="23" t="s">
        <v>116</v>
      </c>
      <c r="G2687" s="23">
        <v>310</v>
      </c>
      <c r="H2687" s="23" t="s">
        <v>5280</v>
      </c>
      <c r="I2687" s="23">
        <v>2</v>
      </c>
      <c r="J2687" s="40">
        <v>0</v>
      </c>
      <c r="K2687" s="40">
        <v>4</v>
      </c>
      <c r="L2687" s="40" t="s">
        <v>115</v>
      </c>
      <c r="O2687" s="40">
        <v>1</v>
      </c>
      <c r="Q2687" s="40">
        <v>178</v>
      </c>
      <c r="R2687" s="40" t="s">
        <v>115</v>
      </c>
      <c r="X2687" s="40" t="s">
        <v>115</v>
      </c>
      <c r="Y2687" s="40" t="s">
        <v>115</v>
      </c>
      <c r="Z2687" s="40">
        <v>3</v>
      </c>
      <c r="AA2687" s="40" t="s">
        <v>115</v>
      </c>
      <c r="AB2687" s="40" t="s">
        <v>115</v>
      </c>
      <c r="AC2687" s="40" t="s">
        <v>115</v>
      </c>
      <c r="AI2687" s="40" t="s">
        <v>115</v>
      </c>
      <c r="AP2687" s="4" t="s">
        <v>115</v>
      </c>
    </row>
    <row r="2688" spans="1:42" x14ac:dyDescent="0.15">
      <c r="A2688" s="40" t="s">
        <v>1</v>
      </c>
      <c r="B2688" s="23" t="s">
        <v>4847</v>
      </c>
      <c r="C2688" s="23">
        <v>2301</v>
      </c>
      <c r="D2688" s="23">
        <v>23</v>
      </c>
      <c r="F2688" s="23" t="s">
        <v>115</v>
      </c>
      <c r="G2688" s="23" t="s">
        <v>115</v>
      </c>
      <c r="H2688" s="23" t="s">
        <v>5281</v>
      </c>
      <c r="I2688" s="23">
        <v>4</v>
      </c>
      <c r="J2688" s="40">
        <v>1</v>
      </c>
      <c r="K2688" s="40">
        <v>1</v>
      </c>
      <c r="L2688" s="40" t="s">
        <v>115</v>
      </c>
      <c r="O2688" s="40" t="s">
        <v>115</v>
      </c>
      <c r="Q2688" s="40">
        <v>192</v>
      </c>
      <c r="R2688" s="40" t="s">
        <v>115</v>
      </c>
      <c r="X2688" s="40">
        <v>90230102</v>
      </c>
      <c r="Y2688" s="40" t="s">
        <v>115</v>
      </c>
      <c r="Z2688" s="40" t="s">
        <v>115</v>
      </c>
      <c r="AA2688" s="40" t="s">
        <v>115</v>
      </c>
      <c r="AB2688" s="40" t="s">
        <v>115</v>
      </c>
      <c r="AC2688" s="40" t="s">
        <v>115</v>
      </c>
      <c r="AI2688" s="40" t="s">
        <v>115</v>
      </c>
      <c r="AP2688" s="4" t="s">
        <v>115</v>
      </c>
    </row>
    <row r="2689" spans="1:42" x14ac:dyDescent="0.15">
      <c r="A2689" s="40" t="s">
        <v>1</v>
      </c>
      <c r="B2689" s="23">
        <v>90230102</v>
      </c>
      <c r="C2689" s="23">
        <v>2301</v>
      </c>
      <c r="D2689" s="23">
        <v>23</v>
      </c>
      <c r="F2689" s="23" t="s">
        <v>115</v>
      </c>
      <c r="G2689" s="23" t="s">
        <v>115</v>
      </c>
      <c r="H2689" s="23" t="s">
        <v>5282</v>
      </c>
      <c r="I2689" s="23">
        <v>4</v>
      </c>
      <c r="J2689" s="40">
        <v>0</v>
      </c>
      <c r="K2689" s="40">
        <v>0</v>
      </c>
      <c r="L2689" s="40" t="s">
        <v>115</v>
      </c>
      <c r="O2689" s="40" t="s">
        <v>115</v>
      </c>
      <c r="Q2689" s="40">
        <v>192</v>
      </c>
      <c r="R2689" s="40" t="s">
        <v>115</v>
      </c>
      <c r="X2689" s="40">
        <v>90230103</v>
      </c>
      <c r="Y2689" s="40" t="s">
        <v>115</v>
      </c>
      <c r="Z2689" s="40" t="s">
        <v>115</v>
      </c>
      <c r="AA2689" s="40" t="s">
        <v>115</v>
      </c>
      <c r="AB2689" s="40" t="s">
        <v>115</v>
      </c>
      <c r="AC2689" s="40" t="s">
        <v>115</v>
      </c>
      <c r="AI2689" s="40" t="s">
        <v>115</v>
      </c>
      <c r="AP2689" s="4" t="s">
        <v>115</v>
      </c>
    </row>
    <row r="2690" spans="1:42" x14ac:dyDescent="0.15">
      <c r="A2690" s="40" t="s">
        <v>1</v>
      </c>
      <c r="B2690" s="23">
        <v>90230103</v>
      </c>
      <c r="C2690" s="23">
        <v>2301</v>
      </c>
      <c r="D2690" s="23">
        <v>23</v>
      </c>
      <c r="F2690" s="23" t="s">
        <v>561</v>
      </c>
      <c r="G2690" s="23" t="s">
        <v>115</v>
      </c>
      <c r="H2690" s="23" t="s">
        <v>5283</v>
      </c>
      <c r="I2690" s="23">
        <v>3</v>
      </c>
      <c r="J2690" s="40">
        <v>0</v>
      </c>
      <c r="K2690" s="40">
        <v>0</v>
      </c>
      <c r="L2690" s="40" t="s">
        <v>115</v>
      </c>
      <c r="O2690" s="40" t="s">
        <v>115</v>
      </c>
      <c r="Q2690" s="40">
        <v>192</v>
      </c>
      <c r="R2690" s="40">
        <v>24</v>
      </c>
      <c r="X2690" s="40">
        <v>90230104</v>
      </c>
      <c r="Y2690" s="40" t="s">
        <v>115</v>
      </c>
      <c r="Z2690" s="40" t="s">
        <v>115</v>
      </c>
      <c r="AA2690" s="40" t="s">
        <v>115</v>
      </c>
      <c r="AB2690" s="40" t="s">
        <v>115</v>
      </c>
      <c r="AC2690" s="40" t="s">
        <v>115</v>
      </c>
      <c r="AI2690" s="40" t="s">
        <v>115</v>
      </c>
      <c r="AP2690" s="4" t="s">
        <v>115</v>
      </c>
    </row>
    <row r="2691" spans="1:42" x14ac:dyDescent="0.15">
      <c r="A2691" s="40" t="s">
        <v>1</v>
      </c>
      <c r="B2691" s="23">
        <v>90230104</v>
      </c>
      <c r="C2691" s="23">
        <v>2301</v>
      </c>
      <c r="D2691" s="23">
        <v>23</v>
      </c>
      <c r="F2691" s="23" t="s">
        <v>116</v>
      </c>
      <c r="G2691" s="23">
        <v>312</v>
      </c>
      <c r="H2691" s="23" t="s">
        <v>5284</v>
      </c>
      <c r="I2691" s="23">
        <v>0</v>
      </c>
      <c r="J2691" s="40">
        <v>0</v>
      </c>
      <c r="K2691" s="40">
        <v>0</v>
      </c>
      <c r="L2691" s="40" t="s">
        <v>115</v>
      </c>
      <c r="O2691" s="40" t="s">
        <v>115</v>
      </c>
      <c r="Q2691" s="40">
        <v>192</v>
      </c>
      <c r="R2691" s="40">
        <v>24</v>
      </c>
      <c r="X2691" s="40">
        <v>90230105</v>
      </c>
      <c r="Y2691" s="40" t="s">
        <v>115</v>
      </c>
      <c r="Z2691" s="40" t="s">
        <v>115</v>
      </c>
      <c r="AA2691" s="40" t="s">
        <v>115</v>
      </c>
      <c r="AB2691" s="40" t="s">
        <v>115</v>
      </c>
      <c r="AC2691" s="40" t="s">
        <v>115</v>
      </c>
      <c r="AI2691" s="40" t="s">
        <v>115</v>
      </c>
      <c r="AP2691" s="4" t="s">
        <v>115</v>
      </c>
    </row>
    <row r="2692" spans="1:42" x14ac:dyDescent="0.15">
      <c r="A2692" s="40" t="s">
        <v>1</v>
      </c>
      <c r="B2692" s="23">
        <v>90230105</v>
      </c>
      <c r="C2692" s="23">
        <v>2301</v>
      </c>
      <c r="D2692" s="23">
        <v>23</v>
      </c>
      <c r="F2692" s="23" t="s">
        <v>561</v>
      </c>
      <c r="G2692" s="23" t="s">
        <v>115</v>
      </c>
      <c r="H2692" s="23" t="s">
        <v>5285</v>
      </c>
      <c r="I2692" s="23">
        <v>3</v>
      </c>
      <c r="J2692" s="40">
        <v>0</v>
      </c>
      <c r="K2692" s="40">
        <v>0</v>
      </c>
      <c r="L2692" s="40" t="s">
        <v>115</v>
      </c>
      <c r="O2692" s="40" t="s">
        <v>115</v>
      </c>
      <c r="Q2692" s="40">
        <v>192</v>
      </c>
      <c r="R2692" s="40">
        <v>24</v>
      </c>
      <c r="X2692" s="40">
        <v>90230106</v>
      </c>
      <c r="Y2692" s="40" t="s">
        <v>115</v>
      </c>
      <c r="Z2692" s="40" t="s">
        <v>115</v>
      </c>
      <c r="AA2692" s="40" t="s">
        <v>115</v>
      </c>
      <c r="AB2692" s="40" t="s">
        <v>115</v>
      </c>
      <c r="AC2692" s="40" t="s">
        <v>115</v>
      </c>
      <c r="AI2692" s="40" t="s">
        <v>115</v>
      </c>
      <c r="AP2692" s="4" t="s">
        <v>115</v>
      </c>
    </row>
    <row r="2693" spans="1:42" x14ac:dyDescent="0.15">
      <c r="A2693" s="40" t="s">
        <v>1</v>
      </c>
      <c r="B2693" s="23">
        <v>90230106</v>
      </c>
      <c r="C2693" s="23">
        <v>2301</v>
      </c>
      <c r="D2693" s="23">
        <v>23</v>
      </c>
      <c r="F2693" s="23" t="s">
        <v>561</v>
      </c>
      <c r="G2693" s="23" t="s">
        <v>115</v>
      </c>
      <c r="H2693" s="23" t="s">
        <v>5286</v>
      </c>
      <c r="I2693" s="23">
        <v>3</v>
      </c>
      <c r="J2693" s="40">
        <v>0</v>
      </c>
      <c r="K2693" s="40">
        <v>0</v>
      </c>
      <c r="L2693" s="40" t="s">
        <v>115</v>
      </c>
      <c r="O2693" s="40" t="s">
        <v>115</v>
      </c>
      <c r="Q2693" s="40">
        <v>192</v>
      </c>
      <c r="R2693" s="40">
        <v>24</v>
      </c>
      <c r="X2693" s="40">
        <v>90230107</v>
      </c>
      <c r="Y2693" s="40" t="s">
        <v>115</v>
      </c>
      <c r="Z2693" s="40" t="s">
        <v>115</v>
      </c>
      <c r="AA2693" s="40" t="s">
        <v>115</v>
      </c>
      <c r="AB2693" s="40" t="s">
        <v>115</v>
      </c>
      <c r="AC2693" s="40" t="s">
        <v>115</v>
      </c>
      <c r="AI2693" s="40" t="s">
        <v>115</v>
      </c>
      <c r="AP2693" s="4" t="s">
        <v>115</v>
      </c>
    </row>
    <row r="2694" spans="1:42" x14ac:dyDescent="0.15">
      <c r="A2694" s="40" t="s">
        <v>1</v>
      </c>
      <c r="B2694" s="23">
        <v>90230107</v>
      </c>
      <c r="C2694" s="23">
        <v>2301</v>
      </c>
      <c r="D2694" s="23">
        <v>23</v>
      </c>
      <c r="F2694" s="23" t="s">
        <v>116</v>
      </c>
      <c r="G2694" s="23">
        <v>314</v>
      </c>
      <c r="H2694" s="23" t="s">
        <v>5287</v>
      </c>
      <c r="I2694" s="23">
        <v>0</v>
      </c>
      <c r="J2694" s="40">
        <v>0</v>
      </c>
      <c r="K2694" s="40">
        <v>0</v>
      </c>
      <c r="L2694" s="40" t="s">
        <v>115</v>
      </c>
      <c r="O2694" s="40" t="s">
        <v>115</v>
      </c>
      <c r="Q2694" s="40">
        <v>192</v>
      </c>
      <c r="R2694" s="40">
        <v>24</v>
      </c>
      <c r="X2694" s="40">
        <v>90230108</v>
      </c>
      <c r="Y2694" s="40" t="s">
        <v>115</v>
      </c>
      <c r="Z2694" s="40" t="s">
        <v>115</v>
      </c>
      <c r="AA2694" s="40" t="s">
        <v>115</v>
      </c>
      <c r="AB2694" s="40" t="s">
        <v>115</v>
      </c>
      <c r="AC2694" s="40" t="s">
        <v>115</v>
      </c>
      <c r="AI2694" s="40" t="s">
        <v>115</v>
      </c>
      <c r="AP2694" s="4" t="s">
        <v>115</v>
      </c>
    </row>
    <row r="2695" spans="1:42" x14ac:dyDescent="0.15">
      <c r="A2695" s="40" t="s">
        <v>1</v>
      </c>
      <c r="B2695" s="23">
        <v>90230108</v>
      </c>
      <c r="C2695" s="23">
        <v>2301</v>
      </c>
      <c r="D2695" s="23">
        <v>23</v>
      </c>
      <c r="F2695" s="23" t="s">
        <v>561</v>
      </c>
      <c r="G2695" s="23" t="s">
        <v>115</v>
      </c>
      <c r="H2695" s="23" t="s">
        <v>5288</v>
      </c>
      <c r="I2695" s="23">
        <v>3</v>
      </c>
      <c r="J2695" s="40">
        <v>0</v>
      </c>
      <c r="K2695" s="40">
        <v>0</v>
      </c>
      <c r="L2695" s="40" t="s">
        <v>115</v>
      </c>
      <c r="O2695" s="40" t="s">
        <v>115</v>
      </c>
      <c r="Q2695" s="40">
        <v>192</v>
      </c>
      <c r="R2695" s="40">
        <v>24</v>
      </c>
      <c r="X2695" s="40">
        <v>90230109</v>
      </c>
      <c r="Y2695" s="40" t="s">
        <v>115</v>
      </c>
      <c r="Z2695" s="40" t="s">
        <v>115</v>
      </c>
      <c r="AA2695" s="40" t="s">
        <v>115</v>
      </c>
      <c r="AB2695" s="40" t="s">
        <v>115</v>
      </c>
      <c r="AC2695" s="40" t="s">
        <v>115</v>
      </c>
      <c r="AI2695" s="40" t="s">
        <v>115</v>
      </c>
      <c r="AP2695" s="4" t="s">
        <v>115</v>
      </c>
    </row>
    <row r="2696" spans="1:42" x14ac:dyDescent="0.15">
      <c r="A2696" s="40" t="s">
        <v>1</v>
      </c>
      <c r="B2696" s="23">
        <v>90230109</v>
      </c>
      <c r="C2696" s="23">
        <v>2301</v>
      </c>
      <c r="D2696" s="23">
        <v>23</v>
      </c>
      <c r="F2696" s="23" t="s">
        <v>561</v>
      </c>
      <c r="G2696" s="23" t="s">
        <v>115</v>
      </c>
      <c r="H2696" s="23" t="s">
        <v>5289</v>
      </c>
      <c r="I2696" s="23">
        <v>3</v>
      </c>
      <c r="J2696" s="40">
        <v>0</v>
      </c>
      <c r="K2696" s="40">
        <v>0</v>
      </c>
      <c r="L2696" s="40" t="s">
        <v>115</v>
      </c>
      <c r="O2696" s="40" t="s">
        <v>115</v>
      </c>
      <c r="Q2696" s="40">
        <v>192</v>
      </c>
      <c r="R2696" s="40">
        <v>24</v>
      </c>
      <c r="X2696" s="40">
        <v>90230110</v>
      </c>
      <c r="Y2696" s="40" t="s">
        <v>115</v>
      </c>
      <c r="Z2696" s="40" t="s">
        <v>115</v>
      </c>
      <c r="AA2696" s="40" t="s">
        <v>115</v>
      </c>
      <c r="AB2696" s="40" t="s">
        <v>115</v>
      </c>
      <c r="AC2696" s="40" t="s">
        <v>115</v>
      </c>
      <c r="AI2696" s="40" t="s">
        <v>115</v>
      </c>
      <c r="AP2696" s="4" t="s">
        <v>115</v>
      </c>
    </row>
    <row r="2697" spans="1:42" x14ac:dyDescent="0.15">
      <c r="A2697" s="40" t="s">
        <v>1</v>
      </c>
      <c r="B2697" s="23">
        <v>90230110</v>
      </c>
      <c r="C2697" s="23">
        <v>2301</v>
      </c>
      <c r="D2697" s="23">
        <v>23</v>
      </c>
      <c r="F2697" s="23" t="s">
        <v>561</v>
      </c>
      <c r="G2697" s="23" t="s">
        <v>115</v>
      </c>
      <c r="H2697" s="23" t="s">
        <v>5290</v>
      </c>
      <c r="I2697" s="23">
        <v>3</v>
      </c>
      <c r="J2697" s="40">
        <v>0</v>
      </c>
      <c r="K2697" s="40">
        <v>0</v>
      </c>
      <c r="L2697" s="40" t="s">
        <v>115</v>
      </c>
      <c r="O2697" s="40" t="s">
        <v>115</v>
      </c>
      <c r="Q2697" s="40">
        <v>192</v>
      </c>
      <c r="R2697" s="40">
        <v>24</v>
      </c>
      <c r="X2697" s="40">
        <v>90230111</v>
      </c>
      <c r="Y2697" s="40" t="s">
        <v>115</v>
      </c>
      <c r="Z2697" s="40" t="s">
        <v>115</v>
      </c>
      <c r="AA2697" s="40" t="s">
        <v>115</v>
      </c>
      <c r="AB2697" s="40" t="s">
        <v>115</v>
      </c>
      <c r="AC2697" s="40" t="s">
        <v>115</v>
      </c>
      <c r="AI2697" s="40" t="s">
        <v>115</v>
      </c>
      <c r="AP2697" s="4" t="s">
        <v>115</v>
      </c>
    </row>
    <row r="2698" spans="1:42" x14ac:dyDescent="0.15">
      <c r="A2698" s="40" t="s">
        <v>1</v>
      </c>
      <c r="B2698" s="23">
        <v>90230111</v>
      </c>
      <c r="C2698" s="23">
        <v>2301</v>
      </c>
      <c r="D2698" s="23">
        <v>23</v>
      </c>
      <c r="F2698" s="23" t="s">
        <v>116</v>
      </c>
      <c r="G2698" s="23">
        <v>312</v>
      </c>
      <c r="H2698" s="23" t="s">
        <v>5291</v>
      </c>
      <c r="I2698" s="23">
        <v>0</v>
      </c>
      <c r="J2698" s="40">
        <v>0</v>
      </c>
      <c r="K2698" s="40">
        <v>0</v>
      </c>
      <c r="L2698" s="40" t="s">
        <v>115</v>
      </c>
      <c r="O2698" s="40" t="s">
        <v>115</v>
      </c>
      <c r="Q2698" s="40">
        <v>192</v>
      </c>
      <c r="R2698" s="40">
        <v>24</v>
      </c>
      <c r="X2698" s="40">
        <v>90230112</v>
      </c>
      <c r="Y2698" s="40" t="s">
        <v>115</v>
      </c>
      <c r="Z2698" s="40" t="s">
        <v>115</v>
      </c>
      <c r="AA2698" s="40" t="s">
        <v>115</v>
      </c>
      <c r="AB2698" s="40" t="s">
        <v>115</v>
      </c>
      <c r="AC2698" s="40" t="s">
        <v>115</v>
      </c>
      <c r="AI2698" s="40" t="s">
        <v>115</v>
      </c>
      <c r="AP2698" s="4" t="s">
        <v>115</v>
      </c>
    </row>
    <row r="2699" spans="1:42" x14ac:dyDescent="0.15">
      <c r="A2699" s="40" t="s">
        <v>1</v>
      </c>
      <c r="B2699" s="23">
        <v>90230112</v>
      </c>
      <c r="C2699" s="23">
        <v>2301</v>
      </c>
      <c r="D2699" s="23">
        <v>23</v>
      </c>
      <c r="F2699" s="23" t="s">
        <v>561</v>
      </c>
      <c r="G2699" s="23" t="s">
        <v>115</v>
      </c>
      <c r="H2699" s="23" t="s">
        <v>5292</v>
      </c>
      <c r="I2699" s="23">
        <v>3</v>
      </c>
      <c r="J2699" s="40">
        <v>0</v>
      </c>
      <c r="K2699" s="40">
        <v>0</v>
      </c>
      <c r="L2699" s="40" t="s">
        <v>115</v>
      </c>
      <c r="O2699" s="40" t="s">
        <v>115</v>
      </c>
      <c r="Q2699" s="40">
        <v>192</v>
      </c>
      <c r="R2699" s="40">
        <v>24</v>
      </c>
      <c r="X2699" s="40">
        <v>90230113</v>
      </c>
      <c r="Y2699" s="40" t="s">
        <v>115</v>
      </c>
      <c r="Z2699" s="40" t="s">
        <v>115</v>
      </c>
      <c r="AA2699" s="40" t="s">
        <v>115</v>
      </c>
      <c r="AB2699" s="40" t="s">
        <v>115</v>
      </c>
      <c r="AC2699" s="40" t="s">
        <v>115</v>
      </c>
      <c r="AI2699" s="40" t="s">
        <v>115</v>
      </c>
      <c r="AP2699" s="4" t="s">
        <v>115</v>
      </c>
    </row>
    <row r="2700" spans="1:42" x14ac:dyDescent="0.15">
      <c r="A2700" s="40" t="s">
        <v>1</v>
      </c>
      <c r="B2700" s="23">
        <v>90230113</v>
      </c>
      <c r="C2700" s="23">
        <v>2301</v>
      </c>
      <c r="D2700" s="23">
        <v>23</v>
      </c>
      <c r="F2700" s="23" t="s">
        <v>561</v>
      </c>
      <c r="G2700" s="23" t="s">
        <v>115</v>
      </c>
      <c r="H2700" s="23" t="s">
        <v>5293</v>
      </c>
      <c r="I2700" s="23">
        <v>3</v>
      </c>
      <c r="J2700" s="40">
        <v>0</v>
      </c>
      <c r="K2700" s="40">
        <v>0</v>
      </c>
      <c r="L2700" s="40" t="s">
        <v>115</v>
      </c>
      <c r="O2700" s="40" t="s">
        <v>115</v>
      </c>
      <c r="Q2700" s="40">
        <v>192</v>
      </c>
      <c r="R2700" s="40">
        <v>24</v>
      </c>
      <c r="X2700" s="40">
        <v>90230114</v>
      </c>
      <c r="Y2700" s="40" t="s">
        <v>115</v>
      </c>
      <c r="Z2700" s="40" t="s">
        <v>115</v>
      </c>
      <c r="AA2700" s="40" t="s">
        <v>115</v>
      </c>
      <c r="AB2700" s="40" t="s">
        <v>115</v>
      </c>
      <c r="AC2700" s="40" t="s">
        <v>115</v>
      </c>
      <c r="AI2700" s="40" t="s">
        <v>115</v>
      </c>
      <c r="AP2700" s="4" t="s">
        <v>115</v>
      </c>
    </row>
    <row r="2701" spans="1:42" x14ac:dyDescent="0.15">
      <c r="A2701" s="40" t="s">
        <v>1</v>
      </c>
      <c r="B2701" s="23">
        <v>90230114</v>
      </c>
      <c r="C2701" s="23">
        <v>2301</v>
      </c>
      <c r="D2701" s="23">
        <v>23</v>
      </c>
      <c r="F2701" s="23" t="s">
        <v>116</v>
      </c>
      <c r="G2701" s="23">
        <v>312</v>
      </c>
      <c r="H2701" s="23" t="s">
        <v>5294</v>
      </c>
      <c r="I2701" s="23">
        <v>0</v>
      </c>
      <c r="J2701" s="40">
        <v>0</v>
      </c>
      <c r="K2701" s="40">
        <v>0</v>
      </c>
      <c r="L2701" s="40" t="s">
        <v>115</v>
      </c>
      <c r="O2701" s="40" t="s">
        <v>115</v>
      </c>
      <c r="Q2701" s="40">
        <v>192</v>
      </c>
      <c r="R2701" s="40">
        <v>24</v>
      </c>
      <c r="X2701" s="40">
        <v>90230115</v>
      </c>
      <c r="Y2701" s="40" t="s">
        <v>115</v>
      </c>
      <c r="Z2701" s="40" t="s">
        <v>115</v>
      </c>
      <c r="AA2701" s="40" t="s">
        <v>115</v>
      </c>
      <c r="AB2701" s="40" t="s">
        <v>115</v>
      </c>
      <c r="AC2701" s="40" t="s">
        <v>115</v>
      </c>
      <c r="AI2701" s="40" t="s">
        <v>115</v>
      </c>
      <c r="AP2701" s="4" t="s">
        <v>115</v>
      </c>
    </row>
    <row r="2702" spans="1:42" x14ac:dyDescent="0.15">
      <c r="A2702" s="40" t="s">
        <v>1</v>
      </c>
      <c r="B2702" s="23">
        <v>90230115</v>
      </c>
      <c r="C2702" s="23">
        <v>2301</v>
      </c>
      <c r="D2702" s="23">
        <v>23</v>
      </c>
      <c r="F2702" s="23" t="s">
        <v>561</v>
      </c>
      <c r="G2702" s="23" t="s">
        <v>115</v>
      </c>
      <c r="H2702" s="23" t="s">
        <v>5295</v>
      </c>
      <c r="I2702" s="23">
        <v>3</v>
      </c>
      <c r="J2702" s="40">
        <v>0</v>
      </c>
      <c r="K2702" s="40">
        <v>0</v>
      </c>
      <c r="L2702" s="40" t="s">
        <v>115</v>
      </c>
      <c r="O2702" s="40" t="s">
        <v>115</v>
      </c>
      <c r="Q2702" s="40">
        <v>192</v>
      </c>
      <c r="R2702" s="40">
        <v>24</v>
      </c>
      <c r="X2702" s="40">
        <v>90230116</v>
      </c>
      <c r="Y2702" s="40" t="s">
        <v>115</v>
      </c>
      <c r="Z2702" s="40" t="s">
        <v>115</v>
      </c>
      <c r="AA2702" s="40" t="s">
        <v>115</v>
      </c>
      <c r="AB2702" s="40" t="s">
        <v>115</v>
      </c>
      <c r="AC2702" s="40" t="s">
        <v>115</v>
      </c>
      <c r="AI2702" s="40" t="s">
        <v>115</v>
      </c>
      <c r="AP2702" s="4" t="s">
        <v>115</v>
      </c>
    </row>
    <row r="2703" spans="1:42" x14ac:dyDescent="0.15">
      <c r="A2703" s="40" t="s">
        <v>1</v>
      </c>
      <c r="B2703" s="23">
        <v>90230116</v>
      </c>
      <c r="C2703" s="23">
        <v>2301</v>
      </c>
      <c r="D2703" s="23">
        <v>23</v>
      </c>
      <c r="F2703" s="23" t="s">
        <v>5296</v>
      </c>
      <c r="G2703" s="23" t="s">
        <v>115</v>
      </c>
      <c r="H2703" s="23" t="s">
        <v>5297</v>
      </c>
      <c r="I2703" s="23">
        <v>3</v>
      </c>
      <c r="J2703" s="40">
        <v>0</v>
      </c>
      <c r="K2703" s="40">
        <v>0</v>
      </c>
      <c r="L2703" s="40" t="s">
        <v>115</v>
      </c>
      <c r="O2703" s="40" t="s">
        <v>115</v>
      </c>
      <c r="Q2703" s="40">
        <v>192</v>
      </c>
      <c r="R2703" s="40">
        <v>24</v>
      </c>
      <c r="X2703" s="40">
        <v>90230117</v>
      </c>
      <c r="Y2703" s="40" t="s">
        <v>115</v>
      </c>
      <c r="Z2703" s="40" t="s">
        <v>115</v>
      </c>
      <c r="AA2703" s="40" t="s">
        <v>115</v>
      </c>
      <c r="AB2703" s="40" t="s">
        <v>115</v>
      </c>
      <c r="AC2703" s="40" t="s">
        <v>115</v>
      </c>
      <c r="AI2703" s="40" t="s">
        <v>115</v>
      </c>
      <c r="AP2703" s="4" t="s">
        <v>115</v>
      </c>
    </row>
    <row r="2704" spans="1:42" x14ac:dyDescent="0.15">
      <c r="A2704" s="40" t="s">
        <v>1</v>
      </c>
      <c r="B2704" s="23">
        <v>90230117</v>
      </c>
      <c r="C2704" s="23">
        <v>2301</v>
      </c>
      <c r="D2704" s="23">
        <v>23</v>
      </c>
      <c r="F2704" s="23" t="s">
        <v>561</v>
      </c>
      <c r="G2704" s="23" t="s">
        <v>115</v>
      </c>
      <c r="H2704" s="23" t="s">
        <v>5298</v>
      </c>
      <c r="I2704" s="23">
        <v>3</v>
      </c>
      <c r="J2704" s="40">
        <v>0</v>
      </c>
      <c r="K2704" s="40">
        <v>0</v>
      </c>
      <c r="L2704" s="40" t="s">
        <v>115</v>
      </c>
      <c r="O2704" s="40" t="s">
        <v>115</v>
      </c>
      <c r="Q2704" s="40">
        <v>192</v>
      </c>
      <c r="R2704" s="40">
        <v>24</v>
      </c>
      <c r="X2704" s="40">
        <v>90230118</v>
      </c>
      <c r="Y2704" s="40" t="s">
        <v>115</v>
      </c>
      <c r="Z2704" s="40" t="s">
        <v>115</v>
      </c>
      <c r="AA2704" s="40" t="s">
        <v>115</v>
      </c>
      <c r="AB2704" s="40" t="s">
        <v>115</v>
      </c>
      <c r="AC2704" s="40" t="s">
        <v>115</v>
      </c>
      <c r="AI2704" s="40" t="s">
        <v>115</v>
      </c>
      <c r="AP2704" s="4" t="s">
        <v>115</v>
      </c>
    </row>
    <row r="2705" spans="1:42" x14ac:dyDescent="0.15">
      <c r="A2705" s="40" t="s">
        <v>1</v>
      </c>
      <c r="B2705" s="23">
        <v>90230118</v>
      </c>
      <c r="C2705" s="23">
        <v>2301</v>
      </c>
      <c r="D2705" s="23">
        <v>23</v>
      </c>
      <c r="F2705" s="23" t="s">
        <v>115</v>
      </c>
      <c r="G2705" s="23" t="s">
        <v>115</v>
      </c>
      <c r="H2705" s="23" t="s">
        <v>5299</v>
      </c>
      <c r="I2705" s="23">
        <v>4</v>
      </c>
      <c r="J2705" s="40">
        <v>0</v>
      </c>
      <c r="K2705" s="40">
        <v>0</v>
      </c>
      <c r="L2705" s="40" t="s">
        <v>115</v>
      </c>
      <c r="O2705" s="40" t="s">
        <v>115</v>
      </c>
      <c r="Q2705" s="40">
        <v>192</v>
      </c>
      <c r="R2705" s="40" t="s">
        <v>115</v>
      </c>
      <c r="X2705" s="40">
        <v>90230119</v>
      </c>
      <c r="Y2705" s="40" t="s">
        <v>115</v>
      </c>
      <c r="Z2705" s="40" t="s">
        <v>115</v>
      </c>
      <c r="AA2705" s="40" t="s">
        <v>115</v>
      </c>
      <c r="AB2705" s="40" t="s">
        <v>115</v>
      </c>
      <c r="AC2705" s="40" t="s">
        <v>115</v>
      </c>
      <c r="AI2705" s="40" t="s">
        <v>115</v>
      </c>
      <c r="AP2705" s="4" t="s">
        <v>115</v>
      </c>
    </row>
    <row r="2706" spans="1:42" x14ac:dyDescent="0.15">
      <c r="A2706" s="40" t="s">
        <v>1</v>
      </c>
      <c r="B2706" s="23">
        <v>90230119</v>
      </c>
      <c r="C2706" s="23">
        <v>2301</v>
      </c>
      <c r="D2706" s="23">
        <v>23</v>
      </c>
      <c r="F2706" s="23" t="s">
        <v>116</v>
      </c>
      <c r="G2706" s="23">
        <v>314</v>
      </c>
      <c r="H2706" s="23" t="s">
        <v>5300</v>
      </c>
      <c r="I2706" s="23">
        <v>2</v>
      </c>
      <c r="J2706" s="40">
        <v>0</v>
      </c>
      <c r="K2706" s="40">
        <v>2</v>
      </c>
      <c r="L2706" s="40" t="s">
        <v>115</v>
      </c>
      <c r="O2706" s="40">
        <v>1</v>
      </c>
      <c r="Q2706" s="40">
        <v>192</v>
      </c>
      <c r="R2706" s="40" t="s">
        <v>115</v>
      </c>
      <c r="X2706" s="40" t="s">
        <v>115</v>
      </c>
      <c r="Y2706" s="40" t="s">
        <v>115</v>
      </c>
      <c r="Z2706" s="40">
        <v>1</v>
      </c>
      <c r="AA2706" s="40" t="s">
        <v>115</v>
      </c>
      <c r="AB2706" s="40" t="s">
        <v>115</v>
      </c>
      <c r="AC2706" s="40" t="s">
        <v>115</v>
      </c>
      <c r="AI2706" s="40" t="s">
        <v>115</v>
      </c>
      <c r="AP2706" s="4" t="s">
        <v>5301</v>
      </c>
    </row>
    <row r="2707" spans="1:42" x14ac:dyDescent="0.15">
      <c r="A2707" s="40" t="s">
        <v>1</v>
      </c>
      <c r="B2707" s="23" t="s">
        <v>4849</v>
      </c>
      <c r="C2707" s="23">
        <v>2302</v>
      </c>
      <c r="D2707" s="23">
        <v>23</v>
      </c>
      <c r="F2707" s="23" t="s">
        <v>932</v>
      </c>
      <c r="G2707" s="23" t="s">
        <v>115</v>
      </c>
      <c r="H2707" s="23" t="s">
        <v>5302</v>
      </c>
      <c r="I2707" s="23">
        <v>1</v>
      </c>
      <c r="J2707" s="40">
        <v>1</v>
      </c>
      <c r="K2707" s="40">
        <v>1</v>
      </c>
      <c r="L2707" s="40" t="s">
        <v>115</v>
      </c>
      <c r="O2707" s="40" t="s">
        <v>115</v>
      </c>
      <c r="Q2707" s="40">
        <v>18</v>
      </c>
      <c r="R2707" s="40" t="s">
        <v>115</v>
      </c>
      <c r="X2707" s="40">
        <v>90230202</v>
      </c>
      <c r="Y2707" s="40" t="s">
        <v>115</v>
      </c>
      <c r="Z2707" s="40" t="s">
        <v>115</v>
      </c>
      <c r="AA2707" s="40" t="s">
        <v>115</v>
      </c>
      <c r="AB2707" s="40" t="s">
        <v>115</v>
      </c>
      <c r="AC2707" s="40" t="s">
        <v>115</v>
      </c>
      <c r="AI2707" s="40">
        <v>407</v>
      </c>
      <c r="AP2707" s="4" t="s">
        <v>115</v>
      </c>
    </row>
    <row r="2708" spans="1:42" x14ac:dyDescent="0.15">
      <c r="A2708" s="40" t="s">
        <v>1</v>
      </c>
      <c r="B2708" s="23">
        <v>90230202</v>
      </c>
      <c r="C2708" s="23">
        <v>2302</v>
      </c>
      <c r="D2708" s="23">
        <v>23</v>
      </c>
      <c r="F2708" s="23" t="s">
        <v>116</v>
      </c>
      <c r="G2708" s="23">
        <v>308</v>
      </c>
      <c r="H2708" s="23" t="s">
        <v>5303</v>
      </c>
      <c r="I2708" s="23">
        <v>0</v>
      </c>
      <c r="J2708" s="40">
        <v>0</v>
      </c>
      <c r="K2708" s="40">
        <v>0</v>
      </c>
      <c r="L2708" s="40" t="s">
        <v>115</v>
      </c>
      <c r="O2708" s="40" t="s">
        <v>115</v>
      </c>
      <c r="Q2708" s="40">
        <v>18</v>
      </c>
      <c r="R2708" s="40" t="s">
        <v>115</v>
      </c>
      <c r="X2708" s="40">
        <v>90230203</v>
      </c>
      <c r="Y2708" s="40" t="s">
        <v>115</v>
      </c>
      <c r="Z2708" s="40" t="s">
        <v>115</v>
      </c>
      <c r="AA2708" s="40" t="s">
        <v>115</v>
      </c>
      <c r="AB2708" s="40" t="s">
        <v>115</v>
      </c>
      <c r="AC2708" s="40" t="s">
        <v>115</v>
      </c>
      <c r="AI2708" s="40">
        <v>403</v>
      </c>
      <c r="AP2708" s="4" t="s">
        <v>115</v>
      </c>
    </row>
    <row r="2709" spans="1:42" x14ac:dyDescent="0.15">
      <c r="A2709" s="40" t="s">
        <v>1</v>
      </c>
      <c r="B2709" s="23">
        <v>90230203</v>
      </c>
      <c r="C2709" s="23">
        <v>2302</v>
      </c>
      <c r="D2709" s="23">
        <v>23</v>
      </c>
      <c r="F2709" s="23" t="s">
        <v>932</v>
      </c>
      <c r="G2709" s="23" t="s">
        <v>115</v>
      </c>
      <c r="H2709" s="23" t="s">
        <v>5304</v>
      </c>
      <c r="I2709" s="23">
        <v>1</v>
      </c>
      <c r="J2709" s="40">
        <v>0</v>
      </c>
      <c r="K2709" s="40">
        <v>0</v>
      </c>
      <c r="L2709" s="40" t="s">
        <v>115</v>
      </c>
      <c r="O2709" s="40" t="s">
        <v>115</v>
      </c>
      <c r="Q2709" s="40">
        <v>18</v>
      </c>
      <c r="R2709" s="40" t="s">
        <v>115</v>
      </c>
      <c r="X2709" s="40">
        <v>90230204</v>
      </c>
      <c r="Y2709" s="40" t="s">
        <v>115</v>
      </c>
      <c r="Z2709" s="40" t="s">
        <v>115</v>
      </c>
      <c r="AA2709" s="40" t="s">
        <v>115</v>
      </c>
      <c r="AB2709" s="40" t="s">
        <v>115</v>
      </c>
      <c r="AC2709" s="40" t="s">
        <v>115</v>
      </c>
      <c r="AI2709" s="40" t="s">
        <v>960</v>
      </c>
      <c r="AP2709" s="4" t="s">
        <v>115</v>
      </c>
    </row>
    <row r="2710" spans="1:42" x14ac:dyDescent="0.15">
      <c r="A2710" s="40" t="s">
        <v>1</v>
      </c>
      <c r="B2710" s="23">
        <v>90230204</v>
      </c>
      <c r="C2710" s="23">
        <v>2302</v>
      </c>
      <c r="D2710" s="23">
        <v>23</v>
      </c>
      <c r="F2710" s="23" t="s">
        <v>116</v>
      </c>
      <c r="G2710" s="23">
        <v>312</v>
      </c>
      <c r="H2710" s="23" t="s">
        <v>5305</v>
      </c>
      <c r="I2710" s="23">
        <v>0</v>
      </c>
      <c r="J2710" s="40">
        <v>0</v>
      </c>
      <c r="K2710" s="40">
        <v>0</v>
      </c>
      <c r="L2710" s="40" t="s">
        <v>115</v>
      </c>
      <c r="O2710" s="40" t="s">
        <v>115</v>
      </c>
      <c r="Q2710" s="40">
        <v>18</v>
      </c>
      <c r="R2710" s="40" t="s">
        <v>115</v>
      </c>
      <c r="X2710" s="40">
        <v>90230205</v>
      </c>
      <c r="Y2710" s="40" t="s">
        <v>115</v>
      </c>
      <c r="Z2710" s="40" t="s">
        <v>115</v>
      </c>
      <c r="AA2710" s="40" t="s">
        <v>115</v>
      </c>
      <c r="AB2710" s="40" t="s">
        <v>115</v>
      </c>
      <c r="AC2710" s="40" t="s">
        <v>115</v>
      </c>
      <c r="AI2710" s="40">
        <v>403</v>
      </c>
      <c r="AP2710" s="4" t="s">
        <v>115</v>
      </c>
    </row>
    <row r="2711" spans="1:42" x14ac:dyDescent="0.15">
      <c r="A2711" s="40" t="s">
        <v>1</v>
      </c>
      <c r="B2711" s="23">
        <v>90230205</v>
      </c>
      <c r="C2711" s="23">
        <v>2302</v>
      </c>
      <c r="D2711" s="23">
        <v>23</v>
      </c>
      <c r="F2711" s="23" t="s">
        <v>116</v>
      </c>
      <c r="G2711" s="23">
        <v>312</v>
      </c>
      <c r="H2711" s="23" t="s">
        <v>5306</v>
      </c>
      <c r="I2711" s="23">
        <v>0</v>
      </c>
      <c r="J2711" s="40">
        <v>0</v>
      </c>
      <c r="K2711" s="40">
        <v>0</v>
      </c>
      <c r="L2711" s="40" t="s">
        <v>115</v>
      </c>
      <c r="O2711" s="40" t="s">
        <v>115</v>
      </c>
      <c r="Q2711" s="40">
        <v>18</v>
      </c>
      <c r="R2711" s="40" t="s">
        <v>115</v>
      </c>
      <c r="X2711" s="40">
        <v>90230206</v>
      </c>
      <c r="Y2711" s="40" t="s">
        <v>115</v>
      </c>
      <c r="Z2711" s="40" t="s">
        <v>115</v>
      </c>
      <c r="AA2711" s="40" t="s">
        <v>115</v>
      </c>
      <c r="AB2711" s="40" t="s">
        <v>115</v>
      </c>
      <c r="AC2711" s="40" t="s">
        <v>115</v>
      </c>
      <c r="AI2711" s="40">
        <v>403</v>
      </c>
      <c r="AP2711" s="4" t="s">
        <v>115</v>
      </c>
    </row>
    <row r="2712" spans="1:42" x14ac:dyDescent="0.15">
      <c r="A2712" s="40" t="s">
        <v>1</v>
      </c>
      <c r="B2712" s="23">
        <v>90230206</v>
      </c>
      <c r="C2712" s="23">
        <v>2302</v>
      </c>
      <c r="D2712" s="23">
        <v>23</v>
      </c>
      <c r="F2712" s="23" t="s">
        <v>932</v>
      </c>
      <c r="G2712" s="23" t="s">
        <v>115</v>
      </c>
      <c r="H2712" s="23" t="s">
        <v>5307</v>
      </c>
      <c r="I2712" s="23">
        <v>1</v>
      </c>
      <c r="J2712" s="40">
        <v>0</v>
      </c>
      <c r="K2712" s="40">
        <v>0</v>
      </c>
      <c r="L2712" s="40" t="s">
        <v>115</v>
      </c>
      <c r="O2712" s="40" t="s">
        <v>115</v>
      </c>
      <c r="Q2712" s="40">
        <v>18</v>
      </c>
      <c r="R2712" s="40" t="s">
        <v>115</v>
      </c>
      <c r="X2712" s="40">
        <v>90230207</v>
      </c>
      <c r="Y2712" s="40" t="s">
        <v>115</v>
      </c>
      <c r="Z2712" s="40" t="s">
        <v>115</v>
      </c>
      <c r="AA2712" s="40" t="s">
        <v>115</v>
      </c>
      <c r="AB2712" s="40" t="s">
        <v>115</v>
      </c>
      <c r="AC2712" s="40" t="s">
        <v>115</v>
      </c>
      <c r="AI2712" s="40" t="s">
        <v>960</v>
      </c>
      <c r="AP2712" s="4" t="s">
        <v>115</v>
      </c>
    </row>
    <row r="2713" spans="1:42" x14ac:dyDescent="0.15">
      <c r="A2713" s="40" t="s">
        <v>1</v>
      </c>
      <c r="B2713" s="23">
        <v>90230207</v>
      </c>
      <c r="C2713" s="23">
        <v>2302</v>
      </c>
      <c r="D2713" s="23">
        <v>23</v>
      </c>
      <c r="F2713" s="23" t="s">
        <v>116</v>
      </c>
      <c r="G2713" s="23">
        <v>313</v>
      </c>
      <c r="H2713" s="23" t="s">
        <v>5308</v>
      </c>
      <c r="I2713" s="23">
        <v>0</v>
      </c>
      <c r="J2713" s="40">
        <v>0</v>
      </c>
      <c r="K2713" s="40">
        <v>0</v>
      </c>
      <c r="L2713" s="40" t="s">
        <v>115</v>
      </c>
      <c r="O2713" s="40" t="s">
        <v>115</v>
      </c>
      <c r="Q2713" s="40">
        <v>18</v>
      </c>
      <c r="R2713" s="40" t="s">
        <v>115</v>
      </c>
      <c r="X2713" s="40">
        <v>90230208</v>
      </c>
      <c r="Y2713" s="40" t="s">
        <v>115</v>
      </c>
      <c r="Z2713" s="40" t="s">
        <v>115</v>
      </c>
      <c r="AA2713" s="40" t="s">
        <v>115</v>
      </c>
      <c r="AB2713" s="40" t="s">
        <v>115</v>
      </c>
      <c r="AC2713" s="40" t="s">
        <v>115</v>
      </c>
      <c r="AI2713" s="40">
        <v>403</v>
      </c>
      <c r="AP2713" s="4" t="s">
        <v>115</v>
      </c>
    </row>
    <row r="2714" spans="1:42" x14ac:dyDescent="0.15">
      <c r="A2714" s="40" t="s">
        <v>1</v>
      </c>
      <c r="B2714" s="23">
        <v>90230208</v>
      </c>
      <c r="C2714" s="23">
        <v>2302</v>
      </c>
      <c r="D2714" s="23">
        <v>23</v>
      </c>
      <c r="F2714" s="23" t="s">
        <v>932</v>
      </c>
      <c r="G2714" s="23" t="s">
        <v>115</v>
      </c>
      <c r="H2714" s="23" t="s">
        <v>5309</v>
      </c>
      <c r="I2714" s="23">
        <v>1</v>
      </c>
      <c r="J2714" s="40">
        <v>0</v>
      </c>
      <c r="K2714" s="40">
        <v>0</v>
      </c>
      <c r="L2714" s="40" t="s">
        <v>115</v>
      </c>
      <c r="O2714" s="40" t="s">
        <v>115</v>
      </c>
      <c r="Q2714" s="40">
        <v>18</v>
      </c>
      <c r="R2714" s="40" t="s">
        <v>115</v>
      </c>
      <c r="X2714" s="40">
        <v>90230209</v>
      </c>
      <c r="Y2714" s="40" t="s">
        <v>115</v>
      </c>
      <c r="Z2714" s="40" t="s">
        <v>115</v>
      </c>
      <c r="AA2714" s="40" t="s">
        <v>115</v>
      </c>
      <c r="AB2714" s="40" t="s">
        <v>115</v>
      </c>
      <c r="AC2714" s="40" t="s">
        <v>115</v>
      </c>
      <c r="AI2714" s="40" t="s">
        <v>960</v>
      </c>
      <c r="AP2714" s="4" t="s">
        <v>115</v>
      </c>
    </row>
    <row r="2715" spans="1:42" x14ac:dyDescent="0.15">
      <c r="A2715" s="40" t="s">
        <v>1</v>
      </c>
      <c r="B2715" s="23">
        <v>90230209</v>
      </c>
      <c r="C2715" s="23">
        <v>2302</v>
      </c>
      <c r="D2715" s="23">
        <v>23</v>
      </c>
      <c r="F2715" s="23" t="s">
        <v>932</v>
      </c>
      <c r="G2715" s="23" t="s">
        <v>115</v>
      </c>
      <c r="H2715" s="23" t="s">
        <v>5310</v>
      </c>
      <c r="I2715" s="23">
        <v>1</v>
      </c>
      <c r="J2715" s="40">
        <v>0</v>
      </c>
      <c r="K2715" s="40">
        <v>0</v>
      </c>
      <c r="L2715" s="40" t="s">
        <v>115</v>
      </c>
      <c r="O2715" s="40" t="s">
        <v>115</v>
      </c>
      <c r="Q2715" s="40">
        <v>18</v>
      </c>
      <c r="R2715" s="40" t="s">
        <v>115</v>
      </c>
      <c r="X2715" s="40">
        <v>90230210</v>
      </c>
      <c r="Y2715" s="40" t="s">
        <v>115</v>
      </c>
      <c r="Z2715" s="40" t="s">
        <v>115</v>
      </c>
      <c r="AA2715" s="40" t="s">
        <v>115</v>
      </c>
      <c r="AB2715" s="40" t="s">
        <v>115</v>
      </c>
      <c r="AC2715" s="40" t="s">
        <v>115</v>
      </c>
      <c r="AI2715" s="40" t="s">
        <v>960</v>
      </c>
      <c r="AP2715" s="4" t="s">
        <v>115</v>
      </c>
    </row>
    <row r="2716" spans="1:42" x14ac:dyDescent="0.15">
      <c r="A2716" s="40" t="s">
        <v>1</v>
      </c>
      <c r="B2716" s="23">
        <v>90230210</v>
      </c>
      <c r="C2716" s="23">
        <v>2302</v>
      </c>
      <c r="D2716" s="23">
        <v>23</v>
      </c>
      <c r="F2716" s="23" t="s">
        <v>932</v>
      </c>
      <c r="G2716" s="23" t="s">
        <v>115</v>
      </c>
      <c r="H2716" s="23" t="s">
        <v>5311</v>
      </c>
      <c r="I2716" s="23">
        <v>1</v>
      </c>
      <c r="J2716" s="40">
        <v>0</v>
      </c>
      <c r="K2716" s="40">
        <v>2</v>
      </c>
      <c r="L2716" s="40" t="s">
        <v>5312</v>
      </c>
      <c r="O2716" s="40" t="s">
        <v>115</v>
      </c>
      <c r="Q2716" s="40">
        <v>18</v>
      </c>
      <c r="R2716" s="40" t="s">
        <v>115</v>
      </c>
      <c r="X2716" s="40">
        <v>90230211</v>
      </c>
      <c r="Y2716" s="40" t="s">
        <v>115</v>
      </c>
      <c r="Z2716" s="40">
        <v>1</v>
      </c>
      <c r="AA2716" s="40" t="s">
        <v>115</v>
      </c>
      <c r="AB2716" s="40" t="s">
        <v>115</v>
      </c>
      <c r="AC2716" s="40" t="s">
        <v>115</v>
      </c>
      <c r="AI2716" s="40" t="s">
        <v>960</v>
      </c>
      <c r="AP2716" s="4" t="s">
        <v>115</v>
      </c>
    </row>
    <row r="2717" spans="1:42" x14ac:dyDescent="0.15">
      <c r="A2717" s="40" t="s">
        <v>1</v>
      </c>
      <c r="B2717" s="23">
        <v>90230211</v>
      </c>
      <c r="C2717" s="23">
        <v>2302</v>
      </c>
      <c r="D2717" s="23">
        <v>23</v>
      </c>
      <c r="F2717" s="23" t="s">
        <v>116</v>
      </c>
      <c r="G2717" s="23">
        <v>313</v>
      </c>
      <c r="H2717" s="23" t="s">
        <v>5313</v>
      </c>
      <c r="I2717" s="23">
        <v>0</v>
      </c>
      <c r="J2717" s="40">
        <v>0</v>
      </c>
      <c r="K2717" s="40">
        <v>0</v>
      </c>
      <c r="L2717" s="40" t="s">
        <v>115</v>
      </c>
      <c r="O2717" s="40" t="s">
        <v>115</v>
      </c>
      <c r="Q2717" s="40">
        <v>18</v>
      </c>
      <c r="R2717" s="40" t="s">
        <v>115</v>
      </c>
      <c r="X2717" s="40">
        <v>90230212</v>
      </c>
      <c r="Y2717" s="40" t="s">
        <v>115</v>
      </c>
      <c r="Z2717" s="40" t="s">
        <v>115</v>
      </c>
      <c r="AA2717" s="40" t="s">
        <v>115</v>
      </c>
      <c r="AB2717" s="40" t="s">
        <v>115</v>
      </c>
      <c r="AC2717" s="40" t="s">
        <v>115</v>
      </c>
      <c r="AI2717" s="40">
        <v>403</v>
      </c>
      <c r="AP2717" s="4" t="s">
        <v>115</v>
      </c>
    </row>
    <row r="2718" spans="1:42" x14ac:dyDescent="0.15">
      <c r="A2718" s="40" t="s">
        <v>1</v>
      </c>
      <c r="B2718" s="23">
        <v>90230212</v>
      </c>
      <c r="C2718" s="23">
        <v>2302</v>
      </c>
      <c r="D2718" s="23">
        <v>23</v>
      </c>
      <c r="F2718" s="23" t="s">
        <v>932</v>
      </c>
      <c r="G2718" s="23" t="s">
        <v>115</v>
      </c>
      <c r="H2718" s="23" t="s">
        <v>5314</v>
      </c>
      <c r="I2718" s="23">
        <v>1</v>
      </c>
      <c r="J2718" s="40">
        <v>0</v>
      </c>
      <c r="K2718" s="40">
        <v>0</v>
      </c>
      <c r="L2718" s="40" t="s">
        <v>115</v>
      </c>
      <c r="O2718" s="40" t="s">
        <v>115</v>
      </c>
      <c r="Q2718" s="40">
        <v>18</v>
      </c>
      <c r="R2718" s="40" t="s">
        <v>115</v>
      </c>
      <c r="X2718" s="40">
        <v>90230213</v>
      </c>
      <c r="Y2718" s="40" t="s">
        <v>115</v>
      </c>
      <c r="Z2718" s="40" t="s">
        <v>115</v>
      </c>
      <c r="AA2718" s="40" t="s">
        <v>115</v>
      </c>
      <c r="AB2718" s="40" t="s">
        <v>115</v>
      </c>
      <c r="AC2718" s="40" t="s">
        <v>115</v>
      </c>
      <c r="AI2718" s="40" t="s">
        <v>960</v>
      </c>
      <c r="AP2718" s="4" t="s">
        <v>115</v>
      </c>
    </row>
    <row r="2719" spans="1:42" x14ac:dyDescent="0.15">
      <c r="A2719" s="40" t="s">
        <v>1</v>
      </c>
      <c r="B2719" s="23">
        <v>90230213</v>
      </c>
      <c r="C2719" s="23">
        <v>2302</v>
      </c>
      <c r="D2719" s="23">
        <v>23</v>
      </c>
      <c r="F2719" s="23" t="s">
        <v>116</v>
      </c>
      <c r="G2719" s="23">
        <v>309</v>
      </c>
      <c r="H2719" s="23" t="s">
        <v>338</v>
      </c>
      <c r="I2719" s="23">
        <v>0</v>
      </c>
      <c r="J2719" s="40">
        <v>0</v>
      </c>
      <c r="K2719" s="40">
        <v>3</v>
      </c>
      <c r="L2719" s="40" t="s">
        <v>115</v>
      </c>
      <c r="O2719" s="40">
        <v>1</v>
      </c>
      <c r="Q2719" s="40">
        <v>18</v>
      </c>
      <c r="R2719" s="40" t="s">
        <v>115</v>
      </c>
      <c r="X2719" s="40" t="s">
        <v>115</v>
      </c>
      <c r="Y2719" s="40" t="s">
        <v>115</v>
      </c>
      <c r="Z2719" s="40">
        <v>2</v>
      </c>
      <c r="AA2719" s="40" t="s">
        <v>115</v>
      </c>
      <c r="AB2719" s="40" t="s">
        <v>115</v>
      </c>
      <c r="AC2719" s="40" t="s">
        <v>115</v>
      </c>
      <c r="AI2719" s="40">
        <v>403</v>
      </c>
      <c r="AP2719" s="4" t="s">
        <v>5315</v>
      </c>
    </row>
    <row r="2720" spans="1:42" x14ac:dyDescent="0.15">
      <c r="A2720" s="40" t="s">
        <v>1</v>
      </c>
      <c r="B2720" s="23" t="s">
        <v>4851</v>
      </c>
      <c r="C2720" s="23">
        <v>2303</v>
      </c>
      <c r="D2720" s="23">
        <v>23</v>
      </c>
      <c r="F2720" s="23" t="s">
        <v>1067</v>
      </c>
      <c r="G2720" s="23" t="s">
        <v>115</v>
      </c>
      <c r="H2720" s="23" t="s">
        <v>5316</v>
      </c>
      <c r="I2720" s="23">
        <v>3</v>
      </c>
      <c r="J2720" s="40">
        <v>1</v>
      </c>
      <c r="K2720" s="40">
        <v>1</v>
      </c>
      <c r="L2720" s="40" t="s">
        <v>115</v>
      </c>
      <c r="O2720" s="40" t="s">
        <v>115</v>
      </c>
      <c r="Q2720" s="40">
        <v>12</v>
      </c>
      <c r="R2720" s="40">
        <v>98</v>
      </c>
      <c r="X2720" s="40">
        <v>90230302</v>
      </c>
      <c r="Y2720" s="40" t="s">
        <v>115</v>
      </c>
      <c r="Z2720" s="40" t="s">
        <v>115</v>
      </c>
      <c r="AA2720" s="40" t="s">
        <v>115</v>
      </c>
      <c r="AB2720" s="40" t="s">
        <v>115</v>
      </c>
      <c r="AC2720" s="40" t="s">
        <v>115</v>
      </c>
      <c r="AI2720" s="40" t="s">
        <v>115</v>
      </c>
      <c r="AP2720" s="4" t="s">
        <v>115</v>
      </c>
    </row>
    <row r="2721" spans="1:42" x14ac:dyDescent="0.15">
      <c r="A2721" s="40" t="s">
        <v>1</v>
      </c>
      <c r="B2721" s="23">
        <v>90230302</v>
      </c>
      <c r="C2721" s="23">
        <v>2303</v>
      </c>
      <c r="D2721" s="23">
        <v>23</v>
      </c>
      <c r="F2721" s="23" t="s">
        <v>1067</v>
      </c>
      <c r="G2721" s="23" t="s">
        <v>115</v>
      </c>
      <c r="H2721" s="23" t="s">
        <v>5317</v>
      </c>
      <c r="I2721" s="23">
        <v>3</v>
      </c>
      <c r="J2721" s="40">
        <v>0</v>
      </c>
      <c r="K2721" s="40">
        <v>0</v>
      </c>
      <c r="L2721" s="40" t="s">
        <v>115</v>
      </c>
      <c r="O2721" s="40" t="s">
        <v>115</v>
      </c>
      <c r="Q2721" s="40">
        <v>12</v>
      </c>
      <c r="R2721" s="40">
        <v>98</v>
      </c>
      <c r="X2721" s="40">
        <v>90230303</v>
      </c>
      <c r="Y2721" s="40" t="s">
        <v>115</v>
      </c>
      <c r="Z2721" s="40" t="s">
        <v>115</v>
      </c>
      <c r="AA2721" s="40" t="s">
        <v>115</v>
      </c>
      <c r="AB2721" s="40" t="s">
        <v>115</v>
      </c>
      <c r="AC2721" s="40" t="s">
        <v>115</v>
      </c>
      <c r="AI2721" s="40" t="s">
        <v>115</v>
      </c>
      <c r="AP2721" s="4" t="s">
        <v>115</v>
      </c>
    </row>
    <row r="2722" spans="1:42" x14ac:dyDescent="0.15">
      <c r="A2722" s="40" t="s">
        <v>1</v>
      </c>
      <c r="B2722" s="23">
        <v>90230303</v>
      </c>
      <c r="C2722" s="23">
        <v>2303</v>
      </c>
      <c r="D2722" s="23">
        <v>23</v>
      </c>
      <c r="F2722" s="23" t="s">
        <v>116</v>
      </c>
      <c r="G2722" s="23">
        <v>312</v>
      </c>
      <c r="H2722" s="23" t="s">
        <v>5318</v>
      </c>
      <c r="I2722" s="23">
        <v>0</v>
      </c>
      <c r="J2722" s="40">
        <v>0</v>
      </c>
      <c r="K2722" s="40">
        <v>0</v>
      </c>
      <c r="L2722" s="40" t="s">
        <v>115</v>
      </c>
      <c r="O2722" s="40" t="s">
        <v>115</v>
      </c>
      <c r="Q2722" s="40">
        <v>12</v>
      </c>
      <c r="R2722" s="40">
        <v>98</v>
      </c>
      <c r="X2722" s="40">
        <v>90230304</v>
      </c>
      <c r="Y2722" s="40" t="s">
        <v>115</v>
      </c>
      <c r="Z2722" s="40" t="s">
        <v>115</v>
      </c>
      <c r="AA2722" s="40" t="s">
        <v>115</v>
      </c>
      <c r="AB2722" s="40" t="s">
        <v>115</v>
      </c>
      <c r="AC2722" s="40" t="s">
        <v>115</v>
      </c>
      <c r="AI2722" s="40" t="s">
        <v>115</v>
      </c>
      <c r="AP2722" s="4" t="s">
        <v>115</v>
      </c>
    </row>
    <row r="2723" spans="1:42" x14ac:dyDescent="0.15">
      <c r="A2723" s="40" t="s">
        <v>1</v>
      </c>
      <c r="B2723" s="23">
        <v>90230304</v>
      </c>
      <c r="C2723" s="23">
        <v>2303</v>
      </c>
      <c r="D2723" s="23">
        <v>23</v>
      </c>
      <c r="F2723" s="23" t="s">
        <v>1067</v>
      </c>
      <c r="G2723" s="23" t="s">
        <v>115</v>
      </c>
      <c r="H2723" s="23" t="s">
        <v>5319</v>
      </c>
      <c r="I2723" s="23">
        <v>3</v>
      </c>
      <c r="J2723" s="40">
        <v>0</v>
      </c>
      <c r="K2723" s="40">
        <v>0</v>
      </c>
      <c r="L2723" s="40" t="s">
        <v>115</v>
      </c>
      <c r="O2723" s="40" t="s">
        <v>115</v>
      </c>
      <c r="Q2723" s="40">
        <v>12</v>
      </c>
      <c r="R2723" s="40">
        <v>98</v>
      </c>
      <c r="X2723" s="40">
        <v>90230305</v>
      </c>
      <c r="Y2723" s="40" t="s">
        <v>115</v>
      </c>
      <c r="Z2723" s="40" t="s">
        <v>115</v>
      </c>
      <c r="AA2723" s="40" t="s">
        <v>115</v>
      </c>
      <c r="AB2723" s="40" t="s">
        <v>115</v>
      </c>
      <c r="AC2723" s="40" t="s">
        <v>115</v>
      </c>
      <c r="AI2723" s="40" t="s">
        <v>115</v>
      </c>
      <c r="AP2723" s="4" t="s">
        <v>115</v>
      </c>
    </row>
    <row r="2724" spans="1:42" x14ac:dyDescent="0.15">
      <c r="A2724" s="40" t="s">
        <v>1</v>
      </c>
      <c r="B2724" s="23">
        <v>90230305</v>
      </c>
      <c r="C2724" s="23">
        <v>2303</v>
      </c>
      <c r="D2724" s="23">
        <v>23</v>
      </c>
      <c r="F2724" s="23" t="s">
        <v>115</v>
      </c>
      <c r="G2724" s="23" t="s">
        <v>115</v>
      </c>
      <c r="H2724" s="23" t="s">
        <v>5320</v>
      </c>
      <c r="I2724" s="23">
        <v>4</v>
      </c>
      <c r="J2724" s="40">
        <v>0</v>
      </c>
      <c r="K2724" s="40">
        <v>2</v>
      </c>
      <c r="L2724" s="40" t="s">
        <v>115</v>
      </c>
      <c r="O2724" s="40" t="s">
        <v>115</v>
      </c>
      <c r="Q2724" s="40">
        <v>12</v>
      </c>
      <c r="R2724" s="40">
        <v>98</v>
      </c>
      <c r="X2724" s="40" t="s">
        <v>5321</v>
      </c>
      <c r="Y2724" s="40">
        <v>1</v>
      </c>
      <c r="Z2724" s="40">
        <v>1</v>
      </c>
      <c r="AA2724" s="40" t="s">
        <v>115</v>
      </c>
      <c r="AB2724" s="40" t="s">
        <v>115</v>
      </c>
      <c r="AC2724" s="40" t="s">
        <v>115</v>
      </c>
      <c r="AI2724" s="40" t="s">
        <v>115</v>
      </c>
      <c r="AP2724" s="4" t="s">
        <v>115</v>
      </c>
    </row>
    <row r="2725" spans="1:42" x14ac:dyDescent="0.15">
      <c r="A2725" s="40" t="s">
        <v>1</v>
      </c>
      <c r="B2725" s="23">
        <v>90230306</v>
      </c>
      <c r="C2725" s="23">
        <v>2303</v>
      </c>
      <c r="D2725" s="23">
        <v>23</v>
      </c>
      <c r="F2725" s="23" t="s">
        <v>115</v>
      </c>
      <c r="G2725" s="23" t="s">
        <v>115</v>
      </c>
      <c r="H2725" s="23" t="s">
        <v>5322</v>
      </c>
      <c r="I2725" s="23">
        <v>4</v>
      </c>
      <c r="J2725" s="40">
        <v>0</v>
      </c>
      <c r="K2725" s="40">
        <v>3</v>
      </c>
      <c r="L2725" s="40" t="s">
        <v>115</v>
      </c>
      <c r="O2725" s="40" t="s">
        <v>115</v>
      </c>
      <c r="Q2725" s="40">
        <v>12</v>
      </c>
      <c r="R2725" s="40">
        <v>98</v>
      </c>
      <c r="X2725" s="40">
        <v>90230308</v>
      </c>
      <c r="Y2725" s="40">
        <v>-1</v>
      </c>
      <c r="Z2725" s="40">
        <v>2</v>
      </c>
      <c r="AA2725" s="40" t="s">
        <v>115</v>
      </c>
      <c r="AB2725" s="40" t="s">
        <v>115</v>
      </c>
      <c r="AC2725" s="40" t="s">
        <v>5323</v>
      </c>
      <c r="AI2725" s="40" t="s">
        <v>115</v>
      </c>
      <c r="AP2725" s="4" t="s">
        <v>115</v>
      </c>
    </row>
    <row r="2726" spans="1:42" x14ac:dyDescent="0.15">
      <c r="A2726" s="40" t="s">
        <v>1</v>
      </c>
      <c r="B2726" s="23">
        <v>90230307</v>
      </c>
      <c r="C2726" s="23">
        <v>2303</v>
      </c>
      <c r="D2726" s="23">
        <v>23</v>
      </c>
      <c r="F2726" s="23" t="s">
        <v>115</v>
      </c>
      <c r="G2726" s="23" t="s">
        <v>115</v>
      </c>
      <c r="H2726" s="23" t="s">
        <v>5324</v>
      </c>
      <c r="I2726" s="23">
        <v>4</v>
      </c>
      <c r="J2726" s="40">
        <v>0</v>
      </c>
      <c r="K2726" s="40">
        <v>4</v>
      </c>
      <c r="L2726" s="40" t="s">
        <v>115</v>
      </c>
      <c r="O2726" s="40" t="s">
        <v>115</v>
      </c>
      <c r="Q2726" s="40">
        <v>12</v>
      </c>
      <c r="R2726" s="40">
        <v>98</v>
      </c>
      <c r="X2726" s="40">
        <v>90230315</v>
      </c>
      <c r="Y2726" s="40">
        <v>-1</v>
      </c>
      <c r="Z2726" s="40">
        <v>2</v>
      </c>
      <c r="AA2726" s="40" t="s">
        <v>115</v>
      </c>
      <c r="AB2726" s="40" t="s">
        <v>115</v>
      </c>
      <c r="AC2726" s="40" t="s">
        <v>115</v>
      </c>
      <c r="AI2726" s="40" t="s">
        <v>115</v>
      </c>
      <c r="AP2726" s="4" t="s">
        <v>115</v>
      </c>
    </row>
    <row r="2727" spans="1:42" x14ac:dyDescent="0.15">
      <c r="A2727" s="40" t="s">
        <v>1</v>
      </c>
      <c r="B2727" s="23">
        <v>90230308</v>
      </c>
      <c r="C2727" s="23">
        <v>2303</v>
      </c>
      <c r="D2727" s="23">
        <v>23</v>
      </c>
      <c r="F2727" s="23" t="s">
        <v>116</v>
      </c>
      <c r="G2727" s="23">
        <v>312</v>
      </c>
      <c r="H2727" s="23" t="s">
        <v>5325</v>
      </c>
      <c r="I2727" s="23">
        <v>0</v>
      </c>
      <c r="J2727" s="40">
        <v>0</v>
      </c>
      <c r="K2727" s="40">
        <v>0</v>
      </c>
      <c r="L2727" s="40" t="s">
        <v>115</v>
      </c>
      <c r="O2727" s="40" t="s">
        <v>115</v>
      </c>
      <c r="Q2727" s="40">
        <v>12</v>
      </c>
      <c r="R2727" s="40">
        <v>98</v>
      </c>
      <c r="X2727" s="40">
        <v>90230309</v>
      </c>
      <c r="Y2727" s="40" t="s">
        <v>115</v>
      </c>
      <c r="Z2727" s="40" t="s">
        <v>115</v>
      </c>
      <c r="AA2727" s="40" t="s">
        <v>115</v>
      </c>
      <c r="AB2727" s="40" t="s">
        <v>115</v>
      </c>
      <c r="AC2727" s="40" t="s">
        <v>115</v>
      </c>
      <c r="AI2727" s="40" t="s">
        <v>115</v>
      </c>
      <c r="AP2727" s="4" t="s">
        <v>115</v>
      </c>
    </row>
    <row r="2728" spans="1:42" x14ac:dyDescent="0.15">
      <c r="A2728" s="40" t="s">
        <v>1</v>
      </c>
      <c r="B2728" s="23">
        <v>90230309</v>
      </c>
      <c r="C2728" s="23">
        <v>2303</v>
      </c>
      <c r="D2728" s="23">
        <v>23</v>
      </c>
      <c r="F2728" s="23" t="s">
        <v>1067</v>
      </c>
      <c r="G2728" s="23" t="s">
        <v>115</v>
      </c>
      <c r="H2728" s="23" t="s">
        <v>5326</v>
      </c>
      <c r="I2728" s="23">
        <v>3</v>
      </c>
      <c r="J2728" s="40">
        <v>0</v>
      </c>
      <c r="K2728" s="40">
        <v>0</v>
      </c>
      <c r="L2728" s="40" t="s">
        <v>115</v>
      </c>
      <c r="O2728" s="40" t="s">
        <v>115</v>
      </c>
      <c r="Q2728" s="40">
        <v>12</v>
      </c>
      <c r="R2728" s="40">
        <v>98</v>
      </c>
      <c r="X2728" s="40">
        <v>90230310</v>
      </c>
      <c r="Y2728" s="40" t="s">
        <v>115</v>
      </c>
      <c r="Z2728" s="40" t="s">
        <v>115</v>
      </c>
      <c r="AA2728" s="40" t="s">
        <v>115</v>
      </c>
      <c r="AB2728" s="40" t="s">
        <v>115</v>
      </c>
      <c r="AC2728" s="40" t="s">
        <v>115</v>
      </c>
      <c r="AI2728" s="40" t="s">
        <v>115</v>
      </c>
      <c r="AP2728" s="4" t="s">
        <v>115</v>
      </c>
    </row>
    <row r="2729" spans="1:42" x14ac:dyDescent="0.15">
      <c r="A2729" s="40" t="s">
        <v>1</v>
      </c>
      <c r="B2729" s="23">
        <v>90230310</v>
      </c>
      <c r="C2729" s="23">
        <v>2303</v>
      </c>
      <c r="D2729" s="23">
        <v>23</v>
      </c>
      <c r="F2729" s="23" t="s">
        <v>116</v>
      </c>
      <c r="G2729" s="23">
        <v>312</v>
      </c>
      <c r="H2729" s="23" t="s">
        <v>5327</v>
      </c>
      <c r="I2729" s="23">
        <v>0</v>
      </c>
      <c r="J2729" s="40">
        <v>0</v>
      </c>
      <c r="K2729" s="40">
        <v>0</v>
      </c>
      <c r="L2729" s="40" t="s">
        <v>115</v>
      </c>
      <c r="O2729" s="40" t="s">
        <v>115</v>
      </c>
      <c r="Q2729" s="40">
        <v>12</v>
      </c>
      <c r="R2729" s="40">
        <v>98</v>
      </c>
      <c r="X2729" s="40">
        <v>90230311</v>
      </c>
      <c r="Y2729" s="40" t="s">
        <v>115</v>
      </c>
      <c r="Z2729" s="40" t="s">
        <v>115</v>
      </c>
      <c r="AA2729" s="40" t="s">
        <v>115</v>
      </c>
      <c r="AB2729" s="40" t="s">
        <v>115</v>
      </c>
      <c r="AC2729" s="40" t="s">
        <v>115</v>
      </c>
      <c r="AI2729" s="40" t="s">
        <v>115</v>
      </c>
      <c r="AP2729" s="4" t="s">
        <v>115</v>
      </c>
    </row>
    <row r="2730" spans="1:42" x14ac:dyDescent="0.15">
      <c r="A2730" s="40" t="s">
        <v>1</v>
      </c>
      <c r="B2730" s="23">
        <v>90230311</v>
      </c>
      <c r="C2730" s="23">
        <v>2303</v>
      </c>
      <c r="D2730" s="23">
        <v>23</v>
      </c>
      <c r="F2730" s="23" t="s">
        <v>1067</v>
      </c>
      <c r="G2730" s="23" t="s">
        <v>115</v>
      </c>
      <c r="H2730" s="23" t="s">
        <v>5328</v>
      </c>
      <c r="I2730" s="23">
        <v>3</v>
      </c>
      <c r="J2730" s="40">
        <v>0</v>
      </c>
      <c r="K2730" s="40">
        <v>0</v>
      </c>
      <c r="L2730" s="40" t="s">
        <v>115</v>
      </c>
      <c r="O2730" s="40" t="s">
        <v>115</v>
      </c>
      <c r="Q2730" s="40">
        <v>12</v>
      </c>
      <c r="R2730" s="40">
        <v>98</v>
      </c>
      <c r="X2730" s="40">
        <v>90230312</v>
      </c>
      <c r="Y2730" s="40" t="s">
        <v>115</v>
      </c>
      <c r="Z2730" s="40" t="s">
        <v>115</v>
      </c>
      <c r="AA2730" s="40" t="s">
        <v>115</v>
      </c>
      <c r="AB2730" s="40" t="s">
        <v>115</v>
      </c>
      <c r="AC2730" s="40" t="s">
        <v>115</v>
      </c>
      <c r="AI2730" s="40" t="s">
        <v>115</v>
      </c>
      <c r="AP2730" s="4" t="s">
        <v>115</v>
      </c>
    </row>
    <row r="2731" spans="1:42" x14ac:dyDescent="0.15">
      <c r="A2731" s="40" t="s">
        <v>1</v>
      </c>
      <c r="B2731" s="23">
        <v>90230312</v>
      </c>
      <c r="C2731" s="23">
        <v>2303</v>
      </c>
      <c r="D2731" s="23">
        <v>23</v>
      </c>
      <c r="F2731" s="23" t="s">
        <v>1067</v>
      </c>
      <c r="G2731" s="23" t="s">
        <v>115</v>
      </c>
      <c r="H2731" s="23" t="s">
        <v>5329</v>
      </c>
      <c r="I2731" s="23">
        <v>3</v>
      </c>
      <c r="J2731" s="40">
        <v>0</v>
      </c>
      <c r="K2731" s="40">
        <v>0</v>
      </c>
      <c r="L2731" s="40" t="s">
        <v>115</v>
      </c>
      <c r="O2731" s="40" t="s">
        <v>115</v>
      </c>
      <c r="Q2731" s="40">
        <v>12</v>
      </c>
      <c r="R2731" s="40">
        <v>98</v>
      </c>
      <c r="X2731" s="40">
        <v>90230313</v>
      </c>
      <c r="Y2731" s="40" t="s">
        <v>115</v>
      </c>
      <c r="Z2731" s="40" t="s">
        <v>115</v>
      </c>
      <c r="AA2731" s="40" t="s">
        <v>115</v>
      </c>
      <c r="AB2731" s="40" t="s">
        <v>115</v>
      </c>
      <c r="AC2731" s="40" t="s">
        <v>115</v>
      </c>
      <c r="AI2731" s="40" t="s">
        <v>115</v>
      </c>
      <c r="AP2731" s="4" t="s">
        <v>115</v>
      </c>
    </row>
    <row r="2732" spans="1:42" x14ac:dyDescent="0.15">
      <c r="A2732" s="40" t="s">
        <v>1</v>
      </c>
      <c r="B2732" s="23">
        <v>90230313</v>
      </c>
      <c r="C2732" s="23">
        <v>2303</v>
      </c>
      <c r="D2732" s="23">
        <v>23</v>
      </c>
      <c r="F2732" s="23" t="s">
        <v>1067</v>
      </c>
      <c r="G2732" s="23" t="s">
        <v>115</v>
      </c>
      <c r="H2732" s="23" t="s">
        <v>5330</v>
      </c>
      <c r="I2732" s="23">
        <v>3</v>
      </c>
      <c r="J2732" s="40">
        <v>0</v>
      </c>
      <c r="K2732" s="40">
        <v>0</v>
      </c>
      <c r="L2732" s="40" t="s">
        <v>115</v>
      </c>
      <c r="O2732" s="40" t="s">
        <v>115</v>
      </c>
      <c r="Q2732" s="40">
        <v>12</v>
      </c>
      <c r="R2732" s="40">
        <v>98</v>
      </c>
      <c r="X2732" s="40">
        <v>90230314</v>
      </c>
      <c r="Y2732" s="40" t="s">
        <v>115</v>
      </c>
      <c r="Z2732" s="40" t="s">
        <v>115</v>
      </c>
      <c r="AA2732" s="40" t="s">
        <v>115</v>
      </c>
      <c r="AB2732" s="40" t="s">
        <v>115</v>
      </c>
      <c r="AC2732" s="40" t="s">
        <v>115</v>
      </c>
      <c r="AI2732" s="40" t="s">
        <v>115</v>
      </c>
      <c r="AP2732" s="4" t="s">
        <v>115</v>
      </c>
    </row>
    <row r="2733" spans="1:42" x14ac:dyDescent="0.15">
      <c r="A2733" s="40" t="s">
        <v>1</v>
      </c>
      <c r="B2733" s="23">
        <v>90230314</v>
      </c>
      <c r="C2733" s="23">
        <v>2303</v>
      </c>
      <c r="D2733" s="23">
        <v>23</v>
      </c>
      <c r="F2733" s="23" t="s">
        <v>1067</v>
      </c>
      <c r="G2733" s="23" t="s">
        <v>115</v>
      </c>
      <c r="H2733" s="23" t="s">
        <v>5331</v>
      </c>
      <c r="I2733" s="23">
        <v>3</v>
      </c>
      <c r="J2733" s="40">
        <v>0</v>
      </c>
      <c r="K2733" s="40">
        <v>5</v>
      </c>
      <c r="L2733" s="40" t="s">
        <v>115</v>
      </c>
      <c r="O2733" s="40">
        <v>1</v>
      </c>
      <c r="Q2733" s="40">
        <v>12</v>
      </c>
      <c r="R2733" s="40">
        <v>98</v>
      </c>
      <c r="X2733" s="40" t="s">
        <v>115</v>
      </c>
      <c r="Y2733" s="40" t="s">
        <v>115</v>
      </c>
      <c r="Z2733" s="40">
        <v>4</v>
      </c>
      <c r="AA2733" s="40" t="s">
        <v>115</v>
      </c>
      <c r="AB2733" s="40" t="s">
        <v>115</v>
      </c>
      <c r="AC2733" s="40" t="s">
        <v>115</v>
      </c>
      <c r="AI2733" s="40" t="s">
        <v>115</v>
      </c>
      <c r="AP2733" s="4" t="s">
        <v>5332</v>
      </c>
    </row>
    <row r="2734" spans="1:42" x14ac:dyDescent="0.15">
      <c r="A2734" s="40" t="s">
        <v>1</v>
      </c>
      <c r="B2734" s="23">
        <v>90230315</v>
      </c>
      <c r="C2734" s="23">
        <v>2303</v>
      </c>
      <c r="D2734" s="23">
        <v>23</v>
      </c>
      <c r="F2734" s="23" t="s">
        <v>1067</v>
      </c>
      <c r="G2734" s="23" t="s">
        <v>115</v>
      </c>
      <c r="H2734" s="23" t="s">
        <v>5333</v>
      </c>
      <c r="I2734" s="23">
        <v>3</v>
      </c>
      <c r="J2734" s="40">
        <v>0</v>
      </c>
      <c r="K2734" s="40">
        <v>0</v>
      </c>
      <c r="L2734" s="40" t="s">
        <v>115</v>
      </c>
      <c r="O2734" s="40" t="s">
        <v>115</v>
      </c>
      <c r="Q2734" s="40">
        <v>12</v>
      </c>
      <c r="R2734" s="40">
        <v>98</v>
      </c>
      <c r="X2734" s="40">
        <v>90230305</v>
      </c>
      <c r="Y2734" s="40" t="s">
        <v>115</v>
      </c>
      <c r="Z2734" s="40" t="s">
        <v>115</v>
      </c>
      <c r="AA2734" s="40" t="s">
        <v>115</v>
      </c>
      <c r="AB2734" s="40" t="s">
        <v>115</v>
      </c>
      <c r="AC2734" s="40" t="s">
        <v>115</v>
      </c>
      <c r="AI2734" s="40" t="s">
        <v>115</v>
      </c>
      <c r="AP2734" s="4" t="s">
        <v>115</v>
      </c>
    </row>
    <row r="2735" spans="1:42" x14ac:dyDescent="0.15">
      <c r="A2735" s="40" t="s">
        <v>1</v>
      </c>
      <c r="B2735" s="23" t="s">
        <v>4853</v>
      </c>
      <c r="C2735" s="23">
        <v>2304</v>
      </c>
      <c r="D2735" s="23">
        <v>23</v>
      </c>
      <c r="F2735" s="23" t="s">
        <v>116</v>
      </c>
      <c r="G2735" s="23">
        <v>312</v>
      </c>
      <c r="H2735" s="23" t="s">
        <v>5334</v>
      </c>
      <c r="I2735" s="23">
        <v>0</v>
      </c>
      <c r="J2735" s="40">
        <v>1</v>
      </c>
      <c r="K2735" s="40">
        <v>1</v>
      </c>
      <c r="L2735" s="40" t="s">
        <v>115</v>
      </c>
      <c r="O2735" s="40" t="s">
        <v>115</v>
      </c>
      <c r="Q2735" s="40">
        <v>105</v>
      </c>
      <c r="R2735" s="40">
        <v>245</v>
      </c>
      <c r="X2735" s="40">
        <v>90230402</v>
      </c>
      <c r="Y2735" s="40" t="s">
        <v>115</v>
      </c>
      <c r="Z2735" s="40" t="s">
        <v>115</v>
      </c>
      <c r="AA2735" s="40" t="s">
        <v>115</v>
      </c>
      <c r="AB2735" s="40" t="s">
        <v>115</v>
      </c>
      <c r="AC2735" s="40" t="s">
        <v>115</v>
      </c>
      <c r="AI2735" s="40" t="s">
        <v>115</v>
      </c>
      <c r="AP2735" s="4" t="s">
        <v>115</v>
      </c>
    </row>
    <row r="2736" spans="1:42" x14ac:dyDescent="0.15">
      <c r="A2736" s="40" t="s">
        <v>1</v>
      </c>
      <c r="B2736" s="23">
        <v>90230402</v>
      </c>
      <c r="C2736" s="23">
        <v>2304</v>
      </c>
      <c r="D2736" s="23">
        <v>23</v>
      </c>
      <c r="F2736" s="23" t="s">
        <v>5335</v>
      </c>
      <c r="G2736" s="23" t="s">
        <v>115</v>
      </c>
      <c r="H2736" s="23" t="s">
        <v>5336</v>
      </c>
      <c r="I2736" s="23">
        <v>3</v>
      </c>
      <c r="J2736" s="40">
        <v>0</v>
      </c>
      <c r="K2736" s="40">
        <v>0</v>
      </c>
      <c r="L2736" s="40" t="s">
        <v>115</v>
      </c>
      <c r="O2736" s="40" t="s">
        <v>115</v>
      </c>
      <c r="Q2736" s="40">
        <v>105</v>
      </c>
      <c r="R2736" s="40">
        <v>245</v>
      </c>
      <c r="X2736" s="40">
        <v>90230403</v>
      </c>
      <c r="Y2736" s="40" t="s">
        <v>115</v>
      </c>
      <c r="Z2736" s="40" t="s">
        <v>115</v>
      </c>
      <c r="AA2736" s="40" t="s">
        <v>115</v>
      </c>
      <c r="AB2736" s="40" t="s">
        <v>115</v>
      </c>
      <c r="AC2736" s="40" t="s">
        <v>115</v>
      </c>
      <c r="AI2736" s="40" t="s">
        <v>115</v>
      </c>
      <c r="AP2736" s="4" t="s">
        <v>115</v>
      </c>
    </row>
    <row r="2737" spans="1:42" x14ac:dyDescent="0.15">
      <c r="A2737" s="40" t="s">
        <v>1</v>
      </c>
      <c r="B2737" s="23">
        <v>90230403</v>
      </c>
      <c r="C2737" s="23">
        <v>2304</v>
      </c>
      <c r="D2737" s="23">
        <v>23</v>
      </c>
      <c r="F2737" s="23" t="s">
        <v>116</v>
      </c>
      <c r="G2737" s="23">
        <v>312</v>
      </c>
      <c r="H2737" s="23" t="s">
        <v>5337</v>
      </c>
      <c r="I2737" s="23">
        <v>0</v>
      </c>
      <c r="J2737" s="40">
        <v>0</v>
      </c>
      <c r="K2737" s="40">
        <v>0</v>
      </c>
      <c r="L2737" s="40" t="s">
        <v>115</v>
      </c>
      <c r="O2737" s="40" t="s">
        <v>115</v>
      </c>
      <c r="Q2737" s="40">
        <v>105</v>
      </c>
      <c r="R2737" s="40">
        <v>245</v>
      </c>
      <c r="X2737" s="40">
        <v>90230404</v>
      </c>
      <c r="Y2737" s="40" t="s">
        <v>115</v>
      </c>
      <c r="Z2737" s="40" t="s">
        <v>115</v>
      </c>
      <c r="AA2737" s="40" t="s">
        <v>115</v>
      </c>
      <c r="AB2737" s="40" t="s">
        <v>115</v>
      </c>
      <c r="AC2737" s="40" t="s">
        <v>115</v>
      </c>
      <c r="AI2737" s="40" t="s">
        <v>115</v>
      </c>
      <c r="AP2737" s="4" t="s">
        <v>115</v>
      </c>
    </row>
    <row r="2738" spans="1:42" x14ac:dyDescent="0.15">
      <c r="A2738" s="40" t="s">
        <v>1</v>
      </c>
      <c r="B2738" s="23">
        <v>90230404</v>
      </c>
      <c r="C2738" s="23">
        <v>2304</v>
      </c>
      <c r="D2738" s="23">
        <v>23</v>
      </c>
      <c r="F2738" s="23" t="s">
        <v>5335</v>
      </c>
      <c r="G2738" s="23" t="s">
        <v>115</v>
      </c>
      <c r="H2738" s="23" t="s">
        <v>5338</v>
      </c>
      <c r="I2738" s="23">
        <v>3</v>
      </c>
      <c r="J2738" s="40">
        <v>0</v>
      </c>
      <c r="K2738" s="40">
        <v>0</v>
      </c>
      <c r="L2738" s="40" t="s">
        <v>115</v>
      </c>
      <c r="O2738" s="40" t="s">
        <v>115</v>
      </c>
      <c r="Q2738" s="40">
        <v>105</v>
      </c>
      <c r="R2738" s="40">
        <v>245</v>
      </c>
      <c r="X2738" s="40">
        <v>90230405</v>
      </c>
      <c r="Y2738" s="40" t="s">
        <v>115</v>
      </c>
      <c r="Z2738" s="40" t="s">
        <v>115</v>
      </c>
      <c r="AA2738" s="40" t="s">
        <v>115</v>
      </c>
      <c r="AB2738" s="40" t="s">
        <v>115</v>
      </c>
      <c r="AC2738" s="40" t="s">
        <v>115</v>
      </c>
      <c r="AI2738" s="40" t="s">
        <v>115</v>
      </c>
      <c r="AP2738" s="4" t="s">
        <v>115</v>
      </c>
    </row>
    <row r="2739" spans="1:42" x14ac:dyDescent="0.15">
      <c r="A2739" s="40" t="s">
        <v>1</v>
      </c>
      <c r="B2739" s="23">
        <v>90230405</v>
      </c>
      <c r="C2739" s="23">
        <v>2304</v>
      </c>
      <c r="D2739" s="23">
        <v>23</v>
      </c>
      <c r="F2739" s="23" t="s">
        <v>116</v>
      </c>
      <c r="G2739" s="23">
        <v>313</v>
      </c>
      <c r="H2739" s="23" t="s">
        <v>5339</v>
      </c>
      <c r="I2739" s="23">
        <v>0</v>
      </c>
      <c r="J2739" s="40">
        <v>0</v>
      </c>
      <c r="K2739" s="40">
        <v>0</v>
      </c>
      <c r="L2739" s="40" t="s">
        <v>115</v>
      </c>
      <c r="O2739" s="40" t="s">
        <v>115</v>
      </c>
      <c r="Q2739" s="40">
        <v>105</v>
      </c>
      <c r="R2739" s="40">
        <v>245</v>
      </c>
      <c r="X2739" s="40">
        <v>90230406</v>
      </c>
      <c r="Y2739" s="40" t="s">
        <v>115</v>
      </c>
      <c r="Z2739" s="40" t="s">
        <v>115</v>
      </c>
      <c r="AA2739" s="40" t="s">
        <v>115</v>
      </c>
      <c r="AB2739" s="40" t="s">
        <v>115</v>
      </c>
      <c r="AC2739" s="40" t="s">
        <v>115</v>
      </c>
      <c r="AI2739" s="40" t="s">
        <v>115</v>
      </c>
      <c r="AP2739" s="4" t="s">
        <v>115</v>
      </c>
    </row>
    <row r="2740" spans="1:42" x14ac:dyDescent="0.15">
      <c r="A2740" s="40" t="s">
        <v>1</v>
      </c>
      <c r="B2740" s="23">
        <v>90230406</v>
      </c>
      <c r="C2740" s="23">
        <v>2304</v>
      </c>
      <c r="D2740" s="23">
        <v>23</v>
      </c>
      <c r="F2740" s="23" t="s">
        <v>5335</v>
      </c>
      <c r="G2740" s="23" t="s">
        <v>115</v>
      </c>
      <c r="H2740" s="23" t="s">
        <v>5340</v>
      </c>
      <c r="I2740" s="23">
        <v>3</v>
      </c>
      <c r="J2740" s="40">
        <v>0</v>
      </c>
      <c r="K2740" s="40">
        <v>0</v>
      </c>
      <c r="L2740" s="40" t="s">
        <v>115</v>
      </c>
      <c r="O2740" s="40" t="s">
        <v>115</v>
      </c>
      <c r="Q2740" s="40">
        <v>105</v>
      </c>
      <c r="R2740" s="40">
        <v>245</v>
      </c>
      <c r="X2740" s="40">
        <v>90230407</v>
      </c>
      <c r="Y2740" s="40" t="s">
        <v>115</v>
      </c>
      <c r="Z2740" s="40" t="s">
        <v>115</v>
      </c>
      <c r="AA2740" s="40" t="s">
        <v>115</v>
      </c>
      <c r="AB2740" s="40" t="s">
        <v>115</v>
      </c>
      <c r="AC2740" s="40" t="s">
        <v>115</v>
      </c>
      <c r="AI2740" s="40" t="s">
        <v>115</v>
      </c>
      <c r="AP2740" s="4" t="s">
        <v>115</v>
      </c>
    </row>
    <row r="2741" spans="1:42" x14ac:dyDescent="0.15">
      <c r="A2741" s="40" t="s">
        <v>1</v>
      </c>
      <c r="B2741" s="23">
        <v>90230407</v>
      </c>
      <c r="C2741" s="23">
        <v>2304</v>
      </c>
      <c r="D2741" s="23">
        <v>23</v>
      </c>
      <c r="F2741" s="23" t="s">
        <v>5335</v>
      </c>
      <c r="G2741" s="23" t="s">
        <v>115</v>
      </c>
      <c r="H2741" s="23" t="s">
        <v>5341</v>
      </c>
      <c r="I2741" s="23">
        <v>3</v>
      </c>
      <c r="J2741" s="40">
        <v>0</v>
      </c>
      <c r="K2741" s="40">
        <v>0</v>
      </c>
      <c r="L2741" s="40" t="s">
        <v>115</v>
      </c>
      <c r="O2741" s="40" t="s">
        <v>115</v>
      </c>
      <c r="Q2741" s="40">
        <v>105</v>
      </c>
      <c r="R2741" s="40">
        <v>245</v>
      </c>
      <c r="X2741" s="40">
        <v>90230408</v>
      </c>
      <c r="Y2741" s="40" t="s">
        <v>115</v>
      </c>
      <c r="Z2741" s="40" t="s">
        <v>115</v>
      </c>
      <c r="AA2741" s="40" t="s">
        <v>115</v>
      </c>
      <c r="AB2741" s="40" t="s">
        <v>115</v>
      </c>
      <c r="AC2741" s="40" t="s">
        <v>115</v>
      </c>
      <c r="AI2741" s="40" t="s">
        <v>115</v>
      </c>
      <c r="AP2741" s="4" t="s">
        <v>115</v>
      </c>
    </row>
    <row r="2742" spans="1:42" x14ac:dyDescent="0.15">
      <c r="A2742" s="40" t="s">
        <v>1</v>
      </c>
      <c r="B2742" s="23">
        <v>90230408</v>
      </c>
      <c r="C2742" s="23">
        <v>2304</v>
      </c>
      <c r="D2742" s="23">
        <v>23</v>
      </c>
      <c r="F2742" s="23" t="s">
        <v>116</v>
      </c>
      <c r="G2742" s="23">
        <v>309</v>
      </c>
      <c r="H2742" s="23" t="s">
        <v>5342</v>
      </c>
      <c r="I2742" s="23">
        <v>2</v>
      </c>
      <c r="J2742" s="40">
        <v>0</v>
      </c>
      <c r="K2742" s="40">
        <v>0</v>
      </c>
      <c r="L2742" s="40" t="s">
        <v>115</v>
      </c>
      <c r="O2742" s="40" t="s">
        <v>115</v>
      </c>
      <c r="Q2742" s="40">
        <v>105</v>
      </c>
      <c r="R2742" s="40">
        <v>245</v>
      </c>
      <c r="X2742" s="40">
        <v>90230409</v>
      </c>
      <c r="Y2742" s="40" t="s">
        <v>115</v>
      </c>
      <c r="Z2742" s="40" t="s">
        <v>115</v>
      </c>
      <c r="AA2742" s="40" t="s">
        <v>115</v>
      </c>
      <c r="AB2742" s="40" t="s">
        <v>115</v>
      </c>
      <c r="AC2742" s="40" t="s">
        <v>115</v>
      </c>
      <c r="AI2742" s="40" t="s">
        <v>115</v>
      </c>
      <c r="AP2742" s="4" t="s">
        <v>115</v>
      </c>
    </row>
    <row r="2743" spans="1:42" x14ac:dyDescent="0.15">
      <c r="A2743" s="40" t="s">
        <v>1</v>
      </c>
      <c r="B2743" s="23">
        <v>90230409</v>
      </c>
      <c r="C2743" s="23">
        <v>2304</v>
      </c>
      <c r="D2743" s="23">
        <v>23</v>
      </c>
      <c r="F2743" s="23" t="s">
        <v>5335</v>
      </c>
      <c r="G2743" s="23" t="s">
        <v>115</v>
      </c>
      <c r="H2743" s="23" t="s">
        <v>5343</v>
      </c>
      <c r="I2743" s="23">
        <v>3</v>
      </c>
      <c r="J2743" s="40">
        <v>0</v>
      </c>
      <c r="K2743" s="40">
        <v>0</v>
      </c>
      <c r="L2743" s="40" t="s">
        <v>115</v>
      </c>
      <c r="O2743" s="40" t="s">
        <v>115</v>
      </c>
      <c r="Q2743" s="40">
        <v>105</v>
      </c>
      <c r="R2743" s="40">
        <v>245</v>
      </c>
      <c r="X2743" s="40">
        <v>90230410</v>
      </c>
      <c r="Y2743" s="40" t="s">
        <v>115</v>
      </c>
      <c r="Z2743" s="40" t="s">
        <v>115</v>
      </c>
      <c r="AA2743" s="40" t="s">
        <v>115</v>
      </c>
      <c r="AB2743" s="40" t="s">
        <v>115</v>
      </c>
      <c r="AC2743" s="40" t="s">
        <v>115</v>
      </c>
      <c r="AI2743" s="40" t="s">
        <v>115</v>
      </c>
      <c r="AP2743" s="4" t="s">
        <v>115</v>
      </c>
    </row>
    <row r="2744" spans="1:42" x14ac:dyDescent="0.15">
      <c r="A2744" s="40" t="s">
        <v>1</v>
      </c>
      <c r="B2744" s="23">
        <v>90230410</v>
      </c>
      <c r="C2744" s="23">
        <v>2304</v>
      </c>
      <c r="D2744" s="23">
        <v>23</v>
      </c>
      <c r="F2744" s="23" t="s">
        <v>115</v>
      </c>
      <c r="G2744" s="23" t="s">
        <v>115</v>
      </c>
      <c r="H2744" s="23" t="s">
        <v>5344</v>
      </c>
      <c r="I2744" s="23">
        <v>4</v>
      </c>
      <c r="J2744" s="40">
        <v>0</v>
      </c>
      <c r="K2744" s="40">
        <v>0</v>
      </c>
      <c r="L2744" s="40" t="s">
        <v>115</v>
      </c>
      <c r="O2744" s="40" t="s">
        <v>115</v>
      </c>
      <c r="Q2744" s="40">
        <v>105</v>
      </c>
      <c r="R2744" s="40">
        <v>27</v>
      </c>
      <c r="X2744" s="40">
        <v>90230411</v>
      </c>
      <c r="Y2744" s="40" t="s">
        <v>115</v>
      </c>
      <c r="Z2744" s="40" t="s">
        <v>115</v>
      </c>
      <c r="AA2744" s="40" t="s">
        <v>115</v>
      </c>
      <c r="AB2744" s="40" t="s">
        <v>115</v>
      </c>
      <c r="AC2744" s="40" t="s">
        <v>115</v>
      </c>
      <c r="AI2744" s="40" t="s">
        <v>115</v>
      </c>
      <c r="AP2744" s="4" t="s">
        <v>115</v>
      </c>
    </row>
    <row r="2745" spans="1:42" x14ac:dyDescent="0.15">
      <c r="A2745" s="40" t="s">
        <v>1</v>
      </c>
      <c r="B2745" s="23">
        <v>90230411</v>
      </c>
      <c r="C2745" s="23">
        <v>2304</v>
      </c>
      <c r="D2745" s="23">
        <v>23</v>
      </c>
      <c r="F2745" s="23" t="s">
        <v>115</v>
      </c>
      <c r="G2745" s="23" t="s">
        <v>115</v>
      </c>
      <c r="H2745" s="23" t="s">
        <v>5345</v>
      </c>
      <c r="I2745" s="23">
        <v>4</v>
      </c>
      <c r="J2745" s="40">
        <v>0</v>
      </c>
      <c r="K2745" s="40">
        <v>2</v>
      </c>
      <c r="L2745" s="40" t="s">
        <v>115</v>
      </c>
      <c r="O2745" s="40" t="s">
        <v>115</v>
      </c>
      <c r="Q2745" s="40">
        <v>105</v>
      </c>
      <c r="R2745" s="40">
        <v>27</v>
      </c>
      <c r="X2745" s="40" t="s">
        <v>5346</v>
      </c>
      <c r="Y2745" s="40">
        <v>1</v>
      </c>
      <c r="Z2745" s="40">
        <v>1</v>
      </c>
      <c r="AA2745" s="40" t="s">
        <v>115</v>
      </c>
      <c r="AB2745" s="40" t="s">
        <v>115</v>
      </c>
      <c r="AC2745" s="40" t="s">
        <v>115</v>
      </c>
      <c r="AI2745" s="40" t="s">
        <v>115</v>
      </c>
      <c r="AP2745" s="4" t="s">
        <v>115</v>
      </c>
    </row>
    <row r="2746" spans="1:42" x14ac:dyDescent="0.15">
      <c r="A2746" s="40" t="s">
        <v>1</v>
      </c>
      <c r="B2746" s="23">
        <v>90230412</v>
      </c>
      <c r="C2746" s="23">
        <v>2304</v>
      </c>
      <c r="D2746" s="23">
        <v>23</v>
      </c>
      <c r="F2746" s="23" t="s">
        <v>115</v>
      </c>
      <c r="G2746" s="23" t="s">
        <v>115</v>
      </c>
      <c r="H2746" s="23" t="s">
        <v>5347</v>
      </c>
      <c r="I2746" s="23">
        <v>4</v>
      </c>
      <c r="J2746" s="40">
        <v>0</v>
      </c>
      <c r="K2746" s="40">
        <v>3</v>
      </c>
      <c r="L2746" s="40" t="s">
        <v>115</v>
      </c>
      <c r="O2746" s="40" t="s">
        <v>115</v>
      </c>
      <c r="Q2746" s="40">
        <v>105</v>
      </c>
      <c r="R2746" s="40">
        <v>27</v>
      </c>
      <c r="X2746" s="40">
        <v>90230414</v>
      </c>
      <c r="Y2746" s="40">
        <v>-1</v>
      </c>
      <c r="Z2746" s="40">
        <v>2</v>
      </c>
      <c r="AA2746" s="40" t="s">
        <v>5348</v>
      </c>
      <c r="AB2746" s="40" t="s">
        <v>115</v>
      </c>
      <c r="AC2746" s="40" t="s">
        <v>115</v>
      </c>
      <c r="AI2746" s="40" t="s">
        <v>115</v>
      </c>
      <c r="AP2746" s="4" t="s">
        <v>115</v>
      </c>
    </row>
    <row r="2747" spans="1:42" x14ac:dyDescent="0.15">
      <c r="A2747" s="40" t="s">
        <v>1</v>
      </c>
      <c r="B2747" s="23">
        <v>90230413</v>
      </c>
      <c r="C2747" s="23">
        <v>2304</v>
      </c>
      <c r="D2747" s="23">
        <v>23</v>
      </c>
      <c r="F2747" s="23" t="s">
        <v>115</v>
      </c>
      <c r="G2747" s="23" t="s">
        <v>115</v>
      </c>
      <c r="H2747" s="23" t="s">
        <v>5349</v>
      </c>
      <c r="I2747" s="23">
        <v>4</v>
      </c>
      <c r="J2747" s="40">
        <v>0</v>
      </c>
      <c r="K2747" s="40">
        <v>4</v>
      </c>
      <c r="L2747" s="40" t="s">
        <v>115</v>
      </c>
      <c r="O2747" s="40" t="s">
        <v>115</v>
      </c>
      <c r="Q2747" s="40">
        <v>105</v>
      </c>
      <c r="R2747" s="40">
        <v>27</v>
      </c>
      <c r="X2747" s="40">
        <v>90230416</v>
      </c>
      <c r="Y2747" s="40">
        <v>-1</v>
      </c>
      <c r="Z2747" s="40">
        <v>2</v>
      </c>
      <c r="AA2747" s="40" t="s">
        <v>115</v>
      </c>
      <c r="AB2747" s="40" t="s">
        <v>115</v>
      </c>
      <c r="AC2747" s="40" t="s">
        <v>115</v>
      </c>
      <c r="AI2747" s="40" t="s">
        <v>115</v>
      </c>
      <c r="AP2747" s="4" t="s">
        <v>115</v>
      </c>
    </row>
    <row r="2748" spans="1:42" x14ac:dyDescent="0.15">
      <c r="A2748" s="40" t="s">
        <v>1</v>
      </c>
      <c r="B2748" s="23">
        <v>90230414</v>
      </c>
      <c r="C2748" s="23">
        <v>2304</v>
      </c>
      <c r="D2748" s="23">
        <v>23</v>
      </c>
      <c r="F2748" s="23" t="s">
        <v>116</v>
      </c>
      <c r="G2748" s="23">
        <v>312</v>
      </c>
      <c r="H2748" s="23" t="s">
        <v>5350</v>
      </c>
      <c r="I2748" s="23">
        <v>2</v>
      </c>
      <c r="J2748" s="40">
        <v>0</v>
      </c>
      <c r="K2748" s="40">
        <v>5</v>
      </c>
      <c r="L2748" s="40" t="s">
        <v>5351</v>
      </c>
      <c r="O2748" s="40" t="s">
        <v>115</v>
      </c>
      <c r="Q2748" s="40">
        <v>105</v>
      </c>
      <c r="R2748" s="40">
        <v>27</v>
      </c>
      <c r="X2748" s="40">
        <v>90230415</v>
      </c>
      <c r="Y2748" s="40" t="s">
        <v>115</v>
      </c>
      <c r="Z2748" s="40">
        <v>4</v>
      </c>
      <c r="AA2748" s="40" t="s">
        <v>115</v>
      </c>
      <c r="AB2748" s="40" t="s">
        <v>115</v>
      </c>
      <c r="AC2748" s="40" t="s">
        <v>115</v>
      </c>
      <c r="AI2748" s="40" t="s">
        <v>115</v>
      </c>
      <c r="AP2748" s="4" t="s">
        <v>115</v>
      </c>
    </row>
    <row r="2749" spans="1:42" x14ac:dyDescent="0.15">
      <c r="A2749" s="40" t="s">
        <v>1</v>
      </c>
      <c r="B2749" s="23">
        <v>90230415</v>
      </c>
      <c r="C2749" s="23">
        <v>2304</v>
      </c>
      <c r="D2749" s="23">
        <v>23</v>
      </c>
      <c r="F2749" s="23" t="s">
        <v>116</v>
      </c>
      <c r="G2749" s="23">
        <v>312</v>
      </c>
      <c r="H2749" s="23" t="s">
        <v>5352</v>
      </c>
      <c r="I2749" s="23">
        <v>0</v>
      </c>
      <c r="J2749" s="40">
        <v>0</v>
      </c>
      <c r="K2749" s="40">
        <v>6</v>
      </c>
      <c r="L2749" s="40" t="s">
        <v>115</v>
      </c>
      <c r="O2749" s="40">
        <v>1</v>
      </c>
      <c r="Q2749" s="40">
        <v>105</v>
      </c>
      <c r="R2749" s="40">
        <v>27</v>
      </c>
      <c r="X2749" s="40" t="s">
        <v>115</v>
      </c>
      <c r="Y2749" s="40" t="s">
        <v>115</v>
      </c>
      <c r="Z2749" s="40">
        <v>5</v>
      </c>
      <c r="AA2749" s="40" t="s">
        <v>115</v>
      </c>
      <c r="AB2749" s="40" t="s">
        <v>115</v>
      </c>
      <c r="AC2749" s="40" t="s">
        <v>115</v>
      </c>
      <c r="AI2749" s="40" t="s">
        <v>115</v>
      </c>
      <c r="AP2749" s="4" t="s">
        <v>115</v>
      </c>
    </row>
    <row r="2750" spans="1:42" x14ac:dyDescent="0.15">
      <c r="A2750" s="40" t="s">
        <v>1</v>
      </c>
      <c r="B2750" s="23">
        <v>90230416</v>
      </c>
      <c r="C2750" s="23">
        <v>2304</v>
      </c>
      <c r="D2750" s="23">
        <v>23</v>
      </c>
      <c r="F2750" s="23" t="s">
        <v>115</v>
      </c>
      <c r="G2750" s="23" t="s">
        <v>115</v>
      </c>
      <c r="H2750" s="23" t="s">
        <v>5353</v>
      </c>
      <c r="I2750" s="23">
        <v>4</v>
      </c>
      <c r="J2750" s="40">
        <v>0</v>
      </c>
      <c r="K2750" s="40">
        <v>0</v>
      </c>
      <c r="L2750" s="40" t="s">
        <v>115</v>
      </c>
      <c r="O2750" s="40" t="s">
        <v>115</v>
      </c>
      <c r="Q2750" s="40">
        <v>105</v>
      </c>
      <c r="R2750" s="40">
        <v>27</v>
      </c>
      <c r="X2750" s="40">
        <v>90230417</v>
      </c>
      <c r="Y2750" s="40" t="s">
        <v>115</v>
      </c>
      <c r="Z2750" s="40" t="s">
        <v>115</v>
      </c>
      <c r="AA2750" s="40" t="s">
        <v>115</v>
      </c>
      <c r="AB2750" s="40" t="s">
        <v>115</v>
      </c>
      <c r="AC2750" s="40" t="s">
        <v>115</v>
      </c>
      <c r="AI2750" s="40" t="s">
        <v>115</v>
      </c>
      <c r="AP2750" s="4" t="s">
        <v>115</v>
      </c>
    </row>
    <row r="2751" spans="1:42" x14ac:dyDescent="0.15">
      <c r="A2751" s="40" t="s">
        <v>1</v>
      </c>
      <c r="B2751" s="23">
        <v>90230417</v>
      </c>
      <c r="C2751" s="23">
        <v>2304</v>
      </c>
      <c r="D2751" s="23">
        <v>23</v>
      </c>
      <c r="F2751" s="23" t="s">
        <v>115</v>
      </c>
      <c r="G2751" s="23" t="s">
        <v>115</v>
      </c>
      <c r="H2751" s="23" t="s">
        <v>5354</v>
      </c>
      <c r="I2751" s="23">
        <v>4</v>
      </c>
      <c r="J2751" s="40">
        <v>0</v>
      </c>
      <c r="K2751" s="40">
        <v>0</v>
      </c>
      <c r="L2751" s="40" t="s">
        <v>115</v>
      </c>
      <c r="O2751" s="40" t="s">
        <v>115</v>
      </c>
      <c r="Q2751" s="40">
        <v>105</v>
      </c>
      <c r="R2751" s="40">
        <v>27</v>
      </c>
      <c r="X2751" s="40">
        <v>90230418</v>
      </c>
      <c r="Y2751" s="40" t="s">
        <v>115</v>
      </c>
      <c r="Z2751" s="40" t="s">
        <v>115</v>
      </c>
      <c r="AA2751" s="40" t="s">
        <v>115</v>
      </c>
      <c r="AB2751" s="40" t="s">
        <v>115</v>
      </c>
      <c r="AC2751" s="40" t="s">
        <v>115</v>
      </c>
      <c r="AI2751" s="40" t="s">
        <v>115</v>
      </c>
      <c r="AP2751" s="4" t="s">
        <v>115</v>
      </c>
    </row>
    <row r="2752" spans="1:42" x14ac:dyDescent="0.15">
      <c r="A2752" s="40" t="s">
        <v>1</v>
      </c>
      <c r="B2752" s="23">
        <v>90230418</v>
      </c>
      <c r="C2752" s="23">
        <v>2304</v>
      </c>
      <c r="D2752" s="23">
        <v>23</v>
      </c>
      <c r="F2752" s="23" t="s">
        <v>115</v>
      </c>
      <c r="G2752" s="23" t="s">
        <v>115</v>
      </c>
      <c r="H2752" s="23" t="s">
        <v>5355</v>
      </c>
      <c r="I2752" s="23">
        <v>4</v>
      </c>
      <c r="J2752" s="40">
        <v>0</v>
      </c>
      <c r="K2752" s="40">
        <v>0</v>
      </c>
      <c r="L2752" s="40" t="s">
        <v>115</v>
      </c>
      <c r="O2752" s="40" t="s">
        <v>115</v>
      </c>
      <c r="Q2752" s="40">
        <v>105</v>
      </c>
      <c r="R2752" s="40">
        <v>27</v>
      </c>
      <c r="X2752" s="40">
        <v>90230411</v>
      </c>
      <c r="Y2752" s="40" t="s">
        <v>115</v>
      </c>
      <c r="Z2752" s="40" t="s">
        <v>115</v>
      </c>
      <c r="AA2752" s="40" t="s">
        <v>115</v>
      </c>
      <c r="AB2752" s="40" t="s">
        <v>115</v>
      </c>
      <c r="AC2752" s="40" t="s">
        <v>115</v>
      </c>
      <c r="AI2752" s="40" t="s">
        <v>115</v>
      </c>
      <c r="AP2752" s="4" t="s">
        <v>115</v>
      </c>
    </row>
    <row r="2753" spans="1:42" x14ac:dyDescent="0.15">
      <c r="A2753" s="40" t="s">
        <v>1</v>
      </c>
      <c r="B2753" s="23" t="s">
        <v>4855</v>
      </c>
      <c r="C2753" s="23">
        <v>2305</v>
      </c>
      <c r="D2753" s="23">
        <v>23</v>
      </c>
      <c r="F2753" s="23" t="s">
        <v>115</v>
      </c>
      <c r="G2753" s="23" t="s">
        <v>115</v>
      </c>
      <c r="H2753" s="23" t="s">
        <v>5356</v>
      </c>
      <c r="I2753" s="23">
        <v>4</v>
      </c>
      <c r="J2753" s="40">
        <v>1</v>
      </c>
      <c r="K2753" s="40">
        <v>1</v>
      </c>
      <c r="L2753" s="40" t="s">
        <v>115</v>
      </c>
      <c r="O2753" s="40" t="s">
        <v>115</v>
      </c>
      <c r="Q2753" s="40">
        <v>116</v>
      </c>
      <c r="R2753" s="40" t="s">
        <v>115</v>
      </c>
      <c r="X2753" s="40">
        <v>90230502</v>
      </c>
      <c r="Y2753" s="40" t="s">
        <v>115</v>
      </c>
      <c r="Z2753" s="40" t="s">
        <v>115</v>
      </c>
      <c r="AA2753" s="40" t="s">
        <v>115</v>
      </c>
      <c r="AB2753" s="40" t="s">
        <v>115</v>
      </c>
      <c r="AC2753" s="40" t="s">
        <v>115</v>
      </c>
      <c r="AI2753" s="40" t="s">
        <v>115</v>
      </c>
      <c r="AP2753" s="4" t="s">
        <v>115</v>
      </c>
    </row>
    <row r="2754" spans="1:42" x14ac:dyDescent="0.15">
      <c r="A2754" s="40" t="s">
        <v>1</v>
      </c>
      <c r="B2754" s="23">
        <v>90230502</v>
      </c>
      <c r="C2754" s="23">
        <v>2305</v>
      </c>
      <c r="D2754" s="23">
        <v>23</v>
      </c>
      <c r="F2754" s="23" t="s">
        <v>115</v>
      </c>
      <c r="G2754" s="23" t="s">
        <v>115</v>
      </c>
      <c r="H2754" s="23" t="s">
        <v>5357</v>
      </c>
      <c r="I2754" s="23">
        <v>4</v>
      </c>
      <c r="J2754" s="40">
        <v>0</v>
      </c>
      <c r="K2754" s="40">
        <v>0</v>
      </c>
      <c r="L2754" s="40" t="s">
        <v>115</v>
      </c>
      <c r="O2754" s="40" t="s">
        <v>115</v>
      </c>
      <c r="Q2754" s="40">
        <v>116</v>
      </c>
      <c r="R2754" s="40" t="s">
        <v>115</v>
      </c>
      <c r="X2754" s="40">
        <v>90230503</v>
      </c>
      <c r="Y2754" s="40" t="s">
        <v>115</v>
      </c>
      <c r="Z2754" s="40" t="s">
        <v>115</v>
      </c>
      <c r="AA2754" s="40" t="s">
        <v>115</v>
      </c>
      <c r="AB2754" s="40" t="s">
        <v>115</v>
      </c>
      <c r="AC2754" s="40" t="s">
        <v>115</v>
      </c>
      <c r="AI2754" s="40" t="s">
        <v>115</v>
      </c>
      <c r="AP2754" s="4" t="s">
        <v>115</v>
      </c>
    </row>
    <row r="2755" spans="1:42" x14ac:dyDescent="0.15">
      <c r="A2755" s="40" t="s">
        <v>1</v>
      </c>
      <c r="B2755" s="23">
        <v>90230503</v>
      </c>
      <c r="C2755" s="23">
        <v>2305</v>
      </c>
      <c r="D2755" s="23">
        <v>23</v>
      </c>
      <c r="F2755" s="23" t="s">
        <v>116</v>
      </c>
      <c r="G2755" s="23">
        <v>312</v>
      </c>
      <c r="H2755" s="23" t="s">
        <v>5358</v>
      </c>
      <c r="I2755" s="23">
        <v>0</v>
      </c>
      <c r="J2755" s="40">
        <v>0</v>
      </c>
      <c r="K2755" s="40">
        <v>0</v>
      </c>
      <c r="L2755" s="40" t="s">
        <v>115</v>
      </c>
      <c r="O2755" s="40" t="s">
        <v>115</v>
      </c>
      <c r="Q2755" s="40">
        <v>116</v>
      </c>
      <c r="R2755" s="40">
        <v>133</v>
      </c>
      <c r="X2755" s="40">
        <v>90230504</v>
      </c>
      <c r="Y2755" s="40" t="s">
        <v>115</v>
      </c>
      <c r="Z2755" s="40" t="s">
        <v>115</v>
      </c>
      <c r="AA2755" s="40" t="s">
        <v>115</v>
      </c>
      <c r="AB2755" s="40" t="s">
        <v>115</v>
      </c>
      <c r="AC2755" s="40" t="s">
        <v>115</v>
      </c>
      <c r="AI2755" s="40" t="s">
        <v>115</v>
      </c>
      <c r="AP2755" s="4" t="s">
        <v>115</v>
      </c>
    </row>
    <row r="2756" spans="1:42" x14ac:dyDescent="0.15">
      <c r="A2756" s="40" t="s">
        <v>1</v>
      </c>
      <c r="B2756" s="23">
        <v>90230504</v>
      </c>
      <c r="C2756" s="23">
        <v>2305</v>
      </c>
      <c r="D2756" s="23">
        <v>23</v>
      </c>
      <c r="F2756" s="23" t="s">
        <v>5359</v>
      </c>
      <c r="G2756" s="23" t="s">
        <v>115</v>
      </c>
      <c r="H2756" s="23" t="s">
        <v>5360</v>
      </c>
      <c r="I2756" s="23">
        <v>3</v>
      </c>
      <c r="J2756" s="40">
        <v>0</v>
      </c>
      <c r="K2756" s="40">
        <v>0</v>
      </c>
      <c r="L2756" s="40" t="s">
        <v>115</v>
      </c>
      <c r="O2756" s="40" t="s">
        <v>115</v>
      </c>
      <c r="Q2756" s="40">
        <v>116</v>
      </c>
      <c r="R2756" s="40">
        <v>133</v>
      </c>
      <c r="X2756" s="40">
        <v>90230505</v>
      </c>
      <c r="Y2756" s="40" t="s">
        <v>115</v>
      </c>
      <c r="Z2756" s="40" t="s">
        <v>115</v>
      </c>
      <c r="AA2756" s="40" t="s">
        <v>115</v>
      </c>
      <c r="AB2756" s="40" t="s">
        <v>115</v>
      </c>
      <c r="AC2756" s="40" t="s">
        <v>115</v>
      </c>
      <c r="AI2756" s="40" t="s">
        <v>115</v>
      </c>
      <c r="AP2756" s="4" t="s">
        <v>115</v>
      </c>
    </row>
    <row r="2757" spans="1:42" x14ac:dyDescent="0.15">
      <c r="A2757" s="40" t="s">
        <v>1</v>
      </c>
      <c r="B2757" s="23">
        <v>90230505</v>
      </c>
      <c r="C2757" s="23">
        <v>2305</v>
      </c>
      <c r="D2757" s="23">
        <v>23</v>
      </c>
      <c r="F2757" s="23" t="s">
        <v>116</v>
      </c>
      <c r="G2757" s="23">
        <v>312</v>
      </c>
      <c r="H2757" s="23" t="s">
        <v>5361</v>
      </c>
      <c r="I2757" s="23">
        <v>0</v>
      </c>
      <c r="J2757" s="40">
        <v>0</v>
      </c>
      <c r="K2757" s="40">
        <v>0</v>
      </c>
      <c r="L2757" s="40" t="s">
        <v>115</v>
      </c>
      <c r="O2757" s="40" t="s">
        <v>115</v>
      </c>
      <c r="Q2757" s="40">
        <v>116</v>
      </c>
      <c r="R2757" s="40">
        <v>133</v>
      </c>
      <c r="X2757" s="40">
        <v>90230506</v>
      </c>
      <c r="Y2757" s="40" t="s">
        <v>115</v>
      </c>
      <c r="Z2757" s="40" t="s">
        <v>115</v>
      </c>
      <c r="AA2757" s="40" t="s">
        <v>115</v>
      </c>
      <c r="AB2757" s="40" t="s">
        <v>115</v>
      </c>
      <c r="AC2757" s="40" t="s">
        <v>115</v>
      </c>
      <c r="AI2757" s="40" t="s">
        <v>115</v>
      </c>
      <c r="AP2757" s="4" t="s">
        <v>115</v>
      </c>
    </row>
    <row r="2758" spans="1:42" x14ac:dyDescent="0.15">
      <c r="A2758" s="40" t="s">
        <v>1</v>
      </c>
      <c r="B2758" s="23">
        <v>90230506</v>
      </c>
      <c r="C2758" s="23">
        <v>2305</v>
      </c>
      <c r="D2758" s="23">
        <v>23</v>
      </c>
      <c r="F2758" s="23" t="s">
        <v>5359</v>
      </c>
      <c r="G2758" s="23" t="s">
        <v>115</v>
      </c>
      <c r="H2758" s="23" t="s">
        <v>5362</v>
      </c>
      <c r="I2758" s="23">
        <v>3</v>
      </c>
      <c r="J2758" s="40">
        <v>0</v>
      </c>
      <c r="K2758" s="40">
        <v>0</v>
      </c>
      <c r="L2758" s="40" t="s">
        <v>115</v>
      </c>
      <c r="O2758" s="40" t="s">
        <v>115</v>
      </c>
      <c r="Q2758" s="40">
        <v>116</v>
      </c>
      <c r="R2758" s="40">
        <v>133</v>
      </c>
      <c r="X2758" s="40">
        <v>90230507</v>
      </c>
      <c r="Y2758" s="40" t="s">
        <v>115</v>
      </c>
      <c r="Z2758" s="40" t="s">
        <v>115</v>
      </c>
      <c r="AA2758" s="40" t="s">
        <v>115</v>
      </c>
      <c r="AB2758" s="40" t="s">
        <v>115</v>
      </c>
      <c r="AC2758" s="40" t="s">
        <v>115</v>
      </c>
      <c r="AI2758" s="40" t="s">
        <v>115</v>
      </c>
      <c r="AP2758" s="4" t="s">
        <v>115</v>
      </c>
    </row>
    <row r="2759" spans="1:42" x14ac:dyDescent="0.15">
      <c r="A2759" s="40" t="s">
        <v>1</v>
      </c>
      <c r="B2759" s="23">
        <v>90230507</v>
      </c>
      <c r="C2759" s="23">
        <v>2305</v>
      </c>
      <c r="D2759" s="23">
        <v>23</v>
      </c>
      <c r="F2759" s="23" t="s">
        <v>115</v>
      </c>
      <c r="G2759" s="23" t="s">
        <v>115</v>
      </c>
      <c r="H2759" s="23" t="s">
        <v>5363</v>
      </c>
      <c r="I2759" s="23">
        <v>4</v>
      </c>
      <c r="J2759" s="40">
        <v>0</v>
      </c>
      <c r="K2759" s="40">
        <v>0</v>
      </c>
      <c r="L2759" s="40" t="s">
        <v>115</v>
      </c>
      <c r="O2759" s="40" t="s">
        <v>115</v>
      </c>
      <c r="Q2759" s="40">
        <v>116</v>
      </c>
      <c r="R2759" s="40">
        <v>27</v>
      </c>
      <c r="X2759" s="40">
        <v>90230508</v>
      </c>
      <c r="Y2759" s="40" t="s">
        <v>115</v>
      </c>
      <c r="Z2759" s="40" t="s">
        <v>115</v>
      </c>
      <c r="AA2759" s="40" t="s">
        <v>115</v>
      </c>
      <c r="AB2759" s="40" t="s">
        <v>115</v>
      </c>
      <c r="AC2759" s="40" t="s">
        <v>115</v>
      </c>
      <c r="AI2759" s="40" t="s">
        <v>115</v>
      </c>
      <c r="AP2759" s="4" t="s">
        <v>115</v>
      </c>
    </row>
    <row r="2760" spans="1:42" x14ac:dyDescent="0.15">
      <c r="A2760" s="40" t="s">
        <v>1</v>
      </c>
      <c r="B2760" s="23">
        <v>90230508</v>
      </c>
      <c r="C2760" s="23">
        <v>2305</v>
      </c>
      <c r="D2760" s="23">
        <v>23</v>
      </c>
      <c r="F2760" s="23" t="s">
        <v>115</v>
      </c>
      <c r="G2760" s="23" t="s">
        <v>115</v>
      </c>
      <c r="H2760" s="23" t="s">
        <v>5364</v>
      </c>
      <c r="I2760" s="23">
        <v>4</v>
      </c>
      <c r="J2760" s="40">
        <v>0</v>
      </c>
      <c r="K2760" s="40">
        <v>2</v>
      </c>
      <c r="L2760" s="40" t="s">
        <v>115</v>
      </c>
      <c r="O2760" s="40" t="s">
        <v>115</v>
      </c>
      <c r="Q2760" s="40">
        <v>116</v>
      </c>
      <c r="R2760" s="40">
        <v>27</v>
      </c>
      <c r="X2760" s="40" t="s">
        <v>5365</v>
      </c>
      <c r="Y2760" s="40">
        <v>1</v>
      </c>
      <c r="Z2760" s="40">
        <v>1</v>
      </c>
      <c r="AA2760" s="40" t="s">
        <v>115</v>
      </c>
      <c r="AB2760" s="40" t="s">
        <v>115</v>
      </c>
      <c r="AC2760" s="40" t="s">
        <v>115</v>
      </c>
      <c r="AI2760" s="40" t="s">
        <v>115</v>
      </c>
      <c r="AP2760" s="4" t="s">
        <v>115</v>
      </c>
    </row>
    <row r="2761" spans="1:42" x14ac:dyDescent="0.15">
      <c r="A2761" s="40" t="s">
        <v>1</v>
      </c>
      <c r="B2761" s="23">
        <v>90230509</v>
      </c>
      <c r="C2761" s="23">
        <v>2305</v>
      </c>
      <c r="D2761" s="23">
        <v>23</v>
      </c>
      <c r="F2761" s="23" t="s">
        <v>115</v>
      </c>
      <c r="G2761" s="23" t="s">
        <v>115</v>
      </c>
      <c r="H2761" s="23" t="s">
        <v>5366</v>
      </c>
      <c r="I2761" s="23">
        <v>4</v>
      </c>
      <c r="J2761" s="40">
        <v>0</v>
      </c>
      <c r="K2761" s="40">
        <v>3</v>
      </c>
      <c r="L2761" s="40" t="s">
        <v>115</v>
      </c>
      <c r="O2761" s="40" t="s">
        <v>115</v>
      </c>
      <c r="Q2761" s="40">
        <v>116</v>
      </c>
      <c r="R2761" s="40">
        <v>27</v>
      </c>
      <c r="X2761" s="40">
        <v>90230510</v>
      </c>
      <c r="Y2761" s="40">
        <v>-1</v>
      </c>
      <c r="Z2761" s="40">
        <v>2</v>
      </c>
      <c r="AA2761" s="40" t="s">
        <v>115</v>
      </c>
      <c r="AB2761" s="40" t="s">
        <v>115</v>
      </c>
      <c r="AC2761" s="40" t="s">
        <v>5367</v>
      </c>
      <c r="AI2761" s="40" t="s">
        <v>115</v>
      </c>
      <c r="AP2761" s="4" t="s">
        <v>115</v>
      </c>
    </row>
    <row r="2762" spans="1:42" x14ac:dyDescent="0.15">
      <c r="A2762" s="40" t="s">
        <v>1</v>
      </c>
      <c r="B2762" s="23">
        <v>90230510</v>
      </c>
      <c r="C2762" s="23">
        <v>2305</v>
      </c>
      <c r="D2762" s="23">
        <v>23</v>
      </c>
      <c r="F2762" s="23" t="s">
        <v>115</v>
      </c>
      <c r="G2762" s="23" t="s">
        <v>115</v>
      </c>
      <c r="H2762" s="23" t="s">
        <v>5368</v>
      </c>
      <c r="I2762" s="23">
        <v>4</v>
      </c>
      <c r="J2762" s="40">
        <v>0</v>
      </c>
      <c r="K2762" s="40">
        <v>0</v>
      </c>
      <c r="L2762" s="40" t="s">
        <v>115</v>
      </c>
      <c r="O2762" s="40" t="s">
        <v>115</v>
      </c>
      <c r="Q2762" s="40">
        <v>116</v>
      </c>
      <c r="R2762" s="40">
        <v>27</v>
      </c>
      <c r="X2762" s="40">
        <v>90230511</v>
      </c>
      <c r="Y2762" s="40" t="s">
        <v>115</v>
      </c>
      <c r="Z2762" s="40" t="s">
        <v>115</v>
      </c>
      <c r="AA2762" s="40" t="s">
        <v>115</v>
      </c>
      <c r="AB2762" s="40" t="s">
        <v>115</v>
      </c>
      <c r="AC2762" s="40" t="s">
        <v>115</v>
      </c>
      <c r="AI2762" s="40" t="s">
        <v>115</v>
      </c>
      <c r="AP2762" s="4" t="s">
        <v>115</v>
      </c>
    </row>
    <row r="2763" spans="1:42" x14ac:dyDescent="0.15">
      <c r="A2763" s="40" t="s">
        <v>1</v>
      </c>
      <c r="B2763" s="23">
        <v>90230511</v>
      </c>
      <c r="C2763" s="23">
        <v>2305</v>
      </c>
      <c r="D2763" s="23">
        <v>23</v>
      </c>
      <c r="F2763" s="23" t="s">
        <v>115</v>
      </c>
      <c r="G2763" s="23" t="s">
        <v>115</v>
      </c>
      <c r="H2763" s="23" t="s">
        <v>5369</v>
      </c>
      <c r="I2763" s="23">
        <v>4</v>
      </c>
      <c r="J2763" s="40">
        <v>0</v>
      </c>
      <c r="K2763" s="40">
        <v>4</v>
      </c>
      <c r="L2763" s="40" t="s">
        <v>5370</v>
      </c>
      <c r="O2763" s="40">
        <v>1</v>
      </c>
      <c r="Q2763" s="40">
        <v>116</v>
      </c>
      <c r="R2763" s="40">
        <v>27</v>
      </c>
      <c r="X2763" s="40" t="s">
        <v>115</v>
      </c>
      <c r="Y2763" s="40" t="s">
        <v>115</v>
      </c>
      <c r="Z2763" s="40">
        <v>3</v>
      </c>
      <c r="AA2763" s="40" t="s">
        <v>115</v>
      </c>
      <c r="AB2763" s="40" t="s">
        <v>115</v>
      </c>
      <c r="AC2763" s="40" t="s">
        <v>115</v>
      </c>
      <c r="AI2763" s="40" t="s">
        <v>115</v>
      </c>
      <c r="AP2763" s="4" t="s">
        <v>115</v>
      </c>
    </row>
    <row r="2764" spans="1:42" x14ac:dyDescent="0.15">
      <c r="A2764" s="40" t="s">
        <v>1</v>
      </c>
      <c r="B2764" s="23" t="s">
        <v>4856</v>
      </c>
      <c r="C2764" s="23">
        <v>2306</v>
      </c>
      <c r="D2764" s="23">
        <v>23</v>
      </c>
      <c r="F2764" s="23" t="s">
        <v>115</v>
      </c>
      <c r="G2764" s="23" t="s">
        <v>115</v>
      </c>
      <c r="H2764" s="23" t="s">
        <v>5371</v>
      </c>
      <c r="I2764" s="23">
        <v>4</v>
      </c>
      <c r="J2764" s="40">
        <v>1</v>
      </c>
      <c r="K2764" s="40">
        <v>1</v>
      </c>
      <c r="L2764" s="40" t="s">
        <v>115</v>
      </c>
      <c r="O2764" s="40" t="s">
        <v>115</v>
      </c>
      <c r="Q2764" s="40">
        <v>118</v>
      </c>
      <c r="R2764" s="40" t="s">
        <v>115</v>
      </c>
      <c r="X2764" s="40">
        <v>90230602</v>
      </c>
      <c r="Y2764" s="40" t="s">
        <v>115</v>
      </c>
      <c r="Z2764" s="40" t="s">
        <v>115</v>
      </c>
      <c r="AA2764" s="40" t="s">
        <v>115</v>
      </c>
      <c r="AB2764" s="40" t="s">
        <v>115</v>
      </c>
      <c r="AC2764" s="40" t="s">
        <v>115</v>
      </c>
      <c r="AI2764" s="40" t="s">
        <v>115</v>
      </c>
      <c r="AP2764" s="4" t="s">
        <v>115</v>
      </c>
    </row>
    <row r="2765" spans="1:42" x14ac:dyDescent="0.15">
      <c r="A2765" s="40" t="s">
        <v>1</v>
      </c>
      <c r="B2765" s="23">
        <v>90230602</v>
      </c>
      <c r="C2765" s="23">
        <v>2306</v>
      </c>
      <c r="D2765" s="23">
        <v>23</v>
      </c>
      <c r="F2765" s="23" t="s">
        <v>115</v>
      </c>
      <c r="G2765" s="23" t="s">
        <v>115</v>
      </c>
      <c r="H2765" s="23" t="s">
        <v>5372</v>
      </c>
      <c r="I2765" s="23">
        <v>4</v>
      </c>
      <c r="J2765" s="40">
        <v>0</v>
      </c>
      <c r="K2765" s="40">
        <v>0</v>
      </c>
      <c r="L2765" s="40" t="s">
        <v>115</v>
      </c>
      <c r="O2765" s="40" t="s">
        <v>115</v>
      </c>
      <c r="Q2765" s="40">
        <v>118</v>
      </c>
      <c r="R2765" s="40" t="s">
        <v>115</v>
      </c>
      <c r="X2765" s="40">
        <v>90230603</v>
      </c>
      <c r="Y2765" s="40" t="s">
        <v>115</v>
      </c>
      <c r="Z2765" s="40" t="s">
        <v>115</v>
      </c>
      <c r="AA2765" s="40" t="s">
        <v>115</v>
      </c>
      <c r="AB2765" s="40" t="s">
        <v>115</v>
      </c>
      <c r="AC2765" s="40" t="s">
        <v>115</v>
      </c>
      <c r="AI2765" s="40" t="s">
        <v>115</v>
      </c>
      <c r="AP2765" s="4" t="s">
        <v>115</v>
      </c>
    </row>
    <row r="2766" spans="1:42" x14ac:dyDescent="0.15">
      <c r="A2766" s="40" t="s">
        <v>1</v>
      </c>
      <c r="B2766" s="23">
        <v>90230603</v>
      </c>
      <c r="C2766" s="23">
        <v>2306</v>
      </c>
      <c r="D2766" s="23">
        <v>23</v>
      </c>
      <c r="F2766" s="23" t="s">
        <v>116</v>
      </c>
      <c r="G2766" s="23">
        <v>312</v>
      </c>
      <c r="H2766" s="23" t="s">
        <v>5373</v>
      </c>
      <c r="I2766" s="23">
        <v>0</v>
      </c>
      <c r="J2766" s="40">
        <v>0</v>
      </c>
      <c r="K2766" s="40">
        <v>0</v>
      </c>
      <c r="L2766" s="40" t="s">
        <v>115</v>
      </c>
      <c r="O2766" s="40" t="s">
        <v>115</v>
      </c>
      <c r="Q2766" s="40">
        <v>118</v>
      </c>
      <c r="R2766" s="40">
        <v>19</v>
      </c>
      <c r="X2766" s="40">
        <v>90230604</v>
      </c>
      <c r="Y2766" s="40" t="s">
        <v>115</v>
      </c>
      <c r="Z2766" s="40" t="s">
        <v>115</v>
      </c>
      <c r="AA2766" s="40" t="s">
        <v>115</v>
      </c>
      <c r="AB2766" s="40" t="s">
        <v>115</v>
      </c>
      <c r="AC2766" s="40" t="s">
        <v>115</v>
      </c>
      <c r="AI2766" s="40" t="s">
        <v>115</v>
      </c>
      <c r="AP2766" s="4" t="s">
        <v>115</v>
      </c>
    </row>
    <row r="2767" spans="1:42" x14ac:dyDescent="0.15">
      <c r="A2767" s="40" t="s">
        <v>1</v>
      </c>
      <c r="B2767" s="23">
        <v>90230604</v>
      </c>
      <c r="C2767" s="23">
        <v>2306</v>
      </c>
      <c r="D2767" s="23">
        <v>23</v>
      </c>
      <c r="F2767" s="23" t="s">
        <v>1026</v>
      </c>
      <c r="G2767" s="23" t="s">
        <v>115</v>
      </c>
      <c r="H2767" s="23" t="s">
        <v>5374</v>
      </c>
      <c r="I2767" s="23">
        <v>3</v>
      </c>
      <c r="J2767" s="40">
        <v>0</v>
      </c>
      <c r="K2767" s="40">
        <v>0</v>
      </c>
      <c r="L2767" s="40" t="s">
        <v>115</v>
      </c>
      <c r="O2767" s="40" t="s">
        <v>115</v>
      </c>
      <c r="Q2767" s="40">
        <v>118</v>
      </c>
      <c r="R2767" s="40">
        <v>19</v>
      </c>
      <c r="X2767" s="40">
        <v>90230605</v>
      </c>
      <c r="Y2767" s="40" t="s">
        <v>115</v>
      </c>
      <c r="Z2767" s="40" t="s">
        <v>115</v>
      </c>
      <c r="AA2767" s="40" t="s">
        <v>115</v>
      </c>
      <c r="AB2767" s="40" t="s">
        <v>115</v>
      </c>
      <c r="AC2767" s="40" t="s">
        <v>115</v>
      </c>
      <c r="AI2767" s="40" t="s">
        <v>115</v>
      </c>
      <c r="AP2767" s="4" t="s">
        <v>115</v>
      </c>
    </row>
    <row r="2768" spans="1:42" x14ac:dyDescent="0.15">
      <c r="A2768" s="40" t="s">
        <v>1</v>
      </c>
      <c r="B2768" s="23">
        <v>90230605</v>
      </c>
      <c r="C2768" s="23">
        <v>2306</v>
      </c>
      <c r="D2768" s="23">
        <v>23</v>
      </c>
      <c r="F2768" s="23" t="s">
        <v>115</v>
      </c>
      <c r="G2768" s="23" t="s">
        <v>115</v>
      </c>
      <c r="H2768" s="23" t="s">
        <v>5375</v>
      </c>
      <c r="I2768" s="23">
        <v>4</v>
      </c>
      <c r="J2768" s="40">
        <v>0</v>
      </c>
      <c r="K2768" s="40">
        <v>2</v>
      </c>
      <c r="L2768" s="40" t="s">
        <v>115</v>
      </c>
      <c r="O2768" s="40" t="s">
        <v>115</v>
      </c>
      <c r="Q2768" s="40">
        <v>118</v>
      </c>
      <c r="R2768" s="40">
        <v>19</v>
      </c>
      <c r="X2768" s="40" t="s">
        <v>5376</v>
      </c>
      <c r="Y2768" s="40">
        <v>1</v>
      </c>
      <c r="Z2768" s="40">
        <v>1</v>
      </c>
      <c r="AA2768" s="40" t="s">
        <v>115</v>
      </c>
      <c r="AB2768" s="40" t="s">
        <v>115</v>
      </c>
      <c r="AC2768" s="40" t="s">
        <v>115</v>
      </c>
      <c r="AI2768" s="40" t="s">
        <v>115</v>
      </c>
      <c r="AP2768" s="4" t="s">
        <v>115</v>
      </c>
    </row>
    <row r="2769" spans="1:42" x14ac:dyDescent="0.15">
      <c r="A2769" s="40" t="s">
        <v>1</v>
      </c>
      <c r="B2769" s="23">
        <v>90230606</v>
      </c>
      <c r="C2769" s="23">
        <v>2306</v>
      </c>
      <c r="D2769" s="23">
        <v>23</v>
      </c>
      <c r="F2769" s="23" t="s">
        <v>115</v>
      </c>
      <c r="G2769" s="23" t="s">
        <v>115</v>
      </c>
      <c r="H2769" s="23" t="s">
        <v>5377</v>
      </c>
      <c r="I2769" s="23">
        <v>4</v>
      </c>
      <c r="J2769" s="40">
        <v>0</v>
      </c>
      <c r="K2769" s="40">
        <v>3</v>
      </c>
      <c r="L2769" s="40" t="s">
        <v>115</v>
      </c>
      <c r="O2769" s="40" t="s">
        <v>115</v>
      </c>
      <c r="Q2769" s="40">
        <v>118</v>
      </c>
      <c r="R2769" s="40">
        <v>19</v>
      </c>
      <c r="X2769" s="40">
        <v>90230608</v>
      </c>
      <c r="Y2769" s="40">
        <v>-1</v>
      </c>
      <c r="Z2769" s="40">
        <v>2</v>
      </c>
      <c r="AA2769" s="40" t="s">
        <v>115</v>
      </c>
      <c r="AB2769" s="40" t="s">
        <v>115</v>
      </c>
      <c r="AC2769" s="40" t="s">
        <v>5378</v>
      </c>
      <c r="AI2769" s="40" t="s">
        <v>115</v>
      </c>
      <c r="AP2769" s="4" t="s">
        <v>115</v>
      </c>
    </row>
    <row r="2770" spans="1:42" x14ac:dyDescent="0.15">
      <c r="A2770" s="40" t="s">
        <v>1</v>
      </c>
      <c r="B2770" s="23">
        <v>90230607</v>
      </c>
      <c r="C2770" s="23">
        <v>2306</v>
      </c>
      <c r="D2770" s="23">
        <v>23</v>
      </c>
      <c r="F2770" s="23" t="s">
        <v>115</v>
      </c>
      <c r="G2770" s="23" t="s">
        <v>115</v>
      </c>
      <c r="H2770" s="23" t="s">
        <v>5379</v>
      </c>
      <c r="I2770" s="23">
        <v>4</v>
      </c>
      <c r="J2770" s="40">
        <v>0</v>
      </c>
      <c r="K2770" s="40">
        <v>4</v>
      </c>
      <c r="L2770" s="40" t="s">
        <v>115</v>
      </c>
      <c r="O2770" s="40" t="s">
        <v>115</v>
      </c>
      <c r="Q2770" s="40">
        <v>118</v>
      </c>
      <c r="R2770" s="40">
        <v>19</v>
      </c>
      <c r="X2770" s="40">
        <v>90230612</v>
      </c>
      <c r="Y2770" s="40">
        <v>-1</v>
      </c>
      <c r="Z2770" s="40">
        <v>2</v>
      </c>
      <c r="AA2770" s="40" t="s">
        <v>570</v>
      </c>
      <c r="AB2770" s="40" t="s">
        <v>115</v>
      </c>
      <c r="AC2770" s="40" t="s">
        <v>115</v>
      </c>
      <c r="AI2770" s="40" t="s">
        <v>115</v>
      </c>
      <c r="AP2770" s="4" t="s">
        <v>115</v>
      </c>
    </row>
    <row r="2771" spans="1:42" x14ac:dyDescent="0.15">
      <c r="A2771" s="40" t="s">
        <v>1</v>
      </c>
      <c r="B2771" s="23">
        <v>90230608</v>
      </c>
      <c r="C2771" s="23">
        <v>2306</v>
      </c>
      <c r="D2771" s="23">
        <v>23</v>
      </c>
      <c r="F2771" s="23" t="s">
        <v>1026</v>
      </c>
      <c r="G2771" s="23" t="s">
        <v>115</v>
      </c>
      <c r="H2771" s="23" t="s">
        <v>5380</v>
      </c>
      <c r="I2771" s="23">
        <v>3</v>
      </c>
      <c r="J2771" s="40">
        <v>0</v>
      </c>
      <c r="K2771" s="40">
        <v>0</v>
      </c>
      <c r="L2771" s="40" t="s">
        <v>115</v>
      </c>
      <c r="O2771" s="40" t="s">
        <v>115</v>
      </c>
      <c r="Q2771" s="40">
        <v>118</v>
      </c>
      <c r="R2771" s="40">
        <v>19</v>
      </c>
      <c r="X2771" s="40">
        <v>90230609</v>
      </c>
      <c r="Y2771" s="40" t="s">
        <v>115</v>
      </c>
      <c r="Z2771" s="40" t="s">
        <v>115</v>
      </c>
      <c r="AA2771" s="40" t="s">
        <v>115</v>
      </c>
      <c r="AB2771" s="40" t="s">
        <v>115</v>
      </c>
      <c r="AC2771" s="40" t="s">
        <v>115</v>
      </c>
      <c r="AI2771" s="40" t="s">
        <v>115</v>
      </c>
      <c r="AP2771" s="4" t="s">
        <v>115</v>
      </c>
    </row>
    <row r="2772" spans="1:42" x14ac:dyDescent="0.15">
      <c r="A2772" s="40" t="s">
        <v>1</v>
      </c>
      <c r="B2772" s="23">
        <v>90230609</v>
      </c>
      <c r="C2772" s="23">
        <v>2306</v>
      </c>
      <c r="D2772" s="23">
        <v>23</v>
      </c>
      <c r="F2772" s="23" t="s">
        <v>1026</v>
      </c>
      <c r="G2772" s="23" t="s">
        <v>115</v>
      </c>
      <c r="H2772" s="23" t="s">
        <v>5381</v>
      </c>
      <c r="I2772" s="23">
        <v>3</v>
      </c>
      <c r="J2772" s="40">
        <v>0</v>
      </c>
      <c r="K2772" s="40">
        <v>0</v>
      </c>
      <c r="L2772" s="40" t="s">
        <v>115</v>
      </c>
      <c r="O2772" s="40" t="s">
        <v>115</v>
      </c>
      <c r="Q2772" s="40">
        <v>118</v>
      </c>
      <c r="R2772" s="40">
        <v>19</v>
      </c>
      <c r="X2772" s="40">
        <v>90230610</v>
      </c>
      <c r="Y2772" s="40" t="s">
        <v>115</v>
      </c>
      <c r="Z2772" s="40" t="s">
        <v>115</v>
      </c>
      <c r="AA2772" s="40" t="s">
        <v>115</v>
      </c>
      <c r="AB2772" s="40" t="s">
        <v>115</v>
      </c>
      <c r="AC2772" s="40" t="s">
        <v>115</v>
      </c>
      <c r="AI2772" s="40" t="s">
        <v>115</v>
      </c>
      <c r="AP2772" s="4" t="s">
        <v>115</v>
      </c>
    </row>
    <row r="2773" spans="1:42" x14ac:dyDescent="0.15">
      <c r="A2773" s="40" t="s">
        <v>1</v>
      </c>
      <c r="B2773" s="23">
        <v>90230610</v>
      </c>
      <c r="C2773" s="23">
        <v>2306</v>
      </c>
      <c r="D2773" s="23">
        <v>23</v>
      </c>
      <c r="F2773" s="23" t="s">
        <v>1026</v>
      </c>
      <c r="G2773" s="23" t="s">
        <v>115</v>
      </c>
      <c r="H2773" s="23" t="s">
        <v>5382</v>
      </c>
      <c r="I2773" s="23">
        <v>3</v>
      </c>
      <c r="J2773" s="40">
        <v>0</v>
      </c>
      <c r="K2773" s="40">
        <v>0</v>
      </c>
      <c r="L2773" s="40" t="s">
        <v>115</v>
      </c>
      <c r="O2773" s="40" t="s">
        <v>115</v>
      </c>
      <c r="Q2773" s="40">
        <v>118</v>
      </c>
      <c r="R2773" s="40">
        <v>19</v>
      </c>
      <c r="X2773" s="40">
        <v>90230611</v>
      </c>
      <c r="Y2773" s="40" t="s">
        <v>115</v>
      </c>
      <c r="Z2773" s="40" t="s">
        <v>115</v>
      </c>
      <c r="AA2773" s="40" t="s">
        <v>115</v>
      </c>
      <c r="AB2773" s="40" t="s">
        <v>115</v>
      </c>
      <c r="AC2773" s="40" t="s">
        <v>115</v>
      </c>
      <c r="AI2773" s="40" t="s">
        <v>115</v>
      </c>
      <c r="AP2773" s="4" t="s">
        <v>115</v>
      </c>
    </row>
    <row r="2774" spans="1:42" x14ac:dyDescent="0.15">
      <c r="A2774" s="40" t="s">
        <v>1</v>
      </c>
      <c r="B2774" s="23">
        <v>90230611</v>
      </c>
      <c r="C2774" s="23">
        <v>2306</v>
      </c>
      <c r="D2774" s="23">
        <v>23</v>
      </c>
      <c r="F2774" s="23" t="s">
        <v>116</v>
      </c>
      <c r="G2774" s="23">
        <v>312</v>
      </c>
      <c r="H2774" s="23" t="s">
        <v>5383</v>
      </c>
      <c r="I2774" s="23">
        <v>0</v>
      </c>
      <c r="J2774" s="40">
        <v>0</v>
      </c>
      <c r="K2774" s="40">
        <v>0</v>
      </c>
      <c r="L2774" s="40" t="s">
        <v>115</v>
      </c>
      <c r="O2774" s="40" t="s">
        <v>115</v>
      </c>
      <c r="Q2774" s="40">
        <v>118</v>
      </c>
      <c r="R2774" s="40">
        <v>19</v>
      </c>
      <c r="X2774" s="40">
        <v>90230616</v>
      </c>
      <c r="Y2774" s="40" t="s">
        <v>115</v>
      </c>
      <c r="Z2774" s="40" t="s">
        <v>115</v>
      </c>
      <c r="AA2774" s="40" t="s">
        <v>115</v>
      </c>
      <c r="AB2774" s="40" t="s">
        <v>115</v>
      </c>
      <c r="AC2774" s="40" t="s">
        <v>115</v>
      </c>
      <c r="AI2774" s="40" t="s">
        <v>115</v>
      </c>
      <c r="AP2774" s="4" t="s">
        <v>115</v>
      </c>
    </row>
    <row r="2775" spans="1:42" x14ac:dyDescent="0.15">
      <c r="A2775" s="40" t="s">
        <v>1</v>
      </c>
      <c r="B2775" s="23">
        <v>90230612</v>
      </c>
      <c r="C2775" s="23">
        <v>2306</v>
      </c>
      <c r="D2775" s="23">
        <v>23</v>
      </c>
      <c r="F2775" s="23" t="s">
        <v>1026</v>
      </c>
      <c r="G2775" s="23" t="s">
        <v>115</v>
      </c>
      <c r="H2775" s="23" t="s">
        <v>5384</v>
      </c>
      <c r="I2775" s="23">
        <v>3</v>
      </c>
      <c r="J2775" s="40">
        <v>0</v>
      </c>
      <c r="K2775" s="40">
        <v>0</v>
      </c>
      <c r="L2775" s="40" t="s">
        <v>115</v>
      </c>
      <c r="O2775" s="40" t="s">
        <v>115</v>
      </c>
      <c r="Q2775" s="40">
        <v>118</v>
      </c>
      <c r="R2775" s="40">
        <v>19</v>
      </c>
      <c r="X2775" s="40">
        <v>90230613</v>
      </c>
      <c r="Y2775" s="40" t="s">
        <v>115</v>
      </c>
      <c r="Z2775" s="40" t="s">
        <v>115</v>
      </c>
      <c r="AA2775" s="40" t="s">
        <v>115</v>
      </c>
      <c r="AB2775" s="40" t="s">
        <v>115</v>
      </c>
      <c r="AC2775" s="40" t="s">
        <v>115</v>
      </c>
      <c r="AI2775" s="40" t="s">
        <v>115</v>
      </c>
      <c r="AP2775" s="4" t="s">
        <v>115</v>
      </c>
    </row>
    <row r="2776" spans="1:42" x14ac:dyDescent="0.15">
      <c r="A2776" s="40" t="s">
        <v>1</v>
      </c>
      <c r="B2776" s="23">
        <v>90230613</v>
      </c>
      <c r="C2776" s="23">
        <v>2306</v>
      </c>
      <c r="D2776" s="23">
        <v>23</v>
      </c>
      <c r="F2776" s="23" t="s">
        <v>1026</v>
      </c>
      <c r="G2776" s="23" t="s">
        <v>115</v>
      </c>
      <c r="H2776" s="23" t="s">
        <v>5385</v>
      </c>
      <c r="I2776" s="23">
        <v>3</v>
      </c>
      <c r="J2776" s="40">
        <v>0</v>
      </c>
      <c r="K2776" s="40">
        <v>0</v>
      </c>
      <c r="L2776" s="40" t="s">
        <v>115</v>
      </c>
      <c r="O2776" s="40" t="s">
        <v>115</v>
      </c>
      <c r="Q2776" s="40">
        <v>118</v>
      </c>
      <c r="R2776" s="40">
        <v>19</v>
      </c>
      <c r="X2776" s="40">
        <v>90230614</v>
      </c>
      <c r="Y2776" s="40" t="s">
        <v>115</v>
      </c>
      <c r="Z2776" s="40" t="s">
        <v>115</v>
      </c>
      <c r="AA2776" s="40" t="s">
        <v>115</v>
      </c>
      <c r="AB2776" s="40" t="s">
        <v>115</v>
      </c>
      <c r="AC2776" s="40" t="s">
        <v>115</v>
      </c>
      <c r="AI2776" s="40" t="s">
        <v>115</v>
      </c>
      <c r="AP2776" s="4" t="s">
        <v>115</v>
      </c>
    </row>
    <row r="2777" spans="1:42" x14ac:dyDescent="0.15">
      <c r="A2777" s="40" t="s">
        <v>1</v>
      </c>
      <c r="B2777" s="23">
        <v>90230614</v>
      </c>
      <c r="C2777" s="23">
        <v>2306</v>
      </c>
      <c r="D2777" s="23">
        <v>23</v>
      </c>
      <c r="F2777" s="23" t="s">
        <v>116</v>
      </c>
      <c r="G2777" s="23">
        <v>312</v>
      </c>
      <c r="H2777" s="23" t="s">
        <v>5386</v>
      </c>
      <c r="I2777" s="23">
        <v>0</v>
      </c>
      <c r="J2777" s="40">
        <v>0</v>
      </c>
      <c r="K2777" s="40">
        <v>0</v>
      </c>
      <c r="L2777" s="40" t="s">
        <v>115</v>
      </c>
      <c r="O2777" s="40" t="s">
        <v>115</v>
      </c>
      <c r="Q2777" s="40">
        <v>118</v>
      </c>
      <c r="R2777" s="40">
        <v>19</v>
      </c>
      <c r="X2777" s="40">
        <v>90230615</v>
      </c>
      <c r="Y2777" s="40" t="s">
        <v>115</v>
      </c>
      <c r="Z2777" s="40" t="s">
        <v>115</v>
      </c>
      <c r="AA2777" s="40" t="s">
        <v>115</v>
      </c>
      <c r="AB2777" s="40" t="s">
        <v>115</v>
      </c>
      <c r="AC2777" s="40" t="s">
        <v>115</v>
      </c>
      <c r="AI2777" s="40" t="s">
        <v>115</v>
      </c>
      <c r="AP2777" s="4" t="s">
        <v>115</v>
      </c>
    </row>
    <row r="2778" spans="1:42" x14ac:dyDescent="0.15">
      <c r="A2778" s="40" t="s">
        <v>1</v>
      </c>
      <c r="B2778" s="23">
        <v>90230615</v>
      </c>
      <c r="C2778" s="23">
        <v>2306</v>
      </c>
      <c r="D2778" s="23">
        <v>23</v>
      </c>
      <c r="F2778" s="23" t="s">
        <v>1026</v>
      </c>
      <c r="G2778" s="23" t="s">
        <v>115</v>
      </c>
      <c r="H2778" s="23" t="s">
        <v>5387</v>
      </c>
      <c r="I2778" s="23">
        <v>3</v>
      </c>
      <c r="J2778" s="40">
        <v>0</v>
      </c>
      <c r="K2778" s="40">
        <v>0</v>
      </c>
      <c r="L2778" s="40" t="s">
        <v>115</v>
      </c>
      <c r="O2778" s="40" t="s">
        <v>115</v>
      </c>
      <c r="Q2778" s="40">
        <v>118</v>
      </c>
      <c r="R2778" s="40">
        <v>19</v>
      </c>
      <c r="X2778" s="40">
        <v>90230616</v>
      </c>
      <c r="Y2778" s="40" t="s">
        <v>115</v>
      </c>
      <c r="Z2778" s="40" t="s">
        <v>115</v>
      </c>
      <c r="AA2778" s="40" t="s">
        <v>115</v>
      </c>
      <c r="AB2778" s="40" t="s">
        <v>115</v>
      </c>
      <c r="AC2778" s="40" t="s">
        <v>115</v>
      </c>
      <c r="AI2778" s="40" t="s">
        <v>115</v>
      </c>
      <c r="AP2778" s="4" t="s">
        <v>115</v>
      </c>
    </row>
    <row r="2779" spans="1:42" x14ac:dyDescent="0.15">
      <c r="A2779" s="40" t="s">
        <v>1</v>
      </c>
      <c r="B2779" s="23">
        <v>90230616</v>
      </c>
      <c r="C2779" s="23">
        <v>2306</v>
      </c>
      <c r="D2779" s="23">
        <v>23</v>
      </c>
      <c r="F2779" s="23" t="s">
        <v>116</v>
      </c>
      <c r="G2779" s="23">
        <v>312</v>
      </c>
      <c r="H2779" s="23" t="s">
        <v>5388</v>
      </c>
      <c r="I2779" s="23">
        <v>0</v>
      </c>
      <c r="J2779" s="40">
        <v>0</v>
      </c>
      <c r="K2779" s="40">
        <v>5</v>
      </c>
      <c r="L2779" s="40" t="s">
        <v>5389</v>
      </c>
      <c r="O2779" s="40">
        <v>1</v>
      </c>
      <c r="Q2779" s="40">
        <v>118</v>
      </c>
      <c r="R2779" s="40">
        <v>19</v>
      </c>
      <c r="X2779" s="40" t="s">
        <v>115</v>
      </c>
      <c r="Y2779" s="40" t="s">
        <v>115</v>
      </c>
      <c r="Z2779" s="40">
        <v>4</v>
      </c>
      <c r="AA2779" s="40" t="s">
        <v>115</v>
      </c>
      <c r="AB2779" s="40" t="s">
        <v>115</v>
      </c>
      <c r="AC2779" s="40" t="s">
        <v>115</v>
      </c>
      <c r="AI2779" s="40" t="s">
        <v>115</v>
      </c>
      <c r="AP2779" s="4" t="s">
        <v>115</v>
      </c>
    </row>
    <row r="2780" spans="1:42" x14ac:dyDescent="0.15">
      <c r="A2780" s="40" t="s">
        <v>1</v>
      </c>
      <c r="B2780" s="23" t="s">
        <v>4857</v>
      </c>
      <c r="C2780" s="23">
        <v>2307</v>
      </c>
      <c r="D2780" s="23">
        <v>23</v>
      </c>
      <c r="F2780" s="23" t="s">
        <v>115</v>
      </c>
      <c r="G2780" s="23" t="s">
        <v>115</v>
      </c>
      <c r="H2780" s="23" t="s">
        <v>5390</v>
      </c>
      <c r="I2780" s="23">
        <v>4</v>
      </c>
      <c r="J2780" s="40">
        <v>1</v>
      </c>
      <c r="K2780" s="40">
        <v>1</v>
      </c>
      <c r="L2780" s="40" t="s">
        <v>115</v>
      </c>
      <c r="O2780" s="40" t="s">
        <v>115</v>
      </c>
      <c r="Q2780" s="40">
        <v>192</v>
      </c>
      <c r="R2780" s="40" t="s">
        <v>115</v>
      </c>
      <c r="X2780" s="40">
        <v>90230702</v>
      </c>
      <c r="Y2780" s="40" t="s">
        <v>115</v>
      </c>
      <c r="Z2780" s="40" t="s">
        <v>115</v>
      </c>
      <c r="AA2780" s="40" t="s">
        <v>115</v>
      </c>
      <c r="AB2780" s="40" t="s">
        <v>115</v>
      </c>
      <c r="AC2780" s="40" t="s">
        <v>115</v>
      </c>
      <c r="AI2780" s="40" t="s">
        <v>115</v>
      </c>
      <c r="AP2780" s="4" t="s">
        <v>115</v>
      </c>
    </row>
    <row r="2781" spans="1:42" x14ac:dyDescent="0.15">
      <c r="A2781" s="40" t="s">
        <v>1</v>
      </c>
      <c r="B2781" s="23">
        <v>90230702</v>
      </c>
      <c r="C2781" s="23">
        <v>2307</v>
      </c>
      <c r="D2781" s="23">
        <v>23</v>
      </c>
      <c r="F2781" s="23" t="s">
        <v>116</v>
      </c>
      <c r="G2781" s="23">
        <v>312</v>
      </c>
      <c r="H2781" s="23" t="s">
        <v>5391</v>
      </c>
      <c r="I2781" s="23">
        <v>0</v>
      </c>
      <c r="J2781" s="40">
        <v>0</v>
      </c>
      <c r="K2781" s="40">
        <v>0</v>
      </c>
      <c r="L2781" s="40" t="s">
        <v>115</v>
      </c>
      <c r="O2781" s="40" t="s">
        <v>115</v>
      </c>
      <c r="Q2781" s="40">
        <v>192</v>
      </c>
      <c r="R2781" s="40">
        <v>285</v>
      </c>
      <c r="X2781" s="40">
        <v>90230703</v>
      </c>
      <c r="Y2781" s="40" t="s">
        <v>115</v>
      </c>
      <c r="Z2781" s="40" t="s">
        <v>115</v>
      </c>
      <c r="AA2781" s="40" t="s">
        <v>115</v>
      </c>
      <c r="AB2781" s="40" t="s">
        <v>115</v>
      </c>
      <c r="AC2781" s="40" t="s">
        <v>115</v>
      </c>
      <c r="AI2781" s="40" t="s">
        <v>115</v>
      </c>
      <c r="AP2781" s="4" t="s">
        <v>115</v>
      </c>
    </row>
    <row r="2782" spans="1:42" x14ac:dyDescent="0.15">
      <c r="A2782" s="40" t="s">
        <v>1</v>
      </c>
      <c r="B2782" s="23">
        <v>90230703</v>
      </c>
      <c r="C2782" s="23">
        <v>2307</v>
      </c>
      <c r="D2782" s="23">
        <v>23</v>
      </c>
      <c r="F2782" s="23" t="s">
        <v>5296</v>
      </c>
      <c r="G2782" s="23" t="s">
        <v>115</v>
      </c>
      <c r="H2782" s="23" t="s">
        <v>5392</v>
      </c>
      <c r="I2782" s="23">
        <v>3</v>
      </c>
      <c r="J2782" s="40">
        <v>0</v>
      </c>
      <c r="K2782" s="40">
        <v>0</v>
      </c>
      <c r="L2782" s="40" t="s">
        <v>115</v>
      </c>
      <c r="O2782" s="40" t="s">
        <v>115</v>
      </c>
      <c r="Q2782" s="40">
        <v>192</v>
      </c>
      <c r="R2782" s="40">
        <v>285</v>
      </c>
      <c r="X2782" s="40">
        <v>90230704</v>
      </c>
      <c r="Y2782" s="40" t="s">
        <v>115</v>
      </c>
      <c r="Z2782" s="40" t="s">
        <v>115</v>
      </c>
      <c r="AA2782" s="40" t="s">
        <v>115</v>
      </c>
      <c r="AB2782" s="40" t="s">
        <v>115</v>
      </c>
      <c r="AC2782" s="40" t="s">
        <v>115</v>
      </c>
      <c r="AI2782" s="40" t="s">
        <v>115</v>
      </c>
      <c r="AP2782" s="4" t="s">
        <v>115</v>
      </c>
    </row>
    <row r="2783" spans="1:42" x14ac:dyDescent="0.15">
      <c r="A2783" s="40" t="s">
        <v>1</v>
      </c>
      <c r="B2783" s="23">
        <v>90230704</v>
      </c>
      <c r="C2783" s="23">
        <v>2307</v>
      </c>
      <c r="D2783" s="23">
        <v>23</v>
      </c>
      <c r="F2783" s="23" t="s">
        <v>115</v>
      </c>
      <c r="G2783" s="23" t="s">
        <v>115</v>
      </c>
      <c r="H2783" s="23" t="s">
        <v>5393</v>
      </c>
      <c r="I2783" s="23">
        <v>4</v>
      </c>
      <c r="J2783" s="40">
        <v>0</v>
      </c>
      <c r="K2783" s="40">
        <v>2</v>
      </c>
      <c r="L2783" s="40" t="s">
        <v>115</v>
      </c>
      <c r="O2783" s="40" t="s">
        <v>115</v>
      </c>
      <c r="Q2783" s="40">
        <v>192</v>
      </c>
      <c r="R2783" s="40">
        <v>285</v>
      </c>
      <c r="X2783" s="40" t="s">
        <v>5394</v>
      </c>
      <c r="Y2783" s="40">
        <v>1</v>
      </c>
      <c r="Z2783" s="40">
        <v>1</v>
      </c>
      <c r="AA2783" s="40" t="s">
        <v>115</v>
      </c>
      <c r="AB2783" s="40" t="s">
        <v>115</v>
      </c>
      <c r="AC2783" s="40" t="s">
        <v>115</v>
      </c>
      <c r="AI2783" s="40" t="s">
        <v>115</v>
      </c>
      <c r="AP2783" s="4" t="s">
        <v>115</v>
      </c>
    </row>
    <row r="2784" spans="1:42" x14ac:dyDescent="0.15">
      <c r="A2784" s="40" t="s">
        <v>1</v>
      </c>
      <c r="B2784" s="23">
        <v>90230705</v>
      </c>
      <c r="C2784" s="23">
        <v>2307</v>
      </c>
      <c r="D2784" s="23">
        <v>23</v>
      </c>
      <c r="F2784" s="23" t="s">
        <v>115</v>
      </c>
      <c r="G2784" s="23" t="s">
        <v>115</v>
      </c>
      <c r="H2784" s="23" t="s">
        <v>5395</v>
      </c>
      <c r="I2784" s="23">
        <v>4</v>
      </c>
      <c r="J2784" s="40">
        <v>0</v>
      </c>
      <c r="K2784" s="40">
        <v>3</v>
      </c>
      <c r="L2784" s="40" t="s">
        <v>115</v>
      </c>
      <c r="O2784" s="40" t="s">
        <v>115</v>
      </c>
      <c r="Q2784" s="40">
        <v>192</v>
      </c>
      <c r="R2784" s="40">
        <v>285</v>
      </c>
      <c r="X2784" s="40">
        <v>90230707</v>
      </c>
      <c r="Y2784" s="40">
        <v>-1</v>
      </c>
      <c r="Z2784" s="40">
        <v>2</v>
      </c>
      <c r="AA2784" s="40" t="s">
        <v>115</v>
      </c>
      <c r="AB2784" s="40" t="s">
        <v>5396</v>
      </c>
      <c r="AC2784" s="40" t="s">
        <v>115</v>
      </c>
      <c r="AI2784" s="40" t="s">
        <v>115</v>
      </c>
      <c r="AP2784" s="4" t="s">
        <v>115</v>
      </c>
    </row>
    <row r="2785" spans="1:42" x14ac:dyDescent="0.15">
      <c r="A2785" s="40" t="s">
        <v>1</v>
      </c>
      <c r="B2785" s="23">
        <v>90230706</v>
      </c>
      <c r="C2785" s="23">
        <v>2307</v>
      </c>
      <c r="D2785" s="23">
        <v>23</v>
      </c>
      <c r="F2785" s="23" t="s">
        <v>115</v>
      </c>
      <c r="G2785" s="23" t="s">
        <v>115</v>
      </c>
      <c r="H2785" s="23" t="s">
        <v>5397</v>
      </c>
      <c r="I2785" s="23">
        <v>4</v>
      </c>
      <c r="J2785" s="40">
        <v>0</v>
      </c>
      <c r="K2785" s="40">
        <v>4</v>
      </c>
      <c r="L2785" s="40" t="s">
        <v>115</v>
      </c>
      <c r="O2785" s="40" t="s">
        <v>115</v>
      </c>
      <c r="Q2785" s="40">
        <v>192</v>
      </c>
      <c r="R2785" s="40">
        <v>285</v>
      </c>
      <c r="X2785" s="40">
        <v>90230716</v>
      </c>
      <c r="Y2785" s="40">
        <v>-1</v>
      </c>
      <c r="Z2785" s="40">
        <v>2</v>
      </c>
      <c r="AA2785" s="40" t="s">
        <v>115</v>
      </c>
      <c r="AB2785" s="40" t="s">
        <v>115</v>
      </c>
      <c r="AC2785" s="40" t="s">
        <v>115</v>
      </c>
      <c r="AI2785" s="40" t="s">
        <v>115</v>
      </c>
      <c r="AP2785" s="4" t="s">
        <v>115</v>
      </c>
    </row>
    <row r="2786" spans="1:42" x14ac:dyDescent="0.15">
      <c r="A2786" s="40" t="s">
        <v>1</v>
      </c>
      <c r="B2786" s="23">
        <v>90230707</v>
      </c>
      <c r="C2786" s="23">
        <v>2307</v>
      </c>
      <c r="D2786" s="23">
        <v>23</v>
      </c>
      <c r="F2786" s="23" t="s">
        <v>115</v>
      </c>
      <c r="G2786" s="23" t="s">
        <v>115</v>
      </c>
      <c r="H2786" s="23" t="s">
        <v>5398</v>
      </c>
      <c r="I2786" s="23">
        <v>4</v>
      </c>
      <c r="J2786" s="40">
        <v>0</v>
      </c>
      <c r="K2786" s="40">
        <v>0</v>
      </c>
      <c r="L2786" s="40" t="s">
        <v>115</v>
      </c>
      <c r="O2786" s="40" t="s">
        <v>115</v>
      </c>
      <c r="Q2786" s="40">
        <v>192</v>
      </c>
      <c r="R2786" s="40">
        <v>17</v>
      </c>
      <c r="X2786" s="40">
        <v>90230708</v>
      </c>
      <c r="Y2786" s="40" t="s">
        <v>115</v>
      </c>
      <c r="Z2786" s="40" t="s">
        <v>115</v>
      </c>
      <c r="AA2786" s="40" t="s">
        <v>115</v>
      </c>
      <c r="AB2786" s="40" t="s">
        <v>115</v>
      </c>
      <c r="AC2786" s="40" t="s">
        <v>115</v>
      </c>
      <c r="AI2786" s="40" t="s">
        <v>115</v>
      </c>
      <c r="AP2786" s="4" t="s">
        <v>115</v>
      </c>
    </row>
    <row r="2787" spans="1:42" x14ac:dyDescent="0.15">
      <c r="A2787" s="40" t="s">
        <v>1</v>
      </c>
      <c r="B2787" s="23">
        <v>90230708</v>
      </c>
      <c r="C2787" s="23">
        <v>2307</v>
      </c>
      <c r="D2787" s="23">
        <v>23</v>
      </c>
      <c r="F2787" s="23" t="s">
        <v>629</v>
      </c>
      <c r="G2787" s="23" t="s">
        <v>115</v>
      </c>
      <c r="H2787" s="23" t="s">
        <v>5399</v>
      </c>
      <c r="I2787" s="23">
        <v>3</v>
      </c>
      <c r="J2787" s="40">
        <v>0</v>
      </c>
      <c r="K2787" s="40">
        <v>0</v>
      </c>
      <c r="L2787" s="40" t="s">
        <v>115</v>
      </c>
      <c r="O2787" s="40" t="s">
        <v>115</v>
      </c>
      <c r="Q2787" s="40">
        <v>192</v>
      </c>
      <c r="R2787" s="40">
        <v>17</v>
      </c>
      <c r="X2787" s="40">
        <v>90230709</v>
      </c>
      <c r="Y2787" s="40" t="s">
        <v>115</v>
      </c>
      <c r="Z2787" s="40" t="s">
        <v>115</v>
      </c>
      <c r="AA2787" s="40" t="s">
        <v>115</v>
      </c>
      <c r="AB2787" s="40" t="s">
        <v>115</v>
      </c>
      <c r="AC2787" s="40" t="s">
        <v>115</v>
      </c>
      <c r="AI2787" s="40" t="s">
        <v>115</v>
      </c>
      <c r="AP2787" s="4" t="s">
        <v>115</v>
      </c>
    </row>
    <row r="2788" spans="1:42" x14ac:dyDescent="0.15">
      <c r="A2788" s="40" t="s">
        <v>1</v>
      </c>
      <c r="B2788" s="23">
        <v>90230709</v>
      </c>
      <c r="C2788" s="23">
        <v>2307</v>
      </c>
      <c r="D2788" s="23">
        <v>23</v>
      </c>
      <c r="F2788" s="23" t="s">
        <v>115</v>
      </c>
      <c r="G2788" s="23" t="s">
        <v>115</v>
      </c>
      <c r="H2788" s="23" t="s">
        <v>5400</v>
      </c>
      <c r="I2788" s="23">
        <v>4</v>
      </c>
      <c r="J2788" s="40">
        <v>0</v>
      </c>
      <c r="K2788" s="40">
        <v>0</v>
      </c>
      <c r="L2788" s="40" t="s">
        <v>115</v>
      </c>
      <c r="O2788" s="40" t="s">
        <v>115</v>
      </c>
      <c r="Q2788" s="40">
        <v>192</v>
      </c>
      <c r="R2788" s="40">
        <v>17</v>
      </c>
      <c r="X2788" s="40">
        <v>90230710</v>
      </c>
      <c r="Y2788" s="40" t="s">
        <v>115</v>
      </c>
      <c r="Z2788" s="40" t="s">
        <v>115</v>
      </c>
      <c r="AA2788" s="40" t="s">
        <v>115</v>
      </c>
      <c r="AB2788" s="40" t="s">
        <v>115</v>
      </c>
      <c r="AC2788" s="40" t="s">
        <v>115</v>
      </c>
      <c r="AI2788" s="40" t="s">
        <v>115</v>
      </c>
      <c r="AP2788" s="4" t="s">
        <v>115</v>
      </c>
    </row>
    <row r="2789" spans="1:42" x14ac:dyDescent="0.15">
      <c r="A2789" s="40" t="s">
        <v>1</v>
      </c>
      <c r="B2789" s="23">
        <v>90230710</v>
      </c>
      <c r="C2789" s="23">
        <v>2307</v>
      </c>
      <c r="D2789" s="23">
        <v>23</v>
      </c>
      <c r="F2789" s="23" t="s">
        <v>629</v>
      </c>
      <c r="G2789" s="23" t="s">
        <v>115</v>
      </c>
      <c r="H2789" s="23" t="s">
        <v>5401</v>
      </c>
      <c r="I2789" s="23">
        <v>3</v>
      </c>
      <c r="J2789" s="40">
        <v>0</v>
      </c>
      <c r="K2789" s="40">
        <v>0</v>
      </c>
      <c r="L2789" s="40" t="s">
        <v>115</v>
      </c>
      <c r="O2789" s="40" t="s">
        <v>115</v>
      </c>
      <c r="Q2789" s="40">
        <v>192</v>
      </c>
      <c r="R2789" s="40">
        <v>17</v>
      </c>
      <c r="X2789" s="40">
        <v>90230711</v>
      </c>
      <c r="Y2789" s="40" t="s">
        <v>115</v>
      </c>
      <c r="Z2789" s="40" t="s">
        <v>115</v>
      </c>
      <c r="AA2789" s="40" t="s">
        <v>115</v>
      </c>
      <c r="AB2789" s="40" t="s">
        <v>115</v>
      </c>
      <c r="AC2789" s="40" t="s">
        <v>115</v>
      </c>
      <c r="AI2789" s="40" t="s">
        <v>115</v>
      </c>
      <c r="AP2789" s="4" t="s">
        <v>115</v>
      </c>
    </row>
    <row r="2790" spans="1:42" x14ac:dyDescent="0.15">
      <c r="A2790" s="40" t="s">
        <v>1</v>
      </c>
      <c r="B2790" s="23">
        <v>90230711</v>
      </c>
      <c r="C2790" s="23">
        <v>2307</v>
      </c>
      <c r="D2790" s="23">
        <v>23</v>
      </c>
      <c r="F2790" s="23" t="s">
        <v>116</v>
      </c>
      <c r="G2790" s="23">
        <v>308</v>
      </c>
      <c r="H2790" s="23" t="s">
        <v>5402</v>
      </c>
      <c r="I2790" s="23">
        <v>0</v>
      </c>
      <c r="J2790" s="40">
        <v>0</v>
      </c>
      <c r="K2790" s="40">
        <v>0</v>
      </c>
      <c r="L2790" s="40" t="s">
        <v>115</v>
      </c>
      <c r="O2790" s="40" t="s">
        <v>115</v>
      </c>
      <c r="Q2790" s="40">
        <v>192</v>
      </c>
      <c r="R2790" s="40">
        <v>17</v>
      </c>
      <c r="X2790" s="40">
        <v>90230712</v>
      </c>
      <c r="Y2790" s="40" t="s">
        <v>115</v>
      </c>
      <c r="Z2790" s="40" t="s">
        <v>115</v>
      </c>
      <c r="AA2790" s="40" t="s">
        <v>115</v>
      </c>
      <c r="AB2790" s="40" t="s">
        <v>115</v>
      </c>
      <c r="AC2790" s="40" t="s">
        <v>115</v>
      </c>
      <c r="AI2790" s="40" t="s">
        <v>115</v>
      </c>
      <c r="AP2790" s="4" t="s">
        <v>115</v>
      </c>
    </row>
    <row r="2791" spans="1:42" x14ac:dyDescent="0.15">
      <c r="A2791" s="40" t="s">
        <v>1</v>
      </c>
      <c r="B2791" s="23">
        <v>90230712</v>
      </c>
      <c r="C2791" s="23">
        <v>2307</v>
      </c>
      <c r="D2791" s="23">
        <v>23</v>
      </c>
      <c r="F2791" s="23" t="s">
        <v>629</v>
      </c>
      <c r="G2791" s="23" t="s">
        <v>115</v>
      </c>
      <c r="H2791" s="23" t="s">
        <v>5403</v>
      </c>
      <c r="I2791" s="23">
        <v>3</v>
      </c>
      <c r="J2791" s="40">
        <v>0</v>
      </c>
      <c r="K2791" s="40">
        <v>0</v>
      </c>
      <c r="L2791" s="40" t="s">
        <v>115</v>
      </c>
      <c r="O2791" s="40" t="s">
        <v>115</v>
      </c>
      <c r="Q2791" s="40">
        <v>192</v>
      </c>
      <c r="R2791" s="40">
        <v>17</v>
      </c>
      <c r="X2791" s="40">
        <v>90230713</v>
      </c>
      <c r="Y2791" s="40" t="s">
        <v>115</v>
      </c>
      <c r="Z2791" s="40" t="s">
        <v>115</v>
      </c>
      <c r="AA2791" s="40" t="s">
        <v>115</v>
      </c>
      <c r="AB2791" s="40" t="s">
        <v>115</v>
      </c>
      <c r="AC2791" s="40" t="s">
        <v>115</v>
      </c>
      <c r="AI2791" s="40" t="s">
        <v>115</v>
      </c>
      <c r="AP2791" s="4" t="s">
        <v>115</v>
      </c>
    </row>
    <row r="2792" spans="1:42" x14ac:dyDescent="0.15">
      <c r="A2792" s="40" t="s">
        <v>1</v>
      </c>
      <c r="B2792" s="23">
        <v>90230713</v>
      </c>
      <c r="C2792" s="23">
        <v>2307</v>
      </c>
      <c r="D2792" s="23">
        <v>23</v>
      </c>
      <c r="F2792" s="23" t="s">
        <v>116</v>
      </c>
      <c r="G2792" s="23">
        <v>313</v>
      </c>
      <c r="H2792" s="23" t="s">
        <v>5404</v>
      </c>
      <c r="I2792" s="23">
        <v>0</v>
      </c>
      <c r="J2792" s="40">
        <v>0</v>
      </c>
      <c r="K2792" s="40">
        <v>0</v>
      </c>
      <c r="L2792" s="40" t="s">
        <v>115</v>
      </c>
      <c r="O2792" s="40" t="s">
        <v>115</v>
      </c>
      <c r="Q2792" s="40">
        <v>192</v>
      </c>
      <c r="R2792" s="40">
        <v>17</v>
      </c>
      <c r="X2792" s="40">
        <v>90230714</v>
      </c>
      <c r="Y2792" s="40" t="s">
        <v>115</v>
      </c>
      <c r="Z2792" s="40" t="s">
        <v>115</v>
      </c>
      <c r="AA2792" s="40" t="s">
        <v>115</v>
      </c>
      <c r="AB2792" s="40" t="s">
        <v>115</v>
      </c>
      <c r="AC2792" s="40" t="s">
        <v>115</v>
      </c>
      <c r="AI2792" s="40" t="s">
        <v>115</v>
      </c>
      <c r="AP2792" s="4" t="s">
        <v>115</v>
      </c>
    </row>
    <row r="2793" spans="1:42" x14ac:dyDescent="0.15">
      <c r="A2793" s="40" t="s">
        <v>1</v>
      </c>
      <c r="B2793" s="23">
        <v>90230714</v>
      </c>
      <c r="C2793" s="23">
        <v>2307</v>
      </c>
      <c r="D2793" s="23">
        <v>23</v>
      </c>
      <c r="F2793" s="23" t="s">
        <v>629</v>
      </c>
      <c r="G2793" s="23" t="s">
        <v>115</v>
      </c>
      <c r="H2793" s="23" t="s">
        <v>5405</v>
      </c>
      <c r="I2793" s="23">
        <v>3</v>
      </c>
      <c r="J2793" s="40">
        <v>0</v>
      </c>
      <c r="K2793" s="40">
        <v>0</v>
      </c>
      <c r="L2793" s="40" t="s">
        <v>115</v>
      </c>
      <c r="O2793" s="40" t="s">
        <v>115</v>
      </c>
      <c r="Q2793" s="40">
        <v>192</v>
      </c>
      <c r="R2793" s="40">
        <v>17</v>
      </c>
      <c r="X2793" s="40">
        <v>90230715</v>
      </c>
      <c r="Y2793" s="40" t="s">
        <v>115</v>
      </c>
      <c r="Z2793" s="40" t="s">
        <v>115</v>
      </c>
      <c r="AA2793" s="40" t="s">
        <v>115</v>
      </c>
      <c r="AB2793" s="40" t="s">
        <v>115</v>
      </c>
      <c r="AC2793" s="40" t="s">
        <v>115</v>
      </c>
      <c r="AI2793" s="40" t="s">
        <v>115</v>
      </c>
      <c r="AP2793" s="4" t="s">
        <v>115</v>
      </c>
    </row>
    <row r="2794" spans="1:42" x14ac:dyDescent="0.15">
      <c r="A2794" s="40" t="s">
        <v>1</v>
      </c>
      <c r="B2794" s="23">
        <v>90230715</v>
      </c>
      <c r="C2794" s="23">
        <v>2307</v>
      </c>
      <c r="D2794" s="23">
        <v>23</v>
      </c>
      <c r="F2794" s="23" t="s">
        <v>116</v>
      </c>
      <c r="G2794" s="23">
        <v>312</v>
      </c>
      <c r="H2794" s="23" t="s">
        <v>5406</v>
      </c>
      <c r="I2794" s="23">
        <v>2</v>
      </c>
      <c r="J2794" s="40">
        <v>0</v>
      </c>
      <c r="K2794" s="40">
        <v>5</v>
      </c>
      <c r="L2794" s="40" t="s">
        <v>115</v>
      </c>
      <c r="O2794" s="40">
        <v>1</v>
      </c>
      <c r="Q2794" s="40">
        <v>192</v>
      </c>
      <c r="R2794" s="40">
        <v>17</v>
      </c>
      <c r="X2794" s="40" t="s">
        <v>115</v>
      </c>
      <c r="Y2794" s="40" t="s">
        <v>115</v>
      </c>
      <c r="Z2794" s="40">
        <v>4</v>
      </c>
      <c r="AA2794" s="40" t="s">
        <v>115</v>
      </c>
      <c r="AB2794" s="40" t="s">
        <v>115</v>
      </c>
      <c r="AC2794" s="40" t="s">
        <v>115</v>
      </c>
      <c r="AI2794" s="40" t="s">
        <v>115</v>
      </c>
      <c r="AP2794" s="4" t="s">
        <v>5407</v>
      </c>
    </row>
    <row r="2795" spans="1:42" x14ac:dyDescent="0.15">
      <c r="A2795" s="40" t="s">
        <v>1</v>
      </c>
      <c r="B2795" s="23">
        <v>90230716</v>
      </c>
      <c r="C2795" s="23">
        <v>2307</v>
      </c>
      <c r="D2795" s="23">
        <v>23</v>
      </c>
      <c r="F2795" s="23" t="s">
        <v>116</v>
      </c>
      <c r="G2795" s="23">
        <v>312</v>
      </c>
      <c r="H2795" s="23" t="s">
        <v>5408</v>
      </c>
      <c r="I2795" s="23">
        <v>0</v>
      </c>
      <c r="J2795" s="40">
        <v>0</v>
      </c>
      <c r="K2795" s="40">
        <v>0</v>
      </c>
      <c r="L2795" s="40" t="s">
        <v>115</v>
      </c>
      <c r="O2795" s="40" t="s">
        <v>115</v>
      </c>
      <c r="Q2795" s="40">
        <v>192</v>
      </c>
      <c r="R2795" s="40">
        <v>285</v>
      </c>
      <c r="X2795" s="40">
        <v>90230704</v>
      </c>
      <c r="Y2795" s="40" t="s">
        <v>115</v>
      </c>
      <c r="Z2795" s="40" t="s">
        <v>115</v>
      </c>
      <c r="AA2795" s="40" t="s">
        <v>115</v>
      </c>
      <c r="AB2795" s="40" t="s">
        <v>115</v>
      </c>
      <c r="AC2795" s="40" t="s">
        <v>115</v>
      </c>
      <c r="AI2795" s="40" t="s">
        <v>115</v>
      </c>
      <c r="AP2795" s="4" t="s">
        <v>115</v>
      </c>
    </row>
    <row r="2796" spans="1:42" x14ac:dyDescent="0.15">
      <c r="A2796" s="40" t="s">
        <v>1</v>
      </c>
      <c r="B2796" s="23" t="s">
        <v>4858</v>
      </c>
      <c r="C2796" s="23">
        <v>2308</v>
      </c>
      <c r="D2796" s="23">
        <v>23</v>
      </c>
      <c r="F2796" s="23" t="s">
        <v>115</v>
      </c>
      <c r="G2796" s="23" t="s">
        <v>115</v>
      </c>
      <c r="H2796" s="23" t="s">
        <v>5409</v>
      </c>
      <c r="I2796" s="23">
        <v>4</v>
      </c>
      <c r="J2796" s="40">
        <v>1</v>
      </c>
      <c r="K2796" s="40">
        <v>1</v>
      </c>
      <c r="L2796" s="40" t="s">
        <v>115</v>
      </c>
      <c r="O2796" s="40" t="s">
        <v>115</v>
      </c>
      <c r="Q2796" s="40">
        <v>172</v>
      </c>
      <c r="R2796" s="40" t="s">
        <v>115</v>
      </c>
      <c r="X2796" s="40">
        <v>90230802</v>
      </c>
      <c r="Y2796" s="40" t="s">
        <v>115</v>
      </c>
      <c r="Z2796" s="40" t="s">
        <v>115</v>
      </c>
      <c r="AA2796" s="40" t="s">
        <v>115</v>
      </c>
      <c r="AB2796" s="40" t="s">
        <v>115</v>
      </c>
      <c r="AC2796" s="40" t="s">
        <v>115</v>
      </c>
      <c r="AI2796" s="40" t="s">
        <v>115</v>
      </c>
      <c r="AP2796" s="4" t="s">
        <v>115</v>
      </c>
    </row>
    <row r="2797" spans="1:42" x14ac:dyDescent="0.15">
      <c r="A2797" s="40" t="s">
        <v>1</v>
      </c>
      <c r="B2797" s="23">
        <v>90230802</v>
      </c>
      <c r="C2797" s="23">
        <v>2308</v>
      </c>
      <c r="D2797" s="23">
        <v>23</v>
      </c>
      <c r="F2797" s="23" t="s">
        <v>115</v>
      </c>
      <c r="G2797" s="23" t="s">
        <v>115</v>
      </c>
      <c r="H2797" s="23" t="s">
        <v>5410</v>
      </c>
      <c r="I2797" s="23">
        <v>4</v>
      </c>
      <c r="J2797" s="40">
        <v>0</v>
      </c>
      <c r="K2797" s="40">
        <v>0</v>
      </c>
      <c r="L2797" s="40" t="s">
        <v>115</v>
      </c>
      <c r="O2797" s="40" t="s">
        <v>115</v>
      </c>
      <c r="Q2797" s="40">
        <v>172</v>
      </c>
      <c r="R2797" s="40" t="s">
        <v>115</v>
      </c>
      <c r="X2797" s="40">
        <v>90230803</v>
      </c>
      <c r="Y2797" s="40" t="s">
        <v>115</v>
      </c>
      <c r="Z2797" s="40" t="s">
        <v>115</v>
      </c>
      <c r="AA2797" s="40" t="s">
        <v>115</v>
      </c>
      <c r="AB2797" s="40" t="s">
        <v>115</v>
      </c>
      <c r="AC2797" s="40" t="s">
        <v>115</v>
      </c>
      <c r="AI2797" s="40" t="s">
        <v>115</v>
      </c>
      <c r="AP2797" s="4" t="s">
        <v>115</v>
      </c>
    </row>
    <row r="2798" spans="1:42" x14ac:dyDescent="0.15">
      <c r="A2798" s="40" t="s">
        <v>1</v>
      </c>
      <c r="B2798" s="23">
        <v>90230803</v>
      </c>
      <c r="C2798" s="23">
        <v>2308</v>
      </c>
      <c r="D2798" s="23">
        <v>23</v>
      </c>
      <c r="F2798" s="23" t="s">
        <v>115</v>
      </c>
      <c r="G2798" s="23" t="s">
        <v>115</v>
      </c>
      <c r="H2798" s="23" t="s">
        <v>5411</v>
      </c>
      <c r="I2798" s="23">
        <v>4</v>
      </c>
      <c r="J2798" s="40">
        <v>0</v>
      </c>
      <c r="K2798" s="40">
        <v>2</v>
      </c>
      <c r="L2798" s="40" t="s">
        <v>115</v>
      </c>
      <c r="O2798" s="40" t="s">
        <v>115</v>
      </c>
      <c r="Q2798" s="40">
        <v>172</v>
      </c>
      <c r="R2798" s="40" t="s">
        <v>115</v>
      </c>
      <c r="X2798" s="40" t="s">
        <v>5412</v>
      </c>
      <c r="Y2798" s="40">
        <v>1</v>
      </c>
      <c r="Z2798" s="40">
        <v>1</v>
      </c>
      <c r="AA2798" s="40" t="s">
        <v>115</v>
      </c>
      <c r="AB2798" s="40" t="s">
        <v>115</v>
      </c>
      <c r="AC2798" s="40" t="s">
        <v>115</v>
      </c>
      <c r="AI2798" s="40" t="s">
        <v>115</v>
      </c>
      <c r="AP2798" s="4" t="s">
        <v>115</v>
      </c>
    </row>
    <row r="2799" spans="1:42" x14ac:dyDescent="0.15">
      <c r="A2799" s="40" t="s">
        <v>1</v>
      </c>
      <c r="B2799" s="23">
        <v>90230804</v>
      </c>
      <c r="C2799" s="23">
        <v>2308</v>
      </c>
      <c r="D2799" s="23">
        <v>23</v>
      </c>
      <c r="F2799" s="23" t="s">
        <v>115</v>
      </c>
      <c r="G2799" s="23" t="s">
        <v>115</v>
      </c>
      <c r="H2799" s="23" t="s">
        <v>5413</v>
      </c>
      <c r="I2799" s="23">
        <v>4</v>
      </c>
      <c r="J2799" s="40">
        <v>0</v>
      </c>
      <c r="K2799" s="40">
        <v>3</v>
      </c>
      <c r="L2799" s="40" t="s">
        <v>115</v>
      </c>
      <c r="O2799" s="40" t="s">
        <v>115</v>
      </c>
      <c r="Q2799" s="40">
        <v>172</v>
      </c>
      <c r="R2799" s="40" t="s">
        <v>115</v>
      </c>
      <c r="X2799" s="40">
        <v>90230805</v>
      </c>
      <c r="Y2799" s="40">
        <v>-1</v>
      </c>
      <c r="Z2799" s="40">
        <v>2</v>
      </c>
      <c r="AA2799" s="40" t="s">
        <v>115</v>
      </c>
      <c r="AB2799" s="40" t="s">
        <v>115</v>
      </c>
      <c r="AC2799" s="40" t="s">
        <v>5414</v>
      </c>
      <c r="AI2799" s="40" t="s">
        <v>115</v>
      </c>
      <c r="AP2799" s="4" t="s">
        <v>115</v>
      </c>
    </row>
    <row r="2800" spans="1:42" x14ac:dyDescent="0.15">
      <c r="A2800" s="40" t="s">
        <v>1</v>
      </c>
      <c r="B2800" s="23">
        <v>90230805</v>
      </c>
      <c r="C2800" s="23">
        <v>2308</v>
      </c>
      <c r="D2800" s="23">
        <v>23</v>
      </c>
      <c r="F2800" s="23" t="s">
        <v>5415</v>
      </c>
      <c r="G2800" s="23" t="s">
        <v>115</v>
      </c>
      <c r="H2800" s="23" t="s">
        <v>5416</v>
      </c>
      <c r="I2800" s="23">
        <v>3</v>
      </c>
      <c r="J2800" s="40">
        <v>0</v>
      </c>
      <c r="K2800" s="40">
        <v>0</v>
      </c>
      <c r="L2800" s="40" t="s">
        <v>115</v>
      </c>
      <c r="O2800" s="40" t="s">
        <v>115</v>
      </c>
      <c r="Q2800" s="40">
        <v>172</v>
      </c>
      <c r="R2800" s="40">
        <v>388</v>
      </c>
      <c r="X2800" s="40">
        <v>90230806</v>
      </c>
      <c r="Y2800" s="40" t="s">
        <v>115</v>
      </c>
      <c r="Z2800" s="40" t="s">
        <v>115</v>
      </c>
      <c r="AA2800" s="40" t="s">
        <v>115</v>
      </c>
      <c r="AB2800" s="40" t="s">
        <v>115</v>
      </c>
      <c r="AC2800" s="40" t="s">
        <v>115</v>
      </c>
      <c r="AI2800" s="40" t="s">
        <v>115</v>
      </c>
      <c r="AP2800" s="4" t="s">
        <v>115</v>
      </c>
    </row>
    <row r="2801" spans="1:42" x14ac:dyDescent="0.15">
      <c r="A2801" s="40" t="s">
        <v>1</v>
      </c>
      <c r="B2801" s="23">
        <v>90230806</v>
      </c>
      <c r="C2801" s="23">
        <v>2308</v>
      </c>
      <c r="D2801" s="23">
        <v>23</v>
      </c>
      <c r="F2801" s="23" t="s">
        <v>115</v>
      </c>
      <c r="G2801" s="23" t="s">
        <v>115</v>
      </c>
      <c r="H2801" s="23" t="s">
        <v>5417</v>
      </c>
      <c r="I2801" s="23">
        <v>4</v>
      </c>
      <c r="J2801" s="40">
        <v>0</v>
      </c>
      <c r="K2801" s="40">
        <v>0</v>
      </c>
      <c r="L2801" s="40" t="s">
        <v>115</v>
      </c>
      <c r="O2801" s="40" t="s">
        <v>115</v>
      </c>
      <c r="Q2801" s="40">
        <v>172</v>
      </c>
      <c r="R2801" s="40">
        <v>388</v>
      </c>
      <c r="X2801" s="40">
        <v>90230807</v>
      </c>
      <c r="Y2801" s="40" t="s">
        <v>115</v>
      </c>
      <c r="Z2801" s="40" t="s">
        <v>115</v>
      </c>
      <c r="AA2801" s="40" t="s">
        <v>115</v>
      </c>
      <c r="AB2801" s="40" t="s">
        <v>115</v>
      </c>
      <c r="AC2801" s="40" t="s">
        <v>115</v>
      </c>
      <c r="AI2801" s="40" t="s">
        <v>115</v>
      </c>
      <c r="AP2801" s="4" t="s">
        <v>115</v>
      </c>
    </row>
    <row r="2802" spans="1:42" x14ac:dyDescent="0.15">
      <c r="A2802" s="40" t="s">
        <v>1</v>
      </c>
      <c r="B2802" s="23">
        <v>90230807</v>
      </c>
      <c r="C2802" s="23">
        <v>2308</v>
      </c>
      <c r="D2802" s="23">
        <v>23</v>
      </c>
      <c r="F2802" s="23" t="s">
        <v>5415</v>
      </c>
      <c r="G2802" s="23" t="s">
        <v>115</v>
      </c>
      <c r="H2802" s="23" t="s">
        <v>5418</v>
      </c>
      <c r="I2802" s="23">
        <v>3</v>
      </c>
      <c r="J2802" s="40">
        <v>0</v>
      </c>
      <c r="K2802" s="40">
        <v>0</v>
      </c>
      <c r="L2802" s="40" t="s">
        <v>115</v>
      </c>
      <c r="O2802" s="40" t="s">
        <v>115</v>
      </c>
      <c r="Q2802" s="40">
        <v>172</v>
      </c>
      <c r="R2802" s="40">
        <v>388</v>
      </c>
      <c r="X2802" s="40">
        <v>90230808</v>
      </c>
      <c r="Y2802" s="40" t="s">
        <v>115</v>
      </c>
      <c r="Z2802" s="40" t="s">
        <v>115</v>
      </c>
      <c r="AA2802" s="40" t="s">
        <v>115</v>
      </c>
      <c r="AB2802" s="40" t="s">
        <v>115</v>
      </c>
      <c r="AC2802" s="40" t="s">
        <v>115</v>
      </c>
      <c r="AI2802" s="40" t="s">
        <v>115</v>
      </c>
      <c r="AP2802" s="4" t="s">
        <v>115</v>
      </c>
    </row>
    <row r="2803" spans="1:42" x14ac:dyDescent="0.15">
      <c r="A2803" s="40" t="s">
        <v>1</v>
      </c>
      <c r="B2803" s="23">
        <v>90230808</v>
      </c>
      <c r="C2803" s="23">
        <v>2308</v>
      </c>
      <c r="D2803" s="23">
        <v>23</v>
      </c>
      <c r="F2803" s="23" t="s">
        <v>116</v>
      </c>
      <c r="G2803" s="23">
        <v>312</v>
      </c>
      <c r="H2803" s="23" t="s">
        <v>7253</v>
      </c>
      <c r="I2803" s="23">
        <v>0</v>
      </c>
      <c r="J2803" s="40">
        <v>0</v>
      </c>
      <c r="K2803" s="40">
        <v>0</v>
      </c>
      <c r="L2803" s="40" t="s">
        <v>115</v>
      </c>
      <c r="O2803" s="40" t="s">
        <v>115</v>
      </c>
      <c r="Q2803" s="40">
        <v>172</v>
      </c>
      <c r="R2803" s="40">
        <v>388</v>
      </c>
      <c r="X2803" s="40">
        <v>90230809</v>
      </c>
      <c r="Y2803" s="40" t="s">
        <v>115</v>
      </c>
      <c r="Z2803" s="40" t="s">
        <v>115</v>
      </c>
      <c r="AA2803" s="40" t="s">
        <v>115</v>
      </c>
      <c r="AB2803" s="40" t="s">
        <v>115</v>
      </c>
      <c r="AC2803" s="40" t="s">
        <v>115</v>
      </c>
      <c r="AI2803" s="40" t="s">
        <v>115</v>
      </c>
      <c r="AP2803" s="4" t="s">
        <v>115</v>
      </c>
    </row>
    <row r="2804" spans="1:42" x14ac:dyDescent="0.15">
      <c r="A2804" s="40" t="s">
        <v>1</v>
      </c>
      <c r="B2804" s="23">
        <v>90230809</v>
      </c>
      <c r="C2804" s="23">
        <v>2308</v>
      </c>
      <c r="D2804" s="23">
        <v>23</v>
      </c>
      <c r="F2804" s="23" t="s">
        <v>5415</v>
      </c>
      <c r="G2804" s="23" t="s">
        <v>115</v>
      </c>
      <c r="H2804" s="23" t="s">
        <v>5419</v>
      </c>
      <c r="I2804" s="23">
        <v>3</v>
      </c>
      <c r="J2804" s="40">
        <v>0</v>
      </c>
      <c r="K2804" s="40">
        <v>0</v>
      </c>
      <c r="L2804" s="40" t="s">
        <v>115</v>
      </c>
      <c r="O2804" s="40" t="s">
        <v>115</v>
      </c>
      <c r="Q2804" s="40">
        <v>172</v>
      </c>
      <c r="R2804" s="40">
        <v>388</v>
      </c>
      <c r="X2804" s="40">
        <v>90230810</v>
      </c>
      <c r="Y2804" s="40" t="s">
        <v>115</v>
      </c>
      <c r="Z2804" s="40" t="s">
        <v>115</v>
      </c>
      <c r="AA2804" s="40" t="s">
        <v>115</v>
      </c>
      <c r="AB2804" s="40" t="s">
        <v>115</v>
      </c>
      <c r="AC2804" s="40" t="s">
        <v>115</v>
      </c>
      <c r="AI2804" s="40" t="s">
        <v>115</v>
      </c>
      <c r="AP2804" s="4" t="s">
        <v>115</v>
      </c>
    </row>
    <row r="2805" spans="1:42" x14ac:dyDescent="0.15">
      <c r="A2805" s="40" t="s">
        <v>1</v>
      </c>
      <c r="B2805" s="23">
        <v>90230810</v>
      </c>
      <c r="C2805" s="23">
        <v>2308</v>
      </c>
      <c r="D2805" s="23">
        <v>23</v>
      </c>
      <c r="F2805" s="23" t="s">
        <v>115</v>
      </c>
      <c r="G2805" s="23" t="s">
        <v>115</v>
      </c>
      <c r="H2805" s="23" t="s">
        <v>5420</v>
      </c>
      <c r="I2805" s="23">
        <v>4</v>
      </c>
      <c r="J2805" s="40">
        <v>0</v>
      </c>
      <c r="K2805" s="40">
        <v>0</v>
      </c>
      <c r="L2805" s="40" t="s">
        <v>115</v>
      </c>
      <c r="O2805" s="40" t="s">
        <v>115</v>
      </c>
      <c r="Q2805" s="40">
        <v>172</v>
      </c>
      <c r="R2805" s="40">
        <v>388</v>
      </c>
      <c r="X2805" s="40">
        <v>90230811</v>
      </c>
      <c r="Y2805" s="40" t="s">
        <v>115</v>
      </c>
      <c r="Z2805" s="40" t="s">
        <v>115</v>
      </c>
      <c r="AA2805" s="40" t="s">
        <v>115</v>
      </c>
      <c r="AB2805" s="40" t="s">
        <v>115</v>
      </c>
      <c r="AC2805" s="40" t="s">
        <v>115</v>
      </c>
      <c r="AI2805" s="40" t="s">
        <v>115</v>
      </c>
      <c r="AP2805" s="4" t="s">
        <v>115</v>
      </c>
    </row>
    <row r="2806" spans="1:42" x14ac:dyDescent="0.15">
      <c r="A2806" s="40" t="s">
        <v>1</v>
      </c>
      <c r="B2806" s="23">
        <v>90230811</v>
      </c>
      <c r="C2806" s="23">
        <v>2308</v>
      </c>
      <c r="D2806" s="23">
        <v>23</v>
      </c>
      <c r="F2806" s="23" t="s">
        <v>5415</v>
      </c>
      <c r="G2806" s="23" t="s">
        <v>115</v>
      </c>
      <c r="H2806" s="23" t="s">
        <v>5421</v>
      </c>
      <c r="I2806" s="23">
        <v>3</v>
      </c>
      <c r="J2806" s="40">
        <v>0</v>
      </c>
      <c r="K2806" s="40">
        <v>0</v>
      </c>
      <c r="L2806" s="40" t="s">
        <v>115</v>
      </c>
      <c r="O2806" s="40" t="s">
        <v>115</v>
      </c>
      <c r="Q2806" s="40">
        <v>172</v>
      </c>
      <c r="R2806" s="40">
        <v>388</v>
      </c>
      <c r="X2806" s="40">
        <v>90230812</v>
      </c>
      <c r="Y2806" s="40" t="s">
        <v>115</v>
      </c>
      <c r="Z2806" s="40" t="s">
        <v>115</v>
      </c>
      <c r="AA2806" s="40" t="s">
        <v>115</v>
      </c>
      <c r="AB2806" s="40" t="s">
        <v>115</v>
      </c>
      <c r="AC2806" s="40" t="s">
        <v>115</v>
      </c>
      <c r="AI2806" s="40" t="s">
        <v>115</v>
      </c>
      <c r="AP2806" s="4" t="s">
        <v>115</v>
      </c>
    </row>
    <row r="2807" spans="1:42" x14ac:dyDescent="0.15">
      <c r="A2807" s="40" t="s">
        <v>1</v>
      </c>
      <c r="B2807" s="23">
        <v>90230812</v>
      </c>
      <c r="C2807" s="23">
        <v>2308</v>
      </c>
      <c r="D2807" s="23">
        <v>23</v>
      </c>
      <c r="F2807" s="23" t="s">
        <v>116</v>
      </c>
      <c r="G2807" s="23">
        <v>312</v>
      </c>
      <c r="H2807" s="23" t="s">
        <v>5422</v>
      </c>
      <c r="I2807" s="23">
        <v>0</v>
      </c>
      <c r="J2807" s="40">
        <v>0</v>
      </c>
      <c r="K2807" s="40">
        <v>0</v>
      </c>
      <c r="L2807" s="40" t="s">
        <v>115</v>
      </c>
      <c r="O2807" s="40" t="s">
        <v>115</v>
      </c>
      <c r="Q2807" s="40">
        <v>172</v>
      </c>
      <c r="R2807" s="40">
        <v>388</v>
      </c>
      <c r="X2807" s="40">
        <v>90230813</v>
      </c>
      <c r="Y2807" s="40" t="s">
        <v>115</v>
      </c>
      <c r="Z2807" s="40" t="s">
        <v>115</v>
      </c>
      <c r="AA2807" s="40" t="s">
        <v>115</v>
      </c>
      <c r="AB2807" s="40" t="s">
        <v>115</v>
      </c>
      <c r="AC2807" s="40" t="s">
        <v>115</v>
      </c>
      <c r="AI2807" s="40" t="s">
        <v>115</v>
      </c>
      <c r="AP2807" s="4" t="s">
        <v>115</v>
      </c>
    </row>
    <row r="2808" spans="1:42" x14ac:dyDescent="0.15">
      <c r="A2808" s="40" t="s">
        <v>1</v>
      </c>
      <c r="B2808" s="23">
        <v>90230813</v>
      </c>
      <c r="C2808" s="23">
        <v>2308</v>
      </c>
      <c r="D2808" s="23">
        <v>23</v>
      </c>
      <c r="F2808" s="23" t="s">
        <v>5415</v>
      </c>
      <c r="G2808" s="23" t="s">
        <v>115</v>
      </c>
      <c r="H2808" s="23" t="s">
        <v>5423</v>
      </c>
      <c r="I2808" s="23">
        <v>3</v>
      </c>
      <c r="J2808" s="40">
        <v>0</v>
      </c>
      <c r="K2808" s="40">
        <v>0</v>
      </c>
      <c r="L2808" s="40" t="s">
        <v>115</v>
      </c>
      <c r="O2808" s="40" t="s">
        <v>115</v>
      </c>
      <c r="Q2808" s="40">
        <v>172</v>
      </c>
      <c r="R2808" s="40">
        <v>388</v>
      </c>
      <c r="X2808" s="40">
        <v>90230814</v>
      </c>
      <c r="Y2808" s="40" t="s">
        <v>115</v>
      </c>
      <c r="Z2808" s="40" t="s">
        <v>115</v>
      </c>
      <c r="AA2808" s="40" t="s">
        <v>115</v>
      </c>
      <c r="AB2808" s="40" t="s">
        <v>115</v>
      </c>
      <c r="AC2808" s="40" t="s">
        <v>115</v>
      </c>
      <c r="AI2808" s="40" t="s">
        <v>115</v>
      </c>
      <c r="AP2808" s="4" t="s">
        <v>115</v>
      </c>
    </row>
    <row r="2809" spans="1:42" x14ac:dyDescent="0.15">
      <c r="A2809" s="40" t="s">
        <v>1</v>
      </c>
      <c r="B2809" s="23">
        <v>90230814</v>
      </c>
      <c r="C2809" s="23">
        <v>2308</v>
      </c>
      <c r="D2809" s="23">
        <v>23</v>
      </c>
      <c r="F2809" s="23" t="s">
        <v>5415</v>
      </c>
      <c r="G2809" s="23" t="s">
        <v>115</v>
      </c>
      <c r="H2809" s="23" t="s">
        <v>5424</v>
      </c>
      <c r="I2809" s="23">
        <v>3</v>
      </c>
      <c r="J2809" s="40">
        <v>0</v>
      </c>
      <c r="K2809" s="40">
        <v>0</v>
      </c>
      <c r="L2809" s="40" t="s">
        <v>115</v>
      </c>
      <c r="O2809" s="40" t="s">
        <v>115</v>
      </c>
      <c r="Q2809" s="40">
        <v>172</v>
      </c>
      <c r="R2809" s="40">
        <v>388</v>
      </c>
      <c r="X2809" s="40">
        <v>90230815</v>
      </c>
      <c r="Y2809" s="40" t="s">
        <v>115</v>
      </c>
      <c r="Z2809" s="40" t="s">
        <v>115</v>
      </c>
      <c r="AA2809" s="40" t="s">
        <v>115</v>
      </c>
      <c r="AB2809" s="40" t="s">
        <v>115</v>
      </c>
      <c r="AC2809" s="40" t="s">
        <v>115</v>
      </c>
      <c r="AI2809" s="40" t="s">
        <v>115</v>
      </c>
      <c r="AP2809" s="4" t="s">
        <v>115</v>
      </c>
    </row>
    <row r="2810" spans="1:42" x14ac:dyDescent="0.15">
      <c r="A2810" s="40" t="s">
        <v>1</v>
      </c>
      <c r="B2810" s="23">
        <v>90230815</v>
      </c>
      <c r="C2810" s="23">
        <v>2308</v>
      </c>
      <c r="D2810" s="23">
        <v>23</v>
      </c>
      <c r="F2810" s="23" t="s">
        <v>5415</v>
      </c>
      <c r="G2810" s="23" t="s">
        <v>115</v>
      </c>
      <c r="H2810" s="23" t="s">
        <v>5425</v>
      </c>
      <c r="I2810" s="23">
        <v>3</v>
      </c>
      <c r="J2810" s="40">
        <v>0</v>
      </c>
      <c r="K2810" s="40">
        <v>0</v>
      </c>
      <c r="L2810" s="40" t="s">
        <v>115</v>
      </c>
      <c r="O2810" s="40" t="s">
        <v>115</v>
      </c>
      <c r="Q2810" s="40">
        <v>172</v>
      </c>
      <c r="R2810" s="40">
        <v>388</v>
      </c>
      <c r="X2810" s="40">
        <v>90230816</v>
      </c>
      <c r="Y2810" s="40" t="s">
        <v>115</v>
      </c>
      <c r="Z2810" s="40" t="s">
        <v>115</v>
      </c>
      <c r="AA2810" s="40" t="s">
        <v>115</v>
      </c>
      <c r="AB2810" s="40" t="s">
        <v>115</v>
      </c>
      <c r="AC2810" s="40" t="s">
        <v>115</v>
      </c>
      <c r="AI2810" s="40" t="s">
        <v>115</v>
      </c>
      <c r="AP2810" s="4" t="s">
        <v>115</v>
      </c>
    </row>
    <row r="2811" spans="1:42" x14ac:dyDescent="0.15">
      <c r="A2811" s="40" t="s">
        <v>1</v>
      </c>
      <c r="B2811" s="23">
        <v>90230816</v>
      </c>
      <c r="C2811" s="23">
        <v>2308</v>
      </c>
      <c r="D2811" s="23">
        <v>23</v>
      </c>
      <c r="F2811" s="23" t="s">
        <v>5415</v>
      </c>
      <c r="G2811" s="23" t="s">
        <v>115</v>
      </c>
      <c r="H2811" s="23" t="s">
        <v>5426</v>
      </c>
      <c r="I2811" s="23">
        <v>3</v>
      </c>
      <c r="J2811" s="40">
        <v>0</v>
      </c>
      <c r="K2811" s="40">
        <v>0</v>
      </c>
      <c r="L2811" s="40" t="s">
        <v>115</v>
      </c>
      <c r="O2811" s="40" t="s">
        <v>115</v>
      </c>
      <c r="Q2811" s="40">
        <v>172</v>
      </c>
      <c r="R2811" s="40">
        <v>388</v>
      </c>
      <c r="X2811" s="40">
        <v>90230817</v>
      </c>
      <c r="Y2811" s="40" t="s">
        <v>115</v>
      </c>
      <c r="Z2811" s="40" t="s">
        <v>115</v>
      </c>
      <c r="AA2811" s="40" t="s">
        <v>115</v>
      </c>
      <c r="AB2811" s="40" t="s">
        <v>115</v>
      </c>
      <c r="AC2811" s="40" t="s">
        <v>115</v>
      </c>
      <c r="AI2811" s="40" t="s">
        <v>115</v>
      </c>
      <c r="AP2811" s="4" t="s">
        <v>115</v>
      </c>
    </row>
    <row r="2812" spans="1:42" x14ac:dyDescent="0.15">
      <c r="A2812" s="40" t="s">
        <v>1</v>
      </c>
      <c r="B2812" s="23">
        <v>90230817</v>
      </c>
      <c r="C2812" s="23">
        <v>2308</v>
      </c>
      <c r="D2812" s="23">
        <v>23</v>
      </c>
      <c r="F2812" s="23" t="s">
        <v>116</v>
      </c>
      <c r="G2812" s="23">
        <v>314</v>
      </c>
      <c r="H2812" s="23" t="s">
        <v>5427</v>
      </c>
      <c r="I2812" s="23">
        <v>2</v>
      </c>
      <c r="J2812" s="40">
        <v>0</v>
      </c>
      <c r="K2812" s="40">
        <v>4</v>
      </c>
      <c r="L2812" s="40" t="s">
        <v>115</v>
      </c>
      <c r="O2812" s="40">
        <v>1</v>
      </c>
      <c r="Q2812" s="40">
        <v>172</v>
      </c>
      <c r="R2812" s="40">
        <v>388</v>
      </c>
      <c r="X2812" s="40" t="s">
        <v>115</v>
      </c>
      <c r="Y2812" s="40" t="s">
        <v>115</v>
      </c>
      <c r="Z2812" s="40">
        <v>3</v>
      </c>
      <c r="AA2812" s="40" t="s">
        <v>115</v>
      </c>
      <c r="AB2812" s="40" t="s">
        <v>115</v>
      </c>
      <c r="AC2812" s="40" t="s">
        <v>115</v>
      </c>
      <c r="AI2812" s="40" t="s">
        <v>115</v>
      </c>
      <c r="AP2812" s="4" t="s">
        <v>115</v>
      </c>
    </row>
    <row r="2813" spans="1:42" x14ac:dyDescent="0.15">
      <c r="A2813" s="40" t="s">
        <v>1</v>
      </c>
      <c r="B2813" s="23" t="s">
        <v>4859</v>
      </c>
      <c r="C2813" s="23">
        <v>2309</v>
      </c>
      <c r="D2813" s="23">
        <v>23</v>
      </c>
      <c r="F2813" s="23" t="s">
        <v>115</v>
      </c>
      <c r="G2813" s="23" t="s">
        <v>115</v>
      </c>
      <c r="H2813" s="23" t="s">
        <v>5428</v>
      </c>
      <c r="I2813" s="23">
        <v>4</v>
      </c>
      <c r="J2813" s="40">
        <v>1</v>
      </c>
      <c r="K2813" s="40">
        <v>1</v>
      </c>
      <c r="L2813" s="40" t="s">
        <v>115</v>
      </c>
      <c r="O2813" s="40" t="s">
        <v>115</v>
      </c>
      <c r="Q2813" s="40">
        <v>192</v>
      </c>
      <c r="R2813" s="40" t="s">
        <v>115</v>
      </c>
      <c r="X2813" s="40">
        <v>90230902</v>
      </c>
      <c r="Y2813" s="40" t="s">
        <v>115</v>
      </c>
      <c r="Z2813" s="40" t="s">
        <v>115</v>
      </c>
      <c r="AA2813" s="40" t="s">
        <v>115</v>
      </c>
      <c r="AB2813" s="40" t="s">
        <v>115</v>
      </c>
      <c r="AC2813" s="40" t="s">
        <v>115</v>
      </c>
      <c r="AI2813" s="40" t="s">
        <v>115</v>
      </c>
      <c r="AP2813" s="4" t="s">
        <v>115</v>
      </c>
    </row>
    <row r="2814" spans="1:42" x14ac:dyDescent="0.15">
      <c r="A2814" s="40" t="s">
        <v>1</v>
      </c>
      <c r="B2814" s="23">
        <v>90230902</v>
      </c>
      <c r="C2814" s="23">
        <v>2309</v>
      </c>
      <c r="D2814" s="23">
        <v>23</v>
      </c>
      <c r="F2814" s="23" t="s">
        <v>431</v>
      </c>
      <c r="G2814" s="23" t="s">
        <v>115</v>
      </c>
      <c r="H2814" s="23" t="s">
        <v>5429</v>
      </c>
      <c r="I2814" s="23">
        <v>3</v>
      </c>
      <c r="J2814" s="40">
        <v>0</v>
      </c>
      <c r="K2814" s="40">
        <v>0</v>
      </c>
      <c r="L2814" s="40" t="s">
        <v>115</v>
      </c>
      <c r="O2814" s="40" t="s">
        <v>115</v>
      </c>
      <c r="Q2814" s="40">
        <v>192</v>
      </c>
      <c r="R2814" s="40" t="s">
        <v>115</v>
      </c>
      <c r="X2814" s="40">
        <v>90230903</v>
      </c>
      <c r="Y2814" s="40" t="s">
        <v>115</v>
      </c>
      <c r="Z2814" s="40" t="s">
        <v>115</v>
      </c>
      <c r="AA2814" s="40" t="s">
        <v>115</v>
      </c>
      <c r="AB2814" s="40" t="s">
        <v>115</v>
      </c>
      <c r="AC2814" s="40" t="s">
        <v>115</v>
      </c>
      <c r="AI2814" s="40" t="s">
        <v>115</v>
      </c>
      <c r="AP2814" s="4" t="s">
        <v>115</v>
      </c>
    </row>
    <row r="2815" spans="1:42" x14ac:dyDescent="0.15">
      <c r="A2815" s="40" t="s">
        <v>1</v>
      </c>
      <c r="B2815" s="23">
        <v>90230903</v>
      </c>
      <c r="C2815" s="23">
        <v>2309</v>
      </c>
      <c r="D2815" s="23">
        <v>23</v>
      </c>
      <c r="F2815" s="23" t="s">
        <v>115</v>
      </c>
      <c r="G2815" s="23" t="s">
        <v>115</v>
      </c>
      <c r="H2815" s="23" t="s">
        <v>5430</v>
      </c>
      <c r="I2815" s="23">
        <v>4</v>
      </c>
      <c r="J2815" s="40">
        <v>0</v>
      </c>
      <c r="K2815" s="40">
        <v>2</v>
      </c>
      <c r="L2815" s="40" t="s">
        <v>115</v>
      </c>
      <c r="O2815" s="40" t="s">
        <v>115</v>
      </c>
      <c r="Q2815" s="40">
        <v>192</v>
      </c>
      <c r="R2815" s="40" t="s">
        <v>115</v>
      </c>
      <c r="X2815" s="40" t="s">
        <v>5431</v>
      </c>
      <c r="Y2815" s="40">
        <v>1</v>
      </c>
      <c r="Z2815" s="40">
        <v>1</v>
      </c>
      <c r="AA2815" s="40" t="s">
        <v>115</v>
      </c>
      <c r="AB2815" s="40" t="s">
        <v>115</v>
      </c>
      <c r="AC2815" s="40" t="s">
        <v>115</v>
      </c>
      <c r="AI2815" s="40" t="s">
        <v>115</v>
      </c>
      <c r="AP2815" s="4" t="s">
        <v>115</v>
      </c>
    </row>
    <row r="2816" spans="1:42" x14ac:dyDescent="0.15">
      <c r="A2816" s="40" t="s">
        <v>1</v>
      </c>
      <c r="B2816" s="23">
        <v>90230904</v>
      </c>
      <c r="C2816" s="23">
        <v>2309</v>
      </c>
      <c r="D2816" s="23">
        <v>23</v>
      </c>
      <c r="F2816" s="23" t="s">
        <v>115</v>
      </c>
      <c r="G2816" s="23" t="s">
        <v>115</v>
      </c>
      <c r="H2816" s="23" t="s">
        <v>5432</v>
      </c>
      <c r="I2816" s="23">
        <v>4</v>
      </c>
      <c r="J2816" s="40">
        <v>0</v>
      </c>
      <c r="K2816" s="40">
        <v>3</v>
      </c>
      <c r="L2816" s="40" t="s">
        <v>115</v>
      </c>
      <c r="O2816" s="40" t="s">
        <v>115</v>
      </c>
      <c r="Q2816" s="40">
        <v>192</v>
      </c>
      <c r="R2816" s="40" t="s">
        <v>115</v>
      </c>
      <c r="X2816" s="40">
        <v>90230905</v>
      </c>
      <c r="Y2816" s="40">
        <v>-1</v>
      </c>
      <c r="Z2816" s="40">
        <v>2</v>
      </c>
      <c r="AA2816" s="40" t="s">
        <v>115</v>
      </c>
      <c r="AB2816" s="40" t="s">
        <v>115</v>
      </c>
      <c r="AC2816" s="40" t="s">
        <v>5433</v>
      </c>
      <c r="AI2816" s="40" t="s">
        <v>115</v>
      </c>
      <c r="AP2816" s="4" t="s">
        <v>115</v>
      </c>
    </row>
    <row r="2817" spans="1:42" x14ac:dyDescent="0.15">
      <c r="A2817" s="40" t="s">
        <v>1</v>
      </c>
      <c r="B2817" s="23">
        <v>90230905</v>
      </c>
      <c r="C2817" s="23">
        <v>2309</v>
      </c>
      <c r="D2817" s="23">
        <v>23</v>
      </c>
      <c r="F2817" s="23" t="s">
        <v>116</v>
      </c>
      <c r="G2817" s="23">
        <v>313</v>
      </c>
      <c r="H2817" s="23" t="s">
        <v>5434</v>
      </c>
      <c r="I2817" s="23">
        <v>0</v>
      </c>
      <c r="J2817" s="40">
        <v>0</v>
      </c>
      <c r="K2817" s="40">
        <v>0</v>
      </c>
      <c r="L2817" s="40" t="s">
        <v>115</v>
      </c>
      <c r="O2817" s="40" t="s">
        <v>115</v>
      </c>
      <c r="Q2817" s="40">
        <v>192</v>
      </c>
      <c r="R2817" s="40">
        <v>170</v>
      </c>
      <c r="X2817" s="40">
        <v>90230906</v>
      </c>
      <c r="Y2817" s="40" t="s">
        <v>115</v>
      </c>
      <c r="Z2817" s="40" t="s">
        <v>115</v>
      </c>
      <c r="AA2817" s="40" t="s">
        <v>115</v>
      </c>
      <c r="AB2817" s="40" t="s">
        <v>115</v>
      </c>
      <c r="AC2817" s="40" t="s">
        <v>115</v>
      </c>
      <c r="AI2817" s="40" t="s">
        <v>115</v>
      </c>
      <c r="AP2817" s="4" t="s">
        <v>115</v>
      </c>
    </row>
    <row r="2818" spans="1:42" x14ac:dyDescent="0.15">
      <c r="A2818" s="40" t="s">
        <v>1</v>
      </c>
      <c r="B2818" s="23">
        <v>90230906</v>
      </c>
      <c r="C2818" s="23">
        <v>2309</v>
      </c>
      <c r="D2818" s="23">
        <v>23</v>
      </c>
      <c r="F2818" s="23" t="s">
        <v>116</v>
      </c>
      <c r="G2818" s="23">
        <v>313</v>
      </c>
      <c r="H2818" s="23" t="s">
        <v>5435</v>
      </c>
      <c r="I2818" s="23">
        <v>0</v>
      </c>
      <c r="J2818" s="40">
        <v>0</v>
      </c>
      <c r="K2818" s="40">
        <v>0</v>
      </c>
      <c r="L2818" s="40" t="s">
        <v>115</v>
      </c>
      <c r="O2818" s="40" t="s">
        <v>115</v>
      </c>
      <c r="Q2818" s="40">
        <v>192</v>
      </c>
      <c r="R2818" s="40">
        <v>170</v>
      </c>
      <c r="X2818" s="40">
        <v>90230907</v>
      </c>
      <c r="Y2818" s="40" t="s">
        <v>115</v>
      </c>
      <c r="Z2818" s="40" t="s">
        <v>115</v>
      </c>
      <c r="AA2818" s="40" t="s">
        <v>115</v>
      </c>
      <c r="AB2818" s="40" t="s">
        <v>115</v>
      </c>
      <c r="AC2818" s="40" t="s">
        <v>115</v>
      </c>
      <c r="AI2818" s="40" t="s">
        <v>115</v>
      </c>
      <c r="AP2818" s="4" t="s">
        <v>115</v>
      </c>
    </row>
    <row r="2819" spans="1:42" x14ac:dyDescent="0.15">
      <c r="A2819" s="40" t="s">
        <v>1</v>
      </c>
      <c r="B2819" s="23">
        <v>90230907</v>
      </c>
      <c r="C2819" s="23">
        <v>2309</v>
      </c>
      <c r="D2819" s="23">
        <v>23</v>
      </c>
      <c r="F2819" s="23" t="s">
        <v>566</v>
      </c>
      <c r="G2819" s="23" t="s">
        <v>115</v>
      </c>
      <c r="H2819" s="23" t="s">
        <v>5436</v>
      </c>
      <c r="I2819" s="23">
        <v>3</v>
      </c>
      <c r="J2819" s="40">
        <v>0</v>
      </c>
      <c r="K2819" s="40">
        <v>0</v>
      </c>
      <c r="L2819" s="40" t="s">
        <v>115</v>
      </c>
      <c r="O2819" s="40" t="s">
        <v>115</v>
      </c>
      <c r="Q2819" s="40">
        <v>192</v>
      </c>
      <c r="R2819" s="40">
        <v>170</v>
      </c>
      <c r="X2819" s="40">
        <v>90230908</v>
      </c>
      <c r="Y2819" s="40" t="s">
        <v>115</v>
      </c>
      <c r="Z2819" s="40" t="s">
        <v>115</v>
      </c>
      <c r="AA2819" s="40" t="s">
        <v>115</v>
      </c>
      <c r="AB2819" s="40" t="s">
        <v>115</v>
      </c>
      <c r="AC2819" s="40" t="s">
        <v>115</v>
      </c>
      <c r="AI2819" s="40" t="s">
        <v>115</v>
      </c>
      <c r="AP2819" s="4" t="s">
        <v>115</v>
      </c>
    </row>
    <row r="2820" spans="1:42" x14ac:dyDescent="0.15">
      <c r="A2820" s="40" t="s">
        <v>1</v>
      </c>
      <c r="B2820" s="23">
        <v>90230908</v>
      </c>
      <c r="C2820" s="23">
        <v>2309</v>
      </c>
      <c r="D2820" s="23">
        <v>23</v>
      </c>
      <c r="F2820" s="23" t="s">
        <v>566</v>
      </c>
      <c r="G2820" s="23" t="s">
        <v>115</v>
      </c>
      <c r="H2820" s="23" t="s">
        <v>5437</v>
      </c>
      <c r="I2820" s="23">
        <v>3</v>
      </c>
      <c r="J2820" s="40">
        <v>0</v>
      </c>
      <c r="K2820" s="40">
        <v>0</v>
      </c>
      <c r="L2820" s="40" t="s">
        <v>115</v>
      </c>
      <c r="O2820" s="40" t="s">
        <v>115</v>
      </c>
      <c r="Q2820" s="40">
        <v>192</v>
      </c>
      <c r="R2820" s="40">
        <v>170</v>
      </c>
      <c r="X2820" s="40">
        <v>90230909</v>
      </c>
      <c r="Y2820" s="40" t="s">
        <v>115</v>
      </c>
      <c r="Z2820" s="40" t="s">
        <v>115</v>
      </c>
      <c r="AA2820" s="40" t="s">
        <v>115</v>
      </c>
      <c r="AB2820" s="40" t="s">
        <v>115</v>
      </c>
      <c r="AC2820" s="40" t="s">
        <v>115</v>
      </c>
      <c r="AI2820" s="40" t="s">
        <v>115</v>
      </c>
      <c r="AP2820" s="4" t="s">
        <v>115</v>
      </c>
    </row>
    <row r="2821" spans="1:42" x14ac:dyDescent="0.15">
      <c r="A2821" s="40" t="s">
        <v>1</v>
      </c>
      <c r="B2821" s="23">
        <v>90230909</v>
      </c>
      <c r="C2821" s="23">
        <v>2309</v>
      </c>
      <c r="D2821" s="23">
        <v>23</v>
      </c>
      <c r="F2821" s="23" t="s">
        <v>116</v>
      </c>
      <c r="G2821" s="23">
        <v>312</v>
      </c>
      <c r="H2821" s="23" t="s">
        <v>5438</v>
      </c>
      <c r="I2821" s="23">
        <v>0</v>
      </c>
      <c r="J2821" s="40">
        <v>0</v>
      </c>
      <c r="K2821" s="40">
        <v>0</v>
      </c>
      <c r="L2821" s="40" t="s">
        <v>115</v>
      </c>
      <c r="O2821" s="40" t="s">
        <v>115</v>
      </c>
      <c r="Q2821" s="40">
        <v>192</v>
      </c>
      <c r="R2821" s="40">
        <v>170</v>
      </c>
      <c r="X2821" s="40">
        <v>90230910</v>
      </c>
      <c r="Y2821" s="40" t="s">
        <v>115</v>
      </c>
      <c r="Z2821" s="40" t="s">
        <v>115</v>
      </c>
      <c r="AA2821" s="40" t="s">
        <v>115</v>
      </c>
      <c r="AB2821" s="40" t="s">
        <v>115</v>
      </c>
      <c r="AC2821" s="40" t="s">
        <v>115</v>
      </c>
      <c r="AI2821" s="40" t="s">
        <v>115</v>
      </c>
      <c r="AP2821" s="4" t="s">
        <v>115</v>
      </c>
    </row>
    <row r="2822" spans="1:42" x14ac:dyDescent="0.15">
      <c r="A2822" s="40" t="s">
        <v>1</v>
      </c>
      <c r="B2822" s="23">
        <v>90230910</v>
      </c>
      <c r="C2822" s="23">
        <v>2309</v>
      </c>
      <c r="D2822" s="23">
        <v>23</v>
      </c>
      <c r="F2822" s="23" t="s">
        <v>566</v>
      </c>
      <c r="G2822" s="23" t="s">
        <v>115</v>
      </c>
      <c r="H2822" s="23" t="s">
        <v>5439</v>
      </c>
      <c r="I2822" s="23">
        <v>3</v>
      </c>
      <c r="J2822" s="40">
        <v>0</v>
      </c>
      <c r="K2822" s="40">
        <v>0</v>
      </c>
      <c r="L2822" s="40" t="s">
        <v>115</v>
      </c>
      <c r="O2822" s="40" t="s">
        <v>115</v>
      </c>
      <c r="Q2822" s="40">
        <v>192</v>
      </c>
      <c r="R2822" s="40">
        <v>170</v>
      </c>
      <c r="X2822" s="40">
        <v>90230911</v>
      </c>
      <c r="Y2822" s="40" t="s">
        <v>115</v>
      </c>
      <c r="Z2822" s="40" t="s">
        <v>115</v>
      </c>
      <c r="AA2822" s="40" t="s">
        <v>115</v>
      </c>
      <c r="AB2822" s="40" t="s">
        <v>115</v>
      </c>
      <c r="AC2822" s="40" t="s">
        <v>115</v>
      </c>
      <c r="AI2822" s="40" t="s">
        <v>115</v>
      </c>
      <c r="AP2822" s="4" t="s">
        <v>115</v>
      </c>
    </row>
    <row r="2823" spans="1:42" x14ac:dyDescent="0.15">
      <c r="A2823" s="40" t="s">
        <v>1</v>
      </c>
      <c r="B2823" s="23">
        <v>90230911</v>
      </c>
      <c r="C2823" s="23">
        <v>2309</v>
      </c>
      <c r="D2823" s="23">
        <v>23</v>
      </c>
      <c r="F2823" s="23" t="s">
        <v>566</v>
      </c>
      <c r="G2823" s="23" t="s">
        <v>115</v>
      </c>
      <c r="H2823" s="23" t="s">
        <v>5440</v>
      </c>
      <c r="I2823" s="23">
        <v>3</v>
      </c>
      <c r="J2823" s="40">
        <v>0</v>
      </c>
      <c r="K2823" s="40">
        <v>0</v>
      </c>
      <c r="L2823" s="40" t="s">
        <v>115</v>
      </c>
      <c r="O2823" s="40" t="s">
        <v>115</v>
      </c>
      <c r="Q2823" s="40">
        <v>192</v>
      </c>
      <c r="R2823" s="40">
        <v>170</v>
      </c>
      <c r="X2823" s="40">
        <v>90230912</v>
      </c>
      <c r="Y2823" s="40" t="s">
        <v>115</v>
      </c>
      <c r="Z2823" s="40" t="s">
        <v>115</v>
      </c>
      <c r="AA2823" s="40" t="s">
        <v>115</v>
      </c>
      <c r="AB2823" s="40" t="s">
        <v>115</v>
      </c>
      <c r="AC2823" s="40" t="s">
        <v>115</v>
      </c>
      <c r="AI2823" s="40" t="s">
        <v>115</v>
      </c>
      <c r="AP2823" s="4" t="s">
        <v>115</v>
      </c>
    </row>
    <row r="2824" spans="1:42" x14ac:dyDescent="0.15">
      <c r="A2824" s="40" t="s">
        <v>1</v>
      </c>
      <c r="B2824" s="23">
        <v>90230912</v>
      </c>
      <c r="C2824" s="23">
        <v>2309</v>
      </c>
      <c r="D2824" s="23">
        <v>23</v>
      </c>
      <c r="F2824" s="23" t="s">
        <v>116</v>
      </c>
      <c r="G2824" s="23">
        <v>312</v>
      </c>
      <c r="H2824" s="23" t="s">
        <v>5441</v>
      </c>
      <c r="I2824" s="23">
        <v>2</v>
      </c>
      <c r="J2824" s="40">
        <v>0</v>
      </c>
      <c r="K2824" s="40">
        <v>0</v>
      </c>
      <c r="L2824" s="40" t="s">
        <v>115</v>
      </c>
      <c r="O2824" s="40" t="s">
        <v>115</v>
      </c>
      <c r="Q2824" s="40">
        <v>192</v>
      </c>
      <c r="R2824" s="40">
        <v>170</v>
      </c>
      <c r="X2824" s="40">
        <v>90230913</v>
      </c>
      <c r="Y2824" s="40" t="s">
        <v>115</v>
      </c>
      <c r="Z2824" s="40" t="s">
        <v>115</v>
      </c>
      <c r="AA2824" s="40" t="s">
        <v>115</v>
      </c>
      <c r="AB2824" s="40" t="s">
        <v>115</v>
      </c>
      <c r="AC2824" s="40" t="s">
        <v>115</v>
      </c>
      <c r="AI2824" s="40" t="s">
        <v>115</v>
      </c>
      <c r="AP2824" s="4" t="s">
        <v>115</v>
      </c>
    </row>
    <row r="2825" spans="1:42" x14ac:dyDescent="0.15">
      <c r="A2825" s="40" t="s">
        <v>1</v>
      </c>
      <c r="B2825" s="23">
        <v>90230913</v>
      </c>
      <c r="C2825" s="23">
        <v>2309</v>
      </c>
      <c r="D2825" s="23">
        <v>23</v>
      </c>
      <c r="F2825" s="23" t="s">
        <v>116</v>
      </c>
      <c r="G2825" s="23">
        <v>312</v>
      </c>
      <c r="H2825" s="23" t="s">
        <v>5442</v>
      </c>
      <c r="I2825" s="23">
        <v>2</v>
      </c>
      <c r="J2825" s="40">
        <v>0</v>
      </c>
      <c r="K2825" s="40">
        <v>4</v>
      </c>
      <c r="L2825" s="40" t="s">
        <v>115</v>
      </c>
      <c r="O2825" s="40">
        <v>1</v>
      </c>
      <c r="Q2825" s="40">
        <v>192</v>
      </c>
      <c r="R2825" s="40">
        <v>170</v>
      </c>
      <c r="X2825" s="40" t="s">
        <v>115</v>
      </c>
      <c r="Y2825" s="40" t="s">
        <v>115</v>
      </c>
      <c r="Z2825" s="40">
        <v>3</v>
      </c>
      <c r="AA2825" s="40" t="s">
        <v>115</v>
      </c>
      <c r="AB2825" s="40" t="s">
        <v>115</v>
      </c>
      <c r="AC2825" s="40" t="s">
        <v>115</v>
      </c>
      <c r="AI2825" s="40" t="s">
        <v>115</v>
      </c>
      <c r="AP2825" s="4" t="s">
        <v>5443</v>
      </c>
    </row>
    <row r="2826" spans="1:42" x14ac:dyDescent="0.15">
      <c r="A2826" s="40" t="s">
        <v>1</v>
      </c>
      <c r="B2826" s="23" t="s">
        <v>4860</v>
      </c>
      <c r="C2826" s="23">
        <v>2310</v>
      </c>
      <c r="D2826" s="23">
        <v>23</v>
      </c>
      <c r="F2826" s="23" t="s">
        <v>1067</v>
      </c>
      <c r="G2826" s="23" t="s">
        <v>115</v>
      </c>
      <c r="H2826" s="23" t="s">
        <v>5444</v>
      </c>
      <c r="I2826" s="23">
        <v>3</v>
      </c>
      <c r="J2826" s="40">
        <v>1</v>
      </c>
      <c r="K2826" s="40">
        <v>1</v>
      </c>
      <c r="L2826" s="40" t="s">
        <v>115</v>
      </c>
      <c r="O2826" s="40" t="s">
        <v>115</v>
      </c>
      <c r="Q2826" s="40">
        <v>12</v>
      </c>
      <c r="R2826" s="40">
        <v>98</v>
      </c>
      <c r="X2826" s="40">
        <v>90231002</v>
      </c>
      <c r="Y2826" s="40" t="s">
        <v>115</v>
      </c>
      <c r="Z2826" s="40" t="s">
        <v>115</v>
      </c>
      <c r="AA2826" s="40" t="s">
        <v>115</v>
      </c>
      <c r="AB2826" s="40" t="s">
        <v>115</v>
      </c>
      <c r="AC2826" s="40" t="s">
        <v>115</v>
      </c>
      <c r="AI2826" s="40" t="s">
        <v>115</v>
      </c>
      <c r="AP2826" s="4" t="s">
        <v>115</v>
      </c>
    </row>
    <row r="2827" spans="1:42" x14ac:dyDescent="0.15">
      <c r="A2827" s="40" t="s">
        <v>1</v>
      </c>
      <c r="B2827" s="23">
        <v>90231002</v>
      </c>
      <c r="C2827" s="23">
        <v>2310</v>
      </c>
      <c r="D2827" s="23">
        <v>23</v>
      </c>
      <c r="F2827" s="23" t="s">
        <v>116</v>
      </c>
      <c r="G2827" s="23">
        <v>312</v>
      </c>
      <c r="H2827" s="23" t="s">
        <v>5445</v>
      </c>
      <c r="I2827" s="23">
        <v>0</v>
      </c>
      <c r="J2827" s="40">
        <v>0</v>
      </c>
      <c r="K2827" s="40">
        <v>0</v>
      </c>
      <c r="L2827" s="40" t="s">
        <v>115</v>
      </c>
      <c r="O2827" s="40" t="s">
        <v>115</v>
      </c>
      <c r="Q2827" s="40">
        <v>12</v>
      </c>
      <c r="R2827" s="40">
        <v>98</v>
      </c>
      <c r="X2827" s="40">
        <v>90231003</v>
      </c>
      <c r="Y2827" s="40" t="s">
        <v>115</v>
      </c>
      <c r="Z2827" s="40" t="s">
        <v>115</v>
      </c>
      <c r="AA2827" s="40" t="s">
        <v>115</v>
      </c>
      <c r="AB2827" s="40" t="s">
        <v>115</v>
      </c>
      <c r="AC2827" s="40" t="s">
        <v>115</v>
      </c>
      <c r="AI2827" s="40" t="s">
        <v>115</v>
      </c>
      <c r="AP2827" s="4" t="s">
        <v>115</v>
      </c>
    </row>
    <row r="2828" spans="1:42" x14ac:dyDescent="0.15">
      <c r="A2828" s="40" t="s">
        <v>1</v>
      </c>
      <c r="B2828" s="23">
        <v>90231003</v>
      </c>
      <c r="C2828" s="23">
        <v>2310</v>
      </c>
      <c r="D2828" s="23">
        <v>23</v>
      </c>
      <c r="F2828" s="23" t="s">
        <v>1067</v>
      </c>
      <c r="G2828" s="23" t="s">
        <v>115</v>
      </c>
      <c r="H2828" s="23" t="s">
        <v>5446</v>
      </c>
      <c r="I2828" s="23">
        <v>3</v>
      </c>
      <c r="J2828" s="40">
        <v>0</v>
      </c>
      <c r="K2828" s="40">
        <v>0</v>
      </c>
      <c r="L2828" s="40" t="s">
        <v>115</v>
      </c>
      <c r="O2828" s="40" t="s">
        <v>115</v>
      </c>
      <c r="Q2828" s="40">
        <v>12</v>
      </c>
      <c r="R2828" s="40">
        <v>98</v>
      </c>
      <c r="X2828" s="40">
        <v>90231004</v>
      </c>
      <c r="Y2828" s="40" t="s">
        <v>115</v>
      </c>
      <c r="Z2828" s="40" t="s">
        <v>115</v>
      </c>
      <c r="AA2828" s="40" t="s">
        <v>115</v>
      </c>
      <c r="AB2828" s="40" t="s">
        <v>115</v>
      </c>
      <c r="AC2828" s="40" t="s">
        <v>115</v>
      </c>
      <c r="AI2828" s="40" t="s">
        <v>115</v>
      </c>
      <c r="AP2828" s="4" t="s">
        <v>115</v>
      </c>
    </row>
    <row r="2829" spans="1:42" x14ac:dyDescent="0.15">
      <c r="A2829" s="40" t="s">
        <v>1</v>
      </c>
      <c r="B2829" s="23">
        <v>90231004</v>
      </c>
      <c r="C2829" s="23">
        <v>2310</v>
      </c>
      <c r="D2829" s="23">
        <v>23</v>
      </c>
      <c r="F2829" s="23" t="s">
        <v>1067</v>
      </c>
      <c r="G2829" s="23" t="s">
        <v>115</v>
      </c>
      <c r="H2829" s="23" t="s">
        <v>5447</v>
      </c>
      <c r="I2829" s="23">
        <v>3</v>
      </c>
      <c r="J2829" s="40">
        <v>0</v>
      </c>
      <c r="K2829" s="40">
        <v>0</v>
      </c>
      <c r="L2829" s="40" t="s">
        <v>115</v>
      </c>
      <c r="O2829" s="40" t="s">
        <v>115</v>
      </c>
      <c r="Q2829" s="40">
        <v>12</v>
      </c>
      <c r="R2829" s="40">
        <v>98</v>
      </c>
      <c r="X2829" s="40">
        <v>90231005</v>
      </c>
      <c r="Y2829" s="40" t="s">
        <v>115</v>
      </c>
      <c r="Z2829" s="40" t="s">
        <v>115</v>
      </c>
      <c r="AA2829" s="40" t="s">
        <v>115</v>
      </c>
      <c r="AB2829" s="40" t="s">
        <v>115</v>
      </c>
      <c r="AC2829" s="40" t="s">
        <v>115</v>
      </c>
      <c r="AI2829" s="40" t="s">
        <v>115</v>
      </c>
      <c r="AP2829" s="4" t="s">
        <v>115</v>
      </c>
    </row>
    <row r="2830" spans="1:42" x14ac:dyDescent="0.15">
      <c r="A2830" s="40" t="s">
        <v>1</v>
      </c>
      <c r="B2830" s="23">
        <v>90231005</v>
      </c>
      <c r="C2830" s="23">
        <v>2310</v>
      </c>
      <c r="D2830" s="23">
        <v>23</v>
      </c>
      <c r="F2830" s="23" t="s">
        <v>1067</v>
      </c>
      <c r="G2830" s="23" t="s">
        <v>115</v>
      </c>
      <c r="H2830" s="23" t="s">
        <v>5448</v>
      </c>
      <c r="I2830" s="23">
        <v>3</v>
      </c>
      <c r="J2830" s="40">
        <v>0</v>
      </c>
      <c r="K2830" s="40">
        <v>0</v>
      </c>
      <c r="L2830" s="40" t="s">
        <v>115</v>
      </c>
      <c r="O2830" s="40" t="s">
        <v>115</v>
      </c>
      <c r="Q2830" s="40">
        <v>12</v>
      </c>
      <c r="R2830" s="40">
        <v>98</v>
      </c>
      <c r="X2830" s="40">
        <v>90231006</v>
      </c>
      <c r="Y2830" s="40" t="s">
        <v>115</v>
      </c>
      <c r="Z2830" s="40" t="s">
        <v>115</v>
      </c>
      <c r="AA2830" s="40" t="s">
        <v>115</v>
      </c>
      <c r="AB2830" s="40" t="s">
        <v>115</v>
      </c>
      <c r="AC2830" s="40" t="s">
        <v>115</v>
      </c>
      <c r="AI2830" s="40" t="s">
        <v>115</v>
      </c>
      <c r="AP2830" s="4" t="s">
        <v>115</v>
      </c>
    </row>
    <row r="2831" spans="1:42" x14ac:dyDescent="0.15">
      <c r="A2831" s="40" t="s">
        <v>1</v>
      </c>
      <c r="B2831" s="23">
        <v>90231006</v>
      </c>
      <c r="C2831" s="23">
        <v>2310</v>
      </c>
      <c r="D2831" s="23">
        <v>23</v>
      </c>
      <c r="F2831" s="23" t="s">
        <v>1067</v>
      </c>
      <c r="G2831" s="23" t="s">
        <v>115</v>
      </c>
      <c r="H2831" s="23" t="s">
        <v>5449</v>
      </c>
      <c r="I2831" s="23">
        <v>3</v>
      </c>
      <c r="J2831" s="40">
        <v>0</v>
      </c>
      <c r="K2831" s="40">
        <v>0</v>
      </c>
      <c r="L2831" s="40" t="s">
        <v>115</v>
      </c>
      <c r="O2831" s="40" t="s">
        <v>115</v>
      </c>
      <c r="Q2831" s="40">
        <v>12</v>
      </c>
      <c r="R2831" s="40">
        <v>98</v>
      </c>
      <c r="X2831" s="40">
        <v>90231007</v>
      </c>
      <c r="Y2831" s="40" t="s">
        <v>115</v>
      </c>
      <c r="Z2831" s="40" t="s">
        <v>115</v>
      </c>
      <c r="AA2831" s="40" t="s">
        <v>115</v>
      </c>
      <c r="AB2831" s="40" t="s">
        <v>115</v>
      </c>
      <c r="AC2831" s="40" t="s">
        <v>115</v>
      </c>
      <c r="AI2831" s="40" t="s">
        <v>115</v>
      </c>
      <c r="AP2831" s="4" t="s">
        <v>115</v>
      </c>
    </row>
    <row r="2832" spans="1:42" x14ac:dyDescent="0.15">
      <c r="A2832" s="40" t="s">
        <v>1</v>
      </c>
      <c r="B2832" s="23">
        <v>90231007</v>
      </c>
      <c r="C2832" s="23">
        <v>2310</v>
      </c>
      <c r="D2832" s="23">
        <v>23</v>
      </c>
      <c r="F2832" s="23" t="s">
        <v>1067</v>
      </c>
      <c r="G2832" s="23" t="s">
        <v>115</v>
      </c>
      <c r="H2832" s="23" t="s">
        <v>5450</v>
      </c>
      <c r="I2832" s="23">
        <v>3</v>
      </c>
      <c r="J2832" s="40">
        <v>0</v>
      </c>
      <c r="K2832" s="40">
        <v>0</v>
      </c>
      <c r="L2832" s="40" t="s">
        <v>115</v>
      </c>
      <c r="O2832" s="40" t="s">
        <v>115</v>
      </c>
      <c r="Q2832" s="40">
        <v>12</v>
      </c>
      <c r="R2832" s="40">
        <v>98</v>
      </c>
      <c r="X2832" s="40">
        <v>90231008</v>
      </c>
      <c r="Y2832" s="40" t="s">
        <v>115</v>
      </c>
      <c r="Z2832" s="40" t="s">
        <v>115</v>
      </c>
      <c r="AA2832" s="40" t="s">
        <v>115</v>
      </c>
      <c r="AB2832" s="40" t="s">
        <v>115</v>
      </c>
      <c r="AC2832" s="40" t="s">
        <v>115</v>
      </c>
      <c r="AI2832" s="40" t="s">
        <v>115</v>
      </c>
      <c r="AP2832" s="4" t="s">
        <v>115</v>
      </c>
    </row>
    <row r="2833" spans="1:42" x14ac:dyDescent="0.15">
      <c r="A2833" s="40" t="s">
        <v>1</v>
      </c>
      <c r="B2833" s="23">
        <v>90231008</v>
      </c>
      <c r="C2833" s="23">
        <v>2310</v>
      </c>
      <c r="D2833" s="23">
        <v>23</v>
      </c>
      <c r="F2833" s="23" t="s">
        <v>1067</v>
      </c>
      <c r="G2833" s="23" t="s">
        <v>115</v>
      </c>
      <c r="H2833" s="23" t="s">
        <v>5451</v>
      </c>
      <c r="I2833" s="23">
        <v>3</v>
      </c>
      <c r="J2833" s="40">
        <v>0</v>
      </c>
      <c r="K2833" s="40">
        <v>0</v>
      </c>
      <c r="L2833" s="40" t="s">
        <v>115</v>
      </c>
      <c r="O2833" s="40" t="s">
        <v>115</v>
      </c>
      <c r="Q2833" s="40">
        <v>12</v>
      </c>
      <c r="R2833" s="40">
        <v>98</v>
      </c>
      <c r="X2833" s="40">
        <v>90231009</v>
      </c>
      <c r="Y2833" s="40" t="s">
        <v>115</v>
      </c>
      <c r="Z2833" s="40" t="s">
        <v>115</v>
      </c>
      <c r="AA2833" s="40" t="s">
        <v>115</v>
      </c>
      <c r="AB2833" s="40" t="s">
        <v>115</v>
      </c>
      <c r="AC2833" s="40" t="s">
        <v>115</v>
      </c>
      <c r="AI2833" s="40" t="s">
        <v>115</v>
      </c>
      <c r="AP2833" s="4" t="s">
        <v>115</v>
      </c>
    </row>
    <row r="2834" spans="1:42" x14ac:dyDescent="0.15">
      <c r="A2834" s="40" t="s">
        <v>1</v>
      </c>
      <c r="B2834" s="23">
        <v>90231009</v>
      </c>
      <c r="C2834" s="23">
        <v>2310</v>
      </c>
      <c r="D2834" s="23">
        <v>23</v>
      </c>
      <c r="F2834" s="23" t="s">
        <v>1067</v>
      </c>
      <c r="G2834" s="23" t="s">
        <v>115</v>
      </c>
      <c r="H2834" s="23" t="s">
        <v>5452</v>
      </c>
      <c r="I2834" s="23">
        <v>3</v>
      </c>
      <c r="J2834" s="40">
        <v>0</v>
      </c>
      <c r="K2834" s="40">
        <v>0</v>
      </c>
      <c r="L2834" s="40" t="s">
        <v>115</v>
      </c>
      <c r="O2834" s="40" t="s">
        <v>115</v>
      </c>
      <c r="Q2834" s="40">
        <v>12</v>
      </c>
      <c r="R2834" s="40">
        <v>98</v>
      </c>
      <c r="X2834" s="40">
        <v>90231010</v>
      </c>
      <c r="Y2834" s="40" t="s">
        <v>115</v>
      </c>
      <c r="Z2834" s="40" t="s">
        <v>115</v>
      </c>
      <c r="AA2834" s="40" t="s">
        <v>115</v>
      </c>
      <c r="AB2834" s="40" t="s">
        <v>115</v>
      </c>
      <c r="AC2834" s="40" t="s">
        <v>115</v>
      </c>
      <c r="AI2834" s="40" t="s">
        <v>115</v>
      </c>
      <c r="AP2834" s="4" t="s">
        <v>115</v>
      </c>
    </row>
    <row r="2835" spans="1:42" x14ac:dyDescent="0.15">
      <c r="A2835" s="40" t="s">
        <v>1</v>
      </c>
      <c r="B2835" s="23">
        <v>90231010</v>
      </c>
      <c r="C2835" s="23">
        <v>2310</v>
      </c>
      <c r="D2835" s="23">
        <v>23</v>
      </c>
      <c r="F2835" s="23" t="s">
        <v>1067</v>
      </c>
      <c r="G2835" s="23" t="s">
        <v>115</v>
      </c>
      <c r="H2835" s="23" t="s">
        <v>5453</v>
      </c>
      <c r="I2835" s="23">
        <v>3</v>
      </c>
      <c r="J2835" s="40">
        <v>0</v>
      </c>
      <c r="K2835" s="40">
        <v>0</v>
      </c>
      <c r="L2835" s="40" t="s">
        <v>115</v>
      </c>
      <c r="O2835" s="40" t="s">
        <v>115</v>
      </c>
      <c r="Q2835" s="40">
        <v>12</v>
      </c>
      <c r="R2835" s="40">
        <v>98</v>
      </c>
      <c r="X2835" s="40">
        <v>90231011</v>
      </c>
      <c r="Y2835" s="40" t="s">
        <v>115</v>
      </c>
      <c r="Z2835" s="40" t="s">
        <v>115</v>
      </c>
      <c r="AA2835" s="40" t="s">
        <v>115</v>
      </c>
      <c r="AB2835" s="40" t="s">
        <v>115</v>
      </c>
      <c r="AC2835" s="40" t="s">
        <v>115</v>
      </c>
      <c r="AI2835" s="40" t="s">
        <v>115</v>
      </c>
      <c r="AP2835" s="4" t="s">
        <v>115</v>
      </c>
    </row>
    <row r="2836" spans="1:42" x14ac:dyDescent="0.15">
      <c r="A2836" s="40" t="s">
        <v>1</v>
      </c>
      <c r="B2836" s="23">
        <v>90231011</v>
      </c>
      <c r="C2836" s="23">
        <v>2310</v>
      </c>
      <c r="D2836" s="23">
        <v>23</v>
      </c>
      <c r="F2836" s="23" t="s">
        <v>115</v>
      </c>
      <c r="G2836" s="23" t="s">
        <v>115</v>
      </c>
      <c r="H2836" s="23" t="s">
        <v>5454</v>
      </c>
      <c r="I2836" s="23">
        <v>4</v>
      </c>
      <c r="J2836" s="40">
        <v>0</v>
      </c>
      <c r="K2836" s="40">
        <v>0</v>
      </c>
      <c r="L2836" s="40" t="s">
        <v>115</v>
      </c>
      <c r="O2836" s="40" t="s">
        <v>115</v>
      </c>
      <c r="Q2836" s="40">
        <v>12</v>
      </c>
      <c r="R2836" s="40">
        <v>27</v>
      </c>
      <c r="X2836" s="40">
        <v>90231012</v>
      </c>
      <c r="Y2836" s="40" t="s">
        <v>115</v>
      </c>
      <c r="Z2836" s="40" t="s">
        <v>115</v>
      </c>
      <c r="AA2836" s="40" t="s">
        <v>115</v>
      </c>
      <c r="AB2836" s="40" t="s">
        <v>115</v>
      </c>
      <c r="AC2836" s="40" t="s">
        <v>115</v>
      </c>
      <c r="AI2836" s="40" t="s">
        <v>115</v>
      </c>
      <c r="AP2836" s="4" t="s">
        <v>115</v>
      </c>
    </row>
    <row r="2837" spans="1:42" x14ac:dyDescent="0.15">
      <c r="A2837" s="40" t="s">
        <v>1</v>
      </c>
      <c r="B2837" s="23">
        <v>90231012</v>
      </c>
      <c r="C2837" s="23">
        <v>2310</v>
      </c>
      <c r="D2837" s="23">
        <v>23</v>
      </c>
      <c r="F2837" s="23" t="s">
        <v>115</v>
      </c>
      <c r="G2837" s="23" t="s">
        <v>115</v>
      </c>
      <c r="H2837" s="23" t="s">
        <v>5455</v>
      </c>
      <c r="I2837" s="23">
        <v>4</v>
      </c>
      <c r="J2837" s="40">
        <v>0</v>
      </c>
      <c r="K2837" s="40">
        <v>0</v>
      </c>
      <c r="L2837" s="40" t="s">
        <v>115</v>
      </c>
      <c r="O2837" s="40" t="s">
        <v>115</v>
      </c>
      <c r="Q2837" s="40">
        <v>12</v>
      </c>
      <c r="R2837" s="40">
        <v>27</v>
      </c>
      <c r="X2837" s="40">
        <v>90231013</v>
      </c>
      <c r="Y2837" s="40" t="s">
        <v>115</v>
      </c>
      <c r="Z2837" s="40" t="s">
        <v>115</v>
      </c>
      <c r="AA2837" s="40" t="s">
        <v>115</v>
      </c>
      <c r="AB2837" s="40" t="s">
        <v>115</v>
      </c>
      <c r="AC2837" s="40" t="s">
        <v>115</v>
      </c>
      <c r="AI2837" s="40" t="s">
        <v>115</v>
      </c>
      <c r="AP2837" s="4" t="s">
        <v>115</v>
      </c>
    </row>
    <row r="2838" spans="1:42" x14ac:dyDescent="0.15">
      <c r="A2838" s="40" t="s">
        <v>1</v>
      </c>
      <c r="B2838" s="23">
        <v>90231013</v>
      </c>
      <c r="C2838" s="23">
        <v>2310</v>
      </c>
      <c r="D2838" s="23">
        <v>23</v>
      </c>
      <c r="F2838" s="23" t="s">
        <v>115</v>
      </c>
      <c r="G2838" s="23" t="s">
        <v>115</v>
      </c>
      <c r="H2838" s="23" t="s">
        <v>5456</v>
      </c>
      <c r="I2838" s="23">
        <v>4</v>
      </c>
      <c r="J2838" s="40">
        <v>0</v>
      </c>
      <c r="K2838" s="40">
        <v>2</v>
      </c>
      <c r="L2838" s="40" t="s">
        <v>5457</v>
      </c>
      <c r="O2838" s="40" t="s">
        <v>115</v>
      </c>
      <c r="Q2838" s="40">
        <v>12</v>
      </c>
      <c r="R2838" s="40">
        <v>27</v>
      </c>
      <c r="X2838" s="40">
        <v>90231014</v>
      </c>
      <c r="Y2838" s="40" t="s">
        <v>115</v>
      </c>
      <c r="Z2838" s="40">
        <v>1</v>
      </c>
      <c r="AA2838" s="40" t="s">
        <v>115</v>
      </c>
      <c r="AB2838" s="40" t="s">
        <v>115</v>
      </c>
      <c r="AC2838" s="40" t="s">
        <v>115</v>
      </c>
      <c r="AI2838" s="40" t="s">
        <v>115</v>
      </c>
      <c r="AP2838" s="4" t="s">
        <v>115</v>
      </c>
    </row>
    <row r="2839" spans="1:42" x14ac:dyDescent="0.15">
      <c r="A2839" s="40" t="s">
        <v>1</v>
      </c>
      <c r="B2839" s="23">
        <v>90231014</v>
      </c>
      <c r="C2839" s="23">
        <v>2310</v>
      </c>
      <c r="D2839" s="23">
        <v>23</v>
      </c>
      <c r="F2839" s="23" t="s">
        <v>116</v>
      </c>
      <c r="G2839" s="23">
        <v>312</v>
      </c>
      <c r="H2839" s="23" t="s">
        <v>5458</v>
      </c>
      <c r="I2839" s="23">
        <v>2</v>
      </c>
      <c r="J2839" s="40">
        <v>0</v>
      </c>
      <c r="K2839" s="40">
        <v>0</v>
      </c>
      <c r="L2839" s="40" t="s">
        <v>115</v>
      </c>
      <c r="O2839" s="40" t="s">
        <v>115</v>
      </c>
      <c r="Q2839" s="40">
        <v>12</v>
      </c>
      <c r="R2839" s="40">
        <v>27</v>
      </c>
      <c r="X2839" s="40">
        <v>90231015</v>
      </c>
      <c r="Y2839" s="40" t="s">
        <v>115</v>
      </c>
      <c r="Z2839" s="40" t="s">
        <v>115</v>
      </c>
      <c r="AA2839" s="40" t="s">
        <v>115</v>
      </c>
      <c r="AB2839" s="40" t="s">
        <v>115</v>
      </c>
      <c r="AC2839" s="40" t="s">
        <v>115</v>
      </c>
      <c r="AI2839" s="40" t="s">
        <v>115</v>
      </c>
      <c r="AP2839" s="4" t="s">
        <v>115</v>
      </c>
    </row>
    <row r="2840" spans="1:42" x14ac:dyDescent="0.15">
      <c r="A2840" s="40" t="s">
        <v>1</v>
      </c>
      <c r="B2840" s="23">
        <v>90231015</v>
      </c>
      <c r="C2840" s="23">
        <v>2310</v>
      </c>
      <c r="D2840" s="23">
        <v>23</v>
      </c>
      <c r="F2840" s="23" t="s">
        <v>116</v>
      </c>
      <c r="G2840" s="23">
        <v>312</v>
      </c>
      <c r="H2840" s="23" t="s">
        <v>5459</v>
      </c>
      <c r="I2840" s="23">
        <v>2</v>
      </c>
      <c r="J2840" s="40">
        <v>0</v>
      </c>
      <c r="K2840" s="40">
        <v>3</v>
      </c>
      <c r="L2840" s="40" t="s">
        <v>115</v>
      </c>
      <c r="O2840" s="40">
        <v>1</v>
      </c>
      <c r="Q2840" s="40">
        <v>12</v>
      </c>
      <c r="R2840" s="40">
        <v>27</v>
      </c>
      <c r="X2840" s="40" t="s">
        <v>115</v>
      </c>
      <c r="Y2840" s="40" t="s">
        <v>115</v>
      </c>
      <c r="Z2840" s="40">
        <v>2</v>
      </c>
      <c r="AA2840" s="40" t="s">
        <v>115</v>
      </c>
      <c r="AB2840" s="40" t="s">
        <v>115</v>
      </c>
      <c r="AC2840" s="40" t="s">
        <v>115</v>
      </c>
      <c r="AI2840" s="40" t="s">
        <v>115</v>
      </c>
      <c r="AP2840" s="4" t="s">
        <v>5460</v>
      </c>
    </row>
    <row r="2841" spans="1:42" x14ac:dyDescent="0.15">
      <c r="A2841" s="40" t="s">
        <v>1</v>
      </c>
      <c r="B2841" s="23" t="s">
        <v>4862</v>
      </c>
      <c r="C2841" s="23">
        <v>2401</v>
      </c>
      <c r="D2841" s="23">
        <v>24</v>
      </c>
      <c r="F2841" s="23" t="s">
        <v>115</v>
      </c>
      <c r="G2841" s="23" t="s">
        <v>115</v>
      </c>
      <c r="H2841" s="23" t="s">
        <v>5461</v>
      </c>
      <c r="I2841" s="23">
        <v>4</v>
      </c>
      <c r="J2841" s="40">
        <v>1</v>
      </c>
      <c r="K2841" s="40">
        <v>1</v>
      </c>
      <c r="L2841" s="40" t="s">
        <v>115</v>
      </c>
      <c r="O2841" s="40" t="s">
        <v>115</v>
      </c>
      <c r="Q2841" s="40">
        <v>177</v>
      </c>
      <c r="R2841" s="40" t="s">
        <v>115</v>
      </c>
      <c r="X2841" s="40">
        <v>90240102</v>
      </c>
      <c r="Y2841" s="40" t="s">
        <v>115</v>
      </c>
      <c r="Z2841" s="40" t="s">
        <v>115</v>
      </c>
      <c r="AA2841" s="40" t="s">
        <v>115</v>
      </c>
      <c r="AB2841" s="40" t="s">
        <v>115</v>
      </c>
      <c r="AC2841" s="40" t="s">
        <v>115</v>
      </c>
      <c r="AI2841" s="40" t="s">
        <v>115</v>
      </c>
      <c r="AP2841" s="4" t="s">
        <v>115</v>
      </c>
    </row>
    <row r="2842" spans="1:42" x14ac:dyDescent="0.15">
      <c r="A2842" s="40" t="s">
        <v>1</v>
      </c>
      <c r="B2842" s="23">
        <v>90240102</v>
      </c>
      <c r="C2842" s="23">
        <v>2401</v>
      </c>
      <c r="D2842" s="23">
        <v>24</v>
      </c>
      <c r="F2842" s="23" t="s">
        <v>116</v>
      </c>
      <c r="G2842" s="23">
        <v>313</v>
      </c>
      <c r="H2842" s="23" t="s">
        <v>5462</v>
      </c>
      <c r="I2842" s="23">
        <v>2</v>
      </c>
      <c r="J2842" s="40">
        <v>0</v>
      </c>
      <c r="K2842" s="40">
        <v>0</v>
      </c>
      <c r="L2842" s="40" t="s">
        <v>115</v>
      </c>
      <c r="O2842" s="40" t="s">
        <v>115</v>
      </c>
      <c r="Q2842" s="40">
        <v>177</v>
      </c>
      <c r="R2842" s="40" t="s">
        <v>115</v>
      </c>
      <c r="X2842" s="40">
        <v>90240103</v>
      </c>
      <c r="Y2842" s="40" t="s">
        <v>115</v>
      </c>
      <c r="Z2842" s="40" t="s">
        <v>115</v>
      </c>
      <c r="AA2842" s="40" t="s">
        <v>115</v>
      </c>
      <c r="AB2842" s="40" t="s">
        <v>115</v>
      </c>
      <c r="AC2842" s="40" t="s">
        <v>115</v>
      </c>
      <c r="AI2842" s="40" t="s">
        <v>115</v>
      </c>
      <c r="AP2842" s="4" t="s">
        <v>115</v>
      </c>
    </row>
    <row r="2843" spans="1:42" x14ac:dyDescent="0.15">
      <c r="A2843" s="40" t="s">
        <v>1</v>
      </c>
      <c r="B2843" s="23">
        <v>90240103</v>
      </c>
      <c r="C2843" s="23">
        <v>2401</v>
      </c>
      <c r="D2843" s="23">
        <v>24</v>
      </c>
      <c r="F2843" s="23" t="s">
        <v>5463</v>
      </c>
      <c r="G2843" s="23" t="s">
        <v>115</v>
      </c>
      <c r="H2843" s="23" t="s">
        <v>5464</v>
      </c>
      <c r="I2843" s="23">
        <v>3</v>
      </c>
      <c r="J2843" s="40">
        <v>0</v>
      </c>
      <c r="K2843" s="40">
        <v>0</v>
      </c>
      <c r="L2843" s="40" t="s">
        <v>115</v>
      </c>
      <c r="O2843" s="40" t="s">
        <v>115</v>
      </c>
      <c r="Q2843" s="40">
        <v>177</v>
      </c>
      <c r="R2843" s="40">
        <v>245</v>
      </c>
      <c r="X2843" s="40">
        <v>90240104</v>
      </c>
      <c r="Y2843" s="40" t="s">
        <v>115</v>
      </c>
      <c r="Z2843" s="40" t="s">
        <v>115</v>
      </c>
      <c r="AA2843" s="40" t="s">
        <v>115</v>
      </c>
      <c r="AB2843" s="40" t="s">
        <v>115</v>
      </c>
      <c r="AC2843" s="40" t="s">
        <v>115</v>
      </c>
      <c r="AI2843" s="40" t="s">
        <v>115</v>
      </c>
      <c r="AP2843" s="4" t="s">
        <v>115</v>
      </c>
    </row>
    <row r="2844" spans="1:42" x14ac:dyDescent="0.15">
      <c r="A2844" s="40" t="s">
        <v>1</v>
      </c>
      <c r="B2844" s="23">
        <v>90240104</v>
      </c>
      <c r="C2844" s="23">
        <v>2401</v>
      </c>
      <c r="D2844" s="23">
        <v>24</v>
      </c>
      <c r="F2844" s="23" t="s">
        <v>116</v>
      </c>
      <c r="G2844" s="23">
        <v>360</v>
      </c>
      <c r="H2844" s="23" t="s">
        <v>5465</v>
      </c>
      <c r="I2844" s="23">
        <v>2</v>
      </c>
      <c r="J2844" s="40">
        <v>0</v>
      </c>
      <c r="K2844" s="40">
        <v>0</v>
      </c>
      <c r="L2844" s="40" t="s">
        <v>115</v>
      </c>
      <c r="O2844" s="40" t="s">
        <v>115</v>
      </c>
      <c r="Q2844" s="40">
        <v>177</v>
      </c>
      <c r="R2844" s="40">
        <v>245</v>
      </c>
      <c r="X2844" s="40">
        <v>90240105</v>
      </c>
      <c r="Y2844" s="40" t="s">
        <v>115</v>
      </c>
      <c r="Z2844" s="40" t="s">
        <v>115</v>
      </c>
      <c r="AA2844" s="40" t="s">
        <v>115</v>
      </c>
      <c r="AB2844" s="40" t="s">
        <v>115</v>
      </c>
      <c r="AC2844" s="40" t="s">
        <v>115</v>
      </c>
      <c r="AI2844" s="40" t="s">
        <v>115</v>
      </c>
      <c r="AP2844" s="4" t="s">
        <v>115</v>
      </c>
    </row>
    <row r="2845" spans="1:42" x14ac:dyDescent="0.15">
      <c r="A2845" s="40" t="s">
        <v>1</v>
      </c>
      <c r="B2845" s="23">
        <v>90240105</v>
      </c>
      <c r="C2845" s="23">
        <v>2401</v>
      </c>
      <c r="D2845" s="23">
        <v>24</v>
      </c>
      <c r="F2845" s="23" t="s">
        <v>116</v>
      </c>
      <c r="G2845" s="23">
        <v>312</v>
      </c>
      <c r="H2845" s="23" t="s">
        <v>5466</v>
      </c>
      <c r="I2845" s="23">
        <v>0</v>
      </c>
      <c r="J2845" s="40">
        <v>0</v>
      </c>
      <c r="K2845" s="40">
        <v>0</v>
      </c>
      <c r="L2845" s="40" t="s">
        <v>115</v>
      </c>
      <c r="O2845" s="40" t="s">
        <v>115</v>
      </c>
      <c r="Q2845" s="40">
        <v>177</v>
      </c>
      <c r="R2845" s="40">
        <v>245</v>
      </c>
      <c r="X2845" s="40">
        <v>90240106</v>
      </c>
      <c r="Y2845" s="40" t="s">
        <v>115</v>
      </c>
      <c r="Z2845" s="40" t="s">
        <v>115</v>
      </c>
      <c r="AA2845" s="40" t="s">
        <v>115</v>
      </c>
      <c r="AB2845" s="40" t="s">
        <v>115</v>
      </c>
      <c r="AC2845" s="40" t="s">
        <v>115</v>
      </c>
      <c r="AI2845" s="40" t="s">
        <v>115</v>
      </c>
      <c r="AP2845" s="4" t="s">
        <v>115</v>
      </c>
    </row>
    <row r="2846" spans="1:42" x14ac:dyDescent="0.15">
      <c r="A2846" s="40" t="s">
        <v>1</v>
      </c>
      <c r="B2846" s="23">
        <v>90240106</v>
      </c>
      <c r="C2846" s="23">
        <v>2401</v>
      </c>
      <c r="D2846" s="23">
        <v>24</v>
      </c>
      <c r="F2846" s="23" t="s">
        <v>5463</v>
      </c>
      <c r="G2846" s="23" t="s">
        <v>115</v>
      </c>
      <c r="H2846" s="23" t="s">
        <v>5467</v>
      </c>
      <c r="I2846" s="23">
        <v>3</v>
      </c>
      <c r="J2846" s="40">
        <v>0</v>
      </c>
      <c r="K2846" s="40">
        <v>0</v>
      </c>
      <c r="L2846" s="40" t="s">
        <v>115</v>
      </c>
      <c r="O2846" s="40" t="s">
        <v>115</v>
      </c>
      <c r="Q2846" s="40">
        <v>177</v>
      </c>
      <c r="R2846" s="40">
        <v>245</v>
      </c>
      <c r="X2846" s="40">
        <v>90240107</v>
      </c>
      <c r="Y2846" s="40" t="s">
        <v>115</v>
      </c>
      <c r="Z2846" s="40" t="s">
        <v>115</v>
      </c>
      <c r="AA2846" s="40" t="s">
        <v>115</v>
      </c>
      <c r="AB2846" s="40" t="s">
        <v>115</v>
      </c>
      <c r="AC2846" s="40" t="s">
        <v>115</v>
      </c>
      <c r="AI2846" s="40" t="s">
        <v>115</v>
      </c>
      <c r="AP2846" s="4" t="s">
        <v>115</v>
      </c>
    </row>
    <row r="2847" spans="1:42" x14ac:dyDescent="0.15">
      <c r="A2847" s="40" t="s">
        <v>1</v>
      </c>
      <c r="B2847" s="23">
        <v>90240107</v>
      </c>
      <c r="C2847" s="23">
        <v>2401</v>
      </c>
      <c r="D2847" s="23">
        <v>24</v>
      </c>
      <c r="F2847" s="23" t="s">
        <v>115</v>
      </c>
      <c r="G2847" s="23" t="s">
        <v>115</v>
      </c>
      <c r="H2847" s="23" t="s">
        <v>5468</v>
      </c>
      <c r="I2847" s="23">
        <v>4</v>
      </c>
      <c r="J2847" s="40">
        <v>0</v>
      </c>
      <c r="K2847" s="40">
        <v>2</v>
      </c>
      <c r="L2847" s="40" t="s">
        <v>115</v>
      </c>
      <c r="O2847" s="40" t="s">
        <v>115</v>
      </c>
      <c r="Q2847" s="40">
        <v>177</v>
      </c>
      <c r="R2847" s="40">
        <v>245</v>
      </c>
      <c r="X2847" s="40" t="s">
        <v>5469</v>
      </c>
      <c r="Y2847" s="40">
        <v>1</v>
      </c>
      <c r="Z2847" s="40">
        <v>1</v>
      </c>
      <c r="AA2847" s="40" t="s">
        <v>115</v>
      </c>
      <c r="AB2847" s="40" t="s">
        <v>115</v>
      </c>
      <c r="AC2847" s="40" t="s">
        <v>115</v>
      </c>
      <c r="AI2847" s="40" t="s">
        <v>115</v>
      </c>
      <c r="AP2847" s="4" t="s">
        <v>115</v>
      </c>
    </row>
    <row r="2848" spans="1:42" x14ac:dyDescent="0.15">
      <c r="A2848" s="40" t="s">
        <v>1</v>
      </c>
      <c r="B2848" s="23">
        <v>90240108</v>
      </c>
      <c r="C2848" s="23">
        <v>2401</v>
      </c>
      <c r="D2848" s="23">
        <v>24</v>
      </c>
      <c r="F2848" s="23" t="s">
        <v>115</v>
      </c>
      <c r="G2848" s="23" t="s">
        <v>115</v>
      </c>
      <c r="H2848" s="23" t="s">
        <v>5470</v>
      </c>
      <c r="I2848" s="23">
        <v>4</v>
      </c>
      <c r="J2848" s="40">
        <v>0</v>
      </c>
      <c r="K2848" s="40">
        <v>3</v>
      </c>
      <c r="L2848" s="40" t="s">
        <v>115</v>
      </c>
      <c r="O2848" s="40" t="s">
        <v>115</v>
      </c>
      <c r="Q2848" s="40">
        <v>177</v>
      </c>
      <c r="R2848" s="40">
        <v>245</v>
      </c>
      <c r="X2848" s="40">
        <v>90240110</v>
      </c>
      <c r="Y2848" s="40">
        <v>-1</v>
      </c>
      <c r="Z2848" s="40">
        <v>2</v>
      </c>
      <c r="AA2848" s="40" t="s">
        <v>115</v>
      </c>
      <c r="AB2848" s="40" t="s">
        <v>115</v>
      </c>
      <c r="AC2848" s="40" t="s">
        <v>115</v>
      </c>
      <c r="AI2848" s="40" t="s">
        <v>115</v>
      </c>
      <c r="AP2848" s="4" t="s">
        <v>115</v>
      </c>
    </row>
    <row r="2849" spans="1:42" x14ac:dyDescent="0.15">
      <c r="A2849" s="40" t="s">
        <v>1</v>
      </c>
      <c r="B2849" s="23">
        <v>90240109</v>
      </c>
      <c r="C2849" s="23">
        <v>2401</v>
      </c>
      <c r="D2849" s="23">
        <v>24</v>
      </c>
      <c r="F2849" s="23" t="s">
        <v>115</v>
      </c>
      <c r="G2849" s="23" t="s">
        <v>115</v>
      </c>
      <c r="H2849" s="23" t="s">
        <v>5471</v>
      </c>
      <c r="I2849" s="23">
        <v>4</v>
      </c>
      <c r="J2849" s="40">
        <v>0</v>
      </c>
      <c r="K2849" s="40">
        <v>4</v>
      </c>
      <c r="L2849" s="40" t="s">
        <v>115</v>
      </c>
      <c r="O2849" s="40" t="s">
        <v>115</v>
      </c>
      <c r="Q2849" s="40">
        <v>177</v>
      </c>
      <c r="R2849" s="40">
        <v>245</v>
      </c>
      <c r="X2849" s="40">
        <v>90240112</v>
      </c>
      <c r="Y2849" s="40">
        <v>-1</v>
      </c>
      <c r="Z2849" s="40">
        <v>2</v>
      </c>
      <c r="AA2849" s="40" t="s">
        <v>115</v>
      </c>
      <c r="AB2849" s="40" t="s">
        <v>115</v>
      </c>
      <c r="AC2849" s="40" t="s">
        <v>5472</v>
      </c>
      <c r="AI2849" s="40" t="s">
        <v>115</v>
      </c>
      <c r="AP2849" s="4" t="s">
        <v>115</v>
      </c>
    </row>
    <row r="2850" spans="1:42" x14ac:dyDescent="0.15">
      <c r="A2850" s="40" t="s">
        <v>1</v>
      </c>
      <c r="B2850" s="23">
        <v>90240110</v>
      </c>
      <c r="C2850" s="23">
        <v>2401</v>
      </c>
      <c r="D2850" s="23">
        <v>24</v>
      </c>
      <c r="F2850" s="23" t="s">
        <v>5463</v>
      </c>
      <c r="G2850" s="23" t="s">
        <v>115</v>
      </c>
      <c r="H2850" s="23" t="s">
        <v>5473</v>
      </c>
      <c r="I2850" s="23">
        <v>3</v>
      </c>
      <c r="J2850" s="40">
        <v>0</v>
      </c>
      <c r="K2850" s="40">
        <v>0</v>
      </c>
      <c r="L2850" s="40" t="s">
        <v>115</v>
      </c>
      <c r="O2850" s="40" t="s">
        <v>115</v>
      </c>
      <c r="Q2850" s="40">
        <v>177</v>
      </c>
      <c r="R2850" s="40">
        <v>245</v>
      </c>
      <c r="X2850" s="40">
        <v>90240111</v>
      </c>
      <c r="Y2850" s="40" t="s">
        <v>115</v>
      </c>
      <c r="Z2850" s="40" t="s">
        <v>115</v>
      </c>
      <c r="AA2850" s="40" t="s">
        <v>115</v>
      </c>
      <c r="AB2850" s="40" t="s">
        <v>115</v>
      </c>
      <c r="AC2850" s="40" t="s">
        <v>115</v>
      </c>
      <c r="AI2850" s="40" t="s">
        <v>115</v>
      </c>
      <c r="AP2850" s="4" t="s">
        <v>115</v>
      </c>
    </row>
    <row r="2851" spans="1:42" x14ac:dyDescent="0.15">
      <c r="A2851" s="40" t="s">
        <v>1</v>
      </c>
      <c r="B2851" s="23">
        <v>90240111</v>
      </c>
      <c r="C2851" s="23">
        <v>2401</v>
      </c>
      <c r="D2851" s="23">
        <v>24</v>
      </c>
      <c r="F2851" s="23" t="s">
        <v>116</v>
      </c>
      <c r="G2851" s="23">
        <v>312</v>
      </c>
      <c r="H2851" s="23" t="s">
        <v>5474</v>
      </c>
      <c r="I2851" s="23">
        <v>2</v>
      </c>
      <c r="J2851" s="40">
        <v>0</v>
      </c>
      <c r="K2851" s="40">
        <v>0</v>
      </c>
      <c r="L2851" s="40" t="s">
        <v>115</v>
      </c>
      <c r="O2851" s="40" t="s">
        <v>115</v>
      </c>
      <c r="Q2851" s="40">
        <v>177</v>
      </c>
      <c r="R2851" s="40">
        <v>245</v>
      </c>
      <c r="X2851" s="40">
        <v>90240107</v>
      </c>
      <c r="Y2851" s="40" t="s">
        <v>115</v>
      </c>
      <c r="Z2851" s="40" t="s">
        <v>115</v>
      </c>
      <c r="AA2851" s="40" t="s">
        <v>115</v>
      </c>
      <c r="AB2851" s="40" t="s">
        <v>115</v>
      </c>
      <c r="AC2851" s="40" t="s">
        <v>115</v>
      </c>
      <c r="AI2851" s="40" t="s">
        <v>115</v>
      </c>
      <c r="AP2851" s="4" t="s">
        <v>115</v>
      </c>
    </row>
    <row r="2852" spans="1:42" x14ac:dyDescent="0.15">
      <c r="A2852" s="40" t="s">
        <v>1</v>
      </c>
      <c r="B2852" s="23">
        <v>90240112</v>
      </c>
      <c r="C2852" s="23">
        <v>2401</v>
      </c>
      <c r="D2852" s="23">
        <v>24</v>
      </c>
      <c r="F2852" s="23" t="s">
        <v>116</v>
      </c>
      <c r="G2852" s="23">
        <v>312</v>
      </c>
      <c r="H2852" s="23" t="s">
        <v>5475</v>
      </c>
      <c r="I2852" s="23">
        <v>0</v>
      </c>
      <c r="J2852" s="40">
        <v>0</v>
      </c>
      <c r="K2852" s="40">
        <v>0</v>
      </c>
      <c r="L2852" s="40" t="s">
        <v>115</v>
      </c>
      <c r="O2852" s="40" t="s">
        <v>115</v>
      </c>
      <c r="Q2852" s="40">
        <v>177</v>
      </c>
      <c r="R2852" s="40">
        <v>245</v>
      </c>
      <c r="X2852" s="40">
        <v>90240113</v>
      </c>
      <c r="Y2852" s="40" t="s">
        <v>115</v>
      </c>
      <c r="Z2852" s="40" t="s">
        <v>115</v>
      </c>
      <c r="AA2852" s="40" t="s">
        <v>115</v>
      </c>
      <c r="AB2852" s="40" t="s">
        <v>115</v>
      </c>
      <c r="AC2852" s="40" t="s">
        <v>115</v>
      </c>
      <c r="AI2852" s="40" t="s">
        <v>115</v>
      </c>
      <c r="AP2852" s="4" t="s">
        <v>115</v>
      </c>
    </row>
    <row r="2853" spans="1:42" x14ac:dyDescent="0.15">
      <c r="A2853" s="40" t="s">
        <v>1</v>
      </c>
      <c r="B2853" s="23">
        <v>90240113</v>
      </c>
      <c r="C2853" s="23">
        <v>2401</v>
      </c>
      <c r="D2853" s="23">
        <v>24</v>
      </c>
      <c r="F2853" s="23" t="s">
        <v>5463</v>
      </c>
      <c r="G2853" s="23" t="s">
        <v>115</v>
      </c>
      <c r="H2853" s="23" t="s">
        <v>5476</v>
      </c>
      <c r="I2853" s="23">
        <v>3</v>
      </c>
      <c r="J2853" s="40">
        <v>0</v>
      </c>
      <c r="K2853" s="40">
        <v>0</v>
      </c>
      <c r="L2853" s="40" t="s">
        <v>115</v>
      </c>
      <c r="O2853" s="40" t="s">
        <v>115</v>
      </c>
      <c r="Q2853" s="40">
        <v>177</v>
      </c>
      <c r="R2853" s="40">
        <v>245</v>
      </c>
      <c r="X2853" s="40">
        <v>90240114</v>
      </c>
      <c r="Y2853" s="40" t="s">
        <v>115</v>
      </c>
      <c r="Z2853" s="40" t="s">
        <v>115</v>
      </c>
      <c r="AA2853" s="40" t="s">
        <v>115</v>
      </c>
      <c r="AB2853" s="40" t="s">
        <v>115</v>
      </c>
      <c r="AC2853" s="40" t="s">
        <v>115</v>
      </c>
      <c r="AI2853" s="40" t="s">
        <v>115</v>
      </c>
      <c r="AP2853" s="4" t="s">
        <v>115</v>
      </c>
    </row>
    <row r="2854" spans="1:42" x14ac:dyDescent="0.15">
      <c r="A2854" s="40" t="s">
        <v>1</v>
      </c>
      <c r="B2854" s="23">
        <v>90240114</v>
      </c>
      <c r="C2854" s="23">
        <v>2401</v>
      </c>
      <c r="D2854" s="23">
        <v>24</v>
      </c>
      <c r="F2854" s="23" t="s">
        <v>5463</v>
      </c>
      <c r="G2854" s="23" t="s">
        <v>115</v>
      </c>
      <c r="H2854" s="23" t="s">
        <v>5477</v>
      </c>
      <c r="I2854" s="23">
        <v>3</v>
      </c>
      <c r="J2854" s="40">
        <v>0</v>
      </c>
      <c r="K2854" s="40">
        <v>0</v>
      </c>
      <c r="L2854" s="40" t="s">
        <v>115</v>
      </c>
      <c r="O2854" s="40" t="s">
        <v>115</v>
      </c>
      <c r="Q2854" s="40">
        <v>177</v>
      </c>
      <c r="R2854" s="40">
        <v>245</v>
      </c>
      <c r="X2854" s="40">
        <v>90240115</v>
      </c>
      <c r="Y2854" s="40" t="s">
        <v>115</v>
      </c>
      <c r="Z2854" s="40" t="s">
        <v>115</v>
      </c>
      <c r="AA2854" s="40" t="s">
        <v>115</v>
      </c>
      <c r="AB2854" s="40" t="s">
        <v>115</v>
      </c>
      <c r="AC2854" s="40" t="s">
        <v>115</v>
      </c>
      <c r="AI2854" s="40" t="s">
        <v>115</v>
      </c>
      <c r="AP2854" s="4" t="s">
        <v>115</v>
      </c>
    </row>
    <row r="2855" spans="1:42" x14ac:dyDescent="0.15">
      <c r="A2855" s="40" t="s">
        <v>1</v>
      </c>
      <c r="B2855" s="23">
        <v>90240115</v>
      </c>
      <c r="C2855" s="23">
        <v>2401</v>
      </c>
      <c r="D2855" s="23">
        <v>24</v>
      </c>
      <c r="F2855" s="23" t="s">
        <v>116</v>
      </c>
      <c r="G2855" s="23">
        <v>309</v>
      </c>
      <c r="H2855" s="23" t="s">
        <v>5478</v>
      </c>
      <c r="I2855" s="23">
        <v>2</v>
      </c>
      <c r="J2855" s="40">
        <v>0</v>
      </c>
      <c r="K2855" s="40">
        <v>0</v>
      </c>
      <c r="L2855" s="40" t="s">
        <v>115</v>
      </c>
      <c r="O2855" s="40" t="s">
        <v>115</v>
      </c>
      <c r="Q2855" s="40">
        <v>177</v>
      </c>
      <c r="R2855" s="40">
        <v>245</v>
      </c>
      <c r="X2855" s="40">
        <v>90240116</v>
      </c>
      <c r="Y2855" s="40" t="s">
        <v>115</v>
      </c>
      <c r="Z2855" s="40" t="s">
        <v>115</v>
      </c>
      <c r="AA2855" s="40" t="s">
        <v>115</v>
      </c>
      <c r="AB2855" s="40" t="s">
        <v>115</v>
      </c>
      <c r="AC2855" s="40" t="s">
        <v>115</v>
      </c>
      <c r="AI2855" s="40" t="s">
        <v>115</v>
      </c>
      <c r="AP2855" s="4" t="s">
        <v>115</v>
      </c>
    </row>
    <row r="2856" spans="1:42" x14ac:dyDescent="0.15">
      <c r="A2856" s="40" t="s">
        <v>1</v>
      </c>
      <c r="B2856" s="23">
        <v>90240116</v>
      </c>
      <c r="C2856" s="23">
        <v>2401</v>
      </c>
      <c r="D2856" s="23">
        <v>24</v>
      </c>
      <c r="F2856" s="23" t="s">
        <v>5463</v>
      </c>
      <c r="G2856" s="23" t="s">
        <v>115</v>
      </c>
      <c r="H2856" s="23" t="s">
        <v>5479</v>
      </c>
      <c r="I2856" s="23">
        <v>3</v>
      </c>
      <c r="J2856" s="40">
        <v>0</v>
      </c>
      <c r="K2856" s="40">
        <v>0</v>
      </c>
      <c r="L2856" s="40" t="s">
        <v>115</v>
      </c>
      <c r="O2856" s="40" t="s">
        <v>115</v>
      </c>
      <c r="Q2856" s="40">
        <v>177</v>
      </c>
      <c r="R2856" s="40">
        <v>245</v>
      </c>
      <c r="X2856" s="40">
        <v>90240117</v>
      </c>
      <c r="Y2856" s="40" t="s">
        <v>115</v>
      </c>
      <c r="Z2856" s="40" t="s">
        <v>115</v>
      </c>
      <c r="AA2856" s="40" t="s">
        <v>115</v>
      </c>
      <c r="AB2856" s="40" t="s">
        <v>115</v>
      </c>
      <c r="AC2856" s="40" t="s">
        <v>115</v>
      </c>
      <c r="AI2856" s="40" t="s">
        <v>115</v>
      </c>
      <c r="AP2856" s="4" t="s">
        <v>115</v>
      </c>
    </row>
    <row r="2857" spans="1:42" x14ac:dyDescent="0.15">
      <c r="A2857" s="40" t="s">
        <v>1</v>
      </c>
      <c r="B2857" s="23">
        <v>90240117</v>
      </c>
      <c r="C2857" s="23">
        <v>2401</v>
      </c>
      <c r="D2857" s="23">
        <v>24</v>
      </c>
      <c r="F2857" s="23" t="s">
        <v>5463</v>
      </c>
      <c r="G2857" s="23" t="s">
        <v>115</v>
      </c>
      <c r="H2857" s="23" t="s">
        <v>5480</v>
      </c>
      <c r="I2857" s="23">
        <v>3</v>
      </c>
      <c r="J2857" s="40">
        <v>0</v>
      </c>
      <c r="K2857" s="40">
        <v>5</v>
      </c>
      <c r="L2857" s="40" t="s">
        <v>115</v>
      </c>
      <c r="O2857" s="40">
        <v>1</v>
      </c>
      <c r="Q2857" s="40">
        <v>177</v>
      </c>
      <c r="R2857" s="40">
        <v>245</v>
      </c>
      <c r="X2857" s="40" t="s">
        <v>115</v>
      </c>
      <c r="Y2857" s="40" t="s">
        <v>115</v>
      </c>
      <c r="Z2857" s="40">
        <v>4</v>
      </c>
      <c r="AA2857" s="40" t="s">
        <v>115</v>
      </c>
      <c r="AB2857" s="40" t="s">
        <v>115</v>
      </c>
      <c r="AC2857" s="40" t="s">
        <v>115</v>
      </c>
      <c r="AI2857" s="40" t="s">
        <v>115</v>
      </c>
      <c r="AP2857" s="4" t="s">
        <v>5481</v>
      </c>
    </row>
    <row r="2858" spans="1:42" x14ac:dyDescent="0.15">
      <c r="A2858" s="40" t="s">
        <v>1</v>
      </c>
      <c r="B2858" s="23" t="s">
        <v>4865</v>
      </c>
      <c r="C2858" s="23">
        <v>2402</v>
      </c>
      <c r="D2858" s="23">
        <v>24</v>
      </c>
      <c r="F2858" s="23" t="s">
        <v>115</v>
      </c>
      <c r="G2858" s="23" t="s">
        <v>115</v>
      </c>
      <c r="H2858" s="23" t="s">
        <v>5482</v>
      </c>
      <c r="I2858" s="23">
        <v>4</v>
      </c>
      <c r="J2858" s="40">
        <v>1</v>
      </c>
      <c r="K2858" s="40">
        <v>1</v>
      </c>
      <c r="L2858" s="40" t="s">
        <v>115</v>
      </c>
      <c r="O2858" s="40" t="s">
        <v>115</v>
      </c>
      <c r="Q2858" s="40">
        <v>201</v>
      </c>
      <c r="R2858" s="40" t="s">
        <v>115</v>
      </c>
      <c r="X2858" s="40">
        <v>90240202</v>
      </c>
      <c r="Y2858" s="40" t="s">
        <v>115</v>
      </c>
      <c r="Z2858" s="40" t="s">
        <v>115</v>
      </c>
      <c r="AA2858" s="40" t="s">
        <v>115</v>
      </c>
      <c r="AB2858" s="40" t="s">
        <v>115</v>
      </c>
      <c r="AC2858" s="40" t="s">
        <v>115</v>
      </c>
      <c r="AI2858" s="40" t="s">
        <v>115</v>
      </c>
      <c r="AP2858" s="4" t="s">
        <v>115</v>
      </c>
    </row>
    <row r="2859" spans="1:42" x14ac:dyDescent="0.15">
      <c r="A2859" s="40" t="s">
        <v>1</v>
      </c>
      <c r="B2859" s="23">
        <v>90240202</v>
      </c>
      <c r="C2859" s="23">
        <v>2402</v>
      </c>
      <c r="D2859" s="23">
        <v>24</v>
      </c>
      <c r="F2859" s="23" t="s">
        <v>115</v>
      </c>
      <c r="G2859" s="23" t="s">
        <v>115</v>
      </c>
      <c r="H2859" s="23" t="s">
        <v>5483</v>
      </c>
      <c r="I2859" s="23">
        <v>4</v>
      </c>
      <c r="J2859" s="40">
        <v>0</v>
      </c>
      <c r="K2859" s="40">
        <v>0</v>
      </c>
      <c r="L2859" s="40" t="s">
        <v>115</v>
      </c>
      <c r="O2859" s="40" t="s">
        <v>115</v>
      </c>
      <c r="Q2859" s="40">
        <v>201</v>
      </c>
      <c r="R2859" s="40">
        <v>249</v>
      </c>
      <c r="X2859" s="40">
        <v>90240203</v>
      </c>
      <c r="Y2859" s="40" t="s">
        <v>115</v>
      </c>
      <c r="Z2859" s="40" t="s">
        <v>115</v>
      </c>
      <c r="AA2859" s="40" t="s">
        <v>115</v>
      </c>
      <c r="AB2859" s="40" t="s">
        <v>115</v>
      </c>
      <c r="AC2859" s="40" t="s">
        <v>115</v>
      </c>
      <c r="AI2859" s="40" t="s">
        <v>115</v>
      </c>
      <c r="AP2859" s="4" t="s">
        <v>115</v>
      </c>
    </row>
    <row r="2860" spans="1:42" x14ac:dyDescent="0.15">
      <c r="A2860" s="40" t="s">
        <v>1</v>
      </c>
      <c r="B2860" s="23">
        <v>90240203</v>
      </c>
      <c r="C2860" s="23">
        <v>2402</v>
      </c>
      <c r="D2860" s="23">
        <v>24</v>
      </c>
      <c r="F2860" s="23" t="s">
        <v>116</v>
      </c>
      <c r="G2860" s="23">
        <v>312</v>
      </c>
      <c r="H2860" s="23" t="s">
        <v>5484</v>
      </c>
      <c r="I2860" s="23">
        <v>0</v>
      </c>
      <c r="J2860" s="40">
        <v>0</v>
      </c>
      <c r="K2860" s="40">
        <v>0</v>
      </c>
      <c r="L2860" s="40" t="s">
        <v>115</v>
      </c>
      <c r="O2860" s="40" t="s">
        <v>115</v>
      </c>
      <c r="Q2860" s="40">
        <v>201</v>
      </c>
      <c r="R2860" s="40">
        <v>249</v>
      </c>
      <c r="X2860" s="40">
        <v>90240204</v>
      </c>
      <c r="Y2860" s="40" t="s">
        <v>115</v>
      </c>
      <c r="Z2860" s="40" t="s">
        <v>115</v>
      </c>
      <c r="AA2860" s="40" t="s">
        <v>115</v>
      </c>
      <c r="AB2860" s="40" t="s">
        <v>115</v>
      </c>
      <c r="AC2860" s="40" t="s">
        <v>115</v>
      </c>
      <c r="AI2860" s="40" t="s">
        <v>115</v>
      </c>
      <c r="AP2860" s="4" t="s">
        <v>115</v>
      </c>
    </row>
    <row r="2861" spans="1:42" x14ac:dyDescent="0.15">
      <c r="A2861" s="40" t="s">
        <v>1</v>
      </c>
      <c r="B2861" s="23">
        <v>90240204</v>
      </c>
      <c r="C2861" s="23">
        <v>2402</v>
      </c>
      <c r="D2861" s="23">
        <v>24</v>
      </c>
      <c r="F2861" s="23" t="s">
        <v>5485</v>
      </c>
      <c r="G2861" s="23" t="s">
        <v>115</v>
      </c>
      <c r="H2861" s="23" t="s">
        <v>5486</v>
      </c>
      <c r="I2861" s="23">
        <v>3</v>
      </c>
      <c r="J2861" s="40">
        <v>0</v>
      </c>
      <c r="K2861" s="40">
        <v>0</v>
      </c>
      <c r="L2861" s="40" t="s">
        <v>115</v>
      </c>
      <c r="O2861" s="40" t="s">
        <v>115</v>
      </c>
      <c r="Q2861" s="40">
        <v>201</v>
      </c>
      <c r="R2861" s="40">
        <v>249</v>
      </c>
      <c r="X2861" s="40">
        <v>90240205</v>
      </c>
      <c r="Y2861" s="40" t="s">
        <v>115</v>
      </c>
      <c r="Z2861" s="40" t="s">
        <v>115</v>
      </c>
      <c r="AA2861" s="40" t="s">
        <v>115</v>
      </c>
      <c r="AB2861" s="40" t="s">
        <v>115</v>
      </c>
      <c r="AC2861" s="40" t="s">
        <v>115</v>
      </c>
      <c r="AI2861" s="40" t="s">
        <v>115</v>
      </c>
      <c r="AP2861" s="4" t="s">
        <v>115</v>
      </c>
    </row>
    <row r="2862" spans="1:42" x14ac:dyDescent="0.15">
      <c r="A2862" s="40" t="s">
        <v>1</v>
      </c>
      <c r="B2862" s="23">
        <v>90240205</v>
      </c>
      <c r="C2862" s="23">
        <v>2402</v>
      </c>
      <c r="D2862" s="23">
        <v>24</v>
      </c>
      <c r="F2862" s="23" t="s">
        <v>116</v>
      </c>
      <c r="G2862" s="23">
        <v>313</v>
      </c>
      <c r="H2862" s="23" t="s">
        <v>5487</v>
      </c>
      <c r="I2862" s="23">
        <v>2</v>
      </c>
      <c r="J2862" s="40">
        <v>0</v>
      </c>
      <c r="K2862" s="40">
        <v>0</v>
      </c>
      <c r="L2862" s="40" t="s">
        <v>115</v>
      </c>
      <c r="O2862" s="40" t="s">
        <v>115</v>
      </c>
      <c r="Q2862" s="40">
        <v>201</v>
      </c>
      <c r="R2862" s="40">
        <v>249</v>
      </c>
      <c r="X2862" s="40">
        <v>90240206</v>
      </c>
      <c r="Y2862" s="40" t="s">
        <v>115</v>
      </c>
      <c r="Z2862" s="40" t="s">
        <v>115</v>
      </c>
      <c r="AA2862" s="40" t="s">
        <v>115</v>
      </c>
      <c r="AB2862" s="40" t="s">
        <v>115</v>
      </c>
      <c r="AC2862" s="40" t="s">
        <v>115</v>
      </c>
      <c r="AI2862" s="40" t="s">
        <v>115</v>
      </c>
      <c r="AP2862" s="4" t="s">
        <v>115</v>
      </c>
    </row>
    <row r="2863" spans="1:42" x14ac:dyDescent="0.15">
      <c r="A2863" s="40" t="s">
        <v>1</v>
      </c>
      <c r="B2863" s="23">
        <v>90240206</v>
      </c>
      <c r="C2863" s="23">
        <v>2402</v>
      </c>
      <c r="D2863" s="23">
        <v>24</v>
      </c>
      <c r="F2863" s="23" t="s">
        <v>116</v>
      </c>
      <c r="G2863" s="23">
        <v>312</v>
      </c>
      <c r="H2863" s="23" t="s">
        <v>5488</v>
      </c>
      <c r="I2863" s="23">
        <v>0</v>
      </c>
      <c r="J2863" s="40">
        <v>0</v>
      </c>
      <c r="K2863" s="40">
        <v>2</v>
      </c>
      <c r="L2863" s="40" t="s">
        <v>115</v>
      </c>
      <c r="O2863" s="40" t="s">
        <v>115</v>
      </c>
      <c r="Q2863" s="40">
        <v>201</v>
      </c>
      <c r="R2863" s="40">
        <v>249</v>
      </c>
      <c r="X2863" s="40" t="s">
        <v>5489</v>
      </c>
      <c r="Y2863" s="40">
        <v>1</v>
      </c>
      <c r="Z2863" s="40">
        <v>1</v>
      </c>
      <c r="AA2863" s="40" t="s">
        <v>115</v>
      </c>
      <c r="AB2863" s="40" t="s">
        <v>115</v>
      </c>
      <c r="AC2863" s="40" t="s">
        <v>115</v>
      </c>
      <c r="AI2863" s="40" t="s">
        <v>115</v>
      </c>
      <c r="AP2863" s="4" t="s">
        <v>115</v>
      </c>
    </row>
    <row r="2864" spans="1:42" x14ac:dyDescent="0.15">
      <c r="A2864" s="40" t="s">
        <v>1</v>
      </c>
      <c r="B2864" s="23">
        <v>90240207</v>
      </c>
      <c r="C2864" s="23">
        <v>2402</v>
      </c>
      <c r="D2864" s="23">
        <v>24</v>
      </c>
      <c r="F2864" s="23" t="s">
        <v>115</v>
      </c>
      <c r="G2864" s="23" t="s">
        <v>115</v>
      </c>
      <c r="H2864" s="23" t="s">
        <v>5490</v>
      </c>
      <c r="I2864" s="23">
        <v>4</v>
      </c>
      <c r="J2864" s="40">
        <v>0</v>
      </c>
      <c r="K2864" s="40">
        <v>3</v>
      </c>
      <c r="L2864" s="40" t="s">
        <v>115</v>
      </c>
      <c r="O2864" s="40" t="s">
        <v>115</v>
      </c>
      <c r="Q2864" s="40">
        <v>201</v>
      </c>
      <c r="R2864" s="40">
        <v>249</v>
      </c>
      <c r="X2864" s="40">
        <v>90240209</v>
      </c>
      <c r="Y2864" s="40">
        <v>-1</v>
      </c>
      <c r="Z2864" s="40">
        <v>2</v>
      </c>
      <c r="AA2864" s="40" t="s">
        <v>115</v>
      </c>
      <c r="AB2864" s="40" t="s">
        <v>115</v>
      </c>
      <c r="AC2864" s="40" t="s">
        <v>115</v>
      </c>
      <c r="AI2864" s="40" t="s">
        <v>115</v>
      </c>
      <c r="AP2864" s="4" t="s">
        <v>115</v>
      </c>
    </row>
    <row r="2865" spans="1:42" x14ac:dyDescent="0.15">
      <c r="A2865" s="40" t="s">
        <v>1</v>
      </c>
      <c r="B2865" s="23">
        <v>90240208</v>
      </c>
      <c r="C2865" s="23">
        <v>2402</v>
      </c>
      <c r="D2865" s="23">
        <v>24</v>
      </c>
      <c r="F2865" s="23" t="s">
        <v>115</v>
      </c>
      <c r="G2865" s="23" t="s">
        <v>115</v>
      </c>
      <c r="H2865" s="23" t="s">
        <v>2199</v>
      </c>
      <c r="I2865" s="23">
        <v>4</v>
      </c>
      <c r="J2865" s="40">
        <v>0</v>
      </c>
      <c r="K2865" s="40">
        <v>4</v>
      </c>
      <c r="L2865" s="40" t="s">
        <v>115</v>
      </c>
      <c r="O2865" s="40" t="s">
        <v>115</v>
      </c>
      <c r="Q2865" s="40">
        <v>201</v>
      </c>
      <c r="R2865" s="40">
        <v>249</v>
      </c>
      <c r="X2865" s="40">
        <v>90240212</v>
      </c>
      <c r="Y2865" s="40">
        <v>-1</v>
      </c>
      <c r="Z2865" s="40">
        <v>2</v>
      </c>
      <c r="AA2865" s="40" t="s">
        <v>115</v>
      </c>
      <c r="AB2865" s="40" t="s">
        <v>115</v>
      </c>
      <c r="AC2865" s="40" t="s">
        <v>5491</v>
      </c>
      <c r="AI2865" s="40" t="s">
        <v>115</v>
      </c>
      <c r="AP2865" s="4" t="s">
        <v>115</v>
      </c>
    </row>
    <row r="2866" spans="1:42" x14ac:dyDescent="0.15">
      <c r="A2866" s="40" t="s">
        <v>1</v>
      </c>
      <c r="B2866" s="23">
        <v>90240209</v>
      </c>
      <c r="C2866" s="23">
        <v>2402</v>
      </c>
      <c r="D2866" s="23">
        <v>24</v>
      </c>
      <c r="F2866" s="23" t="s">
        <v>116</v>
      </c>
      <c r="G2866" s="23">
        <v>312</v>
      </c>
      <c r="H2866" s="23" t="s">
        <v>5492</v>
      </c>
      <c r="I2866" s="23">
        <v>0</v>
      </c>
      <c r="J2866" s="40">
        <v>0</v>
      </c>
      <c r="K2866" s="40">
        <v>0</v>
      </c>
      <c r="L2866" s="40" t="s">
        <v>115</v>
      </c>
      <c r="O2866" s="40" t="s">
        <v>115</v>
      </c>
      <c r="Q2866" s="40">
        <v>201</v>
      </c>
      <c r="R2866" s="40">
        <v>249</v>
      </c>
      <c r="X2866" s="40">
        <v>90240210</v>
      </c>
      <c r="Y2866" s="40" t="s">
        <v>115</v>
      </c>
      <c r="Z2866" s="40" t="s">
        <v>115</v>
      </c>
      <c r="AA2866" s="40" t="s">
        <v>115</v>
      </c>
      <c r="AB2866" s="40" t="s">
        <v>115</v>
      </c>
      <c r="AC2866" s="40" t="s">
        <v>115</v>
      </c>
      <c r="AI2866" s="40" t="s">
        <v>115</v>
      </c>
      <c r="AP2866" s="4" t="s">
        <v>115</v>
      </c>
    </row>
    <row r="2867" spans="1:42" x14ac:dyDescent="0.15">
      <c r="A2867" s="40" t="s">
        <v>1</v>
      </c>
      <c r="B2867" s="23">
        <v>90240210</v>
      </c>
      <c r="C2867" s="23">
        <v>2402</v>
      </c>
      <c r="D2867" s="23">
        <v>24</v>
      </c>
      <c r="F2867" s="23" t="s">
        <v>5493</v>
      </c>
      <c r="G2867" s="23" t="s">
        <v>115</v>
      </c>
      <c r="H2867" s="23" t="s">
        <v>5494</v>
      </c>
      <c r="I2867" s="23">
        <v>3</v>
      </c>
      <c r="J2867" s="40">
        <v>0</v>
      </c>
      <c r="K2867" s="40">
        <v>0</v>
      </c>
      <c r="L2867" s="40" t="s">
        <v>115</v>
      </c>
      <c r="O2867" s="40" t="s">
        <v>115</v>
      </c>
      <c r="Q2867" s="40">
        <v>201</v>
      </c>
      <c r="R2867" s="40">
        <v>249</v>
      </c>
      <c r="X2867" s="40">
        <v>90240211</v>
      </c>
      <c r="Y2867" s="40" t="s">
        <v>115</v>
      </c>
      <c r="Z2867" s="40" t="s">
        <v>115</v>
      </c>
      <c r="AA2867" s="40" t="s">
        <v>115</v>
      </c>
      <c r="AB2867" s="40" t="s">
        <v>115</v>
      </c>
      <c r="AC2867" s="40" t="s">
        <v>115</v>
      </c>
      <c r="AI2867" s="40" t="s">
        <v>115</v>
      </c>
      <c r="AP2867" s="4" t="s">
        <v>115</v>
      </c>
    </row>
    <row r="2868" spans="1:42" x14ac:dyDescent="0.15">
      <c r="A2868" s="40" t="s">
        <v>1</v>
      </c>
      <c r="B2868" s="23">
        <v>90240211</v>
      </c>
      <c r="C2868" s="23">
        <v>2402</v>
      </c>
      <c r="D2868" s="23">
        <v>24</v>
      </c>
      <c r="F2868" s="23" t="s">
        <v>116</v>
      </c>
      <c r="G2868" s="23">
        <v>314</v>
      </c>
      <c r="H2868" s="23" t="s">
        <v>5495</v>
      </c>
      <c r="I2868" s="23">
        <v>2</v>
      </c>
      <c r="J2868" s="40">
        <v>0</v>
      </c>
      <c r="K2868" s="40">
        <v>0</v>
      </c>
      <c r="L2868" s="40" t="s">
        <v>115</v>
      </c>
      <c r="O2868" s="40" t="s">
        <v>115</v>
      </c>
      <c r="Q2868" s="40">
        <v>201</v>
      </c>
      <c r="R2868" s="40">
        <v>249</v>
      </c>
      <c r="X2868" s="40">
        <v>90240206</v>
      </c>
      <c r="Y2868" s="40" t="s">
        <v>115</v>
      </c>
      <c r="Z2868" s="40" t="s">
        <v>115</v>
      </c>
      <c r="AA2868" s="40" t="s">
        <v>115</v>
      </c>
      <c r="AB2868" s="40" t="s">
        <v>115</v>
      </c>
      <c r="AC2868" s="40" t="s">
        <v>115</v>
      </c>
      <c r="AI2868" s="40" t="s">
        <v>115</v>
      </c>
      <c r="AP2868" s="4" t="s">
        <v>115</v>
      </c>
    </row>
    <row r="2869" spans="1:42" x14ac:dyDescent="0.15">
      <c r="A2869" s="40" t="s">
        <v>1</v>
      </c>
      <c r="B2869" s="23">
        <v>90240212</v>
      </c>
      <c r="C2869" s="23">
        <v>2402</v>
      </c>
      <c r="D2869" s="23">
        <v>24</v>
      </c>
      <c r="F2869" s="23" t="s">
        <v>115</v>
      </c>
      <c r="G2869" s="23" t="s">
        <v>115</v>
      </c>
      <c r="H2869" s="23" t="s">
        <v>5496</v>
      </c>
      <c r="I2869" s="23">
        <v>4</v>
      </c>
      <c r="J2869" s="40">
        <v>0</v>
      </c>
      <c r="K2869" s="40">
        <v>0</v>
      </c>
      <c r="L2869" s="40" t="s">
        <v>115</v>
      </c>
      <c r="O2869" s="40" t="s">
        <v>115</v>
      </c>
      <c r="Q2869" s="40">
        <v>201</v>
      </c>
      <c r="R2869" s="40">
        <v>249</v>
      </c>
      <c r="X2869" s="40">
        <v>90240213</v>
      </c>
      <c r="Y2869" s="40" t="s">
        <v>115</v>
      </c>
      <c r="Z2869" s="40" t="s">
        <v>115</v>
      </c>
      <c r="AA2869" s="40" t="s">
        <v>115</v>
      </c>
      <c r="AB2869" s="40" t="s">
        <v>115</v>
      </c>
      <c r="AC2869" s="40" t="s">
        <v>115</v>
      </c>
      <c r="AI2869" s="40" t="s">
        <v>115</v>
      </c>
      <c r="AP2869" s="4" t="s">
        <v>115</v>
      </c>
    </row>
    <row r="2870" spans="1:42" x14ac:dyDescent="0.15">
      <c r="A2870" s="40" t="s">
        <v>1</v>
      </c>
      <c r="B2870" s="23">
        <v>90240213</v>
      </c>
      <c r="C2870" s="23">
        <v>2402</v>
      </c>
      <c r="D2870" s="23">
        <v>24</v>
      </c>
      <c r="F2870" s="23" t="s">
        <v>5493</v>
      </c>
      <c r="G2870" s="23" t="s">
        <v>115</v>
      </c>
      <c r="H2870" s="23" t="s">
        <v>5497</v>
      </c>
      <c r="I2870" s="23">
        <v>3</v>
      </c>
      <c r="J2870" s="40">
        <v>0</v>
      </c>
      <c r="K2870" s="40">
        <v>0</v>
      </c>
      <c r="L2870" s="40" t="s">
        <v>115</v>
      </c>
      <c r="O2870" s="40" t="s">
        <v>115</v>
      </c>
      <c r="Q2870" s="40">
        <v>201</v>
      </c>
      <c r="R2870" s="40">
        <v>249</v>
      </c>
      <c r="X2870" s="40">
        <v>90240214</v>
      </c>
      <c r="Y2870" s="40" t="s">
        <v>115</v>
      </c>
      <c r="Z2870" s="40" t="s">
        <v>115</v>
      </c>
      <c r="AA2870" s="40" t="s">
        <v>115</v>
      </c>
      <c r="AB2870" s="40" t="s">
        <v>115</v>
      </c>
      <c r="AC2870" s="40" t="s">
        <v>115</v>
      </c>
      <c r="AI2870" s="40" t="s">
        <v>115</v>
      </c>
      <c r="AP2870" s="4" t="s">
        <v>115</v>
      </c>
    </row>
    <row r="2871" spans="1:42" x14ac:dyDescent="0.15">
      <c r="A2871" s="40" t="s">
        <v>1</v>
      </c>
      <c r="B2871" s="23">
        <v>90240214</v>
      </c>
      <c r="C2871" s="23">
        <v>2402</v>
      </c>
      <c r="D2871" s="23">
        <v>24</v>
      </c>
      <c r="F2871" s="23" t="s">
        <v>5493</v>
      </c>
      <c r="G2871" s="23" t="s">
        <v>115</v>
      </c>
      <c r="H2871" s="23" t="s">
        <v>5498</v>
      </c>
      <c r="I2871" s="23">
        <v>3</v>
      </c>
      <c r="J2871" s="40">
        <v>0</v>
      </c>
      <c r="K2871" s="40">
        <v>0</v>
      </c>
      <c r="L2871" s="40" t="s">
        <v>115</v>
      </c>
      <c r="O2871" s="40" t="s">
        <v>115</v>
      </c>
      <c r="Q2871" s="40">
        <v>201</v>
      </c>
      <c r="R2871" s="40">
        <v>249</v>
      </c>
      <c r="X2871" s="40">
        <v>90240215</v>
      </c>
      <c r="Y2871" s="40" t="s">
        <v>115</v>
      </c>
      <c r="Z2871" s="40" t="s">
        <v>115</v>
      </c>
      <c r="AA2871" s="40" t="s">
        <v>115</v>
      </c>
      <c r="AB2871" s="40" t="s">
        <v>115</v>
      </c>
      <c r="AC2871" s="40" t="s">
        <v>115</v>
      </c>
      <c r="AI2871" s="40" t="s">
        <v>115</v>
      </c>
      <c r="AP2871" s="4" t="s">
        <v>115</v>
      </c>
    </row>
    <row r="2872" spans="1:42" x14ac:dyDescent="0.15">
      <c r="A2872" s="40" t="s">
        <v>1</v>
      </c>
      <c r="B2872" s="23">
        <v>90240215</v>
      </c>
      <c r="C2872" s="23">
        <v>2402</v>
      </c>
      <c r="D2872" s="23">
        <v>24</v>
      </c>
      <c r="F2872" s="23" t="s">
        <v>116</v>
      </c>
      <c r="G2872" s="23">
        <v>312</v>
      </c>
      <c r="H2872" s="23" t="s">
        <v>5499</v>
      </c>
      <c r="I2872" s="23">
        <v>0</v>
      </c>
      <c r="J2872" s="40">
        <v>0</v>
      </c>
      <c r="K2872" s="40">
        <v>0</v>
      </c>
      <c r="L2872" s="40" t="s">
        <v>115</v>
      </c>
      <c r="O2872" s="40" t="s">
        <v>115</v>
      </c>
      <c r="Q2872" s="40">
        <v>201</v>
      </c>
      <c r="R2872" s="40">
        <v>249</v>
      </c>
      <c r="X2872" s="40">
        <v>90240216</v>
      </c>
      <c r="Y2872" s="40" t="s">
        <v>115</v>
      </c>
      <c r="Z2872" s="40" t="s">
        <v>115</v>
      </c>
      <c r="AA2872" s="40" t="s">
        <v>115</v>
      </c>
      <c r="AB2872" s="40" t="s">
        <v>115</v>
      </c>
      <c r="AC2872" s="40" t="s">
        <v>115</v>
      </c>
      <c r="AI2872" s="40" t="s">
        <v>115</v>
      </c>
      <c r="AP2872" s="4" t="s">
        <v>115</v>
      </c>
    </row>
    <row r="2873" spans="1:42" x14ac:dyDescent="0.15">
      <c r="A2873" s="40" t="s">
        <v>1</v>
      </c>
      <c r="B2873" s="23">
        <v>90240216</v>
      </c>
      <c r="C2873" s="23">
        <v>2402</v>
      </c>
      <c r="D2873" s="23">
        <v>24</v>
      </c>
      <c r="F2873" s="23" t="s">
        <v>115</v>
      </c>
      <c r="G2873" s="23" t="s">
        <v>115</v>
      </c>
      <c r="H2873" s="23" t="s">
        <v>5500</v>
      </c>
      <c r="I2873" s="23">
        <v>4</v>
      </c>
      <c r="J2873" s="40">
        <v>0</v>
      </c>
      <c r="K2873" s="40">
        <v>0</v>
      </c>
      <c r="L2873" s="40" t="s">
        <v>115</v>
      </c>
      <c r="O2873" s="40" t="s">
        <v>115</v>
      </c>
      <c r="Q2873" s="40">
        <v>201</v>
      </c>
      <c r="R2873" s="40">
        <v>249</v>
      </c>
      <c r="X2873" s="40">
        <v>90240217</v>
      </c>
      <c r="Y2873" s="40" t="s">
        <v>115</v>
      </c>
      <c r="Z2873" s="40" t="s">
        <v>115</v>
      </c>
      <c r="AA2873" s="40" t="s">
        <v>115</v>
      </c>
      <c r="AB2873" s="40" t="s">
        <v>115</v>
      </c>
      <c r="AC2873" s="40" t="s">
        <v>115</v>
      </c>
      <c r="AI2873" s="40" t="s">
        <v>115</v>
      </c>
      <c r="AP2873" s="4" t="s">
        <v>115</v>
      </c>
    </row>
    <row r="2874" spans="1:42" x14ac:dyDescent="0.15">
      <c r="A2874" s="40" t="s">
        <v>1</v>
      </c>
      <c r="B2874" s="23">
        <v>90240217</v>
      </c>
      <c r="C2874" s="23">
        <v>2402</v>
      </c>
      <c r="D2874" s="23">
        <v>24</v>
      </c>
      <c r="F2874" s="23" t="s">
        <v>5493</v>
      </c>
      <c r="G2874" s="23" t="s">
        <v>115</v>
      </c>
      <c r="H2874" s="23" t="s">
        <v>5501</v>
      </c>
      <c r="I2874" s="23">
        <v>3</v>
      </c>
      <c r="J2874" s="40">
        <v>0</v>
      </c>
      <c r="K2874" s="40">
        <v>0</v>
      </c>
      <c r="L2874" s="40" t="s">
        <v>115</v>
      </c>
      <c r="O2874" s="40" t="s">
        <v>115</v>
      </c>
      <c r="Q2874" s="40">
        <v>201</v>
      </c>
      <c r="R2874" s="40">
        <v>249</v>
      </c>
      <c r="X2874" s="40">
        <v>90240218</v>
      </c>
      <c r="Y2874" s="40" t="s">
        <v>115</v>
      </c>
      <c r="Z2874" s="40" t="s">
        <v>115</v>
      </c>
      <c r="AA2874" s="40" t="s">
        <v>115</v>
      </c>
      <c r="AB2874" s="40" t="s">
        <v>115</v>
      </c>
      <c r="AC2874" s="40" t="s">
        <v>115</v>
      </c>
      <c r="AI2874" s="40" t="s">
        <v>115</v>
      </c>
      <c r="AP2874" s="4" t="s">
        <v>115</v>
      </c>
    </row>
    <row r="2875" spans="1:42" x14ac:dyDescent="0.15">
      <c r="A2875" s="40" t="s">
        <v>1</v>
      </c>
      <c r="B2875" s="23">
        <v>90240218</v>
      </c>
      <c r="C2875" s="23">
        <v>2402</v>
      </c>
      <c r="D2875" s="23">
        <v>24</v>
      </c>
      <c r="F2875" s="23" t="s">
        <v>5493</v>
      </c>
      <c r="G2875" s="23" t="s">
        <v>115</v>
      </c>
      <c r="H2875" s="23" t="s">
        <v>5502</v>
      </c>
      <c r="I2875" s="23">
        <v>3</v>
      </c>
      <c r="J2875" s="40">
        <v>0</v>
      </c>
      <c r="K2875" s="40">
        <v>0</v>
      </c>
      <c r="L2875" s="40" t="s">
        <v>115</v>
      </c>
      <c r="O2875" s="40" t="s">
        <v>115</v>
      </c>
      <c r="Q2875" s="40">
        <v>201</v>
      </c>
      <c r="R2875" s="40">
        <v>249</v>
      </c>
      <c r="X2875" s="40">
        <v>90240219</v>
      </c>
      <c r="Y2875" s="40" t="s">
        <v>115</v>
      </c>
      <c r="Z2875" s="40" t="s">
        <v>115</v>
      </c>
      <c r="AA2875" s="40" t="s">
        <v>115</v>
      </c>
      <c r="AB2875" s="40" t="s">
        <v>115</v>
      </c>
      <c r="AC2875" s="40" t="s">
        <v>115</v>
      </c>
      <c r="AI2875" s="40" t="s">
        <v>115</v>
      </c>
      <c r="AP2875" s="4" t="s">
        <v>115</v>
      </c>
    </row>
    <row r="2876" spans="1:42" x14ac:dyDescent="0.15">
      <c r="A2876" s="40" t="s">
        <v>1</v>
      </c>
      <c r="B2876" s="23">
        <v>90240219</v>
      </c>
      <c r="C2876" s="23">
        <v>2402</v>
      </c>
      <c r="D2876" s="23">
        <v>24</v>
      </c>
      <c r="F2876" s="23" t="s">
        <v>5493</v>
      </c>
      <c r="G2876" s="23" t="s">
        <v>115</v>
      </c>
      <c r="H2876" s="23" t="s">
        <v>5503</v>
      </c>
      <c r="I2876" s="23">
        <v>3</v>
      </c>
      <c r="J2876" s="40">
        <v>0</v>
      </c>
      <c r="K2876" s="40">
        <v>0</v>
      </c>
      <c r="L2876" s="40" t="s">
        <v>115</v>
      </c>
      <c r="O2876" s="40" t="s">
        <v>115</v>
      </c>
      <c r="Q2876" s="40">
        <v>201</v>
      </c>
      <c r="R2876" s="40">
        <v>249</v>
      </c>
      <c r="X2876" s="40">
        <v>90240220</v>
      </c>
      <c r="Y2876" s="40" t="s">
        <v>115</v>
      </c>
      <c r="Z2876" s="40" t="s">
        <v>115</v>
      </c>
      <c r="AA2876" s="40" t="s">
        <v>115</v>
      </c>
      <c r="AB2876" s="40" t="s">
        <v>115</v>
      </c>
      <c r="AC2876" s="40" t="s">
        <v>115</v>
      </c>
      <c r="AI2876" s="40" t="s">
        <v>115</v>
      </c>
      <c r="AP2876" s="4" t="s">
        <v>115</v>
      </c>
    </row>
    <row r="2877" spans="1:42" x14ac:dyDescent="0.15">
      <c r="A2877" s="40" t="s">
        <v>1</v>
      </c>
      <c r="B2877" s="23">
        <v>90240220</v>
      </c>
      <c r="C2877" s="23">
        <v>2402</v>
      </c>
      <c r="D2877" s="23">
        <v>24</v>
      </c>
      <c r="F2877" s="23" t="s">
        <v>116</v>
      </c>
      <c r="G2877" s="23">
        <v>309</v>
      </c>
      <c r="H2877" s="23" t="s">
        <v>5504</v>
      </c>
      <c r="I2877" s="23">
        <v>2</v>
      </c>
      <c r="J2877" s="40">
        <v>0</v>
      </c>
      <c r="K2877" s="40">
        <v>0</v>
      </c>
      <c r="L2877" s="40" t="s">
        <v>115</v>
      </c>
      <c r="O2877" s="40" t="s">
        <v>115</v>
      </c>
      <c r="Q2877" s="40">
        <v>201</v>
      </c>
      <c r="R2877" s="40">
        <v>249</v>
      </c>
      <c r="X2877" s="40">
        <v>90240221</v>
      </c>
      <c r="Y2877" s="40" t="s">
        <v>115</v>
      </c>
      <c r="Z2877" s="40" t="s">
        <v>115</v>
      </c>
      <c r="AA2877" s="40" t="s">
        <v>115</v>
      </c>
      <c r="AB2877" s="40" t="s">
        <v>115</v>
      </c>
      <c r="AC2877" s="40" t="s">
        <v>115</v>
      </c>
      <c r="AI2877" s="40" t="s">
        <v>115</v>
      </c>
      <c r="AP2877" s="4" t="s">
        <v>115</v>
      </c>
    </row>
    <row r="2878" spans="1:42" x14ac:dyDescent="0.15">
      <c r="A2878" s="40" t="s">
        <v>1</v>
      </c>
      <c r="B2878" s="23">
        <v>90240221</v>
      </c>
      <c r="C2878" s="23">
        <v>2402</v>
      </c>
      <c r="D2878" s="23">
        <v>24</v>
      </c>
      <c r="F2878" s="23" t="s">
        <v>116</v>
      </c>
      <c r="G2878" s="23">
        <v>312</v>
      </c>
      <c r="H2878" s="23" t="s">
        <v>5505</v>
      </c>
      <c r="I2878" s="23">
        <v>0</v>
      </c>
      <c r="J2878" s="40">
        <v>0</v>
      </c>
      <c r="K2878" s="40">
        <v>0</v>
      </c>
      <c r="L2878" s="40" t="s">
        <v>115</v>
      </c>
      <c r="O2878" s="40" t="s">
        <v>115</v>
      </c>
      <c r="Q2878" s="40">
        <v>201</v>
      </c>
      <c r="R2878" s="40">
        <v>249</v>
      </c>
      <c r="X2878" s="40">
        <v>90240222</v>
      </c>
      <c r="Y2878" s="40" t="s">
        <v>115</v>
      </c>
      <c r="Z2878" s="40" t="s">
        <v>115</v>
      </c>
      <c r="AA2878" s="40" t="s">
        <v>115</v>
      </c>
      <c r="AB2878" s="40" t="s">
        <v>115</v>
      </c>
      <c r="AC2878" s="40" t="s">
        <v>115</v>
      </c>
      <c r="AI2878" s="40" t="s">
        <v>115</v>
      </c>
      <c r="AP2878" s="4" t="s">
        <v>115</v>
      </c>
    </row>
    <row r="2879" spans="1:42" x14ac:dyDescent="0.15">
      <c r="A2879" s="40" t="s">
        <v>1</v>
      </c>
      <c r="B2879" s="23">
        <v>90240222</v>
      </c>
      <c r="C2879" s="23">
        <v>2402</v>
      </c>
      <c r="D2879" s="23">
        <v>24</v>
      </c>
      <c r="F2879" s="23" t="s">
        <v>5493</v>
      </c>
      <c r="G2879" s="23" t="s">
        <v>115</v>
      </c>
      <c r="H2879" s="23" t="s">
        <v>5506</v>
      </c>
      <c r="I2879" s="23">
        <v>3</v>
      </c>
      <c r="J2879" s="40">
        <v>0</v>
      </c>
      <c r="K2879" s="40">
        <v>0</v>
      </c>
      <c r="L2879" s="40" t="s">
        <v>115</v>
      </c>
      <c r="O2879" s="40" t="s">
        <v>115</v>
      </c>
      <c r="Q2879" s="40">
        <v>201</v>
      </c>
      <c r="R2879" s="40">
        <v>249</v>
      </c>
      <c r="X2879" s="40">
        <v>90240223</v>
      </c>
      <c r="Y2879" s="40" t="s">
        <v>115</v>
      </c>
      <c r="Z2879" s="40" t="s">
        <v>115</v>
      </c>
      <c r="AA2879" s="40" t="s">
        <v>115</v>
      </c>
      <c r="AB2879" s="40" t="s">
        <v>115</v>
      </c>
      <c r="AC2879" s="40" t="s">
        <v>115</v>
      </c>
      <c r="AI2879" s="40" t="s">
        <v>115</v>
      </c>
      <c r="AP2879" s="4" t="s">
        <v>115</v>
      </c>
    </row>
    <row r="2880" spans="1:42" x14ac:dyDescent="0.15">
      <c r="A2880" s="40" t="s">
        <v>1</v>
      </c>
      <c r="B2880" s="23">
        <v>90240223</v>
      </c>
      <c r="C2880" s="23">
        <v>2402</v>
      </c>
      <c r="D2880" s="23">
        <v>24</v>
      </c>
      <c r="F2880" s="23" t="s">
        <v>116</v>
      </c>
      <c r="G2880" s="23">
        <v>314</v>
      </c>
      <c r="H2880" s="23" t="s">
        <v>5507</v>
      </c>
      <c r="I2880" s="23">
        <v>2</v>
      </c>
      <c r="J2880" s="40">
        <v>0</v>
      </c>
      <c r="K2880" s="40">
        <v>5</v>
      </c>
      <c r="L2880" s="40" t="s">
        <v>115</v>
      </c>
      <c r="O2880" s="40">
        <v>1</v>
      </c>
      <c r="Q2880" s="40">
        <v>201</v>
      </c>
      <c r="R2880" s="40" t="s">
        <v>115</v>
      </c>
      <c r="X2880" s="40" t="s">
        <v>115</v>
      </c>
      <c r="Y2880" s="40" t="s">
        <v>115</v>
      </c>
      <c r="Z2880" s="40">
        <v>4</v>
      </c>
      <c r="AA2880" s="40" t="s">
        <v>115</v>
      </c>
      <c r="AB2880" s="40" t="s">
        <v>115</v>
      </c>
      <c r="AC2880" s="40" t="s">
        <v>115</v>
      </c>
      <c r="AI2880" s="40" t="s">
        <v>115</v>
      </c>
      <c r="AP2880" s="4" t="s">
        <v>5508</v>
      </c>
    </row>
    <row r="2881" spans="1:42" x14ac:dyDescent="0.15">
      <c r="A2881" s="40" t="s">
        <v>1</v>
      </c>
      <c r="B2881" s="23" t="s">
        <v>4866</v>
      </c>
      <c r="C2881" s="23">
        <v>2403</v>
      </c>
      <c r="D2881" s="23">
        <v>24</v>
      </c>
      <c r="F2881" s="23" t="s">
        <v>115</v>
      </c>
      <c r="G2881" s="23" t="s">
        <v>115</v>
      </c>
      <c r="H2881" s="23" t="s">
        <v>5509</v>
      </c>
      <c r="I2881" s="23">
        <v>4</v>
      </c>
      <c r="J2881" s="40">
        <v>1</v>
      </c>
      <c r="K2881" s="40">
        <v>1</v>
      </c>
      <c r="L2881" s="40" t="s">
        <v>115</v>
      </c>
      <c r="O2881" s="40" t="s">
        <v>115</v>
      </c>
      <c r="Q2881" s="40">
        <v>143</v>
      </c>
      <c r="R2881" s="40" t="s">
        <v>115</v>
      </c>
      <c r="X2881" s="40">
        <v>90240302</v>
      </c>
      <c r="Y2881" s="40" t="s">
        <v>115</v>
      </c>
      <c r="Z2881" s="40" t="s">
        <v>115</v>
      </c>
      <c r="AA2881" s="40" t="s">
        <v>115</v>
      </c>
      <c r="AB2881" s="40" t="s">
        <v>115</v>
      </c>
      <c r="AC2881" s="40" t="s">
        <v>115</v>
      </c>
      <c r="AI2881" s="40" t="s">
        <v>115</v>
      </c>
      <c r="AP2881" s="4" t="s">
        <v>115</v>
      </c>
    </row>
    <row r="2882" spans="1:42" x14ac:dyDescent="0.15">
      <c r="A2882" s="40" t="s">
        <v>1</v>
      </c>
      <c r="B2882" s="23">
        <v>90240302</v>
      </c>
      <c r="C2882" s="23">
        <v>2403</v>
      </c>
      <c r="D2882" s="23">
        <v>24</v>
      </c>
      <c r="F2882" s="23" t="s">
        <v>116</v>
      </c>
      <c r="G2882" s="23">
        <v>312</v>
      </c>
      <c r="H2882" s="23" t="s">
        <v>5510</v>
      </c>
      <c r="I2882" s="23">
        <v>2</v>
      </c>
      <c r="J2882" s="40">
        <v>0</v>
      </c>
      <c r="K2882" s="40">
        <v>0</v>
      </c>
      <c r="L2882" s="40" t="s">
        <v>115</v>
      </c>
      <c r="O2882" s="40" t="s">
        <v>115</v>
      </c>
      <c r="Q2882" s="40">
        <v>143</v>
      </c>
      <c r="R2882" s="40" t="s">
        <v>115</v>
      </c>
      <c r="X2882" s="40">
        <v>90240303</v>
      </c>
      <c r="Y2882" s="40" t="s">
        <v>115</v>
      </c>
      <c r="Z2882" s="40" t="s">
        <v>115</v>
      </c>
      <c r="AA2882" s="40" t="s">
        <v>115</v>
      </c>
      <c r="AB2882" s="40" t="s">
        <v>115</v>
      </c>
      <c r="AC2882" s="40" t="s">
        <v>115</v>
      </c>
      <c r="AI2882" s="40" t="s">
        <v>115</v>
      </c>
      <c r="AP2882" s="4" t="s">
        <v>115</v>
      </c>
    </row>
    <row r="2883" spans="1:42" x14ac:dyDescent="0.15">
      <c r="A2883" s="40" t="s">
        <v>1</v>
      </c>
      <c r="B2883" s="23">
        <v>90240303</v>
      </c>
      <c r="C2883" s="23">
        <v>2403</v>
      </c>
      <c r="D2883" s="23">
        <v>24</v>
      </c>
      <c r="F2883" s="23" t="s">
        <v>115</v>
      </c>
      <c r="G2883" s="23" t="s">
        <v>115</v>
      </c>
      <c r="H2883" s="23" t="s">
        <v>5511</v>
      </c>
      <c r="I2883" s="23">
        <v>4</v>
      </c>
      <c r="J2883" s="40">
        <v>0</v>
      </c>
      <c r="K2883" s="40">
        <v>0</v>
      </c>
      <c r="L2883" s="40" t="s">
        <v>115</v>
      </c>
      <c r="O2883" s="40" t="s">
        <v>115</v>
      </c>
      <c r="Q2883" s="40">
        <v>143</v>
      </c>
      <c r="R2883" s="40" t="s">
        <v>115</v>
      </c>
      <c r="X2883" s="40">
        <v>90240304</v>
      </c>
      <c r="Y2883" s="40" t="s">
        <v>115</v>
      </c>
      <c r="Z2883" s="40" t="s">
        <v>115</v>
      </c>
      <c r="AA2883" s="40" t="s">
        <v>115</v>
      </c>
      <c r="AB2883" s="40" t="s">
        <v>115</v>
      </c>
      <c r="AC2883" s="40" t="s">
        <v>115</v>
      </c>
      <c r="AI2883" s="40" t="s">
        <v>115</v>
      </c>
      <c r="AP2883" s="4" t="s">
        <v>115</v>
      </c>
    </row>
    <row r="2884" spans="1:42" x14ac:dyDescent="0.15">
      <c r="A2884" s="40" t="s">
        <v>1</v>
      </c>
      <c r="B2884" s="23">
        <v>90240304</v>
      </c>
      <c r="C2884" s="23">
        <v>2403</v>
      </c>
      <c r="D2884" s="23">
        <v>24</v>
      </c>
      <c r="F2884" s="23" t="s">
        <v>373</v>
      </c>
      <c r="G2884" s="23" t="s">
        <v>115</v>
      </c>
      <c r="H2884" s="23" t="s">
        <v>5512</v>
      </c>
      <c r="I2884" s="23">
        <v>3</v>
      </c>
      <c r="J2884" s="40">
        <v>0</v>
      </c>
      <c r="K2884" s="40">
        <v>0</v>
      </c>
      <c r="L2884" s="40" t="s">
        <v>115</v>
      </c>
      <c r="O2884" s="40" t="s">
        <v>115</v>
      </c>
      <c r="Q2884" s="40">
        <v>143</v>
      </c>
      <c r="R2884" s="40">
        <v>357</v>
      </c>
      <c r="X2884" s="40">
        <v>90240305</v>
      </c>
      <c r="Y2884" s="40" t="s">
        <v>115</v>
      </c>
      <c r="Z2884" s="40" t="s">
        <v>115</v>
      </c>
      <c r="AA2884" s="40" t="s">
        <v>115</v>
      </c>
      <c r="AB2884" s="40" t="s">
        <v>115</v>
      </c>
      <c r="AC2884" s="40" t="s">
        <v>115</v>
      </c>
      <c r="AI2884" s="40" t="s">
        <v>115</v>
      </c>
      <c r="AP2884" s="4" t="s">
        <v>115</v>
      </c>
    </row>
    <row r="2885" spans="1:42" x14ac:dyDescent="0.15">
      <c r="A2885" s="40" t="s">
        <v>1</v>
      </c>
      <c r="B2885" s="23">
        <v>90240305</v>
      </c>
      <c r="C2885" s="23">
        <v>2403</v>
      </c>
      <c r="D2885" s="23">
        <v>24</v>
      </c>
      <c r="F2885" s="23" t="s">
        <v>115</v>
      </c>
      <c r="G2885" s="23" t="s">
        <v>115</v>
      </c>
      <c r="H2885" s="23" t="s">
        <v>5513</v>
      </c>
      <c r="I2885" s="23">
        <v>4</v>
      </c>
      <c r="J2885" s="40">
        <v>0</v>
      </c>
      <c r="K2885" s="40">
        <v>2</v>
      </c>
      <c r="L2885" s="40" t="s">
        <v>115</v>
      </c>
      <c r="O2885" s="40" t="s">
        <v>115</v>
      </c>
      <c r="Q2885" s="40">
        <v>143</v>
      </c>
      <c r="R2885" s="40">
        <v>357</v>
      </c>
      <c r="X2885" s="40" t="s">
        <v>5514</v>
      </c>
      <c r="Y2885" s="40">
        <v>1</v>
      </c>
      <c r="Z2885" s="40">
        <v>1</v>
      </c>
      <c r="AA2885" s="40" t="s">
        <v>115</v>
      </c>
      <c r="AB2885" s="40" t="s">
        <v>115</v>
      </c>
      <c r="AC2885" s="40" t="s">
        <v>115</v>
      </c>
      <c r="AI2885" s="40" t="s">
        <v>115</v>
      </c>
      <c r="AP2885" s="4" t="s">
        <v>115</v>
      </c>
    </row>
    <row r="2886" spans="1:42" x14ac:dyDescent="0.15">
      <c r="A2886" s="40" t="s">
        <v>1</v>
      </c>
      <c r="B2886" s="23">
        <v>90240306</v>
      </c>
      <c r="C2886" s="23">
        <v>2403</v>
      </c>
      <c r="D2886" s="23">
        <v>24</v>
      </c>
      <c r="F2886" s="23" t="s">
        <v>115</v>
      </c>
      <c r="G2886" s="23" t="s">
        <v>115</v>
      </c>
      <c r="H2886" s="23" t="s">
        <v>5515</v>
      </c>
      <c r="I2886" s="23">
        <v>4</v>
      </c>
      <c r="J2886" s="40">
        <v>0</v>
      </c>
      <c r="K2886" s="40">
        <v>3</v>
      </c>
      <c r="L2886" s="40" t="s">
        <v>115</v>
      </c>
      <c r="O2886" s="40" t="s">
        <v>115</v>
      </c>
      <c r="Q2886" s="40">
        <v>143</v>
      </c>
      <c r="R2886" s="40">
        <v>357</v>
      </c>
      <c r="X2886" s="40">
        <v>90240308</v>
      </c>
      <c r="Y2886" s="40">
        <v>-1</v>
      </c>
      <c r="Z2886" s="40">
        <v>2</v>
      </c>
      <c r="AA2886" s="40" t="s">
        <v>115</v>
      </c>
      <c r="AB2886" s="40" t="s">
        <v>115</v>
      </c>
      <c r="AC2886" s="40" t="s">
        <v>115</v>
      </c>
      <c r="AI2886" s="40" t="s">
        <v>115</v>
      </c>
      <c r="AP2886" s="4" t="s">
        <v>115</v>
      </c>
    </row>
    <row r="2887" spans="1:42" x14ac:dyDescent="0.15">
      <c r="A2887" s="40" t="s">
        <v>1</v>
      </c>
      <c r="B2887" s="23">
        <v>90240307</v>
      </c>
      <c r="C2887" s="23">
        <v>2403</v>
      </c>
      <c r="D2887" s="23">
        <v>24</v>
      </c>
      <c r="F2887" s="23" t="s">
        <v>115</v>
      </c>
      <c r="G2887" s="23" t="s">
        <v>115</v>
      </c>
      <c r="H2887" s="23" t="s">
        <v>5516</v>
      </c>
      <c r="I2887" s="23">
        <v>4</v>
      </c>
      <c r="J2887" s="40">
        <v>0</v>
      </c>
      <c r="K2887" s="40">
        <v>4</v>
      </c>
      <c r="L2887" s="40" t="s">
        <v>115</v>
      </c>
      <c r="O2887" s="40" t="s">
        <v>115</v>
      </c>
      <c r="Q2887" s="40">
        <v>143</v>
      </c>
      <c r="R2887" s="40">
        <v>357</v>
      </c>
      <c r="X2887" s="40">
        <v>90240310</v>
      </c>
      <c r="Y2887" s="40">
        <v>-1</v>
      </c>
      <c r="Z2887" s="40">
        <v>2</v>
      </c>
      <c r="AA2887" s="40" t="s">
        <v>115</v>
      </c>
      <c r="AB2887" s="40" t="s">
        <v>115</v>
      </c>
      <c r="AC2887" s="40" t="s">
        <v>5517</v>
      </c>
      <c r="AI2887" s="40" t="s">
        <v>115</v>
      </c>
      <c r="AP2887" s="4" t="s">
        <v>115</v>
      </c>
    </row>
    <row r="2888" spans="1:42" x14ac:dyDescent="0.15">
      <c r="A2888" s="40" t="s">
        <v>1</v>
      </c>
      <c r="B2888" s="23">
        <v>90240308</v>
      </c>
      <c r="C2888" s="23">
        <v>2403</v>
      </c>
      <c r="D2888" s="23">
        <v>24</v>
      </c>
      <c r="F2888" s="23" t="s">
        <v>115</v>
      </c>
      <c r="G2888" s="23" t="s">
        <v>115</v>
      </c>
      <c r="H2888" s="23" t="s">
        <v>5518</v>
      </c>
      <c r="I2888" s="23">
        <v>4</v>
      </c>
      <c r="J2888" s="40">
        <v>0</v>
      </c>
      <c r="K2888" s="40">
        <v>0</v>
      </c>
      <c r="L2888" s="40" t="s">
        <v>115</v>
      </c>
      <c r="O2888" s="40" t="s">
        <v>115</v>
      </c>
      <c r="Q2888" s="40">
        <v>143</v>
      </c>
      <c r="R2888" s="40">
        <v>357</v>
      </c>
      <c r="X2888" s="40">
        <v>90240309</v>
      </c>
      <c r="Y2888" s="40" t="s">
        <v>115</v>
      </c>
      <c r="Z2888" s="40" t="s">
        <v>115</v>
      </c>
      <c r="AA2888" s="40" t="s">
        <v>115</v>
      </c>
      <c r="AB2888" s="40" t="s">
        <v>115</v>
      </c>
      <c r="AC2888" s="40" t="s">
        <v>115</v>
      </c>
      <c r="AI2888" s="40" t="s">
        <v>115</v>
      </c>
      <c r="AP2888" s="4" t="s">
        <v>115</v>
      </c>
    </row>
    <row r="2889" spans="1:42" x14ac:dyDescent="0.15">
      <c r="A2889" s="40" t="s">
        <v>1</v>
      </c>
      <c r="B2889" s="23">
        <v>90240309</v>
      </c>
      <c r="C2889" s="23">
        <v>2403</v>
      </c>
      <c r="D2889" s="23">
        <v>24</v>
      </c>
      <c r="F2889" s="23" t="s">
        <v>116</v>
      </c>
      <c r="G2889" s="23">
        <v>368</v>
      </c>
      <c r="H2889" s="23" t="s">
        <v>5519</v>
      </c>
      <c r="I2889" s="23">
        <v>2</v>
      </c>
      <c r="J2889" s="40">
        <v>0</v>
      </c>
      <c r="K2889" s="40">
        <v>0</v>
      </c>
      <c r="L2889" s="40" t="s">
        <v>115</v>
      </c>
      <c r="O2889" s="40" t="s">
        <v>115</v>
      </c>
      <c r="Q2889" s="40">
        <v>143</v>
      </c>
      <c r="R2889" s="40">
        <v>357</v>
      </c>
      <c r="X2889" s="40">
        <v>90240305</v>
      </c>
      <c r="Y2889" s="40" t="s">
        <v>115</v>
      </c>
      <c r="Z2889" s="40" t="s">
        <v>115</v>
      </c>
      <c r="AA2889" s="40" t="s">
        <v>115</v>
      </c>
      <c r="AB2889" s="40" t="s">
        <v>115</v>
      </c>
      <c r="AC2889" s="40" t="s">
        <v>115</v>
      </c>
      <c r="AI2889" s="40" t="s">
        <v>115</v>
      </c>
      <c r="AP2889" s="4" t="s">
        <v>115</v>
      </c>
    </row>
    <row r="2890" spans="1:42" x14ac:dyDescent="0.15">
      <c r="A2890" s="40" t="s">
        <v>1</v>
      </c>
      <c r="B2890" s="23">
        <v>90240310</v>
      </c>
      <c r="C2890" s="23">
        <v>2403</v>
      </c>
      <c r="D2890" s="23">
        <v>24</v>
      </c>
      <c r="F2890" s="23" t="s">
        <v>115</v>
      </c>
      <c r="G2890" s="23" t="s">
        <v>115</v>
      </c>
      <c r="H2890" s="23" t="s">
        <v>5520</v>
      </c>
      <c r="I2890" s="23">
        <v>4</v>
      </c>
      <c r="J2890" s="40">
        <v>0</v>
      </c>
      <c r="K2890" s="40">
        <v>0</v>
      </c>
      <c r="L2890" s="40" t="s">
        <v>115</v>
      </c>
      <c r="O2890" s="40" t="s">
        <v>115</v>
      </c>
      <c r="Q2890" s="40">
        <v>143</v>
      </c>
      <c r="R2890" s="40">
        <v>357</v>
      </c>
      <c r="X2890" s="40">
        <v>90240311</v>
      </c>
      <c r="Y2890" s="40" t="s">
        <v>115</v>
      </c>
      <c r="Z2890" s="40" t="s">
        <v>115</v>
      </c>
      <c r="AA2890" s="40" t="s">
        <v>115</v>
      </c>
      <c r="AB2890" s="40" t="s">
        <v>115</v>
      </c>
      <c r="AC2890" s="40" t="s">
        <v>115</v>
      </c>
      <c r="AI2890" s="40" t="s">
        <v>115</v>
      </c>
      <c r="AP2890" s="4" t="s">
        <v>115</v>
      </c>
    </row>
    <row r="2891" spans="1:42" x14ac:dyDescent="0.15">
      <c r="A2891" s="40" t="s">
        <v>1</v>
      </c>
      <c r="B2891" s="23">
        <v>90240311</v>
      </c>
      <c r="C2891" s="23">
        <v>2403</v>
      </c>
      <c r="D2891" s="23">
        <v>24</v>
      </c>
      <c r="F2891" s="23" t="s">
        <v>373</v>
      </c>
      <c r="G2891" s="23" t="s">
        <v>115</v>
      </c>
      <c r="H2891" s="23" t="s">
        <v>5521</v>
      </c>
      <c r="I2891" s="23">
        <v>3</v>
      </c>
      <c r="J2891" s="40">
        <v>0</v>
      </c>
      <c r="K2891" s="40">
        <v>0</v>
      </c>
      <c r="L2891" s="40" t="s">
        <v>115</v>
      </c>
      <c r="O2891" s="40" t="s">
        <v>115</v>
      </c>
      <c r="Q2891" s="40">
        <v>143</v>
      </c>
      <c r="R2891" s="40">
        <v>357</v>
      </c>
      <c r="X2891" s="40">
        <v>90240312</v>
      </c>
      <c r="Y2891" s="40" t="s">
        <v>115</v>
      </c>
      <c r="Z2891" s="40" t="s">
        <v>115</v>
      </c>
      <c r="AA2891" s="40" t="s">
        <v>115</v>
      </c>
      <c r="AB2891" s="40" t="s">
        <v>115</v>
      </c>
      <c r="AC2891" s="40" t="s">
        <v>115</v>
      </c>
      <c r="AI2891" s="40" t="s">
        <v>115</v>
      </c>
      <c r="AP2891" s="4" t="s">
        <v>115</v>
      </c>
    </row>
    <row r="2892" spans="1:42" x14ac:dyDescent="0.15">
      <c r="A2892" s="40" t="s">
        <v>1</v>
      </c>
      <c r="B2892" s="23">
        <v>90240312</v>
      </c>
      <c r="C2892" s="23">
        <v>2403</v>
      </c>
      <c r="D2892" s="23">
        <v>24</v>
      </c>
      <c r="F2892" s="23" t="s">
        <v>767</v>
      </c>
      <c r="G2892" s="23" t="s">
        <v>115</v>
      </c>
      <c r="H2892" s="23" t="s">
        <v>5522</v>
      </c>
      <c r="I2892" s="23">
        <v>1</v>
      </c>
      <c r="J2892" s="40">
        <v>0</v>
      </c>
      <c r="K2892" s="40">
        <v>0</v>
      </c>
      <c r="L2892" s="40" t="s">
        <v>115</v>
      </c>
      <c r="O2892" s="40" t="s">
        <v>115</v>
      </c>
      <c r="Q2892" s="40">
        <v>143</v>
      </c>
      <c r="R2892" s="40" t="s">
        <v>115</v>
      </c>
      <c r="X2892" s="40">
        <v>90240313</v>
      </c>
      <c r="Y2892" s="40" t="s">
        <v>115</v>
      </c>
      <c r="Z2892" s="40" t="s">
        <v>115</v>
      </c>
      <c r="AA2892" s="40" t="s">
        <v>115</v>
      </c>
      <c r="AB2892" s="40" t="s">
        <v>115</v>
      </c>
      <c r="AC2892" s="40" t="s">
        <v>115</v>
      </c>
      <c r="AI2892" s="40">
        <v>306</v>
      </c>
      <c r="AP2892" s="4" t="s">
        <v>115</v>
      </c>
    </row>
    <row r="2893" spans="1:42" x14ac:dyDescent="0.15">
      <c r="A2893" s="40" t="s">
        <v>1</v>
      </c>
      <c r="B2893" s="23">
        <v>90240313</v>
      </c>
      <c r="C2893" s="23">
        <v>2403</v>
      </c>
      <c r="D2893" s="23">
        <v>24</v>
      </c>
      <c r="F2893" s="23" t="s">
        <v>116</v>
      </c>
      <c r="G2893" s="23">
        <v>313</v>
      </c>
      <c r="H2893" s="23" t="s">
        <v>5523</v>
      </c>
      <c r="I2893" s="23">
        <v>0</v>
      </c>
      <c r="J2893" s="40">
        <v>0</v>
      </c>
      <c r="K2893" s="40">
        <v>0</v>
      </c>
      <c r="L2893" s="40" t="s">
        <v>115</v>
      </c>
      <c r="O2893" s="40" t="s">
        <v>115</v>
      </c>
      <c r="Q2893" s="40">
        <v>143</v>
      </c>
      <c r="R2893" s="40" t="s">
        <v>115</v>
      </c>
      <c r="X2893" s="40">
        <v>90240314</v>
      </c>
      <c r="Y2893" s="40" t="s">
        <v>115</v>
      </c>
      <c r="Z2893" s="40" t="s">
        <v>115</v>
      </c>
      <c r="AA2893" s="40" t="s">
        <v>115</v>
      </c>
      <c r="AB2893" s="40" t="s">
        <v>115</v>
      </c>
      <c r="AC2893" s="40" t="s">
        <v>115</v>
      </c>
      <c r="AI2893" s="40">
        <v>306</v>
      </c>
      <c r="AP2893" s="4" t="s">
        <v>115</v>
      </c>
    </row>
    <row r="2894" spans="1:42" x14ac:dyDescent="0.15">
      <c r="A2894" s="40" t="s">
        <v>1</v>
      </c>
      <c r="B2894" s="23">
        <v>90240314</v>
      </c>
      <c r="C2894" s="23">
        <v>2403</v>
      </c>
      <c r="D2894" s="23">
        <v>24</v>
      </c>
      <c r="F2894" s="23" t="s">
        <v>767</v>
      </c>
      <c r="G2894" s="23" t="s">
        <v>115</v>
      </c>
      <c r="H2894" s="23" t="s">
        <v>5524</v>
      </c>
      <c r="I2894" s="23">
        <v>1</v>
      </c>
      <c r="J2894" s="40">
        <v>0</v>
      </c>
      <c r="K2894" s="40">
        <v>0</v>
      </c>
      <c r="L2894" s="40" t="s">
        <v>115</v>
      </c>
      <c r="O2894" s="40" t="s">
        <v>115</v>
      </c>
      <c r="Q2894" s="40">
        <v>143</v>
      </c>
      <c r="R2894" s="40" t="s">
        <v>115</v>
      </c>
      <c r="X2894" s="40">
        <v>90240315</v>
      </c>
      <c r="Y2894" s="40" t="s">
        <v>115</v>
      </c>
      <c r="Z2894" s="40" t="s">
        <v>115</v>
      </c>
      <c r="AA2894" s="40" t="s">
        <v>115</v>
      </c>
      <c r="AB2894" s="40" t="s">
        <v>115</v>
      </c>
      <c r="AC2894" s="40" t="s">
        <v>115</v>
      </c>
      <c r="AI2894" s="40">
        <v>306</v>
      </c>
      <c r="AP2894" s="4" t="s">
        <v>115</v>
      </c>
    </row>
    <row r="2895" spans="1:42" x14ac:dyDescent="0.15">
      <c r="A2895" s="40" t="s">
        <v>1</v>
      </c>
      <c r="B2895" s="23">
        <v>90240315</v>
      </c>
      <c r="C2895" s="23">
        <v>2403</v>
      </c>
      <c r="D2895" s="23">
        <v>24</v>
      </c>
      <c r="F2895" s="23" t="s">
        <v>116</v>
      </c>
      <c r="G2895" s="23">
        <v>312</v>
      </c>
      <c r="H2895" s="23" t="s">
        <v>5525</v>
      </c>
      <c r="I2895" s="23">
        <v>0</v>
      </c>
      <c r="J2895" s="40">
        <v>0</v>
      </c>
      <c r="K2895" s="40">
        <v>0</v>
      </c>
      <c r="L2895" s="40" t="s">
        <v>115</v>
      </c>
      <c r="O2895" s="40" t="s">
        <v>115</v>
      </c>
      <c r="Q2895" s="40">
        <v>143</v>
      </c>
      <c r="R2895" s="40" t="s">
        <v>115</v>
      </c>
      <c r="X2895" s="40">
        <v>90240316</v>
      </c>
      <c r="Y2895" s="40" t="s">
        <v>115</v>
      </c>
      <c r="Z2895" s="40" t="s">
        <v>115</v>
      </c>
      <c r="AA2895" s="40" t="s">
        <v>115</v>
      </c>
      <c r="AB2895" s="40" t="s">
        <v>115</v>
      </c>
      <c r="AC2895" s="40" t="s">
        <v>115</v>
      </c>
      <c r="AI2895" s="40">
        <v>306</v>
      </c>
      <c r="AP2895" s="4" t="s">
        <v>115</v>
      </c>
    </row>
    <row r="2896" spans="1:42" x14ac:dyDescent="0.15">
      <c r="A2896" s="40" t="s">
        <v>1</v>
      </c>
      <c r="B2896" s="23">
        <v>90240316</v>
      </c>
      <c r="C2896" s="23">
        <v>2403</v>
      </c>
      <c r="D2896" s="23">
        <v>24</v>
      </c>
      <c r="F2896" s="23" t="s">
        <v>116</v>
      </c>
      <c r="G2896" s="23">
        <v>309</v>
      </c>
      <c r="H2896" s="23" t="s">
        <v>5526</v>
      </c>
      <c r="I2896" s="23">
        <v>2</v>
      </c>
      <c r="J2896" s="40">
        <v>0</v>
      </c>
      <c r="K2896" s="40">
        <v>0</v>
      </c>
      <c r="L2896" s="40" t="s">
        <v>115</v>
      </c>
      <c r="O2896" s="40" t="s">
        <v>115</v>
      </c>
      <c r="Q2896" s="40">
        <v>143</v>
      </c>
      <c r="R2896" s="40" t="s">
        <v>115</v>
      </c>
      <c r="X2896" s="40">
        <v>90240317</v>
      </c>
      <c r="Y2896" s="40" t="s">
        <v>115</v>
      </c>
      <c r="Z2896" s="40" t="s">
        <v>115</v>
      </c>
      <c r="AA2896" s="40" t="s">
        <v>115</v>
      </c>
      <c r="AB2896" s="40" t="s">
        <v>115</v>
      </c>
      <c r="AC2896" s="40" t="s">
        <v>115</v>
      </c>
      <c r="AI2896" s="40">
        <v>306</v>
      </c>
      <c r="AP2896" s="4" t="s">
        <v>115</v>
      </c>
    </row>
    <row r="2897" spans="1:42" x14ac:dyDescent="0.15">
      <c r="A2897" s="40" t="s">
        <v>1</v>
      </c>
      <c r="B2897" s="23">
        <v>90240317</v>
      </c>
      <c r="C2897" s="23">
        <v>2403</v>
      </c>
      <c r="D2897" s="23">
        <v>24</v>
      </c>
      <c r="F2897" s="23" t="s">
        <v>115</v>
      </c>
      <c r="G2897" s="23" t="s">
        <v>115</v>
      </c>
      <c r="H2897" s="23" t="s">
        <v>5527</v>
      </c>
      <c r="I2897" s="23">
        <v>4</v>
      </c>
      <c r="J2897" s="40">
        <v>0</v>
      </c>
      <c r="K2897" s="40">
        <v>0</v>
      </c>
      <c r="L2897" s="40" t="s">
        <v>115</v>
      </c>
      <c r="O2897" s="40" t="s">
        <v>115</v>
      </c>
      <c r="Q2897" s="40">
        <v>143</v>
      </c>
      <c r="R2897" s="40" t="s">
        <v>115</v>
      </c>
      <c r="X2897" s="40">
        <v>90240318</v>
      </c>
      <c r="Y2897" s="40" t="s">
        <v>115</v>
      </c>
      <c r="Z2897" s="40" t="s">
        <v>115</v>
      </c>
      <c r="AA2897" s="40" t="s">
        <v>115</v>
      </c>
      <c r="AB2897" s="40" t="s">
        <v>115</v>
      </c>
      <c r="AC2897" s="40" t="s">
        <v>115</v>
      </c>
      <c r="AI2897" s="40">
        <v>306</v>
      </c>
      <c r="AP2897" s="4" t="s">
        <v>115</v>
      </c>
    </row>
    <row r="2898" spans="1:42" x14ac:dyDescent="0.15">
      <c r="A2898" s="40" t="s">
        <v>1</v>
      </c>
      <c r="B2898" s="23">
        <v>90240318</v>
      </c>
      <c r="C2898" s="23">
        <v>2403</v>
      </c>
      <c r="D2898" s="23">
        <v>24</v>
      </c>
      <c r="F2898" s="23" t="s">
        <v>767</v>
      </c>
      <c r="G2898" s="23" t="s">
        <v>115</v>
      </c>
      <c r="H2898" s="23" t="s">
        <v>5528</v>
      </c>
      <c r="I2898" s="23">
        <v>1</v>
      </c>
      <c r="J2898" s="40">
        <v>0</v>
      </c>
      <c r="K2898" s="40">
        <v>0</v>
      </c>
      <c r="L2898" s="40" t="s">
        <v>115</v>
      </c>
      <c r="O2898" s="40" t="s">
        <v>115</v>
      </c>
      <c r="Q2898" s="40">
        <v>143</v>
      </c>
      <c r="R2898" s="40" t="s">
        <v>115</v>
      </c>
      <c r="X2898" s="40">
        <v>90240319</v>
      </c>
      <c r="Y2898" s="40" t="s">
        <v>115</v>
      </c>
      <c r="Z2898" s="40" t="s">
        <v>115</v>
      </c>
      <c r="AA2898" s="40" t="s">
        <v>115</v>
      </c>
      <c r="AB2898" s="40" t="s">
        <v>115</v>
      </c>
      <c r="AC2898" s="40" t="s">
        <v>115</v>
      </c>
      <c r="AI2898" s="40">
        <v>306</v>
      </c>
      <c r="AP2898" s="4" t="s">
        <v>115</v>
      </c>
    </row>
    <row r="2899" spans="1:42" x14ac:dyDescent="0.15">
      <c r="A2899" s="40" t="s">
        <v>1</v>
      </c>
      <c r="B2899" s="23">
        <v>90240319</v>
      </c>
      <c r="C2899" s="23">
        <v>2403</v>
      </c>
      <c r="D2899" s="23">
        <v>24</v>
      </c>
      <c r="F2899" s="23" t="s">
        <v>116</v>
      </c>
      <c r="G2899" s="23">
        <v>314</v>
      </c>
      <c r="H2899" s="23" t="s">
        <v>5529</v>
      </c>
      <c r="I2899" s="23">
        <v>2</v>
      </c>
      <c r="J2899" s="40">
        <v>0</v>
      </c>
      <c r="K2899" s="40">
        <v>0</v>
      </c>
      <c r="L2899" s="40" t="s">
        <v>115</v>
      </c>
      <c r="O2899" s="40" t="s">
        <v>115</v>
      </c>
      <c r="Q2899" s="40">
        <v>143</v>
      </c>
      <c r="R2899" s="40" t="s">
        <v>115</v>
      </c>
      <c r="X2899" s="40">
        <v>90240320</v>
      </c>
      <c r="Y2899" s="40" t="s">
        <v>115</v>
      </c>
      <c r="Z2899" s="40" t="s">
        <v>115</v>
      </c>
      <c r="AA2899" s="40" t="s">
        <v>115</v>
      </c>
      <c r="AB2899" s="40" t="s">
        <v>115</v>
      </c>
      <c r="AC2899" s="40" t="s">
        <v>115</v>
      </c>
      <c r="AI2899" s="40">
        <v>306</v>
      </c>
      <c r="AP2899" s="4" t="s">
        <v>115</v>
      </c>
    </row>
    <row r="2900" spans="1:42" x14ac:dyDescent="0.15">
      <c r="A2900" s="40" t="s">
        <v>1</v>
      </c>
      <c r="B2900" s="23">
        <v>90240320</v>
      </c>
      <c r="C2900" s="23">
        <v>2403</v>
      </c>
      <c r="D2900" s="23">
        <v>24</v>
      </c>
      <c r="F2900" s="23" t="s">
        <v>115</v>
      </c>
      <c r="G2900" s="23" t="s">
        <v>115</v>
      </c>
      <c r="H2900" s="23" t="s">
        <v>5530</v>
      </c>
      <c r="I2900" s="23">
        <v>4</v>
      </c>
      <c r="J2900" s="40">
        <v>0</v>
      </c>
      <c r="K2900" s="40">
        <v>0</v>
      </c>
      <c r="L2900" s="40" t="s">
        <v>115</v>
      </c>
      <c r="O2900" s="40" t="s">
        <v>115</v>
      </c>
      <c r="Q2900" s="40">
        <v>143</v>
      </c>
      <c r="R2900" s="40" t="s">
        <v>115</v>
      </c>
      <c r="X2900" s="40">
        <v>90240321</v>
      </c>
      <c r="Y2900" s="40" t="s">
        <v>115</v>
      </c>
      <c r="Z2900" s="40" t="s">
        <v>115</v>
      </c>
      <c r="AA2900" s="40" t="s">
        <v>115</v>
      </c>
      <c r="AB2900" s="40" t="s">
        <v>115</v>
      </c>
      <c r="AC2900" s="40" t="s">
        <v>115</v>
      </c>
      <c r="AI2900" s="40" t="s">
        <v>115</v>
      </c>
      <c r="AP2900" s="4" t="s">
        <v>115</v>
      </c>
    </row>
    <row r="2901" spans="1:42" x14ac:dyDescent="0.15">
      <c r="A2901" s="40" t="s">
        <v>1</v>
      </c>
      <c r="B2901" s="23">
        <v>90240321</v>
      </c>
      <c r="C2901" s="23">
        <v>2403</v>
      </c>
      <c r="D2901" s="23">
        <v>24</v>
      </c>
      <c r="F2901" s="23" t="s">
        <v>373</v>
      </c>
      <c r="G2901" s="23" t="s">
        <v>115</v>
      </c>
      <c r="H2901" s="23" t="s">
        <v>5531</v>
      </c>
      <c r="I2901" s="23">
        <v>3</v>
      </c>
      <c r="J2901" s="40">
        <v>0</v>
      </c>
      <c r="K2901" s="40">
        <v>0</v>
      </c>
      <c r="L2901" s="40" t="s">
        <v>115</v>
      </c>
      <c r="O2901" s="40" t="s">
        <v>115</v>
      </c>
      <c r="Q2901" s="40">
        <v>143</v>
      </c>
      <c r="R2901" s="40">
        <v>357</v>
      </c>
      <c r="X2901" s="40">
        <v>90240322</v>
      </c>
      <c r="Y2901" s="40" t="s">
        <v>115</v>
      </c>
      <c r="Z2901" s="40" t="s">
        <v>115</v>
      </c>
      <c r="AA2901" s="40" t="s">
        <v>115</v>
      </c>
      <c r="AB2901" s="40" t="s">
        <v>115</v>
      </c>
      <c r="AC2901" s="40" t="s">
        <v>115</v>
      </c>
      <c r="AI2901" s="40" t="s">
        <v>115</v>
      </c>
      <c r="AP2901" s="4" t="s">
        <v>115</v>
      </c>
    </row>
    <row r="2902" spans="1:42" x14ac:dyDescent="0.15">
      <c r="A2902" s="40" t="s">
        <v>1</v>
      </c>
      <c r="B2902" s="23">
        <v>90240322</v>
      </c>
      <c r="C2902" s="23">
        <v>2403</v>
      </c>
      <c r="D2902" s="23">
        <v>24</v>
      </c>
      <c r="F2902" s="23" t="s">
        <v>116</v>
      </c>
      <c r="G2902" s="23">
        <v>312</v>
      </c>
      <c r="H2902" s="23" t="s">
        <v>5532</v>
      </c>
      <c r="I2902" s="23">
        <v>0</v>
      </c>
      <c r="J2902" s="40">
        <v>0</v>
      </c>
      <c r="K2902" s="40">
        <v>0</v>
      </c>
      <c r="L2902" s="40" t="s">
        <v>115</v>
      </c>
      <c r="O2902" s="40" t="s">
        <v>115</v>
      </c>
      <c r="Q2902" s="40">
        <v>143</v>
      </c>
      <c r="R2902" s="40">
        <v>357</v>
      </c>
      <c r="X2902" s="40">
        <v>90240323</v>
      </c>
      <c r="Y2902" s="40" t="s">
        <v>115</v>
      </c>
      <c r="Z2902" s="40" t="s">
        <v>115</v>
      </c>
      <c r="AA2902" s="40" t="s">
        <v>115</v>
      </c>
      <c r="AB2902" s="40" t="s">
        <v>115</v>
      </c>
      <c r="AC2902" s="40" t="s">
        <v>115</v>
      </c>
      <c r="AI2902" s="40" t="s">
        <v>115</v>
      </c>
      <c r="AP2902" s="4" t="s">
        <v>115</v>
      </c>
    </row>
    <row r="2903" spans="1:42" x14ac:dyDescent="0.15">
      <c r="A2903" s="40" t="s">
        <v>1</v>
      </c>
      <c r="B2903" s="23">
        <v>90240323</v>
      </c>
      <c r="C2903" s="23">
        <v>2403</v>
      </c>
      <c r="D2903" s="23">
        <v>24</v>
      </c>
      <c r="F2903" s="23" t="s">
        <v>373</v>
      </c>
      <c r="G2903" s="23" t="s">
        <v>115</v>
      </c>
      <c r="H2903" s="23" t="s">
        <v>5533</v>
      </c>
      <c r="I2903" s="23">
        <v>3</v>
      </c>
      <c r="J2903" s="40">
        <v>0</v>
      </c>
      <c r="K2903" s="40">
        <v>0</v>
      </c>
      <c r="L2903" s="40" t="s">
        <v>115</v>
      </c>
      <c r="O2903" s="40" t="s">
        <v>115</v>
      </c>
      <c r="Q2903" s="40">
        <v>143</v>
      </c>
      <c r="R2903" s="40">
        <v>357</v>
      </c>
      <c r="X2903" s="40">
        <v>90240324</v>
      </c>
      <c r="Y2903" s="40" t="s">
        <v>115</v>
      </c>
      <c r="Z2903" s="40" t="s">
        <v>115</v>
      </c>
      <c r="AA2903" s="40" t="s">
        <v>115</v>
      </c>
      <c r="AB2903" s="40" t="s">
        <v>115</v>
      </c>
      <c r="AC2903" s="40" t="s">
        <v>115</v>
      </c>
      <c r="AI2903" s="40" t="s">
        <v>115</v>
      </c>
      <c r="AP2903" s="4" t="s">
        <v>115</v>
      </c>
    </row>
    <row r="2904" spans="1:42" x14ac:dyDescent="0.15">
      <c r="A2904" s="40" t="s">
        <v>1</v>
      </c>
      <c r="B2904" s="23">
        <v>90240324</v>
      </c>
      <c r="C2904" s="23">
        <v>2403</v>
      </c>
      <c r="D2904" s="23">
        <v>24</v>
      </c>
      <c r="F2904" s="23" t="s">
        <v>373</v>
      </c>
      <c r="G2904" s="23" t="s">
        <v>115</v>
      </c>
      <c r="H2904" s="23" t="s">
        <v>5534</v>
      </c>
      <c r="I2904" s="23">
        <v>3</v>
      </c>
      <c r="J2904" s="40">
        <v>0</v>
      </c>
      <c r="K2904" s="40">
        <v>0</v>
      </c>
      <c r="L2904" s="40" t="s">
        <v>115</v>
      </c>
      <c r="O2904" s="40" t="s">
        <v>115</v>
      </c>
      <c r="Q2904" s="40">
        <v>143</v>
      </c>
      <c r="R2904" s="40">
        <v>357</v>
      </c>
      <c r="X2904" s="40">
        <v>90240325</v>
      </c>
      <c r="Y2904" s="40" t="s">
        <v>115</v>
      </c>
      <c r="Z2904" s="40" t="s">
        <v>115</v>
      </c>
      <c r="AA2904" s="40" t="s">
        <v>115</v>
      </c>
      <c r="AB2904" s="40" t="s">
        <v>115</v>
      </c>
      <c r="AC2904" s="40" t="s">
        <v>115</v>
      </c>
      <c r="AI2904" s="40" t="s">
        <v>115</v>
      </c>
      <c r="AP2904" s="4" t="s">
        <v>115</v>
      </c>
    </row>
    <row r="2905" spans="1:42" x14ac:dyDescent="0.15">
      <c r="A2905" s="40" t="s">
        <v>1</v>
      </c>
      <c r="B2905" s="23">
        <v>90240325</v>
      </c>
      <c r="C2905" s="23">
        <v>2403</v>
      </c>
      <c r="D2905" s="23">
        <v>24</v>
      </c>
      <c r="F2905" s="23" t="s">
        <v>373</v>
      </c>
      <c r="G2905" s="23" t="s">
        <v>115</v>
      </c>
      <c r="H2905" s="23" t="s">
        <v>5535</v>
      </c>
      <c r="I2905" s="23">
        <v>3</v>
      </c>
      <c r="J2905" s="40">
        <v>0</v>
      </c>
      <c r="K2905" s="40">
        <v>0</v>
      </c>
      <c r="L2905" s="40" t="s">
        <v>115</v>
      </c>
      <c r="O2905" s="40" t="s">
        <v>115</v>
      </c>
      <c r="Q2905" s="40">
        <v>143</v>
      </c>
      <c r="R2905" s="40">
        <v>357</v>
      </c>
      <c r="X2905" s="40">
        <v>90240326</v>
      </c>
      <c r="Y2905" s="40" t="s">
        <v>115</v>
      </c>
      <c r="Z2905" s="40" t="s">
        <v>115</v>
      </c>
      <c r="AA2905" s="40" t="s">
        <v>115</v>
      </c>
      <c r="AB2905" s="40" t="s">
        <v>115</v>
      </c>
      <c r="AC2905" s="40" t="s">
        <v>115</v>
      </c>
      <c r="AI2905" s="40" t="s">
        <v>115</v>
      </c>
      <c r="AP2905" s="4" t="s">
        <v>115</v>
      </c>
    </row>
    <row r="2906" spans="1:42" x14ac:dyDescent="0.15">
      <c r="A2906" s="40" t="s">
        <v>1</v>
      </c>
      <c r="B2906" s="23">
        <v>90240326</v>
      </c>
      <c r="C2906" s="23">
        <v>2403</v>
      </c>
      <c r="D2906" s="23">
        <v>24</v>
      </c>
      <c r="F2906" s="23" t="s">
        <v>116</v>
      </c>
      <c r="G2906" s="23">
        <v>314</v>
      </c>
      <c r="H2906" s="23" t="s">
        <v>5536</v>
      </c>
      <c r="I2906" s="23">
        <v>2</v>
      </c>
      <c r="J2906" s="40">
        <v>0</v>
      </c>
      <c r="K2906" s="40">
        <v>5</v>
      </c>
      <c r="L2906" s="40" t="s">
        <v>115</v>
      </c>
      <c r="O2906" s="40">
        <v>1</v>
      </c>
      <c r="Q2906" s="40">
        <v>143</v>
      </c>
      <c r="R2906" s="40">
        <v>357</v>
      </c>
      <c r="X2906" s="40" t="s">
        <v>115</v>
      </c>
      <c r="Y2906" s="40" t="s">
        <v>115</v>
      </c>
      <c r="Z2906" s="40">
        <v>4</v>
      </c>
      <c r="AA2906" s="40" t="s">
        <v>115</v>
      </c>
      <c r="AB2906" s="40" t="s">
        <v>115</v>
      </c>
      <c r="AC2906" s="40" t="s">
        <v>115</v>
      </c>
      <c r="AI2906" s="40" t="s">
        <v>115</v>
      </c>
      <c r="AP2906" s="4" t="s">
        <v>5537</v>
      </c>
    </row>
    <row r="2907" spans="1:42" x14ac:dyDescent="0.15">
      <c r="A2907" s="40" t="s">
        <v>1</v>
      </c>
      <c r="B2907" s="23" t="s">
        <v>4867</v>
      </c>
      <c r="C2907" s="23">
        <v>2404</v>
      </c>
      <c r="D2907" s="23">
        <v>24</v>
      </c>
      <c r="F2907" s="23" t="s">
        <v>115</v>
      </c>
      <c r="G2907" s="23" t="s">
        <v>115</v>
      </c>
      <c r="H2907" s="23" t="s">
        <v>5538</v>
      </c>
      <c r="I2907" s="23">
        <v>4</v>
      </c>
      <c r="J2907" s="40">
        <v>1</v>
      </c>
      <c r="K2907" s="40">
        <v>1</v>
      </c>
      <c r="L2907" s="40" t="s">
        <v>115</v>
      </c>
      <c r="O2907" s="40" t="s">
        <v>115</v>
      </c>
      <c r="Q2907" s="40">
        <v>177</v>
      </c>
      <c r="R2907" s="40" t="s">
        <v>115</v>
      </c>
      <c r="X2907" s="40">
        <v>90240402</v>
      </c>
      <c r="Y2907" s="40" t="s">
        <v>115</v>
      </c>
      <c r="Z2907" s="40" t="s">
        <v>115</v>
      </c>
      <c r="AA2907" s="40" t="s">
        <v>115</v>
      </c>
      <c r="AB2907" s="40" t="s">
        <v>115</v>
      </c>
      <c r="AC2907" s="40" t="s">
        <v>115</v>
      </c>
      <c r="AI2907" s="40" t="s">
        <v>115</v>
      </c>
      <c r="AP2907" s="4" t="s">
        <v>115</v>
      </c>
    </row>
    <row r="2908" spans="1:42" x14ac:dyDescent="0.15">
      <c r="A2908" s="40" t="s">
        <v>1</v>
      </c>
      <c r="B2908" s="23">
        <v>90240402</v>
      </c>
      <c r="C2908" s="23">
        <v>2404</v>
      </c>
      <c r="D2908" s="23">
        <v>24</v>
      </c>
      <c r="F2908" s="23" t="s">
        <v>5463</v>
      </c>
      <c r="G2908" s="23" t="s">
        <v>115</v>
      </c>
      <c r="H2908" s="23" t="s">
        <v>5539</v>
      </c>
      <c r="I2908" s="23">
        <v>3</v>
      </c>
      <c r="J2908" s="40">
        <v>0</v>
      </c>
      <c r="K2908" s="40">
        <v>2</v>
      </c>
      <c r="L2908" s="40" t="s">
        <v>115</v>
      </c>
      <c r="O2908" s="40" t="s">
        <v>115</v>
      </c>
      <c r="Q2908" s="40">
        <v>177</v>
      </c>
      <c r="R2908" s="40">
        <v>245</v>
      </c>
      <c r="X2908" s="40" t="s">
        <v>5540</v>
      </c>
      <c r="Y2908" s="40">
        <v>1</v>
      </c>
      <c r="Z2908" s="40">
        <v>1</v>
      </c>
      <c r="AA2908" s="40" t="s">
        <v>115</v>
      </c>
      <c r="AB2908" s="40" t="s">
        <v>115</v>
      </c>
      <c r="AC2908" s="40" t="s">
        <v>115</v>
      </c>
      <c r="AI2908" s="40" t="s">
        <v>115</v>
      </c>
      <c r="AP2908" s="4" t="s">
        <v>115</v>
      </c>
    </row>
    <row r="2909" spans="1:42" x14ac:dyDescent="0.15">
      <c r="A2909" s="40" t="s">
        <v>1</v>
      </c>
      <c r="B2909" s="23">
        <v>90240403</v>
      </c>
      <c r="C2909" s="23">
        <v>2404</v>
      </c>
      <c r="D2909" s="23">
        <v>24</v>
      </c>
      <c r="F2909" s="23" t="s">
        <v>115</v>
      </c>
      <c r="G2909" s="23" t="s">
        <v>115</v>
      </c>
      <c r="H2909" s="23" t="s">
        <v>5541</v>
      </c>
      <c r="I2909" s="23">
        <v>4</v>
      </c>
      <c r="J2909" s="40">
        <v>0</v>
      </c>
      <c r="K2909" s="40">
        <v>3</v>
      </c>
      <c r="L2909" s="40" t="s">
        <v>115</v>
      </c>
      <c r="O2909" s="40" t="s">
        <v>115</v>
      </c>
      <c r="Q2909" s="40">
        <v>177</v>
      </c>
      <c r="R2909" s="40">
        <v>245</v>
      </c>
      <c r="X2909" s="40">
        <v>90240405</v>
      </c>
      <c r="Y2909" s="40">
        <v>-1</v>
      </c>
      <c r="Z2909" s="40">
        <v>2</v>
      </c>
      <c r="AA2909" s="40" t="s">
        <v>5542</v>
      </c>
      <c r="AB2909" s="40" t="s">
        <v>115</v>
      </c>
      <c r="AC2909" s="40" t="s">
        <v>115</v>
      </c>
      <c r="AI2909" s="40" t="s">
        <v>115</v>
      </c>
      <c r="AP2909" s="4" t="s">
        <v>115</v>
      </c>
    </row>
    <row r="2910" spans="1:42" x14ac:dyDescent="0.15">
      <c r="A2910" s="40" t="s">
        <v>1</v>
      </c>
      <c r="B2910" s="23">
        <v>90240404</v>
      </c>
      <c r="C2910" s="23">
        <v>2404</v>
      </c>
      <c r="D2910" s="23">
        <v>24</v>
      </c>
      <c r="F2910" s="23" t="s">
        <v>115</v>
      </c>
      <c r="G2910" s="23" t="s">
        <v>115</v>
      </c>
      <c r="H2910" s="23" t="s">
        <v>5543</v>
      </c>
      <c r="I2910" s="23">
        <v>4</v>
      </c>
      <c r="J2910" s="40">
        <v>0</v>
      </c>
      <c r="K2910" s="40">
        <v>4</v>
      </c>
      <c r="L2910" s="40" t="s">
        <v>115</v>
      </c>
      <c r="O2910" s="40" t="s">
        <v>115</v>
      </c>
      <c r="Q2910" s="40">
        <v>177</v>
      </c>
      <c r="R2910" s="40">
        <v>245</v>
      </c>
      <c r="X2910" s="40">
        <v>90240407</v>
      </c>
      <c r="Y2910" s="40">
        <v>-1</v>
      </c>
      <c r="Z2910" s="40">
        <v>2</v>
      </c>
      <c r="AA2910" s="40" t="s">
        <v>5544</v>
      </c>
      <c r="AB2910" s="40" t="s">
        <v>115</v>
      </c>
      <c r="AC2910" s="40" t="s">
        <v>115</v>
      </c>
      <c r="AI2910" s="40" t="s">
        <v>115</v>
      </c>
      <c r="AP2910" s="4" t="s">
        <v>115</v>
      </c>
    </row>
    <row r="2911" spans="1:42" x14ac:dyDescent="0.15">
      <c r="A2911" s="40" t="s">
        <v>1</v>
      </c>
      <c r="B2911" s="23">
        <v>90240405</v>
      </c>
      <c r="C2911" s="23">
        <v>2404</v>
      </c>
      <c r="D2911" s="23">
        <v>24</v>
      </c>
      <c r="F2911" s="23" t="s">
        <v>5463</v>
      </c>
      <c r="G2911" s="23" t="s">
        <v>115</v>
      </c>
      <c r="H2911" s="23" t="s">
        <v>5545</v>
      </c>
      <c r="I2911" s="23">
        <v>3</v>
      </c>
      <c r="J2911" s="40">
        <v>0</v>
      </c>
      <c r="K2911" s="40">
        <v>0</v>
      </c>
      <c r="L2911" s="40" t="s">
        <v>115</v>
      </c>
      <c r="O2911" s="40" t="s">
        <v>115</v>
      </c>
      <c r="Q2911" s="40">
        <v>177</v>
      </c>
      <c r="R2911" s="40">
        <v>245</v>
      </c>
      <c r="X2911" s="40">
        <v>90240406</v>
      </c>
      <c r="Y2911" s="40" t="s">
        <v>115</v>
      </c>
      <c r="Z2911" s="40" t="s">
        <v>115</v>
      </c>
      <c r="AA2911" s="40" t="s">
        <v>115</v>
      </c>
      <c r="AB2911" s="40" t="s">
        <v>115</v>
      </c>
      <c r="AC2911" s="40" t="s">
        <v>115</v>
      </c>
      <c r="AI2911" s="40" t="s">
        <v>115</v>
      </c>
      <c r="AP2911" s="4" t="s">
        <v>115</v>
      </c>
    </row>
    <row r="2912" spans="1:42" x14ac:dyDescent="0.15">
      <c r="A2912" s="40" t="s">
        <v>1</v>
      </c>
      <c r="B2912" s="23">
        <v>90240406</v>
      </c>
      <c r="C2912" s="23">
        <v>2404</v>
      </c>
      <c r="D2912" s="23">
        <v>24</v>
      </c>
      <c r="F2912" s="23" t="s">
        <v>5463</v>
      </c>
      <c r="G2912" s="23" t="s">
        <v>115</v>
      </c>
      <c r="H2912" s="23" t="s">
        <v>5546</v>
      </c>
      <c r="I2912" s="23">
        <v>3</v>
      </c>
      <c r="J2912" s="40">
        <v>0</v>
      </c>
      <c r="K2912" s="40">
        <v>0</v>
      </c>
      <c r="L2912" s="40" t="s">
        <v>115</v>
      </c>
      <c r="O2912" s="40" t="s">
        <v>115</v>
      </c>
      <c r="Q2912" s="40">
        <v>177</v>
      </c>
      <c r="R2912" s="40">
        <v>245</v>
      </c>
      <c r="X2912" s="40">
        <v>90240408</v>
      </c>
      <c r="Y2912" s="40" t="s">
        <v>115</v>
      </c>
      <c r="Z2912" s="40" t="s">
        <v>115</v>
      </c>
      <c r="AA2912" s="40" t="s">
        <v>115</v>
      </c>
      <c r="AB2912" s="40" t="s">
        <v>115</v>
      </c>
      <c r="AC2912" s="40" t="s">
        <v>115</v>
      </c>
      <c r="AI2912" s="40" t="s">
        <v>115</v>
      </c>
      <c r="AP2912" s="4" t="s">
        <v>115</v>
      </c>
    </row>
    <row r="2913" spans="1:42" x14ac:dyDescent="0.15">
      <c r="A2913" s="40" t="s">
        <v>1</v>
      </c>
      <c r="B2913" s="23">
        <v>90240407</v>
      </c>
      <c r="C2913" s="23">
        <v>2404</v>
      </c>
      <c r="D2913" s="23">
        <v>24</v>
      </c>
      <c r="F2913" s="23" t="s">
        <v>5463</v>
      </c>
      <c r="G2913" s="23" t="s">
        <v>115</v>
      </c>
      <c r="H2913" s="23" t="s">
        <v>5547</v>
      </c>
      <c r="I2913" s="23">
        <v>3</v>
      </c>
      <c r="J2913" s="40">
        <v>0</v>
      </c>
      <c r="K2913" s="40">
        <v>0</v>
      </c>
      <c r="L2913" s="40" t="s">
        <v>115</v>
      </c>
      <c r="O2913" s="40" t="s">
        <v>115</v>
      </c>
      <c r="Q2913" s="40">
        <v>177</v>
      </c>
      <c r="R2913" s="40">
        <v>245</v>
      </c>
      <c r="X2913" s="40">
        <v>90240408</v>
      </c>
      <c r="Y2913" s="40" t="s">
        <v>115</v>
      </c>
      <c r="Z2913" s="40" t="s">
        <v>115</v>
      </c>
      <c r="AA2913" s="40" t="s">
        <v>115</v>
      </c>
      <c r="AB2913" s="40" t="s">
        <v>115</v>
      </c>
      <c r="AC2913" s="40" t="s">
        <v>115</v>
      </c>
      <c r="AI2913" s="40" t="s">
        <v>115</v>
      </c>
      <c r="AP2913" s="4" t="s">
        <v>115</v>
      </c>
    </row>
    <row r="2914" spans="1:42" x14ac:dyDescent="0.15">
      <c r="A2914" s="40" t="s">
        <v>1</v>
      </c>
      <c r="B2914" s="23">
        <v>90240408</v>
      </c>
      <c r="C2914" s="23">
        <v>2404</v>
      </c>
      <c r="D2914" s="23">
        <v>24</v>
      </c>
      <c r="F2914" s="23" t="s">
        <v>5463</v>
      </c>
      <c r="G2914" s="23" t="s">
        <v>115</v>
      </c>
      <c r="H2914" s="23" t="s">
        <v>5548</v>
      </c>
      <c r="I2914" s="23">
        <v>3</v>
      </c>
      <c r="J2914" s="40">
        <v>0</v>
      </c>
      <c r="K2914" s="40">
        <v>0</v>
      </c>
      <c r="L2914" s="40" t="s">
        <v>115</v>
      </c>
      <c r="O2914" s="40" t="s">
        <v>115</v>
      </c>
      <c r="Q2914" s="40">
        <v>177</v>
      </c>
      <c r="R2914" s="40">
        <v>245</v>
      </c>
      <c r="X2914" s="40">
        <v>90240409</v>
      </c>
      <c r="Y2914" s="40" t="s">
        <v>115</v>
      </c>
      <c r="Z2914" s="40" t="s">
        <v>115</v>
      </c>
      <c r="AA2914" s="40" t="s">
        <v>115</v>
      </c>
      <c r="AB2914" s="40" t="s">
        <v>115</v>
      </c>
      <c r="AC2914" s="40" t="s">
        <v>115</v>
      </c>
      <c r="AI2914" s="40" t="s">
        <v>115</v>
      </c>
      <c r="AP2914" s="4" t="s">
        <v>115</v>
      </c>
    </row>
    <row r="2915" spans="1:42" x14ac:dyDescent="0.15">
      <c r="A2915" s="40" t="s">
        <v>1</v>
      </c>
      <c r="B2915" s="23">
        <v>90240409</v>
      </c>
      <c r="C2915" s="23">
        <v>2404</v>
      </c>
      <c r="D2915" s="23">
        <v>24</v>
      </c>
      <c r="F2915" s="23" t="s">
        <v>115</v>
      </c>
      <c r="G2915" s="23" t="s">
        <v>115</v>
      </c>
      <c r="H2915" s="23" t="s">
        <v>5549</v>
      </c>
      <c r="I2915" s="23">
        <v>4</v>
      </c>
      <c r="J2915" s="40">
        <v>0</v>
      </c>
      <c r="K2915" s="40">
        <v>0</v>
      </c>
      <c r="L2915" s="40" t="s">
        <v>115</v>
      </c>
      <c r="O2915" s="40" t="s">
        <v>115</v>
      </c>
      <c r="Q2915" s="40">
        <v>177</v>
      </c>
      <c r="R2915" s="40" t="s">
        <v>115</v>
      </c>
      <c r="X2915" s="40">
        <v>90240410</v>
      </c>
      <c r="Y2915" s="40" t="s">
        <v>115</v>
      </c>
      <c r="Z2915" s="40" t="s">
        <v>115</v>
      </c>
      <c r="AA2915" s="40" t="s">
        <v>115</v>
      </c>
      <c r="AB2915" s="40" t="s">
        <v>115</v>
      </c>
      <c r="AC2915" s="40" t="s">
        <v>115</v>
      </c>
      <c r="AI2915" s="40" t="s">
        <v>115</v>
      </c>
      <c r="AP2915" s="4" t="s">
        <v>115</v>
      </c>
    </row>
    <row r="2916" spans="1:42" x14ac:dyDescent="0.15">
      <c r="A2916" s="40" t="s">
        <v>1</v>
      </c>
      <c r="B2916" s="23">
        <v>90240410</v>
      </c>
      <c r="C2916" s="23">
        <v>2404</v>
      </c>
      <c r="D2916" s="23">
        <v>24</v>
      </c>
      <c r="F2916" s="23" t="s">
        <v>767</v>
      </c>
      <c r="G2916" s="23" t="s">
        <v>115</v>
      </c>
      <c r="H2916" s="23" t="s">
        <v>5550</v>
      </c>
      <c r="I2916" s="23">
        <v>1</v>
      </c>
      <c r="J2916" s="40">
        <v>0</v>
      </c>
      <c r="K2916" s="40">
        <v>0</v>
      </c>
      <c r="L2916" s="40" t="s">
        <v>115</v>
      </c>
      <c r="O2916" s="40" t="s">
        <v>115</v>
      </c>
      <c r="Q2916" s="40">
        <v>177</v>
      </c>
      <c r="R2916" s="40" t="s">
        <v>115</v>
      </c>
      <c r="X2916" s="40">
        <v>90240411</v>
      </c>
      <c r="Y2916" s="40" t="s">
        <v>115</v>
      </c>
      <c r="Z2916" s="40" t="s">
        <v>115</v>
      </c>
      <c r="AA2916" s="40" t="s">
        <v>115</v>
      </c>
      <c r="AB2916" s="40" t="s">
        <v>115</v>
      </c>
      <c r="AC2916" s="40" t="s">
        <v>115</v>
      </c>
      <c r="AI2916" s="40">
        <v>306</v>
      </c>
      <c r="AP2916" s="4" t="s">
        <v>115</v>
      </c>
    </row>
    <row r="2917" spans="1:42" x14ac:dyDescent="0.15">
      <c r="A2917" s="40" t="s">
        <v>1</v>
      </c>
      <c r="B2917" s="23">
        <v>90240411</v>
      </c>
      <c r="C2917" s="23">
        <v>2404</v>
      </c>
      <c r="D2917" s="23">
        <v>24</v>
      </c>
      <c r="F2917" s="23" t="s">
        <v>116</v>
      </c>
      <c r="G2917" s="23">
        <v>314</v>
      </c>
      <c r="H2917" s="23" t="s">
        <v>5551</v>
      </c>
      <c r="I2917" s="23">
        <v>0</v>
      </c>
      <c r="J2917" s="40">
        <v>0</v>
      </c>
      <c r="K2917" s="40">
        <v>0</v>
      </c>
      <c r="L2917" s="40" t="s">
        <v>115</v>
      </c>
      <c r="O2917" s="40" t="s">
        <v>115</v>
      </c>
      <c r="Q2917" s="40">
        <v>177</v>
      </c>
      <c r="R2917" s="40" t="s">
        <v>115</v>
      </c>
      <c r="X2917" s="40">
        <v>90240412</v>
      </c>
      <c r="Y2917" s="40" t="s">
        <v>115</v>
      </c>
      <c r="Z2917" s="40" t="s">
        <v>115</v>
      </c>
      <c r="AA2917" s="40" t="s">
        <v>115</v>
      </c>
      <c r="AB2917" s="40" t="s">
        <v>115</v>
      </c>
      <c r="AC2917" s="40" t="s">
        <v>115</v>
      </c>
      <c r="AI2917" s="40">
        <v>306</v>
      </c>
      <c r="AP2917" s="4" t="s">
        <v>115</v>
      </c>
    </row>
    <row r="2918" spans="1:42" x14ac:dyDescent="0.15">
      <c r="A2918" s="40" t="s">
        <v>1</v>
      </c>
      <c r="B2918" s="23">
        <v>90240412</v>
      </c>
      <c r="C2918" s="23">
        <v>2404</v>
      </c>
      <c r="D2918" s="23">
        <v>24</v>
      </c>
      <c r="F2918" s="23" t="s">
        <v>767</v>
      </c>
      <c r="G2918" s="23" t="s">
        <v>115</v>
      </c>
      <c r="H2918" s="23" t="s">
        <v>5552</v>
      </c>
      <c r="I2918" s="23">
        <v>1</v>
      </c>
      <c r="J2918" s="40">
        <v>0</v>
      </c>
      <c r="K2918" s="40">
        <v>0</v>
      </c>
      <c r="L2918" s="40" t="s">
        <v>115</v>
      </c>
      <c r="O2918" s="40" t="s">
        <v>115</v>
      </c>
      <c r="Q2918" s="40">
        <v>177</v>
      </c>
      <c r="R2918" s="40" t="s">
        <v>115</v>
      </c>
      <c r="X2918" s="40">
        <v>90240413</v>
      </c>
      <c r="Y2918" s="40" t="s">
        <v>115</v>
      </c>
      <c r="Z2918" s="40" t="s">
        <v>115</v>
      </c>
      <c r="AA2918" s="40" t="s">
        <v>115</v>
      </c>
      <c r="AB2918" s="40" t="s">
        <v>115</v>
      </c>
      <c r="AC2918" s="40" t="s">
        <v>115</v>
      </c>
      <c r="AI2918" s="40">
        <v>306</v>
      </c>
      <c r="AP2918" s="4" t="s">
        <v>115</v>
      </c>
    </row>
    <row r="2919" spans="1:42" x14ac:dyDescent="0.15">
      <c r="A2919" s="40" t="s">
        <v>1</v>
      </c>
      <c r="B2919" s="23">
        <v>90240413</v>
      </c>
      <c r="C2919" s="23">
        <v>2404</v>
      </c>
      <c r="D2919" s="23">
        <v>24</v>
      </c>
      <c r="F2919" s="23" t="s">
        <v>767</v>
      </c>
      <c r="G2919" s="23" t="s">
        <v>115</v>
      </c>
      <c r="H2919" s="23" t="s">
        <v>5553</v>
      </c>
      <c r="I2919" s="23">
        <v>1</v>
      </c>
      <c r="J2919" s="40">
        <v>0</v>
      </c>
      <c r="K2919" s="40">
        <v>0</v>
      </c>
      <c r="L2919" s="40" t="s">
        <v>115</v>
      </c>
      <c r="O2919" s="40" t="s">
        <v>115</v>
      </c>
      <c r="Q2919" s="40">
        <v>177</v>
      </c>
      <c r="R2919" s="40" t="s">
        <v>115</v>
      </c>
      <c r="X2919" s="40">
        <v>90240414</v>
      </c>
      <c r="Y2919" s="40" t="s">
        <v>115</v>
      </c>
      <c r="Z2919" s="40" t="s">
        <v>115</v>
      </c>
      <c r="AA2919" s="40" t="s">
        <v>115</v>
      </c>
      <c r="AB2919" s="40" t="s">
        <v>115</v>
      </c>
      <c r="AC2919" s="40" t="s">
        <v>115</v>
      </c>
      <c r="AI2919" s="40">
        <v>309</v>
      </c>
      <c r="AP2919" s="4" t="s">
        <v>115</v>
      </c>
    </row>
    <row r="2920" spans="1:42" x14ac:dyDescent="0.15">
      <c r="A2920" s="40" t="s">
        <v>1</v>
      </c>
      <c r="B2920" s="23">
        <v>90240414</v>
      </c>
      <c r="C2920" s="23">
        <v>2404</v>
      </c>
      <c r="D2920" s="23">
        <v>24</v>
      </c>
      <c r="F2920" s="23" t="s">
        <v>115</v>
      </c>
      <c r="G2920" s="23" t="s">
        <v>115</v>
      </c>
      <c r="H2920" s="23" t="s">
        <v>5554</v>
      </c>
      <c r="I2920" s="23">
        <v>4</v>
      </c>
      <c r="J2920" s="40">
        <v>0</v>
      </c>
      <c r="K2920" s="40">
        <v>0</v>
      </c>
      <c r="L2920" s="40" t="s">
        <v>115</v>
      </c>
      <c r="O2920" s="40" t="s">
        <v>115</v>
      </c>
      <c r="Q2920" s="40">
        <v>177</v>
      </c>
      <c r="R2920" s="40" t="s">
        <v>115</v>
      </c>
      <c r="X2920" s="40">
        <v>90240415</v>
      </c>
      <c r="Y2920" s="40" t="s">
        <v>115</v>
      </c>
      <c r="Z2920" s="40" t="s">
        <v>115</v>
      </c>
      <c r="AA2920" s="40" t="s">
        <v>115</v>
      </c>
      <c r="AB2920" s="40" t="s">
        <v>115</v>
      </c>
      <c r="AC2920" s="40" t="s">
        <v>115</v>
      </c>
      <c r="AI2920" s="40">
        <v>309</v>
      </c>
      <c r="AP2920" s="4" t="s">
        <v>115</v>
      </c>
    </row>
    <row r="2921" spans="1:42" x14ac:dyDescent="0.15">
      <c r="A2921" s="40" t="s">
        <v>1</v>
      </c>
      <c r="B2921" s="23">
        <v>90240415</v>
      </c>
      <c r="C2921" s="23">
        <v>2404</v>
      </c>
      <c r="D2921" s="23">
        <v>24</v>
      </c>
      <c r="F2921" s="23" t="s">
        <v>116</v>
      </c>
      <c r="G2921" s="23">
        <v>312</v>
      </c>
      <c r="H2921" s="23" t="s">
        <v>5555</v>
      </c>
      <c r="I2921" s="23">
        <v>0</v>
      </c>
      <c r="J2921" s="40">
        <v>0</v>
      </c>
      <c r="K2921" s="40">
        <v>0</v>
      </c>
      <c r="L2921" s="40" t="s">
        <v>115</v>
      </c>
      <c r="O2921" s="40" t="s">
        <v>115</v>
      </c>
      <c r="Q2921" s="40">
        <v>177</v>
      </c>
      <c r="R2921" s="40" t="s">
        <v>115</v>
      </c>
      <c r="X2921" s="40">
        <v>90240416</v>
      </c>
      <c r="Y2921" s="40" t="s">
        <v>115</v>
      </c>
      <c r="Z2921" s="40" t="s">
        <v>115</v>
      </c>
      <c r="AA2921" s="40" t="s">
        <v>115</v>
      </c>
      <c r="AB2921" s="40" t="s">
        <v>115</v>
      </c>
      <c r="AC2921" s="40" t="s">
        <v>115</v>
      </c>
      <c r="AI2921" s="40">
        <v>306</v>
      </c>
      <c r="AP2921" s="4" t="s">
        <v>115</v>
      </c>
    </row>
    <row r="2922" spans="1:42" x14ac:dyDescent="0.15">
      <c r="A2922" s="40" t="s">
        <v>1</v>
      </c>
      <c r="B2922" s="23">
        <v>90240416</v>
      </c>
      <c r="C2922" s="23">
        <v>2404</v>
      </c>
      <c r="D2922" s="23">
        <v>24</v>
      </c>
      <c r="F2922" s="23" t="s">
        <v>767</v>
      </c>
      <c r="G2922" s="23" t="s">
        <v>115</v>
      </c>
      <c r="H2922" s="23" t="s">
        <v>5556</v>
      </c>
      <c r="I2922" s="23">
        <v>1</v>
      </c>
      <c r="J2922" s="40">
        <v>0</v>
      </c>
      <c r="K2922" s="40">
        <v>5</v>
      </c>
      <c r="L2922" s="40" t="s">
        <v>115</v>
      </c>
      <c r="O2922" s="40">
        <v>1</v>
      </c>
      <c r="Q2922" s="40">
        <v>177</v>
      </c>
      <c r="R2922" s="40" t="s">
        <v>115</v>
      </c>
      <c r="X2922" s="40" t="s">
        <v>115</v>
      </c>
      <c r="Y2922" s="40" t="s">
        <v>115</v>
      </c>
      <c r="Z2922" s="40">
        <v>4</v>
      </c>
      <c r="AA2922" s="40" t="s">
        <v>115</v>
      </c>
      <c r="AB2922" s="40" t="s">
        <v>115</v>
      </c>
      <c r="AC2922" s="40" t="s">
        <v>115</v>
      </c>
      <c r="AI2922" s="40">
        <v>306</v>
      </c>
      <c r="AP2922" s="4" t="s">
        <v>115</v>
      </c>
    </row>
    <row r="2923" spans="1:42" x14ac:dyDescent="0.15">
      <c r="A2923" s="40" t="s">
        <v>1</v>
      </c>
      <c r="B2923" s="23" t="s">
        <v>4869</v>
      </c>
      <c r="C2923" s="23">
        <v>2405</v>
      </c>
      <c r="D2923" s="23">
        <v>24</v>
      </c>
      <c r="F2923" s="23" t="s">
        <v>115</v>
      </c>
      <c r="G2923" s="23" t="s">
        <v>115</v>
      </c>
      <c r="H2923" s="23" t="s">
        <v>5557</v>
      </c>
      <c r="I2923" s="23">
        <v>4</v>
      </c>
      <c r="J2923" s="40">
        <v>1</v>
      </c>
      <c r="K2923" s="40">
        <v>1</v>
      </c>
      <c r="L2923" s="40" t="s">
        <v>115</v>
      </c>
      <c r="O2923" s="40" t="s">
        <v>115</v>
      </c>
      <c r="Q2923" s="40">
        <v>344</v>
      </c>
      <c r="R2923" s="40" t="s">
        <v>115</v>
      </c>
      <c r="X2923" s="40">
        <v>90240502</v>
      </c>
      <c r="Y2923" s="40" t="s">
        <v>115</v>
      </c>
      <c r="Z2923" s="40" t="s">
        <v>115</v>
      </c>
      <c r="AA2923" s="40" t="s">
        <v>115</v>
      </c>
      <c r="AB2923" s="40" t="s">
        <v>115</v>
      </c>
      <c r="AC2923" s="40" t="s">
        <v>115</v>
      </c>
      <c r="AI2923" s="40" t="s">
        <v>115</v>
      </c>
      <c r="AP2923" s="4" t="s">
        <v>115</v>
      </c>
    </row>
    <row r="2924" spans="1:42" x14ac:dyDescent="0.15">
      <c r="A2924" s="40" t="s">
        <v>1</v>
      </c>
      <c r="B2924" s="23">
        <v>90240502</v>
      </c>
      <c r="C2924" s="23">
        <v>2405</v>
      </c>
      <c r="D2924" s="23">
        <v>24</v>
      </c>
      <c r="F2924" s="23" t="s">
        <v>116</v>
      </c>
      <c r="G2924" s="23">
        <v>312</v>
      </c>
      <c r="H2924" s="23" t="s">
        <v>5558</v>
      </c>
      <c r="I2924" s="23">
        <v>0</v>
      </c>
      <c r="J2924" s="40">
        <v>0</v>
      </c>
      <c r="K2924" s="40">
        <v>0</v>
      </c>
      <c r="L2924" s="40" t="s">
        <v>115</v>
      </c>
      <c r="O2924" s="40" t="s">
        <v>115</v>
      </c>
      <c r="Q2924" s="40">
        <v>344</v>
      </c>
      <c r="R2924" s="40">
        <v>388</v>
      </c>
      <c r="X2924" s="40">
        <v>90240503</v>
      </c>
      <c r="Y2924" s="40" t="s">
        <v>115</v>
      </c>
      <c r="Z2924" s="40" t="s">
        <v>115</v>
      </c>
      <c r="AA2924" s="40" t="s">
        <v>115</v>
      </c>
      <c r="AB2924" s="40" t="s">
        <v>115</v>
      </c>
      <c r="AC2924" s="40" t="s">
        <v>115</v>
      </c>
      <c r="AI2924" s="40" t="s">
        <v>115</v>
      </c>
      <c r="AP2924" s="4" t="s">
        <v>115</v>
      </c>
    </row>
    <row r="2925" spans="1:42" x14ac:dyDescent="0.15">
      <c r="A2925" s="40" t="s">
        <v>1</v>
      </c>
      <c r="B2925" s="23">
        <v>90240503</v>
      </c>
      <c r="C2925" s="23">
        <v>2405</v>
      </c>
      <c r="D2925" s="23">
        <v>24</v>
      </c>
      <c r="F2925" s="23" t="s">
        <v>5415</v>
      </c>
      <c r="G2925" s="23" t="s">
        <v>115</v>
      </c>
      <c r="H2925" s="23" t="s">
        <v>5559</v>
      </c>
      <c r="I2925" s="23">
        <v>3</v>
      </c>
      <c r="J2925" s="40">
        <v>0</v>
      </c>
      <c r="K2925" s="40">
        <v>0</v>
      </c>
      <c r="L2925" s="40" t="s">
        <v>115</v>
      </c>
      <c r="O2925" s="40" t="s">
        <v>115</v>
      </c>
      <c r="Q2925" s="40">
        <v>344</v>
      </c>
      <c r="R2925" s="40">
        <v>388</v>
      </c>
      <c r="X2925" s="40">
        <v>90240504</v>
      </c>
      <c r="Y2925" s="40" t="s">
        <v>115</v>
      </c>
      <c r="Z2925" s="40" t="s">
        <v>115</v>
      </c>
      <c r="AA2925" s="40" t="s">
        <v>115</v>
      </c>
      <c r="AB2925" s="40" t="s">
        <v>115</v>
      </c>
      <c r="AC2925" s="40" t="s">
        <v>115</v>
      </c>
      <c r="AI2925" s="40" t="s">
        <v>115</v>
      </c>
      <c r="AP2925" s="4" t="s">
        <v>115</v>
      </c>
    </row>
    <row r="2926" spans="1:42" x14ac:dyDescent="0.15">
      <c r="A2926" s="40" t="s">
        <v>1</v>
      </c>
      <c r="B2926" s="23">
        <v>90240504</v>
      </c>
      <c r="C2926" s="23">
        <v>2405</v>
      </c>
      <c r="D2926" s="23">
        <v>24</v>
      </c>
      <c r="F2926" s="23" t="s">
        <v>115</v>
      </c>
      <c r="G2926" s="23" t="s">
        <v>115</v>
      </c>
      <c r="H2926" s="23" t="s">
        <v>5560</v>
      </c>
      <c r="I2926" s="23">
        <v>4</v>
      </c>
      <c r="J2926" s="40">
        <v>0</v>
      </c>
      <c r="K2926" s="40">
        <v>2</v>
      </c>
      <c r="L2926" s="40" t="s">
        <v>115</v>
      </c>
      <c r="O2926" s="40" t="s">
        <v>115</v>
      </c>
      <c r="Q2926" s="40">
        <v>344</v>
      </c>
      <c r="R2926" s="40">
        <v>388</v>
      </c>
      <c r="X2926" s="40" t="s">
        <v>5561</v>
      </c>
      <c r="Y2926" s="40">
        <v>1</v>
      </c>
      <c r="Z2926" s="40">
        <v>1</v>
      </c>
      <c r="AA2926" s="40" t="s">
        <v>115</v>
      </c>
      <c r="AB2926" s="40" t="s">
        <v>115</v>
      </c>
      <c r="AC2926" s="40" t="s">
        <v>115</v>
      </c>
      <c r="AI2926" s="40" t="s">
        <v>115</v>
      </c>
      <c r="AP2926" s="4" t="s">
        <v>115</v>
      </c>
    </row>
    <row r="2927" spans="1:42" x14ac:dyDescent="0.15">
      <c r="A2927" s="40" t="s">
        <v>1</v>
      </c>
      <c r="B2927" s="23">
        <v>90240505</v>
      </c>
      <c r="C2927" s="23">
        <v>2405</v>
      </c>
      <c r="D2927" s="23">
        <v>24</v>
      </c>
      <c r="F2927" s="23" t="s">
        <v>115</v>
      </c>
      <c r="G2927" s="23" t="s">
        <v>115</v>
      </c>
      <c r="H2927" s="23" t="s">
        <v>5562</v>
      </c>
      <c r="I2927" s="23">
        <v>4</v>
      </c>
      <c r="J2927" s="40">
        <v>0</v>
      </c>
      <c r="K2927" s="40">
        <v>3</v>
      </c>
      <c r="L2927" s="40" t="s">
        <v>115</v>
      </c>
      <c r="O2927" s="40" t="s">
        <v>115</v>
      </c>
      <c r="Q2927" s="40">
        <v>344</v>
      </c>
      <c r="R2927" s="40">
        <v>388</v>
      </c>
      <c r="X2927" s="40">
        <v>90240507</v>
      </c>
      <c r="Y2927" s="40">
        <v>-1</v>
      </c>
      <c r="Z2927" s="40">
        <v>2</v>
      </c>
      <c r="AA2927" s="40" t="s">
        <v>115</v>
      </c>
      <c r="AB2927" s="40" t="s">
        <v>115</v>
      </c>
      <c r="AC2927" s="40" t="s">
        <v>5563</v>
      </c>
      <c r="AI2927" s="40" t="s">
        <v>115</v>
      </c>
      <c r="AP2927" s="4" t="s">
        <v>115</v>
      </c>
    </row>
    <row r="2928" spans="1:42" x14ac:dyDescent="0.15">
      <c r="A2928" s="40" t="s">
        <v>1</v>
      </c>
      <c r="B2928" s="23">
        <v>90240506</v>
      </c>
      <c r="C2928" s="23">
        <v>2405</v>
      </c>
      <c r="D2928" s="23">
        <v>24</v>
      </c>
      <c r="F2928" s="23" t="s">
        <v>115</v>
      </c>
      <c r="G2928" s="23" t="s">
        <v>115</v>
      </c>
      <c r="H2928" s="23" t="s">
        <v>5564</v>
      </c>
      <c r="I2928" s="23">
        <v>4</v>
      </c>
      <c r="J2928" s="40">
        <v>0</v>
      </c>
      <c r="K2928" s="40">
        <v>4</v>
      </c>
      <c r="L2928" s="40" t="s">
        <v>115</v>
      </c>
      <c r="O2928" s="40" t="s">
        <v>115</v>
      </c>
      <c r="Q2928" s="40">
        <v>344</v>
      </c>
      <c r="R2928" s="40">
        <v>388</v>
      </c>
      <c r="X2928" s="40">
        <v>90240508</v>
      </c>
      <c r="Y2928" s="40">
        <v>-1</v>
      </c>
      <c r="Z2928" s="40">
        <v>2</v>
      </c>
      <c r="AA2928" s="40" t="s">
        <v>115</v>
      </c>
      <c r="AB2928" s="40" t="s">
        <v>115</v>
      </c>
      <c r="AC2928" s="40" t="s">
        <v>115</v>
      </c>
      <c r="AI2928" s="40" t="s">
        <v>115</v>
      </c>
      <c r="AP2928" s="4" t="s">
        <v>115</v>
      </c>
    </row>
    <row r="2929" spans="1:42" x14ac:dyDescent="0.15">
      <c r="A2929" s="40" t="s">
        <v>1</v>
      </c>
      <c r="B2929" s="23">
        <v>90240507</v>
      </c>
      <c r="C2929" s="23">
        <v>2405</v>
      </c>
      <c r="D2929" s="23">
        <v>24</v>
      </c>
      <c r="F2929" s="23" t="s">
        <v>5415</v>
      </c>
      <c r="G2929" s="23" t="s">
        <v>115</v>
      </c>
      <c r="H2929" s="23" t="s">
        <v>5565</v>
      </c>
      <c r="I2929" s="23">
        <v>3</v>
      </c>
      <c r="J2929" s="40">
        <v>0</v>
      </c>
      <c r="K2929" s="40">
        <v>0</v>
      </c>
      <c r="L2929" s="40" t="s">
        <v>115</v>
      </c>
      <c r="O2929" s="40" t="s">
        <v>115</v>
      </c>
      <c r="Q2929" s="40">
        <v>344</v>
      </c>
      <c r="R2929" s="40">
        <v>388</v>
      </c>
      <c r="X2929" s="40">
        <v>90240510</v>
      </c>
      <c r="Y2929" s="40" t="s">
        <v>115</v>
      </c>
      <c r="Z2929" s="40" t="s">
        <v>115</v>
      </c>
      <c r="AA2929" s="40" t="s">
        <v>115</v>
      </c>
      <c r="AB2929" s="40" t="s">
        <v>115</v>
      </c>
      <c r="AC2929" s="40" t="s">
        <v>115</v>
      </c>
      <c r="AI2929" s="40" t="s">
        <v>115</v>
      </c>
      <c r="AP2929" s="4" t="s">
        <v>115</v>
      </c>
    </row>
    <row r="2930" spans="1:42" x14ac:dyDescent="0.15">
      <c r="A2930" s="40" t="s">
        <v>1</v>
      </c>
      <c r="B2930" s="23">
        <v>90240508</v>
      </c>
      <c r="C2930" s="23">
        <v>2405</v>
      </c>
      <c r="D2930" s="23">
        <v>24</v>
      </c>
      <c r="F2930" s="23" t="s">
        <v>116</v>
      </c>
      <c r="G2930" s="23">
        <v>312</v>
      </c>
      <c r="H2930" s="23" t="s">
        <v>5566</v>
      </c>
      <c r="I2930" s="23">
        <v>0</v>
      </c>
      <c r="J2930" s="40">
        <v>0</v>
      </c>
      <c r="K2930" s="40">
        <v>0</v>
      </c>
      <c r="L2930" s="40" t="s">
        <v>115</v>
      </c>
      <c r="O2930" s="40" t="s">
        <v>115</v>
      </c>
      <c r="Q2930" s="40">
        <v>344</v>
      </c>
      <c r="R2930" s="40">
        <v>388</v>
      </c>
      <c r="X2930" s="40">
        <v>90240509</v>
      </c>
      <c r="Y2930" s="40" t="s">
        <v>115</v>
      </c>
      <c r="Z2930" s="40" t="s">
        <v>115</v>
      </c>
      <c r="AA2930" s="40" t="s">
        <v>115</v>
      </c>
      <c r="AB2930" s="40" t="s">
        <v>115</v>
      </c>
      <c r="AC2930" s="40" t="s">
        <v>115</v>
      </c>
      <c r="AI2930" s="40" t="s">
        <v>115</v>
      </c>
      <c r="AP2930" s="4" t="s">
        <v>115</v>
      </c>
    </row>
    <row r="2931" spans="1:42" x14ac:dyDescent="0.15">
      <c r="A2931" s="40" t="s">
        <v>1</v>
      </c>
      <c r="B2931" s="23">
        <v>90240509</v>
      </c>
      <c r="C2931" s="23">
        <v>2405</v>
      </c>
      <c r="D2931" s="23">
        <v>24</v>
      </c>
      <c r="F2931" s="23" t="s">
        <v>5415</v>
      </c>
      <c r="G2931" s="23" t="s">
        <v>115</v>
      </c>
      <c r="H2931" s="23" t="s">
        <v>5567</v>
      </c>
      <c r="I2931" s="23">
        <v>3</v>
      </c>
      <c r="J2931" s="40">
        <v>0</v>
      </c>
      <c r="K2931" s="40">
        <v>0</v>
      </c>
      <c r="L2931" s="40" t="s">
        <v>115</v>
      </c>
      <c r="O2931" s="40" t="s">
        <v>115</v>
      </c>
      <c r="Q2931" s="40">
        <v>344</v>
      </c>
      <c r="R2931" s="40">
        <v>388</v>
      </c>
      <c r="X2931" s="40">
        <v>90240510</v>
      </c>
      <c r="Y2931" s="40" t="s">
        <v>115</v>
      </c>
      <c r="Z2931" s="40" t="s">
        <v>115</v>
      </c>
      <c r="AA2931" s="40" t="s">
        <v>115</v>
      </c>
      <c r="AB2931" s="40" t="s">
        <v>115</v>
      </c>
      <c r="AC2931" s="40" t="s">
        <v>115</v>
      </c>
      <c r="AI2931" s="40" t="s">
        <v>115</v>
      </c>
      <c r="AP2931" s="4" t="s">
        <v>115</v>
      </c>
    </row>
    <row r="2932" spans="1:42" x14ac:dyDescent="0.15">
      <c r="A2932" s="40" t="s">
        <v>1</v>
      </c>
      <c r="B2932" s="23">
        <v>90240510</v>
      </c>
      <c r="C2932" s="23">
        <v>2405</v>
      </c>
      <c r="D2932" s="23">
        <v>24</v>
      </c>
      <c r="F2932" s="23" t="s">
        <v>116</v>
      </c>
      <c r="G2932" s="23">
        <v>312</v>
      </c>
      <c r="H2932" s="23" t="s">
        <v>5568</v>
      </c>
      <c r="I2932" s="23">
        <v>0</v>
      </c>
      <c r="J2932" s="40">
        <v>0</v>
      </c>
      <c r="K2932" s="40">
        <v>0</v>
      </c>
      <c r="L2932" s="40" t="s">
        <v>115</v>
      </c>
      <c r="O2932" s="40" t="s">
        <v>115</v>
      </c>
      <c r="Q2932" s="40">
        <v>344</v>
      </c>
      <c r="R2932" s="40">
        <v>388</v>
      </c>
      <c r="X2932" s="40">
        <v>90240511</v>
      </c>
      <c r="Y2932" s="40" t="s">
        <v>115</v>
      </c>
      <c r="Z2932" s="40" t="s">
        <v>115</v>
      </c>
      <c r="AA2932" s="40" t="s">
        <v>115</v>
      </c>
      <c r="AB2932" s="40" t="s">
        <v>115</v>
      </c>
      <c r="AC2932" s="40" t="s">
        <v>115</v>
      </c>
      <c r="AI2932" s="40" t="s">
        <v>115</v>
      </c>
      <c r="AP2932" s="4" t="s">
        <v>115</v>
      </c>
    </row>
    <row r="2933" spans="1:42" x14ac:dyDescent="0.15">
      <c r="A2933" s="40" t="s">
        <v>1</v>
      </c>
      <c r="B2933" s="23">
        <v>90240511</v>
      </c>
      <c r="C2933" s="23">
        <v>2405</v>
      </c>
      <c r="D2933" s="23">
        <v>24</v>
      </c>
      <c r="F2933" s="23" t="s">
        <v>5415</v>
      </c>
      <c r="G2933" s="23" t="s">
        <v>115</v>
      </c>
      <c r="H2933" s="23" t="s">
        <v>5569</v>
      </c>
      <c r="I2933" s="23">
        <v>3</v>
      </c>
      <c r="J2933" s="40">
        <v>0</v>
      </c>
      <c r="K2933" s="40">
        <v>0</v>
      </c>
      <c r="L2933" s="40" t="s">
        <v>115</v>
      </c>
      <c r="O2933" s="40" t="s">
        <v>115</v>
      </c>
      <c r="Q2933" s="40">
        <v>344</v>
      </c>
      <c r="R2933" s="40">
        <v>388</v>
      </c>
      <c r="X2933" s="40">
        <v>90240512</v>
      </c>
      <c r="Y2933" s="40" t="s">
        <v>115</v>
      </c>
      <c r="Z2933" s="40" t="s">
        <v>115</v>
      </c>
      <c r="AA2933" s="40" t="s">
        <v>115</v>
      </c>
      <c r="AB2933" s="40" t="s">
        <v>115</v>
      </c>
      <c r="AC2933" s="40" t="s">
        <v>115</v>
      </c>
      <c r="AI2933" s="40" t="s">
        <v>115</v>
      </c>
      <c r="AP2933" s="4" t="s">
        <v>115</v>
      </c>
    </row>
    <row r="2934" spans="1:42" x14ac:dyDescent="0.15">
      <c r="A2934" s="40" t="s">
        <v>1</v>
      </c>
      <c r="B2934" s="23">
        <v>90240512</v>
      </c>
      <c r="C2934" s="23">
        <v>2405</v>
      </c>
      <c r="D2934" s="23">
        <v>24</v>
      </c>
      <c r="F2934" s="23" t="s">
        <v>116</v>
      </c>
      <c r="G2934" s="23">
        <v>360</v>
      </c>
      <c r="H2934" s="23" t="s">
        <v>5570</v>
      </c>
      <c r="I2934" s="23">
        <v>0</v>
      </c>
      <c r="J2934" s="40">
        <v>0</v>
      </c>
      <c r="K2934" s="40">
        <v>0</v>
      </c>
      <c r="L2934" s="40" t="s">
        <v>115</v>
      </c>
      <c r="O2934" s="40" t="s">
        <v>115</v>
      </c>
      <c r="Q2934" s="40">
        <v>344</v>
      </c>
      <c r="R2934" s="40">
        <v>388</v>
      </c>
      <c r="X2934" s="40">
        <v>90240513</v>
      </c>
      <c r="Y2934" s="40" t="s">
        <v>115</v>
      </c>
      <c r="Z2934" s="40" t="s">
        <v>115</v>
      </c>
      <c r="AA2934" s="40" t="s">
        <v>115</v>
      </c>
      <c r="AB2934" s="40" t="s">
        <v>115</v>
      </c>
      <c r="AC2934" s="40" t="s">
        <v>115</v>
      </c>
      <c r="AI2934" s="40" t="s">
        <v>115</v>
      </c>
      <c r="AP2934" s="4" t="s">
        <v>115</v>
      </c>
    </row>
    <row r="2935" spans="1:42" x14ac:dyDescent="0.15">
      <c r="A2935" s="40" t="s">
        <v>1</v>
      </c>
      <c r="B2935" s="23">
        <v>90240513</v>
      </c>
      <c r="C2935" s="23">
        <v>2405</v>
      </c>
      <c r="D2935" s="23">
        <v>24</v>
      </c>
      <c r="F2935" s="23" t="s">
        <v>5415</v>
      </c>
      <c r="G2935" s="23" t="s">
        <v>115</v>
      </c>
      <c r="H2935" s="23" t="s">
        <v>5571</v>
      </c>
      <c r="I2935" s="23">
        <v>3</v>
      </c>
      <c r="J2935" s="40">
        <v>0</v>
      </c>
      <c r="K2935" s="40">
        <v>0</v>
      </c>
      <c r="L2935" s="40" t="s">
        <v>115</v>
      </c>
      <c r="O2935" s="40" t="s">
        <v>115</v>
      </c>
      <c r="Q2935" s="40">
        <v>344</v>
      </c>
      <c r="R2935" s="40">
        <v>388</v>
      </c>
      <c r="X2935" s="40">
        <v>90240514</v>
      </c>
      <c r="Y2935" s="40" t="s">
        <v>115</v>
      </c>
      <c r="Z2935" s="40" t="s">
        <v>115</v>
      </c>
      <c r="AA2935" s="40" t="s">
        <v>115</v>
      </c>
      <c r="AB2935" s="40" t="s">
        <v>115</v>
      </c>
      <c r="AC2935" s="40" t="s">
        <v>115</v>
      </c>
      <c r="AI2935" s="40" t="s">
        <v>115</v>
      </c>
      <c r="AP2935" s="4" t="s">
        <v>115</v>
      </c>
    </row>
    <row r="2936" spans="1:42" x14ac:dyDescent="0.15">
      <c r="A2936" s="40" t="s">
        <v>1</v>
      </c>
      <c r="B2936" s="23">
        <v>90240514</v>
      </c>
      <c r="C2936" s="23">
        <v>2405</v>
      </c>
      <c r="D2936" s="23">
        <v>24</v>
      </c>
      <c r="F2936" s="23" t="s">
        <v>5415</v>
      </c>
      <c r="G2936" s="23" t="s">
        <v>115</v>
      </c>
      <c r="H2936" s="23" t="s">
        <v>5572</v>
      </c>
      <c r="I2936" s="23">
        <v>3</v>
      </c>
      <c r="J2936" s="40">
        <v>0</v>
      </c>
      <c r="K2936" s="40">
        <v>0</v>
      </c>
      <c r="L2936" s="40" t="s">
        <v>115</v>
      </c>
      <c r="O2936" s="40" t="s">
        <v>115</v>
      </c>
      <c r="Q2936" s="40">
        <v>344</v>
      </c>
      <c r="R2936" s="40">
        <v>388</v>
      </c>
      <c r="X2936" s="40">
        <v>90240515</v>
      </c>
      <c r="Y2936" s="40" t="s">
        <v>115</v>
      </c>
      <c r="Z2936" s="40" t="s">
        <v>115</v>
      </c>
      <c r="AA2936" s="40" t="s">
        <v>115</v>
      </c>
      <c r="AB2936" s="40" t="s">
        <v>115</v>
      </c>
      <c r="AC2936" s="40" t="s">
        <v>115</v>
      </c>
      <c r="AI2936" s="40" t="s">
        <v>115</v>
      </c>
      <c r="AP2936" s="4" t="s">
        <v>115</v>
      </c>
    </row>
    <row r="2937" spans="1:42" x14ac:dyDescent="0.15">
      <c r="A2937" s="40" t="s">
        <v>1</v>
      </c>
      <c r="B2937" s="23">
        <v>90240515</v>
      </c>
      <c r="C2937" s="23">
        <v>2405</v>
      </c>
      <c r="D2937" s="23">
        <v>24</v>
      </c>
      <c r="F2937" s="23" t="s">
        <v>116</v>
      </c>
      <c r="G2937" s="23">
        <v>313</v>
      </c>
      <c r="H2937" s="23" t="s">
        <v>5573</v>
      </c>
      <c r="I2937" s="23">
        <v>0</v>
      </c>
      <c r="J2937" s="40">
        <v>0</v>
      </c>
      <c r="K2937" s="40">
        <v>0</v>
      </c>
      <c r="L2937" s="40" t="s">
        <v>115</v>
      </c>
      <c r="O2937" s="40" t="s">
        <v>115</v>
      </c>
      <c r="Q2937" s="40">
        <v>344</v>
      </c>
      <c r="R2937" s="40">
        <v>388</v>
      </c>
      <c r="X2937" s="40">
        <v>90240516</v>
      </c>
      <c r="Y2937" s="40" t="s">
        <v>115</v>
      </c>
      <c r="Z2937" s="40" t="s">
        <v>115</v>
      </c>
      <c r="AA2937" s="40" t="s">
        <v>115</v>
      </c>
      <c r="AB2937" s="40" t="s">
        <v>115</v>
      </c>
      <c r="AC2937" s="40" t="s">
        <v>115</v>
      </c>
      <c r="AI2937" s="40" t="s">
        <v>115</v>
      </c>
      <c r="AP2937" s="4" t="s">
        <v>115</v>
      </c>
    </row>
    <row r="2938" spans="1:42" x14ac:dyDescent="0.15">
      <c r="A2938" s="40" t="s">
        <v>1</v>
      </c>
      <c r="B2938" s="23">
        <v>90240516</v>
      </c>
      <c r="C2938" s="23">
        <v>2405</v>
      </c>
      <c r="D2938" s="23">
        <v>24</v>
      </c>
      <c r="F2938" s="23" t="s">
        <v>115</v>
      </c>
      <c r="G2938" s="23" t="s">
        <v>115</v>
      </c>
      <c r="H2938" s="23" t="s">
        <v>5574</v>
      </c>
      <c r="I2938" s="23">
        <v>4</v>
      </c>
      <c r="J2938" s="40">
        <v>0</v>
      </c>
      <c r="K2938" s="40">
        <v>0</v>
      </c>
      <c r="L2938" s="40" t="s">
        <v>115</v>
      </c>
      <c r="O2938" s="40" t="s">
        <v>115</v>
      </c>
      <c r="Q2938" s="40">
        <v>344</v>
      </c>
      <c r="R2938" s="40">
        <v>388</v>
      </c>
      <c r="X2938" s="40">
        <v>90240517</v>
      </c>
      <c r="Y2938" s="40" t="s">
        <v>115</v>
      </c>
      <c r="Z2938" s="40" t="s">
        <v>115</v>
      </c>
      <c r="AA2938" s="40" t="s">
        <v>115</v>
      </c>
      <c r="AB2938" s="40" t="s">
        <v>115</v>
      </c>
      <c r="AC2938" s="40" t="s">
        <v>115</v>
      </c>
      <c r="AI2938" s="40" t="s">
        <v>115</v>
      </c>
      <c r="AP2938" s="4" t="s">
        <v>115</v>
      </c>
    </row>
    <row r="2939" spans="1:42" x14ac:dyDescent="0.15">
      <c r="A2939" s="40" t="s">
        <v>1</v>
      </c>
      <c r="B2939" s="23">
        <v>90240517</v>
      </c>
      <c r="C2939" s="23">
        <v>2405</v>
      </c>
      <c r="D2939" s="23">
        <v>24</v>
      </c>
      <c r="F2939" s="23" t="s">
        <v>116</v>
      </c>
      <c r="G2939" s="23">
        <v>312</v>
      </c>
      <c r="H2939" s="23" t="s">
        <v>5575</v>
      </c>
      <c r="I2939" s="23">
        <v>0</v>
      </c>
      <c r="J2939" s="40">
        <v>0</v>
      </c>
      <c r="K2939" s="40">
        <v>0</v>
      </c>
      <c r="L2939" s="40" t="s">
        <v>115</v>
      </c>
      <c r="O2939" s="40" t="s">
        <v>115</v>
      </c>
      <c r="Q2939" s="40">
        <v>344</v>
      </c>
      <c r="R2939" s="40">
        <v>388</v>
      </c>
      <c r="X2939" s="40">
        <v>90240518</v>
      </c>
      <c r="Y2939" s="40" t="s">
        <v>115</v>
      </c>
      <c r="Z2939" s="40" t="s">
        <v>115</v>
      </c>
      <c r="AA2939" s="40" t="s">
        <v>115</v>
      </c>
      <c r="AB2939" s="40" t="s">
        <v>115</v>
      </c>
      <c r="AC2939" s="40" t="s">
        <v>115</v>
      </c>
      <c r="AI2939" s="40" t="s">
        <v>115</v>
      </c>
      <c r="AP2939" s="4" t="s">
        <v>115</v>
      </c>
    </row>
    <row r="2940" spans="1:42" x14ac:dyDescent="0.15">
      <c r="A2940" s="40" t="s">
        <v>1</v>
      </c>
      <c r="B2940" s="23">
        <v>90240518</v>
      </c>
      <c r="C2940" s="23">
        <v>2405</v>
      </c>
      <c r="D2940" s="23">
        <v>24</v>
      </c>
      <c r="F2940" s="23" t="s">
        <v>5415</v>
      </c>
      <c r="G2940" s="23" t="s">
        <v>115</v>
      </c>
      <c r="H2940" s="23" t="s">
        <v>5576</v>
      </c>
      <c r="I2940" s="23">
        <v>3</v>
      </c>
      <c r="J2940" s="40">
        <v>0</v>
      </c>
      <c r="K2940" s="40">
        <v>0</v>
      </c>
      <c r="L2940" s="40" t="s">
        <v>115</v>
      </c>
      <c r="O2940" s="40" t="s">
        <v>115</v>
      </c>
      <c r="Q2940" s="40">
        <v>344</v>
      </c>
      <c r="R2940" s="40">
        <v>388</v>
      </c>
      <c r="X2940" s="40">
        <v>90240519</v>
      </c>
      <c r="Y2940" s="40" t="s">
        <v>115</v>
      </c>
      <c r="Z2940" s="40" t="s">
        <v>115</v>
      </c>
      <c r="AA2940" s="40" t="s">
        <v>115</v>
      </c>
      <c r="AB2940" s="40" t="s">
        <v>115</v>
      </c>
      <c r="AC2940" s="40" t="s">
        <v>115</v>
      </c>
      <c r="AI2940" s="40" t="s">
        <v>115</v>
      </c>
      <c r="AP2940" s="4" t="s">
        <v>115</v>
      </c>
    </row>
    <row r="2941" spans="1:42" x14ac:dyDescent="0.15">
      <c r="A2941" s="40" t="s">
        <v>1</v>
      </c>
      <c r="B2941" s="23">
        <v>90240519</v>
      </c>
      <c r="C2941" s="23">
        <v>2405</v>
      </c>
      <c r="D2941" s="23">
        <v>24</v>
      </c>
      <c r="F2941" s="23" t="s">
        <v>5415</v>
      </c>
      <c r="G2941" s="23" t="s">
        <v>115</v>
      </c>
      <c r="H2941" s="23" t="s">
        <v>5577</v>
      </c>
      <c r="I2941" s="23">
        <v>3</v>
      </c>
      <c r="J2941" s="40">
        <v>0</v>
      </c>
      <c r="K2941" s="40">
        <v>5</v>
      </c>
      <c r="L2941" s="40" t="s">
        <v>5578</v>
      </c>
      <c r="O2941" s="40" t="s">
        <v>115</v>
      </c>
      <c r="Q2941" s="40">
        <v>344</v>
      </c>
      <c r="R2941" s="40">
        <v>388</v>
      </c>
      <c r="X2941" s="40">
        <v>90240520</v>
      </c>
      <c r="Y2941" s="40" t="s">
        <v>115</v>
      </c>
      <c r="Z2941" s="40">
        <v>4</v>
      </c>
      <c r="AA2941" s="40" t="s">
        <v>115</v>
      </c>
      <c r="AB2941" s="40" t="s">
        <v>115</v>
      </c>
      <c r="AC2941" s="40" t="s">
        <v>115</v>
      </c>
      <c r="AI2941" s="40" t="s">
        <v>115</v>
      </c>
      <c r="AP2941" s="4" t="s">
        <v>115</v>
      </c>
    </row>
    <row r="2942" spans="1:42" x14ac:dyDescent="0.15">
      <c r="A2942" s="40" t="s">
        <v>1</v>
      </c>
      <c r="B2942" s="23">
        <v>90240520</v>
      </c>
      <c r="C2942" s="23">
        <v>2405</v>
      </c>
      <c r="D2942" s="23">
        <v>24</v>
      </c>
      <c r="F2942" s="23" t="s">
        <v>116</v>
      </c>
      <c r="G2942" s="23">
        <v>314</v>
      </c>
      <c r="H2942" s="23" t="s">
        <v>5579</v>
      </c>
      <c r="I2942" s="23">
        <v>2</v>
      </c>
      <c r="J2942" s="40">
        <v>0</v>
      </c>
      <c r="K2942" s="40">
        <v>6</v>
      </c>
      <c r="L2942" s="40" t="s">
        <v>115</v>
      </c>
      <c r="O2942" s="40">
        <v>1</v>
      </c>
      <c r="Q2942" s="40">
        <v>344</v>
      </c>
      <c r="R2942" s="40">
        <v>388</v>
      </c>
      <c r="X2942" s="40" t="s">
        <v>115</v>
      </c>
      <c r="Y2942" s="40" t="s">
        <v>115</v>
      </c>
      <c r="Z2942" s="40">
        <v>5</v>
      </c>
      <c r="AA2942" s="40" t="s">
        <v>115</v>
      </c>
      <c r="AB2942" s="40" t="s">
        <v>115</v>
      </c>
      <c r="AC2942" s="40" t="s">
        <v>115</v>
      </c>
      <c r="AI2942" s="40" t="s">
        <v>115</v>
      </c>
      <c r="AP2942" s="4" t="s">
        <v>115</v>
      </c>
    </row>
    <row r="2943" spans="1:42" x14ac:dyDescent="0.15">
      <c r="A2943" s="40" t="s">
        <v>1</v>
      </c>
      <c r="B2943" s="23" t="s">
        <v>4871</v>
      </c>
      <c r="C2943" s="23">
        <v>2406</v>
      </c>
      <c r="D2943" s="23">
        <v>24</v>
      </c>
      <c r="F2943" s="23" t="s">
        <v>115</v>
      </c>
      <c r="G2943" s="23" t="s">
        <v>115</v>
      </c>
      <c r="H2943" s="23" t="s">
        <v>5580</v>
      </c>
      <c r="I2943" s="23">
        <v>4</v>
      </c>
      <c r="J2943" s="40">
        <v>1</v>
      </c>
      <c r="K2943" s="40">
        <v>1</v>
      </c>
      <c r="L2943" s="40" t="s">
        <v>115</v>
      </c>
      <c r="O2943" s="40" t="s">
        <v>115</v>
      </c>
      <c r="Q2943" s="40">
        <v>192</v>
      </c>
      <c r="R2943" s="40" t="s">
        <v>115</v>
      </c>
      <c r="X2943" s="40">
        <v>90240602</v>
      </c>
      <c r="Y2943" s="40" t="s">
        <v>115</v>
      </c>
      <c r="Z2943" s="40" t="s">
        <v>115</v>
      </c>
      <c r="AA2943" s="40" t="s">
        <v>115</v>
      </c>
      <c r="AB2943" s="40" t="s">
        <v>115</v>
      </c>
      <c r="AC2943" s="40" t="s">
        <v>115</v>
      </c>
      <c r="AI2943" s="40" t="s">
        <v>115</v>
      </c>
      <c r="AP2943" s="4" t="s">
        <v>115</v>
      </c>
    </row>
    <row r="2944" spans="1:42" x14ac:dyDescent="0.15">
      <c r="A2944" s="40" t="s">
        <v>1</v>
      </c>
      <c r="B2944" s="23">
        <v>90240602</v>
      </c>
      <c r="C2944" s="23">
        <v>2406</v>
      </c>
      <c r="D2944" s="23">
        <v>24</v>
      </c>
      <c r="F2944" s="23" t="s">
        <v>4188</v>
      </c>
      <c r="G2944" s="23" t="s">
        <v>115</v>
      </c>
      <c r="H2944" s="23" t="s">
        <v>5581</v>
      </c>
      <c r="I2944" s="23">
        <v>3</v>
      </c>
      <c r="J2944" s="40">
        <v>0</v>
      </c>
      <c r="K2944" s="40">
        <v>0</v>
      </c>
      <c r="L2944" s="40" t="s">
        <v>115</v>
      </c>
      <c r="O2944" s="40" t="s">
        <v>115</v>
      </c>
      <c r="Q2944" s="40">
        <v>192</v>
      </c>
      <c r="R2944" s="40">
        <v>247</v>
      </c>
      <c r="X2944" s="40">
        <v>90240603</v>
      </c>
      <c r="Y2944" s="40" t="s">
        <v>115</v>
      </c>
      <c r="Z2944" s="40" t="s">
        <v>115</v>
      </c>
      <c r="AA2944" s="40" t="s">
        <v>115</v>
      </c>
      <c r="AB2944" s="40" t="s">
        <v>115</v>
      </c>
      <c r="AC2944" s="40" t="s">
        <v>115</v>
      </c>
      <c r="AI2944" s="40" t="s">
        <v>115</v>
      </c>
      <c r="AP2944" s="4" t="s">
        <v>115</v>
      </c>
    </row>
    <row r="2945" spans="1:42" x14ac:dyDescent="0.15">
      <c r="A2945" s="40" t="s">
        <v>1</v>
      </c>
      <c r="B2945" s="23">
        <v>90240603</v>
      </c>
      <c r="C2945" s="23">
        <v>2406</v>
      </c>
      <c r="D2945" s="23">
        <v>24</v>
      </c>
      <c r="F2945" s="23" t="s">
        <v>116</v>
      </c>
      <c r="G2945" s="23">
        <v>314</v>
      </c>
      <c r="H2945" s="23" t="s">
        <v>5582</v>
      </c>
      <c r="I2945" s="23">
        <v>2</v>
      </c>
      <c r="J2945" s="40">
        <v>0</v>
      </c>
      <c r="K2945" s="40">
        <v>0</v>
      </c>
      <c r="L2945" s="40" t="s">
        <v>115</v>
      </c>
      <c r="O2945" s="40" t="s">
        <v>115</v>
      </c>
      <c r="Q2945" s="40">
        <v>192</v>
      </c>
      <c r="R2945" s="40" t="s">
        <v>115</v>
      </c>
      <c r="X2945" s="40">
        <v>90240604</v>
      </c>
      <c r="Y2945" s="40" t="s">
        <v>115</v>
      </c>
      <c r="Z2945" s="40" t="s">
        <v>115</v>
      </c>
      <c r="AA2945" s="40" t="s">
        <v>115</v>
      </c>
      <c r="AB2945" s="40" t="s">
        <v>115</v>
      </c>
      <c r="AC2945" s="40" t="s">
        <v>115</v>
      </c>
      <c r="AI2945" s="40" t="s">
        <v>115</v>
      </c>
      <c r="AP2945" s="4" t="s">
        <v>115</v>
      </c>
    </row>
    <row r="2946" spans="1:42" x14ac:dyDescent="0.15">
      <c r="A2946" s="40" t="s">
        <v>1</v>
      </c>
      <c r="B2946" s="23">
        <v>90240604</v>
      </c>
      <c r="C2946" s="23">
        <v>2406</v>
      </c>
      <c r="D2946" s="23">
        <v>24</v>
      </c>
      <c r="F2946" s="23" t="s">
        <v>115</v>
      </c>
      <c r="G2946" s="23" t="s">
        <v>115</v>
      </c>
      <c r="H2946" s="23" t="s">
        <v>5583</v>
      </c>
      <c r="I2946" s="23">
        <v>4</v>
      </c>
      <c r="J2946" s="40">
        <v>0</v>
      </c>
      <c r="K2946" s="40">
        <v>0</v>
      </c>
      <c r="L2946" s="40" t="s">
        <v>115</v>
      </c>
      <c r="O2946" s="40" t="s">
        <v>115</v>
      </c>
      <c r="Q2946" s="40">
        <v>192</v>
      </c>
      <c r="R2946" s="40" t="s">
        <v>115</v>
      </c>
      <c r="X2946" s="40">
        <v>90240605</v>
      </c>
      <c r="Y2946" s="40" t="s">
        <v>115</v>
      </c>
      <c r="Z2946" s="40" t="s">
        <v>115</v>
      </c>
      <c r="AA2946" s="40" t="s">
        <v>115</v>
      </c>
      <c r="AB2946" s="40" t="s">
        <v>115</v>
      </c>
      <c r="AC2946" s="40" t="s">
        <v>115</v>
      </c>
      <c r="AI2946" s="40" t="s">
        <v>115</v>
      </c>
      <c r="AP2946" s="4" t="s">
        <v>115</v>
      </c>
    </row>
    <row r="2947" spans="1:42" x14ac:dyDescent="0.15">
      <c r="A2947" s="40" t="s">
        <v>1</v>
      </c>
      <c r="B2947" s="23">
        <v>90240605</v>
      </c>
      <c r="C2947" s="23">
        <v>2406</v>
      </c>
      <c r="D2947" s="23">
        <v>24</v>
      </c>
      <c r="F2947" s="23" t="s">
        <v>4188</v>
      </c>
      <c r="G2947" s="23" t="s">
        <v>115</v>
      </c>
      <c r="H2947" s="23" t="s">
        <v>2242</v>
      </c>
      <c r="I2947" s="23">
        <v>3</v>
      </c>
      <c r="J2947" s="40">
        <v>0</v>
      </c>
      <c r="K2947" s="40">
        <v>0</v>
      </c>
      <c r="L2947" s="40" t="s">
        <v>115</v>
      </c>
      <c r="O2947" s="40" t="s">
        <v>115</v>
      </c>
      <c r="Q2947" s="40">
        <v>192</v>
      </c>
      <c r="R2947" s="40">
        <v>247</v>
      </c>
      <c r="X2947" s="40">
        <v>90240606</v>
      </c>
      <c r="Y2947" s="40" t="s">
        <v>115</v>
      </c>
      <c r="Z2947" s="40" t="s">
        <v>115</v>
      </c>
      <c r="AA2947" s="40" t="s">
        <v>115</v>
      </c>
      <c r="AB2947" s="40" t="s">
        <v>115</v>
      </c>
      <c r="AC2947" s="40" t="s">
        <v>115</v>
      </c>
      <c r="AI2947" s="40" t="s">
        <v>115</v>
      </c>
      <c r="AP2947" s="4" t="s">
        <v>115</v>
      </c>
    </row>
    <row r="2948" spans="1:42" x14ac:dyDescent="0.15">
      <c r="A2948" s="40" t="s">
        <v>1</v>
      </c>
      <c r="B2948" s="23">
        <v>90240606</v>
      </c>
      <c r="C2948" s="23">
        <v>2406</v>
      </c>
      <c r="D2948" s="23">
        <v>24</v>
      </c>
      <c r="F2948" s="23" t="s">
        <v>116</v>
      </c>
      <c r="G2948" s="23">
        <v>313</v>
      </c>
      <c r="H2948" s="23" t="s">
        <v>5584</v>
      </c>
      <c r="I2948" s="23">
        <v>2</v>
      </c>
      <c r="J2948" s="40">
        <v>0</v>
      </c>
      <c r="K2948" s="40">
        <v>2</v>
      </c>
      <c r="L2948" s="40" t="s">
        <v>115</v>
      </c>
      <c r="O2948" s="40" t="s">
        <v>115</v>
      </c>
      <c r="Q2948" s="40">
        <v>192</v>
      </c>
      <c r="R2948" s="40" t="s">
        <v>115</v>
      </c>
      <c r="X2948" s="40" t="s">
        <v>5585</v>
      </c>
      <c r="Y2948" s="40">
        <v>1</v>
      </c>
      <c r="Z2948" s="40">
        <v>1</v>
      </c>
      <c r="AA2948" s="40" t="s">
        <v>115</v>
      </c>
      <c r="AB2948" s="40" t="s">
        <v>115</v>
      </c>
      <c r="AC2948" s="40" t="s">
        <v>115</v>
      </c>
      <c r="AI2948" s="40" t="s">
        <v>115</v>
      </c>
      <c r="AP2948" s="4" t="s">
        <v>115</v>
      </c>
    </row>
    <row r="2949" spans="1:42" x14ac:dyDescent="0.15">
      <c r="A2949" s="40" t="s">
        <v>1</v>
      </c>
      <c r="B2949" s="23">
        <v>90240607</v>
      </c>
      <c r="C2949" s="23">
        <v>2406</v>
      </c>
      <c r="D2949" s="23">
        <v>24</v>
      </c>
      <c r="F2949" s="23" t="s">
        <v>115</v>
      </c>
      <c r="G2949" s="23" t="s">
        <v>115</v>
      </c>
      <c r="H2949" s="23" t="s">
        <v>5586</v>
      </c>
      <c r="I2949" s="23">
        <v>4</v>
      </c>
      <c r="J2949" s="40">
        <v>0</v>
      </c>
      <c r="K2949" s="40">
        <v>3</v>
      </c>
      <c r="L2949" s="40" t="s">
        <v>115</v>
      </c>
      <c r="O2949" s="40" t="s">
        <v>115</v>
      </c>
      <c r="Q2949" s="40">
        <v>192</v>
      </c>
      <c r="R2949" s="40" t="s">
        <v>115</v>
      </c>
      <c r="X2949" s="40">
        <v>90240609</v>
      </c>
      <c r="Y2949" s="40">
        <v>-1</v>
      </c>
      <c r="Z2949" s="40">
        <v>2</v>
      </c>
      <c r="AA2949" s="40" t="s">
        <v>115</v>
      </c>
      <c r="AB2949" s="40" t="s">
        <v>115</v>
      </c>
      <c r="AC2949" s="40" t="s">
        <v>115</v>
      </c>
      <c r="AI2949" s="40" t="s">
        <v>115</v>
      </c>
      <c r="AP2949" s="4" t="s">
        <v>115</v>
      </c>
    </row>
    <row r="2950" spans="1:42" x14ac:dyDescent="0.15">
      <c r="A2950" s="40" t="s">
        <v>1</v>
      </c>
      <c r="B2950" s="23">
        <v>90240608</v>
      </c>
      <c r="C2950" s="23">
        <v>2406</v>
      </c>
      <c r="D2950" s="23">
        <v>24</v>
      </c>
      <c r="F2950" s="23" t="s">
        <v>115</v>
      </c>
      <c r="G2950" s="23" t="s">
        <v>115</v>
      </c>
      <c r="H2950" s="23" t="s">
        <v>5587</v>
      </c>
      <c r="I2950" s="23">
        <v>4</v>
      </c>
      <c r="J2950" s="40">
        <v>0</v>
      </c>
      <c r="K2950" s="40">
        <v>4</v>
      </c>
      <c r="L2950" s="40" t="s">
        <v>115</v>
      </c>
      <c r="O2950" s="40" t="s">
        <v>115</v>
      </c>
      <c r="Q2950" s="40">
        <v>192</v>
      </c>
      <c r="R2950" s="40" t="s">
        <v>115</v>
      </c>
      <c r="X2950" s="40">
        <v>90240611</v>
      </c>
      <c r="Y2950" s="40">
        <v>-1</v>
      </c>
      <c r="Z2950" s="40">
        <v>2</v>
      </c>
      <c r="AA2950" s="40" t="s">
        <v>115</v>
      </c>
      <c r="AB2950" s="40" t="s">
        <v>115</v>
      </c>
      <c r="AC2950" s="40" t="s">
        <v>115</v>
      </c>
      <c r="AI2950" s="40" t="s">
        <v>115</v>
      </c>
      <c r="AP2950" s="4" t="s">
        <v>115</v>
      </c>
    </row>
    <row r="2951" spans="1:42" x14ac:dyDescent="0.15">
      <c r="A2951" s="40" t="s">
        <v>1</v>
      </c>
      <c r="B2951" s="23">
        <v>90240609</v>
      </c>
      <c r="C2951" s="23">
        <v>2406</v>
      </c>
      <c r="D2951" s="23">
        <v>24</v>
      </c>
      <c r="F2951" s="23" t="s">
        <v>115</v>
      </c>
      <c r="G2951" s="23" t="s">
        <v>115</v>
      </c>
      <c r="H2951" s="23" t="s">
        <v>5588</v>
      </c>
      <c r="I2951" s="23">
        <v>4</v>
      </c>
      <c r="J2951" s="40">
        <v>0</v>
      </c>
      <c r="K2951" s="40">
        <v>0</v>
      </c>
      <c r="L2951" s="40" t="s">
        <v>115</v>
      </c>
      <c r="O2951" s="40" t="s">
        <v>115</v>
      </c>
      <c r="Q2951" s="40">
        <v>192</v>
      </c>
      <c r="R2951" s="40" t="s">
        <v>115</v>
      </c>
      <c r="X2951" s="40">
        <v>90240610</v>
      </c>
      <c r="Y2951" s="40" t="s">
        <v>115</v>
      </c>
      <c r="Z2951" s="40" t="s">
        <v>115</v>
      </c>
      <c r="AA2951" s="40" t="s">
        <v>115</v>
      </c>
      <c r="AB2951" s="40" t="s">
        <v>115</v>
      </c>
      <c r="AC2951" s="40" t="s">
        <v>115</v>
      </c>
      <c r="AI2951" s="40" t="s">
        <v>115</v>
      </c>
      <c r="AP2951" s="4" t="s">
        <v>115</v>
      </c>
    </row>
    <row r="2952" spans="1:42" x14ac:dyDescent="0.15">
      <c r="A2952" s="40" t="s">
        <v>1</v>
      </c>
      <c r="B2952" s="23">
        <v>90240610</v>
      </c>
      <c r="C2952" s="23">
        <v>2406</v>
      </c>
      <c r="D2952" s="23">
        <v>24</v>
      </c>
      <c r="F2952" s="23" t="s">
        <v>116</v>
      </c>
      <c r="G2952" s="23">
        <v>314</v>
      </c>
      <c r="H2952" s="23" t="s">
        <v>5589</v>
      </c>
      <c r="I2952" s="23">
        <v>2</v>
      </c>
      <c r="J2952" s="40">
        <v>0</v>
      </c>
      <c r="K2952" s="40">
        <v>0</v>
      </c>
      <c r="L2952" s="40" t="s">
        <v>115</v>
      </c>
      <c r="O2952" s="40" t="s">
        <v>115</v>
      </c>
      <c r="Q2952" s="40">
        <v>192</v>
      </c>
      <c r="R2952" s="40" t="s">
        <v>115</v>
      </c>
      <c r="X2952" s="40">
        <v>90240606</v>
      </c>
      <c r="Y2952" s="40" t="s">
        <v>115</v>
      </c>
      <c r="Z2952" s="40" t="s">
        <v>115</v>
      </c>
      <c r="AA2952" s="40" t="s">
        <v>115</v>
      </c>
      <c r="AB2952" s="40" t="s">
        <v>115</v>
      </c>
      <c r="AC2952" s="40" t="s">
        <v>115</v>
      </c>
      <c r="AI2952" s="40" t="s">
        <v>115</v>
      </c>
      <c r="AP2952" s="4" t="s">
        <v>115</v>
      </c>
    </row>
    <row r="2953" spans="1:42" x14ac:dyDescent="0.15">
      <c r="A2953" s="40" t="s">
        <v>1</v>
      </c>
      <c r="B2953" s="23">
        <v>90240611</v>
      </c>
      <c r="C2953" s="23">
        <v>2406</v>
      </c>
      <c r="D2953" s="23">
        <v>24</v>
      </c>
      <c r="F2953" s="23" t="s">
        <v>4188</v>
      </c>
      <c r="G2953" s="23" t="s">
        <v>115</v>
      </c>
      <c r="H2953" s="23" t="s">
        <v>5590</v>
      </c>
      <c r="I2953" s="23">
        <v>3</v>
      </c>
      <c r="J2953" s="40">
        <v>0</v>
      </c>
      <c r="K2953" s="40">
        <v>0</v>
      </c>
      <c r="L2953" s="40" t="s">
        <v>115</v>
      </c>
      <c r="O2953" s="40" t="s">
        <v>115</v>
      </c>
      <c r="Q2953" s="40">
        <v>192</v>
      </c>
      <c r="R2953" s="40">
        <v>247</v>
      </c>
      <c r="X2953" s="40">
        <v>90240612</v>
      </c>
      <c r="Y2953" s="40" t="s">
        <v>115</v>
      </c>
      <c r="Z2953" s="40" t="s">
        <v>115</v>
      </c>
      <c r="AA2953" s="40" t="s">
        <v>115</v>
      </c>
      <c r="AB2953" s="40" t="s">
        <v>115</v>
      </c>
      <c r="AC2953" s="40" t="s">
        <v>115</v>
      </c>
      <c r="AI2953" s="40" t="s">
        <v>115</v>
      </c>
      <c r="AP2953" s="4" t="s">
        <v>115</v>
      </c>
    </row>
    <row r="2954" spans="1:42" x14ac:dyDescent="0.15">
      <c r="A2954" s="40" t="s">
        <v>1</v>
      </c>
      <c r="B2954" s="23">
        <v>90240612</v>
      </c>
      <c r="C2954" s="23">
        <v>2406</v>
      </c>
      <c r="D2954" s="23">
        <v>24</v>
      </c>
      <c r="F2954" s="23" t="s">
        <v>4190</v>
      </c>
      <c r="G2954" s="23" t="s">
        <v>115</v>
      </c>
      <c r="H2954" s="23" t="s">
        <v>5591</v>
      </c>
      <c r="I2954" s="23">
        <v>3</v>
      </c>
      <c r="J2954" s="40">
        <v>0</v>
      </c>
      <c r="K2954" s="40">
        <v>5</v>
      </c>
      <c r="L2954" s="40" t="s">
        <v>5592</v>
      </c>
      <c r="O2954" s="40" t="s">
        <v>115</v>
      </c>
      <c r="Q2954" s="40">
        <v>192</v>
      </c>
      <c r="R2954" s="40">
        <v>128</v>
      </c>
      <c r="X2954" s="40">
        <v>90240613</v>
      </c>
      <c r="Y2954" s="40" t="s">
        <v>115</v>
      </c>
      <c r="Z2954" s="40">
        <v>4</v>
      </c>
      <c r="AA2954" s="40" t="s">
        <v>115</v>
      </c>
      <c r="AB2954" s="40" t="s">
        <v>115</v>
      </c>
      <c r="AC2954" s="40" t="s">
        <v>115</v>
      </c>
      <c r="AI2954" s="40" t="s">
        <v>115</v>
      </c>
      <c r="AP2954" s="4" t="s">
        <v>115</v>
      </c>
    </row>
    <row r="2955" spans="1:42" x14ac:dyDescent="0.15">
      <c r="A2955" s="40" t="s">
        <v>1</v>
      </c>
      <c r="B2955" s="23">
        <v>90240613</v>
      </c>
      <c r="C2955" s="23">
        <v>2406</v>
      </c>
      <c r="D2955" s="23">
        <v>24</v>
      </c>
      <c r="F2955" s="23" t="s">
        <v>4188</v>
      </c>
      <c r="G2955" s="23" t="s">
        <v>115</v>
      </c>
      <c r="H2955" s="23" t="s">
        <v>5593</v>
      </c>
      <c r="I2955" s="23">
        <v>3</v>
      </c>
      <c r="J2955" s="40">
        <v>0</v>
      </c>
      <c r="K2955" s="40">
        <v>0</v>
      </c>
      <c r="L2955" s="40" t="s">
        <v>115</v>
      </c>
      <c r="O2955" s="40" t="s">
        <v>115</v>
      </c>
      <c r="Q2955" s="40">
        <v>192</v>
      </c>
      <c r="R2955" s="40">
        <v>247</v>
      </c>
      <c r="X2955" s="40">
        <v>90240614</v>
      </c>
      <c r="Y2955" s="40" t="s">
        <v>115</v>
      </c>
      <c r="Z2955" s="40" t="s">
        <v>115</v>
      </c>
      <c r="AA2955" s="40" t="s">
        <v>115</v>
      </c>
      <c r="AB2955" s="40" t="s">
        <v>115</v>
      </c>
      <c r="AC2955" s="40" t="s">
        <v>115</v>
      </c>
      <c r="AI2955" s="40" t="s">
        <v>115</v>
      </c>
      <c r="AP2955" s="4" t="s">
        <v>115</v>
      </c>
    </row>
    <row r="2956" spans="1:42" x14ac:dyDescent="0.15">
      <c r="A2956" s="40" t="s">
        <v>1</v>
      </c>
      <c r="B2956" s="23">
        <v>90240614</v>
      </c>
      <c r="C2956" s="23">
        <v>2406</v>
      </c>
      <c r="D2956" s="23">
        <v>24</v>
      </c>
      <c r="F2956" s="23" t="s">
        <v>116</v>
      </c>
      <c r="G2956" s="23">
        <v>314</v>
      </c>
      <c r="H2956" s="23" t="s">
        <v>5594</v>
      </c>
      <c r="I2956" s="23">
        <v>2</v>
      </c>
      <c r="J2956" s="40">
        <v>0</v>
      </c>
      <c r="K2956" s="40">
        <v>0</v>
      </c>
      <c r="L2956" s="40" t="s">
        <v>115</v>
      </c>
      <c r="O2956" s="40" t="s">
        <v>115</v>
      </c>
      <c r="Q2956" s="40">
        <v>192</v>
      </c>
      <c r="R2956" s="40" t="s">
        <v>115</v>
      </c>
      <c r="X2956" s="40">
        <v>90240615</v>
      </c>
      <c r="Y2956" s="40" t="s">
        <v>115</v>
      </c>
      <c r="Z2956" s="40" t="s">
        <v>115</v>
      </c>
      <c r="AA2956" s="40" t="s">
        <v>115</v>
      </c>
      <c r="AB2956" s="40" t="s">
        <v>115</v>
      </c>
      <c r="AC2956" s="40" t="s">
        <v>115</v>
      </c>
      <c r="AI2956" s="40" t="s">
        <v>115</v>
      </c>
      <c r="AP2956" s="4" t="s">
        <v>115</v>
      </c>
    </row>
    <row r="2957" spans="1:42" x14ac:dyDescent="0.15">
      <c r="A2957" s="40" t="s">
        <v>1</v>
      </c>
      <c r="B2957" s="23">
        <v>90240615</v>
      </c>
      <c r="C2957" s="23">
        <v>2406</v>
      </c>
      <c r="D2957" s="23">
        <v>24</v>
      </c>
      <c r="F2957" s="23" t="s">
        <v>116</v>
      </c>
      <c r="G2957" s="23">
        <v>314</v>
      </c>
      <c r="H2957" s="23" t="s">
        <v>5595</v>
      </c>
      <c r="I2957" s="23">
        <v>2</v>
      </c>
      <c r="J2957" s="40">
        <v>0</v>
      </c>
      <c r="K2957" s="40">
        <v>6</v>
      </c>
      <c r="L2957" s="40" t="s">
        <v>115</v>
      </c>
      <c r="O2957" s="40">
        <v>1</v>
      </c>
      <c r="Q2957" s="40">
        <v>192</v>
      </c>
      <c r="R2957" s="40" t="s">
        <v>115</v>
      </c>
      <c r="X2957" s="40" t="s">
        <v>115</v>
      </c>
      <c r="Y2957" s="40" t="s">
        <v>115</v>
      </c>
      <c r="Z2957" s="40">
        <v>5</v>
      </c>
      <c r="AA2957" s="40" t="s">
        <v>115</v>
      </c>
      <c r="AB2957" s="40" t="s">
        <v>115</v>
      </c>
      <c r="AC2957" s="40" t="s">
        <v>115</v>
      </c>
      <c r="AI2957" s="40" t="s">
        <v>115</v>
      </c>
      <c r="AP2957" s="4" t="s">
        <v>115</v>
      </c>
    </row>
    <row r="2958" spans="1:42" x14ac:dyDescent="0.15">
      <c r="A2958" s="40" t="s">
        <v>1</v>
      </c>
      <c r="B2958" s="23" t="s">
        <v>4873</v>
      </c>
      <c r="C2958" s="23">
        <v>2407</v>
      </c>
      <c r="D2958" s="23">
        <v>24</v>
      </c>
      <c r="F2958" s="23" t="s">
        <v>115</v>
      </c>
      <c r="G2958" s="23" t="s">
        <v>115</v>
      </c>
      <c r="H2958" s="23" t="s">
        <v>5596</v>
      </c>
      <c r="I2958" s="23">
        <v>4</v>
      </c>
      <c r="J2958" s="40">
        <v>1</v>
      </c>
      <c r="K2958" s="40">
        <v>1</v>
      </c>
      <c r="L2958" s="40" t="s">
        <v>115</v>
      </c>
      <c r="O2958" s="40" t="s">
        <v>115</v>
      </c>
      <c r="Q2958" s="40">
        <v>192</v>
      </c>
      <c r="R2958" s="40" t="s">
        <v>115</v>
      </c>
      <c r="X2958" s="40">
        <v>90240702</v>
      </c>
      <c r="Y2958" s="40" t="s">
        <v>115</v>
      </c>
      <c r="Z2958" s="40" t="s">
        <v>115</v>
      </c>
      <c r="AA2958" s="40" t="s">
        <v>115</v>
      </c>
      <c r="AB2958" s="40" t="s">
        <v>115</v>
      </c>
      <c r="AC2958" s="40" t="s">
        <v>115</v>
      </c>
      <c r="AI2958" s="40" t="s">
        <v>115</v>
      </c>
      <c r="AP2958" s="4" t="s">
        <v>115</v>
      </c>
    </row>
    <row r="2959" spans="1:42" x14ac:dyDescent="0.15">
      <c r="A2959" s="40" t="s">
        <v>1</v>
      </c>
      <c r="B2959" s="23">
        <v>90240702</v>
      </c>
      <c r="C2959" s="23">
        <v>2407</v>
      </c>
      <c r="D2959" s="23">
        <v>24</v>
      </c>
      <c r="F2959" s="23" t="s">
        <v>4241</v>
      </c>
      <c r="G2959" s="23" t="s">
        <v>115</v>
      </c>
      <c r="H2959" s="23" t="s">
        <v>5597</v>
      </c>
      <c r="I2959" s="23">
        <v>3</v>
      </c>
      <c r="J2959" s="40">
        <v>0</v>
      </c>
      <c r="K2959" s="40">
        <v>0</v>
      </c>
      <c r="L2959" s="40" t="s">
        <v>115</v>
      </c>
      <c r="O2959" s="40" t="s">
        <v>115</v>
      </c>
      <c r="Q2959" s="40">
        <v>192</v>
      </c>
      <c r="R2959" s="40">
        <v>251</v>
      </c>
      <c r="X2959" s="40">
        <v>90240703</v>
      </c>
      <c r="Y2959" s="40" t="s">
        <v>115</v>
      </c>
      <c r="Z2959" s="40" t="s">
        <v>115</v>
      </c>
      <c r="AA2959" s="40" t="s">
        <v>115</v>
      </c>
      <c r="AB2959" s="40" t="s">
        <v>115</v>
      </c>
      <c r="AC2959" s="40" t="s">
        <v>115</v>
      </c>
      <c r="AI2959" s="40" t="s">
        <v>115</v>
      </c>
      <c r="AP2959" s="4" t="s">
        <v>115</v>
      </c>
    </row>
    <row r="2960" spans="1:42" x14ac:dyDescent="0.15">
      <c r="A2960" s="40" t="s">
        <v>1</v>
      </c>
      <c r="B2960" s="23">
        <v>90240703</v>
      </c>
      <c r="C2960" s="23">
        <v>2407</v>
      </c>
      <c r="D2960" s="23">
        <v>24</v>
      </c>
      <c r="F2960" s="23" t="s">
        <v>4241</v>
      </c>
      <c r="G2960" s="23" t="s">
        <v>115</v>
      </c>
      <c r="H2960" s="23" t="s">
        <v>5598</v>
      </c>
      <c r="I2960" s="23">
        <v>3</v>
      </c>
      <c r="J2960" s="40">
        <v>0</v>
      </c>
      <c r="K2960" s="40">
        <v>0</v>
      </c>
      <c r="L2960" s="40" t="s">
        <v>115</v>
      </c>
      <c r="O2960" s="40" t="s">
        <v>115</v>
      </c>
      <c r="Q2960" s="40">
        <v>192</v>
      </c>
      <c r="R2960" s="40">
        <v>251</v>
      </c>
      <c r="X2960" s="40">
        <v>90240704</v>
      </c>
      <c r="Y2960" s="40" t="s">
        <v>115</v>
      </c>
      <c r="Z2960" s="40" t="s">
        <v>115</v>
      </c>
      <c r="AA2960" s="40" t="s">
        <v>115</v>
      </c>
      <c r="AB2960" s="40" t="s">
        <v>115</v>
      </c>
      <c r="AC2960" s="40" t="s">
        <v>115</v>
      </c>
      <c r="AI2960" s="40" t="s">
        <v>115</v>
      </c>
      <c r="AP2960" s="4" t="s">
        <v>115</v>
      </c>
    </row>
    <row r="2961" spans="1:42" x14ac:dyDescent="0.15">
      <c r="A2961" s="40" t="s">
        <v>1</v>
      </c>
      <c r="B2961" s="23">
        <v>90240704</v>
      </c>
      <c r="C2961" s="23">
        <v>2407</v>
      </c>
      <c r="D2961" s="23">
        <v>24</v>
      </c>
      <c r="F2961" s="23" t="s">
        <v>5599</v>
      </c>
      <c r="G2961" s="23" t="s">
        <v>115</v>
      </c>
      <c r="H2961" s="23" t="s">
        <v>5600</v>
      </c>
      <c r="I2961" s="23">
        <v>3</v>
      </c>
      <c r="J2961" s="40">
        <v>0</v>
      </c>
      <c r="K2961" s="40">
        <v>0</v>
      </c>
      <c r="L2961" s="40" t="s">
        <v>115</v>
      </c>
      <c r="O2961" s="40" t="s">
        <v>115</v>
      </c>
      <c r="Q2961" s="40">
        <v>192</v>
      </c>
      <c r="R2961" s="40">
        <v>252</v>
      </c>
      <c r="X2961" s="40">
        <v>90240705</v>
      </c>
      <c r="Y2961" s="40" t="s">
        <v>115</v>
      </c>
      <c r="Z2961" s="40" t="s">
        <v>115</v>
      </c>
      <c r="AA2961" s="40" t="s">
        <v>115</v>
      </c>
      <c r="AB2961" s="40" t="s">
        <v>115</v>
      </c>
      <c r="AC2961" s="40" t="s">
        <v>115</v>
      </c>
      <c r="AI2961" s="40" t="s">
        <v>115</v>
      </c>
      <c r="AP2961" s="4" t="s">
        <v>115</v>
      </c>
    </row>
    <row r="2962" spans="1:42" x14ac:dyDescent="0.15">
      <c r="A2962" s="40" t="s">
        <v>1</v>
      </c>
      <c r="B2962" s="23">
        <v>90240705</v>
      </c>
      <c r="C2962" s="23">
        <v>2407</v>
      </c>
      <c r="D2962" s="23">
        <v>24</v>
      </c>
      <c r="F2962" s="23" t="s">
        <v>115</v>
      </c>
      <c r="G2962" s="23" t="s">
        <v>115</v>
      </c>
      <c r="H2962" s="23" t="s">
        <v>5601</v>
      </c>
      <c r="I2962" s="23">
        <v>4</v>
      </c>
      <c r="J2962" s="40">
        <v>0</v>
      </c>
      <c r="K2962" s="40">
        <v>2</v>
      </c>
      <c r="L2962" s="40" t="s">
        <v>115</v>
      </c>
      <c r="O2962" s="40" t="s">
        <v>115</v>
      </c>
      <c r="Q2962" s="40">
        <v>192</v>
      </c>
      <c r="R2962" s="40">
        <v>252</v>
      </c>
      <c r="X2962" s="40" t="s">
        <v>5602</v>
      </c>
      <c r="Y2962" s="40">
        <v>1</v>
      </c>
      <c r="Z2962" s="40">
        <v>1</v>
      </c>
      <c r="AA2962" s="40" t="s">
        <v>115</v>
      </c>
      <c r="AB2962" s="40" t="s">
        <v>115</v>
      </c>
      <c r="AC2962" s="40" t="s">
        <v>115</v>
      </c>
      <c r="AI2962" s="40" t="s">
        <v>115</v>
      </c>
      <c r="AP2962" s="4" t="s">
        <v>115</v>
      </c>
    </row>
    <row r="2963" spans="1:42" x14ac:dyDescent="0.15">
      <c r="A2963" s="40" t="s">
        <v>1</v>
      </c>
      <c r="B2963" s="23">
        <v>90240706</v>
      </c>
      <c r="C2963" s="23">
        <v>2407</v>
      </c>
      <c r="D2963" s="23">
        <v>24</v>
      </c>
      <c r="F2963" s="23" t="s">
        <v>115</v>
      </c>
      <c r="G2963" s="23" t="s">
        <v>115</v>
      </c>
      <c r="H2963" s="23" t="s">
        <v>5603</v>
      </c>
      <c r="I2963" s="23">
        <v>4</v>
      </c>
      <c r="J2963" s="40">
        <v>0</v>
      </c>
      <c r="K2963" s="40">
        <v>3</v>
      </c>
      <c r="L2963" s="40" t="s">
        <v>115</v>
      </c>
      <c r="O2963" s="40" t="s">
        <v>115</v>
      </c>
      <c r="Q2963" s="40">
        <v>192</v>
      </c>
      <c r="R2963" s="40">
        <v>252</v>
      </c>
      <c r="X2963" s="40">
        <v>90240708</v>
      </c>
      <c r="Y2963" s="40">
        <v>-1</v>
      </c>
      <c r="Z2963" s="40">
        <v>2</v>
      </c>
      <c r="AA2963" s="40" t="s">
        <v>115</v>
      </c>
      <c r="AB2963" s="40" t="s">
        <v>115</v>
      </c>
      <c r="AC2963" s="40" t="s">
        <v>115</v>
      </c>
      <c r="AI2963" s="40" t="s">
        <v>115</v>
      </c>
      <c r="AP2963" s="4" t="s">
        <v>115</v>
      </c>
    </row>
    <row r="2964" spans="1:42" x14ac:dyDescent="0.15">
      <c r="A2964" s="40" t="s">
        <v>1</v>
      </c>
      <c r="B2964" s="23">
        <v>90240707</v>
      </c>
      <c r="C2964" s="23">
        <v>2407</v>
      </c>
      <c r="D2964" s="23">
        <v>24</v>
      </c>
      <c r="F2964" s="23" t="s">
        <v>115</v>
      </c>
      <c r="G2964" s="23" t="s">
        <v>115</v>
      </c>
      <c r="H2964" s="23" t="s">
        <v>5604</v>
      </c>
      <c r="I2964" s="23">
        <v>4</v>
      </c>
      <c r="J2964" s="40">
        <v>0</v>
      </c>
      <c r="K2964" s="40">
        <v>4</v>
      </c>
      <c r="L2964" s="40" t="s">
        <v>115</v>
      </c>
      <c r="O2964" s="40" t="s">
        <v>115</v>
      </c>
      <c r="Q2964" s="40">
        <v>192</v>
      </c>
      <c r="R2964" s="40">
        <v>252</v>
      </c>
      <c r="X2964" s="40">
        <v>90240710</v>
      </c>
      <c r="Y2964" s="40">
        <v>-1</v>
      </c>
      <c r="Z2964" s="40">
        <v>2</v>
      </c>
      <c r="AA2964" s="40" t="s">
        <v>115</v>
      </c>
      <c r="AB2964" s="40" t="s">
        <v>115</v>
      </c>
      <c r="AC2964" s="40" t="s">
        <v>115</v>
      </c>
      <c r="AI2964" s="40" t="s">
        <v>115</v>
      </c>
      <c r="AP2964" s="4" t="s">
        <v>115</v>
      </c>
    </row>
    <row r="2965" spans="1:42" x14ac:dyDescent="0.15">
      <c r="A2965" s="40" t="s">
        <v>1</v>
      </c>
      <c r="B2965" s="23">
        <v>90240708</v>
      </c>
      <c r="C2965" s="23">
        <v>2407</v>
      </c>
      <c r="D2965" s="23">
        <v>24</v>
      </c>
      <c r="F2965" s="23" t="s">
        <v>116</v>
      </c>
      <c r="G2965" s="23">
        <v>312</v>
      </c>
      <c r="H2965" s="23" t="s">
        <v>5605</v>
      </c>
      <c r="I2965" s="23">
        <v>0</v>
      </c>
      <c r="J2965" s="40">
        <v>0</v>
      </c>
      <c r="K2965" s="40">
        <v>0</v>
      </c>
      <c r="L2965" s="40" t="s">
        <v>115</v>
      </c>
      <c r="O2965" s="40" t="s">
        <v>115</v>
      </c>
      <c r="Q2965" s="40">
        <v>192</v>
      </c>
      <c r="R2965" s="40">
        <v>252</v>
      </c>
      <c r="X2965" s="40">
        <v>90240709</v>
      </c>
      <c r="Y2965" s="40" t="s">
        <v>115</v>
      </c>
      <c r="Z2965" s="40" t="s">
        <v>115</v>
      </c>
      <c r="AA2965" s="40" t="s">
        <v>115</v>
      </c>
      <c r="AB2965" s="40" t="s">
        <v>115</v>
      </c>
      <c r="AC2965" s="40" t="s">
        <v>115</v>
      </c>
      <c r="AI2965" s="40" t="s">
        <v>115</v>
      </c>
      <c r="AP2965" s="4" t="s">
        <v>115</v>
      </c>
    </row>
    <row r="2966" spans="1:42" x14ac:dyDescent="0.15">
      <c r="A2966" s="40" t="s">
        <v>1</v>
      </c>
      <c r="B2966" s="23">
        <v>90240709</v>
      </c>
      <c r="C2966" s="23">
        <v>2407</v>
      </c>
      <c r="D2966" s="23">
        <v>24</v>
      </c>
      <c r="F2966" s="23" t="s">
        <v>5599</v>
      </c>
      <c r="G2966" s="23" t="s">
        <v>115</v>
      </c>
      <c r="H2966" s="23" t="s">
        <v>5606</v>
      </c>
      <c r="I2966" s="23">
        <v>3</v>
      </c>
      <c r="J2966" s="40">
        <v>0</v>
      </c>
      <c r="K2966" s="40">
        <v>0</v>
      </c>
      <c r="L2966" s="40" t="s">
        <v>115</v>
      </c>
      <c r="O2966" s="40" t="s">
        <v>115</v>
      </c>
      <c r="Q2966" s="40">
        <v>192</v>
      </c>
      <c r="R2966" s="40">
        <v>252</v>
      </c>
      <c r="X2966" s="40">
        <v>90240705</v>
      </c>
      <c r="Y2966" s="40" t="s">
        <v>115</v>
      </c>
      <c r="Z2966" s="40" t="s">
        <v>115</v>
      </c>
      <c r="AA2966" s="40" t="s">
        <v>115</v>
      </c>
      <c r="AB2966" s="40" t="s">
        <v>115</v>
      </c>
      <c r="AC2966" s="40" t="s">
        <v>115</v>
      </c>
      <c r="AI2966" s="40" t="s">
        <v>115</v>
      </c>
      <c r="AP2966" s="4" t="s">
        <v>115</v>
      </c>
    </row>
    <row r="2967" spans="1:42" x14ac:dyDescent="0.15">
      <c r="A2967" s="40" t="s">
        <v>1</v>
      </c>
      <c r="B2967" s="23">
        <v>90240710</v>
      </c>
      <c r="C2967" s="23">
        <v>2407</v>
      </c>
      <c r="D2967" s="23">
        <v>24</v>
      </c>
      <c r="F2967" s="23" t="s">
        <v>5599</v>
      </c>
      <c r="G2967" s="23" t="s">
        <v>115</v>
      </c>
      <c r="H2967" s="23" t="s">
        <v>5607</v>
      </c>
      <c r="I2967" s="23">
        <v>3</v>
      </c>
      <c r="J2967" s="40">
        <v>0</v>
      </c>
      <c r="K2967" s="40">
        <v>0</v>
      </c>
      <c r="L2967" s="40" t="s">
        <v>115</v>
      </c>
      <c r="O2967" s="40" t="s">
        <v>115</v>
      </c>
      <c r="Q2967" s="40">
        <v>192</v>
      </c>
      <c r="R2967" s="40">
        <v>252</v>
      </c>
      <c r="X2967" s="40">
        <v>90240711</v>
      </c>
      <c r="Y2967" s="40" t="s">
        <v>115</v>
      </c>
      <c r="Z2967" s="40" t="s">
        <v>115</v>
      </c>
      <c r="AA2967" s="40" t="s">
        <v>115</v>
      </c>
      <c r="AB2967" s="40" t="s">
        <v>115</v>
      </c>
      <c r="AC2967" s="40" t="s">
        <v>115</v>
      </c>
      <c r="AI2967" s="40" t="s">
        <v>115</v>
      </c>
      <c r="AP2967" s="4" t="s">
        <v>115</v>
      </c>
    </row>
    <row r="2968" spans="1:42" x14ac:dyDescent="0.15">
      <c r="A2968" s="40" t="s">
        <v>1</v>
      </c>
      <c r="B2968" s="23">
        <v>90240711</v>
      </c>
      <c r="C2968" s="23">
        <v>2407</v>
      </c>
      <c r="D2968" s="23">
        <v>24</v>
      </c>
      <c r="F2968" s="23" t="s">
        <v>115</v>
      </c>
      <c r="G2968" s="23" t="s">
        <v>115</v>
      </c>
      <c r="H2968" s="23" t="s">
        <v>5608</v>
      </c>
      <c r="I2968" s="23">
        <v>4</v>
      </c>
      <c r="J2968" s="40">
        <v>0</v>
      </c>
      <c r="K2968" s="40">
        <v>0</v>
      </c>
      <c r="L2968" s="40" t="s">
        <v>115</v>
      </c>
      <c r="O2968" s="40" t="s">
        <v>115</v>
      </c>
      <c r="Q2968" s="40">
        <v>205</v>
      </c>
      <c r="R2968" s="40" t="s">
        <v>115</v>
      </c>
      <c r="X2968" s="40">
        <v>90240712</v>
      </c>
      <c r="Y2968" s="40" t="s">
        <v>115</v>
      </c>
      <c r="Z2968" s="40" t="s">
        <v>115</v>
      </c>
      <c r="AA2968" s="40" t="s">
        <v>115</v>
      </c>
      <c r="AB2968" s="40" t="s">
        <v>115</v>
      </c>
      <c r="AC2968" s="40" t="s">
        <v>115</v>
      </c>
      <c r="AI2968" s="40" t="s">
        <v>115</v>
      </c>
      <c r="AP2968" s="4" t="s">
        <v>115</v>
      </c>
    </row>
    <row r="2969" spans="1:42" x14ac:dyDescent="0.15">
      <c r="A2969" s="40" t="s">
        <v>1</v>
      </c>
      <c r="B2969" s="23">
        <v>90240712</v>
      </c>
      <c r="C2969" s="23">
        <v>2407</v>
      </c>
      <c r="D2969" s="23">
        <v>24</v>
      </c>
      <c r="F2969" s="23" t="s">
        <v>4241</v>
      </c>
      <c r="G2969" s="23" t="s">
        <v>115</v>
      </c>
      <c r="H2969" s="23" t="s">
        <v>5609</v>
      </c>
      <c r="I2969" s="23">
        <v>3</v>
      </c>
      <c r="J2969" s="40">
        <v>0</v>
      </c>
      <c r="K2969" s="40">
        <v>0</v>
      </c>
      <c r="L2969" s="40" t="s">
        <v>115</v>
      </c>
      <c r="O2969" s="40" t="s">
        <v>115</v>
      </c>
      <c r="Q2969" s="40">
        <v>205</v>
      </c>
      <c r="R2969" s="40">
        <v>251</v>
      </c>
      <c r="X2969" s="40">
        <v>90240713</v>
      </c>
      <c r="Y2969" s="40" t="s">
        <v>115</v>
      </c>
      <c r="Z2969" s="40" t="s">
        <v>115</v>
      </c>
      <c r="AA2969" s="40" t="s">
        <v>115</v>
      </c>
      <c r="AB2969" s="40" t="s">
        <v>115</v>
      </c>
      <c r="AC2969" s="40" t="s">
        <v>115</v>
      </c>
      <c r="AI2969" s="40" t="s">
        <v>115</v>
      </c>
      <c r="AP2969" s="4" t="s">
        <v>115</v>
      </c>
    </row>
    <row r="2970" spans="1:42" x14ac:dyDescent="0.15">
      <c r="A2970" s="40" t="s">
        <v>1</v>
      </c>
      <c r="B2970" s="23">
        <v>90240713</v>
      </c>
      <c r="C2970" s="23">
        <v>2407</v>
      </c>
      <c r="D2970" s="23">
        <v>24</v>
      </c>
      <c r="F2970" s="23" t="s">
        <v>116</v>
      </c>
      <c r="G2970" s="23">
        <v>312</v>
      </c>
      <c r="H2970" s="23" t="s">
        <v>5610</v>
      </c>
      <c r="I2970" s="23">
        <v>0</v>
      </c>
      <c r="J2970" s="40">
        <v>0</v>
      </c>
      <c r="K2970" s="40">
        <v>0</v>
      </c>
      <c r="L2970" s="40" t="s">
        <v>115</v>
      </c>
      <c r="O2970" s="40" t="s">
        <v>115</v>
      </c>
      <c r="Q2970" s="40">
        <v>205</v>
      </c>
      <c r="R2970" s="40">
        <v>251</v>
      </c>
      <c r="X2970" s="40">
        <v>90240714</v>
      </c>
      <c r="Y2970" s="40" t="s">
        <v>115</v>
      </c>
      <c r="Z2970" s="40" t="s">
        <v>115</v>
      </c>
      <c r="AA2970" s="40" t="s">
        <v>115</v>
      </c>
      <c r="AB2970" s="40" t="s">
        <v>115</v>
      </c>
      <c r="AC2970" s="40" t="s">
        <v>115</v>
      </c>
      <c r="AI2970" s="40" t="s">
        <v>115</v>
      </c>
      <c r="AP2970" s="4" t="s">
        <v>115</v>
      </c>
    </row>
    <row r="2971" spans="1:42" x14ac:dyDescent="0.15">
      <c r="A2971" s="40" t="s">
        <v>1</v>
      </c>
      <c r="B2971" s="23">
        <v>90240714</v>
      </c>
      <c r="C2971" s="23">
        <v>2407</v>
      </c>
      <c r="D2971" s="23">
        <v>24</v>
      </c>
      <c r="F2971" s="23" t="s">
        <v>4241</v>
      </c>
      <c r="G2971" s="23" t="s">
        <v>115</v>
      </c>
      <c r="H2971" s="23" t="s">
        <v>5611</v>
      </c>
      <c r="I2971" s="23">
        <v>3</v>
      </c>
      <c r="J2971" s="40">
        <v>0</v>
      </c>
      <c r="K2971" s="40">
        <v>5</v>
      </c>
      <c r="L2971" s="40" t="s">
        <v>5612</v>
      </c>
      <c r="O2971" s="40" t="s">
        <v>115</v>
      </c>
      <c r="Q2971" s="40">
        <v>205</v>
      </c>
      <c r="R2971" s="40">
        <v>251</v>
      </c>
      <c r="X2971" s="40">
        <v>90240715</v>
      </c>
      <c r="Y2971" s="40" t="s">
        <v>115</v>
      </c>
      <c r="Z2971" s="40">
        <v>4</v>
      </c>
      <c r="AA2971" s="40" t="s">
        <v>115</v>
      </c>
      <c r="AB2971" s="40" t="s">
        <v>115</v>
      </c>
      <c r="AC2971" s="40" t="s">
        <v>115</v>
      </c>
      <c r="AI2971" s="40" t="s">
        <v>115</v>
      </c>
      <c r="AP2971" s="4" t="s">
        <v>115</v>
      </c>
    </row>
    <row r="2972" spans="1:42" x14ac:dyDescent="0.15">
      <c r="A2972" s="40" t="s">
        <v>1</v>
      </c>
      <c r="B2972" s="23">
        <v>90240715</v>
      </c>
      <c r="C2972" s="23">
        <v>2407</v>
      </c>
      <c r="D2972" s="23">
        <v>24</v>
      </c>
      <c r="F2972" s="23" t="s">
        <v>4241</v>
      </c>
      <c r="G2972" s="23" t="s">
        <v>115</v>
      </c>
      <c r="H2972" s="23" t="s">
        <v>5613</v>
      </c>
      <c r="I2972" s="23">
        <v>3</v>
      </c>
      <c r="J2972" s="40">
        <v>0</v>
      </c>
      <c r="K2972" s="40">
        <v>0</v>
      </c>
      <c r="L2972" s="40" t="s">
        <v>115</v>
      </c>
      <c r="O2972" s="40" t="s">
        <v>115</v>
      </c>
      <c r="Q2972" s="40">
        <v>205</v>
      </c>
      <c r="R2972" s="40">
        <v>251</v>
      </c>
      <c r="X2972" s="40">
        <v>90240716</v>
      </c>
      <c r="Y2972" s="40" t="s">
        <v>115</v>
      </c>
      <c r="Z2972" s="40" t="s">
        <v>115</v>
      </c>
      <c r="AA2972" s="40" t="s">
        <v>115</v>
      </c>
      <c r="AB2972" s="40" t="s">
        <v>115</v>
      </c>
      <c r="AC2972" s="40" t="s">
        <v>115</v>
      </c>
      <c r="AI2972" s="40" t="s">
        <v>115</v>
      </c>
      <c r="AP2972" s="4" t="s">
        <v>115</v>
      </c>
    </row>
    <row r="2973" spans="1:42" x14ac:dyDescent="0.15">
      <c r="A2973" s="40" t="s">
        <v>1</v>
      </c>
      <c r="B2973" s="23">
        <v>90240716</v>
      </c>
      <c r="C2973" s="23">
        <v>2407</v>
      </c>
      <c r="D2973" s="23">
        <v>24</v>
      </c>
      <c r="F2973" s="23" t="s">
        <v>4241</v>
      </c>
      <c r="G2973" s="23" t="s">
        <v>115</v>
      </c>
      <c r="H2973" s="23" t="s">
        <v>5614</v>
      </c>
      <c r="I2973" s="23">
        <v>3</v>
      </c>
      <c r="J2973" s="40">
        <v>0</v>
      </c>
      <c r="K2973" s="40">
        <v>0</v>
      </c>
      <c r="L2973" s="40" t="s">
        <v>115</v>
      </c>
      <c r="O2973" s="40" t="s">
        <v>115</v>
      </c>
      <c r="Q2973" s="40">
        <v>205</v>
      </c>
      <c r="R2973" s="40">
        <v>251</v>
      </c>
      <c r="X2973" s="40">
        <v>90240717</v>
      </c>
      <c r="Y2973" s="40" t="s">
        <v>115</v>
      </c>
      <c r="Z2973" s="40" t="s">
        <v>115</v>
      </c>
      <c r="AA2973" s="40" t="s">
        <v>115</v>
      </c>
      <c r="AB2973" s="40" t="s">
        <v>115</v>
      </c>
      <c r="AC2973" s="40" t="s">
        <v>115</v>
      </c>
      <c r="AI2973" s="40" t="s">
        <v>115</v>
      </c>
      <c r="AP2973" s="4" t="s">
        <v>115</v>
      </c>
    </row>
    <row r="2974" spans="1:42" x14ac:dyDescent="0.15">
      <c r="A2974" s="40" t="s">
        <v>1</v>
      </c>
      <c r="B2974" s="23">
        <v>90240717</v>
      </c>
      <c r="C2974" s="23">
        <v>2407</v>
      </c>
      <c r="D2974" s="23">
        <v>24</v>
      </c>
      <c r="F2974" s="23" t="s">
        <v>116</v>
      </c>
      <c r="G2974" s="23">
        <v>314</v>
      </c>
      <c r="H2974" s="23" t="s">
        <v>5615</v>
      </c>
      <c r="I2974" s="23">
        <v>2</v>
      </c>
      <c r="J2974" s="40">
        <v>0</v>
      </c>
      <c r="K2974" s="40">
        <v>6</v>
      </c>
      <c r="L2974" s="40" t="s">
        <v>115</v>
      </c>
      <c r="O2974" s="40">
        <v>1</v>
      </c>
      <c r="Q2974" s="40">
        <v>205</v>
      </c>
      <c r="R2974" s="40">
        <v>251</v>
      </c>
      <c r="X2974" s="40" t="s">
        <v>115</v>
      </c>
      <c r="Y2974" s="40" t="s">
        <v>115</v>
      </c>
      <c r="Z2974" s="40">
        <v>5</v>
      </c>
      <c r="AA2974" s="40" t="s">
        <v>115</v>
      </c>
      <c r="AB2974" s="40" t="s">
        <v>115</v>
      </c>
      <c r="AC2974" s="40" t="s">
        <v>115</v>
      </c>
      <c r="AI2974" s="40" t="s">
        <v>115</v>
      </c>
      <c r="AP2974" s="4" t="s">
        <v>115</v>
      </c>
    </row>
    <row r="2975" spans="1:42" x14ac:dyDescent="0.15">
      <c r="A2975" s="40" t="s">
        <v>1</v>
      </c>
      <c r="B2975" s="23" t="s">
        <v>4874</v>
      </c>
      <c r="C2975" s="23">
        <v>2501</v>
      </c>
      <c r="D2975" s="23">
        <v>25</v>
      </c>
      <c r="F2975" s="23" t="s">
        <v>116</v>
      </c>
      <c r="G2975" s="23">
        <v>314</v>
      </c>
      <c r="H2975" s="23" t="s">
        <v>5616</v>
      </c>
      <c r="I2975" s="23">
        <v>0</v>
      </c>
      <c r="J2975" s="40">
        <v>1</v>
      </c>
      <c r="K2975" s="40">
        <v>1</v>
      </c>
      <c r="L2975" s="40" t="s">
        <v>115</v>
      </c>
      <c r="O2975" s="40" t="s">
        <v>115</v>
      </c>
      <c r="Q2975" s="40">
        <v>163</v>
      </c>
      <c r="R2975" s="40" t="s">
        <v>115</v>
      </c>
      <c r="X2975" s="40">
        <v>90250102</v>
      </c>
      <c r="Y2975" s="40" t="s">
        <v>115</v>
      </c>
      <c r="Z2975" s="40" t="s">
        <v>115</v>
      </c>
      <c r="AA2975" s="40" t="s">
        <v>115</v>
      </c>
      <c r="AB2975" s="40" t="s">
        <v>115</v>
      </c>
      <c r="AC2975" s="40" t="s">
        <v>115</v>
      </c>
      <c r="AI2975" s="40" t="s">
        <v>115</v>
      </c>
      <c r="AP2975" s="4" t="s">
        <v>115</v>
      </c>
    </row>
    <row r="2976" spans="1:42" x14ac:dyDescent="0.15">
      <c r="A2976" s="40" t="s">
        <v>1</v>
      </c>
      <c r="B2976" s="23">
        <v>90250102</v>
      </c>
      <c r="C2976" s="23">
        <v>2501</v>
      </c>
      <c r="D2976" s="23">
        <v>25</v>
      </c>
      <c r="F2976" s="23" t="s">
        <v>115</v>
      </c>
      <c r="G2976" s="23" t="s">
        <v>115</v>
      </c>
      <c r="H2976" s="23" t="s">
        <v>5617</v>
      </c>
      <c r="I2976" s="23">
        <v>4</v>
      </c>
      <c r="J2976" s="40">
        <v>0</v>
      </c>
      <c r="K2976" s="40">
        <v>0</v>
      </c>
      <c r="L2976" s="40" t="s">
        <v>115</v>
      </c>
      <c r="O2976" s="40" t="s">
        <v>115</v>
      </c>
      <c r="Q2976" s="40">
        <v>163</v>
      </c>
      <c r="R2976" s="40" t="s">
        <v>115</v>
      </c>
      <c r="X2976" s="40">
        <v>90250103</v>
      </c>
      <c r="Y2976" s="40" t="s">
        <v>115</v>
      </c>
      <c r="Z2976" s="40" t="s">
        <v>115</v>
      </c>
      <c r="AA2976" s="40" t="s">
        <v>115</v>
      </c>
      <c r="AB2976" s="40" t="s">
        <v>115</v>
      </c>
      <c r="AC2976" s="40" t="s">
        <v>115</v>
      </c>
      <c r="AI2976" s="40" t="s">
        <v>115</v>
      </c>
      <c r="AP2976" s="4" t="s">
        <v>115</v>
      </c>
    </row>
    <row r="2977" spans="1:42" x14ac:dyDescent="0.15">
      <c r="A2977" s="40" t="s">
        <v>1</v>
      </c>
      <c r="B2977" s="23">
        <v>90250103</v>
      </c>
      <c r="C2977" s="23">
        <v>2501</v>
      </c>
      <c r="D2977" s="23">
        <v>25</v>
      </c>
      <c r="F2977" s="23" t="s">
        <v>256</v>
      </c>
      <c r="G2977" s="23" t="s">
        <v>115</v>
      </c>
      <c r="H2977" s="23" t="s">
        <v>5618</v>
      </c>
      <c r="I2977" s="23">
        <v>3</v>
      </c>
      <c r="J2977" s="40">
        <v>0</v>
      </c>
      <c r="K2977" s="40">
        <v>0</v>
      </c>
      <c r="L2977" s="40" t="s">
        <v>115</v>
      </c>
      <c r="O2977" s="40" t="s">
        <v>115</v>
      </c>
      <c r="Q2977" s="40">
        <v>163</v>
      </c>
      <c r="R2977" s="40">
        <v>269</v>
      </c>
      <c r="X2977" s="40">
        <v>90250104</v>
      </c>
      <c r="Y2977" s="40" t="s">
        <v>115</v>
      </c>
      <c r="Z2977" s="40" t="s">
        <v>115</v>
      </c>
      <c r="AA2977" s="40" t="s">
        <v>115</v>
      </c>
      <c r="AB2977" s="40" t="s">
        <v>115</v>
      </c>
      <c r="AC2977" s="40" t="s">
        <v>115</v>
      </c>
      <c r="AI2977" s="40" t="s">
        <v>115</v>
      </c>
      <c r="AP2977" s="4" t="s">
        <v>115</v>
      </c>
    </row>
    <row r="2978" spans="1:42" x14ac:dyDescent="0.15">
      <c r="A2978" s="40" t="s">
        <v>1</v>
      </c>
      <c r="B2978" s="23">
        <v>90250104</v>
      </c>
      <c r="C2978" s="23">
        <v>2501</v>
      </c>
      <c r="D2978" s="23">
        <v>25</v>
      </c>
      <c r="F2978" s="23" t="s">
        <v>116</v>
      </c>
      <c r="G2978" s="23">
        <v>312</v>
      </c>
      <c r="H2978" s="23" t="s">
        <v>5619</v>
      </c>
      <c r="I2978" s="23">
        <v>0</v>
      </c>
      <c r="J2978" s="40">
        <v>0</v>
      </c>
      <c r="K2978" s="40">
        <v>0</v>
      </c>
      <c r="L2978" s="40" t="s">
        <v>115</v>
      </c>
      <c r="O2978" s="40" t="s">
        <v>115</v>
      </c>
      <c r="Q2978" s="40">
        <v>163</v>
      </c>
      <c r="R2978" s="40">
        <v>269</v>
      </c>
      <c r="X2978" s="40">
        <v>90250105</v>
      </c>
      <c r="Y2978" s="40" t="s">
        <v>115</v>
      </c>
      <c r="Z2978" s="40" t="s">
        <v>115</v>
      </c>
      <c r="AA2978" s="40" t="s">
        <v>115</v>
      </c>
      <c r="AB2978" s="40" t="s">
        <v>115</v>
      </c>
      <c r="AC2978" s="40" t="s">
        <v>115</v>
      </c>
      <c r="AI2978" s="40" t="s">
        <v>115</v>
      </c>
      <c r="AP2978" s="4" t="s">
        <v>115</v>
      </c>
    </row>
    <row r="2979" spans="1:42" x14ac:dyDescent="0.15">
      <c r="A2979" s="40" t="s">
        <v>1</v>
      </c>
      <c r="B2979" s="23">
        <v>90250105</v>
      </c>
      <c r="C2979" s="23">
        <v>2501</v>
      </c>
      <c r="D2979" s="23">
        <v>25</v>
      </c>
      <c r="F2979" s="23" t="s">
        <v>116</v>
      </c>
      <c r="G2979" s="23">
        <v>314</v>
      </c>
      <c r="H2979" s="23" t="s">
        <v>5620</v>
      </c>
      <c r="I2979" s="23">
        <v>0</v>
      </c>
      <c r="J2979" s="40">
        <v>0</v>
      </c>
      <c r="K2979" s="40">
        <v>0</v>
      </c>
      <c r="L2979" s="40" t="s">
        <v>115</v>
      </c>
      <c r="O2979" s="40" t="s">
        <v>115</v>
      </c>
      <c r="Q2979" s="40">
        <v>163</v>
      </c>
      <c r="R2979" s="40">
        <v>269</v>
      </c>
      <c r="X2979" s="40">
        <v>90250106</v>
      </c>
      <c r="Y2979" s="40" t="s">
        <v>115</v>
      </c>
      <c r="Z2979" s="40" t="s">
        <v>115</v>
      </c>
      <c r="AA2979" s="40" t="s">
        <v>115</v>
      </c>
      <c r="AB2979" s="40" t="s">
        <v>115</v>
      </c>
      <c r="AC2979" s="40" t="s">
        <v>115</v>
      </c>
      <c r="AI2979" s="40" t="s">
        <v>115</v>
      </c>
      <c r="AP2979" s="4" t="s">
        <v>115</v>
      </c>
    </row>
    <row r="2980" spans="1:42" x14ac:dyDescent="0.15">
      <c r="A2980" s="40" t="s">
        <v>1</v>
      </c>
      <c r="B2980" s="23">
        <v>90250106</v>
      </c>
      <c r="C2980" s="23">
        <v>2501</v>
      </c>
      <c r="D2980" s="23">
        <v>25</v>
      </c>
      <c r="F2980" s="23" t="s">
        <v>115</v>
      </c>
      <c r="G2980" s="23" t="s">
        <v>115</v>
      </c>
      <c r="H2980" s="23" t="s">
        <v>5621</v>
      </c>
      <c r="I2980" s="23">
        <v>4</v>
      </c>
      <c r="J2980" s="40">
        <v>0</v>
      </c>
      <c r="K2980" s="40">
        <v>0</v>
      </c>
      <c r="L2980" s="40" t="s">
        <v>115</v>
      </c>
      <c r="O2980" s="40" t="s">
        <v>115</v>
      </c>
      <c r="Q2980" s="40">
        <v>163</v>
      </c>
      <c r="R2980" s="40">
        <v>269</v>
      </c>
      <c r="X2980" s="40">
        <v>90250107</v>
      </c>
      <c r="Y2980" s="40" t="s">
        <v>115</v>
      </c>
      <c r="Z2980" s="40" t="s">
        <v>115</v>
      </c>
      <c r="AA2980" s="40" t="s">
        <v>115</v>
      </c>
      <c r="AB2980" s="40" t="s">
        <v>115</v>
      </c>
      <c r="AC2980" s="40" t="s">
        <v>115</v>
      </c>
      <c r="AI2980" s="40" t="s">
        <v>115</v>
      </c>
      <c r="AP2980" s="4" t="s">
        <v>115</v>
      </c>
    </row>
    <row r="2981" spans="1:42" x14ac:dyDescent="0.15">
      <c r="A2981" s="40" t="s">
        <v>1</v>
      </c>
      <c r="B2981" s="23">
        <v>90250107</v>
      </c>
      <c r="C2981" s="23">
        <v>2501</v>
      </c>
      <c r="D2981" s="23">
        <v>25</v>
      </c>
      <c r="F2981" s="23" t="s">
        <v>256</v>
      </c>
      <c r="G2981" s="23" t="s">
        <v>115</v>
      </c>
      <c r="H2981" s="23" t="s">
        <v>5622</v>
      </c>
      <c r="I2981" s="23">
        <v>3</v>
      </c>
      <c r="J2981" s="40">
        <v>0</v>
      </c>
      <c r="K2981" s="40">
        <v>0</v>
      </c>
      <c r="L2981" s="40" t="s">
        <v>115</v>
      </c>
      <c r="O2981" s="40" t="s">
        <v>115</v>
      </c>
      <c r="Q2981" s="40">
        <v>163</v>
      </c>
      <c r="R2981" s="40">
        <v>269</v>
      </c>
      <c r="X2981" s="40">
        <v>90250108</v>
      </c>
      <c r="Y2981" s="40" t="s">
        <v>115</v>
      </c>
      <c r="Z2981" s="40" t="s">
        <v>115</v>
      </c>
      <c r="AA2981" s="40" t="s">
        <v>115</v>
      </c>
      <c r="AB2981" s="40" t="s">
        <v>115</v>
      </c>
      <c r="AC2981" s="40" t="s">
        <v>115</v>
      </c>
      <c r="AI2981" s="40" t="s">
        <v>115</v>
      </c>
      <c r="AP2981" s="4" t="s">
        <v>115</v>
      </c>
    </row>
    <row r="2982" spans="1:42" x14ac:dyDescent="0.15">
      <c r="A2982" s="40" t="s">
        <v>1</v>
      </c>
      <c r="B2982" s="23">
        <v>90250108</v>
      </c>
      <c r="C2982" s="23">
        <v>2501</v>
      </c>
      <c r="D2982" s="23">
        <v>25</v>
      </c>
      <c r="F2982" s="23" t="s">
        <v>256</v>
      </c>
      <c r="G2982" s="23" t="s">
        <v>115</v>
      </c>
      <c r="H2982" s="23" t="s">
        <v>5623</v>
      </c>
      <c r="I2982" s="23">
        <v>3</v>
      </c>
      <c r="J2982" s="40">
        <v>0</v>
      </c>
      <c r="K2982" s="40">
        <v>0</v>
      </c>
      <c r="L2982" s="40" t="s">
        <v>115</v>
      </c>
      <c r="O2982" s="40" t="s">
        <v>115</v>
      </c>
      <c r="Q2982" s="40">
        <v>163</v>
      </c>
      <c r="R2982" s="40">
        <v>269</v>
      </c>
      <c r="X2982" s="40">
        <v>90250109</v>
      </c>
      <c r="Y2982" s="40" t="s">
        <v>115</v>
      </c>
      <c r="Z2982" s="40" t="s">
        <v>115</v>
      </c>
      <c r="AA2982" s="40" t="s">
        <v>115</v>
      </c>
      <c r="AB2982" s="40" t="s">
        <v>115</v>
      </c>
      <c r="AC2982" s="40" t="s">
        <v>115</v>
      </c>
      <c r="AI2982" s="40" t="s">
        <v>115</v>
      </c>
      <c r="AP2982" s="4" t="s">
        <v>115</v>
      </c>
    </row>
    <row r="2983" spans="1:42" x14ac:dyDescent="0.15">
      <c r="A2983" s="40" t="s">
        <v>1</v>
      </c>
      <c r="B2983" s="23">
        <v>90250109</v>
      </c>
      <c r="C2983" s="23">
        <v>2501</v>
      </c>
      <c r="D2983" s="23">
        <v>25</v>
      </c>
      <c r="F2983" s="23" t="s">
        <v>256</v>
      </c>
      <c r="G2983" s="23" t="s">
        <v>115</v>
      </c>
      <c r="H2983" s="23" t="s">
        <v>5624</v>
      </c>
      <c r="I2983" s="23">
        <v>3</v>
      </c>
      <c r="J2983" s="40">
        <v>0</v>
      </c>
      <c r="K2983" s="40">
        <v>0</v>
      </c>
      <c r="L2983" s="40" t="s">
        <v>115</v>
      </c>
      <c r="O2983" s="40" t="s">
        <v>115</v>
      </c>
      <c r="Q2983" s="40">
        <v>163</v>
      </c>
      <c r="R2983" s="40">
        <v>269</v>
      </c>
      <c r="X2983" s="40">
        <v>90250110</v>
      </c>
      <c r="Y2983" s="40" t="s">
        <v>115</v>
      </c>
      <c r="Z2983" s="40" t="s">
        <v>115</v>
      </c>
      <c r="AA2983" s="40" t="s">
        <v>115</v>
      </c>
      <c r="AB2983" s="40" t="s">
        <v>115</v>
      </c>
      <c r="AC2983" s="40" t="s">
        <v>115</v>
      </c>
      <c r="AI2983" s="40" t="s">
        <v>115</v>
      </c>
      <c r="AP2983" s="4" t="s">
        <v>115</v>
      </c>
    </row>
    <row r="2984" spans="1:42" x14ac:dyDescent="0.15">
      <c r="A2984" s="40" t="s">
        <v>1</v>
      </c>
      <c r="B2984" s="23">
        <v>90250110</v>
      </c>
      <c r="C2984" s="23">
        <v>2501</v>
      </c>
      <c r="D2984" s="23">
        <v>25</v>
      </c>
      <c r="F2984" s="23" t="s">
        <v>116</v>
      </c>
      <c r="G2984" s="23">
        <v>312</v>
      </c>
      <c r="H2984" s="23" t="s">
        <v>5625</v>
      </c>
      <c r="I2984" s="23">
        <v>0</v>
      </c>
      <c r="J2984" s="40">
        <v>0</v>
      </c>
      <c r="K2984" s="40">
        <v>0</v>
      </c>
      <c r="L2984" s="40" t="s">
        <v>115</v>
      </c>
      <c r="O2984" s="40" t="s">
        <v>115</v>
      </c>
      <c r="Q2984" s="40">
        <v>163</v>
      </c>
      <c r="R2984" s="40">
        <v>269</v>
      </c>
      <c r="X2984" s="40">
        <v>90250111</v>
      </c>
      <c r="Y2984" s="40" t="s">
        <v>115</v>
      </c>
      <c r="Z2984" s="40" t="s">
        <v>115</v>
      </c>
      <c r="AA2984" s="40" t="s">
        <v>115</v>
      </c>
      <c r="AB2984" s="40" t="s">
        <v>115</v>
      </c>
      <c r="AC2984" s="40" t="s">
        <v>115</v>
      </c>
      <c r="AI2984" s="40" t="s">
        <v>115</v>
      </c>
      <c r="AP2984" s="4" t="s">
        <v>115</v>
      </c>
    </row>
    <row r="2985" spans="1:42" x14ac:dyDescent="0.15">
      <c r="A2985" s="40" t="s">
        <v>1</v>
      </c>
      <c r="B2985" s="23">
        <v>90250111</v>
      </c>
      <c r="C2985" s="23">
        <v>2501</v>
      </c>
      <c r="D2985" s="23">
        <v>25</v>
      </c>
      <c r="F2985" s="23" t="s">
        <v>115</v>
      </c>
      <c r="G2985" s="23" t="s">
        <v>115</v>
      </c>
      <c r="H2985" s="23" t="s">
        <v>5626</v>
      </c>
      <c r="I2985" s="23">
        <v>4</v>
      </c>
      <c r="J2985" s="40">
        <v>0</v>
      </c>
      <c r="K2985" s="40">
        <v>2</v>
      </c>
      <c r="L2985" s="40" t="s">
        <v>115</v>
      </c>
      <c r="O2985" s="40" t="s">
        <v>115</v>
      </c>
      <c r="Q2985" s="40">
        <v>163</v>
      </c>
      <c r="R2985" s="40">
        <v>269</v>
      </c>
      <c r="X2985" s="40" t="s">
        <v>5627</v>
      </c>
      <c r="Y2985" s="40">
        <v>1</v>
      </c>
      <c r="Z2985" s="40">
        <v>1</v>
      </c>
      <c r="AA2985" s="40" t="s">
        <v>115</v>
      </c>
      <c r="AB2985" s="40" t="s">
        <v>115</v>
      </c>
      <c r="AC2985" s="40" t="s">
        <v>115</v>
      </c>
      <c r="AI2985" s="40" t="s">
        <v>115</v>
      </c>
      <c r="AP2985" s="4" t="s">
        <v>115</v>
      </c>
    </row>
    <row r="2986" spans="1:42" x14ac:dyDescent="0.15">
      <c r="A2986" s="40" t="s">
        <v>1</v>
      </c>
      <c r="B2986" s="23">
        <v>90250112</v>
      </c>
      <c r="C2986" s="23">
        <v>2501</v>
      </c>
      <c r="D2986" s="23">
        <v>25</v>
      </c>
      <c r="F2986" s="23" t="s">
        <v>115</v>
      </c>
      <c r="G2986" s="23" t="s">
        <v>115</v>
      </c>
      <c r="H2986" s="23" t="s">
        <v>5628</v>
      </c>
      <c r="I2986" s="23">
        <v>4</v>
      </c>
      <c r="J2986" s="40">
        <v>0</v>
      </c>
      <c r="K2986" s="40">
        <v>3</v>
      </c>
      <c r="L2986" s="40" t="s">
        <v>115</v>
      </c>
      <c r="O2986" s="40" t="s">
        <v>115</v>
      </c>
      <c r="Q2986" s="40">
        <v>163</v>
      </c>
      <c r="R2986" s="40">
        <v>269</v>
      </c>
      <c r="X2986" s="40">
        <v>90250113</v>
      </c>
      <c r="Y2986" s="40">
        <v>-1</v>
      </c>
      <c r="Z2986" s="40">
        <v>2</v>
      </c>
      <c r="AA2986" s="40" t="s">
        <v>115</v>
      </c>
      <c r="AB2986" s="40" t="s">
        <v>115</v>
      </c>
      <c r="AC2986" s="40" t="s">
        <v>5629</v>
      </c>
      <c r="AI2986" s="40" t="s">
        <v>115</v>
      </c>
      <c r="AP2986" s="4" t="s">
        <v>115</v>
      </c>
    </row>
    <row r="2987" spans="1:42" x14ac:dyDescent="0.15">
      <c r="A2987" s="40" t="s">
        <v>1</v>
      </c>
      <c r="B2987" s="23">
        <v>90250113</v>
      </c>
      <c r="C2987" s="23">
        <v>2501</v>
      </c>
      <c r="D2987" s="23">
        <v>25</v>
      </c>
      <c r="F2987" s="23" t="s">
        <v>115</v>
      </c>
      <c r="G2987" s="23" t="s">
        <v>115</v>
      </c>
      <c r="H2987" s="23" t="s">
        <v>5630</v>
      </c>
      <c r="I2987" s="23">
        <v>4</v>
      </c>
      <c r="J2987" s="40">
        <v>0</v>
      </c>
      <c r="K2987" s="40">
        <v>0</v>
      </c>
      <c r="L2987" s="40" t="s">
        <v>115</v>
      </c>
      <c r="O2987" s="40" t="s">
        <v>115</v>
      </c>
      <c r="Q2987" s="40">
        <v>163</v>
      </c>
      <c r="R2987" s="40">
        <v>269</v>
      </c>
      <c r="X2987" s="40">
        <v>90250114</v>
      </c>
      <c r="Y2987" s="40" t="s">
        <v>115</v>
      </c>
      <c r="Z2987" s="40" t="s">
        <v>115</v>
      </c>
      <c r="AA2987" s="40" t="s">
        <v>115</v>
      </c>
      <c r="AB2987" s="40" t="s">
        <v>115</v>
      </c>
      <c r="AC2987" s="40" t="s">
        <v>115</v>
      </c>
      <c r="AI2987" s="40" t="s">
        <v>115</v>
      </c>
      <c r="AP2987" s="4" t="s">
        <v>115</v>
      </c>
    </row>
    <row r="2988" spans="1:42" x14ac:dyDescent="0.15">
      <c r="A2988" s="40" t="s">
        <v>1</v>
      </c>
      <c r="B2988" s="23">
        <v>90250114</v>
      </c>
      <c r="C2988" s="23">
        <v>2501</v>
      </c>
      <c r="D2988" s="23">
        <v>25</v>
      </c>
      <c r="F2988" s="23" t="s">
        <v>116</v>
      </c>
      <c r="G2988" s="23">
        <v>314</v>
      </c>
      <c r="H2988" s="23" t="s">
        <v>5631</v>
      </c>
      <c r="I2988" s="23">
        <v>0</v>
      </c>
      <c r="J2988" s="40">
        <v>0</v>
      </c>
      <c r="K2988" s="40">
        <v>0</v>
      </c>
      <c r="L2988" s="40" t="s">
        <v>115</v>
      </c>
      <c r="O2988" s="40" t="s">
        <v>115</v>
      </c>
      <c r="Q2988" s="40">
        <v>163</v>
      </c>
      <c r="R2988" s="40">
        <v>269</v>
      </c>
      <c r="X2988" s="40">
        <v>90250115</v>
      </c>
      <c r="Y2988" s="40" t="s">
        <v>115</v>
      </c>
      <c r="Z2988" s="40" t="s">
        <v>115</v>
      </c>
      <c r="AA2988" s="40" t="s">
        <v>115</v>
      </c>
      <c r="AB2988" s="40" t="s">
        <v>115</v>
      </c>
      <c r="AC2988" s="40" t="s">
        <v>115</v>
      </c>
      <c r="AI2988" s="40" t="s">
        <v>115</v>
      </c>
      <c r="AP2988" s="4" t="s">
        <v>115</v>
      </c>
    </row>
    <row r="2989" spans="1:42" x14ac:dyDescent="0.15">
      <c r="A2989" s="40" t="s">
        <v>1</v>
      </c>
      <c r="B2989" s="23">
        <v>90250115</v>
      </c>
      <c r="C2989" s="23">
        <v>2501</v>
      </c>
      <c r="D2989" s="23">
        <v>25</v>
      </c>
      <c r="F2989" s="23" t="s">
        <v>116</v>
      </c>
      <c r="G2989" s="23">
        <v>308</v>
      </c>
      <c r="H2989" s="23" t="s">
        <v>5632</v>
      </c>
      <c r="I2989" s="23">
        <v>0</v>
      </c>
      <c r="J2989" s="40">
        <v>0</v>
      </c>
      <c r="K2989" s="40">
        <v>0</v>
      </c>
      <c r="L2989" s="40" t="s">
        <v>115</v>
      </c>
      <c r="O2989" s="40" t="s">
        <v>115</v>
      </c>
      <c r="Q2989" s="40">
        <v>163</v>
      </c>
      <c r="R2989" s="40">
        <v>269</v>
      </c>
      <c r="X2989" s="40">
        <v>90250116</v>
      </c>
      <c r="Y2989" s="40" t="s">
        <v>115</v>
      </c>
      <c r="Z2989" s="40" t="s">
        <v>115</v>
      </c>
      <c r="AA2989" s="40" t="s">
        <v>115</v>
      </c>
      <c r="AB2989" s="40" t="s">
        <v>115</v>
      </c>
      <c r="AC2989" s="40" t="s">
        <v>115</v>
      </c>
      <c r="AI2989" s="40" t="s">
        <v>115</v>
      </c>
      <c r="AP2989" s="4" t="s">
        <v>115</v>
      </c>
    </row>
    <row r="2990" spans="1:42" x14ac:dyDescent="0.15">
      <c r="A2990" s="40" t="s">
        <v>1</v>
      </c>
      <c r="B2990" s="23">
        <v>90250116</v>
      </c>
      <c r="C2990" s="23">
        <v>2501</v>
      </c>
      <c r="D2990" s="23">
        <v>25</v>
      </c>
      <c r="F2990" s="23" t="s">
        <v>256</v>
      </c>
      <c r="G2990" s="23" t="s">
        <v>115</v>
      </c>
      <c r="H2990" s="23" t="s">
        <v>5633</v>
      </c>
      <c r="I2990" s="23">
        <v>3</v>
      </c>
      <c r="J2990" s="40">
        <v>0</v>
      </c>
      <c r="K2990" s="40">
        <v>0</v>
      </c>
      <c r="L2990" s="40" t="s">
        <v>115</v>
      </c>
      <c r="O2990" s="40" t="s">
        <v>115</v>
      </c>
      <c r="Q2990" s="40">
        <v>163</v>
      </c>
      <c r="R2990" s="40">
        <v>269</v>
      </c>
      <c r="X2990" s="40">
        <v>90250117</v>
      </c>
      <c r="Y2990" s="40" t="s">
        <v>115</v>
      </c>
      <c r="Z2990" s="40" t="s">
        <v>115</v>
      </c>
      <c r="AA2990" s="40" t="s">
        <v>115</v>
      </c>
      <c r="AB2990" s="40" t="s">
        <v>115</v>
      </c>
      <c r="AC2990" s="40" t="s">
        <v>115</v>
      </c>
      <c r="AI2990" s="40" t="s">
        <v>115</v>
      </c>
      <c r="AP2990" s="4" t="s">
        <v>115</v>
      </c>
    </row>
    <row r="2991" spans="1:42" x14ac:dyDescent="0.15">
      <c r="A2991" s="40" t="s">
        <v>1</v>
      </c>
      <c r="B2991" s="23">
        <v>90250117</v>
      </c>
      <c r="C2991" s="23">
        <v>2501</v>
      </c>
      <c r="D2991" s="23">
        <v>25</v>
      </c>
      <c r="F2991" s="23" t="s">
        <v>116</v>
      </c>
      <c r="G2991" s="23">
        <v>312</v>
      </c>
      <c r="H2991" s="23" t="s">
        <v>5634</v>
      </c>
      <c r="I2991" s="23">
        <v>0</v>
      </c>
      <c r="J2991" s="40">
        <v>0</v>
      </c>
      <c r="K2991" s="40">
        <v>0</v>
      </c>
      <c r="L2991" s="40" t="s">
        <v>115</v>
      </c>
      <c r="O2991" s="40" t="s">
        <v>115</v>
      </c>
      <c r="Q2991" s="40">
        <v>163</v>
      </c>
      <c r="R2991" s="40">
        <v>269</v>
      </c>
      <c r="X2991" s="40">
        <v>90250118</v>
      </c>
      <c r="Y2991" s="40" t="s">
        <v>115</v>
      </c>
      <c r="Z2991" s="40" t="s">
        <v>115</v>
      </c>
      <c r="AA2991" s="40" t="s">
        <v>115</v>
      </c>
      <c r="AB2991" s="40" t="s">
        <v>115</v>
      </c>
      <c r="AC2991" s="40" t="s">
        <v>115</v>
      </c>
      <c r="AI2991" s="40" t="s">
        <v>115</v>
      </c>
      <c r="AP2991" s="4" t="s">
        <v>115</v>
      </c>
    </row>
    <row r="2992" spans="1:42" x14ac:dyDescent="0.15">
      <c r="A2992" s="40" t="s">
        <v>1</v>
      </c>
      <c r="B2992" s="23">
        <v>90250118</v>
      </c>
      <c r="C2992" s="23">
        <v>2501</v>
      </c>
      <c r="D2992" s="23">
        <v>25</v>
      </c>
      <c r="F2992" s="23" t="s">
        <v>256</v>
      </c>
      <c r="G2992" s="23" t="s">
        <v>115</v>
      </c>
      <c r="H2992" s="23" t="s">
        <v>5635</v>
      </c>
      <c r="I2992" s="23">
        <v>3</v>
      </c>
      <c r="J2992" s="40">
        <v>0</v>
      </c>
      <c r="K2992" s="40">
        <v>4</v>
      </c>
      <c r="L2992" s="40" t="s">
        <v>115</v>
      </c>
      <c r="O2992" s="40">
        <v>1</v>
      </c>
      <c r="Q2992" s="40">
        <v>163</v>
      </c>
      <c r="R2992" s="40">
        <v>269</v>
      </c>
      <c r="X2992" s="40" t="s">
        <v>115</v>
      </c>
      <c r="Y2992" s="40" t="s">
        <v>115</v>
      </c>
      <c r="Z2992" s="40">
        <v>3</v>
      </c>
      <c r="AA2992" s="40" t="s">
        <v>115</v>
      </c>
      <c r="AB2992" s="40" t="s">
        <v>115</v>
      </c>
      <c r="AC2992" s="40" t="s">
        <v>115</v>
      </c>
      <c r="AI2992" s="40" t="s">
        <v>115</v>
      </c>
      <c r="AP2992" s="4" t="s">
        <v>5636</v>
      </c>
    </row>
    <row r="2993" spans="1:42" x14ac:dyDescent="0.15">
      <c r="A2993" s="40" t="s">
        <v>1</v>
      </c>
      <c r="B2993" s="23" t="s">
        <v>4877</v>
      </c>
      <c r="C2993" s="23">
        <v>2502</v>
      </c>
      <c r="D2993" s="23">
        <v>25</v>
      </c>
      <c r="F2993" s="23" t="s">
        <v>115</v>
      </c>
      <c r="G2993" s="23" t="s">
        <v>115</v>
      </c>
      <c r="H2993" s="23" t="s">
        <v>5637</v>
      </c>
      <c r="I2993" s="23">
        <v>4</v>
      </c>
      <c r="J2993" s="40">
        <v>1</v>
      </c>
      <c r="K2993" s="40">
        <v>1</v>
      </c>
      <c r="L2993" s="40" t="s">
        <v>115</v>
      </c>
      <c r="O2993" s="40" t="s">
        <v>115</v>
      </c>
      <c r="Q2993" s="40">
        <v>205</v>
      </c>
      <c r="R2993" s="40" t="s">
        <v>115</v>
      </c>
      <c r="X2993" s="40">
        <v>90250202</v>
      </c>
      <c r="Y2993" s="40" t="s">
        <v>115</v>
      </c>
      <c r="Z2993" s="40" t="s">
        <v>115</v>
      </c>
      <c r="AA2993" s="40" t="s">
        <v>115</v>
      </c>
      <c r="AB2993" s="40" t="s">
        <v>115</v>
      </c>
      <c r="AC2993" s="40" t="s">
        <v>115</v>
      </c>
      <c r="AI2993" s="40" t="s">
        <v>115</v>
      </c>
      <c r="AP2993" s="4" t="s">
        <v>115</v>
      </c>
    </row>
    <row r="2994" spans="1:42" x14ac:dyDescent="0.15">
      <c r="A2994" s="40" t="s">
        <v>1</v>
      </c>
      <c r="B2994" s="23">
        <v>90250202</v>
      </c>
      <c r="C2994" s="23">
        <v>2502</v>
      </c>
      <c r="D2994" s="23">
        <v>25</v>
      </c>
      <c r="F2994" s="23" t="s">
        <v>115</v>
      </c>
      <c r="G2994" s="23" t="s">
        <v>115</v>
      </c>
      <c r="H2994" s="23" t="s">
        <v>5638</v>
      </c>
      <c r="I2994" s="23">
        <v>4</v>
      </c>
      <c r="J2994" s="40">
        <v>0</v>
      </c>
      <c r="K2994" s="40">
        <v>0</v>
      </c>
      <c r="L2994" s="40" t="s">
        <v>115</v>
      </c>
      <c r="O2994" s="40" t="s">
        <v>115</v>
      </c>
      <c r="Q2994" s="40">
        <v>205</v>
      </c>
      <c r="R2994" s="40" t="s">
        <v>115</v>
      </c>
      <c r="X2994" s="40">
        <v>90250203</v>
      </c>
      <c r="Y2994" s="40" t="s">
        <v>115</v>
      </c>
      <c r="Z2994" s="40" t="s">
        <v>115</v>
      </c>
      <c r="AA2994" s="40" t="s">
        <v>115</v>
      </c>
      <c r="AB2994" s="40" t="s">
        <v>115</v>
      </c>
      <c r="AC2994" s="40" t="s">
        <v>115</v>
      </c>
      <c r="AI2994" s="40" t="s">
        <v>115</v>
      </c>
      <c r="AP2994" s="4" t="s">
        <v>115</v>
      </c>
    </row>
    <row r="2995" spans="1:42" x14ac:dyDescent="0.15">
      <c r="A2995" s="40" t="s">
        <v>1</v>
      </c>
      <c r="B2995" s="23">
        <v>90250203</v>
      </c>
      <c r="C2995" s="23">
        <v>2502</v>
      </c>
      <c r="D2995" s="23">
        <v>25</v>
      </c>
      <c r="F2995" s="23" t="s">
        <v>116</v>
      </c>
      <c r="G2995" s="23">
        <v>313</v>
      </c>
      <c r="H2995" s="23" t="s">
        <v>5639</v>
      </c>
      <c r="I2995" s="23">
        <v>2</v>
      </c>
      <c r="J2995" s="40">
        <v>0</v>
      </c>
      <c r="K2995" s="40">
        <v>0</v>
      </c>
      <c r="L2995" s="40" t="s">
        <v>115</v>
      </c>
      <c r="O2995" s="40" t="s">
        <v>115</v>
      </c>
      <c r="Q2995" s="40">
        <v>205</v>
      </c>
      <c r="R2995" s="40" t="s">
        <v>115</v>
      </c>
      <c r="X2995" s="40">
        <v>90250204</v>
      </c>
      <c r="Y2995" s="40" t="s">
        <v>115</v>
      </c>
      <c r="Z2995" s="40" t="s">
        <v>115</v>
      </c>
      <c r="AA2995" s="40" t="s">
        <v>115</v>
      </c>
      <c r="AB2995" s="40" t="s">
        <v>115</v>
      </c>
      <c r="AC2995" s="40" t="s">
        <v>115</v>
      </c>
      <c r="AI2995" s="40" t="s">
        <v>115</v>
      </c>
      <c r="AP2995" s="4" t="s">
        <v>115</v>
      </c>
    </row>
    <row r="2996" spans="1:42" x14ac:dyDescent="0.15">
      <c r="A2996" s="40" t="s">
        <v>1</v>
      </c>
      <c r="B2996" s="23">
        <v>90250204</v>
      </c>
      <c r="C2996" s="23">
        <v>2502</v>
      </c>
      <c r="D2996" s="23">
        <v>25</v>
      </c>
      <c r="F2996" s="23" t="s">
        <v>115</v>
      </c>
      <c r="G2996" s="23" t="s">
        <v>115</v>
      </c>
      <c r="H2996" s="23" t="s">
        <v>5640</v>
      </c>
      <c r="I2996" s="23">
        <v>4</v>
      </c>
      <c r="J2996" s="40">
        <v>0</v>
      </c>
      <c r="K2996" s="40">
        <v>2</v>
      </c>
      <c r="L2996" s="40" t="s">
        <v>115</v>
      </c>
      <c r="O2996" s="40" t="s">
        <v>115</v>
      </c>
      <c r="Q2996" s="40">
        <v>205</v>
      </c>
      <c r="R2996" s="40" t="s">
        <v>115</v>
      </c>
      <c r="X2996" s="40" t="s">
        <v>5641</v>
      </c>
      <c r="Y2996" s="40">
        <v>1</v>
      </c>
      <c r="Z2996" s="40">
        <v>1</v>
      </c>
      <c r="AA2996" s="40" t="s">
        <v>115</v>
      </c>
      <c r="AB2996" s="40" t="s">
        <v>115</v>
      </c>
      <c r="AC2996" s="40" t="s">
        <v>115</v>
      </c>
      <c r="AI2996" s="40" t="s">
        <v>115</v>
      </c>
      <c r="AP2996" s="4" t="s">
        <v>115</v>
      </c>
    </row>
    <row r="2997" spans="1:42" x14ac:dyDescent="0.15">
      <c r="A2997" s="40" t="s">
        <v>1</v>
      </c>
      <c r="B2997" s="23">
        <v>90250205</v>
      </c>
      <c r="C2997" s="23">
        <v>2502</v>
      </c>
      <c r="D2997" s="23">
        <v>25</v>
      </c>
      <c r="F2997" s="23" t="s">
        <v>115</v>
      </c>
      <c r="G2997" s="23" t="s">
        <v>115</v>
      </c>
      <c r="H2997" s="23" t="s">
        <v>5642</v>
      </c>
      <c r="I2997" s="23">
        <v>4</v>
      </c>
      <c r="J2997" s="40">
        <v>0</v>
      </c>
      <c r="K2997" s="40">
        <v>3</v>
      </c>
      <c r="L2997" s="40" t="s">
        <v>115</v>
      </c>
      <c r="O2997" s="40" t="s">
        <v>115</v>
      </c>
      <c r="Q2997" s="40">
        <v>205</v>
      </c>
      <c r="R2997" s="40" t="s">
        <v>115</v>
      </c>
      <c r="X2997" s="40">
        <v>90250207</v>
      </c>
      <c r="Y2997" s="40">
        <v>-1</v>
      </c>
      <c r="Z2997" s="40">
        <v>2</v>
      </c>
      <c r="AA2997" s="40" t="s">
        <v>115</v>
      </c>
      <c r="AB2997" s="40" t="s">
        <v>115</v>
      </c>
      <c r="AC2997" s="40" t="s">
        <v>115</v>
      </c>
      <c r="AI2997" s="40" t="s">
        <v>115</v>
      </c>
      <c r="AP2997" s="4" t="s">
        <v>115</v>
      </c>
    </row>
    <row r="2998" spans="1:42" x14ac:dyDescent="0.15">
      <c r="A2998" s="40" t="s">
        <v>1</v>
      </c>
      <c r="B2998" s="23">
        <v>90250206</v>
      </c>
      <c r="C2998" s="23">
        <v>2502</v>
      </c>
      <c r="D2998" s="23">
        <v>25</v>
      </c>
      <c r="F2998" s="23" t="s">
        <v>115</v>
      </c>
      <c r="G2998" s="23" t="s">
        <v>115</v>
      </c>
      <c r="H2998" s="23" t="s">
        <v>5643</v>
      </c>
      <c r="I2998" s="23">
        <v>4</v>
      </c>
      <c r="J2998" s="40">
        <v>0</v>
      </c>
      <c r="K2998" s="40">
        <v>4</v>
      </c>
      <c r="L2998" s="40" t="s">
        <v>115</v>
      </c>
      <c r="O2998" s="40" t="s">
        <v>115</v>
      </c>
      <c r="Q2998" s="40">
        <v>205</v>
      </c>
      <c r="R2998" s="40" t="s">
        <v>115</v>
      </c>
      <c r="X2998" s="40">
        <v>90250211</v>
      </c>
      <c r="Y2998" s="40">
        <v>-1</v>
      </c>
      <c r="Z2998" s="40">
        <v>2</v>
      </c>
      <c r="AA2998" s="40" t="s">
        <v>115</v>
      </c>
      <c r="AB2998" s="40" t="s">
        <v>115</v>
      </c>
      <c r="AC2998" s="40" t="s">
        <v>5644</v>
      </c>
      <c r="AI2998" s="40" t="s">
        <v>115</v>
      </c>
      <c r="AP2998" s="4" t="s">
        <v>115</v>
      </c>
    </row>
    <row r="2999" spans="1:42" x14ac:dyDescent="0.15">
      <c r="A2999" s="40" t="s">
        <v>1</v>
      </c>
      <c r="B2999" s="23">
        <v>90250207</v>
      </c>
      <c r="C2999" s="23">
        <v>2502</v>
      </c>
      <c r="D2999" s="23">
        <v>25</v>
      </c>
      <c r="F2999" s="23" t="s">
        <v>115</v>
      </c>
      <c r="G2999" s="23" t="s">
        <v>115</v>
      </c>
      <c r="H2999" s="23" t="s">
        <v>5645</v>
      </c>
      <c r="I2999" s="23">
        <v>4</v>
      </c>
      <c r="J2999" s="40">
        <v>0</v>
      </c>
      <c r="K2999" s="40">
        <v>0</v>
      </c>
      <c r="L2999" s="40" t="s">
        <v>115</v>
      </c>
      <c r="O2999" s="40" t="s">
        <v>115</v>
      </c>
      <c r="Q2999" s="40">
        <v>205</v>
      </c>
      <c r="R2999" s="40" t="s">
        <v>115</v>
      </c>
      <c r="X2999" s="40">
        <v>90250208</v>
      </c>
      <c r="Y2999" s="40" t="s">
        <v>115</v>
      </c>
      <c r="Z2999" s="40" t="s">
        <v>115</v>
      </c>
      <c r="AA2999" s="40" t="s">
        <v>115</v>
      </c>
      <c r="AB2999" s="40" t="s">
        <v>115</v>
      </c>
      <c r="AC2999" s="40" t="s">
        <v>115</v>
      </c>
      <c r="AI2999" s="40" t="s">
        <v>115</v>
      </c>
      <c r="AP2999" s="4" t="s">
        <v>115</v>
      </c>
    </row>
    <row r="3000" spans="1:42" x14ac:dyDescent="0.15">
      <c r="A3000" s="40" t="s">
        <v>1</v>
      </c>
      <c r="B3000" s="23">
        <v>90250208</v>
      </c>
      <c r="C3000" s="23">
        <v>2502</v>
      </c>
      <c r="D3000" s="23">
        <v>25</v>
      </c>
      <c r="F3000" s="23" t="s">
        <v>5204</v>
      </c>
      <c r="G3000" s="23" t="s">
        <v>115</v>
      </c>
      <c r="H3000" s="23" t="s">
        <v>5646</v>
      </c>
      <c r="I3000" s="23">
        <v>3</v>
      </c>
      <c r="J3000" s="40">
        <v>0</v>
      </c>
      <c r="K3000" s="40">
        <v>0</v>
      </c>
      <c r="L3000" s="40" t="s">
        <v>115</v>
      </c>
      <c r="O3000" s="40" t="s">
        <v>115</v>
      </c>
      <c r="Q3000" s="40">
        <v>205</v>
      </c>
      <c r="R3000" s="40" t="s">
        <v>115</v>
      </c>
      <c r="X3000" s="40">
        <v>90250209</v>
      </c>
      <c r="Y3000" s="40" t="s">
        <v>115</v>
      </c>
      <c r="Z3000" s="40" t="s">
        <v>115</v>
      </c>
      <c r="AA3000" s="40" t="s">
        <v>115</v>
      </c>
      <c r="AB3000" s="40" t="s">
        <v>115</v>
      </c>
      <c r="AC3000" s="40" t="s">
        <v>115</v>
      </c>
      <c r="AI3000" s="40" t="s">
        <v>115</v>
      </c>
      <c r="AP3000" s="4" t="s">
        <v>115</v>
      </c>
    </row>
    <row r="3001" spans="1:42" x14ac:dyDescent="0.15">
      <c r="A3001" s="40" t="s">
        <v>1</v>
      </c>
      <c r="B3001" s="23">
        <v>90250209</v>
      </c>
      <c r="C3001" s="23">
        <v>2502</v>
      </c>
      <c r="D3001" s="23">
        <v>25</v>
      </c>
      <c r="F3001" s="23" t="s">
        <v>5204</v>
      </c>
      <c r="G3001" s="23" t="s">
        <v>115</v>
      </c>
      <c r="H3001" s="23" t="s">
        <v>5647</v>
      </c>
      <c r="I3001" s="23">
        <v>3</v>
      </c>
      <c r="J3001" s="40">
        <v>0</v>
      </c>
      <c r="K3001" s="40">
        <v>0</v>
      </c>
      <c r="L3001" s="40" t="s">
        <v>115</v>
      </c>
      <c r="O3001" s="40" t="s">
        <v>115</v>
      </c>
      <c r="Q3001" s="40">
        <v>205</v>
      </c>
      <c r="R3001" s="40" t="s">
        <v>115</v>
      </c>
      <c r="X3001" s="40">
        <v>90250210</v>
      </c>
      <c r="Y3001" s="40" t="s">
        <v>115</v>
      </c>
      <c r="Z3001" s="40" t="s">
        <v>115</v>
      </c>
      <c r="AA3001" s="40" t="s">
        <v>115</v>
      </c>
      <c r="AB3001" s="40" t="s">
        <v>115</v>
      </c>
      <c r="AC3001" s="40" t="s">
        <v>115</v>
      </c>
      <c r="AI3001" s="40" t="s">
        <v>115</v>
      </c>
      <c r="AP3001" s="4" t="s">
        <v>115</v>
      </c>
    </row>
    <row r="3002" spans="1:42" x14ac:dyDescent="0.15">
      <c r="A3002" s="40" t="s">
        <v>1</v>
      </c>
      <c r="B3002" s="23">
        <v>90250210</v>
      </c>
      <c r="C3002" s="23">
        <v>2502</v>
      </c>
      <c r="D3002" s="23">
        <v>25</v>
      </c>
      <c r="F3002" s="23" t="s">
        <v>5204</v>
      </c>
      <c r="G3002" s="23" t="s">
        <v>115</v>
      </c>
      <c r="H3002" s="23" t="s">
        <v>7471</v>
      </c>
      <c r="I3002" s="23">
        <v>3</v>
      </c>
      <c r="J3002" s="40">
        <v>0</v>
      </c>
      <c r="K3002" s="40">
        <v>0</v>
      </c>
      <c r="L3002" s="40" t="s">
        <v>115</v>
      </c>
      <c r="O3002" s="40" t="s">
        <v>115</v>
      </c>
      <c r="Q3002" s="40">
        <v>205</v>
      </c>
      <c r="R3002" s="40" t="s">
        <v>115</v>
      </c>
      <c r="X3002" s="40">
        <v>90250204</v>
      </c>
      <c r="Y3002" s="40" t="s">
        <v>115</v>
      </c>
      <c r="Z3002" s="40" t="s">
        <v>115</v>
      </c>
      <c r="AA3002" s="40" t="s">
        <v>115</v>
      </c>
      <c r="AB3002" s="40" t="s">
        <v>115</v>
      </c>
      <c r="AC3002" s="40" t="s">
        <v>115</v>
      </c>
      <c r="AI3002" s="40" t="s">
        <v>115</v>
      </c>
      <c r="AP3002" s="4" t="s">
        <v>115</v>
      </c>
    </row>
    <row r="3003" spans="1:42" x14ac:dyDescent="0.15">
      <c r="A3003" s="40" t="s">
        <v>1</v>
      </c>
      <c r="B3003" s="23">
        <v>90250211</v>
      </c>
      <c r="C3003" s="23">
        <v>2502</v>
      </c>
      <c r="D3003" s="23">
        <v>25</v>
      </c>
      <c r="F3003" s="23" t="s">
        <v>115</v>
      </c>
      <c r="G3003" s="23" t="s">
        <v>115</v>
      </c>
      <c r="H3003" s="23" t="s">
        <v>5648</v>
      </c>
      <c r="I3003" s="23">
        <v>4</v>
      </c>
      <c r="J3003" s="40">
        <v>0</v>
      </c>
      <c r="K3003" s="40">
        <v>0</v>
      </c>
      <c r="L3003" s="40" t="s">
        <v>115</v>
      </c>
      <c r="O3003" s="40" t="s">
        <v>115</v>
      </c>
      <c r="Q3003" s="40">
        <v>12</v>
      </c>
      <c r="R3003" s="40" t="s">
        <v>115</v>
      </c>
      <c r="X3003" s="40">
        <v>90250212</v>
      </c>
      <c r="Y3003" s="40" t="s">
        <v>115</v>
      </c>
      <c r="Z3003" s="40" t="s">
        <v>115</v>
      </c>
      <c r="AA3003" s="40" t="s">
        <v>115</v>
      </c>
      <c r="AB3003" s="40" t="s">
        <v>115</v>
      </c>
      <c r="AC3003" s="40" t="s">
        <v>115</v>
      </c>
      <c r="AI3003" s="40" t="s">
        <v>115</v>
      </c>
      <c r="AP3003" s="4" t="s">
        <v>115</v>
      </c>
    </row>
    <row r="3004" spans="1:42" x14ac:dyDescent="0.15">
      <c r="A3004" s="40" t="s">
        <v>1</v>
      </c>
      <c r="B3004" s="23">
        <v>90250212</v>
      </c>
      <c r="C3004" s="23">
        <v>2502</v>
      </c>
      <c r="D3004" s="23">
        <v>25</v>
      </c>
      <c r="F3004" s="23" t="s">
        <v>5649</v>
      </c>
      <c r="G3004" s="23" t="s">
        <v>115</v>
      </c>
      <c r="H3004" s="23" t="s">
        <v>5650</v>
      </c>
      <c r="I3004" s="23">
        <v>3</v>
      </c>
      <c r="J3004" s="40">
        <v>0</v>
      </c>
      <c r="K3004" s="40">
        <v>0</v>
      </c>
      <c r="L3004" s="40" t="s">
        <v>115</v>
      </c>
      <c r="O3004" s="40" t="s">
        <v>115</v>
      </c>
      <c r="Q3004" s="40">
        <v>12</v>
      </c>
      <c r="R3004" s="40">
        <v>257</v>
      </c>
      <c r="X3004" s="40">
        <v>90250213</v>
      </c>
      <c r="Y3004" s="40" t="s">
        <v>115</v>
      </c>
      <c r="Z3004" s="40" t="s">
        <v>115</v>
      </c>
      <c r="AA3004" s="40" t="s">
        <v>115</v>
      </c>
      <c r="AB3004" s="40" t="s">
        <v>115</v>
      </c>
      <c r="AC3004" s="40" t="s">
        <v>115</v>
      </c>
      <c r="AI3004" s="40" t="s">
        <v>115</v>
      </c>
      <c r="AP3004" s="4" t="s">
        <v>115</v>
      </c>
    </row>
    <row r="3005" spans="1:42" x14ac:dyDescent="0.15">
      <c r="A3005" s="40" t="s">
        <v>1</v>
      </c>
      <c r="B3005" s="23">
        <v>90250213</v>
      </c>
      <c r="C3005" s="23">
        <v>2502</v>
      </c>
      <c r="D3005" s="23">
        <v>25</v>
      </c>
      <c r="F3005" s="23" t="s">
        <v>116</v>
      </c>
      <c r="G3005" s="23">
        <v>313</v>
      </c>
      <c r="H3005" s="23" t="s">
        <v>5651</v>
      </c>
      <c r="I3005" s="23">
        <v>0</v>
      </c>
      <c r="J3005" s="40">
        <v>0</v>
      </c>
      <c r="K3005" s="40">
        <v>0</v>
      </c>
      <c r="L3005" s="40" t="s">
        <v>115</v>
      </c>
      <c r="O3005" s="40" t="s">
        <v>115</v>
      </c>
      <c r="Q3005" s="40">
        <v>12</v>
      </c>
      <c r="R3005" s="40">
        <v>257</v>
      </c>
      <c r="X3005" s="40">
        <v>90250214</v>
      </c>
      <c r="Y3005" s="40" t="s">
        <v>115</v>
      </c>
      <c r="Z3005" s="40" t="s">
        <v>115</v>
      </c>
      <c r="AA3005" s="40" t="s">
        <v>115</v>
      </c>
      <c r="AB3005" s="40" t="s">
        <v>115</v>
      </c>
      <c r="AC3005" s="40" t="s">
        <v>115</v>
      </c>
      <c r="AI3005" s="40" t="s">
        <v>115</v>
      </c>
      <c r="AP3005" s="4" t="s">
        <v>115</v>
      </c>
    </row>
    <row r="3006" spans="1:42" x14ac:dyDescent="0.15">
      <c r="A3006" s="40" t="s">
        <v>1</v>
      </c>
      <c r="B3006" s="23">
        <v>90250214</v>
      </c>
      <c r="C3006" s="23">
        <v>2502</v>
      </c>
      <c r="D3006" s="23">
        <v>25</v>
      </c>
      <c r="F3006" s="23" t="s">
        <v>115</v>
      </c>
      <c r="G3006" s="23" t="s">
        <v>115</v>
      </c>
      <c r="H3006" s="23" t="s">
        <v>5652</v>
      </c>
      <c r="I3006" s="23">
        <v>4</v>
      </c>
      <c r="J3006" s="40">
        <v>0</v>
      </c>
      <c r="K3006" s="40">
        <v>0</v>
      </c>
      <c r="L3006" s="40" t="s">
        <v>115</v>
      </c>
      <c r="O3006" s="40" t="s">
        <v>115</v>
      </c>
      <c r="Q3006" s="40">
        <v>12</v>
      </c>
      <c r="R3006" s="40">
        <v>257</v>
      </c>
      <c r="X3006" s="40">
        <v>90250215</v>
      </c>
      <c r="Y3006" s="40" t="s">
        <v>115</v>
      </c>
      <c r="Z3006" s="40" t="s">
        <v>115</v>
      </c>
      <c r="AA3006" s="40" t="s">
        <v>115</v>
      </c>
      <c r="AB3006" s="40" t="s">
        <v>115</v>
      </c>
      <c r="AC3006" s="40" t="s">
        <v>115</v>
      </c>
      <c r="AI3006" s="40" t="s">
        <v>115</v>
      </c>
      <c r="AP3006" s="4" t="s">
        <v>115</v>
      </c>
    </row>
    <row r="3007" spans="1:42" x14ac:dyDescent="0.15">
      <c r="A3007" s="40" t="s">
        <v>1</v>
      </c>
      <c r="B3007" s="23">
        <v>90250215</v>
      </c>
      <c r="C3007" s="23">
        <v>2502</v>
      </c>
      <c r="D3007" s="23">
        <v>25</v>
      </c>
      <c r="F3007" s="23" t="s">
        <v>116</v>
      </c>
      <c r="G3007" s="23">
        <v>312</v>
      </c>
      <c r="H3007" s="23" t="s">
        <v>5653</v>
      </c>
      <c r="I3007" s="23">
        <v>0</v>
      </c>
      <c r="J3007" s="40">
        <v>0</v>
      </c>
      <c r="K3007" s="40">
        <v>0</v>
      </c>
      <c r="L3007" s="40" t="s">
        <v>115</v>
      </c>
      <c r="O3007" s="40" t="s">
        <v>115</v>
      </c>
      <c r="Q3007" s="40">
        <v>12</v>
      </c>
      <c r="R3007" s="40">
        <v>257</v>
      </c>
      <c r="X3007" s="40">
        <v>90250216</v>
      </c>
      <c r="Y3007" s="40" t="s">
        <v>115</v>
      </c>
      <c r="Z3007" s="40" t="s">
        <v>115</v>
      </c>
      <c r="AA3007" s="40" t="s">
        <v>115</v>
      </c>
      <c r="AB3007" s="40" t="s">
        <v>115</v>
      </c>
      <c r="AC3007" s="40" t="s">
        <v>115</v>
      </c>
      <c r="AI3007" s="40" t="s">
        <v>115</v>
      </c>
      <c r="AP3007" s="4" t="s">
        <v>115</v>
      </c>
    </row>
    <row r="3008" spans="1:42" x14ac:dyDescent="0.15">
      <c r="A3008" s="40" t="s">
        <v>1</v>
      </c>
      <c r="B3008" s="23">
        <v>90250216</v>
      </c>
      <c r="C3008" s="23">
        <v>2502</v>
      </c>
      <c r="D3008" s="23">
        <v>25</v>
      </c>
      <c r="F3008" s="23" t="s">
        <v>5649</v>
      </c>
      <c r="G3008" s="23" t="s">
        <v>115</v>
      </c>
      <c r="H3008" s="23" t="s">
        <v>5654</v>
      </c>
      <c r="I3008" s="23">
        <v>3</v>
      </c>
      <c r="J3008" s="40">
        <v>0</v>
      </c>
      <c r="K3008" s="40">
        <v>0</v>
      </c>
      <c r="L3008" s="40" t="s">
        <v>115</v>
      </c>
      <c r="O3008" s="40" t="s">
        <v>115</v>
      </c>
      <c r="Q3008" s="40">
        <v>12</v>
      </c>
      <c r="R3008" s="40">
        <v>257</v>
      </c>
      <c r="X3008" s="40">
        <v>90250217</v>
      </c>
      <c r="Y3008" s="40" t="s">
        <v>115</v>
      </c>
      <c r="Z3008" s="40" t="s">
        <v>115</v>
      </c>
      <c r="AA3008" s="40" t="s">
        <v>115</v>
      </c>
      <c r="AB3008" s="40" t="s">
        <v>115</v>
      </c>
      <c r="AC3008" s="40" t="s">
        <v>115</v>
      </c>
      <c r="AI3008" s="40" t="s">
        <v>115</v>
      </c>
      <c r="AP3008" s="4" t="s">
        <v>115</v>
      </c>
    </row>
    <row r="3009" spans="1:42" x14ac:dyDescent="0.15">
      <c r="A3009" s="40" t="s">
        <v>1</v>
      </c>
      <c r="B3009" s="23">
        <v>90250217</v>
      </c>
      <c r="C3009" s="23">
        <v>2502</v>
      </c>
      <c r="D3009" s="23">
        <v>25</v>
      </c>
      <c r="F3009" s="23" t="s">
        <v>115</v>
      </c>
      <c r="G3009" s="23" t="s">
        <v>115</v>
      </c>
      <c r="H3009" s="23" t="s">
        <v>5655</v>
      </c>
      <c r="I3009" s="23">
        <v>4</v>
      </c>
      <c r="J3009" s="40">
        <v>0</v>
      </c>
      <c r="K3009" s="40">
        <v>5</v>
      </c>
      <c r="L3009" s="40" t="s">
        <v>115</v>
      </c>
      <c r="O3009" s="40" t="s">
        <v>115</v>
      </c>
      <c r="Q3009" s="40">
        <v>12</v>
      </c>
      <c r="R3009" s="40">
        <v>257</v>
      </c>
      <c r="X3009" s="40" t="s">
        <v>5656</v>
      </c>
      <c r="Y3009" s="40">
        <v>1</v>
      </c>
      <c r="Z3009" s="40">
        <v>2</v>
      </c>
      <c r="AA3009" s="40" t="s">
        <v>115</v>
      </c>
      <c r="AB3009" s="40" t="s">
        <v>115</v>
      </c>
      <c r="AC3009" s="40" t="s">
        <v>115</v>
      </c>
      <c r="AI3009" s="40" t="s">
        <v>115</v>
      </c>
      <c r="AP3009" s="4" t="s">
        <v>115</v>
      </c>
    </row>
    <row r="3010" spans="1:42" x14ac:dyDescent="0.15">
      <c r="A3010" s="40" t="s">
        <v>1</v>
      </c>
      <c r="B3010" s="23">
        <v>90250218</v>
      </c>
      <c r="C3010" s="23">
        <v>2502</v>
      </c>
      <c r="D3010" s="23">
        <v>25</v>
      </c>
      <c r="F3010" s="23" t="s">
        <v>115</v>
      </c>
      <c r="G3010" s="23" t="s">
        <v>115</v>
      </c>
      <c r="H3010" s="23" t="s">
        <v>5657</v>
      </c>
      <c r="I3010" s="23">
        <v>4</v>
      </c>
      <c r="J3010" s="40">
        <v>0</v>
      </c>
      <c r="K3010" s="40">
        <v>6</v>
      </c>
      <c r="L3010" s="40" t="s">
        <v>115</v>
      </c>
      <c r="O3010" s="40" t="s">
        <v>115</v>
      </c>
      <c r="Q3010" s="40">
        <v>12</v>
      </c>
      <c r="R3010" s="40">
        <v>257</v>
      </c>
      <c r="X3010" s="40">
        <v>90250219</v>
      </c>
      <c r="Y3010" s="40">
        <v>-1</v>
      </c>
      <c r="Z3010" s="40">
        <v>5</v>
      </c>
      <c r="AA3010" s="40" t="s">
        <v>115</v>
      </c>
      <c r="AB3010" s="40" t="s">
        <v>115</v>
      </c>
      <c r="AC3010" s="40" t="s">
        <v>115</v>
      </c>
      <c r="AI3010" s="40" t="s">
        <v>115</v>
      </c>
      <c r="AP3010" s="4" t="s">
        <v>115</v>
      </c>
    </row>
    <row r="3011" spans="1:42" x14ac:dyDescent="0.15">
      <c r="A3011" s="40" t="s">
        <v>1</v>
      </c>
      <c r="B3011" s="23">
        <v>90250219</v>
      </c>
      <c r="C3011" s="23">
        <v>2502</v>
      </c>
      <c r="D3011" s="23">
        <v>25</v>
      </c>
      <c r="F3011" s="23" t="s">
        <v>115</v>
      </c>
      <c r="G3011" s="23" t="s">
        <v>115</v>
      </c>
      <c r="H3011" s="23" t="s">
        <v>5658</v>
      </c>
      <c r="I3011" s="23">
        <v>4</v>
      </c>
      <c r="J3011" s="40">
        <v>0</v>
      </c>
      <c r="K3011" s="40">
        <v>0</v>
      </c>
      <c r="L3011" s="40" t="s">
        <v>115</v>
      </c>
      <c r="O3011" s="40" t="s">
        <v>115</v>
      </c>
      <c r="Q3011" s="40">
        <v>12</v>
      </c>
      <c r="R3011" s="40">
        <v>257</v>
      </c>
      <c r="X3011" s="40">
        <v>90250220</v>
      </c>
      <c r="Y3011" s="40" t="s">
        <v>115</v>
      </c>
      <c r="Z3011" s="40" t="s">
        <v>115</v>
      </c>
      <c r="AA3011" s="40" t="s">
        <v>115</v>
      </c>
      <c r="AB3011" s="40" t="s">
        <v>115</v>
      </c>
      <c r="AC3011" s="40" t="s">
        <v>115</v>
      </c>
      <c r="AI3011" s="40" t="s">
        <v>115</v>
      </c>
      <c r="AP3011" s="4" t="s">
        <v>115</v>
      </c>
    </row>
    <row r="3012" spans="1:42" x14ac:dyDescent="0.15">
      <c r="A3012" s="40" t="s">
        <v>1</v>
      </c>
      <c r="B3012" s="23">
        <v>90250220</v>
      </c>
      <c r="C3012" s="23">
        <v>2502</v>
      </c>
      <c r="D3012" s="23">
        <v>25</v>
      </c>
      <c r="F3012" s="23" t="s">
        <v>5649</v>
      </c>
      <c r="G3012" s="23" t="s">
        <v>115</v>
      </c>
      <c r="H3012" s="23" t="s">
        <v>5659</v>
      </c>
      <c r="I3012" s="23">
        <v>3</v>
      </c>
      <c r="J3012" s="40">
        <v>0</v>
      </c>
      <c r="K3012" s="40">
        <v>0</v>
      </c>
      <c r="L3012" s="40" t="s">
        <v>115</v>
      </c>
      <c r="O3012" s="40" t="s">
        <v>115</v>
      </c>
      <c r="Q3012" s="40">
        <v>12</v>
      </c>
      <c r="R3012" s="40">
        <v>257</v>
      </c>
      <c r="X3012" s="40">
        <v>90250221</v>
      </c>
      <c r="Y3012" s="40" t="s">
        <v>115</v>
      </c>
      <c r="Z3012" s="40" t="s">
        <v>115</v>
      </c>
      <c r="AA3012" s="40" t="s">
        <v>115</v>
      </c>
      <c r="AB3012" s="40" t="s">
        <v>115</v>
      </c>
      <c r="AC3012" s="40" t="s">
        <v>115</v>
      </c>
      <c r="AI3012" s="40" t="s">
        <v>115</v>
      </c>
      <c r="AP3012" s="4" t="s">
        <v>115</v>
      </c>
    </row>
    <row r="3013" spans="1:42" x14ac:dyDescent="0.15">
      <c r="A3013" s="40" t="s">
        <v>1</v>
      </c>
      <c r="B3013" s="23">
        <v>90250221</v>
      </c>
      <c r="C3013" s="23">
        <v>2502</v>
      </c>
      <c r="D3013" s="23">
        <v>25</v>
      </c>
      <c r="F3013" s="23" t="s">
        <v>5649</v>
      </c>
      <c r="G3013" s="23" t="s">
        <v>115</v>
      </c>
      <c r="H3013" s="23" t="s">
        <v>5660</v>
      </c>
      <c r="I3013" s="23">
        <v>3</v>
      </c>
      <c r="J3013" s="40">
        <v>0</v>
      </c>
      <c r="K3013" s="40">
        <v>0</v>
      </c>
      <c r="L3013" s="40" t="s">
        <v>115</v>
      </c>
      <c r="O3013" s="40" t="s">
        <v>115</v>
      </c>
      <c r="Q3013" s="40">
        <v>12</v>
      </c>
      <c r="R3013" s="40">
        <v>257</v>
      </c>
      <c r="X3013" s="40">
        <v>90250222</v>
      </c>
      <c r="Y3013" s="40" t="s">
        <v>115</v>
      </c>
      <c r="Z3013" s="40" t="s">
        <v>115</v>
      </c>
      <c r="AA3013" s="40" t="s">
        <v>115</v>
      </c>
      <c r="AB3013" s="40" t="s">
        <v>115</v>
      </c>
      <c r="AC3013" s="40" t="s">
        <v>115</v>
      </c>
      <c r="AI3013" s="40" t="s">
        <v>115</v>
      </c>
      <c r="AP3013" s="4" t="s">
        <v>115</v>
      </c>
    </row>
    <row r="3014" spans="1:42" x14ac:dyDescent="0.15">
      <c r="A3014" s="40" t="s">
        <v>1</v>
      </c>
      <c r="B3014" s="23">
        <v>90250222</v>
      </c>
      <c r="C3014" s="23">
        <v>2502</v>
      </c>
      <c r="D3014" s="23">
        <v>25</v>
      </c>
      <c r="F3014" s="23" t="s">
        <v>5649</v>
      </c>
      <c r="G3014" s="23" t="s">
        <v>115</v>
      </c>
      <c r="H3014" s="23" t="s">
        <v>5661</v>
      </c>
      <c r="I3014" s="23">
        <v>3</v>
      </c>
      <c r="J3014" s="40">
        <v>0</v>
      </c>
      <c r="K3014" s="40">
        <v>0</v>
      </c>
      <c r="L3014" s="40" t="s">
        <v>115</v>
      </c>
      <c r="O3014" s="40" t="s">
        <v>115</v>
      </c>
      <c r="Q3014" s="40">
        <v>12</v>
      </c>
      <c r="R3014" s="40">
        <v>257</v>
      </c>
      <c r="X3014" s="40">
        <v>90250223</v>
      </c>
      <c r="Y3014" s="40" t="s">
        <v>115</v>
      </c>
      <c r="Z3014" s="40" t="s">
        <v>115</v>
      </c>
      <c r="AA3014" s="40" t="s">
        <v>115</v>
      </c>
      <c r="AB3014" s="40" t="s">
        <v>115</v>
      </c>
      <c r="AC3014" s="40" t="s">
        <v>115</v>
      </c>
      <c r="AI3014" s="40" t="s">
        <v>115</v>
      </c>
      <c r="AP3014" s="4" t="s">
        <v>115</v>
      </c>
    </row>
    <row r="3015" spans="1:42" x14ac:dyDescent="0.15">
      <c r="A3015" s="40" t="s">
        <v>1</v>
      </c>
      <c r="B3015" s="23">
        <v>90250223</v>
      </c>
      <c r="C3015" s="23">
        <v>2502</v>
      </c>
      <c r="D3015" s="23">
        <v>25</v>
      </c>
      <c r="F3015" s="23" t="s">
        <v>115</v>
      </c>
      <c r="G3015" s="23" t="s">
        <v>115</v>
      </c>
      <c r="H3015" s="23" t="s">
        <v>5662</v>
      </c>
      <c r="I3015" s="23">
        <v>4</v>
      </c>
      <c r="J3015" s="40">
        <v>0</v>
      </c>
      <c r="K3015" s="40">
        <v>0</v>
      </c>
      <c r="L3015" s="40" t="s">
        <v>115</v>
      </c>
      <c r="O3015" s="40" t="s">
        <v>115</v>
      </c>
      <c r="Q3015" s="40">
        <v>12</v>
      </c>
      <c r="R3015" s="40">
        <v>257</v>
      </c>
      <c r="X3015" s="40">
        <v>90250224</v>
      </c>
      <c r="Y3015" s="40" t="s">
        <v>115</v>
      </c>
      <c r="Z3015" s="40" t="s">
        <v>115</v>
      </c>
      <c r="AA3015" s="40" t="s">
        <v>115</v>
      </c>
      <c r="AB3015" s="40" t="s">
        <v>115</v>
      </c>
      <c r="AC3015" s="40" t="s">
        <v>115</v>
      </c>
      <c r="AI3015" s="40" t="s">
        <v>115</v>
      </c>
      <c r="AP3015" s="4" t="s">
        <v>115</v>
      </c>
    </row>
    <row r="3016" spans="1:42" x14ac:dyDescent="0.15">
      <c r="A3016" s="40" t="s">
        <v>1</v>
      </c>
      <c r="B3016" s="23">
        <v>90250224</v>
      </c>
      <c r="C3016" s="23">
        <v>2502</v>
      </c>
      <c r="D3016" s="23">
        <v>25</v>
      </c>
      <c r="F3016" s="23" t="s">
        <v>5649</v>
      </c>
      <c r="G3016" s="23" t="s">
        <v>115</v>
      </c>
      <c r="H3016" s="23" t="s">
        <v>5663</v>
      </c>
      <c r="I3016" s="23">
        <v>3</v>
      </c>
      <c r="J3016" s="40">
        <v>0</v>
      </c>
      <c r="K3016" s="40">
        <v>0</v>
      </c>
      <c r="L3016" s="40" t="s">
        <v>115</v>
      </c>
      <c r="O3016" s="40" t="s">
        <v>115</v>
      </c>
      <c r="Q3016" s="40">
        <v>12</v>
      </c>
      <c r="R3016" s="40">
        <v>257</v>
      </c>
      <c r="X3016" s="40">
        <v>90250225</v>
      </c>
      <c r="Y3016" s="40" t="s">
        <v>115</v>
      </c>
      <c r="Z3016" s="40" t="s">
        <v>115</v>
      </c>
      <c r="AA3016" s="40" t="s">
        <v>115</v>
      </c>
      <c r="AB3016" s="40" t="s">
        <v>115</v>
      </c>
      <c r="AC3016" s="40" t="s">
        <v>115</v>
      </c>
      <c r="AI3016" s="40" t="s">
        <v>115</v>
      </c>
      <c r="AP3016" s="4" t="s">
        <v>115</v>
      </c>
    </row>
    <row r="3017" spans="1:42" x14ac:dyDescent="0.15">
      <c r="A3017" s="40" t="s">
        <v>1</v>
      </c>
      <c r="B3017" s="23">
        <v>90250225</v>
      </c>
      <c r="C3017" s="23">
        <v>2502</v>
      </c>
      <c r="D3017" s="23">
        <v>25</v>
      </c>
      <c r="F3017" s="23" t="s">
        <v>116</v>
      </c>
      <c r="G3017" s="23">
        <v>312</v>
      </c>
      <c r="H3017" s="23" t="s">
        <v>5664</v>
      </c>
      <c r="I3017" s="23">
        <v>0</v>
      </c>
      <c r="J3017" s="40">
        <v>0</v>
      </c>
      <c r="K3017" s="40">
        <v>0</v>
      </c>
      <c r="L3017" s="40" t="s">
        <v>115</v>
      </c>
      <c r="O3017" s="40" t="s">
        <v>115</v>
      </c>
      <c r="Q3017" s="40">
        <v>12</v>
      </c>
      <c r="R3017" s="40">
        <v>257</v>
      </c>
      <c r="X3017" s="40">
        <v>90250226</v>
      </c>
      <c r="Y3017" s="40" t="s">
        <v>115</v>
      </c>
      <c r="Z3017" s="40" t="s">
        <v>115</v>
      </c>
      <c r="AA3017" s="40" t="s">
        <v>115</v>
      </c>
      <c r="AB3017" s="40" t="s">
        <v>115</v>
      </c>
      <c r="AC3017" s="40" t="s">
        <v>115</v>
      </c>
      <c r="AI3017" s="40" t="s">
        <v>115</v>
      </c>
      <c r="AP3017" s="4" t="s">
        <v>115</v>
      </c>
    </row>
    <row r="3018" spans="1:42" x14ac:dyDescent="0.15">
      <c r="A3018" s="40" t="s">
        <v>1</v>
      </c>
      <c r="B3018" s="23">
        <v>90250226</v>
      </c>
      <c r="C3018" s="23">
        <v>2502</v>
      </c>
      <c r="D3018" s="23">
        <v>25</v>
      </c>
      <c r="F3018" s="23" t="s">
        <v>5649</v>
      </c>
      <c r="G3018" s="23" t="s">
        <v>115</v>
      </c>
      <c r="H3018" s="23" t="s">
        <v>5665</v>
      </c>
      <c r="I3018" s="23">
        <v>3</v>
      </c>
      <c r="J3018" s="40">
        <v>0</v>
      </c>
      <c r="K3018" s="40">
        <v>0</v>
      </c>
      <c r="L3018" s="40" t="s">
        <v>115</v>
      </c>
      <c r="O3018" s="40" t="s">
        <v>115</v>
      </c>
      <c r="Q3018" s="40">
        <v>12</v>
      </c>
      <c r="R3018" s="40">
        <v>257</v>
      </c>
      <c r="X3018" s="40">
        <v>90250227</v>
      </c>
      <c r="Y3018" s="40" t="s">
        <v>115</v>
      </c>
      <c r="Z3018" s="40" t="s">
        <v>115</v>
      </c>
      <c r="AA3018" s="40" t="s">
        <v>115</v>
      </c>
      <c r="AB3018" s="40" t="s">
        <v>115</v>
      </c>
      <c r="AC3018" s="40" t="s">
        <v>115</v>
      </c>
      <c r="AI3018" s="40" t="s">
        <v>115</v>
      </c>
      <c r="AP3018" s="4" t="s">
        <v>115</v>
      </c>
    </row>
    <row r="3019" spans="1:42" x14ac:dyDescent="0.15">
      <c r="A3019" s="40" t="s">
        <v>1</v>
      </c>
      <c r="B3019" s="23">
        <v>90250227</v>
      </c>
      <c r="C3019" s="23">
        <v>2502</v>
      </c>
      <c r="D3019" s="23">
        <v>25</v>
      </c>
      <c r="F3019" s="23" t="s">
        <v>115</v>
      </c>
      <c r="G3019" s="23" t="s">
        <v>115</v>
      </c>
      <c r="H3019" s="23" t="s">
        <v>5666</v>
      </c>
      <c r="I3019" s="23">
        <v>4</v>
      </c>
      <c r="J3019" s="40">
        <v>0</v>
      </c>
      <c r="K3019" s="40">
        <v>7</v>
      </c>
      <c r="L3019" s="40" t="s">
        <v>5667</v>
      </c>
      <c r="O3019" s="40" t="s">
        <v>115</v>
      </c>
      <c r="Q3019" s="40">
        <v>12</v>
      </c>
      <c r="R3019" s="40">
        <v>257</v>
      </c>
      <c r="X3019" s="40">
        <v>90250228</v>
      </c>
      <c r="Y3019" s="40" t="s">
        <v>115</v>
      </c>
      <c r="Z3019" s="40">
        <v>6</v>
      </c>
      <c r="AA3019" s="40" t="s">
        <v>115</v>
      </c>
      <c r="AB3019" s="40" t="s">
        <v>115</v>
      </c>
      <c r="AC3019" s="40" t="s">
        <v>115</v>
      </c>
      <c r="AI3019" s="40" t="s">
        <v>115</v>
      </c>
      <c r="AP3019" s="4" t="s">
        <v>115</v>
      </c>
    </row>
    <row r="3020" spans="1:42" x14ac:dyDescent="0.15">
      <c r="A3020" s="40" t="s">
        <v>1</v>
      </c>
      <c r="B3020" s="23">
        <v>90250228</v>
      </c>
      <c r="C3020" s="23">
        <v>2502</v>
      </c>
      <c r="D3020" s="23">
        <v>25</v>
      </c>
      <c r="F3020" s="23" t="s">
        <v>5649</v>
      </c>
      <c r="G3020" s="23" t="s">
        <v>115</v>
      </c>
      <c r="H3020" s="23" t="s">
        <v>5668</v>
      </c>
      <c r="I3020" s="23">
        <v>3</v>
      </c>
      <c r="J3020" s="40">
        <v>0</v>
      </c>
      <c r="K3020" s="40">
        <v>0</v>
      </c>
      <c r="L3020" s="40" t="s">
        <v>115</v>
      </c>
      <c r="O3020" s="40" t="s">
        <v>115</v>
      </c>
      <c r="Q3020" s="40">
        <v>12</v>
      </c>
      <c r="R3020" s="40">
        <v>257</v>
      </c>
      <c r="X3020" s="40">
        <v>90250229</v>
      </c>
      <c r="Y3020" s="40" t="s">
        <v>115</v>
      </c>
      <c r="Z3020" s="40" t="s">
        <v>115</v>
      </c>
      <c r="AA3020" s="40" t="s">
        <v>115</v>
      </c>
      <c r="AB3020" s="40" t="s">
        <v>115</v>
      </c>
      <c r="AC3020" s="40" t="s">
        <v>115</v>
      </c>
      <c r="AI3020" s="40" t="s">
        <v>115</v>
      </c>
      <c r="AP3020" s="4" t="s">
        <v>115</v>
      </c>
    </row>
    <row r="3021" spans="1:42" x14ac:dyDescent="0.15">
      <c r="A3021" s="40" t="s">
        <v>1</v>
      </c>
      <c r="B3021" s="23">
        <v>90250229</v>
      </c>
      <c r="C3021" s="23">
        <v>2502</v>
      </c>
      <c r="D3021" s="23">
        <v>25</v>
      </c>
      <c r="F3021" s="23" t="s">
        <v>5649</v>
      </c>
      <c r="G3021" s="23" t="s">
        <v>115</v>
      </c>
      <c r="H3021" s="23" t="s">
        <v>5669</v>
      </c>
      <c r="I3021" s="23">
        <v>3</v>
      </c>
      <c r="J3021" s="40">
        <v>0</v>
      </c>
      <c r="K3021" s="40">
        <v>0</v>
      </c>
      <c r="L3021" s="40" t="s">
        <v>115</v>
      </c>
      <c r="O3021" s="40" t="s">
        <v>115</v>
      </c>
      <c r="Q3021" s="40">
        <v>12</v>
      </c>
      <c r="R3021" s="40">
        <v>257</v>
      </c>
      <c r="X3021" s="40">
        <v>90250230</v>
      </c>
      <c r="Y3021" s="40" t="s">
        <v>115</v>
      </c>
      <c r="Z3021" s="40" t="s">
        <v>115</v>
      </c>
      <c r="AA3021" s="40" t="s">
        <v>115</v>
      </c>
      <c r="AB3021" s="40" t="s">
        <v>115</v>
      </c>
      <c r="AC3021" s="40" t="s">
        <v>115</v>
      </c>
      <c r="AI3021" s="40" t="s">
        <v>115</v>
      </c>
      <c r="AP3021" s="4" t="s">
        <v>115</v>
      </c>
    </row>
    <row r="3022" spans="1:42" x14ac:dyDescent="0.15">
      <c r="A3022" s="40" t="s">
        <v>1</v>
      </c>
      <c r="B3022" s="23">
        <v>90250230</v>
      </c>
      <c r="C3022" s="23">
        <v>2502</v>
      </c>
      <c r="D3022" s="23">
        <v>25</v>
      </c>
      <c r="F3022" s="23" t="s">
        <v>5649</v>
      </c>
      <c r="G3022" s="23" t="s">
        <v>115</v>
      </c>
      <c r="H3022" s="23" t="s">
        <v>5670</v>
      </c>
      <c r="I3022" s="23">
        <v>3</v>
      </c>
      <c r="J3022" s="40">
        <v>0</v>
      </c>
      <c r="K3022" s="40">
        <v>0</v>
      </c>
      <c r="L3022" s="40" t="s">
        <v>115</v>
      </c>
      <c r="O3022" s="40" t="s">
        <v>115</v>
      </c>
      <c r="Q3022" s="40">
        <v>12</v>
      </c>
      <c r="R3022" s="40">
        <v>257</v>
      </c>
      <c r="X3022" s="40">
        <v>90250231</v>
      </c>
      <c r="Y3022" s="40" t="s">
        <v>115</v>
      </c>
      <c r="Z3022" s="40" t="s">
        <v>115</v>
      </c>
      <c r="AA3022" s="40" t="s">
        <v>115</v>
      </c>
      <c r="AB3022" s="40" t="s">
        <v>115</v>
      </c>
      <c r="AC3022" s="40" t="s">
        <v>115</v>
      </c>
      <c r="AI3022" s="40" t="s">
        <v>115</v>
      </c>
      <c r="AP3022" s="4" t="s">
        <v>115</v>
      </c>
    </row>
    <row r="3023" spans="1:42" x14ac:dyDescent="0.15">
      <c r="A3023" s="40" t="s">
        <v>1</v>
      </c>
      <c r="B3023" s="23">
        <v>90250231</v>
      </c>
      <c r="C3023" s="23">
        <v>2502</v>
      </c>
      <c r="D3023" s="23">
        <v>25</v>
      </c>
      <c r="F3023" s="23" t="s">
        <v>116</v>
      </c>
      <c r="G3023" s="23">
        <v>313</v>
      </c>
      <c r="H3023" s="23" t="s">
        <v>5671</v>
      </c>
      <c r="I3023" s="23">
        <v>2</v>
      </c>
      <c r="J3023" s="40">
        <v>0</v>
      </c>
      <c r="K3023" s="40">
        <v>8</v>
      </c>
      <c r="L3023" s="40" t="s">
        <v>5672</v>
      </c>
      <c r="O3023" s="40" t="s">
        <v>115</v>
      </c>
      <c r="Q3023" s="40">
        <v>12</v>
      </c>
      <c r="R3023" s="40">
        <v>257</v>
      </c>
      <c r="X3023" s="40">
        <v>90250232</v>
      </c>
      <c r="Y3023" s="40" t="s">
        <v>115</v>
      </c>
      <c r="Z3023" s="40">
        <v>7</v>
      </c>
      <c r="AA3023" s="40" t="s">
        <v>115</v>
      </c>
      <c r="AB3023" s="40" t="s">
        <v>115</v>
      </c>
      <c r="AC3023" s="40" t="s">
        <v>115</v>
      </c>
      <c r="AI3023" s="40" t="s">
        <v>115</v>
      </c>
      <c r="AP3023" s="4" t="s">
        <v>115</v>
      </c>
    </row>
    <row r="3024" spans="1:42" x14ac:dyDescent="0.15">
      <c r="A3024" s="40" t="s">
        <v>1</v>
      </c>
      <c r="B3024" s="23">
        <v>90250232</v>
      </c>
      <c r="C3024" s="23">
        <v>2502</v>
      </c>
      <c r="D3024" s="23">
        <v>25</v>
      </c>
      <c r="F3024" s="23" t="s">
        <v>5649</v>
      </c>
      <c r="G3024" s="23" t="s">
        <v>115</v>
      </c>
      <c r="H3024" s="23" t="s">
        <v>5673</v>
      </c>
      <c r="I3024" s="23">
        <v>3</v>
      </c>
      <c r="J3024" s="40">
        <v>0</v>
      </c>
      <c r="K3024" s="40">
        <v>0</v>
      </c>
      <c r="L3024" s="40" t="s">
        <v>115</v>
      </c>
      <c r="O3024" s="40" t="s">
        <v>115</v>
      </c>
      <c r="Q3024" s="40">
        <v>12</v>
      </c>
      <c r="R3024" s="40">
        <v>257</v>
      </c>
      <c r="X3024" s="40">
        <v>90250233</v>
      </c>
      <c r="Y3024" s="40" t="s">
        <v>115</v>
      </c>
      <c r="Z3024" s="40" t="s">
        <v>115</v>
      </c>
      <c r="AA3024" s="40" t="s">
        <v>115</v>
      </c>
      <c r="AB3024" s="40" t="s">
        <v>115</v>
      </c>
      <c r="AC3024" s="40" t="s">
        <v>115</v>
      </c>
      <c r="AI3024" s="40" t="s">
        <v>115</v>
      </c>
      <c r="AP3024" s="4" t="s">
        <v>115</v>
      </c>
    </row>
    <row r="3025" spans="1:42" x14ac:dyDescent="0.15">
      <c r="A3025" s="40" t="s">
        <v>1</v>
      </c>
      <c r="B3025" s="23">
        <v>90250233</v>
      </c>
      <c r="C3025" s="23">
        <v>2502</v>
      </c>
      <c r="D3025" s="23">
        <v>25</v>
      </c>
      <c r="F3025" s="23" t="s">
        <v>5649</v>
      </c>
      <c r="G3025" s="23" t="s">
        <v>115</v>
      </c>
      <c r="H3025" s="23" t="s">
        <v>5674</v>
      </c>
      <c r="I3025" s="23">
        <v>3</v>
      </c>
      <c r="J3025" s="40">
        <v>0</v>
      </c>
      <c r="K3025" s="40">
        <v>0</v>
      </c>
      <c r="L3025" s="40" t="s">
        <v>115</v>
      </c>
      <c r="O3025" s="40" t="s">
        <v>115</v>
      </c>
      <c r="Q3025" s="40">
        <v>12</v>
      </c>
      <c r="R3025" s="40">
        <v>257</v>
      </c>
      <c r="X3025" s="40">
        <v>90250234</v>
      </c>
      <c r="Y3025" s="40" t="s">
        <v>115</v>
      </c>
      <c r="Z3025" s="40" t="s">
        <v>115</v>
      </c>
      <c r="AA3025" s="40" t="s">
        <v>115</v>
      </c>
      <c r="AB3025" s="40" t="s">
        <v>115</v>
      </c>
      <c r="AC3025" s="40" t="s">
        <v>115</v>
      </c>
      <c r="AI3025" s="40" t="s">
        <v>115</v>
      </c>
      <c r="AP3025" s="4" t="s">
        <v>115</v>
      </c>
    </row>
    <row r="3026" spans="1:42" x14ac:dyDescent="0.15">
      <c r="A3026" s="40" t="s">
        <v>1</v>
      </c>
      <c r="B3026" s="23">
        <v>90250234</v>
      </c>
      <c r="C3026" s="23">
        <v>2502</v>
      </c>
      <c r="D3026" s="23">
        <v>25</v>
      </c>
      <c r="F3026" s="23" t="s">
        <v>5649</v>
      </c>
      <c r="G3026" s="23" t="s">
        <v>115</v>
      </c>
      <c r="H3026" s="23" t="s">
        <v>5675</v>
      </c>
      <c r="I3026" s="23">
        <v>3</v>
      </c>
      <c r="J3026" s="40">
        <v>0</v>
      </c>
      <c r="K3026" s="40">
        <v>0</v>
      </c>
      <c r="L3026" s="40" t="s">
        <v>115</v>
      </c>
      <c r="O3026" s="40" t="s">
        <v>115</v>
      </c>
      <c r="Q3026" s="40">
        <v>12</v>
      </c>
      <c r="R3026" s="40">
        <v>257</v>
      </c>
      <c r="X3026" s="40">
        <v>90250235</v>
      </c>
      <c r="Y3026" s="40" t="s">
        <v>115</v>
      </c>
      <c r="Z3026" s="40" t="s">
        <v>115</v>
      </c>
      <c r="AA3026" s="40" t="s">
        <v>115</v>
      </c>
      <c r="AB3026" s="40" t="s">
        <v>115</v>
      </c>
      <c r="AC3026" s="40" t="s">
        <v>115</v>
      </c>
      <c r="AI3026" s="40" t="s">
        <v>115</v>
      </c>
      <c r="AP3026" s="4" t="s">
        <v>115</v>
      </c>
    </row>
    <row r="3027" spans="1:42" x14ac:dyDescent="0.15">
      <c r="A3027" s="40" t="s">
        <v>1</v>
      </c>
      <c r="B3027" s="23">
        <v>90250235</v>
      </c>
      <c r="C3027" s="23">
        <v>2502</v>
      </c>
      <c r="D3027" s="23">
        <v>25</v>
      </c>
      <c r="F3027" s="23" t="s">
        <v>116</v>
      </c>
      <c r="G3027" s="23">
        <v>314</v>
      </c>
      <c r="H3027" s="23" t="s">
        <v>5676</v>
      </c>
      <c r="I3027" s="23">
        <v>0</v>
      </c>
      <c r="J3027" s="40">
        <v>0</v>
      </c>
      <c r="K3027" s="40">
        <v>9</v>
      </c>
      <c r="L3027" s="40" t="s">
        <v>115</v>
      </c>
      <c r="O3027" s="40">
        <v>1</v>
      </c>
      <c r="Q3027" s="40">
        <v>12</v>
      </c>
      <c r="R3027" s="40">
        <v>257</v>
      </c>
      <c r="X3027" s="40" t="s">
        <v>115</v>
      </c>
      <c r="Y3027" s="40" t="s">
        <v>115</v>
      </c>
      <c r="Z3027" s="40">
        <v>8</v>
      </c>
      <c r="AA3027" s="40" t="s">
        <v>115</v>
      </c>
      <c r="AB3027" s="40" t="s">
        <v>115</v>
      </c>
      <c r="AC3027" s="40" t="s">
        <v>115</v>
      </c>
      <c r="AI3027" s="40" t="s">
        <v>115</v>
      </c>
      <c r="AP3027" s="4" t="s">
        <v>5677</v>
      </c>
    </row>
    <row r="3028" spans="1:42" x14ac:dyDescent="0.15">
      <c r="A3028" s="40" t="s">
        <v>1</v>
      </c>
      <c r="B3028" s="23" t="s">
        <v>4879</v>
      </c>
      <c r="C3028" s="23">
        <v>2503</v>
      </c>
      <c r="D3028" s="23">
        <v>25</v>
      </c>
      <c r="F3028" s="23" t="s">
        <v>116</v>
      </c>
      <c r="G3028" s="23">
        <v>314</v>
      </c>
      <c r="H3028" s="23" t="s">
        <v>5678</v>
      </c>
      <c r="I3028" s="23">
        <v>2</v>
      </c>
      <c r="J3028" s="40">
        <v>1</v>
      </c>
      <c r="K3028" s="40">
        <v>1</v>
      </c>
      <c r="L3028" s="40" t="s">
        <v>115</v>
      </c>
      <c r="O3028" s="40" t="s">
        <v>115</v>
      </c>
      <c r="Q3028" s="40">
        <v>205</v>
      </c>
      <c r="R3028" s="40" t="s">
        <v>115</v>
      </c>
      <c r="X3028" s="40">
        <v>90250302</v>
      </c>
      <c r="Y3028" s="40" t="s">
        <v>115</v>
      </c>
      <c r="Z3028" s="40" t="s">
        <v>115</v>
      </c>
      <c r="AA3028" s="40" t="s">
        <v>115</v>
      </c>
      <c r="AB3028" s="40" t="s">
        <v>115</v>
      </c>
      <c r="AC3028" s="40" t="s">
        <v>115</v>
      </c>
      <c r="AI3028" s="40" t="s">
        <v>115</v>
      </c>
      <c r="AP3028" s="4" t="s">
        <v>115</v>
      </c>
    </row>
    <row r="3029" spans="1:42" x14ac:dyDescent="0.15">
      <c r="A3029" s="40" t="s">
        <v>1</v>
      </c>
      <c r="B3029" s="23">
        <v>90250302</v>
      </c>
      <c r="C3029" s="23">
        <v>2503</v>
      </c>
      <c r="D3029" s="23">
        <v>25</v>
      </c>
      <c r="F3029" s="23" t="s">
        <v>115</v>
      </c>
      <c r="G3029" s="23" t="s">
        <v>115</v>
      </c>
      <c r="H3029" s="23" t="s">
        <v>5679</v>
      </c>
      <c r="I3029" s="23">
        <v>4</v>
      </c>
      <c r="J3029" s="40">
        <v>0</v>
      </c>
      <c r="K3029" s="40">
        <v>2</v>
      </c>
      <c r="L3029" s="40" t="s">
        <v>115</v>
      </c>
      <c r="O3029" s="40" t="s">
        <v>115</v>
      </c>
      <c r="Q3029" s="40">
        <v>192</v>
      </c>
      <c r="R3029" s="40">
        <v>164</v>
      </c>
      <c r="X3029" s="40" t="s">
        <v>5680</v>
      </c>
      <c r="Y3029" s="40">
        <v>1</v>
      </c>
      <c r="Z3029" s="40">
        <v>1</v>
      </c>
      <c r="AA3029" s="40" t="s">
        <v>115</v>
      </c>
      <c r="AB3029" s="40" t="s">
        <v>115</v>
      </c>
      <c r="AC3029" s="40" t="s">
        <v>115</v>
      </c>
      <c r="AI3029" s="40" t="s">
        <v>115</v>
      </c>
      <c r="AP3029" s="4" t="s">
        <v>115</v>
      </c>
    </row>
    <row r="3030" spans="1:42" x14ac:dyDescent="0.15">
      <c r="A3030" s="40" t="s">
        <v>1</v>
      </c>
      <c r="B3030" s="23">
        <v>90250303</v>
      </c>
      <c r="C3030" s="23">
        <v>2503</v>
      </c>
      <c r="D3030" s="23">
        <v>25</v>
      </c>
      <c r="F3030" s="23" t="s">
        <v>115</v>
      </c>
      <c r="G3030" s="23" t="s">
        <v>115</v>
      </c>
      <c r="H3030" s="23" t="s">
        <v>7472</v>
      </c>
      <c r="I3030" s="23">
        <v>4</v>
      </c>
      <c r="J3030" s="40">
        <v>0</v>
      </c>
      <c r="K3030" s="40">
        <v>3</v>
      </c>
      <c r="L3030" s="40" t="s">
        <v>115</v>
      </c>
      <c r="O3030" s="40" t="s">
        <v>115</v>
      </c>
      <c r="Q3030" s="40">
        <v>192</v>
      </c>
      <c r="R3030" s="40">
        <v>164</v>
      </c>
      <c r="X3030" s="40">
        <v>90250304</v>
      </c>
      <c r="Y3030" s="40">
        <v>-1</v>
      </c>
      <c r="Z3030" s="40">
        <v>2</v>
      </c>
      <c r="AA3030" s="40" t="s">
        <v>115</v>
      </c>
      <c r="AB3030" s="40" t="s">
        <v>115</v>
      </c>
      <c r="AC3030" s="40" t="s">
        <v>5683</v>
      </c>
      <c r="AI3030" s="40" t="s">
        <v>115</v>
      </c>
      <c r="AP3030" s="4" t="s">
        <v>115</v>
      </c>
    </row>
    <row r="3031" spans="1:42" x14ac:dyDescent="0.15">
      <c r="A3031" s="40" t="s">
        <v>1</v>
      </c>
      <c r="B3031" s="23">
        <v>90250304</v>
      </c>
      <c r="C3031" s="23">
        <v>2503</v>
      </c>
      <c r="D3031" s="23">
        <v>25</v>
      </c>
      <c r="F3031" s="23" t="s">
        <v>115</v>
      </c>
      <c r="G3031" s="23" t="s">
        <v>115</v>
      </c>
      <c r="H3031" s="23" t="s">
        <v>5682</v>
      </c>
      <c r="I3031" s="23">
        <v>4</v>
      </c>
      <c r="J3031" s="40">
        <v>0</v>
      </c>
      <c r="K3031" s="40">
        <v>0</v>
      </c>
      <c r="L3031" s="40" t="s">
        <v>115</v>
      </c>
      <c r="O3031" s="40" t="s">
        <v>115</v>
      </c>
      <c r="Q3031" s="40">
        <v>192</v>
      </c>
      <c r="R3031" s="40">
        <v>63</v>
      </c>
      <c r="X3031" s="40">
        <v>90250305</v>
      </c>
      <c r="Y3031" s="40" t="s">
        <v>115</v>
      </c>
      <c r="Z3031" s="40" t="s">
        <v>115</v>
      </c>
      <c r="AA3031" s="40" t="s">
        <v>115</v>
      </c>
      <c r="AB3031" s="40" t="s">
        <v>115</v>
      </c>
      <c r="AC3031" s="40" t="s">
        <v>115</v>
      </c>
      <c r="AI3031" s="40" t="s">
        <v>115</v>
      </c>
      <c r="AP3031" s="4" t="s">
        <v>115</v>
      </c>
    </row>
    <row r="3032" spans="1:42" x14ac:dyDescent="0.15">
      <c r="A3032" s="40" t="s">
        <v>1</v>
      </c>
      <c r="B3032" s="23">
        <v>90250305</v>
      </c>
      <c r="C3032" s="23">
        <v>2503</v>
      </c>
      <c r="D3032" s="23">
        <v>25</v>
      </c>
      <c r="F3032" s="23" t="s">
        <v>116</v>
      </c>
      <c r="G3032" s="23">
        <v>312</v>
      </c>
      <c r="H3032" s="23" t="s">
        <v>5684</v>
      </c>
      <c r="I3032" s="23">
        <v>0</v>
      </c>
      <c r="J3032" s="40">
        <v>0</v>
      </c>
      <c r="K3032" s="40">
        <v>0</v>
      </c>
      <c r="L3032" s="40" t="s">
        <v>115</v>
      </c>
      <c r="O3032" s="40" t="s">
        <v>115</v>
      </c>
      <c r="Q3032" s="40">
        <v>192</v>
      </c>
      <c r="R3032" s="40">
        <v>63</v>
      </c>
      <c r="X3032" s="40">
        <v>90250306</v>
      </c>
      <c r="Y3032" s="40" t="s">
        <v>115</v>
      </c>
      <c r="Z3032" s="40" t="s">
        <v>115</v>
      </c>
      <c r="AA3032" s="40" t="s">
        <v>115</v>
      </c>
      <c r="AB3032" s="40" t="s">
        <v>115</v>
      </c>
      <c r="AC3032" s="40" t="s">
        <v>115</v>
      </c>
      <c r="AI3032" s="40" t="s">
        <v>115</v>
      </c>
      <c r="AP3032" s="4" t="s">
        <v>115</v>
      </c>
    </row>
    <row r="3033" spans="1:42" x14ac:dyDescent="0.15">
      <c r="A3033" s="40" t="s">
        <v>1</v>
      </c>
      <c r="B3033" s="23">
        <v>90250306</v>
      </c>
      <c r="C3033" s="23">
        <v>2503</v>
      </c>
      <c r="D3033" s="23">
        <v>25</v>
      </c>
      <c r="F3033" s="23" t="s">
        <v>115</v>
      </c>
      <c r="G3033" s="23" t="s">
        <v>115</v>
      </c>
      <c r="H3033" s="23" t="s">
        <v>5685</v>
      </c>
      <c r="I3033" s="23">
        <v>4</v>
      </c>
      <c r="J3033" s="40">
        <v>0</v>
      </c>
      <c r="K3033" s="40">
        <v>0</v>
      </c>
      <c r="L3033" s="40" t="s">
        <v>115</v>
      </c>
      <c r="O3033" s="40" t="s">
        <v>115</v>
      </c>
      <c r="Q3033" s="40">
        <v>192</v>
      </c>
      <c r="R3033" s="40">
        <v>164</v>
      </c>
      <c r="X3033" s="40">
        <v>90250307</v>
      </c>
      <c r="Y3033" s="40" t="s">
        <v>115</v>
      </c>
      <c r="Z3033" s="40" t="s">
        <v>115</v>
      </c>
      <c r="AA3033" s="40" t="s">
        <v>115</v>
      </c>
      <c r="AB3033" s="40" t="s">
        <v>115</v>
      </c>
      <c r="AC3033" s="40" t="s">
        <v>115</v>
      </c>
      <c r="AI3033" s="40" t="s">
        <v>115</v>
      </c>
      <c r="AP3033" s="4" t="s">
        <v>115</v>
      </c>
    </row>
    <row r="3034" spans="1:42" x14ac:dyDescent="0.15">
      <c r="A3034" s="40" t="s">
        <v>1</v>
      </c>
      <c r="B3034" s="23">
        <v>90250307</v>
      </c>
      <c r="C3034" s="23">
        <v>2503</v>
      </c>
      <c r="D3034" s="23">
        <v>25</v>
      </c>
      <c r="F3034" s="23" t="s">
        <v>5681</v>
      </c>
      <c r="G3034" s="23" t="s">
        <v>115</v>
      </c>
      <c r="H3034" s="23" t="s">
        <v>5686</v>
      </c>
      <c r="I3034" s="23">
        <v>3</v>
      </c>
      <c r="J3034" s="40">
        <v>0</v>
      </c>
      <c r="K3034" s="40">
        <v>0</v>
      </c>
      <c r="L3034" s="40" t="s">
        <v>115</v>
      </c>
      <c r="O3034" s="40" t="s">
        <v>115</v>
      </c>
      <c r="Q3034" s="40">
        <v>192</v>
      </c>
      <c r="R3034" s="40">
        <v>164</v>
      </c>
      <c r="X3034" s="40">
        <v>90250308</v>
      </c>
      <c r="Y3034" s="40" t="s">
        <v>115</v>
      </c>
      <c r="Z3034" s="40" t="s">
        <v>115</v>
      </c>
      <c r="AA3034" s="40" t="s">
        <v>115</v>
      </c>
      <c r="AB3034" s="40" t="s">
        <v>115</v>
      </c>
      <c r="AC3034" s="40" t="s">
        <v>115</v>
      </c>
      <c r="AI3034" s="40" t="s">
        <v>115</v>
      </c>
      <c r="AP3034" s="4" t="s">
        <v>115</v>
      </c>
    </row>
    <row r="3035" spans="1:42" x14ac:dyDescent="0.15">
      <c r="A3035" s="40" t="s">
        <v>1</v>
      </c>
      <c r="B3035" s="23">
        <v>90250308</v>
      </c>
      <c r="C3035" s="23">
        <v>2503</v>
      </c>
      <c r="D3035" s="23">
        <v>25</v>
      </c>
      <c r="F3035" s="23" t="s">
        <v>5681</v>
      </c>
      <c r="G3035" s="23" t="s">
        <v>115</v>
      </c>
      <c r="H3035" s="23" t="s">
        <v>5687</v>
      </c>
      <c r="I3035" s="23">
        <v>3</v>
      </c>
      <c r="J3035" s="40">
        <v>0</v>
      </c>
      <c r="K3035" s="40">
        <v>0</v>
      </c>
      <c r="L3035" s="40" t="s">
        <v>115</v>
      </c>
      <c r="O3035" s="40" t="s">
        <v>115</v>
      </c>
      <c r="Q3035" s="40">
        <v>192</v>
      </c>
      <c r="R3035" s="40">
        <v>164</v>
      </c>
      <c r="X3035" s="40">
        <v>90250309</v>
      </c>
      <c r="Y3035" s="40" t="s">
        <v>115</v>
      </c>
      <c r="Z3035" s="40" t="s">
        <v>115</v>
      </c>
      <c r="AA3035" s="40" t="s">
        <v>115</v>
      </c>
      <c r="AB3035" s="40" t="s">
        <v>115</v>
      </c>
      <c r="AC3035" s="40" t="s">
        <v>115</v>
      </c>
      <c r="AI3035" s="40" t="s">
        <v>115</v>
      </c>
      <c r="AP3035" s="4" t="s">
        <v>115</v>
      </c>
    </row>
    <row r="3036" spans="1:42" x14ac:dyDescent="0.15">
      <c r="A3036" s="40" t="s">
        <v>1</v>
      </c>
      <c r="B3036" s="23">
        <v>90250309</v>
      </c>
      <c r="C3036" s="23">
        <v>2503</v>
      </c>
      <c r="D3036" s="23">
        <v>25</v>
      </c>
      <c r="F3036" s="23" t="s">
        <v>5681</v>
      </c>
      <c r="G3036" s="23" t="s">
        <v>115</v>
      </c>
      <c r="H3036" s="23" t="s">
        <v>5688</v>
      </c>
      <c r="I3036" s="23">
        <v>3</v>
      </c>
      <c r="J3036" s="40">
        <v>0</v>
      </c>
      <c r="K3036" s="40">
        <v>0</v>
      </c>
      <c r="L3036" s="40" t="s">
        <v>115</v>
      </c>
      <c r="O3036" s="40" t="s">
        <v>115</v>
      </c>
      <c r="Q3036" s="40">
        <v>192</v>
      </c>
      <c r="R3036" s="40">
        <v>164</v>
      </c>
      <c r="X3036" s="40">
        <v>90250310</v>
      </c>
      <c r="Y3036" s="40" t="s">
        <v>115</v>
      </c>
      <c r="Z3036" s="40" t="s">
        <v>115</v>
      </c>
      <c r="AA3036" s="40" t="s">
        <v>115</v>
      </c>
      <c r="AB3036" s="40" t="s">
        <v>115</v>
      </c>
      <c r="AC3036" s="40" t="s">
        <v>115</v>
      </c>
      <c r="AI3036" s="40" t="s">
        <v>115</v>
      </c>
      <c r="AP3036" s="4" t="s">
        <v>115</v>
      </c>
    </row>
    <row r="3037" spans="1:42" x14ac:dyDescent="0.15">
      <c r="A3037" s="40" t="s">
        <v>1</v>
      </c>
      <c r="B3037" s="23">
        <v>90250310</v>
      </c>
      <c r="C3037" s="23">
        <v>2503</v>
      </c>
      <c r="D3037" s="23">
        <v>25</v>
      </c>
      <c r="F3037" s="23" t="s">
        <v>116</v>
      </c>
      <c r="G3037" s="23">
        <v>312</v>
      </c>
      <c r="H3037" s="23" t="s">
        <v>5689</v>
      </c>
      <c r="I3037" s="23">
        <v>0</v>
      </c>
      <c r="J3037" s="40">
        <v>0</v>
      </c>
      <c r="K3037" s="40">
        <v>0</v>
      </c>
      <c r="L3037" s="40" t="s">
        <v>115</v>
      </c>
      <c r="O3037" s="40" t="s">
        <v>115</v>
      </c>
      <c r="Q3037" s="40">
        <v>192</v>
      </c>
      <c r="R3037" s="40">
        <v>164</v>
      </c>
      <c r="X3037" s="40">
        <v>90250311</v>
      </c>
      <c r="Y3037" s="40" t="s">
        <v>115</v>
      </c>
      <c r="Z3037" s="40" t="s">
        <v>115</v>
      </c>
      <c r="AA3037" s="40" t="s">
        <v>115</v>
      </c>
      <c r="AB3037" s="40" t="s">
        <v>115</v>
      </c>
      <c r="AC3037" s="40" t="s">
        <v>115</v>
      </c>
      <c r="AI3037" s="40" t="s">
        <v>115</v>
      </c>
      <c r="AP3037" s="4" t="s">
        <v>115</v>
      </c>
    </row>
    <row r="3038" spans="1:42" x14ac:dyDescent="0.15">
      <c r="A3038" s="40" t="s">
        <v>1</v>
      </c>
      <c r="B3038" s="23">
        <v>90250311</v>
      </c>
      <c r="C3038" s="23">
        <v>2503</v>
      </c>
      <c r="D3038" s="23">
        <v>25</v>
      </c>
      <c r="F3038" s="23" t="s">
        <v>115</v>
      </c>
      <c r="G3038" s="23" t="s">
        <v>115</v>
      </c>
      <c r="H3038" s="23" t="s">
        <v>5690</v>
      </c>
      <c r="I3038" s="23">
        <v>4</v>
      </c>
      <c r="J3038" s="40">
        <v>0</v>
      </c>
      <c r="K3038" s="40">
        <v>0</v>
      </c>
      <c r="L3038" s="40" t="s">
        <v>115</v>
      </c>
      <c r="O3038" s="40" t="s">
        <v>115</v>
      </c>
      <c r="Q3038" s="40">
        <v>192</v>
      </c>
      <c r="R3038" s="40">
        <v>164</v>
      </c>
      <c r="X3038" s="40">
        <v>90250312</v>
      </c>
      <c r="Y3038" s="40" t="s">
        <v>115</v>
      </c>
      <c r="Z3038" s="40" t="s">
        <v>115</v>
      </c>
      <c r="AA3038" s="40" t="s">
        <v>115</v>
      </c>
      <c r="AB3038" s="40" t="s">
        <v>115</v>
      </c>
      <c r="AC3038" s="40" t="s">
        <v>115</v>
      </c>
      <c r="AI3038" s="40" t="s">
        <v>115</v>
      </c>
      <c r="AP3038" s="4" t="s">
        <v>115</v>
      </c>
    </row>
    <row r="3039" spans="1:42" x14ac:dyDescent="0.15">
      <c r="A3039" s="40" t="s">
        <v>1</v>
      </c>
      <c r="B3039" s="23">
        <v>90250312</v>
      </c>
      <c r="C3039" s="23">
        <v>2503</v>
      </c>
      <c r="D3039" s="23">
        <v>25</v>
      </c>
      <c r="F3039" s="23" t="s">
        <v>115</v>
      </c>
      <c r="G3039" s="23" t="s">
        <v>115</v>
      </c>
      <c r="H3039" s="23" t="s">
        <v>5691</v>
      </c>
      <c r="I3039" s="23">
        <v>4</v>
      </c>
      <c r="J3039" s="40">
        <v>0</v>
      </c>
      <c r="K3039" s="40">
        <v>0</v>
      </c>
      <c r="L3039" s="40" t="s">
        <v>115</v>
      </c>
      <c r="O3039" s="40" t="s">
        <v>115</v>
      </c>
      <c r="Q3039" s="40">
        <v>191</v>
      </c>
      <c r="R3039" s="40" t="s">
        <v>115</v>
      </c>
      <c r="X3039" s="40">
        <v>90250313</v>
      </c>
      <c r="Y3039" s="40" t="s">
        <v>115</v>
      </c>
      <c r="Z3039" s="40" t="s">
        <v>115</v>
      </c>
      <c r="AA3039" s="40" t="s">
        <v>115</v>
      </c>
      <c r="AB3039" s="40" t="s">
        <v>115</v>
      </c>
      <c r="AC3039" s="40" t="s">
        <v>115</v>
      </c>
      <c r="AI3039" s="40" t="s">
        <v>115</v>
      </c>
      <c r="AP3039" s="4" t="s">
        <v>115</v>
      </c>
    </row>
    <row r="3040" spans="1:42" x14ac:dyDescent="0.15">
      <c r="A3040" s="40" t="s">
        <v>1</v>
      </c>
      <c r="B3040" s="23">
        <v>90250313</v>
      </c>
      <c r="C3040" s="23">
        <v>2503</v>
      </c>
      <c r="D3040" s="23">
        <v>25</v>
      </c>
      <c r="F3040" s="23" t="s">
        <v>116</v>
      </c>
      <c r="G3040" s="23">
        <v>312</v>
      </c>
      <c r="H3040" s="23" t="s">
        <v>5692</v>
      </c>
      <c r="I3040" s="23">
        <v>0</v>
      </c>
      <c r="J3040" s="40">
        <v>0</v>
      </c>
      <c r="K3040" s="40">
        <v>0</v>
      </c>
      <c r="L3040" s="40" t="s">
        <v>115</v>
      </c>
      <c r="O3040" s="40" t="s">
        <v>115</v>
      </c>
      <c r="Q3040" s="40">
        <v>191</v>
      </c>
      <c r="R3040" s="40">
        <v>101</v>
      </c>
      <c r="X3040" s="40">
        <v>90250314</v>
      </c>
      <c r="Y3040" s="40" t="s">
        <v>115</v>
      </c>
      <c r="Z3040" s="40" t="s">
        <v>115</v>
      </c>
      <c r="AA3040" s="40" t="s">
        <v>115</v>
      </c>
      <c r="AB3040" s="40" t="s">
        <v>115</v>
      </c>
      <c r="AC3040" s="40" t="s">
        <v>115</v>
      </c>
      <c r="AI3040" s="40" t="s">
        <v>115</v>
      </c>
      <c r="AP3040" s="4" t="s">
        <v>115</v>
      </c>
    </row>
    <row r="3041" spans="1:42" x14ac:dyDescent="0.15">
      <c r="A3041" s="40" t="s">
        <v>1</v>
      </c>
      <c r="B3041" s="23">
        <v>90250314</v>
      </c>
      <c r="C3041" s="23">
        <v>2503</v>
      </c>
      <c r="D3041" s="23">
        <v>25</v>
      </c>
      <c r="F3041" s="23" t="s">
        <v>5693</v>
      </c>
      <c r="G3041" s="23" t="s">
        <v>115</v>
      </c>
      <c r="H3041" s="23" t="s">
        <v>5694</v>
      </c>
      <c r="I3041" s="23">
        <v>3</v>
      </c>
      <c r="J3041" s="40">
        <v>0</v>
      </c>
      <c r="K3041" s="40">
        <v>0</v>
      </c>
      <c r="L3041" s="40" t="s">
        <v>115</v>
      </c>
      <c r="O3041" s="40" t="s">
        <v>115</v>
      </c>
      <c r="Q3041" s="40">
        <v>191</v>
      </c>
      <c r="R3041" s="40">
        <v>101</v>
      </c>
      <c r="X3041" s="40">
        <v>90250315</v>
      </c>
      <c r="Y3041" s="40" t="s">
        <v>115</v>
      </c>
      <c r="Z3041" s="40" t="s">
        <v>115</v>
      </c>
      <c r="AA3041" s="40" t="s">
        <v>115</v>
      </c>
      <c r="AB3041" s="40" t="s">
        <v>115</v>
      </c>
      <c r="AC3041" s="40" t="s">
        <v>115</v>
      </c>
      <c r="AI3041" s="40" t="s">
        <v>115</v>
      </c>
      <c r="AP3041" s="4" t="s">
        <v>115</v>
      </c>
    </row>
    <row r="3042" spans="1:42" x14ac:dyDescent="0.15">
      <c r="A3042" s="40" t="s">
        <v>1</v>
      </c>
      <c r="B3042" s="23">
        <v>90250315</v>
      </c>
      <c r="C3042" s="23">
        <v>2503</v>
      </c>
      <c r="D3042" s="23">
        <v>25</v>
      </c>
      <c r="F3042" s="23" t="s">
        <v>116</v>
      </c>
      <c r="G3042" s="23">
        <v>314</v>
      </c>
      <c r="H3042" s="23" t="s">
        <v>5695</v>
      </c>
      <c r="I3042" s="23">
        <v>2</v>
      </c>
      <c r="J3042" s="40">
        <v>0</v>
      </c>
      <c r="K3042" s="40">
        <v>0</v>
      </c>
      <c r="L3042" s="40" t="s">
        <v>115</v>
      </c>
      <c r="O3042" s="40" t="s">
        <v>115</v>
      </c>
      <c r="Q3042" s="40">
        <v>191</v>
      </c>
      <c r="R3042" s="40">
        <v>101</v>
      </c>
      <c r="X3042" s="40">
        <v>90250316</v>
      </c>
      <c r="Y3042" s="40" t="s">
        <v>115</v>
      </c>
      <c r="Z3042" s="40" t="s">
        <v>115</v>
      </c>
      <c r="AA3042" s="40" t="s">
        <v>115</v>
      </c>
      <c r="AB3042" s="40" t="s">
        <v>115</v>
      </c>
      <c r="AC3042" s="40" t="s">
        <v>115</v>
      </c>
      <c r="AI3042" s="40" t="s">
        <v>115</v>
      </c>
      <c r="AP3042" s="4" t="s">
        <v>115</v>
      </c>
    </row>
    <row r="3043" spans="1:42" x14ac:dyDescent="0.15">
      <c r="A3043" s="40" t="s">
        <v>1</v>
      </c>
      <c r="B3043" s="23">
        <v>90250316</v>
      </c>
      <c r="C3043" s="23">
        <v>2503</v>
      </c>
      <c r="D3043" s="23">
        <v>25</v>
      </c>
      <c r="F3043" s="23" t="s">
        <v>116</v>
      </c>
      <c r="G3043" s="23">
        <v>313</v>
      </c>
      <c r="H3043" s="23" t="s">
        <v>5696</v>
      </c>
      <c r="I3043" s="23">
        <v>0</v>
      </c>
      <c r="J3043" s="40">
        <v>0</v>
      </c>
      <c r="K3043" s="40">
        <v>0</v>
      </c>
      <c r="L3043" s="40" t="s">
        <v>115</v>
      </c>
      <c r="O3043" s="40" t="s">
        <v>115</v>
      </c>
      <c r="Q3043" s="40">
        <v>191</v>
      </c>
      <c r="R3043" s="40">
        <v>101</v>
      </c>
      <c r="X3043" s="40">
        <v>90250317</v>
      </c>
      <c r="Y3043" s="40" t="s">
        <v>115</v>
      </c>
      <c r="Z3043" s="40" t="s">
        <v>115</v>
      </c>
      <c r="AA3043" s="40" t="s">
        <v>115</v>
      </c>
      <c r="AB3043" s="40" t="s">
        <v>115</v>
      </c>
      <c r="AC3043" s="40" t="s">
        <v>115</v>
      </c>
      <c r="AI3043" s="40" t="s">
        <v>115</v>
      </c>
      <c r="AP3043" s="4" t="s">
        <v>115</v>
      </c>
    </row>
    <row r="3044" spans="1:42" x14ac:dyDescent="0.15">
      <c r="A3044" s="40" t="s">
        <v>1</v>
      </c>
      <c r="B3044" s="23">
        <v>90250317</v>
      </c>
      <c r="C3044" s="23">
        <v>2503</v>
      </c>
      <c r="D3044" s="23">
        <v>25</v>
      </c>
      <c r="F3044" s="23" t="s">
        <v>5693</v>
      </c>
      <c r="G3044" s="23" t="s">
        <v>115</v>
      </c>
      <c r="H3044" s="23" t="s">
        <v>5697</v>
      </c>
      <c r="I3044" s="23">
        <v>3</v>
      </c>
      <c r="J3044" s="40">
        <v>0</v>
      </c>
      <c r="K3044" s="40">
        <v>0</v>
      </c>
      <c r="L3044" s="40" t="s">
        <v>115</v>
      </c>
      <c r="O3044" s="40" t="s">
        <v>115</v>
      </c>
      <c r="Q3044" s="40">
        <v>191</v>
      </c>
      <c r="R3044" s="40">
        <v>101</v>
      </c>
      <c r="X3044" s="40">
        <v>90250318</v>
      </c>
      <c r="Y3044" s="40" t="s">
        <v>115</v>
      </c>
      <c r="Z3044" s="40" t="s">
        <v>115</v>
      </c>
      <c r="AA3044" s="40" t="s">
        <v>115</v>
      </c>
      <c r="AB3044" s="40" t="s">
        <v>115</v>
      </c>
      <c r="AC3044" s="40" t="s">
        <v>115</v>
      </c>
      <c r="AI3044" s="40" t="s">
        <v>115</v>
      </c>
      <c r="AP3044" s="4" t="s">
        <v>115</v>
      </c>
    </row>
    <row r="3045" spans="1:42" x14ac:dyDescent="0.15">
      <c r="A3045" s="40" t="s">
        <v>1</v>
      </c>
      <c r="B3045" s="23">
        <v>90250318</v>
      </c>
      <c r="C3045" s="23">
        <v>2503</v>
      </c>
      <c r="D3045" s="23">
        <v>25</v>
      </c>
      <c r="F3045" s="23" t="s">
        <v>116</v>
      </c>
      <c r="G3045" s="23">
        <v>314</v>
      </c>
      <c r="H3045" s="23" t="s">
        <v>5698</v>
      </c>
      <c r="I3045" s="23">
        <v>0</v>
      </c>
      <c r="J3045" s="40">
        <v>0</v>
      </c>
      <c r="K3045" s="40">
        <v>0</v>
      </c>
      <c r="L3045" s="40" t="s">
        <v>115</v>
      </c>
      <c r="O3045" s="40" t="s">
        <v>115</v>
      </c>
      <c r="Q3045" s="40">
        <v>191</v>
      </c>
      <c r="R3045" s="40">
        <v>101</v>
      </c>
      <c r="X3045" s="40">
        <v>90250319</v>
      </c>
      <c r="Y3045" s="40" t="s">
        <v>115</v>
      </c>
      <c r="Z3045" s="40" t="s">
        <v>115</v>
      </c>
      <c r="AA3045" s="40" t="s">
        <v>115</v>
      </c>
      <c r="AB3045" s="40" t="s">
        <v>115</v>
      </c>
      <c r="AC3045" s="40" t="s">
        <v>115</v>
      </c>
      <c r="AI3045" s="40" t="s">
        <v>115</v>
      </c>
      <c r="AP3045" s="4" t="s">
        <v>115</v>
      </c>
    </row>
    <row r="3046" spans="1:42" x14ac:dyDescent="0.15">
      <c r="A3046" s="40" t="s">
        <v>1</v>
      </c>
      <c r="B3046" s="23">
        <v>90250319</v>
      </c>
      <c r="C3046" s="23">
        <v>2503</v>
      </c>
      <c r="D3046" s="23">
        <v>25</v>
      </c>
      <c r="F3046" s="23" t="s">
        <v>5693</v>
      </c>
      <c r="G3046" s="23" t="s">
        <v>115</v>
      </c>
      <c r="H3046" s="23" t="s">
        <v>5699</v>
      </c>
      <c r="I3046" s="23">
        <v>3</v>
      </c>
      <c r="J3046" s="40">
        <v>0</v>
      </c>
      <c r="K3046" s="40">
        <v>0</v>
      </c>
      <c r="L3046" s="40" t="s">
        <v>115</v>
      </c>
      <c r="O3046" s="40" t="s">
        <v>115</v>
      </c>
      <c r="Q3046" s="40">
        <v>191</v>
      </c>
      <c r="R3046" s="40">
        <v>101</v>
      </c>
      <c r="X3046" s="40">
        <v>90250320</v>
      </c>
      <c r="Y3046" s="40" t="s">
        <v>115</v>
      </c>
      <c r="Z3046" s="40" t="s">
        <v>115</v>
      </c>
      <c r="AA3046" s="40" t="s">
        <v>115</v>
      </c>
      <c r="AB3046" s="40" t="s">
        <v>115</v>
      </c>
      <c r="AC3046" s="40" t="s">
        <v>115</v>
      </c>
      <c r="AI3046" s="40" t="s">
        <v>115</v>
      </c>
      <c r="AP3046" s="4" t="s">
        <v>115</v>
      </c>
    </row>
    <row r="3047" spans="1:42" x14ac:dyDescent="0.15">
      <c r="A3047" s="40" t="s">
        <v>1</v>
      </c>
      <c r="B3047" s="23">
        <v>90250320</v>
      </c>
      <c r="C3047" s="23">
        <v>2503</v>
      </c>
      <c r="D3047" s="23">
        <v>25</v>
      </c>
      <c r="F3047" s="23" t="s">
        <v>116</v>
      </c>
      <c r="G3047" s="23">
        <v>313</v>
      </c>
      <c r="H3047" s="23" t="s">
        <v>5700</v>
      </c>
      <c r="I3047" s="23">
        <v>0</v>
      </c>
      <c r="J3047" s="40">
        <v>0</v>
      </c>
      <c r="K3047" s="40">
        <v>0</v>
      </c>
      <c r="L3047" s="40" t="s">
        <v>115</v>
      </c>
      <c r="O3047" s="40" t="s">
        <v>115</v>
      </c>
      <c r="Q3047" s="40">
        <v>191</v>
      </c>
      <c r="R3047" s="40">
        <v>101</v>
      </c>
      <c r="X3047" s="40">
        <v>90250321</v>
      </c>
      <c r="Y3047" s="40" t="s">
        <v>115</v>
      </c>
      <c r="Z3047" s="40" t="s">
        <v>115</v>
      </c>
      <c r="AA3047" s="40" t="s">
        <v>115</v>
      </c>
      <c r="AB3047" s="40" t="s">
        <v>115</v>
      </c>
      <c r="AC3047" s="40" t="s">
        <v>115</v>
      </c>
      <c r="AI3047" s="40" t="s">
        <v>115</v>
      </c>
      <c r="AP3047" s="4" t="s">
        <v>115</v>
      </c>
    </row>
    <row r="3048" spans="1:42" x14ac:dyDescent="0.15">
      <c r="A3048" s="40" t="s">
        <v>1</v>
      </c>
      <c r="B3048" s="23">
        <v>90250321</v>
      </c>
      <c r="C3048" s="23">
        <v>2503</v>
      </c>
      <c r="D3048" s="23">
        <v>25</v>
      </c>
      <c r="F3048" s="23" t="s">
        <v>5693</v>
      </c>
      <c r="G3048" s="23" t="s">
        <v>115</v>
      </c>
      <c r="H3048" s="23" t="s">
        <v>5701</v>
      </c>
      <c r="I3048" s="23">
        <v>3</v>
      </c>
      <c r="J3048" s="40">
        <v>0</v>
      </c>
      <c r="K3048" s="40">
        <v>0</v>
      </c>
      <c r="L3048" s="40" t="s">
        <v>115</v>
      </c>
      <c r="O3048" s="40" t="s">
        <v>115</v>
      </c>
      <c r="Q3048" s="40">
        <v>191</v>
      </c>
      <c r="R3048" s="40">
        <v>101</v>
      </c>
      <c r="X3048" s="40">
        <v>90250322</v>
      </c>
      <c r="Y3048" s="40" t="s">
        <v>115</v>
      </c>
      <c r="Z3048" s="40" t="s">
        <v>115</v>
      </c>
      <c r="AA3048" s="40" t="s">
        <v>115</v>
      </c>
      <c r="AB3048" s="40" t="s">
        <v>115</v>
      </c>
      <c r="AC3048" s="40" t="s">
        <v>115</v>
      </c>
      <c r="AI3048" s="40" t="s">
        <v>115</v>
      </c>
      <c r="AP3048" s="4" t="s">
        <v>115</v>
      </c>
    </row>
    <row r="3049" spans="1:42" x14ac:dyDescent="0.15">
      <c r="A3049" s="40" t="s">
        <v>1</v>
      </c>
      <c r="B3049" s="23">
        <v>90250322</v>
      </c>
      <c r="C3049" s="23">
        <v>2503</v>
      </c>
      <c r="D3049" s="23">
        <v>25</v>
      </c>
      <c r="F3049" s="23" t="s">
        <v>5693</v>
      </c>
      <c r="G3049" s="23" t="s">
        <v>115</v>
      </c>
      <c r="H3049" s="23" t="s">
        <v>5702</v>
      </c>
      <c r="I3049" s="23">
        <v>3</v>
      </c>
      <c r="J3049" s="40">
        <v>0</v>
      </c>
      <c r="K3049" s="40">
        <v>0</v>
      </c>
      <c r="L3049" s="40" t="s">
        <v>115</v>
      </c>
      <c r="O3049" s="40" t="s">
        <v>115</v>
      </c>
      <c r="Q3049" s="40">
        <v>191</v>
      </c>
      <c r="R3049" s="40">
        <v>101</v>
      </c>
      <c r="X3049" s="40">
        <v>90250323</v>
      </c>
      <c r="Y3049" s="40" t="s">
        <v>115</v>
      </c>
      <c r="Z3049" s="40" t="s">
        <v>115</v>
      </c>
      <c r="AA3049" s="40" t="s">
        <v>115</v>
      </c>
      <c r="AB3049" s="40" t="s">
        <v>115</v>
      </c>
      <c r="AC3049" s="40" t="s">
        <v>115</v>
      </c>
      <c r="AI3049" s="40" t="s">
        <v>115</v>
      </c>
      <c r="AP3049" s="4" t="s">
        <v>115</v>
      </c>
    </row>
    <row r="3050" spans="1:42" x14ac:dyDescent="0.15">
      <c r="A3050" s="40" t="s">
        <v>1</v>
      </c>
      <c r="B3050" s="23">
        <v>90250323</v>
      </c>
      <c r="C3050" s="23">
        <v>2503</v>
      </c>
      <c r="D3050" s="23">
        <v>25</v>
      </c>
      <c r="F3050" s="23" t="s">
        <v>5693</v>
      </c>
      <c r="G3050" s="23" t="s">
        <v>115</v>
      </c>
      <c r="H3050" s="23" t="s">
        <v>5703</v>
      </c>
      <c r="I3050" s="23">
        <v>3</v>
      </c>
      <c r="J3050" s="40">
        <v>0</v>
      </c>
      <c r="K3050" s="40">
        <v>0</v>
      </c>
      <c r="L3050" s="40" t="s">
        <v>115</v>
      </c>
      <c r="O3050" s="40" t="s">
        <v>115</v>
      </c>
      <c r="Q3050" s="40">
        <v>191</v>
      </c>
      <c r="R3050" s="40">
        <v>101</v>
      </c>
      <c r="X3050" s="40">
        <v>90250324</v>
      </c>
      <c r="Y3050" s="40" t="s">
        <v>115</v>
      </c>
      <c r="Z3050" s="40" t="s">
        <v>115</v>
      </c>
      <c r="AA3050" s="40" t="s">
        <v>115</v>
      </c>
      <c r="AB3050" s="40" t="s">
        <v>115</v>
      </c>
      <c r="AC3050" s="40" t="s">
        <v>115</v>
      </c>
      <c r="AI3050" s="40" t="s">
        <v>115</v>
      </c>
      <c r="AP3050" s="4" t="s">
        <v>115</v>
      </c>
    </row>
    <row r="3051" spans="1:42" x14ac:dyDescent="0.15">
      <c r="A3051" s="40" t="s">
        <v>1</v>
      </c>
      <c r="B3051" s="23">
        <v>90250324</v>
      </c>
      <c r="C3051" s="23">
        <v>2503</v>
      </c>
      <c r="D3051" s="23">
        <v>25</v>
      </c>
      <c r="F3051" s="23" t="s">
        <v>116</v>
      </c>
      <c r="G3051" s="23">
        <v>312</v>
      </c>
      <c r="H3051" s="23" t="s">
        <v>5704</v>
      </c>
      <c r="I3051" s="23">
        <v>0</v>
      </c>
      <c r="J3051" s="40">
        <v>0</v>
      </c>
      <c r="K3051" s="40">
        <v>0</v>
      </c>
      <c r="L3051" s="40" t="s">
        <v>115</v>
      </c>
      <c r="O3051" s="40" t="s">
        <v>115</v>
      </c>
      <c r="Q3051" s="40">
        <v>191</v>
      </c>
      <c r="R3051" s="40">
        <v>101</v>
      </c>
      <c r="X3051" s="40">
        <v>90250325</v>
      </c>
      <c r="Y3051" s="40" t="s">
        <v>115</v>
      </c>
      <c r="Z3051" s="40" t="s">
        <v>115</v>
      </c>
      <c r="AA3051" s="40" t="s">
        <v>115</v>
      </c>
      <c r="AB3051" s="40" t="s">
        <v>115</v>
      </c>
      <c r="AC3051" s="40" t="s">
        <v>115</v>
      </c>
      <c r="AI3051" s="40" t="s">
        <v>115</v>
      </c>
      <c r="AP3051" s="4" t="s">
        <v>115</v>
      </c>
    </row>
    <row r="3052" spans="1:42" x14ac:dyDescent="0.15">
      <c r="A3052" s="40" t="s">
        <v>1</v>
      </c>
      <c r="B3052" s="23">
        <v>90250325</v>
      </c>
      <c r="C3052" s="23">
        <v>2503</v>
      </c>
      <c r="D3052" s="23">
        <v>25</v>
      </c>
      <c r="F3052" s="23" t="s">
        <v>116</v>
      </c>
      <c r="G3052" s="23">
        <v>312</v>
      </c>
      <c r="H3052" s="23" t="s">
        <v>5705</v>
      </c>
      <c r="I3052" s="23">
        <v>0</v>
      </c>
      <c r="J3052" s="40">
        <v>0</v>
      </c>
      <c r="K3052" s="40">
        <v>5</v>
      </c>
      <c r="L3052" s="40" t="s">
        <v>5706</v>
      </c>
      <c r="O3052" s="40" t="s">
        <v>115</v>
      </c>
      <c r="Q3052" s="40">
        <v>191</v>
      </c>
      <c r="R3052" s="40">
        <v>101</v>
      </c>
      <c r="X3052" s="40">
        <v>90250326</v>
      </c>
      <c r="Y3052" s="40" t="s">
        <v>115</v>
      </c>
      <c r="Z3052" s="40">
        <v>4</v>
      </c>
      <c r="AA3052" s="40" t="s">
        <v>115</v>
      </c>
      <c r="AB3052" s="40" t="s">
        <v>115</v>
      </c>
      <c r="AC3052" s="40" t="s">
        <v>115</v>
      </c>
      <c r="AI3052" s="40" t="s">
        <v>115</v>
      </c>
      <c r="AP3052" s="4" t="s">
        <v>115</v>
      </c>
    </row>
    <row r="3053" spans="1:42" x14ac:dyDescent="0.15">
      <c r="A3053" s="40" t="s">
        <v>1</v>
      </c>
      <c r="B3053" s="23">
        <v>90250326</v>
      </c>
      <c r="C3053" s="23">
        <v>2503</v>
      </c>
      <c r="D3053" s="23">
        <v>25</v>
      </c>
      <c r="F3053" s="23" t="s">
        <v>5693</v>
      </c>
      <c r="G3053" s="23" t="s">
        <v>115</v>
      </c>
      <c r="H3053" s="23" t="s">
        <v>5707</v>
      </c>
      <c r="I3053" s="23">
        <v>3</v>
      </c>
      <c r="J3053" s="40">
        <v>0</v>
      </c>
      <c r="K3053" s="40">
        <v>0</v>
      </c>
      <c r="L3053" s="40" t="s">
        <v>115</v>
      </c>
      <c r="O3053" s="40" t="s">
        <v>115</v>
      </c>
      <c r="Q3053" s="40">
        <v>191</v>
      </c>
      <c r="R3053" s="40">
        <v>101</v>
      </c>
      <c r="X3053" s="40">
        <v>90250327</v>
      </c>
      <c r="Y3053" s="40" t="s">
        <v>115</v>
      </c>
      <c r="Z3053" s="40" t="s">
        <v>115</v>
      </c>
      <c r="AA3053" s="40" t="s">
        <v>115</v>
      </c>
      <c r="AB3053" s="40" t="s">
        <v>115</v>
      </c>
      <c r="AC3053" s="40" t="s">
        <v>115</v>
      </c>
      <c r="AI3053" s="40" t="s">
        <v>115</v>
      </c>
      <c r="AP3053" s="4" t="s">
        <v>115</v>
      </c>
    </row>
    <row r="3054" spans="1:42" x14ac:dyDescent="0.15">
      <c r="A3054" s="40" t="s">
        <v>1</v>
      </c>
      <c r="B3054" s="23">
        <v>90250327</v>
      </c>
      <c r="C3054" s="23">
        <v>2503</v>
      </c>
      <c r="D3054" s="23">
        <v>25</v>
      </c>
      <c r="F3054" s="23" t="s">
        <v>116</v>
      </c>
      <c r="G3054" s="23">
        <v>312</v>
      </c>
      <c r="H3054" s="23" t="s">
        <v>5708</v>
      </c>
      <c r="I3054" s="23">
        <v>0</v>
      </c>
      <c r="J3054" s="40">
        <v>0</v>
      </c>
      <c r="K3054" s="40">
        <v>0</v>
      </c>
      <c r="L3054" s="40" t="s">
        <v>115</v>
      </c>
      <c r="O3054" s="40" t="s">
        <v>115</v>
      </c>
      <c r="Q3054" s="40">
        <v>191</v>
      </c>
      <c r="R3054" s="40">
        <v>101</v>
      </c>
      <c r="X3054" s="40">
        <v>90250328</v>
      </c>
      <c r="Y3054" s="40" t="s">
        <v>115</v>
      </c>
      <c r="Z3054" s="40" t="s">
        <v>115</v>
      </c>
      <c r="AA3054" s="40" t="s">
        <v>115</v>
      </c>
      <c r="AB3054" s="40" t="s">
        <v>115</v>
      </c>
      <c r="AC3054" s="40" t="s">
        <v>115</v>
      </c>
      <c r="AI3054" s="40" t="s">
        <v>115</v>
      </c>
      <c r="AP3054" s="4" t="s">
        <v>115</v>
      </c>
    </row>
    <row r="3055" spans="1:42" x14ac:dyDescent="0.15">
      <c r="A3055" s="40" t="s">
        <v>1</v>
      </c>
      <c r="B3055" s="23">
        <v>90250328</v>
      </c>
      <c r="C3055" s="23">
        <v>2503</v>
      </c>
      <c r="D3055" s="23">
        <v>25</v>
      </c>
      <c r="F3055" s="23" t="s">
        <v>115</v>
      </c>
      <c r="G3055" s="23" t="s">
        <v>115</v>
      </c>
      <c r="H3055" s="23" t="s">
        <v>5709</v>
      </c>
      <c r="I3055" s="23">
        <v>4</v>
      </c>
      <c r="J3055" s="40">
        <v>0</v>
      </c>
      <c r="K3055" s="40">
        <v>0</v>
      </c>
      <c r="L3055" s="40" t="s">
        <v>115</v>
      </c>
      <c r="O3055" s="40" t="s">
        <v>115</v>
      </c>
      <c r="Q3055" s="40">
        <v>191</v>
      </c>
      <c r="R3055" s="40" t="s">
        <v>115</v>
      </c>
      <c r="X3055" s="40">
        <v>90250329</v>
      </c>
      <c r="Y3055" s="40" t="s">
        <v>115</v>
      </c>
      <c r="Z3055" s="40" t="s">
        <v>115</v>
      </c>
      <c r="AA3055" s="40" t="s">
        <v>115</v>
      </c>
      <c r="AB3055" s="40" t="s">
        <v>115</v>
      </c>
      <c r="AC3055" s="40" t="s">
        <v>115</v>
      </c>
      <c r="AI3055" s="40" t="s">
        <v>115</v>
      </c>
      <c r="AP3055" s="4" t="s">
        <v>115</v>
      </c>
    </row>
    <row r="3056" spans="1:42" x14ac:dyDescent="0.15">
      <c r="A3056" s="40" t="s">
        <v>1</v>
      </c>
      <c r="B3056" s="23">
        <v>90250329</v>
      </c>
      <c r="C3056" s="23">
        <v>2503</v>
      </c>
      <c r="D3056" s="23">
        <v>25</v>
      </c>
      <c r="F3056" s="23" t="s">
        <v>5681</v>
      </c>
      <c r="G3056" s="23" t="s">
        <v>115</v>
      </c>
      <c r="H3056" s="23" t="s">
        <v>5710</v>
      </c>
      <c r="I3056" s="23">
        <v>3</v>
      </c>
      <c r="J3056" s="40">
        <v>0</v>
      </c>
      <c r="K3056" s="40">
        <v>0</v>
      </c>
      <c r="L3056" s="40" t="s">
        <v>115</v>
      </c>
      <c r="O3056" s="40" t="s">
        <v>115</v>
      </c>
      <c r="Q3056" s="40">
        <v>191</v>
      </c>
      <c r="R3056" s="40">
        <v>164</v>
      </c>
      <c r="X3056" s="40">
        <v>90250330</v>
      </c>
      <c r="Y3056" s="40" t="s">
        <v>115</v>
      </c>
      <c r="Z3056" s="40" t="s">
        <v>115</v>
      </c>
      <c r="AA3056" s="40" t="s">
        <v>115</v>
      </c>
      <c r="AB3056" s="40" t="s">
        <v>115</v>
      </c>
      <c r="AC3056" s="40" t="s">
        <v>115</v>
      </c>
      <c r="AI3056" s="40" t="s">
        <v>115</v>
      </c>
      <c r="AP3056" s="4" t="s">
        <v>115</v>
      </c>
    </row>
    <row r="3057" spans="1:42" x14ac:dyDescent="0.15">
      <c r="A3057" s="40" t="s">
        <v>1</v>
      </c>
      <c r="B3057" s="23">
        <v>90250330</v>
      </c>
      <c r="C3057" s="23">
        <v>2503</v>
      </c>
      <c r="D3057" s="23">
        <v>25</v>
      </c>
      <c r="F3057" s="23" t="s">
        <v>115</v>
      </c>
      <c r="G3057" s="23" t="s">
        <v>115</v>
      </c>
      <c r="H3057" s="23" t="s">
        <v>5711</v>
      </c>
      <c r="I3057" s="23">
        <v>4</v>
      </c>
      <c r="J3057" s="40">
        <v>0</v>
      </c>
      <c r="K3057" s="40">
        <v>0</v>
      </c>
      <c r="L3057" s="40" t="s">
        <v>115</v>
      </c>
      <c r="O3057" s="40" t="s">
        <v>115</v>
      </c>
      <c r="Q3057" s="40">
        <v>191</v>
      </c>
      <c r="R3057" s="40">
        <v>164</v>
      </c>
      <c r="X3057" s="40">
        <v>90250331</v>
      </c>
      <c r="Y3057" s="40" t="s">
        <v>115</v>
      </c>
      <c r="Z3057" s="40" t="s">
        <v>115</v>
      </c>
      <c r="AA3057" s="40" t="s">
        <v>115</v>
      </c>
      <c r="AB3057" s="40" t="s">
        <v>115</v>
      </c>
      <c r="AC3057" s="40" t="s">
        <v>115</v>
      </c>
      <c r="AI3057" s="40" t="s">
        <v>115</v>
      </c>
      <c r="AP3057" s="4" t="s">
        <v>115</v>
      </c>
    </row>
    <row r="3058" spans="1:42" x14ac:dyDescent="0.15">
      <c r="A3058" s="40" t="s">
        <v>1</v>
      </c>
      <c r="B3058" s="23">
        <v>90250331</v>
      </c>
      <c r="C3058" s="23">
        <v>2503</v>
      </c>
      <c r="D3058" s="23">
        <v>25</v>
      </c>
      <c r="F3058" s="23" t="s">
        <v>116</v>
      </c>
      <c r="G3058" s="23">
        <v>312</v>
      </c>
      <c r="H3058" s="23" t="s">
        <v>5712</v>
      </c>
      <c r="I3058" s="23">
        <v>0</v>
      </c>
      <c r="J3058" s="40">
        <v>0</v>
      </c>
      <c r="K3058" s="40">
        <v>0</v>
      </c>
      <c r="L3058" s="40" t="s">
        <v>115</v>
      </c>
      <c r="O3058" s="40" t="s">
        <v>115</v>
      </c>
      <c r="Q3058" s="40">
        <v>191</v>
      </c>
      <c r="R3058" s="40">
        <v>164</v>
      </c>
      <c r="X3058" s="40">
        <v>90250332</v>
      </c>
      <c r="Y3058" s="40" t="s">
        <v>115</v>
      </c>
      <c r="Z3058" s="40" t="s">
        <v>115</v>
      </c>
      <c r="AA3058" s="40" t="s">
        <v>115</v>
      </c>
      <c r="AB3058" s="40" t="s">
        <v>115</v>
      </c>
      <c r="AC3058" s="40" t="s">
        <v>115</v>
      </c>
      <c r="AI3058" s="40" t="s">
        <v>115</v>
      </c>
      <c r="AP3058" s="4" t="s">
        <v>115</v>
      </c>
    </row>
    <row r="3059" spans="1:42" x14ac:dyDescent="0.15">
      <c r="A3059" s="40" t="s">
        <v>1</v>
      </c>
      <c r="B3059" s="23">
        <v>90250332</v>
      </c>
      <c r="C3059" s="23">
        <v>2503</v>
      </c>
      <c r="D3059" s="23">
        <v>25</v>
      </c>
      <c r="F3059" s="23" t="s">
        <v>116</v>
      </c>
      <c r="G3059" s="23">
        <v>314</v>
      </c>
      <c r="H3059" s="23" t="s">
        <v>5713</v>
      </c>
      <c r="I3059" s="23">
        <v>2</v>
      </c>
      <c r="J3059" s="40">
        <v>0</v>
      </c>
      <c r="K3059" s="40">
        <v>6</v>
      </c>
      <c r="L3059" s="40" t="s">
        <v>115</v>
      </c>
      <c r="O3059" s="40">
        <v>1</v>
      </c>
      <c r="Q3059" s="40">
        <v>191</v>
      </c>
      <c r="R3059" s="40" t="s">
        <v>115</v>
      </c>
      <c r="X3059" s="40" t="s">
        <v>115</v>
      </c>
      <c r="Y3059" s="40" t="s">
        <v>115</v>
      </c>
      <c r="Z3059" s="40">
        <v>5</v>
      </c>
      <c r="AA3059" s="40" t="s">
        <v>115</v>
      </c>
      <c r="AB3059" s="40" t="s">
        <v>115</v>
      </c>
      <c r="AC3059" s="40" t="s">
        <v>115</v>
      </c>
      <c r="AI3059" s="40" t="s">
        <v>115</v>
      </c>
      <c r="AP3059" s="4" t="s">
        <v>5714</v>
      </c>
    </row>
    <row r="3060" spans="1:42" x14ac:dyDescent="0.15">
      <c r="A3060" s="40" t="s">
        <v>1</v>
      </c>
      <c r="B3060" s="23" t="s">
        <v>4880</v>
      </c>
      <c r="C3060" s="23">
        <v>2504</v>
      </c>
      <c r="D3060" s="23">
        <v>25</v>
      </c>
      <c r="F3060" s="23" t="s">
        <v>115</v>
      </c>
      <c r="G3060" s="23" t="s">
        <v>115</v>
      </c>
      <c r="H3060" s="23" t="s">
        <v>5715</v>
      </c>
      <c r="I3060" s="23">
        <v>4</v>
      </c>
      <c r="J3060" s="40">
        <v>1</v>
      </c>
      <c r="K3060" s="40">
        <v>1</v>
      </c>
      <c r="L3060" s="40" t="s">
        <v>115</v>
      </c>
      <c r="O3060" s="40" t="s">
        <v>115</v>
      </c>
      <c r="Q3060" s="40">
        <v>163</v>
      </c>
      <c r="R3060" s="40" t="s">
        <v>115</v>
      </c>
      <c r="X3060" s="40">
        <v>90250402</v>
      </c>
      <c r="Y3060" s="40" t="s">
        <v>115</v>
      </c>
      <c r="Z3060" s="40" t="s">
        <v>115</v>
      </c>
      <c r="AA3060" s="40" t="s">
        <v>115</v>
      </c>
      <c r="AB3060" s="40" t="s">
        <v>115</v>
      </c>
      <c r="AC3060" s="40" t="s">
        <v>115</v>
      </c>
      <c r="AI3060" s="40" t="s">
        <v>115</v>
      </c>
      <c r="AP3060" s="4" t="s">
        <v>115</v>
      </c>
    </row>
    <row r="3061" spans="1:42" x14ac:dyDescent="0.15">
      <c r="A3061" s="40" t="s">
        <v>1</v>
      </c>
      <c r="B3061" s="23">
        <v>90250402</v>
      </c>
      <c r="C3061" s="23">
        <v>2504</v>
      </c>
      <c r="D3061" s="23">
        <v>25</v>
      </c>
      <c r="F3061" s="23" t="s">
        <v>256</v>
      </c>
      <c r="G3061" s="23" t="s">
        <v>115</v>
      </c>
      <c r="H3061" s="23" t="s">
        <v>5716</v>
      </c>
      <c r="I3061" s="23">
        <v>3</v>
      </c>
      <c r="J3061" s="40">
        <v>0</v>
      </c>
      <c r="K3061" s="40">
        <v>0</v>
      </c>
      <c r="L3061" s="40" t="s">
        <v>115</v>
      </c>
      <c r="O3061" s="40" t="s">
        <v>115</v>
      </c>
      <c r="Q3061" s="40">
        <v>163</v>
      </c>
      <c r="R3061" s="40">
        <v>269</v>
      </c>
      <c r="X3061" s="40">
        <v>90250403</v>
      </c>
      <c r="Y3061" s="40" t="s">
        <v>115</v>
      </c>
      <c r="Z3061" s="40" t="s">
        <v>115</v>
      </c>
      <c r="AA3061" s="40" t="s">
        <v>115</v>
      </c>
      <c r="AB3061" s="40" t="s">
        <v>115</v>
      </c>
      <c r="AC3061" s="40" t="s">
        <v>115</v>
      </c>
      <c r="AI3061" s="40" t="s">
        <v>115</v>
      </c>
      <c r="AP3061" s="4" t="s">
        <v>115</v>
      </c>
    </row>
    <row r="3062" spans="1:42" x14ac:dyDescent="0.15">
      <c r="A3062" s="40" t="s">
        <v>1</v>
      </c>
      <c r="B3062" s="23">
        <v>90250403</v>
      </c>
      <c r="C3062" s="23">
        <v>2504</v>
      </c>
      <c r="D3062" s="23">
        <v>25</v>
      </c>
      <c r="F3062" s="23" t="s">
        <v>115</v>
      </c>
      <c r="G3062" s="23" t="s">
        <v>115</v>
      </c>
      <c r="H3062" s="23" t="s">
        <v>5717</v>
      </c>
      <c r="I3062" s="23">
        <v>4</v>
      </c>
      <c r="J3062" s="40">
        <v>0</v>
      </c>
      <c r="K3062" s="40">
        <v>2</v>
      </c>
      <c r="L3062" s="40" t="s">
        <v>115</v>
      </c>
      <c r="O3062" s="40" t="s">
        <v>115</v>
      </c>
      <c r="Q3062" s="40">
        <v>163</v>
      </c>
      <c r="R3062" s="40">
        <v>269</v>
      </c>
      <c r="X3062" s="40" t="s">
        <v>5718</v>
      </c>
      <c r="Y3062" s="40">
        <v>1</v>
      </c>
      <c r="Z3062" s="40">
        <v>1</v>
      </c>
      <c r="AA3062" s="40" t="s">
        <v>115</v>
      </c>
      <c r="AB3062" s="40" t="s">
        <v>115</v>
      </c>
      <c r="AC3062" s="40" t="s">
        <v>115</v>
      </c>
      <c r="AI3062" s="40" t="s">
        <v>115</v>
      </c>
      <c r="AP3062" s="4" t="s">
        <v>115</v>
      </c>
    </row>
    <row r="3063" spans="1:42" x14ac:dyDescent="0.15">
      <c r="A3063" s="40" t="s">
        <v>1</v>
      </c>
      <c r="B3063" s="23">
        <v>90250404</v>
      </c>
      <c r="C3063" s="23">
        <v>2504</v>
      </c>
      <c r="D3063" s="23">
        <v>25</v>
      </c>
      <c r="F3063" s="23" t="s">
        <v>115</v>
      </c>
      <c r="G3063" s="23" t="s">
        <v>115</v>
      </c>
      <c r="H3063" s="23" t="s">
        <v>5719</v>
      </c>
      <c r="I3063" s="23">
        <v>4</v>
      </c>
      <c r="J3063" s="40">
        <v>0</v>
      </c>
      <c r="K3063" s="40">
        <v>3</v>
      </c>
      <c r="L3063" s="40" t="s">
        <v>115</v>
      </c>
      <c r="O3063" s="40" t="s">
        <v>115</v>
      </c>
      <c r="Q3063" s="40">
        <v>163</v>
      </c>
      <c r="R3063" s="40">
        <v>269</v>
      </c>
      <c r="X3063" s="40">
        <v>90250407</v>
      </c>
      <c r="Y3063" s="40">
        <v>-1</v>
      </c>
      <c r="Z3063" s="40">
        <v>2</v>
      </c>
      <c r="AA3063" s="40" t="s">
        <v>5720</v>
      </c>
      <c r="AB3063" s="40" t="s">
        <v>115</v>
      </c>
      <c r="AC3063" s="40" t="s">
        <v>115</v>
      </c>
      <c r="AI3063" s="40" t="s">
        <v>115</v>
      </c>
      <c r="AP3063" s="4" t="s">
        <v>115</v>
      </c>
    </row>
    <row r="3064" spans="1:42" x14ac:dyDescent="0.15">
      <c r="A3064" s="40" t="s">
        <v>1</v>
      </c>
      <c r="B3064" s="23">
        <v>90250405</v>
      </c>
      <c r="C3064" s="23">
        <v>2504</v>
      </c>
      <c r="D3064" s="23">
        <v>25</v>
      </c>
      <c r="F3064" s="23" t="s">
        <v>115</v>
      </c>
      <c r="G3064" s="23" t="s">
        <v>115</v>
      </c>
      <c r="H3064" s="23" t="s">
        <v>5721</v>
      </c>
      <c r="I3064" s="23">
        <v>4</v>
      </c>
      <c r="J3064" s="40">
        <v>0</v>
      </c>
      <c r="K3064" s="40">
        <v>4</v>
      </c>
      <c r="L3064" s="40" t="s">
        <v>115</v>
      </c>
      <c r="O3064" s="40" t="s">
        <v>115</v>
      </c>
      <c r="Q3064" s="40">
        <v>163</v>
      </c>
      <c r="R3064" s="40">
        <v>269</v>
      </c>
      <c r="X3064" s="40">
        <v>90250408</v>
      </c>
      <c r="Y3064" s="40">
        <v>-1</v>
      </c>
      <c r="Z3064" s="40">
        <v>2</v>
      </c>
      <c r="AA3064" s="40" t="s">
        <v>5722</v>
      </c>
      <c r="AB3064" s="40" t="s">
        <v>115</v>
      </c>
      <c r="AC3064" s="40" t="s">
        <v>115</v>
      </c>
      <c r="AI3064" s="40" t="s">
        <v>115</v>
      </c>
      <c r="AP3064" s="4" t="s">
        <v>115</v>
      </c>
    </row>
    <row r="3065" spans="1:42" x14ac:dyDescent="0.15">
      <c r="A3065" s="40" t="s">
        <v>1</v>
      </c>
      <c r="B3065" s="23">
        <v>90250406</v>
      </c>
      <c r="C3065" s="23">
        <v>2504</v>
      </c>
      <c r="D3065" s="23">
        <v>25</v>
      </c>
      <c r="F3065" s="23" t="s">
        <v>115</v>
      </c>
      <c r="G3065" s="23" t="s">
        <v>115</v>
      </c>
      <c r="H3065" s="23" t="s">
        <v>5723</v>
      </c>
      <c r="I3065" s="23">
        <v>4</v>
      </c>
      <c r="J3065" s="40">
        <v>0</v>
      </c>
      <c r="K3065" s="40">
        <v>5</v>
      </c>
      <c r="L3065" s="40" t="s">
        <v>115</v>
      </c>
      <c r="O3065" s="40" t="s">
        <v>115</v>
      </c>
      <c r="Q3065" s="40">
        <v>163</v>
      </c>
      <c r="R3065" s="40">
        <v>269</v>
      </c>
      <c r="X3065" s="40">
        <v>90250409</v>
      </c>
      <c r="Y3065" s="40">
        <v>-1</v>
      </c>
      <c r="Z3065" s="40">
        <v>2</v>
      </c>
      <c r="AA3065" s="40" t="s">
        <v>5724</v>
      </c>
      <c r="AB3065" s="40" t="s">
        <v>115</v>
      </c>
      <c r="AC3065" s="40" t="s">
        <v>115</v>
      </c>
      <c r="AI3065" s="40" t="s">
        <v>115</v>
      </c>
      <c r="AP3065" s="4" t="s">
        <v>115</v>
      </c>
    </row>
    <row r="3066" spans="1:42" x14ac:dyDescent="0.15">
      <c r="A3066" s="40" t="s">
        <v>1</v>
      </c>
      <c r="B3066" s="23">
        <v>90250407</v>
      </c>
      <c r="C3066" s="23">
        <v>2504</v>
      </c>
      <c r="D3066" s="23">
        <v>25</v>
      </c>
      <c r="F3066" s="23" t="s">
        <v>115</v>
      </c>
      <c r="G3066" s="23" t="s">
        <v>115</v>
      </c>
      <c r="H3066" s="23" t="s">
        <v>5725</v>
      </c>
      <c r="I3066" s="23">
        <v>4</v>
      </c>
      <c r="J3066" s="40">
        <v>0</v>
      </c>
      <c r="K3066" s="40">
        <v>0</v>
      </c>
      <c r="L3066" s="40" t="s">
        <v>115</v>
      </c>
      <c r="O3066" s="40" t="s">
        <v>115</v>
      </c>
      <c r="Q3066" s="40">
        <v>163</v>
      </c>
      <c r="R3066" s="40">
        <v>269</v>
      </c>
      <c r="X3066" s="40">
        <v>90250410</v>
      </c>
      <c r="Y3066" s="40" t="s">
        <v>115</v>
      </c>
      <c r="Z3066" s="40" t="s">
        <v>115</v>
      </c>
      <c r="AA3066" s="40" t="s">
        <v>115</v>
      </c>
      <c r="AB3066" s="40" t="s">
        <v>115</v>
      </c>
      <c r="AC3066" s="40" t="s">
        <v>115</v>
      </c>
      <c r="AI3066" s="40" t="s">
        <v>115</v>
      </c>
      <c r="AP3066" s="4" t="s">
        <v>115</v>
      </c>
    </row>
    <row r="3067" spans="1:42" x14ac:dyDescent="0.15">
      <c r="A3067" s="40" t="s">
        <v>1</v>
      </c>
      <c r="B3067" s="23">
        <v>90250408</v>
      </c>
      <c r="C3067" s="23">
        <v>2504</v>
      </c>
      <c r="D3067" s="23">
        <v>25</v>
      </c>
      <c r="F3067" s="23" t="s">
        <v>115</v>
      </c>
      <c r="G3067" s="23" t="s">
        <v>115</v>
      </c>
      <c r="H3067" s="23" t="s">
        <v>5726</v>
      </c>
      <c r="I3067" s="23">
        <v>4</v>
      </c>
      <c r="J3067" s="40">
        <v>0</v>
      </c>
      <c r="K3067" s="40">
        <v>0</v>
      </c>
      <c r="L3067" s="40" t="s">
        <v>115</v>
      </c>
      <c r="O3067" s="40" t="s">
        <v>115</v>
      </c>
      <c r="Q3067" s="40">
        <v>163</v>
      </c>
      <c r="R3067" s="40">
        <v>269</v>
      </c>
      <c r="X3067" s="40">
        <v>90250410</v>
      </c>
      <c r="Y3067" s="40" t="s">
        <v>115</v>
      </c>
      <c r="Z3067" s="40" t="s">
        <v>115</v>
      </c>
      <c r="AA3067" s="40" t="s">
        <v>115</v>
      </c>
      <c r="AB3067" s="40" t="s">
        <v>115</v>
      </c>
      <c r="AC3067" s="40" t="s">
        <v>115</v>
      </c>
      <c r="AI3067" s="40" t="s">
        <v>115</v>
      </c>
      <c r="AP3067" s="4" t="s">
        <v>115</v>
      </c>
    </row>
    <row r="3068" spans="1:42" x14ac:dyDescent="0.15">
      <c r="A3068" s="40" t="s">
        <v>1</v>
      </c>
      <c r="B3068" s="23">
        <v>90250409</v>
      </c>
      <c r="C3068" s="23">
        <v>2504</v>
      </c>
      <c r="D3068" s="23">
        <v>25</v>
      </c>
      <c r="F3068" s="23" t="s">
        <v>115</v>
      </c>
      <c r="G3068" s="23" t="s">
        <v>115</v>
      </c>
      <c r="H3068" s="23" t="s">
        <v>5727</v>
      </c>
      <c r="I3068" s="23">
        <v>4</v>
      </c>
      <c r="J3068" s="40">
        <v>0</v>
      </c>
      <c r="K3068" s="40">
        <v>0</v>
      </c>
      <c r="L3068" s="40" t="s">
        <v>115</v>
      </c>
      <c r="O3068" s="40" t="s">
        <v>115</v>
      </c>
      <c r="Q3068" s="40">
        <v>163</v>
      </c>
      <c r="R3068" s="40">
        <v>269</v>
      </c>
      <c r="X3068" s="40">
        <v>90250410</v>
      </c>
      <c r="Y3068" s="40" t="s">
        <v>115</v>
      </c>
      <c r="Z3068" s="40" t="s">
        <v>115</v>
      </c>
      <c r="AA3068" s="40" t="s">
        <v>115</v>
      </c>
      <c r="AB3068" s="40" t="s">
        <v>115</v>
      </c>
      <c r="AC3068" s="40" t="s">
        <v>115</v>
      </c>
      <c r="AI3068" s="40" t="s">
        <v>115</v>
      </c>
      <c r="AP3068" s="4" t="s">
        <v>115</v>
      </c>
    </row>
    <row r="3069" spans="1:42" x14ac:dyDescent="0.15">
      <c r="A3069" s="40" t="s">
        <v>1</v>
      </c>
      <c r="B3069" s="23">
        <v>90250410</v>
      </c>
      <c r="C3069" s="23">
        <v>2504</v>
      </c>
      <c r="D3069" s="23">
        <v>25</v>
      </c>
      <c r="F3069" s="23" t="s">
        <v>116</v>
      </c>
      <c r="G3069" s="23">
        <v>308</v>
      </c>
      <c r="H3069" s="23" t="s">
        <v>5728</v>
      </c>
      <c r="I3069" s="23">
        <v>0</v>
      </c>
      <c r="J3069" s="40">
        <v>0</v>
      </c>
      <c r="K3069" s="40">
        <v>0</v>
      </c>
      <c r="L3069" s="40" t="s">
        <v>115</v>
      </c>
      <c r="O3069" s="40" t="s">
        <v>115</v>
      </c>
      <c r="Q3069" s="40">
        <v>163</v>
      </c>
      <c r="R3069" s="40">
        <v>269</v>
      </c>
      <c r="X3069" s="40">
        <v>90250411</v>
      </c>
      <c r="Y3069" s="40" t="s">
        <v>115</v>
      </c>
      <c r="Z3069" s="40" t="s">
        <v>115</v>
      </c>
      <c r="AA3069" s="40" t="s">
        <v>115</v>
      </c>
      <c r="AB3069" s="40" t="s">
        <v>115</v>
      </c>
      <c r="AC3069" s="40" t="s">
        <v>115</v>
      </c>
      <c r="AI3069" s="40" t="s">
        <v>115</v>
      </c>
      <c r="AP3069" s="4" t="s">
        <v>115</v>
      </c>
    </row>
    <row r="3070" spans="1:42" x14ac:dyDescent="0.15">
      <c r="A3070" s="40" t="s">
        <v>1</v>
      </c>
      <c r="B3070" s="23">
        <v>90250411</v>
      </c>
      <c r="C3070" s="23">
        <v>2504</v>
      </c>
      <c r="D3070" s="23">
        <v>25</v>
      </c>
      <c r="F3070" s="23" t="s">
        <v>256</v>
      </c>
      <c r="G3070" s="23" t="s">
        <v>115</v>
      </c>
      <c r="H3070" s="23" t="s">
        <v>5729</v>
      </c>
      <c r="I3070" s="23">
        <v>3</v>
      </c>
      <c r="J3070" s="40">
        <v>0</v>
      </c>
      <c r="K3070" s="40">
        <v>0</v>
      </c>
      <c r="L3070" s="40" t="s">
        <v>115</v>
      </c>
      <c r="O3070" s="40" t="s">
        <v>115</v>
      </c>
      <c r="Q3070" s="40">
        <v>163</v>
      </c>
      <c r="R3070" s="40">
        <v>269</v>
      </c>
      <c r="X3070" s="40">
        <v>90250412</v>
      </c>
      <c r="Y3070" s="40" t="s">
        <v>115</v>
      </c>
      <c r="Z3070" s="40" t="s">
        <v>115</v>
      </c>
      <c r="AA3070" s="40" t="s">
        <v>115</v>
      </c>
      <c r="AB3070" s="40" t="s">
        <v>115</v>
      </c>
      <c r="AC3070" s="40" t="s">
        <v>115</v>
      </c>
      <c r="AI3070" s="40" t="s">
        <v>115</v>
      </c>
      <c r="AP3070" s="4" t="s">
        <v>115</v>
      </c>
    </row>
    <row r="3071" spans="1:42" x14ac:dyDescent="0.15">
      <c r="A3071" s="40" t="s">
        <v>1</v>
      </c>
      <c r="B3071" s="23">
        <v>90250412</v>
      </c>
      <c r="C3071" s="23">
        <v>2504</v>
      </c>
      <c r="D3071" s="23">
        <v>25</v>
      </c>
      <c r="F3071" s="23" t="s">
        <v>115</v>
      </c>
      <c r="G3071" s="23" t="s">
        <v>115</v>
      </c>
      <c r="H3071" s="23" t="s">
        <v>5730</v>
      </c>
      <c r="I3071" s="23">
        <v>4</v>
      </c>
      <c r="J3071" s="40">
        <v>0</v>
      </c>
      <c r="K3071" s="40">
        <v>6</v>
      </c>
      <c r="L3071" s="40" t="s">
        <v>115</v>
      </c>
      <c r="O3071" s="40" t="s">
        <v>115</v>
      </c>
      <c r="Q3071" s="40">
        <v>163</v>
      </c>
      <c r="R3071" s="40">
        <v>269</v>
      </c>
      <c r="X3071" s="40" t="s">
        <v>5731</v>
      </c>
      <c r="Y3071" s="40">
        <v>1</v>
      </c>
      <c r="Z3071" s="40">
        <v>2</v>
      </c>
      <c r="AA3071" s="40" t="s">
        <v>115</v>
      </c>
      <c r="AB3071" s="40" t="s">
        <v>115</v>
      </c>
      <c r="AC3071" s="40" t="s">
        <v>115</v>
      </c>
      <c r="AI3071" s="40" t="s">
        <v>115</v>
      </c>
      <c r="AP3071" s="4" t="s">
        <v>115</v>
      </c>
    </row>
    <row r="3072" spans="1:42" x14ac:dyDescent="0.15">
      <c r="A3072" s="40" t="s">
        <v>1</v>
      </c>
      <c r="B3072" s="23">
        <v>90250413</v>
      </c>
      <c r="C3072" s="23">
        <v>2504</v>
      </c>
      <c r="D3072" s="23">
        <v>25</v>
      </c>
      <c r="F3072" s="23" t="s">
        <v>115</v>
      </c>
      <c r="G3072" s="23" t="s">
        <v>115</v>
      </c>
      <c r="H3072" s="23" t="s">
        <v>5732</v>
      </c>
      <c r="I3072" s="23">
        <v>4</v>
      </c>
      <c r="J3072" s="40">
        <v>0</v>
      </c>
      <c r="K3072" s="40">
        <v>7</v>
      </c>
      <c r="L3072" s="40" t="s">
        <v>115</v>
      </c>
      <c r="O3072" s="40" t="s">
        <v>115</v>
      </c>
      <c r="Q3072" s="40">
        <v>163</v>
      </c>
      <c r="R3072" s="40">
        <v>269</v>
      </c>
      <c r="X3072" s="40">
        <v>90250416</v>
      </c>
      <c r="Y3072" s="40">
        <v>-1</v>
      </c>
      <c r="Z3072" s="40">
        <v>6</v>
      </c>
      <c r="AA3072" s="40" t="s">
        <v>115</v>
      </c>
      <c r="AB3072" s="40" t="s">
        <v>115</v>
      </c>
      <c r="AC3072" s="40" t="s">
        <v>115</v>
      </c>
      <c r="AI3072" s="40" t="s">
        <v>115</v>
      </c>
      <c r="AP3072" s="4" t="s">
        <v>115</v>
      </c>
    </row>
    <row r="3073" spans="1:42" x14ac:dyDescent="0.15">
      <c r="A3073" s="40" t="s">
        <v>1</v>
      </c>
      <c r="B3073" s="23">
        <v>90250414</v>
      </c>
      <c r="C3073" s="23">
        <v>2504</v>
      </c>
      <c r="D3073" s="23">
        <v>25</v>
      </c>
      <c r="F3073" s="23" t="s">
        <v>115</v>
      </c>
      <c r="G3073" s="23" t="s">
        <v>115</v>
      </c>
      <c r="H3073" s="23" t="s">
        <v>5733</v>
      </c>
      <c r="I3073" s="23">
        <v>4</v>
      </c>
      <c r="J3073" s="40">
        <v>0</v>
      </c>
      <c r="K3073" s="40">
        <v>8</v>
      </c>
      <c r="L3073" s="40" t="s">
        <v>115</v>
      </c>
      <c r="O3073" s="40" t="s">
        <v>115</v>
      </c>
      <c r="Q3073" s="40">
        <v>163</v>
      </c>
      <c r="R3073" s="40">
        <v>269</v>
      </c>
      <c r="X3073" s="40">
        <v>90250417</v>
      </c>
      <c r="Y3073" s="40">
        <v>-1</v>
      </c>
      <c r="Z3073" s="40">
        <v>6</v>
      </c>
      <c r="AA3073" s="40" t="s">
        <v>115</v>
      </c>
      <c r="AB3073" s="40" t="s">
        <v>115</v>
      </c>
      <c r="AC3073" s="40" t="s">
        <v>115</v>
      </c>
      <c r="AI3073" s="40" t="s">
        <v>115</v>
      </c>
      <c r="AP3073" s="4" t="s">
        <v>115</v>
      </c>
    </row>
    <row r="3074" spans="1:42" x14ac:dyDescent="0.15">
      <c r="A3074" s="40" t="s">
        <v>1</v>
      </c>
      <c r="B3074" s="23">
        <v>90250415</v>
      </c>
      <c r="C3074" s="23">
        <v>2504</v>
      </c>
      <c r="D3074" s="23">
        <v>25</v>
      </c>
      <c r="F3074" s="23" t="s">
        <v>115</v>
      </c>
      <c r="G3074" s="23" t="s">
        <v>115</v>
      </c>
      <c r="H3074" s="23" t="s">
        <v>5734</v>
      </c>
      <c r="I3074" s="23">
        <v>4</v>
      </c>
      <c r="J3074" s="40">
        <v>0</v>
      </c>
      <c r="K3074" s="40">
        <v>9</v>
      </c>
      <c r="L3074" s="40" t="s">
        <v>115</v>
      </c>
      <c r="O3074" s="40" t="s">
        <v>115</v>
      </c>
      <c r="Q3074" s="40">
        <v>163</v>
      </c>
      <c r="R3074" s="40">
        <v>269</v>
      </c>
      <c r="X3074" s="40">
        <v>90250418</v>
      </c>
      <c r="Y3074" s="40">
        <v>-1</v>
      </c>
      <c r="Z3074" s="40">
        <v>6</v>
      </c>
      <c r="AA3074" s="40" t="s">
        <v>115</v>
      </c>
      <c r="AB3074" s="40" t="s">
        <v>115</v>
      </c>
      <c r="AC3074" s="40" t="s">
        <v>115</v>
      </c>
      <c r="AI3074" s="40" t="s">
        <v>115</v>
      </c>
      <c r="AP3074" s="4" t="s">
        <v>115</v>
      </c>
    </row>
    <row r="3075" spans="1:42" x14ac:dyDescent="0.15">
      <c r="A3075" s="40" t="s">
        <v>1</v>
      </c>
      <c r="B3075" s="23">
        <v>90250416</v>
      </c>
      <c r="C3075" s="23">
        <v>2504</v>
      </c>
      <c r="D3075" s="23">
        <v>25</v>
      </c>
      <c r="F3075" s="23" t="s">
        <v>116</v>
      </c>
      <c r="G3075" s="23">
        <v>312</v>
      </c>
      <c r="H3075" s="23" t="s">
        <v>5735</v>
      </c>
      <c r="I3075" s="23">
        <v>0</v>
      </c>
      <c r="J3075" s="40">
        <v>0</v>
      </c>
      <c r="K3075" s="40">
        <v>0</v>
      </c>
      <c r="L3075" s="40" t="s">
        <v>115</v>
      </c>
      <c r="O3075" s="40" t="s">
        <v>115</v>
      </c>
      <c r="Q3075" s="40">
        <v>163</v>
      </c>
      <c r="R3075" s="40">
        <v>269</v>
      </c>
      <c r="X3075" s="40">
        <v>90250419</v>
      </c>
      <c r="Y3075" s="40" t="s">
        <v>115</v>
      </c>
      <c r="Z3075" s="40" t="s">
        <v>115</v>
      </c>
      <c r="AA3075" s="40" t="s">
        <v>115</v>
      </c>
      <c r="AB3075" s="40" t="s">
        <v>115</v>
      </c>
      <c r="AC3075" s="40" t="s">
        <v>115</v>
      </c>
      <c r="AI3075" s="40" t="s">
        <v>115</v>
      </c>
      <c r="AP3075" s="4" t="s">
        <v>115</v>
      </c>
    </row>
    <row r="3076" spans="1:42" x14ac:dyDescent="0.15">
      <c r="A3076" s="40" t="s">
        <v>1</v>
      </c>
      <c r="B3076" s="23">
        <v>90250417</v>
      </c>
      <c r="C3076" s="23">
        <v>2504</v>
      </c>
      <c r="D3076" s="23">
        <v>25</v>
      </c>
      <c r="F3076" s="23" t="s">
        <v>116</v>
      </c>
      <c r="G3076" s="23">
        <v>312</v>
      </c>
      <c r="H3076" s="23" t="s">
        <v>5736</v>
      </c>
      <c r="I3076" s="23">
        <v>0</v>
      </c>
      <c r="J3076" s="40">
        <v>0</v>
      </c>
      <c r="K3076" s="40">
        <v>0</v>
      </c>
      <c r="L3076" s="40" t="s">
        <v>115</v>
      </c>
      <c r="O3076" s="40" t="s">
        <v>115</v>
      </c>
      <c r="Q3076" s="40">
        <v>163</v>
      </c>
      <c r="R3076" s="40">
        <v>269</v>
      </c>
      <c r="X3076" s="40">
        <v>90250419</v>
      </c>
      <c r="Y3076" s="40" t="s">
        <v>115</v>
      </c>
      <c r="Z3076" s="40" t="s">
        <v>115</v>
      </c>
      <c r="AA3076" s="40" t="s">
        <v>115</v>
      </c>
      <c r="AB3076" s="40" t="s">
        <v>115</v>
      </c>
      <c r="AC3076" s="40" t="s">
        <v>115</v>
      </c>
      <c r="AI3076" s="40" t="s">
        <v>115</v>
      </c>
      <c r="AP3076" s="4" t="s">
        <v>115</v>
      </c>
    </row>
    <row r="3077" spans="1:42" x14ac:dyDescent="0.15">
      <c r="A3077" s="40" t="s">
        <v>1</v>
      </c>
      <c r="B3077" s="23">
        <v>90250418</v>
      </c>
      <c r="C3077" s="23">
        <v>2504</v>
      </c>
      <c r="D3077" s="23">
        <v>25</v>
      </c>
      <c r="F3077" s="23" t="s">
        <v>116</v>
      </c>
      <c r="G3077" s="23">
        <v>309</v>
      </c>
      <c r="H3077" s="23" t="s">
        <v>5737</v>
      </c>
      <c r="I3077" s="23">
        <v>0</v>
      </c>
      <c r="J3077" s="40">
        <v>0</v>
      </c>
      <c r="K3077" s="40">
        <v>0</v>
      </c>
      <c r="L3077" s="40" t="s">
        <v>115</v>
      </c>
      <c r="O3077" s="40" t="s">
        <v>115</v>
      </c>
      <c r="Q3077" s="40">
        <v>163</v>
      </c>
      <c r="R3077" s="40">
        <v>269</v>
      </c>
      <c r="X3077" s="40">
        <v>90250419</v>
      </c>
      <c r="Y3077" s="40" t="s">
        <v>115</v>
      </c>
      <c r="Z3077" s="40" t="s">
        <v>115</v>
      </c>
      <c r="AA3077" s="40" t="s">
        <v>115</v>
      </c>
      <c r="AB3077" s="40" t="s">
        <v>115</v>
      </c>
      <c r="AC3077" s="40" t="s">
        <v>115</v>
      </c>
      <c r="AI3077" s="40" t="s">
        <v>115</v>
      </c>
      <c r="AP3077" s="4" t="s">
        <v>115</v>
      </c>
    </row>
    <row r="3078" spans="1:42" x14ac:dyDescent="0.15">
      <c r="A3078" s="40" t="s">
        <v>1</v>
      </c>
      <c r="B3078" s="23">
        <v>90250419</v>
      </c>
      <c r="C3078" s="23">
        <v>2504</v>
      </c>
      <c r="D3078" s="23">
        <v>25</v>
      </c>
      <c r="F3078" s="23" t="s">
        <v>256</v>
      </c>
      <c r="G3078" s="23" t="s">
        <v>115</v>
      </c>
      <c r="H3078" s="23" t="s">
        <v>5738</v>
      </c>
      <c r="I3078" s="23">
        <v>3</v>
      </c>
      <c r="J3078" s="40">
        <v>0</v>
      </c>
      <c r="K3078" s="40">
        <v>0</v>
      </c>
      <c r="L3078" s="40" t="s">
        <v>115</v>
      </c>
      <c r="O3078" s="40" t="s">
        <v>115</v>
      </c>
      <c r="Q3078" s="40">
        <v>163</v>
      </c>
      <c r="R3078" s="40">
        <v>269</v>
      </c>
      <c r="X3078" s="40">
        <v>90250420</v>
      </c>
      <c r="Y3078" s="40" t="s">
        <v>115</v>
      </c>
      <c r="Z3078" s="40" t="s">
        <v>115</v>
      </c>
      <c r="AA3078" s="40" t="s">
        <v>115</v>
      </c>
      <c r="AB3078" s="40" t="s">
        <v>115</v>
      </c>
      <c r="AC3078" s="40" t="s">
        <v>115</v>
      </c>
      <c r="AI3078" s="40" t="s">
        <v>115</v>
      </c>
      <c r="AP3078" s="4" t="s">
        <v>115</v>
      </c>
    </row>
    <row r="3079" spans="1:42" x14ac:dyDescent="0.15">
      <c r="A3079" s="40" t="s">
        <v>1</v>
      </c>
      <c r="B3079" s="23">
        <v>90250420</v>
      </c>
      <c r="C3079" s="23">
        <v>2504</v>
      </c>
      <c r="D3079" s="23">
        <v>25</v>
      </c>
      <c r="F3079" s="23" t="s">
        <v>116</v>
      </c>
      <c r="G3079" s="23">
        <v>312</v>
      </c>
      <c r="H3079" s="23" t="s">
        <v>5739</v>
      </c>
      <c r="I3079" s="23">
        <v>0</v>
      </c>
      <c r="J3079" s="40">
        <v>0</v>
      </c>
      <c r="K3079" s="40">
        <v>0</v>
      </c>
      <c r="L3079" s="40" t="s">
        <v>115</v>
      </c>
      <c r="O3079" s="40" t="s">
        <v>115</v>
      </c>
      <c r="Q3079" s="40">
        <v>163</v>
      </c>
      <c r="R3079" s="40">
        <v>269</v>
      </c>
      <c r="X3079" s="40">
        <v>90250421</v>
      </c>
      <c r="Y3079" s="40" t="s">
        <v>115</v>
      </c>
      <c r="Z3079" s="40" t="s">
        <v>115</v>
      </c>
      <c r="AA3079" s="40" t="s">
        <v>115</v>
      </c>
      <c r="AB3079" s="40" t="s">
        <v>115</v>
      </c>
      <c r="AC3079" s="40" t="s">
        <v>115</v>
      </c>
      <c r="AI3079" s="40" t="s">
        <v>115</v>
      </c>
      <c r="AP3079" s="4" t="s">
        <v>115</v>
      </c>
    </row>
    <row r="3080" spans="1:42" x14ac:dyDescent="0.15">
      <c r="A3080" s="40" t="s">
        <v>1</v>
      </c>
      <c r="B3080" s="23">
        <v>90250421</v>
      </c>
      <c r="C3080" s="23">
        <v>2504</v>
      </c>
      <c r="D3080" s="23">
        <v>25</v>
      </c>
      <c r="F3080" s="23" t="s">
        <v>116</v>
      </c>
      <c r="G3080" s="23">
        <v>309</v>
      </c>
      <c r="H3080" s="23" t="s">
        <v>5740</v>
      </c>
      <c r="I3080" s="23">
        <v>0</v>
      </c>
      <c r="J3080" s="40">
        <v>0</v>
      </c>
      <c r="K3080" s="40">
        <v>0</v>
      </c>
      <c r="L3080" s="40" t="s">
        <v>115</v>
      </c>
      <c r="O3080" s="40" t="s">
        <v>115</v>
      </c>
      <c r="Q3080" s="40">
        <v>163</v>
      </c>
      <c r="R3080" s="40">
        <v>269</v>
      </c>
      <c r="X3080" s="40">
        <v>90250422</v>
      </c>
      <c r="Y3080" s="40" t="s">
        <v>115</v>
      </c>
      <c r="Z3080" s="40" t="s">
        <v>115</v>
      </c>
      <c r="AA3080" s="40" t="s">
        <v>115</v>
      </c>
      <c r="AB3080" s="40" t="s">
        <v>115</v>
      </c>
      <c r="AC3080" s="40" t="s">
        <v>115</v>
      </c>
      <c r="AI3080" s="40" t="s">
        <v>115</v>
      </c>
      <c r="AP3080" s="4" t="s">
        <v>115</v>
      </c>
    </row>
    <row r="3081" spans="1:42" x14ac:dyDescent="0.15">
      <c r="A3081" s="40" t="s">
        <v>1</v>
      </c>
      <c r="B3081" s="23">
        <v>90250422</v>
      </c>
      <c r="C3081" s="23">
        <v>2504</v>
      </c>
      <c r="D3081" s="23">
        <v>25</v>
      </c>
      <c r="F3081" s="23" t="s">
        <v>116</v>
      </c>
      <c r="G3081" s="23">
        <v>312</v>
      </c>
      <c r="H3081" s="23" t="s">
        <v>5741</v>
      </c>
      <c r="I3081" s="23">
        <v>0</v>
      </c>
      <c r="J3081" s="40">
        <v>0</v>
      </c>
      <c r="K3081" s="40">
        <v>0</v>
      </c>
      <c r="L3081" s="40" t="s">
        <v>115</v>
      </c>
      <c r="O3081" s="40" t="s">
        <v>115</v>
      </c>
      <c r="Q3081" s="40">
        <v>163</v>
      </c>
      <c r="R3081" s="40">
        <v>269</v>
      </c>
      <c r="X3081" s="40">
        <v>90250423</v>
      </c>
      <c r="Y3081" s="40" t="s">
        <v>115</v>
      </c>
      <c r="Z3081" s="40" t="s">
        <v>115</v>
      </c>
      <c r="AA3081" s="40" t="s">
        <v>115</v>
      </c>
      <c r="AB3081" s="40" t="s">
        <v>115</v>
      </c>
      <c r="AC3081" s="40" t="s">
        <v>115</v>
      </c>
      <c r="AI3081" s="40" t="s">
        <v>115</v>
      </c>
      <c r="AP3081" s="4" t="s">
        <v>115</v>
      </c>
    </row>
    <row r="3082" spans="1:42" x14ac:dyDescent="0.15">
      <c r="A3082" s="40" t="s">
        <v>1</v>
      </c>
      <c r="B3082" s="23">
        <v>90250423</v>
      </c>
      <c r="C3082" s="23">
        <v>2504</v>
      </c>
      <c r="D3082" s="23">
        <v>25</v>
      </c>
      <c r="F3082" s="23" t="s">
        <v>116</v>
      </c>
      <c r="G3082" s="23">
        <v>312</v>
      </c>
      <c r="H3082" s="23" t="s">
        <v>5742</v>
      </c>
      <c r="I3082" s="23">
        <v>0</v>
      </c>
      <c r="J3082" s="40">
        <v>0</v>
      </c>
      <c r="K3082" s="40">
        <v>0</v>
      </c>
      <c r="L3082" s="40" t="s">
        <v>115</v>
      </c>
      <c r="O3082" s="40" t="s">
        <v>115</v>
      </c>
      <c r="Q3082" s="40">
        <v>163</v>
      </c>
      <c r="R3082" s="40">
        <v>269</v>
      </c>
      <c r="X3082" s="40">
        <v>90250424</v>
      </c>
      <c r="Y3082" s="40" t="s">
        <v>115</v>
      </c>
      <c r="Z3082" s="40" t="s">
        <v>115</v>
      </c>
      <c r="AA3082" s="40" t="s">
        <v>115</v>
      </c>
      <c r="AB3082" s="40" t="s">
        <v>115</v>
      </c>
      <c r="AC3082" s="40" t="s">
        <v>115</v>
      </c>
      <c r="AI3082" s="40" t="s">
        <v>115</v>
      </c>
      <c r="AP3082" s="4" t="s">
        <v>115</v>
      </c>
    </row>
    <row r="3083" spans="1:42" x14ac:dyDescent="0.15">
      <c r="A3083" s="40" t="s">
        <v>1</v>
      </c>
      <c r="B3083" s="23">
        <v>90250424</v>
      </c>
      <c r="C3083" s="23">
        <v>2504</v>
      </c>
      <c r="D3083" s="23">
        <v>25</v>
      </c>
      <c r="F3083" s="23" t="s">
        <v>116</v>
      </c>
      <c r="G3083" s="23">
        <v>312</v>
      </c>
      <c r="H3083" s="23" t="s">
        <v>5743</v>
      </c>
      <c r="I3083" s="23">
        <v>0</v>
      </c>
      <c r="J3083" s="40">
        <v>0</v>
      </c>
      <c r="K3083" s="40">
        <v>0</v>
      </c>
      <c r="L3083" s="40" t="s">
        <v>115</v>
      </c>
      <c r="O3083" s="40" t="s">
        <v>115</v>
      </c>
      <c r="Q3083" s="40">
        <v>163</v>
      </c>
      <c r="R3083" s="40">
        <v>269</v>
      </c>
      <c r="X3083" s="40">
        <v>90250425</v>
      </c>
      <c r="Y3083" s="40" t="s">
        <v>115</v>
      </c>
      <c r="Z3083" s="40" t="s">
        <v>115</v>
      </c>
      <c r="AA3083" s="40" t="s">
        <v>115</v>
      </c>
      <c r="AB3083" s="40" t="s">
        <v>115</v>
      </c>
      <c r="AC3083" s="40" t="s">
        <v>115</v>
      </c>
      <c r="AI3083" s="40" t="s">
        <v>115</v>
      </c>
      <c r="AP3083" s="4" t="s">
        <v>115</v>
      </c>
    </row>
    <row r="3084" spans="1:42" x14ac:dyDescent="0.15">
      <c r="A3084" s="40" t="s">
        <v>1</v>
      </c>
      <c r="B3084" s="23">
        <v>90250425</v>
      </c>
      <c r="C3084" s="23">
        <v>2504</v>
      </c>
      <c r="D3084" s="23">
        <v>25</v>
      </c>
      <c r="F3084" s="23" t="s">
        <v>116</v>
      </c>
      <c r="G3084" s="23">
        <v>309</v>
      </c>
      <c r="H3084" s="23" t="s">
        <v>5744</v>
      </c>
      <c r="I3084" s="23">
        <v>0</v>
      </c>
      <c r="J3084" s="40">
        <v>0</v>
      </c>
      <c r="K3084" s="40">
        <v>0</v>
      </c>
      <c r="L3084" s="40" t="s">
        <v>115</v>
      </c>
      <c r="O3084" s="40" t="s">
        <v>115</v>
      </c>
      <c r="Q3084" s="40">
        <v>163</v>
      </c>
      <c r="R3084" s="40">
        <v>269</v>
      </c>
      <c r="X3084" s="40">
        <v>90250426</v>
      </c>
      <c r="Y3084" s="40" t="s">
        <v>115</v>
      </c>
      <c r="Z3084" s="40" t="s">
        <v>115</v>
      </c>
      <c r="AA3084" s="40" t="s">
        <v>115</v>
      </c>
      <c r="AB3084" s="40" t="s">
        <v>115</v>
      </c>
      <c r="AC3084" s="40" t="s">
        <v>115</v>
      </c>
      <c r="AI3084" s="40" t="s">
        <v>115</v>
      </c>
      <c r="AP3084" s="4" t="s">
        <v>115</v>
      </c>
    </row>
    <row r="3085" spans="1:42" x14ac:dyDescent="0.15">
      <c r="A3085" s="40" t="s">
        <v>1</v>
      </c>
      <c r="B3085" s="23">
        <v>90250426</v>
      </c>
      <c r="C3085" s="23">
        <v>2504</v>
      </c>
      <c r="D3085" s="23">
        <v>25</v>
      </c>
      <c r="F3085" s="23" t="s">
        <v>256</v>
      </c>
      <c r="G3085" s="23" t="s">
        <v>115</v>
      </c>
      <c r="H3085" s="23" t="s">
        <v>5745</v>
      </c>
      <c r="I3085" s="23">
        <v>3</v>
      </c>
      <c r="J3085" s="40">
        <v>0</v>
      </c>
      <c r="K3085" s="40">
        <v>0</v>
      </c>
      <c r="L3085" s="40" t="s">
        <v>115</v>
      </c>
      <c r="O3085" s="40" t="s">
        <v>115</v>
      </c>
      <c r="Q3085" s="40">
        <v>163</v>
      </c>
      <c r="R3085" s="40">
        <v>269</v>
      </c>
      <c r="X3085" s="40">
        <v>90250427</v>
      </c>
      <c r="Y3085" s="40" t="s">
        <v>115</v>
      </c>
      <c r="Z3085" s="40" t="s">
        <v>115</v>
      </c>
      <c r="AA3085" s="40" t="s">
        <v>115</v>
      </c>
      <c r="AB3085" s="40" t="s">
        <v>115</v>
      </c>
      <c r="AC3085" s="40" t="s">
        <v>115</v>
      </c>
      <c r="AI3085" s="40" t="s">
        <v>115</v>
      </c>
      <c r="AP3085" s="4" t="s">
        <v>115</v>
      </c>
    </row>
    <row r="3086" spans="1:42" x14ac:dyDescent="0.15">
      <c r="A3086" s="40" t="s">
        <v>1</v>
      </c>
      <c r="B3086" s="23">
        <v>90250427</v>
      </c>
      <c r="C3086" s="23">
        <v>2504</v>
      </c>
      <c r="D3086" s="23">
        <v>25</v>
      </c>
      <c r="F3086" s="23" t="s">
        <v>256</v>
      </c>
      <c r="G3086" s="23" t="s">
        <v>115</v>
      </c>
      <c r="H3086" s="23" t="s">
        <v>5746</v>
      </c>
      <c r="I3086" s="23">
        <v>3</v>
      </c>
      <c r="J3086" s="40">
        <v>0</v>
      </c>
      <c r="K3086" s="40">
        <v>0</v>
      </c>
      <c r="L3086" s="40" t="s">
        <v>115</v>
      </c>
      <c r="O3086" s="40" t="s">
        <v>115</v>
      </c>
      <c r="Q3086" s="40">
        <v>163</v>
      </c>
      <c r="R3086" s="40">
        <v>269</v>
      </c>
      <c r="X3086" s="40">
        <v>90250428</v>
      </c>
      <c r="Y3086" s="40" t="s">
        <v>115</v>
      </c>
      <c r="Z3086" s="40" t="s">
        <v>115</v>
      </c>
      <c r="AA3086" s="40" t="s">
        <v>115</v>
      </c>
      <c r="AB3086" s="40" t="s">
        <v>115</v>
      </c>
      <c r="AC3086" s="40" t="s">
        <v>115</v>
      </c>
      <c r="AI3086" s="40" t="s">
        <v>115</v>
      </c>
      <c r="AP3086" s="4" t="s">
        <v>115</v>
      </c>
    </row>
    <row r="3087" spans="1:42" x14ac:dyDescent="0.15">
      <c r="A3087" s="40" t="s">
        <v>1</v>
      </c>
      <c r="B3087" s="23">
        <v>90250428</v>
      </c>
      <c r="C3087" s="23">
        <v>2504</v>
      </c>
      <c r="D3087" s="23">
        <v>25</v>
      </c>
      <c r="F3087" s="23" t="s">
        <v>116</v>
      </c>
      <c r="G3087" s="23">
        <v>308</v>
      </c>
      <c r="H3087" s="23" t="s">
        <v>5747</v>
      </c>
      <c r="I3087" s="23">
        <v>0</v>
      </c>
      <c r="J3087" s="40">
        <v>0</v>
      </c>
      <c r="K3087" s="40">
        <v>0</v>
      </c>
      <c r="L3087" s="40" t="s">
        <v>115</v>
      </c>
      <c r="O3087" s="40" t="s">
        <v>115</v>
      </c>
      <c r="Q3087" s="40">
        <v>163</v>
      </c>
      <c r="R3087" s="40">
        <v>269</v>
      </c>
      <c r="X3087" s="40">
        <v>90250429</v>
      </c>
      <c r="Y3087" s="40" t="s">
        <v>115</v>
      </c>
      <c r="Z3087" s="40" t="s">
        <v>115</v>
      </c>
      <c r="AA3087" s="40" t="s">
        <v>115</v>
      </c>
      <c r="AB3087" s="40" t="s">
        <v>115</v>
      </c>
      <c r="AC3087" s="40" t="s">
        <v>115</v>
      </c>
      <c r="AI3087" s="40" t="s">
        <v>115</v>
      </c>
      <c r="AP3087" s="4" t="s">
        <v>115</v>
      </c>
    </row>
    <row r="3088" spans="1:42" x14ac:dyDescent="0.15">
      <c r="A3088" s="40" t="s">
        <v>1</v>
      </c>
      <c r="B3088" s="23">
        <v>90250429</v>
      </c>
      <c r="C3088" s="23">
        <v>2504</v>
      </c>
      <c r="D3088" s="23">
        <v>25</v>
      </c>
      <c r="F3088" s="23" t="s">
        <v>256</v>
      </c>
      <c r="G3088" s="23" t="s">
        <v>115</v>
      </c>
      <c r="H3088" s="23" t="s">
        <v>5748</v>
      </c>
      <c r="I3088" s="23">
        <v>3</v>
      </c>
      <c r="J3088" s="40">
        <v>0</v>
      </c>
      <c r="K3088" s="40">
        <v>0</v>
      </c>
      <c r="L3088" s="40" t="s">
        <v>115</v>
      </c>
      <c r="O3088" s="40" t="s">
        <v>115</v>
      </c>
      <c r="Q3088" s="40">
        <v>163</v>
      </c>
      <c r="R3088" s="40">
        <v>269</v>
      </c>
      <c r="X3088" s="40">
        <v>90250430</v>
      </c>
      <c r="Y3088" s="40" t="s">
        <v>115</v>
      </c>
      <c r="Z3088" s="40" t="s">
        <v>115</v>
      </c>
      <c r="AA3088" s="40" t="s">
        <v>115</v>
      </c>
      <c r="AB3088" s="40" t="s">
        <v>115</v>
      </c>
      <c r="AC3088" s="40" t="s">
        <v>115</v>
      </c>
      <c r="AI3088" s="40" t="s">
        <v>115</v>
      </c>
      <c r="AP3088" s="4" t="s">
        <v>115</v>
      </c>
    </row>
    <row r="3089" spans="1:42" x14ac:dyDescent="0.15">
      <c r="A3089" s="40" t="s">
        <v>1</v>
      </c>
      <c r="B3089" s="23">
        <v>90250430</v>
      </c>
      <c r="C3089" s="23">
        <v>2504</v>
      </c>
      <c r="D3089" s="23">
        <v>25</v>
      </c>
      <c r="F3089" s="23" t="s">
        <v>116</v>
      </c>
      <c r="G3089" s="23">
        <v>309</v>
      </c>
      <c r="H3089" s="23" t="s">
        <v>5749</v>
      </c>
      <c r="I3089" s="23">
        <v>0</v>
      </c>
      <c r="J3089" s="40">
        <v>0</v>
      </c>
      <c r="K3089" s="40">
        <v>0</v>
      </c>
      <c r="L3089" s="40" t="s">
        <v>115</v>
      </c>
      <c r="O3089" s="40" t="s">
        <v>115</v>
      </c>
      <c r="Q3089" s="40">
        <v>163</v>
      </c>
      <c r="R3089" s="40">
        <v>269</v>
      </c>
      <c r="X3089" s="40">
        <v>90250431</v>
      </c>
      <c r="Y3089" s="40" t="s">
        <v>115</v>
      </c>
      <c r="Z3089" s="40" t="s">
        <v>115</v>
      </c>
      <c r="AA3089" s="40" t="s">
        <v>115</v>
      </c>
      <c r="AB3089" s="40" t="s">
        <v>115</v>
      </c>
      <c r="AC3089" s="40" t="s">
        <v>115</v>
      </c>
      <c r="AI3089" s="40" t="s">
        <v>115</v>
      </c>
      <c r="AP3089" s="4" t="s">
        <v>115</v>
      </c>
    </row>
    <row r="3090" spans="1:42" x14ac:dyDescent="0.15">
      <c r="A3090" s="40" t="s">
        <v>1</v>
      </c>
      <c r="B3090" s="23">
        <v>90250431</v>
      </c>
      <c r="C3090" s="23">
        <v>2504</v>
      </c>
      <c r="D3090" s="23">
        <v>25</v>
      </c>
      <c r="F3090" s="23" t="s">
        <v>256</v>
      </c>
      <c r="G3090" s="23" t="s">
        <v>115</v>
      </c>
      <c r="H3090" s="23" t="s">
        <v>5750</v>
      </c>
      <c r="I3090" s="23">
        <v>3</v>
      </c>
      <c r="J3090" s="40">
        <v>0</v>
      </c>
      <c r="K3090" s="40">
        <v>10</v>
      </c>
      <c r="L3090" s="40" t="s">
        <v>115</v>
      </c>
      <c r="O3090" s="40">
        <v>1</v>
      </c>
      <c r="Q3090" s="40">
        <v>163</v>
      </c>
      <c r="R3090" s="40">
        <v>269</v>
      </c>
      <c r="X3090" s="40" t="s">
        <v>115</v>
      </c>
      <c r="Y3090" s="40" t="s">
        <v>115</v>
      </c>
      <c r="Z3090" s="40">
        <v>9</v>
      </c>
      <c r="AA3090" s="40" t="s">
        <v>115</v>
      </c>
      <c r="AB3090" s="40" t="s">
        <v>115</v>
      </c>
      <c r="AC3090" s="40" t="s">
        <v>115</v>
      </c>
      <c r="AI3090" s="40" t="s">
        <v>115</v>
      </c>
      <c r="AP3090" s="4" t="s">
        <v>115</v>
      </c>
    </row>
    <row r="3091" spans="1:42" x14ac:dyDescent="0.15">
      <c r="A3091" s="40" t="s">
        <v>1</v>
      </c>
      <c r="B3091" s="23" t="s">
        <v>4882</v>
      </c>
      <c r="C3091" s="23">
        <v>2505</v>
      </c>
      <c r="D3091" s="23">
        <v>25</v>
      </c>
      <c r="F3091" s="23" t="s">
        <v>115</v>
      </c>
      <c r="G3091" s="23" t="s">
        <v>115</v>
      </c>
      <c r="H3091" s="23" t="s">
        <v>5751</v>
      </c>
      <c r="I3091" s="23">
        <v>4</v>
      </c>
      <c r="J3091" s="40">
        <v>1</v>
      </c>
      <c r="K3091" s="40">
        <v>1</v>
      </c>
      <c r="L3091" s="40" t="s">
        <v>115</v>
      </c>
      <c r="O3091" s="40" t="s">
        <v>115</v>
      </c>
      <c r="Q3091" s="40">
        <v>105</v>
      </c>
      <c r="R3091" s="40" t="s">
        <v>115</v>
      </c>
      <c r="X3091" s="40">
        <v>90250502</v>
      </c>
      <c r="Y3091" s="40" t="s">
        <v>115</v>
      </c>
      <c r="Z3091" s="40" t="s">
        <v>115</v>
      </c>
      <c r="AA3091" s="40" t="s">
        <v>115</v>
      </c>
      <c r="AB3091" s="40" t="s">
        <v>115</v>
      </c>
      <c r="AC3091" s="40" t="s">
        <v>115</v>
      </c>
      <c r="AI3091" s="40" t="s">
        <v>115</v>
      </c>
      <c r="AP3091" s="4" t="s">
        <v>115</v>
      </c>
    </row>
    <row r="3092" spans="1:42" x14ac:dyDescent="0.15">
      <c r="A3092" s="40" t="s">
        <v>1</v>
      </c>
      <c r="B3092" s="23">
        <v>90250502</v>
      </c>
      <c r="C3092" s="23">
        <v>2505</v>
      </c>
      <c r="D3092" s="23">
        <v>25</v>
      </c>
      <c r="F3092" s="23" t="s">
        <v>115</v>
      </c>
      <c r="G3092" s="23" t="s">
        <v>115</v>
      </c>
      <c r="H3092" s="23" t="s">
        <v>5752</v>
      </c>
      <c r="I3092" s="23">
        <v>4</v>
      </c>
      <c r="J3092" s="40">
        <v>0</v>
      </c>
      <c r="K3092" s="40">
        <v>0</v>
      </c>
      <c r="L3092" s="40" t="s">
        <v>115</v>
      </c>
      <c r="O3092" s="40" t="s">
        <v>115</v>
      </c>
      <c r="Q3092" s="40">
        <v>31</v>
      </c>
      <c r="R3092" s="40">
        <v>166</v>
      </c>
      <c r="X3092" s="40">
        <v>90250503</v>
      </c>
      <c r="Y3092" s="40" t="s">
        <v>115</v>
      </c>
      <c r="Z3092" s="40" t="s">
        <v>115</v>
      </c>
      <c r="AA3092" s="40" t="s">
        <v>115</v>
      </c>
      <c r="AB3092" s="40" t="s">
        <v>115</v>
      </c>
      <c r="AC3092" s="40" t="s">
        <v>115</v>
      </c>
      <c r="AI3092" s="40" t="s">
        <v>115</v>
      </c>
      <c r="AP3092" s="4" t="s">
        <v>115</v>
      </c>
    </row>
    <row r="3093" spans="1:42" x14ac:dyDescent="0.15">
      <c r="A3093" s="40" t="s">
        <v>1</v>
      </c>
      <c r="B3093" s="23">
        <v>90250503</v>
      </c>
      <c r="C3093" s="23">
        <v>2505</v>
      </c>
      <c r="D3093" s="23">
        <v>25</v>
      </c>
      <c r="F3093" s="23" t="s">
        <v>116</v>
      </c>
      <c r="G3093" s="23">
        <v>312</v>
      </c>
      <c r="H3093" s="23" t="s">
        <v>5753</v>
      </c>
      <c r="I3093" s="23">
        <v>0</v>
      </c>
      <c r="J3093" s="40">
        <v>0</v>
      </c>
      <c r="K3093" s="40">
        <v>0</v>
      </c>
      <c r="L3093" s="40" t="s">
        <v>115</v>
      </c>
      <c r="O3093" s="40" t="s">
        <v>115</v>
      </c>
      <c r="Q3093" s="40">
        <v>31</v>
      </c>
      <c r="R3093" s="40">
        <v>166</v>
      </c>
      <c r="X3093" s="40">
        <v>90250504</v>
      </c>
      <c r="Y3093" s="40" t="s">
        <v>115</v>
      </c>
      <c r="Z3093" s="40" t="s">
        <v>115</v>
      </c>
      <c r="AA3093" s="40" t="s">
        <v>115</v>
      </c>
      <c r="AB3093" s="40" t="s">
        <v>115</v>
      </c>
      <c r="AC3093" s="40" t="s">
        <v>115</v>
      </c>
      <c r="AI3093" s="40" t="s">
        <v>115</v>
      </c>
      <c r="AP3093" s="4" t="s">
        <v>115</v>
      </c>
    </row>
    <row r="3094" spans="1:42" x14ac:dyDescent="0.15">
      <c r="A3094" s="40" t="s">
        <v>1</v>
      </c>
      <c r="B3094" s="23">
        <v>90250504</v>
      </c>
      <c r="C3094" s="23">
        <v>2505</v>
      </c>
      <c r="D3094" s="23">
        <v>25</v>
      </c>
      <c r="F3094" s="23" t="s">
        <v>5754</v>
      </c>
      <c r="G3094" s="23" t="s">
        <v>115</v>
      </c>
      <c r="H3094" s="23" t="s">
        <v>5755</v>
      </c>
      <c r="I3094" s="23">
        <v>3</v>
      </c>
      <c r="J3094" s="40">
        <v>0</v>
      </c>
      <c r="K3094" s="40">
        <v>2</v>
      </c>
      <c r="L3094" s="40" t="s">
        <v>115</v>
      </c>
      <c r="O3094" s="40" t="s">
        <v>115</v>
      </c>
      <c r="Q3094" s="40">
        <v>31</v>
      </c>
      <c r="R3094" s="40">
        <v>166</v>
      </c>
      <c r="X3094" s="40" t="s">
        <v>5756</v>
      </c>
      <c r="Y3094" s="40">
        <v>1</v>
      </c>
      <c r="Z3094" s="40">
        <v>1</v>
      </c>
      <c r="AA3094" s="40" t="s">
        <v>115</v>
      </c>
      <c r="AB3094" s="40" t="s">
        <v>115</v>
      </c>
      <c r="AC3094" s="40" t="s">
        <v>115</v>
      </c>
      <c r="AI3094" s="40" t="s">
        <v>115</v>
      </c>
      <c r="AP3094" s="4" t="s">
        <v>115</v>
      </c>
    </row>
    <row r="3095" spans="1:42" x14ac:dyDescent="0.15">
      <c r="A3095" s="40" t="s">
        <v>1</v>
      </c>
      <c r="B3095" s="23">
        <v>90250505</v>
      </c>
      <c r="C3095" s="23">
        <v>2505</v>
      </c>
      <c r="D3095" s="23">
        <v>25</v>
      </c>
      <c r="F3095" s="23" t="s">
        <v>115</v>
      </c>
      <c r="G3095" s="23" t="s">
        <v>115</v>
      </c>
      <c r="H3095" s="23" t="s">
        <v>5732</v>
      </c>
      <c r="I3095" s="23">
        <v>4</v>
      </c>
      <c r="J3095" s="40">
        <v>0</v>
      </c>
      <c r="K3095" s="40">
        <v>3</v>
      </c>
      <c r="L3095" s="40" t="s">
        <v>115</v>
      </c>
      <c r="O3095" s="40" t="s">
        <v>115</v>
      </c>
      <c r="Q3095" s="40">
        <v>31</v>
      </c>
      <c r="R3095" s="40">
        <v>166</v>
      </c>
      <c r="X3095" s="40">
        <v>90250507</v>
      </c>
      <c r="Y3095" s="40">
        <v>-1</v>
      </c>
      <c r="Z3095" s="40">
        <v>2</v>
      </c>
      <c r="AA3095" s="40" t="s">
        <v>115</v>
      </c>
      <c r="AB3095" s="40" t="s">
        <v>115</v>
      </c>
      <c r="AC3095" s="40" t="s">
        <v>115</v>
      </c>
      <c r="AI3095" s="40" t="s">
        <v>115</v>
      </c>
      <c r="AP3095" s="4" t="s">
        <v>115</v>
      </c>
    </row>
    <row r="3096" spans="1:42" x14ac:dyDescent="0.15">
      <c r="A3096" s="40" t="s">
        <v>1</v>
      </c>
      <c r="B3096" s="23">
        <v>90250506</v>
      </c>
      <c r="C3096" s="23">
        <v>2505</v>
      </c>
      <c r="D3096" s="23">
        <v>25</v>
      </c>
      <c r="F3096" s="23" t="s">
        <v>115</v>
      </c>
      <c r="G3096" s="23" t="s">
        <v>115</v>
      </c>
      <c r="H3096" s="23" t="s">
        <v>5733</v>
      </c>
      <c r="I3096" s="23">
        <v>4</v>
      </c>
      <c r="J3096" s="40">
        <v>0</v>
      </c>
      <c r="K3096" s="40">
        <v>4</v>
      </c>
      <c r="L3096" s="40" t="s">
        <v>115</v>
      </c>
      <c r="O3096" s="40" t="s">
        <v>115</v>
      </c>
      <c r="Q3096" s="40">
        <v>31</v>
      </c>
      <c r="R3096" s="40">
        <v>166</v>
      </c>
      <c r="X3096" s="40">
        <v>90250509</v>
      </c>
      <c r="Y3096" s="40">
        <v>-1</v>
      </c>
      <c r="Z3096" s="40">
        <v>2</v>
      </c>
      <c r="AA3096" s="40" t="s">
        <v>5757</v>
      </c>
      <c r="AB3096" s="40" t="s">
        <v>115</v>
      </c>
      <c r="AC3096" s="40" t="s">
        <v>115</v>
      </c>
      <c r="AI3096" s="40" t="s">
        <v>115</v>
      </c>
      <c r="AP3096" s="4" t="s">
        <v>115</v>
      </c>
    </row>
    <row r="3097" spans="1:42" x14ac:dyDescent="0.15">
      <c r="A3097" s="40" t="s">
        <v>1</v>
      </c>
      <c r="B3097" s="23">
        <v>90250507</v>
      </c>
      <c r="C3097" s="23">
        <v>2505</v>
      </c>
      <c r="D3097" s="23">
        <v>25</v>
      </c>
      <c r="F3097" s="23" t="s">
        <v>116</v>
      </c>
      <c r="G3097" s="23">
        <v>312</v>
      </c>
      <c r="H3097" s="23" t="s">
        <v>5758</v>
      </c>
      <c r="I3097" s="23">
        <v>0</v>
      </c>
      <c r="J3097" s="40">
        <v>0</v>
      </c>
      <c r="K3097" s="40">
        <v>0</v>
      </c>
      <c r="L3097" s="40" t="s">
        <v>115</v>
      </c>
      <c r="O3097" s="40" t="s">
        <v>115</v>
      </c>
      <c r="Q3097" s="40">
        <v>31</v>
      </c>
      <c r="R3097" s="40">
        <v>166</v>
      </c>
      <c r="X3097" s="40">
        <v>90250508</v>
      </c>
      <c r="Y3097" s="40" t="s">
        <v>115</v>
      </c>
      <c r="Z3097" s="40" t="s">
        <v>115</v>
      </c>
      <c r="AA3097" s="40" t="s">
        <v>115</v>
      </c>
      <c r="AB3097" s="40" t="s">
        <v>115</v>
      </c>
      <c r="AC3097" s="40" t="s">
        <v>115</v>
      </c>
      <c r="AI3097" s="40" t="s">
        <v>115</v>
      </c>
      <c r="AP3097" s="4" t="s">
        <v>115</v>
      </c>
    </row>
    <row r="3098" spans="1:42" x14ac:dyDescent="0.15">
      <c r="A3098" s="40" t="s">
        <v>1</v>
      </c>
      <c r="B3098" s="23">
        <v>90250508</v>
      </c>
      <c r="C3098" s="23">
        <v>2505</v>
      </c>
      <c r="D3098" s="23">
        <v>25</v>
      </c>
      <c r="F3098" s="23" t="s">
        <v>5754</v>
      </c>
      <c r="G3098" s="23" t="s">
        <v>115</v>
      </c>
      <c r="H3098" s="23" t="s">
        <v>5759</v>
      </c>
      <c r="I3098" s="23">
        <v>3</v>
      </c>
      <c r="J3098" s="40">
        <v>0</v>
      </c>
      <c r="K3098" s="40">
        <v>0</v>
      </c>
      <c r="L3098" s="40" t="s">
        <v>115</v>
      </c>
      <c r="O3098" s="40" t="s">
        <v>115</v>
      </c>
      <c r="Q3098" s="40">
        <v>31</v>
      </c>
      <c r="R3098" s="40">
        <v>166</v>
      </c>
      <c r="X3098" s="40">
        <v>90250504</v>
      </c>
      <c r="Y3098" s="40" t="s">
        <v>115</v>
      </c>
      <c r="Z3098" s="40" t="s">
        <v>115</v>
      </c>
      <c r="AA3098" s="40" t="s">
        <v>115</v>
      </c>
      <c r="AB3098" s="40" t="s">
        <v>115</v>
      </c>
      <c r="AC3098" s="40" t="s">
        <v>115</v>
      </c>
      <c r="AI3098" s="40" t="s">
        <v>115</v>
      </c>
      <c r="AP3098" s="4" t="s">
        <v>115</v>
      </c>
    </row>
    <row r="3099" spans="1:42" x14ac:dyDescent="0.15">
      <c r="A3099" s="40" t="s">
        <v>1</v>
      </c>
      <c r="B3099" s="23">
        <v>90250509</v>
      </c>
      <c r="C3099" s="23">
        <v>2505</v>
      </c>
      <c r="D3099" s="23">
        <v>25</v>
      </c>
      <c r="F3099" s="23" t="s">
        <v>115</v>
      </c>
      <c r="G3099" s="23" t="s">
        <v>115</v>
      </c>
      <c r="H3099" s="23" t="s">
        <v>5760</v>
      </c>
      <c r="I3099" s="23">
        <v>4</v>
      </c>
      <c r="J3099" s="40">
        <v>0</v>
      </c>
      <c r="K3099" s="40">
        <v>0</v>
      </c>
      <c r="L3099" s="40" t="s">
        <v>115</v>
      </c>
      <c r="O3099" s="40" t="s">
        <v>115</v>
      </c>
      <c r="Q3099" s="40">
        <v>31</v>
      </c>
      <c r="R3099" s="40">
        <v>166</v>
      </c>
      <c r="X3099" s="40">
        <v>90250510</v>
      </c>
      <c r="Y3099" s="40" t="s">
        <v>115</v>
      </c>
      <c r="Z3099" s="40" t="s">
        <v>115</v>
      </c>
      <c r="AA3099" s="40" t="s">
        <v>115</v>
      </c>
      <c r="AB3099" s="40" t="s">
        <v>115</v>
      </c>
      <c r="AC3099" s="40" t="s">
        <v>115</v>
      </c>
      <c r="AI3099" s="40" t="s">
        <v>115</v>
      </c>
      <c r="AP3099" s="4" t="s">
        <v>115</v>
      </c>
    </row>
    <row r="3100" spans="1:42" x14ac:dyDescent="0.15">
      <c r="A3100" s="40" t="s">
        <v>1</v>
      </c>
      <c r="B3100" s="23">
        <v>90250510</v>
      </c>
      <c r="C3100" s="23">
        <v>2505</v>
      </c>
      <c r="D3100" s="23">
        <v>25</v>
      </c>
      <c r="F3100" s="23" t="s">
        <v>5754</v>
      </c>
      <c r="G3100" s="23" t="s">
        <v>115</v>
      </c>
      <c r="H3100" s="23" t="s">
        <v>5761</v>
      </c>
      <c r="I3100" s="23">
        <v>3</v>
      </c>
      <c r="J3100" s="40">
        <v>0</v>
      </c>
      <c r="K3100" s="40">
        <v>0</v>
      </c>
      <c r="L3100" s="40" t="s">
        <v>115</v>
      </c>
      <c r="O3100" s="40" t="s">
        <v>115</v>
      </c>
      <c r="Q3100" s="40">
        <v>31</v>
      </c>
      <c r="R3100" s="40">
        <v>166</v>
      </c>
      <c r="X3100" s="40">
        <v>90250511</v>
      </c>
      <c r="Y3100" s="40" t="s">
        <v>115</v>
      </c>
      <c r="Z3100" s="40" t="s">
        <v>115</v>
      </c>
      <c r="AA3100" s="40" t="s">
        <v>115</v>
      </c>
      <c r="AB3100" s="40" t="s">
        <v>115</v>
      </c>
      <c r="AC3100" s="40" t="s">
        <v>115</v>
      </c>
      <c r="AI3100" s="40" t="s">
        <v>115</v>
      </c>
      <c r="AP3100" s="4" t="s">
        <v>115</v>
      </c>
    </row>
    <row r="3101" spans="1:42" x14ac:dyDescent="0.15">
      <c r="A3101" s="40" t="s">
        <v>1</v>
      </c>
      <c r="B3101" s="23">
        <v>90250511</v>
      </c>
      <c r="C3101" s="23">
        <v>2505</v>
      </c>
      <c r="D3101" s="23">
        <v>25</v>
      </c>
      <c r="F3101" s="23" t="s">
        <v>5754</v>
      </c>
      <c r="G3101" s="23" t="s">
        <v>115</v>
      </c>
      <c r="H3101" s="23" t="s">
        <v>5762</v>
      </c>
      <c r="I3101" s="23">
        <v>3</v>
      </c>
      <c r="J3101" s="40">
        <v>0</v>
      </c>
      <c r="K3101" s="40">
        <v>0</v>
      </c>
      <c r="L3101" s="40" t="s">
        <v>115</v>
      </c>
      <c r="O3101" s="40" t="s">
        <v>115</v>
      </c>
      <c r="Q3101" s="40">
        <v>31</v>
      </c>
      <c r="R3101" s="40">
        <v>166</v>
      </c>
      <c r="X3101" s="40">
        <v>90250512</v>
      </c>
      <c r="Y3101" s="40" t="s">
        <v>115</v>
      </c>
      <c r="Z3101" s="40" t="s">
        <v>115</v>
      </c>
      <c r="AA3101" s="40" t="s">
        <v>115</v>
      </c>
      <c r="AB3101" s="40" t="s">
        <v>115</v>
      </c>
      <c r="AC3101" s="40" t="s">
        <v>115</v>
      </c>
      <c r="AI3101" s="40" t="s">
        <v>115</v>
      </c>
      <c r="AP3101" s="4" t="s">
        <v>115</v>
      </c>
    </row>
    <row r="3102" spans="1:42" x14ac:dyDescent="0.15">
      <c r="A3102" s="40" t="s">
        <v>1</v>
      </c>
      <c r="B3102" s="23">
        <v>90250512</v>
      </c>
      <c r="C3102" s="23">
        <v>2505</v>
      </c>
      <c r="D3102" s="23">
        <v>25</v>
      </c>
      <c r="F3102" s="23" t="s">
        <v>5754</v>
      </c>
      <c r="G3102" s="23" t="s">
        <v>115</v>
      </c>
      <c r="H3102" s="23" t="s">
        <v>5763</v>
      </c>
      <c r="I3102" s="23">
        <v>3</v>
      </c>
      <c r="J3102" s="40">
        <v>0</v>
      </c>
      <c r="K3102" s="40">
        <v>0</v>
      </c>
      <c r="L3102" s="40" t="s">
        <v>115</v>
      </c>
      <c r="O3102" s="40" t="s">
        <v>115</v>
      </c>
      <c r="Q3102" s="40">
        <v>31</v>
      </c>
      <c r="R3102" s="40">
        <v>166</v>
      </c>
      <c r="X3102" s="40">
        <v>90250513</v>
      </c>
      <c r="Y3102" s="40" t="s">
        <v>115</v>
      </c>
      <c r="Z3102" s="40" t="s">
        <v>115</v>
      </c>
      <c r="AA3102" s="40" t="s">
        <v>115</v>
      </c>
      <c r="AB3102" s="40" t="s">
        <v>115</v>
      </c>
      <c r="AC3102" s="40" t="s">
        <v>115</v>
      </c>
      <c r="AI3102" s="40" t="s">
        <v>115</v>
      </c>
      <c r="AP3102" s="4" t="s">
        <v>115</v>
      </c>
    </row>
    <row r="3103" spans="1:42" x14ac:dyDescent="0.15">
      <c r="A3103" s="40" t="s">
        <v>1</v>
      </c>
      <c r="B3103" s="23">
        <v>90250513</v>
      </c>
      <c r="C3103" s="23">
        <v>2505</v>
      </c>
      <c r="D3103" s="23">
        <v>25</v>
      </c>
      <c r="F3103" s="23" t="s">
        <v>5754</v>
      </c>
      <c r="G3103" s="23" t="s">
        <v>115</v>
      </c>
      <c r="H3103" s="23" t="s">
        <v>5764</v>
      </c>
      <c r="I3103" s="23">
        <v>3</v>
      </c>
      <c r="J3103" s="40">
        <v>0</v>
      </c>
      <c r="K3103" s="40">
        <v>0</v>
      </c>
      <c r="L3103" s="40" t="s">
        <v>115</v>
      </c>
      <c r="O3103" s="40" t="s">
        <v>115</v>
      </c>
      <c r="Q3103" s="40">
        <v>31</v>
      </c>
      <c r="R3103" s="40">
        <v>166</v>
      </c>
      <c r="X3103" s="40">
        <v>90250514</v>
      </c>
      <c r="Y3103" s="40" t="s">
        <v>115</v>
      </c>
      <c r="Z3103" s="40" t="s">
        <v>115</v>
      </c>
      <c r="AA3103" s="40" t="s">
        <v>115</v>
      </c>
      <c r="AB3103" s="40" t="s">
        <v>115</v>
      </c>
      <c r="AC3103" s="40" t="s">
        <v>115</v>
      </c>
      <c r="AI3103" s="40" t="s">
        <v>115</v>
      </c>
      <c r="AP3103" s="4" t="s">
        <v>115</v>
      </c>
    </row>
    <row r="3104" spans="1:42" x14ac:dyDescent="0.15">
      <c r="A3104" s="40" t="s">
        <v>1</v>
      </c>
      <c r="B3104" s="23">
        <v>90250514</v>
      </c>
      <c r="C3104" s="23">
        <v>2505</v>
      </c>
      <c r="D3104" s="23">
        <v>25</v>
      </c>
      <c r="F3104" s="23" t="s">
        <v>5754</v>
      </c>
      <c r="G3104" s="23" t="s">
        <v>115</v>
      </c>
      <c r="H3104" s="23" t="s">
        <v>5765</v>
      </c>
      <c r="I3104" s="23">
        <v>3</v>
      </c>
      <c r="J3104" s="40">
        <v>0</v>
      </c>
      <c r="K3104" s="40">
        <v>0</v>
      </c>
      <c r="L3104" s="40" t="s">
        <v>115</v>
      </c>
      <c r="O3104" s="40" t="s">
        <v>115</v>
      </c>
      <c r="Q3104" s="40">
        <v>31</v>
      </c>
      <c r="R3104" s="40">
        <v>166</v>
      </c>
      <c r="X3104" s="40">
        <v>90250515</v>
      </c>
      <c r="Y3104" s="40" t="s">
        <v>115</v>
      </c>
      <c r="Z3104" s="40" t="s">
        <v>115</v>
      </c>
      <c r="AA3104" s="40" t="s">
        <v>115</v>
      </c>
      <c r="AB3104" s="40" t="s">
        <v>115</v>
      </c>
      <c r="AC3104" s="40" t="s">
        <v>115</v>
      </c>
      <c r="AI3104" s="40" t="s">
        <v>115</v>
      </c>
      <c r="AP3104" s="4" t="s">
        <v>115</v>
      </c>
    </row>
    <row r="3105" spans="1:42" x14ac:dyDescent="0.15">
      <c r="A3105" s="40" t="s">
        <v>1</v>
      </c>
      <c r="B3105" s="23">
        <v>90250515</v>
      </c>
      <c r="C3105" s="23">
        <v>2505</v>
      </c>
      <c r="D3105" s="23">
        <v>25</v>
      </c>
      <c r="F3105" s="23" t="s">
        <v>116</v>
      </c>
      <c r="G3105" s="23">
        <v>313</v>
      </c>
      <c r="H3105" s="23" t="s">
        <v>5766</v>
      </c>
      <c r="I3105" s="23">
        <v>0</v>
      </c>
      <c r="J3105" s="40">
        <v>0</v>
      </c>
      <c r="K3105" s="40">
        <v>0</v>
      </c>
      <c r="L3105" s="40" t="s">
        <v>115</v>
      </c>
      <c r="O3105" s="40" t="s">
        <v>115</v>
      </c>
      <c r="Q3105" s="40">
        <v>31</v>
      </c>
      <c r="R3105" s="40">
        <v>166</v>
      </c>
      <c r="X3105" s="40">
        <v>90250516</v>
      </c>
      <c r="Y3105" s="40" t="s">
        <v>115</v>
      </c>
      <c r="Z3105" s="40" t="s">
        <v>115</v>
      </c>
      <c r="AA3105" s="40" t="s">
        <v>115</v>
      </c>
      <c r="AB3105" s="40" t="s">
        <v>115</v>
      </c>
      <c r="AC3105" s="40" t="s">
        <v>115</v>
      </c>
      <c r="AI3105" s="40" t="s">
        <v>115</v>
      </c>
      <c r="AP3105" s="4" t="s">
        <v>115</v>
      </c>
    </row>
    <row r="3106" spans="1:42" x14ac:dyDescent="0.15">
      <c r="A3106" s="40" t="s">
        <v>1</v>
      </c>
      <c r="B3106" s="23">
        <v>90250516</v>
      </c>
      <c r="C3106" s="23">
        <v>2505</v>
      </c>
      <c r="D3106" s="23">
        <v>25</v>
      </c>
      <c r="F3106" s="23" t="s">
        <v>5754</v>
      </c>
      <c r="G3106" s="23" t="s">
        <v>115</v>
      </c>
      <c r="H3106" s="23" t="s">
        <v>5767</v>
      </c>
      <c r="I3106" s="23">
        <v>3</v>
      </c>
      <c r="J3106" s="40">
        <v>0</v>
      </c>
      <c r="K3106" s="40">
        <v>0</v>
      </c>
      <c r="L3106" s="40" t="s">
        <v>115</v>
      </c>
      <c r="O3106" s="40" t="s">
        <v>115</v>
      </c>
      <c r="Q3106" s="40">
        <v>31</v>
      </c>
      <c r="R3106" s="40">
        <v>166</v>
      </c>
      <c r="X3106" s="40">
        <v>90250517</v>
      </c>
      <c r="Y3106" s="40" t="s">
        <v>115</v>
      </c>
      <c r="Z3106" s="40" t="s">
        <v>115</v>
      </c>
      <c r="AA3106" s="40" t="s">
        <v>115</v>
      </c>
      <c r="AB3106" s="40" t="s">
        <v>115</v>
      </c>
      <c r="AC3106" s="40" t="s">
        <v>115</v>
      </c>
      <c r="AI3106" s="40" t="s">
        <v>115</v>
      </c>
      <c r="AP3106" s="4" t="s">
        <v>115</v>
      </c>
    </row>
    <row r="3107" spans="1:42" x14ac:dyDescent="0.15">
      <c r="A3107" s="40" t="s">
        <v>1</v>
      </c>
      <c r="B3107" s="23">
        <v>90250517</v>
      </c>
      <c r="C3107" s="23">
        <v>2505</v>
      </c>
      <c r="D3107" s="23">
        <v>25</v>
      </c>
      <c r="F3107" s="23" t="s">
        <v>116</v>
      </c>
      <c r="G3107" s="23">
        <v>312</v>
      </c>
      <c r="H3107" s="23" t="s">
        <v>5768</v>
      </c>
      <c r="I3107" s="23">
        <v>0</v>
      </c>
      <c r="J3107" s="40">
        <v>0</v>
      </c>
      <c r="K3107" s="40">
        <v>0</v>
      </c>
      <c r="L3107" s="40" t="s">
        <v>115</v>
      </c>
      <c r="O3107" s="40" t="s">
        <v>115</v>
      </c>
      <c r="Q3107" s="40">
        <v>31</v>
      </c>
      <c r="R3107" s="40">
        <v>166</v>
      </c>
      <c r="X3107" s="40">
        <v>90250518</v>
      </c>
      <c r="Y3107" s="40" t="s">
        <v>115</v>
      </c>
      <c r="Z3107" s="40" t="s">
        <v>115</v>
      </c>
      <c r="AA3107" s="40" t="s">
        <v>115</v>
      </c>
      <c r="AB3107" s="40" t="s">
        <v>115</v>
      </c>
      <c r="AC3107" s="40" t="s">
        <v>115</v>
      </c>
      <c r="AI3107" s="40" t="s">
        <v>115</v>
      </c>
      <c r="AP3107" s="4" t="s">
        <v>115</v>
      </c>
    </row>
    <row r="3108" spans="1:42" x14ac:dyDescent="0.15">
      <c r="A3108" s="40" t="s">
        <v>1</v>
      </c>
      <c r="B3108" s="23">
        <v>90250518</v>
      </c>
      <c r="C3108" s="23">
        <v>2505</v>
      </c>
      <c r="D3108" s="23">
        <v>25</v>
      </c>
      <c r="F3108" s="23" t="s">
        <v>5754</v>
      </c>
      <c r="G3108" s="23" t="s">
        <v>115</v>
      </c>
      <c r="H3108" s="23" t="s">
        <v>5769</v>
      </c>
      <c r="I3108" s="23">
        <v>3</v>
      </c>
      <c r="J3108" s="40">
        <v>0</v>
      </c>
      <c r="K3108" s="40">
        <v>0</v>
      </c>
      <c r="L3108" s="40" t="s">
        <v>115</v>
      </c>
      <c r="O3108" s="40" t="s">
        <v>115</v>
      </c>
      <c r="Q3108" s="40">
        <v>31</v>
      </c>
      <c r="R3108" s="40">
        <v>166</v>
      </c>
      <c r="X3108" s="40">
        <v>90250519</v>
      </c>
      <c r="Y3108" s="40" t="s">
        <v>115</v>
      </c>
      <c r="Z3108" s="40" t="s">
        <v>115</v>
      </c>
      <c r="AA3108" s="40" t="s">
        <v>115</v>
      </c>
      <c r="AB3108" s="40" t="s">
        <v>115</v>
      </c>
      <c r="AC3108" s="40" t="s">
        <v>115</v>
      </c>
      <c r="AI3108" s="40" t="s">
        <v>115</v>
      </c>
      <c r="AP3108" s="4" t="s">
        <v>115</v>
      </c>
    </row>
    <row r="3109" spans="1:42" x14ac:dyDescent="0.15">
      <c r="A3109" s="40" t="s">
        <v>1</v>
      </c>
      <c r="B3109" s="23">
        <v>90250519</v>
      </c>
      <c r="C3109" s="23">
        <v>2505</v>
      </c>
      <c r="D3109" s="23">
        <v>25</v>
      </c>
      <c r="F3109" s="23" t="s">
        <v>116</v>
      </c>
      <c r="G3109" s="23">
        <v>313</v>
      </c>
      <c r="H3109" s="23" t="s">
        <v>5770</v>
      </c>
      <c r="I3109" s="23">
        <v>2</v>
      </c>
      <c r="J3109" s="40">
        <v>0</v>
      </c>
      <c r="K3109" s="40">
        <v>5</v>
      </c>
      <c r="L3109" s="40" t="s">
        <v>5771</v>
      </c>
      <c r="O3109" s="40" t="s">
        <v>115</v>
      </c>
      <c r="Q3109" s="40">
        <v>31</v>
      </c>
      <c r="R3109" s="40">
        <v>166</v>
      </c>
      <c r="X3109" s="40">
        <v>90250520</v>
      </c>
      <c r="Y3109" s="40" t="s">
        <v>115</v>
      </c>
      <c r="Z3109" s="40">
        <v>4</v>
      </c>
      <c r="AA3109" s="40" t="s">
        <v>115</v>
      </c>
      <c r="AB3109" s="40" t="s">
        <v>115</v>
      </c>
      <c r="AC3109" s="40" t="s">
        <v>115</v>
      </c>
      <c r="AI3109" s="40" t="s">
        <v>115</v>
      </c>
      <c r="AP3109" s="4" t="s">
        <v>115</v>
      </c>
    </row>
    <row r="3110" spans="1:42" x14ac:dyDescent="0.15">
      <c r="A3110" s="40" t="s">
        <v>1</v>
      </c>
      <c r="B3110" s="23">
        <v>90250520</v>
      </c>
      <c r="C3110" s="23">
        <v>2505</v>
      </c>
      <c r="D3110" s="23">
        <v>25</v>
      </c>
      <c r="F3110" s="23" t="s">
        <v>5754</v>
      </c>
      <c r="G3110" s="23" t="s">
        <v>115</v>
      </c>
      <c r="H3110" s="23" t="s">
        <v>5772</v>
      </c>
      <c r="I3110" s="23">
        <v>3</v>
      </c>
      <c r="J3110" s="40">
        <v>0</v>
      </c>
      <c r="K3110" s="40">
        <v>0</v>
      </c>
      <c r="L3110" s="40" t="s">
        <v>115</v>
      </c>
      <c r="O3110" s="40" t="s">
        <v>115</v>
      </c>
      <c r="Q3110" s="40">
        <v>31</v>
      </c>
      <c r="R3110" s="40">
        <v>166</v>
      </c>
      <c r="X3110" s="40">
        <v>90250521</v>
      </c>
      <c r="Y3110" s="40" t="s">
        <v>115</v>
      </c>
      <c r="Z3110" s="40" t="s">
        <v>115</v>
      </c>
      <c r="AA3110" s="40" t="s">
        <v>115</v>
      </c>
      <c r="AB3110" s="40" t="s">
        <v>115</v>
      </c>
      <c r="AC3110" s="40" t="s">
        <v>115</v>
      </c>
      <c r="AI3110" s="40" t="s">
        <v>115</v>
      </c>
      <c r="AP3110" s="4" t="s">
        <v>115</v>
      </c>
    </row>
    <row r="3111" spans="1:42" x14ac:dyDescent="0.15">
      <c r="A3111" s="40" t="s">
        <v>1</v>
      </c>
      <c r="B3111" s="23">
        <v>90250521</v>
      </c>
      <c r="C3111" s="23">
        <v>2505</v>
      </c>
      <c r="D3111" s="23">
        <v>25</v>
      </c>
      <c r="F3111" s="23" t="s">
        <v>115</v>
      </c>
      <c r="G3111" s="23" t="s">
        <v>115</v>
      </c>
      <c r="H3111" s="23" t="s">
        <v>5773</v>
      </c>
      <c r="I3111" s="23">
        <v>4</v>
      </c>
      <c r="J3111" s="40">
        <v>0</v>
      </c>
      <c r="K3111" s="40">
        <v>0</v>
      </c>
      <c r="L3111" s="40" t="s">
        <v>115</v>
      </c>
      <c r="O3111" s="40" t="s">
        <v>115</v>
      </c>
      <c r="Q3111" s="40">
        <v>31</v>
      </c>
      <c r="R3111" s="40">
        <v>166</v>
      </c>
      <c r="X3111" s="40">
        <v>90250522</v>
      </c>
      <c r="Y3111" s="40" t="s">
        <v>115</v>
      </c>
      <c r="Z3111" s="40" t="s">
        <v>115</v>
      </c>
      <c r="AA3111" s="40" t="s">
        <v>115</v>
      </c>
      <c r="AB3111" s="40" t="s">
        <v>115</v>
      </c>
      <c r="AC3111" s="40" t="s">
        <v>115</v>
      </c>
      <c r="AI3111" s="40" t="s">
        <v>115</v>
      </c>
      <c r="AP3111" s="4" t="s">
        <v>115</v>
      </c>
    </row>
    <row r="3112" spans="1:42" x14ac:dyDescent="0.15">
      <c r="A3112" s="40" t="s">
        <v>1</v>
      </c>
      <c r="B3112" s="23">
        <v>90250522</v>
      </c>
      <c r="C3112" s="23">
        <v>2505</v>
      </c>
      <c r="D3112" s="23">
        <v>25</v>
      </c>
      <c r="F3112" s="23" t="s">
        <v>116</v>
      </c>
      <c r="G3112" s="23">
        <v>312</v>
      </c>
      <c r="H3112" s="23" t="s">
        <v>5774</v>
      </c>
      <c r="I3112" s="23">
        <v>0</v>
      </c>
      <c r="J3112" s="40">
        <v>0</v>
      </c>
      <c r="K3112" s="40">
        <v>0</v>
      </c>
      <c r="L3112" s="40" t="s">
        <v>115</v>
      </c>
      <c r="O3112" s="40" t="s">
        <v>115</v>
      </c>
      <c r="Q3112" s="40">
        <v>31</v>
      </c>
      <c r="R3112" s="40">
        <v>166</v>
      </c>
      <c r="X3112" s="40">
        <v>90250523</v>
      </c>
      <c r="Y3112" s="40" t="s">
        <v>115</v>
      </c>
      <c r="Z3112" s="40" t="s">
        <v>115</v>
      </c>
      <c r="AA3112" s="40" t="s">
        <v>115</v>
      </c>
      <c r="AB3112" s="40" t="s">
        <v>115</v>
      </c>
      <c r="AC3112" s="40" t="s">
        <v>115</v>
      </c>
      <c r="AI3112" s="40" t="s">
        <v>115</v>
      </c>
      <c r="AP3112" s="4" t="s">
        <v>115</v>
      </c>
    </row>
    <row r="3113" spans="1:42" x14ac:dyDescent="0.15">
      <c r="A3113" s="40" t="s">
        <v>1</v>
      </c>
      <c r="B3113" s="23">
        <v>90250523</v>
      </c>
      <c r="C3113" s="23">
        <v>2505</v>
      </c>
      <c r="D3113" s="23">
        <v>25</v>
      </c>
      <c r="F3113" s="23" t="s">
        <v>5754</v>
      </c>
      <c r="G3113" s="23" t="s">
        <v>115</v>
      </c>
      <c r="H3113" s="23" t="s">
        <v>5775</v>
      </c>
      <c r="I3113" s="23">
        <v>3</v>
      </c>
      <c r="J3113" s="40">
        <v>0</v>
      </c>
      <c r="K3113" s="40">
        <v>0</v>
      </c>
      <c r="L3113" s="40" t="s">
        <v>115</v>
      </c>
      <c r="O3113" s="40" t="s">
        <v>115</v>
      </c>
      <c r="Q3113" s="40">
        <v>31</v>
      </c>
      <c r="R3113" s="40">
        <v>166</v>
      </c>
      <c r="X3113" s="40">
        <v>90250524</v>
      </c>
      <c r="Y3113" s="40" t="s">
        <v>115</v>
      </c>
      <c r="Z3113" s="40" t="s">
        <v>115</v>
      </c>
      <c r="AA3113" s="40" t="s">
        <v>115</v>
      </c>
      <c r="AB3113" s="40" t="s">
        <v>115</v>
      </c>
      <c r="AC3113" s="40" t="s">
        <v>115</v>
      </c>
      <c r="AI3113" s="40" t="s">
        <v>115</v>
      </c>
      <c r="AP3113" s="4" t="s">
        <v>115</v>
      </c>
    </row>
    <row r="3114" spans="1:42" x14ac:dyDescent="0.15">
      <c r="A3114" s="40" t="s">
        <v>1</v>
      </c>
      <c r="B3114" s="23">
        <v>90250524</v>
      </c>
      <c r="C3114" s="23">
        <v>2505</v>
      </c>
      <c r="D3114" s="23">
        <v>25</v>
      </c>
      <c r="F3114" s="23" t="s">
        <v>115</v>
      </c>
      <c r="G3114" s="23" t="s">
        <v>115</v>
      </c>
      <c r="H3114" s="23" t="s">
        <v>5776</v>
      </c>
      <c r="I3114" s="23">
        <v>4</v>
      </c>
      <c r="J3114" s="40">
        <v>0</v>
      </c>
      <c r="K3114" s="40">
        <v>0</v>
      </c>
      <c r="L3114" s="40" t="s">
        <v>115</v>
      </c>
      <c r="O3114" s="40" t="s">
        <v>115</v>
      </c>
      <c r="Q3114" s="40">
        <v>31</v>
      </c>
      <c r="R3114" s="40">
        <v>166</v>
      </c>
      <c r="X3114" s="40">
        <v>90250525</v>
      </c>
      <c r="Y3114" s="40" t="s">
        <v>115</v>
      </c>
      <c r="Z3114" s="40" t="s">
        <v>115</v>
      </c>
      <c r="AA3114" s="40" t="s">
        <v>115</v>
      </c>
      <c r="AB3114" s="40" t="s">
        <v>115</v>
      </c>
      <c r="AC3114" s="40" t="s">
        <v>115</v>
      </c>
      <c r="AI3114" s="40" t="s">
        <v>115</v>
      </c>
      <c r="AP3114" s="4" t="s">
        <v>115</v>
      </c>
    </row>
    <row r="3115" spans="1:42" x14ac:dyDescent="0.15">
      <c r="A3115" s="40" t="s">
        <v>1</v>
      </c>
      <c r="B3115" s="23">
        <v>90250525</v>
      </c>
      <c r="C3115" s="23">
        <v>2505</v>
      </c>
      <c r="D3115" s="23">
        <v>25</v>
      </c>
      <c r="F3115" s="23" t="s">
        <v>5754</v>
      </c>
      <c r="G3115" s="23" t="s">
        <v>115</v>
      </c>
      <c r="H3115" s="23" t="s">
        <v>5777</v>
      </c>
      <c r="I3115" s="23">
        <v>3</v>
      </c>
      <c r="J3115" s="40">
        <v>0</v>
      </c>
      <c r="K3115" s="40">
        <v>6</v>
      </c>
      <c r="L3115" s="40" t="s">
        <v>115</v>
      </c>
      <c r="O3115" s="40">
        <v>1</v>
      </c>
      <c r="Q3115" s="40">
        <v>31</v>
      </c>
      <c r="R3115" s="40">
        <v>166</v>
      </c>
      <c r="X3115" s="40" t="s">
        <v>115</v>
      </c>
      <c r="Y3115" s="40" t="s">
        <v>115</v>
      </c>
      <c r="Z3115" s="40">
        <v>5</v>
      </c>
      <c r="AA3115" s="40" t="s">
        <v>115</v>
      </c>
      <c r="AB3115" s="40" t="s">
        <v>115</v>
      </c>
      <c r="AC3115" s="40" t="s">
        <v>115</v>
      </c>
      <c r="AI3115" s="40" t="s">
        <v>115</v>
      </c>
      <c r="AP3115" s="4" t="s">
        <v>115</v>
      </c>
    </row>
    <row r="3116" spans="1:42" x14ac:dyDescent="0.15">
      <c r="A3116" s="40" t="s">
        <v>1</v>
      </c>
      <c r="B3116" s="23" t="s">
        <v>4884</v>
      </c>
      <c r="C3116" s="23">
        <v>2506</v>
      </c>
      <c r="D3116" s="23">
        <v>25</v>
      </c>
      <c r="F3116" s="23" t="s">
        <v>115</v>
      </c>
      <c r="G3116" s="23" t="s">
        <v>115</v>
      </c>
      <c r="H3116" s="23" t="s">
        <v>5778</v>
      </c>
      <c r="I3116" s="23">
        <v>4</v>
      </c>
      <c r="J3116" s="40">
        <v>1</v>
      </c>
      <c r="K3116" s="40">
        <v>1</v>
      </c>
      <c r="L3116" s="40" t="s">
        <v>115</v>
      </c>
      <c r="O3116" s="40" t="s">
        <v>115</v>
      </c>
      <c r="Q3116" s="40">
        <v>118</v>
      </c>
      <c r="R3116" s="40" t="s">
        <v>115</v>
      </c>
      <c r="X3116" s="40">
        <v>90250602</v>
      </c>
      <c r="Y3116" s="40" t="s">
        <v>115</v>
      </c>
      <c r="Z3116" s="40" t="s">
        <v>115</v>
      </c>
      <c r="AA3116" s="40" t="s">
        <v>115</v>
      </c>
      <c r="AB3116" s="40" t="s">
        <v>115</v>
      </c>
      <c r="AC3116" s="40" t="s">
        <v>115</v>
      </c>
      <c r="AI3116" s="40" t="s">
        <v>115</v>
      </c>
      <c r="AP3116" s="4" t="s">
        <v>115</v>
      </c>
    </row>
    <row r="3117" spans="1:42" x14ac:dyDescent="0.15">
      <c r="A3117" s="40" t="s">
        <v>1</v>
      </c>
      <c r="B3117" s="23">
        <v>90250602</v>
      </c>
      <c r="C3117" s="23">
        <v>2506</v>
      </c>
      <c r="D3117" s="23">
        <v>25</v>
      </c>
      <c r="F3117" s="23" t="s">
        <v>116</v>
      </c>
      <c r="G3117" s="23">
        <v>312</v>
      </c>
      <c r="H3117" s="23" t="s">
        <v>5779</v>
      </c>
      <c r="I3117" s="23">
        <v>2</v>
      </c>
      <c r="J3117" s="40">
        <v>0</v>
      </c>
      <c r="K3117" s="40">
        <v>0</v>
      </c>
      <c r="L3117" s="40" t="s">
        <v>115</v>
      </c>
      <c r="O3117" s="40" t="s">
        <v>115</v>
      </c>
      <c r="Q3117" s="40">
        <v>118</v>
      </c>
      <c r="R3117" s="40" t="s">
        <v>115</v>
      </c>
      <c r="X3117" s="40">
        <v>90250603</v>
      </c>
      <c r="Y3117" s="40" t="s">
        <v>115</v>
      </c>
      <c r="Z3117" s="40" t="s">
        <v>115</v>
      </c>
      <c r="AA3117" s="40" t="s">
        <v>115</v>
      </c>
      <c r="AB3117" s="40" t="s">
        <v>115</v>
      </c>
      <c r="AC3117" s="40" t="s">
        <v>115</v>
      </c>
      <c r="AI3117" s="40" t="s">
        <v>115</v>
      </c>
      <c r="AP3117" s="4" t="s">
        <v>115</v>
      </c>
    </row>
    <row r="3118" spans="1:42" x14ac:dyDescent="0.15">
      <c r="A3118" s="40" t="s">
        <v>1</v>
      </c>
      <c r="B3118" s="23">
        <v>90250603</v>
      </c>
      <c r="C3118" s="23">
        <v>2506</v>
      </c>
      <c r="D3118" s="23">
        <v>25</v>
      </c>
      <c r="F3118" s="23" t="s">
        <v>5780</v>
      </c>
      <c r="G3118" s="23" t="s">
        <v>115</v>
      </c>
      <c r="H3118" s="23" t="s">
        <v>5781</v>
      </c>
      <c r="I3118" s="23">
        <v>3</v>
      </c>
      <c r="J3118" s="40">
        <v>0</v>
      </c>
      <c r="K3118" s="40">
        <v>0</v>
      </c>
      <c r="L3118" s="40" t="s">
        <v>115</v>
      </c>
      <c r="O3118" s="40" t="s">
        <v>115</v>
      </c>
      <c r="Q3118" s="40">
        <v>118</v>
      </c>
      <c r="R3118" s="40">
        <v>99</v>
      </c>
      <c r="X3118" s="40">
        <v>90250604</v>
      </c>
      <c r="Y3118" s="40" t="s">
        <v>115</v>
      </c>
      <c r="Z3118" s="40" t="s">
        <v>115</v>
      </c>
      <c r="AA3118" s="40" t="s">
        <v>115</v>
      </c>
      <c r="AB3118" s="40" t="s">
        <v>115</v>
      </c>
      <c r="AC3118" s="40" t="s">
        <v>115</v>
      </c>
      <c r="AI3118" s="40" t="s">
        <v>115</v>
      </c>
      <c r="AP3118" s="4" t="s">
        <v>115</v>
      </c>
    </row>
    <row r="3119" spans="1:42" x14ac:dyDescent="0.15">
      <c r="A3119" s="40" t="s">
        <v>1</v>
      </c>
      <c r="B3119" s="23">
        <v>90250604</v>
      </c>
      <c r="C3119" s="23">
        <v>2506</v>
      </c>
      <c r="D3119" s="23">
        <v>25</v>
      </c>
      <c r="F3119" s="23" t="s">
        <v>5782</v>
      </c>
      <c r="G3119" s="23" t="s">
        <v>115</v>
      </c>
      <c r="H3119" s="23" t="s">
        <v>5783</v>
      </c>
      <c r="I3119" s="23">
        <v>3</v>
      </c>
      <c r="J3119" s="40">
        <v>0</v>
      </c>
      <c r="K3119" s="40">
        <v>0</v>
      </c>
      <c r="L3119" s="40" t="s">
        <v>115</v>
      </c>
      <c r="O3119" s="40" t="s">
        <v>115</v>
      </c>
      <c r="Q3119" s="40">
        <v>118</v>
      </c>
      <c r="R3119" s="40">
        <v>130</v>
      </c>
      <c r="X3119" s="40">
        <v>90250605</v>
      </c>
      <c r="Y3119" s="40" t="s">
        <v>115</v>
      </c>
      <c r="Z3119" s="40" t="s">
        <v>115</v>
      </c>
      <c r="AA3119" s="40" t="s">
        <v>115</v>
      </c>
      <c r="AB3119" s="40" t="s">
        <v>115</v>
      </c>
      <c r="AC3119" s="40" t="s">
        <v>115</v>
      </c>
      <c r="AI3119" s="40" t="s">
        <v>115</v>
      </c>
      <c r="AP3119" s="4" t="s">
        <v>115</v>
      </c>
    </row>
    <row r="3120" spans="1:42" x14ac:dyDescent="0.15">
      <c r="A3120" s="40" t="s">
        <v>1</v>
      </c>
      <c r="B3120" s="23">
        <v>90250605</v>
      </c>
      <c r="C3120" s="23">
        <v>2506</v>
      </c>
      <c r="D3120" s="23">
        <v>25</v>
      </c>
      <c r="F3120" s="23" t="s">
        <v>5784</v>
      </c>
      <c r="G3120" s="23" t="s">
        <v>115</v>
      </c>
      <c r="H3120" s="23" t="s">
        <v>5785</v>
      </c>
      <c r="I3120" s="23">
        <v>3</v>
      </c>
      <c r="J3120" s="40">
        <v>0</v>
      </c>
      <c r="K3120" s="40">
        <v>0</v>
      </c>
      <c r="L3120" s="40" t="s">
        <v>115</v>
      </c>
      <c r="O3120" s="40" t="s">
        <v>115</v>
      </c>
      <c r="Q3120" s="40">
        <v>118</v>
      </c>
      <c r="R3120" s="40">
        <v>100</v>
      </c>
      <c r="X3120" s="40">
        <v>90250606</v>
      </c>
      <c r="Y3120" s="40" t="s">
        <v>115</v>
      </c>
      <c r="Z3120" s="40" t="s">
        <v>115</v>
      </c>
      <c r="AA3120" s="40" t="s">
        <v>115</v>
      </c>
      <c r="AB3120" s="40" t="s">
        <v>115</v>
      </c>
      <c r="AC3120" s="40" t="s">
        <v>115</v>
      </c>
      <c r="AI3120" s="40" t="s">
        <v>115</v>
      </c>
      <c r="AP3120" s="4" t="s">
        <v>115</v>
      </c>
    </row>
    <row r="3121" spans="1:42" x14ac:dyDescent="0.15">
      <c r="A3121" s="40" t="s">
        <v>1</v>
      </c>
      <c r="B3121" s="23">
        <v>90250606</v>
      </c>
      <c r="C3121" s="23">
        <v>2506</v>
      </c>
      <c r="D3121" s="23">
        <v>25</v>
      </c>
      <c r="F3121" s="23" t="s">
        <v>5782</v>
      </c>
      <c r="G3121" s="23" t="s">
        <v>115</v>
      </c>
      <c r="H3121" s="23" t="s">
        <v>5786</v>
      </c>
      <c r="I3121" s="23">
        <v>3</v>
      </c>
      <c r="J3121" s="40">
        <v>0</v>
      </c>
      <c r="K3121" s="40">
        <v>0</v>
      </c>
      <c r="L3121" s="40" t="s">
        <v>115</v>
      </c>
      <c r="O3121" s="40" t="s">
        <v>115</v>
      </c>
      <c r="Q3121" s="40">
        <v>118</v>
      </c>
      <c r="R3121" s="40">
        <v>130</v>
      </c>
      <c r="X3121" s="40">
        <v>90250607</v>
      </c>
      <c r="Y3121" s="40" t="s">
        <v>115</v>
      </c>
      <c r="Z3121" s="40" t="s">
        <v>115</v>
      </c>
      <c r="AA3121" s="40" t="s">
        <v>115</v>
      </c>
      <c r="AB3121" s="40" t="s">
        <v>115</v>
      </c>
      <c r="AC3121" s="40" t="s">
        <v>115</v>
      </c>
      <c r="AI3121" s="40" t="s">
        <v>115</v>
      </c>
      <c r="AP3121" s="4" t="s">
        <v>115</v>
      </c>
    </row>
    <row r="3122" spans="1:42" x14ac:dyDescent="0.15">
      <c r="A3122" s="40" t="s">
        <v>1</v>
      </c>
      <c r="B3122" s="23">
        <v>90250607</v>
      </c>
      <c r="C3122" s="23">
        <v>2506</v>
      </c>
      <c r="D3122" s="23">
        <v>25</v>
      </c>
      <c r="F3122" s="23" t="s">
        <v>5784</v>
      </c>
      <c r="G3122" s="23" t="s">
        <v>115</v>
      </c>
      <c r="H3122" s="23" t="s">
        <v>5787</v>
      </c>
      <c r="I3122" s="23">
        <v>3</v>
      </c>
      <c r="J3122" s="40">
        <v>0</v>
      </c>
      <c r="K3122" s="40">
        <v>0</v>
      </c>
      <c r="L3122" s="40" t="s">
        <v>115</v>
      </c>
      <c r="O3122" s="40" t="s">
        <v>115</v>
      </c>
      <c r="Q3122" s="40">
        <v>118</v>
      </c>
      <c r="R3122" s="40">
        <v>100</v>
      </c>
      <c r="X3122" s="40">
        <v>90250608</v>
      </c>
      <c r="Y3122" s="40" t="s">
        <v>115</v>
      </c>
      <c r="Z3122" s="40" t="s">
        <v>115</v>
      </c>
      <c r="AA3122" s="40" t="s">
        <v>115</v>
      </c>
      <c r="AB3122" s="40" t="s">
        <v>115</v>
      </c>
      <c r="AC3122" s="40" t="s">
        <v>115</v>
      </c>
      <c r="AI3122" s="40" t="s">
        <v>115</v>
      </c>
      <c r="AP3122" s="4" t="s">
        <v>115</v>
      </c>
    </row>
    <row r="3123" spans="1:42" x14ac:dyDescent="0.15">
      <c r="A3123" s="40" t="s">
        <v>1</v>
      </c>
      <c r="B3123" s="23">
        <v>90250608</v>
      </c>
      <c r="C3123" s="23">
        <v>2506</v>
      </c>
      <c r="D3123" s="23">
        <v>25</v>
      </c>
      <c r="F3123" s="23" t="s">
        <v>115</v>
      </c>
      <c r="G3123" s="23" t="s">
        <v>115</v>
      </c>
      <c r="H3123" s="23" t="s">
        <v>5788</v>
      </c>
      <c r="I3123" s="23">
        <v>4</v>
      </c>
      <c r="J3123" s="40">
        <v>0</v>
      </c>
      <c r="K3123" s="40">
        <v>0</v>
      </c>
      <c r="L3123" s="40" t="s">
        <v>115</v>
      </c>
      <c r="O3123" s="40" t="s">
        <v>115</v>
      </c>
      <c r="Q3123" s="40">
        <v>118</v>
      </c>
      <c r="R3123" s="40" t="s">
        <v>115</v>
      </c>
      <c r="X3123" s="40">
        <v>90250609</v>
      </c>
      <c r="Y3123" s="40" t="s">
        <v>115</v>
      </c>
      <c r="Z3123" s="40" t="s">
        <v>115</v>
      </c>
      <c r="AA3123" s="40" t="s">
        <v>115</v>
      </c>
      <c r="AB3123" s="40" t="s">
        <v>115</v>
      </c>
      <c r="AC3123" s="40" t="s">
        <v>115</v>
      </c>
      <c r="AI3123" s="40" t="s">
        <v>115</v>
      </c>
      <c r="AP3123" s="4" t="s">
        <v>115</v>
      </c>
    </row>
    <row r="3124" spans="1:42" x14ac:dyDescent="0.15">
      <c r="A3124" s="40" t="s">
        <v>1</v>
      </c>
      <c r="B3124" s="23">
        <v>90250609</v>
      </c>
      <c r="C3124" s="23">
        <v>2506</v>
      </c>
      <c r="D3124" s="23">
        <v>25</v>
      </c>
      <c r="F3124" s="23" t="s">
        <v>116</v>
      </c>
      <c r="G3124" s="23">
        <v>312</v>
      </c>
      <c r="H3124" s="23" t="s">
        <v>5789</v>
      </c>
      <c r="I3124" s="23">
        <v>2</v>
      </c>
      <c r="J3124" s="40">
        <v>0</v>
      </c>
      <c r="K3124" s="40">
        <v>0</v>
      </c>
      <c r="L3124" s="40" t="s">
        <v>115</v>
      </c>
      <c r="O3124" s="40" t="s">
        <v>115</v>
      </c>
      <c r="Q3124" s="40">
        <v>118</v>
      </c>
      <c r="R3124" s="40" t="s">
        <v>115</v>
      </c>
      <c r="X3124" s="40">
        <v>90250610</v>
      </c>
      <c r="Y3124" s="40" t="s">
        <v>115</v>
      </c>
      <c r="Z3124" s="40" t="s">
        <v>115</v>
      </c>
      <c r="AA3124" s="40" t="s">
        <v>115</v>
      </c>
      <c r="AB3124" s="40" t="s">
        <v>115</v>
      </c>
      <c r="AC3124" s="40" t="s">
        <v>115</v>
      </c>
      <c r="AI3124" s="40" t="s">
        <v>115</v>
      </c>
      <c r="AP3124" s="4" t="s">
        <v>115</v>
      </c>
    </row>
    <row r="3125" spans="1:42" x14ac:dyDescent="0.15">
      <c r="A3125" s="40" t="s">
        <v>1</v>
      </c>
      <c r="B3125" s="23">
        <v>90250610</v>
      </c>
      <c r="C3125" s="23">
        <v>2506</v>
      </c>
      <c r="D3125" s="23">
        <v>25</v>
      </c>
      <c r="F3125" s="23" t="s">
        <v>115</v>
      </c>
      <c r="G3125" s="23" t="s">
        <v>115</v>
      </c>
      <c r="H3125" s="23" t="s">
        <v>5790</v>
      </c>
      <c r="I3125" s="23">
        <v>4</v>
      </c>
      <c r="J3125" s="40">
        <v>0</v>
      </c>
      <c r="K3125" s="40">
        <v>2</v>
      </c>
      <c r="L3125" s="40" t="s">
        <v>115</v>
      </c>
      <c r="O3125" s="40" t="s">
        <v>115</v>
      </c>
      <c r="Q3125" s="40">
        <v>118</v>
      </c>
      <c r="R3125" s="40" t="s">
        <v>115</v>
      </c>
      <c r="X3125" s="40" t="s">
        <v>5791</v>
      </c>
      <c r="Y3125" s="40">
        <v>1</v>
      </c>
      <c r="Z3125" s="40">
        <v>1</v>
      </c>
      <c r="AA3125" s="40" t="s">
        <v>115</v>
      </c>
      <c r="AB3125" s="40" t="s">
        <v>115</v>
      </c>
      <c r="AC3125" s="40" t="s">
        <v>115</v>
      </c>
      <c r="AI3125" s="40" t="s">
        <v>115</v>
      </c>
      <c r="AP3125" s="4" t="s">
        <v>115</v>
      </c>
    </row>
    <row r="3126" spans="1:42" x14ac:dyDescent="0.15">
      <c r="A3126" s="40" t="s">
        <v>1</v>
      </c>
      <c r="B3126" s="23">
        <v>90250611</v>
      </c>
      <c r="C3126" s="23">
        <v>2506</v>
      </c>
      <c r="D3126" s="23">
        <v>25</v>
      </c>
      <c r="F3126" s="23" t="s">
        <v>115</v>
      </c>
      <c r="G3126" s="23" t="s">
        <v>115</v>
      </c>
      <c r="H3126" s="23" t="s">
        <v>5792</v>
      </c>
      <c r="I3126" s="23">
        <v>4</v>
      </c>
      <c r="J3126" s="40">
        <v>0</v>
      </c>
      <c r="K3126" s="40">
        <v>3</v>
      </c>
      <c r="L3126" s="40" t="s">
        <v>115</v>
      </c>
      <c r="O3126" s="40" t="s">
        <v>115</v>
      </c>
      <c r="Q3126" s="40">
        <v>118</v>
      </c>
      <c r="R3126" s="40" t="s">
        <v>115</v>
      </c>
      <c r="X3126" s="40">
        <v>90250612</v>
      </c>
      <c r="Y3126" s="40">
        <v>-1</v>
      </c>
      <c r="Z3126" s="40">
        <v>2</v>
      </c>
      <c r="AA3126" s="40" t="s">
        <v>115</v>
      </c>
      <c r="AB3126" s="40" t="s">
        <v>115</v>
      </c>
      <c r="AC3126" s="40" t="s">
        <v>5793</v>
      </c>
      <c r="AI3126" s="40" t="s">
        <v>115</v>
      </c>
      <c r="AP3126" s="4" t="s">
        <v>115</v>
      </c>
    </row>
    <row r="3127" spans="1:42" x14ac:dyDescent="0.15">
      <c r="A3127" s="40" t="s">
        <v>1</v>
      </c>
      <c r="B3127" s="23">
        <v>90250612</v>
      </c>
      <c r="C3127" s="23">
        <v>2506</v>
      </c>
      <c r="D3127" s="23">
        <v>25</v>
      </c>
      <c r="F3127" s="23" t="s">
        <v>115</v>
      </c>
      <c r="G3127" s="23" t="s">
        <v>115</v>
      </c>
      <c r="H3127" s="23" t="s">
        <v>5794</v>
      </c>
      <c r="I3127" s="23">
        <v>4</v>
      </c>
      <c r="J3127" s="40">
        <v>0</v>
      </c>
      <c r="K3127" s="40">
        <v>0</v>
      </c>
      <c r="L3127" s="40" t="s">
        <v>115</v>
      </c>
      <c r="O3127" s="40" t="s">
        <v>115</v>
      </c>
      <c r="Q3127" s="40">
        <v>171</v>
      </c>
      <c r="R3127" s="40">
        <v>255</v>
      </c>
      <c r="X3127" s="40">
        <v>90250613</v>
      </c>
      <c r="Y3127" s="40" t="s">
        <v>115</v>
      </c>
      <c r="Z3127" s="40" t="s">
        <v>115</v>
      </c>
      <c r="AA3127" s="40" t="s">
        <v>115</v>
      </c>
      <c r="AB3127" s="40" t="s">
        <v>115</v>
      </c>
      <c r="AC3127" s="40" t="s">
        <v>115</v>
      </c>
      <c r="AI3127" s="40" t="s">
        <v>115</v>
      </c>
      <c r="AP3127" s="4" t="s">
        <v>115</v>
      </c>
    </row>
    <row r="3128" spans="1:42" x14ac:dyDescent="0.15">
      <c r="A3128" s="40" t="s">
        <v>1</v>
      </c>
      <c r="B3128" s="23">
        <v>90250613</v>
      </c>
      <c r="C3128" s="23">
        <v>2506</v>
      </c>
      <c r="D3128" s="23">
        <v>25</v>
      </c>
      <c r="F3128" s="23" t="s">
        <v>116</v>
      </c>
      <c r="G3128" s="23">
        <v>312</v>
      </c>
      <c r="H3128" s="23" t="s">
        <v>5795</v>
      </c>
      <c r="I3128" s="23">
        <v>0</v>
      </c>
      <c r="J3128" s="40">
        <v>0</v>
      </c>
      <c r="K3128" s="40">
        <v>0</v>
      </c>
      <c r="L3128" s="40" t="s">
        <v>115</v>
      </c>
      <c r="O3128" s="40" t="s">
        <v>115</v>
      </c>
      <c r="Q3128" s="40">
        <v>171</v>
      </c>
      <c r="R3128" s="40">
        <v>255</v>
      </c>
      <c r="X3128" s="40">
        <v>90250614</v>
      </c>
      <c r="Y3128" s="40" t="s">
        <v>115</v>
      </c>
      <c r="Z3128" s="40" t="s">
        <v>115</v>
      </c>
      <c r="AA3128" s="40" t="s">
        <v>115</v>
      </c>
      <c r="AB3128" s="40" t="s">
        <v>115</v>
      </c>
      <c r="AC3128" s="40" t="s">
        <v>115</v>
      </c>
      <c r="AI3128" s="40" t="s">
        <v>115</v>
      </c>
      <c r="AP3128" s="4" t="s">
        <v>115</v>
      </c>
    </row>
    <row r="3129" spans="1:42" x14ac:dyDescent="0.15">
      <c r="A3129" s="40" t="s">
        <v>1</v>
      </c>
      <c r="B3129" s="23">
        <v>90250614</v>
      </c>
      <c r="C3129" s="23">
        <v>2506</v>
      </c>
      <c r="D3129" s="23">
        <v>25</v>
      </c>
      <c r="F3129" s="23" t="s">
        <v>5796</v>
      </c>
      <c r="G3129" s="23" t="s">
        <v>115</v>
      </c>
      <c r="H3129" s="23" t="s">
        <v>5797</v>
      </c>
      <c r="I3129" s="23">
        <v>3</v>
      </c>
      <c r="J3129" s="40">
        <v>0</v>
      </c>
      <c r="K3129" s="40">
        <v>0</v>
      </c>
      <c r="L3129" s="40" t="s">
        <v>115</v>
      </c>
      <c r="O3129" s="40" t="s">
        <v>115</v>
      </c>
      <c r="Q3129" s="40">
        <v>171</v>
      </c>
      <c r="R3129" s="40">
        <v>255</v>
      </c>
      <c r="X3129" s="40">
        <v>90250615</v>
      </c>
      <c r="Y3129" s="40" t="s">
        <v>115</v>
      </c>
      <c r="Z3129" s="40" t="s">
        <v>115</v>
      </c>
      <c r="AA3129" s="40" t="s">
        <v>115</v>
      </c>
      <c r="AB3129" s="40" t="s">
        <v>115</v>
      </c>
      <c r="AC3129" s="40" t="s">
        <v>115</v>
      </c>
      <c r="AI3129" s="40" t="s">
        <v>115</v>
      </c>
      <c r="AP3129" s="4" t="s">
        <v>115</v>
      </c>
    </row>
    <row r="3130" spans="1:42" x14ac:dyDescent="0.15">
      <c r="A3130" s="40" t="s">
        <v>1</v>
      </c>
      <c r="B3130" s="23">
        <v>90250615</v>
      </c>
      <c r="C3130" s="23">
        <v>2506</v>
      </c>
      <c r="D3130" s="23">
        <v>25</v>
      </c>
      <c r="F3130" s="23" t="s">
        <v>116</v>
      </c>
      <c r="G3130" s="23">
        <v>309</v>
      </c>
      <c r="H3130" s="23" t="s">
        <v>5798</v>
      </c>
      <c r="I3130" s="23">
        <v>0</v>
      </c>
      <c r="J3130" s="40">
        <v>0</v>
      </c>
      <c r="K3130" s="40">
        <v>0</v>
      </c>
      <c r="L3130" s="40" t="s">
        <v>115</v>
      </c>
      <c r="O3130" s="40" t="s">
        <v>115</v>
      </c>
      <c r="Q3130" s="40">
        <v>171</v>
      </c>
      <c r="R3130" s="40">
        <v>255</v>
      </c>
      <c r="X3130" s="40">
        <v>90250616</v>
      </c>
      <c r="Y3130" s="40" t="s">
        <v>115</v>
      </c>
      <c r="Z3130" s="40" t="s">
        <v>115</v>
      </c>
      <c r="AA3130" s="40" t="s">
        <v>115</v>
      </c>
      <c r="AB3130" s="40" t="s">
        <v>115</v>
      </c>
      <c r="AC3130" s="40" t="s">
        <v>115</v>
      </c>
      <c r="AI3130" s="40" t="s">
        <v>115</v>
      </c>
      <c r="AP3130" s="4" t="s">
        <v>115</v>
      </c>
    </row>
    <row r="3131" spans="1:42" x14ac:dyDescent="0.15">
      <c r="A3131" s="40" t="s">
        <v>1</v>
      </c>
      <c r="B3131" s="23">
        <v>90250616</v>
      </c>
      <c r="C3131" s="23">
        <v>2506</v>
      </c>
      <c r="D3131" s="23">
        <v>25</v>
      </c>
      <c r="F3131" s="23" t="s">
        <v>5796</v>
      </c>
      <c r="G3131" s="23" t="s">
        <v>115</v>
      </c>
      <c r="H3131" s="23" t="s">
        <v>5799</v>
      </c>
      <c r="I3131" s="23">
        <v>3</v>
      </c>
      <c r="J3131" s="40">
        <v>0</v>
      </c>
      <c r="K3131" s="40">
        <v>0</v>
      </c>
      <c r="L3131" s="40" t="s">
        <v>115</v>
      </c>
      <c r="O3131" s="40" t="s">
        <v>115</v>
      </c>
      <c r="Q3131" s="40">
        <v>171</v>
      </c>
      <c r="R3131" s="40">
        <v>255</v>
      </c>
      <c r="X3131" s="40">
        <v>90250617</v>
      </c>
      <c r="Y3131" s="40" t="s">
        <v>115</v>
      </c>
      <c r="Z3131" s="40" t="s">
        <v>115</v>
      </c>
      <c r="AA3131" s="40" t="s">
        <v>115</v>
      </c>
      <c r="AB3131" s="40" t="s">
        <v>115</v>
      </c>
      <c r="AC3131" s="40" t="s">
        <v>115</v>
      </c>
      <c r="AI3131" s="40" t="s">
        <v>115</v>
      </c>
      <c r="AP3131" s="4" t="s">
        <v>115</v>
      </c>
    </row>
    <row r="3132" spans="1:42" x14ac:dyDescent="0.15">
      <c r="A3132" s="40" t="s">
        <v>1</v>
      </c>
      <c r="B3132" s="23">
        <v>90250617</v>
      </c>
      <c r="C3132" s="23">
        <v>2506</v>
      </c>
      <c r="D3132" s="23">
        <v>25</v>
      </c>
      <c r="F3132" s="23" t="s">
        <v>5796</v>
      </c>
      <c r="G3132" s="23" t="s">
        <v>115</v>
      </c>
      <c r="H3132" s="23" t="s">
        <v>5800</v>
      </c>
      <c r="I3132" s="23">
        <v>3</v>
      </c>
      <c r="J3132" s="40">
        <v>0</v>
      </c>
      <c r="K3132" s="40">
        <v>0</v>
      </c>
      <c r="L3132" s="40" t="s">
        <v>115</v>
      </c>
      <c r="O3132" s="40" t="s">
        <v>115</v>
      </c>
      <c r="Q3132" s="40">
        <v>171</v>
      </c>
      <c r="R3132" s="40">
        <v>255</v>
      </c>
      <c r="X3132" s="40">
        <v>90250618</v>
      </c>
      <c r="Y3132" s="40" t="s">
        <v>115</v>
      </c>
      <c r="Z3132" s="40" t="s">
        <v>115</v>
      </c>
      <c r="AA3132" s="40" t="s">
        <v>115</v>
      </c>
      <c r="AB3132" s="40" t="s">
        <v>115</v>
      </c>
      <c r="AC3132" s="40" t="s">
        <v>115</v>
      </c>
      <c r="AI3132" s="40" t="s">
        <v>115</v>
      </c>
      <c r="AP3132" s="4" t="s">
        <v>115</v>
      </c>
    </row>
    <row r="3133" spans="1:42" x14ac:dyDescent="0.15">
      <c r="A3133" s="40" t="s">
        <v>1</v>
      </c>
      <c r="B3133" s="23">
        <v>90250618</v>
      </c>
      <c r="C3133" s="23">
        <v>2506</v>
      </c>
      <c r="D3133" s="23">
        <v>25</v>
      </c>
      <c r="F3133" s="23" t="s">
        <v>116</v>
      </c>
      <c r="G3133" s="23">
        <v>312</v>
      </c>
      <c r="H3133" s="23" t="s">
        <v>5801</v>
      </c>
      <c r="I3133" s="23">
        <v>0</v>
      </c>
      <c r="J3133" s="40">
        <v>0</v>
      </c>
      <c r="K3133" s="40">
        <v>0</v>
      </c>
      <c r="L3133" s="40" t="s">
        <v>115</v>
      </c>
      <c r="O3133" s="40" t="s">
        <v>115</v>
      </c>
      <c r="Q3133" s="40">
        <v>171</v>
      </c>
      <c r="R3133" s="40">
        <v>255</v>
      </c>
      <c r="X3133" s="40">
        <v>90250619</v>
      </c>
      <c r="Y3133" s="40" t="s">
        <v>115</v>
      </c>
      <c r="Z3133" s="40" t="s">
        <v>115</v>
      </c>
      <c r="AA3133" s="40" t="s">
        <v>115</v>
      </c>
      <c r="AB3133" s="40" t="s">
        <v>115</v>
      </c>
      <c r="AC3133" s="40" t="s">
        <v>115</v>
      </c>
      <c r="AI3133" s="40" t="s">
        <v>115</v>
      </c>
      <c r="AP3133" s="4" t="s">
        <v>115</v>
      </c>
    </row>
    <row r="3134" spans="1:42" x14ac:dyDescent="0.15">
      <c r="A3134" s="40" t="s">
        <v>1</v>
      </c>
      <c r="B3134" s="23">
        <v>90250619</v>
      </c>
      <c r="C3134" s="23">
        <v>2506</v>
      </c>
      <c r="D3134" s="23">
        <v>25</v>
      </c>
      <c r="F3134" s="23" t="s">
        <v>5796</v>
      </c>
      <c r="G3134" s="23" t="s">
        <v>115</v>
      </c>
      <c r="H3134" s="23" t="s">
        <v>5802</v>
      </c>
      <c r="I3134" s="23">
        <v>3</v>
      </c>
      <c r="J3134" s="40">
        <v>0</v>
      </c>
      <c r="K3134" s="40">
        <v>0</v>
      </c>
      <c r="L3134" s="40" t="s">
        <v>115</v>
      </c>
      <c r="O3134" s="40" t="s">
        <v>115</v>
      </c>
      <c r="Q3134" s="40">
        <v>171</v>
      </c>
      <c r="R3134" s="40">
        <v>255</v>
      </c>
      <c r="X3134" s="40">
        <v>90250620</v>
      </c>
      <c r="Y3134" s="40" t="s">
        <v>115</v>
      </c>
      <c r="Z3134" s="40" t="s">
        <v>115</v>
      </c>
      <c r="AA3134" s="40" t="s">
        <v>115</v>
      </c>
      <c r="AB3134" s="40" t="s">
        <v>115</v>
      </c>
      <c r="AC3134" s="40" t="s">
        <v>115</v>
      </c>
      <c r="AI3134" s="40" t="s">
        <v>115</v>
      </c>
      <c r="AP3134" s="4" t="s">
        <v>115</v>
      </c>
    </row>
    <row r="3135" spans="1:42" x14ac:dyDescent="0.15">
      <c r="A3135" s="40" t="s">
        <v>1</v>
      </c>
      <c r="B3135" s="23">
        <v>90250620</v>
      </c>
      <c r="C3135" s="23">
        <v>2506</v>
      </c>
      <c r="D3135" s="23">
        <v>25</v>
      </c>
      <c r="F3135" s="23" t="s">
        <v>116</v>
      </c>
      <c r="G3135" s="23">
        <v>309</v>
      </c>
      <c r="H3135" s="23" t="s">
        <v>5803</v>
      </c>
      <c r="I3135" s="23">
        <v>0</v>
      </c>
      <c r="J3135" s="40">
        <v>0</v>
      </c>
      <c r="K3135" s="40">
        <v>0</v>
      </c>
      <c r="L3135" s="40" t="s">
        <v>115</v>
      </c>
      <c r="O3135" s="40" t="s">
        <v>115</v>
      </c>
      <c r="Q3135" s="40">
        <v>171</v>
      </c>
      <c r="R3135" s="40">
        <v>255</v>
      </c>
      <c r="X3135" s="40">
        <v>90250621</v>
      </c>
      <c r="Y3135" s="40" t="s">
        <v>115</v>
      </c>
      <c r="Z3135" s="40" t="s">
        <v>115</v>
      </c>
      <c r="AA3135" s="40" t="s">
        <v>115</v>
      </c>
      <c r="AB3135" s="40" t="s">
        <v>115</v>
      </c>
      <c r="AC3135" s="40" t="s">
        <v>115</v>
      </c>
      <c r="AI3135" s="40" t="s">
        <v>115</v>
      </c>
      <c r="AP3135" s="4" t="s">
        <v>115</v>
      </c>
    </row>
    <row r="3136" spans="1:42" x14ac:dyDescent="0.15">
      <c r="A3136" s="40" t="s">
        <v>1</v>
      </c>
      <c r="B3136" s="23">
        <v>90250621</v>
      </c>
      <c r="C3136" s="23">
        <v>2506</v>
      </c>
      <c r="D3136" s="23">
        <v>25</v>
      </c>
      <c r="F3136" s="23" t="s">
        <v>115</v>
      </c>
      <c r="G3136" s="23" t="s">
        <v>115</v>
      </c>
      <c r="H3136" s="23" t="s">
        <v>5804</v>
      </c>
      <c r="I3136" s="23">
        <v>4</v>
      </c>
      <c r="J3136" s="40">
        <v>0</v>
      </c>
      <c r="K3136" s="40">
        <v>0</v>
      </c>
      <c r="L3136" s="40" t="s">
        <v>115</v>
      </c>
      <c r="O3136" s="40" t="s">
        <v>115</v>
      </c>
      <c r="Q3136" s="40">
        <v>171</v>
      </c>
      <c r="R3136" s="40">
        <v>255</v>
      </c>
      <c r="X3136" s="40">
        <v>90250622</v>
      </c>
      <c r="Y3136" s="40" t="s">
        <v>115</v>
      </c>
      <c r="Z3136" s="40" t="s">
        <v>115</v>
      </c>
      <c r="AA3136" s="40" t="s">
        <v>115</v>
      </c>
      <c r="AB3136" s="40" t="s">
        <v>115</v>
      </c>
      <c r="AC3136" s="40" t="s">
        <v>115</v>
      </c>
      <c r="AI3136" s="40" t="s">
        <v>115</v>
      </c>
      <c r="AP3136" s="4" t="s">
        <v>115</v>
      </c>
    </row>
    <row r="3137" spans="1:42" x14ac:dyDescent="0.15">
      <c r="A3137" s="40" t="s">
        <v>1</v>
      </c>
      <c r="B3137" s="23">
        <v>90250622</v>
      </c>
      <c r="C3137" s="23">
        <v>2506</v>
      </c>
      <c r="D3137" s="23">
        <v>25</v>
      </c>
      <c r="F3137" s="23" t="s">
        <v>5796</v>
      </c>
      <c r="G3137" s="23" t="s">
        <v>115</v>
      </c>
      <c r="H3137" s="23" t="s">
        <v>5805</v>
      </c>
      <c r="I3137" s="23">
        <v>3</v>
      </c>
      <c r="J3137" s="40">
        <v>0</v>
      </c>
      <c r="K3137" s="40">
        <v>4</v>
      </c>
      <c r="L3137" s="40" t="s">
        <v>115</v>
      </c>
      <c r="O3137" s="40">
        <v>1</v>
      </c>
      <c r="Q3137" s="40">
        <v>171</v>
      </c>
      <c r="R3137" s="40">
        <v>255</v>
      </c>
      <c r="X3137" s="40" t="s">
        <v>115</v>
      </c>
      <c r="Y3137" s="40" t="s">
        <v>115</v>
      </c>
      <c r="Z3137" s="40">
        <v>3</v>
      </c>
      <c r="AA3137" s="40" t="s">
        <v>115</v>
      </c>
      <c r="AB3137" s="40" t="s">
        <v>115</v>
      </c>
      <c r="AC3137" s="40" t="s">
        <v>115</v>
      </c>
      <c r="AI3137" s="40" t="s">
        <v>115</v>
      </c>
      <c r="AP3137" s="4" t="s">
        <v>115</v>
      </c>
    </row>
    <row r="3138" spans="1:42" x14ac:dyDescent="0.15">
      <c r="A3138" s="40" t="s">
        <v>1</v>
      </c>
      <c r="B3138" s="23" t="s">
        <v>4886</v>
      </c>
      <c r="C3138" s="23">
        <v>2507</v>
      </c>
      <c r="D3138" s="23">
        <v>25</v>
      </c>
      <c r="F3138" s="23" t="s">
        <v>115</v>
      </c>
      <c r="G3138" s="23" t="s">
        <v>115</v>
      </c>
      <c r="H3138" s="23" t="s">
        <v>5806</v>
      </c>
      <c r="I3138" s="23">
        <v>4</v>
      </c>
      <c r="J3138" s="40">
        <v>1</v>
      </c>
      <c r="K3138" s="40">
        <v>1</v>
      </c>
      <c r="L3138" s="40" t="s">
        <v>115</v>
      </c>
      <c r="O3138" s="40" t="s">
        <v>115</v>
      </c>
      <c r="Q3138" s="40">
        <v>205</v>
      </c>
      <c r="R3138" s="40" t="s">
        <v>115</v>
      </c>
      <c r="X3138" s="40">
        <v>90250702</v>
      </c>
      <c r="Y3138" s="40" t="s">
        <v>115</v>
      </c>
      <c r="Z3138" s="40" t="s">
        <v>115</v>
      </c>
      <c r="AA3138" s="40" t="s">
        <v>115</v>
      </c>
      <c r="AB3138" s="40" t="s">
        <v>115</v>
      </c>
      <c r="AC3138" s="40" t="s">
        <v>115</v>
      </c>
      <c r="AI3138" s="40" t="s">
        <v>115</v>
      </c>
      <c r="AP3138" s="4" t="s">
        <v>115</v>
      </c>
    </row>
    <row r="3139" spans="1:42" x14ac:dyDescent="0.15">
      <c r="A3139" s="40" t="s">
        <v>1</v>
      </c>
      <c r="B3139" s="23">
        <v>90250702</v>
      </c>
      <c r="C3139" s="23">
        <v>2507</v>
      </c>
      <c r="D3139" s="23">
        <v>25</v>
      </c>
      <c r="F3139" s="23" t="s">
        <v>5807</v>
      </c>
      <c r="G3139" s="23" t="s">
        <v>115</v>
      </c>
      <c r="H3139" s="23" t="s">
        <v>5808</v>
      </c>
      <c r="I3139" s="23">
        <v>3</v>
      </c>
      <c r="J3139" s="40">
        <v>0</v>
      </c>
      <c r="K3139" s="40">
        <v>0</v>
      </c>
      <c r="L3139" s="40" t="s">
        <v>115</v>
      </c>
      <c r="O3139" s="40" t="s">
        <v>115</v>
      </c>
      <c r="Q3139" s="40">
        <v>205</v>
      </c>
      <c r="R3139" s="40">
        <v>307</v>
      </c>
      <c r="X3139" s="40">
        <v>90250703</v>
      </c>
      <c r="Y3139" s="40" t="s">
        <v>115</v>
      </c>
      <c r="Z3139" s="40" t="s">
        <v>115</v>
      </c>
      <c r="AA3139" s="40" t="s">
        <v>115</v>
      </c>
      <c r="AB3139" s="40" t="s">
        <v>115</v>
      </c>
      <c r="AC3139" s="40" t="s">
        <v>115</v>
      </c>
      <c r="AI3139" s="40" t="s">
        <v>115</v>
      </c>
      <c r="AP3139" s="4" t="s">
        <v>115</v>
      </c>
    </row>
    <row r="3140" spans="1:42" x14ac:dyDescent="0.15">
      <c r="A3140" s="40" t="s">
        <v>1</v>
      </c>
      <c r="B3140" s="23">
        <v>90250703</v>
      </c>
      <c r="C3140" s="23">
        <v>2507</v>
      </c>
      <c r="D3140" s="23">
        <v>25</v>
      </c>
      <c r="F3140" s="23" t="s">
        <v>5809</v>
      </c>
      <c r="G3140" s="23" t="s">
        <v>115</v>
      </c>
      <c r="H3140" s="23" t="s">
        <v>5810</v>
      </c>
      <c r="I3140" s="23">
        <v>3</v>
      </c>
      <c r="J3140" s="40">
        <v>0</v>
      </c>
      <c r="K3140" s="40">
        <v>0</v>
      </c>
      <c r="L3140" s="40" t="s">
        <v>115</v>
      </c>
      <c r="O3140" s="40" t="s">
        <v>115</v>
      </c>
      <c r="Q3140" s="40">
        <v>205</v>
      </c>
      <c r="R3140" s="40">
        <v>101</v>
      </c>
      <c r="X3140" s="40">
        <v>90250704</v>
      </c>
      <c r="Y3140" s="40" t="s">
        <v>115</v>
      </c>
      <c r="Z3140" s="40" t="s">
        <v>115</v>
      </c>
      <c r="AA3140" s="40" t="s">
        <v>115</v>
      </c>
      <c r="AB3140" s="40" t="s">
        <v>115</v>
      </c>
      <c r="AC3140" s="40" t="s">
        <v>115</v>
      </c>
      <c r="AI3140" s="40" t="s">
        <v>115</v>
      </c>
      <c r="AP3140" s="4" t="s">
        <v>115</v>
      </c>
    </row>
    <row r="3141" spans="1:42" x14ac:dyDescent="0.15">
      <c r="A3141" s="40" t="s">
        <v>1</v>
      </c>
      <c r="B3141" s="23">
        <v>90250704</v>
      </c>
      <c r="C3141" s="23">
        <v>2507</v>
      </c>
      <c r="D3141" s="23">
        <v>25</v>
      </c>
      <c r="F3141" s="23" t="s">
        <v>5807</v>
      </c>
      <c r="G3141" s="23" t="s">
        <v>115</v>
      </c>
      <c r="H3141" s="23" t="s">
        <v>5811</v>
      </c>
      <c r="I3141" s="23">
        <v>3</v>
      </c>
      <c r="J3141" s="40">
        <v>0</v>
      </c>
      <c r="K3141" s="40">
        <v>0</v>
      </c>
      <c r="L3141" s="40" t="s">
        <v>115</v>
      </c>
      <c r="O3141" s="40" t="s">
        <v>115</v>
      </c>
      <c r="Q3141" s="40">
        <v>205</v>
      </c>
      <c r="R3141" s="40">
        <v>307</v>
      </c>
      <c r="X3141" s="40">
        <v>90250705</v>
      </c>
      <c r="Y3141" s="40" t="s">
        <v>115</v>
      </c>
      <c r="Z3141" s="40" t="s">
        <v>115</v>
      </c>
      <c r="AA3141" s="40" t="s">
        <v>115</v>
      </c>
      <c r="AB3141" s="40" t="s">
        <v>115</v>
      </c>
      <c r="AC3141" s="40" t="s">
        <v>115</v>
      </c>
      <c r="AI3141" s="40" t="s">
        <v>115</v>
      </c>
      <c r="AP3141" s="4" t="s">
        <v>115</v>
      </c>
    </row>
    <row r="3142" spans="1:42" x14ac:dyDescent="0.15">
      <c r="A3142" s="40" t="s">
        <v>1</v>
      </c>
      <c r="B3142" s="23">
        <v>90250705</v>
      </c>
      <c r="C3142" s="23">
        <v>2507</v>
      </c>
      <c r="D3142" s="23">
        <v>25</v>
      </c>
      <c r="F3142" s="23" t="s">
        <v>5809</v>
      </c>
      <c r="G3142" s="23" t="s">
        <v>115</v>
      </c>
      <c r="H3142" s="23" t="s">
        <v>5812</v>
      </c>
      <c r="I3142" s="23">
        <v>3</v>
      </c>
      <c r="J3142" s="40">
        <v>0</v>
      </c>
      <c r="K3142" s="40">
        <v>0</v>
      </c>
      <c r="L3142" s="40" t="s">
        <v>115</v>
      </c>
      <c r="O3142" s="40" t="s">
        <v>115</v>
      </c>
      <c r="Q3142" s="40">
        <v>205</v>
      </c>
      <c r="R3142" s="40">
        <v>101</v>
      </c>
      <c r="X3142" s="40">
        <v>90250706</v>
      </c>
      <c r="Y3142" s="40" t="s">
        <v>115</v>
      </c>
      <c r="Z3142" s="40" t="s">
        <v>115</v>
      </c>
      <c r="AA3142" s="40" t="s">
        <v>115</v>
      </c>
      <c r="AB3142" s="40" t="s">
        <v>115</v>
      </c>
      <c r="AC3142" s="40" t="s">
        <v>115</v>
      </c>
      <c r="AI3142" s="40" t="s">
        <v>115</v>
      </c>
      <c r="AP3142" s="4" t="s">
        <v>115</v>
      </c>
    </row>
    <row r="3143" spans="1:42" x14ac:dyDescent="0.15">
      <c r="A3143" s="40" t="s">
        <v>1</v>
      </c>
      <c r="B3143" s="23">
        <v>90250706</v>
      </c>
      <c r="C3143" s="23">
        <v>2507</v>
      </c>
      <c r="D3143" s="23">
        <v>25</v>
      </c>
      <c r="F3143" s="23" t="s">
        <v>5807</v>
      </c>
      <c r="G3143" s="23" t="s">
        <v>115</v>
      </c>
      <c r="H3143" s="23" t="s">
        <v>5813</v>
      </c>
      <c r="I3143" s="23">
        <v>3</v>
      </c>
      <c r="J3143" s="40">
        <v>0</v>
      </c>
      <c r="K3143" s="40">
        <v>0</v>
      </c>
      <c r="L3143" s="40" t="s">
        <v>115</v>
      </c>
      <c r="O3143" s="40" t="s">
        <v>115</v>
      </c>
      <c r="Q3143" s="40">
        <v>205</v>
      </c>
      <c r="R3143" s="40">
        <v>307</v>
      </c>
      <c r="X3143" s="40">
        <v>90250707</v>
      </c>
      <c r="Y3143" s="40" t="s">
        <v>115</v>
      </c>
      <c r="Z3143" s="40" t="s">
        <v>115</v>
      </c>
      <c r="AA3143" s="40" t="s">
        <v>115</v>
      </c>
      <c r="AB3143" s="40" t="s">
        <v>115</v>
      </c>
      <c r="AC3143" s="40" t="s">
        <v>115</v>
      </c>
      <c r="AI3143" s="40" t="s">
        <v>115</v>
      </c>
      <c r="AP3143" s="4" t="s">
        <v>115</v>
      </c>
    </row>
    <row r="3144" spans="1:42" x14ac:dyDescent="0.15">
      <c r="A3144" s="40" t="s">
        <v>1</v>
      </c>
      <c r="B3144" s="23">
        <v>90250707</v>
      </c>
      <c r="C3144" s="23">
        <v>2507</v>
      </c>
      <c r="D3144" s="23">
        <v>25</v>
      </c>
      <c r="F3144" s="23" t="s">
        <v>5809</v>
      </c>
      <c r="G3144" s="23" t="s">
        <v>115</v>
      </c>
      <c r="H3144" s="23" t="s">
        <v>5814</v>
      </c>
      <c r="I3144" s="23">
        <v>3</v>
      </c>
      <c r="J3144" s="40">
        <v>0</v>
      </c>
      <c r="K3144" s="40">
        <v>0</v>
      </c>
      <c r="L3144" s="40" t="s">
        <v>115</v>
      </c>
      <c r="O3144" s="40" t="s">
        <v>115</v>
      </c>
      <c r="Q3144" s="40">
        <v>205</v>
      </c>
      <c r="R3144" s="40">
        <v>101</v>
      </c>
      <c r="X3144" s="40">
        <v>90250708</v>
      </c>
      <c r="Y3144" s="40" t="s">
        <v>115</v>
      </c>
      <c r="Z3144" s="40" t="s">
        <v>115</v>
      </c>
      <c r="AA3144" s="40" t="s">
        <v>115</v>
      </c>
      <c r="AB3144" s="40" t="s">
        <v>115</v>
      </c>
      <c r="AC3144" s="40" t="s">
        <v>115</v>
      </c>
      <c r="AI3144" s="40" t="s">
        <v>115</v>
      </c>
      <c r="AP3144" s="4" t="s">
        <v>115</v>
      </c>
    </row>
    <row r="3145" spans="1:42" x14ac:dyDescent="0.15">
      <c r="A3145" s="40" t="s">
        <v>1</v>
      </c>
      <c r="B3145" s="23">
        <v>90250708</v>
      </c>
      <c r="C3145" s="23">
        <v>2507</v>
      </c>
      <c r="D3145" s="23">
        <v>25</v>
      </c>
      <c r="F3145" s="23" t="s">
        <v>115</v>
      </c>
      <c r="G3145" s="23" t="s">
        <v>115</v>
      </c>
      <c r="H3145" s="23" t="s">
        <v>5815</v>
      </c>
      <c r="I3145" s="23">
        <v>4</v>
      </c>
      <c r="J3145" s="40">
        <v>0</v>
      </c>
      <c r="K3145" s="40">
        <v>0</v>
      </c>
      <c r="L3145" s="40" t="s">
        <v>115</v>
      </c>
      <c r="O3145" s="40" t="s">
        <v>115</v>
      </c>
      <c r="Q3145" s="40">
        <v>205</v>
      </c>
      <c r="R3145" s="40" t="s">
        <v>115</v>
      </c>
      <c r="X3145" s="40">
        <v>90250709</v>
      </c>
      <c r="Y3145" s="40" t="s">
        <v>115</v>
      </c>
      <c r="Z3145" s="40" t="s">
        <v>115</v>
      </c>
      <c r="AA3145" s="40" t="s">
        <v>115</v>
      </c>
      <c r="AB3145" s="40" t="s">
        <v>115</v>
      </c>
      <c r="AC3145" s="40" t="s">
        <v>115</v>
      </c>
      <c r="AI3145" s="40" t="s">
        <v>115</v>
      </c>
      <c r="AP3145" s="4" t="s">
        <v>115</v>
      </c>
    </row>
    <row r="3146" spans="1:42" x14ac:dyDescent="0.15">
      <c r="A3146" s="40" t="s">
        <v>1</v>
      </c>
      <c r="B3146" s="23">
        <v>90250709</v>
      </c>
      <c r="C3146" s="23">
        <v>2507</v>
      </c>
      <c r="D3146" s="23">
        <v>25</v>
      </c>
      <c r="F3146" s="23" t="s">
        <v>5816</v>
      </c>
      <c r="G3146" s="23" t="s">
        <v>115</v>
      </c>
      <c r="H3146" s="23" t="s">
        <v>5817</v>
      </c>
      <c r="I3146" s="23">
        <v>3</v>
      </c>
      <c r="J3146" s="40">
        <v>0</v>
      </c>
      <c r="K3146" s="40">
        <v>0</v>
      </c>
      <c r="L3146" s="40" t="s">
        <v>115</v>
      </c>
      <c r="O3146" s="40" t="s">
        <v>115</v>
      </c>
      <c r="Q3146" s="40">
        <v>205</v>
      </c>
      <c r="R3146" s="40">
        <v>306</v>
      </c>
      <c r="X3146" s="40">
        <v>90250710</v>
      </c>
      <c r="Y3146" s="40" t="s">
        <v>115</v>
      </c>
      <c r="Z3146" s="40" t="s">
        <v>115</v>
      </c>
      <c r="AA3146" s="40" t="s">
        <v>115</v>
      </c>
      <c r="AB3146" s="40" t="s">
        <v>115</v>
      </c>
      <c r="AC3146" s="40" t="s">
        <v>115</v>
      </c>
      <c r="AI3146" s="40" t="s">
        <v>115</v>
      </c>
      <c r="AP3146" s="4" t="s">
        <v>115</v>
      </c>
    </row>
    <row r="3147" spans="1:42" x14ac:dyDescent="0.15">
      <c r="A3147" s="40" t="s">
        <v>1</v>
      </c>
      <c r="B3147" s="23">
        <v>90250710</v>
      </c>
      <c r="C3147" s="23">
        <v>2507</v>
      </c>
      <c r="D3147" s="23">
        <v>25</v>
      </c>
      <c r="F3147" s="23" t="s">
        <v>116</v>
      </c>
      <c r="G3147" s="23">
        <v>312</v>
      </c>
      <c r="H3147" s="23" t="s">
        <v>5818</v>
      </c>
      <c r="I3147" s="23">
        <v>2</v>
      </c>
      <c r="J3147" s="40">
        <v>0</v>
      </c>
      <c r="K3147" s="40">
        <v>0</v>
      </c>
      <c r="L3147" s="40" t="s">
        <v>115</v>
      </c>
      <c r="O3147" s="40" t="s">
        <v>115</v>
      </c>
      <c r="Q3147" s="40">
        <v>205</v>
      </c>
      <c r="R3147" s="40" t="s">
        <v>115</v>
      </c>
      <c r="X3147" s="40">
        <v>90250711</v>
      </c>
      <c r="Y3147" s="40" t="s">
        <v>115</v>
      </c>
      <c r="Z3147" s="40" t="s">
        <v>115</v>
      </c>
      <c r="AA3147" s="40" t="s">
        <v>115</v>
      </c>
      <c r="AB3147" s="40" t="s">
        <v>115</v>
      </c>
      <c r="AC3147" s="40" t="s">
        <v>115</v>
      </c>
      <c r="AI3147" s="40" t="s">
        <v>115</v>
      </c>
      <c r="AP3147" s="4" t="s">
        <v>115</v>
      </c>
    </row>
    <row r="3148" spans="1:42" x14ac:dyDescent="0.15">
      <c r="A3148" s="40" t="s">
        <v>1</v>
      </c>
      <c r="B3148" s="23">
        <v>90250711</v>
      </c>
      <c r="C3148" s="23">
        <v>2507</v>
      </c>
      <c r="D3148" s="23">
        <v>25</v>
      </c>
      <c r="F3148" s="23" t="s">
        <v>115</v>
      </c>
      <c r="G3148" s="23" t="s">
        <v>115</v>
      </c>
      <c r="H3148" s="23" t="s">
        <v>5819</v>
      </c>
      <c r="I3148" s="23">
        <v>4</v>
      </c>
      <c r="J3148" s="40">
        <v>0</v>
      </c>
      <c r="K3148" s="40">
        <v>2</v>
      </c>
      <c r="L3148" s="40" t="s">
        <v>115</v>
      </c>
      <c r="O3148" s="40" t="s">
        <v>115</v>
      </c>
      <c r="Q3148" s="40">
        <v>355</v>
      </c>
      <c r="R3148" s="40" t="s">
        <v>115</v>
      </c>
      <c r="X3148" s="40" t="s">
        <v>5820</v>
      </c>
      <c r="Y3148" s="40">
        <v>1</v>
      </c>
      <c r="Z3148" s="40">
        <v>1</v>
      </c>
      <c r="AA3148" s="40" t="s">
        <v>115</v>
      </c>
      <c r="AB3148" s="40" t="s">
        <v>115</v>
      </c>
      <c r="AC3148" s="40" t="s">
        <v>115</v>
      </c>
      <c r="AI3148" s="40" t="s">
        <v>115</v>
      </c>
      <c r="AP3148" s="4" t="s">
        <v>115</v>
      </c>
    </row>
    <row r="3149" spans="1:42" x14ac:dyDescent="0.15">
      <c r="A3149" s="40" t="s">
        <v>1</v>
      </c>
      <c r="B3149" s="23">
        <v>90250712</v>
      </c>
      <c r="C3149" s="23">
        <v>2507</v>
      </c>
      <c r="D3149" s="23">
        <v>25</v>
      </c>
      <c r="F3149" s="23" t="s">
        <v>115</v>
      </c>
      <c r="G3149" s="23" t="s">
        <v>115</v>
      </c>
      <c r="H3149" s="23" t="s">
        <v>5821</v>
      </c>
      <c r="I3149" s="23">
        <v>4</v>
      </c>
      <c r="J3149" s="40">
        <v>0</v>
      </c>
      <c r="K3149" s="40">
        <v>3</v>
      </c>
      <c r="L3149" s="40" t="s">
        <v>115</v>
      </c>
      <c r="O3149" s="40" t="s">
        <v>115</v>
      </c>
      <c r="Q3149" s="40">
        <v>355</v>
      </c>
      <c r="R3149" s="40" t="s">
        <v>115</v>
      </c>
      <c r="X3149" s="40">
        <v>90250713</v>
      </c>
      <c r="Y3149" s="40">
        <v>-1</v>
      </c>
      <c r="Z3149" s="40">
        <v>2</v>
      </c>
      <c r="AA3149" s="40" t="s">
        <v>115</v>
      </c>
      <c r="AB3149" s="40" t="s">
        <v>115</v>
      </c>
      <c r="AC3149" s="40" t="s">
        <v>5822</v>
      </c>
      <c r="AI3149" s="40" t="s">
        <v>115</v>
      </c>
      <c r="AP3149" s="4" t="s">
        <v>115</v>
      </c>
    </row>
    <row r="3150" spans="1:42" x14ac:dyDescent="0.15">
      <c r="A3150" s="40" t="s">
        <v>1</v>
      </c>
      <c r="B3150" s="23">
        <v>90250713</v>
      </c>
      <c r="C3150" s="23">
        <v>2507</v>
      </c>
      <c r="D3150" s="23">
        <v>25</v>
      </c>
      <c r="F3150" s="23" t="s">
        <v>115</v>
      </c>
      <c r="G3150" s="23" t="s">
        <v>115</v>
      </c>
      <c r="H3150" s="23" t="s">
        <v>5823</v>
      </c>
      <c r="I3150" s="23">
        <v>4</v>
      </c>
      <c r="J3150" s="40">
        <v>0</v>
      </c>
      <c r="K3150" s="40">
        <v>0</v>
      </c>
      <c r="L3150" s="40" t="s">
        <v>115</v>
      </c>
      <c r="O3150" s="40" t="s">
        <v>115</v>
      </c>
      <c r="Q3150" s="40">
        <v>201</v>
      </c>
      <c r="R3150" s="40" t="s">
        <v>115</v>
      </c>
      <c r="X3150" s="40">
        <v>90250714</v>
      </c>
      <c r="Y3150" s="40" t="s">
        <v>115</v>
      </c>
      <c r="Z3150" s="40" t="s">
        <v>115</v>
      </c>
      <c r="AA3150" s="40" t="s">
        <v>115</v>
      </c>
      <c r="AB3150" s="40" t="s">
        <v>115</v>
      </c>
      <c r="AC3150" s="40" t="s">
        <v>115</v>
      </c>
      <c r="AI3150" s="40" t="s">
        <v>115</v>
      </c>
      <c r="AP3150" s="4" t="s">
        <v>115</v>
      </c>
    </row>
    <row r="3151" spans="1:42" x14ac:dyDescent="0.15">
      <c r="A3151" s="40" t="s">
        <v>1</v>
      </c>
      <c r="B3151" s="23">
        <v>90250714</v>
      </c>
      <c r="C3151" s="23">
        <v>2507</v>
      </c>
      <c r="D3151" s="23">
        <v>25</v>
      </c>
      <c r="F3151" s="23" t="s">
        <v>5824</v>
      </c>
      <c r="G3151" s="23" t="s">
        <v>115</v>
      </c>
      <c r="H3151" s="23" t="s">
        <v>5825</v>
      </c>
      <c r="I3151" s="23">
        <v>3</v>
      </c>
      <c r="J3151" s="40">
        <v>0</v>
      </c>
      <c r="K3151" s="40">
        <v>0</v>
      </c>
      <c r="L3151" s="40" t="s">
        <v>115</v>
      </c>
      <c r="O3151" s="40" t="s">
        <v>115</v>
      </c>
      <c r="Q3151" s="40">
        <v>201</v>
      </c>
      <c r="R3151" s="40">
        <v>249</v>
      </c>
      <c r="X3151" s="40">
        <v>90250715</v>
      </c>
      <c r="Y3151" s="40" t="s">
        <v>115</v>
      </c>
      <c r="Z3151" s="40" t="s">
        <v>115</v>
      </c>
      <c r="AA3151" s="40" t="s">
        <v>115</v>
      </c>
      <c r="AB3151" s="40" t="s">
        <v>115</v>
      </c>
      <c r="AC3151" s="40" t="s">
        <v>115</v>
      </c>
      <c r="AI3151" s="40" t="s">
        <v>115</v>
      </c>
      <c r="AP3151" s="4" t="s">
        <v>115</v>
      </c>
    </row>
    <row r="3152" spans="1:42" x14ac:dyDescent="0.15">
      <c r="A3152" s="40" t="s">
        <v>1</v>
      </c>
      <c r="B3152" s="23">
        <v>90250715</v>
      </c>
      <c r="C3152" s="23">
        <v>2507</v>
      </c>
      <c r="D3152" s="23">
        <v>25</v>
      </c>
      <c r="F3152" s="23" t="s">
        <v>116</v>
      </c>
      <c r="G3152" s="23">
        <v>312</v>
      </c>
      <c r="H3152" s="23" t="s">
        <v>5826</v>
      </c>
      <c r="I3152" s="23">
        <v>0</v>
      </c>
      <c r="J3152" s="40">
        <v>0</v>
      </c>
      <c r="K3152" s="40">
        <v>0</v>
      </c>
      <c r="L3152" s="40" t="s">
        <v>115</v>
      </c>
      <c r="O3152" s="40" t="s">
        <v>115</v>
      </c>
      <c r="Q3152" s="40">
        <v>201</v>
      </c>
      <c r="R3152" s="40">
        <v>249</v>
      </c>
      <c r="X3152" s="40">
        <v>90250716</v>
      </c>
      <c r="Y3152" s="40" t="s">
        <v>115</v>
      </c>
      <c r="Z3152" s="40" t="s">
        <v>115</v>
      </c>
      <c r="AA3152" s="40" t="s">
        <v>115</v>
      </c>
      <c r="AB3152" s="40" t="s">
        <v>115</v>
      </c>
      <c r="AC3152" s="40" t="s">
        <v>115</v>
      </c>
      <c r="AI3152" s="40" t="s">
        <v>115</v>
      </c>
      <c r="AP3152" s="4" t="s">
        <v>115</v>
      </c>
    </row>
    <row r="3153" spans="1:42" x14ac:dyDescent="0.15">
      <c r="A3153" s="40" t="s">
        <v>1</v>
      </c>
      <c r="B3153" s="23">
        <v>90250716</v>
      </c>
      <c r="C3153" s="23">
        <v>2507</v>
      </c>
      <c r="D3153" s="23">
        <v>25</v>
      </c>
      <c r="F3153" s="23" t="s">
        <v>5824</v>
      </c>
      <c r="G3153" s="23" t="s">
        <v>115</v>
      </c>
      <c r="H3153" s="23" t="s">
        <v>5827</v>
      </c>
      <c r="I3153" s="23">
        <v>3</v>
      </c>
      <c r="J3153" s="40">
        <v>0</v>
      </c>
      <c r="K3153" s="40">
        <v>0</v>
      </c>
      <c r="L3153" s="40" t="s">
        <v>115</v>
      </c>
      <c r="O3153" s="40" t="s">
        <v>115</v>
      </c>
      <c r="Q3153" s="40">
        <v>201</v>
      </c>
      <c r="R3153" s="40">
        <v>249</v>
      </c>
      <c r="X3153" s="40">
        <v>90250717</v>
      </c>
      <c r="Y3153" s="40" t="s">
        <v>115</v>
      </c>
      <c r="Z3153" s="40" t="s">
        <v>115</v>
      </c>
      <c r="AA3153" s="40" t="s">
        <v>115</v>
      </c>
      <c r="AB3153" s="40" t="s">
        <v>115</v>
      </c>
      <c r="AC3153" s="40" t="s">
        <v>115</v>
      </c>
      <c r="AI3153" s="40" t="s">
        <v>115</v>
      </c>
      <c r="AP3153" s="4" t="s">
        <v>115</v>
      </c>
    </row>
    <row r="3154" spans="1:42" x14ac:dyDescent="0.15">
      <c r="A3154" s="40" t="s">
        <v>1</v>
      </c>
      <c r="B3154" s="23">
        <v>90250717</v>
      </c>
      <c r="C3154" s="23">
        <v>2507</v>
      </c>
      <c r="D3154" s="23">
        <v>25</v>
      </c>
      <c r="F3154" s="23" t="s">
        <v>116</v>
      </c>
      <c r="G3154" s="23">
        <v>312</v>
      </c>
      <c r="H3154" s="23" t="s">
        <v>5828</v>
      </c>
      <c r="I3154" s="23">
        <v>0</v>
      </c>
      <c r="J3154" s="40">
        <v>0</v>
      </c>
      <c r="K3154" s="40">
        <v>0</v>
      </c>
      <c r="L3154" s="40" t="s">
        <v>115</v>
      </c>
      <c r="O3154" s="40" t="s">
        <v>115</v>
      </c>
      <c r="Q3154" s="40">
        <v>201</v>
      </c>
      <c r="R3154" s="40">
        <v>249</v>
      </c>
      <c r="X3154" s="40">
        <v>90250718</v>
      </c>
      <c r="Y3154" s="40" t="s">
        <v>115</v>
      </c>
      <c r="Z3154" s="40" t="s">
        <v>115</v>
      </c>
      <c r="AA3154" s="40" t="s">
        <v>115</v>
      </c>
      <c r="AB3154" s="40" t="s">
        <v>115</v>
      </c>
      <c r="AC3154" s="40" t="s">
        <v>115</v>
      </c>
      <c r="AI3154" s="40" t="s">
        <v>115</v>
      </c>
      <c r="AP3154" s="4" t="s">
        <v>115</v>
      </c>
    </row>
    <row r="3155" spans="1:42" x14ac:dyDescent="0.15">
      <c r="A3155" s="40" t="s">
        <v>1</v>
      </c>
      <c r="B3155" s="23">
        <v>90250718</v>
      </c>
      <c r="C3155" s="23">
        <v>2507</v>
      </c>
      <c r="D3155" s="23">
        <v>25</v>
      </c>
      <c r="F3155" s="23" t="s">
        <v>115</v>
      </c>
      <c r="G3155" s="23" t="s">
        <v>115</v>
      </c>
      <c r="H3155" s="23" t="s">
        <v>5829</v>
      </c>
      <c r="I3155" s="23">
        <v>4</v>
      </c>
      <c r="J3155" s="40">
        <v>0</v>
      </c>
      <c r="K3155" s="40">
        <v>0</v>
      </c>
      <c r="L3155" s="40" t="s">
        <v>115</v>
      </c>
      <c r="O3155" s="40" t="s">
        <v>115</v>
      </c>
      <c r="Q3155" s="40">
        <v>201</v>
      </c>
      <c r="R3155" s="40">
        <v>249</v>
      </c>
      <c r="X3155" s="40">
        <v>90250719</v>
      </c>
      <c r="Y3155" s="40" t="s">
        <v>115</v>
      </c>
      <c r="Z3155" s="40" t="s">
        <v>115</v>
      </c>
      <c r="AA3155" s="40" t="s">
        <v>115</v>
      </c>
      <c r="AB3155" s="40" t="s">
        <v>115</v>
      </c>
      <c r="AC3155" s="40" t="s">
        <v>115</v>
      </c>
      <c r="AI3155" s="40" t="s">
        <v>115</v>
      </c>
      <c r="AP3155" s="4" t="s">
        <v>115</v>
      </c>
    </row>
    <row r="3156" spans="1:42" x14ac:dyDescent="0.15">
      <c r="A3156" s="40" t="s">
        <v>1</v>
      </c>
      <c r="B3156" s="23">
        <v>90250719</v>
      </c>
      <c r="C3156" s="23">
        <v>2507</v>
      </c>
      <c r="D3156" s="23">
        <v>25</v>
      </c>
      <c r="F3156" s="23" t="s">
        <v>5824</v>
      </c>
      <c r="G3156" s="23" t="s">
        <v>115</v>
      </c>
      <c r="H3156" s="23" t="s">
        <v>5830</v>
      </c>
      <c r="I3156" s="23">
        <v>3</v>
      </c>
      <c r="J3156" s="40">
        <v>0</v>
      </c>
      <c r="K3156" s="40">
        <v>4</v>
      </c>
      <c r="L3156" s="40" t="s">
        <v>115</v>
      </c>
      <c r="O3156" s="40">
        <v>1</v>
      </c>
      <c r="Q3156" s="40">
        <v>201</v>
      </c>
      <c r="R3156" s="40">
        <v>249</v>
      </c>
      <c r="X3156" s="40" t="s">
        <v>115</v>
      </c>
      <c r="Y3156" s="40" t="s">
        <v>115</v>
      </c>
      <c r="Z3156" s="40">
        <v>3</v>
      </c>
      <c r="AA3156" s="40" t="s">
        <v>115</v>
      </c>
      <c r="AB3156" s="40" t="s">
        <v>115</v>
      </c>
      <c r="AC3156" s="40" t="s">
        <v>115</v>
      </c>
      <c r="AI3156" s="40" t="s">
        <v>115</v>
      </c>
      <c r="AP3156" s="4" t="s">
        <v>115</v>
      </c>
    </row>
    <row r="3157" spans="1:42" x14ac:dyDescent="0.15">
      <c r="A3157" s="40" t="s">
        <v>1</v>
      </c>
      <c r="B3157" s="23" t="s">
        <v>4888</v>
      </c>
      <c r="C3157" s="23">
        <v>2601</v>
      </c>
      <c r="D3157" s="23">
        <v>26</v>
      </c>
      <c r="F3157" s="23" t="s">
        <v>115</v>
      </c>
      <c r="G3157" s="23" t="s">
        <v>115</v>
      </c>
      <c r="H3157" s="23" t="s">
        <v>5831</v>
      </c>
      <c r="I3157" s="23">
        <v>4</v>
      </c>
      <c r="J3157" s="40">
        <v>1</v>
      </c>
      <c r="K3157" s="40">
        <v>1</v>
      </c>
      <c r="L3157" s="40" t="s">
        <v>115</v>
      </c>
      <c r="O3157" s="40" t="s">
        <v>115</v>
      </c>
      <c r="Q3157" s="40">
        <v>115</v>
      </c>
      <c r="R3157" s="40" t="s">
        <v>115</v>
      </c>
      <c r="X3157" s="40">
        <v>90260102</v>
      </c>
      <c r="Y3157" s="40" t="s">
        <v>115</v>
      </c>
      <c r="Z3157" s="40" t="s">
        <v>115</v>
      </c>
      <c r="AA3157" s="40" t="s">
        <v>115</v>
      </c>
      <c r="AB3157" s="40" t="s">
        <v>115</v>
      </c>
      <c r="AC3157" s="40" t="s">
        <v>115</v>
      </c>
      <c r="AI3157" s="40" t="s">
        <v>115</v>
      </c>
      <c r="AP3157" s="4" t="s">
        <v>115</v>
      </c>
    </row>
    <row r="3158" spans="1:42" x14ac:dyDescent="0.15">
      <c r="A3158" s="40" t="s">
        <v>1</v>
      </c>
      <c r="B3158" s="23">
        <v>90260102</v>
      </c>
      <c r="C3158" s="23">
        <v>2601</v>
      </c>
      <c r="D3158" s="23">
        <v>26</v>
      </c>
      <c r="F3158" s="23" t="s">
        <v>115</v>
      </c>
      <c r="G3158" s="23" t="s">
        <v>115</v>
      </c>
      <c r="H3158" s="23" t="s">
        <v>5832</v>
      </c>
      <c r="I3158" s="23">
        <v>4</v>
      </c>
      <c r="J3158" s="40">
        <v>0</v>
      </c>
      <c r="K3158" s="40">
        <v>0</v>
      </c>
      <c r="L3158" s="40" t="s">
        <v>115</v>
      </c>
      <c r="O3158" s="40" t="s">
        <v>115</v>
      </c>
      <c r="Q3158" s="40">
        <v>115</v>
      </c>
      <c r="R3158" s="40" t="s">
        <v>115</v>
      </c>
      <c r="X3158" s="40">
        <v>90260103</v>
      </c>
      <c r="Y3158" s="40" t="s">
        <v>115</v>
      </c>
      <c r="Z3158" s="40" t="s">
        <v>115</v>
      </c>
      <c r="AA3158" s="40" t="s">
        <v>115</v>
      </c>
      <c r="AB3158" s="40" t="s">
        <v>115</v>
      </c>
      <c r="AC3158" s="40" t="s">
        <v>115</v>
      </c>
      <c r="AI3158" s="40" t="s">
        <v>115</v>
      </c>
      <c r="AP3158" s="4" t="s">
        <v>115</v>
      </c>
    </row>
    <row r="3159" spans="1:42" x14ac:dyDescent="0.15">
      <c r="A3159" s="40" t="s">
        <v>1</v>
      </c>
      <c r="B3159" s="23">
        <v>90260103</v>
      </c>
      <c r="C3159" s="23">
        <v>2601</v>
      </c>
      <c r="D3159" s="23">
        <v>26</v>
      </c>
      <c r="F3159" s="23" t="s">
        <v>115</v>
      </c>
      <c r="G3159" s="23" t="s">
        <v>115</v>
      </c>
      <c r="H3159" s="23" t="s">
        <v>5833</v>
      </c>
      <c r="I3159" s="23">
        <v>4</v>
      </c>
      <c r="J3159" s="40">
        <v>0</v>
      </c>
      <c r="K3159" s="40">
        <v>0</v>
      </c>
      <c r="L3159" s="40" t="s">
        <v>115</v>
      </c>
      <c r="O3159" s="40" t="s">
        <v>115</v>
      </c>
      <c r="Q3159" s="40">
        <v>115</v>
      </c>
      <c r="R3159" s="40" t="s">
        <v>115</v>
      </c>
      <c r="X3159" s="40">
        <v>90260104</v>
      </c>
      <c r="Y3159" s="40" t="s">
        <v>115</v>
      </c>
      <c r="Z3159" s="40" t="s">
        <v>115</v>
      </c>
      <c r="AA3159" s="40" t="s">
        <v>115</v>
      </c>
      <c r="AB3159" s="40" t="s">
        <v>115</v>
      </c>
      <c r="AC3159" s="40" t="s">
        <v>115</v>
      </c>
      <c r="AI3159" s="40" t="s">
        <v>115</v>
      </c>
      <c r="AP3159" s="4" t="s">
        <v>115</v>
      </c>
    </row>
    <row r="3160" spans="1:42" x14ac:dyDescent="0.15">
      <c r="A3160" s="40" t="s">
        <v>1</v>
      </c>
      <c r="B3160" s="23">
        <v>90260104</v>
      </c>
      <c r="C3160" s="23">
        <v>2601</v>
      </c>
      <c r="D3160" s="23">
        <v>26</v>
      </c>
      <c r="F3160" s="23" t="s">
        <v>5834</v>
      </c>
      <c r="G3160" s="23" t="s">
        <v>115</v>
      </c>
      <c r="H3160" s="23" t="s">
        <v>5835</v>
      </c>
      <c r="I3160" s="23">
        <v>3</v>
      </c>
      <c r="J3160" s="40">
        <v>0</v>
      </c>
      <c r="K3160" s="40">
        <v>0</v>
      </c>
      <c r="L3160" s="40" t="s">
        <v>115</v>
      </c>
      <c r="O3160" s="40" t="s">
        <v>115</v>
      </c>
      <c r="Q3160" s="40">
        <v>115</v>
      </c>
      <c r="R3160" s="40">
        <v>166</v>
      </c>
      <c r="X3160" s="40">
        <v>90260105</v>
      </c>
      <c r="Y3160" s="40" t="s">
        <v>115</v>
      </c>
      <c r="Z3160" s="40" t="s">
        <v>115</v>
      </c>
      <c r="AA3160" s="40" t="s">
        <v>115</v>
      </c>
      <c r="AB3160" s="40" t="s">
        <v>115</v>
      </c>
      <c r="AC3160" s="40" t="s">
        <v>115</v>
      </c>
      <c r="AI3160" s="40" t="s">
        <v>115</v>
      </c>
      <c r="AP3160" s="4" t="s">
        <v>115</v>
      </c>
    </row>
    <row r="3161" spans="1:42" x14ac:dyDescent="0.15">
      <c r="A3161" s="40" t="s">
        <v>1</v>
      </c>
      <c r="B3161" s="23">
        <v>90260105</v>
      </c>
      <c r="C3161" s="23">
        <v>2601</v>
      </c>
      <c r="D3161" s="23">
        <v>26</v>
      </c>
      <c r="F3161" s="23" t="s">
        <v>116</v>
      </c>
      <c r="G3161" s="23">
        <v>312</v>
      </c>
      <c r="H3161" s="23" t="s">
        <v>5836</v>
      </c>
      <c r="I3161" s="23">
        <v>0</v>
      </c>
      <c r="J3161" s="40">
        <v>0</v>
      </c>
      <c r="K3161" s="40">
        <v>0</v>
      </c>
      <c r="L3161" s="40" t="s">
        <v>115</v>
      </c>
      <c r="O3161" s="40" t="s">
        <v>115</v>
      </c>
      <c r="Q3161" s="40">
        <v>115</v>
      </c>
      <c r="R3161" s="40">
        <v>166</v>
      </c>
      <c r="X3161" s="40">
        <v>90260106</v>
      </c>
      <c r="Y3161" s="40" t="s">
        <v>115</v>
      </c>
      <c r="Z3161" s="40" t="s">
        <v>115</v>
      </c>
      <c r="AA3161" s="40" t="s">
        <v>115</v>
      </c>
      <c r="AB3161" s="40" t="s">
        <v>115</v>
      </c>
      <c r="AC3161" s="40" t="s">
        <v>115</v>
      </c>
      <c r="AI3161" s="40" t="s">
        <v>115</v>
      </c>
      <c r="AP3161" s="4" t="s">
        <v>115</v>
      </c>
    </row>
    <row r="3162" spans="1:42" x14ac:dyDescent="0.15">
      <c r="A3162" s="40" t="s">
        <v>1</v>
      </c>
      <c r="B3162" s="23">
        <v>90260106</v>
      </c>
      <c r="C3162" s="23">
        <v>2601</v>
      </c>
      <c r="D3162" s="23">
        <v>26</v>
      </c>
      <c r="F3162" s="23" t="s">
        <v>5834</v>
      </c>
      <c r="G3162" s="23" t="s">
        <v>115</v>
      </c>
      <c r="H3162" s="23" t="s">
        <v>5837</v>
      </c>
      <c r="I3162" s="23">
        <v>3</v>
      </c>
      <c r="J3162" s="40">
        <v>0</v>
      </c>
      <c r="K3162" s="40">
        <v>0</v>
      </c>
      <c r="L3162" s="40" t="s">
        <v>115</v>
      </c>
      <c r="O3162" s="40" t="s">
        <v>115</v>
      </c>
      <c r="Q3162" s="40">
        <v>115</v>
      </c>
      <c r="R3162" s="40">
        <v>166</v>
      </c>
      <c r="X3162" s="40">
        <v>90260107</v>
      </c>
      <c r="Y3162" s="40" t="s">
        <v>115</v>
      </c>
      <c r="Z3162" s="40" t="s">
        <v>115</v>
      </c>
      <c r="AA3162" s="40" t="s">
        <v>115</v>
      </c>
      <c r="AB3162" s="40" t="s">
        <v>115</v>
      </c>
      <c r="AC3162" s="40" t="s">
        <v>115</v>
      </c>
      <c r="AI3162" s="40" t="s">
        <v>115</v>
      </c>
      <c r="AP3162" s="4" t="s">
        <v>115</v>
      </c>
    </row>
    <row r="3163" spans="1:42" x14ac:dyDescent="0.15">
      <c r="A3163" s="40" t="s">
        <v>1</v>
      </c>
      <c r="B3163" s="23">
        <v>90260107</v>
      </c>
      <c r="C3163" s="23">
        <v>2601</v>
      </c>
      <c r="D3163" s="23">
        <v>26</v>
      </c>
      <c r="F3163" s="23" t="s">
        <v>116</v>
      </c>
      <c r="G3163" s="23">
        <v>314</v>
      </c>
      <c r="H3163" s="23" t="s">
        <v>5838</v>
      </c>
      <c r="I3163" s="23">
        <v>0</v>
      </c>
      <c r="J3163" s="40">
        <v>0</v>
      </c>
      <c r="K3163" s="40">
        <v>0</v>
      </c>
      <c r="L3163" s="40" t="s">
        <v>115</v>
      </c>
      <c r="O3163" s="40" t="s">
        <v>115</v>
      </c>
      <c r="Q3163" s="40">
        <v>115</v>
      </c>
      <c r="R3163" s="40">
        <v>166</v>
      </c>
      <c r="X3163" s="40">
        <v>90260108</v>
      </c>
      <c r="Y3163" s="40" t="s">
        <v>115</v>
      </c>
      <c r="Z3163" s="40" t="s">
        <v>115</v>
      </c>
      <c r="AA3163" s="40" t="s">
        <v>115</v>
      </c>
      <c r="AB3163" s="40" t="s">
        <v>115</v>
      </c>
      <c r="AC3163" s="40" t="s">
        <v>115</v>
      </c>
      <c r="AI3163" s="40" t="s">
        <v>115</v>
      </c>
      <c r="AP3163" s="4" t="s">
        <v>115</v>
      </c>
    </row>
    <row r="3164" spans="1:42" x14ac:dyDescent="0.15">
      <c r="A3164" s="40" t="s">
        <v>1</v>
      </c>
      <c r="B3164" s="23">
        <v>90260108</v>
      </c>
      <c r="C3164" s="23">
        <v>2601</v>
      </c>
      <c r="D3164" s="23">
        <v>26</v>
      </c>
      <c r="F3164" s="23" t="s">
        <v>5834</v>
      </c>
      <c r="G3164" s="23" t="s">
        <v>115</v>
      </c>
      <c r="H3164" s="23" t="s">
        <v>5839</v>
      </c>
      <c r="I3164" s="23">
        <v>3</v>
      </c>
      <c r="J3164" s="40">
        <v>0</v>
      </c>
      <c r="K3164" s="40">
        <v>0</v>
      </c>
      <c r="L3164" s="40" t="s">
        <v>115</v>
      </c>
      <c r="O3164" s="40" t="s">
        <v>115</v>
      </c>
      <c r="Q3164" s="40">
        <v>115</v>
      </c>
      <c r="R3164" s="40">
        <v>166</v>
      </c>
      <c r="X3164" s="40">
        <v>90260109</v>
      </c>
      <c r="Y3164" s="40" t="s">
        <v>115</v>
      </c>
      <c r="Z3164" s="40" t="s">
        <v>115</v>
      </c>
      <c r="AA3164" s="40" t="s">
        <v>115</v>
      </c>
      <c r="AB3164" s="40" t="s">
        <v>115</v>
      </c>
      <c r="AC3164" s="40" t="s">
        <v>115</v>
      </c>
      <c r="AI3164" s="40" t="s">
        <v>115</v>
      </c>
      <c r="AP3164" s="4" t="s">
        <v>115</v>
      </c>
    </row>
    <row r="3165" spans="1:42" x14ac:dyDescent="0.15">
      <c r="A3165" s="40" t="s">
        <v>1</v>
      </c>
      <c r="B3165" s="23">
        <v>90260109</v>
      </c>
      <c r="C3165" s="23">
        <v>2601</v>
      </c>
      <c r="D3165" s="23">
        <v>26</v>
      </c>
      <c r="F3165" s="23" t="s">
        <v>5834</v>
      </c>
      <c r="G3165" s="23" t="s">
        <v>115</v>
      </c>
      <c r="H3165" s="23" t="s">
        <v>5840</v>
      </c>
      <c r="I3165" s="23">
        <v>3</v>
      </c>
      <c r="J3165" s="40">
        <v>0</v>
      </c>
      <c r="K3165" s="40">
        <v>0</v>
      </c>
      <c r="L3165" s="40" t="s">
        <v>115</v>
      </c>
      <c r="O3165" s="40" t="s">
        <v>115</v>
      </c>
      <c r="Q3165" s="40">
        <v>115</v>
      </c>
      <c r="R3165" s="40">
        <v>166</v>
      </c>
      <c r="X3165" s="40">
        <v>90260110</v>
      </c>
      <c r="Y3165" s="40" t="s">
        <v>115</v>
      </c>
      <c r="Z3165" s="40" t="s">
        <v>115</v>
      </c>
      <c r="AA3165" s="40" t="s">
        <v>115</v>
      </c>
      <c r="AB3165" s="40" t="s">
        <v>115</v>
      </c>
      <c r="AC3165" s="40" t="s">
        <v>115</v>
      </c>
      <c r="AI3165" s="40" t="s">
        <v>115</v>
      </c>
      <c r="AP3165" s="4" t="s">
        <v>115</v>
      </c>
    </row>
    <row r="3166" spans="1:42" x14ac:dyDescent="0.15">
      <c r="A3166" s="40" t="s">
        <v>1</v>
      </c>
      <c r="B3166" s="23">
        <v>90260110</v>
      </c>
      <c r="C3166" s="23">
        <v>2601</v>
      </c>
      <c r="D3166" s="23">
        <v>26</v>
      </c>
      <c r="F3166" s="23" t="s">
        <v>5834</v>
      </c>
      <c r="G3166" s="23" t="s">
        <v>115</v>
      </c>
      <c r="H3166" s="23" t="s">
        <v>5841</v>
      </c>
      <c r="I3166" s="23">
        <v>3</v>
      </c>
      <c r="J3166" s="40">
        <v>0</v>
      </c>
      <c r="K3166" s="40">
        <v>0</v>
      </c>
      <c r="L3166" s="40" t="s">
        <v>115</v>
      </c>
      <c r="O3166" s="40" t="s">
        <v>115</v>
      </c>
      <c r="Q3166" s="40">
        <v>115</v>
      </c>
      <c r="R3166" s="40">
        <v>166</v>
      </c>
      <c r="X3166" s="40">
        <v>90260111</v>
      </c>
      <c r="Y3166" s="40" t="s">
        <v>115</v>
      </c>
      <c r="Z3166" s="40" t="s">
        <v>115</v>
      </c>
      <c r="AA3166" s="40" t="s">
        <v>115</v>
      </c>
      <c r="AB3166" s="40" t="s">
        <v>115</v>
      </c>
      <c r="AC3166" s="40" t="s">
        <v>115</v>
      </c>
      <c r="AI3166" s="40" t="s">
        <v>115</v>
      </c>
      <c r="AP3166" s="4" t="s">
        <v>115</v>
      </c>
    </row>
    <row r="3167" spans="1:42" x14ac:dyDescent="0.15">
      <c r="A3167" s="40" t="s">
        <v>1</v>
      </c>
      <c r="B3167" s="23">
        <v>90260111</v>
      </c>
      <c r="C3167" s="23">
        <v>2601</v>
      </c>
      <c r="D3167" s="23">
        <v>26</v>
      </c>
      <c r="F3167" s="23" t="s">
        <v>116</v>
      </c>
      <c r="G3167" s="23">
        <v>312</v>
      </c>
      <c r="H3167" s="23" t="s">
        <v>5842</v>
      </c>
      <c r="I3167" s="23">
        <v>0</v>
      </c>
      <c r="J3167" s="40">
        <v>0</v>
      </c>
      <c r="K3167" s="40">
        <v>0</v>
      </c>
      <c r="L3167" s="40" t="s">
        <v>115</v>
      </c>
      <c r="O3167" s="40" t="s">
        <v>115</v>
      </c>
      <c r="Q3167" s="40">
        <v>115</v>
      </c>
      <c r="R3167" s="40">
        <v>166</v>
      </c>
      <c r="X3167" s="40">
        <v>90260112</v>
      </c>
      <c r="Y3167" s="40" t="s">
        <v>115</v>
      </c>
      <c r="Z3167" s="40" t="s">
        <v>115</v>
      </c>
      <c r="AA3167" s="40" t="s">
        <v>115</v>
      </c>
      <c r="AB3167" s="40" t="s">
        <v>115</v>
      </c>
      <c r="AC3167" s="40" t="s">
        <v>115</v>
      </c>
      <c r="AI3167" s="40" t="s">
        <v>115</v>
      </c>
      <c r="AP3167" s="4" t="s">
        <v>115</v>
      </c>
    </row>
    <row r="3168" spans="1:42" x14ac:dyDescent="0.15">
      <c r="A3168" s="40" t="s">
        <v>1</v>
      </c>
      <c r="B3168" s="23">
        <v>90260112</v>
      </c>
      <c r="C3168" s="23">
        <v>2601</v>
      </c>
      <c r="D3168" s="23">
        <v>26</v>
      </c>
      <c r="F3168" s="23" t="s">
        <v>5834</v>
      </c>
      <c r="G3168" s="23" t="s">
        <v>115</v>
      </c>
      <c r="H3168" s="23" t="s">
        <v>5843</v>
      </c>
      <c r="I3168" s="23">
        <v>3</v>
      </c>
      <c r="J3168" s="40">
        <v>0</v>
      </c>
      <c r="K3168" s="40">
        <v>0</v>
      </c>
      <c r="L3168" s="40" t="s">
        <v>115</v>
      </c>
      <c r="O3168" s="40" t="s">
        <v>115</v>
      </c>
      <c r="Q3168" s="40">
        <v>115</v>
      </c>
      <c r="R3168" s="40">
        <v>166</v>
      </c>
      <c r="X3168" s="40">
        <v>90260113</v>
      </c>
      <c r="Y3168" s="40" t="s">
        <v>115</v>
      </c>
      <c r="Z3168" s="40" t="s">
        <v>115</v>
      </c>
      <c r="AA3168" s="40" t="s">
        <v>115</v>
      </c>
      <c r="AB3168" s="40" t="s">
        <v>115</v>
      </c>
      <c r="AC3168" s="40" t="s">
        <v>115</v>
      </c>
      <c r="AI3168" s="40" t="s">
        <v>115</v>
      </c>
      <c r="AP3168" s="4" t="s">
        <v>115</v>
      </c>
    </row>
    <row r="3169" spans="1:42" x14ac:dyDescent="0.15">
      <c r="A3169" s="40" t="s">
        <v>1</v>
      </c>
      <c r="B3169" s="23">
        <v>90260113</v>
      </c>
      <c r="C3169" s="23">
        <v>2601</v>
      </c>
      <c r="D3169" s="23">
        <v>26</v>
      </c>
      <c r="F3169" s="23" t="s">
        <v>5834</v>
      </c>
      <c r="G3169" s="23" t="s">
        <v>115</v>
      </c>
      <c r="H3169" s="23" t="s">
        <v>5844</v>
      </c>
      <c r="I3169" s="23">
        <v>3</v>
      </c>
      <c r="J3169" s="40">
        <v>0</v>
      </c>
      <c r="K3169" s="40">
        <v>0</v>
      </c>
      <c r="L3169" s="40" t="s">
        <v>115</v>
      </c>
      <c r="O3169" s="40" t="s">
        <v>115</v>
      </c>
      <c r="Q3169" s="40">
        <v>115</v>
      </c>
      <c r="R3169" s="40">
        <v>166</v>
      </c>
      <c r="X3169" s="40">
        <v>90260114</v>
      </c>
      <c r="Y3169" s="40" t="s">
        <v>115</v>
      </c>
      <c r="Z3169" s="40" t="s">
        <v>115</v>
      </c>
      <c r="AA3169" s="40" t="s">
        <v>115</v>
      </c>
      <c r="AB3169" s="40" t="s">
        <v>115</v>
      </c>
      <c r="AC3169" s="40" t="s">
        <v>115</v>
      </c>
      <c r="AI3169" s="40" t="s">
        <v>115</v>
      </c>
      <c r="AP3169" s="4" t="s">
        <v>115</v>
      </c>
    </row>
    <row r="3170" spans="1:42" x14ac:dyDescent="0.15">
      <c r="A3170" s="40" t="s">
        <v>1</v>
      </c>
      <c r="B3170" s="23">
        <v>90260114</v>
      </c>
      <c r="C3170" s="23">
        <v>2601</v>
      </c>
      <c r="D3170" s="23">
        <v>26</v>
      </c>
      <c r="F3170" s="23" t="s">
        <v>5834</v>
      </c>
      <c r="G3170" s="23" t="s">
        <v>115</v>
      </c>
      <c r="H3170" s="23" t="s">
        <v>5845</v>
      </c>
      <c r="I3170" s="23">
        <v>3</v>
      </c>
      <c r="J3170" s="40">
        <v>0</v>
      </c>
      <c r="K3170" s="40">
        <v>0</v>
      </c>
      <c r="L3170" s="40" t="s">
        <v>115</v>
      </c>
      <c r="O3170" s="40" t="s">
        <v>115</v>
      </c>
      <c r="Q3170" s="40">
        <v>115</v>
      </c>
      <c r="R3170" s="40">
        <v>166</v>
      </c>
      <c r="X3170" s="40">
        <v>90260115</v>
      </c>
      <c r="Y3170" s="40" t="s">
        <v>115</v>
      </c>
      <c r="Z3170" s="40" t="s">
        <v>115</v>
      </c>
      <c r="AA3170" s="40" t="s">
        <v>115</v>
      </c>
      <c r="AB3170" s="40" t="s">
        <v>115</v>
      </c>
      <c r="AC3170" s="40" t="s">
        <v>115</v>
      </c>
      <c r="AI3170" s="40" t="s">
        <v>115</v>
      </c>
      <c r="AP3170" s="4" t="s">
        <v>115</v>
      </c>
    </row>
    <row r="3171" spans="1:42" x14ac:dyDescent="0.15">
      <c r="A3171" s="40" t="s">
        <v>1</v>
      </c>
      <c r="B3171" s="23">
        <v>90260115</v>
      </c>
      <c r="C3171" s="23">
        <v>2601</v>
      </c>
      <c r="D3171" s="23">
        <v>26</v>
      </c>
      <c r="F3171" s="23" t="s">
        <v>5834</v>
      </c>
      <c r="G3171" s="23" t="s">
        <v>115</v>
      </c>
      <c r="H3171" s="23" t="s">
        <v>5846</v>
      </c>
      <c r="I3171" s="23">
        <v>3</v>
      </c>
      <c r="J3171" s="40">
        <v>0</v>
      </c>
      <c r="K3171" s="40">
        <v>0</v>
      </c>
      <c r="L3171" s="40" t="s">
        <v>115</v>
      </c>
      <c r="O3171" s="40" t="s">
        <v>115</v>
      </c>
      <c r="Q3171" s="40">
        <v>115</v>
      </c>
      <c r="R3171" s="40">
        <v>166</v>
      </c>
      <c r="X3171" s="40">
        <v>90260116</v>
      </c>
      <c r="Y3171" s="40" t="s">
        <v>115</v>
      </c>
      <c r="Z3171" s="40" t="s">
        <v>115</v>
      </c>
      <c r="AA3171" s="40" t="s">
        <v>115</v>
      </c>
      <c r="AB3171" s="40" t="s">
        <v>115</v>
      </c>
      <c r="AC3171" s="40" t="s">
        <v>115</v>
      </c>
      <c r="AI3171" s="40" t="s">
        <v>115</v>
      </c>
      <c r="AP3171" s="4" t="s">
        <v>115</v>
      </c>
    </row>
    <row r="3172" spans="1:42" x14ac:dyDescent="0.15">
      <c r="A3172" s="40" t="s">
        <v>1</v>
      </c>
      <c r="B3172" s="23">
        <v>90260116</v>
      </c>
      <c r="C3172" s="23">
        <v>2601</v>
      </c>
      <c r="D3172" s="23">
        <v>26</v>
      </c>
      <c r="F3172" s="23" t="s">
        <v>116</v>
      </c>
      <c r="G3172" s="23">
        <v>314</v>
      </c>
      <c r="H3172" s="23" t="s">
        <v>5847</v>
      </c>
      <c r="I3172" s="23">
        <v>0</v>
      </c>
      <c r="J3172" s="40">
        <v>0</v>
      </c>
      <c r="K3172" s="40">
        <v>0</v>
      </c>
      <c r="L3172" s="40" t="s">
        <v>115</v>
      </c>
      <c r="O3172" s="40" t="s">
        <v>115</v>
      </c>
      <c r="Q3172" s="40">
        <v>115</v>
      </c>
      <c r="R3172" s="40">
        <v>166</v>
      </c>
      <c r="X3172" s="40">
        <v>90260117</v>
      </c>
      <c r="Y3172" s="40" t="s">
        <v>115</v>
      </c>
      <c r="Z3172" s="40" t="s">
        <v>115</v>
      </c>
      <c r="AA3172" s="40" t="s">
        <v>115</v>
      </c>
      <c r="AB3172" s="40" t="s">
        <v>115</v>
      </c>
      <c r="AC3172" s="40" t="s">
        <v>115</v>
      </c>
      <c r="AI3172" s="40" t="s">
        <v>115</v>
      </c>
      <c r="AP3172" s="4" t="s">
        <v>115</v>
      </c>
    </row>
    <row r="3173" spans="1:42" x14ac:dyDescent="0.15">
      <c r="A3173" s="40" t="s">
        <v>1</v>
      </c>
      <c r="B3173" s="23">
        <v>90260117</v>
      </c>
      <c r="C3173" s="23">
        <v>2601</v>
      </c>
      <c r="D3173" s="23">
        <v>26</v>
      </c>
      <c r="F3173" s="23" t="s">
        <v>5834</v>
      </c>
      <c r="G3173" s="23" t="s">
        <v>115</v>
      </c>
      <c r="H3173" s="23" t="s">
        <v>5848</v>
      </c>
      <c r="I3173" s="23">
        <v>3</v>
      </c>
      <c r="J3173" s="40">
        <v>0</v>
      </c>
      <c r="K3173" s="40">
        <v>2</v>
      </c>
      <c r="L3173" s="40" t="s">
        <v>5849</v>
      </c>
      <c r="O3173" s="40">
        <v>1</v>
      </c>
      <c r="Q3173" s="40">
        <v>115</v>
      </c>
      <c r="R3173" s="40">
        <v>166</v>
      </c>
      <c r="X3173" s="40" t="s">
        <v>115</v>
      </c>
      <c r="Y3173" s="40" t="s">
        <v>115</v>
      </c>
      <c r="Z3173" s="40">
        <v>1</v>
      </c>
      <c r="AA3173" s="40" t="s">
        <v>115</v>
      </c>
      <c r="AB3173" s="40" t="s">
        <v>115</v>
      </c>
      <c r="AC3173" s="40" t="s">
        <v>115</v>
      </c>
      <c r="AI3173" s="40" t="s">
        <v>115</v>
      </c>
      <c r="AP3173" s="4" t="s">
        <v>5850</v>
      </c>
    </row>
    <row r="3174" spans="1:42" x14ac:dyDescent="0.15">
      <c r="A3174" s="40" t="s">
        <v>1</v>
      </c>
      <c r="B3174" s="23" t="s">
        <v>4891</v>
      </c>
      <c r="C3174" s="23">
        <v>2602</v>
      </c>
      <c r="D3174" s="23">
        <v>26</v>
      </c>
      <c r="F3174" s="23" t="s">
        <v>115</v>
      </c>
      <c r="G3174" s="23" t="s">
        <v>115</v>
      </c>
      <c r="H3174" s="23" t="s">
        <v>5851</v>
      </c>
      <c r="I3174" s="23">
        <v>4</v>
      </c>
      <c r="J3174" s="40">
        <v>1</v>
      </c>
      <c r="K3174" s="40">
        <v>1</v>
      </c>
      <c r="L3174" s="40" t="s">
        <v>115</v>
      </c>
      <c r="O3174" s="40" t="s">
        <v>115</v>
      </c>
      <c r="Q3174" s="40">
        <v>145</v>
      </c>
      <c r="R3174" s="40" t="s">
        <v>115</v>
      </c>
      <c r="X3174" s="40">
        <v>90260202</v>
      </c>
      <c r="Y3174" s="40" t="s">
        <v>115</v>
      </c>
      <c r="Z3174" s="40" t="s">
        <v>115</v>
      </c>
      <c r="AA3174" s="40" t="s">
        <v>115</v>
      </c>
      <c r="AB3174" s="40" t="s">
        <v>115</v>
      </c>
      <c r="AC3174" s="40" t="s">
        <v>115</v>
      </c>
      <c r="AI3174" s="40" t="s">
        <v>115</v>
      </c>
      <c r="AP3174" s="4" t="s">
        <v>115</v>
      </c>
    </row>
    <row r="3175" spans="1:42" x14ac:dyDescent="0.15">
      <c r="A3175" s="40" t="s">
        <v>1</v>
      </c>
      <c r="B3175" s="23">
        <v>90260202</v>
      </c>
      <c r="C3175" s="23">
        <v>2602</v>
      </c>
      <c r="D3175" s="23">
        <v>26</v>
      </c>
      <c r="F3175" s="23" t="s">
        <v>1177</v>
      </c>
      <c r="G3175" s="23" t="s">
        <v>115</v>
      </c>
      <c r="H3175" s="23" t="s">
        <v>5852</v>
      </c>
      <c r="I3175" s="23">
        <v>3</v>
      </c>
      <c r="J3175" s="40">
        <v>0</v>
      </c>
      <c r="K3175" s="40">
        <v>0</v>
      </c>
      <c r="L3175" s="40" t="s">
        <v>115</v>
      </c>
      <c r="O3175" s="40" t="s">
        <v>115</v>
      </c>
      <c r="Q3175" s="40">
        <v>145</v>
      </c>
      <c r="R3175" s="40">
        <v>256</v>
      </c>
      <c r="X3175" s="40">
        <v>90260203</v>
      </c>
      <c r="Y3175" s="40" t="s">
        <v>115</v>
      </c>
      <c r="Z3175" s="40" t="s">
        <v>115</v>
      </c>
      <c r="AA3175" s="40" t="s">
        <v>115</v>
      </c>
      <c r="AB3175" s="40" t="s">
        <v>115</v>
      </c>
      <c r="AC3175" s="40" t="s">
        <v>115</v>
      </c>
      <c r="AI3175" s="40" t="s">
        <v>115</v>
      </c>
      <c r="AP3175" s="4" t="s">
        <v>115</v>
      </c>
    </row>
    <row r="3176" spans="1:42" x14ac:dyDescent="0.15">
      <c r="A3176" s="40" t="s">
        <v>1</v>
      </c>
      <c r="B3176" s="23">
        <v>90260203</v>
      </c>
      <c r="C3176" s="23">
        <v>2602</v>
      </c>
      <c r="D3176" s="23">
        <v>26</v>
      </c>
      <c r="F3176" s="23" t="s">
        <v>116</v>
      </c>
      <c r="G3176" s="23">
        <v>313</v>
      </c>
      <c r="H3176" s="23" t="s">
        <v>5853</v>
      </c>
      <c r="I3176" s="23">
        <v>0</v>
      </c>
      <c r="J3176" s="40">
        <v>0</v>
      </c>
      <c r="K3176" s="40">
        <v>0</v>
      </c>
      <c r="L3176" s="40" t="s">
        <v>115</v>
      </c>
      <c r="O3176" s="40" t="s">
        <v>115</v>
      </c>
      <c r="Q3176" s="40">
        <v>145</v>
      </c>
      <c r="R3176" s="40">
        <v>256</v>
      </c>
      <c r="X3176" s="40">
        <v>90260204</v>
      </c>
      <c r="Y3176" s="40" t="s">
        <v>115</v>
      </c>
      <c r="Z3176" s="40" t="s">
        <v>115</v>
      </c>
      <c r="AA3176" s="40" t="s">
        <v>115</v>
      </c>
      <c r="AB3176" s="40" t="s">
        <v>115</v>
      </c>
      <c r="AC3176" s="40" t="s">
        <v>115</v>
      </c>
      <c r="AI3176" s="40" t="s">
        <v>115</v>
      </c>
      <c r="AP3176" s="4" t="s">
        <v>115</v>
      </c>
    </row>
    <row r="3177" spans="1:42" x14ac:dyDescent="0.15">
      <c r="A3177" s="40" t="s">
        <v>1</v>
      </c>
      <c r="B3177" s="23">
        <v>90260204</v>
      </c>
      <c r="C3177" s="23">
        <v>2602</v>
      </c>
      <c r="D3177" s="23">
        <v>26</v>
      </c>
      <c r="F3177" s="23" t="s">
        <v>1177</v>
      </c>
      <c r="G3177" s="23" t="s">
        <v>115</v>
      </c>
      <c r="H3177" s="23" t="s">
        <v>5854</v>
      </c>
      <c r="I3177" s="23">
        <v>3</v>
      </c>
      <c r="J3177" s="40">
        <v>0</v>
      </c>
      <c r="K3177" s="40">
        <v>0</v>
      </c>
      <c r="L3177" s="40" t="s">
        <v>115</v>
      </c>
      <c r="O3177" s="40" t="s">
        <v>115</v>
      </c>
      <c r="Q3177" s="40">
        <v>145</v>
      </c>
      <c r="R3177" s="40">
        <v>256</v>
      </c>
      <c r="X3177" s="40">
        <v>90260205</v>
      </c>
      <c r="Y3177" s="40" t="s">
        <v>115</v>
      </c>
      <c r="Z3177" s="40" t="s">
        <v>115</v>
      </c>
      <c r="AA3177" s="40" t="s">
        <v>115</v>
      </c>
      <c r="AB3177" s="40" t="s">
        <v>115</v>
      </c>
      <c r="AC3177" s="40" t="s">
        <v>115</v>
      </c>
      <c r="AI3177" s="40" t="s">
        <v>115</v>
      </c>
      <c r="AP3177" s="4" t="s">
        <v>115</v>
      </c>
    </row>
    <row r="3178" spans="1:42" x14ac:dyDescent="0.15">
      <c r="A3178" s="40" t="s">
        <v>1</v>
      </c>
      <c r="B3178" s="23">
        <v>90260205</v>
      </c>
      <c r="C3178" s="23">
        <v>2602</v>
      </c>
      <c r="D3178" s="23">
        <v>26</v>
      </c>
      <c r="F3178" s="23" t="s">
        <v>116</v>
      </c>
      <c r="G3178" s="23">
        <v>312</v>
      </c>
      <c r="H3178" s="23" t="s">
        <v>5855</v>
      </c>
      <c r="I3178" s="23">
        <v>0</v>
      </c>
      <c r="J3178" s="40">
        <v>0</v>
      </c>
      <c r="K3178" s="40">
        <v>0</v>
      </c>
      <c r="L3178" s="40" t="s">
        <v>115</v>
      </c>
      <c r="O3178" s="40" t="s">
        <v>115</v>
      </c>
      <c r="Q3178" s="40">
        <v>145</v>
      </c>
      <c r="R3178" s="40">
        <v>256</v>
      </c>
      <c r="X3178" s="40">
        <v>90260206</v>
      </c>
      <c r="Y3178" s="40" t="s">
        <v>115</v>
      </c>
      <c r="Z3178" s="40" t="s">
        <v>115</v>
      </c>
      <c r="AA3178" s="40" t="s">
        <v>115</v>
      </c>
      <c r="AB3178" s="40" t="s">
        <v>115</v>
      </c>
      <c r="AC3178" s="40" t="s">
        <v>115</v>
      </c>
      <c r="AI3178" s="40" t="s">
        <v>115</v>
      </c>
      <c r="AP3178" s="4" t="s">
        <v>115</v>
      </c>
    </row>
    <row r="3179" spans="1:42" x14ac:dyDescent="0.15">
      <c r="A3179" s="40" t="s">
        <v>1</v>
      </c>
      <c r="B3179" s="23">
        <v>90260206</v>
      </c>
      <c r="C3179" s="23">
        <v>2602</v>
      </c>
      <c r="D3179" s="23">
        <v>26</v>
      </c>
      <c r="F3179" s="23" t="s">
        <v>1177</v>
      </c>
      <c r="G3179" s="23" t="s">
        <v>115</v>
      </c>
      <c r="H3179" s="23" t="s">
        <v>5856</v>
      </c>
      <c r="I3179" s="23">
        <v>3</v>
      </c>
      <c r="J3179" s="40">
        <v>0</v>
      </c>
      <c r="K3179" s="40">
        <v>0</v>
      </c>
      <c r="L3179" s="40" t="s">
        <v>115</v>
      </c>
      <c r="O3179" s="40" t="s">
        <v>115</v>
      </c>
      <c r="Q3179" s="40">
        <v>145</v>
      </c>
      <c r="R3179" s="40">
        <v>256</v>
      </c>
      <c r="X3179" s="40">
        <v>90260207</v>
      </c>
      <c r="Y3179" s="40" t="s">
        <v>115</v>
      </c>
      <c r="Z3179" s="40" t="s">
        <v>115</v>
      </c>
      <c r="AA3179" s="40" t="s">
        <v>115</v>
      </c>
      <c r="AB3179" s="40" t="s">
        <v>115</v>
      </c>
      <c r="AC3179" s="40" t="s">
        <v>115</v>
      </c>
      <c r="AI3179" s="40" t="s">
        <v>115</v>
      </c>
      <c r="AP3179" s="4" t="s">
        <v>115</v>
      </c>
    </row>
    <row r="3180" spans="1:42" x14ac:dyDescent="0.15">
      <c r="A3180" s="40" t="s">
        <v>1</v>
      </c>
      <c r="B3180" s="23">
        <v>90260207</v>
      </c>
      <c r="C3180" s="23">
        <v>2602</v>
      </c>
      <c r="D3180" s="23">
        <v>26</v>
      </c>
      <c r="F3180" s="23" t="s">
        <v>116</v>
      </c>
      <c r="G3180" s="23">
        <v>309</v>
      </c>
      <c r="H3180" s="23" t="s">
        <v>5857</v>
      </c>
      <c r="I3180" s="23">
        <v>0</v>
      </c>
      <c r="J3180" s="40">
        <v>0</v>
      </c>
      <c r="K3180" s="40">
        <v>0</v>
      </c>
      <c r="L3180" s="40" t="s">
        <v>115</v>
      </c>
      <c r="O3180" s="40" t="s">
        <v>115</v>
      </c>
      <c r="Q3180" s="40">
        <v>145</v>
      </c>
      <c r="R3180" s="40">
        <v>256</v>
      </c>
      <c r="X3180" s="40">
        <v>90260208</v>
      </c>
      <c r="Y3180" s="40" t="s">
        <v>115</v>
      </c>
      <c r="Z3180" s="40" t="s">
        <v>115</v>
      </c>
      <c r="AA3180" s="40" t="s">
        <v>115</v>
      </c>
      <c r="AB3180" s="40" t="s">
        <v>115</v>
      </c>
      <c r="AC3180" s="40" t="s">
        <v>115</v>
      </c>
      <c r="AI3180" s="40" t="s">
        <v>115</v>
      </c>
      <c r="AP3180" s="4" t="s">
        <v>115</v>
      </c>
    </row>
    <row r="3181" spans="1:42" x14ac:dyDescent="0.15">
      <c r="A3181" s="40" t="s">
        <v>1</v>
      </c>
      <c r="B3181" s="23">
        <v>90260208</v>
      </c>
      <c r="C3181" s="23">
        <v>2602</v>
      </c>
      <c r="D3181" s="23">
        <v>26</v>
      </c>
      <c r="F3181" s="23" t="s">
        <v>1177</v>
      </c>
      <c r="G3181" s="23" t="s">
        <v>115</v>
      </c>
      <c r="H3181" s="23" t="s">
        <v>5858</v>
      </c>
      <c r="I3181" s="23">
        <v>3</v>
      </c>
      <c r="J3181" s="40">
        <v>0</v>
      </c>
      <c r="K3181" s="40">
        <v>0</v>
      </c>
      <c r="L3181" s="40" t="s">
        <v>115</v>
      </c>
      <c r="O3181" s="40" t="s">
        <v>115</v>
      </c>
      <c r="Q3181" s="40">
        <v>145</v>
      </c>
      <c r="R3181" s="40">
        <v>256</v>
      </c>
      <c r="X3181" s="40">
        <v>90260209</v>
      </c>
      <c r="Y3181" s="40" t="s">
        <v>115</v>
      </c>
      <c r="Z3181" s="40" t="s">
        <v>115</v>
      </c>
      <c r="AA3181" s="40" t="s">
        <v>115</v>
      </c>
      <c r="AB3181" s="40" t="s">
        <v>115</v>
      </c>
      <c r="AC3181" s="40" t="s">
        <v>115</v>
      </c>
      <c r="AI3181" s="40" t="s">
        <v>115</v>
      </c>
      <c r="AP3181" s="4" t="s">
        <v>115</v>
      </c>
    </row>
    <row r="3182" spans="1:42" x14ac:dyDescent="0.15">
      <c r="A3182" s="40" t="s">
        <v>1</v>
      </c>
      <c r="B3182" s="23">
        <v>90260209</v>
      </c>
      <c r="C3182" s="23">
        <v>2602</v>
      </c>
      <c r="D3182" s="23">
        <v>26</v>
      </c>
      <c r="F3182" s="23" t="s">
        <v>116</v>
      </c>
      <c r="G3182" s="23">
        <v>312</v>
      </c>
      <c r="H3182" s="23" t="s">
        <v>5859</v>
      </c>
      <c r="I3182" s="23">
        <v>0</v>
      </c>
      <c r="J3182" s="40">
        <v>0</v>
      </c>
      <c r="K3182" s="40">
        <v>0</v>
      </c>
      <c r="L3182" s="40" t="s">
        <v>115</v>
      </c>
      <c r="O3182" s="40" t="s">
        <v>115</v>
      </c>
      <c r="Q3182" s="40">
        <v>145</v>
      </c>
      <c r="R3182" s="40">
        <v>256</v>
      </c>
      <c r="X3182" s="40">
        <v>90260210</v>
      </c>
      <c r="Y3182" s="40" t="s">
        <v>115</v>
      </c>
      <c r="Z3182" s="40" t="s">
        <v>115</v>
      </c>
      <c r="AA3182" s="40" t="s">
        <v>115</v>
      </c>
      <c r="AB3182" s="40" t="s">
        <v>115</v>
      </c>
      <c r="AC3182" s="40" t="s">
        <v>115</v>
      </c>
      <c r="AI3182" s="40" t="s">
        <v>115</v>
      </c>
      <c r="AP3182" s="4" t="s">
        <v>115</v>
      </c>
    </row>
    <row r="3183" spans="1:42" x14ac:dyDescent="0.15">
      <c r="A3183" s="40" t="s">
        <v>1</v>
      </c>
      <c r="B3183" s="23">
        <v>90260210</v>
      </c>
      <c r="C3183" s="23">
        <v>2602</v>
      </c>
      <c r="D3183" s="23">
        <v>26</v>
      </c>
      <c r="F3183" s="23" t="s">
        <v>1177</v>
      </c>
      <c r="G3183" s="23" t="s">
        <v>115</v>
      </c>
      <c r="H3183" s="23" t="s">
        <v>5860</v>
      </c>
      <c r="I3183" s="23">
        <v>3</v>
      </c>
      <c r="J3183" s="40">
        <v>0</v>
      </c>
      <c r="K3183" s="40">
        <v>0</v>
      </c>
      <c r="L3183" s="40" t="s">
        <v>115</v>
      </c>
      <c r="O3183" s="40" t="s">
        <v>115</v>
      </c>
      <c r="Q3183" s="40">
        <v>145</v>
      </c>
      <c r="R3183" s="40">
        <v>256</v>
      </c>
      <c r="X3183" s="40">
        <v>90260211</v>
      </c>
      <c r="Y3183" s="40" t="s">
        <v>115</v>
      </c>
      <c r="Z3183" s="40" t="s">
        <v>115</v>
      </c>
      <c r="AA3183" s="40" t="s">
        <v>115</v>
      </c>
      <c r="AB3183" s="40" t="s">
        <v>115</v>
      </c>
      <c r="AC3183" s="40" t="s">
        <v>115</v>
      </c>
      <c r="AI3183" s="40" t="s">
        <v>115</v>
      </c>
      <c r="AP3183" s="4" t="s">
        <v>115</v>
      </c>
    </row>
    <row r="3184" spans="1:42" x14ac:dyDescent="0.15">
      <c r="A3184" s="40" t="s">
        <v>1</v>
      </c>
      <c r="B3184" s="23">
        <v>90260211</v>
      </c>
      <c r="C3184" s="23">
        <v>2602</v>
      </c>
      <c r="D3184" s="23">
        <v>26</v>
      </c>
      <c r="F3184" s="23" t="s">
        <v>116</v>
      </c>
      <c r="G3184" s="23">
        <v>313</v>
      </c>
      <c r="H3184" s="23" t="s">
        <v>2847</v>
      </c>
      <c r="I3184" s="23">
        <v>0</v>
      </c>
      <c r="J3184" s="40">
        <v>0</v>
      </c>
      <c r="K3184" s="40">
        <v>0</v>
      </c>
      <c r="L3184" s="40" t="s">
        <v>115</v>
      </c>
      <c r="O3184" s="40" t="s">
        <v>115</v>
      </c>
      <c r="Q3184" s="40">
        <v>145</v>
      </c>
      <c r="R3184" s="40">
        <v>256</v>
      </c>
      <c r="X3184" s="40">
        <v>90260212</v>
      </c>
      <c r="Y3184" s="40" t="s">
        <v>115</v>
      </c>
      <c r="Z3184" s="40" t="s">
        <v>115</v>
      </c>
      <c r="AA3184" s="40" t="s">
        <v>115</v>
      </c>
      <c r="AB3184" s="40" t="s">
        <v>115</v>
      </c>
      <c r="AC3184" s="40" t="s">
        <v>115</v>
      </c>
      <c r="AI3184" s="40" t="s">
        <v>115</v>
      </c>
      <c r="AP3184" s="4" t="s">
        <v>115</v>
      </c>
    </row>
    <row r="3185" spans="1:42" x14ac:dyDescent="0.15">
      <c r="A3185" s="40" t="s">
        <v>1</v>
      </c>
      <c r="B3185" s="23">
        <v>90260212</v>
      </c>
      <c r="C3185" s="23">
        <v>2602</v>
      </c>
      <c r="D3185" s="23">
        <v>26</v>
      </c>
      <c r="F3185" s="23" t="s">
        <v>1177</v>
      </c>
      <c r="G3185" s="23" t="s">
        <v>115</v>
      </c>
      <c r="H3185" s="23" t="s">
        <v>5861</v>
      </c>
      <c r="I3185" s="23">
        <v>3</v>
      </c>
      <c r="J3185" s="40">
        <v>0</v>
      </c>
      <c r="K3185" s="40">
        <v>0</v>
      </c>
      <c r="L3185" s="40" t="s">
        <v>115</v>
      </c>
      <c r="O3185" s="40" t="s">
        <v>115</v>
      </c>
      <c r="Q3185" s="40">
        <v>145</v>
      </c>
      <c r="R3185" s="40">
        <v>256</v>
      </c>
      <c r="X3185" s="40">
        <v>90260213</v>
      </c>
      <c r="Y3185" s="40" t="s">
        <v>115</v>
      </c>
      <c r="Z3185" s="40" t="s">
        <v>115</v>
      </c>
      <c r="AA3185" s="40" t="s">
        <v>115</v>
      </c>
      <c r="AB3185" s="40" t="s">
        <v>115</v>
      </c>
      <c r="AC3185" s="40" t="s">
        <v>115</v>
      </c>
      <c r="AI3185" s="40" t="s">
        <v>115</v>
      </c>
      <c r="AP3185" s="4" t="s">
        <v>115</v>
      </c>
    </row>
    <row r="3186" spans="1:42" x14ac:dyDescent="0.15">
      <c r="A3186" s="40" t="s">
        <v>1</v>
      </c>
      <c r="B3186" s="23">
        <v>90260213</v>
      </c>
      <c r="C3186" s="23">
        <v>2602</v>
      </c>
      <c r="D3186" s="23">
        <v>26</v>
      </c>
      <c r="F3186" s="23" t="s">
        <v>116</v>
      </c>
      <c r="G3186" s="23">
        <v>312</v>
      </c>
      <c r="H3186" s="23" t="s">
        <v>5862</v>
      </c>
      <c r="I3186" s="23">
        <v>2</v>
      </c>
      <c r="J3186" s="40">
        <v>0</v>
      </c>
      <c r="K3186" s="40">
        <v>0</v>
      </c>
      <c r="L3186" s="40" t="s">
        <v>115</v>
      </c>
      <c r="O3186" s="40" t="s">
        <v>115</v>
      </c>
      <c r="Q3186" s="40">
        <v>145</v>
      </c>
      <c r="R3186" s="40">
        <v>256</v>
      </c>
      <c r="X3186" s="40">
        <v>90260214</v>
      </c>
      <c r="Y3186" s="40" t="s">
        <v>115</v>
      </c>
      <c r="Z3186" s="40" t="s">
        <v>115</v>
      </c>
      <c r="AA3186" s="40" t="s">
        <v>115</v>
      </c>
      <c r="AB3186" s="40" t="s">
        <v>115</v>
      </c>
      <c r="AC3186" s="40" t="s">
        <v>115</v>
      </c>
      <c r="AI3186" s="40" t="s">
        <v>115</v>
      </c>
      <c r="AP3186" s="4" t="s">
        <v>115</v>
      </c>
    </row>
    <row r="3187" spans="1:42" x14ac:dyDescent="0.15">
      <c r="A3187" s="40" t="s">
        <v>1</v>
      </c>
      <c r="B3187" s="23">
        <v>90260214</v>
      </c>
      <c r="C3187" s="23">
        <v>2602</v>
      </c>
      <c r="D3187" s="23">
        <v>26</v>
      </c>
      <c r="F3187" s="23" t="s">
        <v>115</v>
      </c>
      <c r="G3187" s="23" t="s">
        <v>115</v>
      </c>
      <c r="H3187" s="23" t="s">
        <v>5863</v>
      </c>
      <c r="I3187" s="23">
        <v>4</v>
      </c>
      <c r="J3187" s="40">
        <v>0</v>
      </c>
      <c r="K3187" s="40">
        <v>2</v>
      </c>
      <c r="L3187" s="40" t="s">
        <v>115</v>
      </c>
      <c r="O3187" s="40" t="s">
        <v>115</v>
      </c>
      <c r="Q3187" s="40">
        <v>145</v>
      </c>
      <c r="R3187" s="40">
        <v>256</v>
      </c>
      <c r="X3187" s="40" t="s">
        <v>5864</v>
      </c>
      <c r="Y3187" s="40">
        <v>1</v>
      </c>
      <c r="Z3187" s="40">
        <v>1</v>
      </c>
      <c r="AA3187" s="40" t="s">
        <v>115</v>
      </c>
      <c r="AB3187" s="40" t="s">
        <v>115</v>
      </c>
      <c r="AC3187" s="40" t="s">
        <v>115</v>
      </c>
      <c r="AI3187" s="40" t="s">
        <v>115</v>
      </c>
      <c r="AP3187" s="4" t="s">
        <v>115</v>
      </c>
    </row>
    <row r="3188" spans="1:42" x14ac:dyDescent="0.15">
      <c r="A3188" s="40" t="s">
        <v>1</v>
      </c>
      <c r="B3188" s="23">
        <v>90260215</v>
      </c>
      <c r="C3188" s="23">
        <v>2602</v>
      </c>
      <c r="D3188" s="23">
        <v>26</v>
      </c>
      <c r="F3188" s="23" t="s">
        <v>115</v>
      </c>
      <c r="G3188" s="23" t="s">
        <v>115</v>
      </c>
      <c r="H3188" s="23" t="s">
        <v>5865</v>
      </c>
      <c r="I3188" s="23">
        <v>4</v>
      </c>
      <c r="J3188" s="40">
        <v>0</v>
      </c>
      <c r="K3188" s="40">
        <v>3</v>
      </c>
      <c r="L3188" s="40" t="s">
        <v>115</v>
      </c>
      <c r="O3188" s="40" t="s">
        <v>115</v>
      </c>
      <c r="Q3188" s="40">
        <v>145</v>
      </c>
      <c r="R3188" s="40">
        <v>256</v>
      </c>
      <c r="X3188" s="40">
        <v>90260217</v>
      </c>
      <c r="Y3188" s="40">
        <v>-1</v>
      </c>
      <c r="Z3188" s="40">
        <v>2</v>
      </c>
      <c r="AA3188" s="40" t="s">
        <v>115</v>
      </c>
      <c r="AB3188" s="40" t="s">
        <v>115</v>
      </c>
      <c r="AC3188" s="40" t="s">
        <v>5866</v>
      </c>
      <c r="AI3188" s="40" t="s">
        <v>115</v>
      </c>
      <c r="AP3188" s="4" t="s">
        <v>115</v>
      </c>
    </row>
    <row r="3189" spans="1:42" x14ac:dyDescent="0.15">
      <c r="A3189" s="40" t="s">
        <v>1</v>
      </c>
      <c r="B3189" s="23">
        <v>90260216</v>
      </c>
      <c r="C3189" s="23">
        <v>2602</v>
      </c>
      <c r="D3189" s="23">
        <v>26</v>
      </c>
      <c r="F3189" s="23" t="s">
        <v>115</v>
      </c>
      <c r="G3189" s="23" t="s">
        <v>115</v>
      </c>
      <c r="H3189" s="23" t="s">
        <v>5867</v>
      </c>
      <c r="I3189" s="23">
        <v>4</v>
      </c>
      <c r="J3189" s="40">
        <v>0</v>
      </c>
      <c r="K3189" s="40">
        <v>4</v>
      </c>
      <c r="L3189" s="40" t="s">
        <v>115</v>
      </c>
      <c r="O3189" s="40" t="s">
        <v>115</v>
      </c>
      <c r="Q3189" s="40">
        <v>145</v>
      </c>
      <c r="R3189" s="40">
        <v>256</v>
      </c>
      <c r="X3189" s="40">
        <v>90260220</v>
      </c>
      <c r="Y3189" s="40">
        <v>-1</v>
      </c>
      <c r="Z3189" s="40">
        <v>2</v>
      </c>
      <c r="AA3189" s="40" t="s">
        <v>3629</v>
      </c>
      <c r="AB3189" s="40" t="s">
        <v>115</v>
      </c>
      <c r="AC3189" s="40" t="s">
        <v>115</v>
      </c>
      <c r="AI3189" s="40" t="s">
        <v>115</v>
      </c>
      <c r="AP3189" s="4" t="s">
        <v>115</v>
      </c>
    </row>
    <row r="3190" spans="1:42" x14ac:dyDescent="0.15">
      <c r="A3190" s="40" t="s">
        <v>1</v>
      </c>
      <c r="B3190" s="23">
        <v>90260217</v>
      </c>
      <c r="C3190" s="23">
        <v>2602</v>
      </c>
      <c r="D3190" s="23">
        <v>26</v>
      </c>
      <c r="F3190" s="23" t="s">
        <v>116</v>
      </c>
      <c r="G3190" s="23">
        <v>312</v>
      </c>
      <c r="H3190" s="23" t="s">
        <v>5868</v>
      </c>
      <c r="I3190" s="23">
        <v>0</v>
      </c>
      <c r="J3190" s="40">
        <v>0</v>
      </c>
      <c r="K3190" s="40">
        <v>0</v>
      </c>
      <c r="L3190" s="40" t="s">
        <v>115</v>
      </c>
      <c r="O3190" s="40" t="s">
        <v>115</v>
      </c>
      <c r="Q3190" s="40">
        <v>145</v>
      </c>
      <c r="R3190" s="40">
        <v>256</v>
      </c>
      <c r="X3190" s="40">
        <v>90260218</v>
      </c>
      <c r="Y3190" s="40" t="s">
        <v>115</v>
      </c>
      <c r="Z3190" s="40" t="s">
        <v>115</v>
      </c>
      <c r="AA3190" s="40" t="s">
        <v>115</v>
      </c>
      <c r="AB3190" s="40" t="s">
        <v>115</v>
      </c>
      <c r="AC3190" s="40" t="s">
        <v>115</v>
      </c>
      <c r="AI3190" s="40" t="s">
        <v>115</v>
      </c>
      <c r="AP3190" s="4" t="s">
        <v>115</v>
      </c>
    </row>
    <row r="3191" spans="1:42" x14ac:dyDescent="0.15">
      <c r="A3191" s="40" t="s">
        <v>1</v>
      </c>
      <c r="B3191" s="23">
        <v>90260218</v>
      </c>
      <c r="C3191" s="23">
        <v>2602</v>
      </c>
      <c r="D3191" s="23">
        <v>26</v>
      </c>
      <c r="F3191" s="23" t="s">
        <v>1177</v>
      </c>
      <c r="G3191" s="23" t="s">
        <v>115</v>
      </c>
      <c r="H3191" s="23" t="s">
        <v>5869</v>
      </c>
      <c r="I3191" s="23">
        <v>3</v>
      </c>
      <c r="J3191" s="40">
        <v>0</v>
      </c>
      <c r="K3191" s="40">
        <v>0</v>
      </c>
      <c r="L3191" s="40" t="s">
        <v>115</v>
      </c>
      <c r="O3191" s="40" t="s">
        <v>115</v>
      </c>
      <c r="Q3191" s="40">
        <v>145</v>
      </c>
      <c r="R3191" s="40">
        <v>256</v>
      </c>
      <c r="X3191" s="40">
        <v>90260219</v>
      </c>
      <c r="Y3191" s="40" t="s">
        <v>115</v>
      </c>
      <c r="Z3191" s="40" t="s">
        <v>115</v>
      </c>
      <c r="AA3191" s="40" t="s">
        <v>115</v>
      </c>
      <c r="AB3191" s="40" t="s">
        <v>115</v>
      </c>
      <c r="AC3191" s="40" t="s">
        <v>115</v>
      </c>
      <c r="AI3191" s="40" t="s">
        <v>115</v>
      </c>
      <c r="AP3191" s="4" t="s">
        <v>115</v>
      </c>
    </row>
    <row r="3192" spans="1:42" x14ac:dyDescent="0.15">
      <c r="A3192" s="40" t="s">
        <v>1</v>
      </c>
      <c r="B3192" s="23">
        <v>90260219</v>
      </c>
      <c r="C3192" s="23">
        <v>2602</v>
      </c>
      <c r="D3192" s="23">
        <v>26</v>
      </c>
      <c r="F3192" s="23" t="s">
        <v>116</v>
      </c>
      <c r="G3192" s="23">
        <v>312</v>
      </c>
      <c r="H3192" s="23" t="s">
        <v>5870</v>
      </c>
      <c r="I3192" s="23">
        <v>0</v>
      </c>
      <c r="J3192" s="40">
        <v>0</v>
      </c>
      <c r="K3192" s="40">
        <v>0</v>
      </c>
      <c r="L3192" s="40" t="s">
        <v>115</v>
      </c>
      <c r="O3192" s="40" t="s">
        <v>115</v>
      </c>
      <c r="Q3192" s="40">
        <v>145</v>
      </c>
      <c r="R3192" s="40">
        <v>256</v>
      </c>
      <c r="X3192" s="40">
        <v>90260224</v>
      </c>
      <c r="Y3192" s="40" t="s">
        <v>115</v>
      </c>
      <c r="Z3192" s="40" t="s">
        <v>115</v>
      </c>
      <c r="AA3192" s="40" t="s">
        <v>115</v>
      </c>
      <c r="AB3192" s="40" t="s">
        <v>115</v>
      </c>
      <c r="AC3192" s="40" t="s">
        <v>115</v>
      </c>
      <c r="AI3192" s="40" t="s">
        <v>115</v>
      </c>
      <c r="AP3192" s="4" t="s">
        <v>115</v>
      </c>
    </row>
    <row r="3193" spans="1:42" x14ac:dyDescent="0.15">
      <c r="A3193" s="40" t="s">
        <v>1</v>
      </c>
      <c r="B3193" s="23">
        <v>90260220</v>
      </c>
      <c r="C3193" s="23">
        <v>2602</v>
      </c>
      <c r="D3193" s="23">
        <v>26</v>
      </c>
      <c r="F3193" s="23" t="s">
        <v>116</v>
      </c>
      <c r="G3193" s="23">
        <v>312</v>
      </c>
      <c r="H3193" s="23" t="s">
        <v>5871</v>
      </c>
      <c r="I3193" s="23">
        <v>0</v>
      </c>
      <c r="J3193" s="40">
        <v>0</v>
      </c>
      <c r="K3193" s="40">
        <v>0</v>
      </c>
      <c r="L3193" s="40" t="s">
        <v>115</v>
      </c>
      <c r="O3193" s="40" t="s">
        <v>115</v>
      </c>
      <c r="Q3193" s="40">
        <v>145</v>
      </c>
      <c r="R3193" s="40">
        <v>256</v>
      </c>
      <c r="X3193" s="40">
        <v>90260221</v>
      </c>
      <c r="Y3193" s="40" t="s">
        <v>115</v>
      </c>
      <c r="Z3193" s="40" t="s">
        <v>115</v>
      </c>
      <c r="AA3193" s="40" t="s">
        <v>115</v>
      </c>
      <c r="AB3193" s="40" t="s">
        <v>115</v>
      </c>
      <c r="AC3193" s="40" t="s">
        <v>115</v>
      </c>
      <c r="AI3193" s="40" t="s">
        <v>115</v>
      </c>
      <c r="AP3193" s="4" t="s">
        <v>115</v>
      </c>
    </row>
    <row r="3194" spans="1:42" x14ac:dyDescent="0.15">
      <c r="A3194" s="40" t="s">
        <v>1</v>
      </c>
      <c r="B3194" s="23">
        <v>90260221</v>
      </c>
      <c r="C3194" s="23">
        <v>2602</v>
      </c>
      <c r="D3194" s="23">
        <v>26</v>
      </c>
      <c r="F3194" s="23" t="s">
        <v>1177</v>
      </c>
      <c r="G3194" s="23" t="s">
        <v>115</v>
      </c>
      <c r="H3194" s="23" t="s">
        <v>5872</v>
      </c>
      <c r="I3194" s="23">
        <v>3</v>
      </c>
      <c r="J3194" s="40">
        <v>0</v>
      </c>
      <c r="K3194" s="40">
        <v>0</v>
      </c>
      <c r="L3194" s="40" t="s">
        <v>115</v>
      </c>
      <c r="O3194" s="40" t="s">
        <v>115</v>
      </c>
      <c r="Q3194" s="40">
        <v>145</v>
      </c>
      <c r="R3194" s="40">
        <v>256</v>
      </c>
      <c r="X3194" s="40">
        <v>90260222</v>
      </c>
      <c r="Y3194" s="40" t="s">
        <v>115</v>
      </c>
      <c r="Z3194" s="40" t="s">
        <v>115</v>
      </c>
      <c r="AA3194" s="40" t="s">
        <v>115</v>
      </c>
      <c r="AB3194" s="40" t="s">
        <v>115</v>
      </c>
      <c r="AC3194" s="40" t="s">
        <v>115</v>
      </c>
      <c r="AI3194" s="40" t="s">
        <v>115</v>
      </c>
      <c r="AP3194" s="4" t="s">
        <v>115</v>
      </c>
    </row>
    <row r="3195" spans="1:42" x14ac:dyDescent="0.15">
      <c r="A3195" s="40" t="s">
        <v>1</v>
      </c>
      <c r="B3195" s="23">
        <v>90260222</v>
      </c>
      <c r="C3195" s="23">
        <v>2602</v>
      </c>
      <c r="D3195" s="23">
        <v>26</v>
      </c>
      <c r="F3195" s="23" t="s">
        <v>115</v>
      </c>
      <c r="G3195" s="23" t="s">
        <v>115</v>
      </c>
      <c r="H3195" s="23" t="s">
        <v>5873</v>
      </c>
      <c r="I3195" s="23">
        <v>4</v>
      </c>
      <c r="J3195" s="40">
        <v>0</v>
      </c>
      <c r="K3195" s="40">
        <v>0</v>
      </c>
      <c r="L3195" s="40" t="s">
        <v>115</v>
      </c>
      <c r="O3195" s="40" t="s">
        <v>115</v>
      </c>
      <c r="Q3195" s="40">
        <v>145</v>
      </c>
      <c r="R3195" s="40">
        <v>256</v>
      </c>
      <c r="X3195" s="40">
        <v>90260223</v>
      </c>
      <c r="Y3195" s="40" t="s">
        <v>115</v>
      </c>
      <c r="Z3195" s="40" t="s">
        <v>115</v>
      </c>
      <c r="AA3195" s="40" t="s">
        <v>115</v>
      </c>
      <c r="AB3195" s="40" t="s">
        <v>115</v>
      </c>
      <c r="AC3195" s="40" t="s">
        <v>115</v>
      </c>
      <c r="AI3195" s="40" t="s">
        <v>115</v>
      </c>
      <c r="AP3195" s="4" t="s">
        <v>115</v>
      </c>
    </row>
    <row r="3196" spans="1:42" x14ac:dyDescent="0.15">
      <c r="A3196" s="40" t="s">
        <v>1</v>
      </c>
      <c r="B3196" s="23">
        <v>90260223</v>
      </c>
      <c r="C3196" s="23">
        <v>2602</v>
      </c>
      <c r="D3196" s="23">
        <v>26</v>
      </c>
      <c r="F3196" s="23" t="s">
        <v>116</v>
      </c>
      <c r="G3196" s="23">
        <v>312</v>
      </c>
      <c r="H3196" s="23" t="s">
        <v>5874</v>
      </c>
      <c r="I3196" s="23">
        <v>0</v>
      </c>
      <c r="J3196" s="40">
        <v>0</v>
      </c>
      <c r="K3196" s="40">
        <v>0</v>
      </c>
      <c r="L3196" s="40" t="s">
        <v>115</v>
      </c>
      <c r="O3196" s="40" t="s">
        <v>115</v>
      </c>
      <c r="Q3196" s="40">
        <v>145</v>
      </c>
      <c r="R3196" s="40">
        <v>256</v>
      </c>
      <c r="X3196" s="40">
        <v>90260224</v>
      </c>
      <c r="Y3196" s="40" t="s">
        <v>115</v>
      </c>
      <c r="Z3196" s="40" t="s">
        <v>115</v>
      </c>
      <c r="AA3196" s="40" t="s">
        <v>115</v>
      </c>
      <c r="AB3196" s="40" t="s">
        <v>115</v>
      </c>
      <c r="AC3196" s="40" t="s">
        <v>115</v>
      </c>
      <c r="AI3196" s="40" t="s">
        <v>115</v>
      </c>
      <c r="AP3196" s="4" t="s">
        <v>115</v>
      </c>
    </row>
    <row r="3197" spans="1:42" x14ac:dyDescent="0.15">
      <c r="A3197" s="40" t="s">
        <v>1</v>
      </c>
      <c r="B3197" s="23">
        <v>90260224</v>
      </c>
      <c r="C3197" s="23">
        <v>2602</v>
      </c>
      <c r="D3197" s="23">
        <v>26</v>
      </c>
      <c r="F3197" s="23" t="s">
        <v>116</v>
      </c>
      <c r="G3197" s="23">
        <v>312</v>
      </c>
      <c r="H3197" s="23" t="s">
        <v>5875</v>
      </c>
      <c r="I3197" s="23">
        <v>0</v>
      </c>
      <c r="J3197" s="40">
        <v>0</v>
      </c>
      <c r="K3197" s="40">
        <v>0</v>
      </c>
      <c r="L3197" s="40" t="s">
        <v>115</v>
      </c>
      <c r="O3197" s="40" t="s">
        <v>115</v>
      </c>
      <c r="Q3197" s="40">
        <v>145</v>
      </c>
      <c r="R3197" s="40">
        <v>256</v>
      </c>
      <c r="X3197" s="40">
        <v>90260225</v>
      </c>
      <c r="Y3197" s="40" t="s">
        <v>115</v>
      </c>
      <c r="Z3197" s="40" t="s">
        <v>115</v>
      </c>
      <c r="AA3197" s="40" t="s">
        <v>115</v>
      </c>
      <c r="AB3197" s="40" t="s">
        <v>115</v>
      </c>
      <c r="AC3197" s="40" t="s">
        <v>115</v>
      </c>
      <c r="AI3197" s="40" t="s">
        <v>115</v>
      </c>
      <c r="AP3197" s="4" t="s">
        <v>115</v>
      </c>
    </row>
    <row r="3198" spans="1:42" x14ac:dyDescent="0.15">
      <c r="A3198" s="40" t="s">
        <v>1</v>
      </c>
      <c r="B3198" s="23">
        <v>90260225</v>
      </c>
      <c r="C3198" s="23">
        <v>2602</v>
      </c>
      <c r="D3198" s="23">
        <v>26</v>
      </c>
      <c r="F3198" s="23" t="s">
        <v>115</v>
      </c>
      <c r="G3198" s="23" t="s">
        <v>115</v>
      </c>
      <c r="H3198" s="23" t="s">
        <v>5876</v>
      </c>
      <c r="I3198" s="23">
        <v>4</v>
      </c>
      <c r="J3198" s="40">
        <v>0</v>
      </c>
      <c r="K3198" s="40">
        <v>0</v>
      </c>
      <c r="L3198" s="40" t="s">
        <v>115</v>
      </c>
      <c r="O3198" s="40" t="s">
        <v>115</v>
      </c>
      <c r="Q3198" s="40">
        <v>145</v>
      </c>
      <c r="R3198" s="40">
        <v>256</v>
      </c>
      <c r="X3198" s="40">
        <v>90260226</v>
      </c>
      <c r="Y3198" s="40" t="s">
        <v>115</v>
      </c>
      <c r="Z3198" s="40" t="s">
        <v>115</v>
      </c>
      <c r="AA3198" s="40" t="s">
        <v>115</v>
      </c>
      <c r="AB3198" s="40" t="s">
        <v>115</v>
      </c>
      <c r="AC3198" s="40" t="s">
        <v>115</v>
      </c>
      <c r="AI3198" s="40" t="s">
        <v>115</v>
      </c>
      <c r="AP3198" s="4" t="s">
        <v>115</v>
      </c>
    </row>
    <row r="3199" spans="1:42" x14ac:dyDescent="0.15">
      <c r="A3199" s="40" t="s">
        <v>1</v>
      </c>
      <c r="B3199" s="23">
        <v>90260226</v>
      </c>
      <c r="C3199" s="23">
        <v>2602</v>
      </c>
      <c r="D3199" s="23">
        <v>26</v>
      </c>
      <c r="F3199" s="23" t="s">
        <v>1177</v>
      </c>
      <c r="G3199" s="23" t="s">
        <v>115</v>
      </c>
      <c r="H3199" s="23" t="s">
        <v>5877</v>
      </c>
      <c r="I3199" s="23">
        <v>3</v>
      </c>
      <c r="J3199" s="40">
        <v>0</v>
      </c>
      <c r="K3199" s="40">
        <v>0</v>
      </c>
      <c r="L3199" s="40" t="s">
        <v>115</v>
      </c>
      <c r="O3199" s="40" t="s">
        <v>115</v>
      </c>
      <c r="Q3199" s="40">
        <v>145</v>
      </c>
      <c r="R3199" s="40">
        <v>256</v>
      </c>
      <c r="X3199" s="40">
        <v>90260227</v>
      </c>
      <c r="Y3199" s="40" t="s">
        <v>115</v>
      </c>
      <c r="Z3199" s="40" t="s">
        <v>115</v>
      </c>
      <c r="AA3199" s="40" t="s">
        <v>115</v>
      </c>
      <c r="AB3199" s="40" t="s">
        <v>115</v>
      </c>
      <c r="AC3199" s="40" t="s">
        <v>115</v>
      </c>
      <c r="AI3199" s="40" t="s">
        <v>115</v>
      </c>
      <c r="AP3199" s="4" t="s">
        <v>115</v>
      </c>
    </row>
    <row r="3200" spans="1:42" x14ac:dyDescent="0.15">
      <c r="A3200" s="40" t="s">
        <v>1</v>
      </c>
      <c r="B3200" s="23">
        <v>90260227</v>
      </c>
      <c r="C3200" s="23">
        <v>2602</v>
      </c>
      <c r="D3200" s="23">
        <v>26</v>
      </c>
      <c r="F3200" s="23" t="s">
        <v>1177</v>
      </c>
      <c r="G3200" s="23" t="s">
        <v>115</v>
      </c>
      <c r="H3200" s="23" t="s">
        <v>5878</v>
      </c>
      <c r="I3200" s="23">
        <v>3</v>
      </c>
      <c r="J3200" s="40">
        <v>0</v>
      </c>
      <c r="K3200" s="40">
        <v>0</v>
      </c>
      <c r="L3200" s="40" t="s">
        <v>115</v>
      </c>
      <c r="O3200" s="40" t="s">
        <v>115</v>
      </c>
      <c r="Q3200" s="40">
        <v>145</v>
      </c>
      <c r="R3200" s="40">
        <v>256</v>
      </c>
      <c r="X3200" s="40">
        <v>90260228</v>
      </c>
      <c r="Y3200" s="40" t="s">
        <v>115</v>
      </c>
      <c r="Z3200" s="40" t="s">
        <v>115</v>
      </c>
      <c r="AA3200" s="40" t="s">
        <v>115</v>
      </c>
      <c r="AB3200" s="40" t="s">
        <v>115</v>
      </c>
      <c r="AC3200" s="40" t="s">
        <v>115</v>
      </c>
      <c r="AI3200" s="40" t="s">
        <v>115</v>
      </c>
      <c r="AP3200" s="4" t="s">
        <v>115</v>
      </c>
    </row>
    <row r="3201" spans="1:42" x14ac:dyDescent="0.15">
      <c r="A3201" s="40" t="s">
        <v>1</v>
      </c>
      <c r="B3201" s="23">
        <v>90260228</v>
      </c>
      <c r="C3201" s="23">
        <v>2602</v>
      </c>
      <c r="D3201" s="23">
        <v>26</v>
      </c>
      <c r="F3201" s="23" t="s">
        <v>1177</v>
      </c>
      <c r="G3201" s="23" t="s">
        <v>115</v>
      </c>
      <c r="H3201" s="23" t="s">
        <v>5879</v>
      </c>
      <c r="I3201" s="23">
        <v>3</v>
      </c>
      <c r="J3201" s="40">
        <v>0</v>
      </c>
      <c r="K3201" s="40">
        <v>0</v>
      </c>
      <c r="L3201" s="40" t="s">
        <v>115</v>
      </c>
      <c r="O3201" s="40" t="s">
        <v>115</v>
      </c>
      <c r="Q3201" s="40">
        <v>145</v>
      </c>
      <c r="R3201" s="40">
        <v>256</v>
      </c>
      <c r="X3201" s="40">
        <v>90260229</v>
      </c>
      <c r="Y3201" s="40" t="s">
        <v>115</v>
      </c>
      <c r="Z3201" s="40" t="s">
        <v>115</v>
      </c>
      <c r="AA3201" s="40" t="s">
        <v>115</v>
      </c>
      <c r="AB3201" s="40" t="s">
        <v>115</v>
      </c>
      <c r="AC3201" s="40" t="s">
        <v>115</v>
      </c>
      <c r="AI3201" s="40" t="s">
        <v>115</v>
      </c>
      <c r="AP3201" s="4" t="s">
        <v>115</v>
      </c>
    </row>
    <row r="3202" spans="1:42" x14ac:dyDescent="0.15">
      <c r="A3202" s="40" t="s">
        <v>1</v>
      </c>
      <c r="B3202" s="23">
        <v>90260229</v>
      </c>
      <c r="C3202" s="23">
        <v>2602</v>
      </c>
      <c r="D3202" s="23">
        <v>26</v>
      </c>
      <c r="F3202" s="23" t="s">
        <v>116</v>
      </c>
      <c r="G3202" s="23">
        <v>312</v>
      </c>
      <c r="H3202" s="23" t="s">
        <v>5880</v>
      </c>
      <c r="I3202" s="23">
        <v>0</v>
      </c>
      <c r="J3202" s="40">
        <v>0</v>
      </c>
      <c r="K3202" s="40">
        <v>0</v>
      </c>
      <c r="L3202" s="40" t="s">
        <v>115</v>
      </c>
      <c r="O3202" s="40" t="s">
        <v>115</v>
      </c>
      <c r="Q3202" s="40">
        <v>145</v>
      </c>
      <c r="R3202" s="40">
        <v>256</v>
      </c>
      <c r="X3202" s="40">
        <v>90260230</v>
      </c>
      <c r="Y3202" s="40" t="s">
        <v>115</v>
      </c>
      <c r="Z3202" s="40" t="s">
        <v>115</v>
      </c>
      <c r="AA3202" s="40" t="s">
        <v>115</v>
      </c>
      <c r="AB3202" s="40" t="s">
        <v>115</v>
      </c>
      <c r="AC3202" s="40" t="s">
        <v>115</v>
      </c>
      <c r="AI3202" s="40" t="s">
        <v>115</v>
      </c>
      <c r="AP3202" s="4" t="s">
        <v>115</v>
      </c>
    </row>
    <row r="3203" spans="1:42" x14ac:dyDescent="0.15">
      <c r="A3203" s="40" t="s">
        <v>1</v>
      </c>
      <c r="B3203" s="23">
        <v>90260230</v>
      </c>
      <c r="C3203" s="23">
        <v>2602</v>
      </c>
      <c r="D3203" s="23">
        <v>26</v>
      </c>
      <c r="F3203" s="23" t="s">
        <v>1177</v>
      </c>
      <c r="G3203" s="23" t="s">
        <v>115</v>
      </c>
      <c r="H3203" s="23" t="s">
        <v>5881</v>
      </c>
      <c r="I3203" s="23">
        <v>3</v>
      </c>
      <c r="J3203" s="40">
        <v>0</v>
      </c>
      <c r="K3203" s="40">
        <v>5</v>
      </c>
      <c r="L3203" s="40" t="s">
        <v>115</v>
      </c>
      <c r="O3203" s="40">
        <v>1</v>
      </c>
      <c r="Q3203" s="40">
        <v>145</v>
      </c>
      <c r="R3203" s="40">
        <v>256</v>
      </c>
      <c r="X3203" s="40" t="s">
        <v>115</v>
      </c>
      <c r="Y3203" s="40" t="s">
        <v>115</v>
      </c>
      <c r="Z3203" s="40">
        <v>4</v>
      </c>
      <c r="AA3203" s="40" t="s">
        <v>115</v>
      </c>
      <c r="AB3203" s="40" t="s">
        <v>115</v>
      </c>
      <c r="AC3203" s="40" t="s">
        <v>115</v>
      </c>
      <c r="AI3203" s="40" t="s">
        <v>115</v>
      </c>
      <c r="AP3203" s="4" t="s">
        <v>5882</v>
      </c>
    </row>
    <row r="3204" spans="1:42" x14ac:dyDescent="0.15">
      <c r="A3204" s="40" t="s">
        <v>1</v>
      </c>
      <c r="B3204" s="23" t="s">
        <v>4892</v>
      </c>
      <c r="C3204" s="23">
        <v>2603</v>
      </c>
      <c r="D3204" s="23">
        <v>26</v>
      </c>
      <c r="F3204" s="23" t="s">
        <v>115</v>
      </c>
      <c r="G3204" s="23" t="s">
        <v>115</v>
      </c>
      <c r="H3204" s="23" t="s">
        <v>5883</v>
      </c>
      <c r="I3204" s="23">
        <v>4</v>
      </c>
      <c r="J3204" s="40">
        <v>1</v>
      </c>
      <c r="K3204" s="40">
        <v>1</v>
      </c>
      <c r="L3204" s="40" t="s">
        <v>115</v>
      </c>
      <c r="O3204" s="40" t="s">
        <v>115</v>
      </c>
      <c r="Q3204" s="40">
        <v>171</v>
      </c>
      <c r="R3204" s="40" t="s">
        <v>115</v>
      </c>
      <c r="X3204" s="40">
        <v>90260302</v>
      </c>
      <c r="Y3204" s="40" t="s">
        <v>115</v>
      </c>
      <c r="Z3204" s="40" t="s">
        <v>115</v>
      </c>
      <c r="AA3204" s="40" t="s">
        <v>115</v>
      </c>
      <c r="AB3204" s="40" t="s">
        <v>115</v>
      </c>
      <c r="AC3204" s="40" t="s">
        <v>115</v>
      </c>
      <c r="AI3204" s="40" t="s">
        <v>115</v>
      </c>
      <c r="AP3204" s="4" t="s">
        <v>115</v>
      </c>
    </row>
    <row r="3205" spans="1:42" x14ac:dyDescent="0.15">
      <c r="A3205" s="40" t="s">
        <v>1</v>
      </c>
      <c r="B3205" s="23">
        <v>90260302</v>
      </c>
      <c r="C3205" s="23">
        <v>2603</v>
      </c>
      <c r="D3205" s="23">
        <v>26</v>
      </c>
      <c r="F3205" s="23" t="s">
        <v>116</v>
      </c>
      <c r="G3205" s="23">
        <v>312</v>
      </c>
      <c r="H3205" s="23" t="s">
        <v>5884</v>
      </c>
      <c r="I3205" s="23">
        <v>0</v>
      </c>
      <c r="J3205" s="40">
        <v>0</v>
      </c>
      <c r="K3205" s="40">
        <v>0</v>
      </c>
      <c r="L3205" s="40" t="s">
        <v>115</v>
      </c>
      <c r="O3205" s="40" t="s">
        <v>115</v>
      </c>
      <c r="Q3205" s="40">
        <v>171</v>
      </c>
      <c r="R3205" s="40">
        <v>290</v>
      </c>
      <c r="X3205" s="40">
        <v>90260303</v>
      </c>
      <c r="Y3205" s="40" t="s">
        <v>115</v>
      </c>
      <c r="Z3205" s="40" t="s">
        <v>115</v>
      </c>
      <c r="AA3205" s="40" t="s">
        <v>115</v>
      </c>
      <c r="AB3205" s="40" t="s">
        <v>115</v>
      </c>
      <c r="AC3205" s="40" t="s">
        <v>115</v>
      </c>
      <c r="AI3205" s="40" t="s">
        <v>115</v>
      </c>
      <c r="AP3205" s="4" t="s">
        <v>115</v>
      </c>
    </row>
    <row r="3206" spans="1:42" x14ac:dyDescent="0.15">
      <c r="A3206" s="40" t="s">
        <v>1</v>
      </c>
      <c r="B3206" s="23">
        <v>90260303</v>
      </c>
      <c r="C3206" s="23">
        <v>2603</v>
      </c>
      <c r="D3206" s="23">
        <v>26</v>
      </c>
      <c r="F3206" s="23" t="s">
        <v>5885</v>
      </c>
      <c r="G3206" s="23" t="s">
        <v>115</v>
      </c>
      <c r="H3206" s="23" t="s">
        <v>5886</v>
      </c>
      <c r="I3206" s="23">
        <v>3</v>
      </c>
      <c r="J3206" s="40">
        <v>0</v>
      </c>
      <c r="K3206" s="40">
        <v>0</v>
      </c>
      <c r="L3206" s="40" t="s">
        <v>115</v>
      </c>
      <c r="O3206" s="40" t="s">
        <v>115</v>
      </c>
      <c r="Q3206" s="40">
        <v>171</v>
      </c>
      <c r="R3206" s="40">
        <v>290</v>
      </c>
      <c r="X3206" s="40">
        <v>90260304</v>
      </c>
      <c r="Y3206" s="40" t="s">
        <v>115</v>
      </c>
      <c r="Z3206" s="40" t="s">
        <v>115</v>
      </c>
      <c r="AA3206" s="40" t="s">
        <v>115</v>
      </c>
      <c r="AB3206" s="40" t="s">
        <v>115</v>
      </c>
      <c r="AC3206" s="40" t="s">
        <v>115</v>
      </c>
      <c r="AI3206" s="40" t="s">
        <v>115</v>
      </c>
      <c r="AP3206" s="4" t="s">
        <v>115</v>
      </c>
    </row>
    <row r="3207" spans="1:42" x14ac:dyDescent="0.15">
      <c r="A3207" s="40" t="s">
        <v>1</v>
      </c>
      <c r="B3207" s="23">
        <v>90260304</v>
      </c>
      <c r="C3207" s="23">
        <v>2603</v>
      </c>
      <c r="D3207" s="23">
        <v>26</v>
      </c>
      <c r="F3207" s="23" t="s">
        <v>116</v>
      </c>
      <c r="G3207" s="23">
        <v>312</v>
      </c>
      <c r="H3207" s="23" t="s">
        <v>5887</v>
      </c>
      <c r="I3207" s="23">
        <v>2</v>
      </c>
      <c r="J3207" s="40">
        <v>0</v>
      </c>
      <c r="K3207" s="40">
        <v>0</v>
      </c>
      <c r="L3207" s="40" t="s">
        <v>115</v>
      </c>
      <c r="O3207" s="40" t="s">
        <v>115</v>
      </c>
      <c r="Q3207" s="40">
        <v>171</v>
      </c>
      <c r="R3207" s="40">
        <v>290</v>
      </c>
      <c r="X3207" s="40">
        <v>90260305</v>
      </c>
      <c r="Y3207" s="40" t="s">
        <v>115</v>
      </c>
      <c r="Z3207" s="40" t="s">
        <v>115</v>
      </c>
      <c r="AA3207" s="40" t="s">
        <v>115</v>
      </c>
      <c r="AB3207" s="40" t="s">
        <v>115</v>
      </c>
      <c r="AC3207" s="40" t="s">
        <v>115</v>
      </c>
      <c r="AI3207" s="40" t="s">
        <v>115</v>
      </c>
      <c r="AP3207" s="4" t="s">
        <v>115</v>
      </c>
    </row>
    <row r="3208" spans="1:42" x14ac:dyDescent="0.15">
      <c r="A3208" s="40" t="s">
        <v>1</v>
      </c>
      <c r="B3208" s="23">
        <v>90260305</v>
      </c>
      <c r="C3208" s="23">
        <v>2603</v>
      </c>
      <c r="D3208" s="23">
        <v>26</v>
      </c>
      <c r="F3208" s="23" t="s">
        <v>115</v>
      </c>
      <c r="G3208" s="23" t="s">
        <v>115</v>
      </c>
      <c r="H3208" s="23" t="s">
        <v>3794</v>
      </c>
      <c r="I3208" s="23">
        <v>4</v>
      </c>
      <c r="J3208" s="40">
        <v>0</v>
      </c>
      <c r="K3208" s="40">
        <v>2</v>
      </c>
      <c r="L3208" s="40" t="s">
        <v>115</v>
      </c>
      <c r="O3208" s="40" t="s">
        <v>115</v>
      </c>
      <c r="Q3208" s="40">
        <v>171</v>
      </c>
      <c r="R3208" s="40">
        <v>290</v>
      </c>
      <c r="X3208" s="40" t="s">
        <v>5888</v>
      </c>
      <c r="Y3208" s="40">
        <v>1</v>
      </c>
      <c r="Z3208" s="40">
        <v>1</v>
      </c>
      <c r="AA3208" s="40" t="s">
        <v>115</v>
      </c>
      <c r="AB3208" s="40" t="s">
        <v>115</v>
      </c>
      <c r="AC3208" s="40" t="s">
        <v>115</v>
      </c>
      <c r="AI3208" s="40" t="s">
        <v>115</v>
      </c>
      <c r="AP3208" s="4" t="s">
        <v>115</v>
      </c>
    </row>
    <row r="3209" spans="1:42" x14ac:dyDescent="0.15">
      <c r="A3209" s="40" t="s">
        <v>1</v>
      </c>
      <c r="B3209" s="23">
        <v>90260306</v>
      </c>
      <c r="C3209" s="23">
        <v>2603</v>
      </c>
      <c r="D3209" s="23">
        <v>26</v>
      </c>
      <c r="F3209" s="23" t="s">
        <v>115</v>
      </c>
      <c r="G3209" s="23" t="s">
        <v>115</v>
      </c>
      <c r="H3209" s="23" t="s">
        <v>5889</v>
      </c>
      <c r="I3209" s="23">
        <v>4</v>
      </c>
      <c r="J3209" s="40">
        <v>0</v>
      </c>
      <c r="K3209" s="40">
        <v>3</v>
      </c>
      <c r="L3209" s="40" t="s">
        <v>115</v>
      </c>
      <c r="O3209" s="40" t="s">
        <v>115</v>
      </c>
      <c r="Q3209" s="40">
        <v>171</v>
      </c>
      <c r="R3209" s="40">
        <v>290</v>
      </c>
      <c r="X3209" s="40">
        <v>90260308</v>
      </c>
      <c r="Y3209" s="40">
        <v>-1</v>
      </c>
      <c r="Z3209" s="40">
        <v>2</v>
      </c>
      <c r="AA3209" s="40" t="s">
        <v>115</v>
      </c>
      <c r="AB3209" s="40" t="s">
        <v>115</v>
      </c>
      <c r="AC3209" s="40" t="s">
        <v>5890</v>
      </c>
      <c r="AI3209" s="40" t="s">
        <v>115</v>
      </c>
      <c r="AP3209" s="4" t="s">
        <v>115</v>
      </c>
    </row>
    <row r="3210" spans="1:42" x14ac:dyDescent="0.15">
      <c r="A3210" s="40" t="s">
        <v>1</v>
      </c>
      <c r="B3210" s="23">
        <v>90260307</v>
      </c>
      <c r="C3210" s="23">
        <v>2603</v>
      </c>
      <c r="D3210" s="23">
        <v>26</v>
      </c>
      <c r="F3210" s="23" t="s">
        <v>115</v>
      </c>
      <c r="G3210" s="23" t="s">
        <v>115</v>
      </c>
      <c r="H3210" s="23" t="s">
        <v>5891</v>
      </c>
      <c r="I3210" s="23">
        <v>4</v>
      </c>
      <c r="J3210" s="40">
        <v>0</v>
      </c>
      <c r="K3210" s="40">
        <v>4</v>
      </c>
      <c r="L3210" s="40" t="s">
        <v>115</v>
      </c>
      <c r="O3210" s="40" t="s">
        <v>115</v>
      </c>
      <c r="Q3210" s="40">
        <v>171</v>
      </c>
      <c r="R3210" s="40">
        <v>290</v>
      </c>
      <c r="X3210" s="40">
        <v>90260322</v>
      </c>
      <c r="Y3210" s="40">
        <v>-1</v>
      </c>
      <c r="Z3210" s="40">
        <v>2</v>
      </c>
      <c r="AA3210" s="40" t="s">
        <v>115</v>
      </c>
      <c r="AB3210" s="40" t="s">
        <v>115</v>
      </c>
      <c r="AC3210" s="40" t="s">
        <v>115</v>
      </c>
      <c r="AI3210" s="40" t="s">
        <v>115</v>
      </c>
      <c r="AP3210" s="4" t="s">
        <v>115</v>
      </c>
    </row>
    <row r="3211" spans="1:42" x14ac:dyDescent="0.15">
      <c r="A3211" s="40" t="s">
        <v>1</v>
      </c>
      <c r="B3211" s="23">
        <v>90260308</v>
      </c>
      <c r="C3211" s="23">
        <v>2603</v>
      </c>
      <c r="D3211" s="23">
        <v>26</v>
      </c>
      <c r="F3211" s="23" t="s">
        <v>116</v>
      </c>
      <c r="G3211" s="23">
        <v>312</v>
      </c>
      <c r="H3211" s="23" t="s">
        <v>5892</v>
      </c>
      <c r="I3211" s="23">
        <v>0</v>
      </c>
      <c r="J3211" s="40">
        <v>0</v>
      </c>
      <c r="K3211" s="40">
        <v>0</v>
      </c>
      <c r="L3211" s="40" t="s">
        <v>115</v>
      </c>
      <c r="O3211" s="40" t="s">
        <v>115</v>
      </c>
      <c r="Q3211" s="40">
        <v>171</v>
      </c>
      <c r="R3211" s="40">
        <v>290</v>
      </c>
      <c r="X3211" s="40">
        <v>90260309</v>
      </c>
      <c r="Y3211" s="40" t="s">
        <v>115</v>
      </c>
      <c r="Z3211" s="40" t="s">
        <v>115</v>
      </c>
      <c r="AA3211" s="40" t="s">
        <v>115</v>
      </c>
      <c r="AB3211" s="40" t="s">
        <v>115</v>
      </c>
      <c r="AC3211" s="40" t="s">
        <v>115</v>
      </c>
      <c r="AI3211" s="40" t="s">
        <v>115</v>
      </c>
      <c r="AP3211" s="4" t="s">
        <v>115</v>
      </c>
    </row>
    <row r="3212" spans="1:42" x14ac:dyDescent="0.15">
      <c r="A3212" s="40" t="s">
        <v>1</v>
      </c>
      <c r="B3212" s="23">
        <v>90260309</v>
      </c>
      <c r="C3212" s="23">
        <v>2603</v>
      </c>
      <c r="D3212" s="23">
        <v>26</v>
      </c>
      <c r="F3212" s="23" t="s">
        <v>527</v>
      </c>
      <c r="G3212" s="23" t="s">
        <v>115</v>
      </c>
      <c r="H3212" s="23" t="s">
        <v>5893</v>
      </c>
      <c r="I3212" s="23">
        <v>3</v>
      </c>
      <c r="J3212" s="40">
        <v>0</v>
      </c>
      <c r="K3212" s="40">
        <v>0</v>
      </c>
      <c r="L3212" s="40" t="s">
        <v>115</v>
      </c>
      <c r="O3212" s="40" t="s">
        <v>115</v>
      </c>
      <c r="Q3212" s="40">
        <v>171</v>
      </c>
      <c r="R3212" s="40">
        <v>229</v>
      </c>
      <c r="X3212" s="40">
        <v>90260310</v>
      </c>
      <c r="Y3212" s="40" t="s">
        <v>115</v>
      </c>
      <c r="Z3212" s="40" t="s">
        <v>115</v>
      </c>
      <c r="AA3212" s="40" t="s">
        <v>115</v>
      </c>
      <c r="AB3212" s="40" t="s">
        <v>115</v>
      </c>
      <c r="AC3212" s="40" t="s">
        <v>115</v>
      </c>
      <c r="AI3212" s="40" t="s">
        <v>115</v>
      </c>
      <c r="AP3212" s="4" t="s">
        <v>115</v>
      </c>
    </row>
    <row r="3213" spans="1:42" x14ac:dyDescent="0.15">
      <c r="A3213" s="40" t="s">
        <v>1</v>
      </c>
      <c r="B3213" s="23">
        <v>90260310</v>
      </c>
      <c r="C3213" s="23">
        <v>2603</v>
      </c>
      <c r="D3213" s="23">
        <v>26</v>
      </c>
      <c r="F3213" s="23" t="s">
        <v>116</v>
      </c>
      <c r="G3213" s="23">
        <v>308</v>
      </c>
      <c r="H3213" s="23" t="s">
        <v>5894</v>
      </c>
      <c r="I3213" s="23">
        <v>0</v>
      </c>
      <c r="J3213" s="40">
        <v>0</v>
      </c>
      <c r="K3213" s="40">
        <v>0</v>
      </c>
      <c r="L3213" s="40" t="s">
        <v>115</v>
      </c>
      <c r="O3213" s="40" t="s">
        <v>115</v>
      </c>
      <c r="Q3213" s="40">
        <v>171</v>
      </c>
      <c r="R3213" s="40">
        <v>229</v>
      </c>
      <c r="X3213" s="40">
        <v>90260311</v>
      </c>
      <c r="Y3213" s="40" t="s">
        <v>115</v>
      </c>
      <c r="Z3213" s="40" t="s">
        <v>115</v>
      </c>
      <c r="AA3213" s="40" t="s">
        <v>115</v>
      </c>
      <c r="AB3213" s="40" t="s">
        <v>115</v>
      </c>
      <c r="AC3213" s="40" t="s">
        <v>115</v>
      </c>
      <c r="AI3213" s="40" t="s">
        <v>115</v>
      </c>
      <c r="AP3213" s="4" t="s">
        <v>115</v>
      </c>
    </row>
    <row r="3214" spans="1:42" x14ac:dyDescent="0.15">
      <c r="A3214" s="40" t="s">
        <v>1</v>
      </c>
      <c r="B3214" s="23">
        <v>90260311</v>
      </c>
      <c r="C3214" s="23">
        <v>2603</v>
      </c>
      <c r="D3214" s="23">
        <v>26</v>
      </c>
      <c r="F3214" s="23" t="s">
        <v>527</v>
      </c>
      <c r="G3214" s="23" t="s">
        <v>115</v>
      </c>
      <c r="H3214" s="23" t="s">
        <v>5895</v>
      </c>
      <c r="I3214" s="23">
        <v>3</v>
      </c>
      <c r="J3214" s="40">
        <v>0</v>
      </c>
      <c r="K3214" s="40">
        <v>0</v>
      </c>
      <c r="L3214" s="40" t="s">
        <v>115</v>
      </c>
      <c r="O3214" s="40" t="s">
        <v>115</v>
      </c>
      <c r="Q3214" s="40">
        <v>171</v>
      </c>
      <c r="R3214" s="40">
        <v>229</v>
      </c>
      <c r="X3214" s="40">
        <v>90260312</v>
      </c>
      <c r="Y3214" s="40" t="s">
        <v>115</v>
      </c>
      <c r="Z3214" s="40" t="s">
        <v>115</v>
      </c>
      <c r="AA3214" s="40" t="s">
        <v>115</v>
      </c>
      <c r="AB3214" s="40" t="s">
        <v>115</v>
      </c>
      <c r="AC3214" s="40" t="s">
        <v>115</v>
      </c>
      <c r="AI3214" s="40" t="s">
        <v>115</v>
      </c>
      <c r="AP3214" s="4" t="s">
        <v>115</v>
      </c>
    </row>
    <row r="3215" spans="1:42" x14ac:dyDescent="0.15">
      <c r="A3215" s="40" t="s">
        <v>1</v>
      </c>
      <c r="B3215" s="23">
        <v>90260312</v>
      </c>
      <c r="C3215" s="23">
        <v>2603</v>
      </c>
      <c r="D3215" s="23">
        <v>26</v>
      </c>
      <c r="F3215" s="23" t="s">
        <v>115</v>
      </c>
      <c r="G3215" s="23" t="s">
        <v>115</v>
      </c>
      <c r="H3215" s="23" t="s">
        <v>5896</v>
      </c>
      <c r="I3215" s="23">
        <v>4</v>
      </c>
      <c r="J3215" s="40">
        <v>0</v>
      </c>
      <c r="K3215" s="40">
        <v>0</v>
      </c>
      <c r="L3215" s="40" t="s">
        <v>115</v>
      </c>
      <c r="O3215" s="40" t="s">
        <v>115</v>
      </c>
      <c r="Q3215" s="40">
        <v>171</v>
      </c>
      <c r="R3215" s="40">
        <v>229</v>
      </c>
      <c r="X3215" s="40">
        <v>90260313</v>
      </c>
      <c r="Y3215" s="40" t="s">
        <v>115</v>
      </c>
      <c r="Z3215" s="40" t="s">
        <v>115</v>
      </c>
      <c r="AA3215" s="40" t="s">
        <v>115</v>
      </c>
      <c r="AB3215" s="40" t="s">
        <v>115</v>
      </c>
      <c r="AC3215" s="40" t="s">
        <v>115</v>
      </c>
      <c r="AI3215" s="40" t="s">
        <v>115</v>
      </c>
      <c r="AP3215" s="4" t="s">
        <v>115</v>
      </c>
    </row>
    <row r="3216" spans="1:42" x14ac:dyDescent="0.15">
      <c r="A3216" s="40" t="s">
        <v>1</v>
      </c>
      <c r="B3216" s="23">
        <v>90260313</v>
      </c>
      <c r="C3216" s="23">
        <v>2603</v>
      </c>
      <c r="D3216" s="23">
        <v>26</v>
      </c>
      <c r="F3216" s="23" t="s">
        <v>527</v>
      </c>
      <c r="G3216" s="23" t="s">
        <v>115</v>
      </c>
      <c r="H3216" s="23" t="s">
        <v>5897</v>
      </c>
      <c r="I3216" s="23">
        <v>3</v>
      </c>
      <c r="J3216" s="40">
        <v>0</v>
      </c>
      <c r="K3216" s="40">
        <v>0</v>
      </c>
      <c r="L3216" s="40" t="s">
        <v>115</v>
      </c>
      <c r="O3216" s="40" t="s">
        <v>115</v>
      </c>
      <c r="Q3216" s="40">
        <v>171</v>
      </c>
      <c r="R3216" s="40">
        <v>229</v>
      </c>
      <c r="X3216" s="40">
        <v>90260314</v>
      </c>
      <c r="Y3216" s="40" t="s">
        <v>115</v>
      </c>
      <c r="Z3216" s="40" t="s">
        <v>115</v>
      </c>
      <c r="AA3216" s="40" t="s">
        <v>115</v>
      </c>
      <c r="AB3216" s="40" t="s">
        <v>115</v>
      </c>
      <c r="AC3216" s="40" t="s">
        <v>115</v>
      </c>
      <c r="AI3216" s="40" t="s">
        <v>115</v>
      </c>
      <c r="AP3216" s="4" t="s">
        <v>115</v>
      </c>
    </row>
    <row r="3217" spans="1:42" x14ac:dyDescent="0.15">
      <c r="A3217" s="40" t="s">
        <v>1</v>
      </c>
      <c r="B3217" s="23">
        <v>90260314</v>
      </c>
      <c r="C3217" s="23">
        <v>2603</v>
      </c>
      <c r="D3217" s="23">
        <v>26</v>
      </c>
      <c r="F3217" s="23" t="s">
        <v>116</v>
      </c>
      <c r="G3217" s="23">
        <v>314</v>
      </c>
      <c r="H3217" s="23" t="s">
        <v>5898</v>
      </c>
      <c r="I3217" s="23">
        <v>0</v>
      </c>
      <c r="J3217" s="40">
        <v>0</v>
      </c>
      <c r="K3217" s="40">
        <v>0</v>
      </c>
      <c r="L3217" s="40" t="s">
        <v>115</v>
      </c>
      <c r="O3217" s="40" t="s">
        <v>115</v>
      </c>
      <c r="Q3217" s="40">
        <v>171</v>
      </c>
      <c r="R3217" s="40">
        <v>229</v>
      </c>
      <c r="X3217" s="40">
        <v>90260315</v>
      </c>
      <c r="Y3217" s="40" t="s">
        <v>115</v>
      </c>
      <c r="Z3217" s="40" t="s">
        <v>115</v>
      </c>
      <c r="AA3217" s="40" t="s">
        <v>115</v>
      </c>
      <c r="AB3217" s="40" t="s">
        <v>115</v>
      </c>
      <c r="AC3217" s="40" t="s">
        <v>115</v>
      </c>
      <c r="AI3217" s="40" t="s">
        <v>115</v>
      </c>
      <c r="AP3217" s="4" t="s">
        <v>115</v>
      </c>
    </row>
    <row r="3218" spans="1:42" x14ac:dyDescent="0.15">
      <c r="A3218" s="40" t="s">
        <v>1</v>
      </c>
      <c r="B3218" s="23">
        <v>90260315</v>
      </c>
      <c r="C3218" s="23">
        <v>2603</v>
      </c>
      <c r="D3218" s="23">
        <v>26</v>
      </c>
      <c r="F3218" s="23" t="s">
        <v>115</v>
      </c>
      <c r="G3218" s="23" t="s">
        <v>115</v>
      </c>
      <c r="H3218" s="23" t="s">
        <v>5899</v>
      </c>
      <c r="I3218" s="23">
        <v>4</v>
      </c>
      <c r="J3218" s="40">
        <v>0</v>
      </c>
      <c r="K3218" s="40">
        <v>0</v>
      </c>
      <c r="L3218" s="40" t="s">
        <v>115</v>
      </c>
      <c r="O3218" s="40" t="s">
        <v>115</v>
      </c>
      <c r="Q3218" s="40">
        <v>171</v>
      </c>
      <c r="R3218" s="40">
        <v>119</v>
      </c>
      <c r="X3218" s="40">
        <v>90260316</v>
      </c>
      <c r="Y3218" s="40" t="s">
        <v>115</v>
      </c>
      <c r="Z3218" s="40" t="s">
        <v>115</v>
      </c>
      <c r="AA3218" s="40" t="s">
        <v>115</v>
      </c>
      <c r="AB3218" s="40" t="s">
        <v>115</v>
      </c>
      <c r="AC3218" s="40" t="s">
        <v>115</v>
      </c>
      <c r="AI3218" s="40" t="s">
        <v>115</v>
      </c>
      <c r="AP3218" s="4" t="s">
        <v>115</v>
      </c>
    </row>
    <row r="3219" spans="1:42" x14ac:dyDescent="0.15">
      <c r="A3219" s="40" t="s">
        <v>1</v>
      </c>
      <c r="B3219" s="23">
        <v>90260316</v>
      </c>
      <c r="C3219" s="23">
        <v>2603</v>
      </c>
      <c r="D3219" s="23">
        <v>26</v>
      </c>
      <c r="F3219" s="23" t="s">
        <v>5885</v>
      </c>
      <c r="G3219" s="23" t="s">
        <v>115</v>
      </c>
      <c r="H3219" s="23" t="s">
        <v>5900</v>
      </c>
      <c r="I3219" s="23">
        <v>3</v>
      </c>
      <c r="J3219" s="40">
        <v>0</v>
      </c>
      <c r="K3219" s="40">
        <v>0</v>
      </c>
      <c r="L3219" s="40" t="s">
        <v>115</v>
      </c>
      <c r="O3219" s="40" t="s">
        <v>115</v>
      </c>
      <c r="Q3219" s="40">
        <v>171</v>
      </c>
      <c r="R3219" s="40">
        <v>290</v>
      </c>
      <c r="X3219" s="40">
        <v>90260317</v>
      </c>
      <c r="Y3219" s="40" t="s">
        <v>115</v>
      </c>
      <c r="Z3219" s="40" t="s">
        <v>115</v>
      </c>
      <c r="AA3219" s="40" t="s">
        <v>115</v>
      </c>
      <c r="AB3219" s="40" t="s">
        <v>115</v>
      </c>
      <c r="AC3219" s="40" t="s">
        <v>115</v>
      </c>
      <c r="AI3219" s="40" t="s">
        <v>115</v>
      </c>
      <c r="AP3219" s="4" t="s">
        <v>115</v>
      </c>
    </row>
    <row r="3220" spans="1:42" x14ac:dyDescent="0.15">
      <c r="A3220" s="40" t="s">
        <v>1</v>
      </c>
      <c r="B3220" s="23">
        <v>90260317</v>
      </c>
      <c r="C3220" s="23">
        <v>2603</v>
      </c>
      <c r="D3220" s="23">
        <v>26</v>
      </c>
      <c r="F3220" s="23" t="s">
        <v>5885</v>
      </c>
      <c r="G3220" s="23" t="s">
        <v>115</v>
      </c>
      <c r="H3220" s="23" t="s">
        <v>5901</v>
      </c>
      <c r="I3220" s="23">
        <v>3</v>
      </c>
      <c r="J3220" s="40">
        <v>0</v>
      </c>
      <c r="K3220" s="40">
        <v>0</v>
      </c>
      <c r="L3220" s="40" t="s">
        <v>115</v>
      </c>
      <c r="O3220" s="40" t="s">
        <v>115</v>
      </c>
      <c r="Q3220" s="40">
        <v>171</v>
      </c>
      <c r="R3220" s="40">
        <v>290</v>
      </c>
      <c r="X3220" s="40">
        <v>90260318</v>
      </c>
      <c r="Y3220" s="40" t="s">
        <v>115</v>
      </c>
      <c r="Z3220" s="40" t="s">
        <v>115</v>
      </c>
      <c r="AA3220" s="40" t="s">
        <v>115</v>
      </c>
      <c r="AB3220" s="40" t="s">
        <v>115</v>
      </c>
      <c r="AC3220" s="40" t="s">
        <v>115</v>
      </c>
      <c r="AI3220" s="40" t="s">
        <v>115</v>
      </c>
      <c r="AP3220" s="4" t="s">
        <v>115</v>
      </c>
    </row>
    <row r="3221" spans="1:42" x14ac:dyDescent="0.15">
      <c r="A3221" s="40" t="s">
        <v>1</v>
      </c>
      <c r="B3221" s="23">
        <v>90260318</v>
      </c>
      <c r="C3221" s="23">
        <v>2603</v>
      </c>
      <c r="D3221" s="23">
        <v>26</v>
      </c>
      <c r="F3221" s="23" t="s">
        <v>116</v>
      </c>
      <c r="G3221" s="23">
        <v>312</v>
      </c>
      <c r="H3221" s="23" t="s">
        <v>5902</v>
      </c>
      <c r="I3221" s="23">
        <v>0</v>
      </c>
      <c r="J3221" s="40">
        <v>0</v>
      </c>
      <c r="K3221" s="40">
        <v>0</v>
      </c>
      <c r="L3221" s="40" t="s">
        <v>115</v>
      </c>
      <c r="O3221" s="40" t="s">
        <v>115</v>
      </c>
      <c r="Q3221" s="40">
        <v>171</v>
      </c>
      <c r="R3221" s="40">
        <v>290</v>
      </c>
      <c r="X3221" s="40">
        <v>90260319</v>
      </c>
      <c r="Y3221" s="40" t="s">
        <v>115</v>
      </c>
      <c r="Z3221" s="40" t="s">
        <v>115</v>
      </c>
      <c r="AA3221" s="40" t="s">
        <v>115</v>
      </c>
      <c r="AB3221" s="40" t="s">
        <v>115</v>
      </c>
      <c r="AC3221" s="40" t="s">
        <v>115</v>
      </c>
      <c r="AI3221" s="40" t="s">
        <v>115</v>
      </c>
      <c r="AP3221" s="4" t="s">
        <v>115</v>
      </c>
    </row>
    <row r="3222" spans="1:42" x14ac:dyDescent="0.15">
      <c r="A3222" s="40" t="s">
        <v>1</v>
      </c>
      <c r="B3222" s="23">
        <v>90260319</v>
      </c>
      <c r="C3222" s="23">
        <v>2603</v>
      </c>
      <c r="D3222" s="23">
        <v>26</v>
      </c>
      <c r="F3222" s="23" t="s">
        <v>5885</v>
      </c>
      <c r="G3222" s="23" t="s">
        <v>115</v>
      </c>
      <c r="H3222" s="23" t="s">
        <v>5903</v>
      </c>
      <c r="I3222" s="23">
        <v>3</v>
      </c>
      <c r="J3222" s="40">
        <v>0</v>
      </c>
      <c r="K3222" s="40">
        <v>5</v>
      </c>
      <c r="L3222" s="40" t="s">
        <v>5904</v>
      </c>
      <c r="O3222" s="40" t="s">
        <v>115</v>
      </c>
      <c r="Q3222" s="40">
        <v>171</v>
      </c>
      <c r="R3222" s="40">
        <v>290</v>
      </c>
      <c r="X3222" s="40">
        <v>90260320</v>
      </c>
      <c r="Y3222" s="40" t="s">
        <v>115</v>
      </c>
      <c r="Z3222" s="40">
        <v>4</v>
      </c>
      <c r="AA3222" s="40" t="s">
        <v>115</v>
      </c>
      <c r="AB3222" s="40" t="s">
        <v>115</v>
      </c>
      <c r="AC3222" s="40" t="s">
        <v>115</v>
      </c>
      <c r="AI3222" s="40" t="s">
        <v>115</v>
      </c>
      <c r="AP3222" s="4" t="s">
        <v>115</v>
      </c>
    </row>
    <row r="3223" spans="1:42" x14ac:dyDescent="0.15">
      <c r="A3223" s="40" t="s">
        <v>1</v>
      </c>
      <c r="B3223" s="23">
        <v>90260320</v>
      </c>
      <c r="C3223" s="23">
        <v>2603</v>
      </c>
      <c r="D3223" s="23">
        <v>26</v>
      </c>
      <c r="F3223" s="23" t="s">
        <v>116</v>
      </c>
      <c r="G3223" s="23">
        <v>313</v>
      </c>
      <c r="H3223" s="23" t="s">
        <v>5905</v>
      </c>
      <c r="I3223" s="23">
        <v>0</v>
      </c>
      <c r="J3223" s="40">
        <v>0</v>
      </c>
      <c r="K3223" s="40">
        <v>0</v>
      </c>
      <c r="L3223" s="40" t="s">
        <v>115</v>
      </c>
      <c r="O3223" s="40" t="s">
        <v>115</v>
      </c>
      <c r="Q3223" s="40">
        <v>171</v>
      </c>
      <c r="R3223" s="40">
        <v>290</v>
      </c>
      <c r="X3223" s="40">
        <v>90260321</v>
      </c>
      <c r="Y3223" s="40" t="s">
        <v>115</v>
      </c>
      <c r="Z3223" s="40" t="s">
        <v>115</v>
      </c>
      <c r="AA3223" s="40" t="s">
        <v>115</v>
      </c>
      <c r="AB3223" s="40" t="s">
        <v>115</v>
      </c>
      <c r="AC3223" s="40" t="s">
        <v>115</v>
      </c>
      <c r="AI3223" s="40" t="s">
        <v>115</v>
      </c>
      <c r="AP3223" s="4" t="s">
        <v>115</v>
      </c>
    </row>
    <row r="3224" spans="1:42" x14ac:dyDescent="0.15">
      <c r="A3224" s="40" t="s">
        <v>1</v>
      </c>
      <c r="B3224" s="23">
        <v>90260321</v>
      </c>
      <c r="C3224" s="23">
        <v>2603</v>
      </c>
      <c r="D3224" s="23">
        <v>26</v>
      </c>
      <c r="F3224" s="23" t="s">
        <v>116</v>
      </c>
      <c r="G3224" s="23">
        <v>314</v>
      </c>
      <c r="H3224" s="23" t="s">
        <v>5906</v>
      </c>
      <c r="I3224" s="23">
        <v>2</v>
      </c>
      <c r="J3224" s="40">
        <v>0</v>
      </c>
      <c r="K3224" s="40">
        <v>6</v>
      </c>
      <c r="L3224" s="40" t="s">
        <v>115</v>
      </c>
      <c r="O3224" s="40">
        <v>1</v>
      </c>
      <c r="Q3224" s="40">
        <v>171</v>
      </c>
      <c r="R3224" s="40" t="s">
        <v>115</v>
      </c>
      <c r="X3224" s="40" t="s">
        <v>115</v>
      </c>
      <c r="Y3224" s="40" t="s">
        <v>115</v>
      </c>
      <c r="Z3224" s="40">
        <v>5</v>
      </c>
      <c r="AA3224" s="40" t="s">
        <v>115</v>
      </c>
      <c r="AB3224" s="40" t="s">
        <v>115</v>
      </c>
      <c r="AC3224" s="40" t="s">
        <v>115</v>
      </c>
      <c r="AI3224" s="40" t="s">
        <v>115</v>
      </c>
      <c r="AP3224" s="4" t="s">
        <v>5907</v>
      </c>
    </row>
    <row r="3225" spans="1:42" x14ac:dyDescent="0.15">
      <c r="A3225" s="40" t="s">
        <v>1</v>
      </c>
      <c r="B3225" s="23">
        <v>90260322</v>
      </c>
      <c r="C3225" s="23">
        <v>2603</v>
      </c>
      <c r="D3225" s="23">
        <v>26</v>
      </c>
      <c r="F3225" s="23" t="s">
        <v>116</v>
      </c>
      <c r="G3225" s="23">
        <v>312</v>
      </c>
      <c r="H3225" s="23" t="s">
        <v>5908</v>
      </c>
      <c r="I3225" s="23">
        <v>0</v>
      </c>
      <c r="J3225" s="40">
        <v>0</v>
      </c>
      <c r="K3225" s="40">
        <v>7</v>
      </c>
      <c r="L3225" s="40" t="s">
        <v>115</v>
      </c>
      <c r="O3225" s="40">
        <v>2</v>
      </c>
      <c r="Q3225" s="40">
        <v>171</v>
      </c>
      <c r="R3225" s="40">
        <v>290</v>
      </c>
      <c r="X3225" s="40" t="s">
        <v>115</v>
      </c>
      <c r="Y3225" s="40" t="s">
        <v>115</v>
      </c>
      <c r="Z3225" s="40">
        <v>6</v>
      </c>
      <c r="AA3225" s="40" t="s">
        <v>115</v>
      </c>
      <c r="AB3225" s="40" t="s">
        <v>115</v>
      </c>
      <c r="AC3225" s="40" t="s">
        <v>115</v>
      </c>
      <c r="AI3225" s="40" t="s">
        <v>115</v>
      </c>
      <c r="AP3225" s="4" t="s">
        <v>115</v>
      </c>
    </row>
    <row r="3226" spans="1:42" x14ac:dyDescent="0.15">
      <c r="A3226" s="40" t="s">
        <v>1</v>
      </c>
      <c r="B3226" s="23" t="s">
        <v>4893</v>
      </c>
      <c r="C3226" s="23">
        <v>2604</v>
      </c>
      <c r="D3226" s="23">
        <v>26</v>
      </c>
      <c r="F3226" s="23" t="s">
        <v>116</v>
      </c>
      <c r="G3226" s="23">
        <v>309</v>
      </c>
      <c r="H3226" s="23" t="s">
        <v>5909</v>
      </c>
      <c r="I3226" s="23">
        <v>0</v>
      </c>
      <c r="J3226" s="40">
        <v>1</v>
      </c>
      <c r="K3226" s="40">
        <v>1</v>
      </c>
      <c r="L3226" s="40" t="s">
        <v>115</v>
      </c>
      <c r="O3226" s="40" t="s">
        <v>115</v>
      </c>
      <c r="Q3226" s="40">
        <v>115</v>
      </c>
      <c r="R3226" s="40">
        <v>166</v>
      </c>
      <c r="X3226" s="40">
        <v>90260402</v>
      </c>
      <c r="Y3226" s="40" t="s">
        <v>115</v>
      </c>
      <c r="Z3226" s="40" t="s">
        <v>115</v>
      </c>
      <c r="AA3226" s="40" t="s">
        <v>115</v>
      </c>
      <c r="AB3226" s="40" t="s">
        <v>115</v>
      </c>
      <c r="AC3226" s="40" t="s">
        <v>115</v>
      </c>
      <c r="AI3226" s="40" t="s">
        <v>115</v>
      </c>
      <c r="AP3226" s="4" t="s">
        <v>115</v>
      </c>
    </row>
    <row r="3227" spans="1:42" x14ac:dyDescent="0.15">
      <c r="A3227" s="40" t="s">
        <v>1</v>
      </c>
      <c r="B3227" s="23">
        <v>90260402</v>
      </c>
      <c r="C3227" s="23">
        <v>2604</v>
      </c>
      <c r="D3227" s="23">
        <v>26</v>
      </c>
      <c r="F3227" s="23" t="s">
        <v>5834</v>
      </c>
      <c r="G3227" s="23" t="s">
        <v>115</v>
      </c>
      <c r="H3227" s="23" t="s">
        <v>5910</v>
      </c>
      <c r="I3227" s="23">
        <v>3</v>
      </c>
      <c r="J3227" s="40">
        <v>0</v>
      </c>
      <c r="K3227" s="40">
        <v>0</v>
      </c>
      <c r="L3227" s="40" t="s">
        <v>115</v>
      </c>
      <c r="O3227" s="40" t="s">
        <v>115</v>
      </c>
      <c r="Q3227" s="40">
        <v>115</v>
      </c>
      <c r="R3227" s="40">
        <v>166</v>
      </c>
      <c r="X3227" s="40">
        <v>90260403</v>
      </c>
      <c r="Y3227" s="40" t="s">
        <v>115</v>
      </c>
      <c r="Z3227" s="40" t="s">
        <v>115</v>
      </c>
      <c r="AA3227" s="40" t="s">
        <v>115</v>
      </c>
      <c r="AB3227" s="40" t="s">
        <v>115</v>
      </c>
      <c r="AC3227" s="40" t="s">
        <v>115</v>
      </c>
      <c r="AI3227" s="40" t="s">
        <v>115</v>
      </c>
      <c r="AP3227" s="4" t="s">
        <v>115</v>
      </c>
    </row>
    <row r="3228" spans="1:42" x14ac:dyDescent="0.15">
      <c r="A3228" s="40" t="s">
        <v>1</v>
      </c>
      <c r="B3228" s="23">
        <v>90260403</v>
      </c>
      <c r="C3228" s="23">
        <v>2604</v>
      </c>
      <c r="D3228" s="23">
        <v>26</v>
      </c>
      <c r="F3228" s="23" t="s">
        <v>115</v>
      </c>
      <c r="G3228" s="23" t="s">
        <v>115</v>
      </c>
      <c r="H3228" s="23" t="s">
        <v>2999</v>
      </c>
      <c r="I3228" s="23">
        <v>4</v>
      </c>
      <c r="J3228" s="40">
        <v>0</v>
      </c>
      <c r="K3228" s="40">
        <v>2</v>
      </c>
      <c r="L3228" s="40" t="s">
        <v>115</v>
      </c>
      <c r="O3228" s="40" t="s">
        <v>115</v>
      </c>
      <c r="Q3228" s="40">
        <v>115</v>
      </c>
      <c r="R3228" s="40">
        <v>166</v>
      </c>
      <c r="X3228" s="40" t="s">
        <v>5911</v>
      </c>
      <c r="Y3228" s="40">
        <v>1</v>
      </c>
      <c r="Z3228" s="40">
        <v>1</v>
      </c>
      <c r="AA3228" s="40" t="s">
        <v>115</v>
      </c>
      <c r="AB3228" s="40" t="s">
        <v>115</v>
      </c>
      <c r="AC3228" s="40" t="s">
        <v>115</v>
      </c>
      <c r="AI3228" s="40" t="s">
        <v>115</v>
      </c>
      <c r="AP3228" s="4" t="s">
        <v>115</v>
      </c>
    </row>
    <row r="3229" spans="1:42" x14ac:dyDescent="0.15">
      <c r="A3229" s="40" t="s">
        <v>1</v>
      </c>
      <c r="B3229" s="23">
        <v>90260404</v>
      </c>
      <c r="C3229" s="23">
        <v>2604</v>
      </c>
      <c r="D3229" s="23">
        <v>26</v>
      </c>
      <c r="F3229" s="23" t="s">
        <v>115</v>
      </c>
      <c r="G3229" s="23" t="s">
        <v>115</v>
      </c>
      <c r="H3229" s="23" t="s">
        <v>5912</v>
      </c>
      <c r="I3229" s="23">
        <v>4</v>
      </c>
      <c r="J3229" s="40">
        <v>0</v>
      </c>
      <c r="K3229" s="40">
        <v>3</v>
      </c>
      <c r="L3229" s="40" t="s">
        <v>115</v>
      </c>
      <c r="O3229" s="40" t="s">
        <v>115</v>
      </c>
      <c r="Q3229" s="40">
        <v>115</v>
      </c>
      <c r="R3229" s="40">
        <v>166</v>
      </c>
      <c r="X3229" s="40">
        <v>90260405</v>
      </c>
      <c r="Y3229" s="40">
        <v>-1</v>
      </c>
      <c r="Z3229" s="40">
        <v>2</v>
      </c>
      <c r="AA3229" s="40" t="s">
        <v>5913</v>
      </c>
      <c r="AB3229" s="40" t="s">
        <v>115</v>
      </c>
      <c r="AC3229" s="40" t="s">
        <v>115</v>
      </c>
      <c r="AI3229" s="40" t="s">
        <v>115</v>
      </c>
      <c r="AP3229" s="4" t="s">
        <v>115</v>
      </c>
    </row>
    <row r="3230" spans="1:42" x14ac:dyDescent="0.15">
      <c r="A3230" s="40" t="s">
        <v>1</v>
      </c>
      <c r="B3230" s="23">
        <v>90260405</v>
      </c>
      <c r="C3230" s="23">
        <v>2604</v>
      </c>
      <c r="D3230" s="23">
        <v>26</v>
      </c>
      <c r="F3230" s="23" t="s">
        <v>116</v>
      </c>
      <c r="G3230" s="23">
        <v>309</v>
      </c>
      <c r="H3230" s="23" t="s">
        <v>5914</v>
      </c>
      <c r="I3230" s="23">
        <v>0</v>
      </c>
      <c r="J3230" s="40">
        <v>0</v>
      </c>
      <c r="K3230" s="40">
        <v>0</v>
      </c>
      <c r="L3230" s="40" t="s">
        <v>115</v>
      </c>
      <c r="O3230" s="40" t="s">
        <v>115</v>
      </c>
      <c r="Q3230" s="40">
        <v>115</v>
      </c>
      <c r="R3230" s="40">
        <v>166</v>
      </c>
      <c r="X3230" s="40">
        <v>90260406</v>
      </c>
      <c r="Y3230" s="40" t="s">
        <v>115</v>
      </c>
      <c r="Z3230" s="40" t="s">
        <v>115</v>
      </c>
      <c r="AA3230" s="40" t="s">
        <v>115</v>
      </c>
      <c r="AB3230" s="40" t="s">
        <v>115</v>
      </c>
      <c r="AC3230" s="40" t="s">
        <v>115</v>
      </c>
      <c r="AI3230" s="40" t="s">
        <v>115</v>
      </c>
      <c r="AP3230" s="4" t="s">
        <v>115</v>
      </c>
    </row>
    <row r="3231" spans="1:42" x14ac:dyDescent="0.15">
      <c r="A3231" s="40" t="s">
        <v>1</v>
      </c>
      <c r="B3231" s="23">
        <v>90260406</v>
      </c>
      <c r="C3231" s="23">
        <v>2604</v>
      </c>
      <c r="D3231" s="23">
        <v>26</v>
      </c>
      <c r="F3231" s="23" t="s">
        <v>5834</v>
      </c>
      <c r="G3231" s="23" t="s">
        <v>115</v>
      </c>
      <c r="H3231" s="23" t="s">
        <v>5915</v>
      </c>
      <c r="I3231" s="23">
        <v>3</v>
      </c>
      <c r="J3231" s="40">
        <v>0</v>
      </c>
      <c r="K3231" s="40">
        <v>0</v>
      </c>
      <c r="L3231" s="40" t="s">
        <v>115</v>
      </c>
      <c r="O3231" s="40" t="s">
        <v>115</v>
      </c>
      <c r="Q3231" s="40">
        <v>115</v>
      </c>
      <c r="R3231" s="40">
        <v>166</v>
      </c>
      <c r="X3231" s="40">
        <v>90260407</v>
      </c>
      <c r="Y3231" s="40" t="s">
        <v>115</v>
      </c>
      <c r="Z3231" s="40" t="s">
        <v>115</v>
      </c>
      <c r="AA3231" s="40" t="s">
        <v>115</v>
      </c>
      <c r="AB3231" s="40" t="s">
        <v>115</v>
      </c>
      <c r="AC3231" s="40" t="s">
        <v>115</v>
      </c>
      <c r="AI3231" s="40" t="s">
        <v>115</v>
      </c>
      <c r="AP3231" s="4" t="s">
        <v>115</v>
      </c>
    </row>
    <row r="3232" spans="1:42" x14ac:dyDescent="0.15">
      <c r="A3232" s="40" t="s">
        <v>1</v>
      </c>
      <c r="B3232" s="23">
        <v>90260407</v>
      </c>
      <c r="C3232" s="23">
        <v>2604</v>
      </c>
      <c r="D3232" s="23">
        <v>26</v>
      </c>
      <c r="F3232" s="23" t="s">
        <v>5834</v>
      </c>
      <c r="G3232" s="23" t="s">
        <v>115</v>
      </c>
      <c r="H3232" s="23" t="s">
        <v>1178</v>
      </c>
      <c r="I3232" s="23">
        <v>3</v>
      </c>
      <c r="J3232" s="40">
        <v>0</v>
      </c>
      <c r="K3232" s="40">
        <v>0</v>
      </c>
      <c r="L3232" s="40" t="s">
        <v>115</v>
      </c>
      <c r="O3232" s="40" t="s">
        <v>115</v>
      </c>
      <c r="Q3232" s="40">
        <v>115</v>
      </c>
      <c r="R3232" s="40">
        <v>166</v>
      </c>
      <c r="X3232" s="40">
        <v>90260408</v>
      </c>
      <c r="Y3232" s="40" t="s">
        <v>115</v>
      </c>
      <c r="Z3232" s="40" t="s">
        <v>115</v>
      </c>
      <c r="AA3232" s="40" t="s">
        <v>115</v>
      </c>
      <c r="AB3232" s="40" t="s">
        <v>115</v>
      </c>
      <c r="AC3232" s="40" t="s">
        <v>115</v>
      </c>
      <c r="AI3232" s="40" t="s">
        <v>115</v>
      </c>
      <c r="AP3232" s="4" t="s">
        <v>115</v>
      </c>
    </row>
    <row r="3233" spans="1:42" x14ac:dyDescent="0.15">
      <c r="A3233" s="40" t="s">
        <v>1</v>
      </c>
      <c r="B3233" s="23">
        <v>90260408</v>
      </c>
      <c r="C3233" s="23">
        <v>2604</v>
      </c>
      <c r="D3233" s="23">
        <v>26</v>
      </c>
      <c r="F3233" s="23" t="s">
        <v>116</v>
      </c>
      <c r="G3233" s="23">
        <v>314</v>
      </c>
      <c r="H3233" s="23" t="s">
        <v>5916</v>
      </c>
      <c r="I3233" s="23">
        <v>0</v>
      </c>
      <c r="J3233" s="40">
        <v>0</v>
      </c>
      <c r="K3233" s="40">
        <v>0</v>
      </c>
      <c r="L3233" s="40" t="s">
        <v>115</v>
      </c>
      <c r="O3233" s="40" t="s">
        <v>115</v>
      </c>
      <c r="Q3233" s="40">
        <v>115</v>
      </c>
      <c r="R3233" s="40">
        <v>166</v>
      </c>
      <c r="X3233" s="40">
        <v>90260409</v>
      </c>
      <c r="Y3233" s="40" t="s">
        <v>115</v>
      </c>
      <c r="Z3233" s="40" t="s">
        <v>115</v>
      </c>
      <c r="AA3233" s="40" t="s">
        <v>115</v>
      </c>
      <c r="AB3233" s="40" t="s">
        <v>115</v>
      </c>
      <c r="AC3233" s="40" t="s">
        <v>115</v>
      </c>
      <c r="AI3233" s="40" t="s">
        <v>115</v>
      </c>
      <c r="AP3233" s="4" t="s">
        <v>115</v>
      </c>
    </row>
    <row r="3234" spans="1:42" x14ac:dyDescent="0.15">
      <c r="A3234" s="40" t="s">
        <v>1</v>
      </c>
      <c r="B3234" s="23">
        <v>90260409</v>
      </c>
      <c r="C3234" s="23">
        <v>2604</v>
      </c>
      <c r="D3234" s="23">
        <v>26</v>
      </c>
      <c r="F3234" s="23" t="s">
        <v>5834</v>
      </c>
      <c r="G3234" s="23" t="s">
        <v>115</v>
      </c>
      <c r="H3234" s="23" t="s">
        <v>5917</v>
      </c>
      <c r="I3234" s="23">
        <v>3</v>
      </c>
      <c r="J3234" s="40">
        <v>0</v>
      </c>
      <c r="K3234" s="40">
        <v>0</v>
      </c>
      <c r="L3234" s="40" t="s">
        <v>115</v>
      </c>
      <c r="O3234" s="40" t="s">
        <v>115</v>
      </c>
      <c r="Q3234" s="40">
        <v>115</v>
      </c>
      <c r="R3234" s="40">
        <v>166</v>
      </c>
      <c r="X3234" s="40">
        <v>90260410</v>
      </c>
      <c r="Y3234" s="40" t="s">
        <v>115</v>
      </c>
      <c r="Z3234" s="40" t="s">
        <v>115</v>
      </c>
      <c r="AA3234" s="40" t="s">
        <v>115</v>
      </c>
      <c r="AB3234" s="40" t="s">
        <v>115</v>
      </c>
      <c r="AC3234" s="40" t="s">
        <v>115</v>
      </c>
      <c r="AI3234" s="40" t="s">
        <v>115</v>
      </c>
      <c r="AP3234" s="4" t="s">
        <v>115</v>
      </c>
    </row>
    <row r="3235" spans="1:42" x14ac:dyDescent="0.15">
      <c r="A3235" s="40" t="s">
        <v>1</v>
      </c>
      <c r="B3235" s="23">
        <v>90260410</v>
      </c>
      <c r="C3235" s="23">
        <v>2604</v>
      </c>
      <c r="D3235" s="23">
        <v>26</v>
      </c>
      <c r="F3235" s="23" t="s">
        <v>116</v>
      </c>
      <c r="G3235" s="23">
        <v>314</v>
      </c>
      <c r="H3235" s="23" t="s">
        <v>5918</v>
      </c>
      <c r="I3235" s="23">
        <v>0</v>
      </c>
      <c r="J3235" s="40">
        <v>0</v>
      </c>
      <c r="K3235" s="40">
        <v>0</v>
      </c>
      <c r="L3235" s="40" t="s">
        <v>115</v>
      </c>
      <c r="O3235" s="40" t="s">
        <v>115</v>
      </c>
      <c r="Q3235" s="40">
        <v>115</v>
      </c>
      <c r="R3235" s="40">
        <v>166</v>
      </c>
      <c r="X3235" s="40">
        <v>90260411</v>
      </c>
      <c r="Y3235" s="40" t="s">
        <v>115</v>
      </c>
      <c r="Z3235" s="40" t="s">
        <v>115</v>
      </c>
      <c r="AA3235" s="40" t="s">
        <v>115</v>
      </c>
      <c r="AB3235" s="40" t="s">
        <v>115</v>
      </c>
      <c r="AC3235" s="40" t="s">
        <v>115</v>
      </c>
      <c r="AI3235" s="40" t="s">
        <v>115</v>
      </c>
      <c r="AP3235" s="4" t="s">
        <v>115</v>
      </c>
    </row>
    <row r="3236" spans="1:42" x14ac:dyDescent="0.15">
      <c r="A3236" s="40" t="s">
        <v>1</v>
      </c>
      <c r="B3236" s="23">
        <v>90260411</v>
      </c>
      <c r="C3236" s="23">
        <v>2604</v>
      </c>
      <c r="D3236" s="23">
        <v>26</v>
      </c>
      <c r="F3236" s="23" t="s">
        <v>116</v>
      </c>
      <c r="G3236" s="23">
        <v>312</v>
      </c>
      <c r="H3236" s="23" t="s">
        <v>5919</v>
      </c>
      <c r="I3236" s="23">
        <v>0</v>
      </c>
      <c r="J3236" s="40">
        <v>0</v>
      </c>
      <c r="K3236" s="40">
        <v>0</v>
      </c>
      <c r="L3236" s="40" t="s">
        <v>115</v>
      </c>
      <c r="O3236" s="40" t="s">
        <v>115</v>
      </c>
      <c r="Q3236" s="40">
        <v>115</v>
      </c>
      <c r="R3236" s="40">
        <v>166</v>
      </c>
      <c r="X3236" s="40">
        <v>90260412</v>
      </c>
      <c r="Y3236" s="40" t="s">
        <v>115</v>
      </c>
      <c r="Z3236" s="40" t="s">
        <v>115</v>
      </c>
      <c r="AA3236" s="40" t="s">
        <v>115</v>
      </c>
      <c r="AB3236" s="40" t="s">
        <v>115</v>
      </c>
      <c r="AC3236" s="40" t="s">
        <v>115</v>
      </c>
      <c r="AI3236" s="40" t="s">
        <v>115</v>
      </c>
      <c r="AP3236" s="4" t="s">
        <v>115</v>
      </c>
    </row>
    <row r="3237" spans="1:42" x14ac:dyDescent="0.15">
      <c r="A3237" s="40" t="s">
        <v>1</v>
      </c>
      <c r="B3237" s="23">
        <v>90260412</v>
      </c>
      <c r="C3237" s="23">
        <v>2604</v>
      </c>
      <c r="D3237" s="23">
        <v>26</v>
      </c>
      <c r="F3237" s="23" t="s">
        <v>5834</v>
      </c>
      <c r="G3237" s="23" t="s">
        <v>115</v>
      </c>
      <c r="H3237" s="23" t="s">
        <v>5920</v>
      </c>
      <c r="I3237" s="23">
        <v>3</v>
      </c>
      <c r="J3237" s="40">
        <v>0</v>
      </c>
      <c r="K3237" s="40">
        <v>0</v>
      </c>
      <c r="L3237" s="40" t="s">
        <v>115</v>
      </c>
      <c r="O3237" s="40" t="s">
        <v>115</v>
      </c>
      <c r="Q3237" s="40">
        <v>115</v>
      </c>
      <c r="R3237" s="40">
        <v>166</v>
      </c>
      <c r="X3237" s="40">
        <v>90260413</v>
      </c>
      <c r="Y3237" s="40" t="s">
        <v>115</v>
      </c>
      <c r="Z3237" s="40" t="s">
        <v>115</v>
      </c>
      <c r="AA3237" s="40" t="s">
        <v>115</v>
      </c>
      <c r="AB3237" s="40" t="s">
        <v>115</v>
      </c>
      <c r="AC3237" s="40" t="s">
        <v>115</v>
      </c>
      <c r="AI3237" s="40" t="s">
        <v>115</v>
      </c>
      <c r="AP3237" s="4" t="s">
        <v>115</v>
      </c>
    </row>
    <row r="3238" spans="1:42" x14ac:dyDescent="0.15">
      <c r="A3238" s="40" t="s">
        <v>1</v>
      </c>
      <c r="B3238" s="23">
        <v>90260413</v>
      </c>
      <c r="C3238" s="23">
        <v>2604</v>
      </c>
      <c r="D3238" s="23">
        <v>26</v>
      </c>
      <c r="F3238" s="23" t="s">
        <v>115</v>
      </c>
      <c r="G3238" s="23" t="s">
        <v>115</v>
      </c>
      <c r="H3238" s="23" t="s">
        <v>5921</v>
      </c>
      <c r="I3238" s="23">
        <v>4</v>
      </c>
      <c r="J3238" s="40">
        <v>0</v>
      </c>
      <c r="K3238" s="40">
        <v>0</v>
      </c>
      <c r="L3238" s="40" t="s">
        <v>115</v>
      </c>
      <c r="O3238" s="40" t="s">
        <v>115</v>
      </c>
      <c r="Q3238" s="40">
        <v>115</v>
      </c>
      <c r="R3238" s="40">
        <v>166</v>
      </c>
      <c r="X3238" s="40">
        <v>90260414</v>
      </c>
      <c r="Y3238" s="40" t="s">
        <v>115</v>
      </c>
      <c r="Z3238" s="40" t="s">
        <v>115</v>
      </c>
      <c r="AA3238" s="40" t="s">
        <v>115</v>
      </c>
      <c r="AB3238" s="40" t="s">
        <v>115</v>
      </c>
      <c r="AC3238" s="40" t="s">
        <v>115</v>
      </c>
      <c r="AI3238" s="40" t="s">
        <v>115</v>
      </c>
      <c r="AP3238" s="4" t="s">
        <v>115</v>
      </c>
    </row>
    <row r="3239" spans="1:42" x14ac:dyDescent="0.15">
      <c r="A3239" s="40" t="s">
        <v>1</v>
      </c>
      <c r="B3239" s="23">
        <v>90260414</v>
      </c>
      <c r="C3239" s="23">
        <v>2604</v>
      </c>
      <c r="D3239" s="23">
        <v>26</v>
      </c>
      <c r="F3239" s="23" t="s">
        <v>115</v>
      </c>
      <c r="G3239" s="23" t="s">
        <v>115</v>
      </c>
      <c r="H3239" s="23" t="s">
        <v>5922</v>
      </c>
      <c r="I3239" s="23">
        <v>4</v>
      </c>
      <c r="J3239" s="40">
        <v>0</v>
      </c>
      <c r="K3239" s="40">
        <v>4</v>
      </c>
      <c r="L3239" s="40" t="s">
        <v>115</v>
      </c>
      <c r="O3239" s="40" t="s">
        <v>115</v>
      </c>
      <c r="Q3239" s="40">
        <v>115</v>
      </c>
      <c r="R3239" s="40">
        <v>166</v>
      </c>
      <c r="X3239" s="40" t="s">
        <v>5923</v>
      </c>
      <c r="Y3239" s="40">
        <v>1</v>
      </c>
      <c r="Z3239" s="40">
        <v>2</v>
      </c>
      <c r="AA3239" s="40" t="s">
        <v>115</v>
      </c>
      <c r="AB3239" s="40" t="s">
        <v>115</v>
      </c>
      <c r="AC3239" s="40" t="s">
        <v>115</v>
      </c>
      <c r="AI3239" s="40" t="s">
        <v>115</v>
      </c>
      <c r="AP3239" s="4" t="s">
        <v>115</v>
      </c>
    </row>
    <row r="3240" spans="1:42" x14ac:dyDescent="0.15">
      <c r="A3240" s="40" t="s">
        <v>1</v>
      </c>
      <c r="B3240" s="23">
        <v>90260415</v>
      </c>
      <c r="C3240" s="23">
        <v>2604</v>
      </c>
      <c r="D3240" s="23">
        <v>26</v>
      </c>
      <c r="F3240" s="23" t="s">
        <v>115</v>
      </c>
      <c r="G3240" s="23" t="s">
        <v>115</v>
      </c>
      <c r="H3240" s="23" t="s">
        <v>5924</v>
      </c>
      <c r="I3240" s="23">
        <v>4</v>
      </c>
      <c r="J3240" s="40">
        <v>0</v>
      </c>
      <c r="K3240" s="40">
        <v>5</v>
      </c>
      <c r="L3240" s="40" t="s">
        <v>115</v>
      </c>
      <c r="O3240" s="40" t="s">
        <v>115</v>
      </c>
      <c r="Q3240" s="40">
        <v>115</v>
      </c>
      <c r="R3240" s="40">
        <v>166</v>
      </c>
      <c r="X3240" s="40">
        <v>90260417</v>
      </c>
      <c r="Y3240" s="40">
        <v>-1</v>
      </c>
      <c r="Z3240" s="40">
        <v>4</v>
      </c>
      <c r="AA3240" s="40" t="s">
        <v>115</v>
      </c>
      <c r="AB3240" s="40" t="s">
        <v>115</v>
      </c>
      <c r="AC3240" s="40" t="s">
        <v>5925</v>
      </c>
      <c r="AI3240" s="40" t="s">
        <v>115</v>
      </c>
      <c r="AP3240" s="4" t="s">
        <v>115</v>
      </c>
    </row>
    <row r="3241" spans="1:42" x14ac:dyDescent="0.15">
      <c r="A3241" s="40" t="s">
        <v>1</v>
      </c>
      <c r="B3241" s="23">
        <v>90260416</v>
      </c>
      <c r="C3241" s="23">
        <v>2604</v>
      </c>
      <c r="D3241" s="23">
        <v>26</v>
      </c>
      <c r="F3241" s="23" t="s">
        <v>115</v>
      </c>
      <c r="G3241" s="23" t="s">
        <v>115</v>
      </c>
      <c r="H3241" s="23" t="s">
        <v>5926</v>
      </c>
      <c r="I3241" s="23">
        <v>4</v>
      </c>
      <c r="J3241" s="40">
        <v>0</v>
      </c>
      <c r="K3241" s="40">
        <v>6</v>
      </c>
      <c r="L3241" s="40" t="s">
        <v>115</v>
      </c>
      <c r="O3241" s="40" t="s">
        <v>115</v>
      </c>
      <c r="Q3241" s="40">
        <v>115</v>
      </c>
      <c r="R3241" s="40">
        <v>166</v>
      </c>
      <c r="X3241" s="40">
        <v>90260418</v>
      </c>
      <c r="Y3241" s="40">
        <v>-1</v>
      </c>
      <c r="Z3241" s="40">
        <v>4</v>
      </c>
      <c r="AA3241" s="40" t="s">
        <v>5927</v>
      </c>
      <c r="AB3241" s="40" t="s">
        <v>115</v>
      </c>
      <c r="AC3241" s="40" t="s">
        <v>115</v>
      </c>
      <c r="AI3241" s="40" t="s">
        <v>115</v>
      </c>
      <c r="AP3241" s="4" t="s">
        <v>115</v>
      </c>
    </row>
    <row r="3242" spans="1:42" x14ac:dyDescent="0.15">
      <c r="A3242" s="40" t="s">
        <v>1</v>
      </c>
      <c r="B3242" s="23">
        <v>90260417</v>
      </c>
      <c r="C3242" s="23">
        <v>2604</v>
      </c>
      <c r="D3242" s="23">
        <v>26</v>
      </c>
      <c r="F3242" s="23" t="s">
        <v>116</v>
      </c>
      <c r="G3242" s="23">
        <v>312</v>
      </c>
      <c r="H3242" s="23" t="s">
        <v>5928</v>
      </c>
      <c r="I3242" s="23">
        <v>0</v>
      </c>
      <c r="J3242" s="40">
        <v>0</v>
      </c>
      <c r="K3242" s="40">
        <v>0</v>
      </c>
      <c r="L3242" s="40" t="s">
        <v>115</v>
      </c>
      <c r="O3242" s="40" t="s">
        <v>115</v>
      </c>
      <c r="Q3242" s="40">
        <v>115</v>
      </c>
      <c r="R3242" s="40">
        <v>166</v>
      </c>
      <c r="X3242" s="40">
        <v>90260427</v>
      </c>
      <c r="Y3242" s="40" t="s">
        <v>115</v>
      </c>
      <c r="Z3242" s="40" t="s">
        <v>115</v>
      </c>
      <c r="AA3242" s="40" t="s">
        <v>115</v>
      </c>
      <c r="AB3242" s="40" t="s">
        <v>115</v>
      </c>
      <c r="AC3242" s="40" t="s">
        <v>115</v>
      </c>
      <c r="AI3242" s="40" t="s">
        <v>115</v>
      </c>
      <c r="AP3242" s="4" t="s">
        <v>115</v>
      </c>
    </row>
    <row r="3243" spans="1:42" x14ac:dyDescent="0.15">
      <c r="A3243" s="40" t="s">
        <v>1</v>
      </c>
      <c r="B3243" s="23">
        <v>90260418</v>
      </c>
      <c r="C3243" s="23">
        <v>2604</v>
      </c>
      <c r="D3243" s="23">
        <v>26</v>
      </c>
      <c r="F3243" s="23" t="s">
        <v>115</v>
      </c>
      <c r="G3243" s="23" t="s">
        <v>115</v>
      </c>
      <c r="H3243" s="23" t="s">
        <v>5929</v>
      </c>
      <c r="I3243" s="23">
        <v>4</v>
      </c>
      <c r="J3243" s="40">
        <v>0</v>
      </c>
      <c r="K3243" s="40">
        <v>0</v>
      </c>
      <c r="L3243" s="40" t="s">
        <v>115</v>
      </c>
      <c r="O3243" s="40" t="s">
        <v>115</v>
      </c>
      <c r="Q3243" s="40">
        <v>115</v>
      </c>
      <c r="R3243" s="40">
        <v>166</v>
      </c>
      <c r="X3243" s="40">
        <v>90260419</v>
      </c>
      <c r="Y3243" s="40" t="s">
        <v>115</v>
      </c>
      <c r="Z3243" s="40" t="s">
        <v>115</v>
      </c>
      <c r="AA3243" s="40" t="s">
        <v>115</v>
      </c>
      <c r="AB3243" s="40" t="s">
        <v>115</v>
      </c>
      <c r="AC3243" s="40" t="s">
        <v>115</v>
      </c>
      <c r="AI3243" s="40" t="s">
        <v>115</v>
      </c>
      <c r="AP3243" s="4" t="s">
        <v>115</v>
      </c>
    </row>
    <row r="3244" spans="1:42" x14ac:dyDescent="0.15">
      <c r="A3244" s="40" t="s">
        <v>1</v>
      </c>
      <c r="B3244" s="23">
        <v>90260419</v>
      </c>
      <c r="C3244" s="23">
        <v>2604</v>
      </c>
      <c r="D3244" s="23">
        <v>26</v>
      </c>
      <c r="F3244" s="23" t="s">
        <v>116</v>
      </c>
      <c r="G3244" s="23">
        <v>312</v>
      </c>
      <c r="H3244" s="23" t="s">
        <v>5930</v>
      </c>
      <c r="I3244" s="23">
        <v>0</v>
      </c>
      <c r="J3244" s="40">
        <v>0</v>
      </c>
      <c r="K3244" s="40">
        <v>0</v>
      </c>
      <c r="L3244" s="40" t="s">
        <v>115</v>
      </c>
      <c r="O3244" s="40" t="s">
        <v>115</v>
      </c>
      <c r="Q3244" s="40">
        <v>115</v>
      </c>
      <c r="R3244" s="40">
        <v>166</v>
      </c>
      <c r="X3244" s="40">
        <v>90260420</v>
      </c>
      <c r="Y3244" s="40" t="s">
        <v>115</v>
      </c>
      <c r="Z3244" s="40" t="s">
        <v>115</v>
      </c>
      <c r="AA3244" s="40" t="s">
        <v>115</v>
      </c>
      <c r="AB3244" s="40" t="s">
        <v>115</v>
      </c>
      <c r="AC3244" s="40" t="s">
        <v>115</v>
      </c>
      <c r="AI3244" s="40" t="s">
        <v>115</v>
      </c>
      <c r="AP3244" s="4" t="s">
        <v>115</v>
      </c>
    </row>
    <row r="3245" spans="1:42" x14ac:dyDescent="0.15">
      <c r="A3245" s="40" t="s">
        <v>1</v>
      </c>
      <c r="B3245" s="23">
        <v>90260420</v>
      </c>
      <c r="C3245" s="23">
        <v>2604</v>
      </c>
      <c r="D3245" s="23">
        <v>26</v>
      </c>
      <c r="F3245" s="23" t="s">
        <v>115</v>
      </c>
      <c r="G3245" s="23" t="s">
        <v>115</v>
      </c>
      <c r="H3245" s="23" t="s">
        <v>5931</v>
      </c>
      <c r="I3245" s="23">
        <v>4</v>
      </c>
      <c r="J3245" s="40">
        <v>0</v>
      </c>
      <c r="K3245" s="40">
        <v>0</v>
      </c>
      <c r="L3245" s="40" t="s">
        <v>115</v>
      </c>
      <c r="O3245" s="40" t="s">
        <v>115</v>
      </c>
      <c r="Q3245" s="40">
        <v>115</v>
      </c>
      <c r="R3245" s="40">
        <v>166</v>
      </c>
      <c r="X3245" s="40">
        <v>90260421</v>
      </c>
      <c r="Y3245" s="40" t="s">
        <v>115</v>
      </c>
      <c r="Z3245" s="40" t="s">
        <v>115</v>
      </c>
      <c r="AA3245" s="40" t="s">
        <v>115</v>
      </c>
      <c r="AB3245" s="40" t="s">
        <v>115</v>
      </c>
      <c r="AC3245" s="40" t="s">
        <v>115</v>
      </c>
      <c r="AI3245" s="40" t="s">
        <v>115</v>
      </c>
      <c r="AP3245" s="4" t="s">
        <v>115</v>
      </c>
    </row>
    <row r="3246" spans="1:42" x14ac:dyDescent="0.15">
      <c r="A3246" s="40" t="s">
        <v>1</v>
      </c>
      <c r="B3246" s="23">
        <v>90260421</v>
      </c>
      <c r="C3246" s="23">
        <v>2604</v>
      </c>
      <c r="D3246" s="23">
        <v>26</v>
      </c>
      <c r="F3246" s="23" t="s">
        <v>115</v>
      </c>
      <c r="G3246" s="23" t="s">
        <v>115</v>
      </c>
      <c r="H3246" s="23" t="s">
        <v>5932</v>
      </c>
      <c r="I3246" s="23">
        <v>4</v>
      </c>
      <c r="J3246" s="40">
        <v>0</v>
      </c>
      <c r="K3246" s="40">
        <v>0</v>
      </c>
      <c r="L3246" s="40" t="s">
        <v>115</v>
      </c>
      <c r="O3246" s="40" t="s">
        <v>115</v>
      </c>
      <c r="Q3246" s="40">
        <v>115</v>
      </c>
      <c r="R3246" s="40">
        <v>166</v>
      </c>
      <c r="X3246" s="40">
        <v>90260422</v>
      </c>
      <c r="Y3246" s="40" t="s">
        <v>115</v>
      </c>
      <c r="Z3246" s="40" t="s">
        <v>115</v>
      </c>
      <c r="AA3246" s="40" t="s">
        <v>115</v>
      </c>
      <c r="AB3246" s="40" t="s">
        <v>115</v>
      </c>
      <c r="AC3246" s="40" t="s">
        <v>115</v>
      </c>
      <c r="AI3246" s="40" t="s">
        <v>115</v>
      </c>
      <c r="AP3246" s="4" t="s">
        <v>115</v>
      </c>
    </row>
    <row r="3247" spans="1:42" x14ac:dyDescent="0.15">
      <c r="A3247" s="40" t="s">
        <v>1</v>
      </c>
      <c r="B3247" s="23">
        <v>90260422</v>
      </c>
      <c r="C3247" s="23">
        <v>2604</v>
      </c>
      <c r="D3247" s="23">
        <v>26</v>
      </c>
      <c r="F3247" s="23" t="s">
        <v>116</v>
      </c>
      <c r="G3247" s="23">
        <v>312</v>
      </c>
      <c r="H3247" s="23" t="s">
        <v>5933</v>
      </c>
      <c r="I3247" s="23">
        <v>2</v>
      </c>
      <c r="J3247" s="40">
        <v>0</v>
      </c>
      <c r="K3247" s="40">
        <v>0</v>
      </c>
      <c r="L3247" s="40" t="s">
        <v>115</v>
      </c>
      <c r="O3247" s="40" t="s">
        <v>115</v>
      </c>
      <c r="Q3247" s="40">
        <v>115</v>
      </c>
      <c r="R3247" s="40">
        <v>166</v>
      </c>
      <c r="X3247" s="40">
        <v>90260423</v>
      </c>
      <c r="Y3247" s="40" t="s">
        <v>115</v>
      </c>
      <c r="Z3247" s="40" t="s">
        <v>115</v>
      </c>
      <c r="AA3247" s="40" t="s">
        <v>115</v>
      </c>
      <c r="AB3247" s="40" t="s">
        <v>115</v>
      </c>
      <c r="AC3247" s="40" t="s">
        <v>115</v>
      </c>
      <c r="AI3247" s="40" t="s">
        <v>115</v>
      </c>
      <c r="AP3247" s="4" t="s">
        <v>115</v>
      </c>
    </row>
    <row r="3248" spans="1:42" x14ac:dyDescent="0.15">
      <c r="A3248" s="40" t="s">
        <v>1</v>
      </c>
      <c r="B3248" s="23">
        <v>90260423</v>
      </c>
      <c r="C3248" s="23">
        <v>2604</v>
      </c>
      <c r="D3248" s="23">
        <v>26</v>
      </c>
      <c r="F3248" s="23" t="s">
        <v>5834</v>
      </c>
      <c r="G3248" s="23" t="s">
        <v>115</v>
      </c>
      <c r="H3248" s="23" t="s">
        <v>5934</v>
      </c>
      <c r="I3248" s="23">
        <v>3</v>
      </c>
      <c r="J3248" s="40">
        <v>0</v>
      </c>
      <c r="K3248" s="40">
        <v>0</v>
      </c>
      <c r="L3248" s="40" t="s">
        <v>115</v>
      </c>
      <c r="O3248" s="40" t="s">
        <v>115</v>
      </c>
      <c r="Q3248" s="40">
        <v>115</v>
      </c>
      <c r="R3248" s="40">
        <v>166</v>
      </c>
      <c r="X3248" s="40">
        <v>90260424</v>
      </c>
      <c r="Y3248" s="40" t="s">
        <v>115</v>
      </c>
      <c r="Z3248" s="40" t="s">
        <v>115</v>
      </c>
      <c r="AA3248" s="40" t="s">
        <v>115</v>
      </c>
      <c r="AB3248" s="40" t="s">
        <v>115</v>
      </c>
      <c r="AC3248" s="40" t="s">
        <v>115</v>
      </c>
      <c r="AI3248" s="40" t="s">
        <v>115</v>
      </c>
      <c r="AP3248" s="4" t="s">
        <v>115</v>
      </c>
    </row>
    <row r="3249" spans="1:42" x14ac:dyDescent="0.15">
      <c r="A3249" s="40" t="s">
        <v>1</v>
      </c>
      <c r="B3249" s="23">
        <v>90260424</v>
      </c>
      <c r="C3249" s="23">
        <v>2604</v>
      </c>
      <c r="D3249" s="23">
        <v>26</v>
      </c>
      <c r="F3249" s="23" t="s">
        <v>116</v>
      </c>
      <c r="G3249" s="23">
        <v>309</v>
      </c>
      <c r="H3249" s="23" t="s">
        <v>338</v>
      </c>
      <c r="I3249" s="23">
        <v>0</v>
      </c>
      <c r="J3249" s="40">
        <v>0</v>
      </c>
      <c r="K3249" s="40">
        <v>0</v>
      </c>
      <c r="L3249" s="40" t="s">
        <v>115</v>
      </c>
      <c r="O3249" s="40" t="s">
        <v>115</v>
      </c>
      <c r="Q3249" s="40">
        <v>115</v>
      </c>
      <c r="R3249" s="40">
        <v>166</v>
      </c>
      <c r="X3249" s="40">
        <v>90260425</v>
      </c>
      <c r="Y3249" s="40" t="s">
        <v>115</v>
      </c>
      <c r="Z3249" s="40" t="s">
        <v>115</v>
      </c>
      <c r="AA3249" s="40" t="s">
        <v>115</v>
      </c>
      <c r="AB3249" s="40" t="s">
        <v>115</v>
      </c>
      <c r="AC3249" s="40" t="s">
        <v>115</v>
      </c>
      <c r="AI3249" s="40" t="s">
        <v>115</v>
      </c>
      <c r="AP3249" s="4" t="s">
        <v>115</v>
      </c>
    </row>
    <row r="3250" spans="1:42" x14ac:dyDescent="0.15">
      <c r="A3250" s="40" t="s">
        <v>1</v>
      </c>
      <c r="B3250" s="23">
        <v>90260425</v>
      </c>
      <c r="C3250" s="23">
        <v>2604</v>
      </c>
      <c r="D3250" s="23">
        <v>26</v>
      </c>
      <c r="F3250" s="23" t="s">
        <v>116</v>
      </c>
      <c r="G3250" s="23">
        <v>308</v>
      </c>
      <c r="H3250" s="23" t="s">
        <v>5935</v>
      </c>
      <c r="I3250" s="23">
        <v>2</v>
      </c>
      <c r="J3250" s="40">
        <v>0</v>
      </c>
      <c r="K3250" s="40">
        <v>0</v>
      </c>
      <c r="L3250" s="40" t="s">
        <v>115</v>
      </c>
      <c r="O3250" s="40" t="s">
        <v>115</v>
      </c>
      <c r="Q3250" s="40">
        <v>115</v>
      </c>
      <c r="R3250" s="40">
        <v>166</v>
      </c>
      <c r="X3250" s="40">
        <v>90260426</v>
      </c>
      <c r="Y3250" s="40" t="s">
        <v>115</v>
      </c>
      <c r="Z3250" s="40" t="s">
        <v>115</v>
      </c>
      <c r="AA3250" s="40" t="s">
        <v>115</v>
      </c>
      <c r="AB3250" s="40" t="s">
        <v>115</v>
      </c>
      <c r="AC3250" s="40" t="s">
        <v>115</v>
      </c>
      <c r="AI3250" s="40" t="s">
        <v>115</v>
      </c>
      <c r="AP3250" s="4" t="s">
        <v>115</v>
      </c>
    </row>
    <row r="3251" spans="1:42" x14ac:dyDescent="0.15">
      <c r="A3251" s="40" t="s">
        <v>1</v>
      </c>
      <c r="B3251" s="23">
        <v>90260426</v>
      </c>
      <c r="C3251" s="23">
        <v>2604</v>
      </c>
      <c r="D3251" s="23">
        <v>26</v>
      </c>
      <c r="F3251" s="23" t="s">
        <v>5834</v>
      </c>
      <c r="G3251" s="23" t="s">
        <v>115</v>
      </c>
      <c r="H3251" s="23" t="s">
        <v>5936</v>
      </c>
      <c r="I3251" s="23">
        <v>3</v>
      </c>
      <c r="J3251" s="40">
        <v>0</v>
      </c>
      <c r="K3251" s="40">
        <v>0</v>
      </c>
      <c r="L3251" s="40" t="s">
        <v>115</v>
      </c>
      <c r="O3251" s="40" t="s">
        <v>115</v>
      </c>
      <c r="Q3251" s="40">
        <v>115</v>
      </c>
      <c r="R3251" s="40">
        <v>166</v>
      </c>
      <c r="X3251" s="40">
        <v>90260427</v>
      </c>
      <c r="Y3251" s="40" t="s">
        <v>115</v>
      </c>
      <c r="Z3251" s="40" t="s">
        <v>115</v>
      </c>
      <c r="AA3251" s="40" t="s">
        <v>115</v>
      </c>
      <c r="AB3251" s="40" t="s">
        <v>115</v>
      </c>
      <c r="AC3251" s="40" t="s">
        <v>115</v>
      </c>
      <c r="AI3251" s="40" t="s">
        <v>115</v>
      </c>
      <c r="AP3251" s="4" t="s">
        <v>115</v>
      </c>
    </row>
    <row r="3252" spans="1:42" x14ac:dyDescent="0.15">
      <c r="A3252" s="40" t="s">
        <v>1</v>
      </c>
      <c r="B3252" s="23">
        <v>90260427</v>
      </c>
      <c r="C3252" s="23">
        <v>2604</v>
      </c>
      <c r="D3252" s="23">
        <v>26</v>
      </c>
      <c r="F3252" s="23" t="s">
        <v>115</v>
      </c>
      <c r="G3252" s="23" t="s">
        <v>115</v>
      </c>
      <c r="H3252" s="23" t="s">
        <v>5937</v>
      </c>
      <c r="I3252" s="23">
        <v>4</v>
      </c>
      <c r="J3252" s="40">
        <v>0</v>
      </c>
      <c r="K3252" s="40">
        <v>0</v>
      </c>
      <c r="L3252" s="40" t="s">
        <v>115</v>
      </c>
      <c r="O3252" s="40" t="s">
        <v>115</v>
      </c>
      <c r="Q3252" s="40">
        <v>115</v>
      </c>
      <c r="R3252" s="40">
        <v>166</v>
      </c>
      <c r="X3252" s="40">
        <v>90260428</v>
      </c>
      <c r="Y3252" s="40" t="s">
        <v>115</v>
      </c>
      <c r="Z3252" s="40" t="s">
        <v>115</v>
      </c>
      <c r="AA3252" s="40" t="s">
        <v>115</v>
      </c>
      <c r="AB3252" s="40" t="s">
        <v>115</v>
      </c>
      <c r="AC3252" s="40" t="s">
        <v>115</v>
      </c>
      <c r="AI3252" s="40" t="s">
        <v>115</v>
      </c>
      <c r="AP3252" s="4" t="s">
        <v>115</v>
      </c>
    </row>
    <row r="3253" spans="1:42" x14ac:dyDescent="0.15">
      <c r="A3253" s="40" t="s">
        <v>1</v>
      </c>
      <c r="B3253" s="23">
        <v>90260428</v>
      </c>
      <c r="C3253" s="23">
        <v>2604</v>
      </c>
      <c r="D3253" s="23">
        <v>26</v>
      </c>
      <c r="F3253" s="23" t="s">
        <v>5834</v>
      </c>
      <c r="G3253" s="23" t="s">
        <v>115</v>
      </c>
      <c r="H3253" s="23" t="s">
        <v>5938</v>
      </c>
      <c r="I3253" s="23">
        <v>3</v>
      </c>
      <c r="J3253" s="40">
        <v>0</v>
      </c>
      <c r="K3253" s="40">
        <v>0</v>
      </c>
      <c r="L3253" s="40" t="s">
        <v>115</v>
      </c>
      <c r="O3253" s="40" t="s">
        <v>115</v>
      </c>
      <c r="Q3253" s="40">
        <v>115</v>
      </c>
      <c r="R3253" s="40">
        <v>166</v>
      </c>
      <c r="X3253" s="40">
        <v>90260429</v>
      </c>
      <c r="Y3253" s="40" t="s">
        <v>115</v>
      </c>
      <c r="Z3253" s="40" t="s">
        <v>115</v>
      </c>
      <c r="AA3253" s="40" t="s">
        <v>115</v>
      </c>
      <c r="AB3253" s="40" t="s">
        <v>115</v>
      </c>
      <c r="AC3253" s="40" t="s">
        <v>115</v>
      </c>
      <c r="AI3253" s="40" t="s">
        <v>115</v>
      </c>
      <c r="AP3253" s="4" t="s">
        <v>115</v>
      </c>
    </row>
    <row r="3254" spans="1:42" x14ac:dyDescent="0.15">
      <c r="A3254" s="40" t="s">
        <v>1</v>
      </c>
      <c r="B3254" s="23">
        <v>90260429</v>
      </c>
      <c r="C3254" s="23">
        <v>2604</v>
      </c>
      <c r="D3254" s="23">
        <v>26</v>
      </c>
      <c r="F3254" s="23" t="s">
        <v>5834</v>
      </c>
      <c r="G3254" s="23" t="s">
        <v>115</v>
      </c>
      <c r="H3254" s="23" t="s">
        <v>5939</v>
      </c>
      <c r="I3254" s="23">
        <v>3</v>
      </c>
      <c r="J3254" s="40">
        <v>0</v>
      </c>
      <c r="K3254" s="40">
        <v>0</v>
      </c>
      <c r="L3254" s="40" t="s">
        <v>115</v>
      </c>
      <c r="O3254" s="40" t="s">
        <v>115</v>
      </c>
      <c r="Q3254" s="40">
        <v>115</v>
      </c>
      <c r="R3254" s="40">
        <v>166</v>
      </c>
      <c r="X3254" s="40">
        <v>90260430</v>
      </c>
      <c r="Y3254" s="40" t="s">
        <v>115</v>
      </c>
      <c r="Z3254" s="40" t="s">
        <v>115</v>
      </c>
      <c r="AA3254" s="40" t="s">
        <v>115</v>
      </c>
      <c r="AB3254" s="40" t="s">
        <v>115</v>
      </c>
      <c r="AC3254" s="40" t="s">
        <v>115</v>
      </c>
      <c r="AI3254" s="40" t="s">
        <v>115</v>
      </c>
      <c r="AP3254" s="4" t="s">
        <v>115</v>
      </c>
    </row>
    <row r="3255" spans="1:42" x14ac:dyDescent="0.15">
      <c r="A3255" s="40" t="s">
        <v>1</v>
      </c>
      <c r="B3255" s="23">
        <v>90260430</v>
      </c>
      <c r="C3255" s="23">
        <v>2604</v>
      </c>
      <c r="D3255" s="23">
        <v>26</v>
      </c>
      <c r="F3255" s="23" t="s">
        <v>115</v>
      </c>
      <c r="G3255" s="23" t="s">
        <v>115</v>
      </c>
      <c r="H3255" s="23" t="s">
        <v>5940</v>
      </c>
      <c r="I3255" s="23">
        <v>4</v>
      </c>
      <c r="J3255" s="40">
        <v>0</v>
      </c>
      <c r="K3255" s="40">
        <v>0</v>
      </c>
      <c r="L3255" s="40" t="s">
        <v>115</v>
      </c>
      <c r="O3255" s="40" t="s">
        <v>115</v>
      </c>
      <c r="Q3255" s="40">
        <v>115</v>
      </c>
      <c r="R3255" s="40">
        <v>166</v>
      </c>
      <c r="X3255" s="40">
        <v>90260431</v>
      </c>
      <c r="Y3255" s="40" t="s">
        <v>115</v>
      </c>
      <c r="Z3255" s="40" t="s">
        <v>115</v>
      </c>
      <c r="AA3255" s="40" t="s">
        <v>115</v>
      </c>
      <c r="AB3255" s="40" t="s">
        <v>115</v>
      </c>
      <c r="AC3255" s="40" t="s">
        <v>115</v>
      </c>
      <c r="AI3255" s="40" t="s">
        <v>115</v>
      </c>
      <c r="AP3255" s="4" t="s">
        <v>115</v>
      </c>
    </row>
    <row r="3256" spans="1:42" x14ac:dyDescent="0.15">
      <c r="A3256" s="40" t="s">
        <v>1</v>
      </c>
      <c r="B3256" s="23">
        <v>90260431</v>
      </c>
      <c r="C3256" s="23">
        <v>2604</v>
      </c>
      <c r="D3256" s="23">
        <v>26</v>
      </c>
      <c r="F3256" s="23" t="s">
        <v>115</v>
      </c>
      <c r="G3256" s="23" t="s">
        <v>115</v>
      </c>
      <c r="H3256" s="23" t="s">
        <v>5941</v>
      </c>
      <c r="I3256" s="23">
        <v>4</v>
      </c>
      <c r="J3256" s="40">
        <v>0</v>
      </c>
      <c r="K3256" s="40">
        <v>0</v>
      </c>
      <c r="L3256" s="40" t="s">
        <v>115</v>
      </c>
      <c r="O3256" s="40" t="s">
        <v>115</v>
      </c>
      <c r="Q3256" s="40">
        <v>115</v>
      </c>
      <c r="R3256" s="40">
        <v>166</v>
      </c>
      <c r="X3256" s="40">
        <v>90260432</v>
      </c>
      <c r="Y3256" s="40" t="s">
        <v>115</v>
      </c>
      <c r="Z3256" s="40" t="s">
        <v>115</v>
      </c>
      <c r="AA3256" s="40" t="s">
        <v>115</v>
      </c>
      <c r="AB3256" s="40" t="s">
        <v>115</v>
      </c>
      <c r="AC3256" s="40" t="s">
        <v>115</v>
      </c>
      <c r="AI3256" s="40" t="s">
        <v>115</v>
      </c>
      <c r="AP3256" s="4" t="s">
        <v>115</v>
      </c>
    </row>
    <row r="3257" spans="1:42" x14ac:dyDescent="0.15">
      <c r="A3257" s="40" t="s">
        <v>1</v>
      </c>
      <c r="B3257" s="23">
        <v>90260432</v>
      </c>
      <c r="C3257" s="23">
        <v>2604</v>
      </c>
      <c r="D3257" s="23">
        <v>26</v>
      </c>
      <c r="F3257" s="23" t="s">
        <v>116</v>
      </c>
      <c r="G3257" s="23">
        <v>313</v>
      </c>
      <c r="H3257" s="23" t="s">
        <v>5942</v>
      </c>
      <c r="I3257" s="23">
        <v>0</v>
      </c>
      <c r="J3257" s="40">
        <v>0</v>
      </c>
      <c r="K3257" s="40">
        <v>7</v>
      </c>
      <c r="L3257" s="40" t="s">
        <v>5943</v>
      </c>
      <c r="O3257" s="40" t="s">
        <v>115</v>
      </c>
      <c r="Q3257" s="40">
        <v>115</v>
      </c>
      <c r="R3257" s="40">
        <v>166</v>
      </c>
      <c r="X3257" s="40">
        <v>90260433</v>
      </c>
      <c r="Y3257" s="40" t="s">
        <v>115</v>
      </c>
      <c r="Z3257" s="40">
        <v>6</v>
      </c>
      <c r="AA3257" s="40" t="s">
        <v>115</v>
      </c>
      <c r="AB3257" s="40" t="s">
        <v>115</v>
      </c>
      <c r="AC3257" s="40" t="s">
        <v>115</v>
      </c>
      <c r="AI3257" s="40" t="s">
        <v>115</v>
      </c>
      <c r="AP3257" s="4" t="s">
        <v>115</v>
      </c>
    </row>
    <row r="3258" spans="1:42" x14ac:dyDescent="0.15">
      <c r="A3258" s="40" t="s">
        <v>1</v>
      </c>
      <c r="B3258" s="23">
        <v>90260433</v>
      </c>
      <c r="C3258" s="23">
        <v>2604</v>
      </c>
      <c r="D3258" s="23">
        <v>26</v>
      </c>
      <c r="F3258" s="23" t="s">
        <v>5834</v>
      </c>
      <c r="G3258" s="23" t="s">
        <v>115</v>
      </c>
      <c r="H3258" s="23" t="s">
        <v>5944</v>
      </c>
      <c r="I3258" s="23">
        <v>3</v>
      </c>
      <c r="J3258" s="40">
        <v>0</v>
      </c>
      <c r="K3258" s="40">
        <v>0</v>
      </c>
      <c r="L3258" s="40" t="s">
        <v>115</v>
      </c>
      <c r="O3258" s="40" t="s">
        <v>115</v>
      </c>
      <c r="Q3258" s="40">
        <v>115</v>
      </c>
      <c r="R3258" s="40">
        <v>166</v>
      </c>
      <c r="X3258" s="40">
        <v>90260434</v>
      </c>
      <c r="Y3258" s="40" t="s">
        <v>115</v>
      </c>
      <c r="Z3258" s="40" t="s">
        <v>115</v>
      </c>
      <c r="AA3258" s="40" t="s">
        <v>115</v>
      </c>
      <c r="AB3258" s="40" t="s">
        <v>115</v>
      </c>
      <c r="AC3258" s="40" t="s">
        <v>115</v>
      </c>
      <c r="AI3258" s="40" t="s">
        <v>115</v>
      </c>
      <c r="AP3258" s="4" t="s">
        <v>115</v>
      </c>
    </row>
    <row r="3259" spans="1:42" x14ac:dyDescent="0.15">
      <c r="A3259" s="40" t="s">
        <v>1</v>
      </c>
      <c r="B3259" s="23">
        <v>90260434</v>
      </c>
      <c r="C3259" s="23">
        <v>2604</v>
      </c>
      <c r="D3259" s="23">
        <v>26</v>
      </c>
      <c r="F3259" s="23" t="s">
        <v>116</v>
      </c>
      <c r="G3259" s="23">
        <v>309</v>
      </c>
      <c r="H3259" s="23" t="s">
        <v>338</v>
      </c>
      <c r="I3259" s="23">
        <v>0</v>
      </c>
      <c r="J3259" s="40">
        <v>0</v>
      </c>
      <c r="K3259" s="40">
        <v>0</v>
      </c>
      <c r="L3259" s="40" t="s">
        <v>115</v>
      </c>
      <c r="O3259" s="40" t="s">
        <v>115</v>
      </c>
      <c r="Q3259" s="40">
        <v>115</v>
      </c>
      <c r="R3259" s="40">
        <v>166</v>
      </c>
      <c r="X3259" s="40">
        <v>90260435</v>
      </c>
      <c r="Y3259" s="40" t="s">
        <v>115</v>
      </c>
      <c r="Z3259" s="40" t="s">
        <v>115</v>
      </c>
      <c r="AA3259" s="40" t="s">
        <v>115</v>
      </c>
      <c r="AB3259" s="40" t="s">
        <v>115</v>
      </c>
      <c r="AC3259" s="40" t="s">
        <v>115</v>
      </c>
      <c r="AI3259" s="40" t="s">
        <v>115</v>
      </c>
      <c r="AP3259" s="4" t="s">
        <v>115</v>
      </c>
    </row>
    <row r="3260" spans="1:42" x14ac:dyDescent="0.15">
      <c r="A3260" s="40" t="s">
        <v>1</v>
      </c>
      <c r="B3260" s="23">
        <v>90260435</v>
      </c>
      <c r="C3260" s="23">
        <v>2604</v>
      </c>
      <c r="D3260" s="23">
        <v>26</v>
      </c>
      <c r="F3260" s="23" t="s">
        <v>116</v>
      </c>
      <c r="G3260" s="23">
        <v>309</v>
      </c>
      <c r="H3260" s="23" t="s">
        <v>5945</v>
      </c>
      <c r="I3260" s="23">
        <v>0</v>
      </c>
      <c r="J3260" s="40">
        <v>0</v>
      </c>
      <c r="K3260" s="40">
        <v>8</v>
      </c>
      <c r="L3260" s="40" t="s">
        <v>115</v>
      </c>
      <c r="O3260" s="40">
        <v>1</v>
      </c>
      <c r="Q3260" s="40">
        <v>115</v>
      </c>
      <c r="R3260" s="40">
        <v>166</v>
      </c>
      <c r="X3260" s="40" t="s">
        <v>115</v>
      </c>
      <c r="Y3260" s="40" t="s">
        <v>115</v>
      </c>
      <c r="Z3260" s="40">
        <v>7</v>
      </c>
      <c r="AA3260" s="40" t="s">
        <v>115</v>
      </c>
      <c r="AB3260" s="40" t="s">
        <v>115</v>
      </c>
      <c r="AC3260" s="40" t="s">
        <v>115</v>
      </c>
      <c r="AI3260" s="40" t="s">
        <v>115</v>
      </c>
      <c r="AP3260" s="4" t="s">
        <v>5946</v>
      </c>
    </row>
    <row r="3261" spans="1:42" x14ac:dyDescent="0.15">
      <c r="A3261" s="40" t="s">
        <v>1</v>
      </c>
      <c r="B3261" s="23" t="s">
        <v>4894</v>
      </c>
      <c r="C3261" s="23">
        <v>2605</v>
      </c>
      <c r="D3261" s="23">
        <v>26</v>
      </c>
      <c r="F3261" s="23" t="s">
        <v>115</v>
      </c>
      <c r="G3261" s="23" t="s">
        <v>115</v>
      </c>
      <c r="H3261" s="23" t="s">
        <v>5947</v>
      </c>
      <c r="I3261" s="23">
        <v>4</v>
      </c>
      <c r="J3261" s="40">
        <v>1</v>
      </c>
      <c r="K3261" s="40">
        <v>1</v>
      </c>
      <c r="L3261" s="40" t="s">
        <v>115</v>
      </c>
      <c r="O3261" s="40" t="s">
        <v>115</v>
      </c>
      <c r="Q3261" s="40">
        <v>197</v>
      </c>
      <c r="R3261" s="40" t="s">
        <v>115</v>
      </c>
      <c r="X3261" s="40">
        <v>90260502</v>
      </c>
      <c r="Y3261" s="40" t="s">
        <v>115</v>
      </c>
      <c r="Z3261" s="40" t="s">
        <v>115</v>
      </c>
      <c r="AA3261" s="40" t="s">
        <v>115</v>
      </c>
      <c r="AB3261" s="40" t="s">
        <v>115</v>
      </c>
      <c r="AC3261" s="40" t="s">
        <v>115</v>
      </c>
      <c r="AI3261" s="40" t="s">
        <v>115</v>
      </c>
      <c r="AP3261" s="4" t="s">
        <v>115</v>
      </c>
    </row>
    <row r="3262" spans="1:42" x14ac:dyDescent="0.15">
      <c r="A3262" s="40" t="s">
        <v>1</v>
      </c>
      <c r="B3262" s="23">
        <v>90260502</v>
      </c>
      <c r="C3262" s="23">
        <v>2605</v>
      </c>
      <c r="D3262" s="23">
        <v>26</v>
      </c>
      <c r="F3262" s="23" t="s">
        <v>115</v>
      </c>
      <c r="G3262" s="23" t="s">
        <v>115</v>
      </c>
      <c r="H3262" s="23" t="s">
        <v>5948</v>
      </c>
      <c r="I3262" s="23">
        <v>4</v>
      </c>
      <c r="J3262" s="40">
        <v>0</v>
      </c>
      <c r="K3262" s="40">
        <v>0</v>
      </c>
      <c r="L3262" s="40" t="s">
        <v>115</v>
      </c>
      <c r="O3262" s="40" t="s">
        <v>115</v>
      </c>
      <c r="Q3262" s="40">
        <v>197</v>
      </c>
      <c r="R3262" s="40" t="s">
        <v>115</v>
      </c>
      <c r="X3262" s="40">
        <v>90260503</v>
      </c>
      <c r="Y3262" s="40" t="s">
        <v>115</v>
      </c>
      <c r="Z3262" s="40" t="s">
        <v>115</v>
      </c>
      <c r="AA3262" s="40" t="s">
        <v>115</v>
      </c>
      <c r="AB3262" s="40" t="s">
        <v>115</v>
      </c>
      <c r="AC3262" s="40" t="s">
        <v>115</v>
      </c>
      <c r="AI3262" s="40" t="s">
        <v>115</v>
      </c>
      <c r="AP3262" s="4" t="s">
        <v>115</v>
      </c>
    </row>
    <row r="3263" spans="1:42" x14ac:dyDescent="0.15">
      <c r="A3263" s="40" t="s">
        <v>1</v>
      </c>
      <c r="B3263" s="23">
        <v>90260503</v>
      </c>
      <c r="C3263" s="23">
        <v>2605</v>
      </c>
      <c r="D3263" s="23">
        <v>26</v>
      </c>
      <c r="F3263" s="23" t="s">
        <v>5949</v>
      </c>
      <c r="G3263" s="23" t="s">
        <v>115</v>
      </c>
      <c r="H3263" s="23" t="s">
        <v>5950</v>
      </c>
      <c r="I3263" s="23">
        <v>3</v>
      </c>
      <c r="J3263" s="40">
        <v>0</v>
      </c>
      <c r="K3263" s="40">
        <v>0</v>
      </c>
      <c r="L3263" s="40" t="s">
        <v>115</v>
      </c>
      <c r="O3263" s="40" t="s">
        <v>115</v>
      </c>
      <c r="Q3263" s="40">
        <v>197</v>
      </c>
      <c r="R3263" s="40">
        <v>306</v>
      </c>
      <c r="X3263" s="40">
        <v>90260504</v>
      </c>
      <c r="Y3263" s="40" t="s">
        <v>115</v>
      </c>
      <c r="Z3263" s="40" t="s">
        <v>115</v>
      </c>
      <c r="AA3263" s="40" t="s">
        <v>115</v>
      </c>
      <c r="AB3263" s="40" t="s">
        <v>115</v>
      </c>
      <c r="AC3263" s="40" t="s">
        <v>115</v>
      </c>
      <c r="AI3263" s="40" t="s">
        <v>115</v>
      </c>
      <c r="AP3263" s="4" t="s">
        <v>115</v>
      </c>
    </row>
    <row r="3264" spans="1:42" x14ac:dyDescent="0.15">
      <c r="A3264" s="40" t="s">
        <v>1</v>
      </c>
      <c r="B3264" s="23">
        <v>90260504</v>
      </c>
      <c r="C3264" s="23">
        <v>2605</v>
      </c>
      <c r="D3264" s="23">
        <v>26</v>
      </c>
      <c r="F3264" s="23" t="s">
        <v>116</v>
      </c>
      <c r="G3264" s="23">
        <v>312</v>
      </c>
      <c r="H3264" s="23" t="s">
        <v>5951</v>
      </c>
      <c r="I3264" s="23">
        <v>0</v>
      </c>
      <c r="J3264" s="40">
        <v>0</v>
      </c>
      <c r="K3264" s="40">
        <v>0</v>
      </c>
      <c r="L3264" s="40" t="s">
        <v>115</v>
      </c>
      <c r="O3264" s="40" t="s">
        <v>115</v>
      </c>
      <c r="Q3264" s="40">
        <v>197</v>
      </c>
      <c r="R3264" s="40">
        <v>306</v>
      </c>
      <c r="X3264" s="40">
        <v>90260505</v>
      </c>
      <c r="Y3264" s="40" t="s">
        <v>115</v>
      </c>
      <c r="Z3264" s="40" t="s">
        <v>115</v>
      </c>
      <c r="AA3264" s="40" t="s">
        <v>115</v>
      </c>
      <c r="AB3264" s="40" t="s">
        <v>115</v>
      </c>
      <c r="AC3264" s="40" t="s">
        <v>115</v>
      </c>
      <c r="AI3264" s="40" t="s">
        <v>115</v>
      </c>
      <c r="AP3264" s="4" t="s">
        <v>115</v>
      </c>
    </row>
    <row r="3265" spans="1:42" x14ac:dyDescent="0.15">
      <c r="A3265" s="40" t="s">
        <v>1</v>
      </c>
      <c r="B3265" s="23">
        <v>90260505</v>
      </c>
      <c r="C3265" s="23">
        <v>2605</v>
      </c>
      <c r="D3265" s="23">
        <v>26</v>
      </c>
      <c r="F3265" s="23" t="s">
        <v>5949</v>
      </c>
      <c r="G3265" s="23" t="s">
        <v>115</v>
      </c>
      <c r="H3265" s="23" t="s">
        <v>5952</v>
      </c>
      <c r="I3265" s="23">
        <v>3</v>
      </c>
      <c r="J3265" s="40">
        <v>0</v>
      </c>
      <c r="K3265" s="40">
        <v>0</v>
      </c>
      <c r="L3265" s="40" t="s">
        <v>115</v>
      </c>
      <c r="O3265" s="40" t="s">
        <v>115</v>
      </c>
      <c r="Q3265" s="40">
        <v>197</v>
      </c>
      <c r="R3265" s="40">
        <v>306</v>
      </c>
      <c r="X3265" s="40">
        <v>90260506</v>
      </c>
      <c r="Y3265" s="40" t="s">
        <v>115</v>
      </c>
      <c r="Z3265" s="40" t="s">
        <v>115</v>
      </c>
      <c r="AA3265" s="40" t="s">
        <v>115</v>
      </c>
      <c r="AB3265" s="40" t="s">
        <v>115</v>
      </c>
      <c r="AC3265" s="40" t="s">
        <v>115</v>
      </c>
      <c r="AI3265" s="40" t="s">
        <v>115</v>
      </c>
      <c r="AP3265" s="4" t="s">
        <v>115</v>
      </c>
    </row>
    <row r="3266" spans="1:42" x14ac:dyDescent="0.15">
      <c r="A3266" s="40" t="s">
        <v>1</v>
      </c>
      <c r="B3266" s="23">
        <v>90260506</v>
      </c>
      <c r="C3266" s="23">
        <v>2605</v>
      </c>
      <c r="D3266" s="23">
        <v>26</v>
      </c>
      <c r="F3266" s="23" t="s">
        <v>116</v>
      </c>
      <c r="G3266" s="23">
        <v>314</v>
      </c>
      <c r="H3266" s="23" t="s">
        <v>5953</v>
      </c>
      <c r="I3266" s="23">
        <v>0</v>
      </c>
      <c r="J3266" s="40">
        <v>0</v>
      </c>
      <c r="K3266" s="40">
        <v>0</v>
      </c>
      <c r="L3266" s="40" t="s">
        <v>115</v>
      </c>
      <c r="O3266" s="40" t="s">
        <v>115</v>
      </c>
      <c r="Q3266" s="40">
        <v>197</v>
      </c>
      <c r="R3266" s="40">
        <v>306</v>
      </c>
      <c r="X3266" s="40">
        <v>90260507</v>
      </c>
      <c r="Y3266" s="40" t="s">
        <v>115</v>
      </c>
      <c r="Z3266" s="40" t="s">
        <v>115</v>
      </c>
      <c r="AA3266" s="40" t="s">
        <v>115</v>
      </c>
      <c r="AB3266" s="40" t="s">
        <v>115</v>
      </c>
      <c r="AC3266" s="40" t="s">
        <v>115</v>
      </c>
      <c r="AI3266" s="40" t="s">
        <v>115</v>
      </c>
      <c r="AP3266" s="4" t="s">
        <v>115</v>
      </c>
    </row>
    <row r="3267" spans="1:42" x14ac:dyDescent="0.15">
      <c r="A3267" s="40" t="s">
        <v>1</v>
      </c>
      <c r="B3267" s="23">
        <v>90260507</v>
      </c>
      <c r="C3267" s="23">
        <v>2605</v>
      </c>
      <c r="D3267" s="23">
        <v>26</v>
      </c>
      <c r="F3267" s="23" t="s">
        <v>5949</v>
      </c>
      <c r="G3267" s="23" t="s">
        <v>115</v>
      </c>
      <c r="H3267" s="23" t="s">
        <v>5954</v>
      </c>
      <c r="I3267" s="23">
        <v>3</v>
      </c>
      <c r="J3267" s="40">
        <v>0</v>
      </c>
      <c r="K3267" s="40">
        <v>0</v>
      </c>
      <c r="L3267" s="40" t="s">
        <v>115</v>
      </c>
      <c r="O3267" s="40" t="s">
        <v>115</v>
      </c>
      <c r="Q3267" s="40">
        <v>197</v>
      </c>
      <c r="R3267" s="40">
        <v>306</v>
      </c>
      <c r="X3267" s="40">
        <v>90260508</v>
      </c>
      <c r="Y3267" s="40" t="s">
        <v>115</v>
      </c>
      <c r="Z3267" s="40" t="s">
        <v>115</v>
      </c>
      <c r="AA3267" s="40" t="s">
        <v>115</v>
      </c>
      <c r="AB3267" s="40" t="s">
        <v>115</v>
      </c>
      <c r="AC3267" s="40" t="s">
        <v>115</v>
      </c>
      <c r="AI3267" s="40" t="s">
        <v>115</v>
      </c>
      <c r="AP3267" s="4" t="s">
        <v>115</v>
      </c>
    </row>
    <row r="3268" spans="1:42" x14ac:dyDescent="0.15">
      <c r="A3268" s="40" t="s">
        <v>1</v>
      </c>
      <c r="B3268" s="23">
        <v>90260508</v>
      </c>
      <c r="C3268" s="23">
        <v>2605</v>
      </c>
      <c r="D3268" s="23">
        <v>26</v>
      </c>
      <c r="F3268" s="23" t="s">
        <v>115</v>
      </c>
      <c r="G3268" s="23" t="s">
        <v>115</v>
      </c>
      <c r="H3268" s="23" t="s">
        <v>5955</v>
      </c>
      <c r="I3268" s="23">
        <v>4</v>
      </c>
      <c r="J3268" s="40">
        <v>0</v>
      </c>
      <c r="K3268" s="40">
        <v>2</v>
      </c>
      <c r="L3268" s="40" t="s">
        <v>115</v>
      </c>
      <c r="O3268" s="40" t="s">
        <v>115</v>
      </c>
      <c r="Q3268" s="40">
        <v>197</v>
      </c>
      <c r="R3268" s="40">
        <v>306</v>
      </c>
      <c r="X3268" s="40" t="s">
        <v>5956</v>
      </c>
      <c r="Y3268" s="40">
        <v>1</v>
      </c>
      <c r="Z3268" s="40">
        <v>1</v>
      </c>
      <c r="AA3268" s="40" t="s">
        <v>115</v>
      </c>
      <c r="AB3268" s="40" t="s">
        <v>115</v>
      </c>
      <c r="AC3268" s="40" t="s">
        <v>115</v>
      </c>
      <c r="AI3268" s="40" t="s">
        <v>115</v>
      </c>
      <c r="AP3268" s="4" t="s">
        <v>115</v>
      </c>
    </row>
    <row r="3269" spans="1:42" x14ac:dyDescent="0.15">
      <c r="A3269" s="40" t="s">
        <v>1</v>
      </c>
      <c r="B3269" s="23">
        <v>90260509</v>
      </c>
      <c r="C3269" s="23">
        <v>2605</v>
      </c>
      <c r="D3269" s="23">
        <v>26</v>
      </c>
      <c r="F3269" s="23" t="s">
        <v>115</v>
      </c>
      <c r="G3269" s="23" t="s">
        <v>115</v>
      </c>
      <c r="H3269" s="23" t="s">
        <v>5957</v>
      </c>
      <c r="I3269" s="23">
        <v>4</v>
      </c>
      <c r="J3269" s="40">
        <v>0</v>
      </c>
      <c r="K3269" s="40">
        <v>3</v>
      </c>
      <c r="L3269" s="40" t="s">
        <v>115</v>
      </c>
      <c r="O3269" s="40" t="s">
        <v>115</v>
      </c>
      <c r="Q3269" s="40">
        <v>197</v>
      </c>
      <c r="R3269" s="40">
        <v>306</v>
      </c>
      <c r="X3269" s="40">
        <v>90260511</v>
      </c>
      <c r="Y3269" s="40">
        <v>-1</v>
      </c>
      <c r="Z3269" s="40">
        <v>2</v>
      </c>
      <c r="AA3269" s="40" t="s">
        <v>115</v>
      </c>
      <c r="AB3269" s="40" t="s">
        <v>115</v>
      </c>
      <c r="AC3269" s="40" t="s">
        <v>5958</v>
      </c>
      <c r="AI3269" s="40" t="s">
        <v>115</v>
      </c>
      <c r="AP3269" s="4" t="s">
        <v>115</v>
      </c>
    </row>
    <row r="3270" spans="1:42" x14ac:dyDescent="0.15">
      <c r="A3270" s="40" t="s">
        <v>1</v>
      </c>
      <c r="B3270" s="23">
        <v>90260510</v>
      </c>
      <c r="C3270" s="23">
        <v>2605</v>
      </c>
      <c r="D3270" s="23">
        <v>26</v>
      </c>
      <c r="F3270" s="23" t="s">
        <v>115</v>
      </c>
      <c r="G3270" s="23" t="s">
        <v>115</v>
      </c>
      <c r="H3270" s="23" t="s">
        <v>5959</v>
      </c>
      <c r="I3270" s="23">
        <v>4</v>
      </c>
      <c r="J3270" s="40">
        <v>0</v>
      </c>
      <c r="K3270" s="40">
        <v>4</v>
      </c>
      <c r="L3270" s="40" t="s">
        <v>115</v>
      </c>
      <c r="O3270" s="40" t="s">
        <v>115</v>
      </c>
      <c r="Q3270" s="40">
        <v>197</v>
      </c>
      <c r="R3270" s="40">
        <v>306</v>
      </c>
      <c r="X3270" s="40">
        <v>90260513</v>
      </c>
      <c r="Y3270" s="40">
        <v>-1</v>
      </c>
      <c r="Z3270" s="40">
        <v>2</v>
      </c>
      <c r="AA3270" s="40" t="s">
        <v>3590</v>
      </c>
      <c r="AB3270" s="40" t="s">
        <v>115</v>
      </c>
      <c r="AC3270" s="40" t="s">
        <v>115</v>
      </c>
      <c r="AI3270" s="40" t="s">
        <v>115</v>
      </c>
      <c r="AP3270" s="4" t="s">
        <v>115</v>
      </c>
    </row>
    <row r="3271" spans="1:42" x14ac:dyDescent="0.15">
      <c r="A3271" s="40" t="s">
        <v>1</v>
      </c>
      <c r="B3271" s="23">
        <v>90260511</v>
      </c>
      <c r="C3271" s="23">
        <v>2605</v>
      </c>
      <c r="D3271" s="23">
        <v>26</v>
      </c>
      <c r="F3271" s="23" t="s">
        <v>5949</v>
      </c>
      <c r="G3271" s="23" t="s">
        <v>115</v>
      </c>
      <c r="H3271" s="23" t="s">
        <v>5960</v>
      </c>
      <c r="I3271" s="23">
        <v>3</v>
      </c>
      <c r="J3271" s="40">
        <v>0</v>
      </c>
      <c r="K3271" s="40">
        <v>0</v>
      </c>
      <c r="L3271" s="40" t="s">
        <v>115</v>
      </c>
      <c r="O3271" s="40" t="s">
        <v>115</v>
      </c>
      <c r="Q3271" s="40">
        <v>197</v>
      </c>
      <c r="R3271" s="40">
        <v>306</v>
      </c>
      <c r="X3271" s="40">
        <v>90260512</v>
      </c>
      <c r="Y3271" s="40" t="s">
        <v>115</v>
      </c>
      <c r="Z3271" s="40" t="s">
        <v>115</v>
      </c>
      <c r="AA3271" s="40" t="s">
        <v>115</v>
      </c>
      <c r="AB3271" s="40" t="s">
        <v>115</v>
      </c>
      <c r="AC3271" s="40" t="s">
        <v>115</v>
      </c>
      <c r="AI3271" s="40" t="s">
        <v>115</v>
      </c>
      <c r="AP3271" s="4" t="s">
        <v>115</v>
      </c>
    </row>
    <row r="3272" spans="1:42" x14ac:dyDescent="0.15">
      <c r="A3272" s="40" t="s">
        <v>1</v>
      </c>
      <c r="B3272" s="23">
        <v>90260512</v>
      </c>
      <c r="C3272" s="23">
        <v>2605</v>
      </c>
      <c r="D3272" s="23">
        <v>26</v>
      </c>
      <c r="F3272" s="23" t="s">
        <v>5949</v>
      </c>
      <c r="G3272" s="23" t="s">
        <v>115</v>
      </c>
      <c r="H3272" s="23" t="s">
        <v>5961</v>
      </c>
      <c r="I3272" s="23">
        <v>3</v>
      </c>
      <c r="J3272" s="40">
        <v>0</v>
      </c>
      <c r="K3272" s="40">
        <v>0</v>
      </c>
      <c r="L3272" s="40" t="s">
        <v>115</v>
      </c>
      <c r="O3272" s="40" t="s">
        <v>115</v>
      </c>
      <c r="Q3272" s="40">
        <v>197</v>
      </c>
      <c r="R3272" s="40">
        <v>306</v>
      </c>
      <c r="X3272" s="40">
        <v>90260515</v>
      </c>
      <c r="Y3272" s="40" t="s">
        <v>115</v>
      </c>
      <c r="Z3272" s="40" t="s">
        <v>115</v>
      </c>
      <c r="AA3272" s="40" t="s">
        <v>115</v>
      </c>
      <c r="AB3272" s="40" t="s">
        <v>115</v>
      </c>
      <c r="AC3272" s="40" t="s">
        <v>115</v>
      </c>
      <c r="AI3272" s="40" t="s">
        <v>115</v>
      </c>
      <c r="AP3272" s="4" t="s">
        <v>115</v>
      </c>
    </row>
    <row r="3273" spans="1:42" x14ac:dyDescent="0.15">
      <c r="A3273" s="40" t="s">
        <v>1</v>
      </c>
      <c r="B3273" s="23">
        <v>90260513</v>
      </c>
      <c r="C3273" s="23">
        <v>2605</v>
      </c>
      <c r="D3273" s="23">
        <v>26</v>
      </c>
      <c r="F3273" s="23" t="s">
        <v>5949</v>
      </c>
      <c r="G3273" s="23" t="s">
        <v>115</v>
      </c>
      <c r="H3273" s="23" t="s">
        <v>5962</v>
      </c>
      <c r="I3273" s="23">
        <v>3</v>
      </c>
      <c r="J3273" s="40">
        <v>0</v>
      </c>
      <c r="K3273" s="40">
        <v>0</v>
      </c>
      <c r="L3273" s="40" t="s">
        <v>115</v>
      </c>
      <c r="O3273" s="40" t="s">
        <v>115</v>
      </c>
      <c r="Q3273" s="40">
        <v>197</v>
      </c>
      <c r="R3273" s="40">
        <v>306</v>
      </c>
      <c r="X3273" s="40">
        <v>90260514</v>
      </c>
      <c r="Y3273" s="40" t="s">
        <v>115</v>
      </c>
      <c r="Z3273" s="40" t="s">
        <v>115</v>
      </c>
      <c r="AA3273" s="40" t="s">
        <v>115</v>
      </c>
      <c r="AB3273" s="40" t="s">
        <v>115</v>
      </c>
      <c r="AC3273" s="40" t="s">
        <v>115</v>
      </c>
      <c r="AI3273" s="40" t="s">
        <v>115</v>
      </c>
      <c r="AP3273" s="4" t="s">
        <v>115</v>
      </c>
    </row>
    <row r="3274" spans="1:42" x14ac:dyDescent="0.15">
      <c r="A3274" s="40" t="s">
        <v>1</v>
      </c>
      <c r="B3274" s="23">
        <v>90260514</v>
      </c>
      <c r="C3274" s="23">
        <v>2605</v>
      </c>
      <c r="D3274" s="23">
        <v>26</v>
      </c>
      <c r="F3274" s="23" t="s">
        <v>5949</v>
      </c>
      <c r="G3274" s="23" t="s">
        <v>115</v>
      </c>
      <c r="H3274" s="23" t="s">
        <v>5963</v>
      </c>
      <c r="I3274" s="23">
        <v>3</v>
      </c>
      <c r="J3274" s="40">
        <v>0</v>
      </c>
      <c r="K3274" s="40">
        <v>0</v>
      </c>
      <c r="L3274" s="40" t="s">
        <v>115</v>
      </c>
      <c r="O3274" s="40" t="s">
        <v>115</v>
      </c>
      <c r="Q3274" s="40">
        <v>197</v>
      </c>
      <c r="R3274" s="40">
        <v>306</v>
      </c>
      <c r="X3274" s="40">
        <v>90260515</v>
      </c>
      <c r="Y3274" s="40" t="s">
        <v>115</v>
      </c>
      <c r="Z3274" s="40" t="s">
        <v>115</v>
      </c>
      <c r="AA3274" s="40" t="s">
        <v>115</v>
      </c>
      <c r="AB3274" s="40" t="s">
        <v>115</v>
      </c>
      <c r="AC3274" s="40" t="s">
        <v>115</v>
      </c>
      <c r="AI3274" s="40" t="s">
        <v>115</v>
      </c>
      <c r="AP3274" s="4" t="s">
        <v>115</v>
      </c>
    </row>
    <row r="3275" spans="1:42" x14ac:dyDescent="0.15">
      <c r="A3275" s="40" t="s">
        <v>1</v>
      </c>
      <c r="B3275" s="23">
        <v>90260515</v>
      </c>
      <c r="C3275" s="23">
        <v>2605</v>
      </c>
      <c r="D3275" s="23">
        <v>26</v>
      </c>
      <c r="F3275" s="23" t="s">
        <v>5949</v>
      </c>
      <c r="G3275" s="23" t="s">
        <v>115</v>
      </c>
      <c r="H3275" s="23" t="s">
        <v>5964</v>
      </c>
      <c r="I3275" s="23">
        <v>3</v>
      </c>
      <c r="J3275" s="40">
        <v>0</v>
      </c>
      <c r="K3275" s="40">
        <v>0</v>
      </c>
      <c r="L3275" s="40" t="s">
        <v>115</v>
      </c>
      <c r="O3275" s="40" t="s">
        <v>115</v>
      </c>
      <c r="Q3275" s="40">
        <v>197</v>
      </c>
      <c r="R3275" s="40">
        <v>306</v>
      </c>
      <c r="X3275" s="40">
        <v>90260516</v>
      </c>
      <c r="Y3275" s="40" t="s">
        <v>115</v>
      </c>
      <c r="Z3275" s="40" t="s">
        <v>115</v>
      </c>
      <c r="AA3275" s="40" t="s">
        <v>115</v>
      </c>
      <c r="AB3275" s="40" t="s">
        <v>115</v>
      </c>
      <c r="AC3275" s="40" t="s">
        <v>115</v>
      </c>
      <c r="AI3275" s="40" t="s">
        <v>115</v>
      </c>
      <c r="AP3275" s="4" t="s">
        <v>115</v>
      </c>
    </row>
    <row r="3276" spans="1:42" x14ac:dyDescent="0.15">
      <c r="A3276" s="40" t="s">
        <v>1</v>
      </c>
      <c r="B3276" s="23">
        <v>90260516</v>
      </c>
      <c r="C3276" s="23">
        <v>2605</v>
      </c>
      <c r="D3276" s="23">
        <v>26</v>
      </c>
      <c r="F3276" s="23" t="s">
        <v>5949</v>
      </c>
      <c r="G3276" s="23" t="s">
        <v>115</v>
      </c>
      <c r="H3276" s="23" t="s">
        <v>5965</v>
      </c>
      <c r="I3276" s="23">
        <v>3</v>
      </c>
      <c r="J3276" s="40">
        <v>0</v>
      </c>
      <c r="K3276" s="40">
        <v>0</v>
      </c>
      <c r="L3276" s="40" t="s">
        <v>115</v>
      </c>
      <c r="O3276" s="40" t="s">
        <v>115</v>
      </c>
      <c r="Q3276" s="40">
        <v>197</v>
      </c>
      <c r="R3276" s="40">
        <v>306</v>
      </c>
      <c r="X3276" s="40">
        <v>90260517</v>
      </c>
      <c r="Y3276" s="40" t="s">
        <v>115</v>
      </c>
      <c r="Z3276" s="40" t="s">
        <v>115</v>
      </c>
      <c r="AA3276" s="40" t="s">
        <v>115</v>
      </c>
      <c r="AB3276" s="40" t="s">
        <v>115</v>
      </c>
      <c r="AC3276" s="40" t="s">
        <v>115</v>
      </c>
      <c r="AI3276" s="40" t="s">
        <v>115</v>
      </c>
      <c r="AP3276" s="4" t="s">
        <v>115</v>
      </c>
    </row>
    <row r="3277" spans="1:42" x14ac:dyDescent="0.15">
      <c r="A3277" s="40" t="s">
        <v>1</v>
      </c>
      <c r="B3277" s="23">
        <v>90260517</v>
      </c>
      <c r="C3277" s="23">
        <v>2605</v>
      </c>
      <c r="D3277" s="23">
        <v>26</v>
      </c>
      <c r="F3277" s="23" t="s">
        <v>116</v>
      </c>
      <c r="G3277" s="23">
        <v>314</v>
      </c>
      <c r="H3277" s="23" t="s">
        <v>5966</v>
      </c>
      <c r="I3277" s="23">
        <v>0</v>
      </c>
      <c r="J3277" s="40">
        <v>0</v>
      </c>
      <c r="K3277" s="40">
        <v>0</v>
      </c>
      <c r="L3277" s="40" t="s">
        <v>115</v>
      </c>
      <c r="O3277" s="40" t="s">
        <v>115</v>
      </c>
      <c r="Q3277" s="40">
        <v>197</v>
      </c>
      <c r="R3277" s="40">
        <v>306</v>
      </c>
      <c r="X3277" s="40">
        <v>90260518</v>
      </c>
      <c r="Y3277" s="40" t="s">
        <v>115</v>
      </c>
      <c r="Z3277" s="40" t="s">
        <v>115</v>
      </c>
      <c r="AA3277" s="40" t="s">
        <v>115</v>
      </c>
      <c r="AB3277" s="40" t="s">
        <v>115</v>
      </c>
      <c r="AC3277" s="40" t="s">
        <v>115</v>
      </c>
      <c r="AI3277" s="40" t="s">
        <v>115</v>
      </c>
      <c r="AP3277" s="4" t="s">
        <v>115</v>
      </c>
    </row>
    <row r="3278" spans="1:42" x14ac:dyDescent="0.15">
      <c r="A3278" s="40" t="s">
        <v>1</v>
      </c>
      <c r="B3278" s="23">
        <v>90260518</v>
      </c>
      <c r="C3278" s="23">
        <v>2605</v>
      </c>
      <c r="D3278" s="23">
        <v>26</v>
      </c>
      <c r="F3278" s="23" t="s">
        <v>5949</v>
      </c>
      <c r="G3278" s="23" t="s">
        <v>115</v>
      </c>
      <c r="H3278" s="23" t="s">
        <v>5967</v>
      </c>
      <c r="I3278" s="23">
        <v>3</v>
      </c>
      <c r="J3278" s="40">
        <v>0</v>
      </c>
      <c r="K3278" s="40">
        <v>0</v>
      </c>
      <c r="L3278" s="40" t="s">
        <v>115</v>
      </c>
      <c r="O3278" s="40" t="s">
        <v>115</v>
      </c>
      <c r="Q3278" s="40">
        <v>197</v>
      </c>
      <c r="R3278" s="40">
        <v>306</v>
      </c>
      <c r="X3278" s="40">
        <v>90260519</v>
      </c>
      <c r="Y3278" s="40" t="s">
        <v>115</v>
      </c>
      <c r="Z3278" s="40" t="s">
        <v>115</v>
      </c>
      <c r="AA3278" s="40" t="s">
        <v>115</v>
      </c>
      <c r="AB3278" s="40" t="s">
        <v>115</v>
      </c>
      <c r="AC3278" s="40" t="s">
        <v>115</v>
      </c>
      <c r="AI3278" s="40" t="s">
        <v>115</v>
      </c>
      <c r="AP3278" s="4" t="s">
        <v>115</v>
      </c>
    </row>
    <row r="3279" spans="1:42" x14ac:dyDescent="0.15">
      <c r="A3279" s="40" t="s">
        <v>1</v>
      </c>
      <c r="B3279" s="23">
        <v>90260519</v>
      </c>
      <c r="C3279" s="23">
        <v>2605</v>
      </c>
      <c r="D3279" s="23">
        <v>26</v>
      </c>
      <c r="F3279" s="23" t="s">
        <v>116</v>
      </c>
      <c r="G3279" s="23">
        <v>314</v>
      </c>
      <c r="H3279" s="23" t="s">
        <v>5968</v>
      </c>
      <c r="I3279" s="23">
        <v>0</v>
      </c>
      <c r="J3279" s="40">
        <v>0</v>
      </c>
      <c r="K3279" s="40">
        <v>0</v>
      </c>
      <c r="L3279" s="40" t="s">
        <v>115</v>
      </c>
      <c r="O3279" s="40" t="s">
        <v>115</v>
      </c>
      <c r="Q3279" s="40">
        <v>197</v>
      </c>
      <c r="R3279" s="40">
        <v>306</v>
      </c>
      <c r="X3279" s="40">
        <v>90260520</v>
      </c>
      <c r="Y3279" s="40" t="s">
        <v>115</v>
      </c>
      <c r="Z3279" s="40" t="s">
        <v>115</v>
      </c>
      <c r="AA3279" s="40" t="s">
        <v>115</v>
      </c>
      <c r="AB3279" s="40" t="s">
        <v>115</v>
      </c>
      <c r="AC3279" s="40" t="s">
        <v>115</v>
      </c>
      <c r="AI3279" s="40" t="s">
        <v>115</v>
      </c>
      <c r="AP3279" s="4" t="s">
        <v>115</v>
      </c>
    </row>
    <row r="3280" spans="1:42" x14ac:dyDescent="0.15">
      <c r="A3280" s="40" t="s">
        <v>1</v>
      </c>
      <c r="B3280" s="23">
        <v>90260520</v>
      </c>
      <c r="C3280" s="23">
        <v>2605</v>
      </c>
      <c r="D3280" s="23">
        <v>26</v>
      </c>
      <c r="F3280" s="23" t="s">
        <v>5949</v>
      </c>
      <c r="G3280" s="23" t="s">
        <v>115</v>
      </c>
      <c r="H3280" s="23" t="s">
        <v>5969</v>
      </c>
      <c r="I3280" s="23">
        <v>3</v>
      </c>
      <c r="J3280" s="40">
        <v>0</v>
      </c>
      <c r="K3280" s="40">
        <v>0</v>
      </c>
      <c r="L3280" s="40" t="s">
        <v>115</v>
      </c>
      <c r="O3280" s="40" t="s">
        <v>115</v>
      </c>
      <c r="Q3280" s="40">
        <v>197</v>
      </c>
      <c r="R3280" s="40">
        <v>306</v>
      </c>
      <c r="X3280" s="40">
        <v>90260521</v>
      </c>
      <c r="Y3280" s="40" t="s">
        <v>115</v>
      </c>
      <c r="Z3280" s="40" t="s">
        <v>115</v>
      </c>
      <c r="AA3280" s="40" t="s">
        <v>115</v>
      </c>
      <c r="AB3280" s="40" t="s">
        <v>115</v>
      </c>
      <c r="AC3280" s="40" t="s">
        <v>115</v>
      </c>
      <c r="AI3280" s="40" t="s">
        <v>115</v>
      </c>
      <c r="AP3280" s="4" t="s">
        <v>115</v>
      </c>
    </row>
    <row r="3281" spans="1:42" x14ac:dyDescent="0.15">
      <c r="A3281" s="40" t="s">
        <v>1</v>
      </c>
      <c r="B3281" s="23">
        <v>90260521</v>
      </c>
      <c r="C3281" s="23">
        <v>2605</v>
      </c>
      <c r="D3281" s="23">
        <v>26</v>
      </c>
      <c r="F3281" s="23" t="s">
        <v>5949</v>
      </c>
      <c r="G3281" s="23" t="s">
        <v>115</v>
      </c>
      <c r="H3281" s="23" t="s">
        <v>5970</v>
      </c>
      <c r="I3281" s="23">
        <v>3</v>
      </c>
      <c r="J3281" s="40">
        <v>0</v>
      </c>
      <c r="K3281" s="40">
        <v>0</v>
      </c>
      <c r="L3281" s="40" t="s">
        <v>115</v>
      </c>
      <c r="O3281" s="40" t="s">
        <v>115</v>
      </c>
      <c r="Q3281" s="40">
        <v>197</v>
      </c>
      <c r="R3281" s="40">
        <v>306</v>
      </c>
      <c r="X3281" s="40">
        <v>90260522</v>
      </c>
      <c r="Y3281" s="40" t="s">
        <v>115</v>
      </c>
      <c r="Z3281" s="40" t="s">
        <v>115</v>
      </c>
      <c r="AA3281" s="40" t="s">
        <v>115</v>
      </c>
      <c r="AB3281" s="40" t="s">
        <v>115</v>
      </c>
      <c r="AC3281" s="40" t="s">
        <v>115</v>
      </c>
      <c r="AI3281" s="40" t="s">
        <v>115</v>
      </c>
      <c r="AP3281" s="4" t="s">
        <v>115</v>
      </c>
    </row>
    <row r="3282" spans="1:42" x14ac:dyDescent="0.15">
      <c r="A3282" s="40" t="s">
        <v>1</v>
      </c>
      <c r="B3282" s="23">
        <v>90260522</v>
      </c>
      <c r="C3282" s="23">
        <v>2605</v>
      </c>
      <c r="D3282" s="23">
        <v>26</v>
      </c>
      <c r="F3282" s="23" t="s">
        <v>116</v>
      </c>
      <c r="G3282" s="23">
        <v>313</v>
      </c>
      <c r="H3282" s="23" t="s">
        <v>5971</v>
      </c>
      <c r="I3282" s="23">
        <v>0</v>
      </c>
      <c r="J3282" s="40">
        <v>0</v>
      </c>
      <c r="K3282" s="40">
        <v>0</v>
      </c>
      <c r="L3282" s="40" t="s">
        <v>115</v>
      </c>
      <c r="O3282" s="40" t="s">
        <v>115</v>
      </c>
      <c r="Q3282" s="40">
        <v>197</v>
      </c>
      <c r="R3282" s="40">
        <v>306</v>
      </c>
      <c r="X3282" s="40">
        <v>90260523</v>
      </c>
      <c r="Y3282" s="40" t="s">
        <v>115</v>
      </c>
      <c r="Z3282" s="40" t="s">
        <v>115</v>
      </c>
      <c r="AA3282" s="40" t="s">
        <v>115</v>
      </c>
      <c r="AB3282" s="40" t="s">
        <v>115</v>
      </c>
      <c r="AC3282" s="40" t="s">
        <v>115</v>
      </c>
      <c r="AI3282" s="40" t="s">
        <v>115</v>
      </c>
      <c r="AP3282" s="4" t="s">
        <v>115</v>
      </c>
    </row>
    <row r="3283" spans="1:42" x14ac:dyDescent="0.15">
      <c r="A3283" s="40" t="s">
        <v>1</v>
      </c>
      <c r="B3283" s="23">
        <v>90260523</v>
      </c>
      <c r="C3283" s="23">
        <v>2605</v>
      </c>
      <c r="D3283" s="23">
        <v>26</v>
      </c>
      <c r="F3283" s="23" t="s">
        <v>5949</v>
      </c>
      <c r="G3283" s="23" t="s">
        <v>115</v>
      </c>
      <c r="H3283" s="23" t="s">
        <v>5972</v>
      </c>
      <c r="I3283" s="23">
        <v>3</v>
      </c>
      <c r="J3283" s="40">
        <v>0</v>
      </c>
      <c r="K3283" s="40">
        <v>0</v>
      </c>
      <c r="L3283" s="40" t="s">
        <v>115</v>
      </c>
      <c r="O3283" s="40" t="s">
        <v>115</v>
      </c>
      <c r="Q3283" s="40">
        <v>197</v>
      </c>
      <c r="R3283" s="40">
        <v>306</v>
      </c>
      <c r="X3283" s="40">
        <v>90260524</v>
      </c>
      <c r="Y3283" s="40" t="s">
        <v>115</v>
      </c>
      <c r="Z3283" s="40" t="s">
        <v>115</v>
      </c>
      <c r="AA3283" s="40" t="s">
        <v>115</v>
      </c>
      <c r="AB3283" s="40" t="s">
        <v>115</v>
      </c>
      <c r="AC3283" s="40" t="s">
        <v>115</v>
      </c>
      <c r="AI3283" s="40" t="s">
        <v>115</v>
      </c>
      <c r="AP3283" s="4" t="s">
        <v>115</v>
      </c>
    </row>
    <row r="3284" spans="1:42" x14ac:dyDescent="0.15">
      <c r="A3284" s="40" t="s">
        <v>1</v>
      </c>
      <c r="B3284" s="23">
        <v>90260524</v>
      </c>
      <c r="C3284" s="23">
        <v>2605</v>
      </c>
      <c r="D3284" s="23">
        <v>26</v>
      </c>
      <c r="F3284" s="23" t="s">
        <v>5949</v>
      </c>
      <c r="G3284" s="23" t="s">
        <v>115</v>
      </c>
      <c r="H3284" s="23" t="s">
        <v>5973</v>
      </c>
      <c r="I3284" s="23">
        <v>3</v>
      </c>
      <c r="J3284" s="40">
        <v>0</v>
      </c>
      <c r="K3284" s="40">
        <v>0</v>
      </c>
      <c r="L3284" s="40" t="s">
        <v>115</v>
      </c>
      <c r="O3284" s="40" t="s">
        <v>115</v>
      </c>
      <c r="Q3284" s="40">
        <v>197</v>
      </c>
      <c r="R3284" s="40">
        <v>306</v>
      </c>
      <c r="X3284" s="40">
        <v>90260525</v>
      </c>
      <c r="Y3284" s="40" t="s">
        <v>115</v>
      </c>
      <c r="Z3284" s="40" t="s">
        <v>115</v>
      </c>
      <c r="AA3284" s="40" t="s">
        <v>115</v>
      </c>
      <c r="AB3284" s="40" t="s">
        <v>115</v>
      </c>
      <c r="AC3284" s="40" t="s">
        <v>115</v>
      </c>
      <c r="AI3284" s="40" t="s">
        <v>115</v>
      </c>
      <c r="AP3284" s="4" t="s">
        <v>115</v>
      </c>
    </row>
    <row r="3285" spans="1:42" x14ac:dyDescent="0.15">
      <c r="A3285" s="40" t="s">
        <v>1</v>
      </c>
      <c r="B3285" s="23">
        <v>90260525</v>
      </c>
      <c r="C3285" s="23">
        <v>2605</v>
      </c>
      <c r="D3285" s="23">
        <v>26</v>
      </c>
      <c r="F3285" s="23" t="s">
        <v>116</v>
      </c>
      <c r="G3285" s="23">
        <v>314</v>
      </c>
      <c r="H3285" s="23" t="s">
        <v>2880</v>
      </c>
      <c r="I3285" s="23">
        <v>0</v>
      </c>
      <c r="J3285" s="40">
        <v>0</v>
      </c>
      <c r="K3285" s="40">
        <v>0</v>
      </c>
      <c r="L3285" s="40" t="s">
        <v>115</v>
      </c>
      <c r="O3285" s="40" t="s">
        <v>115</v>
      </c>
      <c r="Q3285" s="40">
        <v>197</v>
      </c>
      <c r="R3285" s="40">
        <v>306</v>
      </c>
      <c r="X3285" s="40">
        <v>90260526</v>
      </c>
      <c r="Y3285" s="40" t="s">
        <v>115</v>
      </c>
      <c r="Z3285" s="40" t="s">
        <v>115</v>
      </c>
      <c r="AA3285" s="40" t="s">
        <v>115</v>
      </c>
      <c r="AB3285" s="40" t="s">
        <v>115</v>
      </c>
      <c r="AC3285" s="40" t="s">
        <v>115</v>
      </c>
      <c r="AI3285" s="40" t="s">
        <v>115</v>
      </c>
      <c r="AP3285" s="4" t="s">
        <v>115</v>
      </c>
    </row>
    <row r="3286" spans="1:42" x14ac:dyDescent="0.15">
      <c r="A3286" s="40" t="s">
        <v>1</v>
      </c>
      <c r="B3286" s="23">
        <v>90260526</v>
      </c>
      <c r="C3286" s="23">
        <v>2605</v>
      </c>
      <c r="D3286" s="23">
        <v>26</v>
      </c>
      <c r="F3286" s="23" t="s">
        <v>5949</v>
      </c>
      <c r="G3286" s="23" t="s">
        <v>115</v>
      </c>
      <c r="H3286" s="23" t="s">
        <v>5974</v>
      </c>
      <c r="I3286" s="23">
        <v>3</v>
      </c>
      <c r="J3286" s="40">
        <v>0</v>
      </c>
      <c r="K3286" s="40">
        <v>0</v>
      </c>
      <c r="L3286" s="40" t="s">
        <v>115</v>
      </c>
      <c r="O3286" s="40" t="s">
        <v>115</v>
      </c>
      <c r="Q3286" s="40">
        <v>197</v>
      </c>
      <c r="R3286" s="40">
        <v>306</v>
      </c>
      <c r="X3286" s="40">
        <v>90260527</v>
      </c>
      <c r="Y3286" s="40" t="s">
        <v>115</v>
      </c>
      <c r="Z3286" s="40" t="s">
        <v>115</v>
      </c>
      <c r="AA3286" s="40" t="s">
        <v>115</v>
      </c>
      <c r="AB3286" s="40" t="s">
        <v>115</v>
      </c>
      <c r="AC3286" s="40" t="s">
        <v>115</v>
      </c>
      <c r="AI3286" s="40" t="s">
        <v>115</v>
      </c>
      <c r="AP3286" s="4" t="s">
        <v>115</v>
      </c>
    </row>
    <row r="3287" spans="1:42" x14ac:dyDescent="0.15">
      <c r="A3287" s="40" t="s">
        <v>1</v>
      </c>
      <c r="B3287" s="23">
        <v>90260527</v>
      </c>
      <c r="C3287" s="23">
        <v>2605</v>
      </c>
      <c r="D3287" s="23">
        <v>26</v>
      </c>
      <c r="F3287" s="23" t="s">
        <v>116</v>
      </c>
      <c r="G3287" s="23">
        <v>314</v>
      </c>
      <c r="H3287" s="23" t="s">
        <v>5975</v>
      </c>
      <c r="I3287" s="23">
        <v>0</v>
      </c>
      <c r="J3287" s="40">
        <v>0</v>
      </c>
      <c r="K3287" s="40">
        <v>0</v>
      </c>
      <c r="L3287" s="40" t="s">
        <v>115</v>
      </c>
      <c r="O3287" s="40" t="s">
        <v>115</v>
      </c>
      <c r="Q3287" s="40">
        <v>197</v>
      </c>
      <c r="R3287" s="40">
        <v>306</v>
      </c>
      <c r="X3287" s="40">
        <v>90260528</v>
      </c>
      <c r="Y3287" s="40" t="s">
        <v>115</v>
      </c>
      <c r="Z3287" s="40" t="s">
        <v>115</v>
      </c>
      <c r="AA3287" s="40" t="s">
        <v>115</v>
      </c>
      <c r="AB3287" s="40" t="s">
        <v>115</v>
      </c>
      <c r="AC3287" s="40" t="s">
        <v>115</v>
      </c>
      <c r="AI3287" s="40" t="s">
        <v>115</v>
      </c>
      <c r="AP3287" s="4" t="s">
        <v>115</v>
      </c>
    </row>
    <row r="3288" spans="1:42" x14ac:dyDescent="0.15">
      <c r="A3288" s="40" t="s">
        <v>1</v>
      </c>
      <c r="B3288" s="23">
        <v>90260528</v>
      </c>
      <c r="C3288" s="23">
        <v>2605</v>
      </c>
      <c r="D3288" s="23">
        <v>26</v>
      </c>
      <c r="F3288" s="23" t="s">
        <v>5949</v>
      </c>
      <c r="G3288" s="23" t="s">
        <v>115</v>
      </c>
      <c r="H3288" s="23" t="s">
        <v>5976</v>
      </c>
      <c r="I3288" s="23">
        <v>3</v>
      </c>
      <c r="J3288" s="40">
        <v>0</v>
      </c>
      <c r="K3288" s="40">
        <v>0</v>
      </c>
      <c r="L3288" s="40" t="s">
        <v>115</v>
      </c>
      <c r="O3288" s="40" t="s">
        <v>115</v>
      </c>
      <c r="Q3288" s="40">
        <v>197</v>
      </c>
      <c r="R3288" s="40">
        <v>306</v>
      </c>
      <c r="X3288" s="40">
        <v>90260529</v>
      </c>
      <c r="Y3288" s="40" t="s">
        <v>115</v>
      </c>
      <c r="Z3288" s="40" t="s">
        <v>115</v>
      </c>
      <c r="AA3288" s="40" t="s">
        <v>115</v>
      </c>
      <c r="AB3288" s="40" t="s">
        <v>115</v>
      </c>
      <c r="AC3288" s="40" t="s">
        <v>115</v>
      </c>
      <c r="AI3288" s="40" t="s">
        <v>115</v>
      </c>
      <c r="AP3288" s="4" t="s">
        <v>115</v>
      </c>
    </row>
    <row r="3289" spans="1:42" x14ac:dyDescent="0.15">
      <c r="A3289" s="40" t="s">
        <v>1</v>
      </c>
      <c r="B3289" s="23">
        <v>90260529</v>
      </c>
      <c r="C3289" s="23">
        <v>2605</v>
      </c>
      <c r="D3289" s="23">
        <v>26</v>
      </c>
      <c r="F3289" s="23" t="s">
        <v>116</v>
      </c>
      <c r="G3289" s="23">
        <v>313</v>
      </c>
      <c r="H3289" s="23" t="s">
        <v>5977</v>
      </c>
      <c r="I3289" s="23">
        <v>0</v>
      </c>
      <c r="J3289" s="40">
        <v>0</v>
      </c>
      <c r="K3289" s="40">
        <v>0</v>
      </c>
      <c r="L3289" s="40" t="s">
        <v>115</v>
      </c>
      <c r="O3289" s="40" t="s">
        <v>115</v>
      </c>
      <c r="Q3289" s="40">
        <v>197</v>
      </c>
      <c r="R3289" s="40">
        <v>306</v>
      </c>
      <c r="X3289" s="40">
        <v>90260530</v>
      </c>
      <c r="Y3289" s="40" t="s">
        <v>115</v>
      </c>
      <c r="Z3289" s="40" t="s">
        <v>115</v>
      </c>
      <c r="AA3289" s="40" t="s">
        <v>115</v>
      </c>
      <c r="AB3289" s="40" t="s">
        <v>115</v>
      </c>
      <c r="AC3289" s="40" t="s">
        <v>115</v>
      </c>
      <c r="AI3289" s="40" t="s">
        <v>115</v>
      </c>
      <c r="AP3289" s="4" t="s">
        <v>115</v>
      </c>
    </row>
    <row r="3290" spans="1:42" x14ac:dyDescent="0.15">
      <c r="A3290" s="40" t="s">
        <v>1</v>
      </c>
      <c r="B3290" s="23">
        <v>90260530</v>
      </c>
      <c r="C3290" s="23">
        <v>2605</v>
      </c>
      <c r="D3290" s="23">
        <v>26</v>
      </c>
      <c r="F3290" s="23" t="s">
        <v>5949</v>
      </c>
      <c r="G3290" s="23" t="s">
        <v>115</v>
      </c>
      <c r="H3290" s="23" t="s">
        <v>5978</v>
      </c>
      <c r="I3290" s="23">
        <v>3</v>
      </c>
      <c r="J3290" s="40">
        <v>0</v>
      </c>
      <c r="K3290" s="40">
        <v>0</v>
      </c>
      <c r="L3290" s="40" t="s">
        <v>115</v>
      </c>
      <c r="O3290" s="40" t="s">
        <v>115</v>
      </c>
      <c r="Q3290" s="40">
        <v>197</v>
      </c>
      <c r="R3290" s="40">
        <v>306</v>
      </c>
      <c r="X3290" s="40">
        <v>90260531</v>
      </c>
      <c r="Y3290" s="40" t="s">
        <v>115</v>
      </c>
      <c r="Z3290" s="40" t="s">
        <v>115</v>
      </c>
      <c r="AA3290" s="40" t="s">
        <v>115</v>
      </c>
      <c r="AB3290" s="40" t="s">
        <v>115</v>
      </c>
      <c r="AC3290" s="40" t="s">
        <v>115</v>
      </c>
      <c r="AI3290" s="40" t="s">
        <v>115</v>
      </c>
      <c r="AP3290" s="4" t="s">
        <v>115</v>
      </c>
    </row>
    <row r="3291" spans="1:42" x14ac:dyDescent="0.15">
      <c r="A3291" s="40" t="s">
        <v>1</v>
      </c>
      <c r="B3291" s="23">
        <v>90260531</v>
      </c>
      <c r="C3291" s="23">
        <v>2605</v>
      </c>
      <c r="D3291" s="23">
        <v>26</v>
      </c>
      <c r="F3291" s="23" t="s">
        <v>116</v>
      </c>
      <c r="G3291" s="23">
        <v>312</v>
      </c>
      <c r="H3291" s="23" t="s">
        <v>5979</v>
      </c>
      <c r="I3291" s="23">
        <v>0</v>
      </c>
      <c r="J3291" s="40">
        <v>0</v>
      </c>
      <c r="K3291" s="40">
        <v>5</v>
      </c>
      <c r="L3291" s="40" t="s">
        <v>115</v>
      </c>
      <c r="O3291" s="40">
        <v>1</v>
      </c>
      <c r="Q3291" s="40">
        <v>197</v>
      </c>
      <c r="R3291" s="40">
        <v>306</v>
      </c>
      <c r="X3291" s="40" t="s">
        <v>115</v>
      </c>
      <c r="Y3291" s="40" t="s">
        <v>115</v>
      </c>
      <c r="Z3291" s="40">
        <v>4</v>
      </c>
      <c r="AA3291" s="40" t="s">
        <v>115</v>
      </c>
      <c r="AB3291" s="40" t="s">
        <v>115</v>
      </c>
      <c r="AC3291" s="40" t="s">
        <v>115</v>
      </c>
      <c r="AI3291" s="40" t="s">
        <v>115</v>
      </c>
      <c r="AP3291" s="4" t="s">
        <v>5980</v>
      </c>
    </row>
    <row r="3292" spans="1:42" x14ac:dyDescent="0.15">
      <c r="A3292" s="40" t="s">
        <v>1</v>
      </c>
      <c r="B3292" s="23" t="s">
        <v>4895</v>
      </c>
      <c r="C3292" s="23">
        <v>2606</v>
      </c>
      <c r="D3292" s="23">
        <v>26</v>
      </c>
      <c r="F3292" s="23" t="s">
        <v>115</v>
      </c>
      <c r="G3292" s="23" t="s">
        <v>115</v>
      </c>
      <c r="H3292" s="23" t="s">
        <v>5981</v>
      </c>
      <c r="I3292" s="23">
        <v>4</v>
      </c>
      <c r="J3292" s="40">
        <v>1</v>
      </c>
      <c r="K3292" s="40">
        <v>1</v>
      </c>
      <c r="L3292" s="40" t="s">
        <v>115</v>
      </c>
      <c r="O3292" s="40" t="s">
        <v>115</v>
      </c>
      <c r="Q3292" s="40">
        <v>197</v>
      </c>
      <c r="R3292" s="40" t="s">
        <v>115</v>
      </c>
      <c r="X3292" s="40">
        <v>90260602</v>
      </c>
      <c r="Y3292" s="40" t="s">
        <v>115</v>
      </c>
      <c r="Z3292" s="40" t="s">
        <v>115</v>
      </c>
      <c r="AA3292" s="40" t="s">
        <v>115</v>
      </c>
      <c r="AB3292" s="40" t="s">
        <v>115</v>
      </c>
      <c r="AC3292" s="40" t="s">
        <v>115</v>
      </c>
      <c r="AI3292" s="40" t="s">
        <v>115</v>
      </c>
      <c r="AP3292" s="4" t="s">
        <v>115</v>
      </c>
    </row>
    <row r="3293" spans="1:42" x14ac:dyDescent="0.15">
      <c r="A3293" s="40" t="s">
        <v>1</v>
      </c>
      <c r="B3293" s="23">
        <v>90260602</v>
      </c>
      <c r="C3293" s="23">
        <v>2606</v>
      </c>
      <c r="D3293" s="23">
        <v>26</v>
      </c>
      <c r="F3293" s="23" t="s">
        <v>116</v>
      </c>
      <c r="G3293" s="23">
        <v>312</v>
      </c>
      <c r="H3293" s="23" t="s">
        <v>5982</v>
      </c>
      <c r="I3293" s="23">
        <v>0</v>
      </c>
      <c r="J3293" s="40">
        <v>0</v>
      </c>
      <c r="K3293" s="40">
        <v>0</v>
      </c>
      <c r="L3293" s="40" t="s">
        <v>115</v>
      </c>
      <c r="O3293" s="40" t="s">
        <v>115</v>
      </c>
      <c r="Q3293" s="40">
        <v>197</v>
      </c>
      <c r="R3293" s="40">
        <v>253</v>
      </c>
      <c r="X3293" s="40">
        <v>90260603</v>
      </c>
      <c r="Y3293" s="40" t="s">
        <v>115</v>
      </c>
      <c r="Z3293" s="40" t="s">
        <v>115</v>
      </c>
      <c r="AA3293" s="40" t="s">
        <v>115</v>
      </c>
      <c r="AB3293" s="40" t="s">
        <v>115</v>
      </c>
      <c r="AC3293" s="40" t="s">
        <v>115</v>
      </c>
      <c r="AI3293" s="40" t="s">
        <v>115</v>
      </c>
      <c r="AP3293" s="4" t="s">
        <v>115</v>
      </c>
    </row>
    <row r="3294" spans="1:42" x14ac:dyDescent="0.15">
      <c r="A3294" s="40" t="s">
        <v>1</v>
      </c>
      <c r="B3294" s="23">
        <v>90260603</v>
      </c>
      <c r="C3294" s="23">
        <v>2606</v>
      </c>
      <c r="D3294" s="23">
        <v>26</v>
      </c>
      <c r="F3294" s="23" t="s">
        <v>5983</v>
      </c>
      <c r="G3294" s="23" t="s">
        <v>115</v>
      </c>
      <c r="H3294" s="23" t="s">
        <v>5984</v>
      </c>
      <c r="I3294" s="23">
        <v>3</v>
      </c>
      <c r="J3294" s="40">
        <v>0</v>
      </c>
      <c r="K3294" s="40">
        <v>0</v>
      </c>
      <c r="L3294" s="40" t="s">
        <v>115</v>
      </c>
      <c r="O3294" s="40" t="s">
        <v>115</v>
      </c>
      <c r="Q3294" s="40">
        <v>197</v>
      </c>
      <c r="R3294" s="40">
        <v>253</v>
      </c>
      <c r="X3294" s="40">
        <v>90260604</v>
      </c>
      <c r="Y3294" s="40" t="s">
        <v>115</v>
      </c>
      <c r="Z3294" s="40" t="s">
        <v>115</v>
      </c>
      <c r="AA3294" s="40" t="s">
        <v>115</v>
      </c>
      <c r="AB3294" s="40" t="s">
        <v>115</v>
      </c>
      <c r="AC3294" s="40" t="s">
        <v>115</v>
      </c>
      <c r="AI3294" s="40" t="s">
        <v>115</v>
      </c>
      <c r="AP3294" s="4" t="s">
        <v>115</v>
      </c>
    </row>
    <row r="3295" spans="1:42" x14ac:dyDescent="0.15">
      <c r="A3295" s="40" t="s">
        <v>1</v>
      </c>
      <c r="B3295" s="23">
        <v>90260604</v>
      </c>
      <c r="C3295" s="23">
        <v>2606</v>
      </c>
      <c r="D3295" s="23">
        <v>26</v>
      </c>
      <c r="F3295" s="23" t="s">
        <v>116</v>
      </c>
      <c r="G3295" s="23">
        <v>312</v>
      </c>
      <c r="H3295" s="23" t="s">
        <v>5985</v>
      </c>
      <c r="I3295" s="23">
        <v>0</v>
      </c>
      <c r="J3295" s="40">
        <v>0</v>
      </c>
      <c r="K3295" s="40">
        <v>0</v>
      </c>
      <c r="L3295" s="40" t="s">
        <v>115</v>
      </c>
      <c r="O3295" s="40" t="s">
        <v>115</v>
      </c>
      <c r="Q3295" s="40">
        <v>197</v>
      </c>
      <c r="R3295" s="40">
        <v>253</v>
      </c>
      <c r="X3295" s="40">
        <v>90260605</v>
      </c>
      <c r="Y3295" s="40" t="s">
        <v>115</v>
      </c>
      <c r="Z3295" s="40" t="s">
        <v>115</v>
      </c>
      <c r="AA3295" s="40" t="s">
        <v>115</v>
      </c>
      <c r="AB3295" s="40" t="s">
        <v>115</v>
      </c>
      <c r="AC3295" s="40" t="s">
        <v>115</v>
      </c>
      <c r="AI3295" s="40" t="s">
        <v>115</v>
      </c>
      <c r="AP3295" s="4" t="s">
        <v>115</v>
      </c>
    </row>
    <row r="3296" spans="1:42" x14ac:dyDescent="0.15">
      <c r="A3296" s="40" t="s">
        <v>1</v>
      </c>
      <c r="B3296" s="23">
        <v>90260605</v>
      </c>
      <c r="C3296" s="23">
        <v>2606</v>
      </c>
      <c r="D3296" s="23">
        <v>26</v>
      </c>
      <c r="F3296" s="23" t="s">
        <v>5983</v>
      </c>
      <c r="G3296" s="23" t="s">
        <v>115</v>
      </c>
      <c r="H3296" s="23" t="s">
        <v>5986</v>
      </c>
      <c r="I3296" s="23">
        <v>3</v>
      </c>
      <c r="J3296" s="40">
        <v>0</v>
      </c>
      <c r="K3296" s="40">
        <v>0</v>
      </c>
      <c r="L3296" s="40" t="s">
        <v>115</v>
      </c>
      <c r="O3296" s="40" t="s">
        <v>115</v>
      </c>
      <c r="Q3296" s="40">
        <v>197</v>
      </c>
      <c r="R3296" s="40">
        <v>253</v>
      </c>
      <c r="X3296" s="40">
        <v>90260606</v>
      </c>
      <c r="Y3296" s="40" t="s">
        <v>115</v>
      </c>
      <c r="Z3296" s="40" t="s">
        <v>115</v>
      </c>
      <c r="AA3296" s="40" t="s">
        <v>115</v>
      </c>
      <c r="AB3296" s="40" t="s">
        <v>115</v>
      </c>
      <c r="AC3296" s="40" t="s">
        <v>115</v>
      </c>
      <c r="AI3296" s="40" t="s">
        <v>115</v>
      </c>
      <c r="AP3296" s="4" t="s">
        <v>115</v>
      </c>
    </row>
    <row r="3297" spans="1:42" x14ac:dyDescent="0.15">
      <c r="A3297" s="40" t="s">
        <v>1</v>
      </c>
      <c r="B3297" s="23">
        <v>90260606</v>
      </c>
      <c r="C3297" s="23">
        <v>2606</v>
      </c>
      <c r="D3297" s="23">
        <v>26</v>
      </c>
      <c r="F3297" s="23" t="s">
        <v>116</v>
      </c>
      <c r="G3297" s="23">
        <v>312</v>
      </c>
      <c r="H3297" s="23" t="s">
        <v>5987</v>
      </c>
      <c r="I3297" s="23">
        <v>0</v>
      </c>
      <c r="J3297" s="40">
        <v>0</v>
      </c>
      <c r="K3297" s="40">
        <v>0</v>
      </c>
      <c r="L3297" s="40" t="s">
        <v>115</v>
      </c>
      <c r="O3297" s="40" t="s">
        <v>115</v>
      </c>
      <c r="Q3297" s="40">
        <v>197</v>
      </c>
      <c r="R3297" s="40">
        <v>253</v>
      </c>
      <c r="X3297" s="40">
        <v>90260607</v>
      </c>
      <c r="Y3297" s="40" t="s">
        <v>115</v>
      </c>
      <c r="Z3297" s="40" t="s">
        <v>115</v>
      </c>
      <c r="AA3297" s="40" t="s">
        <v>115</v>
      </c>
      <c r="AB3297" s="40" t="s">
        <v>115</v>
      </c>
      <c r="AC3297" s="40" t="s">
        <v>115</v>
      </c>
      <c r="AI3297" s="40" t="s">
        <v>115</v>
      </c>
      <c r="AP3297" s="4" t="s">
        <v>115</v>
      </c>
    </row>
    <row r="3298" spans="1:42" x14ac:dyDescent="0.15">
      <c r="A3298" s="40" t="s">
        <v>1</v>
      </c>
      <c r="B3298" s="23">
        <v>90260607</v>
      </c>
      <c r="C3298" s="23">
        <v>2606</v>
      </c>
      <c r="D3298" s="23">
        <v>26</v>
      </c>
      <c r="F3298" s="23" t="s">
        <v>5983</v>
      </c>
      <c r="G3298" s="23" t="s">
        <v>115</v>
      </c>
      <c r="H3298" s="23" t="s">
        <v>5988</v>
      </c>
      <c r="I3298" s="23">
        <v>3</v>
      </c>
      <c r="J3298" s="40">
        <v>0</v>
      </c>
      <c r="K3298" s="40">
        <v>0</v>
      </c>
      <c r="L3298" s="40" t="s">
        <v>115</v>
      </c>
      <c r="O3298" s="40" t="s">
        <v>115</v>
      </c>
      <c r="Q3298" s="40">
        <v>197</v>
      </c>
      <c r="R3298" s="40">
        <v>253</v>
      </c>
      <c r="X3298" s="40">
        <v>90260608</v>
      </c>
      <c r="Y3298" s="40" t="s">
        <v>115</v>
      </c>
      <c r="Z3298" s="40" t="s">
        <v>115</v>
      </c>
      <c r="AA3298" s="40" t="s">
        <v>115</v>
      </c>
      <c r="AB3298" s="40" t="s">
        <v>115</v>
      </c>
      <c r="AC3298" s="40" t="s">
        <v>115</v>
      </c>
      <c r="AI3298" s="40" t="s">
        <v>115</v>
      </c>
      <c r="AP3298" s="4" t="s">
        <v>115</v>
      </c>
    </row>
    <row r="3299" spans="1:42" x14ac:dyDescent="0.15">
      <c r="A3299" s="40" t="s">
        <v>1</v>
      </c>
      <c r="B3299" s="23">
        <v>90260608</v>
      </c>
      <c r="C3299" s="23">
        <v>2606</v>
      </c>
      <c r="D3299" s="23">
        <v>26</v>
      </c>
      <c r="F3299" s="23" t="s">
        <v>116</v>
      </c>
      <c r="G3299" s="23">
        <v>308</v>
      </c>
      <c r="H3299" s="23" t="s">
        <v>5989</v>
      </c>
      <c r="I3299" s="23">
        <v>0</v>
      </c>
      <c r="J3299" s="40">
        <v>0</v>
      </c>
      <c r="K3299" s="40">
        <v>0</v>
      </c>
      <c r="L3299" s="40" t="s">
        <v>115</v>
      </c>
      <c r="O3299" s="40" t="s">
        <v>115</v>
      </c>
      <c r="Q3299" s="40">
        <v>197</v>
      </c>
      <c r="R3299" s="40">
        <v>253</v>
      </c>
      <c r="X3299" s="40">
        <v>90260609</v>
      </c>
      <c r="Y3299" s="40" t="s">
        <v>115</v>
      </c>
      <c r="Z3299" s="40" t="s">
        <v>115</v>
      </c>
      <c r="AA3299" s="40" t="s">
        <v>115</v>
      </c>
      <c r="AB3299" s="40" t="s">
        <v>115</v>
      </c>
      <c r="AC3299" s="40" t="s">
        <v>115</v>
      </c>
      <c r="AI3299" s="40" t="s">
        <v>115</v>
      </c>
      <c r="AP3299" s="4" t="s">
        <v>115</v>
      </c>
    </row>
    <row r="3300" spans="1:42" x14ac:dyDescent="0.15">
      <c r="A3300" s="40" t="s">
        <v>1</v>
      </c>
      <c r="B3300" s="23">
        <v>90260609</v>
      </c>
      <c r="C3300" s="23">
        <v>2606</v>
      </c>
      <c r="D3300" s="23">
        <v>26</v>
      </c>
      <c r="F3300" s="23" t="s">
        <v>5983</v>
      </c>
      <c r="G3300" s="23" t="s">
        <v>115</v>
      </c>
      <c r="H3300" s="23" t="s">
        <v>5990</v>
      </c>
      <c r="I3300" s="23">
        <v>3</v>
      </c>
      <c r="J3300" s="40">
        <v>0</v>
      </c>
      <c r="K3300" s="40">
        <v>0</v>
      </c>
      <c r="L3300" s="40" t="s">
        <v>115</v>
      </c>
      <c r="O3300" s="40" t="s">
        <v>115</v>
      </c>
      <c r="Q3300" s="40">
        <v>197</v>
      </c>
      <c r="R3300" s="40">
        <v>253</v>
      </c>
      <c r="X3300" s="40">
        <v>90260610</v>
      </c>
      <c r="Y3300" s="40" t="s">
        <v>115</v>
      </c>
      <c r="Z3300" s="40" t="s">
        <v>115</v>
      </c>
      <c r="AA3300" s="40" t="s">
        <v>115</v>
      </c>
      <c r="AB3300" s="40" t="s">
        <v>115</v>
      </c>
      <c r="AC3300" s="40" t="s">
        <v>115</v>
      </c>
      <c r="AI3300" s="40" t="s">
        <v>115</v>
      </c>
      <c r="AP3300" s="4" t="s">
        <v>115</v>
      </c>
    </row>
    <row r="3301" spans="1:42" x14ac:dyDescent="0.15">
      <c r="A3301" s="40" t="s">
        <v>1</v>
      </c>
      <c r="B3301" s="23">
        <v>90260610</v>
      </c>
      <c r="C3301" s="23">
        <v>2606</v>
      </c>
      <c r="D3301" s="23">
        <v>26</v>
      </c>
      <c r="F3301" s="23" t="s">
        <v>115</v>
      </c>
      <c r="G3301" s="23" t="s">
        <v>115</v>
      </c>
      <c r="H3301" s="23" t="s">
        <v>5991</v>
      </c>
      <c r="I3301" s="23">
        <v>4</v>
      </c>
      <c r="J3301" s="40">
        <v>0</v>
      </c>
      <c r="K3301" s="40">
        <v>2</v>
      </c>
      <c r="L3301" s="40" t="s">
        <v>115</v>
      </c>
      <c r="O3301" s="40" t="s">
        <v>115</v>
      </c>
      <c r="Q3301" s="40">
        <v>197</v>
      </c>
      <c r="R3301" s="40">
        <v>253</v>
      </c>
      <c r="X3301" s="40" t="s">
        <v>5992</v>
      </c>
      <c r="Y3301" s="40">
        <v>1</v>
      </c>
      <c r="Z3301" s="40">
        <v>1</v>
      </c>
      <c r="AA3301" s="40" t="s">
        <v>115</v>
      </c>
      <c r="AB3301" s="40" t="s">
        <v>115</v>
      </c>
      <c r="AC3301" s="40" t="s">
        <v>115</v>
      </c>
      <c r="AI3301" s="40" t="s">
        <v>115</v>
      </c>
      <c r="AP3301" s="4" t="s">
        <v>115</v>
      </c>
    </row>
    <row r="3302" spans="1:42" x14ac:dyDescent="0.15">
      <c r="A3302" s="40" t="s">
        <v>1</v>
      </c>
      <c r="B3302" s="23">
        <v>90260611</v>
      </c>
      <c r="C3302" s="23">
        <v>2606</v>
      </c>
      <c r="D3302" s="23">
        <v>26</v>
      </c>
      <c r="F3302" s="23" t="s">
        <v>115</v>
      </c>
      <c r="G3302" s="23" t="s">
        <v>115</v>
      </c>
      <c r="H3302" s="23" t="s">
        <v>5993</v>
      </c>
      <c r="I3302" s="23">
        <v>4</v>
      </c>
      <c r="J3302" s="40">
        <v>0</v>
      </c>
      <c r="K3302" s="40">
        <v>3</v>
      </c>
      <c r="L3302" s="40" t="s">
        <v>115</v>
      </c>
      <c r="O3302" s="40" t="s">
        <v>115</v>
      </c>
      <c r="Q3302" s="40">
        <v>197</v>
      </c>
      <c r="R3302" s="40">
        <v>253</v>
      </c>
      <c r="X3302" s="40">
        <v>90260614</v>
      </c>
      <c r="Y3302" s="40">
        <v>-1</v>
      </c>
      <c r="Z3302" s="40">
        <v>2</v>
      </c>
      <c r="AA3302" s="40" t="s">
        <v>115</v>
      </c>
      <c r="AB3302" s="40" t="s">
        <v>115</v>
      </c>
      <c r="AC3302" s="40" t="s">
        <v>115</v>
      </c>
      <c r="AI3302" s="40" t="s">
        <v>115</v>
      </c>
      <c r="AP3302" s="4" t="s">
        <v>115</v>
      </c>
    </row>
    <row r="3303" spans="1:42" x14ac:dyDescent="0.15">
      <c r="A3303" s="40" t="s">
        <v>1</v>
      </c>
      <c r="B3303" s="23">
        <v>90260612</v>
      </c>
      <c r="C3303" s="23">
        <v>2606</v>
      </c>
      <c r="D3303" s="23">
        <v>26</v>
      </c>
      <c r="F3303" s="23" t="s">
        <v>115</v>
      </c>
      <c r="G3303" s="23" t="s">
        <v>115</v>
      </c>
      <c r="H3303" s="23" t="s">
        <v>5994</v>
      </c>
      <c r="I3303" s="23">
        <v>4</v>
      </c>
      <c r="J3303" s="40">
        <v>0</v>
      </c>
      <c r="K3303" s="40">
        <v>4</v>
      </c>
      <c r="L3303" s="40" t="s">
        <v>115</v>
      </c>
      <c r="O3303" s="40" t="s">
        <v>115</v>
      </c>
      <c r="Q3303" s="40">
        <v>197</v>
      </c>
      <c r="R3303" s="40">
        <v>253</v>
      </c>
      <c r="X3303" s="40">
        <v>90260616</v>
      </c>
      <c r="Y3303" s="40">
        <v>-1</v>
      </c>
      <c r="Z3303" s="40">
        <v>2</v>
      </c>
      <c r="AA3303" s="40" t="s">
        <v>115</v>
      </c>
      <c r="AB3303" s="40" t="s">
        <v>115</v>
      </c>
      <c r="AC3303" s="40" t="s">
        <v>115</v>
      </c>
      <c r="AI3303" s="40" t="s">
        <v>115</v>
      </c>
      <c r="AP3303" s="4" t="s">
        <v>115</v>
      </c>
    </row>
    <row r="3304" spans="1:42" x14ac:dyDescent="0.15">
      <c r="A3304" s="40" t="s">
        <v>1</v>
      </c>
      <c r="B3304" s="23">
        <v>90260613</v>
      </c>
      <c r="C3304" s="23">
        <v>2606</v>
      </c>
      <c r="D3304" s="23">
        <v>26</v>
      </c>
      <c r="F3304" s="23" t="s">
        <v>115</v>
      </c>
      <c r="G3304" s="23" t="s">
        <v>115</v>
      </c>
      <c r="H3304" s="23" t="s">
        <v>5995</v>
      </c>
      <c r="I3304" s="23">
        <v>4</v>
      </c>
      <c r="J3304" s="40">
        <v>0</v>
      </c>
      <c r="K3304" s="40">
        <v>5</v>
      </c>
      <c r="L3304" s="40" t="s">
        <v>115</v>
      </c>
      <c r="O3304" s="40" t="s">
        <v>115</v>
      </c>
      <c r="Q3304" s="40">
        <v>197</v>
      </c>
      <c r="R3304" s="40">
        <v>253</v>
      </c>
      <c r="X3304" s="40">
        <v>90260618</v>
      </c>
      <c r="Y3304" s="40">
        <v>-1</v>
      </c>
      <c r="Z3304" s="40">
        <v>2</v>
      </c>
      <c r="AA3304" s="40" t="s">
        <v>115</v>
      </c>
      <c r="AB3304" s="40" t="s">
        <v>115</v>
      </c>
      <c r="AC3304" s="40" t="s">
        <v>115</v>
      </c>
      <c r="AI3304" s="40" t="s">
        <v>115</v>
      </c>
      <c r="AP3304" s="4" t="s">
        <v>115</v>
      </c>
    </row>
    <row r="3305" spans="1:42" x14ac:dyDescent="0.15">
      <c r="A3305" s="40" t="s">
        <v>1</v>
      </c>
      <c r="B3305" s="23">
        <v>90260614</v>
      </c>
      <c r="C3305" s="23">
        <v>2606</v>
      </c>
      <c r="D3305" s="23">
        <v>26</v>
      </c>
      <c r="F3305" s="23" t="s">
        <v>5983</v>
      </c>
      <c r="G3305" s="23" t="s">
        <v>115</v>
      </c>
      <c r="H3305" s="23" t="s">
        <v>5996</v>
      </c>
      <c r="I3305" s="23">
        <v>3</v>
      </c>
      <c r="J3305" s="40">
        <v>0</v>
      </c>
      <c r="K3305" s="40">
        <v>0</v>
      </c>
      <c r="L3305" s="40" t="s">
        <v>115</v>
      </c>
      <c r="O3305" s="40" t="s">
        <v>115</v>
      </c>
      <c r="Q3305" s="40">
        <v>197</v>
      </c>
      <c r="R3305" s="40">
        <v>253</v>
      </c>
      <c r="X3305" s="40">
        <v>90260615</v>
      </c>
      <c r="Y3305" s="40" t="s">
        <v>115</v>
      </c>
      <c r="Z3305" s="40" t="s">
        <v>115</v>
      </c>
      <c r="AA3305" s="40" t="s">
        <v>115</v>
      </c>
      <c r="AB3305" s="40" t="s">
        <v>115</v>
      </c>
      <c r="AC3305" s="40" t="s">
        <v>115</v>
      </c>
      <c r="AI3305" s="40" t="s">
        <v>115</v>
      </c>
      <c r="AP3305" s="4" t="s">
        <v>115</v>
      </c>
    </row>
    <row r="3306" spans="1:42" x14ac:dyDescent="0.15">
      <c r="A3306" s="40" t="s">
        <v>1</v>
      </c>
      <c r="B3306" s="23">
        <v>90260615</v>
      </c>
      <c r="C3306" s="23">
        <v>2606</v>
      </c>
      <c r="D3306" s="23">
        <v>26</v>
      </c>
      <c r="F3306" s="23" t="s">
        <v>5983</v>
      </c>
      <c r="G3306" s="23" t="s">
        <v>115</v>
      </c>
      <c r="H3306" s="23" t="s">
        <v>5997</v>
      </c>
      <c r="I3306" s="23">
        <v>3</v>
      </c>
      <c r="J3306" s="40">
        <v>0</v>
      </c>
      <c r="K3306" s="40">
        <v>0</v>
      </c>
      <c r="L3306" s="40" t="s">
        <v>115</v>
      </c>
      <c r="O3306" s="40" t="s">
        <v>115</v>
      </c>
      <c r="Q3306" s="40">
        <v>197</v>
      </c>
      <c r="R3306" s="40">
        <v>253</v>
      </c>
      <c r="X3306" s="40">
        <v>90260610</v>
      </c>
      <c r="Y3306" s="40" t="s">
        <v>115</v>
      </c>
      <c r="Z3306" s="40" t="s">
        <v>115</v>
      </c>
      <c r="AA3306" s="40" t="s">
        <v>115</v>
      </c>
      <c r="AB3306" s="40" t="s">
        <v>115</v>
      </c>
      <c r="AC3306" s="40" t="s">
        <v>115</v>
      </c>
      <c r="AI3306" s="40" t="s">
        <v>115</v>
      </c>
      <c r="AP3306" s="4" t="s">
        <v>115</v>
      </c>
    </row>
    <row r="3307" spans="1:42" x14ac:dyDescent="0.15">
      <c r="A3307" s="40" t="s">
        <v>1</v>
      </c>
      <c r="B3307" s="23">
        <v>90260616</v>
      </c>
      <c r="C3307" s="23">
        <v>2606</v>
      </c>
      <c r="D3307" s="23">
        <v>26</v>
      </c>
      <c r="F3307" s="23" t="s">
        <v>5983</v>
      </c>
      <c r="G3307" s="23" t="s">
        <v>115</v>
      </c>
      <c r="H3307" s="23" t="s">
        <v>5998</v>
      </c>
      <c r="I3307" s="23">
        <v>3</v>
      </c>
      <c r="J3307" s="40">
        <v>0</v>
      </c>
      <c r="K3307" s="40">
        <v>0</v>
      </c>
      <c r="L3307" s="40" t="s">
        <v>115</v>
      </c>
      <c r="O3307" s="40" t="s">
        <v>115</v>
      </c>
      <c r="Q3307" s="40">
        <v>197</v>
      </c>
      <c r="R3307" s="40">
        <v>253</v>
      </c>
      <c r="X3307" s="40">
        <v>90260617</v>
      </c>
      <c r="Y3307" s="40" t="s">
        <v>115</v>
      </c>
      <c r="Z3307" s="40" t="s">
        <v>115</v>
      </c>
      <c r="AA3307" s="40" t="s">
        <v>115</v>
      </c>
      <c r="AB3307" s="40" t="s">
        <v>115</v>
      </c>
      <c r="AC3307" s="40" t="s">
        <v>115</v>
      </c>
      <c r="AI3307" s="40" t="s">
        <v>115</v>
      </c>
      <c r="AP3307" s="4" t="s">
        <v>115</v>
      </c>
    </row>
    <row r="3308" spans="1:42" x14ac:dyDescent="0.15">
      <c r="A3308" s="40" t="s">
        <v>1</v>
      </c>
      <c r="B3308" s="23">
        <v>90260617</v>
      </c>
      <c r="C3308" s="23">
        <v>2606</v>
      </c>
      <c r="D3308" s="23">
        <v>26</v>
      </c>
      <c r="F3308" s="23" t="s">
        <v>5983</v>
      </c>
      <c r="G3308" s="23" t="s">
        <v>115</v>
      </c>
      <c r="H3308" s="23" t="s">
        <v>5997</v>
      </c>
      <c r="I3308" s="23">
        <v>3</v>
      </c>
      <c r="J3308" s="40">
        <v>0</v>
      </c>
      <c r="K3308" s="40">
        <v>0</v>
      </c>
      <c r="L3308" s="40" t="s">
        <v>115</v>
      </c>
      <c r="O3308" s="40" t="s">
        <v>115</v>
      </c>
      <c r="Q3308" s="40">
        <v>197</v>
      </c>
      <c r="R3308" s="40">
        <v>253</v>
      </c>
      <c r="X3308" s="40">
        <v>90260610</v>
      </c>
      <c r="Y3308" s="40" t="s">
        <v>115</v>
      </c>
      <c r="Z3308" s="40" t="s">
        <v>115</v>
      </c>
      <c r="AA3308" s="40" t="s">
        <v>115</v>
      </c>
      <c r="AB3308" s="40" t="s">
        <v>115</v>
      </c>
      <c r="AC3308" s="40" t="s">
        <v>115</v>
      </c>
      <c r="AI3308" s="40" t="s">
        <v>115</v>
      </c>
      <c r="AP3308" s="4" t="s">
        <v>115</v>
      </c>
    </row>
    <row r="3309" spans="1:42" x14ac:dyDescent="0.15">
      <c r="A3309" s="40" t="s">
        <v>1</v>
      </c>
      <c r="B3309" s="23">
        <v>90260618</v>
      </c>
      <c r="C3309" s="23">
        <v>2606</v>
      </c>
      <c r="D3309" s="23">
        <v>26</v>
      </c>
      <c r="F3309" s="23" t="s">
        <v>5983</v>
      </c>
      <c r="G3309" s="23" t="s">
        <v>115</v>
      </c>
      <c r="H3309" s="23" t="s">
        <v>5999</v>
      </c>
      <c r="I3309" s="23">
        <v>3</v>
      </c>
      <c r="J3309" s="40">
        <v>0</v>
      </c>
      <c r="K3309" s="40">
        <v>0</v>
      </c>
      <c r="L3309" s="40" t="s">
        <v>115</v>
      </c>
      <c r="O3309" s="40" t="s">
        <v>115</v>
      </c>
      <c r="Q3309" s="40">
        <v>197</v>
      </c>
      <c r="R3309" s="40">
        <v>253</v>
      </c>
      <c r="X3309" s="40">
        <v>90260619</v>
      </c>
      <c r="Y3309" s="40" t="s">
        <v>115</v>
      </c>
      <c r="Z3309" s="40" t="s">
        <v>115</v>
      </c>
      <c r="AA3309" s="40" t="s">
        <v>115</v>
      </c>
      <c r="AB3309" s="40" t="s">
        <v>115</v>
      </c>
      <c r="AC3309" s="40" t="s">
        <v>115</v>
      </c>
      <c r="AI3309" s="40" t="s">
        <v>115</v>
      </c>
      <c r="AP3309" s="4" t="s">
        <v>115</v>
      </c>
    </row>
    <row r="3310" spans="1:42" x14ac:dyDescent="0.15">
      <c r="A3310" s="40" t="s">
        <v>1</v>
      </c>
      <c r="B3310" s="23">
        <v>90260619</v>
      </c>
      <c r="C3310" s="23">
        <v>2606</v>
      </c>
      <c r="D3310" s="23">
        <v>26</v>
      </c>
      <c r="F3310" s="23" t="s">
        <v>5983</v>
      </c>
      <c r="G3310" s="23" t="s">
        <v>115</v>
      </c>
      <c r="H3310" s="23" t="s">
        <v>6000</v>
      </c>
      <c r="I3310" s="23">
        <v>3</v>
      </c>
      <c r="J3310" s="40">
        <v>0</v>
      </c>
      <c r="K3310" s="40">
        <v>0</v>
      </c>
      <c r="L3310" s="40" t="s">
        <v>115</v>
      </c>
      <c r="O3310" s="40" t="s">
        <v>115</v>
      </c>
      <c r="Q3310" s="40">
        <v>197</v>
      </c>
      <c r="R3310" s="40">
        <v>253</v>
      </c>
      <c r="X3310" s="40">
        <v>90260620</v>
      </c>
      <c r="Y3310" s="40" t="s">
        <v>115</v>
      </c>
      <c r="Z3310" s="40" t="s">
        <v>115</v>
      </c>
      <c r="AA3310" s="40" t="s">
        <v>115</v>
      </c>
      <c r="AB3310" s="40" t="s">
        <v>115</v>
      </c>
      <c r="AC3310" s="40" t="s">
        <v>115</v>
      </c>
      <c r="AI3310" s="40" t="s">
        <v>115</v>
      </c>
      <c r="AP3310" s="4" t="s">
        <v>115</v>
      </c>
    </row>
    <row r="3311" spans="1:42" x14ac:dyDescent="0.15">
      <c r="A3311" s="40" t="s">
        <v>1</v>
      </c>
      <c r="B3311" s="23">
        <v>90260620</v>
      </c>
      <c r="C3311" s="23">
        <v>2606</v>
      </c>
      <c r="D3311" s="23">
        <v>26</v>
      </c>
      <c r="F3311" s="23" t="s">
        <v>115</v>
      </c>
      <c r="G3311" s="23" t="s">
        <v>115</v>
      </c>
      <c r="H3311" s="23" t="s">
        <v>6001</v>
      </c>
      <c r="I3311" s="23">
        <v>4</v>
      </c>
      <c r="J3311" s="40">
        <v>0</v>
      </c>
      <c r="K3311" s="40">
        <v>6</v>
      </c>
      <c r="L3311" s="40" t="s">
        <v>115</v>
      </c>
      <c r="O3311" s="40" t="s">
        <v>115</v>
      </c>
      <c r="Q3311" s="40">
        <v>197</v>
      </c>
      <c r="R3311" s="40">
        <v>253</v>
      </c>
      <c r="X3311" s="40" t="s">
        <v>6002</v>
      </c>
      <c r="Y3311" s="40">
        <v>1</v>
      </c>
      <c r="Z3311" s="40">
        <v>2</v>
      </c>
      <c r="AA3311" s="40" t="s">
        <v>115</v>
      </c>
      <c r="AB3311" s="40" t="s">
        <v>115</v>
      </c>
      <c r="AC3311" s="40" t="s">
        <v>115</v>
      </c>
      <c r="AI3311" s="40" t="s">
        <v>115</v>
      </c>
      <c r="AP3311" s="4" t="s">
        <v>115</v>
      </c>
    </row>
    <row r="3312" spans="1:42" x14ac:dyDescent="0.15">
      <c r="A3312" s="40" t="s">
        <v>1</v>
      </c>
      <c r="B3312" s="23">
        <v>90260621</v>
      </c>
      <c r="C3312" s="23">
        <v>2606</v>
      </c>
      <c r="D3312" s="23">
        <v>26</v>
      </c>
      <c r="F3312" s="23" t="s">
        <v>115</v>
      </c>
      <c r="G3312" s="23" t="s">
        <v>115</v>
      </c>
      <c r="H3312" s="23" t="s">
        <v>6003</v>
      </c>
      <c r="I3312" s="23">
        <v>4</v>
      </c>
      <c r="J3312" s="40">
        <v>0</v>
      </c>
      <c r="K3312" s="40">
        <v>7</v>
      </c>
      <c r="L3312" s="40" t="s">
        <v>115</v>
      </c>
      <c r="O3312" s="40" t="s">
        <v>115</v>
      </c>
      <c r="Q3312" s="40">
        <v>197</v>
      </c>
      <c r="R3312" s="40">
        <v>253</v>
      </c>
      <c r="X3312" s="40">
        <v>90260624</v>
      </c>
      <c r="Y3312" s="40">
        <v>-1</v>
      </c>
      <c r="Z3312" s="40">
        <v>6</v>
      </c>
      <c r="AA3312" s="40" t="s">
        <v>115</v>
      </c>
      <c r="AB3312" s="40" t="s">
        <v>115</v>
      </c>
      <c r="AC3312" s="40" t="s">
        <v>115</v>
      </c>
      <c r="AI3312" s="40" t="s">
        <v>115</v>
      </c>
      <c r="AP3312" s="4" t="s">
        <v>115</v>
      </c>
    </row>
    <row r="3313" spans="1:42" x14ac:dyDescent="0.15">
      <c r="A3313" s="40" t="s">
        <v>1</v>
      </c>
      <c r="B3313" s="23">
        <v>90260622</v>
      </c>
      <c r="C3313" s="23">
        <v>2606</v>
      </c>
      <c r="D3313" s="23">
        <v>26</v>
      </c>
      <c r="F3313" s="23" t="s">
        <v>115</v>
      </c>
      <c r="G3313" s="23" t="s">
        <v>115</v>
      </c>
      <c r="H3313" s="23" t="s">
        <v>6004</v>
      </c>
      <c r="I3313" s="23">
        <v>4</v>
      </c>
      <c r="J3313" s="40">
        <v>0</v>
      </c>
      <c r="K3313" s="40">
        <v>8</v>
      </c>
      <c r="L3313" s="40" t="s">
        <v>115</v>
      </c>
      <c r="O3313" s="40" t="s">
        <v>115</v>
      </c>
      <c r="Q3313" s="40">
        <v>197</v>
      </c>
      <c r="R3313" s="40">
        <v>253</v>
      </c>
      <c r="X3313" s="40">
        <v>90260626</v>
      </c>
      <c r="Y3313" s="40">
        <v>-1</v>
      </c>
      <c r="Z3313" s="40">
        <v>6</v>
      </c>
      <c r="AA3313" s="40" t="s">
        <v>115</v>
      </c>
      <c r="AB3313" s="40" t="s">
        <v>115</v>
      </c>
      <c r="AC3313" s="40" t="s">
        <v>115</v>
      </c>
      <c r="AI3313" s="40" t="s">
        <v>115</v>
      </c>
      <c r="AP3313" s="4" t="s">
        <v>115</v>
      </c>
    </row>
    <row r="3314" spans="1:42" x14ac:dyDescent="0.15">
      <c r="A3314" s="40" t="s">
        <v>1</v>
      </c>
      <c r="B3314" s="23">
        <v>90260623</v>
      </c>
      <c r="C3314" s="23">
        <v>2606</v>
      </c>
      <c r="D3314" s="23">
        <v>26</v>
      </c>
      <c r="F3314" s="23" t="s">
        <v>115</v>
      </c>
      <c r="G3314" s="23" t="s">
        <v>115</v>
      </c>
      <c r="H3314" s="23" t="s">
        <v>6005</v>
      </c>
      <c r="I3314" s="23">
        <v>4</v>
      </c>
      <c r="J3314" s="40">
        <v>0</v>
      </c>
      <c r="K3314" s="40">
        <v>9</v>
      </c>
      <c r="L3314" s="40" t="s">
        <v>115</v>
      </c>
      <c r="O3314" s="40" t="s">
        <v>115</v>
      </c>
      <c r="Q3314" s="40">
        <v>197</v>
      </c>
      <c r="R3314" s="40">
        <v>253</v>
      </c>
      <c r="X3314" s="40">
        <v>90260628</v>
      </c>
      <c r="Y3314" s="40">
        <v>-1</v>
      </c>
      <c r="Z3314" s="40">
        <v>6</v>
      </c>
      <c r="AA3314" s="40" t="s">
        <v>115</v>
      </c>
      <c r="AB3314" s="40" t="s">
        <v>115</v>
      </c>
      <c r="AC3314" s="40" t="s">
        <v>115</v>
      </c>
      <c r="AI3314" s="40" t="s">
        <v>115</v>
      </c>
      <c r="AP3314" s="4" t="s">
        <v>115</v>
      </c>
    </row>
    <row r="3315" spans="1:42" x14ac:dyDescent="0.15">
      <c r="A3315" s="40" t="s">
        <v>1</v>
      </c>
      <c r="B3315" s="23">
        <v>90260624</v>
      </c>
      <c r="C3315" s="23">
        <v>2606</v>
      </c>
      <c r="D3315" s="23">
        <v>26</v>
      </c>
      <c r="F3315" s="23" t="s">
        <v>5983</v>
      </c>
      <c r="G3315" s="23" t="s">
        <v>115</v>
      </c>
      <c r="H3315" s="23" t="s">
        <v>6006</v>
      </c>
      <c r="I3315" s="23">
        <v>3</v>
      </c>
      <c r="J3315" s="40">
        <v>0</v>
      </c>
      <c r="K3315" s="40">
        <v>0</v>
      </c>
      <c r="L3315" s="40" t="s">
        <v>115</v>
      </c>
      <c r="O3315" s="40" t="s">
        <v>115</v>
      </c>
      <c r="Q3315" s="40">
        <v>197</v>
      </c>
      <c r="R3315" s="40">
        <v>253</v>
      </c>
      <c r="X3315" s="40">
        <v>90260625</v>
      </c>
      <c r="Y3315" s="40" t="s">
        <v>115</v>
      </c>
      <c r="Z3315" s="40" t="s">
        <v>115</v>
      </c>
      <c r="AA3315" s="40" t="s">
        <v>115</v>
      </c>
      <c r="AB3315" s="40" t="s">
        <v>115</v>
      </c>
      <c r="AC3315" s="40" t="s">
        <v>115</v>
      </c>
      <c r="AI3315" s="40" t="s">
        <v>115</v>
      </c>
      <c r="AP3315" s="4" t="s">
        <v>115</v>
      </c>
    </row>
    <row r="3316" spans="1:42" x14ac:dyDescent="0.15">
      <c r="A3316" s="40" t="s">
        <v>1</v>
      </c>
      <c r="B3316" s="23">
        <v>90260625</v>
      </c>
      <c r="C3316" s="23">
        <v>2606</v>
      </c>
      <c r="D3316" s="23">
        <v>26</v>
      </c>
      <c r="F3316" s="23" t="s">
        <v>5983</v>
      </c>
      <c r="G3316" s="23" t="s">
        <v>115</v>
      </c>
      <c r="H3316" s="23" t="s">
        <v>6007</v>
      </c>
      <c r="I3316" s="23">
        <v>3</v>
      </c>
      <c r="J3316" s="40">
        <v>0</v>
      </c>
      <c r="K3316" s="40">
        <v>0</v>
      </c>
      <c r="L3316" s="40" t="s">
        <v>115</v>
      </c>
      <c r="O3316" s="40" t="s">
        <v>115</v>
      </c>
      <c r="Q3316" s="40">
        <v>197</v>
      </c>
      <c r="R3316" s="40">
        <v>253</v>
      </c>
      <c r="X3316" s="40">
        <v>90260620</v>
      </c>
      <c r="Y3316" s="40" t="s">
        <v>115</v>
      </c>
      <c r="Z3316" s="40" t="s">
        <v>115</v>
      </c>
      <c r="AA3316" s="40" t="s">
        <v>115</v>
      </c>
      <c r="AB3316" s="40" t="s">
        <v>115</v>
      </c>
      <c r="AC3316" s="40" t="s">
        <v>115</v>
      </c>
      <c r="AI3316" s="40" t="s">
        <v>115</v>
      </c>
      <c r="AP3316" s="4" t="s">
        <v>115</v>
      </c>
    </row>
    <row r="3317" spans="1:42" x14ac:dyDescent="0.15">
      <c r="A3317" s="40" t="s">
        <v>1</v>
      </c>
      <c r="B3317" s="23">
        <v>90260626</v>
      </c>
      <c r="C3317" s="23">
        <v>2606</v>
      </c>
      <c r="D3317" s="23">
        <v>26</v>
      </c>
      <c r="F3317" s="23" t="s">
        <v>5983</v>
      </c>
      <c r="G3317" s="23" t="s">
        <v>115</v>
      </c>
      <c r="H3317" s="23" t="s">
        <v>6008</v>
      </c>
      <c r="I3317" s="23">
        <v>3</v>
      </c>
      <c r="J3317" s="40">
        <v>0</v>
      </c>
      <c r="K3317" s="40">
        <v>0</v>
      </c>
      <c r="L3317" s="40" t="s">
        <v>115</v>
      </c>
      <c r="O3317" s="40" t="s">
        <v>115</v>
      </c>
      <c r="Q3317" s="40">
        <v>197</v>
      </c>
      <c r="R3317" s="40">
        <v>253</v>
      </c>
      <c r="X3317" s="40">
        <v>90260627</v>
      </c>
      <c r="Y3317" s="40" t="s">
        <v>115</v>
      </c>
      <c r="Z3317" s="40" t="s">
        <v>115</v>
      </c>
      <c r="AA3317" s="40" t="s">
        <v>115</v>
      </c>
      <c r="AB3317" s="40" t="s">
        <v>115</v>
      </c>
      <c r="AC3317" s="40" t="s">
        <v>115</v>
      </c>
      <c r="AI3317" s="40" t="s">
        <v>115</v>
      </c>
      <c r="AP3317" s="4" t="s">
        <v>115</v>
      </c>
    </row>
    <row r="3318" spans="1:42" x14ac:dyDescent="0.15">
      <c r="A3318" s="40" t="s">
        <v>1</v>
      </c>
      <c r="B3318" s="23">
        <v>90260627</v>
      </c>
      <c r="C3318" s="23">
        <v>2606</v>
      </c>
      <c r="D3318" s="23">
        <v>26</v>
      </c>
      <c r="F3318" s="23" t="s">
        <v>5983</v>
      </c>
      <c r="G3318" s="23" t="s">
        <v>115</v>
      </c>
      <c r="H3318" s="23" t="s">
        <v>6007</v>
      </c>
      <c r="I3318" s="23">
        <v>3</v>
      </c>
      <c r="J3318" s="40">
        <v>0</v>
      </c>
      <c r="K3318" s="40">
        <v>0</v>
      </c>
      <c r="L3318" s="40" t="s">
        <v>115</v>
      </c>
      <c r="O3318" s="40" t="s">
        <v>115</v>
      </c>
      <c r="Q3318" s="40">
        <v>197</v>
      </c>
      <c r="R3318" s="40">
        <v>253</v>
      </c>
      <c r="X3318" s="40">
        <v>90260620</v>
      </c>
      <c r="Y3318" s="40" t="s">
        <v>115</v>
      </c>
      <c r="Z3318" s="40" t="s">
        <v>115</v>
      </c>
      <c r="AA3318" s="40" t="s">
        <v>115</v>
      </c>
      <c r="AB3318" s="40" t="s">
        <v>115</v>
      </c>
      <c r="AC3318" s="40" t="s">
        <v>115</v>
      </c>
      <c r="AI3318" s="40" t="s">
        <v>115</v>
      </c>
      <c r="AP3318" s="4" t="s">
        <v>115</v>
      </c>
    </row>
    <row r="3319" spans="1:42" x14ac:dyDescent="0.15">
      <c r="A3319" s="40" t="s">
        <v>1</v>
      </c>
      <c r="B3319" s="23">
        <v>90260628</v>
      </c>
      <c r="C3319" s="23">
        <v>2606</v>
      </c>
      <c r="D3319" s="23">
        <v>26</v>
      </c>
      <c r="F3319" s="23" t="s">
        <v>5983</v>
      </c>
      <c r="G3319" s="23" t="s">
        <v>115</v>
      </c>
      <c r="H3319" s="23" t="s">
        <v>6009</v>
      </c>
      <c r="I3319" s="23">
        <v>3</v>
      </c>
      <c r="J3319" s="40">
        <v>0</v>
      </c>
      <c r="K3319" s="40">
        <v>0</v>
      </c>
      <c r="L3319" s="40" t="s">
        <v>115</v>
      </c>
      <c r="O3319" s="40" t="s">
        <v>115</v>
      </c>
      <c r="Q3319" s="40">
        <v>197</v>
      </c>
      <c r="R3319" s="40">
        <v>253</v>
      </c>
      <c r="X3319" s="40">
        <v>90260629</v>
      </c>
      <c r="Y3319" s="40" t="s">
        <v>115</v>
      </c>
      <c r="Z3319" s="40" t="s">
        <v>115</v>
      </c>
      <c r="AA3319" s="40" t="s">
        <v>115</v>
      </c>
      <c r="AB3319" s="40" t="s">
        <v>115</v>
      </c>
      <c r="AC3319" s="40" t="s">
        <v>115</v>
      </c>
      <c r="AI3319" s="40" t="s">
        <v>115</v>
      </c>
      <c r="AP3319" s="4" t="s">
        <v>115</v>
      </c>
    </row>
    <row r="3320" spans="1:42" x14ac:dyDescent="0.15">
      <c r="A3320" s="40" t="s">
        <v>1</v>
      </c>
      <c r="B3320" s="23">
        <v>90260629</v>
      </c>
      <c r="C3320" s="23">
        <v>2606</v>
      </c>
      <c r="D3320" s="23">
        <v>26</v>
      </c>
      <c r="F3320" s="23" t="s">
        <v>5983</v>
      </c>
      <c r="G3320" s="23" t="s">
        <v>115</v>
      </c>
      <c r="H3320" s="23" t="s">
        <v>6010</v>
      </c>
      <c r="I3320" s="23">
        <v>3</v>
      </c>
      <c r="J3320" s="40">
        <v>0</v>
      </c>
      <c r="K3320" s="40">
        <v>0</v>
      </c>
      <c r="L3320" s="40" t="s">
        <v>115</v>
      </c>
      <c r="O3320" s="40" t="s">
        <v>115</v>
      </c>
      <c r="Q3320" s="40">
        <v>197</v>
      </c>
      <c r="R3320" s="40">
        <v>253</v>
      </c>
      <c r="X3320" s="40">
        <v>90260630</v>
      </c>
      <c r="Y3320" s="40" t="s">
        <v>115</v>
      </c>
      <c r="Z3320" s="40" t="s">
        <v>115</v>
      </c>
      <c r="AA3320" s="40" t="s">
        <v>115</v>
      </c>
      <c r="AB3320" s="40" t="s">
        <v>115</v>
      </c>
      <c r="AC3320" s="40" t="s">
        <v>115</v>
      </c>
      <c r="AI3320" s="40" t="s">
        <v>115</v>
      </c>
      <c r="AP3320" s="4" t="s">
        <v>115</v>
      </c>
    </row>
    <row r="3321" spans="1:42" x14ac:dyDescent="0.15">
      <c r="A3321" s="40" t="s">
        <v>1</v>
      </c>
      <c r="B3321" s="23">
        <v>90260630</v>
      </c>
      <c r="C3321" s="23">
        <v>2606</v>
      </c>
      <c r="D3321" s="23">
        <v>26</v>
      </c>
      <c r="F3321" s="23" t="s">
        <v>5983</v>
      </c>
      <c r="G3321" s="23" t="s">
        <v>115</v>
      </c>
      <c r="H3321" s="23" t="s">
        <v>6011</v>
      </c>
      <c r="I3321" s="23">
        <v>3</v>
      </c>
      <c r="J3321" s="40">
        <v>0</v>
      </c>
      <c r="K3321" s="40">
        <v>0</v>
      </c>
      <c r="L3321" s="40" t="s">
        <v>115</v>
      </c>
      <c r="O3321" s="40" t="s">
        <v>115</v>
      </c>
      <c r="Q3321" s="40">
        <v>197</v>
      </c>
      <c r="R3321" s="40">
        <v>253</v>
      </c>
      <c r="X3321" s="40">
        <v>90260631</v>
      </c>
      <c r="Y3321" s="40" t="s">
        <v>115</v>
      </c>
      <c r="Z3321" s="40" t="s">
        <v>115</v>
      </c>
      <c r="AA3321" s="40" t="s">
        <v>115</v>
      </c>
      <c r="AB3321" s="40" t="s">
        <v>115</v>
      </c>
      <c r="AC3321" s="40" t="s">
        <v>115</v>
      </c>
      <c r="AI3321" s="40" t="s">
        <v>115</v>
      </c>
      <c r="AP3321" s="4" t="s">
        <v>115</v>
      </c>
    </row>
    <row r="3322" spans="1:42" x14ac:dyDescent="0.15">
      <c r="A3322" s="40" t="s">
        <v>1</v>
      </c>
      <c r="B3322" s="23">
        <v>90260631</v>
      </c>
      <c r="C3322" s="23">
        <v>2606</v>
      </c>
      <c r="D3322" s="23">
        <v>26</v>
      </c>
      <c r="F3322" s="23" t="s">
        <v>115</v>
      </c>
      <c r="G3322" s="23" t="s">
        <v>115</v>
      </c>
      <c r="H3322" s="23" t="s">
        <v>6012</v>
      </c>
      <c r="I3322" s="23">
        <v>4</v>
      </c>
      <c r="J3322" s="40">
        <v>0</v>
      </c>
      <c r="K3322" s="40">
        <v>0</v>
      </c>
      <c r="L3322" s="40" t="s">
        <v>115</v>
      </c>
      <c r="O3322" s="40" t="s">
        <v>115</v>
      </c>
      <c r="Q3322" s="40">
        <v>197</v>
      </c>
      <c r="R3322" s="40" t="s">
        <v>115</v>
      </c>
      <c r="X3322" s="40">
        <v>90260632</v>
      </c>
      <c r="Y3322" s="40" t="s">
        <v>115</v>
      </c>
      <c r="Z3322" s="40" t="s">
        <v>115</v>
      </c>
      <c r="AA3322" s="40" t="s">
        <v>115</v>
      </c>
      <c r="AB3322" s="40" t="s">
        <v>115</v>
      </c>
      <c r="AC3322" s="40" t="s">
        <v>115</v>
      </c>
      <c r="AI3322" s="40" t="s">
        <v>115</v>
      </c>
      <c r="AP3322" s="4" t="s">
        <v>115</v>
      </c>
    </row>
    <row r="3323" spans="1:42" x14ac:dyDescent="0.15">
      <c r="A3323" s="40" t="s">
        <v>1</v>
      </c>
      <c r="B3323" s="23">
        <v>90260632</v>
      </c>
      <c r="C3323" s="23">
        <v>2606</v>
      </c>
      <c r="D3323" s="23">
        <v>26</v>
      </c>
      <c r="F3323" s="23" t="s">
        <v>115</v>
      </c>
      <c r="G3323" s="23" t="s">
        <v>115</v>
      </c>
      <c r="H3323" s="23" t="s">
        <v>6013</v>
      </c>
      <c r="I3323" s="23">
        <v>4</v>
      </c>
      <c r="J3323" s="40">
        <v>0</v>
      </c>
      <c r="K3323" s="40">
        <v>0</v>
      </c>
      <c r="L3323" s="40" t="s">
        <v>115</v>
      </c>
      <c r="O3323" s="40" t="s">
        <v>115</v>
      </c>
      <c r="Q3323" s="40">
        <v>197</v>
      </c>
      <c r="R3323" s="40" t="s">
        <v>115</v>
      </c>
      <c r="X3323" s="40">
        <v>90260633</v>
      </c>
      <c r="Y3323" s="40" t="s">
        <v>115</v>
      </c>
      <c r="Z3323" s="40" t="s">
        <v>115</v>
      </c>
      <c r="AA3323" s="40" t="s">
        <v>115</v>
      </c>
      <c r="AB3323" s="40" t="s">
        <v>115</v>
      </c>
      <c r="AC3323" s="40" t="s">
        <v>115</v>
      </c>
      <c r="AI3323" s="40" t="s">
        <v>115</v>
      </c>
      <c r="AP3323" s="4" t="s">
        <v>115</v>
      </c>
    </row>
    <row r="3324" spans="1:42" x14ac:dyDescent="0.15">
      <c r="A3324" s="40" t="s">
        <v>1</v>
      </c>
      <c r="B3324" s="23">
        <v>90260633</v>
      </c>
      <c r="C3324" s="23">
        <v>2606</v>
      </c>
      <c r="D3324" s="23">
        <v>26</v>
      </c>
      <c r="F3324" s="23" t="s">
        <v>115</v>
      </c>
      <c r="G3324" s="23" t="s">
        <v>115</v>
      </c>
      <c r="H3324" s="23" t="s">
        <v>6014</v>
      </c>
      <c r="I3324" s="23">
        <v>4</v>
      </c>
      <c r="J3324" s="40">
        <v>0</v>
      </c>
      <c r="K3324" s="40">
        <v>0</v>
      </c>
      <c r="L3324" s="40" t="s">
        <v>115</v>
      </c>
      <c r="O3324" s="40" t="s">
        <v>115</v>
      </c>
      <c r="Q3324" s="40">
        <v>197</v>
      </c>
      <c r="R3324" s="40" t="s">
        <v>115</v>
      </c>
      <c r="X3324" s="40">
        <v>90260634</v>
      </c>
      <c r="Y3324" s="40" t="s">
        <v>115</v>
      </c>
      <c r="Z3324" s="40" t="s">
        <v>115</v>
      </c>
      <c r="AA3324" s="40" t="s">
        <v>115</v>
      </c>
      <c r="AB3324" s="40" t="s">
        <v>115</v>
      </c>
      <c r="AC3324" s="40" t="s">
        <v>115</v>
      </c>
      <c r="AI3324" s="40" t="s">
        <v>115</v>
      </c>
      <c r="AP3324" s="4" t="s">
        <v>115</v>
      </c>
    </row>
    <row r="3325" spans="1:42" x14ac:dyDescent="0.15">
      <c r="A3325" s="40" t="s">
        <v>1</v>
      </c>
      <c r="B3325" s="23">
        <v>90260634</v>
      </c>
      <c r="C3325" s="23">
        <v>2606</v>
      </c>
      <c r="D3325" s="23">
        <v>26</v>
      </c>
      <c r="F3325" s="23" t="s">
        <v>115</v>
      </c>
      <c r="G3325" s="23" t="s">
        <v>115</v>
      </c>
      <c r="H3325" s="23" t="s">
        <v>6015</v>
      </c>
      <c r="I3325" s="23">
        <v>4</v>
      </c>
      <c r="J3325" s="40">
        <v>0</v>
      </c>
      <c r="K3325" s="40">
        <v>0</v>
      </c>
      <c r="L3325" s="40" t="s">
        <v>115</v>
      </c>
      <c r="O3325" s="40" t="s">
        <v>115</v>
      </c>
      <c r="Q3325" s="40">
        <v>197</v>
      </c>
      <c r="R3325" s="40">
        <v>213</v>
      </c>
      <c r="X3325" s="40">
        <v>90260635</v>
      </c>
      <c r="Y3325" s="40" t="s">
        <v>115</v>
      </c>
      <c r="Z3325" s="40" t="s">
        <v>115</v>
      </c>
      <c r="AA3325" s="40" t="s">
        <v>115</v>
      </c>
      <c r="AB3325" s="40" t="s">
        <v>115</v>
      </c>
      <c r="AC3325" s="40" t="s">
        <v>115</v>
      </c>
      <c r="AI3325" s="40" t="s">
        <v>115</v>
      </c>
      <c r="AP3325" s="4" t="s">
        <v>115</v>
      </c>
    </row>
    <row r="3326" spans="1:42" x14ac:dyDescent="0.15">
      <c r="A3326" s="40" t="s">
        <v>1</v>
      </c>
      <c r="B3326" s="23">
        <v>90260635</v>
      </c>
      <c r="C3326" s="23">
        <v>2606</v>
      </c>
      <c r="D3326" s="23">
        <v>26</v>
      </c>
      <c r="F3326" s="23" t="s">
        <v>116</v>
      </c>
      <c r="G3326" s="23">
        <v>312</v>
      </c>
      <c r="H3326" s="23" t="s">
        <v>6016</v>
      </c>
      <c r="I3326" s="23">
        <v>0</v>
      </c>
      <c r="J3326" s="40">
        <v>0</v>
      </c>
      <c r="K3326" s="40">
        <v>0</v>
      </c>
      <c r="L3326" s="40" t="s">
        <v>115</v>
      </c>
      <c r="O3326" s="40" t="s">
        <v>115</v>
      </c>
      <c r="Q3326" s="40">
        <v>197</v>
      </c>
      <c r="R3326" s="40">
        <v>213</v>
      </c>
      <c r="X3326" s="40">
        <v>90260636</v>
      </c>
      <c r="Y3326" s="40" t="s">
        <v>115</v>
      </c>
      <c r="Z3326" s="40" t="s">
        <v>115</v>
      </c>
      <c r="AA3326" s="40" t="s">
        <v>115</v>
      </c>
      <c r="AB3326" s="40" t="s">
        <v>115</v>
      </c>
      <c r="AC3326" s="40" t="s">
        <v>115</v>
      </c>
      <c r="AI3326" s="40" t="s">
        <v>115</v>
      </c>
      <c r="AP3326" s="4" t="s">
        <v>115</v>
      </c>
    </row>
    <row r="3327" spans="1:42" x14ac:dyDescent="0.15">
      <c r="A3327" s="40" t="s">
        <v>1</v>
      </c>
      <c r="B3327" s="23">
        <v>90260636</v>
      </c>
      <c r="C3327" s="23">
        <v>2606</v>
      </c>
      <c r="D3327" s="23">
        <v>26</v>
      </c>
      <c r="F3327" s="23" t="s">
        <v>529</v>
      </c>
      <c r="G3327" s="23" t="s">
        <v>115</v>
      </c>
      <c r="H3327" s="23" t="s">
        <v>2847</v>
      </c>
      <c r="I3327" s="23">
        <v>3</v>
      </c>
      <c r="J3327" s="40">
        <v>0</v>
      </c>
      <c r="K3327" s="40">
        <v>0</v>
      </c>
      <c r="L3327" s="40" t="s">
        <v>115</v>
      </c>
      <c r="O3327" s="40" t="s">
        <v>115</v>
      </c>
      <c r="Q3327" s="40">
        <v>197</v>
      </c>
      <c r="R3327" s="40">
        <v>213</v>
      </c>
      <c r="X3327" s="40">
        <v>90260637</v>
      </c>
      <c r="Y3327" s="40" t="s">
        <v>115</v>
      </c>
      <c r="Z3327" s="40" t="s">
        <v>115</v>
      </c>
      <c r="AA3327" s="40" t="s">
        <v>115</v>
      </c>
      <c r="AB3327" s="40" t="s">
        <v>115</v>
      </c>
      <c r="AC3327" s="40" t="s">
        <v>115</v>
      </c>
      <c r="AI3327" s="40" t="s">
        <v>115</v>
      </c>
      <c r="AP3327" s="4" t="s">
        <v>115</v>
      </c>
    </row>
    <row r="3328" spans="1:42" x14ac:dyDescent="0.15">
      <c r="A3328" s="40" t="s">
        <v>1</v>
      </c>
      <c r="B3328" s="23">
        <v>90260637</v>
      </c>
      <c r="C3328" s="23">
        <v>2606</v>
      </c>
      <c r="D3328" s="23">
        <v>26</v>
      </c>
      <c r="F3328" s="23" t="s">
        <v>115</v>
      </c>
      <c r="G3328" s="23" t="s">
        <v>115</v>
      </c>
      <c r="H3328" s="23" t="s">
        <v>6017</v>
      </c>
      <c r="I3328" s="23">
        <v>4</v>
      </c>
      <c r="J3328" s="40">
        <v>0</v>
      </c>
      <c r="K3328" s="40">
        <v>10</v>
      </c>
      <c r="L3328" s="40" t="s">
        <v>115</v>
      </c>
      <c r="O3328" s="40" t="s">
        <v>115</v>
      </c>
      <c r="Q3328" s="40">
        <v>197</v>
      </c>
      <c r="R3328" s="40" t="s">
        <v>115</v>
      </c>
      <c r="X3328" s="40" t="s">
        <v>6018</v>
      </c>
      <c r="Y3328" s="40">
        <v>1</v>
      </c>
      <c r="Z3328" s="40">
        <v>6</v>
      </c>
      <c r="AA3328" s="40" t="s">
        <v>115</v>
      </c>
      <c r="AB3328" s="40" t="s">
        <v>115</v>
      </c>
      <c r="AC3328" s="40" t="s">
        <v>115</v>
      </c>
      <c r="AI3328" s="40" t="s">
        <v>115</v>
      </c>
      <c r="AP3328" s="4" t="s">
        <v>115</v>
      </c>
    </row>
    <row r="3329" spans="1:42" x14ac:dyDescent="0.15">
      <c r="A3329" s="40" t="s">
        <v>1</v>
      </c>
      <c r="B3329" s="23">
        <v>90260638</v>
      </c>
      <c r="C3329" s="23">
        <v>2606</v>
      </c>
      <c r="D3329" s="23">
        <v>26</v>
      </c>
      <c r="F3329" s="23" t="s">
        <v>115</v>
      </c>
      <c r="G3329" s="23" t="s">
        <v>115</v>
      </c>
      <c r="H3329" s="23" t="s">
        <v>6019</v>
      </c>
      <c r="I3329" s="23">
        <v>4</v>
      </c>
      <c r="J3329" s="40">
        <v>0</v>
      </c>
      <c r="K3329" s="40">
        <v>11</v>
      </c>
      <c r="L3329" s="40" t="s">
        <v>115</v>
      </c>
      <c r="O3329" s="40" t="s">
        <v>115</v>
      </c>
      <c r="Q3329" s="40">
        <v>197</v>
      </c>
      <c r="R3329" s="40" t="s">
        <v>115</v>
      </c>
      <c r="X3329" s="40">
        <v>90260639</v>
      </c>
      <c r="Y3329" s="40">
        <v>-1</v>
      </c>
      <c r="Z3329" s="40">
        <v>10</v>
      </c>
      <c r="AA3329" s="40" t="s">
        <v>115</v>
      </c>
      <c r="AB3329" s="40" t="s">
        <v>115</v>
      </c>
      <c r="AC3329" s="40" t="s">
        <v>6020</v>
      </c>
      <c r="AI3329" s="40" t="s">
        <v>115</v>
      </c>
      <c r="AP3329" s="4" t="s">
        <v>115</v>
      </c>
    </row>
    <row r="3330" spans="1:42" x14ac:dyDescent="0.15">
      <c r="A3330" s="40" t="s">
        <v>1</v>
      </c>
      <c r="B3330" s="23">
        <v>90260639</v>
      </c>
      <c r="C3330" s="23">
        <v>2606</v>
      </c>
      <c r="D3330" s="23">
        <v>26</v>
      </c>
      <c r="F3330" s="23" t="s">
        <v>115</v>
      </c>
      <c r="G3330" s="23" t="s">
        <v>115</v>
      </c>
      <c r="H3330" s="23" t="s">
        <v>6021</v>
      </c>
      <c r="I3330" s="23">
        <v>4</v>
      </c>
      <c r="J3330" s="40">
        <v>0</v>
      </c>
      <c r="K3330" s="40">
        <v>0</v>
      </c>
      <c r="L3330" s="40" t="s">
        <v>115</v>
      </c>
      <c r="O3330" s="40" t="s">
        <v>115</v>
      </c>
      <c r="Q3330" s="40">
        <v>197</v>
      </c>
      <c r="R3330" s="40" t="s">
        <v>115</v>
      </c>
      <c r="X3330" s="40">
        <v>90260640</v>
      </c>
      <c r="Y3330" s="40" t="s">
        <v>115</v>
      </c>
      <c r="Z3330" s="40" t="s">
        <v>115</v>
      </c>
      <c r="AA3330" s="40" t="s">
        <v>115</v>
      </c>
      <c r="AB3330" s="40" t="s">
        <v>115</v>
      </c>
      <c r="AC3330" s="40" t="s">
        <v>115</v>
      </c>
      <c r="AI3330" s="40" t="s">
        <v>115</v>
      </c>
      <c r="AP3330" s="4" t="s">
        <v>115</v>
      </c>
    </row>
    <row r="3331" spans="1:42" x14ac:dyDescent="0.15">
      <c r="A3331" s="40" t="s">
        <v>1</v>
      </c>
      <c r="B3331" s="23">
        <v>90260640</v>
      </c>
      <c r="C3331" s="23">
        <v>2606</v>
      </c>
      <c r="D3331" s="23">
        <v>26</v>
      </c>
      <c r="F3331" s="23" t="s">
        <v>115</v>
      </c>
      <c r="G3331" s="23" t="s">
        <v>115</v>
      </c>
      <c r="H3331" s="23" t="s">
        <v>6022</v>
      </c>
      <c r="I3331" s="23">
        <v>4</v>
      </c>
      <c r="J3331" s="40">
        <v>0</v>
      </c>
      <c r="K3331" s="40">
        <v>0</v>
      </c>
      <c r="L3331" s="40" t="s">
        <v>115</v>
      </c>
      <c r="O3331" s="40" t="s">
        <v>115</v>
      </c>
      <c r="Q3331" s="40">
        <v>197</v>
      </c>
      <c r="R3331" s="40" t="s">
        <v>115</v>
      </c>
      <c r="X3331" s="40">
        <v>90260641</v>
      </c>
      <c r="Y3331" s="40" t="s">
        <v>115</v>
      </c>
      <c r="Z3331" s="40" t="s">
        <v>115</v>
      </c>
      <c r="AA3331" s="40" t="s">
        <v>115</v>
      </c>
      <c r="AB3331" s="40" t="s">
        <v>115</v>
      </c>
      <c r="AC3331" s="40" t="s">
        <v>115</v>
      </c>
      <c r="AI3331" s="40" t="s">
        <v>115</v>
      </c>
      <c r="AP3331" s="4" t="s">
        <v>115</v>
      </c>
    </row>
    <row r="3332" spans="1:42" x14ac:dyDescent="0.15">
      <c r="A3332" s="40" t="s">
        <v>1</v>
      </c>
      <c r="B3332" s="23">
        <v>90260641</v>
      </c>
      <c r="C3332" s="23">
        <v>2606</v>
      </c>
      <c r="D3332" s="23">
        <v>26</v>
      </c>
      <c r="F3332" s="23" t="s">
        <v>6023</v>
      </c>
      <c r="G3332" s="23" t="s">
        <v>115</v>
      </c>
      <c r="H3332" s="23" t="s">
        <v>6024</v>
      </c>
      <c r="I3332" s="23">
        <v>3</v>
      </c>
      <c r="J3332" s="40">
        <v>0</v>
      </c>
      <c r="K3332" s="40">
        <v>0</v>
      </c>
      <c r="L3332" s="40" t="s">
        <v>115</v>
      </c>
      <c r="O3332" s="40" t="s">
        <v>115</v>
      </c>
      <c r="Q3332" s="40">
        <v>197</v>
      </c>
      <c r="R3332" s="40">
        <v>252</v>
      </c>
      <c r="X3332" s="40">
        <v>90260642</v>
      </c>
      <c r="Y3332" s="40" t="s">
        <v>115</v>
      </c>
      <c r="Z3332" s="40" t="s">
        <v>115</v>
      </c>
      <c r="AA3332" s="40" t="s">
        <v>115</v>
      </c>
      <c r="AB3332" s="40" t="s">
        <v>115</v>
      </c>
      <c r="AC3332" s="40" t="s">
        <v>115</v>
      </c>
      <c r="AI3332" s="40" t="s">
        <v>115</v>
      </c>
      <c r="AP3332" s="4" t="s">
        <v>115</v>
      </c>
    </row>
    <row r="3333" spans="1:42" x14ac:dyDescent="0.15">
      <c r="A3333" s="40" t="s">
        <v>1</v>
      </c>
      <c r="B3333" s="23">
        <v>90260642</v>
      </c>
      <c r="C3333" s="23">
        <v>2606</v>
      </c>
      <c r="D3333" s="23">
        <v>26</v>
      </c>
      <c r="F3333" s="23" t="s">
        <v>6025</v>
      </c>
      <c r="G3333" s="23" t="s">
        <v>115</v>
      </c>
      <c r="H3333" s="23" t="s">
        <v>6026</v>
      </c>
      <c r="I3333" s="23">
        <v>3</v>
      </c>
      <c r="J3333" s="40">
        <v>0</v>
      </c>
      <c r="K3333" s="40">
        <v>0</v>
      </c>
      <c r="L3333" s="40" t="s">
        <v>115</v>
      </c>
      <c r="O3333" s="40" t="s">
        <v>115</v>
      </c>
      <c r="Q3333" s="40">
        <v>197</v>
      </c>
      <c r="R3333" s="40">
        <v>101</v>
      </c>
      <c r="X3333" s="40">
        <v>90260643</v>
      </c>
      <c r="Y3333" s="40" t="s">
        <v>115</v>
      </c>
      <c r="Z3333" s="40" t="s">
        <v>115</v>
      </c>
      <c r="AA3333" s="40" t="s">
        <v>115</v>
      </c>
      <c r="AB3333" s="40" t="s">
        <v>115</v>
      </c>
      <c r="AC3333" s="40" t="s">
        <v>115</v>
      </c>
      <c r="AI3333" s="40" t="s">
        <v>115</v>
      </c>
      <c r="AP3333" s="4" t="s">
        <v>115</v>
      </c>
    </row>
    <row r="3334" spans="1:42" x14ac:dyDescent="0.15">
      <c r="A3334" s="40" t="s">
        <v>1</v>
      </c>
      <c r="B3334" s="23">
        <v>90260643</v>
      </c>
      <c r="C3334" s="23">
        <v>2606</v>
      </c>
      <c r="D3334" s="23">
        <v>26</v>
      </c>
      <c r="F3334" s="23" t="s">
        <v>6027</v>
      </c>
      <c r="G3334" s="23" t="s">
        <v>115</v>
      </c>
      <c r="H3334" s="23" t="s">
        <v>6028</v>
      </c>
      <c r="I3334" s="23">
        <v>3</v>
      </c>
      <c r="J3334" s="40">
        <v>0</v>
      </c>
      <c r="K3334" s="40">
        <v>0</v>
      </c>
      <c r="L3334" s="40" t="s">
        <v>115</v>
      </c>
      <c r="O3334" s="40" t="s">
        <v>115</v>
      </c>
      <c r="Q3334" s="40">
        <v>197</v>
      </c>
      <c r="R3334" s="40">
        <v>129</v>
      </c>
      <c r="X3334" s="40">
        <v>90260644</v>
      </c>
      <c r="Y3334" s="40" t="s">
        <v>115</v>
      </c>
      <c r="Z3334" s="40" t="s">
        <v>115</v>
      </c>
      <c r="AA3334" s="40" t="s">
        <v>115</v>
      </c>
      <c r="AB3334" s="40" t="s">
        <v>115</v>
      </c>
      <c r="AC3334" s="40" t="s">
        <v>115</v>
      </c>
      <c r="AI3334" s="40" t="s">
        <v>115</v>
      </c>
      <c r="AP3334" s="4" t="s">
        <v>115</v>
      </c>
    </row>
    <row r="3335" spans="1:42" x14ac:dyDescent="0.15">
      <c r="A3335" s="40" t="s">
        <v>1</v>
      </c>
      <c r="B3335" s="23">
        <v>90260644</v>
      </c>
      <c r="C3335" s="23">
        <v>2606</v>
      </c>
      <c r="D3335" s="23">
        <v>26</v>
      </c>
      <c r="F3335" s="23" t="s">
        <v>115</v>
      </c>
      <c r="G3335" s="23" t="s">
        <v>115</v>
      </c>
      <c r="H3335" s="23" t="s">
        <v>6029</v>
      </c>
      <c r="I3335" s="23">
        <v>4</v>
      </c>
      <c r="J3335" s="40">
        <v>0</v>
      </c>
      <c r="K3335" s="40">
        <v>0</v>
      </c>
      <c r="L3335" s="40" t="s">
        <v>115</v>
      </c>
      <c r="O3335" s="40" t="s">
        <v>115</v>
      </c>
      <c r="Q3335" s="40">
        <v>197</v>
      </c>
      <c r="R3335" s="40" t="s">
        <v>115</v>
      </c>
      <c r="X3335" s="40">
        <v>90260645</v>
      </c>
      <c r="Y3335" s="40" t="s">
        <v>115</v>
      </c>
      <c r="Z3335" s="40" t="s">
        <v>115</v>
      </c>
      <c r="AA3335" s="40" t="s">
        <v>115</v>
      </c>
      <c r="AB3335" s="40" t="s">
        <v>115</v>
      </c>
      <c r="AC3335" s="40" t="s">
        <v>115</v>
      </c>
      <c r="AI3335" s="40" t="s">
        <v>115</v>
      </c>
      <c r="AP3335" s="4" t="s">
        <v>115</v>
      </c>
    </row>
    <row r="3336" spans="1:42" x14ac:dyDescent="0.15">
      <c r="A3336" s="40" t="s">
        <v>1</v>
      </c>
      <c r="B3336" s="23">
        <v>90260645</v>
      </c>
      <c r="C3336" s="23">
        <v>2606</v>
      </c>
      <c r="D3336" s="23">
        <v>26</v>
      </c>
      <c r="F3336" s="23" t="s">
        <v>5983</v>
      </c>
      <c r="G3336" s="23" t="s">
        <v>115</v>
      </c>
      <c r="H3336" s="23" t="s">
        <v>6030</v>
      </c>
      <c r="I3336" s="23">
        <v>3</v>
      </c>
      <c r="J3336" s="40">
        <v>0</v>
      </c>
      <c r="K3336" s="40">
        <v>0</v>
      </c>
      <c r="L3336" s="40" t="s">
        <v>115</v>
      </c>
      <c r="O3336" s="40" t="s">
        <v>115</v>
      </c>
      <c r="Q3336" s="40">
        <v>197</v>
      </c>
      <c r="R3336" s="40">
        <v>253</v>
      </c>
      <c r="X3336" s="40">
        <v>90260646</v>
      </c>
      <c r="Y3336" s="40" t="s">
        <v>115</v>
      </c>
      <c r="Z3336" s="40" t="s">
        <v>115</v>
      </c>
      <c r="AA3336" s="40" t="s">
        <v>115</v>
      </c>
      <c r="AB3336" s="40" t="s">
        <v>115</v>
      </c>
      <c r="AC3336" s="40" t="s">
        <v>115</v>
      </c>
      <c r="AI3336" s="40" t="s">
        <v>115</v>
      </c>
      <c r="AP3336" s="4" t="s">
        <v>115</v>
      </c>
    </row>
    <row r="3337" spans="1:42" x14ac:dyDescent="0.15">
      <c r="A3337" s="40" t="s">
        <v>1</v>
      </c>
      <c r="B3337" s="23">
        <v>90260646</v>
      </c>
      <c r="C3337" s="23">
        <v>2606</v>
      </c>
      <c r="D3337" s="23">
        <v>26</v>
      </c>
      <c r="F3337" s="23" t="s">
        <v>116</v>
      </c>
      <c r="G3337" s="23">
        <v>309</v>
      </c>
      <c r="H3337" s="23" t="s">
        <v>6031</v>
      </c>
      <c r="I3337" s="23">
        <v>0</v>
      </c>
      <c r="J3337" s="40">
        <v>0</v>
      </c>
      <c r="K3337" s="40">
        <v>0</v>
      </c>
      <c r="L3337" s="40" t="s">
        <v>115</v>
      </c>
      <c r="O3337" s="40" t="s">
        <v>115</v>
      </c>
      <c r="Q3337" s="40">
        <v>197</v>
      </c>
      <c r="R3337" s="40">
        <v>253</v>
      </c>
      <c r="X3337" s="40">
        <v>90260647</v>
      </c>
      <c r="Y3337" s="40" t="s">
        <v>115</v>
      </c>
      <c r="Z3337" s="40" t="s">
        <v>115</v>
      </c>
      <c r="AA3337" s="40" t="s">
        <v>115</v>
      </c>
      <c r="AB3337" s="40" t="s">
        <v>115</v>
      </c>
      <c r="AC3337" s="40" t="s">
        <v>115</v>
      </c>
      <c r="AI3337" s="40" t="s">
        <v>115</v>
      </c>
      <c r="AP3337" s="4" t="s">
        <v>115</v>
      </c>
    </row>
    <row r="3338" spans="1:42" x14ac:dyDescent="0.15">
      <c r="A3338" s="40" t="s">
        <v>1</v>
      </c>
      <c r="B3338" s="23">
        <v>90260647</v>
      </c>
      <c r="C3338" s="23">
        <v>2606</v>
      </c>
      <c r="D3338" s="23">
        <v>26</v>
      </c>
      <c r="F3338" s="23" t="s">
        <v>5983</v>
      </c>
      <c r="G3338" s="23" t="s">
        <v>115</v>
      </c>
      <c r="H3338" s="23" t="s">
        <v>6032</v>
      </c>
      <c r="I3338" s="23">
        <v>3</v>
      </c>
      <c r="J3338" s="40">
        <v>0</v>
      </c>
      <c r="K3338" s="40">
        <v>0</v>
      </c>
      <c r="L3338" s="40" t="s">
        <v>115</v>
      </c>
      <c r="O3338" s="40" t="s">
        <v>115</v>
      </c>
      <c r="Q3338" s="40">
        <v>197</v>
      </c>
      <c r="R3338" s="40">
        <v>253</v>
      </c>
      <c r="X3338" s="40">
        <v>90260648</v>
      </c>
      <c r="Y3338" s="40" t="s">
        <v>115</v>
      </c>
      <c r="Z3338" s="40" t="s">
        <v>115</v>
      </c>
      <c r="AA3338" s="40" t="s">
        <v>115</v>
      </c>
      <c r="AB3338" s="40" t="s">
        <v>115</v>
      </c>
      <c r="AC3338" s="40" t="s">
        <v>115</v>
      </c>
      <c r="AI3338" s="40" t="s">
        <v>115</v>
      </c>
      <c r="AP3338" s="4" t="s">
        <v>115</v>
      </c>
    </row>
    <row r="3339" spans="1:42" x14ac:dyDescent="0.15">
      <c r="A3339" s="40" t="s">
        <v>1</v>
      </c>
      <c r="B3339" s="23">
        <v>90260648</v>
      </c>
      <c r="C3339" s="23">
        <v>2606</v>
      </c>
      <c r="D3339" s="23">
        <v>26</v>
      </c>
      <c r="F3339" s="23" t="s">
        <v>116</v>
      </c>
      <c r="G3339" s="23">
        <v>314</v>
      </c>
      <c r="H3339" s="23" t="s">
        <v>6033</v>
      </c>
      <c r="I3339" s="23">
        <v>0</v>
      </c>
      <c r="J3339" s="40">
        <v>0</v>
      </c>
      <c r="K3339" s="40">
        <v>0</v>
      </c>
      <c r="L3339" s="40" t="s">
        <v>115</v>
      </c>
      <c r="O3339" s="40" t="s">
        <v>115</v>
      </c>
      <c r="Q3339" s="40">
        <v>197</v>
      </c>
      <c r="R3339" s="40" t="s">
        <v>115</v>
      </c>
      <c r="X3339" s="40">
        <v>90260649</v>
      </c>
      <c r="Y3339" s="40" t="s">
        <v>115</v>
      </c>
      <c r="Z3339" s="40" t="s">
        <v>115</v>
      </c>
      <c r="AA3339" s="40" t="s">
        <v>115</v>
      </c>
      <c r="AB3339" s="40" t="s">
        <v>115</v>
      </c>
      <c r="AC3339" s="40" t="s">
        <v>115</v>
      </c>
      <c r="AI3339" s="40" t="s">
        <v>115</v>
      </c>
      <c r="AP3339" s="4" t="s">
        <v>115</v>
      </c>
    </row>
    <row r="3340" spans="1:42" x14ac:dyDescent="0.15">
      <c r="A3340" s="40" t="s">
        <v>1</v>
      </c>
      <c r="B3340" s="23">
        <v>90260649</v>
      </c>
      <c r="C3340" s="23">
        <v>2606</v>
      </c>
      <c r="D3340" s="23">
        <v>26</v>
      </c>
      <c r="F3340" s="23" t="s">
        <v>116</v>
      </c>
      <c r="G3340" s="23">
        <v>312</v>
      </c>
      <c r="H3340" s="23" t="s">
        <v>6034</v>
      </c>
      <c r="I3340" s="23">
        <v>0</v>
      </c>
      <c r="J3340" s="40">
        <v>0</v>
      </c>
      <c r="K3340" s="40">
        <v>12</v>
      </c>
      <c r="L3340" s="40" t="s">
        <v>6035</v>
      </c>
      <c r="O3340" s="40">
        <v>1</v>
      </c>
      <c r="Q3340" s="40">
        <v>197</v>
      </c>
      <c r="R3340" s="40" t="s">
        <v>115</v>
      </c>
      <c r="X3340" s="40" t="s">
        <v>115</v>
      </c>
      <c r="Y3340" s="40" t="s">
        <v>115</v>
      </c>
      <c r="Z3340" s="40">
        <v>11</v>
      </c>
      <c r="AA3340" s="40" t="s">
        <v>115</v>
      </c>
      <c r="AB3340" s="40" t="s">
        <v>115</v>
      </c>
      <c r="AC3340" s="40" t="s">
        <v>115</v>
      </c>
      <c r="AI3340" s="40" t="s">
        <v>115</v>
      </c>
      <c r="AP3340" s="4" t="s">
        <v>115</v>
      </c>
    </row>
    <row r="3341" spans="1:42" x14ac:dyDescent="0.15">
      <c r="A3341" s="40" t="s">
        <v>1</v>
      </c>
      <c r="B3341" s="23" t="s">
        <v>4896</v>
      </c>
      <c r="C3341" s="23">
        <v>2607</v>
      </c>
      <c r="D3341" s="23">
        <v>26</v>
      </c>
      <c r="F3341" s="23" t="s">
        <v>5885</v>
      </c>
      <c r="G3341" s="23" t="s">
        <v>115</v>
      </c>
      <c r="H3341" s="23" t="s">
        <v>6036</v>
      </c>
      <c r="I3341" s="23">
        <v>3</v>
      </c>
      <c r="J3341" s="40">
        <v>1</v>
      </c>
      <c r="K3341" s="40">
        <v>1</v>
      </c>
      <c r="L3341" s="40" t="s">
        <v>115</v>
      </c>
      <c r="O3341" s="40" t="s">
        <v>115</v>
      </c>
      <c r="Q3341" s="40">
        <v>171</v>
      </c>
      <c r="R3341" s="40">
        <v>290</v>
      </c>
      <c r="X3341" s="40">
        <v>90260702</v>
      </c>
      <c r="Y3341" s="40" t="s">
        <v>115</v>
      </c>
      <c r="Z3341" s="40" t="s">
        <v>115</v>
      </c>
      <c r="AA3341" s="40" t="s">
        <v>115</v>
      </c>
      <c r="AB3341" s="40" t="s">
        <v>115</v>
      </c>
      <c r="AC3341" s="40" t="s">
        <v>115</v>
      </c>
      <c r="AI3341" s="40" t="s">
        <v>115</v>
      </c>
      <c r="AP3341" s="4" t="s">
        <v>115</v>
      </c>
    </row>
    <row r="3342" spans="1:42" x14ac:dyDescent="0.15">
      <c r="A3342" s="40" t="s">
        <v>1</v>
      </c>
      <c r="B3342" s="23">
        <v>90260702</v>
      </c>
      <c r="C3342" s="23">
        <v>2607</v>
      </c>
      <c r="D3342" s="23">
        <v>26</v>
      </c>
      <c r="F3342" s="23" t="s">
        <v>115</v>
      </c>
      <c r="G3342" s="23" t="s">
        <v>115</v>
      </c>
      <c r="H3342" s="23" t="s">
        <v>2999</v>
      </c>
      <c r="I3342" s="23">
        <v>4</v>
      </c>
      <c r="J3342" s="40">
        <v>0</v>
      </c>
      <c r="K3342" s="40">
        <v>2</v>
      </c>
      <c r="L3342" s="40" t="s">
        <v>115</v>
      </c>
      <c r="O3342" s="40" t="s">
        <v>115</v>
      </c>
      <c r="Q3342" s="40">
        <v>171</v>
      </c>
      <c r="R3342" s="40">
        <v>290</v>
      </c>
      <c r="X3342" s="40" t="s">
        <v>6037</v>
      </c>
      <c r="Y3342" s="40">
        <v>1</v>
      </c>
      <c r="Z3342" s="40">
        <v>1</v>
      </c>
      <c r="AA3342" s="40" t="s">
        <v>115</v>
      </c>
      <c r="AB3342" s="40" t="s">
        <v>115</v>
      </c>
      <c r="AC3342" s="40" t="s">
        <v>115</v>
      </c>
      <c r="AI3342" s="40" t="s">
        <v>115</v>
      </c>
      <c r="AP3342" s="4" t="s">
        <v>115</v>
      </c>
    </row>
    <row r="3343" spans="1:42" x14ac:dyDescent="0.15">
      <c r="A3343" s="40" t="s">
        <v>1</v>
      </c>
      <c r="B3343" s="23">
        <v>90260703</v>
      </c>
      <c r="C3343" s="23">
        <v>2607</v>
      </c>
      <c r="D3343" s="23">
        <v>26</v>
      </c>
      <c r="F3343" s="23" t="s">
        <v>115</v>
      </c>
      <c r="G3343" s="23" t="s">
        <v>115</v>
      </c>
      <c r="H3343" s="23" t="s">
        <v>6038</v>
      </c>
      <c r="I3343" s="23">
        <v>4</v>
      </c>
      <c r="J3343" s="40">
        <v>0</v>
      </c>
      <c r="K3343" s="40">
        <v>3</v>
      </c>
      <c r="L3343" s="40" t="s">
        <v>115</v>
      </c>
      <c r="O3343" s="40" t="s">
        <v>115</v>
      </c>
      <c r="Q3343" s="40">
        <v>171</v>
      </c>
      <c r="R3343" s="40">
        <v>290</v>
      </c>
      <c r="X3343" s="40">
        <v>90260705</v>
      </c>
      <c r="Y3343" s="40">
        <v>-1</v>
      </c>
      <c r="Z3343" s="40">
        <v>2</v>
      </c>
      <c r="AA3343" s="40" t="s">
        <v>115</v>
      </c>
      <c r="AB3343" s="40" t="s">
        <v>115</v>
      </c>
      <c r="AC3343" s="40" t="s">
        <v>115</v>
      </c>
      <c r="AI3343" s="40" t="s">
        <v>115</v>
      </c>
      <c r="AP3343" s="4" t="s">
        <v>115</v>
      </c>
    </row>
    <row r="3344" spans="1:42" x14ac:dyDescent="0.15">
      <c r="A3344" s="40" t="s">
        <v>1</v>
      </c>
      <c r="B3344" s="23">
        <v>90260704</v>
      </c>
      <c r="C3344" s="23">
        <v>2607</v>
      </c>
      <c r="D3344" s="23">
        <v>26</v>
      </c>
      <c r="F3344" s="23" t="s">
        <v>115</v>
      </c>
      <c r="G3344" s="23" t="s">
        <v>115</v>
      </c>
      <c r="H3344" s="23" t="s">
        <v>6039</v>
      </c>
      <c r="I3344" s="23">
        <v>4</v>
      </c>
      <c r="J3344" s="40">
        <v>0</v>
      </c>
      <c r="K3344" s="40">
        <v>4</v>
      </c>
      <c r="L3344" s="40" t="s">
        <v>115</v>
      </c>
      <c r="O3344" s="40" t="s">
        <v>115</v>
      </c>
      <c r="Q3344" s="40">
        <v>171</v>
      </c>
      <c r="R3344" s="40">
        <v>290</v>
      </c>
      <c r="X3344" s="40">
        <v>90260706</v>
      </c>
      <c r="Y3344" s="40">
        <v>-1</v>
      </c>
      <c r="Z3344" s="40">
        <v>2</v>
      </c>
      <c r="AA3344" s="40" t="s">
        <v>6040</v>
      </c>
      <c r="AB3344" s="40" t="s">
        <v>115</v>
      </c>
      <c r="AC3344" s="40" t="s">
        <v>115</v>
      </c>
      <c r="AI3344" s="40" t="s">
        <v>115</v>
      </c>
      <c r="AP3344" s="4" t="s">
        <v>115</v>
      </c>
    </row>
    <row r="3345" spans="1:42" x14ac:dyDescent="0.15">
      <c r="A3345" s="40" t="s">
        <v>1</v>
      </c>
      <c r="B3345" s="23">
        <v>90260705</v>
      </c>
      <c r="C3345" s="23">
        <v>2607</v>
      </c>
      <c r="D3345" s="23">
        <v>26</v>
      </c>
      <c r="F3345" s="23" t="s">
        <v>5885</v>
      </c>
      <c r="G3345" s="23" t="s">
        <v>115</v>
      </c>
      <c r="H3345" s="23" t="s">
        <v>6041</v>
      </c>
      <c r="I3345" s="23">
        <v>3</v>
      </c>
      <c r="J3345" s="40">
        <v>0</v>
      </c>
      <c r="K3345" s="40">
        <v>0</v>
      </c>
      <c r="L3345" s="40" t="s">
        <v>115</v>
      </c>
      <c r="O3345" s="40" t="s">
        <v>115</v>
      </c>
      <c r="Q3345" s="40">
        <v>171</v>
      </c>
      <c r="R3345" s="40">
        <v>290</v>
      </c>
      <c r="X3345" s="40">
        <v>90260702</v>
      </c>
      <c r="Y3345" s="40" t="s">
        <v>115</v>
      </c>
      <c r="Z3345" s="40" t="s">
        <v>115</v>
      </c>
      <c r="AA3345" s="40" t="s">
        <v>115</v>
      </c>
      <c r="AB3345" s="40" t="s">
        <v>115</v>
      </c>
      <c r="AC3345" s="40" t="s">
        <v>115</v>
      </c>
      <c r="AI3345" s="40" t="s">
        <v>115</v>
      </c>
      <c r="AP3345" s="4" t="s">
        <v>115</v>
      </c>
    </row>
    <row r="3346" spans="1:42" x14ac:dyDescent="0.15">
      <c r="A3346" s="40" t="s">
        <v>1</v>
      </c>
      <c r="B3346" s="23">
        <v>90260706</v>
      </c>
      <c r="C3346" s="23">
        <v>2607</v>
      </c>
      <c r="D3346" s="23">
        <v>26</v>
      </c>
      <c r="F3346" s="23" t="s">
        <v>116</v>
      </c>
      <c r="G3346" s="23">
        <v>312</v>
      </c>
      <c r="H3346" s="23" t="s">
        <v>6042</v>
      </c>
      <c r="I3346" s="23">
        <v>0</v>
      </c>
      <c r="J3346" s="40">
        <v>0</v>
      </c>
      <c r="K3346" s="40">
        <v>0</v>
      </c>
      <c r="L3346" s="40" t="s">
        <v>115</v>
      </c>
      <c r="O3346" s="40" t="s">
        <v>115</v>
      </c>
      <c r="Q3346" s="40">
        <v>171</v>
      </c>
      <c r="R3346" s="40">
        <v>290</v>
      </c>
      <c r="X3346" s="40">
        <v>90260707</v>
      </c>
      <c r="Y3346" s="40" t="s">
        <v>115</v>
      </c>
      <c r="Z3346" s="40" t="s">
        <v>115</v>
      </c>
      <c r="AA3346" s="40" t="s">
        <v>115</v>
      </c>
      <c r="AB3346" s="40" t="s">
        <v>115</v>
      </c>
      <c r="AC3346" s="40" t="s">
        <v>115</v>
      </c>
      <c r="AI3346" s="40" t="s">
        <v>115</v>
      </c>
      <c r="AP3346" s="4" t="s">
        <v>115</v>
      </c>
    </row>
    <row r="3347" spans="1:42" x14ac:dyDescent="0.15">
      <c r="A3347" s="40" t="s">
        <v>1</v>
      </c>
      <c r="B3347" s="23">
        <v>90260707</v>
      </c>
      <c r="C3347" s="23">
        <v>2607</v>
      </c>
      <c r="D3347" s="23">
        <v>26</v>
      </c>
      <c r="F3347" s="23" t="s">
        <v>5885</v>
      </c>
      <c r="G3347" s="23" t="s">
        <v>115</v>
      </c>
      <c r="H3347" s="23" t="s">
        <v>6043</v>
      </c>
      <c r="I3347" s="23">
        <v>3</v>
      </c>
      <c r="J3347" s="40">
        <v>0</v>
      </c>
      <c r="K3347" s="40">
        <v>0</v>
      </c>
      <c r="L3347" s="40" t="s">
        <v>115</v>
      </c>
      <c r="O3347" s="40" t="s">
        <v>115</v>
      </c>
      <c r="Q3347" s="40">
        <v>171</v>
      </c>
      <c r="R3347" s="40">
        <v>290</v>
      </c>
      <c r="X3347" s="40">
        <v>90260708</v>
      </c>
      <c r="Y3347" s="40" t="s">
        <v>115</v>
      </c>
      <c r="Z3347" s="40" t="s">
        <v>115</v>
      </c>
      <c r="AA3347" s="40" t="s">
        <v>115</v>
      </c>
      <c r="AB3347" s="40" t="s">
        <v>115</v>
      </c>
      <c r="AC3347" s="40" t="s">
        <v>115</v>
      </c>
      <c r="AI3347" s="40" t="s">
        <v>115</v>
      </c>
      <c r="AP3347" s="4" t="s">
        <v>115</v>
      </c>
    </row>
    <row r="3348" spans="1:42" x14ac:dyDescent="0.15">
      <c r="A3348" s="40" t="s">
        <v>1</v>
      </c>
      <c r="B3348" s="23">
        <v>90260708</v>
      </c>
      <c r="C3348" s="23">
        <v>2607</v>
      </c>
      <c r="D3348" s="23">
        <v>26</v>
      </c>
      <c r="F3348" s="23" t="s">
        <v>5885</v>
      </c>
      <c r="G3348" s="23" t="s">
        <v>115</v>
      </c>
      <c r="H3348" s="23" t="s">
        <v>6044</v>
      </c>
      <c r="I3348" s="23">
        <v>3</v>
      </c>
      <c r="J3348" s="40">
        <v>0</v>
      </c>
      <c r="K3348" s="40">
        <v>0</v>
      </c>
      <c r="L3348" s="40" t="s">
        <v>115</v>
      </c>
      <c r="O3348" s="40" t="s">
        <v>115</v>
      </c>
      <c r="Q3348" s="40">
        <v>171</v>
      </c>
      <c r="R3348" s="40">
        <v>290</v>
      </c>
      <c r="X3348" s="40">
        <v>90260709</v>
      </c>
      <c r="Y3348" s="40" t="s">
        <v>115</v>
      </c>
      <c r="Z3348" s="40" t="s">
        <v>115</v>
      </c>
      <c r="AA3348" s="40" t="s">
        <v>115</v>
      </c>
      <c r="AB3348" s="40" t="s">
        <v>115</v>
      </c>
      <c r="AC3348" s="40" t="s">
        <v>115</v>
      </c>
      <c r="AI3348" s="40" t="s">
        <v>115</v>
      </c>
      <c r="AP3348" s="4" t="s">
        <v>115</v>
      </c>
    </row>
    <row r="3349" spans="1:42" x14ac:dyDescent="0.15">
      <c r="A3349" s="40" t="s">
        <v>1</v>
      </c>
      <c r="B3349" s="23">
        <v>90260709</v>
      </c>
      <c r="C3349" s="23">
        <v>2607</v>
      </c>
      <c r="D3349" s="23">
        <v>26</v>
      </c>
      <c r="F3349" s="23" t="s">
        <v>116</v>
      </c>
      <c r="G3349" s="23">
        <v>314</v>
      </c>
      <c r="H3349" s="23" t="s">
        <v>6045</v>
      </c>
      <c r="I3349" s="23">
        <v>0</v>
      </c>
      <c r="J3349" s="40">
        <v>0</v>
      </c>
      <c r="K3349" s="40">
        <v>0</v>
      </c>
      <c r="L3349" s="40" t="s">
        <v>115</v>
      </c>
      <c r="O3349" s="40" t="s">
        <v>115</v>
      </c>
      <c r="Q3349" s="40">
        <v>171</v>
      </c>
      <c r="R3349" s="40">
        <v>290</v>
      </c>
      <c r="X3349" s="40">
        <v>90260710</v>
      </c>
      <c r="Y3349" s="40" t="s">
        <v>115</v>
      </c>
      <c r="Z3349" s="40" t="s">
        <v>115</v>
      </c>
      <c r="AA3349" s="40" t="s">
        <v>115</v>
      </c>
      <c r="AB3349" s="40" t="s">
        <v>115</v>
      </c>
      <c r="AC3349" s="40" t="s">
        <v>115</v>
      </c>
      <c r="AI3349" s="40" t="s">
        <v>115</v>
      </c>
      <c r="AP3349" s="4" t="s">
        <v>115</v>
      </c>
    </row>
    <row r="3350" spans="1:42" x14ac:dyDescent="0.15">
      <c r="A3350" s="40" t="s">
        <v>1</v>
      </c>
      <c r="B3350" s="23">
        <v>90260710</v>
      </c>
      <c r="C3350" s="23">
        <v>2607</v>
      </c>
      <c r="D3350" s="23">
        <v>26</v>
      </c>
      <c r="F3350" s="23" t="s">
        <v>5885</v>
      </c>
      <c r="G3350" s="23" t="s">
        <v>115</v>
      </c>
      <c r="H3350" s="23" t="s">
        <v>6046</v>
      </c>
      <c r="I3350" s="23">
        <v>3</v>
      </c>
      <c r="J3350" s="40">
        <v>0</v>
      </c>
      <c r="K3350" s="40">
        <v>5</v>
      </c>
      <c r="L3350" s="40" t="s">
        <v>6047</v>
      </c>
      <c r="O3350" s="40" t="s">
        <v>115</v>
      </c>
      <c r="Q3350" s="40">
        <v>171</v>
      </c>
      <c r="R3350" s="40">
        <v>290</v>
      </c>
      <c r="X3350" s="40">
        <v>90260711</v>
      </c>
      <c r="Y3350" s="40" t="s">
        <v>115</v>
      </c>
      <c r="Z3350" s="40">
        <v>4</v>
      </c>
      <c r="AA3350" s="40" t="s">
        <v>115</v>
      </c>
      <c r="AB3350" s="40" t="s">
        <v>115</v>
      </c>
      <c r="AC3350" s="40" t="s">
        <v>115</v>
      </c>
      <c r="AI3350" s="40" t="s">
        <v>115</v>
      </c>
      <c r="AP3350" s="4" t="s">
        <v>115</v>
      </c>
    </row>
    <row r="3351" spans="1:42" x14ac:dyDescent="0.15">
      <c r="A3351" s="40" t="s">
        <v>1</v>
      </c>
      <c r="B3351" s="23">
        <v>90260711</v>
      </c>
      <c r="C3351" s="23">
        <v>2607</v>
      </c>
      <c r="D3351" s="23">
        <v>26</v>
      </c>
      <c r="F3351" s="23" t="s">
        <v>116</v>
      </c>
      <c r="G3351" s="23">
        <v>314</v>
      </c>
      <c r="H3351" s="23" t="s">
        <v>5977</v>
      </c>
      <c r="I3351" s="23">
        <v>0</v>
      </c>
      <c r="J3351" s="40">
        <v>0</v>
      </c>
      <c r="K3351" s="40">
        <v>6</v>
      </c>
      <c r="L3351" s="40" t="s">
        <v>115</v>
      </c>
      <c r="O3351" s="40">
        <v>1</v>
      </c>
      <c r="Q3351" s="40">
        <v>171</v>
      </c>
      <c r="R3351" s="40" t="s">
        <v>115</v>
      </c>
      <c r="X3351" s="40" t="s">
        <v>115</v>
      </c>
      <c r="Y3351" s="40" t="s">
        <v>115</v>
      </c>
      <c r="Z3351" s="40">
        <v>5</v>
      </c>
      <c r="AA3351" s="40" t="s">
        <v>115</v>
      </c>
      <c r="AB3351" s="40" t="s">
        <v>115</v>
      </c>
      <c r="AC3351" s="40" t="s">
        <v>115</v>
      </c>
      <c r="AI3351" s="40" t="s">
        <v>115</v>
      </c>
      <c r="AP3351" s="4" t="s">
        <v>115</v>
      </c>
    </row>
    <row r="3352" spans="1:42" x14ac:dyDescent="0.15">
      <c r="A3352" s="40" t="s">
        <v>1</v>
      </c>
      <c r="B3352" s="23" t="s">
        <v>4897</v>
      </c>
      <c r="C3352" s="23">
        <v>2608</v>
      </c>
      <c r="D3352" s="23">
        <v>26</v>
      </c>
      <c r="F3352" s="23" t="s">
        <v>115</v>
      </c>
      <c r="G3352" s="23" t="s">
        <v>115</v>
      </c>
      <c r="H3352" s="23" t="s">
        <v>6048</v>
      </c>
      <c r="I3352" s="23">
        <v>4</v>
      </c>
      <c r="J3352" s="40">
        <v>1</v>
      </c>
      <c r="K3352" s="40">
        <v>1</v>
      </c>
      <c r="L3352" s="40" t="s">
        <v>115</v>
      </c>
      <c r="O3352" s="40" t="s">
        <v>115</v>
      </c>
      <c r="Q3352" s="40">
        <v>18</v>
      </c>
      <c r="R3352" s="40" t="s">
        <v>115</v>
      </c>
      <c r="X3352" s="40">
        <v>90260802</v>
      </c>
      <c r="Y3352" s="40" t="s">
        <v>115</v>
      </c>
      <c r="Z3352" s="40" t="s">
        <v>115</v>
      </c>
      <c r="AA3352" s="40" t="s">
        <v>115</v>
      </c>
      <c r="AB3352" s="40" t="s">
        <v>115</v>
      </c>
      <c r="AC3352" s="40" t="s">
        <v>115</v>
      </c>
      <c r="AI3352" s="40" t="s">
        <v>115</v>
      </c>
      <c r="AP3352" s="4" t="s">
        <v>115</v>
      </c>
    </row>
    <row r="3353" spans="1:42" x14ac:dyDescent="0.15">
      <c r="A3353" s="40" t="s">
        <v>1</v>
      </c>
      <c r="B3353" s="23">
        <v>90260802</v>
      </c>
      <c r="C3353" s="23">
        <v>2608</v>
      </c>
      <c r="D3353" s="23">
        <v>26</v>
      </c>
      <c r="F3353" s="23" t="s">
        <v>115</v>
      </c>
      <c r="G3353" s="23" t="s">
        <v>115</v>
      </c>
      <c r="H3353" s="23" t="s">
        <v>6049</v>
      </c>
      <c r="I3353" s="23">
        <v>4</v>
      </c>
      <c r="J3353" s="40">
        <v>0</v>
      </c>
      <c r="K3353" s="40">
        <v>0</v>
      </c>
      <c r="L3353" s="40" t="s">
        <v>115</v>
      </c>
      <c r="O3353" s="40" t="s">
        <v>115</v>
      </c>
      <c r="Q3353" s="40">
        <v>18</v>
      </c>
      <c r="R3353" s="40" t="s">
        <v>115</v>
      </c>
      <c r="X3353" s="40">
        <v>90260803</v>
      </c>
      <c r="Y3353" s="40" t="s">
        <v>115</v>
      </c>
      <c r="Z3353" s="40" t="s">
        <v>115</v>
      </c>
      <c r="AA3353" s="40" t="s">
        <v>115</v>
      </c>
      <c r="AB3353" s="40" t="s">
        <v>115</v>
      </c>
      <c r="AC3353" s="40" t="s">
        <v>115</v>
      </c>
      <c r="AI3353" s="40" t="s">
        <v>115</v>
      </c>
      <c r="AP3353" s="4" t="s">
        <v>115</v>
      </c>
    </row>
    <row r="3354" spans="1:42" x14ac:dyDescent="0.15">
      <c r="A3354" s="40" t="s">
        <v>1</v>
      </c>
      <c r="B3354" s="23">
        <v>90260803</v>
      </c>
      <c r="C3354" s="23">
        <v>2608</v>
      </c>
      <c r="D3354" s="23">
        <v>26</v>
      </c>
      <c r="F3354" s="23" t="s">
        <v>116</v>
      </c>
      <c r="G3354" s="23">
        <v>312</v>
      </c>
      <c r="H3354" s="23" t="s">
        <v>6050</v>
      </c>
      <c r="I3354" s="23">
        <v>0</v>
      </c>
      <c r="J3354" s="40">
        <v>0</v>
      </c>
      <c r="K3354" s="40">
        <v>0</v>
      </c>
      <c r="L3354" s="40" t="s">
        <v>115</v>
      </c>
      <c r="O3354" s="40" t="s">
        <v>115</v>
      </c>
      <c r="Q3354" s="40">
        <v>18</v>
      </c>
      <c r="R3354" s="40" t="s">
        <v>115</v>
      </c>
      <c r="X3354" s="40">
        <v>90260804</v>
      </c>
      <c r="Y3354" s="40" t="s">
        <v>115</v>
      </c>
      <c r="Z3354" s="40" t="s">
        <v>115</v>
      </c>
      <c r="AA3354" s="40" t="s">
        <v>115</v>
      </c>
      <c r="AB3354" s="40" t="s">
        <v>115</v>
      </c>
      <c r="AC3354" s="40" t="s">
        <v>115</v>
      </c>
      <c r="AI3354" s="40">
        <v>204</v>
      </c>
      <c r="AP3354" s="4" t="s">
        <v>115</v>
      </c>
    </row>
    <row r="3355" spans="1:42" x14ac:dyDescent="0.15">
      <c r="A3355" s="40" t="s">
        <v>1</v>
      </c>
      <c r="B3355" s="23">
        <v>90260804</v>
      </c>
      <c r="C3355" s="23">
        <v>2608</v>
      </c>
      <c r="D3355" s="23">
        <v>26</v>
      </c>
      <c r="F3355" s="23" t="s">
        <v>1072</v>
      </c>
      <c r="G3355" s="23" t="s">
        <v>115</v>
      </c>
      <c r="H3355" s="23" t="s">
        <v>6051</v>
      </c>
      <c r="I3355" s="23">
        <v>1</v>
      </c>
      <c r="J3355" s="40">
        <v>0</v>
      </c>
      <c r="K3355" s="40">
        <v>0</v>
      </c>
      <c r="L3355" s="40" t="s">
        <v>115</v>
      </c>
      <c r="O3355" s="40" t="s">
        <v>115</v>
      </c>
      <c r="Q3355" s="40">
        <v>18</v>
      </c>
      <c r="R3355" s="40" t="s">
        <v>115</v>
      </c>
      <c r="X3355" s="40">
        <v>90260805</v>
      </c>
      <c r="Y3355" s="40" t="s">
        <v>115</v>
      </c>
      <c r="Z3355" s="40" t="s">
        <v>115</v>
      </c>
      <c r="AA3355" s="40" t="s">
        <v>115</v>
      </c>
      <c r="AB3355" s="40" t="s">
        <v>115</v>
      </c>
      <c r="AC3355" s="40" t="s">
        <v>115</v>
      </c>
      <c r="AI3355" s="40" t="s">
        <v>7432</v>
      </c>
      <c r="AP3355" s="4" t="s">
        <v>115</v>
      </c>
    </row>
    <row r="3356" spans="1:42" x14ac:dyDescent="0.15">
      <c r="A3356" s="40" t="s">
        <v>1</v>
      </c>
      <c r="B3356" s="23">
        <v>90260805</v>
      </c>
      <c r="C3356" s="23">
        <v>2608</v>
      </c>
      <c r="D3356" s="23">
        <v>26</v>
      </c>
      <c r="F3356" s="23" t="s">
        <v>115</v>
      </c>
      <c r="G3356" s="23" t="s">
        <v>115</v>
      </c>
      <c r="H3356" s="23" t="s">
        <v>6052</v>
      </c>
      <c r="I3356" s="23">
        <v>4</v>
      </c>
      <c r="J3356" s="40">
        <v>0</v>
      </c>
      <c r="K3356" s="40">
        <v>0</v>
      </c>
      <c r="L3356" s="40" t="s">
        <v>115</v>
      </c>
      <c r="O3356" s="40" t="s">
        <v>115</v>
      </c>
      <c r="Q3356" s="40">
        <v>18</v>
      </c>
      <c r="R3356" s="40" t="s">
        <v>115</v>
      </c>
      <c r="X3356" s="40">
        <v>90260806</v>
      </c>
      <c r="Y3356" s="40" t="s">
        <v>115</v>
      </c>
      <c r="Z3356" s="40" t="s">
        <v>115</v>
      </c>
      <c r="AA3356" s="40" t="s">
        <v>115</v>
      </c>
      <c r="AB3356" s="40" t="s">
        <v>115</v>
      </c>
      <c r="AC3356" s="40" t="s">
        <v>115</v>
      </c>
      <c r="AI3356" s="40">
        <v>204</v>
      </c>
      <c r="AP3356" s="4" t="s">
        <v>115</v>
      </c>
    </row>
    <row r="3357" spans="1:42" x14ac:dyDescent="0.15">
      <c r="A3357" s="40" t="s">
        <v>1</v>
      </c>
      <c r="B3357" s="23">
        <v>90260806</v>
      </c>
      <c r="C3357" s="23">
        <v>2608</v>
      </c>
      <c r="D3357" s="23">
        <v>26</v>
      </c>
      <c r="F3357" s="23" t="s">
        <v>116</v>
      </c>
      <c r="G3357" s="23">
        <v>312</v>
      </c>
      <c r="H3357" s="23" t="s">
        <v>6053</v>
      </c>
      <c r="I3357" s="23">
        <v>0</v>
      </c>
      <c r="J3357" s="40">
        <v>0</v>
      </c>
      <c r="K3357" s="40">
        <v>0</v>
      </c>
      <c r="L3357" s="40" t="s">
        <v>115</v>
      </c>
      <c r="O3357" s="40" t="s">
        <v>115</v>
      </c>
      <c r="Q3357" s="40">
        <v>18</v>
      </c>
      <c r="R3357" s="40" t="s">
        <v>115</v>
      </c>
      <c r="X3357" s="40">
        <v>90260807</v>
      </c>
      <c r="Y3357" s="40" t="s">
        <v>115</v>
      </c>
      <c r="Z3357" s="40" t="s">
        <v>115</v>
      </c>
      <c r="AA3357" s="40" t="s">
        <v>115</v>
      </c>
      <c r="AB3357" s="40" t="s">
        <v>115</v>
      </c>
      <c r="AC3357" s="40" t="s">
        <v>115</v>
      </c>
      <c r="AI3357" s="40">
        <v>204</v>
      </c>
      <c r="AP3357" s="4" t="s">
        <v>115</v>
      </c>
    </row>
    <row r="3358" spans="1:42" x14ac:dyDescent="0.15">
      <c r="A3358" s="40" t="s">
        <v>1</v>
      </c>
      <c r="B3358" s="23">
        <v>90260807</v>
      </c>
      <c r="C3358" s="23">
        <v>2608</v>
      </c>
      <c r="D3358" s="23">
        <v>26</v>
      </c>
      <c r="F3358" s="23" t="s">
        <v>1072</v>
      </c>
      <c r="G3358" s="23" t="s">
        <v>115</v>
      </c>
      <c r="H3358" s="23" t="s">
        <v>6054</v>
      </c>
      <c r="I3358" s="23">
        <v>1</v>
      </c>
      <c r="J3358" s="40">
        <v>0</v>
      </c>
      <c r="K3358" s="40">
        <v>0</v>
      </c>
      <c r="L3358" s="40" t="s">
        <v>115</v>
      </c>
      <c r="O3358" s="40" t="s">
        <v>115</v>
      </c>
      <c r="Q3358" s="40">
        <v>18</v>
      </c>
      <c r="R3358" s="40" t="s">
        <v>115</v>
      </c>
      <c r="X3358" s="40">
        <v>90260808</v>
      </c>
      <c r="Y3358" s="40" t="s">
        <v>115</v>
      </c>
      <c r="Z3358" s="40" t="s">
        <v>115</v>
      </c>
      <c r="AA3358" s="40" t="s">
        <v>115</v>
      </c>
      <c r="AB3358" s="40" t="s">
        <v>115</v>
      </c>
      <c r="AC3358" s="40" t="s">
        <v>115</v>
      </c>
      <c r="AI3358" s="40">
        <v>204</v>
      </c>
      <c r="AP3358" s="4" t="s">
        <v>115</v>
      </c>
    </row>
    <row r="3359" spans="1:42" x14ac:dyDescent="0.15">
      <c r="A3359" s="40" t="s">
        <v>1</v>
      </c>
      <c r="B3359" s="23">
        <v>90260808</v>
      </c>
      <c r="C3359" s="23">
        <v>2608</v>
      </c>
      <c r="D3359" s="23">
        <v>26</v>
      </c>
      <c r="F3359" s="23" t="s">
        <v>115</v>
      </c>
      <c r="G3359" s="23" t="s">
        <v>115</v>
      </c>
      <c r="H3359" s="23" t="s">
        <v>6055</v>
      </c>
      <c r="I3359" s="23">
        <v>4</v>
      </c>
      <c r="J3359" s="40">
        <v>0</v>
      </c>
      <c r="K3359" s="40">
        <v>2</v>
      </c>
      <c r="L3359" s="40" t="s">
        <v>115</v>
      </c>
      <c r="O3359" s="40" t="s">
        <v>115</v>
      </c>
      <c r="Q3359" s="40">
        <v>18</v>
      </c>
      <c r="R3359" s="40" t="s">
        <v>115</v>
      </c>
      <c r="X3359" s="40" t="s">
        <v>6056</v>
      </c>
      <c r="Y3359" s="40">
        <v>1</v>
      </c>
      <c r="Z3359" s="40">
        <v>1</v>
      </c>
      <c r="AA3359" s="40" t="s">
        <v>115</v>
      </c>
      <c r="AB3359" s="40" t="s">
        <v>115</v>
      </c>
      <c r="AC3359" s="40" t="s">
        <v>115</v>
      </c>
      <c r="AI3359" s="40">
        <v>204</v>
      </c>
      <c r="AP3359" s="4" t="s">
        <v>115</v>
      </c>
    </row>
    <row r="3360" spans="1:42" x14ac:dyDescent="0.15">
      <c r="A3360" s="40" t="s">
        <v>1</v>
      </c>
      <c r="B3360" s="23">
        <v>90260809</v>
      </c>
      <c r="C3360" s="23">
        <v>2608</v>
      </c>
      <c r="D3360" s="23">
        <v>26</v>
      </c>
      <c r="F3360" s="23" t="s">
        <v>115</v>
      </c>
      <c r="G3360" s="23" t="s">
        <v>115</v>
      </c>
      <c r="H3360" s="23" t="s">
        <v>6057</v>
      </c>
      <c r="I3360" s="23">
        <v>4</v>
      </c>
      <c r="J3360" s="40">
        <v>0</v>
      </c>
      <c r="K3360" s="40">
        <v>3</v>
      </c>
      <c r="L3360" s="40" t="s">
        <v>115</v>
      </c>
      <c r="O3360" s="40" t="s">
        <v>115</v>
      </c>
      <c r="Q3360" s="40">
        <v>18</v>
      </c>
      <c r="R3360" s="40" t="s">
        <v>115</v>
      </c>
      <c r="X3360" s="40">
        <v>90260810</v>
      </c>
      <c r="Y3360" s="40">
        <v>-1</v>
      </c>
      <c r="Z3360" s="40">
        <v>2</v>
      </c>
      <c r="AA3360" s="40" t="s">
        <v>6058</v>
      </c>
      <c r="AB3360" s="40" t="s">
        <v>115</v>
      </c>
      <c r="AC3360" s="40" t="s">
        <v>115</v>
      </c>
      <c r="AI3360" s="40">
        <v>204</v>
      </c>
      <c r="AP3360" s="4" t="s">
        <v>115</v>
      </c>
    </row>
    <row r="3361" spans="1:42" x14ac:dyDescent="0.15">
      <c r="A3361" s="40" t="s">
        <v>1</v>
      </c>
      <c r="B3361" s="23">
        <v>90260810</v>
      </c>
      <c r="C3361" s="23">
        <v>2608</v>
      </c>
      <c r="D3361" s="23">
        <v>26</v>
      </c>
      <c r="F3361" s="23" t="s">
        <v>116</v>
      </c>
      <c r="G3361" s="23">
        <v>312</v>
      </c>
      <c r="H3361" s="23" t="s">
        <v>6059</v>
      </c>
      <c r="I3361" s="23">
        <v>0</v>
      </c>
      <c r="J3361" s="40">
        <v>0</v>
      </c>
      <c r="K3361" s="40">
        <v>0</v>
      </c>
      <c r="L3361" s="40" t="s">
        <v>115</v>
      </c>
      <c r="O3361" s="40" t="s">
        <v>115</v>
      </c>
      <c r="Q3361" s="40">
        <v>18</v>
      </c>
      <c r="R3361" s="40" t="s">
        <v>115</v>
      </c>
      <c r="X3361" s="40">
        <v>90260811</v>
      </c>
      <c r="Y3361" s="40" t="s">
        <v>115</v>
      </c>
      <c r="Z3361" s="40" t="s">
        <v>115</v>
      </c>
      <c r="AA3361" s="40" t="s">
        <v>115</v>
      </c>
      <c r="AB3361" s="40" t="s">
        <v>115</v>
      </c>
      <c r="AC3361" s="40" t="s">
        <v>115</v>
      </c>
      <c r="AI3361" s="40">
        <v>204</v>
      </c>
      <c r="AP3361" s="4" t="s">
        <v>115</v>
      </c>
    </row>
    <row r="3362" spans="1:42" x14ac:dyDescent="0.15">
      <c r="A3362" s="40" t="s">
        <v>1</v>
      </c>
      <c r="B3362" s="23">
        <v>90260811</v>
      </c>
      <c r="C3362" s="23">
        <v>2608</v>
      </c>
      <c r="D3362" s="23">
        <v>26</v>
      </c>
      <c r="F3362" s="23" t="s">
        <v>1072</v>
      </c>
      <c r="G3362" s="23" t="s">
        <v>115</v>
      </c>
      <c r="H3362" s="23" t="s">
        <v>6060</v>
      </c>
      <c r="I3362" s="23">
        <v>1</v>
      </c>
      <c r="J3362" s="40">
        <v>0</v>
      </c>
      <c r="K3362" s="40">
        <v>0</v>
      </c>
      <c r="L3362" s="40" t="s">
        <v>115</v>
      </c>
      <c r="O3362" s="40" t="s">
        <v>115</v>
      </c>
      <c r="Q3362" s="40">
        <v>18</v>
      </c>
      <c r="R3362" s="40" t="s">
        <v>115</v>
      </c>
      <c r="X3362" s="40">
        <v>90260812</v>
      </c>
      <c r="Y3362" s="40" t="s">
        <v>115</v>
      </c>
      <c r="Z3362" s="40" t="s">
        <v>115</v>
      </c>
      <c r="AA3362" s="40" t="s">
        <v>115</v>
      </c>
      <c r="AB3362" s="40" t="s">
        <v>115</v>
      </c>
      <c r="AC3362" s="40" t="s">
        <v>115</v>
      </c>
      <c r="AI3362" s="40" t="s">
        <v>7432</v>
      </c>
      <c r="AP3362" s="4" t="s">
        <v>115</v>
      </c>
    </row>
    <row r="3363" spans="1:42" x14ac:dyDescent="0.15">
      <c r="A3363" s="40" t="s">
        <v>1</v>
      </c>
      <c r="B3363" s="23">
        <v>90260812</v>
      </c>
      <c r="C3363" s="23">
        <v>2608</v>
      </c>
      <c r="D3363" s="23">
        <v>26</v>
      </c>
      <c r="F3363" s="23" t="s">
        <v>116</v>
      </c>
      <c r="G3363" s="23">
        <v>312</v>
      </c>
      <c r="H3363" s="23" t="s">
        <v>6061</v>
      </c>
      <c r="I3363" s="23">
        <v>0</v>
      </c>
      <c r="J3363" s="40">
        <v>0</v>
      </c>
      <c r="K3363" s="40">
        <v>0</v>
      </c>
      <c r="L3363" s="40" t="s">
        <v>115</v>
      </c>
      <c r="O3363" s="40" t="s">
        <v>115</v>
      </c>
      <c r="Q3363" s="40">
        <v>18</v>
      </c>
      <c r="R3363" s="40" t="s">
        <v>115</v>
      </c>
      <c r="X3363" s="40">
        <v>90260813</v>
      </c>
      <c r="Y3363" s="40" t="s">
        <v>115</v>
      </c>
      <c r="Z3363" s="40" t="s">
        <v>115</v>
      </c>
      <c r="AA3363" s="40" t="s">
        <v>115</v>
      </c>
      <c r="AB3363" s="40" t="s">
        <v>115</v>
      </c>
      <c r="AC3363" s="40" t="s">
        <v>115</v>
      </c>
      <c r="AI3363" s="40">
        <v>204</v>
      </c>
      <c r="AP3363" s="4" t="s">
        <v>115</v>
      </c>
    </row>
    <row r="3364" spans="1:42" x14ac:dyDescent="0.15">
      <c r="A3364" s="40" t="s">
        <v>1</v>
      </c>
      <c r="B3364" s="23">
        <v>90260813</v>
      </c>
      <c r="C3364" s="23">
        <v>2608</v>
      </c>
      <c r="D3364" s="23">
        <v>26</v>
      </c>
      <c r="F3364" s="23" t="s">
        <v>1072</v>
      </c>
      <c r="G3364" s="23" t="s">
        <v>115</v>
      </c>
      <c r="H3364" s="23" t="s">
        <v>6062</v>
      </c>
      <c r="I3364" s="23">
        <v>1</v>
      </c>
      <c r="J3364" s="40">
        <v>0</v>
      </c>
      <c r="K3364" s="40">
        <v>0</v>
      </c>
      <c r="L3364" s="40" t="s">
        <v>115</v>
      </c>
      <c r="O3364" s="40" t="s">
        <v>115</v>
      </c>
      <c r="Q3364" s="40">
        <v>18</v>
      </c>
      <c r="R3364" s="40" t="s">
        <v>115</v>
      </c>
      <c r="X3364" s="40">
        <v>90260814</v>
      </c>
      <c r="Y3364" s="40" t="s">
        <v>115</v>
      </c>
      <c r="Z3364" s="40" t="s">
        <v>115</v>
      </c>
      <c r="AA3364" s="40" t="s">
        <v>115</v>
      </c>
      <c r="AB3364" s="40" t="s">
        <v>115</v>
      </c>
      <c r="AC3364" s="40" t="s">
        <v>115</v>
      </c>
      <c r="AI3364" s="40" t="s">
        <v>7432</v>
      </c>
      <c r="AP3364" s="4" t="s">
        <v>115</v>
      </c>
    </row>
    <row r="3365" spans="1:42" x14ac:dyDescent="0.15">
      <c r="A3365" s="40" t="s">
        <v>1</v>
      </c>
      <c r="B3365" s="23">
        <v>90260814</v>
      </c>
      <c r="C3365" s="23">
        <v>2608</v>
      </c>
      <c r="D3365" s="23">
        <v>26</v>
      </c>
      <c r="F3365" s="23" t="s">
        <v>116</v>
      </c>
      <c r="G3365" s="23">
        <v>312</v>
      </c>
      <c r="H3365" s="23" t="s">
        <v>6063</v>
      </c>
      <c r="I3365" s="23">
        <v>0</v>
      </c>
      <c r="J3365" s="40">
        <v>0</v>
      </c>
      <c r="K3365" s="40">
        <v>0</v>
      </c>
      <c r="L3365" s="40" t="s">
        <v>115</v>
      </c>
      <c r="O3365" s="40" t="s">
        <v>115</v>
      </c>
      <c r="Q3365" s="40">
        <v>18</v>
      </c>
      <c r="R3365" s="40" t="s">
        <v>115</v>
      </c>
      <c r="X3365" s="40">
        <v>90260815</v>
      </c>
      <c r="Y3365" s="40" t="s">
        <v>115</v>
      </c>
      <c r="Z3365" s="40" t="s">
        <v>115</v>
      </c>
      <c r="AA3365" s="40" t="s">
        <v>115</v>
      </c>
      <c r="AB3365" s="40" t="s">
        <v>115</v>
      </c>
      <c r="AC3365" s="40" t="s">
        <v>115</v>
      </c>
      <c r="AI3365" s="40">
        <v>204</v>
      </c>
      <c r="AP3365" s="4" t="s">
        <v>115</v>
      </c>
    </row>
    <row r="3366" spans="1:42" x14ac:dyDescent="0.15">
      <c r="A3366" s="40" t="s">
        <v>1</v>
      </c>
      <c r="B3366" s="23">
        <v>90260815</v>
      </c>
      <c r="C3366" s="23">
        <v>2608</v>
      </c>
      <c r="D3366" s="23">
        <v>26</v>
      </c>
      <c r="F3366" s="23" t="s">
        <v>1072</v>
      </c>
      <c r="G3366" s="23" t="s">
        <v>115</v>
      </c>
      <c r="H3366" s="23" t="s">
        <v>6064</v>
      </c>
      <c r="I3366" s="23">
        <v>1</v>
      </c>
      <c r="J3366" s="40">
        <v>0</v>
      </c>
      <c r="K3366" s="40">
        <v>0</v>
      </c>
      <c r="L3366" s="40" t="s">
        <v>115</v>
      </c>
      <c r="O3366" s="40" t="s">
        <v>115</v>
      </c>
      <c r="Q3366" s="40">
        <v>18</v>
      </c>
      <c r="R3366" s="40" t="s">
        <v>115</v>
      </c>
      <c r="X3366" s="40">
        <v>90260816</v>
      </c>
      <c r="Y3366" s="40" t="s">
        <v>115</v>
      </c>
      <c r="Z3366" s="40" t="s">
        <v>115</v>
      </c>
      <c r="AA3366" s="40" t="s">
        <v>115</v>
      </c>
      <c r="AB3366" s="40" t="s">
        <v>115</v>
      </c>
      <c r="AC3366" s="40" t="s">
        <v>115</v>
      </c>
      <c r="AI3366" s="40" t="s">
        <v>7432</v>
      </c>
      <c r="AP3366" s="4" t="s">
        <v>115</v>
      </c>
    </row>
    <row r="3367" spans="1:42" x14ac:dyDescent="0.15">
      <c r="A3367" s="40" t="s">
        <v>1</v>
      </c>
      <c r="B3367" s="23">
        <v>90260816</v>
      </c>
      <c r="C3367" s="23">
        <v>2608</v>
      </c>
      <c r="D3367" s="23">
        <v>26</v>
      </c>
      <c r="F3367" s="23" t="s">
        <v>116</v>
      </c>
      <c r="G3367" s="23">
        <v>312</v>
      </c>
      <c r="H3367" s="23" t="s">
        <v>6065</v>
      </c>
      <c r="I3367" s="23">
        <v>0</v>
      </c>
      <c r="J3367" s="40">
        <v>0</v>
      </c>
      <c r="K3367" s="40">
        <v>0</v>
      </c>
      <c r="L3367" s="40" t="s">
        <v>115</v>
      </c>
      <c r="O3367" s="40" t="s">
        <v>115</v>
      </c>
      <c r="Q3367" s="40">
        <v>18</v>
      </c>
      <c r="R3367" s="40" t="s">
        <v>115</v>
      </c>
      <c r="X3367" s="40">
        <v>90260817</v>
      </c>
      <c r="Y3367" s="40" t="s">
        <v>115</v>
      </c>
      <c r="Z3367" s="40" t="s">
        <v>115</v>
      </c>
      <c r="AA3367" s="40" t="s">
        <v>115</v>
      </c>
      <c r="AB3367" s="40" t="s">
        <v>115</v>
      </c>
      <c r="AC3367" s="40" t="s">
        <v>115</v>
      </c>
      <c r="AI3367" s="40">
        <v>204</v>
      </c>
      <c r="AP3367" s="4" t="s">
        <v>115</v>
      </c>
    </row>
    <row r="3368" spans="1:42" x14ac:dyDescent="0.15">
      <c r="A3368" s="40" t="s">
        <v>1</v>
      </c>
      <c r="B3368" s="23">
        <v>90260817</v>
      </c>
      <c r="C3368" s="23">
        <v>2608</v>
      </c>
      <c r="D3368" s="23">
        <v>26</v>
      </c>
      <c r="F3368" s="23" t="s">
        <v>1072</v>
      </c>
      <c r="G3368" s="23" t="s">
        <v>115</v>
      </c>
      <c r="H3368" s="23" t="s">
        <v>6066</v>
      </c>
      <c r="I3368" s="23">
        <v>1</v>
      </c>
      <c r="J3368" s="40">
        <v>0</v>
      </c>
      <c r="K3368" s="40">
        <v>0</v>
      </c>
      <c r="L3368" s="40" t="s">
        <v>115</v>
      </c>
      <c r="O3368" s="40" t="s">
        <v>115</v>
      </c>
      <c r="Q3368" s="40">
        <v>18</v>
      </c>
      <c r="R3368" s="40" t="s">
        <v>115</v>
      </c>
      <c r="X3368" s="40">
        <v>90260818</v>
      </c>
      <c r="Y3368" s="40" t="s">
        <v>115</v>
      </c>
      <c r="Z3368" s="40" t="s">
        <v>115</v>
      </c>
      <c r="AA3368" s="40" t="s">
        <v>115</v>
      </c>
      <c r="AB3368" s="40" t="s">
        <v>115</v>
      </c>
      <c r="AC3368" s="40" t="s">
        <v>115</v>
      </c>
      <c r="AI3368" s="40" t="s">
        <v>1073</v>
      </c>
      <c r="AP3368" s="4" t="s">
        <v>115</v>
      </c>
    </row>
    <row r="3369" spans="1:42" x14ac:dyDescent="0.15">
      <c r="A3369" s="40" t="s">
        <v>1</v>
      </c>
      <c r="B3369" s="23">
        <v>90260818</v>
      </c>
      <c r="C3369" s="23">
        <v>2608</v>
      </c>
      <c r="D3369" s="23">
        <v>26</v>
      </c>
      <c r="F3369" s="23" t="s">
        <v>115</v>
      </c>
      <c r="G3369" s="23" t="s">
        <v>115</v>
      </c>
      <c r="H3369" s="23" t="s">
        <v>6067</v>
      </c>
      <c r="I3369" s="23">
        <v>4</v>
      </c>
      <c r="J3369" s="40">
        <v>0</v>
      </c>
      <c r="K3369" s="40">
        <v>0</v>
      </c>
      <c r="L3369" s="40" t="s">
        <v>115</v>
      </c>
      <c r="O3369" s="40" t="s">
        <v>115</v>
      </c>
      <c r="Q3369" s="40">
        <v>18</v>
      </c>
      <c r="R3369" s="40" t="s">
        <v>115</v>
      </c>
      <c r="X3369" s="40">
        <v>90260819</v>
      </c>
      <c r="Y3369" s="40" t="s">
        <v>115</v>
      </c>
      <c r="Z3369" s="40" t="s">
        <v>115</v>
      </c>
      <c r="AA3369" s="40" t="s">
        <v>115</v>
      </c>
      <c r="AB3369" s="40" t="s">
        <v>115</v>
      </c>
      <c r="AC3369" s="40" t="s">
        <v>115</v>
      </c>
      <c r="AI3369" s="40">
        <v>202</v>
      </c>
      <c r="AP3369" s="4" t="s">
        <v>115</v>
      </c>
    </row>
    <row r="3370" spans="1:42" x14ac:dyDescent="0.15">
      <c r="A3370" s="40" t="s">
        <v>1</v>
      </c>
      <c r="B3370" s="23">
        <v>90260819</v>
      </c>
      <c r="C3370" s="23">
        <v>2608</v>
      </c>
      <c r="D3370" s="23">
        <v>26</v>
      </c>
      <c r="F3370" s="23" t="s">
        <v>115</v>
      </c>
      <c r="G3370" s="23" t="s">
        <v>115</v>
      </c>
      <c r="H3370" s="23" t="s">
        <v>6068</v>
      </c>
      <c r="I3370" s="23">
        <v>4</v>
      </c>
      <c r="J3370" s="40">
        <v>0</v>
      </c>
      <c r="K3370" s="40">
        <v>0</v>
      </c>
      <c r="L3370" s="40" t="s">
        <v>115</v>
      </c>
      <c r="O3370" s="40" t="s">
        <v>115</v>
      </c>
      <c r="Q3370" s="40">
        <v>18</v>
      </c>
      <c r="R3370" s="40" t="s">
        <v>115</v>
      </c>
      <c r="X3370" s="40">
        <v>90260820</v>
      </c>
      <c r="Y3370" s="40" t="s">
        <v>115</v>
      </c>
      <c r="Z3370" s="40" t="s">
        <v>115</v>
      </c>
      <c r="AA3370" s="40" t="s">
        <v>115</v>
      </c>
      <c r="AB3370" s="40" t="s">
        <v>115</v>
      </c>
      <c r="AC3370" s="40" t="s">
        <v>115</v>
      </c>
      <c r="AI3370" s="40">
        <v>202</v>
      </c>
      <c r="AP3370" s="4" t="s">
        <v>115</v>
      </c>
    </row>
    <row r="3371" spans="1:42" x14ac:dyDescent="0.15">
      <c r="A3371" s="40" t="s">
        <v>1</v>
      </c>
      <c r="B3371" s="23">
        <v>90260820</v>
      </c>
      <c r="C3371" s="23">
        <v>2608</v>
      </c>
      <c r="D3371" s="23">
        <v>26</v>
      </c>
      <c r="F3371" s="23" t="s">
        <v>116</v>
      </c>
      <c r="G3371" s="23">
        <v>308</v>
      </c>
      <c r="H3371" s="23" t="s">
        <v>6069</v>
      </c>
      <c r="I3371" s="23">
        <v>0</v>
      </c>
      <c r="J3371" s="40">
        <v>0</v>
      </c>
      <c r="K3371" s="40">
        <v>0</v>
      </c>
      <c r="L3371" s="40" t="s">
        <v>115</v>
      </c>
      <c r="O3371" s="40" t="s">
        <v>115</v>
      </c>
      <c r="Q3371" s="40">
        <v>18</v>
      </c>
      <c r="R3371" s="40" t="s">
        <v>115</v>
      </c>
      <c r="X3371" s="40">
        <v>90260821</v>
      </c>
      <c r="Y3371" s="40" t="s">
        <v>115</v>
      </c>
      <c r="Z3371" s="40" t="s">
        <v>115</v>
      </c>
      <c r="AA3371" s="40" t="s">
        <v>115</v>
      </c>
      <c r="AB3371" s="40" t="s">
        <v>115</v>
      </c>
      <c r="AC3371" s="40" t="s">
        <v>115</v>
      </c>
      <c r="AI3371" s="40">
        <v>202</v>
      </c>
      <c r="AP3371" s="4" t="s">
        <v>115</v>
      </c>
    </row>
    <row r="3372" spans="1:42" x14ac:dyDescent="0.15">
      <c r="A3372" s="40" t="s">
        <v>1</v>
      </c>
      <c r="B3372" s="23">
        <v>90260821</v>
      </c>
      <c r="C3372" s="23">
        <v>2608</v>
      </c>
      <c r="D3372" s="23">
        <v>26</v>
      </c>
      <c r="F3372" s="23" t="s">
        <v>1072</v>
      </c>
      <c r="G3372" s="23" t="s">
        <v>115</v>
      </c>
      <c r="H3372" s="23" t="s">
        <v>6070</v>
      </c>
      <c r="I3372" s="23">
        <v>1</v>
      </c>
      <c r="J3372" s="40">
        <v>0</v>
      </c>
      <c r="K3372" s="40">
        <v>0</v>
      </c>
      <c r="L3372" s="40" t="s">
        <v>115</v>
      </c>
      <c r="O3372" s="40" t="s">
        <v>115</v>
      </c>
      <c r="Q3372" s="40">
        <v>18</v>
      </c>
      <c r="R3372" s="40" t="s">
        <v>115</v>
      </c>
      <c r="X3372" s="40">
        <v>90260822</v>
      </c>
      <c r="Y3372" s="40" t="s">
        <v>115</v>
      </c>
      <c r="Z3372" s="40" t="s">
        <v>115</v>
      </c>
      <c r="AA3372" s="40" t="s">
        <v>115</v>
      </c>
      <c r="AB3372" s="40" t="s">
        <v>115</v>
      </c>
      <c r="AC3372" s="40" t="s">
        <v>115</v>
      </c>
      <c r="AI3372" s="40" t="s">
        <v>1073</v>
      </c>
      <c r="AP3372" s="4" t="s">
        <v>115</v>
      </c>
    </row>
    <row r="3373" spans="1:42" x14ac:dyDescent="0.15">
      <c r="A3373" s="40" t="s">
        <v>1</v>
      </c>
      <c r="B3373" s="23">
        <v>90260822</v>
      </c>
      <c r="C3373" s="23">
        <v>2608</v>
      </c>
      <c r="D3373" s="23">
        <v>26</v>
      </c>
      <c r="F3373" s="23" t="s">
        <v>115</v>
      </c>
      <c r="G3373" s="23" t="s">
        <v>115</v>
      </c>
      <c r="H3373" s="23" t="s">
        <v>6071</v>
      </c>
      <c r="I3373" s="23">
        <v>4</v>
      </c>
      <c r="J3373" s="40">
        <v>0</v>
      </c>
      <c r="K3373" s="40">
        <v>0</v>
      </c>
      <c r="L3373" s="40" t="s">
        <v>115</v>
      </c>
      <c r="O3373" s="40" t="s">
        <v>115</v>
      </c>
      <c r="Q3373" s="40">
        <v>18</v>
      </c>
      <c r="R3373" s="40" t="s">
        <v>115</v>
      </c>
      <c r="X3373" s="40">
        <v>90260823</v>
      </c>
      <c r="Y3373" s="40" t="s">
        <v>115</v>
      </c>
      <c r="Z3373" s="40" t="s">
        <v>115</v>
      </c>
      <c r="AA3373" s="40" t="s">
        <v>115</v>
      </c>
      <c r="AB3373" s="40" t="s">
        <v>115</v>
      </c>
      <c r="AC3373" s="40" t="s">
        <v>115</v>
      </c>
      <c r="AI3373" s="40">
        <v>202</v>
      </c>
      <c r="AP3373" s="4" t="s">
        <v>115</v>
      </c>
    </row>
    <row r="3374" spans="1:42" x14ac:dyDescent="0.15">
      <c r="A3374" s="40" t="s">
        <v>1</v>
      </c>
      <c r="B3374" s="23">
        <v>90260823</v>
      </c>
      <c r="C3374" s="23">
        <v>2608</v>
      </c>
      <c r="D3374" s="23">
        <v>26</v>
      </c>
      <c r="F3374" s="23" t="s">
        <v>115</v>
      </c>
      <c r="G3374" s="23" t="s">
        <v>115</v>
      </c>
      <c r="H3374" s="23" t="s">
        <v>6072</v>
      </c>
      <c r="I3374" s="23">
        <v>4</v>
      </c>
      <c r="J3374" s="40">
        <v>0</v>
      </c>
      <c r="K3374" s="40">
        <v>0</v>
      </c>
      <c r="L3374" s="40" t="s">
        <v>115</v>
      </c>
      <c r="O3374" s="40" t="s">
        <v>115</v>
      </c>
      <c r="Q3374" s="40">
        <v>18</v>
      </c>
      <c r="R3374" s="40" t="s">
        <v>115</v>
      </c>
      <c r="X3374" s="40">
        <v>90260824</v>
      </c>
      <c r="Y3374" s="40" t="s">
        <v>115</v>
      </c>
      <c r="Z3374" s="40" t="s">
        <v>115</v>
      </c>
      <c r="AA3374" s="40" t="s">
        <v>115</v>
      </c>
      <c r="AB3374" s="40" t="s">
        <v>115</v>
      </c>
      <c r="AC3374" s="40" t="s">
        <v>115</v>
      </c>
      <c r="AI3374" s="40">
        <v>202</v>
      </c>
      <c r="AP3374" s="4" t="s">
        <v>115</v>
      </c>
    </row>
    <row r="3375" spans="1:42" x14ac:dyDescent="0.15">
      <c r="A3375" s="40" t="s">
        <v>1</v>
      </c>
      <c r="B3375" s="23">
        <v>90260824</v>
      </c>
      <c r="C3375" s="23">
        <v>2608</v>
      </c>
      <c r="D3375" s="23">
        <v>26</v>
      </c>
      <c r="F3375" s="23" t="s">
        <v>115</v>
      </c>
      <c r="G3375" s="23" t="s">
        <v>115</v>
      </c>
      <c r="H3375" s="23" t="s">
        <v>6073</v>
      </c>
      <c r="I3375" s="23">
        <v>4</v>
      </c>
      <c r="J3375" s="40">
        <v>0</v>
      </c>
      <c r="K3375" s="40">
        <v>4</v>
      </c>
      <c r="L3375" s="40" t="s">
        <v>115</v>
      </c>
      <c r="O3375" s="40" t="s">
        <v>115</v>
      </c>
      <c r="Q3375" s="40">
        <v>18</v>
      </c>
      <c r="R3375" s="40" t="s">
        <v>115</v>
      </c>
      <c r="X3375" s="40" t="s">
        <v>6074</v>
      </c>
      <c r="Y3375" s="40">
        <v>1</v>
      </c>
      <c r="Z3375" s="40">
        <v>2</v>
      </c>
      <c r="AA3375" s="40" t="s">
        <v>115</v>
      </c>
      <c r="AB3375" s="40" t="s">
        <v>115</v>
      </c>
      <c r="AC3375" s="40" t="s">
        <v>115</v>
      </c>
      <c r="AI3375" s="40">
        <v>202</v>
      </c>
      <c r="AP3375" s="4" t="s">
        <v>115</v>
      </c>
    </row>
    <row r="3376" spans="1:42" x14ac:dyDescent="0.15">
      <c r="A3376" s="40" t="s">
        <v>1</v>
      </c>
      <c r="B3376" s="23">
        <v>90260825</v>
      </c>
      <c r="C3376" s="23">
        <v>2608</v>
      </c>
      <c r="D3376" s="23">
        <v>26</v>
      </c>
      <c r="F3376" s="23" t="s">
        <v>115</v>
      </c>
      <c r="G3376" s="23" t="s">
        <v>115</v>
      </c>
      <c r="H3376" s="23" t="s">
        <v>6075</v>
      </c>
      <c r="I3376" s="23">
        <v>4</v>
      </c>
      <c r="J3376" s="40">
        <v>0</v>
      </c>
      <c r="K3376" s="40">
        <v>5</v>
      </c>
      <c r="L3376" s="40" t="s">
        <v>115</v>
      </c>
      <c r="O3376" s="40" t="s">
        <v>115</v>
      </c>
      <c r="Q3376" s="40">
        <v>18</v>
      </c>
      <c r="R3376" s="40" t="s">
        <v>115</v>
      </c>
      <c r="X3376" s="40">
        <v>90260827</v>
      </c>
      <c r="Y3376" s="40">
        <v>-1</v>
      </c>
      <c r="Z3376" s="40">
        <v>4</v>
      </c>
      <c r="AA3376" s="40" t="s">
        <v>115</v>
      </c>
      <c r="AB3376" s="40" t="s">
        <v>115</v>
      </c>
      <c r="AC3376" s="40" t="s">
        <v>115</v>
      </c>
      <c r="AI3376" s="40">
        <v>202</v>
      </c>
      <c r="AP3376" s="4" t="s">
        <v>115</v>
      </c>
    </row>
    <row r="3377" spans="1:42" x14ac:dyDescent="0.15">
      <c r="A3377" s="40" t="s">
        <v>1</v>
      </c>
      <c r="B3377" s="23">
        <v>90260826</v>
      </c>
      <c r="C3377" s="23">
        <v>2608</v>
      </c>
      <c r="D3377" s="23">
        <v>26</v>
      </c>
      <c r="F3377" s="23" t="s">
        <v>115</v>
      </c>
      <c r="G3377" s="23" t="s">
        <v>115</v>
      </c>
      <c r="H3377" s="23" t="s">
        <v>6076</v>
      </c>
      <c r="I3377" s="23">
        <v>4</v>
      </c>
      <c r="J3377" s="40">
        <v>0</v>
      </c>
      <c r="K3377" s="40">
        <v>6</v>
      </c>
      <c r="L3377" s="40" t="s">
        <v>115</v>
      </c>
      <c r="O3377" s="40" t="s">
        <v>115</v>
      </c>
      <c r="Q3377" s="40">
        <v>18</v>
      </c>
      <c r="R3377" s="40" t="s">
        <v>115</v>
      </c>
      <c r="X3377" s="40">
        <v>90260829</v>
      </c>
      <c r="Y3377" s="40">
        <v>-1</v>
      </c>
      <c r="Z3377" s="40">
        <v>4</v>
      </c>
      <c r="AA3377" s="40" t="s">
        <v>115</v>
      </c>
      <c r="AB3377" s="40" t="s">
        <v>115</v>
      </c>
      <c r="AC3377" s="40" t="s">
        <v>6077</v>
      </c>
      <c r="AI3377" s="40">
        <v>202</v>
      </c>
      <c r="AP3377" s="4" t="s">
        <v>115</v>
      </c>
    </row>
    <row r="3378" spans="1:42" x14ac:dyDescent="0.15">
      <c r="A3378" s="40" t="s">
        <v>1</v>
      </c>
      <c r="B3378" s="23">
        <v>90260827</v>
      </c>
      <c r="C3378" s="23">
        <v>2608</v>
      </c>
      <c r="D3378" s="23">
        <v>26</v>
      </c>
      <c r="F3378" s="23" t="s">
        <v>115</v>
      </c>
      <c r="G3378" s="23" t="s">
        <v>115</v>
      </c>
      <c r="H3378" s="23" t="s">
        <v>6078</v>
      </c>
      <c r="I3378" s="23">
        <v>4</v>
      </c>
      <c r="J3378" s="40">
        <v>0</v>
      </c>
      <c r="K3378" s="40">
        <v>0</v>
      </c>
      <c r="L3378" s="40" t="s">
        <v>115</v>
      </c>
      <c r="O3378" s="40" t="s">
        <v>115</v>
      </c>
      <c r="Q3378" s="40">
        <v>18</v>
      </c>
      <c r="R3378" s="40" t="s">
        <v>115</v>
      </c>
      <c r="X3378" s="40">
        <v>90260828</v>
      </c>
      <c r="Y3378" s="40" t="s">
        <v>115</v>
      </c>
      <c r="Z3378" s="40" t="s">
        <v>115</v>
      </c>
      <c r="AA3378" s="40" t="s">
        <v>115</v>
      </c>
      <c r="AB3378" s="40" t="s">
        <v>115</v>
      </c>
      <c r="AC3378" s="40" t="s">
        <v>115</v>
      </c>
      <c r="AI3378" s="40">
        <v>202</v>
      </c>
      <c r="AP3378" s="4" t="s">
        <v>115</v>
      </c>
    </row>
    <row r="3379" spans="1:42" x14ac:dyDescent="0.15">
      <c r="A3379" s="40" t="s">
        <v>1</v>
      </c>
      <c r="B3379" s="23">
        <v>90260828</v>
      </c>
      <c r="C3379" s="23">
        <v>2608</v>
      </c>
      <c r="D3379" s="23">
        <v>26</v>
      </c>
      <c r="F3379" s="23" t="s">
        <v>115</v>
      </c>
      <c r="G3379" s="23" t="s">
        <v>115</v>
      </c>
      <c r="H3379" s="23" t="s">
        <v>6079</v>
      </c>
      <c r="I3379" s="23">
        <v>4</v>
      </c>
      <c r="J3379" s="40">
        <v>0</v>
      </c>
      <c r="K3379" s="40">
        <v>0</v>
      </c>
      <c r="L3379" s="40" t="s">
        <v>115</v>
      </c>
      <c r="O3379" s="40" t="s">
        <v>115</v>
      </c>
      <c r="Q3379" s="40">
        <v>18</v>
      </c>
      <c r="R3379" s="40" t="s">
        <v>115</v>
      </c>
      <c r="X3379" s="40">
        <v>90260824</v>
      </c>
      <c r="Y3379" s="40" t="s">
        <v>115</v>
      </c>
      <c r="Z3379" s="40" t="s">
        <v>115</v>
      </c>
      <c r="AA3379" s="40" t="s">
        <v>115</v>
      </c>
      <c r="AB3379" s="40" t="s">
        <v>115</v>
      </c>
      <c r="AC3379" s="40" t="s">
        <v>115</v>
      </c>
      <c r="AI3379" s="40">
        <v>202</v>
      </c>
      <c r="AP3379" s="4" t="s">
        <v>115</v>
      </c>
    </row>
    <row r="3380" spans="1:42" x14ac:dyDescent="0.15">
      <c r="A3380" s="40" t="s">
        <v>1</v>
      </c>
      <c r="B3380" s="23">
        <v>90260829</v>
      </c>
      <c r="C3380" s="23">
        <v>2608</v>
      </c>
      <c r="D3380" s="23">
        <v>26</v>
      </c>
      <c r="F3380" s="23" t="s">
        <v>115</v>
      </c>
      <c r="G3380" s="23" t="s">
        <v>115</v>
      </c>
      <c r="H3380" s="23" t="s">
        <v>6080</v>
      </c>
      <c r="I3380" s="23">
        <v>4</v>
      </c>
      <c r="J3380" s="40">
        <v>0</v>
      </c>
      <c r="K3380" s="40">
        <v>0</v>
      </c>
      <c r="L3380" s="40" t="s">
        <v>115</v>
      </c>
      <c r="O3380" s="40" t="s">
        <v>115</v>
      </c>
      <c r="Q3380" s="40">
        <v>18</v>
      </c>
      <c r="R3380" s="40" t="s">
        <v>115</v>
      </c>
      <c r="X3380" s="40">
        <v>90260830</v>
      </c>
      <c r="Y3380" s="40" t="s">
        <v>115</v>
      </c>
      <c r="Z3380" s="40" t="s">
        <v>115</v>
      </c>
      <c r="AA3380" s="40" t="s">
        <v>115</v>
      </c>
      <c r="AB3380" s="40" t="s">
        <v>115</v>
      </c>
      <c r="AC3380" s="40" t="s">
        <v>115</v>
      </c>
      <c r="AI3380" s="40">
        <v>204</v>
      </c>
      <c r="AP3380" s="4" t="s">
        <v>115</v>
      </c>
    </row>
    <row r="3381" spans="1:42" x14ac:dyDescent="0.15">
      <c r="A3381" s="40" t="s">
        <v>1</v>
      </c>
      <c r="B3381" s="23">
        <v>90260830</v>
      </c>
      <c r="C3381" s="23">
        <v>2608</v>
      </c>
      <c r="D3381" s="23">
        <v>26</v>
      </c>
      <c r="F3381" s="23" t="s">
        <v>1072</v>
      </c>
      <c r="G3381" s="23" t="s">
        <v>115</v>
      </c>
      <c r="H3381" s="23" t="s">
        <v>6081</v>
      </c>
      <c r="I3381" s="23">
        <v>1</v>
      </c>
      <c r="J3381" s="40">
        <v>0</v>
      </c>
      <c r="K3381" s="40">
        <v>0</v>
      </c>
      <c r="L3381" s="40" t="s">
        <v>115</v>
      </c>
      <c r="O3381" s="40" t="s">
        <v>115</v>
      </c>
      <c r="Q3381" s="40">
        <v>18</v>
      </c>
      <c r="R3381" s="40" t="s">
        <v>115</v>
      </c>
      <c r="X3381" s="40">
        <v>90260831</v>
      </c>
      <c r="Y3381" s="40" t="s">
        <v>115</v>
      </c>
      <c r="Z3381" s="40" t="s">
        <v>115</v>
      </c>
      <c r="AA3381" s="40" t="s">
        <v>115</v>
      </c>
      <c r="AB3381" s="40" t="s">
        <v>115</v>
      </c>
      <c r="AC3381" s="40" t="s">
        <v>115</v>
      </c>
      <c r="AI3381" s="40" t="s">
        <v>7432</v>
      </c>
      <c r="AP3381" s="4" t="s">
        <v>115</v>
      </c>
    </row>
    <row r="3382" spans="1:42" x14ac:dyDescent="0.15">
      <c r="A3382" s="40" t="s">
        <v>1</v>
      </c>
      <c r="B3382" s="23">
        <v>90260831</v>
      </c>
      <c r="C3382" s="23">
        <v>2608</v>
      </c>
      <c r="D3382" s="23">
        <v>26</v>
      </c>
      <c r="F3382" s="23" t="s">
        <v>1072</v>
      </c>
      <c r="G3382" s="23" t="s">
        <v>115</v>
      </c>
      <c r="H3382" s="23" t="s">
        <v>6082</v>
      </c>
      <c r="I3382" s="23">
        <v>1</v>
      </c>
      <c r="J3382" s="40">
        <v>0</v>
      </c>
      <c r="K3382" s="40">
        <v>0</v>
      </c>
      <c r="L3382" s="40" t="s">
        <v>115</v>
      </c>
      <c r="O3382" s="40" t="s">
        <v>115</v>
      </c>
      <c r="Q3382" s="40">
        <v>18</v>
      </c>
      <c r="R3382" s="40" t="s">
        <v>115</v>
      </c>
      <c r="X3382" s="40">
        <v>90260832</v>
      </c>
      <c r="Y3382" s="40" t="s">
        <v>115</v>
      </c>
      <c r="Z3382" s="40" t="s">
        <v>115</v>
      </c>
      <c r="AA3382" s="40" t="s">
        <v>115</v>
      </c>
      <c r="AB3382" s="40" t="s">
        <v>115</v>
      </c>
      <c r="AC3382" s="40" t="s">
        <v>115</v>
      </c>
      <c r="AI3382" s="40" t="s">
        <v>7432</v>
      </c>
      <c r="AP3382" s="4" t="s">
        <v>115</v>
      </c>
    </row>
    <row r="3383" spans="1:42" x14ac:dyDescent="0.15">
      <c r="A3383" s="40" t="s">
        <v>1</v>
      </c>
      <c r="B3383" s="23">
        <v>90260832</v>
      </c>
      <c r="C3383" s="23">
        <v>2608</v>
      </c>
      <c r="D3383" s="23">
        <v>26</v>
      </c>
      <c r="F3383" s="23" t="s">
        <v>1072</v>
      </c>
      <c r="G3383" s="23" t="s">
        <v>115</v>
      </c>
      <c r="H3383" s="23" t="s">
        <v>6083</v>
      </c>
      <c r="I3383" s="23">
        <v>1</v>
      </c>
      <c r="J3383" s="40">
        <v>0</v>
      </c>
      <c r="K3383" s="40">
        <v>0</v>
      </c>
      <c r="L3383" s="40" t="s">
        <v>115</v>
      </c>
      <c r="O3383" s="40" t="s">
        <v>115</v>
      </c>
      <c r="Q3383" s="40">
        <v>18</v>
      </c>
      <c r="R3383" s="40" t="s">
        <v>115</v>
      </c>
      <c r="X3383" s="40">
        <v>90260833</v>
      </c>
      <c r="Y3383" s="40" t="s">
        <v>115</v>
      </c>
      <c r="Z3383" s="40" t="s">
        <v>115</v>
      </c>
      <c r="AA3383" s="40" t="s">
        <v>115</v>
      </c>
      <c r="AB3383" s="40" t="s">
        <v>115</v>
      </c>
      <c r="AC3383" s="40" t="s">
        <v>115</v>
      </c>
      <c r="AI3383" s="40" t="s">
        <v>7432</v>
      </c>
      <c r="AP3383" s="4" t="s">
        <v>115</v>
      </c>
    </row>
    <row r="3384" spans="1:42" x14ac:dyDescent="0.15">
      <c r="A3384" s="40" t="s">
        <v>1</v>
      </c>
      <c r="B3384" s="23">
        <v>90260833</v>
      </c>
      <c r="C3384" s="23">
        <v>2608</v>
      </c>
      <c r="D3384" s="23">
        <v>26</v>
      </c>
      <c r="F3384" s="23" t="s">
        <v>1072</v>
      </c>
      <c r="G3384" s="23" t="s">
        <v>115</v>
      </c>
      <c r="H3384" s="23" t="s">
        <v>6084</v>
      </c>
      <c r="I3384" s="23">
        <v>1</v>
      </c>
      <c r="J3384" s="40">
        <v>0</v>
      </c>
      <c r="K3384" s="40">
        <v>0</v>
      </c>
      <c r="L3384" s="40" t="s">
        <v>115</v>
      </c>
      <c r="O3384" s="40" t="s">
        <v>115</v>
      </c>
      <c r="Q3384" s="40">
        <v>18</v>
      </c>
      <c r="R3384" s="40" t="s">
        <v>115</v>
      </c>
      <c r="X3384" s="40">
        <v>90260834</v>
      </c>
      <c r="Y3384" s="40" t="s">
        <v>115</v>
      </c>
      <c r="Z3384" s="40" t="s">
        <v>115</v>
      </c>
      <c r="AA3384" s="40" t="s">
        <v>115</v>
      </c>
      <c r="AB3384" s="40" t="s">
        <v>115</v>
      </c>
      <c r="AC3384" s="40" t="s">
        <v>115</v>
      </c>
      <c r="AI3384" s="40" t="s">
        <v>7432</v>
      </c>
      <c r="AP3384" s="4" t="s">
        <v>115</v>
      </c>
    </row>
    <row r="3385" spans="1:42" x14ac:dyDescent="0.15">
      <c r="A3385" s="40" t="s">
        <v>1</v>
      </c>
      <c r="B3385" s="23">
        <v>90260834</v>
      </c>
      <c r="C3385" s="23">
        <v>2608</v>
      </c>
      <c r="D3385" s="23">
        <v>26</v>
      </c>
      <c r="F3385" s="23" t="s">
        <v>116</v>
      </c>
      <c r="G3385" s="23">
        <v>313</v>
      </c>
      <c r="H3385" s="23" t="s">
        <v>6085</v>
      </c>
      <c r="I3385" s="23">
        <v>0</v>
      </c>
      <c r="J3385" s="40">
        <v>0</v>
      </c>
      <c r="K3385" s="40">
        <v>0</v>
      </c>
      <c r="L3385" s="40" t="s">
        <v>115</v>
      </c>
      <c r="O3385" s="40" t="s">
        <v>115</v>
      </c>
      <c r="Q3385" s="40">
        <v>18</v>
      </c>
      <c r="R3385" s="40" t="s">
        <v>115</v>
      </c>
      <c r="X3385" s="40">
        <v>90260835</v>
      </c>
      <c r="Y3385" s="40" t="s">
        <v>115</v>
      </c>
      <c r="Z3385" s="40" t="s">
        <v>115</v>
      </c>
      <c r="AA3385" s="40" t="s">
        <v>115</v>
      </c>
      <c r="AB3385" s="40" t="s">
        <v>115</v>
      </c>
      <c r="AC3385" s="40" t="s">
        <v>115</v>
      </c>
      <c r="AI3385" s="40">
        <v>204</v>
      </c>
      <c r="AP3385" s="4" t="s">
        <v>115</v>
      </c>
    </row>
    <row r="3386" spans="1:42" x14ac:dyDescent="0.15">
      <c r="A3386" s="40" t="s">
        <v>1</v>
      </c>
      <c r="B3386" s="23">
        <v>90260835</v>
      </c>
      <c r="C3386" s="23">
        <v>2608</v>
      </c>
      <c r="D3386" s="23">
        <v>26</v>
      </c>
      <c r="F3386" s="23" t="s">
        <v>1072</v>
      </c>
      <c r="G3386" s="23" t="s">
        <v>115</v>
      </c>
      <c r="H3386" s="23" t="s">
        <v>6086</v>
      </c>
      <c r="I3386" s="23">
        <v>1</v>
      </c>
      <c r="J3386" s="40">
        <v>0</v>
      </c>
      <c r="K3386" s="40">
        <v>0</v>
      </c>
      <c r="L3386" s="40" t="s">
        <v>115</v>
      </c>
      <c r="O3386" s="40" t="s">
        <v>115</v>
      </c>
      <c r="Q3386" s="40">
        <v>18</v>
      </c>
      <c r="R3386" s="40" t="s">
        <v>115</v>
      </c>
      <c r="X3386" s="40">
        <v>90260836</v>
      </c>
      <c r="Y3386" s="40" t="s">
        <v>115</v>
      </c>
      <c r="Z3386" s="40" t="s">
        <v>115</v>
      </c>
      <c r="AA3386" s="40" t="s">
        <v>115</v>
      </c>
      <c r="AB3386" s="40" t="s">
        <v>115</v>
      </c>
      <c r="AC3386" s="40" t="s">
        <v>115</v>
      </c>
      <c r="AI3386" s="40" t="s">
        <v>7432</v>
      </c>
      <c r="AP3386" s="4" t="s">
        <v>115</v>
      </c>
    </row>
    <row r="3387" spans="1:42" x14ac:dyDescent="0.15">
      <c r="A3387" s="40" t="s">
        <v>1</v>
      </c>
      <c r="B3387" s="23">
        <v>90260836</v>
      </c>
      <c r="C3387" s="23">
        <v>2608</v>
      </c>
      <c r="D3387" s="23">
        <v>26</v>
      </c>
      <c r="F3387" s="23" t="s">
        <v>1072</v>
      </c>
      <c r="G3387" s="23" t="s">
        <v>115</v>
      </c>
      <c r="H3387" s="23" t="s">
        <v>6087</v>
      </c>
      <c r="I3387" s="23">
        <v>1</v>
      </c>
      <c r="J3387" s="40">
        <v>0</v>
      </c>
      <c r="K3387" s="40">
        <v>0</v>
      </c>
      <c r="L3387" s="40" t="s">
        <v>115</v>
      </c>
      <c r="O3387" s="40" t="s">
        <v>115</v>
      </c>
      <c r="Q3387" s="40">
        <v>18</v>
      </c>
      <c r="R3387" s="40" t="s">
        <v>115</v>
      </c>
      <c r="X3387" s="40">
        <v>90260837</v>
      </c>
      <c r="Y3387" s="40" t="s">
        <v>115</v>
      </c>
      <c r="Z3387" s="40" t="s">
        <v>115</v>
      </c>
      <c r="AA3387" s="40" t="s">
        <v>115</v>
      </c>
      <c r="AB3387" s="40" t="s">
        <v>115</v>
      </c>
      <c r="AC3387" s="40" t="s">
        <v>115</v>
      </c>
      <c r="AI3387" s="40" t="s">
        <v>7432</v>
      </c>
      <c r="AP3387" s="4" t="s">
        <v>115</v>
      </c>
    </row>
    <row r="3388" spans="1:42" x14ac:dyDescent="0.15">
      <c r="A3388" s="40" t="s">
        <v>1</v>
      </c>
      <c r="B3388" s="23">
        <v>90260837</v>
      </c>
      <c r="C3388" s="23">
        <v>2608</v>
      </c>
      <c r="D3388" s="23">
        <v>26</v>
      </c>
      <c r="F3388" s="23" t="s">
        <v>1072</v>
      </c>
      <c r="G3388" s="23" t="s">
        <v>115</v>
      </c>
      <c r="H3388" s="23" t="s">
        <v>6088</v>
      </c>
      <c r="I3388" s="23">
        <v>1</v>
      </c>
      <c r="J3388" s="40">
        <v>0</v>
      </c>
      <c r="K3388" s="40">
        <v>0</v>
      </c>
      <c r="L3388" s="40" t="s">
        <v>115</v>
      </c>
      <c r="O3388" s="40" t="s">
        <v>115</v>
      </c>
      <c r="Q3388" s="40">
        <v>18</v>
      </c>
      <c r="R3388" s="40" t="s">
        <v>115</v>
      </c>
      <c r="X3388" s="40">
        <v>90260838</v>
      </c>
      <c r="Y3388" s="40" t="s">
        <v>115</v>
      </c>
      <c r="Z3388" s="40" t="s">
        <v>115</v>
      </c>
      <c r="AA3388" s="40" t="s">
        <v>115</v>
      </c>
      <c r="AB3388" s="40" t="s">
        <v>115</v>
      </c>
      <c r="AC3388" s="40" t="s">
        <v>115</v>
      </c>
      <c r="AI3388" s="40" t="s">
        <v>7432</v>
      </c>
      <c r="AP3388" s="4" t="s">
        <v>115</v>
      </c>
    </row>
    <row r="3389" spans="1:42" x14ac:dyDescent="0.15">
      <c r="A3389" s="40" t="s">
        <v>1</v>
      </c>
      <c r="B3389" s="23">
        <v>90260838</v>
      </c>
      <c r="C3389" s="23">
        <v>2608</v>
      </c>
      <c r="D3389" s="23">
        <v>26</v>
      </c>
      <c r="F3389" s="23" t="s">
        <v>1072</v>
      </c>
      <c r="G3389" s="23" t="s">
        <v>115</v>
      </c>
      <c r="H3389" s="23" t="s">
        <v>6089</v>
      </c>
      <c r="I3389" s="23">
        <v>1</v>
      </c>
      <c r="J3389" s="40">
        <v>0</v>
      </c>
      <c r="K3389" s="40">
        <v>0</v>
      </c>
      <c r="L3389" s="40" t="s">
        <v>115</v>
      </c>
      <c r="O3389" s="40" t="s">
        <v>115</v>
      </c>
      <c r="Q3389" s="40">
        <v>18</v>
      </c>
      <c r="R3389" s="40" t="s">
        <v>115</v>
      </c>
      <c r="X3389" s="40">
        <v>90260839</v>
      </c>
      <c r="Y3389" s="40" t="s">
        <v>115</v>
      </c>
      <c r="Z3389" s="40" t="s">
        <v>115</v>
      </c>
      <c r="AA3389" s="40" t="s">
        <v>115</v>
      </c>
      <c r="AB3389" s="40" t="s">
        <v>115</v>
      </c>
      <c r="AC3389" s="40" t="s">
        <v>115</v>
      </c>
      <c r="AI3389" s="40" t="s">
        <v>7432</v>
      </c>
      <c r="AP3389" s="4" t="s">
        <v>115</v>
      </c>
    </row>
    <row r="3390" spans="1:42" x14ac:dyDescent="0.15">
      <c r="A3390" s="40" t="s">
        <v>1</v>
      </c>
      <c r="B3390" s="23">
        <v>90260839</v>
      </c>
      <c r="C3390" s="23">
        <v>2608</v>
      </c>
      <c r="D3390" s="23">
        <v>26</v>
      </c>
      <c r="F3390" s="23" t="s">
        <v>1072</v>
      </c>
      <c r="G3390" s="23" t="s">
        <v>115</v>
      </c>
      <c r="H3390" s="23" t="s">
        <v>6090</v>
      </c>
      <c r="I3390" s="23">
        <v>1</v>
      </c>
      <c r="J3390" s="40">
        <v>0</v>
      </c>
      <c r="K3390" s="40">
        <v>0</v>
      </c>
      <c r="L3390" s="40" t="s">
        <v>115</v>
      </c>
      <c r="O3390" s="40" t="s">
        <v>115</v>
      </c>
      <c r="Q3390" s="40">
        <v>18</v>
      </c>
      <c r="R3390" s="40" t="s">
        <v>115</v>
      </c>
      <c r="X3390" s="40">
        <v>90260840</v>
      </c>
      <c r="Y3390" s="40" t="s">
        <v>115</v>
      </c>
      <c r="Z3390" s="40" t="s">
        <v>115</v>
      </c>
      <c r="AA3390" s="40" t="s">
        <v>115</v>
      </c>
      <c r="AB3390" s="40" t="s">
        <v>115</v>
      </c>
      <c r="AC3390" s="40" t="s">
        <v>115</v>
      </c>
      <c r="AI3390" s="40" t="s">
        <v>7432</v>
      </c>
      <c r="AP3390" s="4" t="s">
        <v>115</v>
      </c>
    </row>
    <row r="3391" spans="1:42" x14ac:dyDescent="0.15">
      <c r="A3391" s="40" t="s">
        <v>1</v>
      </c>
      <c r="B3391" s="23">
        <v>90260840</v>
      </c>
      <c r="C3391" s="23">
        <v>2608</v>
      </c>
      <c r="D3391" s="23">
        <v>26</v>
      </c>
      <c r="F3391" s="23" t="s">
        <v>1072</v>
      </c>
      <c r="G3391" s="23" t="s">
        <v>115</v>
      </c>
      <c r="H3391" s="23" t="s">
        <v>6091</v>
      </c>
      <c r="I3391" s="23">
        <v>1</v>
      </c>
      <c r="J3391" s="40">
        <v>0</v>
      </c>
      <c r="K3391" s="40">
        <v>0</v>
      </c>
      <c r="L3391" s="40" t="s">
        <v>115</v>
      </c>
      <c r="O3391" s="40" t="s">
        <v>115</v>
      </c>
      <c r="Q3391" s="40">
        <v>18</v>
      </c>
      <c r="R3391" s="40" t="s">
        <v>115</v>
      </c>
      <c r="X3391" s="40">
        <v>90260841</v>
      </c>
      <c r="Y3391" s="40" t="s">
        <v>115</v>
      </c>
      <c r="Z3391" s="40" t="s">
        <v>115</v>
      </c>
      <c r="AA3391" s="40" t="s">
        <v>115</v>
      </c>
      <c r="AB3391" s="40" t="s">
        <v>115</v>
      </c>
      <c r="AC3391" s="40" t="s">
        <v>115</v>
      </c>
      <c r="AI3391" s="40" t="s">
        <v>7432</v>
      </c>
      <c r="AP3391" s="4" t="s">
        <v>115</v>
      </c>
    </row>
    <row r="3392" spans="1:42" x14ac:dyDescent="0.15">
      <c r="A3392" s="40" t="s">
        <v>1</v>
      </c>
      <c r="B3392" s="23">
        <v>90260841</v>
      </c>
      <c r="C3392" s="23">
        <v>2608</v>
      </c>
      <c r="D3392" s="23">
        <v>26</v>
      </c>
      <c r="F3392" s="23" t="s">
        <v>1072</v>
      </c>
      <c r="G3392" s="23" t="s">
        <v>115</v>
      </c>
      <c r="H3392" s="23" t="s">
        <v>6092</v>
      </c>
      <c r="I3392" s="23">
        <v>1</v>
      </c>
      <c r="J3392" s="40">
        <v>0</v>
      </c>
      <c r="K3392" s="40">
        <v>0</v>
      </c>
      <c r="L3392" s="40" t="s">
        <v>115</v>
      </c>
      <c r="O3392" s="40" t="s">
        <v>115</v>
      </c>
      <c r="Q3392" s="40">
        <v>18</v>
      </c>
      <c r="R3392" s="40" t="s">
        <v>115</v>
      </c>
      <c r="X3392" s="40">
        <v>90260842</v>
      </c>
      <c r="Y3392" s="40" t="s">
        <v>115</v>
      </c>
      <c r="Z3392" s="40" t="s">
        <v>115</v>
      </c>
      <c r="AA3392" s="40" t="s">
        <v>115</v>
      </c>
      <c r="AB3392" s="40" t="s">
        <v>115</v>
      </c>
      <c r="AC3392" s="40" t="s">
        <v>115</v>
      </c>
      <c r="AI3392" s="40" t="s">
        <v>1073</v>
      </c>
      <c r="AP3392" s="4" t="s">
        <v>115</v>
      </c>
    </row>
    <row r="3393" spans="1:42" x14ac:dyDescent="0.15">
      <c r="A3393" s="40" t="s">
        <v>1</v>
      </c>
      <c r="B3393" s="23">
        <v>90260842</v>
      </c>
      <c r="C3393" s="23">
        <v>2608</v>
      </c>
      <c r="D3393" s="23">
        <v>26</v>
      </c>
      <c r="F3393" s="23" t="s">
        <v>116</v>
      </c>
      <c r="G3393" s="23">
        <v>311</v>
      </c>
      <c r="H3393" s="23" t="s">
        <v>6093</v>
      </c>
      <c r="I3393" s="23">
        <v>0</v>
      </c>
      <c r="J3393" s="40">
        <v>0</v>
      </c>
      <c r="K3393" s="40">
        <v>0</v>
      </c>
      <c r="L3393" s="40" t="s">
        <v>115</v>
      </c>
      <c r="O3393" s="40" t="s">
        <v>115</v>
      </c>
      <c r="Q3393" s="40">
        <v>18</v>
      </c>
      <c r="R3393" s="40" t="s">
        <v>115</v>
      </c>
      <c r="X3393" s="40">
        <v>90260843</v>
      </c>
      <c r="Y3393" s="40" t="s">
        <v>115</v>
      </c>
      <c r="Z3393" s="40" t="s">
        <v>115</v>
      </c>
      <c r="AA3393" s="40" t="s">
        <v>115</v>
      </c>
      <c r="AB3393" s="40" t="s">
        <v>115</v>
      </c>
      <c r="AC3393" s="40" t="s">
        <v>115</v>
      </c>
      <c r="AI3393" s="40">
        <v>202</v>
      </c>
      <c r="AP3393" s="4" t="s">
        <v>115</v>
      </c>
    </row>
    <row r="3394" spans="1:42" x14ac:dyDescent="0.15">
      <c r="A3394" s="40" t="s">
        <v>1</v>
      </c>
      <c r="B3394" s="23">
        <v>90260843</v>
      </c>
      <c r="C3394" s="23">
        <v>2608</v>
      </c>
      <c r="D3394" s="23">
        <v>26</v>
      </c>
      <c r="F3394" s="23" t="s">
        <v>1072</v>
      </c>
      <c r="G3394" s="23" t="s">
        <v>115</v>
      </c>
      <c r="H3394" s="23" t="s">
        <v>6094</v>
      </c>
      <c r="I3394" s="23">
        <v>1</v>
      </c>
      <c r="J3394" s="40">
        <v>0</v>
      </c>
      <c r="K3394" s="40">
        <v>0</v>
      </c>
      <c r="L3394" s="40" t="s">
        <v>115</v>
      </c>
      <c r="O3394" s="40" t="s">
        <v>115</v>
      </c>
      <c r="Q3394" s="40">
        <v>18</v>
      </c>
      <c r="R3394" s="40" t="s">
        <v>115</v>
      </c>
      <c r="X3394" s="40">
        <v>90260844</v>
      </c>
      <c r="Y3394" s="40" t="s">
        <v>115</v>
      </c>
      <c r="Z3394" s="40" t="s">
        <v>115</v>
      </c>
      <c r="AA3394" s="40" t="s">
        <v>115</v>
      </c>
      <c r="AB3394" s="40" t="s">
        <v>115</v>
      </c>
      <c r="AC3394" s="40" t="s">
        <v>115</v>
      </c>
      <c r="AI3394" s="40" t="s">
        <v>1073</v>
      </c>
      <c r="AP3394" s="4" t="s">
        <v>115</v>
      </c>
    </row>
    <row r="3395" spans="1:42" x14ac:dyDescent="0.15">
      <c r="A3395" s="40" t="s">
        <v>1</v>
      </c>
      <c r="B3395" s="23">
        <v>90260844</v>
      </c>
      <c r="C3395" s="23">
        <v>2608</v>
      </c>
      <c r="D3395" s="23">
        <v>26</v>
      </c>
      <c r="F3395" s="23" t="s">
        <v>116</v>
      </c>
      <c r="G3395" s="23">
        <v>311</v>
      </c>
      <c r="H3395" s="23" t="s">
        <v>6095</v>
      </c>
      <c r="I3395" s="23">
        <v>0</v>
      </c>
      <c r="J3395" s="40">
        <v>0</v>
      </c>
      <c r="K3395" s="40">
        <v>0</v>
      </c>
      <c r="L3395" s="40" t="s">
        <v>115</v>
      </c>
      <c r="O3395" s="40" t="s">
        <v>115</v>
      </c>
      <c r="Q3395" s="40">
        <v>18</v>
      </c>
      <c r="R3395" s="40" t="s">
        <v>115</v>
      </c>
      <c r="X3395" s="40">
        <v>90260845</v>
      </c>
      <c r="Y3395" s="40" t="s">
        <v>115</v>
      </c>
      <c r="Z3395" s="40" t="s">
        <v>115</v>
      </c>
      <c r="AA3395" s="40" t="s">
        <v>115</v>
      </c>
      <c r="AB3395" s="40" t="s">
        <v>115</v>
      </c>
      <c r="AC3395" s="40" t="s">
        <v>115</v>
      </c>
      <c r="AI3395" s="40">
        <v>202</v>
      </c>
      <c r="AP3395" s="4" t="s">
        <v>115</v>
      </c>
    </row>
    <row r="3396" spans="1:42" x14ac:dyDescent="0.15">
      <c r="A3396" s="40" t="s">
        <v>1</v>
      </c>
      <c r="B3396" s="23">
        <v>90260845</v>
      </c>
      <c r="C3396" s="23">
        <v>2608</v>
      </c>
      <c r="D3396" s="23">
        <v>26</v>
      </c>
      <c r="F3396" s="23" t="s">
        <v>1072</v>
      </c>
      <c r="G3396" s="23" t="s">
        <v>115</v>
      </c>
      <c r="H3396" s="23" t="s">
        <v>6096</v>
      </c>
      <c r="I3396" s="23">
        <v>1</v>
      </c>
      <c r="J3396" s="40">
        <v>0</v>
      </c>
      <c r="K3396" s="40">
        <v>7</v>
      </c>
      <c r="L3396" s="40" t="s">
        <v>6097</v>
      </c>
      <c r="O3396" s="40" t="s">
        <v>115</v>
      </c>
      <c r="Q3396" s="40">
        <v>18</v>
      </c>
      <c r="R3396" s="40" t="s">
        <v>115</v>
      </c>
      <c r="X3396" s="40">
        <v>90260846</v>
      </c>
      <c r="Y3396" s="40" t="s">
        <v>115</v>
      </c>
      <c r="Z3396" s="40">
        <v>6</v>
      </c>
      <c r="AA3396" s="40" t="s">
        <v>115</v>
      </c>
      <c r="AB3396" s="40" t="s">
        <v>115</v>
      </c>
      <c r="AC3396" s="40" t="s">
        <v>115</v>
      </c>
      <c r="AI3396" s="40" t="s">
        <v>7432</v>
      </c>
      <c r="AP3396" s="4" t="s">
        <v>115</v>
      </c>
    </row>
    <row r="3397" spans="1:42" x14ac:dyDescent="0.15">
      <c r="A3397" s="40" t="s">
        <v>1</v>
      </c>
      <c r="B3397" s="23">
        <v>90260846</v>
      </c>
      <c r="C3397" s="23">
        <v>2608</v>
      </c>
      <c r="D3397" s="23">
        <v>26</v>
      </c>
      <c r="F3397" s="23" t="s">
        <v>116</v>
      </c>
      <c r="G3397" s="23">
        <v>312</v>
      </c>
      <c r="H3397" s="23" t="s">
        <v>6098</v>
      </c>
      <c r="I3397" s="23">
        <v>0</v>
      </c>
      <c r="J3397" s="40">
        <v>0</v>
      </c>
      <c r="K3397" s="40">
        <v>0</v>
      </c>
      <c r="L3397" s="40" t="s">
        <v>115</v>
      </c>
      <c r="O3397" s="40" t="s">
        <v>115</v>
      </c>
      <c r="Q3397" s="40">
        <v>18</v>
      </c>
      <c r="R3397" s="40" t="s">
        <v>115</v>
      </c>
      <c r="X3397" s="40">
        <v>90260847</v>
      </c>
      <c r="Y3397" s="40" t="s">
        <v>115</v>
      </c>
      <c r="Z3397" s="40" t="s">
        <v>115</v>
      </c>
      <c r="AA3397" s="40" t="s">
        <v>115</v>
      </c>
      <c r="AB3397" s="40" t="s">
        <v>115</v>
      </c>
      <c r="AC3397" s="40" t="s">
        <v>115</v>
      </c>
      <c r="AI3397" s="40">
        <v>204</v>
      </c>
      <c r="AP3397" s="4" t="s">
        <v>115</v>
      </c>
    </row>
    <row r="3398" spans="1:42" x14ac:dyDescent="0.15">
      <c r="A3398" s="40" t="s">
        <v>1</v>
      </c>
      <c r="B3398" s="23">
        <v>90260847</v>
      </c>
      <c r="C3398" s="23">
        <v>2608</v>
      </c>
      <c r="D3398" s="23">
        <v>26</v>
      </c>
      <c r="F3398" s="23" t="s">
        <v>1072</v>
      </c>
      <c r="G3398" s="23" t="s">
        <v>115</v>
      </c>
      <c r="H3398" s="23" t="s">
        <v>6099</v>
      </c>
      <c r="I3398" s="23">
        <v>1</v>
      </c>
      <c r="J3398" s="40">
        <v>0</v>
      </c>
      <c r="K3398" s="40">
        <v>0</v>
      </c>
      <c r="L3398" s="40" t="s">
        <v>115</v>
      </c>
      <c r="O3398" s="40" t="s">
        <v>115</v>
      </c>
      <c r="Q3398" s="40">
        <v>18</v>
      </c>
      <c r="R3398" s="40" t="s">
        <v>115</v>
      </c>
      <c r="X3398" s="40">
        <v>90260848</v>
      </c>
      <c r="Y3398" s="40" t="s">
        <v>115</v>
      </c>
      <c r="Z3398" s="40" t="s">
        <v>115</v>
      </c>
      <c r="AA3398" s="40" t="s">
        <v>115</v>
      </c>
      <c r="AB3398" s="40" t="s">
        <v>115</v>
      </c>
      <c r="AC3398" s="40" t="s">
        <v>115</v>
      </c>
      <c r="AI3398" s="40" t="s">
        <v>7432</v>
      </c>
      <c r="AP3398" s="4" t="s">
        <v>115</v>
      </c>
    </row>
    <row r="3399" spans="1:42" x14ac:dyDescent="0.15">
      <c r="A3399" s="40" t="s">
        <v>1</v>
      </c>
      <c r="B3399" s="23">
        <v>90260848</v>
      </c>
      <c r="C3399" s="23">
        <v>2608</v>
      </c>
      <c r="D3399" s="23">
        <v>26</v>
      </c>
      <c r="F3399" s="23" t="s">
        <v>116</v>
      </c>
      <c r="G3399" s="23">
        <v>312</v>
      </c>
      <c r="H3399" s="23" t="s">
        <v>6100</v>
      </c>
      <c r="I3399" s="23">
        <v>0</v>
      </c>
      <c r="J3399" s="40">
        <v>0</v>
      </c>
      <c r="K3399" s="40">
        <v>0</v>
      </c>
      <c r="L3399" s="40" t="s">
        <v>115</v>
      </c>
      <c r="O3399" s="40" t="s">
        <v>115</v>
      </c>
      <c r="Q3399" s="40">
        <v>18</v>
      </c>
      <c r="R3399" s="40" t="s">
        <v>115</v>
      </c>
      <c r="X3399" s="40">
        <v>90260849</v>
      </c>
      <c r="Y3399" s="40" t="s">
        <v>115</v>
      </c>
      <c r="Z3399" s="40" t="s">
        <v>115</v>
      </c>
      <c r="AA3399" s="40" t="s">
        <v>115</v>
      </c>
      <c r="AB3399" s="40" t="s">
        <v>115</v>
      </c>
      <c r="AC3399" s="40" t="s">
        <v>115</v>
      </c>
      <c r="AI3399" s="40">
        <v>204</v>
      </c>
      <c r="AP3399" s="4" t="s">
        <v>115</v>
      </c>
    </row>
    <row r="3400" spans="1:42" x14ac:dyDescent="0.15">
      <c r="A3400" s="40" t="s">
        <v>1</v>
      </c>
      <c r="B3400" s="23">
        <v>90260849</v>
      </c>
      <c r="C3400" s="23">
        <v>2608</v>
      </c>
      <c r="D3400" s="23">
        <v>26</v>
      </c>
      <c r="F3400" s="23" t="s">
        <v>115</v>
      </c>
      <c r="G3400" s="23" t="s">
        <v>115</v>
      </c>
      <c r="H3400" s="23" t="s">
        <v>6101</v>
      </c>
      <c r="I3400" s="23">
        <v>4</v>
      </c>
      <c r="J3400" s="40">
        <v>0</v>
      </c>
      <c r="K3400" s="40">
        <v>0</v>
      </c>
      <c r="L3400" s="40" t="s">
        <v>115</v>
      </c>
      <c r="O3400" s="40" t="s">
        <v>115</v>
      </c>
      <c r="Q3400" s="40">
        <v>18</v>
      </c>
      <c r="R3400" s="40" t="s">
        <v>115</v>
      </c>
      <c r="X3400" s="40">
        <v>90260850</v>
      </c>
      <c r="Y3400" s="40" t="s">
        <v>115</v>
      </c>
      <c r="Z3400" s="40" t="s">
        <v>115</v>
      </c>
      <c r="AA3400" s="40" t="s">
        <v>115</v>
      </c>
      <c r="AB3400" s="40" t="s">
        <v>115</v>
      </c>
      <c r="AC3400" s="40" t="s">
        <v>115</v>
      </c>
      <c r="AI3400" s="40">
        <v>204</v>
      </c>
      <c r="AP3400" s="4" t="s">
        <v>115</v>
      </c>
    </row>
    <row r="3401" spans="1:42" x14ac:dyDescent="0.15">
      <c r="A3401" s="40" t="s">
        <v>1</v>
      </c>
      <c r="B3401" s="23">
        <v>90260850</v>
      </c>
      <c r="C3401" s="23">
        <v>2608</v>
      </c>
      <c r="D3401" s="23">
        <v>26</v>
      </c>
      <c r="F3401" s="23" t="s">
        <v>1072</v>
      </c>
      <c r="G3401" s="23" t="s">
        <v>115</v>
      </c>
      <c r="H3401" s="23" t="s">
        <v>6102</v>
      </c>
      <c r="I3401" s="23">
        <v>1</v>
      </c>
      <c r="J3401" s="40">
        <v>0</v>
      </c>
      <c r="K3401" s="40">
        <v>8</v>
      </c>
      <c r="L3401" s="40" t="s">
        <v>115</v>
      </c>
      <c r="O3401" s="40">
        <v>1</v>
      </c>
      <c r="Q3401" s="40">
        <v>18</v>
      </c>
      <c r="R3401" s="40" t="s">
        <v>115</v>
      </c>
      <c r="X3401" s="40" t="s">
        <v>115</v>
      </c>
      <c r="Y3401" s="40" t="s">
        <v>115</v>
      </c>
      <c r="Z3401" s="40">
        <v>7</v>
      </c>
      <c r="AA3401" s="40" t="s">
        <v>115</v>
      </c>
      <c r="AB3401" s="40" t="s">
        <v>115</v>
      </c>
      <c r="AC3401" s="40" t="s">
        <v>115</v>
      </c>
      <c r="AI3401" s="40" t="s">
        <v>7432</v>
      </c>
      <c r="AP3401" s="4" t="s">
        <v>6103</v>
      </c>
    </row>
    <row r="3402" spans="1:42" x14ac:dyDescent="0.15">
      <c r="A3402" s="40" t="s">
        <v>1</v>
      </c>
      <c r="B3402" s="23" t="s">
        <v>4898</v>
      </c>
      <c r="C3402" s="23">
        <v>2609</v>
      </c>
      <c r="D3402" s="23">
        <v>26</v>
      </c>
      <c r="F3402" s="23" t="s">
        <v>116</v>
      </c>
      <c r="G3402" s="23">
        <v>309</v>
      </c>
      <c r="H3402" s="23" t="s">
        <v>6104</v>
      </c>
      <c r="I3402" s="23">
        <v>0</v>
      </c>
      <c r="J3402" s="40">
        <v>1</v>
      </c>
      <c r="K3402" s="40">
        <v>1</v>
      </c>
      <c r="L3402" s="40" t="s">
        <v>115</v>
      </c>
      <c r="O3402" s="40" t="s">
        <v>115</v>
      </c>
      <c r="Q3402" s="40">
        <v>187</v>
      </c>
      <c r="R3402" s="40">
        <v>166</v>
      </c>
      <c r="X3402" s="40">
        <v>90260902</v>
      </c>
      <c r="Y3402" s="40" t="s">
        <v>115</v>
      </c>
      <c r="Z3402" s="40" t="s">
        <v>115</v>
      </c>
      <c r="AA3402" s="40" t="s">
        <v>115</v>
      </c>
      <c r="AB3402" s="40" t="s">
        <v>115</v>
      </c>
      <c r="AC3402" s="40" t="s">
        <v>115</v>
      </c>
      <c r="AI3402" s="40" t="s">
        <v>115</v>
      </c>
      <c r="AP3402" s="4" t="s">
        <v>115</v>
      </c>
    </row>
    <row r="3403" spans="1:42" x14ac:dyDescent="0.15">
      <c r="A3403" s="40" t="s">
        <v>1</v>
      </c>
      <c r="B3403" s="23">
        <v>90260902</v>
      </c>
      <c r="C3403" s="23">
        <v>2609</v>
      </c>
      <c r="D3403" s="23">
        <v>26</v>
      </c>
      <c r="F3403" s="23" t="s">
        <v>5834</v>
      </c>
      <c r="G3403" s="23" t="s">
        <v>115</v>
      </c>
      <c r="H3403" s="23" t="s">
        <v>6105</v>
      </c>
      <c r="I3403" s="23">
        <v>3</v>
      </c>
      <c r="J3403" s="40">
        <v>0</v>
      </c>
      <c r="K3403" s="40">
        <v>0</v>
      </c>
      <c r="L3403" s="40" t="s">
        <v>115</v>
      </c>
      <c r="O3403" s="40" t="s">
        <v>115</v>
      </c>
      <c r="Q3403" s="40">
        <v>187</v>
      </c>
      <c r="R3403" s="40">
        <v>166</v>
      </c>
      <c r="X3403" s="40">
        <v>90260903</v>
      </c>
      <c r="Y3403" s="40" t="s">
        <v>115</v>
      </c>
      <c r="Z3403" s="40" t="s">
        <v>115</v>
      </c>
      <c r="AA3403" s="40" t="s">
        <v>115</v>
      </c>
      <c r="AB3403" s="40" t="s">
        <v>115</v>
      </c>
      <c r="AC3403" s="40" t="s">
        <v>115</v>
      </c>
      <c r="AI3403" s="40" t="s">
        <v>115</v>
      </c>
      <c r="AP3403" s="4" t="s">
        <v>115</v>
      </c>
    </row>
    <row r="3404" spans="1:42" x14ac:dyDescent="0.15">
      <c r="A3404" s="40" t="s">
        <v>1</v>
      </c>
      <c r="B3404" s="23">
        <v>90260903</v>
      </c>
      <c r="C3404" s="23">
        <v>2609</v>
      </c>
      <c r="D3404" s="23">
        <v>26</v>
      </c>
      <c r="F3404" s="23" t="s">
        <v>116</v>
      </c>
      <c r="G3404" s="23">
        <v>309</v>
      </c>
      <c r="H3404" s="23" t="s">
        <v>6106</v>
      </c>
      <c r="I3404" s="23">
        <v>0</v>
      </c>
      <c r="J3404" s="40">
        <v>0</v>
      </c>
      <c r="K3404" s="40">
        <v>0</v>
      </c>
      <c r="L3404" s="40" t="s">
        <v>115</v>
      </c>
      <c r="O3404" s="40" t="s">
        <v>115</v>
      </c>
      <c r="Q3404" s="40">
        <v>187</v>
      </c>
      <c r="R3404" s="40">
        <v>166</v>
      </c>
      <c r="X3404" s="40">
        <v>90260904</v>
      </c>
      <c r="Y3404" s="40" t="s">
        <v>115</v>
      </c>
      <c r="Z3404" s="40" t="s">
        <v>115</v>
      </c>
      <c r="AA3404" s="40" t="s">
        <v>115</v>
      </c>
      <c r="AB3404" s="40" t="s">
        <v>115</v>
      </c>
      <c r="AC3404" s="40" t="s">
        <v>115</v>
      </c>
      <c r="AI3404" s="40" t="s">
        <v>115</v>
      </c>
      <c r="AP3404" s="4" t="s">
        <v>115</v>
      </c>
    </row>
    <row r="3405" spans="1:42" x14ac:dyDescent="0.15">
      <c r="A3405" s="40" t="s">
        <v>1</v>
      </c>
      <c r="B3405" s="23">
        <v>90260904</v>
      </c>
      <c r="C3405" s="23">
        <v>2609</v>
      </c>
      <c r="D3405" s="23">
        <v>26</v>
      </c>
      <c r="F3405" s="23" t="s">
        <v>5834</v>
      </c>
      <c r="G3405" s="23" t="s">
        <v>115</v>
      </c>
      <c r="H3405" s="23" t="s">
        <v>6107</v>
      </c>
      <c r="I3405" s="23">
        <v>3</v>
      </c>
      <c r="J3405" s="40">
        <v>0</v>
      </c>
      <c r="K3405" s="40">
        <v>0</v>
      </c>
      <c r="L3405" s="40" t="s">
        <v>115</v>
      </c>
      <c r="O3405" s="40" t="s">
        <v>115</v>
      </c>
      <c r="Q3405" s="40">
        <v>187</v>
      </c>
      <c r="R3405" s="40">
        <v>166</v>
      </c>
      <c r="X3405" s="40">
        <v>90260905</v>
      </c>
      <c r="Y3405" s="40" t="s">
        <v>115</v>
      </c>
      <c r="Z3405" s="40" t="s">
        <v>115</v>
      </c>
      <c r="AA3405" s="40" t="s">
        <v>115</v>
      </c>
      <c r="AB3405" s="40" t="s">
        <v>115</v>
      </c>
      <c r="AC3405" s="40" t="s">
        <v>115</v>
      </c>
      <c r="AI3405" s="40" t="s">
        <v>115</v>
      </c>
      <c r="AP3405" s="4" t="s">
        <v>115</v>
      </c>
    </row>
    <row r="3406" spans="1:42" x14ac:dyDescent="0.15">
      <c r="A3406" s="40" t="s">
        <v>1</v>
      </c>
      <c r="B3406" s="23">
        <v>90260905</v>
      </c>
      <c r="C3406" s="23">
        <v>2609</v>
      </c>
      <c r="D3406" s="23">
        <v>26</v>
      </c>
      <c r="F3406" s="23" t="s">
        <v>115</v>
      </c>
      <c r="G3406" s="23" t="s">
        <v>115</v>
      </c>
      <c r="H3406" s="23" t="s">
        <v>6108</v>
      </c>
      <c r="I3406" s="23">
        <v>4</v>
      </c>
      <c r="J3406" s="40">
        <v>0</v>
      </c>
      <c r="K3406" s="40">
        <v>2</v>
      </c>
      <c r="L3406" s="40" t="s">
        <v>115</v>
      </c>
      <c r="O3406" s="40" t="s">
        <v>115</v>
      </c>
      <c r="Q3406" s="40">
        <v>187</v>
      </c>
      <c r="R3406" s="40">
        <v>166</v>
      </c>
      <c r="X3406" s="40" t="s">
        <v>6109</v>
      </c>
      <c r="Y3406" s="40">
        <v>1</v>
      </c>
      <c r="Z3406" s="40">
        <v>1</v>
      </c>
      <c r="AA3406" s="40" t="s">
        <v>6110</v>
      </c>
      <c r="AB3406" s="40" t="s">
        <v>115</v>
      </c>
      <c r="AC3406" s="40" t="s">
        <v>115</v>
      </c>
      <c r="AI3406" s="40" t="s">
        <v>115</v>
      </c>
      <c r="AP3406" s="4" t="s">
        <v>115</v>
      </c>
    </row>
    <row r="3407" spans="1:42" x14ac:dyDescent="0.15">
      <c r="A3407" s="40" t="s">
        <v>1</v>
      </c>
      <c r="B3407" s="23">
        <v>90260906</v>
      </c>
      <c r="C3407" s="23">
        <v>2609</v>
      </c>
      <c r="D3407" s="23">
        <v>26</v>
      </c>
      <c r="F3407" s="23" t="s">
        <v>115</v>
      </c>
      <c r="G3407" s="23" t="s">
        <v>115</v>
      </c>
      <c r="H3407" s="23" t="s">
        <v>6111</v>
      </c>
      <c r="I3407" s="23">
        <v>4</v>
      </c>
      <c r="J3407" s="40">
        <v>0</v>
      </c>
      <c r="K3407" s="40">
        <v>3</v>
      </c>
      <c r="L3407" s="40" t="s">
        <v>115</v>
      </c>
      <c r="O3407" s="40" t="s">
        <v>115</v>
      </c>
      <c r="Q3407" s="40">
        <v>187</v>
      </c>
      <c r="R3407" s="40">
        <v>166</v>
      </c>
      <c r="X3407" s="40">
        <v>90260907</v>
      </c>
      <c r="Y3407" s="40">
        <v>-1</v>
      </c>
      <c r="Z3407" s="40">
        <v>2</v>
      </c>
      <c r="AA3407" s="40" t="s">
        <v>115</v>
      </c>
      <c r="AB3407" s="40" t="s">
        <v>115</v>
      </c>
      <c r="AC3407" s="40" t="s">
        <v>115</v>
      </c>
      <c r="AI3407" s="40" t="s">
        <v>115</v>
      </c>
      <c r="AP3407" s="4" t="s">
        <v>115</v>
      </c>
    </row>
    <row r="3408" spans="1:42" x14ac:dyDescent="0.15">
      <c r="A3408" s="40" t="s">
        <v>1</v>
      </c>
      <c r="B3408" s="23">
        <v>90260907</v>
      </c>
      <c r="C3408" s="23">
        <v>2609</v>
      </c>
      <c r="D3408" s="23">
        <v>26</v>
      </c>
      <c r="F3408" s="23" t="s">
        <v>116</v>
      </c>
      <c r="G3408" s="23">
        <v>312</v>
      </c>
      <c r="H3408" s="23" t="s">
        <v>6112</v>
      </c>
      <c r="I3408" s="23">
        <v>0</v>
      </c>
      <c r="J3408" s="40">
        <v>0</v>
      </c>
      <c r="K3408" s="40">
        <v>0</v>
      </c>
      <c r="L3408" s="40" t="s">
        <v>115</v>
      </c>
      <c r="O3408" s="40" t="s">
        <v>115</v>
      </c>
      <c r="Q3408" s="40">
        <v>187</v>
      </c>
      <c r="R3408" s="40">
        <v>166</v>
      </c>
      <c r="X3408" s="40">
        <v>90260908</v>
      </c>
      <c r="Y3408" s="40" t="s">
        <v>115</v>
      </c>
      <c r="Z3408" s="40" t="s">
        <v>115</v>
      </c>
      <c r="AA3408" s="40" t="s">
        <v>115</v>
      </c>
      <c r="AB3408" s="40" t="s">
        <v>115</v>
      </c>
      <c r="AC3408" s="40" t="s">
        <v>115</v>
      </c>
      <c r="AI3408" s="40" t="s">
        <v>115</v>
      </c>
      <c r="AP3408" s="4" t="s">
        <v>115</v>
      </c>
    </row>
    <row r="3409" spans="1:42" x14ac:dyDescent="0.15">
      <c r="A3409" s="40" t="s">
        <v>1</v>
      </c>
      <c r="B3409" s="23">
        <v>90260908</v>
      </c>
      <c r="C3409" s="23">
        <v>2609</v>
      </c>
      <c r="D3409" s="23">
        <v>26</v>
      </c>
      <c r="F3409" s="23" t="s">
        <v>115</v>
      </c>
      <c r="G3409" s="23" t="s">
        <v>115</v>
      </c>
      <c r="H3409" s="23" t="s">
        <v>6113</v>
      </c>
      <c r="I3409" s="23">
        <v>4</v>
      </c>
      <c r="J3409" s="40">
        <v>0</v>
      </c>
      <c r="K3409" s="40">
        <v>0</v>
      </c>
      <c r="L3409" s="40" t="s">
        <v>115</v>
      </c>
      <c r="O3409" s="40" t="s">
        <v>115</v>
      </c>
      <c r="Q3409" s="40">
        <v>187</v>
      </c>
      <c r="R3409" s="40">
        <v>166</v>
      </c>
      <c r="X3409" s="40">
        <v>90260909</v>
      </c>
      <c r="Y3409" s="40" t="s">
        <v>115</v>
      </c>
      <c r="Z3409" s="40" t="s">
        <v>115</v>
      </c>
      <c r="AA3409" s="40" t="s">
        <v>115</v>
      </c>
      <c r="AB3409" s="40" t="s">
        <v>115</v>
      </c>
      <c r="AC3409" s="40" t="s">
        <v>115</v>
      </c>
      <c r="AI3409" s="40" t="s">
        <v>115</v>
      </c>
      <c r="AP3409" s="4" t="s">
        <v>115</v>
      </c>
    </row>
    <row r="3410" spans="1:42" x14ac:dyDescent="0.15">
      <c r="A3410" s="40" t="s">
        <v>1</v>
      </c>
      <c r="B3410" s="23">
        <v>90260909</v>
      </c>
      <c r="C3410" s="23">
        <v>2609</v>
      </c>
      <c r="D3410" s="23">
        <v>26</v>
      </c>
      <c r="F3410" s="23" t="s">
        <v>115</v>
      </c>
      <c r="G3410" s="23" t="s">
        <v>115</v>
      </c>
      <c r="H3410" s="23" t="s">
        <v>6114</v>
      </c>
      <c r="I3410" s="23">
        <v>4</v>
      </c>
      <c r="J3410" s="40">
        <v>0</v>
      </c>
      <c r="K3410" s="40">
        <v>0</v>
      </c>
      <c r="L3410" s="40" t="s">
        <v>115</v>
      </c>
      <c r="O3410" s="40" t="s">
        <v>115</v>
      </c>
      <c r="Q3410" s="40">
        <v>187</v>
      </c>
      <c r="R3410" s="40" t="s">
        <v>115</v>
      </c>
      <c r="X3410" s="40">
        <v>90260910</v>
      </c>
      <c r="Y3410" s="40" t="s">
        <v>115</v>
      </c>
      <c r="Z3410" s="40" t="s">
        <v>115</v>
      </c>
      <c r="AA3410" s="40" t="s">
        <v>115</v>
      </c>
      <c r="AB3410" s="40" t="s">
        <v>115</v>
      </c>
      <c r="AC3410" s="40" t="s">
        <v>115</v>
      </c>
      <c r="AI3410" s="40" t="s">
        <v>115</v>
      </c>
      <c r="AP3410" s="4" t="s">
        <v>115</v>
      </c>
    </row>
    <row r="3411" spans="1:42" x14ac:dyDescent="0.15">
      <c r="A3411" s="40" t="s">
        <v>1</v>
      </c>
      <c r="B3411" s="23">
        <v>90260910</v>
      </c>
      <c r="C3411" s="23">
        <v>2609</v>
      </c>
      <c r="D3411" s="23">
        <v>26</v>
      </c>
      <c r="F3411" s="23" t="s">
        <v>115</v>
      </c>
      <c r="G3411" s="23" t="s">
        <v>115</v>
      </c>
      <c r="H3411" s="23" t="s">
        <v>6115</v>
      </c>
      <c r="I3411" s="23">
        <v>4</v>
      </c>
      <c r="J3411" s="40">
        <v>0</v>
      </c>
      <c r="K3411" s="40">
        <v>0</v>
      </c>
      <c r="L3411" s="40" t="s">
        <v>115</v>
      </c>
      <c r="O3411" s="40" t="s">
        <v>115</v>
      </c>
      <c r="Q3411" s="40">
        <v>187</v>
      </c>
      <c r="R3411" s="40" t="s">
        <v>115</v>
      </c>
      <c r="X3411" s="40">
        <v>90260911</v>
      </c>
      <c r="Y3411" s="40" t="s">
        <v>115</v>
      </c>
      <c r="Z3411" s="40" t="s">
        <v>115</v>
      </c>
      <c r="AA3411" s="40" t="s">
        <v>115</v>
      </c>
      <c r="AB3411" s="40" t="s">
        <v>115</v>
      </c>
      <c r="AC3411" s="40" t="s">
        <v>115</v>
      </c>
      <c r="AI3411" s="40" t="s">
        <v>115</v>
      </c>
      <c r="AP3411" s="4" t="s">
        <v>115</v>
      </c>
    </row>
    <row r="3412" spans="1:42" x14ac:dyDescent="0.15">
      <c r="A3412" s="40" t="s">
        <v>1</v>
      </c>
      <c r="B3412" s="23">
        <v>90260911</v>
      </c>
      <c r="C3412" s="23">
        <v>2609</v>
      </c>
      <c r="D3412" s="23">
        <v>26</v>
      </c>
      <c r="F3412" s="23" t="s">
        <v>115</v>
      </c>
      <c r="G3412" s="23" t="s">
        <v>115</v>
      </c>
      <c r="H3412" s="23" t="s">
        <v>6116</v>
      </c>
      <c r="I3412" s="23">
        <v>4</v>
      </c>
      <c r="J3412" s="40">
        <v>0</v>
      </c>
      <c r="K3412" s="40">
        <v>0</v>
      </c>
      <c r="L3412" s="40" t="s">
        <v>115</v>
      </c>
      <c r="O3412" s="40" t="s">
        <v>115</v>
      </c>
      <c r="Q3412" s="40">
        <v>187</v>
      </c>
      <c r="R3412" s="40" t="s">
        <v>115</v>
      </c>
      <c r="X3412" s="40">
        <v>90260912</v>
      </c>
      <c r="Y3412" s="40" t="s">
        <v>115</v>
      </c>
      <c r="Z3412" s="40" t="s">
        <v>115</v>
      </c>
      <c r="AA3412" s="40" t="s">
        <v>115</v>
      </c>
      <c r="AB3412" s="40" t="s">
        <v>115</v>
      </c>
      <c r="AC3412" s="40" t="s">
        <v>115</v>
      </c>
      <c r="AI3412" s="40" t="s">
        <v>115</v>
      </c>
      <c r="AP3412" s="4" t="s">
        <v>115</v>
      </c>
    </row>
    <row r="3413" spans="1:42" x14ac:dyDescent="0.15">
      <c r="A3413" s="40" t="s">
        <v>1</v>
      </c>
      <c r="B3413" s="23">
        <v>90260912</v>
      </c>
      <c r="C3413" s="23">
        <v>2609</v>
      </c>
      <c r="D3413" s="23">
        <v>26</v>
      </c>
      <c r="F3413" s="23" t="s">
        <v>115</v>
      </c>
      <c r="G3413" s="23" t="s">
        <v>115</v>
      </c>
      <c r="H3413" s="23" t="s">
        <v>6117</v>
      </c>
      <c r="I3413" s="23">
        <v>4</v>
      </c>
      <c r="J3413" s="40">
        <v>0</v>
      </c>
      <c r="K3413" s="40">
        <v>0</v>
      </c>
      <c r="L3413" s="40" t="s">
        <v>115</v>
      </c>
      <c r="O3413" s="40" t="s">
        <v>115</v>
      </c>
      <c r="Q3413" s="40">
        <v>187</v>
      </c>
      <c r="R3413" s="40" t="s">
        <v>115</v>
      </c>
      <c r="X3413" s="40">
        <v>90260913</v>
      </c>
      <c r="Y3413" s="40" t="s">
        <v>115</v>
      </c>
      <c r="Z3413" s="40" t="s">
        <v>115</v>
      </c>
      <c r="AA3413" s="40" t="s">
        <v>115</v>
      </c>
      <c r="AB3413" s="40" t="s">
        <v>115</v>
      </c>
      <c r="AC3413" s="40" t="s">
        <v>115</v>
      </c>
      <c r="AI3413" s="40" t="s">
        <v>115</v>
      </c>
      <c r="AP3413" s="4" t="s">
        <v>115</v>
      </c>
    </row>
    <row r="3414" spans="1:42" x14ac:dyDescent="0.15">
      <c r="A3414" s="40" t="s">
        <v>1</v>
      </c>
      <c r="B3414" s="23">
        <v>90260913</v>
      </c>
      <c r="C3414" s="23">
        <v>2609</v>
      </c>
      <c r="D3414" s="23">
        <v>26</v>
      </c>
      <c r="F3414" s="23" t="s">
        <v>115</v>
      </c>
      <c r="G3414" s="23" t="s">
        <v>115</v>
      </c>
      <c r="H3414" s="23" t="s">
        <v>6118</v>
      </c>
      <c r="I3414" s="23">
        <v>4</v>
      </c>
      <c r="J3414" s="40">
        <v>0</v>
      </c>
      <c r="K3414" s="40">
        <v>4</v>
      </c>
      <c r="L3414" s="40" t="s">
        <v>115</v>
      </c>
      <c r="O3414" s="40">
        <v>1</v>
      </c>
      <c r="Q3414" s="40">
        <v>187</v>
      </c>
      <c r="R3414" s="40" t="s">
        <v>115</v>
      </c>
      <c r="X3414" s="40" t="s">
        <v>115</v>
      </c>
      <c r="Y3414" s="40" t="s">
        <v>115</v>
      </c>
      <c r="Z3414" s="40">
        <v>3</v>
      </c>
      <c r="AA3414" s="40" t="s">
        <v>115</v>
      </c>
      <c r="AB3414" s="40" t="s">
        <v>115</v>
      </c>
      <c r="AC3414" s="40" t="s">
        <v>115</v>
      </c>
      <c r="AI3414" s="40" t="s">
        <v>115</v>
      </c>
      <c r="AP3414" s="4" t="s">
        <v>5460</v>
      </c>
    </row>
    <row r="3415" spans="1:42" x14ac:dyDescent="0.15">
      <c r="A3415" s="40" t="s">
        <v>1</v>
      </c>
      <c r="B3415" s="23" t="s">
        <v>4899</v>
      </c>
      <c r="C3415" s="23">
        <v>2610</v>
      </c>
      <c r="D3415" s="23">
        <v>26</v>
      </c>
      <c r="F3415" s="23" t="s">
        <v>115</v>
      </c>
      <c r="G3415" s="23" t="s">
        <v>115</v>
      </c>
      <c r="H3415" s="23" t="s">
        <v>6119</v>
      </c>
      <c r="I3415" s="23">
        <v>4</v>
      </c>
      <c r="J3415" s="40">
        <v>1</v>
      </c>
      <c r="K3415" s="40">
        <v>1</v>
      </c>
      <c r="L3415" s="40" t="s">
        <v>115</v>
      </c>
      <c r="O3415" s="40" t="s">
        <v>115</v>
      </c>
      <c r="Q3415" s="40">
        <v>140</v>
      </c>
      <c r="R3415" s="40" t="s">
        <v>115</v>
      </c>
      <c r="X3415" s="40">
        <v>90261002</v>
      </c>
      <c r="Y3415" s="40" t="s">
        <v>115</v>
      </c>
      <c r="Z3415" s="40" t="s">
        <v>115</v>
      </c>
      <c r="AA3415" s="40" t="s">
        <v>115</v>
      </c>
      <c r="AB3415" s="40" t="s">
        <v>115</v>
      </c>
      <c r="AC3415" s="40" t="s">
        <v>115</v>
      </c>
      <c r="AI3415" s="40" t="s">
        <v>115</v>
      </c>
      <c r="AP3415" s="4" t="s">
        <v>115</v>
      </c>
    </row>
    <row r="3416" spans="1:42" x14ac:dyDescent="0.15">
      <c r="A3416" s="40" t="s">
        <v>1</v>
      </c>
      <c r="B3416" s="23">
        <v>90261002</v>
      </c>
      <c r="C3416" s="23">
        <v>2610</v>
      </c>
      <c r="D3416" s="23">
        <v>26</v>
      </c>
      <c r="F3416" s="23" t="s">
        <v>116</v>
      </c>
      <c r="G3416" s="23">
        <v>312</v>
      </c>
      <c r="H3416" s="23" t="s">
        <v>6120</v>
      </c>
      <c r="I3416" s="23">
        <v>0</v>
      </c>
      <c r="J3416" s="40">
        <v>0</v>
      </c>
      <c r="K3416" s="40">
        <v>0</v>
      </c>
      <c r="L3416" s="40" t="s">
        <v>115</v>
      </c>
      <c r="O3416" s="40" t="s">
        <v>115</v>
      </c>
      <c r="Q3416" s="40">
        <v>140</v>
      </c>
      <c r="R3416" s="40">
        <v>268</v>
      </c>
      <c r="X3416" s="40">
        <v>90261003</v>
      </c>
      <c r="Y3416" s="40" t="s">
        <v>115</v>
      </c>
      <c r="Z3416" s="40" t="s">
        <v>115</v>
      </c>
      <c r="AA3416" s="40" t="s">
        <v>115</v>
      </c>
      <c r="AB3416" s="40" t="s">
        <v>115</v>
      </c>
      <c r="AC3416" s="40" t="s">
        <v>115</v>
      </c>
      <c r="AI3416" s="40" t="s">
        <v>115</v>
      </c>
      <c r="AP3416" s="4" t="s">
        <v>115</v>
      </c>
    </row>
    <row r="3417" spans="1:42" x14ac:dyDescent="0.15">
      <c r="A3417" s="40" t="s">
        <v>1</v>
      </c>
      <c r="B3417" s="23">
        <v>90261003</v>
      </c>
      <c r="C3417" s="23">
        <v>2610</v>
      </c>
      <c r="D3417" s="23">
        <v>26</v>
      </c>
      <c r="F3417" s="23" t="s">
        <v>859</v>
      </c>
      <c r="G3417" s="23" t="s">
        <v>115</v>
      </c>
      <c r="H3417" s="23" t="s">
        <v>3059</v>
      </c>
      <c r="I3417" s="23">
        <v>3</v>
      </c>
      <c r="J3417" s="40">
        <v>0</v>
      </c>
      <c r="K3417" s="40">
        <v>0</v>
      </c>
      <c r="L3417" s="40" t="s">
        <v>115</v>
      </c>
      <c r="O3417" s="40" t="s">
        <v>115</v>
      </c>
      <c r="Q3417" s="40">
        <v>140</v>
      </c>
      <c r="R3417" s="40">
        <v>268</v>
      </c>
      <c r="X3417" s="40">
        <v>90261004</v>
      </c>
      <c r="Y3417" s="40" t="s">
        <v>115</v>
      </c>
      <c r="Z3417" s="40" t="s">
        <v>115</v>
      </c>
      <c r="AA3417" s="40" t="s">
        <v>115</v>
      </c>
      <c r="AB3417" s="40" t="s">
        <v>115</v>
      </c>
      <c r="AC3417" s="40" t="s">
        <v>115</v>
      </c>
      <c r="AI3417" s="40" t="s">
        <v>115</v>
      </c>
      <c r="AP3417" s="4" t="s">
        <v>115</v>
      </c>
    </row>
    <row r="3418" spans="1:42" x14ac:dyDescent="0.15">
      <c r="A3418" s="40" t="s">
        <v>1</v>
      </c>
      <c r="B3418" s="23">
        <v>90261004</v>
      </c>
      <c r="C3418" s="23">
        <v>2610</v>
      </c>
      <c r="D3418" s="23">
        <v>26</v>
      </c>
      <c r="F3418" s="23" t="s">
        <v>115</v>
      </c>
      <c r="G3418" s="23" t="s">
        <v>115</v>
      </c>
      <c r="H3418" s="23" t="s">
        <v>6121</v>
      </c>
      <c r="I3418" s="23">
        <v>4</v>
      </c>
      <c r="J3418" s="40">
        <v>0</v>
      </c>
      <c r="K3418" s="40">
        <v>2</v>
      </c>
      <c r="L3418" s="40" t="s">
        <v>115</v>
      </c>
      <c r="O3418" s="40" t="s">
        <v>115</v>
      </c>
      <c r="Q3418" s="40">
        <v>140</v>
      </c>
      <c r="R3418" s="40">
        <v>268</v>
      </c>
      <c r="X3418" s="40" t="s">
        <v>6122</v>
      </c>
      <c r="Y3418" s="40">
        <v>1</v>
      </c>
      <c r="Z3418" s="40">
        <v>1</v>
      </c>
      <c r="AA3418" s="40" t="s">
        <v>115</v>
      </c>
      <c r="AB3418" s="40" t="s">
        <v>115</v>
      </c>
      <c r="AC3418" s="40" t="s">
        <v>115</v>
      </c>
      <c r="AI3418" s="40" t="s">
        <v>115</v>
      </c>
      <c r="AP3418" s="4" t="s">
        <v>115</v>
      </c>
    </row>
    <row r="3419" spans="1:42" x14ac:dyDescent="0.15">
      <c r="A3419" s="40" t="s">
        <v>1</v>
      </c>
      <c r="B3419" s="23">
        <v>90261005</v>
      </c>
      <c r="C3419" s="23">
        <v>2610</v>
      </c>
      <c r="D3419" s="23">
        <v>26</v>
      </c>
      <c r="F3419" s="23" t="s">
        <v>115</v>
      </c>
      <c r="G3419" s="23" t="s">
        <v>115</v>
      </c>
      <c r="H3419" s="23" t="s">
        <v>3065</v>
      </c>
      <c r="I3419" s="23">
        <v>4</v>
      </c>
      <c r="J3419" s="40">
        <v>0</v>
      </c>
      <c r="K3419" s="40">
        <v>3</v>
      </c>
      <c r="L3419" s="40" t="s">
        <v>115</v>
      </c>
      <c r="O3419" s="40" t="s">
        <v>115</v>
      </c>
      <c r="Q3419" s="40">
        <v>140</v>
      </c>
      <c r="R3419" s="40">
        <v>268</v>
      </c>
      <c r="X3419" s="40">
        <v>90261008</v>
      </c>
      <c r="Y3419" s="40">
        <v>-1</v>
      </c>
      <c r="Z3419" s="40">
        <v>2</v>
      </c>
      <c r="AA3419" s="40" t="s">
        <v>115</v>
      </c>
      <c r="AB3419" s="40" t="s">
        <v>115</v>
      </c>
      <c r="AC3419" s="40" t="s">
        <v>115</v>
      </c>
      <c r="AI3419" s="40" t="s">
        <v>115</v>
      </c>
      <c r="AP3419" s="4" t="s">
        <v>115</v>
      </c>
    </row>
    <row r="3420" spans="1:42" x14ac:dyDescent="0.15">
      <c r="A3420" s="40" t="s">
        <v>1</v>
      </c>
      <c r="B3420" s="23">
        <v>90261006</v>
      </c>
      <c r="C3420" s="23">
        <v>2610</v>
      </c>
      <c r="D3420" s="23">
        <v>26</v>
      </c>
      <c r="F3420" s="23" t="s">
        <v>115</v>
      </c>
      <c r="G3420" s="23" t="s">
        <v>115</v>
      </c>
      <c r="H3420" s="23" t="s">
        <v>1179</v>
      </c>
      <c r="I3420" s="23">
        <v>4</v>
      </c>
      <c r="J3420" s="40">
        <v>0</v>
      </c>
      <c r="K3420" s="40">
        <v>4</v>
      </c>
      <c r="L3420" s="40" t="s">
        <v>115</v>
      </c>
      <c r="O3420" s="40" t="s">
        <v>115</v>
      </c>
      <c r="Q3420" s="40">
        <v>140</v>
      </c>
      <c r="R3420" s="40">
        <v>268</v>
      </c>
      <c r="X3420" s="40">
        <v>90261010</v>
      </c>
      <c r="Y3420" s="40">
        <v>-1</v>
      </c>
      <c r="Z3420" s="40">
        <v>2</v>
      </c>
      <c r="AA3420" s="40" t="s">
        <v>115</v>
      </c>
      <c r="AB3420" s="40" t="s">
        <v>115</v>
      </c>
      <c r="AC3420" s="40" t="s">
        <v>6123</v>
      </c>
      <c r="AI3420" s="40" t="s">
        <v>115</v>
      </c>
      <c r="AP3420" s="4" t="s">
        <v>115</v>
      </c>
    </row>
    <row r="3421" spans="1:42" x14ac:dyDescent="0.15">
      <c r="A3421" s="40" t="s">
        <v>1</v>
      </c>
      <c r="B3421" s="23">
        <v>90261007</v>
      </c>
      <c r="C3421" s="23">
        <v>2610</v>
      </c>
      <c r="D3421" s="23">
        <v>26</v>
      </c>
      <c r="F3421" s="23" t="s">
        <v>115</v>
      </c>
      <c r="G3421" s="23" t="s">
        <v>115</v>
      </c>
      <c r="H3421" s="23" t="s">
        <v>3067</v>
      </c>
      <c r="I3421" s="23">
        <v>4</v>
      </c>
      <c r="J3421" s="40">
        <v>0</v>
      </c>
      <c r="K3421" s="40">
        <v>5</v>
      </c>
      <c r="L3421" s="40" t="s">
        <v>115</v>
      </c>
      <c r="O3421" s="40" t="s">
        <v>115</v>
      </c>
      <c r="Q3421" s="40">
        <v>140</v>
      </c>
      <c r="R3421" s="40">
        <v>268</v>
      </c>
      <c r="X3421" s="40">
        <v>90261019</v>
      </c>
      <c r="Y3421" s="40">
        <v>-1</v>
      </c>
      <c r="Z3421" s="40">
        <v>2</v>
      </c>
      <c r="AA3421" s="40" t="s">
        <v>115</v>
      </c>
      <c r="AB3421" s="40" t="s">
        <v>115</v>
      </c>
      <c r="AC3421" s="40" t="s">
        <v>115</v>
      </c>
      <c r="AI3421" s="40" t="s">
        <v>115</v>
      </c>
      <c r="AP3421" s="4" t="s">
        <v>115</v>
      </c>
    </row>
    <row r="3422" spans="1:42" x14ac:dyDescent="0.15">
      <c r="A3422" s="40" t="s">
        <v>1</v>
      </c>
      <c r="B3422" s="23">
        <v>90261008</v>
      </c>
      <c r="C3422" s="23">
        <v>2610</v>
      </c>
      <c r="D3422" s="23">
        <v>26</v>
      </c>
      <c r="F3422" s="23" t="s">
        <v>116</v>
      </c>
      <c r="G3422" s="23">
        <v>312</v>
      </c>
      <c r="H3422" s="23" t="s">
        <v>6124</v>
      </c>
      <c r="I3422" s="23">
        <v>0</v>
      </c>
      <c r="J3422" s="40">
        <v>0</v>
      </c>
      <c r="K3422" s="40">
        <v>0</v>
      </c>
      <c r="L3422" s="40" t="s">
        <v>115</v>
      </c>
      <c r="O3422" s="40" t="s">
        <v>115</v>
      </c>
      <c r="Q3422" s="40">
        <v>140</v>
      </c>
      <c r="R3422" s="40">
        <v>268</v>
      </c>
      <c r="X3422" s="40">
        <v>90261009</v>
      </c>
      <c r="Y3422" s="40" t="s">
        <v>115</v>
      </c>
      <c r="Z3422" s="40" t="s">
        <v>115</v>
      </c>
      <c r="AA3422" s="40" t="s">
        <v>115</v>
      </c>
      <c r="AB3422" s="40" t="s">
        <v>115</v>
      </c>
      <c r="AC3422" s="40" t="s">
        <v>115</v>
      </c>
      <c r="AI3422" s="40" t="s">
        <v>115</v>
      </c>
      <c r="AP3422" s="4" t="s">
        <v>115</v>
      </c>
    </row>
    <row r="3423" spans="1:42" x14ac:dyDescent="0.15">
      <c r="A3423" s="40" t="s">
        <v>1</v>
      </c>
      <c r="B3423" s="23">
        <v>90261009</v>
      </c>
      <c r="C3423" s="23">
        <v>2610</v>
      </c>
      <c r="D3423" s="23">
        <v>26</v>
      </c>
      <c r="F3423" s="23" t="s">
        <v>859</v>
      </c>
      <c r="G3423" s="23" t="s">
        <v>115</v>
      </c>
      <c r="H3423" s="23" t="s">
        <v>6125</v>
      </c>
      <c r="I3423" s="23">
        <v>3</v>
      </c>
      <c r="J3423" s="40">
        <v>0</v>
      </c>
      <c r="K3423" s="40">
        <v>0</v>
      </c>
      <c r="L3423" s="40" t="s">
        <v>115</v>
      </c>
      <c r="O3423" s="40" t="s">
        <v>115</v>
      </c>
      <c r="Q3423" s="40">
        <v>140</v>
      </c>
      <c r="R3423" s="40">
        <v>268</v>
      </c>
      <c r="X3423" s="40">
        <v>90261004</v>
      </c>
      <c r="Y3423" s="40" t="s">
        <v>115</v>
      </c>
      <c r="Z3423" s="40" t="s">
        <v>115</v>
      </c>
      <c r="AA3423" s="40" t="s">
        <v>115</v>
      </c>
      <c r="AB3423" s="40" t="s">
        <v>115</v>
      </c>
      <c r="AC3423" s="40" t="s">
        <v>115</v>
      </c>
      <c r="AI3423" s="40" t="s">
        <v>115</v>
      </c>
      <c r="AP3423" s="4" t="s">
        <v>115</v>
      </c>
    </row>
    <row r="3424" spans="1:42" x14ac:dyDescent="0.15">
      <c r="A3424" s="40" t="s">
        <v>1</v>
      </c>
      <c r="B3424" s="23">
        <v>90261010</v>
      </c>
      <c r="C3424" s="23">
        <v>2610</v>
      </c>
      <c r="D3424" s="23">
        <v>26</v>
      </c>
      <c r="F3424" s="23" t="s">
        <v>116</v>
      </c>
      <c r="G3424" s="23">
        <v>312</v>
      </c>
      <c r="H3424" s="23" t="s">
        <v>3070</v>
      </c>
      <c r="I3424" s="23">
        <v>0</v>
      </c>
      <c r="J3424" s="40">
        <v>0</v>
      </c>
      <c r="K3424" s="40">
        <v>0</v>
      </c>
      <c r="L3424" s="40" t="s">
        <v>115</v>
      </c>
      <c r="O3424" s="40" t="s">
        <v>115</v>
      </c>
      <c r="Q3424" s="40">
        <v>140</v>
      </c>
      <c r="R3424" s="40">
        <v>268</v>
      </c>
      <c r="X3424" s="40">
        <v>90261011</v>
      </c>
      <c r="Y3424" s="40" t="s">
        <v>115</v>
      </c>
      <c r="Z3424" s="40" t="s">
        <v>115</v>
      </c>
      <c r="AA3424" s="40" t="s">
        <v>115</v>
      </c>
      <c r="AB3424" s="40" t="s">
        <v>115</v>
      </c>
      <c r="AC3424" s="40" t="s">
        <v>115</v>
      </c>
      <c r="AI3424" s="40" t="s">
        <v>115</v>
      </c>
      <c r="AP3424" s="4" t="s">
        <v>115</v>
      </c>
    </row>
    <row r="3425" spans="1:42" x14ac:dyDescent="0.15">
      <c r="A3425" s="40" t="s">
        <v>1</v>
      </c>
      <c r="B3425" s="23">
        <v>90261011</v>
      </c>
      <c r="C3425" s="23">
        <v>2610</v>
      </c>
      <c r="D3425" s="23">
        <v>26</v>
      </c>
      <c r="F3425" s="23" t="s">
        <v>859</v>
      </c>
      <c r="G3425" s="23" t="s">
        <v>115</v>
      </c>
      <c r="H3425" s="23" t="s">
        <v>6126</v>
      </c>
      <c r="I3425" s="23">
        <v>3</v>
      </c>
      <c r="J3425" s="40">
        <v>0</v>
      </c>
      <c r="K3425" s="40">
        <v>0</v>
      </c>
      <c r="L3425" s="40" t="s">
        <v>115</v>
      </c>
      <c r="O3425" s="40" t="s">
        <v>115</v>
      </c>
      <c r="Q3425" s="40">
        <v>140</v>
      </c>
      <c r="R3425" s="40">
        <v>268</v>
      </c>
      <c r="X3425" s="40">
        <v>90261012</v>
      </c>
      <c r="Y3425" s="40" t="s">
        <v>115</v>
      </c>
      <c r="Z3425" s="40" t="s">
        <v>115</v>
      </c>
      <c r="AA3425" s="40" t="s">
        <v>115</v>
      </c>
      <c r="AB3425" s="40" t="s">
        <v>115</v>
      </c>
      <c r="AC3425" s="40" t="s">
        <v>115</v>
      </c>
      <c r="AI3425" s="40" t="s">
        <v>115</v>
      </c>
      <c r="AP3425" s="4" t="s">
        <v>115</v>
      </c>
    </row>
    <row r="3426" spans="1:42" x14ac:dyDescent="0.15">
      <c r="A3426" s="40" t="s">
        <v>1</v>
      </c>
      <c r="B3426" s="23">
        <v>90261012</v>
      </c>
      <c r="C3426" s="23">
        <v>2610</v>
      </c>
      <c r="D3426" s="23">
        <v>26</v>
      </c>
      <c r="F3426" s="23" t="s">
        <v>116</v>
      </c>
      <c r="G3426" s="23">
        <v>312</v>
      </c>
      <c r="H3426" s="23" t="s">
        <v>6127</v>
      </c>
      <c r="I3426" s="23">
        <v>0</v>
      </c>
      <c r="J3426" s="40">
        <v>0</v>
      </c>
      <c r="K3426" s="40">
        <v>0</v>
      </c>
      <c r="L3426" s="40" t="s">
        <v>115</v>
      </c>
      <c r="O3426" s="40" t="s">
        <v>115</v>
      </c>
      <c r="Q3426" s="40">
        <v>140</v>
      </c>
      <c r="R3426" s="40">
        <v>268</v>
      </c>
      <c r="X3426" s="40">
        <v>90261013</v>
      </c>
      <c r="Y3426" s="40" t="s">
        <v>115</v>
      </c>
      <c r="Z3426" s="40" t="s">
        <v>115</v>
      </c>
      <c r="AA3426" s="40" t="s">
        <v>115</v>
      </c>
      <c r="AB3426" s="40" t="s">
        <v>115</v>
      </c>
      <c r="AC3426" s="40" t="s">
        <v>115</v>
      </c>
      <c r="AI3426" s="40" t="s">
        <v>115</v>
      </c>
      <c r="AP3426" s="4" t="s">
        <v>115</v>
      </c>
    </row>
    <row r="3427" spans="1:42" x14ac:dyDescent="0.15">
      <c r="A3427" s="40" t="s">
        <v>1</v>
      </c>
      <c r="B3427" s="23">
        <v>90261013</v>
      </c>
      <c r="C3427" s="23">
        <v>2610</v>
      </c>
      <c r="D3427" s="23">
        <v>26</v>
      </c>
      <c r="F3427" s="23" t="s">
        <v>859</v>
      </c>
      <c r="G3427" s="23" t="s">
        <v>115</v>
      </c>
      <c r="H3427" s="23" t="s">
        <v>6128</v>
      </c>
      <c r="I3427" s="23">
        <v>3</v>
      </c>
      <c r="J3427" s="40">
        <v>0</v>
      </c>
      <c r="K3427" s="40">
        <v>0</v>
      </c>
      <c r="L3427" s="40" t="s">
        <v>115</v>
      </c>
      <c r="O3427" s="40" t="s">
        <v>115</v>
      </c>
      <c r="Q3427" s="40">
        <v>140</v>
      </c>
      <c r="R3427" s="40">
        <v>268</v>
      </c>
      <c r="X3427" s="40">
        <v>90261014</v>
      </c>
      <c r="Y3427" s="40" t="s">
        <v>115</v>
      </c>
      <c r="Z3427" s="40" t="s">
        <v>115</v>
      </c>
      <c r="AA3427" s="40" t="s">
        <v>115</v>
      </c>
      <c r="AB3427" s="40" t="s">
        <v>115</v>
      </c>
      <c r="AC3427" s="40" t="s">
        <v>115</v>
      </c>
      <c r="AI3427" s="40" t="s">
        <v>115</v>
      </c>
      <c r="AP3427" s="4" t="s">
        <v>115</v>
      </c>
    </row>
    <row r="3428" spans="1:42" x14ac:dyDescent="0.15">
      <c r="A3428" s="40" t="s">
        <v>1</v>
      </c>
      <c r="B3428" s="23">
        <v>90261014</v>
      </c>
      <c r="C3428" s="23">
        <v>2610</v>
      </c>
      <c r="D3428" s="23">
        <v>26</v>
      </c>
      <c r="F3428" s="23" t="s">
        <v>116</v>
      </c>
      <c r="G3428" s="23">
        <v>309</v>
      </c>
      <c r="H3428" s="23" t="s">
        <v>3688</v>
      </c>
      <c r="I3428" s="23">
        <v>0</v>
      </c>
      <c r="J3428" s="40">
        <v>0</v>
      </c>
      <c r="K3428" s="40">
        <v>6</v>
      </c>
      <c r="L3428" s="40" t="s">
        <v>6129</v>
      </c>
      <c r="O3428" s="40" t="s">
        <v>115</v>
      </c>
      <c r="Q3428" s="40">
        <v>140</v>
      </c>
      <c r="R3428" s="40">
        <v>268</v>
      </c>
      <c r="X3428" s="40">
        <v>90261015</v>
      </c>
      <c r="Y3428" s="40" t="s">
        <v>115</v>
      </c>
      <c r="Z3428" s="40">
        <v>5</v>
      </c>
      <c r="AA3428" s="40" t="s">
        <v>115</v>
      </c>
      <c r="AB3428" s="40" t="s">
        <v>115</v>
      </c>
      <c r="AC3428" s="40" t="s">
        <v>115</v>
      </c>
      <c r="AI3428" s="40" t="s">
        <v>115</v>
      </c>
      <c r="AP3428" s="4" t="s">
        <v>115</v>
      </c>
    </row>
    <row r="3429" spans="1:42" x14ac:dyDescent="0.15">
      <c r="A3429" s="40" t="s">
        <v>1</v>
      </c>
      <c r="B3429" s="23">
        <v>90261015</v>
      </c>
      <c r="C3429" s="23">
        <v>2610</v>
      </c>
      <c r="D3429" s="23">
        <v>26</v>
      </c>
      <c r="F3429" s="23" t="s">
        <v>116</v>
      </c>
      <c r="G3429" s="23">
        <v>312</v>
      </c>
      <c r="H3429" s="23" t="s">
        <v>6130</v>
      </c>
      <c r="I3429" s="23">
        <v>0</v>
      </c>
      <c r="J3429" s="40">
        <v>0</v>
      </c>
      <c r="K3429" s="40">
        <v>0</v>
      </c>
      <c r="L3429" s="40" t="s">
        <v>115</v>
      </c>
      <c r="O3429" s="40" t="s">
        <v>115</v>
      </c>
      <c r="Q3429" s="40">
        <v>140</v>
      </c>
      <c r="R3429" s="40">
        <v>268</v>
      </c>
      <c r="X3429" s="40">
        <v>90261016</v>
      </c>
      <c r="Y3429" s="40" t="s">
        <v>115</v>
      </c>
      <c r="Z3429" s="40" t="s">
        <v>115</v>
      </c>
      <c r="AA3429" s="40" t="s">
        <v>115</v>
      </c>
      <c r="AB3429" s="40" t="s">
        <v>115</v>
      </c>
      <c r="AC3429" s="40" t="s">
        <v>115</v>
      </c>
      <c r="AI3429" s="40" t="s">
        <v>115</v>
      </c>
      <c r="AP3429" s="4" t="s">
        <v>115</v>
      </c>
    </row>
    <row r="3430" spans="1:42" x14ac:dyDescent="0.15">
      <c r="A3430" s="40" t="s">
        <v>1</v>
      </c>
      <c r="B3430" s="23">
        <v>90261016</v>
      </c>
      <c r="C3430" s="23">
        <v>2610</v>
      </c>
      <c r="D3430" s="23">
        <v>26</v>
      </c>
      <c r="F3430" s="23" t="s">
        <v>859</v>
      </c>
      <c r="G3430" s="23" t="s">
        <v>115</v>
      </c>
      <c r="H3430" s="23" t="s">
        <v>6131</v>
      </c>
      <c r="I3430" s="23">
        <v>3</v>
      </c>
      <c r="J3430" s="40">
        <v>0</v>
      </c>
      <c r="K3430" s="40">
        <v>0</v>
      </c>
      <c r="L3430" s="40" t="s">
        <v>115</v>
      </c>
      <c r="O3430" s="40" t="s">
        <v>115</v>
      </c>
      <c r="Q3430" s="40">
        <v>140</v>
      </c>
      <c r="R3430" s="40">
        <v>268</v>
      </c>
      <c r="X3430" s="40">
        <v>90261017</v>
      </c>
      <c r="Y3430" s="40" t="s">
        <v>115</v>
      </c>
      <c r="Z3430" s="40" t="s">
        <v>115</v>
      </c>
      <c r="AA3430" s="40" t="s">
        <v>115</v>
      </c>
      <c r="AB3430" s="40" t="s">
        <v>115</v>
      </c>
      <c r="AC3430" s="40" t="s">
        <v>115</v>
      </c>
      <c r="AI3430" s="40" t="s">
        <v>115</v>
      </c>
      <c r="AP3430" s="4" t="s">
        <v>115</v>
      </c>
    </row>
    <row r="3431" spans="1:42" x14ac:dyDescent="0.15">
      <c r="A3431" s="40" t="s">
        <v>1</v>
      </c>
      <c r="B3431" s="23">
        <v>90261017</v>
      </c>
      <c r="C3431" s="23">
        <v>2610</v>
      </c>
      <c r="D3431" s="23">
        <v>26</v>
      </c>
      <c r="F3431" s="23" t="s">
        <v>115</v>
      </c>
      <c r="G3431" s="23" t="s">
        <v>115</v>
      </c>
      <c r="H3431" s="23" t="s">
        <v>6132</v>
      </c>
      <c r="I3431" s="23">
        <v>4</v>
      </c>
      <c r="J3431" s="40">
        <v>0</v>
      </c>
      <c r="K3431" s="40">
        <v>0</v>
      </c>
      <c r="L3431" s="40" t="s">
        <v>115</v>
      </c>
      <c r="O3431" s="40" t="s">
        <v>115</v>
      </c>
      <c r="Q3431" s="40">
        <v>140</v>
      </c>
      <c r="R3431" s="40">
        <v>268</v>
      </c>
      <c r="X3431" s="40">
        <v>90261018</v>
      </c>
      <c r="Y3431" s="40" t="s">
        <v>115</v>
      </c>
      <c r="Z3431" s="40" t="s">
        <v>115</v>
      </c>
      <c r="AA3431" s="40" t="s">
        <v>115</v>
      </c>
      <c r="AB3431" s="40" t="s">
        <v>115</v>
      </c>
      <c r="AC3431" s="40" t="s">
        <v>115</v>
      </c>
      <c r="AI3431" s="40" t="s">
        <v>115</v>
      </c>
      <c r="AP3431" s="4" t="s">
        <v>115</v>
      </c>
    </row>
    <row r="3432" spans="1:42" x14ac:dyDescent="0.15">
      <c r="A3432" s="40" t="s">
        <v>1</v>
      </c>
      <c r="B3432" s="23">
        <v>90261018</v>
      </c>
      <c r="C3432" s="23">
        <v>2610</v>
      </c>
      <c r="D3432" s="23">
        <v>26</v>
      </c>
      <c r="F3432" s="23" t="s">
        <v>115</v>
      </c>
      <c r="G3432" s="23" t="s">
        <v>115</v>
      </c>
      <c r="H3432" s="23" t="s">
        <v>6133</v>
      </c>
      <c r="I3432" s="23">
        <v>4</v>
      </c>
      <c r="J3432" s="40">
        <v>0</v>
      </c>
      <c r="K3432" s="40">
        <v>7</v>
      </c>
      <c r="L3432" s="40" t="s">
        <v>115</v>
      </c>
      <c r="O3432" s="40">
        <v>1</v>
      </c>
      <c r="Q3432" s="40">
        <v>140</v>
      </c>
      <c r="R3432" s="40" t="s">
        <v>115</v>
      </c>
      <c r="X3432" s="40" t="s">
        <v>115</v>
      </c>
      <c r="Y3432" s="40" t="s">
        <v>115</v>
      </c>
      <c r="Z3432" s="40">
        <v>6</v>
      </c>
      <c r="AA3432" s="40" t="s">
        <v>115</v>
      </c>
      <c r="AB3432" s="40" t="s">
        <v>115</v>
      </c>
      <c r="AC3432" s="40" t="s">
        <v>115</v>
      </c>
      <c r="AI3432" s="40" t="s">
        <v>115</v>
      </c>
      <c r="AP3432" s="4" t="s">
        <v>115</v>
      </c>
    </row>
    <row r="3433" spans="1:42" x14ac:dyDescent="0.15">
      <c r="A3433" s="40" t="s">
        <v>1</v>
      </c>
      <c r="B3433" s="23">
        <v>90261019</v>
      </c>
      <c r="C3433" s="23">
        <v>2610</v>
      </c>
      <c r="D3433" s="23">
        <v>26</v>
      </c>
      <c r="F3433" s="23" t="s">
        <v>116</v>
      </c>
      <c r="G3433" s="23">
        <v>312</v>
      </c>
      <c r="H3433" s="23" t="s">
        <v>3073</v>
      </c>
      <c r="I3433" s="23">
        <v>0</v>
      </c>
      <c r="J3433" s="40">
        <v>0</v>
      </c>
      <c r="K3433" s="40">
        <v>0</v>
      </c>
      <c r="L3433" s="40" t="s">
        <v>115</v>
      </c>
      <c r="O3433" s="40" t="s">
        <v>115</v>
      </c>
      <c r="Q3433" s="40">
        <v>140</v>
      </c>
      <c r="R3433" s="40">
        <v>268</v>
      </c>
      <c r="X3433" s="40">
        <v>90261020</v>
      </c>
      <c r="Y3433" s="40" t="s">
        <v>115</v>
      </c>
      <c r="Z3433" s="40" t="s">
        <v>115</v>
      </c>
      <c r="AA3433" s="40" t="s">
        <v>115</v>
      </c>
      <c r="AB3433" s="40" t="s">
        <v>115</v>
      </c>
      <c r="AC3433" s="40" t="s">
        <v>115</v>
      </c>
      <c r="AI3433" s="40" t="s">
        <v>115</v>
      </c>
      <c r="AP3433" s="4" t="s">
        <v>115</v>
      </c>
    </row>
    <row r="3434" spans="1:42" x14ac:dyDescent="0.15">
      <c r="A3434" s="40" t="s">
        <v>1</v>
      </c>
      <c r="B3434" s="23">
        <v>90261020</v>
      </c>
      <c r="C3434" s="23">
        <v>2610</v>
      </c>
      <c r="D3434" s="23">
        <v>26</v>
      </c>
      <c r="F3434" s="23" t="s">
        <v>859</v>
      </c>
      <c r="G3434" s="23" t="s">
        <v>115</v>
      </c>
      <c r="H3434" s="23" t="s">
        <v>3069</v>
      </c>
      <c r="I3434" s="23">
        <v>3</v>
      </c>
      <c r="J3434" s="40">
        <v>0</v>
      </c>
      <c r="K3434" s="40">
        <v>0</v>
      </c>
      <c r="L3434" s="40" t="s">
        <v>115</v>
      </c>
      <c r="O3434" s="40" t="s">
        <v>115</v>
      </c>
      <c r="Q3434" s="40">
        <v>140</v>
      </c>
      <c r="R3434" s="40">
        <v>268</v>
      </c>
      <c r="X3434" s="40">
        <v>90261004</v>
      </c>
      <c r="Y3434" s="40" t="s">
        <v>115</v>
      </c>
      <c r="Z3434" s="40" t="s">
        <v>115</v>
      </c>
      <c r="AA3434" s="40" t="s">
        <v>115</v>
      </c>
      <c r="AB3434" s="40" t="s">
        <v>115</v>
      </c>
      <c r="AC3434" s="40" t="s">
        <v>115</v>
      </c>
      <c r="AI3434" s="40" t="s">
        <v>115</v>
      </c>
      <c r="AP3434" s="4" t="s">
        <v>115</v>
      </c>
    </row>
    <row r="3435" spans="1:42" x14ac:dyDescent="0.15">
      <c r="A3435" s="40" t="s">
        <v>1</v>
      </c>
      <c r="B3435" s="23" t="s">
        <v>4901</v>
      </c>
      <c r="C3435" s="23">
        <v>2701</v>
      </c>
      <c r="D3435" s="23">
        <v>27</v>
      </c>
      <c r="F3435" s="23" t="s">
        <v>115</v>
      </c>
      <c r="G3435" s="23" t="s">
        <v>115</v>
      </c>
      <c r="H3435" s="23" t="s">
        <v>6134</v>
      </c>
      <c r="I3435" s="23">
        <v>4</v>
      </c>
      <c r="J3435" s="40">
        <v>1</v>
      </c>
      <c r="K3435" s="40">
        <v>1</v>
      </c>
      <c r="L3435" s="40" t="s">
        <v>115</v>
      </c>
      <c r="O3435" s="40" t="s">
        <v>115</v>
      </c>
      <c r="Q3435" s="40">
        <v>143</v>
      </c>
      <c r="R3435" s="40" t="s">
        <v>115</v>
      </c>
      <c r="X3435" s="40">
        <v>90270102</v>
      </c>
      <c r="Y3435" s="40" t="s">
        <v>115</v>
      </c>
      <c r="Z3435" s="40" t="s">
        <v>115</v>
      </c>
      <c r="AA3435" s="40" t="s">
        <v>115</v>
      </c>
      <c r="AB3435" s="40" t="s">
        <v>115</v>
      </c>
      <c r="AC3435" s="40" t="s">
        <v>115</v>
      </c>
      <c r="AI3435" s="40" t="s">
        <v>115</v>
      </c>
      <c r="AP3435" s="4" t="s">
        <v>115</v>
      </c>
    </row>
    <row r="3436" spans="1:42" x14ac:dyDescent="0.15">
      <c r="A3436" s="40" t="s">
        <v>1</v>
      </c>
      <c r="B3436" s="23">
        <v>90270102</v>
      </c>
      <c r="C3436" s="23">
        <v>2701</v>
      </c>
      <c r="D3436" s="23">
        <v>27</v>
      </c>
      <c r="F3436" s="23" t="s">
        <v>6135</v>
      </c>
      <c r="G3436" s="23" t="s">
        <v>115</v>
      </c>
      <c r="H3436" s="23" t="s">
        <v>6136</v>
      </c>
      <c r="I3436" s="23">
        <v>3</v>
      </c>
      <c r="J3436" s="40">
        <v>0</v>
      </c>
      <c r="K3436" s="40">
        <v>0</v>
      </c>
      <c r="L3436" s="40" t="s">
        <v>115</v>
      </c>
      <c r="O3436" s="40" t="s">
        <v>115</v>
      </c>
      <c r="Q3436" s="40">
        <v>143</v>
      </c>
      <c r="R3436" s="40">
        <v>129</v>
      </c>
      <c r="X3436" s="40">
        <v>90270103</v>
      </c>
      <c r="Y3436" s="40" t="s">
        <v>115</v>
      </c>
      <c r="Z3436" s="40" t="s">
        <v>115</v>
      </c>
      <c r="AA3436" s="40" t="s">
        <v>115</v>
      </c>
      <c r="AB3436" s="40" t="s">
        <v>115</v>
      </c>
      <c r="AC3436" s="40" t="s">
        <v>115</v>
      </c>
      <c r="AI3436" s="40" t="s">
        <v>115</v>
      </c>
      <c r="AP3436" s="4" t="s">
        <v>115</v>
      </c>
    </row>
    <row r="3437" spans="1:42" x14ac:dyDescent="0.15">
      <c r="A3437" s="40" t="s">
        <v>1</v>
      </c>
      <c r="B3437" s="23">
        <v>90270103</v>
      </c>
      <c r="C3437" s="23">
        <v>2701</v>
      </c>
      <c r="D3437" s="23">
        <v>27</v>
      </c>
      <c r="F3437" s="23" t="s">
        <v>116</v>
      </c>
      <c r="G3437" s="23">
        <v>312</v>
      </c>
      <c r="H3437" s="23" t="s">
        <v>6137</v>
      </c>
      <c r="I3437" s="23">
        <v>0</v>
      </c>
      <c r="J3437" s="40">
        <v>0</v>
      </c>
      <c r="K3437" s="40">
        <v>0</v>
      </c>
      <c r="L3437" s="40" t="s">
        <v>115</v>
      </c>
      <c r="O3437" s="40" t="s">
        <v>115</v>
      </c>
      <c r="Q3437" s="40">
        <v>143</v>
      </c>
      <c r="R3437" s="40">
        <v>129</v>
      </c>
      <c r="X3437" s="40">
        <v>90270104</v>
      </c>
      <c r="Y3437" s="40" t="s">
        <v>115</v>
      </c>
      <c r="Z3437" s="40" t="s">
        <v>115</v>
      </c>
      <c r="AA3437" s="40" t="s">
        <v>115</v>
      </c>
      <c r="AB3437" s="40" t="s">
        <v>115</v>
      </c>
      <c r="AC3437" s="40" t="s">
        <v>115</v>
      </c>
      <c r="AI3437" s="40" t="s">
        <v>115</v>
      </c>
      <c r="AP3437" s="4" t="s">
        <v>115</v>
      </c>
    </row>
    <row r="3438" spans="1:42" x14ac:dyDescent="0.15">
      <c r="A3438" s="40" t="s">
        <v>1</v>
      </c>
      <c r="B3438" s="23">
        <v>90270104</v>
      </c>
      <c r="C3438" s="23">
        <v>2701</v>
      </c>
      <c r="D3438" s="23">
        <v>27</v>
      </c>
      <c r="F3438" s="23" t="s">
        <v>115</v>
      </c>
      <c r="G3438" s="23" t="s">
        <v>115</v>
      </c>
      <c r="H3438" s="23" t="s">
        <v>6138</v>
      </c>
      <c r="I3438" s="23">
        <v>4</v>
      </c>
      <c r="J3438" s="40">
        <v>0</v>
      </c>
      <c r="K3438" s="40">
        <v>0</v>
      </c>
      <c r="L3438" s="40" t="s">
        <v>115</v>
      </c>
      <c r="O3438" s="40" t="s">
        <v>115</v>
      </c>
      <c r="Q3438" s="40">
        <v>143</v>
      </c>
      <c r="R3438" s="40">
        <v>129</v>
      </c>
      <c r="X3438" s="40">
        <v>90270105</v>
      </c>
      <c r="Y3438" s="40" t="s">
        <v>115</v>
      </c>
      <c r="Z3438" s="40" t="s">
        <v>115</v>
      </c>
      <c r="AA3438" s="40" t="s">
        <v>115</v>
      </c>
      <c r="AB3438" s="40" t="s">
        <v>115</v>
      </c>
      <c r="AC3438" s="40" t="s">
        <v>115</v>
      </c>
      <c r="AI3438" s="40" t="s">
        <v>115</v>
      </c>
      <c r="AP3438" s="4" t="s">
        <v>115</v>
      </c>
    </row>
    <row r="3439" spans="1:42" x14ac:dyDescent="0.15">
      <c r="A3439" s="40" t="s">
        <v>1</v>
      </c>
      <c r="B3439" s="23">
        <v>90270105</v>
      </c>
      <c r="C3439" s="23">
        <v>2701</v>
      </c>
      <c r="D3439" s="23">
        <v>27</v>
      </c>
      <c r="F3439" s="23" t="s">
        <v>116</v>
      </c>
      <c r="G3439" s="23">
        <v>314</v>
      </c>
      <c r="H3439" s="23" t="s">
        <v>6139</v>
      </c>
      <c r="I3439" s="23">
        <v>0</v>
      </c>
      <c r="J3439" s="40">
        <v>0</v>
      </c>
      <c r="K3439" s="40">
        <v>0</v>
      </c>
      <c r="L3439" s="40" t="s">
        <v>115</v>
      </c>
      <c r="O3439" s="40" t="s">
        <v>115</v>
      </c>
      <c r="Q3439" s="40">
        <v>143</v>
      </c>
      <c r="R3439" s="40">
        <v>129</v>
      </c>
      <c r="X3439" s="40">
        <v>90270106</v>
      </c>
      <c r="Y3439" s="40" t="s">
        <v>115</v>
      </c>
      <c r="Z3439" s="40" t="s">
        <v>115</v>
      </c>
      <c r="AA3439" s="40" t="s">
        <v>115</v>
      </c>
      <c r="AB3439" s="40" t="s">
        <v>115</v>
      </c>
      <c r="AC3439" s="40" t="s">
        <v>115</v>
      </c>
      <c r="AI3439" s="40" t="s">
        <v>115</v>
      </c>
      <c r="AP3439" s="4" t="s">
        <v>115</v>
      </c>
    </row>
    <row r="3440" spans="1:42" x14ac:dyDescent="0.15">
      <c r="A3440" s="40" t="s">
        <v>1</v>
      </c>
      <c r="B3440" s="23">
        <v>90270106</v>
      </c>
      <c r="C3440" s="23">
        <v>2701</v>
      </c>
      <c r="D3440" s="23">
        <v>27</v>
      </c>
      <c r="F3440" s="23" t="s">
        <v>6135</v>
      </c>
      <c r="G3440" s="23" t="s">
        <v>115</v>
      </c>
      <c r="H3440" s="23" t="s">
        <v>6140</v>
      </c>
      <c r="I3440" s="23">
        <v>3</v>
      </c>
      <c r="J3440" s="40">
        <v>0</v>
      </c>
      <c r="K3440" s="40">
        <v>0</v>
      </c>
      <c r="L3440" s="40" t="s">
        <v>115</v>
      </c>
      <c r="O3440" s="40" t="s">
        <v>115</v>
      </c>
      <c r="Q3440" s="40">
        <v>143</v>
      </c>
      <c r="R3440" s="40">
        <v>129</v>
      </c>
      <c r="X3440" s="40">
        <v>90270107</v>
      </c>
      <c r="Y3440" s="40" t="s">
        <v>115</v>
      </c>
      <c r="Z3440" s="40" t="s">
        <v>115</v>
      </c>
      <c r="AA3440" s="40" t="s">
        <v>115</v>
      </c>
      <c r="AB3440" s="40" t="s">
        <v>115</v>
      </c>
      <c r="AC3440" s="40" t="s">
        <v>115</v>
      </c>
      <c r="AI3440" s="40" t="s">
        <v>115</v>
      </c>
      <c r="AP3440" s="4" t="s">
        <v>115</v>
      </c>
    </row>
    <row r="3441" spans="1:42" x14ac:dyDescent="0.15">
      <c r="A3441" s="40" t="s">
        <v>1</v>
      </c>
      <c r="B3441" s="23">
        <v>90270107</v>
      </c>
      <c r="C3441" s="23">
        <v>2701</v>
      </c>
      <c r="D3441" s="23">
        <v>27</v>
      </c>
      <c r="F3441" s="23" t="s">
        <v>116</v>
      </c>
      <c r="G3441" s="23">
        <v>314</v>
      </c>
      <c r="H3441" s="23" t="s">
        <v>6141</v>
      </c>
      <c r="I3441" s="23">
        <v>0</v>
      </c>
      <c r="J3441" s="40">
        <v>0</v>
      </c>
      <c r="K3441" s="40">
        <v>0</v>
      </c>
      <c r="L3441" s="40" t="s">
        <v>115</v>
      </c>
      <c r="O3441" s="40" t="s">
        <v>115</v>
      </c>
      <c r="Q3441" s="40">
        <v>143</v>
      </c>
      <c r="R3441" s="40">
        <v>129</v>
      </c>
      <c r="X3441" s="40">
        <v>90270108</v>
      </c>
      <c r="Y3441" s="40" t="s">
        <v>115</v>
      </c>
      <c r="Z3441" s="40" t="s">
        <v>115</v>
      </c>
      <c r="AA3441" s="40" t="s">
        <v>115</v>
      </c>
      <c r="AB3441" s="40" t="s">
        <v>115</v>
      </c>
      <c r="AC3441" s="40" t="s">
        <v>115</v>
      </c>
      <c r="AI3441" s="40" t="s">
        <v>115</v>
      </c>
      <c r="AP3441" s="4" t="s">
        <v>115</v>
      </c>
    </row>
    <row r="3442" spans="1:42" x14ac:dyDescent="0.15">
      <c r="A3442" s="40" t="s">
        <v>1</v>
      </c>
      <c r="B3442" s="23">
        <v>90270108</v>
      </c>
      <c r="C3442" s="23">
        <v>2701</v>
      </c>
      <c r="D3442" s="23">
        <v>27</v>
      </c>
      <c r="F3442" s="23" t="s">
        <v>115</v>
      </c>
      <c r="G3442" s="23" t="s">
        <v>115</v>
      </c>
      <c r="H3442" s="23" t="s">
        <v>6142</v>
      </c>
      <c r="I3442" s="23">
        <v>4</v>
      </c>
      <c r="J3442" s="40">
        <v>0</v>
      </c>
      <c r="K3442" s="40">
        <v>0</v>
      </c>
      <c r="L3442" s="40" t="s">
        <v>115</v>
      </c>
      <c r="O3442" s="40" t="s">
        <v>115</v>
      </c>
      <c r="Q3442" s="40">
        <v>143</v>
      </c>
      <c r="R3442" s="40">
        <v>129</v>
      </c>
      <c r="X3442" s="40">
        <v>90270109</v>
      </c>
      <c r="Y3442" s="40" t="s">
        <v>115</v>
      </c>
      <c r="Z3442" s="40" t="s">
        <v>115</v>
      </c>
      <c r="AA3442" s="40" t="s">
        <v>115</v>
      </c>
      <c r="AB3442" s="40" t="s">
        <v>115</v>
      </c>
      <c r="AC3442" s="40" t="s">
        <v>115</v>
      </c>
      <c r="AI3442" s="40" t="s">
        <v>115</v>
      </c>
      <c r="AP3442" s="4" t="s">
        <v>115</v>
      </c>
    </row>
    <row r="3443" spans="1:42" x14ac:dyDescent="0.15">
      <c r="A3443" s="40" t="s">
        <v>1</v>
      </c>
      <c r="B3443" s="23">
        <v>90270109</v>
      </c>
      <c r="C3443" s="23">
        <v>2701</v>
      </c>
      <c r="D3443" s="23">
        <v>27</v>
      </c>
      <c r="F3443" s="23" t="s">
        <v>6135</v>
      </c>
      <c r="G3443" s="23" t="s">
        <v>115</v>
      </c>
      <c r="H3443" s="23" t="s">
        <v>6143</v>
      </c>
      <c r="I3443" s="23">
        <v>3</v>
      </c>
      <c r="J3443" s="40">
        <v>0</v>
      </c>
      <c r="K3443" s="40">
        <v>0</v>
      </c>
      <c r="L3443" s="40" t="s">
        <v>115</v>
      </c>
      <c r="O3443" s="40" t="s">
        <v>115</v>
      </c>
      <c r="Q3443" s="40">
        <v>143</v>
      </c>
      <c r="R3443" s="40">
        <v>129</v>
      </c>
      <c r="X3443" s="40">
        <v>90270110</v>
      </c>
      <c r="Y3443" s="40" t="s">
        <v>115</v>
      </c>
      <c r="Z3443" s="40" t="s">
        <v>115</v>
      </c>
      <c r="AA3443" s="40" t="s">
        <v>115</v>
      </c>
      <c r="AB3443" s="40" t="s">
        <v>115</v>
      </c>
      <c r="AC3443" s="40" t="s">
        <v>115</v>
      </c>
      <c r="AI3443" s="40" t="s">
        <v>115</v>
      </c>
      <c r="AP3443" s="4" t="s">
        <v>115</v>
      </c>
    </row>
    <row r="3444" spans="1:42" x14ac:dyDescent="0.15">
      <c r="A3444" s="40" t="s">
        <v>1</v>
      </c>
      <c r="B3444" s="23">
        <v>90270110</v>
      </c>
      <c r="C3444" s="23">
        <v>2701</v>
      </c>
      <c r="D3444" s="23">
        <v>27</v>
      </c>
      <c r="F3444" s="23" t="s">
        <v>116</v>
      </c>
      <c r="G3444" s="23">
        <v>314</v>
      </c>
      <c r="H3444" s="23" t="s">
        <v>6144</v>
      </c>
      <c r="I3444" s="23">
        <v>0</v>
      </c>
      <c r="J3444" s="40">
        <v>0</v>
      </c>
      <c r="K3444" s="40">
        <v>0</v>
      </c>
      <c r="L3444" s="40" t="s">
        <v>115</v>
      </c>
      <c r="O3444" s="40" t="s">
        <v>115</v>
      </c>
      <c r="Q3444" s="40">
        <v>143</v>
      </c>
      <c r="R3444" s="40">
        <v>129</v>
      </c>
      <c r="X3444" s="40">
        <v>90270111</v>
      </c>
      <c r="Y3444" s="40" t="s">
        <v>115</v>
      </c>
      <c r="Z3444" s="40" t="s">
        <v>115</v>
      </c>
      <c r="AA3444" s="40" t="s">
        <v>115</v>
      </c>
      <c r="AB3444" s="40" t="s">
        <v>115</v>
      </c>
      <c r="AC3444" s="40" t="s">
        <v>115</v>
      </c>
      <c r="AI3444" s="40" t="s">
        <v>115</v>
      </c>
      <c r="AP3444" s="4" t="s">
        <v>115</v>
      </c>
    </row>
    <row r="3445" spans="1:42" x14ac:dyDescent="0.15">
      <c r="A3445" s="40" t="s">
        <v>1</v>
      </c>
      <c r="B3445" s="23">
        <v>90270111</v>
      </c>
      <c r="C3445" s="23">
        <v>2701</v>
      </c>
      <c r="D3445" s="23">
        <v>27</v>
      </c>
      <c r="F3445" s="23" t="s">
        <v>6135</v>
      </c>
      <c r="G3445" s="23" t="s">
        <v>115</v>
      </c>
      <c r="H3445" s="23" t="s">
        <v>6145</v>
      </c>
      <c r="I3445" s="23">
        <v>3</v>
      </c>
      <c r="J3445" s="40">
        <v>0</v>
      </c>
      <c r="K3445" s="40">
        <v>0</v>
      </c>
      <c r="L3445" s="40" t="s">
        <v>115</v>
      </c>
      <c r="O3445" s="40" t="s">
        <v>115</v>
      </c>
      <c r="Q3445" s="40">
        <v>143</v>
      </c>
      <c r="R3445" s="40">
        <v>129</v>
      </c>
      <c r="X3445" s="40">
        <v>90270112</v>
      </c>
      <c r="Y3445" s="40" t="s">
        <v>115</v>
      </c>
      <c r="Z3445" s="40" t="s">
        <v>115</v>
      </c>
      <c r="AA3445" s="40" t="s">
        <v>115</v>
      </c>
      <c r="AB3445" s="40" t="s">
        <v>115</v>
      </c>
      <c r="AC3445" s="40" t="s">
        <v>115</v>
      </c>
      <c r="AI3445" s="40" t="s">
        <v>115</v>
      </c>
      <c r="AP3445" s="4" t="s">
        <v>115</v>
      </c>
    </row>
    <row r="3446" spans="1:42" x14ac:dyDescent="0.15">
      <c r="A3446" s="40" t="s">
        <v>1</v>
      </c>
      <c r="B3446" s="23">
        <v>90270112</v>
      </c>
      <c r="C3446" s="23">
        <v>2701</v>
      </c>
      <c r="D3446" s="23">
        <v>27</v>
      </c>
      <c r="F3446" s="23" t="s">
        <v>6135</v>
      </c>
      <c r="G3446" s="23" t="s">
        <v>115</v>
      </c>
      <c r="H3446" s="23" t="s">
        <v>6146</v>
      </c>
      <c r="I3446" s="23">
        <v>3</v>
      </c>
      <c r="J3446" s="40">
        <v>0</v>
      </c>
      <c r="K3446" s="40">
        <v>0</v>
      </c>
      <c r="L3446" s="40" t="s">
        <v>115</v>
      </c>
      <c r="O3446" s="40" t="s">
        <v>115</v>
      </c>
      <c r="Q3446" s="40">
        <v>143</v>
      </c>
      <c r="R3446" s="40">
        <v>129</v>
      </c>
      <c r="X3446" s="40">
        <v>90270113</v>
      </c>
      <c r="Y3446" s="40" t="s">
        <v>115</v>
      </c>
      <c r="Z3446" s="40" t="s">
        <v>115</v>
      </c>
      <c r="AA3446" s="40" t="s">
        <v>115</v>
      </c>
      <c r="AB3446" s="40" t="s">
        <v>115</v>
      </c>
      <c r="AC3446" s="40" t="s">
        <v>115</v>
      </c>
      <c r="AI3446" s="40" t="s">
        <v>115</v>
      </c>
      <c r="AP3446" s="4" t="s">
        <v>115</v>
      </c>
    </row>
    <row r="3447" spans="1:42" x14ac:dyDescent="0.15">
      <c r="A3447" s="40" t="s">
        <v>1</v>
      </c>
      <c r="B3447" s="23">
        <v>90270113</v>
      </c>
      <c r="C3447" s="23">
        <v>2701</v>
      </c>
      <c r="D3447" s="23">
        <v>27</v>
      </c>
      <c r="F3447" s="23" t="s">
        <v>6135</v>
      </c>
      <c r="G3447" s="23" t="s">
        <v>115</v>
      </c>
      <c r="H3447" s="23" t="s">
        <v>6147</v>
      </c>
      <c r="I3447" s="23">
        <v>3</v>
      </c>
      <c r="J3447" s="40">
        <v>0</v>
      </c>
      <c r="K3447" s="40">
        <v>0</v>
      </c>
      <c r="L3447" s="40" t="s">
        <v>115</v>
      </c>
      <c r="O3447" s="40" t="s">
        <v>115</v>
      </c>
      <c r="Q3447" s="40">
        <v>143</v>
      </c>
      <c r="R3447" s="40">
        <v>129</v>
      </c>
      <c r="X3447" s="40">
        <v>90270114</v>
      </c>
      <c r="Y3447" s="40" t="s">
        <v>115</v>
      </c>
      <c r="Z3447" s="40" t="s">
        <v>115</v>
      </c>
      <c r="AA3447" s="40" t="s">
        <v>115</v>
      </c>
      <c r="AB3447" s="40" t="s">
        <v>115</v>
      </c>
      <c r="AC3447" s="40" t="s">
        <v>115</v>
      </c>
      <c r="AI3447" s="40" t="s">
        <v>115</v>
      </c>
      <c r="AP3447" s="4" t="s">
        <v>115</v>
      </c>
    </row>
    <row r="3448" spans="1:42" x14ac:dyDescent="0.15">
      <c r="A3448" s="40" t="s">
        <v>1</v>
      </c>
      <c r="B3448" s="23">
        <v>90270114</v>
      </c>
      <c r="C3448" s="23">
        <v>2701</v>
      </c>
      <c r="D3448" s="23">
        <v>27</v>
      </c>
      <c r="F3448" s="23" t="s">
        <v>116</v>
      </c>
      <c r="G3448" s="23">
        <v>314</v>
      </c>
      <c r="H3448" s="23" t="s">
        <v>6148</v>
      </c>
      <c r="I3448" s="23">
        <v>0</v>
      </c>
      <c r="J3448" s="40">
        <v>0</v>
      </c>
      <c r="K3448" s="40">
        <v>0</v>
      </c>
      <c r="L3448" s="40" t="s">
        <v>115</v>
      </c>
      <c r="O3448" s="40" t="s">
        <v>115</v>
      </c>
      <c r="Q3448" s="40">
        <v>143</v>
      </c>
      <c r="R3448" s="40">
        <v>129</v>
      </c>
      <c r="X3448" s="40">
        <v>90270115</v>
      </c>
      <c r="Y3448" s="40" t="s">
        <v>115</v>
      </c>
      <c r="Z3448" s="40" t="s">
        <v>115</v>
      </c>
      <c r="AA3448" s="40" t="s">
        <v>115</v>
      </c>
      <c r="AB3448" s="40" t="s">
        <v>115</v>
      </c>
      <c r="AC3448" s="40" t="s">
        <v>115</v>
      </c>
      <c r="AI3448" s="40" t="s">
        <v>115</v>
      </c>
      <c r="AP3448" s="4" t="s">
        <v>115</v>
      </c>
    </row>
    <row r="3449" spans="1:42" x14ac:dyDescent="0.15">
      <c r="A3449" s="40" t="s">
        <v>1</v>
      </c>
      <c r="B3449" s="23">
        <v>90270115</v>
      </c>
      <c r="C3449" s="23">
        <v>2701</v>
      </c>
      <c r="D3449" s="23">
        <v>27</v>
      </c>
      <c r="F3449" s="23" t="s">
        <v>6135</v>
      </c>
      <c r="G3449" s="23" t="s">
        <v>115</v>
      </c>
      <c r="H3449" s="23" t="s">
        <v>6149</v>
      </c>
      <c r="I3449" s="23">
        <v>3</v>
      </c>
      <c r="J3449" s="40">
        <v>0</v>
      </c>
      <c r="K3449" s="40">
        <v>0</v>
      </c>
      <c r="L3449" s="40" t="s">
        <v>115</v>
      </c>
      <c r="O3449" s="40" t="s">
        <v>115</v>
      </c>
      <c r="Q3449" s="40">
        <v>143</v>
      </c>
      <c r="R3449" s="40">
        <v>129</v>
      </c>
      <c r="X3449" s="40">
        <v>90270116</v>
      </c>
      <c r="Y3449" s="40" t="s">
        <v>115</v>
      </c>
      <c r="Z3449" s="40" t="s">
        <v>115</v>
      </c>
      <c r="AA3449" s="40" t="s">
        <v>115</v>
      </c>
      <c r="AB3449" s="40" t="s">
        <v>115</v>
      </c>
      <c r="AC3449" s="40" t="s">
        <v>115</v>
      </c>
      <c r="AI3449" s="40" t="s">
        <v>115</v>
      </c>
      <c r="AP3449" s="4" t="s">
        <v>115</v>
      </c>
    </row>
    <row r="3450" spans="1:42" x14ac:dyDescent="0.15">
      <c r="A3450" s="40" t="s">
        <v>1</v>
      </c>
      <c r="B3450" s="23">
        <v>90270116</v>
      </c>
      <c r="C3450" s="23">
        <v>2701</v>
      </c>
      <c r="D3450" s="23">
        <v>27</v>
      </c>
      <c r="F3450" s="23" t="s">
        <v>6135</v>
      </c>
      <c r="G3450" s="23" t="s">
        <v>115</v>
      </c>
      <c r="H3450" s="23" t="s">
        <v>6150</v>
      </c>
      <c r="I3450" s="23">
        <v>3</v>
      </c>
      <c r="J3450" s="40">
        <v>0</v>
      </c>
      <c r="K3450" s="40">
        <v>0</v>
      </c>
      <c r="L3450" s="40" t="s">
        <v>115</v>
      </c>
      <c r="O3450" s="40" t="s">
        <v>115</v>
      </c>
      <c r="Q3450" s="40">
        <v>143</v>
      </c>
      <c r="R3450" s="40">
        <v>129</v>
      </c>
      <c r="X3450" s="40">
        <v>90270117</v>
      </c>
      <c r="Y3450" s="40" t="s">
        <v>115</v>
      </c>
      <c r="Z3450" s="40" t="s">
        <v>115</v>
      </c>
      <c r="AA3450" s="40" t="s">
        <v>115</v>
      </c>
      <c r="AB3450" s="40" t="s">
        <v>115</v>
      </c>
      <c r="AC3450" s="40" t="s">
        <v>115</v>
      </c>
      <c r="AI3450" s="40" t="s">
        <v>115</v>
      </c>
      <c r="AP3450" s="4" t="s">
        <v>115</v>
      </c>
    </row>
    <row r="3451" spans="1:42" x14ac:dyDescent="0.15">
      <c r="A3451" s="40" t="s">
        <v>1</v>
      </c>
      <c r="B3451" s="23">
        <v>90270117</v>
      </c>
      <c r="C3451" s="23">
        <v>2701</v>
      </c>
      <c r="D3451" s="23">
        <v>27</v>
      </c>
      <c r="F3451" s="23" t="s">
        <v>6135</v>
      </c>
      <c r="G3451" s="23" t="s">
        <v>115</v>
      </c>
      <c r="H3451" s="23" t="s">
        <v>6151</v>
      </c>
      <c r="I3451" s="23">
        <v>3</v>
      </c>
      <c r="J3451" s="40">
        <v>0</v>
      </c>
      <c r="K3451" s="40">
        <v>0</v>
      </c>
      <c r="L3451" s="40" t="s">
        <v>115</v>
      </c>
      <c r="O3451" s="40" t="s">
        <v>115</v>
      </c>
      <c r="Q3451" s="40">
        <v>143</v>
      </c>
      <c r="R3451" s="40">
        <v>129</v>
      </c>
      <c r="X3451" s="40">
        <v>90270118</v>
      </c>
      <c r="Y3451" s="40" t="s">
        <v>115</v>
      </c>
      <c r="Z3451" s="40" t="s">
        <v>115</v>
      </c>
      <c r="AA3451" s="40" t="s">
        <v>115</v>
      </c>
      <c r="AB3451" s="40" t="s">
        <v>115</v>
      </c>
      <c r="AC3451" s="40" t="s">
        <v>115</v>
      </c>
      <c r="AI3451" s="40" t="s">
        <v>115</v>
      </c>
      <c r="AP3451" s="4" t="s">
        <v>115</v>
      </c>
    </row>
    <row r="3452" spans="1:42" x14ac:dyDescent="0.15">
      <c r="A3452" s="40" t="s">
        <v>1</v>
      </c>
      <c r="B3452" s="23">
        <v>90270118</v>
      </c>
      <c r="C3452" s="23">
        <v>2701</v>
      </c>
      <c r="D3452" s="23">
        <v>27</v>
      </c>
      <c r="F3452" s="23" t="s">
        <v>116</v>
      </c>
      <c r="G3452" s="23">
        <v>309</v>
      </c>
      <c r="H3452" s="23" t="s">
        <v>6152</v>
      </c>
      <c r="I3452" s="23">
        <v>0</v>
      </c>
      <c r="J3452" s="40">
        <v>0</v>
      </c>
      <c r="K3452" s="40">
        <v>0</v>
      </c>
      <c r="L3452" s="40" t="s">
        <v>115</v>
      </c>
      <c r="O3452" s="40" t="s">
        <v>115</v>
      </c>
      <c r="Q3452" s="40">
        <v>143</v>
      </c>
      <c r="R3452" s="40">
        <v>129</v>
      </c>
      <c r="X3452" s="40">
        <v>90270119</v>
      </c>
      <c r="Y3452" s="40" t="s">
        <v>115</v>
      </c>
      <c r="Z3452" s="40" t="s">
        <v>115</v>
      </c>
      <c r="AA3452" s="40" t="s">
        <v>115</v>
      </c>
      <c r="AB3452" s="40" t="s">
        <v>115</v>
      </c>
      <c r="AC3452" s="40" t="s">
        <v>115</v>
      </c>
      <c r="AI3452" s="40" t="s">
        <v>115</v>
      </c>
      <c r="AP3452" s="4" t="s">
        <v>115</v>
      </c>
    </row>
    <row r="3453" spans="1:42" x14ac:dyDescent="0.15">
      <c r="A3453" s="40" t="s">
        <v>1</v>
      </c>
      <c r="B3453" s="23">
        <v>90270119</v>
      </c>
      <c r="C3453" s="23">
        <v>2701</v>
      </c>
      <c r="D3453" s="23">
        <v>27</v>
      </c>
      <c r="F3453" s="23" t="s">
        <v>115</v>
      </c>
      <c r="G3453" s="23" t="s">
        <v>115</v>
      </c>
      <c r="H3453" s="23" t="s">
        <v>6153</v>
      </c>
      <c r="I3453" s="23">
        <v>4</v>
      </c>
      <c r="J3453" s="40">
        <v>0</v>
      </c>
      <c r="K3453" s="40">
        <v>0</v>
      </c>
      <c r="L3453" s="40" t="s">
        <v>115</v>
      </c>
      <c r="O3453" s="40" t="s">
        <v>115</v>
      </c>
      <c r="Q3453" s="40">
        <v>143</v>
      </c>
      <c r="R3453" s="40" t="s">
        <v>115</v>
      </c>
      <c r="X3453" s="40">
        <v>90270120</v>
      </c>
      <c r="Y3453" s="40" t="s">
        <v>115</v>
      </c>
      <c r="Z3453" s="40" t="s">
        <v>115</v>
      </c>
      <c r="AA3453" s="40" t="s">
        <v>115</v>
      </c>
      <c r="AB3453" s="40" t="s">
        <v>115</v>
      </c>
      <c r="AC3453" s="40" t="s">
        <v>115</v>
      </c>
      <c r="AI3453" s="40" t="s">
        <v>115</v>
      </c>
      <c r="AP3453" s="4" t="s">
        <v>115</v>
      </c>
    </row>
    <row r="3454" spans="1:42" x14ac:dyDescent="0.15">
      <c r="A3454" s="40" t="s">
        <v>1</v>
      </c>
      <c r="B3454" s="23">
        <v>90270120</v>
      </c>
      <c r="C3454" s="23">
        <v>2701</v>
      </c>
      <c r="D3454" s="23">
        <v>27</v>
      </c>
      <c r="F3454" s="23" t="s">
        <v>116</v>
      </c>
      <c r="G3454" s="23">
        <v>309</v>
      </c>
      <c r="H3454" s="23" t="s">
        <v>6154</v>
      </c>
      <c r="I3454" s="23">
        <v>2</v>
      </c>
      <c r="J3454" s="40">
        <v>0</v>
      </c>
      <c r="K3454" s="40">
        <v>2</v>
      </c>
      <c r="L3454" s="40" t="s">
        <v>115</v>
      </c>
      <c r="O3454" s="40">
        <v>1</v>
      </c>
      <c r="Q3454" s="40">
        <v>143</v>
      </c>
      <c r="R3454" s="40" t="s">
        <v>115</v>
      </c>
      <c r="X3454" s="40" t="s">
        <v>115</v>
      </c>
      <c r="Y3454" s="40" t="s">
        <v>115</v>
      </c>
      <c r="Z3454" s="40">
        <v>1</v>
      </c>
      <c r="AA3454" s="40" t="s">
        <v>115</v>
      </c>
      <c r="AB3454" s="40" t="s">
        <v>115</v>
      </c>
      <c r="AC3454" s="40" t="s">
        <v>115</v>
      </c>
      <c r="AI3454" s="40" t="s">
        <v>115</v>
      </c>
      <c r="AP3454" s="4" t="s">
        <v>6155</v>
      </c>
    </row>
    <row r="3455" spans="1:42" x14ac:dyDescent="0.15">
      <c r="A3455" s="40" t="s">
        <v>1</v>
      </c>
      <c r="B3455" s="23" t="s">
        <v>4904</v>
      </c>
      <c r="C3455" s="23">
        <v>2702</v>
      </c>
      <c r="D3455" s="23">
        <v>27</v>
      </c>
      <c r="F3455" s="23" t="s">
        <v>115</v>
      </c>
      <c r="G3455" s="23" t="s">
        <v>115</v>
      </c>
      <c r="H3455" s="23" t="s">
        <v>6156</v>
      </c>
      <c r="I3455" s="23">
        <v>4</v>
      </c>
      <c r="J3455" s="40">
        <v>1</v>
      </c>
      <c r="K3455" s="40">
        <v>1</v>
      </c>
      <c r="L3455" s="40" t="s">
        <v>115</v>
      </c>
      <c r="O3455" s="40" t="s">
        <v>115</v>
      </c>
      <c r="Q3455" s="40">
        <v>144</v>
      </c>
      <c r="R3455" s="40" t="s">
        <v>115</v>
      </c>
      <c r="X3455" s="40">
        <v>90270202</v>
      </c>
      <c r="Y3455" s="40" t="s">
        <v>115</v>
      </c>
      <c r="Z3455" s="40" t="s">
        <v>115</v>
      </c>
      <c r="AA3455" s="40" t="s">
        <v>115</v>
      </c>
      <c r="AB3455" s="40" t="s">
        <v>115</v>
      </c>
      <c r="AC3455" s="40" t="s">
        <v>115</v>
      </c>
      <c r="AI3455" s="40" t="s">
        <v>115</v>
      </c>
      <c r="AP3455" s="4" t="s">
        <v>115</v>
      </c>
    </row>
    <row r="3456" spans="1:42" x14ac:dyDescent="0.15">
      <c r="A3456" s="40" t="s">
        <v>1</v>
      </c>
      <c r="B3456" s="23">
        <v>90270202</v>
      </c>
      <c r="C3456" s="23">
        <v>2702</v>
      </c>
      <c r="D3456" s="23">
        <v>27</v>
      </c>
      <c r="F3456" s="23" t="s">
        <v>116</v>
      </c>
      <c r="G3456" s="23">
        <v>312</v>
      </c>
      <c r="H3456" s="23" t="s">
        <v>6157</v>
      </c>
      <c r="I3456" s="23">
        <v>0</v>
      </c>
      <c r="J3456" s="40">
        <v>0</v>
      </c>
      <c r="K3456" s="40">
        <v>0</v>
      </c>
      <c r="L3456" s="40" t="s">
        <v>115</v>
      </c>
      <c r="O3456" s="40" t="s">
        <v>115</v>
      </c>
      <c r="Q3456" s="40">
        <v>144</v>
      </c>
      <c r="R3456" s="40">
        <v>305</v>
      </c>
      <c r="X3456" s="40">
        <v>90270203</v>
      </c>
      <c r="Y3456" s="40" t="s">
        <v>115</v>
      </c>
      <c r="Z3456" s="40" t="s">
        <v>115</v>
      </c>
      <c r="AA3456" s="40" t="s">
        <v>115</v>
      </c>
      <c r="AB3456" s="40" t="s">
        <v>115</v>
      </c>
      <c r="AC3456" s="40" t="s">
        <v>115</v>
      </c>
      <c r="AI3456" s="40" t="s">
        <v>115</v>
      </c>
      <c r="AP3456" s="4" t="s">
        <v>115</v>
      </c>
    </row>
    <row r="3457" spans="1:42" x14ac:dyDescent="0.15">
      <c r="A3457" s="40" t="s">
        <v>1</v>
      </c>
      <c r="B3457" s="23">
        <v>90270203</v>
      </c>
      <c r="C3457" s="23">
        <v>2702</v>
      </c>
      <c r="D3457" s="23">
        <v>27</v>
      </c>
      <c r="F3457" s="23" t="s">
        <v>115</v>
      </c>
      <c r="G3457" s="23" t="s">
        <v>115</v>
      </c>
      <c r="H3457" s="23" t="s">
        <v>6158</v>
      </c>
      <c r="I3457" s="23">
        <v>4</v>
      </c>
      <c r="J3457" s="40">
        <v>0</v>
      </c>
      <c r="K3457" s="40">
        <v>2</v>
      </c>
      <c r="L3457" s="40" t="s">
        <v>115</v>
      </c>
      <c r="O3457" s="40" t="s">
        <v>115</v>
      </c>
      <c r="Q3457" s="40">
        <v>144</v>
      </c>
      <c r="R3457" s="40">
        <v>305</v>
      </c>
      <c r="X3457" s="40" t="s">
        <v>6159</v>
      </c>
      <c r="Y3457" s="40">
        <v>1</v>
      </c>
      <c r="Z3457" s="40">
        <v>1</v>
      </c>
      <c r="AA3457" s="40" t="s">
        <v>115</v>
      </c>
      <c r="AB3457" s="40" t="s">
        <v>115</v>
      </c>
      <c r="AC3457" s="40" t="s">
        <v>115</v>
      </c>
      <c r="AI3457" s="40" t="s">
        <v>115</v>
      </c>
      <c r="AP3457" s="4" t="s">
        <v>115</v>
      </c>
    </row>
    <row r="3458" spans="1:42" x14ac:dyDescent="0.15">
      <c r="A3458" s="40" t="s">
        <v>1</v>
      </c>
      <c r="B3458" s="23">
        <v>90270204</v>
      </c>
      <c r="C3458" s="23">
        <v>2702</v>
      </c>
      <c r="D3458" s="23">
        <v>27</v>
      </c>
      <c r="F3458" s="23" t="s">
        <v>115</v>
      </c>
      <c r="G3458" s="23" t="s">
        <v>115</v>
      </c>
      <c r="H3458" s="23" t="s">
        <v>3002</v>
      </c>
      <c r="I3458" s="23">
        <v>4</v>
      </c>
      <c r="J3458" s="40">
        <v>0</v>
      </c>
      <c r="K3458" s="40">
        <v>3</v>
      </c>
      <c r="L3458" s="40" t="s">
        <v>115</v>
      </c>
      <c r="O3458" s="40" t="s">
        <v>115</v>
      </c>
      <c r="Q3458" s="40">
        <v>144</v>
      </c>
      <c r="R3458" s="40">
        <v>305</v>
      </c>
      <c r="X3458" s="40">
        <v>90270206</v>
      </c>
      <c r="Y3458" s="40">
        <v>-1</v>
      </c>
      <c r="Z3458" s="40">
        <v>2</v>
      </c>
      <c r="AA3458" s="40" t="s">
        <v>115</v>
      </c>
      <c r="AB3458" s="40" t="s">
        <v>115</v>
      </c>
      <c r="AC3458" s="40" t="s">
        <v>6160</v>
      </c>
      <c r="AI3458" s="40" t="s">
        <v>115</v>
      </c>
      <c r="AP3458" s="4" t="s">
        <v>115</v>
      </c>
    </row>
    <row r="3459" spans="1:42" x14ac:dyDescent="0.15">
      <c r="A3459" s="40" t="s">
        <v>1</v>
      </c>
      <c r="B3459" s="23">
        <v>90270205</v>
      </c>
      <c r="C3459" s="23">
        <v>2702</v>
      </c>
      <c r="D3459" s="23">
        <v>27</v>
      </c>
      <c r="F3459" s="23" t="s">
        <v>115</v>
      </c>
      <c r="G3459" s="23" t="s">
        <v>115</v>
      </c>
      <c r="H3459" s="23" t="s">
        <v>6161</v>
      </c>
      <c r="I3459" s="23">
        <v>4</v>
      </c>
      <c r="J3459" s="40">
        <v>0</v>
      </c>
      <c r="K3459" s="40">
        <v>4</v>
      </c>
      <c r="L3459" s="40" t="s">
        <v>115</v>
      </c>
      <c r="O3459" s="40" t="s">
        <v>115</v>
      </c>
      <c r="Q3459" s="40">
        <v>144</v>
      </c>
      <c r="R3459" s="40">
        <v>305</v>
      </c>
      <c r="X3459" s="40">
        <v>90270207</v>
      </c>
      <c r="Y3459" s="40">
        <v>-1</v>
      </c>
      <c r="Z3459" s="40">
        <v>2</v>
      </c>
      <c r="AA3459" s="40" t="s">
        <v>115</v>
      </c>
      <c r="AB3459" s="40" t="s">
        <v>115</v>
      </c>
      <c r="AC3459" s="40" t="s">
        <v>115</v>
      </c>
      <c r="AI3459" s="40" t="s">
        <v>115</v>
      </c>
      <c r="AP3459" s="4" t="s">
        <v>115</v>
      </c>
    </row>
    <row r="3460" spans="1:42" x14ac:dyDescent="0.15">
      <c r="A3460" s="40" t="s">
        <v>1</v>
      </c>
      <c r="B3460" s="23">
        <v>90270206</v>
      </c>
      <c r="C3460" s="23">
        <v>2702</v>
      </c>
      <c r="D3460" s="23">
        <v>27</v>
      </c>
      <c r="F3460" s="23" t="s">
        <v>116</v>
      </c>
      <c r="G3460" s="23">
        <v>312</v>
      </c>
      <c r="H3460" s="23" t="s">
        <v>6162</v>
      </c>
      <c r="I3460" s="23">
        <v>0</v>
      </c>
      <c r="J3460" s="40">
        <v>0</v>
      </c>
      <c r="K3460" s="40">
        <v>0</v>
      </c>
      <c r="L3460" s="40" t="s">
        <v>115</v>
      </c>
      <c r="O3460" s="40" t="s">
        <v>115</v>
      </c>
      <c r="Q3460" s="40">
        <v>144</v>
      </c>
      <c r="R3460" s="40">
        <v>305</v>
      </c>
      <c r="X3460" s="40">
        <v>90270210</v>
      </c>
      <c r="Y3460" s="40" t="s">
        <v>115</v>
      </c>
      <c r="Z3460" s="40" t="s">
        <v>115</v>
      </c>
      <c r="AA3460" s="40" t="s">
        <v>115</v>
      </c>
      <c r="AB3460" s="40" t="s">
        <v>115</v>
      </c>
      <c r="AC3460" s="40" t="s">
        <v>115</v>
      </c>
      <c r="AI3460" s="40" t="s">
        <v>115</v>
      </c>
      <c r="AP3460" s="4" t="s">
        <v>115</v>
      </c>
    </row>
    <row r="3461" spans="1:42" x14ac:dyDescent="0.15">
      <c r="A3461" s="40" t="s">
        <v>1</v>
      </c>
      <c r="B3461" s="23">
        <v>90270207</v>
      </c>
      <c r="C3461" s="23">
        <v>2702</v>
      </c>
      <c r="D3461" s="23">
        <v>27</v>
      </c>
      <c r="F3461" s="23" t="s">
        <v>6163</v>
      </c>
      <c r="G3461" s="23" t="s">
        <v>115</v>
      </c>
      <c r="H3461" s="23" t="s">
        <v>6164</v>
      </c>
      <c r="I3461" s="23">
        <v>3</v>
      </c>
      <c r="J3461" s="40">
        <v>0</v>
      </c>
      <c r="K3461" s="40">
        <v>0</v>
      </c>
      <c r="L3461" s="40" t="s">
        <v>115</v>
      </c>
      <c r="O3461" s="40" t="s">
        <v>115</v>
      </c>
      <c r="Q3461" s="40">
        <v>144</v>
      </c>
      <c r="R3461" s="40">
        <v>305</v>
      </c>
      <c r="X3461" s="40">
        <v>90270208</v>
      </c>
      <c r="Y3461" s="40" t="s">
        <v>115</v>
      </c>
      <c r="Z3461" s="40" t="s">
        <v>115</v>
      </c>
      <c r="AA3461" s="40" t="s">
        <v>115</v>
      </c>
      <c r="AB3461" s="40" t="s">
        <v>115</v>
      </c>
      <c r="AC3461" s="40" t="s">
        <v>115</v>
      </c>
      <c r="AI3461" s="40" t="s">
        <v>115</v>
      </c>
      <c r="AP3461" s="4" t="s">
        <v>115</v>
      </c>
    </row>
    <row r="3462" spans="1:42" x14ac:dyDescent="0.15">
      <c r="A3462" s="40" t="s">
        <v>1</v>
      </c>
      <c r="B3462" s="23">
        <v>90270208</v>
      </c>
      <c r="C3462" s="23">
        <v>2702</v>
      </c>
      <c r="D3462" s="23">
        <v>27</v>
      </c>
      <c r="F3462" s="23" t="s">
        <v>6163</v>
      </c>
      <c r="G3462" s="23" t="s">
        <v>115</v>
      </c>
      <c r="H3462" s="23" t="s">
        <v>6165</v>
      </c>
      <c r="I3462" s="23">
        <v>3</v>
      </c>
      <c r="J3462" s="40">
        <v>0</v>
      </c>
      <c r="K3462" s="40">
        <v>0</v>
      </c>
      <c r="L3462" s="40" t="s">
        <v>115</v>
      </c>
      <c r="O3462" s="40" t="s">
        <v>115</v>
      </c>
      <c r="Q3462" s="40">
        <v>144</v>
      </c>
      <c r="R3462" s="40">
        <v>305</v>
      </c>
      <c r="X3462" s="40">
        <v>90270209</v>
      </c>
      <c r="Y3462" s="40" t="s">
        <v>115</v>
      </c>
      <c r="Z3462" s="40" t="s">
        <v>115</v>
      </c>
      <c r="AA3462" s="40" t="s">
        <v>115</v>
      </c>
      <c r="AB3462" s="40" t="s">
        <v>115</v>
      </c>
      <c r="AC3462" s="40" t="s">
        <v>115</v>
      </c>
      <c r="AI3462" s="40" t="s">
        <v>115</v>
      </c>
      <c r="AP3462" s="4" t="s">
        <v>115</v>
      </c>
    </row>
    <row r="3463" spans="1:42" x14ac:dyDescent="0.15">
      <c r="A3463" s="40" t="s">
        <v>1</v>
      </c>
      <c r="B3463" s="23">
        <v>90270209</v>
      </c>
      <c r="C3463" s="23">
        <v>2702</v>
      </c>
      <c r="D3463" s="23">
        <v>27</v>
      </c>
      <c r="F3463" s="23" t="s">
        <v>116</v>
      </c>
      <c r="G3463" s="23">
        <v>312</v>
      </c>
      <c r="H3463" s="23" t="s">
        <v>6166</v>
      </c>
      <c r="I3463" s="23">
        <v>0</v>
      </c>
      <c r="J3463" s="40">
        <v>0</v>
      </c>
      <c r="K3463" s="40">
        <v>0</v>
      </c>
      <c r="L3463" s="40" t="s">
        <v>115</v>
      </c>
      <c r="O3463" s="40" t="s">
        <v>115</v>
      </c>
      <c r="Q3463" s="40">
        <v>144</v>
      </c>
      <c r="R3463" s="40">
        <v>305</v>
      </c>
      <c r="X3463" s="40">
        <v>90270203</v>
      </c>
      <c r="Y3463" s="40" t="s">
        <v>115</v>
      </c>
      <c r="Z3463" s="40" t="s">
        <v>115</v>
      </c>
      <c r="AA3463" s="40" t="s">
        <v>115</v>
      </c>
      <c r="AB3463" s="40" t="s">
        <v>115</v>
      </c>
      <c r="AC3463" s="40" t="s">
        <v>115</v>
      </c>
      <c r="AI3463" s="40" t="s">
        <v>115</v>
      </c>
      <c r="AP3463" s="4" t="s">
        <v>115</v>
      </c>
    </row>
    <row r="3464" spans="1:42" x14ac:dyDescent="0.15">
      <c r="A3464" s="40" t="s">
        <v>1</v>
      </c>
      <c r="B3464" s="23">
        <v>90270210</v>
      </c>
      <c r="C3464" s="23">
        <v>2702</v>
      </c>
      <c r="D3464" s="23">
        <v>27</v>
      </c>
      <c r="F3464" s="23" t="s">
        <v>115</v>
      </c>
      <c r="G3464" s="23" t="s">
        <v>115</v>
      </c>
      <c r="H3464" s="23" t="s">
        <v>6167</v>
      </c>
      <c r="I3464" s="23">
        <v>4</v>
      </c>
      <c r="J3464" s="40">
        <v>0</v>
      </c>
      <c r="K3464" s="40">
        <v>0</v>
      </c>
      <c r="L3464" s="40" t="s">
        <v>115</v>
      </c>
      <c r="O3464" s="40" t="s">
        <v>115</v>
      </c>
      <c r="Q3464" s="40">
        <v>144</v>
      </c>
      <c r="R3464" s="40">
        <v>305</v>
      </c>
      <c r="X3464" s="40">
        <v>90270211</v>
      </c>
      <c r="Y3464" s="40" t="s">
        <v>115</v>
      </c>
      <c r="Z3464" s="40" t="s">
        <v>115</v>
      </c>
      <c r="AA3464" s="40" t="s">
        <v>115</v>
      </c>
      <c r="AB3464" s="40" t="s">
        <v>115</v>
      </c>
      <c r="AC3464" s="40" t="s">
        <v>115</v>
      </c>
      <c r="AI3464" s="40" t="s">
        <v>115</v>
      </c>
      <c r="AP3464" s="4" t="s">
        <v>115</v>
      </c>
    </row>
    <row r="3465" spans="1:42" x14ac:dyDescent="0.15">
      <c r="A3465" s="40" t="s">
        <v>1</v>
      </c>
      <c r="B3465" s="23">
        <v>90270211</v>
      </c>
      <c r="C3465" s="23">
        <v>2702</v>
      </c>
      <c r="D3465" s="23">
        <v>27</v>
      </c>
      <c r="F3465" s="23" t="s">
        <v>116</v>
      </c>
      <c r="G3465" s="23">
        <v>312</v>
      </c>
      <c r="H3465" s="23" t="s">
        <v>6168</v>
      </c>
      <c r="I3465" s="23">
        <v>0</v>
      </c>
      <c r="J3465" s="40">
        <v>0</v>
      </c>
      <c r="K3465" s="40">
        <v>0</v>
      </c>
      <c r="L3465" s="40" t="s">
        <v>115</v>
      </c>
      <c r="O3465" s="40" t="s">
        <v>115</v>
      </c>
      <c r="Q3465" s="40">
        <v>144</v>
      </c>
      <c r="R3465" s="40">
        <v>305</v>
      </c>
      <c r="X3465" s="40">
        <v>90270212</v>
      </c>
      <c r="Y3465" s="40" t="s">
        <v>115</v>
      </c>
      <c r="Z3465" s="40" t="s">
        <v>115</v>
      </c>
      <c r="AA3465" s="40" t="s">
        <v>115</v>
      </c>
      <c r="AB3465" s="40" t="s">
        <v>115</v>
      </c>
      <c r="AC3465" s="40" t="s">
        <v>115</v>
      </c>
      <c r="AI3465" s="40" t="s">
        <v>115</v>
      </c>
      <c r="AP3465" s="4" t="s">
        <v>115</v>
      </c>
    </row>
    <row r="3466" spans="1:42" x14ac:dyDescent="0.15">
      <c r="A3466" s="40" t="s">
        <v>1</v>
      </c>
      <c r="B3466" s="23">
        <v>90270212</v>
      </c>
      <c r="C3466" s="23">
        <v>2702</v>
      </c>
      <c r="D3466" s="23">
        <v>27</v>
      </c>
      <c r="F3466" s="23" t="s">
        <v>6163</v>
      </c>
      <c r="G3466" s="23" t="s">
        <v>115</v>
      </c>
      <c r="H3466" s="23" t="s">
        <v>6169</v>
      </c>
      <c r="I3466" s="23">
        <v>3</v>
      </c>
      <c r="J3466" s="40">
        <v>0</v>
      </c>
      <c r="K3466" s="40">
        <v>0</v>
      </c>
      <c r="L3466" s="40" t="s">
        <v>115</v>
      </c>
      <c r="O3466" s="40" t="s">
        <v>115</v>
      </c>
      <c r="Q3466" s="40">
        <v>144</v>
      </c>
      <c r="R3466" s="40">
        <v>305</v>
      </c>
      <c r="X3466" s="40">
        <v>90270213</v>
      </c>
      <c r="Y3466" s="40" t="s">
        <v>115</v>
      </c>
      <c r="Z3466" s="40" t="s">
        <v>115</v>
      </c>
      <c r="AA3466" s="40" t="s">
        <v>115</v>
      </c>
      <c r="AB3466" s="40" t="s">
        <v>115</v>
      </c>
      <c r="AC3466" s="40" t="s">
        <v>115</v>
      </c>
      <c r="AI3466" s="40" t="s">
        <v>115</v>
      </c>
      <c r="AP3466" s="4" t="s">
        <v>115</v>
      </c>
    </row>
    <row r="3467" spans="1:42" x14ac:dyDescent="0.15">
      <c r="A3467" s="40" t="s">
        <v>1</v>
      </c>
      <c r="B3467" s="23">
        <v>90270213</v>
      </c>
      <c r="C3467" s="23">
        <v>2702</v>
      </c>
      <c r="D3467" s="23">
        <v>27</v>
      </c>
      <c r="F3467" s="23" t="s">
        <v>6163</v>
      </c>
      <c r="G3467" s="23" t="s">
        <v>115</v>
      </c>
      <c r="H3467" s="23" t="s">
        <v>6170</v>
      </c>
      <c r="I3467" s="23">
        <v>3</v>
      </c>
      <c r="J3467" s="40">
        <v>0</v>
      </c>
      <c r="K3467" s="40">
        <v>0</v>
      </c>
      <c r="L3467" s="40" t="s">
        <v>115</v>
      </c>
      <c r="O3467" s="40" t="s">
        <v>115</v>
      </c>
      <c r="Q3467" s="40">
        <v>144</v>
      </c>
      <c r="R3467" s="40">
        <v>305</v>
      </c>
      <c r="X3467" s="40">
        <v>90270214</v>
      </c>
      <c r="Y3467" s="40" t="s">
        <v>115</v>
      </c>
      <c r="Z3467" s="40" t="s">
        <v>115</v>
      </c>
      <c r="AA3467" s="40" t="s">
        <v>115</v>
      </c>
      <c r="AB3467" s="40" t="s">
        <v>115</v>
      </c>
      <c r="AC3467" s="40" t="s">
        <v>115</v>
      </c>
      <c r="AI3467" s="40" t="s">
        <v>115</v>
      </c>
      <c r="AP3467" s="4" t="s">
        <v>115</v>
      </c>
    </row>
    <row r="3468" spans="1:42" x14ac:dyDescent="0.15">
      <c r="A3468" s="40" t="s">
        <v>1</v>
      </c>
      <c r="B3468" s="23">
        <v>90270214</v>
      </c>
      <c r="C3468" s="23">
        <v>2702</v>
      </c>
      <c r="D3468" s="23">
        <v>27</v>
      </c>
      <c r="F3468" s="23" t="s">
        <v>115</v>
      </c>
      <c r="G3468" s="23" t="s">
        <v>115</v>
      </c>
      <c r="H3468" s="23" t="s">
        <v>6171</v>
      </c>
      <c r="I3468" s="23">
        <v>4</v>
      </c>
      <c r="J3468" s="40">
        <v>0</v>
      </c>
      <c r="K3468" s="40">
        <v>0</v>
      </c>
      <c r="L3468" s="40" t="s">
        <v>115</v>
      </c>
      <c r="O3468" s="40" t="s">
        <v>115</v>
      </c>
      <c r="Q3468" s="40">
        <v>144</v>
      </c>
      <c r="R3468" s="40">
        <v>305</v>
      </c>
      <c r="X3468" s="40">
        <v>90270215</v>
      </c>
      <c r="Y3468" s="40" t="s">
        <v>115</v>
      </c>
      <c r="Z3468" s="40" t="s">
        <v>115</v>
      </c>
      <c r="AA3468" s="40" t="s">
        <v>115</v>
      </c>
      <c r="AB3468" s="40" t="s">
        <v>115</v>
      </c>
      <c r="AC3468" s="40" t="s">
        <v>115</v>
      </c>
      <c r="AI3468" s="40" t="s">
        <v>115</v>
      </c>
      <c r="AP3468" s="4" t="s">
        <v>115</v>
      </c>
    </row>
    <row r="3469" spans="1:42" x14ac:dyDescent="0.15">
      <c r="A3469" s="40" t="s">
        <v>1</v>
      </c>
      <c r="B3469" s="23">
        <v>90270215</v>
      </c>
      <c r="C3469" s="23">
        <v>2702</v>
      </c>
      <c r="D3469" s="23">
        <v>27</v>
      </c>
      <c r="F3469" s="23" t="s">
        <v>116</v>
      </c>
      <c r="G3469" s="23">
        <v>312</v>
      </c>
      <c r="H3469" s="23" t="s">
        <v>6172</v>
      </c>
      <c r="I3469" s="23">
        <v>0</v>
      </c>
      <c r="J3469" s="40">
        <v>0</v>
      </c>
      <c r="K3469" s="40">
        <v>0</v>
      </c>
      <c r="L3469" s="40" t="s">
        <v>115</v>
      </c>
      <c r="O3469" s="40" t="s">
        <v>115</v>
      </c>
      <c r="Q3469" s="40">
        <v>144</v>
      </c>
      <c r="R3469" s="40">
        <v>305</v>
      </c>
      <c r="X3469" s="40">
        <v>90270216</v>
      </c>
      <c r="Y3469" s="40" t="s">
        <v>115</v>
      </c>
      <c r="Z3469" s="40" t="s">
        <v>115</v>
      </c>
      <c r="AA3469" s="40" t="s">
        <v>115</v>
      </c>
      <c r="AB3469" s="40" t="s">
        <v>115</v>
      </c>
      <c r="AC3469" s="40" t="s">
        <v>115</v>
      </c>
      <c r="AI3469" s="40" t="s">
        <v>115</v>
      </c>
      <c r="AP3469" s="4" t="s">
        <v>115</v>
      </c>
    </row>
    <row r="3470" spans="1:42" x14ac:dyDescent="0.15">
      <c r="A3470" s="40" t="s">
        <v>1</v>
      </c>
      <c r="B3470" s="23">
        <v>90270216</v>
      </c>
      <c r="C3470" s="23">
        <v>2702</v>
      </c>
      <c r="D3470" s="23">
        <v>27</v>
      </c>
      <c r="F3470" s="23" t="s">
        <v>6163</v>
      </c>
      <c r="G3470" s="23" t="s">
        <v>115</v>
      </c>
      <c r="H3470" s="23" t="s">
        <v>6173</v>
      </c>
      <c r="I3470" s="23">
        <v>3</v>
      </c>
      <c r="J3470" s="40">
        <v>0</v>
      </c>
      <c r="K3470" s="40">
        <v>0</v>
      </c>
      <c r="L3470" s="40" t="s">
        <v>115</v>
      </c>
      <c r="O3470" s="40" t="s">
        <v>115</v>
      </c>
      <c r="Q3470" s="40">
        <v>144</v>
      </c>
      <c r="R3470" s="40">
        <v>305</v>
      </c>
      <c r="X3470" s="40">
        <v>90270217</v>
      </c>
      <c r="Y3470" s="40" t="s">
        <v>115</v>
      </c>
      <c r="Z3470" s="40" t="s">
        <v>115</v>
      </c>
      <c r="AA3470" s="40" t="s">
        <v>115</v>
      </c>
      <c r="AB3470" s="40" t="s">
        <v>115</v>
      </c>
      <c r="AC3470" s="40" t="s">
        <v>115</v>
      </c>
      <c r="AI3470" s="40" t="s">
        <v>115</v>
      </c>
      <c r="AP3470" s="4" t="s">
        <v>115</v>
      </c>
    </row>
    <row r="3471" spans="1:42" x14ac:dyDescent="0.15">
      <c r="A3471" s="40" t="s">
        <v>1</v>
      </c>
      <c r="B3471" s="23">
        <v>90270217</v>
      </c>
      <c r="C3471" s="23">
        <v>2702</v>
      </c>
      <c r="D3471" s="23">
        <v>27</v>
      </c>
      <c r="F3471" s="23" t="s">
        <v>116</v>
      </c>
      <c r="G3471" s="23">
        <v>314</v>
      </c>
      <c r="H3471" s="23" t="s">
        <v>6174</v>
      </c>
      <c r="I3471" s="23">
        <v>0</v>
      </c>
      <c r="J3471" s="40">
        <v>0</v>
      </c>
      <c r="K3471" s="40">
        <v>5</v>
      </c>
      <c r="L3471" s="40" t="s">
        <v>6175</v>
      </c>
      <c r="O3471" s="40" t="s">
        <v>115</v>
      </c>
      <c r="Q3471" s="40">
        <v>144</v>
      </c>
      <c r="R3471" s="40">
        <v>305</v>
      </c>
      <c r="X3471" s="40">
        <v>90270218</v>
      </c>
      <c r="Y3471" s="40" t="s">
        <v>115</v>
      </c>
      <c r="Z3471" s="40">
        <v>4</v>
      </c>
      <c r="AA3471" s="40" t="s">
        <v>115</v>
      </c>
      <c r="AB3471" s="40" t="s">
        <v>115</v>
      </c>
      <c r="AC3471" s="40" t="s">
        <v>115</v>
      </c>
      <c r="AI3471" s="40" t="s">
        <v>115</v>
      </c>
      <c r="AP3471" s="4" t="s">
        <v>115</v>
      </c>
    </row>
    <row r="3472" spans="1:42" x14ac:dyDescent="0.15">
      <c r="A3472" s="40" t="s">
        <v>1</v>
      </c>
      <c r="B3472" s="23">
        <v>90270218</v>
      </c>
      <c r="C3472" s="23">
        <v>2702</v>
      </c>
      <c r="D3472" s="23">
        <v>27</v>
      </c>
      <c r="F3472" s="23" t="s">
        <v>6163</v>
      </c>
      <c r="G3472" s="23" t="s">
        <v>115</v>
      </c>
      <c r="H3472" s="23" t="s">
        <v>6176</v>
      </c>
      <c r="I3472" s="23">
        <v>3</v>
      </c>
      <c r="J3472" s="40">
        <v>0</v>
      </c>
      <c r="K3472" s="40">
        <v>0</v>
      </c>
      <c r="L3472" s="40" t="s">
        <v>115</v>
      </c>
      <c r="O3472" s="40" t="s">
        <v>115</v>
      </c>
      <c r="Q3472" s="40">
        <v>144</v>
      </c>
      <c r="R3472" s="40">
        <v>305</v>
      </c>
      <c r="X3472" s="40">
        <v>90270219</v>
      </c>
      <c r="Y3472" s="40" t="s">
        <v>115</v>
      </c>
      <c r="Z3472" s="40" t="s">
        <v>115</v>
      </c>
      <c r="AA3472" s="40" t="s">
        <v>115</v>
      </c>
      <c r="AB3472" s="40" t="s">
        <v>115</v>
      </c>
      <c r="AC3472" s="40" t="s">
        <v>115</v>
      </c>
      <c r="AI3472" s="40" t="s">
        <v>115</v>
      </c>
      <c r="AP3472" s="4" t="s">
        <v>115</v>
      </c>
    </row>
    <row r="3473" spans="1:42" x14ac:dyDescent="0.15">
      <c r="A3473" s="40" t="s">
        <v>1</v>
      </c>
      <c r="B3473" s="23">
        <v>90270219</v>
      </c>
      <c r="C3473" s="23">
        <v>2702</v>
      </c>
      <c r="D3473" s="23">
        <v>27</v>
      </c>
      <c r="F3473" s="23" t="s">
        <v>116</v>
      </c>
      <c r="G3473" s="23">
        <v>312</v>
      </c>
      <c r="H3473" s="23" t="s">
        <v>6177</v>
      </c>
      <c r="I3473" s="23">
        <v>0</v>
      </c>
      <c r="J3473" s="40">
        <v>0</v>
      </c>
      <c r="K3473" s="40">
        <v>0</v>
      </c>
      <c r="L3473" s="40" t="s">
        <v>115</v>
      </c>
      <c r="O3473" s="40" t="s">
        <v>115</v>
      </c>
      <c r="Q3473" s="40">
        <v>144</v>
      </c>
      <c r="R3473" s="40">
        <v>305</v>
      </c>
      <c r="X3473" s="40">
        <v>90270220</v>
      </c>
      <c r="Y3473" s="40" t="s">
        <v>115</v>
      </c>
      <c r="Z3473" s="40" t="s">
        <v>115</v>
      </c>
      <c r="AA3473" s="40" t="s">
        <v>115</v>
      </c>
      <c r="AB3473" s="40" t="s">
        <v>115</v>
      </c>
      <c r="AC3473" s="40" t="s">
        <v>115</v>
      </c>
      <c r="AI3473" s="40" t="s">
        <v>115</v>
      </c>
      <c r="AP3473" s="4" t="s">
        <v>115</v>
      </c>
    </row>
    <row r="3474" spans="1:42" x14ac:dyDescent="0.15">
      <c r="A3474" s="40" t="s">
        <v>1</v>
      </c>
      <c r="B3474" s="23">
        <v>90270220</v>
      </c>
      <c r="C3474" s="23">
        <v>2702</v>
      </c>
      <c r="D3474" s="23">
        <v>27</v>
      </c>
      <c r="F3474" s="23" t="s">
        <v>6163</v>
      </c>
      <c r="G3474" s="23" t="s">
        <v>115</v>
      </c>
      <c r="H3474" s="23" t="s">
        <v>6178</v>
      </c>
      <c r="I3474" s="23">
        <v>3</v>
      </c>
      <c r="J3474" s="40">
        <v>0</v>
      </c>
      <c r="K3474" s="40">
        <v>0</v>
      </c>
      <c r="L3474" s="40" t="s">
        <v>115</v>
      </c>
      <c r="O3474" s="40" t="s">
        <v>115</v>
      </c>
      <c r="Q3474" s="40">
        <v>144</v>
      </c>
      <c r="R3474" s="40">
        <v>305</v>
      </c>
      <c r="X3474" s="40">
        <v>90270221</v>
      </c>
      <c r="Y3474" s="40" t="s">
        <v>115</v>
      </c>
      <c r="Z3474" s="40" t="s">
        <v>115</v>
      </c>
      <c r="AA3474" s="40" t="s">
        <v>115</v>
      </c>
      <c r="AB3474" s="40" t="s">
        <v>115</v>
      </c>
      <c r="AC3474" s="40" t="s">
        <v>115</v>
      </c>
      <c r="AI3474" s="40" t="s">
        <v>115</v>
      </c>
      <c r="AP3474" s="4" t="s">
        <v>115</v>
      </c>
    </row>
    <row r="3475" spans="1:42" x14ac:dyDescent="0.15">
      <c r="A3475" s="40" t="s">
        <v>1</v>
      </c>
      <c r="B3475" s="23">
        <v>90270221</v>
      </c>
      <c r="C3475" s="23">
        <v>2702</v>
      </c>
      <c r="D3475" s="23">
        <v>27</v>
      </c>
      <c r="F3475" s="23" t="s">
        <v>115</v>
      </c>
      <c r="G3475" s="23" t="s">
        <v>115</v>
      </c>
      <c r="H3475" s="23" t="s">
        <v>6179</v>
      </c>
      <c r="I3475" s="23">
        <v>4</v>
      </c>
      <c r="J3475" s="40">
        <v>0</v>
      </c>
      <c r="K3475" s="40">
        <v>0</v>
      </c>
      <c r="L3475" s="40" t="s">
        <v>115</v>
      </c>
      <c r="O3475" s="40" t="s">
        <v>115</v>
      </c>
      <c r="Q3475" s="40">
        <v>144</v>
      </c>
      <c r="R3475" s="40">
        <v>305</v>
      </c>
      <c r="X3475" s="40">
        <v>90270222</v>
      </c>
      <c r="Y3475" s="40" t="s">
        <v>115</v>
      </c>
      <c r="Z3475" s="40" t="s">
        <v>115</v>
      </c>
      <c r="AA3475" s="40" t="s">
        <v>115</v>
      </c>
      <c r="AB3475" s="40" t="s">
        <v>115</v>
      </c>
      <c r="AC3475" s="40" t="s">
        <v>115</v>
      </c>
      <c r="AI3475" s="40" t="s">
        <v>115</v>
      </c>
      <c r="AP3475" s="4" t="s">
        <v>115</v>
      </c>
    </row>
    <row r="3476" spans="1:42" x14ac:dyDescent="0.15">
      <c r="A3476" s="40" t="s">
        <v>1</v>
      </c>
      <c r="B3476" s="23">
        <v>90270222</v>
      </c>
      <c r="C3476" s="23">
        <v>2702</v>
      </c>
      <c r="D3476" s="23">
        <v>27</v>
      </c>
      <c r="F3476" s="23" t="s">
        <v>116</v>
      </c>
      <c r="G3476" s="23">
        <v>314</v>
      </c>
      <c r="H3476" s="23" t="s">
        <v>6180</v>
      </c>
      <c r="I3476" s="23">
        <v>2</v>
      </c>
      <c r="J3476" s="40">
        <v>0</v>
      </c>
      <c r="K3476" s="40">
        <v>0</v>
      </c>
      <c r="L3476" s="40" t="s">
        <v>115</v>
      </c>
      <c r="O3476" s="40" t="s">
        <v>115</v>
      </c>
      <c r="Q3476" s="40">
        <v>144</v>
      </c>
      <c r="R3476" s="40" t="s">
        <v>115</v>
      </c>
      <c r="X3476" s="40">
        <v>90270223</v>
      </c>
      <c r="Y3476" s="40" t="s">
        <v>115</v>
      </c>
      <c r="Z3476" s="40" t="s">
        <v>115</v>
      </c>
      <c r="AA3476" s="40" t="s">
        <v>115</v>
      </c>
      <c r="AB3476" s="40" t="s">
        <v>115</v>
      </c>
      <c r="AC3476" s="40" t="s">
        <v>115</v>
      </c>
      <c r="AI3476" s="40" t="s">
        <v>115</v>
      </c>
      <c r="AP3476" s="4" t="s">
        <v>115</v>
      </c>
    </row>
    <row r="3477" spans="1:42" x14ac:dyDescent="0.15">
      <c r="A3477" s="40" t="s">
        <v>1</v>
      </c>
      <c r="B3477" s="23">
        <v>90270223</v>
      </c>
      <c r="C3477" s="23">
        <v>2702</v>
      </c>
      <c r="D3477" s="23">
        <v>27</v>
      </c>
      <c r="F3477" s="23" t="s">
        <v>115</v>
      </c>
      <c r="G3477" s="23" t="s">
        <v>115</v>
      </c>
      <c r="H3477" s="23" t="s">
        <v>6181</v>
      </c>
      <c r="I3477" s="23">
        <v>4</v>
      </c>
      <c r="J3477" s="40">
        <v>0</v>
      </c>
      <c r="K3477" s="40">
        <v>6</v>
      </c>
      <c r="L3477" s="40" t="s">
        <v>762</v>
      </c>
      <c r="O3477" s="40">
        <v>1</v>
      </c>
      <c r="Q3477" s="40">
        <v>144</v>
      </c>
      <c r="R3477" s="40" t="s">
        <v>115</v>
      </c>
      <c r="X3477" s="40" t="s">
        <v>115</v>
      </c>
      <c r="Y3477" s="40" t="s">
        <v>115</v>
      </c>
      <c r="Z3477" s="40">
        <v>5</v>
      </c>
      <c r="AA3477" s="40" t="s">
        <v>115</v>
      </c>
      <c r="AB3477" s="40" t="s">
        <v>115</v>
      </c>
      <c r="AC3477" s="40" t="s">
        <v>115</v>
      </c>
      <c r="AI3477" s="40" t="s">
        <v>115</v>
      </c>
      <c r="AP3477" s="4" t="s">
        <v>6182</v>
      </c>
    </row>
    <row r="3478" spans="1:42" x14ac:dyDescent="0.15">
      <c r="A3478" s="40" t="s">
        <v>1</v>
      </c>
      <c r="B3478" s="23" t="s">
        <v>4906</v>
      </c>
      <c r="C3478" s="23">
        <v>2703</v>
      </c>
      <c r="D3478" s="23">
        <v>27</v>
      </c>
      <c r="F3478" s="23" t="s">
        <v>115</v>
      </c>
      <c r="G3478" s="23" t="s">
        <v>115</v>
      </c>
      <c r="H3478" s="23" t="s">
        <v>6183</v>
      </c>
      <c r="I3478" s="23">
        <v>4</v>
      </c>
      <c r="J3478" s="40">
        <v>1</v>
      </c>
      <c r="K3478" s="40">
        <v>1</v>
      </c>
      <c r="L3478" s="40" t="s">
        <v>115</v>
      </c>
      <c r="O3478" s="40" t="s">
        <v>115</v>
      </c>
      <c r="Q3478" s="40">
        <v>205</v>
      </c>
      <c r="R3478" s="40" t="s">
        <v>115</v>
      </c>
      <c r="X3478" s="40">
        <v>90270302</v>
      </c>
      <c r="Y3478" s="40" t="s">
        <v>115</v>
      </c>
      <c r="Z3478" s="40" t="s">
        <v>115</v>
      </c>
      <c r="AA3478" s="40" t="s">
        <v>115</v>
      </c>
      <c r="AB3478" s="40" t="s">
        <v>115</v>
      </c>
      <c r="AC3478" s="40" t="s">
        <v>115</v>
      </c>
      <c r="AI3478" s="40" t="s">
        <v>115</v>
      </c>
      <c r="AP3478" s="4" t="s">
        <v>115</v>
      </c>
    </row>
    <row r="3479" spans="1:42" x14ac:dyDescent="0.15">
      <c r="A3479" s="40" t="s">
        <v>1</v>
      </c>
      <c r="B3479" s="23">
        <v>90270302</v>
      </c>
      <c r="C3479" s="23">
        <v>2703</v>
      </c>
      <c r="D3479" s="23">
        <v>27</v>
      </c>
      <c r="F3479" s="23" t="s">
        <v>5180</v>
      </c>
      <c r="G3479" s="23" t="s">
        <v>115</v>
      </c>
      <c r="H3479" s="23" t="s">
        <v>6184</v>
      </c>
      <c r="I3479" s="23">
        <v>3</v>
      </c>
      <c r="J3479" s="40">
        <v>0</v>
      </c>
      <c r="K3479" s="40">
        <v>0</v>
      </c>
      <c r="L3479" s="40" t="s">
        <v>115</v>
      </c>
      <c r="O3479" s="40" t="s">
        <v>115</v>
      </c>
      <c r="Q3479" s="40">
        <v>205</v>
      </c>
      <c r="R3479" s="40">
        <v>298</v>
      </c>
      <c r="X3479" s="40">
        <v>90270303</v>
      </c>
      <c r="Y3479" s="40" t="s">
        <v>115</v>
      </c>
      <c r="Z3479" s="40" t="s">
        <v>115</v>
      </c>
      <c r="AA3479" s="40" t="s">
        <v>115</v>
      </c>
      <c r="AB3479" s="40" t="s">
        <v>115</v>
      </c>
      <c r="AC3479" s="40" t="s">
        <v>115</v>
      </c>
      <c r="AI3479" s="40" t="s">
        <v>115</v>
      </c>
      <c r="AP3479" s="4" t="s">
        <v>115</v>
      </c>
    </row>
    <row r="3480" spans="1:42" x14ac:dyDescent="0.15">
      <c r="A3480" s="40" t="s">
        <v>1</v>
      </c>
      <c r="B3480" s="23">
        <v>90270303</v>
      </c>
      <c r="C3480" s="23">
        <v>2703</v>
      </c>
      <c r="D3480" s="23">
        <v>27</v>
      </c>
      <c r="F3480" s="23" t="s">
        <v>6185</v>
      </c>
      <c r="G3480" s="23" t="s">
        <v>115</v>
      </c>
      <c r="H3480" s="23" t="s">
        <v>6186</v>
      </c>
      <c r="I3480" s="23">
        <v>3</v>
      </c>
      <c r="J3480" s="40">
        <v>0</v>
      </c>
      <c r="K3480" s="40">
        <v>0</v>
      </c>
      <c r="L3480" s="40" t="s">
        <v>115</v>
      </c>
      <c r="O3480" s="40" t="s">
        <v>115</v>
      </c>
      <c r="Q3480" s="40">
        <v>205</v>
      </c>
      <c r="R3480" s="40">
        <v>301</v>
      </c>
      <c r="X3480" s="40">
        <v>90270304</v>
      </c>
      <c r="Y3480" s="40" t="s">
        <v>115</v>
      </c>
      <c r="Z3480" s="40" t="s">
        <v>115</v>
      </c>
      <c r="AA3480" s="40" t="s">
        <v>115</v>
      </c>
      <c r="AB3480" s="40" t="s">
        <v>115</v>
      </c>
      <c r="AC3480" s="40" t="s">
        <v>115</v>
      </c>
      <c r="AI3480" s="40" t="s">
        <v>115</v>
      </c>
      <c r="AP3480" s="4" t="s">
        <v>115</v>
      </c>
    </row>
    <row r="3481" spans="1:42" x14ac:dyDescent="0.15">
      <c r="A3481" s="40" t="s">
        <v>1</v>
      </c>
      <c r="B3481" s="23">
        <v>90270304</v>
      </c>
      <c r="C3481" s="23">
        <v>2703</v>
      </c>
      <c r="D3481" s="23">
        <v>27</v>
      </c>
      <c r="F3481" s="23" t="s">
        <v>5180</v>
      </c>
      <c r="G3481" s="23" t="s">
        <v>115</v>
      </c>
      <c r="H3481" s="23" t="s">
        <v>6187</v>
      </c>
      <c r="I3481" s="23">
        <v>3</v>
      </c>
      <c r="J3481" s="40">
        <v>0</v>
      </c>
      <c r="K3481" s="40">
        <v>0</v>
      </c>
      <c r="L3481" s="40" t="s">
        <v>115</v>
      </c>
      <c r="O3481" s="40" t="s">
        <v>115</v>
      </c>
      <c r="Q3481" s="40">
        <v>205</v>
      </c>
      <c r="R3481" s="40">
        <v>298</v>
      </c>
      <c r="X3481" s="40">
        <v>90270305</v>
      </c>
      <c r="Y3481" s="40" t="s">
        <v>115</v>
      </c>
      <c r="Z3481" s="40" t="s">
        <v>115</v>
      </c>
      <c r="AA3481" s="40" t="s">
        <v>115</v>
      </c>
      <c r="AB3481" s="40" t="s">
        <v>115</v>
      </c>
      <c r="AC3481" s="40" t="s">
        <v>115</v>
      </c>
      <c r="AI3481" s="40" t="s">
        <v>115</v>
      </c>
      <c r="AP3481" s="4" t="s">
        <v>115</v>
      </c>
    </row>
    <row r="3482" spans="1:42" x14ac:dyDescent="0.15">
      <c r="A3482" s="40" t="s">
        <v>1</v>
      </c>
      <c r="B3482" s="23">
        <v>90270305</v>
      </c>
      <c r="C3482" s="23">
        <v>2703</v>
      </c>
      <c r="D3482" s="23">
        <v>27</v>
      </c>
      <c r="F3482" s="23" t="s">
        <v>6185</v>
      </c>
      <c r="G3482" s="23" t="s">
        <v>115</v>
      </c>
      <c r="H3482" s="23" t="s">
        <v>6188</v>
      </c>
      <c r="I3482" s="23">
        <v>3</v>
      </c>
      <c r="J3482" s="40">
        <v>0</v>
      </c>
      <c r="K3482" s="40">
        <v>0</v>
      </c>
      <c r="L3482" s="40" t="s">
        <v>115</v>
      </c>
      <c r="O3482" s="40" t="s">
        <v>115</v>
      </c>
      <c r="Q3482" s="40">
        <v>205</v>
      </c>
      <c r="R3482" s="40">
        <v>301</v>
      </c>
      <c r="X3482" s="40">
        <v>90270306</v>
      </c>
      <c r="Y3482" s="40" t="s">
        <v>115</v>
      </c>
      <c r="Z3482" s="40" t="s">
        <v>115</v>
      </c>
      <c r="AA3482" s="40" t="s">
        <v>115</v>
      </c>
      <c r="AB3482" s="40" t="s">
        <v>115</v>
      </c>
      <c r="AC3482" s="40" t="s">
        <v>115</v>
      </c>
      <c r="AI3482" s="40" t="s">
        <v>115</v>
      </c>
      <c r="AP3482" s="4" t="s">
        <v>115</v>
      </c>
    </row>
    <row r="3483" spans="1:42" x14ac:dyDescent="0.15">
      <c r="A3483" s="40" t="s">
        <v>1</v>
      </c>
      <c r="B3483" s="23">
        <v>90270306</v>
      </c>
      <c r="C3483" s="23">
        <v>2703</v>
      </c>
      <c r="D3483" s="23">
        <v>27</v>
      </c>
      <c r="F3483" s="23" t="s">
        <v>5180</v>
      </c>
      <c r="G3483" s="23" t="s">
        <v>115</v>
      </c>
      <c r="H3483" s="23" t="s">
        <v>6189</v>
      </c>
      <c r="I3483" s="23">
        <v>3</v>
      </c>
      <c r="J3483" s="40">
        <v>0</v>
      </c>
      <c r="K3483" s="40">
        <v>0</v>
      </c>
      <c r="L3483" s="40" t="s">
        <v>115</v>
      </c>
      <c r="O3483" s="40" t="s">
        <v>115</v>
      </c>
      <c r="Q3483" s="40">
        <v>205</v>
      </c>
      <c r="R3483" s="40">
        <v>298</v>
      </c>
      <c r="X3483" s="40">
        <v>90270307</v>
      </c>
      <c r="Y3483" s="40" t="s">
        <v>115</v>
      </c>
      <c r="Z3483" s="40" t="s">
        <v>115</v>
      </c>
      <c r="AA3483" s="40" t="s">
        <v>115</v>
      </c>
      <c r="AB3483" s="40" t="s">
        <v>115</v>
      </c>
      <c r="AC3483" s="40" t="s">
        <v>115</v>
      </c>
      <c r="AI3483" s="40" t="s">
        <v>115</v>
      </c>
      <c r="AP3483" s="4" t="s">
        <v>115</v>
      </c>
    </row>
    <row r="3484" spans="1:42" x14ac:dyDescent="0.15">
      <c r="A3484" s="40" t="s">
        <v>1</v>
      </c>
      <c r="B3484" s="23">
        <v>90270307</v>
      </c>
      <c r="C3484" s="23">
        <v>2703</v>
      </c>
      <c r="D3484" s="23">
        <v>27</v>
      </c>
      <c r="F3484" s="23" t="s">
        <v>116</v>
      </c>
      <c r="G3484" s="23">
        <v>312</v>
      </c>
      <c r="H3484" s="23" t="s">
        <v>6190</v>
      </c>
      <c r="I3484" s="23">
        <v>0</v>
      </c>
      <c r="J3484" s="40">
        <v>0</v>
      </c>
      <c r="K3484" s="40">
        <v>0</v>
      </c>
      <c r="L3484" s="40" t="s">
        <v>115</v>
      </c>
      <c r="O3484" s="40" t="s">
        <v>115</v>
      </c>
      <c r="Q3484" s="40">
        <v>205</v>
      </c>
      <c r="R3484" s="40" t="s">
        <v>115</v>
      </c>
      <c r="X3484" s="40">
        <v>90270308</v>
      </c>
      <c r="Y3484" s="40" t="s">
        <v>115</v>
      </c>
      <c r="Z3484" s="40" t="s">
        <v>115</v>
      </c>
      <c r="AA3484" s="40" t="s">
        <v>115</v>
      </c>
      <c r="AB3484" s="40" t="s">
        <v>115</v>
      </c>
      <c r="AC3484" s="40" t="s">
        <v>115</v>
      </c>
      <c r="AI3484" s="40" t="s">
        <v>115</v>
      </c>
      <c r="AP3484" s="4" t="s">
        <v>115</v>
      </c>
    </row>
    <row r="3485" spans="1:42" x14ac:dyDescent="0.15">
      <c r="A3485" s="40" t="s">
        <v>1</v>
      </c>
      <c r="B3485" s="23">
        <v>90270308</v>
      </c>
      <c r="C3485" s="23">
        <v>2703</v>
      </c>
      <c r="D3485" s="23">
        <v>27</v>
      </c>
      <c r="F3485" s="23" t="s">
        <v>115</v>
      </c>
      <c r="G3485" s="23" t="s">
        <v>115</v>
      </c>
      <c r="H3485" s="23" t="s">
        <v>6191</v>
      </c>
      <c r="I3485" s="23">
        <v>4</v>
      </c>
      <c r="J3485" s="40">
        <v>0</v>
      </c>
      <c r="K3485" s="40">
        <v>2</v>
      </c>
      <c r="L3485" s="40" t="s">
        <v>115</v>
      </c>
      <c r="O3485" s="40" t="s">
        <v>115</v>
      </c>
      <c r="Q3485" s="40">
        <v>205</v>
      </c>
      <c r="R3485" s="40" t="s">
        <v>115</v>
      </c>
      <c r="X3485" s="40" t="s">
        <v>6192</v>
      </c>
      <c r="Y3485" s="40">
        <v>1</v>
      </c>
      <c r="Z3485" s="40">
        <v>1</v>
      </c>
      <c r="AA3485" s="40" t="s">
        <v>115</v>
      </c>
      <c r="AB3485" s="40" t="s">
        <v>115</v>
      </c>
      <c r="AC3485" s="40" t="s">
        <v>115</v>
      </c>
      <c r="AI3485" s="40" t="s">
        <v>115</v>
      </c>
      <c r="AP3485" s="4" t="s">
        <v>115</v>
      </c>
    </row>
    <row r="3486" spans="1:42" x14ac:dyDescent="0.15">
      <c r="A3486" s="40" t="s">
        <v>1</v>
      </c>
      <c r="B3486" s="23">
        <v>90270309</v>
      </c>
      <c r="C3486" s="23">
        <v>2703</v>
      </c>
      <c r="D3486" s="23">
        <v>27</v>
      </c>
      <c r="F3486" s="23" t="s">
        <v>115</v>
      </c>
      <c r="G3486" s="23" t="s">
        <v>115</v>
      </c>
      <c r="H3486" s="23" t="s">
        <v>6193</v>
      </c>
      <c r="I3486" s="23">
        <v>4</v>
      </c>
      <c r="J3486" s="40">
        <v>0</v>
      </c>
      <c r="K3486" s="40">
        <v>3</v>
      </c>
      <c r="L3486" s="40" t="s">
        <v>115</v>
      </c>
      <c r="O3486" s="40" t="s">
        <v>115</v>
      </c>
      <c r="Q3486" s="40">
        <v>205</v>
      </c>
      <c r="R3486" s="40" t="s">
        <v>115</v>
      </c>
      <c r="X3486" s="40">
        <v>90270311</v>
      </c>
      <c r="Y3486" s="40">
        <v>-1</v>
      </c>
      <c r="Z3486" s="40">
        <v>2</v>
      </c>
      <c r="AA3486" s="40" t="s">
        <v>6194</v>
      </c>
      <c r="AB3486" s="40" t="s">
        <v>115</v>
      </c>
      <c r="AC3486" s="40" t="s">
        <v>115</v>
      </c>
      <c r="AI3486" s="40" t="s">
        <v>115</v>
      </c>
      <c r="AP3486" s="4" t="s">
        <v>115</v>
      </c>
    </row>
    <row r="3487" spans="1:42" x14ac:dyDescent="0.15">
      <c r="A3487" s="40" t="s">
        <v>1</v>
      </c>
      <c r="B3487" s="23">
        <v>90270310</v>
      </c>
      <c r="C3487" s="23">
        <v>2703</v>
      </c>
      <c r="D3487" s="23">
        <v>27</v>
      </c>
      <c r="F3487" s="23" t="s">
        <v>115</v>
      </c>
      <c r="G3487" s="23" t="s">
        <v>115</v>
      </c>
      <c r="H3487" s="23" t="s">
        <v>6195</v>
      </c>
      <c r="I3487" s="23">
        <v>4</v>
      </c>
      <c r="J3487" s="40">
        <v>0</v>
      </c>
      <c r="K3487" s="40">
        <v>4</v>
      </c>
      <c r="L3487" s="40" t="s">
        <v>115</v>
      </c>
      <c r="O3487" s="40" t="s">
        <v>115</v>
      </c>
      <c r="Q3487" s="40">
        <v>205</v>
      </c>
      <c r="R3487" s="40" t="s">
        <v>115</v>
      </c>
      <c r="X3487" s="40">
        <v>90270316</v>
      </c>
      <c r="Y3487" s="40">
        <v>-1</v>
      </c>
      <c r="Z3487" s="40">
        <v>2</v>
      </c>
      <c r="AA3487" s="40" t="s">
        <v>115</v>
      </c>
      <c r="AB3487" s="40" t="s">
        <v>115</v>
      </c>
      <c r="AC3487" s="40" t="s">
        <v>6196</v>
      </c>
      <c r="AI3487" s="40" t="s">
        <v>115</v>
      </c>
      <c r="AP3487" s="4" t="s">
        <v>115</v>
      </c>
    </row>
    <row r="3488" spans="1:42" x14ac:dyDescent="0.15">
      <c r="A3488" s="40" t="s">
        <v>1</v>
      </c>
      <c r="B3488" s="23">
        <v>90270311</v>
      </c>
      <c r="C3488" s="23">
        <v>2703</v>
      </c>
      <c r="D3488" s="23">
        <v>27</v>
      </c>
      <c r="F3488" s="23" t="s">
        <v>116</v>
      </c>
      <c r="G3488" s="23">
        <v>312</v>
      </c>
      <c r="H3488" s="23" t="s">
        <v>6197</v>
      </c>
      <c r="I3488" s="23">
        <v>0</v>
      </c>
      <c r="J3488" s="40">
        <v>0</v>
      </c>
      <c r="K3488" s="40">
        <v>0</v>
      </c>
      <c r="L3488" s="40" t="s">
        <v>115</v>
      </c>
      <c r="O3488" s="40" t="s">
        <v>115</v>
      </c>
      <c r="Q3488" s="40">
        <v>205</v>
      </c>
      <c r="R3488" s="40">
        <v>298</v>
      </c>
      <c r="X3488" s="40">
        <v>90270312</v>
      </c>
      <c r="Y3488" s="40" t="s">
        <v>115</v>
      </c>
      <c r="Z3488" s="40" t="s">
        <v>115</v>
      </c>
      <c r="AA3488" s="40" t="s">
        <v>115</v>
      </c>
      <c r="AB3488" s="40" t="s">
        <v>115</v>
      </c>
      <c r="AC3488" s="40" t="s">
        <v>115</v>
      </c>
      <c r="AI3488" s="40" t="s">
        <v>115</v>
      </c>
      <c r="AP3488" s="4" t="s">
        <v>115</v>
      </c>
    </row>
    <row r="3489" spans="1:42" x14ac:dyDescent="0.15">
      <c r="A3489" s="40" t="s">
        <v>1</v>
      </c>
      <c r="B3489" s="23">
        <v>90270312</v>
      </c>
      <c r="C3489" s="23">
        <v>2703</v>
      </c>
      <c r="D3489" s="23">
        <v>27</v>
      </c>
      <c r="F3489" s="23" t="s">
        <v>115</v>
      </c>
      <c r="G3489" s="23" t="s">
        <v>115</v>
      </c>
      <c r="H3489" s="23" t="s">
        <v>6198</v>
      </c>
      <c r="I3489" s="23">
        <v>4</v>
      </c>
      <c r="J3489" s="40">
        <v>0</v>
      </c>
      <c r="K3489" s="40">
        <v>0</v>
      </c>
      <c r="L3489" s="40" t="s">
        <v>115</v>
      </c>
      <c r="O3489" s="40" t="s">
        <v>115</v>
      </c>
      <c r="Q3489" s="40">
        <v>205</v>
      </c>
      <c r="R3489" s="40">
        <v>298</v>
      </c>
      <c r="X3489" s="40">
        <v>90270313</v>
      </c>
      <c r="Y3489" s="40" t="s">
        <v>115</v>
      </c>
      <c r="Z3489" s="40" t="s">
        <v>115</v>
      </c>
      <c r="AA3489" s="40" t="s">
        <v>115</v>
      </c>
      <c r="AB3489" s="40" t="s">
        <v>115</v>
      </c>
      <c r="AC3489" s="40" t="s">
        <v>115</v>
      </c>
      <c r="AI3489" s="40" t="s">
        <v>115</v>
      </c>
      <c r="AP3489" s="4" t="s">
        <v>115</v>
      </c>
    </row>
    <row r="3490" spans="1:42" x14ac:dyDescent="0.15">
      <c r="A3490" s="40" t="s">
        <v>1</v>
      </c>
      <c r="B3490" s="23">
        <v>90270313</v>
      </c>
      <c r="C3490" s="23">
        <v>2703</v>
      </c>
      <c r="D3490" s="23">
        <v>27</v>
      </c>
      <c r="F3490" s="23" t="s">
        <v>5180</v>
      </c>
      <c r="G3490" s="23" t="s">
        <v>115</v>
      </c>
      <c r="H3490" s="23" t="s">
        <v>6199</v>
      </c>
      <c r="I3490" s="23">
        <v>3</v>
      </c>
      <c r="J3490" s="40">
        <v>0</v>
      </c>
      <c r="K3490" s="40">
        <v>0</v>
      </c>
      <c r="L3490" s="40" t="s">
        <v>115</v>
      </c>
      <c r="O3490" s="40" t="s">
        <v>115</v>
      </c>
      <c r="Q3490" s="40">
        <v>205</v>
      </c>
      <c r="R3490" s="40">
        <v>298</v>
      </c>
      <c r="X3490" s="40">
        <v>90270314</v>
      </c>
      <c r="Y3490" s="40" t="s">
        <v>115</v>
      </c>
      <c r="Z3490" s="40" t="s">
        <v>115</v>
      </c>
      <c r="AA3490" s="40" t="s">
        <v>115</v>
      </c>
      <c r="AB3490" s="40" t="s">
        <v>115</v>
      </c>
      <c r="AC3490" s="40" t="s">
        <v>115</v>
      </c>
      <c r="AI3490" s="40" t="s">
        <v>115</v>
      </c>
      <c r="AP3490" s="4" t="s">
        <v>115</v>
      </c>
    </row>
    <row r="3491" spans="1:42" x14ac:dyDescent="0.15">
      <c r="A3491" s="40" t="s">
        <v>1</v>
      </c>
      <c r="B3491" s="23">
        <v>90270314</v>
      </c>
      <c r="C3491" s="23">
        <v>2703</v>
      </c>
      <c r="D3491" s="23">
        <v>27</v>
      </c>
      <c r="F3491" s="23" t="s">
        <v>115</v>
      </c>
      <c r="G3491" s="23" t="s">
        <v>115</v>
      </c>
      <c r="H3491" s="23" t="s">
        <v>6200</v>
      </c>
      <c r="I3491" s="23">
        <v>4</v>
      </c>
      <c r="J3491" s="40">
        <v>0</v>
      </c>
      <c r="K3491" s="40">
        <v>0</v>
      </c>
      <c r="L3491" s="40" t="s">
        <v>115</v>
      </c>
      <c r="O3491" s="40" t="s">
        <v>115</v>
      </c>
      <c r="Q3491" s="40">
        <v>205</v>
      </c>
      <c r="R3491" s="40">
        <v>298</v>
      </c>
      <c r="X3491" s="40">
        <v>90270315</v>
      </c>
      <c r="Y3491" s="40" t="s">
        <v>115</v>
      </c>
      <c r="Z3491" s="40" t="s">
        <v>115</v>
      </c>
      <c r="AA3491" s="40" t="s">
        <v>115</v>
      </c>
      <c r="AB3491" s="40" t="s">
        <v>115</v>
      </c>
      <c r="AC3491" s="40" t="s">
        <v>115</v>
      </c>
      <c r="AI3491" s="40" t="s">
        <v>115</v>
      </c>
      <c r="AP3491" s="4" t="s">
        <v>115</v>
      </c>
    </row>
    <row r="3492" spans="1:42" x14ac:dyDescent="0.15">
      <c r="A3492" s="40" t="s">
        <v>1</v>
      </c>
      <c r="B3492" s="23">
        <v>90270315</v>
      </c>
      <c r="C3492" s="23">
        <v>2703</v>
      </c>
      <c r="D3492" s="23">
        <v>27</v>
      </c>
      <c r="F3492" s="23" t="s">
        <v>6185</v>
      </c>
      <c r="G3492" s="23" t="s">
        <v>115</v>
      </c>
      <c r="H3492" s="23" t="s">
        <v>6201</v>
      </c>
      <c r="I3492" s="23">
        <v>3</v>
      </c>
      <c r="J3492" s="40">
        <v>0</v>
      </c>
      <c r="K3492" s="40">
        <v>0</v>
      </c>
      <c r="L3492" s="40" t="s">
        <v>115</v>
      </c>
      <c r="O3492" s="40" t="s">
        <v>115</v>
      </c>
      <c r="Q3492" s="40">
        <v>205</v>
      </c>
      <c r="R3492" s="40">
        <v>301</v>
      </c>
      <c r="X3492" s="40">
        <v>90270317</v>
      </c>
      <c r="Y3492" s="40" t="s">
        <v>115</v>
      </c>
      <c r="Z3492" s="40" t="s">
        <v>115</v>
      </c>
      <c r="AA3492" s="40" t="s">
        <v>115</v>
      </c>
      <c r="AB3492" s="40" t="s">
        <v>115</v>
      </c>
      <c r="AC3492" s="40" t="s">
        <v>115</v>
      </c>
      <c r="AI3492" s="40" t="s">
        <v>115</v>
      </c>
      <c r="AP3492" s="4" t="s">
        <v>115</v>
      </c>
    </row>
    <row r="3493" spans="1:42" x14ac:dyDescent="0.15">
      <c r="A3493" s="40" t="s">
        <v>1</v>
      </c>
      <c r="B3493" s="23">
        <v>90270316</v>
      </c>
      <c r="C3493" s="23">
        <v>2703</v>
      </c>
      <c r="D3493" s="23">
        <v>27</v>
      </c>
      <c r="F3493" s="23" t="s">
        <v>6185</v>
      </c>
      <c r="G3493" s="23" t="s">
        <v>115</v>
      </c>
      <c r="H3493" s="23" t="s">
        <v>6201</v>
      </c>
      <c r="I3493" s="23">
        <v>3</v>
      </c>
      <c r="J3493" s="40">
        <v>0</v>
      </c>
      <c r="K3493" s="40">
        <v>0</v>
      </c>
      <c r="L3493" s="40" t="s">
        <v>115</v>
      </c>
      <c r="O3493" s="40" t="s">
        <v>115</v>
      </c>
      <c r="Q3493" s="40">
        <v>205</v>
      </c>
      <c r="R3493" s="40">
        <v>301</v>
      </c>
      <c r="X3493" s="40">
        <v>90270317</v>
      </c>
      <c r="Y3493" s="40" t="s">
        <v>115</v>
      </c>
      <c r="Z3493" s="40" t="s">
        <v>115</v>
      </c>
      <c r="AA3493" s="40" t="s">
        <v>115</v>
      </c>
      <c r="AB3493" s="40" t="s">
        <v>115</v>
      </c>
      <c r="AC3493" s="40" t="s">
        <v>115</v>
      </c>
      <c r="AI3493" s="40" t="s">
        <v>115</v>
      </c>
      <c r="AP3493" s="4" t="s">
        <v>115</v>
      </c>
    </row>
    <row r="3494" spans="1:42" x14ac:dyDescent="0.15">
      <c r="A3494" s="40" t="s">
        <v>1</v>
      </c>
      <c r="B3494" s="23">
        <v>90270317</v>
      </c>
      <c r="C3494" s="23">
        <v>2703</v>
      </c>
      <c r="D3494" s="23">
        <v>27</v>
      </c>
      <c r="F3494" s="23" t="s">
        <v>5180</v>
      </c>
      <c r="G3494" s="23" t="s">
        <v>115</v>
      </c>
      <c r="H3494" s="23" t="s">
        <v>6202</v>
      </c>
      <c r="I3494" s="23">
        <v>3</v>
      </c>
      <c r="J3494" s="40">
        <v>0</v>
      </c>
      <c r="K3494" s="40">
        <v>0</v>
      </c>
      <c r="L3494" s="40" t="s">
        <v>115</v>
      </c>
      <c r="O3494" s="40" t="s">
        <v>115</v>
      </c>
      <c r="Q3494" s="40">
        <v>205</v>
      </c>
      <c r="R3494" s="40">
        <v>298</v>
      </c>
      <c r="X3494" s="40">
        <v>90270318</v>
      </c>
      <c r="Y3494" s="40" t="s">
        <v>115</v>
      </c>
      <c r="Z3494" s="40" t="s">
        <v>115</v>
      </c>
      <c r="AA3494" s="40" t="s">
        <v>115</v>
      </c>
      <c r="AB3494" s="40" t="s">
        <v>115</v>
      </c>
      <c r="AC3494" s="40" t="s">
        <v>115</v>
      </c>
      <c r="AI3494" s="40" t="s">
        <v>115</v>
      </c>
      <c r="AP3494" s="4" t="s">
        <v>115</v>
      </c>
    </row>
    <row r="3495" spans="1:42" x14ac:dyDescent="0.15">
      <c r="A3495" s="40" t="s">
        <v>1</v>
      </c>
      <c r="B3495" s="23">
        <v>90270318</v>
      </c>
      <c r="C3495" s="23">
        <v>2703</v>
      </c>
      <c r="D3495" s="23">
        <v>27</v>
      </c>
      <c r="F3495" s="23" t="s">
        <v>115</v>
      </c>
      <c r="G3495" s="23" t="s">
        <v>115</v>
      </c>
      <c r="H3495" s="23" t="s">
        <v>6203</v>
      </c>
      <c r="I3495" s="23">
        <v>4</v>
      </c>
      <c r="J3495" s="40">
        <v>0</v>
      </c>
      <c r="K3495" s="40">
        <v>0</v>
      </c>
      <c r="L3495" s="40" t="s">
        <v>115</v>
      </c>
      <c r="O3495" s="40" t="s">
        <v>115</v>
      </c>
      <c r="Q3495" s="40">
        <v>205</v>
      </c>
      <c r="R3495" s="40">
        <v>298</v>
      </c>
      <c r="X3495" s="40">
        <v>90270319</v>
      </c>
      <c r="Y3495" s="40" t="s">
        <v>115</v>
      </c>
      <c r="Z3495" s="40" t="s">
        <v>115</v>
      </c>
      <c r="AA3495" s="40" t="s">
        <v>115</v>
      </c>
      <c r="AB3495" s="40" t="s">
        <v>115</v>
      </c>
      <c r="AC3495" s="40" t="s">
        <v>115</v>
      </c>
      <c r="AI3495" s="40" t="s">
        <v>115</v>
      </c>
      <c r="AP3495" s="4" t="s">
        <v>115</v>
      </c>
    </row>
    <row r="3496" spans="1:42" x14ac:dyDescent="0.15">
      <c r="A3496" s="40" t="s">
        <v>1</v>
      </c>
      <c r="B3496" s="23">
        <v>90270319</v>
      </c>
      <c r="C3496" s="23">
        <v>2703</v>
      </c>
      <c r="D3496" s="23">
        <v>27</v>
      </c>
      <c r="F3496" s="23" t="s">
        <v>5180</v>
      </c>
      <c r="G3496" s="23" t="s">
        <v>115</v>
      </c>
      <c r="H3496" s="23" t="s">
        <v>6204</v>
      </c>
      <c r="I3496" s="23">
        <v>3</v>
      </c>
      <c r="J3496" s="40">
        <v>0</v>
      </c>
      <c r="K3496" s="40">
        <v>0</v>
      </c>
      <c r="L3496" s="40" t="s">
        <v>115</v>
      </c>
      <c r="O3496" s="40" t="s">
        <v>115</v>
      </c>
      <c r="Q3496" s="40">
        <v>205</v>
      </c>
      <c r="R3496" s="40">
        <v>298</v>
      </c>
      <c r="X3496" s="40">
        <v>90270320</v>
      </c>
      <c r="Y3496" s="40" t="s">
        <v>115</v>
      </c>
      <c r="Z3496" s="40" t="s">
        <v>115</v>
      </c>
      <c r="AA3496" s="40" t="s">
        <v>115</v>
      </c>
      <c r="AB3496" s="40" t="s">
        <v>115</v>
      </c>
      <c r="AC3496" s="40" t="s">
        <v>115</v>
      </c>
      <c r="AI3496" s="40" t="s">
        <v>115</v>
      </c>
      <c r="AP3496" s="4" t="s">
        <v>115</v>
      </c>
    </row>
    <row r="3497" spans="1:42" x14ac:dyDescent="0.15">
      <c r="A3497" s="40" t="s">
        <v>1</v>
      </c>
      <c r="B3497" s="23">
        <v>90270320</v>
      </c>
      <c r="C3497" s="23">
        <v>2703</v>
      </c>
      <c r="D3497" s="23">
        <v>27</v>
      </c>
      <c r="F3497" s="23" t="s">
        <v>5180</v>
      </c>
      <c r="G3497" s="23" t="s">
        <v>115</v>
      </c>
      <c r="H3497" s="23" t="s">
        <v>6205</v>
      </c>
      <c r="I3497" s="23">
        <v>3</v>
      </c>
      <c r="J3497" s="40">
        <v>0</v>
      </c>
      <c r="K3497" s="40">
        <v>0</v>
      </c>
      <c r="L3497" s="40" t="s">
        <v>115</v>
      </c>
      <c r="O3497" s="40" t="s">
        <v>115</v>
      </c>
      <c r="Q3497" s="40">
        <v>205</v>
      </c>
      <c r="R3497" s="40">
        <v>298</v>
      </c>
      <c r="X3497" s="40">
        <v>90270321</v>
      </c>
      <c r="Y3497" s="40" t="s">
        <v>115</v>
      </c>
      <c r="Z3497" s="40" t="s">
        <v>115</v>
      </c>
      <c r="AA3497" s="40" t="s">
        <v>115</v>
      </c>
      <c r="AB3497" s="40" t="s">
        <v>115</v>
      </c>
      <c r="AC3497" s="40" t="s">
        <v>115</v>
      </c>
      <c r="AI3497" s="40" t="s">
        <v>115</v>
      </c>
      <c r="AP3497" s="4" t="s">
        <v>115</v>
      </c>
    </row>
    <row r="3498" spans="1:42" x14ac:dyDescent="0.15">
      <c r="A3498" s="40" t="s">
        <v>1</v>
      </c>
      <c r="B3498" s="23">
        <v>90270321</v>
      </c>
      <c r="C3498" s="23">
        <v>2703</v>
      </c>
      <c r="D3498" s="23">
        <v>27</v>
      </c>
      <c r="F3498" s="23" t="s">
        <v>115</v>
      </c>
      <c r="G3498" s="23" t="s">
        <v>115</v>
      </c>
      <c r="H3498" s="23" t="s">
        <v>6206</v>
      </c>
      <c r="I3498" s="23">
        <v>4</v>
      </c>
      <c r="J3498" s="40">
        <v>0</v>
      </c>
      <c r="K3498" s="40">
        <v>0</v>
      </c>
      <c r="L3498" s="40" t="s">
        <v>115</v>
      </c>
      <c r="O3498" s="40" t="s">
        <v>115</v>
      </c>
      <c r="Q3498" s="40">
        <v>205</v>
      </c>
      <c r="R3498" s="40" t="s">
        <v>115</v>
      </c>
      <c r="X3498" s="40">
        <v>90270322</v>
      </c>
      <c r="Y3498" s="40" t="s">
        <v>115</v>
      </c>
      <c r="Z3498" s="40" t="s">
        <v>115</v>
      </c>
      <c r="AA3498" s="40" t="s">
        <v>115</v>
      </c>
      <c r="AB3498" s="40" t="s">
        <v>115</v>
      </c>
      <c r="AC3498" s="40" t="s">
        <v>115</v>
      </c>
      <c r="AI3498" s="40" t="s">
        <v>115</v>
      </c>
      <c r="AP3498" s="4" t="s">
        <v>115</v>
      </c>
    </row>
    <row r="3499" spans="1:42" x14ac:dyDescent="0.15">
      <c r="A3499" s="40" t="s">
        <v>1</v>
      </c>
      <c r="B3499" s="23">
        <v>90270322</v>
      </c>
      <c r="C3499" s="23">
        <v>2703</v>
      </c>
      <c r="D3499" s="23">
        <v>27</v>
      </c>
      <c r="F3499" s="23" t="s">
        <v>116</v>
      </c>
      <c r="G3499" s="23">
        <v>314</v>
      </c>
      <c r="H3499" s="23" t="s">
        <v>6207</v>
      </c>
      <c r="I3499" s="23">
        <v>0</v>
      </c>
      <c r="J3499" s="40">
        <v>0</v>
      </c>
      <c r="K3499" s="40">
        <v>0</v>
      </c>
      <c r="L3499" s="40" t="s">
        <v>115</v>
      </c>
      <c r="O3499" s="40" t="s">
        <v>115</v>
      </c>
      <c r="Q3499" s="40">
        <v>205</v>
      </c>
      <c r="R3499" s="40" t="s">
        <v>115</v>
      </c>
      <c r="X3499" s="40">
        <v>90270323</v>
      </c>
      <c r="Y3499" s="40" t="s">
        <v>115</v>
      </c>
      <c r="Z3499" s="40" t="s">
        <v>115</v>
      </c>
      <c r="AA3499" s="40" t="s">
        <v>115</v>
      </c>
      <c r="AB3499" s="40" t="s">
        <v>115</v>
      </c>
      <c r="AC3499" s="40" t="s">
        <v>115</v>
      </c>
      <c r="AI3499" s="40" t="s">
        <v>115</v>
      </c>
      <c r="AP3499" s="4" t="s">
        <v>115</v>
      </c>
    </row>
    <row r="3500" spans="1:42" x14ac:dyDescent="0.15">
      <c r="A3500" s="40" t="s">
        <v>1</v>
      </c>
      <c r="B3500" s="23">
        <v>90270323</v>
      </c>
      <c r="C3500" s="23">
        <v>2703</v>
      </c>
      <c r="D3500" s="23">
        <v>27</v>
      </c>
      <c r="F3500" s="23" t="s">
        <v>115</v>
      </c>
      <c r="G3500" s="23" t="s">
        <v>115</v>
      </c>
      <c r="H3500" s="23" t="s">
        <v>6208</v>
      </c>
      <c r="I3500" s="23">
        <v>4</v>
      </c>
      <c r="J3500" s="40">
        <v>0</v>
      </c>
      <c r="K3500" s="40">
        <v>0</v>
      </c>
      <c r="L3500" s="40" t="s">
        <v>115</v>
      </c>
      <c r="O3500" s="40" t="s">
        <v>115</v>
      </c>
      <c r="Q3500" s="40">
        <v>205</v>
      </c>
      <c r="R3500" s="40" t="s">
        <v>115</v>
      </c>
      <c r="X3500" s="40">
        <v>90270324</v>
      </c>
      <c r="Y3500" s="40" t="s">
        <v>115</v>
      </c>
      <c r="Z3500" s="40" t="s">
        <v>115</v>
      </c>
      <c r="AA3500" s="40" t="s">
        <v>115</v>
      </c>
      <c r="AB3500" s="40" t="s">
        <v>115</v>
      </c>
      <c r="AC3500" s="40" t="s">
        <v>115</v>
      </c>
      <c r="AI3500" s="40" t="s">
        <v>115</v>
      </c>
      <c r="AP3500" s="4" t="s">
        <v>115</v>
      </c>
    </row>
    <row r="3501" spans="1:42" x14ac:dyDescent="0.15">
      <c r="A3501" s="40" t="s">
        <v>1</v>
      </c>
      <c r="B3501" s="23">
        <v>90270324</v>
      </c>
      <c r="C3501" s="23">
        <v>2703</v>
      </c>
      <c r="D3501" s="23">
        <v>27</v>
      </c>
      <c r="F3501" s="23" t="s">
        <v>116</v>
      </c>
      <c r="G3501" s="23">
        <v>314</v>
      </c>
      <c r="H3501" s="23" t="s">
        <v>6209</v>
      </c>
      <c r="I3501" s="23">
        <v>2</v>
      </c>
      <c r="J3501" s="40">
        <v>0</v>
      </c>
      <c r="K3501" s="40">
        <v>5</v>
      </c>
      <c r="L3501" s="40" t="s">
        <v>115</v>
      </c>
      <c r="O3501" s="40">
        <v>1</v>
      </c>
      <c r="Q3501" s="40">
        <v>205</v>
      </c>
      <c r="R3501" s="40" t="s">
        <v>115</v>
      </c>
      <c r="X3501" s="40" t="s">
        <v>115</v>
      </c>
      <c r="Y3501" s="40" t="s">
        <v>115</v>
      </c>
      <c r="Z3501" s="40">
        <v>4</v>
      </c>
      <c r="AA3501" s="40" t="s">
        <v>115</v>
      </c>
      <c r="AB3501" s="40" t="s">
        <v>115</v>
      </c>
      <c r="AC3501" s="40" t="s">
        <v>115</v>
      </c>
      <c r="AI3501" s="40" t="s">
        <v>115</v>
      </c>
      <c r="AP3501" s="4" t="s">
        <v>6210</v>
      </c>
    </row>
    <row r="3502" spans="1:42" x14ac:dyDescent="0.15">
      <c r="A3502" s="40" t="s">
        <v>1</v>
      </c>
      <c r="B3502" s="23" t="s">
        <v>4908</v>
      </c>
      <c r="C3502" s="23">
        <v>2704</v>
      </c>
      <c r="D3502" s="23">
        <v>27</v>
      </c>
      <c r="F3502" s="23" t="s">
        <v>115</v>
      </c>
      <c r="G3502" s="23" t="s">
        <v>115</v>
      </c>
      <c r="H3502" s="23" t="s">
        <v>6211</v>
      </c>
      <c r="I3502" s="23">
        <v>4</v>
      </c>
      <c r="J3502" s="40">
        <v>1</v>
      </c>
      <c r="K3502" s="40">
        <v>1</v>
      </c>
      <c r="L3502" s="40" t="s">
        <v>115</v>
      </c>
      <c r="O3502" s="40" t="s">
        <v>115</v>
      </c>
      <c r="Q3502" s="40">
        <v>192</v>
      </c>
      <c r="R3502" s="40">
        <v>286</v>
      </c>
      <c r="X3502" s="40">
        <v>90270402</v>
      </c>
      <c r="Y3502" s="40" t="s">
        <v>115</v>
      </c>
      <c r="Z3502" s="40" t="s">
        <v>115</v>
      </c>
      <c r="AA3502" s="40" t="s">
        <v>115</v>
      </c>
      <c r="AB3502" s="40" t="s">
        <v>115</v>
      </c>
      <c r="AC3502" s="40" t="s">
        <v>115</v>
      </c>
      <c r="AI3502" s="40" t="s">
        <v>115</v>
      </c>
      <c r="AP3502" s="4" t="s">
        <v>115</v>
      </c>
    </row>
    <row r="3503" spans="1:42" x14ac:dyDescent="0.15">
      <c r="A3503" s="40" t="s">
        <v>1</v>
      </c>
      <c r="B3503" s="23">
        <v>90270402</v>
      </c>
      <c r="C3503" s="23">
        <v>2704</v>
      </c>
      <c r="D3503" s="23">
        <v>27</v>
      </c>
      <c r="F3503" s="23" t="s">
        <v>6212</v>
      </c>
      <c r="G3503" s="23" t="s">
        <v>115</v>
      </c>
      <c r="H3503" s="23" t="s">
        <v>6213</v>
      </c>
      <c r="I3503" s="23">
        <v>3</v>
      </c>
      <c r="J3503" s="40">
        <v>0</v>
      </c>
      <c r="K3503" s="40">
        <v>0</v>
      </c>
      <c r="L3503" s="40" t="s">
        <v>115</v>
      </c>
      <c r="O3503" s="40" t="s">
        <v>115</v>
      </c>
      <c r="Q3503" s="40">
        <v>192</v>
      </c>
      <c r="R3503" s="40">
        <v>286</v>
      </c>
      <c r="X3503" s="40">
        <v>90270403</v>
      </c>
      <c r="Y3503" s="40" t="s">
        <v>115</v>
      </c>
      <c r="Z3503" s="40" t="s">
        <v>115</v>
      </c>
      <c r="AA3503" s="40" t="s">
        <v>115</v>
      </c>
      <c r="AB3503" s="40" t="s">
        <v>115</v>
      </c>
      <c r="AC3503" s="40" t="s">
        <v>115</v>
      </c>
      <c r="AI3503" s="40" t="s">
        <v>115</v>
      </c>
      <c r="AP3503" s="4" t="s">
        <v>115</v>
      </c>
    </row>
    <row r="3504" spans="1:42" x14ac:dyDescent="0.15">
      <c r="A3504" s="40" t="s">
        <v>1</v>
      </c>
      <c r="B3504" s="23">
        <v>90270403</v>
      </c>
      <c r="C3504" s="23">
        <v>2704</v>
      </c>
      <c r="D3504" s="23">
        <v>27</v>
      </c>
      <c r="F3504" s="23" t="s">
        <v>116</v>
      </c>
      <c r="G3504" s="23">
        <v>313</v>
      </c>
      <c r="H3504" s="23" t="s">
        <v>6214</v>
      </c>
      <c r="I3504" s="23">
        <v>0</v>
      </c>
      <c r="J3504" s="40">
        <v>0</v>
      </c>
      <c r="K3504" s="40">
        <v>0</v>
      </c>
      <c r="L3504" s="40" t="s">
        <v>115</v>
      </c>
      <c r="O3504" s="40" t="s">
        <v>115</v>
      </c>
      <c r="Q3504" s="40">
        <v>192</v>
      </c>
      <c r="R3504" s="40">
        <v>286</v>
      </c>
      <c r="X3504" s="40">
        <v>90270404</v>
      </c>
      <c r="Y3504" s="40" t="s">
        <v>115</v>
      </c>
      <c r="Z3504" s="40" t="s">
        <v>115</v>
      </c>
      <c r="AA3504" s="40" t="s">
        <v>115</v>
      </c>
      <c r="AB3504" s="40" t="s">
        <v>115</v>
      </c>
      <c r="AC3504" s="40" t="s">
        <v>115</v>
      </c>
      <c r="AI3504" s="40" t="s">
        <v>115</v>
      </c>
      <c r="AP3504" s="4" t="s">
        <v>115</v>
      </c>
    </row>
    <row r="3505" spans="1:42" x14ac:dyDescent="0.15">
      <c r="A3505" s="40" t="s">
        <v>1</v>
      </c>
      <c r="B3505" s="23">
        <v>90270404</v>
      </c>
      <c r="C3505" s="23">
        <v>2704</v>
      </c>
      <c r="D3505" s="23">
        <v>27</v>
      </c>
      <c r="F3505" s="23" t="s">
        <v>6212</v>
      </c>
      <c r="G3505" s="23" t="s">
        <v>115</v>
      </c>
      <c r="H3505" s="23" t="s">
        <v>6215</v>
      </c>
      <c r="I3505" s="23">
        <v>3</v>
      </c>
      <c r="J3505" s="40">
        <v>0</v>
      </c>
      <c r="K3505" s="40">
        <v>0</v>
      </c>
      <c r="L3505" s="40" t="s">
        <v>115</v>
      </c>
      <c r="O3505" s="40" t="s">
        <v>115</v>
      </c>
      <c r="Q3505" s="40">
        <v>192</v>
      </c>
      <c r="R3505" s="40">
        <v>286</v>
      </c>
      <c r="X3505" s="40">
        <v>90270405</v>
      </c>
      <c r="Y3505" s="40" t="s">
        <v>115</v>
      </c>
      <c r="Z3505" s="40" t="s">
        <v>115</v>
      </c>
      <c r="AA3505" s="40" t="s">
        <v>115</v>
      </c>
      <c r="AB3505" s="40" t="s">
        <v>115</v>
      </c>
      <c r="AC3505" s="40" t="s">
        <v>115</v>
      </c>
      <c r="AI3505" s="40" t="s">
        <v>115</v>
      </c>
      <c r="AP3505" s="4" t="s">
        <v>115</v>
      </c>
    </row>
    <row r="3506" spans="1:42" x14ac:dyDescent="0.15">
      <c r="A3506" s="40" t="s">
        <v>1</v>
      </c>
      <c r="B3506" s="23">
        <v>90270405</v>
      </c>
      <c r="C3506" s="23">
        <v>2704</v>
      </c>
      <c r="D3506" s="23">
        <v>27</v>
      </c>
      <c r="F3506" s="23" t="s">
        <v>6212</v>
      </c>
      <c r="G3506" s="23" t="s">
        <v>115</v>
      </c>
      <c r="H3506" s="23" t="s">
        <v>6216</v>
      </c>
      <c r="I3506" s="23">
        <v>3</v>
      </c>
      <c r="J3506" s="40">
        <v>0</v>
      </c>
      <c r="K3506" s="40">
        <v>0</v>
      </c>
      <c r="L3506" s="40" t="s">
        <v>115</v>
      </c>
      <c r="O3506" s="40" t="s">
        <v>115</v>
      </c>
      <c r="Q3506" s="40">
        <v>192</v>
      </c>
      <c r="R3506" s="40">
        <v>286</v>
      </c>
      <c r="X3506" s="40">
        <v>90270406</v>
      </c>
      <c r="Y3506" s="40" t="s">
        <v>115</v>
      </c>
      <c r="Z3506" s="40" t="s">
        <v>115</v>
      </c>
      <c r="AA3506" s="40" t="s">
        <v>115</v>
      </c>
      <c r="AB3506" s="40" t="s">
        <v>115</v>
      </c>
      <c r="AC3506" s="40" t="s">
        <v>115</v>
      </c>
      <c r="AI3506" s="40" t="s">
        <v>115</v>
      </c>
      <c r="AP3506" s="4" t="s">
        <v>115</v>
      </c>
    </row>
    <row r="3507" spans="1:42" x14ac:dyDescent="0.15">
      <c r="A3507" s="40" t="s">
        <v>1</v>
      </c>
      <c r="B3507" s="23">
        <v>90270406</v>
      </c>
      <c r="C3507" s="23">
        <v>2704</v>
      </c>
      <c r="D3507" s="23">
        <v>27</v>
      </c>
      <c r="F3507" s="23" t="s">
        <v>116</v>
      </c>
      <c r="G3507" s="23">
        <v>312</v>
      </c>
      <c r="H3507" s="23" t="s">
        <v>6217</v>
      </c>
      <c r="I3507" s="23">
        <v>0</v>
      </c>
      <c r="J3507" s="40">
        <v>0</v>
      </c>
      <c r="K3507" s="40">
        <v>0</v>
      </c>
      <c r="L3507" s="40" t="s">
        <v>115</v>
      </c>
      <c r="O3507" s="40" t="s">
        <v>115</v>
      </c>
      <c r="Q3507" s="40">
        <v>192</v>
      </c>
      <c r="R3507" s="40">
        <v>286</v>
      </c>
      <c r="X3507" s="40">
        <v>90270407</v>
      </c>
      <c r="Y3507" s="40" t="s">
        <v>115</v>
      </c>
      <c r="Z3507" s="40" t="s">
        <v>115</v>
      </c>
      <c r="AA3507" s="40" t="s">
        <v>115</v>
      </c>
      <c r="AB3507" s="40" t="s">
        <v>115</v>
      </c>
      <c r="AC3507" s="40" t="s">
        <v>115</v>
      </c>
      <c r="AI3507" s="40" t="s">
        <v>115</v>
      </c>
      <c r="AP3507" s="4" t="s">
        <v>115</v>
      </c>
    </row>
    <row r="3508" spans="1:42" x14ac:dyDescent="0.15">
      <c r="A3508" s="40" t="s">
        <v>1</v>
      </c>
      <c r="B3508" s="23">
        <v>90270407</v>
      </c>
      <c r="C3508" s="23">
        <v>2704</v>
      </c>
      <c r="D3508" s="23">
        <v>27</v>
      </c>
      <c r="F3508" s="23" t="s">
        <v>115</v>
      </c>
      <c r="G3508" s="23" t="s">
        <v>115</v>
      </c>
      <c r="H3508" s="23" t="s">
        <v>6218</v>
      </c>
      <c r="I3508" s="23">
        <v>4</v>
      </c>
      <c r="J3508" s="40">
        <v>0</v>
      </c>
      <c r="K3508" s="40">
        <v>0</v>
      </c>
      <c r="L3508" s="40" t="s">
        <v>115</v>
      </c>
      <c r="O3508" s="40" t="s">
        <v>115</v>
      </c>
      <c r="Q3508" s="40">
        <v>192</v>
      </c>
      <c r="R3508" s="40">
        <v>286</v>
      </c>
      <c r="X3508" s="40">
        <v>90270408</v>
      </c>
      <c r="Y3508" s="40" t="s">
        <v>115</v>
      </c>
      <c r="Z3508" s="40" t="s">
        <v>115</v>
      </c>
      <c r="AA3508" s="40" t="s">
        <v>115</v>
      </c>
      <c r="AB3508" s="40" t="s">
        <v>115</v>
      </c>
      <c r="AC3508" s="40" t="s">
        <v>115</v>
      </c>
      <c r="AI3508" s="40" t="s">
        <v>115</v>
      </c>
      <c r="AP3508" s="4" t="s">
        <v>115</v>
      </c>
    </row>
    <row r="3509" spans="1:42" x14ac:dyDescent="0.15">
      <c r="A3509" s="40" t="s">
        <v>1</v>
      </c>
      <c r="B3509" s="23">
        <v>90270408</v>
      </c>
      <c r="C3509" s="23">
        <v>2704</v>
      </c>
      <c r="D3509" s="23">
        <v>27</v>
      </c>
      <c r="F3509" s="23" t="s">
        <v>6212</v>
      </c>
      <c r="G3509" s="23" t="s">
        <v>115</v>
      </c>
      <c r="H3509" s="23" t="s">
        <v>6219</v>
      </c>
      <c r="I3509" s="23">
        <v>3</v>
      </c>
      <c r="J3509" s="40">
        <v>0</v>
      </c>
      <c r="K3509" s="40">
        <v>2</v>
      </c>
      <c r="L3509" s="40" t="s">
        <v>115</v>
      </c>
      <c r="O3509" s="40" t="s">
        <v>115</v>
      </c>
      <c r="Q3509" s="40">
        <v>104</v>
      </c>
      <c r="R3509" s="40">
        <v>286</v>
      </c>
      <c r="X3509" s="40" t="s">
        <v>6220</v>
      </c>
      <c r="Y3509" s="40">
        <v>1</v>
      </c>
      <c r="Z3509" s="40">
        <v>1</v>
      </c>
      <c r="AA3509" s="40" t="s">
        <v>115</v>
      </c>
      <c r="AB3509" s="40" t="s">
        <v>115</v>
      </c>
      <c r="AC3509" s="40" t="s">
        <v>115</v>
      </c>
      <c r="AI3509" s="40" t="s">
        <v>115</v>
      </c>
      <c r="AP3509" s="4" t="s">
        <v>115</v>
      </c>
    </row>
    <row r="3510" spans="1:42" x14ac:dyDescent="0.15">
      <c r="A3510" s="40" t="s">
        <v>1</v>
      </c>
      <c r="B3510" s="23">
        <v>90270409</v>
      </c>
      <c r="C3510" s="23">
        <v>2704</v>
      </c>
      <c r="D3510" s="23">
        <v>27</v>
      </c>
      <c r="F3510" s="23" t="s">
        <v>115</v>
      </c>
      <c r="G3510" s="23" t="s">
        <v>115</v>
      </c>
      <c r="H3510" s="23" t="s">
        <v>6221</v>
      </c>
      <c r="I3510" s="23">
        <v>4</v>
      </c>
      <c r="J3510" s="40">
        <v>0</v>
      </c>
      <c r="K3510" s="40">
        <v>3</v>
      </c>
      <c r="L3510" s="40" t="s">
        <v>115</v>
      </c>
      <c r="O3510" s="40" t="s">
        <v>115</v>
      </c>
      <c r="Q3510" s="40">
        <v>104</v>
      </c>
      <c r="R3510" s="40">
        <v>286</v>
      </c>
      <c r="X3510" s="40">
        <v>90270411</v>
      </c>
      <c r="Y3510" s="40">
        <v>-1</v>
      </c>
      <c r="Z3510" s="40">
        <v>2</v>
      </c>
      <c r="AA3510" s="40" t="s">
        <v>115</v>
      </c>
      <c r="AB3510" s="40" t="s">
        <v>115</v>
      </c>
      <c r="AC3510" s="40" t="s">
        <v>6222</v>
      </c>
      <c r="AI3510" s="40" t="s">
        <v>115</v>
      </c>
      <c r="AP3510" s="4" t="s">
        <v>115</v>
      </c>
    </row>
    <row r="3511" spans="1:42" x14ac:dyDescent="0.15">
      <c r="A3511" s="40" t="s">
        <v>1</v>
      </c>
      <c r="B3511" s="23">
        <v>90270410</v>
      </c>
      <c r="C3511" s="23">
        <v>2704</v>
      </c>
      <c r="D3511" s="23">
        <v>27</v>
      </c>
      <c r="F3511" s="23" t="s">
        <v>115</v>
      </c>
      <c r="G3511" s="23" t="s">
        <v>115</v>
      </c>
      <c r="H3511" s="23" t="s">
        <v>6223</v>
      </c>
      <c r="I3511" s="23">
        <v>4</v>
      </c>
      <c r="J3511" s="40">
        <v>0</v>
      </c>
      <c r="K3511" s="40">
        <v>4</v>
      </c>
      <c r="L3511" s="40" t="s">
        <v>115</v>
      </c>
      <c r="O3511" s="40" t="s">
        <v>115</v>
      </c>
      <c r="Q3511" s="40">
        <v>104</v>
      </c>
      <c r="R3511" s="40">
        <v>286</v>
      </c>
      <c r="X3511" s="40">
        <v>90270416</v>
      </c>
      <c r="Y3511" s="40">
        <v>-1</v>
      </c>
      <c r="Z3511" s="40">
        <v>2</v>
      </c>
      <c r="AA3511" s="40" t="s">
        <v>115</v>
      </c>
      <c r="AB3511" s="40" t="s">
        <v>115</v>
      </c>
      <c r="AC3511" s="40" t="s">
        <v>6224</v>
      </c>
      <c r="AI3511" s="40" t="s">
        <v>115</v>
      </c>
      <c r="AP3511" s="4" t="s">
        <v>115</v>
      </c>
    </row>
    <row r="3512" spans="1:42" x14ac:dyDescent="0.15">
      <c r="A3512" s="40" t="s">
        <v>1</v>
      </c>
      <c r="B3512" s="23">
        <v>90270411</v>
      </c>
      <c r="C3512" s="23">
        <v>2704</v>
      </c>
      <c r="D3512" s="23">
        <v>27</v>
      </c>
      <c r="F3512" s="23" t="s">
        <v>116</v>
      </c>
      <c r="G3512" s="23">
        <v>312</v>
      </c>
      <c r="H3512" s="23" t="s">
        <v>6225</v>
      </c>
      <c r="I3512" s="23">
        <v>0</v>
      </c>
      <c r="J3512" s="40">
        <v>0</v>
      </c>
      <c r="K3512" s="40">
        <v>0</v>
      </c>
      <c r="L3512" s="40" t="s">
        <v>115</v>
      </c>
      <c r="O3512" s="40" t="s">
        <v>115</v>
      </c>
      <c r="Q3512" s="40">
        <v>104</v>
      </c>
      <c r="R3512" s="40">
        <v>286</v>
      </c>
      <c r="X3512" s="40">
        <v>90270412</v>
      </c>
      <c r="Y3512" s="40" t="s">
        <v>115</v>
      </c>
      <c r="Z3512" s="40" t="s">
        <v>115</v>
      </c>
      <c r="AA3512" s="40" t="s">
        <v>115</v>
      </c>
      <c r="AB3512" s="40" t="s">
        <v>115</v>
      </c>
      <c r="AC3512" s="40" t="s">
        <v>115</v>
      </c>
      <c r="AI3512" s="40" t="s">
        <v>115</v>
      </c>
      <c r="AP3512" s="4" t="s">
        <v>115</v>
      </c>
    </row>
    <row r="3513" spans="1:42" x14ac:dyDescent="0.15">
      <c r="A3513" s="40" t="s">
        <v>1</v>
      </c>
      <c r="B3513" s="23">
        <v>90270412</v>
      </c>
      <c r="C3513" s="23">
        <v>2704</v>
      </c>
      <c r="D3513" s="23">
        <v>27</v>
      </c>
      <c r="F3513" s="23" t="s">
        <v>6212</v>
      </c>
      <c r="G3513" s="23" t="s">
        <v>115</v>
      </c>
      <c r="H3513" s="23" t="s">
        <v>6226</v>
      </c>
      <c r="I3513" s="23">
        <v>3</v>
      </c>
      <c r="J3513" s="40">
        <v>0</v>
      </c>
      <c r="K3513" s="40">
        <v>0</v>
      </c>
      <c r="L3513" s="40" t="s">
        <v>115</v>
      </c>
      <c r="O3513" s="40" t="s">
        <v>115</v>
      </c>
      <c r="Q3513" s="40">
        <v>104</v>
      </c>
      <c r="R3513" s="40">
        <v>286</v>
      </c>
      <c r="X3513" s="40">
        <v>90270413</v>
      </c>
      <c r="Y3513" s="40" t="s">
        <v>115</v>
      </c>
      <c r="Z3513" s="40" t="s">
        <v>115</v>
      </c>
      <c r="AA3513" s="40" t="s">
        <v>115</v>
      </c>
      <c r="AB3513" s="40" t="s">
        <v>115</v>
      </c>
      <c r="AC3513" s="40" t="s">
        <v>115</v>
      </c>
      <c r="AI3513" s="40" t="s">
        <v>115</v>
      </c>
      <c r="AP3513" s="4" t="s">
        <v>115</v>
      </c>
    </row>
    <row r="3514" spans="1:42" x14ac:dyDescent="0.15">
      <c r="A3514" s="40" t="s">
        <v>1</v>
      </c>
      <c r="B3514" s="23">
        <v>90270413</v>
      </c>
      <c r="C3514" s="23">
        <v>2704</v>
      </c>
      <c r="D3514" s="23">
        <v>27</v>
      </c>
      <c r="F3514" s="23" t="s">
        <v>6212</v>
      </c>
      <c r="G3514" s="23" t="s">
        <v>115</v>
      </c>
      <c r="H3514" s="23" t="s">
        <v>6227</v>
      </c>
      <c r="I3514" s="23">
        <v>3</v>
      </c>
      <c r="J3514" s="40">
        <v>0</v>
      </c>
      <c r="K3514" s="40">
        <v>0</v>
      </c>
      <c r="L3514" s="40" t="s">
        <v>115</v>
      </c>
      <c r="O3514" s="40" t="s">
        <v>115</v>
      </c>
      <c r="Q3514" s="40">
        <v>104</v>
      </c>
      <c r="R3514" s="40">
        <v>286</v>
      </c>
      <c r="X3514" s="40">
        <v>90270414</v>
      </c>
      <c r="Y3514" s="40" t="s">
        <v>115</v>
      </c>
      <c r="Z3514" s="40" t="s">
        <v>115</v>
      </c>
      <c r="AA3514" s="40" t="s">
        <v>115</v>
      </c>
      <c r="AB3514" s="40" t="s">
        <v>115</v>
      </c>
      <c r="AC3514" s="40" t="s">
        <v>115</v>
      </c>
      <c r="AI3514" s="40" t="s">
        <v>115</v>
      </c>
      <c r="AP3514" s="4" t="s">
        <v>115</v>
      </c>
    </row>
    <row r="3515" spans="1:42" x14ac:dyDescent="0.15">
      <c r="A3515" s="40" t="s">
        <v>1</v>
      </c>
      <c r="B3515" s="23">
        <v>90270414</v>
      </c>
      <c r="C3515" s="23">
        <v>2704</v>
      </c>
      <c r="D3515" s="23">
        <v>27</v>
      </c>
      <c r="F3515" s="23" t="s">
        <v>6212</v>
      </c>
      <c r="G3515" s="23" t="s">
        <v>115</v>
      </c>
      <c r="H3515" s="23" t="s">
        <v>6228</v>
      </c>
      <c r="I3515" s="23">
        <v>3</v>
      </c>
      <c r="J3515" s="40">
        <v>0</v>
      </c>
      <c r="K3515" s="40">
        <v>0</v>
      </c>
      <c r="L3515" s="40" t="s">
        <v>115</v>
      </c>
      <c r="O3515" s="40" t="s">
        <v>115</v>
      </c>
      <c r="Q3515" s="40">
        <v>104</v>
      </c>
      <c r="R3515" s="40">
        <v>286</v>
      </c>
      <c r="X3515" s="40">
        <v>90270415</v>
      </c>
      <c r="Y3515" s="40" t="s">
        <v>115</v>
      </c>
      <c r="Z3515" s="40" t="s">
        <v>115</v>
      </c>
      <c r="AA3515" s="40" t="s">
        <v>115</v>
      </c>
      <c r="AB3515" s="40" t="s">
        <v>115</v>
      </c>
      <c r="AC3515" s="40" t="s">
        <v>115</v>
      </c>
      <c r="AI3515" s="40" t="s">
        <v>115</v>
      </c>
      <c r="AP3515" s="4" t="s">
        <v>115</v>
      </c>
    </row>
    <row r="3516" spans="1:42" x14ac:dyDescent="0.15">
      <c r="A3516" s="40" t="s">
        <v>1</v>
      </c>
      <c r="B3516" s="23">
        <v>90270415</v>
      </c>
      <c r="C3516" s="23">
        <v>2704</v>
      </c>
      <c r="D3516" s="23">
        <v>27</v>
      </c>
      <c r="F3516" s="23" t="s">
        <v>116</v>
      </c>
      <c r="G3516" s="23">
        <v>313</v>
      </c>
      <c r="H3516" s="23" t="s">
        <v>6229</v>
      </c>
      <c r="I3516" s="23">
        <v>0</v>
      </c>
      <c r="J3516" s="40">
        <v>0</v>
      </c>
      <c r="K3516" s="40">
        <v>0</v>
      </c>
      <c r="L3516" s="40" t="s">
        <v>115</v>
      </c>
      <c r="O3516" s="40" t="s">
        <v>115</v>
      </c>
      <c r="Q3516" s="40">
        <v>104</v>
      </c>
      <c r="R3516" s="40">
        <v>286</v>
      </c>
      <c r="X3516" s="40">
        <v>90270419</v>
      </c>
      <c r="Y3516" s="40" t="s">
        <v>115</v>
      </c>
      <c r="Z3516" s="40" t="s">
        <v>115</v>
      </c>
      <c r="AA3516" s="40" t="s">
        <v>115</v>
      </c>
      <c r="AB3516" s="40" t="s">
        <v>115</v>
      </c>
      <c r="AC3516" s="40" t="s">
        <v>115</v>
      </c>
      <c r="AI3516" s="40" t="s">
        <v>115</v>
      </c>
      <c r="AP3516" s="4" t="s">
        <v>115</v>
      </c>
    </row>
    <row r="3517" spans="1:42" x14ac:dyDescent="0.15">
      <c r="A3517" s="40" t="s">
        <v>1</v>
      </c>
      <c r="B3517" s="23">
        <v>90270416</v>
      </c>
      <c r="C3517" s="23">
        <v>2704</v>
      </c>
      <c r="D3517" s="23">
        <v>27</v>
      </c>
      <c r="F3517" s="23" t="s">
        <v>116</v>
      </c>
      <c r="G3517" s="23">
        <v>312</v>
      </c>
      <c r="H3517" s="23" t="s">
        <v>6230</v>
      </c>
      <c r="I3517" s="23">
        <v>0</v>
      </c>
      <c r="J3517" s="40">
        <v>0</v>
      </c>
      <c r="K3517" s="40">
        <v>0</v>
      </c>
      <c r="L3517" s="40" t="s">
        <v>115</v>
      </c>
      <c r="O3517" s="40" t="s">
        <v>115</v>
      </c>
      <c r="Q3517" s="40">
        <v>104</v>
      </c>
      <c r="R3517" s="40">
        <v>286</v>
      </c>
      <c r="X3517" s="40">
        <v>90270417</v>
      </c>
      <c r="Y3517" s="40" t="s">
        <v>115</v>
      </c>
      <c r="Z3517" s="40" t="s">
        <v>115</v>
      </c>
      <c r="AA3517" s="40" t="s">
        <v>115</v>
      </c>
      <c r="AB3517" s="40" t="s">
        <v>115</v>
      </c>
      <c r="AC3517" s="40" t="s">
        <v>115</v>
      </c>
      <c r="AI3517" s="40" t="s">
        <v>115</v>
      </c>
      <c r="AP3517" s="4" t="s">
        <v>115</v>
      </c>
    </row>
    <row r="3518" spans="1:42" x14ac:dyDescent="0.15">
      <c r="A3518" s="40" t="s">
        <v>1</v>
      </c>
      <c r="B3518" s="23">
        <v>90270417</v>
      </c>
      <c r="C3518" s="23">
        <v>2704</v>
      </c>
      <c r="D3518" s="23">
        <v>27</v>
      </c>
      <c r="F3518" s="23" t="s">
        <v>116</v>
      </c>
      <c r="G3518" s="23">
        <v>312</v>
      </c>
      <c r="H3518" s="23" t="s">
        <v>6231</v>
      </c>
      <c r="I3518" s="23">
        <v>0</v>
      </c>
      <c r="J3518" s="40">
        <v>0</v>
      </c>
      <c r="K3518" s="40">
        <v>0</v>
      </c>
      <c r="L3518" s="40" t="s">
        <v>115</v>
      </c>
      <c r="O3518" s="40" t="s">
        <v>115</v>
      </c>
      <c r="Q3518" s="40">
        <v>104</v>
      </c>
      <c r="R3518" s="40">
        <v>286</v>
      </c>
      <c r="X3518" s="40">
        <v>90270418</v>
      </c>
      <c r="Y3518" s="40" t="s">
        <v>115</v>
      </c>
      <c r="Z3518" s="40" t="s">
        <v>115</v>
      </c>
      <c r="AA3518" s="40" t="s">
        <v>115</v>
      </c>
      <c r="AB3518" s="40" t="s">
        <v>115</v>
      </c>
      <c r="AC3518" s="40" t="s">
        <v>115</v>
      </c>
      <c r="AI3518" s="40" t="s">
        <v>115</v>
      </c>
      <c r="AP3518" s="4" t="s">
        <v>115</v>
      </c>
    </row>
    <row r="3519" spans="1:42" x14ac:dyDescent="0.15">
      <c r="A3519" s="40" t="s">
        <v>1</v>
      </c>
      <c r="B3519" s="23">
        <v>90270418</v>
      </c>
      <c r="C3519" s="23">
        <v>2704</v>
      </c>
      <c r="D3519" s="23">
        <v>27</v>
      </c>
      <c r="F3519" s="23" t="s">
        <v>6212</v>
      </c>
      <c r="G3519" s="23" t="s">
        <v>115</v>
      </c>
      <c r="H3519" s="23" t="s">
        <v>6232</v>
      </c>
      <c r="I3519" s="23">
        <v>3</v>
      </c>
      <c r="J3519" s="40">
        <v>0</v>
      </c>
      <c r="K3519" s="40">
        <v>0</v>
      </c>
      <c r="L3519" s="40" t="s">
        <v>115</v>
      </c>
      <c r="O3519" s="40" t="s">
        <v>115</v>
      </c>
      <c r="Q3519" s="40">
        <v>104</v>
      </c>
      <c r="R3519" s="40">
        <v>286</v>
      </c>
      <c r="X3519" s="40">
        <v>90270419</v>
      </c>
      <c r="Y3519" s="40" t="s">
        <v>115</v>
      </c>
      <c r="Z3519" s="40" t="s">
        <v>115</v>
      </c>
      <c r="AA3519" s="40" t="s">
        <v>115</v>
      </c>
      <c r="AB3519" s="40" t="s">
        <v>115</v>
      </c>
      <c r="AC3519" s="40" t="s">
        <v>115</v>
      </c>
      <c r="AI3519" s="40" t="s">
        <v>115</v>
      </c>
      <c r="AP3519" s="4" t="s">
        <v>115</v>
      </c>
    </row>
    <row r="3520" spans="1:42" x14ac:dyDescent="0.15">
      <c r="A3520" s="40" t="s">
        <v>1</v>
      </c>
      <c r="B3520" s="23">
        <v>90270419</v>
      </c>
      <c r="C3520" s="23">
        <v>2704</v>
      </c>
      <c r="D3520" s="23">
        <v>27</v>
      </c>
      <c r="F3520" s="23" t="s">
        <v>6212</v>
      </c>
      <c r="G3520" s="23" t="s">
        <v>115</v>
      </c>
      <c r="H3520" s="23" t="s">
        <v>6233</v>
      </c>
      <c r="I3520" s="23">
        <v>3</v>
      </c>
      <c r="J3520" s="40">
        <v>0</v>
      </c>
      <c r="K3520" s="40">
        <v>0</v>
      </c>
      <c r="L3520" s="40" t="s">
        <v>115</v>
      </c>
      <c r="O3520" s="40" t="s">
        <v>115</v>
      </c>
      <c r="Q3520" s="40">
        <v>104</v>
      </c>
      <c r="R3520" s="40">
        <v>286</v>
      </c>
      <c r="X3520" s="40">
        <v>90270420</v>
      </c>
      <c r="Y3520" s="40" t="s">
        <v>115</v>
      </c>
      <c r="Z3520" s="40" t="s">
        <v>115</v>
      </c>
      <c r="AA3520" s="40" t="s">
        <v>115</v>
      </c>
      <c r="AB3520" s="40" t="s">
        <v>115</v>
      </c>
      <c r="AC3520" s="40" t="s">
        <v>115</v>
      </c>
      <c r="AI3520" s="40" t="s">
        <v>115</v>
      </c>
      <c r="AP3520" s="4" t="s">
        <v>115</v>
      </c>
    </row>
    <row r="3521" spans="1:42" x14ac:dyDescent="0.15">
      <c r="A3521" s="40" t="s">
        <v>1</v>
      </c>
      <c r="B3521" s="23">
        <v>90270420</v>
      </c>
      <c r="C3521" s="23">
        <v>2704</v>
      </c>
      <c r="D3521" s="23">
        <v>27</v>
      </c>
      <c r="F3521" s="23" t="s">
        <v>6212</v>
      </c>
      <c r="G3521" s="23" t="s">
        <v>115</v>
      </c>
      <c r="H3521" s="23" t="s">
        <v>6234</v>
      </c>
      <c r="I3521" s="23">
        <v>3</v>
      </c>
      <c r="J3521" s="40">
        <v>0</v>
      </c>
      <c r="K3521" s="40">
        <v>0</v>
      </c>
      <c r="L3521" s="40" t="s">
        <v>115</v>
      </c>
      <c r="O3521" s="40" t="s">
        <v>115</v>
      </c>
      <c r="Q3521" s="40">
        <v>104</v>
      </c>
      <c r="R3521" s="40">
        <v>286</v>
      </c>
      <c r="X3521" s="40">
        <v>90270421</v>
      </c>
      <c r="Y3521" s="40" t="s">
        <v>115</v>
      </c>
      <c r="Z3521" s="40" t="s">
        <v>115</v>
      </c>
      <c r="AA3521" s="40" t="s">
        <v>115</v>
      </c>
      <c r="AB3521" s="40" t="s">
        <v>115</v>
      </c>
      <c r="AC3521" s="40" t="s">
        <v>115</v>
      </c>
      <c r="AI3521" s="40" t="s">
        <v>115</v>
      </c>
      <c r="AP3521" s="4" t="s">
        <v>115</v>
      </c>
    </row>
    <row r="3522" spans="1:42" x14ac:dyDescent="0.15">
      <c r="A3522" s="40" t="s">
        <v>1</v>
      </c>
      <c r="B3522" s="23">
        <v>90270421</v>
      </c>
      <c r="C3522" s="23">
        <v>2704</v>
      </c>
      <c r="D3522" s="23">
        <v>27</v>
      </c>
      <c r="F3522" s="23" t="s">
        <v>116</v>
      </c>
      <c r="G3522" s="23">
        <v>312</v>
      </c>
      <c r="H3522" s="23" t="s">
        <v>6235</v>
      </c>
      <c r="I3522" s="23">
        <v>0</v>
      </c>
      <c r="J3522" s="40">
        <v>0</v>
      </c>
      <c r="K3522" s="40">
        <v>0</v>
      </c>
      <c r="L3522" s="40" t="s">
        <v>115</v>
      </c>
      <c r="O3522" s="40" t="s">
        <v>115</v>
      </c>
      <c r="Q3522" s="40">
        <v>104</v>
      </c>
      <c r="R3522" s="40">
        <v>286</v>
      </c>
      <c r="X3522" s="40">
        <v>90270422</v>
      </c>
      <c r="Y3522" s="40" t="s">
        <v>115</v>
      </c>
      <c r="Z3522" s="40" t="s">
        <v>115</v>
      </c>
      <c r="AA3522" s="40" t="s">
        <v>115</v>
      </c>
      <c r="AB3522" s="40" t="s">
        <v>115</v>
      </c>
      <c r="AC3522" s="40" t="s">
        <v>115</v>
      </c>
      <c r="AI3522" s="40" t="s">
        <v>115</v>
      </c>
      <c r="AP3522" s="4" t="s">
        <v>115</v>
      </c>
    </row>
    <row r="3523" spans="1:42" x14ac:dyDescent="0.15">
      <c r="A3523" s="40" t="s">
        <v>1</v>
      </c>
      <c r="B3523" s="23">
        <v>90270422</v>
      </c>
      <c r="C3523" s="23">
        <v>2704</v>
      </c>
      <c r="D3523" s="23">
        <v>27</v>
      </c>
      <c r="F3523" s="23" t="s">
        <v>6212</v>
      </c>
      <c r="G3523" s="23" t="s">
        <v>115</v>
      </c>
      <c r="H3523" s="23" t="s">
        <v>6236</v>
      </c>
      <c r="I3523" s="23">
        <v>3</v>
      </c>
      <c r="J3523" s="40">
        <v>0</v>
      </c>
      <c r="K3523" s="40">
        <v>0</v>
      </c>
      <c r="L3523" s="40" t="s">
        <v>115</v>
      </c>
      <c r="O3523" s="40" t="s">
        <v>115</v>
      </c>
      <c r="Q3523" s="40">
        <v>104</v>
      </c>
      <c r="R3523" s="40">
        <v>286</v>
      </c>
      <c r="X3523" s="40">
        <v>90270423</v>
      </c>
      <c r="Y3523" s="40" t="s">
        <v>115</v>
      </c>
      <c r="Z3523" s="40" t="s">
        <v>115</v>
      </c>
      <c r="AA3523" s="40" t="s">
        <v>115</v>
      </c>
      <c r="AB3523" s="40" t="s">
        <v>115</v>
      </c>
      <c r="AC3523" s="40" t="s">
        <v>115</v>
      </c>
      <c r="AI3523" s="40" t="s">
        <v>115</v>
      </c>
      <c r="AP3523" s="4" t="s">
        <v>115</v>
      </c>
    </row>
    <row r="3524" spans="1:42" x14ac:dyDescent="0.15">
      <c r="A3524" s="40" t="s">
        <v>1</v>
      </c>
      <c r="B3524" s="23">
        <v>90270423</v>
      </c>
      <c r="C3524" s="23">
        <v>2704</v>
      </c>
      <c r="D3524" s="23">
        <v>27</v>
      </c>
      <c r="F3524" s="23" t="s">
        <v>6212</v>
      </c>
      <c r="G3524" s="23" t="s">
        <v>115</v>
      </c>
      <c r="H3524" s="23" t="s">
        <v>6237</v>
      </c>
      <c r="I3524" s="23">
        <v>3</v>
      </c>
      <c r="J3524" s="40">
        <v>0</v>
      </c>
      <c r="K3524" s="40">
        <v>5</v>
      </c>
      <c r="L3524" s="40" t="s">
        <v>6238</v>
      </c>
      <c r="O3524" s="40" t="s">
        <v>115</v>
      </c>
      <c r="Q3524" s="40">
        <v>104</v>
      </c>
      <c r="R3524" s="40">
        <v>286</v>
      </c>
      <c r="X3524" s="40">
        <v>90270424</v>
      </c>
      <c r="Y3524" s="40" t="s">
        <v>115</v>
      </c>
      <c r="Z3524" s="40">
        <v>4</v>
      </c>
      <c r="AA3524" s="40" t="s">
        <v>115</v>
      </c>
      <c r="AB3524" s="40" t="s">
        <v>115</v>
      </c>
      <c r="AC3524" s="40" t="s">
        <v>115</v>
      </c>
      <c r="AI3524" s="40" t="s">
        <v>115</v>
      </c>
      <c r="AP3524" s="4" t="s">
        <v>115</v>
      </c>
    </row>
    <row r="3525" spans="1:42" x14ac:dyDescent="0.15">
      <c r="A3525" s="40" t="s">
        <v>1</v>
      </c>
      <c r="B3525" s="23">
        <v>90270424</v>
      </c>
      <c r="C3525" s="23">
        <v>2704</v>
      </c>
      <c r="D3525" s="23">
        <v>27</v>
      </c>
      <c r="F3525" s="23" t="s">
        <v>116</v>
      </c>
      <c r="G3525" s="23">
        <v>312</v>
      </c>
      <c r="H3525" s="23" t="s">
        <v>6239</v>
      </c>
      <c r="I3525" s="23">
        <v>0</v>
      </c>
      <c r="J3525" s="40">
        <v>0</v>
      </c>
      <c r="K3525" s="40">
        <v>0</v>
      </c>
      <c r="L3525" s="40" t="s">
        <v>115</v>
      </c>
      <c r="O3525" s="40" t="s">
        <v>115</v>
      </c>
      <c r="Q3525" s="40">
        <v>104</v>
      </c>
      <c r="R3525" s="40">
        <v>286</v>
      </c>
      <c r="X3525" s="40">
        <v>90270425</v>
      </c>
      <c r="Y3525" s="40" t="s">
        <v>115</v>
      </c>
      <c r="Z3525" s="40" t="s">
        <v>115</v>
      </c>
      <c r="AA3525" s="40" t="s">
        <v>115</v>
      </c>
      <c r="AB3525" s="40" t="s">
        <v>115</v>
      </c>
      <c r="AC3525" s="40" t="s">
        <v>115</v>
      </c>
      <c r="AI3525" s="40" t="s">
        <v>115</v>
      </c>
      <c r="AP3525" s="4" t="s">
        <v>115</v>
      </c>
    </row>
    <row r="3526" spans="1:42" x14ac:dyDescent="0.15">
      <c r="A3526" s="40" t="s">
        <v>1</v>
      </c>
      <c r="B3526" s="23">
        <v>90270425</v>
      </c>
      <c r="C3526" s="23">
        <v>2704</v>
      </c>
      <c r="D3526" s="23">
        <v>27</v>
      </c>
      <c r="F3526" s="23" t="s">
        <v>6212</v>
      </c>
      <c r="G3526" s="23" t="s">
        <v>115</v>
      </c>
      <c r="H3526" s="23" t="s">
        <v>6240</v>
      </c>
      <c r="I3526" s="23">
        <v>3</v>
      </c>
      <c r="J3526" s="40">
        <v>0</v>
      </c>
      <c r="K3526" s="40">
        <v>0</v>
      </c>
      <c r="L3526" s="40" t="s">
        <v>115</v>
      </c>
      <c r="O3526" s="40" t="s">
        <v>115</v>
      </c>
      <c r="Q3526" s="40">
        <v>104</v>
      </c>
      <c r="R3526" s="40">
        <v>286</v>
      </c>
      <c r="X3526" s="40">
        <v>90270426</v>
      </c>
      <c r="Y3526" s="40" t="s">
        <v>115</v>
      </c>
      <c r="Z3526" s="40" t="s">
        <v>115</v>
      </c>
      <c r="AA3526" s="40" t="s">
        <v>115</v>
      </c>
      <c r="AB3526" s="40" t="s">
        <v>115</v>
      </c>
      <c r="AC3526" s="40" t="s">
        <v>115</v>
      </c>
      <c r="AI3526" s="40" t="s">
        <v>115</v>
      </c>
      <c r="AP3526" s="4" t="s">
        <v>115</v>
      </c>
    </row>
    <row r="3527" spans="1:42" x14ac:dyDescent="0.15">
      <c r="A3527" s="40" t="s">
        <v>1</v>
      </c>
      <c r="B3527" s="23">
        <v>90270426</v>
      </c>
      <c r="C3527" s="23">
        <v>2704</v>
      </c>
      <c r="D3527" s="23">
        <v>27</v>
      </c>
      <c r="F3527" s="23" t="s">
        <v>115</v>
      </c>
      <c r="G3527" s="23" t="s">
        <v>115</v>
      </c>
      <c r="H3527" s="23" t="s">
        <v>6241</v>
      </c>
      <c r="I3527" s="23">
        <v>4</v>
      </c>
      <c r="J3527" s="40">
        <v>0</v>
      </c>
      <c r="K3527" s="40">
        <v>6</v>
      </c>
      <c r="L3527" s="40" t="s">
        <v>6242</v>
      </c>
      <c r="O3527" s="40" t="s">
        <v>115</v>
      </c>
      <c r="Q3527" s="40">
        <v>104</v>
      </c>
      <c r="R3527" s="40">
        <v>286</v>
      </c>
      <c r="X3527" s="40">
        <v>90270427</v>
      </c>
      <c r="Y3527" s="40" t="s">
        <v>115</v>
      </c>
      <c r="Z3527" s="40">
        <v>5</v>
      </c>
      <c r="AA3527" s="40" t="s">
        <v>115</v>
      </c>
      <c r="AB3527" s="40" t="s">
        <v>115</v>
      </c>
      <c r="AC3527" s="40" t="s">
        <v>115</v>
      </c>
      <c r="AI3527" s="40" t="s">
        <v>115</v>
      </c>
      <c r="AP3527" s="4" t="s">
        <v>115</v>
      </c>
    </row>
    <row r="3528" spans="1:42" x14ac:dyDescent="0.15">
      <c r="A3528" s="40" t="s">
        <v>1</v>
      </c>
      <c r="B3528" s="23">
        <v>90270427</v>
      </c>
      <c r="C3528" s="23">
        <v>2704</v>
      </c>
      <c r="D3528" s="23">
        <v>27</v>
      </c>
      <c r="F3528" s="23" t="s">
        <v>116</v>
      </c>
      <c r="G3528" s="23">
        <v>314</v>
      </c>
      <c r="H3528" s="23" t="s">
        <v>6243</v>
      </c>
      <c r="I3528" s="23">
        <v>2</v>
      </c>
      <c r="J3528" s="40">
        <v>0</v>
      </c>
      <c r="K3528" s="40">
        <v>7</v>
      </c>
      <c r="L3528" s="40" t="s">
        <v>115</v>
      </c>
      <c r="O3528" s="40">
        <v>1</v>
      </c>
      <c r="Q3528" s="40">
        <v>104</v>
      </c>
      <c r="R3528" s="40">
        <v>286</v>
      </c>
      <c r="X3528" s="40" t="s">
        <v>115</v>
      </c>
      <c r="Y3528" s="40" t="s">
        <v>115</v>
      </c>
      <c r="Z3528" s="40">
        <v>6</v>
      </c>
      <c r="AA3528" s="40" t="s">
        <v>115</v>
      </c>
      <c r="AB3528" s="40" t="s">
        <v>115</v>
      </c>
      <c r="AC3528" s="40" t="s">
        <v>115</v>
      </c>
      <c r="AI3528" s="40" t="s">
        <v>115</v>
      </c>
      <c r="AP3528" s="4" t="s">
        <v>6244</v>
      </c>
    </row>
    <row r="3529" spans="1:42" x14ac:dyDescent="0.15">
      <c r="A3529" s="40" t="s">
        <v>1</v>
      </c>
      <c r="B3529" s="23" t="s">
        <v>4910</v>
      </c>
      <c r="C3529" s="23">
        <v>2705</v>
      </c>
      <c r="D3529" s="23">
        <v>27</v>
      </c>
      <c r="F3529" s="23" t="s">
        <v>115</v>
      </c>
      <c r="G3529" s="23" t="s">
        <v>115</v>
      </c>
      <c r="H3529" s="23" t="s">
        <v>6245</v>
      </c>
      <c r="I3529" s="23">
        <v>4</v>
      </c>
      <c r="J3529" s="40">
        <v>1</v>
      </c>
      <c r="K3529" s="40">
        <v>1</v>
      </c>
      <c r="L3529" s="40" t="s">
        <v>115</v>
      </c>
      <c r="O3529" s="40" t="s">
        <v>115</v>
      </c>
      <c r="Q3529" s="40">
        <v>205</v>
      </c>
      <c r="R3529" s="40" t="s">
        <v>115</v>
      </c>
      <c r="X3529" s="40">
        <v>90270502</v>
      </c>
      <c r="Y3529" s="40" t="s">
        <v>115</v>
      </c>
      <c r="Z3529" s="40" t="s">
        <v>115</v>
      </c>
      <c r="AA3529" s="40" t="s">
        <v>115</v>
      </c>
      <c r="AB3529" s="40" t="s">
        <v>115</v>
      </c>
      <c r="AC3529" s="40" t="s">
        <v>115</v>
      </c>
      <c r="AI3529" s="40" t="s">
        <v>115</v>
      </c>
      <c r="AP3529" s="4" t="s">
        <v>115</v>
      </c>
    </row>
    <row r="3530" spans="1:42" x14ac:dyDescent="0.15">
      <c r="A3530" s="40" t="s">
        <v>1</v>
      </c>
      <c r="B3530" s="23">
        <v>90270502</v>
      </c>
      <c r="C3530" s="23">
        <v>2705</v>
      </c>
      <c r="D3530" s="23">
        <v>27</v>
      </c>
      <c r="F3530" s="23" t="s">
        <v>116</v>
      </c>
      <c r="G3530" s="23">
        <v>314</v>
      </c>
      <c r="H3530" s="23" t="s">
        <v>6246</v>
      </c>
      <c r="I3530" s="23">
        <v>2</v>
      </c>
      <c r="J3530" s="40">
        <v>0</v>
      </c>
      <c r="K3530" s="40">
        <v>0</v>
      </c>
      <c r="L3530" s="40" t="s">
        <v>115</v>
      </c>
      <c r="O3530" s="40" t="s">
        <v>115</v>
      </c>
      <c r="Q3530" s="40">
        <v>205</v>
      </c>
      <c r="R3530" s="40" t="s">
        <v>115</v>
      </c>
      <c r="X3530" s="40">
        <v>90270503</v>
      </c>
      <c r="Y3530" s="40" t="s">
        <v>115</v>
      </c>
      <c r="Z3530" s="40" t="s">
        <v>115</v>
      </c>
      <c r="AA3530" s="40" t="s">
        <v>115</v>
      </c>
      <c r="AB3530" s="40" t="s">
        <v>115</v>
      </c>
      <c r="AC3530" s="40" t="s">
        <v>115</v>
      </c>
      <c r="AI3530" s="40" t="s">
        <v>115</v>
      </c>
      <c r="AP3530" s="4" t="s">
        <v>115</v>
      </c>
    </row>
    <row r="3531" spans="1:42" x14ac:dyDescent="0.15">
      <c r="A3531" s="40" t="s">
        <v>1</v>
      </c>
      <c r="B3531" s="23">
        <v>90270503</v>
      </c>
      <c r="C3531" s="23">
        <v>2705</v>
      </c>
      <c r="D3531" s="23">
        <v>27</v>
      </c>
      <c r="F3531" s="23" t="s">
        <v>116</v>
      </c>
      <c r="G3531" s="23">
        <v>314</v>
      </c>
      <c r="H3531" s="23" t="s">
        <v>6247</v>
      </c>
      <c r="I3531" s="23">
        <v>2</v>
      </c>
      <c r="J3531" s="40">
        <v>0</v>
      </c>
      <c r="K3531" s="40">
        <v>0</v>
      </c>
      <c r="L3531" s="40" t="s">
        <v>115</v>
      </c>
      <c r="O3531" s="40" t="s">
        <v>115</v>
      </c>
      <c r="Q3531" s="40">
        <v>205</v>
      </c>
      <c r="R3531" s="40" t="s">
        <v>115</v>
      </c>
      <c r="X3531" s="40">
        <v>90270504</v>
      </c>
      <c r="Y3531" s="40" t="s">
        <v>115</v>
      </c>
      <c r="Z3531" s="40" t="s">
        <v>115</v>
      </c>
      <c r="AA3531" s="40" t="s">
        <v>115</v>
      </c>
      <c r="AB3531" s="40" t="s">
        <v>115</v>
      </c>
      <c r="AC3531" s="40" t="s">
        <v>115</v>
      </c>
      <c r="AI3531" s="40" t="s">
        <v>115</v>
      </c>
      <c r="AP3531" s="4" t="s">
        <v>115</v>
      </c>
    </row>
    <row r="3532" spans="1:42" x14ac:dyDescent="0.15">
      <c r="A3532" s="40" t="s">
        <v>1</v>
      </c>
      <c r="B3532" s="23">
        <v>90270504</v>
      </c>
      <c r="C3532" s="23">
        <v>2705</v>
      </c>
      <c r="D3532" s="23">
        <v>27</v>
      </c>
      <c r="F3532" s="23" t="s">
        <v>115</v>
      </c>
      <c r="G3532" s="23" t="s">
        <v>115</v>
      </c>
      <c r="H3532" s="23" t="s">
        <v>6248</v>
      </c>
      <c r="I3532" s="23">
        <v>4</v>
      </c>
      <c r="J3532" s="40">
        <v>0</v>
      </c>
      <c r="K3532" s="40">
        <v>0</v>
      </c>
      <c r="L3532" s="40" t="s">
        <v>115</v>
      </c>
      <c r="O3532" s="40" t="s">
        <v>115</v>
      </c>
      <c r="Q3532" s="40">
        <v>205</v>
      </c>
      <c r="R3532" s="40" t="s">
        <v>115</v>
      </c>
      <c r="X3532" s="40">
        <v>90270505</v>
      </c>
      <c r="Y3532" s="40" t="s">
        <v>115</v>
      </c>
      <c r="Z3532" s="40" t="s">
        <v>115</v>
      </c>
      <c r="AA3532" s="40" t="s">
        <v>115</v>
      </c>
      <c r="AB3532" s="40" t="s">
        <v>115</v>
      </c>
      <c r="AC3532" s="40" t="s">
        <v>115</v>
      </c>
      <c r="AI3532" s="40" t="s">
        <v>115</v>
      </c>
      <c r="AP3532" s="4" t="s">
        <v>115</v>
      </c>
    </row>
    <row r="3533" spans="1:42" x14ac:dyDescent="0.15">
      <c r="A3533" s="40" t="s">
        <v>1</v>
      </c>
      <c r="B3533" s="23">
        <v>90270505</v>
      </c>
      <c r="C3533" s="23">
        <v>2705</v>
      </c>
      <c r="D3533" s="23">
        <v>27</v>
      </c>
      <c r="F3533" s="23" t="s">
        <v>6249</v>
      </c>
      <c r="G3533" s="23" t="s">
        <v>115</v>
      </c>
      <c r="H3533" s="23" t="s">
        <v>6250</v>
      </c>
      <c r="I3533" s="23">
        <v>3</v>
      </c>
      <c r="J3533" s="40">
        <v>0</v>
      </c>
      <c r="K3533" s="40">
        <v>0</v>
      </c>
      <c r="L3533" s="40" t="s">
        <v>115</v>
      </c>
      <c r="O3533" s="40" t="s">
        <v>115</v>
      </c>
      <c r="Q3533" s="40">
        <v>143</v>
      </c>
      <c r="R3533" s="40">
        <v>128</v>
      </c>
      <c r="X3533" s="40">
        <v>90270506</v>
      </c>
      <c r="Y3533" s="40" t="s">
        <v>115</v>
      </c>
      <c r="Z3533" s="40" t="s">
        <v>115</v>
      </c>
      <c r="AA3533" s="40" t="s">
        <v>115</v>
      </c>
      <c r="AB3533" s="40" t="s">
        <v>115</v>
      </c>
      <c r="AC3533" s="40" t="s">
        <v>115</v>
      </c>
      <c r="AI3533" s="40" t="s">
        <v>115</v>
      </c>
      <c r="AP3533" s="4" t="s">
        <v>115</v>
      </c>
    </row>
    <row r="3534" spans="1:42" x14ac:dyDescent="0.15">
      <c r="A3534" s="40" t="s">
        <v>1</v>
      </c>
      <c r="B3534" s="23">
        <v>90270506</v>
      </c>
      <c r="C3534" s="23">
        <v>2705</v>
      </c>
      <c r="D3534" s="23">
        <v>27</v>
      </c>
      <c r="F3534" s="23" t="s">
        <v>930</v>
      </c>
      <c r="G3534" s="23" t="s">
        <v>115</v>
      </c>
      <c r="H3534" s="23" t="s">
        <v>6251</v>
      </c>
      <c r="I3534" s="23">
        <v>3</v>
      </c>
      <c r="J3534" s="40">
        <v>0</v>
      </c>
      <c r="K3534" s="40">
        <v>0</v>
      </c>
      <c r="L3534" s="40" t="s">
        <v>115</v>
      </c>
      <c r="O3534" s="40" t="s">
        <v>115</v>
      </c>
      <c r="Q3534" s="40">
        <v>143</v>
      </c>
      <c r="R3534" s="40">
        <v>247</v>
      </c>
      <c r="X3534" s="40">
        <v>90270507</v>
      </c>
      <c r="Y3534" s="40" t="s">
        <v>115</v>
      </c>
      <c r="Z3534" s="40" t="s">
        <v>115</v>
      </c>
      <c r="AA3534" s="40" t="s">
        <v>115</v>
      </c>
      <c r="AB3534" s="40" t="s">
        <v>115</v>
      </c>
      <c r="AC3534" s="40" t="s">
        <v>115</v>
      </c>
      <c r="AI3534" s="40" t="s">
        <v>115</v>
      </c>
      <c r="AP3534" s="4" t="s">
        <v>115</v>
      </c>
    </row>
    <row r="3535" spans="1:42" x14ac:dyDescent="0.15">
      <c r="A3535" s="40" t="s">
        <v>1</v>
      </c>
      <c r="B3535" s="23">
        <v>90270507</v>
      </c>
      <c r="C3535" s="23">
        <v>2705</v>
      </c>
      <c r="D3535" s="23">
        <v>27</v>
      </c>
      <c r="F3535" s="23" t="s">
        <v>115</v>
      </c>
      <c r="G3535" s="23" t="s">
        <v>115</v>
      </c>
      <c r="H3535" s="23" t="s">
        <v>6252</v>
      </c>
      <c r="I3535" s="23">
        <v>4</v>
      </c>
      <c r="J3535" s="40">
        <v>0</v>
      </c>
      <c r="K3535" s="40">
        <v>0</v>
      </c>
      <c r="L3535" s="40" t="s">
        <v>115</v>
      </c>
      <c r="O3535" s="40" t="s">
        <v>115</v>
      </c>
      <c r="Q3535" s="40">
        <v>143</v>
      </c>
      <c r="R3535" s="40">
        <v>128</v>
      </c>
      <c r="X3535" s="40">
        <v>90270508</v>
      </c>
      <c r="Y3535" s="40" t="s">
        <v>115</v>
      </c>
      <c r="Z3535" s="40" t="s">
        <v>115</v>
      </c>
      <c r="AA3535" s="40" t="s">
        <v>115</v>
      </c>
      <c r="AB3535" s="40" t="s">
        <v>115</v>
      </c>
      <c r="AC3535" s="40" t="s">
        <v>115</v>
      </c>
      <c r="AI3535" s="40" t="s">
        <v>115</v>
      </c>
      <c r="AP3535" s="4" t="s">
        <v>115</v>
      </c>
    </row>
    <row r="3536" spans="1:42" x14ac:dyDescent="0.15">
      <c r="A3536" s="40" t="s">
        <v>1</v>
      </c>
      <c r="B3536" s="23">
        <v>90270508</v>
      </c>
      <c r="C3536" s="23">
        <v>2705</v>
      </c>
      <c r="D3536" s="23">
        <v>27</v>
      </c>
      <c r="F3536" s="23" t="s">
        <v>116</v>
      </c>
      <c r="G3536" s="23">
        <v>312</v>
      </c>
      <c r="H3536" s="23" t="s">
        <v>6253</v>
      </c>
      <c r="I3536" s="23">
        <v>2</v>
      </c>
      <c r="J3536" s="40">
        <v>0</v>
      </c>
      <c r="K3536" s="40">
        <v>0</v>
      </c>
      <c r="L3536" s="40" t="s">
        <v>115</v>
      </c>
      <c r="O3536" s="40" t="s">
        <v>115</v>
      </c>
      <c r="Q3536" s="40">
        <v>143</v>
      </c>
      <c r="R3536" s="40">
        <v>128</v>
      </c>
      <c r="X3536" s="40">
        <v>90270509</v>
      </c>
      <c r="Y3536" s="40" t="s">
        <v>115</v>
      </c>
      <c r="Z3536" s="40" t="s">
        <v>115</v>
      </c>
      <c r="AA3536" s="40" t="s">
        <v>115</v>
      </c>
      <c r="AB3536" s="40" t="s">
        <v>115</v>
      </c>
      <c r="AC3536" s="40" t="s">
        <v>115</v>
      </c>
      <c r="AI3536" s="40" t="s">
        <v>115</v>
      </c>
      <c r="AP3536" s="4" t="s">
        <v>115</v>
      </c>
    </row>
    <row r="3537" spans="1:42" x14ac:dyDescent="0.15">
      <c r="A3537" s="40" t="s">
        <v>1</v>
      </c>
      <c r="B3537" s="23">
        <v>90270509</v>
      </c>
      <c r="C3537" s="23">
        <v>2705</v>
      </c>
      <c r="D3537" s="23">
        <v>27</v>
      </c>
      <c r="F3537" s="23" t="s">
        <v>115</v>
      </c>
      <c r="G3537" s="23" t="s">
        <v>115</v>
      </c>
      <c r="H3537" s="23" t="s">
        <v>6254</v>
      </c>
      <c r="I3537" s="23">
        <v>4</v>
      </c>
      <c r="J3537" s="40">
        <v>0</v>
      </c>
      <c r="K3537" s="40">
        <v>2</v>
      </c>
      <c r="L3537" s="40" t="s">
        <v>115</v>
      </c>
      <c r="O3537" s="40" t="s">
        <v>115</v>
      </c>
      <c r="Q3537" s="40">
        <v>143</v>
      </c>
      <c r="R3537" s="40">
        <v>128</v>
      </c>
      <c r="X3537" s="40" t="s">
        <v>6255</v>
      </c>
      <c r="Y3537" s="40">
        <v>1</v>
      </c>
      <c r="Z3537" s="40">
        <v>1</v>
      </c>
      <c r="AA3537" s="40" t="s">
        <v>115</v>
      </c>
      <c r="AB3537" s="40" t="s">
        <v>115</v>
      </c>
      <c r="AC3537" s="40" t="s">
        <v>115</v>
      </c>
      <c r="AI3537" s="40" t="s">
        <v>115</v>
      </c>
      <c r="AP3537" s="4" t="s">
        <v>115</v>
      </c>
    </row>
    <row r="3538" spans="1:42" x14ac:dyDescent="0.15">
      <c r="A3538" s="40" t="s">
        <v>1</v>
      </c>
      <c r="B3538" s="23">
        <v>90270510</v>
      </c>
      <c r="C3538" s="23">
        <v>2705</v>
      </c>
      <c r="D3538" s="23">
        <v>27</v>
      </c>
      <c r="F3538" s="23" t="s">
        <v>115</v>
      </c>
      <c r="G3538" s="23" t="s">
        <v>115</v>
      </c>
      <c r="H3538" s="23" t="s">
        <v>6256</v>
      </c>
      <c r="I3538" s="23">
        <v>4</v>
      </c>
      <c r="J3538" s="40">
        <v>0</v>
      </c>
      <c r="K3538" s="40">
        <v>3</v>
      </c>
      <c r="L3538" s="40" t="s">
        <v>115</v>
      </c>
      <c r="O3538" s="40" t="s">
        <v>115</v>
      </c>
      <c r="Q3538" s="40">
        <v>143</v>
      </c>
      <c r="R3538" s="40">
        <v>128</v>
      </c>
      <c r="X3538" s="40">
        <v>90270512</v>
      </c>
      <c r="Y3538" s="40">
        <v>-1</v>
      </c>
      <c r="Z3538" s="40">
        <v>2</v>
      </c>
      <c r="AA3538" s="40" t="s">
        <v>115</v>
      </c>
      <c r="AB3538" s="40" t="s">
        <v>115</v>
      </c>
      <c r="AC3538" s="40" t="s">
        <v>6257</v>
      </c>
      <c r="AI3538" s="40" t="s">
        <v>115</v>
      </c>
      <c r="AP3538" s="4" t="s">
        <v>115</v>
      </c>
    </row>
    <row r="3539" spans="1:42" x14ac:dyDescent="0.15">
      <c r="A3539" s="40" t="s">
        <v>1</v>
      </c>
      <c r="B3539" s="23">
        <v>90270511</v>
      </c>
      <c r="C3539" s="23">
        <v>2705</v>
      </c>
      <c r="D3539" s="23">
        <v>27</v>
      </c>
      <c r="F3539" s="23" t="s">
        <v>115</v>
      </c>
      <c r="G3539" s="23" t="s">
        <v>115</v>
      </c>
      <c r="H3539" s="23" t="s">
        <v>6258</v>
      </c>
      <c r="I3539" s="23">
        <v>4</v>
      </c>
      <c r="J3539" s="40">
        <v>0</v>
      </c>
      <c r="K3539" s="40">
        <v>4</v>
      </c>
      <c r="L3539" s="40" t="s">
        <v>115</v>
      </c>
      <c r="O3539" s="40" t="s">
        <v>115</v>
      </c>
      <c r="Q3539" s="40">
        <v>143</v>
      </c>
      <c r="R3539" s="40">
        <v>128</v>
      </c>
      <c r="X3539" s="40">
        <v>90270518</v>
      </c>
      <c r="Y3539" s="40">
        <v>-1</v>
      </c>
      <c r="Z3539" s="40">
        <v>2</v>
      </c>
      <c r="AA3539" s="40" t="s">
        <v>6259</v>
      </c>
      <c r="AB3539" s="40" t="s">
        <v>115</v>
      </c>
      <c r="AC3539" s="40" t="s">
        <v>115</v>
      </c>
      <c r="AI3539" s="40" t="s">
        <v>115</v>
      </c>
      <c r="AP3539" s="4" t="s">
        <v>115</v>
      </c>
    </row>
    <row r="3540" spans="1:42" x14ac:dyDescent="0.15">
      <c r="A3540" s="40" t="s">
        <v>1</v>
      </c>
      <c r="B3540" s="23">
        <v>90270512</v>
      </c>
      <c r="C3540" s="23">
        <v>2705</v>
      </c>
      <c r="D3540" s="23">
        <v>27</v>
      </c>
      <c r="F3540" s="23" t="s">
        <v>116</v>
      </c>
      <c r="G3540" s="23">
        <v>312</v>
      </c>
      <c r="H3540" s="23" t="s">
        <v>6260</v>
      </c>
      <c r="I3540" s="23">
        <v>0</v>
      </c>
      <c r="J3540" s="40">
        <v>0</v>
      </c>
      <c r="K3540" s="40">
        <v>0</v>
      </c>
      <c r="L3540" s="40" t="s">
        <v>115</v>
      </c>
      <c r="O3540" s="40" t="s">
        <v>115</v>
      </c>
      <c r="Q3540" s="40">
        <v>143</v>
      </c>
      <c r="R3540" s="40">
        <v>128</v>
      </c>
      <c r="X3540" s="40">
        <v>90270513</v>
      </c>
      <c r="Y3540" s="40" t="s">
        <v>115</v>
      </c>
      <c r="Z3540" s="40" t="s">
        <v>115</v>
      </c>
      <c r="AA3540" s="40" t="s">
        <v>115</v>
      </c>
      <c r="AB3540" s="40" t="s">
        <v>115</v>
      </c>
      <c r="AC3540" s="40" t="s">
        <v>115</v>
      </c>
      <c r="AI3540" s="40" t="s">
        <v>115</v>
      </c>
      <c r="AP3540" s="4" t="s">
        <v>115</v>
      </c>
    </row>
    <row r="3541" spans="1:42" x14ac:dyDescent="0.15">
      <c r="A3541" s="40" t="s">
        <v>1</v>
      </c>
      <c r="B3541" s="23">
        <v>90270513</v>
      </c>
      <c r="C3541" s="23">
        <v>2705</v>
      </c>
      <c r="D3541" s="23">
        <v>27</v>
      </c>
      <c r="F3541" s="23" t="s">
        <v>6249</v>
      </c>
      <c r="G3541" s="23" t="s">
        <v>115</v>
      </c>
      <c r="H3541" s="23" t="s">
        <v>6261</v>
      </c>
      <c r="I3541" s="23">
        <v>3</v>
      </c>
      <c r="J3541" s="40">
        <v>0</v>
      </c>
      <c r="K3541" s="40">
        <v>0</v>
      </c>
      <c r="L3541" s="40" t="s">
        <v>115</v>
      </c>
      <c r="O3541" s="40" t="s">
        <v>115</v>
      </c>
      <c r="Q3541" s="40">
        <v>143</v>
      </c>
      <c r="R3541" s="40">
        <v>128</v>
      </c>
      <c r="X3541" s="40">
        <v>90270514</v>
      </c>
      <c r="Y3541" s="40" t="s">
        <v>115</v>
      </c>
      <c r="Z3541" s="40" t="s">
        <v>115</v>
      </c>
      <c r="AA3541" s="40" t="s">
        <v>115</v>
      </c>
      <c r="AB3541" s="40" t="s">
        <v>115</v>
      </c>
      <c r="AC3541" s="40" t="s">
        <v>115</v>
      </c>
      <c r="AI3541" s="40" t="s">
        <v>115</v>
      </c>
      <c r="AP3541" s="4" t="s">
        <v>115</v>
      </c>
    </row>
    <row r="3542" spans="1:42" x14ac:dyDescent="0.15">
      <c r="A3542" s="40" t="s">
        <v>1</v>
      </c>
      <c r="B3542" s="23">
        <v>90270514</v>
      </c>
      <c r="C3542" s="23">
        <v>2705</v>
      </c>
      <c r="D3542" s="23">
        <v>27</v>
      </c>
      <c r="F3542" s="23" t="s">
        <v>116</v>
      </c>
      <c r="G3542" s="23">
        <v>312</v>
      </c>
      <c r="H3542" s="23" t="s">
        <v>6262</v>
      </c>
      <c r="I3542" s="23">
        <v>0</v>
      </c>
      <c r="J3542" s="40">
        <v>0</v>
      </c>
      <c r="K3542" s="40">
        <v>0</v>
      </c>
      <c r="L3542" s="40" t="s">
        <v>115</v>
      </c>
      <c r="O3542" s="40" t="s">
        <v>115</v>
      </c>
      <c r="Q3542" s="40">
        <v>143</v>
      </c>
      <c r="R3542" s="40">
        <v>128</v>
      </c>
      <c r="X3542" s="40">
        <v>90270515</v>
      </c>
      <c r="Y3542" s="40" t="s">
        <v>115</v>
      </c>
      <c r="Z3542" s="40" t="s">
        <v>115</v>
      </c>
      <c r="AA3542" s="40" t="s">
        <v>115</v>
      </c>
      <c r="AB3542" s="40" t="s">
        <v>115</v>
      </c>
      <c r="AC3542" s="40" t="s">
        <v>115</v>
      </c>
      <c r="AI3542" s="40" t="s">
        <v>115</v>
      </c>
      <c r="AP3542" s="4" t="s">
        <v>115</v>
      </c>
    </row>
    <row r="3543" spans="1:42" x14ac:dyDescent="0.15">
      <c r="A3543" s="40" t="s">
        <v>1</v>
      </c>
      <c r="B3543" s="23">
        <v>90270515</v>
      </c>
      <c r="C3543" s="23">
        <v>2705</v>
      </c>
      <c r="D3543" s="23">
        <v>27</v>
      </c>
      <c r="F3543" s="23" t="s">
        <v>6249</v>
      </c>
      <c r="G3543" s="23" t="s">
        <v>115</v>
      </c>
      <c r="H3543" s="23" t="s">
        <v>6263</v>
      </c>
      <c r="I3543" s="23">
        <v>3</v>
      </c>
      <c r="J3543" s="40">
        <v>0</v>
      </c>
      <c r="K3543" s="40">
        <v>0</v>
      </c>
      <c r="L3543" s="40" t="s">
        <v>115</v>
      </c>
      <c r="O3543" s="40" t="s">
        <v>115</v>
      </c>
      <c r="Q3543" s="40">
        <v>143</v>
      </c>
      <c r="R3543" s="40">
        <v>128</v>
      </c>
      <c r="X3543" s="40">
        <v>90270516</v>
      </c>
      <c r="Y3543" s="40" t="s">
        <v>115</v>
      </c>
      <c r="Z3543" s="40" t="s">
        <v>115</v>
      </c>
      <c r="AA3543" s="40" t="s">
        <v>115</v>
      </c>
      <c r="AB3543" s="40" t="s">
        <v>115</v>
      </c>
      <c r="AC3543" s="40" t="s">
        <v>115</v>
      </c>
      <c r="AI3543" s="40" t="s">
        <v>115</v>
      </c>
      <c r="AP3543" s="4" t="s">
        <v>115</v>
      </c>
    </row>
    <row r="3544" spans="1:42" x14ac:dyDescent="0.15">
      <c r="A3544" s="40" t="s">
        <v>1</v>
      </c>
      <c r="B3544" s="23">
        <v>90270516</v>
      </c>
      <c r="C3544" s="23">
        <v>2705</v>
      </c>
      <c r="D3544" s="23">
        <v>27</v>
      </c>
      <c r="F3544" s="23" t="s">
        <v>115</v>
      </c>
      <c r="G3544" s="23" t="s">
        <v>115</v>
      </c>
      <c r="H3544" s="23" t="s">
        <v>6264</v>
      </c>
      <c r="I3544" s="23">
        <v>4</v>
      </c>
      <c r="J3544" s="40">
        <v>0</v>
      </c>
      <c r="K3544" s="40">
        <v>0</v>
      </c>
      <c r="L3544" s="40" t="s">
        <v>115</v>
      </c>
      <c r="O3544" s="40" t="s">
        <v>115</v>
      </c>
      <c r="Q3544" s="40">
        <v>143</v>
      </c>
      <c r="R3544" s="40">
        <v>128</v>
      </c>
      <c r="X3544" s="40">
        <v>90270517</v>
      </c>
      <c r="Y3544" s="40" t="s">
        <v>115</v>
      </c>
      <c r="Z3544" s="40" t="s">
        <v>115</v>
      </c>
      <c r="AA3544" s="40" t="s">
        <v>115</v>
      </c>
      <c r="AB3544" s="40" t="s">
        <v>115</v>
      </c>
      <c r="AC3544" s="40" t="s">
        <v>115</v>
      </c>
      <c r="AI3544" s="40" t="s">
        <v>115</v>
      </c>
      <c r="AP3544" s="4" t="s">
        <v>115</v>
      </c>
    </row>
    <row r="3545" spans="1:42" x14ac:dyDescent="0.15">
      <c r="A3545" s="40" t="s">
        <v>1</v>
      </c>
      <c r="B3545" s="23">
        <v>90270517</v>
      </c>
      <c r="C3545" s="23">
        <v>2705</v>
      </c>
      <c r="D3545" s="23">
        <v>27</v>
      </c>
      <c r="F3545" s="23" t="s">
        <v>116</v>
      </c>
      <c r="G3545" s="23">
        <v>312</v>
      </c>
      <c r="H3545" s="23" t="s">
        <v>6265</v>
      </c>
      <c r="I3545" s="23">
        <v>0</v>
      </c>
      <c r="J3545" s="40">
        <v>0</v>
      </c>
      <c r="K3545" s="40">
        <v>0</v>
      </c>
      <c r="L3545" s="40" t="s">
        <v>115</v>
      </c>
      <c r="O3545" s="40" t="s">
        <v>115</v>
      </c>
      <c r="Q3545" s="40">
        <v>143</v>
      </c>
      <c r="R3545" s="40">
        <v>128</v>
      </c>
      <c r="X3545" s="40">
        <v>90270522</v>
      </c>
      <c r="Y3545" s="40" t="s">
        <v>115</v>
      </c>
      <c r="Z3545" s="40" t="s">
        <v>115</v>
      </c>
      <c r="AA3545" s="40" t="s">
        <v>115</v>
      </c>
      <c r="AB3545" s="40" t="s">
        <v>115</v>
      </c>
      <c r="AC3545" s="40" t="s">
        <v>115</v>
      </c>
      <c r="AI3545" s="40" t="s">
        <v>115</v>
      </c>
      <c r="AP3545" s="4" t="s">
        <v>115</v>
      </c>
    </row>
    <row r="3546" spans="1:42" x14ac:dyDescent="0.15">
      <c r="A3546" s="40" t="s">
        <v>1</v>
      </c>
      <c r="B3546" s="23">
        <v>90270518</v>
      </c>
      <c r="C3546" s="23">
        <v>2705</v>
      </c>
      <c r="D3546" s="23">
        <v>27</v>
      </c>
      <c r="F3546" s="23" t="s">
        <v>116</v>
      </c>
      <c r="G3546" s="23">
        <v>312</v>
      </c>
      <c r="H3546" s="23" t="s">
        <v>6266</v>
      </c>
      <c r="I3546" s="23">
        <v>0</v>
      </c>
      <c r="J3546" s="40">
        <v>0</v>
      </c>
      <c r="K3546" s="40">
        <v>0</v>
      </c>
      <c r="L3546" s="40" t="s">
        <v>115</v>
      </c>
      <c r="O3546" s="40" t="s">
        <v>115</v>
      </c>
      <c r="Q3546" s="40">
        <v>143</v>
      </c>
      <c r="R3546" s="40">
        <v>128</v>
      </c>
      <c r="X3546" s="40">
        <v>90270519</v>
      </c>
      <c r="Y3546" s="40" t="s">
        <v>115</v>
      </c>
      <c r="Z3546" s="40" t="s">
        <v>115</v>
      </c>
      <c r="AA3546" s="40" t="s">
        <v>115</v>
      </c>
      <c r="AB3546" s="40" t="s">
        <v>115</v>
      </c>
      <c r="AC3546" s="40" t="s">
        <v>115</v>
      </c>
      <c r="AI3546" s="40" t="s">
        <v>115</v>
      </c>
      <c r="AP3546" s="4" t="s">
        <v>115</v>
      </c>
    </row>
    <row r="3547" spans="1:42" x14ac:dyDescent="0.15">
      <c r="A3547" s="40" t="s">
        <v>1</v>
      </c>
      <c r="B3547" s="23">
        <v>90270519</v>
      </c>
      <c r="C3547" s="23">
        <v>2705</v>
      </c>
      <c r="D3547" s="23">
        <v>27</v>
      </c>
      <c r="F3547" s="23" t="s">
        <v>6249</v>
      </c>
      <c r="G3547" s="23" t="s">
        <v>115</v>
      </c>
      <c r="H3547" s="23" t="s">
        <v>6267</v>
      </c>
      <c r="I3547" s="23">
        <v>3</v>
      </c>
      <c r="J3547" s="40">
        <v>0</v>
      </c>
      <c r="K3547" s="40">
        <v>0</v>
      </c>
      <c r="L3547" s="40" t="s">
        <v>115</v>
      </c>
      <c r="O3547" s="40" t="s">
        <v>115</v>
      </c>
      <c r="Q3547" s="40">
        <v>143</v>
      </c>
      <c r="R3547" s="40">
        <v>128</v>
      </c>
      <c r="X3547" s="40">
        <v>90270520</v>
      </c>
      <c r="Y3547" s="40" t="s">
        <v>115</v>
      </c>
      <c r="Z3547" s="40" t="s">
        <v>115</v>
      </c>
      <c r="AA3547" s="40" t="s">
        <v>115</v>
      </c>
      <c r="AB3547" s="40" t="s">
        <v>115</v>
      </c>
      <c r="AC3547" s="40" t="s">
        <v>115</v>
      </c>
      <c r="AI3547" s="40" t="s">
        <v>115</v>
      </c>
      <c r="AP3547" s="4" t="s">
        <v>115</v>
      </c>
    </row>
    <row r="3548" spans="1:42" x14ac:dyDescent="0.15">
      <c r="A3548" s="40" t="s">
        <v>1</v>
      </c>
      <c r="B3548" s="23">
        <v>90270520</v>
      </c>
      <c r="C3548" s="23">
        <v>2705</v>
      </c>
      <c r="D3548" s="23">
        <v>27</v>
      </c>
      <c r="F3548" s="23" t="s">
        <v>116</v>
      </c>
      <c r="G3548" s="23">
        <v>312</v>
      </c>
      <c r="H3548" s="23" t="s">
        <v>6268</v>
      </c>
      <c r="I3548" s="23">
        <v>0</v>
      </c>
      <c r="J3548" s="40">
        <v>0</v>
      </c>
      <c r="K3548" s="40">
        <v>0</v>
      </c>
      <c r="L3548" s="40" t="s">
        <v>115</v>
      </c>
      <c r="O3548" s="40" t="s">
        <v>115</v>
      </c>
      <c r="Q3548" s="40">
        <v>143</v>
      </c>
      <c r="R3548" s="40">
        <v>128</v>
      </c>
      <c r="X3548" s="40">
        <v>90270521</v>
      </c>
      <c r="Y3548" s="40" t="s">
        <v>115</v>
      </c>
      <c r="Z3548" s="40" t="s">
        <v>115</v>
      </c>
      <c r="AA3548" s="40" t="s">
        <v>115</v>
      </c>
      <c r="AB3548" s="40" t="s">
        <v>115</v>
      </c>
      <c r="AC3548" s="40" t="s">
        <v>115</v>
      </c>
      <c r="AI3548" s="40" t="s">
        <v>115</v>
      </c>
      <c r="AP3548" s="4" t="s">
        <v>115</v>
      </c>
    </row>
    <row r="3549" spans="1:42" x14ac:dyDescent="0.15">
      <c r="A3549" s="40" t="s">
        <v>1</v>
      </c>
      <c r="B3549" s="23">
        <v>90270521</v>
      </c>
      <c r="C3549" s="23">
        <v>2705</v>
      </c>
      <c r="D3549" s="23">
        <v>27</v>
      </c>
      <c r="F3549" s="23" t="s">
        <v>6249</v>
      </c>
      <c r="G3549" s="23" t="s">
        <v>115</v>
      </c>
      <c r="H3549" s="23" t="s">
        <v>6269</v>
      </c>
      <c r="I3549" s="23">
        <v>3</v>
      </c>
      <c r="J3549" s="40">
        <v>0</v>
      </c>
      <c r="K3549" s="40">
        <v>0</v>
      </c>
      <c r="L3549" s="40" t="s">
        <v>115</v>
      </c>
      <c r="O3549" s="40" t="s">
        <v>115</v>
      </c>
      <c r="Q3549" s="40">
        <v>143</v>
      </c>
      <c r="R3549" s="40">
        <v>128</v>
      </c>
      <c r="X3549" s="40">
        <v>90270522</v>
      </c>
      <c r="Y3549" s="40" t="s">
        <v>115</v>
      </c>
      <c r="Z3549" s="40" t="s">
        <v>115</v>
      </c>
      <c r="AA3549" s="40" t="s">
        <v>115</v>
      </c>
      <c r="AB3549" s="40" t="s">
        <v>115</v>
      </c>
      <c r="AC3549" s="40" t="s">
        <v>115</v>
      </c>
      <c r="AI3549" s="40" t="s">
        <v>115</v>
      </c>
      <c r="AP3549" s="4" t="s">
        <v>115</v>
      </c>
    </row>
    <row r="3550" spans="1:42" x14ac:dyDescent="0.15">
      <c r="A3550" s="40" t="s">
        <v>1</v>
      </c>
      <c r="B3550" s="23">
        <v>90270522</v>
      </c>
      <c r="C3550" s="23">
        <v>2705</v>
      </c>
      <c r="D3550" s="23">
        <v>27</v>
      </c>
      <c r="F3550" s="23" t="s">
        <v>6249</v>
      </c>
      <c r="G3550" s="23" t="s">
        <v>115</v>
      </c>
      <c r="H3550" s="23" t="s">
        <v>6270</v>
      </c>
      <c r="I3550" s="23">
        <v>3</v>
      </c>
      <c r="J3550" s="40">
        <v>0</v>
      </c>
      <c r="K3550" s="40">
        <v>0</v>
      </c>
      <c r="L3550" s="40" t="s">
        <v>115</v>
      </c>
      <c r="O3550" s="40" t="s">
        <v>115</v>
      </c>
      <c r="Q3550" s="40">
        <v>143</v>
      </c>
      <c r="R3550" s="40">
        <v>128</v>
      </c>
      <c r="X3550" s="40">
        <v>90270523</v>
      </c>
      <c r="Y3550" s="40" t="s">
        <v>115</v>
      </c>
      <c r="Z3550" s="40" t="s">
        <v>115</v>
      </c>
      <c r="AA3550" s="40" t="s">
        <v>115</v>
      </c>
      <c r="AB3550" s="40" t="s">
        <v>115</v>
      </c>
      <c r="AC3550" s="40" t="s">
        <v>115</v>
      </c>
      <c r="AI3550" s="40" t="s">
        <v>115</v>
      </c>
      <c r="AP3550" s="4" t="s">
        <v>115</v>
      </c>
    </row>
    <row r="3551" spans="1:42" x14ac:dyDescent="0.15">
      <c r="A3551" s="40" t="s">
        <v>1</v>
      </c>
      <c r="B3551" s="23">
        <v>90270523</v>
      </c>
      <c r="C3551" s="23">
        <v>2705</v>
      </c>
      <c r="D3551" s="23">
        <v>27</v>
      </c>
      <c r="F3551" s="23" t="s">
        <v>116</v>
      </c>
      <c r="G3551" s="23">
        <v>312</v>
      </c>
      <c r="H3551" s="23" t="s">
        <v>6271</v>
      </c>
      <c r="I3551" s="23">
        <v>0</v>
      </c>
      <c r="J3551" s="40">
        <v>0</v>
      </c>
      <c r="K3551" s="40">
        <v>0</v>
      </c>
      <c r="L3551" s="40" t="s">
        <v>115</v>
      </c>
      <c r="O3551" s="40" t="s">
        <v>115</v>
      </c>
      <c r="Q3551" s="40">
        <v>143</v>
      </c>
      <c r="R3551" s="40">
        <v>128</v>
      </c>
      <c r="X3551" s="40">
        <v>90270524</v>
      </c>
      <c r="Y3551" s="40" t="s">
        <v>115</v>
      </c>
      <c r="Z3551" s="40" t="s">
        <v>115</v>
      </c>
      <c r="AA3551" s="40" t="s">
        <v>115</v>
      </c>
      <c r="AB3551" s="40" t="s">
        <v>115</v>
      </c>
      <c r="AC3551" s="40" t="s">
        <v>115</v>
      </c>
      <c r="AI3551" s="40" t="s">
        <v>115</v>
      </c>
      <c r="AP3551" s="4" t="s">
        <v>115</v>
      </c>
    </row>
    <row r="3552" spans="1:42" x14ac:dyDescent="0.15">
      <c r="A3552" s="40" t="s">
        <v>1</v>
      </c>
      <c r="B3552" s="23">
        <v>90270524</v>
      </c>
      <c r="C3552" s="23">
        <v>2705</v>
      </c>
      <c r="D3552" s="23">
        <v>27</v>
      </c>
      <c r="F3552" s="23" t="s">
        <v>6249</v>
      </c>
      <c r="G3552" s="23" t="s">
        <v>115</v>
      </c>
      <c r="H3552" s="23" t="s">
        <v>6272</v>
      </c>
      <c r="I3552" s="23">
        <v>3</v>
      </c>
      <c r="J3552" s="40">
        <v>0</v>
      </c>
      <c r="K3552" s="40">
        <v>0</v>
      </c>
      <c r="L3552" s="40" t="s">
        <v>115</v>
      </c>
      <c r="O3552" s="40" t="s">
        <v>115</v>
      </c>
      <c r="Q3552" s="40">
        <v>143</v>
      </c>
      <c r="R3552" s="40">
        <v>128</v>
      </c>
      <c r="X3552" s="40">
        <v>90270525</v>
      </c>
      <c r="Y3552" s="40" t="s">
        <v>115</v>
      </c>
      <c r="Z3552" s="40" t="s">
        <v>115</v>
      </c>
      <c r="AA3552" s="40" t="s">
        <v>115</v>
      </c>
      <c r="AB3552" s="40" t="s">
        <v>115</v>
      </c>
      <c r="AC3552" s="40" t="s">
        <v>115</v>
      </c>
      <c r="AI3552" s="40" t="s">
        <v>115</v>
      </c>
      <c r="AP3552" s="4" t="s">
        <v>115</v>
      </c>
    </row>
    <row r="3553" spans="1:42" x14ac:dyDescent="0.15">
      <c r="A3553" s="40" t="s">
        <v>1</v>
      </c>
      <c r="B3553" s="23">
        <v>90270525</v>
      </c>
      <c r="C3553" s="23">
        <v>2705</v>
      </c>
      <c r="D3553" s="23">
        <v>27</v>
      </c>
      <c r="F3553" s="23" t="s">
        <v>116</v>
      </c>
      <c r="G3553" s="23">
        <v>312</v>
      </c>
      <c r="H3553" s="23" t="s">
        <v>6273</v>
      </c>
      <c r="I3553" s="23">
        <v>0</v>
      </c>
      <c r="J3553" s="40">
        <v>0</v>
      </c>
      <c r="K3553" s="40">
        <v>0</v>
      </c>
      <c r="L3553" s="40" t="s">
        <v>115</v>
      </c>
      <c r="O3553" s="40" t="s">
        <v>115</v>
      </c>
      <c r="Q3553" s="40">
        <v>143</v>
      </c>
      <c r="R3553" s="40">
        <v>128</v>
      </c>
      <c r="X3553" s="40">
        <v>90270526</v>
      </c>
      <c r="Y3553" s="40" t="s">
        <v>115</v>
      </c>
      <c r="Z3553" s="40" t="s">
        <v>115</v>
      </c>
      <c r="AA3553" s="40" t="s">
        <v>115</v>
      </c>
      <c r="AB3553" s="40" t="s">
        <v>115</v>
      </c>
      <c r="AC3553" s="40" t="s">
        <v>115</v>
      </c>
      <c r="AI3553" s="40" t="s">
        <v>115</v>
      </c>
      <c r="AP3553" s="4" t="s">
        <v>115</v>
      </c>
    </row>
    <row r="3554" spans="1:42" x14ac:dyDescent="0.15">
      <c r="A3554" s="40" t="s">
        <v>1</v>
      </c>
      <c r="B3554" s="23">
        <v>90270526</v>
      </c>
      <c r="C3554" s="23">
        <v>2705</v>
      </c>
      <c r="D3554" s="23">
        <v>27</v>
      </c>
      <c r="F3554" s="23" t="s">
        <v>116</v>
      </c>
      <c r="G3554" s="23">
        <v>312</v>
      </c>
      <c r="H3554" s="23" t="s">
        <v>6274</v>
      </c>
      <c r="I3554" s="23">
        <v>0</v>
      </c>
      <c r="J3554" s="40">
        <v>0</v>
      </c>
      <c r="K3554" s="40">
        <v>0</v>
      </c>
      <c r="L3554" s="40" t="s">
        <v>115</v>
      </c>
      <c r="O3554" s="40" t="s">
        <v>115</v>
      </c>
      <c r="Q3554" s="40">
        <v>143</v>
      </c>
      <c r="R3554" s="40">
        <v>128</v>
      </c>
      <c r="X3554" s="40">
        <v>90270527</v>
      </c>
      <c r="Y3554" s="40" t="s">
        <v>115</v>
      </c>
      <c r="Z3554" s="40" t="s">
        <v>115</v>
      </c>
      <c r="AA3554" s="40" t="s">
        <v>115</v>
      </c>
      <c r="AB3554" s="40" t="s">
        <v>115</v>
      </c>
      <c r="AC3554" s="40" t="s">
        <v>115</v>
      </c>
      <c r="AI3554" s="40" t="s">
        <v>115</v>
      </c>
      <c r="AP3554" s="4" t="s">
        <v>115</v>
      </c>
    </row>
    <row r="3555" spans="1:42" x14ac:dyDescent="0.15">
      <c r="A3555" s="40" t="s">
        <v>1</v>
      </c>
      <c r="B3555" s="23">
        <v>90270527</v>
      </c>
      <c r="C3555" s="23">
        <v>2705</v>
      </c>
      <c r="D3555" s="23">
        <v>27</v>
      </c>
      <c r="F3555" s="23" t="s">
        <v>6249</v>
      </c>
      <c r="G3555" s="23" t="s">
        <v>115</v>
      </c>
      <c r="H3555" s="23" t="s">
        <v>6275</v>
      </c>
      <c r="I3555" s="23">
        <v>3</v>
      </c>
      <c r="J3555" s="40">
        <v>0</v>
      </c>
      <c r="K3555" s="40">
        <v>0</v>
      </c>
      <c r="L3555" s="40" t="s">
        <v>115</v>
      </c>
      <c r="O3555" s="40" t="s">
        <v>115</v>
      </c>
      <c r="Q3555" s="40">
        <v>143</v>
      </c>
      <c r="R3555" s="40">
        <v>128</v>
      </c>
      <c r="X3555" s="40">
        <v>90270528</v>
      </c>
      <c r="Y3555" s="40" t="s">
        <v>115</v>
      </c>
      <c r="Z3555" s="40" t="s">
        <v>115</v>
      </c>
      <c r="AA3555" s="40" t="s">
        <v>115</v>
      </c>
      <c r="AB3555" s="40" t="s">
        <v>115</v>
      </c>
      <c r="AC3555" s="40" t="s">
        <v>115</v>
      </c>
      <c r="AI3555" s="40" t="s">
        <v>115</v>
      </c>
      <c r="AP3555" s="4" t="s">
        <v>115</v>
      </c>
    </row>
    <row r="3556" spans="1:42" x14ac:dyDescent="0.15">
      <c r="A3556" s="40" t="s">
        <v>1</v>
      </c>
      <c r="B3556" s="23">
        <v>90270528</v>
      </c>
      <c r="C3556" s="23">
        <v>2705</v>
      </c>
      <c r="D3556" s="23">
        <v>27</v>
      </c>
      <c r="F3556" s="23" t="s">
        <v>116</v>
      </c>
      <c r="G3556" s="23">
        <v>312</v>
      </c>
      <c r="H3556" s="23" t="s">
        <v>6276</v>
      </c>
      <c r="I3556" s="23">
        <v>0</v>
      </c>
      <c r="J3556" s="40">
        <v>0</v>
      </c>
      <c r="K3556" s="40">
        <v>0</v>
      </c>
      <c r="L3556" s="40" t="s">
        <v>115</v>
      </c>
      <c r="O3556" s="40" t="s">
        <v>115</v>
      </c>
      <c r="Q3556" s="40">
        <v>143</v>
      </c>
      <c r="R3556" s="40">
        <v>128</v>
      </c>
      <c r="X3556" s="40">
        <v>90270529</v>
      </c>
      <c r="Y3556" s="40" t="s">
        <v>115</v>
      </c>
      <c r="Z3556" s="40" t="s">
        <v>115</v>
      </c>
      <c r="AA3556" s="40" t="s">
        <v>115</v>
      </c>
      <c r="AB3556" s="40" t="s">
        <v>115</v>
      </c>
      <c r="AC3556" s="40" t="s">
        <v>115</v>
      </c>
      <c r="AI3556" s="40" t="s">
        <v>115</v>
      </c>
      <c r="AP3556" s="4" t="s">
        <v>115</v>
      </c>
    </row>
    <row r="3557" spans="1:42" x14ac:dyDescent="0.15">
      <c r="A3557" s="40" t="s">
        <v>1</v>
      </c>
      <c r="B3557" s="23">
        <v>90270529</v>
      </c>
      <c r="C3557" s="23">
        <v>2705</v>
      </c>
      <c r="D3557" s="23">
        <v>27</v>
      </c>
      <c r="F3557" s="23" t="s">
        <v>6249</v>
      </c>
      <c r="G3557" s="23" t="s">
        <v>115</v>
      </c>
      <c r="H3557" s="23" t="s">
        <v>6277</v>
      </c>
      <c r="I3557" s="23">
        <v>3</v>
      </c>
      <c r="J3557" s="40">
        <v>0</v>
      </c>
      <c r="K3557" s="40">
        <v>0</v>
      </c>
      <c r="L3557" s="40" t="s">
        <v>115</v>
      </c>
      <c r="O3557" s="40" t="s">
        <v>115</v>
      </c>
      <c r="Q3557" s="40">
        <v>143</v>
      </c>
      <c r="R3557" s="40">
        <v>128</v>
      </c>
      <c r="X3557" s="40">
        <v>90270530</v>
      </c>
      <c r="Y3557" s="40" t="s">
        <v>115</v>
      </c>
      <c r="Z3557" s="40" t="s">
        <v>115</v>
      </c>
      <c r="AA3557" s="40" t="s">
        <v>115</v>
      </c>
      <c r="AB3557" s="40" t="s">
        <v>115</v>
      </c>
      <c r="AC3557" s="40" t="s">
        <v>115</v>
      </c>
      <c r="AI3557" s="40" t="s">
        <v>115</v>
      </c>
      <c r="AP3557" s="4" t="s">
        <v>115</v>
      </c>
    </row>
    <row r="3558" spans="1:42" x14ac:dyDescent="0.15">
      <c r="A3558" s="40" t="s">
        <v>1</v>
      </c>
      <c r="B3558" s="23">
        <v>90270530</v>
      </c>
      <c r="C3558" s="23">
        <v>2705</v>
      </c>
      <c r="D3558" s="23">
        <v>27</v>
      </c>
      <c r="F3558" s="23" t="s">
        <v>6249</v>
      </c>
      <c r="G3558" s="23" t="s">
        <v>115</v>
      </c>
      <c r="H3558" s="23" t="s">
        <v>6278</v>
      </c>
      <c r="I3558" s="23">
        <v>3</v>
      </c>
      <c r="J3558" s="40">
        <v>0</v>
      </c>
      <c r="K3558" s="40">
        <v>0</v>
      </c>
      <c r="L3558" s="40" t="s">
        <v>115</v>
      </c>
      <c r="O3558" s="40" t="s">
        <v>115</v>
      </c>
      <c r="Q3558" s="40">
        <v>143</v>
      </c>
      <c r="R3558" s="40">
        <v>128</v>
      </c>
      <c r="X3558" s="40">
        <v>90270531</v>
      </c>
      <c r="Y3558" s="40" t="s">
        <v>115</v>
      </c>
      <c r="Z3558" s="40" t="s">
        <v>115</v>
      </c>
      <c r="AA3558" s="40" t="s">
        <v>115</v>
      </c>
      <c r="AB3558" s="40" t="s">
        <v>115</v>
      </c>
      <c r="AC3558" s="40" t="s">
        <v>115</v>
      </c>
      <c r="AI3558" s="40" t="s">
        <v>115</v>
      </c>
      <c r="AP3558" s="4" t="s">
        <v>115</v>
      </c>
    </row>
    <row r="3559" spans="1:42" x14ac:dyDescent="0.15">
      <c r="A3559" s="40" t="s">
        <v>1</v>
      </c>
      <c r="B3559" s="23">
        <v>90270531</v>
      </c>
      <c r="C3559" s="23">
        <v>2705</v>
      </c>
      <c r="D3559" s="23">
        <v>27</v>
      </c>
      <c r="F3559" s="23" t="s">
        <v>6249</v>
      </c>
      <c r="G3559" s="23" t="s">
        <v>115</v>
      </c>
      <c r="H3559" s="23" t="s">
        <v>6279</v>
      </c>
      <c r="I3559" s="23">
        <v>3</v>
      </c>
      <c r="J3559" s="40">
        <v>0</v>
      </c>
      <c r="K3559" s="40">
        <v>0</v>
      </c>
      <c r="L3559" s="40" t="s">
        <v>115</v>
      </c>
      <c r="O3559" s="40" t="s">
        <v>115</v>
      </c>
      <c r="Q3559" s="40">
        <v>143</v>
      </c>
      <c r="R3559" s="40">
        <v>128</v>
      </c>
      <c r="X3559" s="40">
        <v>90270532</v>
      </c>
      <c r="Y3559" s="40" t="s">
        <v>115</v>
      </c>
      <c r="Z3559" s="40" t="s">
        <v>115</v>
      </c>
      <c r="AA3559" s="40" t="s">
        <v>115</v>
      </c>
      <c r="AB3559" s="40" t="s">
        <v>115</v>
      </c>
      <c r="AC3559" s="40" t="s">
        <v>115</v>
      </c>
      <c r="AI3559" s="40" t="s">
        <v>115</v>
      </c>
      <c r="AP3559" s="4" t="s">
        <v>115</v>
      </c>
    </row>
    <row r="3560" spans="1:42" x14ac:dyDescent="0.15">
      <c r="A3560" s="40" t="s">
        <v>1</v>
      </c>
      <c r="B3560" s="23">
        <v>90270532</v>
      </c>
      <c r="C3560" s="23">
        <v>2705</v>
      </c>
      <c r="D3560" s="23">
        <v>27</v>
      </c>
      <c r="F3560" s="23" t="s">
        <v>116</v>
      </c>
      <c r="G3560" s="23">
        <v>313</v>
      </c>
      <c r="H3560" s="23" t="s">
        <v>6280</v>
      </c>
      <c r="I3560" s="23">
        <v>0</v>
      </c>
      <c r="J3560" s="40">
        <v>0</v>
      </c>
      <c r="K3560" s="40">
        <v>0</v>
      </c>
      <c r="L3560" s="40" t="s">
        <v>115</v>
      </c>
      <c r="O3560" s="40" t="s">
        <v>115</v>
      </c>
      <c r="Q3560" s="40">
        <v>143</v>
      </c>
      <c r="R3560" s="40">
        <v>128</v>
      </c>
      <c r="X3560" s="40">
        <v>90270533</v>
      </c>
      <c r="Y3560" s="40" t="s">
        <v>115</v>
      </c>
      <c r="Z3560" s="40" t="s">
        <v>115</v>
      </c>
      <c r="AA3560" s="40" t="s">
        <v>115</v>
      </c>
      <c r="AB3560" s="40" t="s">
        <v>115</v>
      </c>
      <c r="AC3560" s="40" t="s">
        <v>115</v>
      </c>
      <c r="AI3560" s="40" t="s">
        <v>115</v>
      </c>
      <c r="AP3560" s="4" t="s">
        <v>115</v>
      </c>
    </row>
    <row r="3561" spans="1:42" x14ac:dyDescent="0.15">
      <c r="A3561" s="40" t="s">
        <v>1</v>
      </c>
      <c r="B3561" s="23">
        <v>90270533</v>
      </c>
      <c r="C3561" s="23">
        <v>2705</v>
      </c>
      <c r="D3561" s="23">
        <v>27</v>
      </c>
      <c r="F3561" s="23" t="s">
        <v>6249</v>
      </c>
      <c r="G3561" s="23" t="s">
        <v>115</v>
      </c>
      <c r="H3561" s="23" t="s">
        <v>6281</v>
      </c>
      <c r="I3561" s="23">
        <v>3</v>
      </c>
      <c r="J3561" s="40">
        <v>0</v>
      </c>
      <c r="K3561" s="40">
        <v>0</v>
      </c>
      <c r="L3561" s="40" t="s">
        <v>115</v>
      </c>
      <c r="O3561" s="40" t="s">
        <v>115</v>
      </c>
      <c r="Q3561" s="40">
        <v>143</v>
      </c>
      <c r="R3561" s="40">
        <v>128</v>
      </c>
      <c r="X3561" s="40">
        <v>90270534</v>
      </c>
      <c r="Y3561" s="40" t="s">
        <v>115</v>
      </c>
      <c r="Z3561" s="40" t="s">
        <v>115</v>
      </c>
      <c r="AA3561" s="40" t="s">
        <v>115</v>
      </c>
      <c r="AB3561" s="40" t="s">
        <v>115</v>
      </c>
      <c r="AC3561" s="40" t="s">
        <v>115</v>
      </c>
      <c r="AI3561" s="40" t="s">
        <v>115</v>
      </c>
      <c r="AP3561" s="4" t="s">
        <v>115</v>
      </c>
    </row>
    <row r="3562" spans="1:42" x14ac:dyDescent="0.15">
      <c r="A3562" s="40" t="s">
        <v>1</v>
      </c>
      <c r="B3562" s="23">
        <v>90270534</v>
      </c>
      <c r="C3562" s="23">
        <v>2705</v>
      </c>
      <c r="D3562" s="23">
        <v>27</v>
      </c>
      <c r="F3562" s="23" t="s">
        <v>6249</v>
      </c>
      <c r="G3562" s="23" t="s">
        <v>115</v>
      </c>
      <c r="H3562" s="23" t="s">
        <v>6282</v>
      </c>
      <c r="I3562" s="23">
        <v>3</v>
      </c>
      <c r="J3562" s="40">
        <v>0</v>
      </c>
      <c r="K3562" s="40">
        <v>0</v>
      </c>
      <c r="L3562" s="40" t="s">
        <v>115</v>
      </c>
      <c r="O3562" s="40" t="s">
        <v>115</v>
      </c>
      <c r="Q3562" s="40">
        <v>143</v>
      </c>
      <c r="R3562" s="40">
        <v>128</v>
      </c>
      <c r="X3562" s="40">
        <v>90270535</v>
      </c>
      <c r="Y3562" s="40" t="s">
        <v>115</v>
      </c>
      <c r="Z3562" s="40" t="s">
        <v>115</v>
      </c>
      <c r="AA3562" s="40" t="s">
        <v>115</v>
      </c>
      <c r="AB3562" s="40" t="s">
        <v>115</v>
      </c>
      <c r="AC3562" s="40" t="s">
        <v>115</v>
      </c>
      <c r="AI3562" s="40" t="s">
        <v>115</v>
      </c>
      <c r="AP3562" s="4" t="s">
        <v>115</v>
      </c>
    </row>
    <row r="3563" spans="1:42" x14ac:dyDescent="0.15">
      <c r="A3563" s="40" t="s">
        <v>1</v>
      </c>
      <c r="B3563" s="23">
        <v>90270535</v>
      </c>
      <c r="C3563" s="23">
        <v>2705</v>
      </c>
      <c r="D3563" s="23">
        <v>27</v>
      </c>
      <c r="F3563" s="23" t="s">
        <v>116</v>
      </c>
      <c r="G3563" s="23">
        <v>314</v>
      </c>
      <c r="H3563" s="23" t="s">
        <v>6283</v>
      </c>
      <c r="I3563" s="23">
        <v>2</v>
      </c>
      <c r="J3563" s="40">
        <v>0</v>
      </c>
      <c r="K3563" s="40">
        <v>5</v>
      </c>
      <c r="L3563" s="40" t="s">
        <v>6284</v>
      </c>
      <c r="O3563" s="40">
        <v>1</v>
      </c>
      <c r="Q3563" s="40">
        <v>143</v>
      </c>
      <c r="R3563" s="40">
        <v>128</v>
      </c>
      <c r="X3563" s="40" t="s">
        <v>115</v>
      </c>
      <c r="Y3563" s="40" t="s">
        <v>115</v>
      </c>
      <c r="Z3563" s="40">
        <v>4</v>
      </c>
      <c r="AA3563" s="40" t="s">
        <v>115</v>
      </c>
      <c r="AB3563" s="40" t="s">
        <v>115</v>
      </c>
      <c r="AC3563" s="40" t="s">
        <v>115</v>
      </c>
      <c r="AI3563" s="40" t="s">
        <v>115</v>
      </c>
      <c r="AP3563" s="4" t="s">
        <v>6285</v>
      </c>
    </row>
    <row r="3564" spans="1:42" x14ac:dyDescent="0.15">
      <c r="A3564" s="40" t="s">
        <v>1</v>
      </c>
      <c r="B3564" s="23" t="s">
        <v>4911</v>
      </c>
      <c r="C3564" s="23">
        <v>2706</v>
      </c>
      <c r="D3564" s="23">
        <v>27</v>
      </c>
      <c r="F3564" s="23" t="s">
        <v>115</v>
      </c>
      <c r="G3564" s="23" t="s">
        <v>115</v>
      </c>
      <c r="H3564" s="23" t="s">
        <v>6286</v>
      </c>
      <c r="I3564" s="23">
        <v>4</v>
      </c>
      <c r="J3564" s="40">
        <v>1</v>
      </c>
      <c r="K3564" s="40">
        <v>1</v>
      </c>
      <c r="L3564" s="40" t="s">
        <v>115</v>
      </c>
      <c r="O3564" s="40" t="s">
        <v>115</v>
      </c>
      <c r="Q3564" s="40">
        <v>135</v>
      </c>
      <c r="R3564" s="40" t="s">
        <v>115</v>
      </c>
      <c r="X3564" s="40">
        <v>90270602</v>
      </c>
      <c r="Y3564" s="40" t="s">
        <v>115</v>
      </c>
      <c r="Z3564" s="40" t="s">
        <v>115</v>
      </c>
      <c r="AA3564" s="40" t="s">
        <v>115</v>
      </c>
      <c r="AB3564" s="40" t="s">
        <v>115</v>
      </c>
      <c r="AC3564" s="40" t="s">
        <v>115</v>
      </c>
      <c r="AI3564" s="40">
        <v>403</v>
      </c>
      <c r="AP3564" s="4" t="s">
        <v>115</v>
      </c>
    </row>
    <row r="3565" spans="1:42" x14ac:dyDescent="0.15">
      <c r="A3565" s="40" t="s">
        <v>1</v>
      </c>
      <c r="B3565" s="23">
        <v>90270602</v>
      </c>
      <c r="C3565" s="23">
        <v>2706</v>
      </c>
      <c r="D3565" s="23">
        <v>27</v>
      </c>
      <c r="F3565" s="23" t="s">
        <v>932</v>
      </c>
      <c r="G3565" s="23" t="s">
        <v>115</v>
      </c>
      <c r="H3565" s="23" t="s">
        <v>6287</v>
      </c>
      <c r="I3565" s="23">
        <v>1</v>
      </c>
      <c r="J3565" s="40">
        <v>0</v>
      </c>
      <c r="K3565" s="40">
        <v>0</v>
      </c>
      <c r="L3565" s="40" t="s">
        <v>115</v>
      </c>
      <c r="O3565" s="40" t="s">
        <v>115</v>
      </c>
      <c r="Q3565" s="40">
        <v>135</v>
      </c>
      <c r="R3565" s="40" t="s">
        <v>115</v>
      </c>
      <c r="X3565" s="40">
        <v>90270603</v>
      </c>
      <c r="Y3565" s="40" t="s">
        <v>115</v>
      </c>
      <c r="Z3565" s="40" t="s">
        <v>115</v>
      </c>
      <c r="AA3565" s="40" t="s">
        <v>115</v>
      </c>
      <c r="AB3565" s="40" t="s">
        <v>115</v>
      </c>
      <c r="AC3565" s="40" t="s">
        <v>115</v>
      </c>
      <c r="AI3565" s="40" t="s">
        <v>1391</v>
      </c>
      <c r="AP3565" s="4" t="s">
        <v>115</v>
      </c>
    </row>
    <row r="3566" spans="1:42" x14ac:dyDescent="0.15">
      <c r="A3566" s="40" t="s">
        <v>1</v>
      </c>
      <c r="B3566" s="23">
        <v>90270603</v>
      </c>
      <c r="C3566" s="23">
        <v>2706</v>
      </c>
      <c r="D3566" s="23">
        <v>27</v>
      </c>
      <c r="F3566" s="23" t="s">
        <v>116</v>
      </c>
      <c r="G3566" s="23">
        <v>312</v>
      </c>
      <c r="H3566" s="23" t="s">
        <v>6288</v>
      </c>
      <c r="I3566" s="23">
        <v>0</v>
      </c>
      <c r="J3566" s="40">
        <v>0</v>
      </c>
      <c r="K3566" s="40">
        <v>0</v>
      </c>
      <c r="L3566" s="40" t="s">
        <v>115</v>
      </c>
      <c r="O3566" s="40" t="s">
        <v>115</v>
      </c>
      <c r="Q3566" s="40">
        <v>135</v>
      </c>
      <c r="R3566" s="40" t="s">
        <v>115</v>
      </c>
      <c r="X3566" s="40">
        <v>90270604</v>
      </c>
      <c r="Y3566" s="40" t="s">
        <v>115</v>
      </c>
      <c r="Z3566" s="40" t="s">
        <v>115</v>
      </c>
      <c r="AA3566" s="40" t="s">
        <v>115</v>
      </c>
      <c r="AB3566" s="40" t="s">
        <v>115</v>
      </c>
      <c r="AC3566" s="40" t="s">
        <v>115</v>
      </c>
      <c r="AI3566" s="40">
        <v>405</v>
      </c>
      <c r="AP3566" s="4" t="s">
        <v>115</v>
      </c>
    </row>
    <row r="3567" spans="1:42" x14ac:dyDescent="0.15">
      <c r="A3567" s="40" t="s">
        <v>1</v>
      </c>
      <c r="B3567" s="23">
        <v>90270604</v>
      </c>
      <c r="C3567" s="23">
        <v>2706</v>
      </c>
      <c r="D3567" s="23">
        <v>27</v>
      </c>
      <c r="F3567" s="23" t="s">
        <v>932</v>
      </c>
      <c r="G3567" s="23" t="s">
        <v>115</v>
      </c>
      <c r="H3567" s="23" t="s">
        <v>6289</v>
      </c>
      <c r="I3567" s="23">
        <v>1</v>
      </c>
      <c r="J3567" s="40">
        <v>0</v>
      </c>
      <c r="K3567" s="40">
        <v>0</v>
      </c>
      <c r="L3567" s="40" t="s">
        <v>115</v>
      </c>
      <c r="O3567" s="40" t="s">
        <v>115</v>
      </c>
      <c r="Q3567" s="40">
        <v>135</v>
      </c>
      <c r="R3567" s="40" t="s">
        <v>115</v>
      </c>
      <c r="X3567" s="40">
        <v>90270605</v>
      </c>
      <c r="Y3567" s="40" t="s">
        <v>115</v>
      </c>
      <c r="Z3567" s="40" t="s">
        <v>115</v>
      </c>
      <c r="AA3567" s="40" t="s">
        <v>115</v>
      </c>
      <c r="AB3567" s="40" t="s">
        <v>115</v>
      </c>
      <c r="AC3567" s="40" t="s">
        <v>115</v>
      </c>
      <c r="AI3567" s="40" t="s">
        <v>1391</v>
      </c>
      <c r="AP3567" s="4" t="s">
        <v>115</v>
      </c>
    </row>
    <row r="3568" spans="1:42" x14ac:dyDescent="0.15">
      <c r="A3568" s="40" t="s">
        <v>1</v>
      </c>
      <c r="B3568" s="23">
        <v>90270605</v>
      </c>
      <c r="C3568" s="23">
        <v>2706</v>
      </c>
      <c r="D3568" s="23">
        <v>27</v>
      </c>
      <c r="F3568" s="23" t="s">
        <v>115</v>
      </c>
      <c r="G3568" s="23" t="s">
        <v>115</v>
      </c>
      <c r="H3568" s="23" t="s">
        <v>6290</v>
      </c>
      <c r="I3568" s="23">
        <v>4</v>
      </c>
      <c r="J3568" s="40">
        <v>0</v>
      </c>
      <c r="K3568" s="40">
        <v>0</v>
      </c>
      <c r="L3568" s="40" t="s">
        <v>115</v>
      </c>
      <c r="O3568" s="40" t="s">
        <v>115</v>
      </c>
      <c r="Q3568" s="40">
        <v>145</v>
      </c>
      <c r="R3568" s="40" t="s">
        <v>115</v>
      </c>
      <c r="X3568" s="40">
        <v>90270606</v>
      </c>
      <c r="Y3568" s="40" t="s">
        <v>115</v>
      </c>
      <c r="Z3568" s="40" t="s">
        <v>115</v>
      </c>
      <c r="AA3568" s="40" t="s">
        <v>115</v>
      </c>
      <c r="AB3568" s="40" t="s">
        <v>115</v>
      </c>
      <c r="AC3568" s="40" t="s">
        <v>115</v>
      </c>
      <c r="AI3568" s="40">
        <v>405</v>
      </c>
      <c r="AP3568" s="4" t="s">
        <v>115</v>
      </c>
    </row>
    <row r="3569" spans="1:42" x14ac:dyDescent="0.15">
      <c r="A3569" s="40" t="s">
        <v>1</v>
      </c>
      <c r="B3569" s="23">
        <v>90270606</v>
      </c>
      <c r="C3569" s="23">
        <v>2706</v>
      </c>
      <c r="D3569" s="23">
        <v>27</v>
      </c>
      <c r="F3569" s="23" t="s">
        <v>116</v>
      </c>
      <c r="G3569" s="23">
        <v>312</v>
      </c>
      <c r="H3569" s="23" t="s">
        <v>6291</v>
      </c>
      <c r="I3569" s="23">
        <v>0</v>
      </c>
      <c r="J3569" s="40">
        <v>0</v>
      </c>
      <c r="K3569" s="40">
        <v>0</v>
      </c>
      <c r="L3569" s="40" t="s">
        <v>115</v>
      </c>
      <c r="O3569" s="40" t="s">
        <v>115</v>
      </c>
      <c r="Q3569" s="40">
        <v>145</v>
      </c>
      <c r="R3569" s="40" t="s">
        <v>115</v>
      </c>
      <c r="X3569" s="40">
        <v>90270607</v>
      </c>
      <c r="Y3569" s="40" t="s">
        <v>115</v>
      </c>
      <c r="Z3569" s="40" t="s">
        <v>115</v>
      </c>
      <c r="AA3569" s="40" t="s">
        <v>115</v>
      </c>
      <c r="AB3569" s="40" t="s">
        <v>115</v>
      </c>
      <c r="AC3569" s="40" t="s">
        <v>115</v>
      </c>
      <c r="AI3569" s="40">
        <v>405</v>
      </c>
      <c r="AP3569" s="4" t="s">
        <v>115</v>
      </c>
    </row>
    <row r="3570" spans="1:42" x14ac:dyDescent="0.15">
      <c r="A3570" s="40" t="s">
        <v>1</v>
      </c>
      <c r="B3570" s="23">
        <v>90270607</v>
      </c>
      <c r="C3570" s="23">
        <v>2706</v>
      </c>
      <c r="D3570" s="23">
        <v>27</v>
      </c>
      <c r="F3570" s="23" t="s">
        <v>115</v>
      </c>
      <c r="G3570" s="23" t="s">
        <v>115</v>
      </c>
      <c r="H3570" s="23" t="s">
        <v>6292</v>
      </c>
      <c r="I3570" s="23">
        <v>4</v>
      </c>
      <c r="J3570" s="40">
        <v>0</v>
      </c>
      <c r="K3570" s="40">
        <v>0</v>
      </c>
      <c r="L3570" s="40" t="s">
        <v>115</v>
      </c>
      <c r="O3570" s="40" t="s">
        <v>115</v>
      </c>
      <c r="Q3570" s="40">
        <v>145</v>
      </c>
      <c r="R3570" s="40" t="s">
        <v>115</v>
      </c>
      <c r="X3570" s="40">
        <v>90270608</v>
      </c>
      <c r="Y3570" s="40" t="s">
        <v>115</v>
      </c>
      <c r="Z3570" s="40" t="s">
        <v>115</v>
      </c>
      <c r="AA3570" s="40" t="s">
        <v>115</v>
      </c>
      <c r="AB3570" s="40" t="s">
        <v>115</v>
      </c>
      <c r="AC3570" s="40" t="s">
        <v>115</v>
      </c>
      <c r="AI3570" s="40">
        <v>405</v>
      </c>
      <c r="AP3570" s="4" t="s">
        <v>115</v>
      </c>
    </row>
    <row r="3571" spans="1:42" x14ac:dyDescent="0.15">
      <c r="A3571" s="40" t="s">
        <v>1</v>
      </c>
      <c r="B3571" s="23">
        <v>90270608</v>
      </c>
      <c r="C3571" s="23">
        <v>2706</v>
      </c>
      <c r="D3571" s="23">
        <v>27</v>
      </c>
      <c r="F3571" s="23" t="s">
        <v>115</v>
      </c>
      <c r="G3571" s="23" t="s">
        <v>115</v>
      </c>
      <c r="H3571" s="23" t="s">
        <v>6293</v>
      </c>
      <c r="I3571" s="23">
        <v>4</v>
      </c>
      <c r="J3571" s="40">
        <v>0</v>
      </c>
      <c r="K3571" s="40">
        <v>0</v>
      </c>
      <c r="L3571" s="40" t="s">
        <v>115</v>
      </c>
      <c r="O3571" s="40" t="s">
        <v>115</v>
      </c>
      <c r="Q3571" s="40">
        <v>145</v>
      </c>
      <c r="R3571" s="40" t="s">
        <v>115</v>
      </c>
      <c r="X3571" s="40">
        <v>90270609</v>
      </c>
      <c r="Y3571" s="40" t="s">
        <v>115</v>
      </c>
      <c r="Z3571" s="40" t="s">
        <v>115</v>
      </c>
      <c r="AA3571" s="40" t="s">
        <v>115</v>
      </c>
      <c r="AB3571" s="40" t="s">
        <v>115</v>
      </c>
      <c r="AC3571" s="40" t="s">
        <v>115</v>
      </c>
      <c r="AI3571" s="40">
        <v>405</v>
      </c>
      <c r="AP3571" s="4" t="s">
        <v>115</v>
      </c>
    </row>
    <row r="3572" spans="1:42" x14ac:dyDescent="0.15">
      <c r="A3572" s="40" t="s">
        <v>1</v>
      </c>
      <c r="B3572" s="23">
        <v>90270609</v>
      </c>
      <c r="C3572" s="23">
        <v>2706</v>
      </c>
      <c r="D3572" s="23">
        <v>27</v>
      </c>
      <c r="F3572" s="23" t="s">
        <v>116</v>
      </c>
      <c r="G3572" s="23">
        <v>312</v>
      </c>
      <c r="H3572" s="23" t="s">
        <v>6294</v>
      </c>
      <c r="I3572" s="23">
        <v>0</v>
      </c>
      <c r="J3572" s="40">
        <v>0</v>
      </c>
      <c r="K3572" s="40">
        <v>0</v>
      </c>
      <c r="L3572" s="40" t="s">
        <v>115</v>
      </c>
      <c r="O3572" s="40" t="s">
        <v>115</v>
      </c>
      <c r="Q3572" s="40">
        <v>145</v>
      </c>
      <c r="R3572" s="40" t="s">
        <v>115</v>
      </c>
      <c r="X3572" s="40">
        <v>90270610</v>
      </c>
      <c r="Y3572" s="40" t="s">
        <v>115</v>
      </c>
      <c r="Z3572" s="40" t="s">
        <v>115</v>
      </c>
      <c r="AA3572" s="40" t="s">
        <v>115</v>
      </c>
      <c r="AB3572" s="40" t="s">
        <v>115</v>
      </c>
      <c r="AC3572" s="40" t="s">
        <v>115</v>
      </c>
      <c r="AI3572" s="40">
        <v>403</v>
      </c>
      <c r="AP3572" s="4" t="s">
        <v>115</v>
      </c>
    </row>
    <row r="3573" spans="1:42" x14ac:dyDescent="0.15">
      <c r="A3573" s="40" t="s">
        <v>1</v>
      </c>
      <c r="B3573" s="23">
        <v>90270610</v>
      </c>
      <c r="C3573" s="23">
        <v>2706</v>
      </c>
      <c r="D3573" s="23">
        <v>27</v>
      </c>
      <c r="F3573" s="23" t="s">
        <v>932</v>
      </c>
      <c r="G3573" s="23" t="s">
        <v>115</v>
      </c>
      <c r="H3573" s="23" t="s">
        <v>6295</v>
      </c>
      <c r="I3573" s="23">
        <v>1</v>
      </c>
      <c r="J3573" s="40">
        <v>0</v>
      </c>
      <c r="K3573" s="40">
        <v>0</v>
      </c>
      <c r="L3573" s="40" t="s">
        <v>115</v>
      </c>
      <c r="O3573" s="40" t="s">
        <v>115</v>
      </c>
      <c r="Q3573" s="40">
        <v>145</v>
      </c>
      <c r="R3573" s="40" t="s">
        <v>115</v>
      </c>
      <c r="X3573" s="40">
        <v>90270611</v>
      </c>
      <c r="Y3573" s="40" t="s">
        <v>115</v>
      </c>
      <c r="Z3573" s="40" t="s">
        <v>115</v>
      </c>
      <c r="AA3573" s="40" t="s">
        <v>115</v>
      </c>
      <c r="AB3573" s="40" t="s">
        <v>115</v>
      </c>
      <c r="AC3573" s="40" t="s">
        <v>115</v>
      </c>
      <c r="AI3573" s="40" t="s">
        <v>960</v>
      </c>
      <c r="AP3573" s="4" t="s">
        <v>115</v>
      </c>
    </row>
    <row r="3574" spans="1:42" x14ac:dyDescent="0.15">
      <c r="A3574" s="40" t="s">
        <v>1</v>
      </c>
      <c r="B3574" s="23">
        <v>90270611</v>
      </c>
      <c r="C3574" s="23">
        <v>2706</v>
      </c>
      <c r="D3574" s="23">
        <v>27</v>
      </c>
      <c r="F3574" s="23" t="s">
        <v>115</v>
      </c>
      <c r="G3574" s="23" t="s">
        <v>115</v>
      </c>
      <c r="H3574" s="23" t="s">
        <v>6296</v>
      </c>
      <c r="I3574" s="23">
        <v>4</v>
      </c>
      <c r="J3574" s="40">
        <v>0</v>
      </c>
      <c r="K3574" s="40">
        <v>2</v>
      </c>
      <c r="L3574" s="40" t="s">
        <v>115</v>
      </c>
      <c r="O3574" s="40" t="s">
        <v>115</v>
      </c>
      <c r="Q3574" s="40">
        <v>145</v>
      </c>
      <c r="R3574" s="40" t="s">
        <v>115</v>
      </c>
      <c r="X3574" s="40" t="s">
        <v>6297</v>
      </c>
      <c r="Y3574" s="40">
        <v>1</v>
      </c>
      <c r="Z3574" s="40">
        <v>1</v>
      </c>
      <c r="AA3574" s="40" t="s">
        <v>115</v>
      </c>
      <c r="AB3574" s="40" t="s">
        <v>115</v>
      </c>
      <c r="AC3574" s="40" t="s">
        <v>115</v>
      </c>
      <c r="AI3574" s="40" t="s">
        <v>960</v>
      </c>
      <c r="AP3574" s="4" t="s">
        <v>115</v>
      </c>
    </row>
    <row r="3575" spans="1:42" x14ac:dyDescent="0.15">
      <c r="A3575" s="40" t="s">
        <v>1</v>
      </c>
      <c r="B3575" s="23">
        <v>90270612</v>
      </c>
      <c r="C3575" s="23">
        <v>2706</v>
      </c>
      <c r="D3575" s="23">
        <v>27</v>
      </c>
      <c r="F3575" s="23" t="s">
        <v>115</v>
      </c>
      <c r="G3575" s="23" t="s">
        <v>115</v>
      </c>
      <c r="H3575" s="23" t="s">
        <v>6298</v>
      </c>
      <c r="I3575" s="23">
        <v>4</v>
      </c>
      <c r="J3575" s="40">
        <v>0</v>
      </c>
      <c r="K3575" s="40">
        <v>3</v>
      </c>
      <c r="L3575" s="40" t="s">
        <v>115</v>
      </c>
      <c r="O3575" s="40" t="s">
        <v>115</v>
      </c>
      <c r="Q3575" s="40">
        <v>145</v>
      </c>
      <c r="R3575" s="40" t="s">
        <v>115</v>
      </c>
      <c r="X3575" s="40">
        <v>90270614</v>
      </c>
      <c r="Y3575" s="40">
        <v>-1</v>
      </c>
      <c r="Z3575" s="40">
        <v>2</v>
      </c>
      <c r="AA3575" s="40" t="s">
        <v>115</v>
      </c>
      <c r="AB3575" s="40" t="s">
        <v>115</v>
      </c>
      <c r="AC3575" s="40" t="s">
        <v>115</v>
      </c>
      <c r="AI3575" s="40">
        <v>403</v>
      </c>
      <c r="AP3575" s="4" t="s">
        <v>115</v>
      </c>
    </row>
    <row r="3576" spans="1:42" x14ac:dyDescent="0.15">
      <c r="A3576" s="40" t="s">
        <v>1</v>
      </c>
      <c r="B3576" s="23">
        <v>90270613</v>
      </c>
      <c r="C3576" s="23">
        <v>2706</v>
      </c>
      <c r="D3576" s="23">
        <v>27</v>
      </c>
      <c r="F3576" s="23" t="s">
        <v>115</v>
      </c>
      <c r="G3576" s="23" t="s">
        <v>115</v>
      </c>
      <c r="H3576" s="23" t="s">
        <v>6299</v>
      </c>
      <c r="I3576" s="23">
        <v>4</v>
      </c>
      <c r="J3576" s="40">
        <v>0</v>
      </c>
      <c r="K3576" s="40">
        <v>4</v>
      </c>
      <c r="L3576" s="40" t="s">
        <v>115</v>
      </c>
      <c r="O3576" s="40" t="s">
        <v>115</v>
      </c>
      <c r="Q3576" s="40">
        <v>145</v>
      </c>
      <c r="R3576" s="40" t="s">
        <v>115</v>
      </c>
      <c r="X3576" s="40">
        <v>90270619</v>
      </c>
      <c r="Y3576" s="40">
        <v>-1</v>
      </c>
      <c r="Z3576" s="40">
        <v>2</v>
      </c>
      <c r="AA3576" s="40" t="s">
        <v>115</v>
      </c>
      <c r="AB3576" s="40" t="s">
        <v>115</v>
      </c>
      <c r="AC3576" s="40" t="s">
        <v>115</v>
      </c>
      <c r="AI3576" s="40">
        <v>403</v>
      </c>
      <c r="AP3576" s="4" t="s">
        <v>115</v>
      </c>
    </row>
    <row r="3577" spans="1:42" x14ac:dyDescent="0.15">
      <c r="A3577" s="40" t="s">
        <v>1</v>
      </c>
      <c r="B3577" s="23">
        <v>90270614</v>
      </c>
      <c r="C3577" s="23">
        <v>2706</v>
      </c>
      <c r="D3577" s="23">
        <v>27</v>
      </c>
      <c r="F3577" s="23" t="s">
        <v>116</v>
      </c>
      <c r="G3577" s="23">
        <v>313</v>
      </c>
      <c r="H3577" s="23" t="s">
        <v>6300</v>
      </c>
      <c r="I3577" s="23">
        <v>2</v>
      </c>
      <c r="J3577" s="40">
        <v>0</v>
      </c>
      <c r="K3577" s="40">
        <v>0</v>
      </c>
      <c r="L3577" s="40" t="s">
        <v>115</v>
      </c>
      <c r="O3577" s="40" t="s">
        <v>115</v>
      </c>
      <c r="Q3577" s="40">
        <v>145</v>
      </c>
      <c r="R3577" s="40" t="s">
        <v>115</v>
      </c>
      <c r="X3577" s="40">
        <v>90270615</v>
      </c>
      <c r="Y3577" s="40" t="s">
        <v>115</v>
      </c>
      <c r="Z3577" s="40" t="s">
        <v>115</v>
      </c>
      <c r="AA3577" s="40" t="s">
        <v>115</v>
      </c>
      <c r="AB3577" s="40" t="s">
        <v>115</v>
      </c>
      <c r="AC3577" s="40" t="s">
        <v>115</v>
      </c>
      <c r="AI3577" s="40">
        <v>403</v>
      </c>
      <c r="AP3577" s="4" t="s">
        <v>115</v>
      </c>
    </row>
    <row r="3578" spans="1:42" x14ac:dyDescent="0.15">
      <c r="A3578" s="40" t="s">
        <v>1</v>
      </c>
      <c r="B3578" s="23">
        <v>90270615</v>
      </c>
      <c r="C3578" s="23">
        <v>2706</v>
      </c>
      <c r="D3578" s="23">
        <v>27</v>
      </c>
      <c r="F3578" s="23" t="s">
        <v>116</v>
      </c>
      <c r="G3578" s="23">
        <v>312</v>
      </c>
      <c r="H3578" s="23" t="s">
        <v>6301</v>
      </c>
      <c r="I3578" s="23">
        <v>0</v>
      </c>
      <c r="J3578" s="40">
        <v>0</v>
      </c>
      <c r="K3578" s="40">
        <v>0</v>
      </c>
      <c r="L3578" s="40" t="s">
        <v>115</v>
      </c>
      <c r="O3578" s="40" t="s">
        <v>115</v>
      </c>
      <c r="Q3578" s="40">
        <v>145</v>
      </c>
      <c r="R3578" s="40" t="s">
        <v>115</v>
      </c>
      <c r="X3578" s="40">
        <v>90270616</v>
      </c>
      <c r="Y3578" s="40" t="s">
        <v>115</v>
      </c>
      <c r="Z3578" s="40" t="s">
        <v>115</v>
      </c>
      <c r="AA3578" s="40" t="s">
        <v>115</v>
      </c>
      <c r="AB3578" s="40" t="s">
        <v>115</v>
      </c>
      <c r="AC3578" s="40" t="s">
        <v>115</v>
      </c>
      <c r="AI3578" s="40">
        <v>403</v>
      </c>
      <c r="AP3578" s="4" t="s">
        <v>115</v>
      </c>
    </row>
    <row r="3579" spans="1:42" x14ac:dyDescent="0.15">
      <c r="A3579" s="40" t="s">
        <v>1</v>
      </c>
      <c r="B3579" s="23">
        <v>90270616</v>
      </c>
      <c r="C3579" s="23">
        <v>2706</v>
      </c>
      <c r="D3579" s="23">
        <v>27</v>
      </c>
      <c r="F3579" s="23" t="s">
        <v>115</v>
      </c>
      <c r="G3579" s="23" t="s">
        <v>115</v>
      </c>
      <c r="H3579" s="23" t="s">
        <v>6302</v>
      </c>
      <c r="I3579" s="23">
        <v>4</v>
      </c>
      <c r="J3579" s="40">
        <v>0</v>
      </c>
      <c r="K3579" s="40">
        <v>0</v>
      </c>
      <c r="L3579" s="40" t="s">
        <v>115</v>
      </c>
      <c r="O3579" s="40" t="s">
        <v>115</v>
      </c>
      <c r="Q3579" s="40">
        <v>145</v>
      </c>
      <c r="R3579" s="40" t="s">
        <v>115</v>
      </c>
      <c r="X3579" s="40">
        <v>90270617</v>
      </c>
      <c r="Y3579" s="40" t="s">
        <v>115</v>
      </c>
      <c r="Z3579" s="40" t="s">
        <v>115</v>
      </c>
      <c r="AA3579" s="40" t="s">
        <v>115</v>
      </c>
      <c r="AB3579" s="40" t="s">
        <v>115</v>
      </c>
      <c r="AC3579" s="40" t="s">
        <v>115</v>
      </c>
      <c r="AI3579" s="40">
        <v>403</v>
      </c>
      <c r="AP3579" s="4" t="s">
        <v>115</v>
      </c>
    </row>
    <row r="3580" spans="1:42" x14ac:dyDescent="0.15">
      <c r="A3580" s="40" t="s">
        <v>1</v>
      </c>
      <c r="B3580" s="23">
        <v>90270617</v>
      </c>
      <c r="C3580" s="23">
        <v>2706</v>
      </c>
      <c r="D3580" s="23">
        <v>27</v>
      </c>
      <c r="F3580" s="23" t="s">
        <v>932</v>
      </c>
      <c r="G3580" s="23" t="s">
        <v>115</v>
      </c>
      <c r="H3580" s="23" t="s">
        <v>6303</v>
      </c>
      <c r="I3580" s="23">
        <v>1</v>
      </c>
      <c r="J3580" s="40">
        <v>0</v>
      </c>
      <c r="K3580" s="40">
        <v>0</v>
      </c>
      <c r="L3580" s="40" t="s">
        <v>115</v>
      </c>
      <c r="O3580" s="40" t="s">
        <v>115</v>
      </c>
      <c r="Q3580" s="40">
        <v>145</v>
      </c>
      <c r="R3580" s="40" t="s">
        <v>115</v>
      </c>
      <c r="X3580" s="40">
        <v>90270618</v>
      </c>
      <c r="Y3580" s="40" t="s">
        <v>115</v>
      </c>
      <c r="Z3580" s="40" t="s">
        <v>115</v>
      </c>
      <c r="AA3580" s="40" t="s">
        <v>115</v>
      </c>
      <c r="AB3580" s="40" t="s">
        <v>115</v>
      </c>
      <c r="AC3580" s="40" t="s">
        <v>115</v>
      </c>
      <c r="AI3580" s="40" t="s">
        <v>1391</v>
      </c>
      <c r="AP3580" s="4" t="s">
        <v>115</v>
      </c>
    </row>
    <row r="3581" spans="1:42" x14ac:dyDescent="0.15">
      <c r="A3581" s="40" t="s">
        <v>1</v>
      </c>
      <c r="B3581" s="23">
        <v>90270618</v>
      </c>
      <c r="C3581" s="23">
        <v>2706</v>
      </c>
      <c r="D3581" s="23">
        <v>27</v>
      </c>
      <c r="F3581" s="23" t="s">
        <v>116</v>
      </c>
      <c r="G3581" s="23">
        <v>310</v>
      </c>
      <c r="H3581" s="23" t="s">
        <v>6304</v>
      </c>
      <c r="I3581" s="23">
        <v>2</v>
      </c>
      <c r="J3581" s="40">
        <v>0</v>
      </c>
      <c r="K3581" s="40">
        <v>0</v>
      </c>
      <c r="L3581" s="40" t="s">
        <v>115</v>
      </c>
      <c r="O3581" s="40" t="s">
        <v>115</v>
      </c>
      <c r="Q3581" s="40">
        <v>145</v>
      </c>
      <c r="R3581" s="40" t="s">
        <v>115</v>
      </c>
      <c r="X3581" s="40">
        <v>90270623</v>
      </c>
      <c r="Y3581" s="40" t="s">
        <v>115</v>
      </c>
      <c r="Z3581" s="40" t="s">
        <v>115</v>
      </c>
      <c r="AA3581" s="40" t="s">
        <v>115</v>
      </c>
      <c r="AB3581" s="40" t="s">
        <v>115</v>
      </c>
      <c r="AC3581" s="40" t="s">
        <v>115</v>
      </c>
      <c r="AI3581" s="40">
        <v>405</v>
      </c>
      <c r="AP3581" s="4" t="s">
        <v>115</v>
      </c>
    </row>
    <row r="3582" spans="1:42" x14ac:dyDescent="0.15">
      <c r="A3582" s="40" t="s">
        <v>1</v>
      </c>
      <c r="B3582" s="23">
        <v>90270619</v>
      </c>
      <c r="C3582" s="23">
        <v>2706</v>
      </c>
      <c r="D3582" s="23">
        <v>27</v>
      </c>
      <c r="F3582" s="23" t="s">
        <v>116</v>
      </c>
      <c r="G3582" s="23">
        <v>312</v>
      </c>
      <c r="H3582" s="23" t="s">
        <v>6305</v>
      </c>
      <c r="I3582" s="23">
        <v>0</v>
      </c>
      <c r="J3582" s="40">
        <v>0</v>
      </c>
      <c r="K3582" s="40">
        <v>0</v>
      </c>
      <c r="L3582" s="40" t="s">
        <v>115</v>
      </c>
      <c r="O3582" s="40" t="s">
        <v>115</v>
      </c>
      <c r="Q3582" s="40">
        <v>145</v>
      </c>
      <c r="R3582" s="40" t="s">
        <v>115</v>
      </c>
      <c r="X3582" s="40">
        <v>90270620</v>
      </c>
      <c r="Y3582" s="40" t="s">
        <v>115</v>
      </c>
      <c r="Z3582" s="40" t="s">
        <v>115</v>
      </c>
      <c r="AA3582" s="40" t="s">
        <v>115</v>
      </c>
      <c r="AB3582" s="40" t="s">
        <v>115</v>
      </c>
      <c r="AC3582" s="40" t="s">
        <v>115</v>
      </c>
      <c r="AI3582" s="40">
        <v>403</v>
      </c>
      <c r="AP3582" s="4" t="s">
        <v>115</v>
      </c>
    </row>
    <row r="3583" spans="1:42" x14ac:dyDescent="0.15">
      <c r="A3583" s="40" t="s">
        <v>1</v>
      </c>
      <c r="B3583" s="23">
        <v>90270620</v>
      </c>
      <c r="C3583" s="23">
        <v>2706</v>
      </c>
      <c r="D3583" s="23">
        <v>27</v>
      </c>
      <c r="F3583" s="23" t="s">
        <v>115</v>
      </c>
      <c r="G3583" s="23" t="s">
        <v>115</v>
      </c>
      <c r="H3583" s="23" t="s">
        <v>6306</v>
      </c>
      <c r="I3583" s="23">
        <v>4</v>
      </c>
      <c r="J3583" s="40">
        <v>0</v>
      </c>
      <c r="K3583" s="40">
        <v>0</v>
      </c>
      <c r="L3583" s="40" t="s">
        <v>115</v>
      </c>
      <c r="O3583" s="40" t="s">
        <v>115</v>
      </c>
      <c r="Q3583" s="40">
        <v>145</v>
      </c>
      <c r="R3583" s="40" t="s">
        <v>115</v>
      </c>
      <c r="X3583" s="40">
        <v>90270621</v>
      </c>
      <c r="Y3583" s="40" t="s">
        <v>115</v>
      </c>
      <c r="Z3583" s="40" t="s">
        <v>115</v>
      </c>
      <c r="AA3583" s="40" t="s">
        <v>115</v>
      </c>
      <c r="AB3583" s="40" t="s">
        <v>115</v>
      </c>
      <c r="AC3583" s="40" t="s">
        <v>115</v>
      </c>
      <c r="AI3583" s="40">
        <v>403</v>
      </c>
      <c r="AP3583" s="4" t="s">
        <v>115</v>
      </c>
    </row>
    <row r="3584" spans="1:42" x14ac:dyDescent="0.15">
      <c r="A3584" s="40" t="s">
        <v>1</v>
      </c>
      <c r="B3584" s="23">
        <v>90270621</v>
      </c>
      <c r="C3584" s="23">
        <v>2706</v>
      </c>
      <c r="D3584" s="23">
        <v>27</v>
      </c>
      <c r="F3584" s="23" t="s">
        <v>932</v>
      </c>
      <c r="G3584" s="23" t="s">
        <v>115</v>
      </c>
      <c r="H3584" s="23" t="s">
        <v>6307</v>
      </c>
      <c r="I3584" s="23">
        <v>1</v>
      </c>
      <c r="J3584" s="40">
        <v>0</v>
      </c>
      <c r="K3584" s="40">
        <v>0</v>
      </c>
      <c r="L3584" s="40" t="s">
        <v>115</v>
      </c>
      <c r="O3584" s="40" t="s">
        <v>115</v>
      </c>
      <c r="Q3584" s="40">
        <v>145</v>
      </c>
      <c r="R3584" s="40" t="s">
        <v>115</v>
      </c>
      <c r="X3584" s="40">
        <v>90270622</v>
      </c>
      <c r="Y3584" s="40" t="s">
        <v>115</v>
      </c>
      <c r="Z3584" s="40" t="s">
        <v>115</v>
      </c>
      <c r="AA3584" s="40" t="s">
        <v>115</v>
      </c>
      <c r="AB3584" s="40" t="s">
        <v>115</v>
      </c>
      <c r="AC3584" s="40" t="s">
        <v>115</v>
      </c>
      <c r="AI3584" s="40">
        <v>407</v>
      </c>
      <c r="AP3584" s="4" t="s">
        <v>115</v>
      </c>
    </row>
    <row r="3585" spans="1:42" x14ac:dyDescent="0.15">
      <c r="A3585" s="40" t="s">
        <v>1</v>
      </c>
      <c r="B3585" s="23">
        <v>90270622</v>
      </c>
      <c r="C3585" s="23">
        <v>2706</v>
      </c>
      <c r="D3585" s="23">
        <v>27</v>
      </c>
      <c r="F3585" s="23" t="s">
        <v>116</v>
      </c>
      <c r="G3585" s="23">
        <v>312</v>
      </c>
      <c r="H3585" s="23" t="s">
        <v>6308</v>
      </c>
      <c r="I3585" s="23">
        <v>0</v>
      </c>
      <c r="J3585" s="40">
        <v>0</v>
      </c>
      <c r="K3585" s="40">
        <v>0</v>
      </c>
      <c r="L3585" s="40" t="s">
        <v>115</v>
      </c>
      <c r="O3585" s="40" t="s">
        <v>115</v>
      </c>
      <c r="Q3585" s="40">
        <v>145</v>
      </c>
      <c r="R3585" s="40" t="s">
        <v>115</v>
      </c>
      <c r="X3585" s="40">
        <v>90270623</v>
      </c>
      <c r="Y3585" s="40" t="s">
        <v>115</v>
      </c>
      <c r="Z3585" s="40" t="s">
        <v>115</v>
      </c>
      <c r="AA3585" s="40" t="s">
        <v>115</v>
      </c>
      <c r="AB3585" s="40" t="s">
        <v>115</v>
      </c>
      <c r="AC3585" s="40" t="s">
        <v>115</v>
      </c>
      <c r="AI3585" s="40">
        <v>403</v>
      </c>
      <c r="AP3585" s="4" t="s">
        <v>115</v>
      </c>
    </row>
    <row r="3586" spans="1:42" x14ac:dyDescent="0.15">
      <c r="A3586" s="40" t="s">
        <v>1</v>
      </c>
      <c r="B3586" s="23">
        <v>90270623</v>
      </c>
      <c r="C3586" s="23">
        <v>2706</v>
      </c>
      <c r="D3586" s="23">
        <v>27</v>
      </c>
      <c r="F3586" s="23" t="s">
        <v>116</v>
      </c>
      <c r="G3586" s="23">
        <v>312</v>
      </c>
      <c r="H3586" s="23" t="s">
        <v>6309</v>
      </c>
      <c r="I3586" s="23">
        <v>0</v>
      </c>
      <c r="J3586" s="40">
        <v>0</v>
      </c>
      <c r="K3586" s="40">
        <v>0</v>
      </c>
      <c r="L3586" s="40" t="s">
        <v>115</v>
      </c>
      <c r="O3586" s="40" t="s">
        <v>115</v>
      </c>
      <c r="Q3586" s="40">
        <v>145</v>
      </c>
      <c r="R3586" s="40" t="s">
        <v>115</v>
      </c>
      <c r="X3586" s="40">
        <v>90270624</v>
      </c>
      <c r="Y3586" s="40" t="s">
        <v>115</v>
      </c>
      <c r="Z3586" s="40" t="s">
        <v>115</v>
      </c>
      <c r="AA3586" s="40" t="s">
        <v>115</v>
      </c>
      <c r="AB3586" s="40" t="s">
        <v>115</v>
      </c>
      <c r="AC3586" s="40" t="s">
        <v>115</v>
      </c>
      <c r="AI3586" s="40">
        <v>403</v>
      </c>
      <c r="AP3586" s="4" t="s">
        <v>115</v>
      </c>
    </row>
    <row r="3587" spans="1:42" x14ac:dyDescent="0.15">
      <c r="A3587" s="40" t="s">
        <v>1</v>
      </c>
      <c r="B3587" s="23">
        <v>90270624</v>
      </c>
      <c r="C3587" s="23">
        <v>2706</v>
      </c>
      <c r="D3587" s="23">
        <v>27</v>
      </c>
      <c r="F3587" s="23" t="s">
        <v>932</v>
      </c>
      <c r="G3587" s="23" t="s">
        <v>115</v>
      </c>
      <c r="H3587" s="23" t="s">
        <v>6310</v>
      </c>
      <c r="I3587" s="23">
        <v>1</v>
      </c>
      <c r="J3587" s="40">
        <v>0</v>
      </c>
      <c r="K3587" s="40">
        <v>0</v>
      </c>
      <c r="L3587" s="40" t="s">
        <v>115</v>
      </c>
      <c r="O3587" s="40" t="s">
        <v>115</v>
      </c>
      <c r="Q3587" s="40">
        <v>145</v>
      </c>
      <c r="R3587" s="40" t="s">
        <v>115</v>
      </c>
      <c r="X3587" s="40">
        <v>90270625</v>
      </c>
      <c r="Y3587" s="40" t="s">
        <v>115</v>
      </c>
      <c r="Z3587" s="40" t="s">
        <v>115</v>
      </c>
      <c r="AA3587" s="40" t="s">
        <v>115</v>
      </c>
      <c r="AB3587" s="40" t="s">
        <v>115</v>
      </c>
      <c r="AC3587" s="40" t="s">
        <v>115</v>
      </c>
      <c r="AI3587" s="40" t="s">
        <v>960</v>
      </c>
      <c r="AP3587" s="4" t="s">
        <v>115</v>
      </c>
    </row>
    <row r="3588" spans="1:42" x14ac:dyDescent="0.15">
      <c r="A3588" s="40" t="s">
        <v>1</v>
      </c>
      <c r="B3588" s="23">
        <v>90270625</v>
      </c>
      <c r="C3588" s="23">
        <v>2706</v>
      </c>
      <c r="D3588" s="23">
        <v>27</v>
      </c>
      <c r="F3588" s="23" t="s">
        <v>932</v>
      </c>
      <c r="G3588" s="23" t="s">
        <v>115</v>
      </c>
      <c r="H3588" s="23" t="s">
        <v>6311</v>
      </c>
      <c r="I3588" s="23">
        <v>1</v>
      </c>
      <c r="J3588" s="40">
        <v>0</v>
      </c>
      <c r="K3588" s="40">
        <v>0</v>
      </c>
      <c r="L3588" s="40" t="s">
        <v>115</v>
      </c>
      <c r="O3588" s="40" t="s">
        <v>115</v>
      </c>
      <c r="Q3588" s="40">
        <v>145</v>
      </c>
      <c r="R3588" s="40" t="s">
        <v>115</v>
      </c>
      <c r="X3588" s="40">
        <v>90270626</v>
      </c>
      <c r="Y3588" s="40" t="s">
        <v>115</v>
      </c>
      <c r="Z3588" s="40" t="s">
        <v>115</v>
      </c>
      <c r="AA3588" s="40" t="s">
        <v>115</v>
      </c>
      <c r="AB3588" s="40" t="s">
        <v>115</v>
      </c>
      <c r="AC3588" s="40" t="s">
        <v>115</v>
      </c>
      <c r="AI3588" s="40" t="s">
        <v>960</v>
      </c>
      <c r="AP3588" s="4" t="s">
        <v>115</v>
      </c>
    </row>
    <row r="3589" spans="1:42" x14ac:dyDescent="0.15">
      <c r="A3589" s="40" t="s">
        <v>1</v>
      </c>
      <c r="B3589" s="23">
        <v>90270626</v>
      </c>
      <c r="C3589" s="23">
        <v>2706</v>
      </c>
      <c r="D3589" s="23">
        <v>27</v>
      </c>
      <c r="F3589" s="23" t="s">
        <v>116</v>
      </c>
      <c r="G3589" s="23">
        <v>360</v>
      </c>
      <c r="H3589" s="23" t="s">
        <v>6312</v>
      </c>
      <c r="I3589" s="23">
        <v>0</v>
      </c>
      <c r="J3589" s="40">
        <v>0</v>
      </c>
      <c r="K3589" s="40">
        <v>0</v>
      </c>
      <c r="L3589" s="40" t="s">
        <v>115</v>
      </c>
      <c r="O3589" s="40" t="s">
        <v>115</v>
      </c>
      <c r="Q3589" s="40">
        <v>145</v>
      </c>
      <c r="R3589" s="40" t="s">
        <v>115</v>
      </c>
      <c r="X3589" s="40">
        <v>90270627</v>
      </c>
      <c r="Y3589" s="40" t="s">
        <v>115</v>
      </c>
      <c r="Z3589" s="40" t="s">
        <v>115</v>
      </c>
      <c r="AA3589" s="40" t="s">
        <v>115</v>
      </c>
      <c r="AB3589" s="40" t="s">
        <v>115</v>
      </c>
      <c r="AC3589" s="40" t="s">
        <v>115</v>
      </c>
      <c r="AI3589" s="40">
        <v>403</v>
      </c>
      <c r="AP3589" s="4" t="s">
        <v>115</v>
      </c>
    </row>
    <row r="3590" spans="1:42" x14ac:dyDescent="0.15">
      <c r="A3590" s="40" t="s">
        <v>1</v>
      </c>
      <c r="B3590" s="23">
        <v>90270627</v>
      </c>
      <c r="C3590" s="23">
        <v>2706</v>
      </c>
      <c r="D3590" s="23">
        <v>27</v>
      </c>
      <c r="F3590" s="23" t="s">
        <v>932</v>
      </c>
      <c r="G3590" s="23" t="s">
        <v>115</v>
      </c>
      <c r="H3590" s="23" t="s">
        <v>6313</v>
      </c>
      <c r="I3590" s="23">
        <v>1</v>
      </c>
      <c r="J3590" s="40">
        <v>0</v>
      </c>
      <c r="K3590" s="40">
        <v>0</v>
      </c>
      <c r="L3590" s="40" t="s">
        <v>115</v>
      </c>
      <c r="O3590" s="40" t="s">
        <v>115</v>
      </c>
      <c r="Q3590" s="40">
        <v>145</v>
      </c>
      <c r="R3590" s="40" t="s">
        <v>115</v>
      </c>
      <c r="X3590" s="40">
        <v>90270628</v>
      </c>
      <c r="Y3590" s="40" t="s">
        <v>115</v>
      </c>
      <c r="Z3590" s="40" t="s">
        <v>115</v>
      </c>
      <c r="AA3590" s="40" t="s">
        <v>115</v>
      </c>
      <c r="AB3590" s="40" t="s">
        <v>115</v>
      </c>
      <c r="AC3590" s="40" t="s">
        <v>115</v>
      </c>
      <c r="AI3590" s="40" t="s">
        <v>960</v>
      </c>
      <c r="AP3590" s="4" t="s">
        <v>115</v>
      </c>
    </row>
    <row r="3591" spans="1:42" x14ac:dyDescent="0.15">
      <c r="A3591" s="40" t="s">
        <v>1</v>
      </c>
      <c r="B3591" s="23">
        <v>90270628</v>
      </c>
      <c r="C3591" s="23">
        <v>2706</v>
      </c>
      <c r="D3591" s="23">
        <v>27</v>
      </c>
      <c r="F3591" s="23" t="s">
        <v>116</v>
      </c>
      <c r="G3591" s="23">
        <v>312</v>
      </c>
      <c r="H3591" s="23" t="s">
        <v>6314</v>
      </c>
      <c r="I3591" s="23">
        <v>2</v>
      </c>
      <c r="J3591" s="40">
        <v>0</v>
      </c>
      <c r="K3591" s="40">
        <v>5</v>
      </c>
      <c r="L3591" s="40" t="s">
        <v>115</v>
      </c>
      <c r="O3591" s="40">
        <v>1</v>
      </c>
      <c r="Q3591" s="40">
        <v>145</v>
      </c>
      <c r="R3591" s="40" t="s">
        <v>115</v>
      </c>
      <c r="X3591" s="40" t="s">
        <v>115</v>
      </c>
      <c r="Y3591" s="40" t="s">
        <v>115</v>
      </c>
      <c r="Z3591" s="40">
        <v>4</v>
      </c>
      <c r="AA3591" s="40" t="s">
        <v>115</v>
      </c>
      <c r="AB3591" s="40" t="s">
        <v>115</v>
      </c>
      <c r="AC3591" s="40" t="s">
        <v>115</v>
      </c>
      <c r="AI3591" s="40">
        <v>403</v>
      </c>
      <c r="AP3591" s="4" t="s">
        <v>115</v>
      </c>
    </row>
    <row r="3592" spans="1:42" x14ac:dyDescent="0.15">
      <c r="A3592" s="40" t="s">
        <v>1</v>
      </c>
      <c r="B3592" s="23" t="s">
        <v>4912</v>
      </c>
      <c r="C3592" s="23">
        <v>2707</v>
      </c>
      <c r="D3592" s="23">
        <v>27</v>
      </c>
      <c r="F3592" s="23" t="s">
        <v>115</v>
      </c>
      <c r="G3592" s="23" t="s">
        <v>115</v>
      </c>
      <c r="H3592" s="23" t="s">
        <v>6315</v>
      </c>
      <c r="I3592" s="23">
        <v>4</v>
      </c>
      <c r="J3592" s="40">
        <v>1</v>
      </c>
      <c r="K3592" s="40">
        <v>1</v>
      </c>
      <c r="L3592" s="40" t="s">
        <v>115</v>
      </c>
      <c r="O3592" s="40" t="s">
        <v>115</v>
      </c>
      <c r="Q3592" s="40">
        <v>143</v>
      </c>
      <c r="R3592" s="40" t="s">
        <v>115</v>
      </c>
      <c r="X3592" s="40">
        <v>90270702</v>
      </c>
      <c r="Y3592" s="40" t="s">
        <v>115</v>
      </c>
      <c r="Z3592" s="40" t="s">
        <v>115</v>
      </c>
      <c r="AA3592" s="40" t="s">
        <v>115</v>
      </c>
      <c r="AB3592" s="40" t="s">
        <v>115</v>
      </c>
      <c r="AC3592" s="40" t="s">
        <v>115</v>
      </c>
      <c r="AI3592" s="40" t="s">
        <v>115</v>
      </c>
      <c r="AP3592" s="4" t="s">
        <v>115</v>
      </c>
    </row>
    <row r="3593" spans="1:42" x14ac:dyDescent="0.15">
      <c r="A3593" s="40" t="s">
        <v>1</v>
      </c>
      <c r="B3593" s="23">
        <v>90270702</v>
      </c>
      <c r="C3593" s="23">
        <v>2707</v>
      </c>
      <c r="D3593" s="23">
        <v>27</v>
      </c>
      <c r="F3593" s="23" t="s">
        <v>6135</v>
      </c>
      <c r="G3593" s="23" t="s">
        <v>115</v>
      </c>
      <c r="H3593" s="23" t="s">
        <v>6316</v>
      </c>
      <c r="I3593" s="23">
        <v>3</v>
      </c>
      <c r="J3593" s="40">
        <v>0</v>
      </c>
      <c r="K3593" s="40">
        <v>0</v>
      </c>
      <c r="L3593" s="40" t="s">
        <v>115</v>
      </c>
      <c r="O3593" s="40" t="s">
        <v>115</v>
      </c>
      <c r="Q3593" s="40">
        <v>143</v>
      </c>
      <c r="R3593" s="40">
        <v>129</v>
      </c>
      <c r="X3593" s="40">
        <v>90270703</v>
      </c>
      <c r="Y3593" s="40" t="s">
        <v>115</v>
      </c>
      <c r="Z3593" s="40" t="s">
        <v>115</v>
      </c>
      <c r="AA3593" s="40" t="s">
        <v>115</v>
      </c>
      <c r="AB3593" s="40" t="s">
        <v>115</v>
      </c>
      <c r="AC3593" s="40" t="s">
        <v>115</v>
      </c>
      <c r="AI3593" s="40" t="s">
        <v>115</v>
      </c>
      <c r="AP3593" s="4" t="s">
        <v>115</v>
      </c>
    </row>
    <row r="3594" spans="1:42" x14ac:dyDescent="0.15">
      <c r="A3594" s="40" t="s">
        <v>1</v>
      </c>
      <c r="B3594" s="23">
        <v>90270703</v>
      </c>
      <c r="C3594" s="23">
        <v>2707</v>
      </c>
      <c r="D3594" s="23">
        <v>27</v>
      </c>
      <c r="F3594" s="23" t="s">
        <v>6135</v>
      </c>
      <c r="G3594" s="23" t="s">
        <v>115</v>
      </c>
      <c r="H3594" s="23" t="s">
        <v>6317</v>
      </c>
      <c r="I3594" s="23">
        <v>3</v>
      </c>
      <c r="J3594" s="40">
        <v>0</v>
      </c>
      <c r="K3594" s="40">
        <v>0</v>
      </c>
      <c r="L3594" s="40" t="s">
        <v>115</v>
      </c>
      <c r="O3594" s="40" t="s">
        <v>115</v>
      </c>
      <c r="Q3594" s="40">
        <v>143</v>
      </c>
      <c r="R3594" s="40">
        <v>129</v>
      </c>
      <c r="X3594" s="40">
        <v>90270704</v>
      </c>
      <c r="Y3594" s="40" t="s">
        <v>115</v>
      </c>
      <c r="Z3594" s="40" t="s">
        <v>115</v>
      </c>
      <c r="AA3594" s="40" t="s">
        <v>115</v>
      </c>
      <c r="AB3594" s="40" t="s">
        <v>115</v>
      </c>
      <c r="AC3594" s="40" t="s">
        <v>115</v>
      </c>
      <c r="AI3594" s="40" t="s">
        <v>115</v>
      </c>
      <c r="AP3594" s="4" t="s">
        <v>115</v>
      </c>
    </row>
    <row r="3595" spans="1:42" x14ac:dyDescent="0.15">
      <c r="A3595" s="40" t="s">
        <v>1</v>
      </c>
      <c r="B3595" s="23">
        <v>90270704</v>
      </c>
      <c r="C3595" s="23">
        <v>2707</v>
      </c>
      <c r="D3595" s="23">
        <v>27</v>
      </c>
      <c r="F3595" s="23" t="s">
        <v>116</v>
      </c>
      <c r="G3595" s="23">
        <v>312</v>
      </c>
      <c r="H3595" s="23" t="s">
        <v>6318</v>
      </c>
      <c r="I3595" s="23">
        <v>0</v>
      </c>
      <c r="J3595" s="40">
        <v>0</v>
      </c>
      <c r="K3595" s="40">
        <v>0</v>
      </c>
      <c r="L3595" s="40" t="s">
        <v>115</v>
      </c>
      <c r="O3595" s="40" t="s">
        <v>115</v>
      </c>
      <c r="Q3595" s="40">
        <v>143</v>
      </c>
      <c r="R3595" s="40">
        <v>129</v>
      </c>
      <c r="X3595" s="40">
        <v>90270705</v>
      </c>
      <c r="Y3595" s="40" t="s">
        <v>115</v>
      </c>
      <c r="Z3595" s="40" t="s">
        <v>115</v>
      </c>
      <c r="AA3595" s="40" t="s">
        <v>115</v>
      </c>
      <c r="AB3595" s="40" t="s">
        <v>115</v>
      </c>
      <c r="AC3595" s="40" t="s">
        <v>115</v>
      </c>
      <c r="AI3595" s="40" t="s">
        <v>115</v>
      </c>
      <c r="AP3595" s="4" t="s">
        <v>115</v>
      </c>
    </row>
    <row r="3596" spans="1:42" x14ac:dyDescent="0.15">
      <c r="A3596" s="40" t="s">
        <v>1</v>
      </c>
      <c r="B3596" s="23">
        <v>90270705</v>
      </c>
      <c r="C3596" s="23">
        <v>2707</v>
      </c>
      <c r="D3596" s="23">
        <v>27</v>
      </c>
      <c r="F3596" s="23" t="s">
        <v>115</v>
      </c>
      <c r="G3596" s="23" t="s">
        <v>115</v>
      </c>
      <c r="H3596" s="23" t="s">
        <v>6319</v>
      </c>
      <c r="I3596" s="23">
        <v>4</v>
      </c>
      <c r="J3596" s="40">
        <v>0</v>
      </c>
      <c r="K3596" s="40">
        <v>2</v>
      </c>
      <c r="L3596" s="40" t="s">
        <v>115</v>
      </c>
      <c r="O3596" s="40" t="s">
        <v>115</v>
      </c>
      <c r="Q3596" s="40">
        <v>143</v>
      </c>
      <c r="R3596" s="40">
        <v>129</v>
      </c>
      <c r="X3596" s="40" t="s">
        <v>6320</v>
      </c>
      <c r="Y3596" s="40">
        <v>1</v>
      </c>
      <c r="Z3596" s="40">
        <v>1</v>
      </c>
      <c r="AA3596" s="40" t="s">
        <v>115</v>
      </c>
      <c r="AB3596" s="40" t="s">
        <v>115</v>
      </c>
      <c r="AC3596" s="40" t="s">
        <v>115</v>
      </c>
      <c r="AI3596" s="40" t="s">
        <v>115</v>
      </c>
      <c r="AP3596" s="4" t="s">
        <v>115</v>
      </c>
    </row>
    <row r="3597" spans="1:42" x14ac:dyDescent="0.15">
      <c r="A3597" s="40" t="s">
        <v>1</v>
      </c>
      <c r="B3597" s="23">
        <v>90270706</v>
      </c>
      <c r="C3597" s="23">
        <v>2707</v>
      </c>
      <c r="D3597" s="23">
        <v>27</v>
      </c>
      <c r="F3597" s="23" t="s">
        <v>115</v>
      </c>
      <c r="G3597" s="23" t="s">
        <v>115</v>
      </c>
      <c r="H3597" s="23" t="s">
        <v>6321</v>
      </c>
      <c r="I3597" s="23">
        <v>4</v>
      </c>
      <c r="J3597" s="40">
        <v>0</v>
      </c>
      <c r="K3597" s="40">
        <v>3</v>
      </c>
      <c r="L3597" s="40" t="s">
        <v>115</v>
      </c>
      <c r="O3597" s="40" t="s">
        <v>115</v>
      </c>
      <c r="Q3597" s="40">
        <v>143</v>
      </c>
      <c r="R3597" s="40">
        <v>129</v>
      </c>
      <c r="X3597" s="40">
        <v>90270708</v>
      </c>
      <c r="Y3597" s="40">
        <v>-1</v>
      </c>
      <c r="Z3597" s="40">
        <v>2</v>
      </c>
      <c r="AA3597" s="40" t="s">
        <v>6322</v>
      </c>
      <c r="AB3597" s="40" t="s">
        <v>115</v>
      </c>
      <c r="AC3597" s="40" t="s">
        <v>115</v>
      </c>
      <c r="AI3597" s="40" t="s">
        <v>115</v>
      </c>
      <c r="AP3597" s="4" t="s">
        <v>115</v>
      </c>
    </row>
    <row r="3598" spans="1:42" x14ac:dyDescent="0.15">
      <c r="A3598" s="40" t="s">
        <v>1</v>
      </c>
      <c r="B3598" s="23">
        <v>90270707</v>
      </c>
      <c r="C3598" s="23">
        <v>2707</v>
      </c>
      <c r="D3598" s="23">
        <v>27</v>
      </c>
      <c r="F3598" s="23" t="s">
        <v>115</v>
      </c>
      <c r="G3598" s="23" t="s">
        <v>115</v>
      </c>
      <c r="H3598" s="23" t="s">
        <v>6323</v>
      </c>
      <c r="I3598" s="23">
        <v>4</v>
      </c>
      <c r="J3598" s="40">
        <v>0</v>
      </c>
      <c r="K3598" s="40">
        <v>4</v>
      </c>
      <c r="L3598" s="40" t="s">
        <v>115</v>
      </c>
      <c r="O3598" s="40" t="s">
        <v>115</v>
      </c>
      <c r="Q3598" s="40">
        <v>143</v>
      </c>
      <c r="R3598" s="40">
        <v>129</v>
      </c>
      <c r="X3598" s="40">
        <v>90270709</v>
      </c>
      <c r="Y3598" s="40">
        <v>-1</v>
      </c>
      <c r="Z3598" s="40">
        <v>2</v>
      </c>
      <c r="AA3598" s="40" t="s">
        <v>6324</v>
      </c>
      <c r="AB3598" s="40" t="s">
        <v>115</v>
      </c>
      <c r="AC3598" s="40" t="s">
        <v>115</v>
      </c>
      <c r="AI3598" s="40" t="s">
        <v>115</v>
      </c>
      <c r="AP3598" s="4" t="s">
        <v>115</v>
      </c>
    </row>
    <row r="3599" spans="1:42" x14ac:dyDescent="0.15">
      <c r="A3599" s="40" t="s">
        <v>1</v>
      </c>
      <c r="B3599" s="23">
        <v>90270708</v>
      </c>
      <c r="C3599" s="23">
        <v>2707</v>
      </c>
      <c r="D3599" s="23">
        <v>27</v>
      </c>
      <c r="F3599" s="23" t="s">
        <v>6135</v>
      </c>
      <c r="G3599" s="23" t="s">
        <v>115</v>
      </c>
      <c r="H3599" s="23" t="s">
        <v>6325</v>
      </c>
      <c r="I3599" s="23">
        <v>3</v>
      </c>
      <c r="J3599" s="40">
        <v>0</v>
      </c>
      <c r="K3599" s="40">
        <v>0</v>
      </c>
      <c r="L3599" s="40" t="s">
        <v>115</v>
      </c>
      <c r="O3599" s="40" t="s">
        <v>115</v>
      </c>
      <c r="Q3599" s="40">
        <v>143</v>
      </c>
      <c r="R3599" s="40">
        <v>129</v>
      </c>
      <c r="X3599" s="40">
        <v>90270710</v>
      </c>
      <c r="Y3599" s="40" t="s">
        <v>115</v>
      </c>
      <c r="Z3599" s="40" t="s">
        <v>115</v>
      </c>
      <c r="AA3599" s="40" t="s">
        <v>115</v>
      </c>
      <c r="AB3599" s="40" t="s">
        <v>115</v>
      </c>
      <c r="AC3599" s="40" t="s">
        <v>115</v>
      </c>
      <c r="AI3599" s="40" t="s">
        <v>115</v>
      </c>
      <c r="AP3599" s="4" t="s">
        <v>115</v>
      </c>
    </row>
    <row r="3600" spans="1:42" x14ac:dyDescent="0.15">
      <c r="A3600" s="40" t="s">
        <v>1</v>
      </c>
      <c r="B3600" s="23">
        <v>90270709</v>
      </c>
      <c r="C3600" s="23">
        <v>2707</v>
      </c>
      <c r="D3600" s="23">
        <v>27</v>
      </c>
      <c r="F3600" s="23" t="s">
        <v>6135</v>
      </c>
      <c r="G3600" s="23" t="s">
        <v>115</v>
      </c>
      <c r="H3600" s="23" t="s">
        <v>6325</v>
      </c>
      <c r="I3600" s="23">
        <v>3</v>
      </c>
      <c r="J3600" s="40">
        <v>0</v>
      </c>
      <c r="K3600" s="40">
        <v>0</v>
      </c>
      <c r="L3600" s="40" t="s">
        <v>115</v>
      </c>
      <c r="O3600" s="40" t="s">
        <v>115</v>
      </c>
      <c r="Q3600" s="40">
        <v>143</v>
      </c>
      <c r="R3600" s="40">
        <v>129</v>
      </c>
      <c r="X3600" s="40">
        <v>90270710</v>
      </c>
      <c r="Y3600" s="40" t="s">
        <v>115</v>
      </c>
      <c r="Z3600" s="40" t="s">
        <v>115</v>
      </c>
      <c r="AA3600" s="40" t="s">
        <v>115</v>
      </c>
      <c r="AB3600" s="40" t="s">
        <v>115</v>
      </c>
      <c r="AC3600" s="40" t="s">
        <v>115</v>
      </c>
      <c r="AI3600" s="40" t="s">
        <v>115</v>
      </c>
      <c r="AP3600" s="4" t="s">
        <v>115</v>
      </c>
    </row>
    <row r="3601" spans="1:42" x14ac:dyDescent="0.15">
      <c r="A3601" s="40" t="s">
        <v>1</v>
      </c>
      <c r="B3601" s="23">
        <v>90270710</v>
      </c>
      <c r="C3601" s="23">
        <v>2707</v>
      </c>
      <c r="D3601" s="23">
        <v>27</v>
      </c>
      <c r="F3601" s="23" t="s">
        <v>115</v>
      </c>
      <c r="G3601" s="23" t="s">
        <v>115</v>
      </c>
      <c r="H3601" s="23" t="s">
        <v>6326</v>
      </c>
      <c r="I3601" s="23">
        <v>4</v>
      </c>
      <c r="J3601" s="40">
        <v>0</v>
      </c>
      <c r="K3601" s="40">
        <v>0</v>
      </c>
      <c r="L3601" s="40" t="s">
        <v>115</v>
      </c>
      <c r="O3601" s="40" t="s">
        <v>115</v>
      </c>
      <c r="Q3601" s="40">
        <v>143</v>
      </c>
      <c r="R3601" s="40">
        <v>305</v>
      </c>
      <c r="X3601" s="40">
        <v>90270711</v>
      </c>
      <c r="Y3601" s="40" t="s">
        <v>115</v>
      </c>
      <c r="Z3601" s="40" t="s">
        <v>115</v>
      </c>
      <c r="AA3601" s="40" t="s">
        <v>115</v>
      </c>
      <c r="AB3601" s="40" t="s">
        <v>115</v>
      </c>
      <c r="AC3601" s="40" t="s">
        <v>115</v>
      </c>
      <c r="AI3601" s="40" t="s">
        <v>115</v>
      </c>
      <c r="AP3601" s="4" t="s">
        <v>115</v>
      </c>
    </row>
    <row r="3602" spans="1:42" x14ac:dyDescent="0.15">
      <c r="A3602" s="40" t="s">
        <v>1</v>
      </c>
      <c r="B3602" s="23">
        <v>90270711</v>
      </c>
      <c r="C3602" s="23">
        <v>2707</v>
      </c>
      <c r="D3602" s="23">
        <v>27</v>
      </c>
      <c r="F3602" s="23" t="s">
        <v>6327</v>
      </c>
      <c r="G3602" s="23" t="s">
        <v>115</v>
      </c>
      <c r="H3602" s="23" t="s">
        <v>6328</v>
      </c>
      <c r="I3602" s="23">
        <v>3</v>
      </c>
      <c r="J3602" s="40">
        <v>0</v>
      </c>
      <c r="K3602" s="40">
        <v>0</v>
      </c>
      <c r="L3602" s="40" t="s">
        <v>115</v>
      </c>
      <c r="O3602" s="40" t="s">
        <v>115</v>
      </c>
      <c r="Q3602" s="40">
        <v>143</v>
      </c>
      <c r="R3602" s="40">
        <v>305</v>
      </c>
      <c r="X3602" s="40">
        <v>90270712</v>
      </c>
      <c r="Y3602" s="40" t="s">
        <v>115</v>
      </c>
      <c r="Z3602" s="40" t="s">
        <v>115</v>
      </c>
      <c r="AA3602" s="40" t="s">
        <v>115</v>
      </c>
      <c r="AB3602" s="40" t="s">
        <v>115</v>
      </c>
      <c r="AC3602" s="40" t="s">
        <v>115</v>
      </c>
      <c r="AI3602" s="40" t="s">
        <v>115</v>
      </c>
      <c r="AP3602" s="4" t="s">
        <v>115</v>
      </c>
    </row>
    <row r="3603" spans="1:42" x14ac:dyDescent="0.15">
      <c r="A3603" s="40" t="s">
        <v>1</v>
      </c>
      <c r="B3603" s="23">
        <v>90270712</v>
      </c>
      <c r="C3603" s="23">
        <v>2707</v>
      </c>
      <c r="D3603" s="23">
        <v>27</v>
      </c>
      <c r="F3603" s="23" t="s">
        <v>116</v>
      </c>
      <c r="G3603" s="23">
        <v>309</v>
      </c>
      <c r="H3603" s="23" t="s">
        <v>6329</v>
      </c>
      <c r="I3603" s="23">
        <v>2</v>
      </c>
      <c r="J3603" s="40">
        <v>0</v>
      </c>
      <c r="K3603" s="40">
        <v>0</v>
      </c>
      <c r="L3603" s="40" t="s">
        <v>115</v>
      </c>
      <c r="O3603" s="40" t="s">
        <v>115</v>
      </c>
      <c r="Q3603" s="40">
        <v>143</v>
      </c>
      <c r="R3603" s="40">
        <v>305</v>
      </c>
      <c r="X3603" s="40">
        <v>90270713</v>
      </c>
      <c r="Y3603" s="40" t="s">
        <v>115</v>
      </c>
      <c r="Z3603" s="40" t="s">
        <v>115</v>
      </c>
      <c r="AA3603" s="40" t="s">
        <v>115</v>
      </c>
      <c r="AB3603" s="40" t="s">
        <v>115</v>
      </c>
      <c r="AC3603" s="40" t="s">
        <v>115</v>
      </c>
      <c r="AI3603" s="40" t="s">
        <v>115</v>
      </c>
      <c r="AP3603" s="4" t="s">
        <v>115</v>
      </c>
    </row>
    <row r="3604" spans="1:42" x14ac:dyDescent="0.15">
      <c r="A3604" s="40" t="s">
        <v>1</v>
      </c>
      <c r="B3604" s="23">
        <v>90270713</v>
      </c>
      <c r="C3604" s="23">
        <v>2707</v>
      </c>
      <c r="D3604" s="23">
        <v>27</v>
      </c>
      <c r="F3604" s="23" t="s">
        <v>6135</v>
      </c>
      <c r="G3604" s="23" t="s">
        <v>115</v>
      </c>
      <c r="H3604" s="23" t="s">
        <v>6330</v>
      </c>
      <c r="I3604" s="23">
        <v>3</v>
      </c>
      <c r="J3604" s="40">
        <v>0</v>
      </c>
      <c r="K3604" s="40">
        <v>0</v>
      </c>
      <c r="L3604" s="40" t="s">
        <v>115</v>
      </c>
      <c r="O3604" s="40" t="s">
        <v>115</v>
      </c>
      <c r="Q3604" s="40">
        <v>143</v>
      </c>
      <c r="R3604" s="40">
        <v>129</v>
      </c>
      <c r="X3604" s="40">
        <v>90270714</v>
      </c>
      <c r="Y3604" s="40" t="s">
        <v>115</v>
      </c>
      <c r="Z3604" s="40" t="s">
        <v>115</v>
      </c>
      <c r="AA3604" s="40" t="s">
        <v>115</v>
      </c>
      <c r="AB3604" s="40" t="s">
        <v>115</v>
      </c>
      <c r="AC3604" s="40" t="s">
        <v>115</v>
      </c>
      <c r="AI3604" s="40" t="s">
        <v>115</v>
      </c>
      <c r="AP3604" s="4" t="s">
        <v>115</v>
      </c>
    </row>
    <row r="3605" spans="1:42" x14ac:dyDescent="0.15">
      <c r="A3605" s="40" t="s">
        <v>1</v>
      </c>
      <c r="B3605" s="23">
        <v>90270714</v>
      </c>
      <c r="C3605" s="23">
        <v>2707</v>
      </c>
      <c r="D3605" s="23">
        <v>27</v>
      </c>
      <c r="F3605" s="23" t="s">
        <v>6327</v>
      </c>
      <c r="G3605" s="23" t="s">
        <v>115</v>
      </c>
      <c r="H3605" s="23" t="s">
        <v>6331</v>
      </c>
      <c r="I3605" s="23">
        <v>3</v>
      </c>
      <c r="J3605" s="40">
        <v>0</v>
      </c>
      <c r="K3605" s="40">
        <v>0</v>
      </c>
      <c r="L3605" s="40" t="s">
        <v>115</v>
      </c>
      <c r="O3605" s="40" t="s">
        <v>115</v>
      </c>
      <c r="Q3605" s="40">
        <v>143</v>
      </c>
      <c r="R3605" s="40">
        <v>305</v>
      </c>
      <c r="X3605" s="40">
        <v>90270715</v>
      </c>
      <c r="Y3605" s="40" t="s">
        <v>115</v>
      </c>
      <c r="Z3605" s="40" t="s">
        <v>115</v>
      </c>
      <c r="AA3605" s="40" t="s">
        <v>115</v>
      </c>
      <c r="AB3605" s="40" t="s">
        <v>115</v>
      </c>
      <c r="AC3605" s="40" t="s">
        <v>115</v>
      </c>
      <c r="AI3605" s="40" t="s">
        <v>115</v>
      </c>
      <c r="AP3605" s="4" t="s">
        <v>115</v>
      </c>
    </row>
    <row r="3606" spans="1:42" x14ac:dyDescent="0.15">
      <c r="A3606" s="40" t="s">
        <v>1</v>
      </c>
      <c r="B3606" s="23">
        <v>90270715</v>
      </c>
      <c r="C3606" s="23">
        <v>2707</v>
      </c>
      <c r="D3606" s="23">
        <v>27</v>
      </c>
      <c r="F3606" s="23" t="s">
        <v>6135</v>
      </c>
      <c r="G3606" s="23" t="s">
        <v>115</v>
      </c>
      <c r="H3606" s="23" t="s">
        <v>6332</v>
      </c>
      <c r="I3606" s="23">
        <v>3</v>
      </c>
      <c r="J3606" s="40">
        <v>0</v>
      </c>
      <c r="K3606" s="40">
        <v>0</v>
      </c>
      <c r="L3606" s="40" t="s">
        <v>115</v>
      </c>
      <c r="O3606" s="40" t="s">
        <v>115</v>
      </c>
      <c r="Q3606" s="40">
        <v>143</v>
      </c>
      <c r="R3606" s="40">
        <v>129</v>
      </c>
      <c r="X3606" s="40">
        <v>90270716</v>
      </c>
      <c r="Y3606" s="40" t="s">
        <v>115</v>
      </c>
      <c r="Z3606" s="40" t="s">
        <v>115</v>
      </c>
      <c r="AA3606" s="40" t="s">
        <v>115</v>
      </c>
      <c r="AB3606" s="40" t="s">
        <v>115</v>
      </c>
      <c r="AC3606" s="40" t="s">
        <v>115</v>
      </c>
      <c r="AI3606" s="40" t="s">
        <v>115</v>
      </c>
      <c r="AP3606" s="4" t="s">
        <v>115</v>
      </c>
    </row>
    <row r="3607" spans="1:42" x14ac:dyDescent="0.15">
      <c r="A3607" s="40" t="s">
        <v>1</v>
      </c>
      <c r="B3607" s="23">
        <v>90270716</v>
      </c>
      <c r="C3607" s="23">
        <v>2707</v>
      </c>
      <c r="D3607" s="23">
        <v>27</v>
      </c>
      <c r="F3607" s="23" t="s">
        <v>6135</v>
      </c>
      <c r="G3607" s="23" t="s">
        <v>115</v>
      </c>
      <c r="H3607" s="23" t="s">
        <v>6333</v>
      </c>
      <c r="I3607" s="23">
        <v>3</v>
      </c>
      <c r="J3607" s="40">
        <v>0</v>
      </c>
      <c r="K3607" s="40">
        <v>0</v>
      </c>
      <c r="L3607" s="40" t="s">
        <v>115</v>
      </c>
      <c r="O3607" s="40" t="s">
        <v>115</v>
      </c>
      <c r="Q3607" s="40">
        <v>143</v>
      </c>
      <c r="R3607" s="40">
        <v>129</v>
      </c>
      <c r="X3607" s="40">
        <v>90270717</v>
      </c>
      <c r="Y3607" s="40" t="s">
        <v>115</v>
      </c>
      <c r="Z3607" s="40" t="s">
        <v>115</v>
      </c>
      <c r="AA3607" s="40" t="s">
        <v>115</v>
      </c>
      <c r="AB3607" s="40" t="s">
        <v>115</v>
      </c>
      <c r="AC3607" s="40" t="s">
        <v>115</v>
      </c>
      <c r="AI3607" s="40" t="s">
        <v>115</v>
      </c>
      <c r="AP3607" s="4" t="s">
        <v>115</v>
      </c>
    </row>
    <row r="3608" spans="1:42" x14ac:dyDescent="0.15">
      <c r="A3608" s="40" t="s">
        <v>1</v>
      </c>
      <c r="B3608" s="23">
        <v>90270717</v>
      </c>
      <c r="C3608" s="23">
        <v>2707</v>
      </c>
      <c r="D3608" s="23">
        <v>27</v>
      </c>
      <c r="F3608" s="23" t="s">
        <v>115</v>
      </c>
      <c r="G3608" s="23" t="s">
        <v>115</v>
      </c>
      <c r="H3608" s="23" t="s">
        <v>6334</v>
      </c>
      <c r="I3608" s="23">
        <v>4</v>
      </c>
      <c r="J3608" s="40">
        <v>0</v>
      </c>
      <c r="K3608" s="40">
        <v>5</v>
      </c>
      <c r="L3608" s="40" t="s">
        <v>115</v>
      </c>
      <c r="O3608" s="40">
        <v>1</v>
      </c>
      <c r="Q3608" s="40">
        <v>143</v>
      </c>
      <c r="R3608" s="40" t="s">
        <v>115</v>
      </c>
      <c r="X3608" s="40" t="s">
        <v>115</v>
      </c>
      <c r="Y3608" s="40" t="s">
        <v>115</v>
      </c>
      <c r="Z3608" s="40">
        <v>4</v>
      </c>
      <c r="AA3608" s="40" t="s">
        <v>115</v>
      </c>
      <c r="AB3608" s="40" t="s">
        <v>115</v>
      </c>
      <c r="AC3608" s="40" t="s">
        <v>115</v>
      </c>
      <c r="AI3608" s="40" t="s">
        <v>115</v>
      </c>
      <c r="AP3608" s="4" t="s">
        <v>115</v>
      </c>
    </row>
    <row r="3609" spans="1:42" x14ac:dyDescent="0.15">
      <c r="A3609" s="40" t="s">
        <v>1</v>
      </c>
      <c r="B3609" s="23" t="s">
        <v>4913</v>
      </c>
      <c r="C3609" s="23">
        <v>2801</v>
      </c>
      <c r="D3609" s="23">
        <v>28</v>
      </c>
      <c r="F3609" s="23" t="s">
        <v>116</v>
      </c>
      <c r="G3609" s="23" t="s">
        <v>115</v>
      </c>
      <c r="H3609" s="23" t="s">
        <v>6335</v>
      </c>
      <c r="I3609" s="23">
        <v>2</v>
      </c>
      <c r="J3609" s="40">
        <v>1</v>
      </c>
      <c r="K3609" s="40">
        <v>1</v>
      </c>
      <c r="L3609" s="40" t="s">
        <v>115</v>
      </c>
      <c r="O3609" s="40" t="s">
        <v>115</v>
      </c>
      <c r="Q3609" s="40">
        <v>197</v>
      </c>
      <c r="R3609" s="40" t="s">
        <v>115</v>
      </c>
      <c r="X3609" s="40">
        <v>90280102</v>
      </c>
      <c r="Y3609" s="40" t="s">
        <v>115</v>
      </c>
      <c r="Z3609" s="40" t="s">
        <v>115</v>
      </c>
      <c r="AA3609" s="40" t="s">
        <v>115</v>
      </c>
      <c r="AB3609" s="40" t="s">
        <v>115</v>
      </c>
      <c r="AC3609" s="40" t="s">
        <v>115</v>
      </c>
      <c r="AI3609" s="40" t="s">
        <v>115</v>
      </c>
      <c r="AP3609" s="4" t="s">
        <v>115</v>
      </c>
    </row>
    <row r="3610" spans="1:42" x14ac:dyDescent="0.15">
      <c r="A3610" s="40" t="s">
        <v>1</v>
      </c>
      <c r="B3610" s="23">
        <v>90280102</v>
      </c>
      <c r="C3610" s="23">
        <v>2801</v>
      </c>
      <c r="D3610" s="23">
        <v>28</v>
      </c>
      <c r="F3610" s="23" t="s">
        <v>115</v>
      </c>
      <c r="G3610" s="23" t="s">
        <v>115</v>
      </c>
      <c r="H3610" s="23" t="s">
        <v>6336</v>
      </c>
      <c r="I3610" s="23">
        <v>4</v>
      </c>
      <c r="J3610" s="40">
        <v>0</v>
      </c>
      <c r="K3610" s="40">
        <v>0</v>
      </c>
      <c r="L3610" s="40" t="s">
        <v>115</v>
      </c>
      <c r="O3610" s="40" t="s">
        <v>115</v>
      </c>
      <c r="Q3610" s="40">
        <v>197</v>
      </c>
      <c r="R3610" s="40">
        <v>239</v>
      </c>
      <c r="X3610" s="40">
        <v>90280103</v>
      </c>
      <c r="Y3610" s="40" t="s">
        <v>115</v>
      </c>
      <c r="Z3610" s="40" t="s">
        <v>115</v>
      </c>
      <c r="AA3610" s="40" t="s">
        <v>115</v>
      </c>
      <c r="AB3610" s="40" t="s">
        <v>115</v>
      </c>
      <c r="AC3610" s="40" t="s">
        <v>115</v>
      </c>
      <c r="AI3610" s="40" t="s">
        <v>115</v>
      </c>
      <c r="AP3610" s="4" t="s">
        <v>115</v>
      </c>
    </row>
    <row r="3611" spans="1:42" x14ac:dyDescent="0.15">
      <c r="A3611" s="40" t="s">
        <v>1</v>
      </c>
      <c r="B3611" s="23">
        <v>90280103</v>
      </c>
      <c r="C3611" s="23">
        <v>2801</v>
      </c>
      <c r="D3611" s="23">
        <v>28</v>
      </c>
      <c r="F3611" s="23" t="s">
        <v>335</v>
      </c>
      <c r="G3611" s="23" t="s">
        <v>115</v>
      </c>
      <c r="H3611" s="23" t="s">
        <v>6337</v>
      </c>
      <c r="I3611" s="23">
        <v>3</v>
      </c>
      <c r="J3611" s="40">
        <v>0</v>
      </c>
      <c r="K3611" s="40">
        <v>0</v>
      </c>
      <c r="L3611" s="40" t="s">
        <v>115</v>
      </c>
      <c r="O3611" s="40" t="s">
        <v>115</v>
      </c>
      <c r="Q3611" s="40">
        <v>197</v>
      </c>
      <c r="R3611" s="40">
        <v>239</v>
      </c>
      <c r="X3611" s="40">
        <v>90280104</v>
      </c>
      <c r="Y3611" s="40" t="s">
        <v>115</v>
      </c>
      <c r="Z3611" s="40" t="s">
        <v>115</v>
      </c>
      <c r="AA3611" s="40" t="s">
        <v>115</v>
      </c>
      <c r="AB3611" s="40" t="s">
        <v>115</v>
      </c>
      <c r="AC3611" s="40" t="s">
        <v>115</v>
      </c>
      <c r="AI3611" s="40" t="s">
        <v>115</v>
      </c>
      <c r="AP3611" s="4" t="s">
        <v>115</v>
      </c>
    </row>
    <row r="3612" spans="1:42" x14ac:dyDescent="0.15">
      <c r="A3612" s="40" t="s">
        <v>1</v>
      </c>
      <c r="B3612" s="23">
        <v>90280104</v>
      </c>
      <c r="C3612" s="23">
        <v>2801</v>
      </c>
      <c r="D3612" s="23">
        <v>28</v>
      </c>
      <c r="F3612" s="23" t="s">
        <v>116</v>
      </c>
      <c r="G3612" s="23" t="s">
        <v>115</v>
      </c>
      <c r="H3612" s="23" t="s">
        <v>6338</v>
      </c>
      <c r="I3612" s="23">
        <v>0</v>
      </c>
      <c r="J3612" s="40">
        <v>0</v>
      </c>
      <c r="K3612" s="40">
        <v>0</v>
      </c>
      <c r="L3612" s="40" t="s">
        <v>115</v>
      </c>
      <c r="O3612" s="40" t="s">
        <v>115</v>
      </c>
      <c r="Q3612" s="40">
        <v>197</v>
      </c>
      <c r="R3612" s="40">
        <v>239</v>
      </c>
      <c r="X3612" s="40">
        <v>90280105</v>
      </c>
      <c r="Y3612" s="40" t="s">
        <v>115</v>
      </c>
      <c r="Z3612" s="40" t="s">
        <v>115</v>
      </c>
      <c r="AA3612" s="40" t="s">
        <v>115</v>
      </c>
      <c r="AB3612" s="40" t="s">
        <v>115</v>
      </c>
      <c r="AC3612" s="40" t="s">
        <v>115</v>
      </c>
      <c r="AI3612" s="40" t="s">
        <v>115</v>
      </c>
      <c r="AP3612" s="4" t="s">
        <v>115</v>
      </c>
    </row>
    <row r="3613" spans="1:42" x14ac:dyDescent="0.15">
      <c r="A3613" s="40" t="s">
        <v>1</v>
      </c>
      <c r="B3613" s="23">
        <v>90280105</v>
      </c>
      <c r="C3613" s="23">
        <v>2801</v>
      </c>
      <c r="D3613" s="23">
        <v>28</v>
      </c>
      <c r="F3613" s="23" t="s">
        <v>335</v>
      </c>
      <c r="G3613" s="23" t="s">
        <v>115</v>
      </c>
      <c r="H3613" s="23" t="s">
        <v>6339</v>
      </c>
      <c r="I3613" s="23">
        <v>3</v>
      </c>
      <c r="J3613" s="40">
        <v>0</v>
      </c>
      <c r="K3613" s="40">
        <v>0</v>
      </c>
      <c r="L3613" s="40" t="s">
        <v>115</v>
      </c>
      <c r="O3613" s="40" t="s">
        <v>115</v>
      </c>
      <c r="Q3613" s="40">
        <v>197</v>
      </c>
      <c r="R3613" s="40">
        <v>239</v>
      </c>
      <c r="X3613" s="40">
        <v>90280106</v>
      </c>
      <c r="Y3613" s="40" t="s">
        <v>115</v>
      </c>
      <c r="Z3613" s="40" t="s">
        <v>115</v>
      </c>
      <c r="AA3613" s="40" t="s">
        <v>115</v>
      </c>
      <c r="AB3613" s="40" t="s">
        <v>115</v>
      </c>
      <c r="AC3613" s="40" t="s">
        <v>115</v>
      </c>
      <c r="AI3613" s="40" t="s">
        <v>115</v>
      </c>
      <c r="AP3613" s="4" t="s">
        <v>115</v>
      </c>
    </row>
    <row r="3614" spans="1:42" x14ac:dyDescent="0.15">
      <c r="A3614" s="40" t="s">
        <v>1</v>
      </c>
      <c r="B3614" s="23">
        <v>90280106</v>
      </c>
      <c r="C3614" s="23">
        <v>2801</v>
      </c>
      <c r="D3614" s="23">
        <v>28</v>
      </c>
      <c r="F3614" s="23" t="s">
        <v>335</v>
      </c>
      <c r="G3614" s="23" t="s">
        <v>115</v>
      </c>
      <c r="H3614" s="23" t="s">
        <v>6340</v>
      </c>
      <c r="I3614" s="23">
        <v>3</v>
      </c>
      <c r="J3614" s="40">
        <v>0</v>
      </c>
      <c r="K3614" s="40">
        <v>0</v>
      </c>
      <c r="L3614" s="40" t="s">
        <v>115</v>
      </c>
      <c r="O3614" s="40" t="s">
        <v>115</v>
      </c>
      <c r="Q3614" s="40">
        <v>197</v>
      </c>
      <c r="R3614" s="40">
        <v>239</v>
      </c>
      <c r="X3614" s="40">
        <v>90280107</v>
      </c>
      <c r="Y3614" s="40" t="s">
        <v>115</v>
      </c>
      <c r="Z3614" s="40" t="s">
        <v>115</v>
      </c>
      <c r="AA3614" s="40" t="s">
        <v>115</v>
      </c>
      <c r="AB3614" s="40" t="s">
        <v>115</v>
      </c>
      <c r="AC3614" s="40" t="s">
        <v>115</v>
      </c>
      <c r="AI3614" s="40" t="s">
        <v>115</v>
      </c>
      <c r="AP3614" s="4" t="s">
        <v>115</v>
      </c>
    </row>
    <row r="3615" spans="1:42" x14ac:dyDescent="0.15">
      <c r="A3615" s="40" t="s">
        <v>1</v>
      </c>
      <c r="B3615" s="23">
        <v>90280107</v>
      </c>
      <c r="C3615" s="23">
        <v>2801</v>
      </c>
      <c r="D3615" s="23">
        <v>28</v>
      </c>
      <c r="F3615" s="23" t="s">
        <v>335</v>
      </c>
      <c r="G3615" s="23" t="s">
        <v>115</v>
      </c>
      <c r="H3615" s="23" t="s">
        <v>6341</v>
      </c>
      <c r="I3615" s="23">
        <v>3</v>
      </c>
      <c r="J3615" s="40">
        <v>0</v>
      </c>
      <c r="K3615" s="40">
        <v>0</v>
      </c>
      <c r="L3615" s="40" t="s">
        <v>115</v>
      </c>
      <c r="O3615" s="40" t="s">
        <v>115</v>
      </c>
      <c r="Q3615" s="40">
        <v>197</v>
      </c>
      <c r="R3615" s="40">
        <v>239</v>
      </c>
      <c r="X3615" s="40">
        <v>90280108</v>
      </c>
      <c r="Y3615" s="40" t="s">
        <v>115</v>
      </c>
      <c r="Z3615" s="40" t="s">
        <v>115</v>
      </c>
      <c r="AA3615" s="40" t="s">
        <v>115</v>
      </c>
      <c r="AB3615" s="40" t="s">
        <v>115</v>
      </c>
      <c r="AC3615" s="40" t="s">
        <v>115</v>
      </c>
      <c r="AI3615" s="40" t="s">
        <v>115</v>
      </c>
      <c r="AP3615" s="4" t="s">
        <v>115</v>
      </c>
    </row>
    <row r="3616" spans="1:42" x14ac:dyDescent="0.15">
      <c r="A3616" s="40" t="s">
        <v>1</v>
      </c>
      <c r="B3616" s="23">
        <v>90280108</v>
      </c>
      <c r="C3616" s="23">
        <v>2801</v>
      </c>
      <c r="D3616" s="23">
        <v>28</v>
      </c>
      <c r="F3616" s="23" t="s">
        <v>335</v>
      </c>
      <c r="G3616" s="23" t="s">
        <v>115</v>
      </c>
      <c r="H3616" s="23" t="s">
        <v>6342</v>
      </c>
      <c r="I3616" s="23">
        <v>3</v>
      </c>
      <c r="J3616" s="40">
        <v>0</v>
      </c>
      <c r="K3616" s="40">
        <v>0</v>
      </c>
      <c r="L3616" s="40" t="s">
        <v>115</v>
      </c>
      <c r="O3616" s="40" t="s">
        <v>115</v>
      </c>
      <c r="Q3616" s="40">
        <v>197</v>
      </c>
      <c r="R3616" s="40">
        <v>239</v>
      </c>
      <c r="X3616" s="40">
        <v>90280109</v>
      </c>
      <c r="Y3616" s="40" t="s">
        <v>115</v>
      </c>
      <c r="Z3616" s="40" t="s">
        <v>115</v>
      </c>
      <c r="AA3616" s="40" t="s">
        <v>115</v>
      </c>
      <c r="AB3616" s="40" t="s">
        <v>115</v>
      </c>
      <c r="AC3616" s="40" t="s">
        <v>115</v>
      </c>
      <c r="AI3616" s="40" t="s">
        <v>115</v>
      </c>
      <c r="AP3616" s="4" t="s">
        <v>115</v>
      </c>
    </row>
    <row r="3617" spans="1:42" x14ac:dyDescent="0.15">
      <c r="A3617" s="40" t="s">
        <v>1</v>
      </c>
      <c r="B3617" s="23">
        <v>90280109</v>
      </c>
      <c r="C3617" s="23">
        <v>2801</v>
      </c>
      <c r="D3617" s="23">
        <v>28</v>
      </c>
      <c r="F3617" s="23" t="s">
        <v>116</v>
      </c>
      <c r="G3617" s="23">
        <v>312</v>
      </c>
      <c r="H3617" s="23" t="s">
        <v>6343</v>
      </c>
      <c r="I3617" s="23">
        <v>0</v>
      </c>
      <c r="J3617" s="40">
        <v>0</v>
      </c>
      <c r="K3617" s="40">
        <v>0</v>
      </c>
      <c r="L3617" s="40" t="s">
        <v>115</v>
      </c>
      <c r="O3617" s="40" t="s">
        <v>115</v>
      </c>
      <c r="Q3617" s="40">
        <v>197</v>
      </c>
      <c r="R3617" s="40">
        <v>239</v>
      </c>
      <c r="X3617" s="40">
        <v>90280110</v>
      </c>
      <c r="Y3617" s="40" t="s">
        <v>115</v>
      </c>
      <c r="Z3617" s="40" t="s">
        <v>115</v>
      </c>
      <c r="AA3617" s="40" t="s">
        <v>115</v>
      </c>
      <c r="AB3617" s="40" t="s">
        <v>115</v>
      </c>
      <c r="AC3617" s="40" t="s">
        <v>115</v>
      </c>
      <c r="AI3617" s="40" t="s">
        <v>115</v>
      </c>
      <c r="AP3617" s="4" t="s">
        <v>115</v>
      </c>
    </row>
    <row r="3618" spans="1:42" x14ac:dyDescent="0.15">
      <c r="A3618" s="40" t="s">
        <v>1</v>
      </c>
      <c r="B3618" s="23">
        <v>90280110</v>
      </c>
      <c r="C3618" s="23">
        <v>2801</v>
      </c>
      <c r="D3618" s="23">
        <v>28</v>
      </c>
      <c r="F3618" s="23" t="s">
        <v>335</v>
      </c>
      <c r="G3618" s="23" t="s">
        <v>115</v>
      </c>
      <c r="H3618" s="23" t="s">
        <v>6344</v>
      </c>
      <c r="I3618" s="23">
        <v>3</v>
      </c>
      <c r="J3618" s="40">
        <v>0</v>
      </c>
      <c r="K3618" s="40">
        <v>0</v>
      </c>
      <c r="L3618" s="40" t="s">
        <v>115</v>
      </c>
      <c r="O3618" s="40" t="s">
        <v>115</v>
      </c>
      <c r="Q3618" s="40">
        <v>197</v>
      </c>
      <c r="R3618" s="40">
        <v>239</v>
      </c>
      <c r="X3618" s="40">
        <v>90280111</v>
      </c>
      <c r="Y3618" s="40" t="s">
        <v>115</v>
      </c>
      <c r="Z3618" s="40" t="s">
        <v>115</v>
      </c>
      <c r="AA3618" s="40" t="s">
        <v>115</v>
      </c>
      <c r="AB3618" s="40" t="s">
        <v>115</v>
      </c>
      <c r="AC3618" s="40" t="s">
        <v>115</v>
      </c>
      <c r="AI3618" s="40" t="s">
        <v>115</v>
      </c>
      <c r="AP3618" s="4" t="s">
        <v>115</v>
      </c>
    </row>
    <row r="3619" spans="1:42" x14ac:dyDescent="0.15">
      <c r="A3619" s="40" t="s">
        <v>1</v>
      </c>
      <c r="B3619" s="23">
        <v>90280111</v>
      </c>
      <c r="C3619" s="23">
        <v>2801</v>
      </c>
      <c r="D3619" s="23">
        <v>28</v>
      </c>
      <c r="F3619" s="23" t="s">
        <v>335</v>
      </c>
      <c r="G3619" s="23" t="s">
        <v>115</v>
      </c>
      <c r="H3619" s="23" t="s">
        <v>6345</v>
      </c>
      <c r="I3619" s="23">
        <v>3</v>
      </c>
      <c r="J3619" s="40">
        <v>0</v>
      </c>
      <c r="K3619" s="40">
        <v>0</v>
      </c>
      <c r="L3619" s="40" t="s">
        <v>115</v>
      </c>
      <c r="O3619" s="40" t="s">
        <v>115</v>
      </c>
      <c r="Q3619" s="40">
        <v>197</v>
      </c>
      <c r="R3619" s="40">
        <v>239</v>
      </c>
      <c r="X3619" s="40">
        <v>90280112</v>
      </c>
      <c r="Y3619" s="40" t="s">
        <v>115</v>
      </c>
      <c r="Z3619" s="40" t="s">
        <v>115</v>
      </c>
      <c r="AA3619" s="40" t="s">
        <v>115</v>
      </c>
      <c r="AB3619" s="40" t="s">
        <v>115</v>
      </c>
      <c r="AC3619" s="40" t="s">
        <v>115</v>
      </c>
      <c r="AI3619" s="40" t="s">
        <v>115</v>
      </c>
      <c r="AP3619" s="4" t="s">
        <v>115</v>
      </c>
    </row>
    <row r="3620" spans="1:42" x14ac:dyDescent="0.15">
      <c r="A3620" s="40" t="s">
        <v>1</v>
      </c>
      <c r="B3620" s="23">
        <v>90280112</v>
      </c>
      <c r="C3620" s="23">
        <v>2801</v>
      </c>
      <c r="D3620" s="23">
        <v>28</v>
      </c>
      <c r="F3620" s="23" t="s">
        <v>335</v>
      </c>
      <c r="G3620" s="23" t="s">
        <v>115</v>
      </c>
      <c r="H3620" s="23" t="s">
        <v>6346</v>
      </c>
      <c r="I3620" s="23">
        <v>3</v>
      </c>
      <c r="J3620" s="40">
        <v>0</v>
      </c>
      <c r="K3620" s="40">
        <v>0</v>
      </c>
      <c r="L3620" s="40" t="s">
        <v>115</v>
      </c>
      <c r="O3620" s="40" t="s">
        <v>115</v>
      </c>
      <c r="Q3620" s="40">
        <v>197</v>
      </c>
      <c r="R3620" s="40">
        <v>239</v>
      </c>
      <c r="X3620" s="40">
        <v>90280113</v>
      </c>
      <c r="Y3620" s="40" t="s">
        <v>115</v>
      </c>
      <c r="Z3620" s="40" t="s">
        <v>115</v>
      </c>
      <c r="AA3620" s="40" t="s">
        <v>115</v>
      </c>
      <c r="AB3620" s="40" t="s">
        <v>115</v>
      </c>
      <c r="AC3620" s="40" t="s">
        <v>115</v>
      </c>
      <c r="AI3620" s="40" t="s">
        <v>115</v>
      </c>
      <c r="AP3620" s="4" t="s">
        <v>115</v>
      </c>
    </row>
    <row r="3621" spans="1:42" x14ac:dyDescent="0.15">
      <c r="A3621" s="40" t="s">
        <v>1</v>
      </c>
      <c r="B3621" s="23">
        <v>90280113</v>
      </c>
      <c r="C3621" s="23">
        <v>2801</v>
      </c>
      <c r="D3621" s="23">
        <v>28</v>
      </c>
      <c r="F3621" s="23" t="s">
        <v>116</v>
      </c>
      <c r="G3621" s="23" t="s">
        <v>115</v>
      </c>
      <c r="H3621" s="23" t="s">
        <v>6347</v>
      </c>
      <c r="I3621" s="23">
        <v>0</v>
      </c>
      <c r="J3621" s="40">
        <v>0</v>
      </c>
      <c r="K3621" s="40">
        <v>2</v>
      </c>
      <c r="L3621" s="40" t="s">
        <v>115</v>
      </c>
      <c r="O3621" s="40">
        <v>1</v>
      </c>
      <c r="Q3621" s="40">
        <v>197</v>
      </c>
      <c r="R3621" s="40">
        <v>239</v>
      </c>
      <c r="X3621" s="40" t="s">
        <v>115</v>
      </c>
      <c r="Y3621" s="40" t="s">
        <v>115</v>
      </c>
      <c r="Z3621" s="40">
        <v>1</v>
      </c>
      <c r="AA3621" s="40" t="s">
        <v>115</v>
      </c>
      <c r="AB3621" s="40" t="s">
        <v>115</v>
      </c>
      <c r="AC3621" s="40" t="s">
        <v>115</v>
      </c>
      <c r="AI3621" s="40" t="s">
        <v>115</v>
      </c>
      <c r="AP3621" s="4" t="s">
        <v>6348</v>
      </c>
    </row>
    <row r="3622" spans="1:42" x14ac:dyDescent="0.15">
      <c r="A3622" s="40" t="s">
        <v>1</v>
      </c>
      <c r="B3622" s="23" t="s">
        <v>4915</v>
      </c>
      <c r="C3622" s="23">
        <v>2802</v>
      </c>
      <c r="D3622" s="23">
        <v>28</v>
      </c>
      <c r="F3622" s="23" t="s">
        <v>271</v>
      </c>
      <c r="G3622" s="23" t="s">
        <v>115</v>
      </c>
      <c r="H3622" s="23" t="s">
        <v>6349</v>
      </c>
      <c r="I3622" s="23">
        <v>3</v>
      </c>
      <c r="J3622" s="40">
        <v>1</v>
      </c>
      <c r="K3622" s="40">
        <v>1</v>
      </c>
      <c r="L3622" s="40" t="s">
        <v>115</v>
      </c>
      <c r="O3622" s="40" t="s">
        <v>115</v>
      </c>
      <c r="Q3622" s="40">
        <v>162</v>
      </c>
      <c r="R3622" s="40">
        <v>263</v>
      </c>
      <c r="X3622" s="40">
        <v>90280202</v>
      </c>
      <c r="Y3622" s="40" t="s">
        <v>115</v>
      </c>
      <c r="Z3622" s="40" t="s">
        <v>115</v>
      </c>
      <c r="AA3622" s="40" t="s">
        <v>115</v>
      </c>
      <c r="AB3622" s="40" t="s">
        <v>115</v>
      </c>
      <c r="AC3622" s="40" t="s">
        <v>115</v>
      </c>
      <c r="AI3622" s="40" t="s">
        <v>115</v>
      </c>
      <c r="AP3622" s="4" t="s">
        <v>115</v>
      </c>
    </row>
    <row r="3623" spans="1:42" x14ac:dyDescent="0.15">
      <c r="A3623" s="40" t="s">
        <v>1</v>
      </c>
      <c r="B3623" s="23">
        <v>90280202</v>
      </c>
      <c r="C3623" s="23">
        <v>2802</v>
      </c>
      <c r="D3623" s="23">
        <v>28</v>
      </c>
      <c r="F3623" s="23" t="s">
        <v>115</v>
      </c>
      <c r="G3623" s="23" t="s">
        <v>115</v>
      </c>
      <c r="H3623" s="23" t="s">
        <v>6350</v>
      </c>
      <c r="I3623" s="23">
        <v>4</v>
      </c>
      <c r="J3623" s="40">
        <v>0</v>
      </c>
      <c r="K3623" s="40">
        <v>0</v>
      </c>
      <c r="L3623" s="40" t="s">
        <v>115</v>
      </c>
      <c r="O3623" s="40" t="s">
        <v>115</v>
      </c>
      <c r="Q3623" s="40">
        <v>162</v>
      </c>
      <c r="R3623" s="40">
        <v>263</v>
      </c>
      <c r="X3623" s="40">
        <v>90280203</v>
      </c>
      <c r="Y3623" s="40" t="s">
        <v>115</v>
      </c>
      <c r="Z3623" s="40" t="s">
        <v>115</v>
      </c>
      <c r="AA3623" s="40" t="s">
        <v>115</v>
      </c>
      <c r="AB3623" s="40" t="s">
        <v>115</v>
      </c>
      <c r="AC3623" s="40" t="s">
        <v>115</v>
      </c>
      <c r="AI3623" s="40" t="s">
        <v>115</v>
      </c>
      <c r="AP3623" s="4" t="s">
        <v>115</v>
      </c>
    </row>
    <row r="3624" spans="1:42" x14ac:dyDescent="0.15">
      <c r="A3624" s="40" t="s">
        <v>1</v>
      </c>
      <c r="B3624" s="23">
        <v>90280203</v>
      </c>
      <c r="C3624" s="23">
        <v>2802</v>
      </c>
      <c r="D3624" s="23">
        <v>28</v>
      </c>
      <c r="F3624" s="23" t="s">
        <v>116</v>
      </c>
      <c r="G3624" s="23">
        <v>312</v>
      </c>
      <c r="H3624" s="23" t="s">
        <v>6351</v>
      </c>
      <c r="I3624" s="23">
        <v>0</v>
      </c>
      <c r="J3624" s="40">
        <v>0</v>
      </c>
      <c r="K3624" s="40">
        <v>0</v>
      </c>
      <c r="L3624" s="40" t="s">
        <v>115</v>
      </c>
      <c r="O3624" s="40" t="s">
        <v>115</v>
      </c>
      <c r="Q3624" s="40">
        <v>162</v>
      </c>
      <c r="R3624" s="40">
        <v>263</v>
      </c>
      <c r="X3624" s="40">
        <v>90280204</v>
      </c>
      <c r="Y3624" s="40" t="s">
        <v>115</v>
      </c>
      <c r="Z3624" s="40" t="s">
        <v>115</v>
      </c>
      <c r="AA3624" s="40" t="s">
        <v>115</v>
      </c>
      <c r="AB3624" s="40" t="s">
        <v>115</v>
      </c>
      <c r="AC3624" s="40" t="s">
        <v>115</v>
      </c>
      <c r="AI3624" s="40" t="s">
        <v>115</v>
      </c>
      <c r="AP3624" s="4" t="s">
        <v>115</v>
      </c>
    </row>
    <row r="3625" spans="1:42" x14ac:dyDescent="0.15">
      <c r="A3625" s="40" t="s">
        <v>1</v>
      </c>
      <c r="B3625" s="23">
        <v>90280204</v>
      </c>
      <c r="C3625" s="23">
        <v>2802</v>
      </c>
      <c r="D3625" s="23">
        <v>28</v>
      </c>
      <c r="F3625" s="23" t="s">
        <v>271</v>
      </c>
      <c r="G3625" s="23" t="s">
        <v>115</v>
      </c>
      <c r="H3625" s="23" t="s">
        <v>6352</v>
      </c>
      <c r="I3625" s="23">
        <v>3</v>
      </c>
      <c r="J3625" s="40">
        <v>0</v>
      </c>
      <c r="K3625" s="40">
        <v>0</v>
      </c>
      <c r="L3625" s="40" t="s">
        <v>115</v>
      </c>
      <c r="O3625" s="40" t="s">
        <v>115</v>
      </c>
      <c r="Q3625" s="40">
        <v>162</v>
      </c>
      <c r="R3625" s="40">
        <v>263</v>
      </c>
      <c r="X3625" s="40">
        <v>90280205</v>
      </c>
      <c r="Y3625" s="40" t="s">
        <v>115</v>
      </c>
      <c r="Z3625" s="40" t="s">
        <v>115</v>
      </c>
      <c r="AA3625" s="40" t="s">
        <v>115</v>
      </c>
      <c r="AB3625" s="40" t="s">
        <v>115</v>
      </c>
      <c r="AC3625" s="40" t="s">
        <v>115</v>
      </c>
      <c r="AI3625" s="40" t="s">
        <v>115</v>
      </c>
      <c r="AP3625" s="4" t="s">
        <v>115</v>
      </c>
    </row>
    <row r="3626" spans="1:42" x14ac:dyDescent="0.15">
      <c r="A3626" s="40" t="s">
        <v>1</v>
      </c>
      <c r="B3626" s="23">
        <v>90280205</v>
      </c>
      <c r="C3626" s="23">
        <v>2802</v>
      </c>
      <c r="D3626" s="23">
        <v>28</v>
      </c>
      <c r="F3626" s="23" t="s">
        <v>271</v>
      </c>
      <c r="G3626" s="23" t="s">
        <v>115</v>
      </c>
      <c r="H3626" s="23" t="s">
        <v>6353</v>
      </c>
      <c r="I3626" s="23">
        <v>3</v>
      </c>
      <c r="J3626" s="40">
        <v>0</v>
      </c>
      <c r="K3626" s="40">
        <v>0</v>
      </c>
      <c r="L3626" s="40" t="s">
        <v>115</v>
      </c>
      <c r="O3626" s="40" t="s">
        <v>115</v>
      </c>
      <c r="Q3626" s="40">
        <v>162</v>
      </c>
      <c r="R3626" s="40">
        <v>263</v>
      </c>
      <c r="X3626" s="40">
        <v>90280206</v>
      </c>
      <c r="Y3626" s="40" t="s">
        <v>115</v>
      </c>
      <c r="Z3626" s="40" t="s">
        <v>115</v>
      </c>
      <c r="AA3626" s="40" t="s">
        <v>115</v>
      </c>
      <c r="AB3626" s="40" t="s">
        <v>115</v>
      </c>
      <c r="AC3626" s="40" t="s">
        <v>115</v>
      </c>
      <c r="AI3626" s="40" t="s">
        <v>115</v>
      </c>
      <c r="AP3626" s="4" t="s">
        <v>115</v>
      </c>
    </row>
    <row r="3627" spans="1:42" x14ac:dyDescent="0.15">
      <c r="A3627" s="40" t="s">
        <v>1</v>
      </c>
      <c r="B3627" s="23">
        <v>90280206</v>
      </c>
      <c r="C3627" s="23">
        <v>2802</v>
      </c>
      <c r="D3627" s="23">
        <v>28</v>
      </c>
      <c r="F3627" s="23" t="s">
        <v>271</v>
      </c>
      <c r="G3627" s="23" t="s">
        <v>115</v>
      </c>
      <c r="H3627" s="23" t="s">
        <v>7254</v>
      </c>
      <c r="I3627" s="23">
        <v>3</v>
      </c>
      <c r="J3627" s="40">
        <v>0</v>
      </c>
      <c r="K3627" s="40">
        <v>0</v>
      </c>
      <c r="L3627" s="40" t="s">
        <v>115</v>
      </c>
      <c r="O3627" s="40" t="s">
        <v>115</v>
      </c>
      <c r="Q3627" s="40">
        <v>162</v>
      </c>
      <c r="R3627" s="40">
        <v>263</v>
      </c>
      <c r="X3627" s="40">
        <v>90280207</v>
      </c>
      <c r="Y3627" s="40" t="s">
        <v>115</v>
      </c>
      <c r="Z3627" s="40" t="s">
        <v>115</v>
      </c>
      <c r="AA3627" s="40" t="s">
        <v>115</v>
      </c>
      <c r="AB3627" s="40" t="s">
        <v>115</v>
      </c>
      <c r="AC3627" s="40" t="s">
        <v>115</v>
      </c>
      <c r="AI3627" s="40" t="s">
        <v>115</v>
      </c>
      <c r="AP3627" s="4" t="s">
        <v>115</v>
      </c>
    </row>
    <row r="3628" spans="1:42" x14ac:dyDescent="0.15">
      <c r="A3628" s="40" t="s">
        <v>1</v>
      </c>
      <c r="B3628" s="23">
        <v>90280207</v>
      </c>
      <c r="C3628" s="23">
        <v>2802</v>
      </c>
      <c r="D3628" s="23">
        <v>28</v>
      </c>
      <c r="F3628" s="23" t="s">
        <v>271</v>
      </c>
      <c r="G3628" s="23" t="s">
        <v>115</v>
      </c>
      <c r="H3628" s="23" t="s">
        <v>6354</v>
      </c>
      <c r="I3628" s="23">
        <v>3</v>
      </c>
      <c r="J3628" s="40">
        <v>0</v>
      </c>
      <c r="K3628" s="40">
        <v>0</v>
      </c>
      <c r="L3628" s="40" t="s">
        <v>115</v>
      </c>
      <c r="O3628" s="40" t="s">
        <v>115</v>
      </c>
      <c r="Q3628" s="40">
        <v>162</v>
      </c>
      <c r="R3628" s="40">
        <v>263</v>
      </c>
      <c r="X3628" s="40">
        <v>90280208</v>
      </c>
      <c r="Y3628" s="40" t="s">
        <v>115</v>
      </c>
      <c r="Z3628" s="40" t="s">
        <v>115</v>
      </c>
      <c r="AA3628" s="40" t="s">
        <v>115</v>
      </c>
      <c r="AB3628" s="40" t="s">
        <v>115</v>
      </c>
      <c r="AC3628" s="40" t="s">
        <v>115</v>
      </c>
      <c r="AI3628" s="40" t="s">
        <v>115</v>
      </c>
      <c r="AP3628" s="4" t="s">
        <v>115</v>
      </c>
    </row>
    <row r="3629" spans="1:42" x14ac:dyDescent="0.15">
      <c r="A3629" s="40" t="s">
        <v>1</v>
      </c>
      <c r="B3629" s="23">
        <v>90280208</v>
      </c>
      <c r="C3629" s="23">
        <v>2802</v>
      </c>
      <c r="D3629" s="23">
        <v>28</v>
      </c>
      <c r="F3629" s="23" t="s">
        <v>271</v>
      </c>
      <c r="G3629" s="23" t="s">
        <v>115</v>
      </c>
      <c r="H3629" s="23" t="s">
        <v>6355</v>
      </c>
      <c r="I3629" s="23">
        <v>3</v>
      </c>
      <c r="J3629" s="40">
        <v>0</v>
      </c>
      <c r="K3629" s="40">
        <v>0</v>
      </c>
      <c r="L3629" s="40" t="s">
        <v>115</v>
      </c>
      <c r="O3629" s="40" t="s">
        <v>115</v>
      </c>
      <c r="Q3629" s="40">
        <v>162</v>
      </c>
      <c r="R3629" s="40">
        <v>263</v>
      </c>
      <c r="X3629" s="40">
        <v>90280209</v>
      </c>
      <c r="Y3629" s="40" t="s">
        <v>115</v>
      </c>
      <c r="Z3629" s="40" t="s">
        <v>115</v>
      </c>
      <c r="AA3629" s="40" t="s">
        <v>115</v>
      </c>
      <c r="AB3629" s="40" t="s">
        <v>115</v>
      </c>
      <c r="AC3629" s="40" t="s">
        <v>115</v>
      </c>
      <c r="AI3629" s="40" t="s">
        <v>115</v>
      </c>
      <c r="AP3629" s="4" t="s">
        <v>115</v>
      </c>
    </row>
    <row r="3630" spans="1:42" x14ac:dyDescent="0.15">
      <c r="A3630" s="40" t="s">
        <v>1</v>
      </c>
      <c r="B3630" s="23">
        <v>90280209</v>
      </c>
      <c r="C3630" s="23">
        <v>2802</v>
      </c>
      <c r="D3630" s="23">
        <v>28</v>
      </c>
      <c r="F3630" s="23" t="s">
        <v>271</v>
      </c>
      <c r="G3630" s="23" t="s">
        <v>115</v>
      </c>
      <c r="H3630" s="23" t="s">
        <v>6356</v>
      </c>
      <c r="I3630" s="23">
        <v>3</v>
      </c>
      <c r="J3630" s="40">
        <v>0</v>
      </c>
      <c r="K3630" s="40">
        <v>0</v>
      </c>
      <c r="L3630" s="40" t="s">
        <v>115</v>
      </c>
      <c r="O3630" s="40" t="s">
        <v>115</v>
      </c>
      <c r="Q3630" s="40">
        <v>162</v>
      </c>
      <c r="R3630" s="40">
        <v>263</v>
      </c>
      <c r="X3630" s="40">
        <v>90280210</v>
      </c>
      <c r="Y3630" s="40" t="s">
        <v>115</v>
      </c>
      <c r="Z3630" s="40" t="s">
        <v>115</v>
      </c>
      <c r="AA3630" s="40" t="s">
        <v>115</v>
      </c>
      <c r="AB3630" s="40" t="s">
        <v>115</v>
      </c>
      <c r="AC3630" s="40" t="s">
        <v>115</v>
      </c>
      <c r="AI3630" s="40" t="s">
        <v>115</v>
      </c>
      <c r="AP3630" s="4" t="s">
        <v>115</v>
      </c>
    </row>
    <row r="3631" spans="1:42" x14ac:dyDescent="0.15">
      <c r="A3631" s="40" t="s">
        <v>1</v>
      </c>
      <c r="B3631" s="23">
        <v>90280210</v>
      </c>
      <c r="C3631" s="23">
        <v>2802</v>
      </c>
      <c r="D3631" s="23">
        <v>28</v>
      </c>
      <c r="F3631" s="23" t="s">
        <v>116</v>
      </c>
      <c r="G3631" s="23" t="s">
        <v>115</v>
      </c>
      <c r="H3631" s="23" t="s">
        <v>6357</v>
      </c>
      <c r="I3631" s="23">
        <v>0</v>
      </c>
      <c r="J3631" s="40">
        <v>0</v>
      </c>
      <c r="K3631" s="40">
        <v>0</v>
      </c>
      <c r="L3631" s="40" t="s">
        <v>115</v>
      </c>
      <c r="O3631" s="40" t="s">
        <v>115</v>
      </c>
      <c r="Q3631" s="40">
        <v>162</v>
      </c>
      <c r="R3631" s="40">
        <v>263</v>
      </c>
      <c r="X3631" s="40">
        <v>90280211</v>
      </c>
      <c r="Y3631" s="40" t="s">
        <v>115</v>
      </c>
      <c r="Z3631" s="40" t="s">
        <v>115</v>
      </c>
      <c r="AA3631" s="40" t="s">
        <v>115</v>
      </c>
      <c r="AB3631" s="40" t="s">
        <v>115</v>
      </c>
      <c r="AC3631" s="40" t="s">
        <v>115</v>
      </c>
      <c r="AI3631" s="40" t="s">
        <v>115</v>
      </c>
      <c r="AP3631" s="4" t="s">
        <v>115</v>
      </c>
    </row>
    <row r="3632" spans="1:42" x14ac:dyDescent="0.15">
      <c r="A3632" s="40" t="s">
        <v>1</v>
      </c>
      <c r="B3632" s="23">
        <v>90280211</v>
      </c>
      <c r="C3632" s="23">
        <v>2802</v>
      </c>
      <c r="D3632" s="23">
        <v>28</v>
      </c>
      <c r="F3632" s="23" t="s">
        <v>271</v>
      </c>
      <c r="G3632" s="23" t="s">
        <v>115</v>
      </c>
      <c r="H3632" s="23" t="s">
        <v>6358</v>
      </c>
      <c r="I3632" s="23">
        <v>3</v>
      </c>
      <c r="J3632" s="40">
        <v>0</v>
      </c>
      <c r="K3632" s="40">
        <v>0</v>
      </c>
      <c r="L3632" s="40" t="s">
        <v>115</v>
      </c>
      <c r="O3632" s="40" t="s">
        <v>115</v>
      </c>
      <c r="Q3632" s="40">
        <v>162</v>
      </c>
      <c r="R3632" s="40">
        <v>263</v>
      </c>
      <c r="X3632" s="40">
        <v>90280212</v>
      </c>
      <c r="Y3632" s="40" t="s">
        <v>115</v>
      </c>
      <c r="Z3632" s="40" t="s">
        <v>115</v>
      </c>
      <c r="AA3632" s="40" t="s">
        <v>115</v>
      </c>
      <c r="AB3632" s="40" t="s">
        <v>115</v>
      </c>
      <c r="AC3632" s="40" t="s">
        <v>115</v>
      </c>
      <c r="AI3632" s="40" t="s">
        <v>115</v>
      </c>
      <c r="AP3632" s="4" t="s">
        <v>115</v>
      </c>
    </row>
    <row r="3633" spans="1:42" x14ac:dyDescent="0.15">
      <c r="A3633" s="40" t="s">
        <v>1</v>
      </c>
      <c r="B3633" s="23">
        <v>90280212</v>
      </c>
      <c r="C3633" s="23">
        <v>2802</v>
      </c>
      <c r="D3633" s="23">
        <v>28</v>
      </c>
      <c r="F3633" s="23" t="s">
        <v>116</v>
      </c>
      <c r="G3633" s="23" t="s">
        <v>115</v>
      </c>
      <c r="H3633" s="23" t="s">
        <v>6359</v>
      </c>
      <c r="I3633" s="23">
        <v>0</v>
      </c>
      <c r="J3633" s="40">
        <v>0</v>
      </c>
      <c r="K3633" s="40">
        <v>0</v>
      </c>
      <c r="L3633" s="40" t="s">
        <v>115</v>
      </c>
      <c r="O3633" s="40" t="s">
        <v>115</v>
      </c>
      <c r="Q3633" s="40">
        <v>162</v>
      </c>
      <c r="R3633" s="40">
        <v>263</v>
      </c>
      <c r="X3633" s="40">
        <v>90280213</v>
      </c>
      <c r="Y3633" s="40" t="s">
        <v>115</v>
      </c>
      <c r="Z3633" s="40" t="s">
        <v>115</v>
      </c>
      <c r="AA3633" s="40" t="s">
        <v>115</v>
      </c>
      <c r="AB3633" s="40" t="s">
        <v>115</v>
      </c>
      <c r="AC3633" s="40" t="s">
        <v>115</v>
      </c>
      <c r="AI3633" s="40" t="s">
        <v>115</v>
      </c>
      <c r="AP3633" s="4" t="s">
        <v>115</v>
      </c>
    </row>
    <row r="3634" spans="1:42" x14ac:dyDescent="0.15">
      <c r="A3634" s="40" t="s">
        <v>1</v>
      </c>
      <c r="B3634" s="23">
        <v>90280213</v>
      </c>
      <c r="C3634" s="23">
        <v>2802</v>
      </c>
      <c r="D3634" s="23">
        <v>28</v>
      </c>
      <c r="F3634" s="23" t="s">
        <v>115</v>
      </c>
      <c r="G3634" s="23" t="s">
        <v>115</v>
      </c>
      <c r="H3634" s="23" t="s">
        <v>6360</v>
      </c>
      <c r="I3634" s="23">
        <v>4</v>
      </c>
      <c r="J3634" s="40">
        <v>0</v>
      </c>
      <c r="K3634" s="40">
        <v>2</v>
      </c>
      <c r="L3634" s="40" t="s">
        <v>115</v>
      </c>
      <c r="O3634" s="40">
        <v>1</v>
      </c>
      <c r="Q3634" s="40">
        <v>162</v>
      </c>
      <c r="R3634" s="40">
        <v>263</v>
      </c>
      <c r="X3634" s="40" t="s">
        <v>115</v>
      </c>
      <c r="Y3634" s="40" t="s">
        <v>115</v>
      </c>
      <c r="Z3634" s="40">
        <v>1</v>
      </c>
      <c r="AA3634" s="40" t="s">
        <v>115</v>
      </c>
      <c r="AB3634" s="40" t="s">
        <v>115</v>
      </c>
      <c r="AC3634" s="40" t="s">
        <v>115</v>
      </c>
      <c r="AI3634" s="40" t="s">
        <v>115</v>
      </c>
      <c r="AP3634" s="4" t="s">
        <v>6361</v>
      </c>
    </row>
    <row r="3635" spans="1:42" x14ac:dyDescent="0.15">
      <c r="A3635" s="40" t="s">
        <v>1</v>
      </c>
      <c r="B3635" s="23" t="s">
        <v>4916</v>
      </c>
      <c r="C3635" s="23">
        <v>2803</v>
      </c>
      <c r="D3635" s="23">
        <v>28</v>
      </c>
      <c r="F3635" s="23" t="s">
        <v>115</v>
      </c>
      <c r="G3635" s="23" t="s">
        <v>115</v>
      </c>
      <c r="H3635" s="23" t="s">
        <v>6362</v>
      </c>
      <c r="I3635" s="23">
        <v>4</v>
      </c>
      <c r="J3635" s="40">
        <v>1</v>
      </c>
      <c r="K3635" s="40">
        <v>1</v>
      </c>
      <c r="L3635" s="40" t="s">
        <v>115</v>
      </c>
      <c r="O3635" s="40" t="s">
        <v>115</v>
      </c>
      <c r="Q3635" s="40">
        <v>192</v>
      </c>
      <c r="R3635" s="40" t="s">
        <v>115</v>
      </c>
      <c r="X3635" s="40">
        <v>90280302</v>
      </c>
      <c r="Y3635" s="40" t="s">
        <v>115</v>
      </c>
      <c r="Z3635" s="40" t="s">
        <v>115</v>
      </c>
      <c r="AA3635" s="40" t="s">
        <v>115</v>
      </c>
      <c r="AB3635" s="40" t="s">
        <v>115</v>
      </c>
      <c r="AC3635" s="40" t="s">
        <v>115</v>
      </c>
      <c r="AI3635" s="40" t="s">
        <v>115</v>
      </c>
      <c r="AP3635" s="4" t="s">
        <v>115</v>
      </c>
    </row>
    <row r="3636" spans="1:42" x14ac:dyDescent="0.15">
      <c r="A3636" s="40" t="s">
        <v>1</v>
      </c>
      <c r="B3636" s="23">
        <v>90280302</v>
      </c>
      <c r="C3636" s="23">
        <v>2803</v>
      </c>
      <c r="D3636" s="23">
        <v>28</v>
      </c>
      <c r="F3636" s="23" t="s">
        <v>115</v>
      </c>
      <c r="G3636" s="23" t="s">
        <v>115</v>
      </c>
      <c r="H3636" s="23" t="s">
        <v>6363</v>
      </c>
      <c r="I3636" s="23">
        <v>4</v>
      </c>
      <c r="J3636" s="40">
        <v>0</v>
      </c>
      <c r="K3636" s="40">
        <v>0</v>
      </c>
      <c r="L3636" s="40" t="s">
        <v>115</v>
      </c>
      <c r="O3636" s="40" t="s">
        <v>115</v>
      </c>
      <c r="Q3636" s="40">
        <v>192</v>
      </c>
      <c r="R3636" s="40" t="s">
        <v>115</v>
      </c>
      <c r="X3636" s="40">
        <v>90280303</v>
      </c>
      <c r="Y3636" s="40" t="s">
        <v>115</v>
      </c>
      <c r="Z3636" s="40" t="s">
        <v>115</v>
      </c>
      <c r="AA3636" s="40" t="s">
        <v>115</v>
      </c>
      <c r="AB3636" s="40" t="s">
        <v>115</v>
      </c>
      <c r="AC3636" s="40" t="s">
        <v>115</v>
      </c>
      <c r="AI3636" s="40" t="s">
        <v>115</v>
      </c>
      <c r="AP3636" s="4" t="s">
        <v>115</v>
      </c>
    </row>
    <row r="3637" spans="1:42" x14ac:dyDescent="0.15">
      <c r="A3637" s="40" t="s">
        <v>1</v>
      </c>
      <c r="B3637" s="23">
        <v>90280303</v>
      </c>
      <c r="C3637" s="23">
        <v>2803</v>
      </c>
      <c r="D3637" s="23">
        <v>28</v>
      </c>
      <c r="F3637" s="23" t="s">
        <v>116</v>
      </c>
      <c r="G3637" s="23">
        <v>312</v>
      </c>
      <c r="H3637" s="23" t="s">
        <v>6364</v>
      </c>
      <c r="I3637" s="23">
        <v>0</v>
      </c>
      <c r="J3637" s="40">
        <v>0</v>
      </c>
      <c r="K3637" s="40">
        <v>0</v>
      </c>
      <c r="L3637" s="40" t="s">
        <v>115</v>
      </c>
      <c r="O3637" s="40" t="s">
        <v>115</v>
      </c>
      <c r="Q3637" s="40">
        <v>192</v>
      </c>
      <c r="R3637" s="40" t="s">
        <v>115</v>
      </c>
      <c r="X3637" s="40">
        <v>90280304</v>
      </c>
      <c r="Y3637" s="40" t="s">
        <v>115</v>
      </c>
      <c r="Z3637" s="40" t="s">
        <v>115</v>
      </c>
      <c r="AA3637" s="40" t="s">
        <v>115</v>
      </c>
      <c r="AB3637" s="40" t="s">
        <v>115</v>
      </c>
      <c r="AC3637" s="40" t="s">
        <v>115</v>
      </c>
      <c r="AI3637" s="40" t="s">
        <v>115</v>
      </c>
      <c r="AP3637" s="4" t="s">
        <v>115</v>
      </c>
    </row>
    <row r="3638" spans="1:42" x14ac:dyDescent="0.15">
      <c r="A3638" s="40" t="s">
        <v>1</v>
      </c>
      <c r="B3638" s="23">
        <v>90280304</v>
      </c>
      <c r="C3638" s="23">
        <v>2803</v>
      </c>
      <c r="D3638" s="23">
        <v>28</v>
      </c>
      <c r="F3638" s="23" t="s">
        <v>115</v>
      </c>
      <c r="G3638" s="23" t="s">
        <v>115</v>
      </c>
      <c r="H3638" s="23" t="s">
        <v>6365</v>
      </c>
      <c r="I3638" s="23">
        <v>4</v>
      </c>
      <c r="J3638" s="40">
        <v>0</v>
      </c>
      <c r="K3638" s="40">
        <v>2</v>
      </c>
      <c r="L3638" s="40" t="s">
        <v>115</v>
      </c>
      <c r="O3638" s="40" t="s">
        <v>115</v>
      </c>
      <c r="Q3638" s="40">
        <v>192</v>
      </c>
      <c r="R3638" s="40" t="s">
        <v>115</v>
      </c>
      <c r="X3638" s="40" t="s">
        <v>6366</v>
      </c>
      <c r="Y3638" s="40">
        <v>1</v>
      </c>
      <c r="Z3638" s="40">
        <v>1</v>
      </c>
      <c r="AA3638" s="40" t="s">
        <v>115</v>
      </c>
      <c r="AB3638" s="40" t="s">
        <v>115</v>
      </c>
      <c r="AC3638" s="40" t="s">
        <v>115</v>
      </c>
      <c r="AI3638" s="40" t="s">
        <v>115</v>
      </c>
      <c r="AP3638" s="4" t="s">
        <v>115</v>
      </c>
    </row>
    <row r="3639" spans="1:42" x14ac:dyDescent="0.15">
      <c r="A3639" s="40" t="s">
        <v>1</v>
      </c>
      <c r="B3639" s="23">
        <v>90280305</v>
      </c>
      <c r="C3639" s="23">
        <v>2803</v>
      </c>
      <c r="D3639" s="23">
        <v>28</v>
      </c>
      <c r="F3639" s="23" t="s">
        <v>115</v>
      </c>
      <c r="G3639" s="23" t="s">
        <v>115</v>
      </c>
      <c r="H3639" s="23" t="s">
        <v>6367</v>
      </c>
      <c r="I3639" s="23">
        <v>4</v>
      </c>
      <c r="J3639" s="40">
        <v>0</v>
      </c>
      <c r="K3639" s="40">
        <v>3</v>
      </c>
      <c r="L3639" s="40" t="s">
        <v>115</v>
      </c>
      <c r="O3639" s="40" t="s">
        <v>115</v>
      </c>
      <c r="Q3639" s="40">
        <v>192</v>
      </c>
      <c r="R3639" s="40" t="s">
        <v>115</v>
      </c>
      <c r="X3639" s="40">
        <v>90280307</v>
      </c>
      <c r="Y3639" s="40">
        <v>-1</v>
      </c>
      <c r="Z3639" s="40">
        <v>2</v>
      </c>
      <c r="AA3639" s="40" t="s">
        <v>115</v>
      </c>
      <c r="AB3639" s="40" t="s">
        <v>115</v>
      </c>
      <c r="AC3639" s="40" t="s">
        <v>6368</v>
      </c>
      <c r="AI3639" s="40" t="s">
        <v>115</v>
      </c>
      <c r="AP3639" s="4" t="s">
        <v>115</v>
      </c>
    </row>
    <row r="3640" spans="1:42" x14ac:dyDescent="0.15">
      <c r="A3640" s="40" t="s">
        <v>1</v>
      </c>
      <c r="B3640" s="23">
        <v>90280306</v>
      </c>
      <c r="C3640" s="23">
        <v>2803</v>
      </c>
      <c r="D3640" s="23">
        <v>28</v>
      </c>
      <c r="F3640" s="23" t="s">
        <v>115</v>
      </c>
      <c r="G3640" s="23" t="s">
        <v>115</v>
      </c>
      <c r="H3640" s="23" t="s">
        <v>6369</v>
      </c>
      <c r="I3640" s="23">
        <v>4</v>
      </c>
      <c r="J3640" s="40">
        <v>0</v>
      </c>
      <c r="K3640" s="40">
        <v>4</v>
      </c>
      <c r="L3640" s="40" t="s">
        <v>115</v>
      </c>
      <c r="O3640" s="40" t="s">
        <v>115</v>
      </c>
      <c r="Q3640" s="40">
        <v>192</v>
      </c>
      <c r="R3640" s="40" t="s">
        <v>115</v>
      </c>
      <c r="X3640" s="40">
        <v>90280314</v>
      </c>
      <c r="Y3640" s="40">
        <v>-1</v>
      </c>
      <c r="Z3640" s="40">
        <v>2</v>
      </c>
      <c r="AA3640" s="40" t="s">
        <v>6370</v>
      </c>
      <c r="AB3640" s="40" t="s">
        <v>115</v>
      </c>
      <c r="AC3640" s="40" t="s">
        <v>115</v>
      </c>
      <c r="AI3640" s="40" t="s">
        <v>115</v>
      </c>
      <c r="AP3640" s="4" t="s">
        <v>115</v>
      </c>
    </row>
    <row r="3641" spans="1:42" x14ac:dyDescent="0.15">
      <c r="A3641" s="40" t="s">
        <v>1</v>
      </c>
      <c r="B3641" s="23">
        <v>90280307</v>
      </c>
      <c r="C3641" s="23">
        <v>2803</v>
      </c>
      <c r="D3641" s="23">
        <v>28</v>
      </c>
      <c r="F3641" s="23" t="s">
        <v>115</v>
      </c>
      <c r="G3641" s="23" t="s">
        <v>115</v>
      </c>
      <c r="H3641" s="23" t="s">
        <v>6371</v>
      </c>
      <c r="I3641" s="23">
        <v>4</v>
      </c>
      <c r="J3641" s="40">
        <v>0</v>
      </c>
      <c r="K3641" s="40">
        <v>0</v>
      </c>
      <c r="L3641" s="40" t="s">
        <v>115</v>
      </c>
      <c r="O3641" s="40" t="s">
        <v>115</v>
      </c>
      <c r="Q3641" s="40">
        <v>192</v>
      </c>
      <c r="R3641" s="40" t="s">
        <v>115</v>
      </c>
      <c r="X3641" s="40">
        <v>90280308</v>
      </c>
      <c r="Y3641" s="40" t="s">
        <v>115</v>
      </c>
      <c r="Z3641" s="40" t="s">
        <v>115</v>
      </c>
      <c r="AA3641" s="40" t="s">
        <v>115</v>
      </c>
      <c r="AB3641" s="40" t="s">
        <v>115</v>
      </c>
      <c r="AC3641" s="40" t="s">
        <v>115</v>
      </c>
      <c r="AI3641" s="40" t="s">
        <v>115</v>
      </c>
      <c r="AP3641" s="4" t="s">
        <v>115</v>
      </c>
    </row>
    <row r="3642" spans="1:42" x14ac:dyDescent="0.15">
      <c r="A3642" s="40" t="s">
        <v>1</v>
      </c>
      <c r="B3642" s="23">
        <v>90280308</v>
      </c>
      <c r="C3642" s="23">
        <v>2803</v>
      </c>
      <c r="D3642" s="23">
        <v>28</v>
      </c>
      <c r="F3642" s="23" t="s">
        <v>6372</v>
      </c>
      <c r="G3642" s="23" t="s">
        <v>115</v>
      </c>
      <c r="H3642" s="23" t="s">
        <v>6373</v>
      </c>
      <c r="I3642" s="23">
        <v>3</v>
      </c>
      <c r="J3642" s="40">
        <v>0</v>
      </c>
      <c r="K3642" s="40">
        <v>0</v>
      </c>
      <c r="L3642" s="40" t="s">
        <v>115</v>
      </c>
      <c r="O3642" s="40" t="s">
        <v>115</v>
      </c>
      <c r="Q3642" s="40">
        <v>192</v>
      </c>
      <c r="R3642" s="40">
        <v>255</v>
      </c>
      <c r="X3642" s="40">
        <v>90280309</v>
      </c>
      <c r="Y3642" s="40" t="s">
        <v>115</v>
      </c>
      <c r="Z3642" s="40" t="s">
        <v>115</v>
      </c>
      <c r="AA3642" s="40" t="s">
        <v>115</v>
      </c>
      <c r="AB3642" s="40" t="s">
        <v>115</v>
      </c>
      <c r="AC3642" s="40" t="s">
        <v>115</v>
      </c>
      <c r="AI3642" s="40" t="s">
        <v>115</v>
      </c>
      <c r="AP3642" s="4" t="s">
        <v>115</v>
      </c>
    </row>
    <row r="3643" spans="1:42" x14ac:dyDescent="0.15">
      <c r="A3643" s="40" t="s">
        <v>1</v>
      </c>
      <c r="B3643" s="23">
        <v>90280309</v>
      </c>
      <c r="C3643" s="23">
        <v>2803</v>
      </c>
      <c r="D3643" s="23">
        <v>28</v>
      </c>
      <c r="F3643" s="23" t="s">
        <v>6372</v>
      </c>
      <c r="G3643" s="23" t="s">
        <v>115</v>
      </c>
      <c r="H3643" s="23" t="s">
        <v>6374</v>
      </c>
      <c r="I3643" s="23">
        <v>3</v>
      </c>
      <c r="J3643" s="40">
        <v>0</v>
      </c>
      <c r="K3643" s="40">
        <v>0</v>
      </c>
      <c r="L3643" s="40" t="s">
        <v>115</v>
      </c>
      <c r="O3643" s="40" t="s">
        <v>115</v>
      </c>
      <c r="Q3643" s="40">
        <v>192</v>
      </c>
      <c r="R3643" s="40">
        <v>255</v>
      </c>
      <c r="X3643" s="40">
        <v>90280310</v>
      </c>
      <c r="Y3643" s="40" t="s">
        <v>115</v>
      </c>
      <c r="Z3643" s="40" t="s">
        <v>115</v>
      </c>
      <c r="AA3643" s="40" t="s">
        <v>115</v>
      </c>
      <c r="AB3643" s="40" t="s">
        <v>115</v>
      </c>
      <c r="AC3643" s="40" t="s">
        <v>115</v>
      </c>
      <c r="AI3643" s="40" t="s">
        <v>115</v>
      </c>
      <c r="AP3643" s="4" t="s">
        <v>115</v>
      </c>
    </row>
    <row r="3644" spans="1:42" x14ac:dyDescent="0.15">
      <c r="A3644" s="40" t="s">
        <v>1</v>
      </c>
      <c r="B3644" s="23">
        <v>90280310</v>
      </c>
      <c r="C3644" s="23">
        <v>2803</v>
      </c>
      <c r="D3644" s="23">
        <v>28</v>
      </c>
      <c r="F3644" s="23" t="s">
        <v>116</v>
      </c>
      <c r="G3644" s="23">
        <v>312</v>
      </c>
      <c r="H3644" s="23" t="s">
        <v>6375</v>
      </c>
      <c r="I3644" s="23">
        <v>0</v>
      </c>
      <c r="J3644" s="40">
        <v>0</v>
      </c>
      <c r="K3644" s="40">
        <v>0</v>
      </c>
      <c r="L3644" s="40" t="s">
        <v>115</v>
      </c>
      <c r="O3644" s="40" t="s">
        <v>115</v>
      </c>
      <c r="Q3644" s="40">
        <v>192</v>
      </c>
      <c r="R3644" s="40">
        <v>255</v>
      </c>
      <c r="X3644" s="40">
        <v>90280311</v>
      </c>
      <c r="Y3644" s="40" t="s">
        <v>115</v>
      </c>
      <c r="Z3644" s="40" t="s">
        <v>115</v>
      </c>
      <c r="AA3644" s="40" t="s">
        <v>115</v>
      </c>
      <c r="AB3644" s="40" t="s">
        <v>115</v>
      </c>
      <c r="AC3644" s="40" t="s">
        <v>115</v>
      </c>
      <c r="AI3644" s="40" t="s">
        <v>115</v>
      </c>
      <c r="AP3644" s="4" t="s">
        <v>115</v>
      </c>
    </row>
    <row r="3645" spans="1:42" x14ac:dyDescent="0.15">
      <c r="A3645" s="40" t="s">
        <v>1</v>
      </c>
      <c r="B3645" s="23">
        <v>90280311</v>
      </c>
      <c r="C3645" s="23">
        <v>2803</v>
      </c>
      <c r="D3645" s="23">
        <v>28</v>
      </c>
      <c r="F3645" s="23" t="s">
        <v>6372</v>
      </c>
      <c r="G3645" s="23" t="s">
        <v>115</v>
      </c>
      <c r="H3645" s="23" t="s">
        <v>7255</v>
      </c>
      <c r="I3645" s="23">
        <v>3</v>
      </c>
      <c r="J3645" s="40">
        <v>0</v>
      </c>
      <c r="K3645" s="40">
        <v>5</v>
      </c>
      <c r="L3645" s="40" t="s">
        <v>6376</v>
      </c>
      <c r="O3645" s="40" t="s">
        <v>115</v>
      </c>
      <c r="Q3645" s="40">
        <v>192</v>
      </c>
      <c r="R3645" s="40">
        <v>255</v>
      </c>
      <c r="X3645" s="40">
        <v>90280312</v>
      </c>
      <c r="Y3645" s="40" t="s">
        <v>115</v>
      </c>
      <c r="Z3645" s="40">
        <v>4</v>
      </c>
      <c r="AA3645" s="40" t="s">
        <v>115</v>
      </c>
      <c r="AB3645" s="40" t="s">
        <v>115</v>
      </c>
      <c r="AC3645" s="40" t="s">
        <v>115</v>
      </c>
      <c r="AI3645" s="40" t="s">
        <v>115</v>
      </c>
      <c r="AP3645" s="4" t="s">
        <v>115</v>
      </c>
    </row>
    <row r="3646" spans="1:42" x14ac:dyDescent="0.15">
      <c r="A3646" s="40" t="s">
        <v>1</v>
      </c>
      <c r="B3646" s="23">
        <v>90280312</v>
      </c>
      <c r="C3646" s="23">
        <v>2803</v>
      </c>
      <c r="D3646" s="23">
        <v>28</v>
      </c>
      <c r="F3646" s="23" t="s">
        <v>6372</v>
      </c>
      <c r="G3646" s="23" t="s">
        <v>115</v>
      </c>
      <c r="H3646" s="23" t="s">
        <v>6377</v>
      </c>
      <c r="I3646" s="23">
        <v>3</v>
      </c>
      <c r="J3646" s="40">
        <v>0</v>
      </c>
      <c r="K3646" s="40">
        <v>6</v>
      </c>
      <c r="L3646" s="40" t="s">
        <v>6378</v>
      </c>
      <c r="O3646" s="40" t="s">
        <v>115</v>
      </c>
      <c r="Q3646" s="40">
        <v>192</v>
      </c>
      <c r="R3646" s="40">
        <v>255</v>
      </c>
      <c r="X3646" s="40">
        <v>90280313</v>
      </c>
      <c r="Y3646" s="40" t="s">
        <v>115</v>
      </c>
      <c r="Z3646" s="40">
        <v>5</v>
      </c>
      <c r="AA3646" s="40" t="s">
        <v>115</v>
      </c>
      <c r="AB3646" s="40" t="s">
        <v>115</v>
      </c>
      <c r="AC3646" s="40" t="s">
        <v>115</v>
      </c>
      <c r="AI3646" s="40" t="s">
        <v>115</v>
      </c>
      <c r="AP3646" s="4" t="s">
        <v>115</v>
      </c>
    </row>
    <row r="3647" spans="1:42" x14ac:dyDescent="0.15">
      <c r="A3647" s="40" t="s">
        <v>1</v>
      </c>
      <c r="B3647" s="23">
        <v>90280313</v>
      </c>
      <c r="C3647" s="23">
        <v>2803</v>
      </c>
      <c r="D3647" s="23">
        <v>28</v>
      </c>
      <c r="F3647" s="23" t="s">
        <v>116</v>
      </c>
      <c r="G3647" s="23">
        <v>314</v>
      </c>
      <c r="H3647" s="23" t="s">
        <v>7256</v>
      </c>
      <c r="I3647" s="23">
        <v>2</v>
      </c>
      <c r="J3647" s="40">
        <v>0</v>
      </c>
      <c r="K3647" s="40">
        <v>0</v>
      </c>
      <c r="L3647" s="40" t="s">
        <v>115</v>
      </c>
      <c r="O3647" s="40" t="s">
        <v>115</v>
      </c>
      <c r="Q3647" s="40">
        <v>192</v>
      </c>
      <c r="R3647" s="40" t="s">
        <v>115</v>
      </c>
      <c r="X3647" s="40">
        <v>90280304</v>
      </c>
      <c r="Y3647" s="40" t="s">
        <v>115</v>
      </c>
      <c r="Z3647" s="40" t="s">
        <v>115</v>
      </c>
      <c r="AA3647" s="40" t="s">
        <v>115</v>
      </c>
      <c r="AB3647" s="40" t="s">
        <v>115</v>
      </c>
      <c r="AC3647" s="40" t="s">
        <v>115</v>
      </c>
      <c r="AI3647" s="40" t="s">
        <v>115</v>
      </c>
      <c r="AP3647" s="4" t="s">
        <v>115</v>
      </c>
    </row>
    <row r="3648" spans="1:42" x14ac:dyDescent="0.15">
      <c r="A3648" s="40" t="s">
        <v>1</v>
      </c>
      <c r="B3648" s="23">
        <v>90280314</v>
      </c>
      <c r="C3648" s="23">
        <v>2803</v>
      </c>
      <c r="D3648" s="23">
        <v>28</v>
      </c>
      <c r="F3648" s="23" t="s">
        <v>116</v>
      </c>
      <c r="G3648" s="23">
        <v>312</v>
      </c>
      <c r="H3648" s="23" t="s">
        <v>6379</v>
      </c>
      <c r="I3648" s="23">
        <v>0</v>
      </c>
      <c r="J3648" s="40">
        <v>0</v>
      </c>
      <c r="K3648" s="40">
        <v>0</v>
      </c>
      <c r="L3648" s="40" t="s">
        <v>115</v>
      </c>
      <c r="O3648" s="40" t="s">
        <v>115</v>
      </c>
      <c r="Q3648" s="40">
        <v>192</v>
      </c>
      <c r="R3648" s="40" t="s">
        <v>115</v>
      </c>
      <c r="X3648" s="40">
        <v>90280315</v>
      </c>
      <c r="Y3648" s="40" t="s">
        <v>115</v>
      </c>
      <c r="Z3648" s="40" t="s">
        <v>115</v>
      </c>
      <c r="AA3648" s="40" t="s">
        <v>115</v>
      </c>
      <c r="AB3648" s="40" t="s">
        <v>115</v>
      </c>
      <c r="AC3648" s="40" t="s">
        <v>115</v>
      </c>
      <c r="AI3648" s="40" t="s">
        <v>115</v>
      </c>
      <c r="AP3648" s="4" t="s">
        <v>115</v>
      </c>
    </row>
    <row r="3649" spans="1:42" x14ac:dyDescent="0.15">
      <c r="A3649" s="40" t="s">
        <v>1</v>
      </c>
      <c r="B3649" s="23">
        <v>90280315</v>
      </c>
      <c r="C3649" s="23">
        <v>2803</v>
      </c>
      <c r="D3649" s="23">
        <v>28</v>
      </c>
      <c r="F3649" s="23" t="s">
        <v>115</v>
      </c>
      <c r="G3649" s="23" t="s">
        <v>115</v>
      </c>
      <c r="H3649" s="23" t="s">
        <v>7257</v>
      </c>
      <c r="I3649" s="23">
        <v>4</v>
      </c>
      <c r="J3649" s="40">
        <v>0</v>
      </c>
      <c r="K3649" s="40">
        <v>0</v>
      </c>
      <c r="L3649" s="40" t="s">
        <v>115</v>
      </c>
      <c r="O3649" s="40" t="s">
        <v>115</v>
      </c>
      <c r="Q3649" s="40">
        <v>192</v>
      </c>
      <c r="R3649" s="40" t="s">
        <v>115</v>
      </c>
      <c r="X3649" s="40">
        <v>90280316</v>
      </c>
      <c r="Y3649" s="40" t="s">
        <v>115</v>
      </c>
      <c r="Z3649" s="40" t="s">
        <v>115</v>
      </c>
      <c r="AA3649" s="40" t="s">
        <v>115</v>
      </c>
      <c r="AB3649" s="40" t="s">
        <v>115</v>
      </c>
      <c r="AC3649" s="40" t="s">
        <v>115</v>
      </c>
      <c r="AI3649" s="40" t="s">
        <v>115</v>
      </c>
      <c r="AP3649" s="4" t="s">
        <v>115</v>
      </c>
    </row>
    <row r="3650" spans="1:42" x14ac:dyDescent="0.15">
      <c r="A3650" s="40" t="s">
        <v>1</v>
      </c>
      <c r="B3650" s="23">
        <v>90280316</v>
      </c>
      <c r="C3650" s="23">
        <v>2803</v>
      </c>
      <c r="D3650" s="23">
        <v>28</v>
      </c>
      <c r="F3650" s="23" t="s">
        <v>6380</v>
      </c>
      <c r="G3650" s="23" t="s">
        <v>115</v>
      </c>
      <c r="H3650" s="23" t="s">
        <v>6381</v>
      </c>
      <c r="I3650" s="23">
        <v>3</v>
      </c>
      <c r="J3650" s="40">
        <v>0</v>
      </c>
      <c r="K3650" s="40">
        <v>0</v>
      </c>
      <c r="L3650" s="40" t="s">
        <v>115</v>
      </c>
      <c r="O3650" s="40" t="s">
        <v>115</v>
      </c>
      <c r="Q3650" s="40">
        <v>192</v>
      </c>
      <c r="R3650" s="40">
        <v>252</v>
      </c>
      <c r="X3650" s="40">
        <v>90280317</v>
      </c>
      <c r="Y3650" s="40" t="s">
        <v>115</v>
      </c>
      <c r="Z3650" s="40" t="s">
        <v>115</v>
      </c>
      <c r="AA3650" s="40" t="s">
        <v>115</v>
      </c>
      <c r="AB3650" s="40" t="s">
        <v>115</v>
      </c>
      <c r="AC3650" s="40" t="s">
        <v>115</v>
      </c>
      <c r="AI3650" s="40" t="s">
        <v>115</v>
      </c>
      <c r="AP3650" s="4" t="s">
        <v>115</v>
      </c>
    </row>
    <row r="3651" spans="1:42" x14ac:dyDescent="0.15">
      <c r="A3651" s="40" t="s">
        <v>1</v>
      </c>
      <c r="B3651" s="23">
        <v>90280317</v>
      </c>
      <c r="C3651" s="23">
        <v>2803</v>
      </c>
      <c r="D3651" s="23">
        <v>28</v>
      </c>
      <c r="F3651" s="23" t="s">
        <v>115</v>
      </c>
      <c r="G3651" s="23" t="s">
        <v>115</v>
      </c>
      <c r="H3651" s="23" t="s">
        <v>6382</v>
      </c>
      <c r="I3651" s="23">
        <v>4</v>
      </c>
      <c r="J3651" s="40">
        <v>0</v>
      </c>
      <c r="K3651" s="40">
        <v>0</v>
      </c>
      <c r="L3651" s="40" t="s">
        <v>115</v>
      </c>
      <c r="O3651" s="40" t="s">
        <v>115</v>
      </c>
      <c r="Q3651" s="40">
        <v>192</v>
      </c>
      <c r="R3651" s="40">
        <v>252</v>
      </c>
      <c r="X3651" s="40">
        <v>90280318</v>
      </c>
      <c r="Y3651" s="40" t="s">
        <v>115</v>
      </c>
      <c r="Z3651" s="40" t="s">
        <v>115</v>
      </c>
      <c r="AA3651" s="40" t="s">
        <v>115</v>
      </c>
      <c r="AB3651" s="40" t="s">
        <v>115</v>
      </c>
      <c r="AC3651" s="40" t="s">
        <v>115</v>
      </c>
      <c r="AI3651" s="40" t="s">
        <v>115</v>
      </c>
      <c r="AP3651" s="4" t="s">
        <v>115</v>
      </c>
    </row>
    <row r="3652" spans="1:42" x14ac:dyDescent="0.15">
      <c r="A3652" s="40" t="s">
        <v>1</v>
      </c>
      <c r="B3652" s="23">
        <v>90280318</v>
      </c>
      <c r="C3652" s="23">
        <v>2803</v>
      </c>
      <c r="D3652" s="23">
        <v>28</v>
      </c>
      <c r="F3652" s="23" t="s">
        <v>6380</v>
      </c>
      <c r="G3652" s="23" t="s">
        <v>115</v>
      </c>
      <c r="H3652" s="23" t="s">
        <v>6383</v>
      </c>
      <c r="I3652" s="23">
        <v>3</v>
      </c>
      <c r="J3652" s="40">
        <v>0</v>
      </c>
      <c r="K3652" s="40">
        <v>0</v>
      </c>
      <c r="L3652" s="40" t="s">
        <v>115</v>
      </c>
      <c r="O3652" s="40" t="s">
        <v>115</v>
      </c>
      <c r="Q3652" s="40">
        <v>192</v>
      </c>
      <c r="R3652" s="40">
        <v>252</v>
      </c>
      <c r="X3652" s="40">
        <v>90280319</v>
      </c>
      <c r="Y3652" s="40" t="s">
        <v>115</v>
      </c>
      <c r="Z3652" s="40" t="s">
        <v>115</v>
      </c>
      <c r="AA3652" s="40" t="s">
        <v>115</v>
      </c>
      <c r="AB3652" s="40" t="s">
        <v>115</v>
      </c>
      <c r="AC3652" s="40" t="s">
        <v>115</v>
      </c>
      <c r="AI3652" s="40" t="s">
        <v>115</v>
      </c>
      <c r="AP3652" s="4" t="s">
        <v>115</v>
      </c>
    </row>
    <row r="3653" spans="1:42" x14ac:dyDescent="0.15">
      <c r="A3653" s="40" t="s">
        <v>1</v>
      </c>
      <c r="B3653" s="23">
        <v>90280319</v>
      </c>
      <c r="C3653" s="23">
        <v>2803</v>
      </c>
      <c r="D3653" s="23">
        <v>28</v>
      </c>
      <c r="F3653" s="23" t="s">
        <v>115</v>
      </c>
      <c r="G3653" s="23" t="s">
        <v>115</v>
      </c>
      <c r="H3653" s="23" t="s">
        <v>6384</v>
      </c>
      <c r="I3653" s="23">
        <v>4</v>
      </c>
      <c r="J3653" s="40">
        <v>0</v>
      </c>
      <c r="K3653" s="40">
        <v>0</v>
      </c>
      <c r="L3653" s="40" t="s">
        <v>115</v>
      </c>
      <c r="O3653" s="40" t="s">
        <v>115</v>
      </c>
      <c r="Q3653" s="40">
        <v>192</v>
      </c>
      <c r="R3653" s="40">
        <v>252</v>
      </c>
      <c r="X3653" s="40">
        <v>90280320</v>
      </c>
      <c r="Y3653" s="40" t="s">
        <v>115</v>
      </c>
      <c r="Z3653" s="40" t="s">
        <v>115</v>
      </c>
      <c r="AA3653" s="40" t="s">
        <v>115</v>
      </c>
      <c r="AB3653" s="40" t="s">
        <v>115</v>
      </c>
      <c r="AC3653" s="40" t="s">
        <v>115</v>
      </c>
      <c r="AI3653" s="40" t="s">
        <v>115</v>
      </c>
      <c r="AP3653" s="4" t="s">
        <v>115</v>
      </c>
    </row>
    <row r="3654" spans="1:42" x14ac:dyDescent="0.15">
      <c r="A3654" s="40" t="s">
        <v>1</v>
      </c>
      <c r="B3654" s="23">
        <v>90280320</v>
      </c>
      <c r="C3654" s="23">
        <v>2803</v>
      </c>
      <c r="D3654" s="23">
        <v>28</v>
      </c>
      <c r="F3654" s="23" t="s">
        <v>116</v>
      </c>
      <c r="G3654" s="23">
        <v>312</v>
      </c>
      <c r="H3654" s="23" t="s">
        <v>6385</v>
      </c>
      <c r="I3654" s="23">
        <v>0</v>
      </c>
      <c r="J3654" s="40">
        <v>0</v>
      </c>
      <c r="K3654" s="40">
        <v>0</v>
      </c>
      <c r="L3654" s="40" t="s">
        <v>115</v>
      </c>
      <c r="O3654" s="40" t="s">
        <v>115</v>
      </c>
      <c r="Q3654" s="40">
        <v>192</v>
      </c>
      <c r="R3654" s="40">
        <v>252</v>
      </c>
      <c r="X3654" s="40">
        <v>90280321</v>
      </c>
      <c r="Y3654" s="40" t="s">
        <v>115</v>
      </c>
      <c r="Z3654" s="40" t="s">
        <v>115</v>
      </c>
      <c r="AA3654" s="40" t="s">
        <v>115</v>
      </c>
      <c r="AB3654" s="40" t="s">
        <v>115</v>
      </c>
      <c r="AC3654" s="40" t="s">
        <v>115</v>
      </c>
      <c r="AI3654" s="40" t="s">
        <v>115</v>
      </c>
      <c r="AP3654" s="4" t="s">
        <v>115</v>
      </c>
    </row>
    <row r="3655" spans="1:42" x14ac:dyDescent="0.15">
      <c r="A3655" s="40" t="s">
        <v>1</v>
      </c>
      <c r="B3655" s="23">
        <v>90280321</v>
      </c>
      <c r="C3655" s="23">
        <v>2803</v>
      </c>
      <c r="D3655" s="23">
        <v>28</v>
      </c>
      <c r="F3655" s="23" t="s">
        <v>6380</v>
      </c>
      <c r="G3655" s="23" t="s">
        <v>115</v>
      </c>
      <c r="H3655" s="23" t="s">
        <v>6386</v>
      </c>
      <c r="I3655" s="23">
        <v>3</v>
      </c>
      <c r="J3655" s="40">
        <v>0</v>
      </c>
      <c r="K3655" s="40">
        <v>0</v>
      </c>
      <c r="L3655" s="40" t="s">
        <v>115</v>
      </c>
      <c r="O3655" s="40" t="s">
        <v>115</v>
      </c>
      <c r="Q3655" s="40">
        <v>192</v>
      </c>
      <c r="R3655" s="40">
        <v>252</v>
      </c>
      <c r="X3655" s="40">
        <v>90280322</v>
      </c>
      <c r="Y3655" s="40" t="s">
        <v>115</v>
      </c>
      <c r="Z3655" s="40" t="s">
        <v>115</v>
      </c>
      <c r="AA3655" s="40" t="s">
        <v>115</v>
      </c>
      <c r="AB3655" s="40" t="s">
        <v>115</v>
      </c>
      <c r="AC3655" s="40" t="s">
        <v>115</v>
      </c>
      <c r="AI3655" s="40" t="s">
        <v>115</v>
      </c>
      <c r="AP3655" s="4" t="s">
        <v>115</v>
      </c>
    </row>
    <row r="3656" spans="1:42" x14ac:dyDescent="0.15">
      <c r="A3656" s="40" t="s">
        <v>1</v>
      </c>
      <c r="B3656" s="23">
        <v>90280322</v>
      </c>
      <c r="C3656" s="23">
        <v>2803</v>
      </c>
      <c r="D3656" s="23">
        <v>28</v>
      </c>
      <c r="F3656" s="23" t="s">
        <v>116</v>
      </c>
      <c r="G3656" s="23">
        <v>312</v>
      </c>
      <c r="H3656" s="23" t="s">
        <v>6387</v>
      </c>
      <c r="I3656" s="23">
        <v>0</v>
      </c>
      <c r="J3656" s="40">
        <v>0</v>
      </c>
      <c r="K3656" s="40">
        <v>0</v>
      </c>
      <c r="L3656" s="40" t="s">
        <v>115</v>
      </c>
      <c r="O3656" s="40" t="s">
        <v>115</v>
      </c>
      <c r="Q3656" s="40">
        <v>192</v>
      </c>
      <c r="R3656" s="40">
        <v>252</v>
      </c>
      <c r="X3656" s="40">
        <v>90280323</v>
      </c>
      <c r="Y3656" s="40" t="s">
        <v>115</v>
      </c>
      <c r="Z3656" s="40" t="s">
        <v>115</v>
      </c>
      <c r="AA3656" s="40" t="s">
        <v>115</v>
      </c>
      <c r="AB3656" s="40" t="s">
        <v>115</v>
      </c>
      <c r="AC3656" s="40" t="s">
        <v>115</v>
      </c>
      <c r="AI3656" s="40" t="s">
        <v>115</v>
      </c>
      <c r="AP3656" s="4" t="s">
        <v>115</v>
      </c>
    </row>
    <row r="3657" spans="1:42" x14ac:dyDescent="0.15">
      <c r="A3657" s="40" t="s">
        <v>1</v>
      </c>
      <c r="B3657" s="23">
        <v>90280323</v>
      </c>
      <c r="C3657" s="23">
        <v>2803</v>
      </c>
      <c r="D3657" s="23">
        <v>28</v>
      </c>
      <c r="F3657" s="23" t="s">
        <v>6380</v>
      </c>
      <c r="G3657" s="23" t="s">
        <v>115</v>
      </c>
      <c r="H3657" s="23" t="s">
        <v>6388</v>
      </c>
      <c r="I3657" s="23">
        <v>3</v>
      </c>
      <c r="J3657" s="40">
        <v>0</v>
      </c>
      <c r="K3657" s="40">
        <v>0</v>
      </c>
      <c r="L3657" s="40" t="s">
        <v>115</v>
      </c>
      <c r="O3657" s="40" t="s">
        <v>115</v>
      </c>
      <c r="Q3657" s="40">
        <v>192</v>
      </c>
      <c r="R3657" s="40">
        <v>252</v>
      </c>
      <c r="X3657" s="40">
        <v>90280324</v>
      </c>
      <c r="Y3657" s="40" t="s">
        <v>115</v>
      </c>
      <c r="Z3657" s="40" t="s">
        <v>115</v>
      </c>
      <c r="AA3657" s="40" t="s">
        <v>115</v>
      </c>
      <c r="AB3657" s="40" t="s">
        <v>115</v>
      </c>
      <c r="AC3657" s="40" t="s">
        <v>115</v>
      </c>
      <c r="AI3657" s="40" t="s">
        <v>115</v>
      </c>
      <c r="AP3657" s="4" t="s">
        <v>115</v>
      </c>
    </row>
    <row r="3658" spans="1:42" x14ac:dyDescent="0.15">
      <c r="A3658" s="40" t="s">
        <v>1</v>
      </c>
      <c r="B3658" s="23">
        <v>90280324</v>
      </c>
      <c r="C3658" s="23">
        <v>2803</v>
      </c>
      <c r="D3658" s="23">
        <v>28</v>
      </c>
      <c r="F3658" s="23" t="s">
        <v>6380</v>
      </c>
      <c r="G3658" s="23" t="s">
        <v>115</v>
      </c>
      <c r="H3658" s="23" t="s">
        <v>7258</v>
      </c>
      <c r="I3658" s="23">
        <v>3</v>
      </c>
      <c r="J3658" s="40">
        <v>0</v>
      </c>
      <c r="K3658" s="40">
        <v>0</v>
      </c>
      <c r="L3658" s="40" t="s">
        <v>115</v>
      </c>
      <c r="O3658" s="40" t="s">
        <v>115</v>
      </c>
      <c r="Q3658" s="40">
        <v>192</v>
      </c>
      <c r="R3658" s="40">
        <v>252</v>
      </c>
      <c r="X3658" s="40">
        <v>90280325</v>
      </c>
      <c r="Y3658" s="40" t="s">
        <v>115</v>
      </c>
      <c r="Z3658" s="40" t="s">
        <v>115</v>
      </c>
      <c r="AA3658" s="40" t="s">
        <v>115</v>
      </c>
      <c r="AB3658" s="40" t="s">
        <v>115</v>
      </c>
      <c r="AC3658" s="40" t="s">
        <v>115</v>
      </c>
      <c r="AI3658" s="40" t="s">
        <v>115</v>
      </c>
      <c r="AP3658" s="4" t="s">
        <v>115</v>
      </c>
    </row>
    <row r="3659" spans="1:42" x14ac:dyDescent="0.15">
      <c r="A3659" s="40" t="s">
        <v>1</v>
      </c>
      <c r="B3659" s="23">
        <v>90280325</v>
      </c>
      <c r="C3659" s="23">
        <v>2803</v>
      </c>
      <c r="D3659" s="23">
        <v>28</v>
      </c>
      <c r="F3659" s="23" t="s">
        <v>6380</v>
      </c>
      <c r="G3659" s="23" t="s">
        <v>115</v>
      </c>
      <c r="H3659" s="23" t="s">
        <v>6389</v>
      </c>
      <c r="I3659" s="23">
        <v>3</v>
      </c>
      <c r="J3659" s="40">
        <v>0</v>
      </c>
      <c r="K3659" s="40">
        <v>0</v>
      </c>
      <c r="L3659" s="40" t="s">
        <v>115</v>
      </c>
      <c r="O3659" s="40" t="s">
        <v>115</v>
      </c>
      <c r="Q3659" s="40">
        <v>192</v>
      </c>
      <c r="R3659" s="40">
        <v>252</v>
      </c>
      <c r="X3659" s="40">
        <v>90280326</v>
      </c>
      <c r="Y3659" s="40" t="s">
        <v>115</v>
      </c>
      <c r="Z3659" s="40" t="s">
        <v>115</v>
      </c>
      <c r="AA3659" s="40" t="s">
        <v>115</v>
      </c>
      <c r="AB3659" s="40" t="s">
        <v>115</v>
      </c>
      <c r="AC3659" s="40" t="s">
        <v>115</v>
      </c>
      <c r="AI3659" s="40" t="s">
        <v>115</v>
      </c>
      <c r="AP3659" s="4" t="s">
        <v>115</v>
      </c>
    </row>
    <row r="3660" spans="1:42" x14ac:dyDescent="0.15">
      <c r="A3660" s="40" t="s">
        <v>1</v>
      </c>
      <c r="B3660" s="23">
        <v>90280326</v>
      </c>
      <c r="C3660" s="23">
        <v>2803</v>
      </c>
      <c r="D3660" s="23">
        <v>28</v>
      </c>
      <c r="F3660" s="23" t="s">
        <v>116</v>
      </c>
      <c r="G3660" s="23">
        <v>312</v>
      </c>
      <c r="H3660" s="23" t="s">
        <v>6390</v>
      </c>
      <c r="I3660" s="23">
        <v>0</v>
      </c>
      <c r="J3660" s="40">
        <v>0</v>
      </c>
      <c r="K3660" s="40">
        <v>0</v>
      </c>
      <c r="L3660" s="40" t="s">
        <v>115</v>
      </c>
      <c r="O3660" s="40" t="s">
        <v>115</v>
      </c>
      <c r="Q3660" s="40">
        <v>192</v>
      </c>
      <c r="R3660" s="40">
        <v>252</v>
      </c>
      <c r="X3660" s="40">
        <v>90280327</v>
      </c>
      <c r="Y3660" s="40" t="s">
        <v>115</v>
      </c>
      <c r="Z3660" s="40" t="s">
        <v>115</v>
      </c>
      <c r="AA3660" s="40" t="s">
        <v>115</v>
      </c>
      <c r="AB3660" s="40" t="s">
        <v>115</v>
      </c>
      <c r="AC3660" s="40" t="s">
        <v>115</v>
      </c>
      <c r="AI3660" s="40" t="s">
        <v>115</v>
      </c>
      <c r="AP3660" s="4" t="s">
        <v>115</v>
      </c>
    </row>
    <row r="3661" spans="1:42" x14ac:dyDescent="0.15">
      <c r="A3661" s="40" t="s">
        <v>1</v>
      </c>
      <c r="B3661" s="23">
        <v>90280327</v>
      </c>
      <c r="C3661" s="23">
        <v>2803</v>
      </c>
      <c r="D3661" s="23">
        <v>28</v>
      </c>
      <c r="F3661" s="23" t="s">
        <v>115</v>
      </c>
      <c r="G3661" s="23" t="s">
        <v>115</v>
      </c>
      <c r="H3661" s="23" t="s">
        <v>6391</v>
      </c>
      <c r="I3661" s="23">
        <v>4</v>
      </c>
      <c r="J3661" s="40">
        <v>0</v>
      </c>
      <c r="K3661" s="40">
        <v>0</v>
      </c>
      <c r="L3661" s="40" t="s">
        <v>115</v>
      </c>
      <c r="O3661" s="40" t="s">
        <v>115</v>
      </c>
      <c r="Q3661" s="40">
        <v>192</v>
      </c>
      <c r="R3661" s="40">
        <v>252</v>
      </c>
      <c r="X3661" s="40">
        <v>90280328</v>
      </c>
      <c r="Y3661" s="40" t="s">
        <v>115</v>
      </c>
      <c r="Z3661" s="40" t="s">
        <v>115</v>
      </c>
      <c r="AA3661" s="40" t="s">
        <v>115</v>
      </c>
      <c r="AB3661" s="40" t="s">
        <v>115</v>
      </c>
      <c r="AC3661" s="40" t="s">
        <v>115</v>
      </c>
      <c r="AI3661" s="40" t="s">
        <v>115</v>
      </c>
      <c r="AP3661" s="4" t="s">
        <v>115</v>
      </c>
    </row>
    <row r="3662" spans="1:42" x14ac:dyDescent="0.15">
      <c r="A3662" s="40" t="s">
        <v>1</v>
      </c>
      <c r="B3662" s="23">
        <v>90280328</v>
      </c>
      <c r="C3662" s="23">
        <v>2803</v>
      </c>
      <c r="D3662" s="23">
        <v>28</v>
      </c>
      <c r="F3662" s="23" t="s">
        <v>6380</v>
      </c>
      <c r="G3662" s="23" t="s">
        <v>115</v>
      </c>
      <c r="H3662" s="23" t="s">
        <v>6392</v>
      </c>
      <c r="I3662" s="23">
        <v>3</v>
      </c>
      <c r="J3662" s="40">
        <v>0</v>
      </c>
      <c r="K3662" s="40">
        <v>7</v>
      </c>
      <c r="L3662" s="40" t="s">
        <v>115</v>
      </c>
      <c r="O3662" s="40">
        <v>1</v>
      </c>
      <c r="Q3662" s="40">
        <v>192</v>
      </c>
      <c r="R3662" s="40">
        <v>252</v>
      </c>
      <c r="X3662" s="40" t="s">
        <v>115</v>
      </c>
      <c r="Y3662" s="40" t="s">
        <v>115</v>
      </c>
      <c r="Z3662" s="40">
        <v>6</v>
      </c>
      <c r="AA3662" s="40" t="s">
        <v>115</v>
      </c>
      <c r="AB3662" s="40" t="s">
        <v>115</v>
      </c>
      <c r="AC3662" s="40" t="s">
        <v>115</v>
      </c>
      <c r="AI3662" s="40" t="s">
        <v>115</v>
      </c>
      <c r="AP3662" s="4" t="s">
        <v>6393</v>
      </c>
    </row>
    <row r="3663" spans="1:42" x14ac:dyDescent="0.15">
      <c r="A3663" s="40" t="s">
        <v>1</v>
      </c>
      <c r="B3663" s="23" t="s">
        <v>4917</v>
      </c>
      <c r="C3663" s="23">
        <v>2804</v>
      </c>
      <c r="D3663" s="23">
        <v>28</v>
      </c>
      <c r="F3663" s="23" t="s">
        <v>115</v>
      </c>
      <c r="G3663" s="23" t="s">
        <v>115</v>
      </c>
      <c r="H3663" s="23" t="s">
        <v>6394</v>
      </c>
      <c r="I3663" s="23">
        <v>4</v>
      </c>
      <c r="J3663" s="40">
        <v>1</v>
      </c>
      <c r="K3663" s="40">
        <v>1</v>
      </c>
      <c r="L3663" s="40" t="s">
        <v>115</v>
      </c>
      <c r="O3663" s="40" t="s">
        <v>115</v>
      </c>
      <c r="Q3663" s="40">
        <v>185</v>
      </c>
      <c r="R3663" s="40" t="s">
        <v>115</v>
      </c>
      <c r="X3663" s="40">
        <v>90280402</v>
      </c>
      <c r="Y3663" s="40" t="s">
        <v>115</v>
      </c>
      <c r="Z3663" s="40" t="s">
        <v>115</v>
      </c>
      <c r="AA3663" s="40" t="s">
        <v>115</v>
      </c>
      <c r="AB3663" s="40" t="s">
        <v>115</v>
      </c>
      <c r="AC3663" s="40" t="s">
        <v>115</v>
      </c>
      <c r="AI3663" s="40" t="s">
        <v>115</v>
      </c>
      <c r="AP3663" s="4" t="s">
        <v>115</v>
      </c>
    </row>
    <row r="3664" spans="1:42" x14ac:dyDescent="0.15">
      <c r="A3664" s="40" t="s">
        <v>1</v>
      </c>
      <c r="B3664" s="23">
        <v>90280402</v>
      </c>
      <c r="C3664" s="23">
        <v>2804</v>
      </c>
      <c r="D3664" s="23">
        <v>28</v>
      </c>
      <c r="F3664" s="23" t="s">
        <v>6395</v>
      </c>
      <c r="G3664" s="23" t="s">
        <v>115</v>
      </c>
      <c r="H3664" s="23" t="s">
        <v>6396</v>
      </c>
      <c r="I3664" s="23">
        <v>3</v>
      </c>
      <c r="J3664" s="40">
        <v>0</v>
      </c>
      <c r="K3664" s="40">
        <v>0</v>
      </c>
      <c r="L3664" s="40" t="s">
        <v>115</v>
      </c>
      <c r="O3664" s="40" t="s">
        <v>115</v>
      </c>
      <c r="Q3664" s="40">
        <v>185</v>
      </c>
      <c r="R3664" s="40">
        <v>241</v>
      </c>
      <c r="X3664" s="40">
        <v>90280403</v>
      </c>
      <c r="Y3664" s="40" t="s">
        <v>115</v>
      </c>
      <c r="Z3664" s="40" t="s">
        <v>115</v>
      </c>
      <c r="AA3664" s="40" t="s">
        <v>115</v>
      </c>
      <c r="AB3664" s="40" t="s">
        <v>115</v>
      </c>
      <c r="AC3664" s="40" t="s">
        <v>115</v>
      </c>
      <c r="AI3664" s="40" t="s">
        <v>115</v>
      </c>
      <c r="AP3664" s="4" t="s">
        <v>115</v>
      </c>
    </row>
    <row r="3665" spans="1:42" x14ac:dyDescent="0.15">
      <c r="A3665" s="40" t="s">
        <v>1</v>
      </c>
      <c r="B3665" s="23">
        <v>90280403</v>
      </c>
      <c r="C3665" s="23">
        <v>2804</v>
      </c>
      <c r="D3665" s="23">
        <v>28</v>
      </c>
      <c r="F3665" s="23" t="s">
        <v>6395</v>
      </c>
      <c r="G3665" s="23" t="s">
        <v>115</v>
      </c>
      <c r="H3665" s="23" t="s">
        <v>6397</v>
      </c>
      <c r="I3665" s="23">
        <v>3</v>
      </c>
      <c r="J3665" s="40">
        <v>0</v>
      </c>
      <c r="K3665" s="40">
        <v>0</v>
      </c>
      <c r="L3665" s="40" t="s">
        <v>115</v>
      </c>
      <c r="O3665" s="40" t="s">
        <v>115</v>
      </c>
      <c r="Q3665" s="40">
        <v>185</v>
      </c>
      <c r="R3665" s="40">
        <v>241</v>
      </c>
      <c r="X3665" s="40">
        <v>90280404</v>
      </c>
      <c r="Y3665" s="40" t="s">
        <v>115</v>
      </c>
      <c r="Z3665" s="40" t="s">
        <v>115</v>
      </c>
      <c r="AA3665" s="40" t="s">
        <v>115</v>
      </c>
      <c r="AB3665" s="40" t="s">
        <v>115</v>
      </c>
      <c r="AC3665" s="40" t="s">
        <v>115</v>
      </c>
      <c r="AI3665" s="40" t="s">
        <v>115</v>
      </c>
      <c r="AP3665" s="4" t="s">
        <v>115</v>
      </c>
    </row>
    <row r="3666" spans="1:42" x14ac:dyDescent="0.15">
      <c r="A3666" s="40" t="s">
        <v>1</v>
      </c>
      <c r="B3666" s="23">
        <v>90280404</v>
      </c>
      <c r="C3666" s="23">
        <v>2804</v>
      </c>
      <c r="D3666" s="23">
        <v>28</v>
      </c>
      <c r="F3666" s="23" t="s">
        <v>115</v>
      </c>
      <c r="G3666" s="23" t="s">
        <v>115</v>
      </c>
      <c r="H3666" s="23" t="s">
        <v>6398</v>
      </c>
      <c r="I3666" s="23">
        <v>4</v>
      </c>
      <c r="J3666" s="40">
        <v>0</v>
      </c>
      <c r="K3666" s="40">
        <v>0</v>
      </c>
      <c r="L3666" s="40" t="s">
        <v>115</v>
      </c>
      <c r="O3666" s="40" t="s">
        <v>115</v>
      </c>
      <c r="Q3666" s="40">
        <v>185</v>
      </c>
      <c r="R3666" s="40">
        <v>241</v>
      </c>
      <c r="X3666" s="40">
        <v>90280405</v>
      </c>
      <c r="Y3666" s="40" t="s">
        <v>115</v>
      </c>
      <c r="Z3666" s="40" t="s">
        <v>115</v>
      </c>
      <c r="AA3666" s="40" t="s">
        <v>115</v>
      </c>
      <c r="AB3666" s="40" t="s">
        <v>115</v>
      </c>
      <c r="AC3666" s="40" t="s">
        <v>115</v>
      </c>
      <c r="AI3666" s="40" t="s">
        <v>115</v>
      </c>
      <c r="AP3666" s="4" t="s">
        <v>115</v>
      </c>
    </row>
    <row r="3667" spans="1:42" x14ac:dyDescent="0.15">
      <c r="A3667" s="40" t="s">
        <v>1</v>
      </c>
      <c r="B3667" s="23">
        <v>90280405</v>
      </c>
      <c r="C3667" s="23">
        <v>2804</v>
      </c>
      <c r="D3667" s="23">
        <v>28</v>
      </c>
      <c r="F3667" s="23" t="s">
        <v>6399</v>
      </c>
      <c r="G3667" s="23" t="s">
        <v>115</v>
      </c>
      <c r="H3667" s="23" t="s">
        <v>6400</v>
      </c>
      <c r="I3667" s="23">
        <v>3</v>
      </c>
      <c r="J3667" s="40">
        <v>0</v>
      </c>
      <c r="K3667" s="40">
        <v>0</v>
      </c>
      <c r="L3667" s="40" t="s">
        <v>115</v>
      </c>
      <c r="O3667" s="40" t="s">
        <v>115</v>
      </c>
      <c r="Q3667" s="40">
        <v>185</v>
      </c>
      <c r="R3667" s="40">
        <v>244</v>
      </c>
      <c r="X3667" s="40">
        <v>90280406</v>
      </c>
      <c r="Y3667" s="40" t="s">
        <v>115</v>
      </c>
      <c r="Z3667" s="40" t="s">
        <v>115</v>
      </c>
      <c r="AA3667" s="40" t="s">
        <v>115</v>
      </c>
      <c r="AB3667" s="40" t="s">
        <v>115</v>
      </c>
      <c r="AC3667" s="40" t="s">
        <v>115</v>
      </c>
      <c r="AI3667" s="40" t="s">
        <v>115</v>
      </c>
      <c r="AP3667" s="4" t="s">
        <v>115</v>
      </c>
    </row>
    <row r="3668" spans="1:42" x14ac:dyDescent="0.15">
      <c r="A3668" s="40" t="s">
        <v>1</v>
      </c>
      <c r="B3668" s="23">
        <v>90280406</v>
      </c>
      <c r="C3668" s="23">
        <v>2804</v>
      </c>
      <c r="D3668" s="23">
        <v>28</v>
      </c>
      <c r="F3668" s="23" t="s">
        <v>6395</v>
      </c>
      <c r="G3668" s="23" t="s">
        <v>115</v>
      </c>
      <c r="H3668" s="23" t="s">
        <v>6401</v>
      </c>
      <c r="I3668" s="23">
        <v>3</v>
      </c>
      <c r="J3668" s="40">
        <v>0</v>
      </c>
      <c r="K3668" s="40">
        <v>0</v>
      </c>
      <c r="L3668" s="40" t="s">
        <v>115</v>
      </c>
      <c r="O3668" s="40" t="s">
        <v>115</v>
      </c>
      <c r="Q3668" s="40">
        <v>185</v>
      </c>
      <c r="R3668" s="40">
        <v>241</v>
      </c>
      <c r="X3668" s="40">
        <v>90280407</v>
      </c>
      <c r="Y3668" s="40" t="s">
        <v>115</v>
      </c>
      <c r="Z3668" s="40" t="s">
        <v>115</v>
      </c>
      <c r="AA3668" s="40" t="s">
        <v>115</v>
      </c>
      <c r="AB3668" s="40" t="s">
        <v>115</v>
      </c>
      <c r="AC3668" s="40" t="s">
        <v>115</v>
      </c>
      <c r="AI3668" s="40" t="s">
        <v>115</v>
      </c>
      <c r="AP3668" s="4" t="s">
        <v>115</v>
      </c>
    </row>
    <row r="3669" spans="1:42" x14ac:dyDescent="0.15">
      <c r="A3669" s="40" t="s">
        <v>1</v>
      </c>
      <c r="B3669" s="23">
        <v>90280407</v>
      </c>
      <c r="C3669" s="23">
        <v>2804</v>
      </c>
      <c r="D3669" s="23">
        <v>28</v>
      </c>
      <c r="F3669" s="23" t="s">
        <v>6399</v>
      </c>
      <c r="G3669" s="23" t="s">
        <v>115</v>
      </c>
      <c r="H3669" s="23" t="s">
        <v>6402</v>
      </c>
      <c r="I3669" s="23">
        <v>3</v>
      </c>
      <c r="J3669" s="40">
        <v>0</v>
      </c>
      <c r="K3669" s="40">
        <v>0</v>
      </c>
      <c r="L3669" s="40" t="s">
        <v>115</v>
      </c>
      <c r="O3669" s="40" t="s">
        <v>115</v>
      </c>
      <c r="Q3669" s="40">
        <v>185</v>
      </c>
      <c r="R3669" s="40">
        <v>244</v>
      </c>
      <c r="X3669" s="40">
        <v>90280408</v>
      </c>
      <c r="Y3669" s="40" t="s">
        <v>115</v>
      </c>
      <c r="Z3669" s="40" t="s">
        <v>115</v>
      </c>
      <c r="AA3669" s="40" t="s">
        <v>115</v>
      </c>
      <c r="AB3669" s="40" t="s">
        <v>115</v>
      </c>
      <c r="AC3669" s="40" t="s">
        <v>115</v>
      </c>
      <c r="AI3669" s="40" t="s">
        <v>115</v>
      </c>
      <c r="AP3669" s="4" t="s">
        <v>115</v>
      </c>
    </row>
    <row r="3670" spans="1:42" x14ac:dyDescent="0.15">
      <c r="A3670" s="40" t="s">
        <v>1</v>
      </c>
      <c r="B3670" s="23">
        <v>90280408</v>
      </c>
      <c r="C3670" s="23">
        <v>2804</v>
      </c>
      <c r="D3670" s="23">
        <v>28</v>
      </c>
      <c r="F3670" s="23" t="s">
        <v>6395</v>
      </c>
      <c r="G3670" s="23" t="s">
        <v>115</v>
      </c>
      <c r="H3670" s="23" t="s">
        <v>6403</v>
      </c>
      <c r="I3670" s="23">
        <v>3</v>
      </c>
      <c r="J3670" s="40">
        <v>0</v>
      </c>
      <c r="K3670" s="40">
        <v>0</v>
      </c>
      <c r="L3670" s="40" t="s">
        <v>115</v>
      </c>
      <c r="O3670" s="40" t="s">
        <v>115</v>
      </c>
      <c r="Q3670" s="40">
        <v>185</v>
      </c>
      <c r="R3670" s="40">
        <v>241</v>
      </c>
      <c r="X3670" s="40">
        <v>90280409</v>
      </c>
      <c r="Y3670" s="40" t="s">
        <v>115</v>
      </c>
      <c r="Z3670" s="40" t="s">
        <v>115</v>
      </c>
      <c r="AA3670" s="40" t="s">
        <v>115</v>
      </c>
      <c r="AB3670" s="40" t="s">
        <v>115</v>
      </c>
      <c r="AC3670" s="40" t="s">
        <v>115</v>
      </c>
      <c r="AI3670" s="40" t="s">
        <v>115</v>
      </c>
      <c r="AP3670" s="4" t="s">
        <v>115</v>
      </c>
    </row>
    <row r="3671" spans="1:42" x14ac:dyDescent="0.15">
      <c r="A3671" s="40" t="s">
        <v>1</v>
      </c>
      <c r="B3671" s="23">
        <v>90280409</v>
      </c>
      <c r="C3671" s="23">
        <v>2804</v>
      </c>
      <c r="D3671" s="23">
        <v>28</v>
      </c>
      <c r="F3671" s="23" t="s">
        <v>115</v>
      </c>
      <c r="G3671" s="23" t="s">
        <v>115</v>
      </c>
      <c r="H3671" s="23" t="s">
        <v>6404</v>
      </c>
      <c r="I3671" s="23">
        <v>4</v>
      </c>
      <c r="J3671" s="40">
        <v>0</v>
      </c>
      <c r="K3671" s="40">
        <v>0</v>
      </c>
      <c r="L3671" s="40" t="s">
        <v>115</v>
      </c>
      <c r="O3671" s="40" t="s">
        <v>115</v>
      </c>
      <c r="Q3671" s="40">
        <v>185</v>
      </c>
      <c r="R3671" s="40">
        <v>241</v>
      </c>
      <c r="X3671" s="40">
        <v>90280410</v>
      </c>
      <c r="Y3671" s="40" t="s">
        <v>115</v>
      </c>
      <c r="Z3671" s="40" t="s">
        <v>115</v>
      </c>
      <c r="AA3671" s="40" t="s">
        <v>115</v>
      </c>
      <c r="AB3671" s="40" t="s">
        <v>115</v>
      </c>
      <c r="AC3671" s="40" t="s">
        <v>115</v>
      </c>
      <c r="AI3671" s="40" t="s">
        <v>115</v>
      </c>
      <c r="AP3671" s="4" t="s">
        <v>115</v>
      </c>
    </row>
    <row r="3672" spans="1:42" x14ac:dyDescent="0.15">
      <c r="A3672" s="40" t="s">
        <v>1</v>
      </c>
      <c r="B3672" s="23">
        <v>90280410</v>
      </c>
      <c r="C3672" s="23">
        <v>2804</v>
      </c>
      <c r="D3672" s="23">
        <v>28</v>
      </c>
      <c r="F3672" s="23" t="s">
        <v>115</v>
      </c>
      <c r="G3672" s="23" t="s">
        <v>115</v>
      </c>
      <c r="H3672" s="23" t="s">
        <v>6405</v>
      </c>
      <c r="I3672" s="23">
        <v>4</v>
      </c>
      <c r="J3672" s="40">
        <v>0</v>
      </c>
      <c r="K3672" s="40">
        <v>2</v>
      </c>
      <c r="L3672" s="40" t="s">
        <v>115</v>
      </c>
      <c r="O3672" s="40" t="s">
        <v>115</v>
      </c>
      <c r="Q3672" s="40">
        <v>185</v>
      </c>
      <c r="R3672" s="40">
        <v>241</v>
      </c>
      <c r="X3672" s="40" t="s">
        <v>6406</v>
      </c>
      <c r="Y3672" s="40">
        <v>1</v>
      </c>
      <c r="Z3672" s="40">
        <v>1</v>
      </c>
      <c r="AA3672" s="40" t="s">
        <v>115</v>
      </c>
      <c r="AB3672" s="40" t="s">
        <v>115</v>
      </c>
      <c r="AC3672" s="40" t="s">
        <v>115</v>
      </c>
      <c r="AI3672" s="40" t="s">
        <v>115</v>
      </c>
      <c r="AP3672" s="4" t="s">
        <v>115</v>
      </c>
    </row>
    <row r="3673" spans="1:42" x14ac:dyDescent="0.15">
      <c r="A3673" s="40" t="s">
        <v>1</v>
      </c>
      <c r="B3673" s="23">
        <v>90280411</v>
      </c>
      <c r="C3673" s="23">
        <v>2804</v>
      </c>
      <c r="D3673" s="23">
        <v>28</v>
      </c>
      <c r="F3673" s="23" t="s">
        <v>115</v>
      </c>
      <c r="G3673" s="23" t="s">
        <v>115</v>
      </c>
      <c r="H3673" s="23" t="s">
        <v>6407</v>
      </c>
      <c r="I3673" s="23">
        <v>4</v>
      </c>
      <c r="J3673" s="40">
        <v>0</v>
      </c>
      <c r="K3673" s="40">
        <v>3</v>
      </c>
      <c r="L3673" s="40" t="s">
        <v>115</v>
      </c>
      <c r="O3673" s="40" t="s">
        <v>115</v>
      </c>
      <c r="Q3673" s="40">
        <v>185</v>
      </c>
      <c r="R3673" s="40">
        <v>241</v>
      </c>
      <c r="X3673" s="40">
        <v>90280413</v>
      </c>
      <c r="Y3673" s="40">
        <v>-1</v>
      </c>
      <c r="Z3673" s="40">
        <v>2</v>
      </c>
      <c r="AA3673" s="40" t="s">
        <v>115</v>
      </c>
      <c r="AB3673" s="40" t="s">
        <v>115</v>
      </c>
      <c r="AC3673" s="40" t="s">
        <v>6408</v>
      </c>
      <c r="AI3673" s="40" t="s">
        <v>115</v>
      </c>
      <c r="AP3673" s="4" t="s">
        <v>115</v>
      </c>
    </row>
    <row r="3674" spans="1:42" x14ac:dyDescent="0.15">
      <c r="A3674" s="40" t="s">
        <v>1</v>
      </c>
      <c r="B3674" s="23">
        <v>90280412</v>
      </c>
      <c r="C3674" s="23">
        <v>2804</v>
      </c>
      <c r="D3674" s="23">
        <v>28</v>
      </c>
      <c r="F3674" s="23" t="s">
        <v>115</v>
      </c>
      <c r="G3674" s="23" t="s">
        <v>115</v>
      </c>
      <c r="H3674" s="23" t="s">
        <v>6409</v>
      </c>
      <c r="I3674" s="23">
        <v>4</v>
      </c>
      <c r="J3674" s="40">
        <v>0</v>
      </c>
      <c r="K3674" s="40">
        <v>4</v>
      </c>
      <c r="L3674" s="40" t="s">
        <v>115</v>
      </c>
      <c r="O3674" s="40" t="s">
        <v>115</v>
      </c>
      <c r="Q3674" s="40">
        <v>185</v>
      </c>
      <c r="R3674" s="40">
        <v>241</v>
      </c>
      <c r="X3674" s="40">
        <v>90280417</v>
      </c>
      <c r="Y3674" s="40">
        <v>-1</v>
      </c>
      <c r="Z3674" s="40">
        <v>2</v>
      </c>
      <c r="AA3674" s="40" t="s">
        <v>6410</v>
      </c>
      <c r="AB3674" s="40" t="s">
        <v>115</v>
      </c>
      <c r="AC3674" s="40" t="s">
        <v>115</v>
      </c>
      <c r="AI3674" s="40" t="s">
        <v>115</v>
      </c>
      <c r="AP3674" s="4" t="s">
        <v>115</v>
      </c>
    </row>
    <row r="3675" spans="1:42" x14ac:dyDescent="0.15">
      <c r="A3675" s="40" t="s">
        <v>1</v>
      </c>
      <c r="B3675" s="23">
        <v>90280413</v>
      </c>
      <c r="C3675" s="23">
        <v>2804</v>
      </c>
      <c r="D3675" s="23">
        <v>28</v>
      </c>
      <c r="F3675" s="23" t="s">
        <v>116</v>
      </c>
      <c r="G3675" s="23" t="s">
        <v>115</v>
      </c>
      <c r="H3675" s="23" t="s">
        <v>6411</v>
      </c>
      <c r="I3675" s="23">
        <v>0</v>
      </c>
      <c r="J3675" s="40">
        <v>0</v>
      </c>
      <c r="K3675" s="40">
        <v>0</v>
      </c>
      <c r="L3675" s="40" t="s">
        <v>115</v>
      </c>
      <c r="O3675" s="40" t="s">
        <v>115</v>
      </c>
      <c r="Q3675" s="40">
        <v>185</v>
      </c>
      <c r="R3675" s="40">
        <v>241</v>
      </c>
      <c r="X3675" s="40">
        <v>90280414</v>
      </c>
      <c r="Y3675" s="40" t="s">
        <v>115</v>
      </c>
      <c r="Z3675" s="40" t="s">
        <v>115</v>
      </c>
      <c r="AA3675" s="40" t="s">
        <v>115</v>
      </c>
      <c r="AB3675" s="40" t="s">
        <v>115</v>
      </c>
      <c r="AC3675" s="40" t="s">
        <v>115</v>
      </c>
      <c r="AI3675" s="40" t="s">
        <v>115</v>
      </c>
      <c r="AP3675" s="4" t="s">
        <v>115</v>
      </c>
    </row>
    <row r="3676" spans="1:42" x14ac:dyDescent="0.15">
      <c r="A3676" s="40" t="s">
        <v>1</v>
      </c>
      <c r="B3676" s="23">
        <v>90280414</v>
      </c>
      <c r="C3676" s="23">
        <v>2804</v>
      </c>
      <c r="D3676" s="23">
        <v>28</v>
      </c>
      <c r="F3676" s="23" t="s">
        <v>115</v>
      </c>
      <c r="G3676" s="23" t="s">
        <v>115</v>
      </c>
      <c r="H3676" s="23" t="s">
        <v>6412</v>
      </c>
      <c r="I3676" s="23">
        <v>4</v>
      </c>
      <c r="J3676" s="40">
        <v>0</v>
      </c>
      <c r="K3676" s="40">
        <v>0</v>
      </c>
      <c r="L3676" s="40" t="s">
        <v>115</v>
      </c>
      <c r="O3676" s="40" t="s">
        <v>115</v>
      </c>
      <c r="Q3676" s="40">
        <v>185</v>
      </c>
      <c r="R3676" s="40">
        <v>241</v>
      </c>
      <c r="X3676" s="40">
        <v>90280415</v>
      </c>
      <c r="Y3676" s="40" t="s">
        <v>115</v>
      </c>
      <c r="Z3676" s="40" t="s">
        <v>115</v>
      </c>
      <c r="AA3676" s="40" t="s">
        <v>115</v>
      </c>
      <c r="AB3676" s="40" t="s">
        <v>115</v>
      </c>
      <c r="AC3676" s="40" t="s">
        <v>115</v>
      </c>
      <c r="AI3676" s="40" t="s">
        <v>115</v>
      </c>
      <c r="AP3676" s="4" t="s">
        <v>115</v>
      </c>
    </row>
    <row r="3677" spans="1:42" x14ac:dyDescent="0.15">
      <c r="A3677" s="40" t="s">
        <v>1</v>
      </c>
      <c r="B3677" s="23">
        <v>90280415</v>
      </c>
      <c r="C3677" s="23">
        <v>2804</v>
      </c>
      <c r="D3677" s="23">
        <v>28</v>
      </c>
      <c r="F3677" s="23" t="s">
        <v>6395</v>
      </c>
      <c r="G3677" s="23" t="s">
        <v>115</v>
      </c>
      <c r="H3677" s="23" t="s">
        <v>6413</v>
      </c>
      <c r="I3677" s="23">
        <v>3</v>
      </c>
      <c r="J3677" s="40">
        <v>0</v>
      </c>
      <c r="K3677" s="40">
        <v>0</v>
      </c>
      <c r="L3677" s="40" t="s">
        <v>115</v>
      </c>
      <c r="O3677" s="40" t="s">
        <v>115</v>
      </c>
      <c r="Q3677" s="40">
        <v>185</v>
      </c>
      <c r="R3677" s="40">
        <v>241</v>
      </c>
      <c r="X3677" s="40">
        <v>90280416</v>
      </c>
      <c r="Y3677" s="40" t="s">
        <v>115</v>
      </c>
      <c r="Z3677" s="40" t="s">
        <v>115</v>
      </c>
      <c r="AA3677" s="40" t="s">
        <v>115</v>
      </c>
      <c r="AB3677" s="40" t="s">
        <v>115</v>
      </c>
      <c r="AC3677" s="40" t="s">
        <v>115</v>
      </c>
      <c r="AI3677" s="40" t="s">
        <v>115</v>
      </c>
      <c r="AP3677" s="4" t="s">
        <v>115</v>
      </c>
    </row>
    <row r="3678" spans="1:42" x14ac:dyDescent="0.15">
      <c r="A3678" s="40" t="s">
        <v>1</v>
      </c>
      <c r="B3678" s="23">
        <v>90280416</v>
      </c>
      <c r="C3678" s="23">
        <v>2804</v>
      </c>
      <c r="D3678" s="23">
        <v>28</v>
      </c>
      <c r="F3678" s="23" t="s">
        <v>116</v>
      </c>
      <c r="G3678" s="23" t="s">
        <v>115</v>
      </c>
      <c r="H3678" s="23" t="s">
        <v>6414</v>
      </c>
      <c r="I3678" s="23">
        <v>0</v>
      </c>
      <c r="J3678" s="40">
        <v>0</v>
      </c>
      <c r="K3678" s="40">
        <v>5</v>
      </c>
      <c r="L3678" s="40" t="s">
        <v>6415</v>
      </c>
      <c r="O3678" s="40" t="s">
        <v>115</v>
      </c>
      <c r="Q3678" s="40">
        <v>185</v>
      </c>
      <c r="R3678" s="40">
        <v>241</v>
      </c>
      <c r="X3678" s="40">
        <v>90280410</v>
      </c>
      <c r="Y3678" s="40" t="s">
        <v>115</v>
      </c>
      <c r="Z3678" s="40">
        <v>4</v>
      </c>
      <c r="AA3678" s="40" t="s">
        <v>115</v>
      </c>
      <c r="AB3678" s="40" t="s">
        <v>115</v>
      </c>
      <c r="AC3678" s="40" t="s">
        <v>115</v>
      </c>
      <c r="AI3678" s="40" t="s">
        <v>115</v>
      </c>
      <c r="AP3678" s="4" t="s">
        <v>115</v>
      </c>
    </row>
    <row r="3679" spans="1:42" x14ac:dyDescent="0.15">
      <c r="A3679" s="40" t="s">
        <v>1</v>
      </c>
      <c r="B3679" s="23">
        <v>90280417</v>
      </c>
      <c r="C3679" s="23">
        <v>2804</v>
      </c>
      <c r="D3679" s="23">
        <v>28</v>
      </c>
      <c r="F3679" s="23" t="s">
        <v>116</v>
      </c>
      <c r="G3679" s="23">
        <v>312</v>
      </c>
      <c r="H3679" s="23" t="s">
        <v>6416</v>
      </c>
      <c r="I3679" s="23">
        <v>0</v>
      </c>
      <c r="J3679" s="40">
        <v>0</v>
      </c>
      <c r="K3679" s="40">
        <v>0</v>
      </c>
      <c r="L3679" s="40" t="s">
        <v>115</v>
      </c>
      <c r="O3679" s="40" t="s">
        <v>115</v>
      </c>
      <c r="Q3679" s="40">
        <v>185</v>
      </c>
      <c r="R3679" s="40">
        <v>241</v>
      </c>
      <c r="X3679" s="40">
        <v>90280418</v>
      </c>
      <c r="Y3679" s="40" t="s">
        <v>115</v>
      </c>
      <c r="Z3679" s="40" t="s">
        <v>115</v>
      </c>
      <c r="AA3679" s="40" t="s">
        <v>115</v>
      </c>
      <c r="AB3679" s="40" t="s">
        <v>115</v>
      </c>
      <c r="AC3679" s="40" t="s">
        <v>115</v>
      </c>
      <c r="AI3679" s="40" t="s">
        <v>115</v>
      </c>
      <c r="AP3679" s="4" t="s">
        <v>115</v>
      </c>
    </row>
    <row r="3680" spans="1:42" x14ac:dyDescent="0.15">
      <c r="A3680" s="40" t="s">
        <v>1</v>
      </c>
      <c r="B3680" s="23">
        <v>90280418</v>
      </c>
      <c r="C3680" s="23">
        <v>2804</v>
      </c>
      <c r="D3680" s="23">
        <v>28</v>
      </c>
      <c r="F3680" s="23" t="s">
        <v>6395</v>
      </c>
      <c r="G3680" s="23" t="s">
        <v>115</v>
      </c>
      <c r="H3680" s="23" t="s">
        <v>6417</v>
      </c>
      <c r="I3680" s="23">
        <v>3</v>
      </c>
      <c r="J3680" s="40">
        <v>0</v>
      </c>
      <c r="K3680" s="40">
        <v>0</v>
      </c>
      <c r="L3680" s="40" t="s">
        <v>115</v>
      </c>
      <c r="O3680" s="40" t="s">
        <v>115</v>
      </c>
      <c r="Q3680" s="40">
        <v>185</v>
      </c>
      <c r="R3680" s="40">
        <v>241</v>
      </c>
      <c r="X3680" s="40">
        <v>90280419</v>
      </c>
      <c r="Y3680" s="40" t="s">
        <v>115</v>
      </c>
      <c r="Z3680" s="40" t="s">
        <v>115</v>
      </c>
      <c r="AA3680" s="40" t="s">
        <v>115</v>
      </c>
      <c r="AB3680" s="40" t="s">
        <v>115</v>
      </c>
      <c r="AC3680" s="40" t="s">
        <v>115</v>
      </c>
      <c r="AI3680" s="40" t="s">
        <v>115</v>
      </c>
      <c r="AP3680" s="4" t="s">
        <v>115</v>
      </c>
    </row>
    <row r="3681" spans="1:42" x14ac:dyDescent="0.15">
      <c r="A3681" s="40" t="s">
        <v>1</v>
      </c>
      <c r="B3681" s="23">
        <v>90280419</v>
      </c>
      <c r="C3681" s="23">
        <v>2804</v>
      </c>
      <c r="D3681" s="23">
        <v>28</v>
      </c>
      <c r="F3681" s="23" t="s">
        <v>116</v>
      </c>
      <c r="G3681" s="23">
        <v>312</v>
      </c>
      <c r="H3681" s="23" t="s">
        <v>6418</v>
      </c>
      <c r="I3681" s="23">
        <v>0</v>
      </c>
      <c r="J3681" s="40">
        <v>0</v>
      </c>
      <c r="K3681" s="40">
        <v>0</v>
      </c>
      <c r="L3681" s="40" t="s">
        <v>115</v>
      </c>
      <c r="O3681" s="40" t="s">
        <v>115</v>
      </c>
      <c r="Q3681" s="40">
        <v>185</v>
      </c>
      <c r="R3681" s="40">
        <v>241</v>
      </c>
      <c r="X3681" s="40">
        <v>90280420</v>
      </c>
      <c r="Y3681" s="40" t="s">
        <v>115</v>
      </c>
      <c r="Z3681" s="40" t="s">
        <v>115</v>
      </c>
      <c r="AA3681" s="40" t="s">
        <v>115</v>
      </c>
      <c r="AB3681" s="40" t="s">
        <v>115</v>
      </c>
      <c r="AC3681" s="40" t="s">
        <v>115</v>
      </c>
      <c r="AI3681" s="40" t="s">
        <v>115</v>
      </c>
      <c r="AP3681" s="4" t="s">
        <v>115</v>
      </c>
    </row>
    <row r="3682" spans="1:42" x14ac:dyDescent="0.15">
      <c r="A3682" s="40" t="s">
        <v>1</v>
      </c>
      <c r="B3682" s="23">
        <v>90280420</v>
      </c>
      <c r="C3682" s="23">
        <v>2804</v>
      </c>
      <c r="D3682" s="23">
        <v>28</v>
      </c>
      <c r="F3682" s="23" t="s">
        <v>115</v>
      </c>
      <c r="G3682" s="23" t="s">
        <v>115</v>
      </c>
      <c r="H3682" s="23" t="s">
        <v>6419</v>
      </c>
      <c r="I3682" s="23">
        <v>4</v>
      </c>
      <c r="J3682" s="40">
        <v>0</v>
      </c>
      <c r="K3682" s="40">
        <v>0</v>
      </c>
      <c r="L3682" s="40" t="s">
        <v>115</v>
      </c>
      <c r="O3682" s="40" t="s">
        <v>115</v>
      </c>
      <c r="Q3682" s="40">
        <v>185</v>
      </c>
      <c r="R3682" s="40">
        <v>241</v>
      </c>
      <c r="X3682" s="40">
        <v>90280421</v>
      </c>
      <c r="Y3682" s="40" t="s">
        <v>115</v>
      </c>
      <c r="Z3682" s="40" t="s">
        <v>115</v>
      </c>
      <c r="AA3682" s="40" t="s">
        <v>115</v>
      </c>
      <c r="AB3682" s="40" t="s">
        <v>115</v>
      </c>
      <c r="AC3682" s="40" t="s">
        <v>115</v>
      </c>
      <c r="AI3682" s="40" t="s">
        <v>115</v>
      </c>
      <c r="AP3682" s="4" t="s">
        <v>115</v>
      </c>
    </row>
    <row r="3683" spans="1:42" x14ac:dyDescent="0.15">
      <c r="A3683" s="40" t="s">
        <v>1</v>
      </c>
      <c r="B3683" s="23">
        <v>90280421</v>
      </c>
      <c r="C3683" s="23">
        <v>2804</v>
      </c>
      <c r="D3683" s="23">
        <v>28</v>
      </c>
      <c r="F3683" s="23" t="s">
        <v>6395</v>
      </c>
      <c r="G3683" s="23" t="s">
        <v>115</v>
      </c>
      <c r="H3683" s="23" t="s">
        <v>7259</v>
      </c>
      <c r="I3683" s="23">
        <v>3</v>
      </c>
      <c r="J3683" s="40">
        <v>0</v>
      </c>
      <c r="K3683" s="40">
        <v>0</v>
      </c>
      <c r="L3683" s="40" t="s">
        <v>115</v>
      </c>
      <c r="O3683" s="40" t="s">
        <v>115</v>
      </c>
      <c r="Q3683" s="40">
        <v>185</v>
      </c>
      <c r="R3683" s="40">
        <v>241</v>
      </c>
      <c r="X3683" s="40">
        <v>90280422</v>
      </c>
      <c r="Y3683" s="40" t="s">
        <v>115</v>
      </c>
      <c r="Z3683" s="40" t="s">
        <v>115</v>
      </c>
      <c r="AA3683" s="40" t="s">
        <v>115</v>
      </c>
      <c r="AB3683" s="40" t="s">
        <v>115</v>
      </c>
      <c r="AC3683" s="40" t="s">
        <v>115</v>
      </c>
      <c r="AI3683" s="40" t="s">
        <v>115</v>
      </c>
      <c r="AP3683" s="4" t="s">
        <v>115</v>
      </c>
    </row>
    <row r="3684" spans="1:42" x14ac:dyDescent="0.15">
      <c r="A3684" s="40" t="s">
        <v>1</v>
      </c>
      <c r="B3684" s="23">
        <v>90280422</v>
      </c>
      <c r="C3684" s="23">
        <v>2804</v>
      </c>
      <c r="D3684" s="23">
        <v>28</v>
      </c>
      <c r="F3684" s="23" t="s">
        <v>6395</v>
      </c>
      <c r="G3684" s="23" t="s">
        <v>115</v>
      </c>
      <c r="H3684" s="23" t="s">
        <v>6420</v>
      </c>
      <c r="I3684" s="23">
        <v>3</v>
      </c>
      <c r="J3684" s="40">
        <v>0</v>
      </c>
      <c r="K3684" s="40">
        <v>0</v>
      </c>
      <c r="L3684" s="40" t="s">
        <v>115</v>
      </c>
      <c r="O3684" s="40" t="s">
        <v>115</v>
      </c>
      <c r="Q3684" s="40">
        <v>185</v>
      </c>
      <c r="R3684" s="40">
        <v>241</v>
      </c>
      <c r="X3684" s="40">
        <v>90280423</v>
      </c>
      <c r="Y3684" s="40" t="s">
        <v>115</v>
      </c>
      <c r="Z3684" s="40" t="s">
        <v>115</v>
      </c>
      <c r="AA3684" s="40" t="s">
        <v>115</v>
      </c>
      <c r="AB3684" s="40" t="s">
        <v>115</v>
      </c>
      <c r="AC3684" s="40" t="s">
        <v>115</v>
      </c>
      <c r="AI3684" s="40" t="s">
        <v>115</v>
      </c>
      <c r="AP3684" s="4" t="s">
        <v>115</v>
      </c>
    </row>
    <row r="3685" spans="1:42" x14ac:dyDescent="0.15">
      <c r="A3685" s="40" t="s">
        <v>1</v>
      </c>
      <c r="B3685" s="23">
        <v>90280423</v>
      </c>
      <c r="C3685" s="23">
        <v>2804</v>
      </c>
      <c r="D3685" s="23">
        <v>28</v>
      </c>
      <c r="F3685" s="23" t="s">
        <v>6395</v>
      </c>
      <c r="G3685" s="23" t="s">
        <v>115</v>
      </c>
      <c r="H3685" s="23" t="s">
        <v>6421</v>
      </c>
      <c r="I3685" s="23">
        <v>3</v>
      </c>
      <c r="J3685" s="40">
        <v>0</v>
      </c>
      <c r="K3685" s="40">
        <v>0</v>
      </c>
      <c r="L3685" s="40" t="s">
        <v>115</v>
      </c>
      <c r="O3685" s="40" t="s">
        <v>115</v>
      </c>
      <c r="Q3685" s="40">
        <v>185</v>
      </c>
      <c r="R3685" s="40">
        <v>241</v>
      </c>
      <c r="X3685" s="40">
        <v>90280424</v>
      </c>
      <c r="Y3685" s="40" t="s">
        <v>115</v>
      </c>
      <c r="Z3685" s="40" t="s">
        <v>115</v>
      </c>
      <c r="AA3685" s="40" t="s">
        <v>115</v>
      </c>
      <c r="AB3685" s="40" t="s">
        <v>115</v>
      </c>
      <c r="AC3685" s="40" t="s">
        <v>115</v>
      </c>
      <c r="AI3685" s="40" t="s">
        <v>115</v>
      </c>
      <c r="AP3685" s="4" t="s">
        <v>115</v>
      </c>
    </row>
    <row r="3686" spans="1:42" x14ac:dyDescent="0.15">
      <c r="A3686" s="40" t="s">
        <v>1</v>
      </c>
      <c r="B3686" s="23">
        <v>90280424</v>
      </c>
      <c r="C3686" s="23">
        <v>2804</v>
      </c>
      <c r="D3686" s="23">
        <v>28</v>
      </c>
      <c r="F3686" s="23" t="s">
        <v>6395</v>
      </c>
      <c r="G3686" s="23" t="s">
        <v>115</v>
      </c>
      <c r="H3686" s="23" t="s">
        <v>6422</v>
      </c>
      <c r="I3686" s="23">
        <v>3</v>
      </c>
      <c r="J3686" s="40">
        <v>0</v>
      </c>
      <c r="K3686" s="40">
        <v>0</v>
      </c>
      <c r="L3686" s="40" t="s">
        <v>115</v>
      </c>
      <c r="O3686" s="40" t="s">
        <v>115</v>
      </c>
      <c r="Q3686" s="40">
        <v>185</v>
      </c>
      <c r="R3686" s="40">
        <v>241</v>
      </c>
      <c r="X3686" s="40">
        <v>90280425</v>
      </c>
      <c r="Y3686" s="40" t="s">
        <v>115</v>
      </c>
      <c r="Z3686" s="40" t="s">
        <v>115</v>
      </c>
      <c r="AA3686" s="40" t="s">
        <v>115</v>
      </c>
      <c r="AB3686" s="40" t="s">
        <v>115</v>
      </c>
      <c r="AC3686" s="40" t="s">
        <v>115</v>
      </c>
      <c r="AI3686" s="40" t="s">
        <v>115</v>
      </c>
      <c r="AP3686" s="4" t="s">
        <v>115</v>
      </c>
    </row>
    <row r="3687" spans="1:42" x14ac:dyDescent="0.15">
      <c r="A3687" s="40" t="s">
        <v>1</v>
      </c>
      <c r="B3687" s="23">
        <v>90280425</v>
      </c>
      <c r="C3687" s="23">
        <v>2804</v>
      </c>
      <c r="D3687" s="23">
        <v>28</v>
      </c>
      <c r="F3687" s="23" t="s">
        <v>6395</v>
      </c>
      <c r="G3687" s="23" t="s">
        <v>115</v>
      </c>
      <c r="H3687" s="23" t="s">
        <v>6423</v>
      </c>
      <c r="I3687" s="23">
        <v>3</v>
      </c>
      <c r="J3687" s="40">
        <v>0</v>
      </c>
      <c r="K3687" s="40">
        <v>6</v>
      </c>
      <c r="L3687" s="40" t="s">
        <v>6424</v>
      </c>
      <c r="O3687" s="40">
        <v>1</v>
      </c>
      <c r="Q3687" s="40">
        <v>185</v>
      </c>
      <c r="R3687" s="40">
        <v>241</v>
      </c>
      <c r="X3687" s="40" t="s">
        <v>115</v>
      </c>
      <c r="Y3687" s="40" t="s">
        <v>115</v>
      </c>
      <c r="Z3687" s="40">
        <v>5</v>
      </c>
      <c r="AA3687" s="40" t="s">
        <v>115</v>
      </c>
      <c r="AB3687" s="40" t="s">
        <v>115</v>
      </c>
      <c r="AC3687" s="40" t="s">
        <v>115</v>
      </c>
      <c r="AI3687" s="40" t="s">
        <v>115</v>
      </c>
      <c r="AP3687" s="4" t="s">
        <v>6425</v>
      </c>
    </row>
    <row r="3688" spans="1:42" x14ac:dyDescent="0.15">
      <c r="A3688" s="40" t="s">
        <v>1</v>
      </c>
      <c r="B3688" s="23" t="s">
        <v>4918</v>
      </c>
      <c r="C3688" s="23">
        <v>2805</v>
      </c>
      <c r="D3688" s="23">
        <v>28</v>
      </c>
      <c r="F3688" s="23" t="s">
        <v>322</v>
      </c>
      <c r="G3688" s="23" t="s">
        <v>115</v>
      </c>
      <c r="H3688" s="23" t="s">
        <v>6426</v>
      </c>
      <c r="I3688" s="23">
        <v>3</v>
      </c>
      <c r="J3688" s="40">
        <v>1</v>
      </c>
      <c r="K3688" s="40">
        <v>1</v>
      </c>
      <c r="L3688" s="40" t="s">
        <v>115</v>
      </c>
      <c r="O3688" s="40" t="s">
        <v>115</v>
      </c>
      <c r="Q3688" s="40">
        <v>34</v>
      </c>
      <c r="R3688" s="40">
        <v>243</v>
      </c>
      <c r="X3688" s="40" t="s">
        <v>6427</v>
      </c>
      <c r="Y3688" s="40">
        <v>1</v>
      </c>
      <c r="Z3688" s="40" t="s">
        <v>115</v>
      </c>
      <c r="AA3688" s="40" t="s">
        <v>115</v>
      </c>
      <c r="AB3688" s="40" t="s">
        <v>115</v>
      </c>
      <c r="AC3688" s="40" t="s">
        <v>115</v>
      </c>
      <c r="AI3688" s="40" t="s">
        <v>115</v>
      </c>
      <c r="AP3688" s="4" t="s">
        <v>115</v>
      </c>
    </row>
    <row r="3689" spans="1:42" x14ac:dyDescent="0.15">
      <c r="A3689" s="40" t="s">
        <v>1</v>
      </c>
      <c r="B3689" s="23">
        <v>90280502</v>
      </c>
      <c r="C3689" s="23">
        <v>2805</v>
      </c>
      <c r="D3689" s="23">
        <v>28</v>
      </c>
      <c r="F3689" s="23" t="s">
        <v>115</v>
      </c>
      <c r="G3689" s="23" t="s">
        <v>115</v>
      </c>
      <c r="H3689" s="23" t="s">
        <v>6428</v>
      </c>
      <c r="I3689" s="23">
        <v>4</v>
      </c>
      <c r="J3689" s="40">
        <v>0</v>
      </c>
      <c r="K3689" s="40">
        <v>2</v>
      </c>
      <c r="L3689" s="40" t="s">
        <v>115</v>
      </c>
      <c r="O3689" s="40" t="s">
        <v>115</v>
      </c>
      <c r="Q3689" s="40">
        <v>34</v>
      </c>
      <c r="R3689" s="40" t="s">
        <v>115</v>
      </c>
      <c r="X3689" s="40">
        <v>90280503</v>
      </c>
      <c r="Y3689" s="40">
        <v>-1</v>
      </c>
      <c r="Z3689" s="40">
        <v>1</v>
      </c>
      <c r="AA3689" s="40" t="s">
        <v>6429</v>
      </c>
      <c r="AB3689" s="40" t="s">
        <v>115</v>
      </c>
      <c r="AC3689" s="40" t="s">
        <v>115</v>
      </c>
      <c r="AI3689" s="40" t="s">
        <v>115</v>
      </c>
      <c r="AP3689" s="4" t="s">
        <v>115</v>
      </c>
    </row>
    <row r="3690" spans="1:42" x14ac:dyDescent="0.15">
      <c r="A3690" s="40" t="s">
        <v>1</v>
      </c>
      <c r="B3690" s="23">
        <v>90280503</v>
      </c>
      <c r="C3690" s="23">
        <v>2805</v>
      </c>
      <c r="D3690" s="23">
        <v>28</v>
      </c>
      <c r="F3690" s="23" t="s">
        <v>116</v>
      </c>
      <c r="G3690" s="23">
        <v>312</v>
      </c>
      <c r="H3690" s="23" t="s">
        <v>6430</v>
      </c>
      <c r="I3690" s="23">
        <v>0</v>
      </c>
      <c r="J3690" s="40">
        <v>0</v>
      </c>
      <c r="K3690" s="40">
        <v>0</v>
      </c>
      <c r="L3690" s="40" t="s">
        <v>115</v>
      </c>
      <c r="O3690" s="40" t="s">
        <v>115</v>
      </c>
      <c r="Q3690" s="40">
        <v>34</v>
      </c>
      <c r="R3690" s="40">
        <v>243</v>
      </c>
      <c r="X3690" s="40">
        <v>90280504</v>
      </c>
      <c r="Y3690" s="40" t="s">
        <v>115</v>
      </c>
      <c r="Z3690" s="40" t="s">
        <v>115</v>
      </c>
      <c r="AA3690" s="40" t="s">
        <v>115</v>
      </c>
      <c r="AB3690" s="40" t="s">
        <v>115</v>
      </c>
      <c r="AC3690" s="40" t="s">
        <v>115</v>
      </c>
      <c r="AI3690" s="40" t="s">
        <v>115</v>
      </c>
      <c r="AP3690" s="4" t="s">
        <v>115</v>
      </c>
    </row>
    <row r="3691" spans="1:42" x14ac:dyDescent="0.15">
      <c r="A3691" s="40" t="s">
        <v>1</v>
      </c>
      <c r="B3691" s="23">
        <v>90280504</v>
      </c>
      <c r="C3691" s="23">
        <v>2805</v>
      </c>
      <c r="D3691" s="23">
        <v>28</v>
      </c>
      <c r="F3691" s="23" t="s">
        <v>322</v>
      </c>
      <c r="G3691" s="23" t="s">
        <v>115</v>
      </c>
      <c r="H3691" s="23" t="s">
        <v>6431</v>
      </c>
      <c r="I3691" s="23">
        <v>3</v>
      </c>
      <c r="J3691" s="40">
        <v>0</v>
      </c>
      <c r="K3691" s="40">
        <v>0</v>
      </c>
      <c r="L3691" s="40" t="s">
        <v>115</v>
      </c>
      <c r="O3691" s="40" t="s">
        <v>115</v>
      </c>
      <c r="Q3691" s="40">
        <v>34</v>
      </c>
      <c r="R3691" s="40">
        <v>243</v>
      </c>
      <c r="X3691" s="40">
        <v>90280505</v>
      </c>
      <c r="Y3691" s="40" t="s">
        <v>115</v>
      </c>
      <c r="Z3691" s="40" t="s">
        <v>115</v>
      </c>
      <c r="AA3691" s="40" t="s">
        <v>115</v>
      </c>
      <c r="AB3691" s="40" t="s">
        <v>115</v>
      </c>
      <c r="AC3691" s="40" t="s">
        <v>115</v>
      </c>
      <c r="AI3691" s="40" t="s">
        <v>115</v>
      </c>
      <c r="AP3691" s="4" t="s">
        <v>115</v>
      </c>
    </row>
    <row r="3692" spans="1:42" x14ac:dyDescent="0.15">
      <c r="A3692" s="40" t="s">
        <v>1</v>
      </c>
      <c r="B3692" s="23">
        <v>90280505</v>
      </c>
      <c r="C3692" s="23">
        <v>2805</v>
      </c>
      <c r="D3692" s="23">
        <v>28</v>
      </c>
      <c r="F3692" s="23" t="s">
        <v>116</v>
      </c>
      <c r="G3692" s="23" t="s">
        <v>115</v>
      </c>
      <c r="H3692" s="23" t="s">
        <v>7260</v>
      </c>
      <c r="I3692" s="23">
        <v>0</v>
      </c>
      <c r="J3692" s="40">
        <v>0</v>
      </c>
      <c r="K3692" s="40">
        <v>0</v>
      </c>
      <c r="L3692" s="40" t="s">
        <v>115</v>
      </c>
      <c r="O3692" s="40" t="s">
        <v>115</v>
      </c>
      <c r="Q3692" s="40">
        <v>34</v>
      </c>
      <c r="R3692" s="40">
        <v>243</v>
      </c>
      <c r="X3692" s="40">
        <v>90280506</v>
      </c>
      <c r="Y3692" s="40" t="s">
        <v>115</v>
      </c>
      <c r="Z3692" s="40" t="s">
        <v>115</v>
      </c>
      <c r="AA3692" s="40" t="s">
        <v>115</v>
      </c>
      <c r="AB3692" s="40" t="s">
        <v>115</v>
      </c>
      <c r="AC3692" s="40" t="s">
        <v>115</v>
      </c>
      <c r="AI3692" s="40" t="s">
        <v>115</v>
      </c>
      <c r="AP3692" s="4" t="s">
        <v>115</v>
      </c>
    </row>
    <row r="3693" spans="1:42" x14ac:dyDescent="0.15">
      <c r="A3693" s="40" t="s">
        <v>1</v>
      </c>
      <c r="B3693" s="23">
        <v>90280506</v>
      </c>
      <c r="C3693" s="23">
        <v>2805</v>
      </c>
      <c r="D3693" s="23">
        <v>28</v>
      </c>
      <c r="F3693" s="23" t="s">
        <v>322</v>
      </c>
      <c r="G3693" s="23" t="s">
        <v>115</v>
      </c>
      <c r="H3693" s="23" t="s">
        <v>6432</v>
      </c>
      <c r="I3693" s="23">
        <v>3</v>
      </c>
      <c r="J3693" s="40">
        <v>0</v>
      </c>
      <c r="K3693" s="40">
        <v>0</v>
      </c>
      <c r="L3693" s="40" t="s">
        <v>115</v>
      </c>
      <c r="O3693" s="40" t="s">
        <v>115</v>
      </c>
      <c r="Q3693" s="40">
        <v>34</v>
      </c>
      <c r="R3693" s="40">
        <v>243</v>
      </c>
      <c r="X3693" s="40">
        <v>90280507</v>
      </c>
      <c r="Y3693" s="40" t="s">
        <v>115</v>
      </c>
      <c r="Z3693" s="40" t="s">
        <v>115</v>
      </c>
      <c r="AA3693" s="40" t="s">
        <v>115</v>
      </c>
      <c r="AB3693" s="40" t="s">
        <v>115</v>
      </c>
      <c r="AC3693" s="40" t="s">
        <v>115</v>
      </c>
      <c r="AI3693" s="40" t="s">
        <v>115</v>
      </c>
      <c r="AP3693" s="4" t="s">
        <v>115</v>
      </c>
    </row>
    <row r="3694" spans="1:42" x14ac:dyDescent="0.15">
      <c r="A3694" s="40" t="s">
        <v>1</v>
      </c>
      <c r="B3694" s="23">
        <v>90280507</v>
      </c>
      <c r="C3694" s="23">
        <v>2805</v>
      </c>
      <c r="D3694" s="23">
        <v>28</v>
      </c>
      <c r="F3694" s="23" t="s">
        <v>116</v>
      </c>
      <c r="G3694" s="23">
        <v>313</v>
      </c>
      <c r="H3694" s="23" t="s">
        <v>6433</v>
      </c>
      <c r="I3694" s="23">
        <v>0</v>
      </c>
      <c r="J3694" s="40">
        <v>0</v>
      </c>
      <c r="K3694" s="40">
        <v>0</v>
      </c>
      <c r="L3694" s="40" t="s">
        <v>115</v>
      </c>
      <c r="O3694" s="40" t="s">
        <v>115</v>
      </c>
      <c r="Q3694" s="40">
        <v>34</v>
      </c>
      <c r="R3694" s="40">
        <v>243</v>
      </c>
      <c r="X3694" s="40">
        <v>90280508</v>
      </c>
      <c r="Y3694" s="40" t="s">
        <v>115</v>
      </c>
      <c r="Z3694" s="40" t="s">
        <v>115</v>
      </c>
      <c r="AA3694" s="40" t="s">
        <v>115</v>
      </c>
      <c r="AB3694" s="40" t="s">
        <v>115</v>
      </c>
      <c r="AC3694" s="40" t="s">
        <v>115</v>
      </c>
      <c r="AI3694" s="40" t="s">
        <v>115</v>
      </c>
      <c r="AP3694" s="4" t="s">
        <v>115</v>
      </c>
    </row>
    <row r="3695" spans="1:42" x14ac:dyDescent="0.15">
      <c r="A3695" s="40" t="s">
        <v>1</v>
      </c>
      <c r="B3695" s="23">
        <v>90280508</v>
      </c>
      <c r="C3695" s="23">
        <v>2805</v>
      </c>
      <c r="D3695" s="23">
        <v>28</v>
      </c>
      <c r="F3695" s="23" t="s">
        <v>322</v>
      </c>
      <c r="G3695" s="23" t="s">
        <v>115</v>
      </c>
      <c r="H3695" s="23" t="s">
        <v>7261</v>
      </c>
      <c r="I3695" s="23">
        <v>3</v>
      </c>
      <c r="J3695" s="40">
        <v>0</v>
      </c>
      <c r="K3695" s="40">
        <v>0</v>
      </c>
      <c r="L3695" s="40" t="s">
        <v>115</v>
      </c>
      <c r="O3695" s="40" t="s">
        <v>115</v>
      </c>
      <c r="Q3695" s="40">
        <v>34</v>
      </c>
      <c r="R3695" s="40">
        <v>243</v>
      </c>
      <c r="X3695" s="40">
        <v>90280509</v>
      </c>
      <c r="Y3695" s="40" t="s">
        <v>115</v>
      </c>
      <c r="Z3695" s="40" t="s">
        <v>115</v>
      </c>
      <c r="AA3695" s="40" t="s">
        <v>115</v>
      </c>
      <c r="AB3695" s="40" t="s">
        <v>115</v>
      </c>
      <c r="AC3695" s="40" t="s">
        <v>115</v>
      </c>
      <c r="AI3695" s="40" t="s">
        <v>115</v>
      </c>
      <c r="AP3695" s="4" t="s">
        <v>115</v>
      </c>
    </row>
    <row r="3696" spans="1:42" x14ac:dyDescent="0.15">
      <c r="A3696" s="40" t="s">
        <v>1</v>
      </c>
      <c r="B3696" s="23">
        <v>90280509</v>
      </c>
      <c r="C3696" s="23">
        <v>2805</v>
      </c>
      <c r="D3696" s="23">
        <v>28</v>
      </c>
      <c r="F3696" s="23" t="s">
        <v>322</v>
      </c>
      <c r="G3696" s="23" t="s">
        <v>115</v>
      </c>
      <c r="H3696" s="23" t="s">
        <v>7262</v>
      </c>
      <c r="I3696" s="23">
        <v>3</v>
      </c>
      <c r="J3696" s="40">
        <v>0</v>
      </c>
      <c r="K3696" s="40">
        <v>0</v>
      </c>
      <c r="L3696" s="40" t="s">
        <v>115</v>
      </c>
      <c r="O3696" s="40" t="s">
        <v>115</v>
      </c>
      <c r="Q3696" s="40">
        <v>34</v>
      </c>
      <c r="R3696" s="40">
        <v>243</v>
      </c>
      <c r="X3696" s="40">
        <v>90280510</v>
      </c>
      <c r="Y3696" s="40" t="s">
        <v>115</v>
      </c>
      <c r="Z3696" s="40" t="s">
        <v>115</v>
      </c>
      <c r="AA3696" s="40" t="s">
        <v>115</v>
      </c>
      <c r="AB3696" s="40" t="s">
        <v>115</v>
      </c>
      <c r="AC3696" s="40" t="s">
        <v>115</v>
      </c>
      <c r="AI3696" s="40" t="s">
        <v>115</v>
      </c>
      <c r="AP3696" s="4" t="s">
        <v>115</v>
      </c>
    </row>
    <row r="3697" spans="1:42" x14ac:dyDescent="0.15">
      <c r="A3697" s="40" t="s">
        <v>1</v>
      </c>
      <c r="B3697" s="23">
        <v>90280510</v>
      </c>
      <c r="C3697" s="23">
        <v>2805</v>
      </c>
      <c r="D3697" s="23">
        <v>28</v>
      </c>
      <c r="F3697" s="23" t="s">
        <v>116</v>
      </c>
      <c r="G3697" s="23" t="s">
        <v>115</v>
      </c>
      <c r="H3697" s="23" t="s">
        <v>6434</v>
      </c>
      <c r="I3697" s="23">
        <v>0</v>
      </c>
      <c r="J3697" s="40">
        <v>0</v>
      </c>
      <c r="K3697" s="40">
        <v>0</v>
      </c>
      <c r="L3697" s="40" t="s">
        <v>115</v>
      </c>
      <c r="O3697" s="40" t="s">
        <v>115</v>
      </c>
      <c r="Q3697" s="40">
        <v>34</v>
      </c>
      <c r="R3697" s="40">
        <v>243</v>
      </c>
      <c r="X3697" s="40">
        <v>90280511</v>
      </c>
      <c r="Y3697" s="40" t="s">
        <v>115</v>
      </c>
      <c r="Z3697" s="40" t="s">
        <v>115</v>
      </c>
      <c r="AA3697" s="40" t="s">
        <v>115</v>
      </c>
      <c r="AB3697" s="40" t="s">
        <v>115</v>
      </c>
      <c r="AC3697" s="40" t="s">
        <v>115</v>
      </c>
      <c r="AI3697" s="40" t="s">
        <v>115</v>
      </c>
      <c r="AP3697" s="4" t="s">
        <v>115</v>
      </c>
    </row>
    <row r="3698" spans="1:42" x14ac:dyDescent="0.15">
      <c r="A3698" s="40" t="s">
        <v>1</v>
      </c>
      <c r="B3698" s="23">
        <v>90280511</v>
      </c>
      <c r="C3698" s="23">
        <v>2805</v>
      </c>
      <c r="D3698" s="23">
        <v>28</v>
      </c>
      <c r="F3698" s="23" t="s">
        <v>322</v>
      </c>
      <c r="G3698" s="23" t="s">
        <v>115</v>
      </c>
      <c r="H3698" s="23" t="s">
        <v>7263</v>
      </c>
      <c r="I3698" s="23">
        <v>3</v>
      </c>
      <c r="J3698" s="40">
        <v>0</v>
      </c>
      <c r="K3698" s="40">
        <v>0</v>
      </c>
      <c r="L3698" s="40" t="s">
        <v>115</v>
      </c>
      <c r="O3698" s="40" t="s">
        <v>115</v>
      </c>
      <c r="Q3698" s="40">
        <v>34</v>
      </c>
      <c r="R3698" s="40">
        <v>243</v>
      </c>
      <c r="X3698" s="40">
        <v>90280512</v>
      </c>
      <c r="Y3698" s="40" t="s">
        <v>115</v>
      </c>
      <c r="Z3698" s="40" t="s">
        <v>115</v>
      </c>
      <c r="AA3698" s="40" t="s">
        <v>115</v>
      </c>
      <c r="AB3698" s="40" t="s">
        <v>115</v>
      </c>
      <c r="AC3698" s="40" t="s">
        <v>115</v>
      </c>
      <c r="AI3698" s="40" t="s">
        <v>115</v>
      </c>
      <c r="AP3698" s="4" t="s">
        <v>115</v>
      </c>
    </row>
    <row r="3699" spans="1:42" x14ac:dyDescent="0.15">
      <c r="A3699" s="40" t="s">
        <v>1</v>
      </c>
      <c r="B3699" s="23">
        <v>90280512</v>
      </c>
      <c r="C3699" s="23">
        <v>2805</v>
      </c>
      <c r="D3699" s="23">
        <v>28</v>
      </c>
      <c r="F3699" s="23" t="s">
        <v>322</v>
      </c>
      <c r="G3699" s="23" t="s">
        <v>115</v>
      </c>
      <c r="H3699" s="23" t="s">
        <v>7264</v>
      </c>
      <c r="I3699" s="23">
        <v>3</v>
      </c>
      <c r="J3699" s="40">
        <v>0</v>
      </c>
      <c r="K3699" s="40">
        <v>0</v>
      </c>
      <c r="L3699" s="40" t="s">
        <v>115</v>
      </c>
      <c r="O3699" s="40" t="s">
        <v>115</v>
      </c>
      <c r="Q3699" s="40">
        <v>34</v>
      </c>
      <c r="R3699" s="40">
        <v>243</v>
      </c>
      <c r="X3699" s="40">
        <v>90280513</v>
      </c>
      <c r="Y3699" s="40" t="s">
        <v>115</v>
      </c>
      <c r="Z3699" s="40" t="s">
        <v>115</v>
      </c>
      <c r="AA3699" s="40" t="s">
        <v>115</v>
      </c>
      <c r="AB3699" s="40" t="s">
        <v>115</v>
      </c>
      <c r="AC3699" s="40" t="s">
        <v>115</v>
      </c>
      <c r="AI3699" s="40" t="s">
        <v>115</v>
      </c>
      <c r="AP3699" s="4" t="s">
        <v>115</v>
      </c>
    </row>
    <row r="3700" spans="1:42" x14ac:dyDescent="0.15">
      <c r="A3700" s="40" t="s">
        <v>1</v>
      </c>
      <c r="B3700" s="23">
        <v>90280513</v>
      </c>
      <c r="C3700" s="23">
        <v>2805</v>
      </c>
      <c r="D3700" s="23">
        <v>28</v>
      </c>
      <c r="F3700" s="23" t="s">
        <v>322</v>
      </c>
      <c r="G3700" s="23" t="s">
        <v>115</v>
      </c>
      <c r="H3700" s="23" t="s">
        <v>7265</v>
      </c>
      <c r="I3700" s="23">
        <v>3</v>
      </c>
      <c r="J3700" s="40">
        <v>0</v>
      </c>
      <c r="K3700" s="40">
        <v>0</v>
      </c>
      <c r="L3700" s="40" t="s">
        <v>115</v>
      </c>
      <c r="O3700" s="40" t="s">
        <v>115</v>
      </c>
      <c r="Q3700" s="40">
        <v>34</v>
      </c>
      <c r="R3700" s="40">
        <v>243</v>
      </c>
      <c r="X3700" s="40">
        <v>90280514</v>
      </c>
      <c r="Y3700" s="40" t="s">
        <v>115</v>
      </c>
      <c r="Z3700" s="40" t="s">
        <v>115</v>
      </c>
      <c r="AA3700" s="40" t="s">
        <v>115</v>
      </c>
      <c r="AB3700" s="40" t="s">
        <v>115</v>
      </c>
      <c r="AC3700" s="40" t="s">
        <v>115</v>
      </c>
      <c r="AI3700" s="40" t="s">
        <v>115</v>
      </c>
      <c r="AP3700" s="4" t="s">
        <v>115</v>
      </c>
    </row>
    <row r="3701" spans="1:42" x14ac:dyDescent="0.15">
      <c r="A3701" s="40" t="s">
        <v>1</v>
      </c>
      <c r="B3701" s="23">
        <v>90280514</v>
      </c>
      <c r="C3701" s="23">
        <v>2805</v>
      </c>
      <c r="D3701" s="23">
        <v>28</v>
      </c>
      <c r="F3701" s="23" t="s">
        <v>322</v>
      </c>
      <c r="G3701" s="23" t="s">
        <v>115</v>
      </c>
      <c r="H3701" s="23" t="s">
        <v>7266</v>
      </c>
      <c r="I3701" s="23">
        <v>3</v>
      </c>
      <c r="J3701" s="40">
        <v>0</v>
      </c>
      <c r="K3701" s="40">
        <v>0</v>
      </c>
      <c r="L3701" s="40" t="s">
        <v>115</v>
      </c>
      <c r="O3701" s="40" t="s">
        <v>115</v>
      </c>
      <c r="Q3701" s="40">
        <v>34</v>
      </c>
      <c r="R3701" s="40">
        <v>243</v>
      </c>
      <c r="X3701" s="40">
        <v>90280515</v>
      </c>
      <c r="Y3701" s="40" t="s">
        <v>115</v>
      </c>
      <c r="Z3701" s="40" t="s">
        <v>115</v>
      </c>
      <c r="AA3701" s="40" t="s">
        <v>115</v>
      </c>
      <c r="AB3701" s="40" t="s">
        <v>115</v>
      </c>
      <c r="AC3701" s="40" t="s">
        <v>115</v>
      </c>
      <c r="AI3701" s="40" t="s">
        <v>115</v>
      </c>
      <c r="AP3701" s="4" t="s">
        <v>115</v>
      </c>
    </row>
    <row r="3702" spans="1:42" x14ac:dyDescent="0.15">
      <c r="A3702" s="40" t="s">
        <v>1</v>
      </c>
      <c r="B3702" s="23">
        <v>90280515</v>
      </c>
      <c r="C3702" s="23">
        <v>2805</v>
      </c>
      <c r="D3702" s="23">
        <v>28</v>
      </c>
      <c r="F3702" s="23" t="s">
        <v>116</v>
      </c>
      <c r="G3702" s="23" t="s">
        <v>115</v>
      </c>
      <c r="H3702" s="23" t="s">
        <v>6435</v>
      </c>
      <c r="I3702" s="23">
        <v>0</v>
      </c>
      <c r="J3702" s="40">
        <v>0</v>
      </c>
      <c r="K3702" s="40">
        <v>3</v>
      </c>
      <c r="L3702" s="40" t="s">
        <v>6436</v>
      </c>
      <c r="O3702" s="40">
        <v>1</v>
      </c>
      <c r="Q3702" s="40">
        <v>34</v>
      </c>
      <c r="R3702" s="40">
        <v>243</v>
      </c>
      <c r="X3702" s="40" t="s">
        <v>115</v>
      </c>
      <c r="Y3702" s="40" t="s">
        <v>115</v>
      </c>
      <c r="Z3702" s="40">
        <v>2</v>
      </c>
      <c r="AA3702" s="40" t="s">
        <v>115</v>
      </c>
      <c r="AB3702" s="40" t="s">
        <v>115</v>
      </c>
      <c r="AC3702" s="40" t="s">
        <v>115</v>
      </c>
      <c r="AI3702" s="40" t="s">
        <v>115</v>
      </c>
      <c r="AP3702" s="4" t="s">
        <v>115</v>
      </c>
    </row>
    <row r="3703" spans="1:42" x14ac:dyDescent="0.15">
      <c r="A3703" s="40" t="s">
        <v>1</v>
      </c>
      <c r="B3703" s="23" t="s">
        <v>4919</v>
      </c>
      <c r="C3703" s="23">
        <v>2806</v>
      </c>
      <c r="D3703" s="23">
        <v>28</v>
      </c>
      <c r="F3703" s="23" t="s">
        <v>115</v>
      </c>
      <c r="G3703" s="23" t="s">
        <v>115</v>
      </c>
      <c r="H3703" s="23" t="s">
        <v>6437</v>
      </c>
      <c r="I3703" s="23">
        <v>4</v>
      </c>
      <c r="J3703" s="40">
        <v>1</v>
      </c>
      <c r="K3703" s="40">
        <v>1</v>
      </c>
      <c r="L3703" s="40" t="s">
        <v>115</v>
      </c>
      <c r="O3703" s="40" t="s">
        <v>115</v>
      </c>
      <c r="Q3703" s="40">
        <v>201</v>
      </c>
      <c r="R3703" s="40" t="s">
        <v>115</v>
      </c>
      <c r="X3703" s="40">
        <v>90280602</v>
      </c>
      <c r="Y3703" s="40" t="s">
        <v>115</v>
      </c>
      <c r="Z3703" s="40" t="s">
        <v>115</v>
      </c>
      <c r="AA3703" s="40" t="s">
        <v>115</v>
      </c>
      <c r="AB3703" s="40" t="s">
        <v>115</v>
      </c>
      <c r="AC3703" s="40" t="s">
        <v>115</v>
      </c>
      <c r="AI3703" s="40" t="s">
        <v>115</v>
      </c>
      <c r="AP3703" s="4" t="s">
        <v>115</v>
      </c>
    </row>
    <row r="3704" spans="1:42" x14ac:dyDescent="0.15">
      <c r="A3704" s="40" t="s">
        <v>1</v>
      </c>
      <c r="B3704" s="23">
        <v>90280602</v>
      </c>
      <c r="C3704" s="23">
        <v>2806</v>
      </c>
      <c r="D3704" s="23">
        <v>28</v>
      </c>
      <c r="F3704" s="23" t="s">
        <v>115</v>
      </c>
      <c r="G3704" s="23" t="s">
        <v>115</v>
      </c>
      <c r="H3704" s="23" t="s">
        <v>6438</v>
      </c>
      <c r="I3704" s="23">
        <v>4</v>
      </c>
      <c r="J3704" s="40">
        <v>0</v>
      </c>
      <c r="K3704" s="40">
        <v>0</v>
      </c>
      <c r="L3704" s="40" t="s">
        <v>115</v>
      </c>
      <c r="O3704" s="40" t="s">
        <v>115</v>
      </c>
      <c r="Q3704" s="40">
        <v>201</v>
      </c>
      <c r="R3704" s="40" t="s">
        <v>115</v>
      </c>
      <c r="X3704" s="40">
        <v>90280603</v>
      </c>
      <c r="Y3704" s="40" t="s">
        <v>115</v>
      </c>
      <c r="Z3704" s="40" t="s">
        <v>115</v>
      </c>
      <c r="AA3704" s="40" t="s">
        <v>115</v>
      </c>
      <c r="AB3704" s="40" t="s">
        <v>115</v>
      </c>
      <c r="AC3704" s="40" t="s">
        <v>115</v>
      </c>
      <c r="AI3704" s="40" t="s">
        <v>115</v>
      </c>
      <c r="AP3704" s="4" t="s">
        <v>115</v>
      </c>
    </row>
    <row r="3705" spans="1:42" x14ac:dyDescent="0.15">
      <c r="A3705" s="40" t="s">
        <v>1</v>
      </c>
      <c r="B3705" s="23">
        <v>90280603</v>
      </c>
      <c r="C3705" s="23">
        <v>2806</v>
      </c>
      <c r="D3705" s="23">
        <v>28</v>
      </c>
      <c r="F3705" s="23" t="s">
        <v>115</v>
      </c>
      <c r="G3705" s="23" t="s">
        <v>115</v>
      </c>
      <c r="H3705" s="23" t="s">
        <v>6439</v>
      </c>
      <c r="I3705" s="23">
        <v>4</v>
      </c>
      <c r="J3705" s="40">
        <v>0</v>
      </c>
      <c r="K3705" s="40">
        <v>0</v>
      </c>
      <c r="L3705" s="40" t="s">
        <v>115</v>
      </c>
      <c r="O3705" s="40" t="s">
        <v>115</v>
      </c>
      <c r="Q3705" s="40">
        <v>201</v>
      </c>
      <c r="R3705" s="40">
        <v>301</v>
      </c>
      <c r="X3705" s="40">
        <v>90280604</v>
      </c>
      <c r="Y3705" s="40" t="s">
        <v>115</v>
      </c>
      <c r="Z3705" s="40" t="s">
        <v>115</v>
      </c>
      <c r="AA3705" s="40" t="s">
        <v>115</v>
      </c>
      <c r="AB3705" s="40" t="s">
        <v>115</v>
      </c>
      <c r="AC3705" s="40" t="s">
        <v>115</v>
      </c>
      <c r="AI3705" s="40" t="s">
        <v>115</v>
      </c>
      <c r="AP3705" s="4" t="s">
        <v>115</v>
      </c>
    </row>
    <row r="3706" spans="1:42" x14ac:dyDescent="0.15">
      <c r="A3706" s="40" t="s">
        <v>1</v>
      </c>
      <c r="B3706" s="23">
        <v>90280604</v>
      </c>
      <c r="C3706" s="23">
        <v>2806</v>
      </c>
      <c r="D3706" s="23">
        <v>28</v>
      </c>
      <c r="F3706" s="23" t="s">
        <v>115</v>
      </c>
      <c r="G3706" s="23" t="s">
        <v>115</v>
      </c>
      <c r="H3706" s="23" t="s">
        <v>6440</v>
      </c>
      <c r="I3706" s="23">
        <v>4</v>
      </c>
      <c r="J3706" s="40">
        <v>0</v>
      </c>
      <c r="K3706" s="40">
        <v>2</v>
      </c>
      <c r="L3706" s="40" t="s">
        <v>115</v>
      </c>
      <c r="O3706" s="40" t="s">
        <v>115</v>
      </c>
      <c r="Q3706" s="40">
        <v>201</v>
      </c>
      <c r="R3706" s="40">
        <v>301</v>
      </c>
      <c r="X3706" s="40" t="s">
        <v>6441</v>
      </c>
      <c r="Y3706" s="40">
        <v>1</v>
      </c>
      <c r="Z3706" s="40">
        <v>1</v>
      </c>
      <c r="AA3706" s="40" t="s">
        <v>115</v>
      </c>
      <c r="AB3706" s="40" t="s">
        <v>115</v>
      </c>
      <c r="AC3706" s="40" t="s">
        <v>115</v>
      </c>
      <c r="AI3706" s="40" t="s">
        <v>115</v>
      </c>
      <c r="AP3706" s="4" t="s">
        <v>115</v>
      </c>
    </row>
    <row r="3707" spans="1:42" x14ac:dyDescent="0.15">
      <c r="A3707" s="40" t="s">
        <v>1</v>
      </c>
      <c r="B3707" s="23">
        <v>90280605</v>
      </c>
      <c r="C3707" s="23">
        <v>2806</v>
      </c>
      <c r="D3707" s="23">
        <v>28</v>
      </c>
      <c r="F3707" s="23" t="s">
        <v>115</v>
      </c>
      <c r="G3707" s="23" t="s">
        <v>115</v>
      </c>
      <c r="H3707" s="23" t="s">
        <v>6442</v>
      </c>
      <c r="I3707" s="23">
        <v>4</v>
      </c>
      <c r="J3707" s="40">
        <v>0</v>
      </c>
      <c r="K3707" s="40">
        <v>3</v>
      </c>
      <c r="L3707" s="40" t="s">
        <v>115</v>
      </c>
      <c r="O3707" s="40" t="s">
        <v>115</v>
      </c>
      <c r="Q3707" s="40">
        <v>201</v>
      </c>
      <c r="R3707" s="40" t="s">
        <v>115</v>
      </c>
      <c r="X3707" s="40">
        <v>90280607</v>
      </c>
      <c r="Y3707" s="40">
        <v>-1</v>
      </c>
      <c r="Z3707" s="40">
        <v>2</v>
      </c>
      <c r="AA3707" s="40" t="s">
        <v>115</v>
      </c>
      <c r="AB3707" s="40" t="s">
        <v>115</v>
      </c>
      <c r="AC3707" s="40" t="s">
        <v>115</v>
      </c>
      <c r="AI3707" s="40" t="s">
        <v>115</v>
      </c>
      <c r="AP3707" s="4" t="s">
        <v>115</v>
      </c>
    </row>
    <row r="3708" spans="1:42" x14ac:dyDescent="0.15">
      <c r="A3708" s="40" t="s">
        <v>1</v>
      </c>
      <c r="B3708" s="23">
        <v>90280606</v>
      </c>
      <c r="C3708" s="23">
        <v>2806</v>
      </c>
      <c r="D3708" s="23">
        <v>28</v>
      </c>
      <c r="F3708" s="23" t="s">
        <v>115</v>
      </c>
      <c r="G3708" s="23" t="s">
        <v>115</v>
      </c>
      <c r="H3708" s="23" t="s">
        <v>6443</v>
      </c>
      <c r="I3708" s="23">
        <v>4</v>
      </c>
      <c r="J3708" s="40">
        <v>0</v>
      </c>
      <c r="K3708" s="40">
        <v>4</v>
      </c>
      <c r="L3708" s="40" t="s">
        <v>115</v>
      </c>
      <c r="O3708" s="40" t="s">
        <v>115</v>
      </c>
      <c r="Q3708" s="40">
        <v>201</v>
      </c>
      <c r="R3708" s="40" t="s">
        <v>115</v>
      </c>
      <c r="X3708" s="40">
        <v>90280613</v>
      </c>
      <c r="Y3708" s="40">
        <v>-1</v>
      </c>
      <c r="Z3708" s="40">
        <v>2</v>
      </c>
      <c r="AA3708" s="40" t="s">
        <v>6444</v>
      </c>
      <c r="AB3708" s="40" t="s">
        <v>115</v>
      </c>
      <c r="AC3708" s="40" t="s">
        <v>115</v>
      </c>
      <c r="AI3708" s="40" t="s">
        <v>115</v>
      </c>
      <c r="AP3708" s="4" t="s">
        <v>115</v>
      </c>
    </row>
    <row r="3709" spans="1:42" x14ac:dyDescent="0.15">
      <c r="A3709" s="40" t="s">
        <v>1</v>
      </c>
      <c r="B3709" s="23">
        <v>90280607</v>
      </c>
      <c r="C3709" s="23">
        <v>2806</v>
      </c>
      <c r="D3709" s="23">
        <v>28</v>
      </c>
      <c r="F3709" s="23" t="s">
        <v>116</v>
      </c>
      <c r="G3709" s="23">
        <v>312</v>
      </c>
      <c r="H3709" s="23" t="s">
        <v>6445</v>
      </c>
      <c r="I3709" s="23">
        <v>0</v>
      </c>
      <c r="J3709" s="40">
        <v>0</v>
      </c>
      <c r="K3709" s="40">
        <v>0</v>
      </c>
      <c r="L3709" s="40" t="s">
        <v>115</v>
      </c>
      <c r="O3709" s="40" t="s">
        <v>115</v>
      </c>
      <c r="Q3709" s="40">
        <v>201</v>
      </c>
      <c r="R3709" s="40" t="s">
        <v>115</v>
      </c>
      <c r="X3709" s="40">
        <v>90280608</v>
      </c>
      <c r="Y3709" s="40" t="s">
        <v>115</v>
      </c>
      <c r="Z3709" s="40" t="s">
        <v>115</v>
      </c>
      <c r="AA3709" s="40" t="s">
        <v>115</v>
      </c>
      <c r="AB3709" s="40" t="s">
        <v>115</v>
      </c>
      <c r="AC3709" s="40" t="s">
        <v>115</v>
      </c>
      <c r="AI3709" s="40" t="s">
        <v>115</v>
      </c>
      <c r="AP3709" s="4" t="s">
        <v>115</v>
      </c>
    </row>
    <row r="3710" spans="1:42" x14ac:dyDescent="0.15">
      <c r="A3710" s="40" t="s">
        <v>1</v>
      </c>
      <c r="B3710" s="23">
        <v>90280608</v>
      </c>
      <c r="C3710" s="23">
        <v>2806</v>
      </c>
      <c r="D3710" s="23">
        <v>28</v>
      </c>
      <c r="F3710" s="23" t="s">
        <v>6446</v>
      </c>
      <c r="G3710" s="23" t="s">
        <v>115</v>
      </c>
      <c r="H3710" s="23" t="s">
        <v>6447</v>
      </c>
      <c r="I3710" s="23">
        <v>3</v>
      </c>
      <c r="J3710" s="40">
        <v>0</v>
      </c>
      <c r="K3710" s="40">
        <v>0</v>
      </c>
      <c r="L3710" s="40" t="s">
        <v>115</v>
      </c>
      <c r="O3710" s="40" t="s">
        <v>115</v>
      </c>
      <c r="Q3710" s="40">
        <v>201</v>
      </c>
      <c r="R3710" s="40">
        <v>301</v>
      </c>
      <c r="X3710" s="40">
        <v>90280609</v>
      </c>
      <c r="Y3710" s="40" t="s">
        <v>115</v>
      </c>
      <c r="Z3710" s="40" t="s">
        <v>115</v>
      </c>
      <c r="AA3710" s="40" t="s">
        <v>115</v>
      </c>
      <c r="AB3710" s="40" t="s">
        <v>115</v>
      </c>
      <c r="AC3710" s="40" t="s">
        <v>115</v>
      </c>
      <c r="AI3710" s="40" t="s">
        <v>115</v>
      </c>
      <c r="AP3710" s="4" t="s">
        <v>115</v>
      </c>
    </row>
    <row r="3711" spans="1:42" x14ac:dyDescent="0.15">
      <c r="A3711" s="40" t="s">
        <v>1</v>
      </c>
      <c r="B3711" s="23">
        <v>90280609</v>
      </c>
      <c r="C3711" s="23">
        <v>2806</v>
      </c>
      <c r="D3711" s="23">
        <v>28</v>
      </c>
      <c r="F3711" s="23" t="s">
        <v>6446</v>
      </c>
      <c r="G3711" s="23" t="s">
        <v>115</v>
      </c>
      <c r="H3711" s="23" t="s">
        <v>6448</v>
      </c>
      <c r="I3711" s="23">
        <v>3</v>
      </c>
      <c r="J3711" s="40">
        <v>0</v>
      </c>
      <c r="K3711" s="40">
        <v>0</v>
      </c>
      <c r="L3711" s="40" t="s">
        <v>115</v>
      </c>
      <c r="O3711" s="40" t="s">
        <v>115</v>
      </c>
      <c r="Q3711" s="40">
        <v>201</v>
      </c>
      <c r="R3711" s="40">
        <v>301</v>
      </c>
      <c r="X3711" s="40">
        <v>90280610</v>
      </c>
      <c r="Y3711" s="40" t="s">
        <v>115</v>
      </c>
      <c r="Z3711" s="40" t="s">
        <v>115</v>
      </c>
      <c r="AA3711" s="40" t="s">
        <v>115</v>
      </c>
      <c r="AB3711" s="40" t="s">
        <v>115</v>
      </c>
      <c r="AC3711" s="40" t="s">
        <v>115</v>
      </c>
      <c r="AI3711" s="40" t="s">
        <v>115</v>
      </c>
      <c r="AP3711" s="4" t="s">
        <v>115</v>
      </c>
    </row>
    <row r="3712" spans="1:42" x14ac:dyDescent="0.15">
      <c r="A3712" s="40" t="s">
        <v>1</v>
      </c>
      <c r="B3712" s="23">
        <v>90280610</v>
      </c>
      <c r="C3712" s="23">
        <v>2806</v>
      </c>
      <c r="D3712" s="23">
        <v>28</v>
      </c>
      <c r="F3712" s="23" t="s">
        <v>115</v>
      </c>
      <c r="G3712" s="23" t="s">
        <v>115</v>
      </c>
      <c r="H3712" s="23" t="s">
        <v>6449</v>
      </c>
      <c r="I3712" s="23">
        <v>4</v>
      </c>
      <c r="J3712" s="40">
        <v>0</v>
      </c>
      <c r="K3712" s="40">
        <v>0</v>
      </c>
      <c r="L3712" s="40" t="s">
        <v>115</v>
      </c>
      <c r="O3712" s="40" t="s">
        <v>115</v>
      </c>
      <c r="Q3712" s="40">
        <v>201</v>
      </c>
      <c r="R3712" s="40" t="s">
        <v>115</v>
      </c>
      <c r="X3712" s="40">
        <v>90280611</v>
      </c>
      <c r="Y3712" s="40" t="s">
        <v>115</v>
      </c>
      <c r="Z3712" s="40" t="s">
        <v>115</v>
      </c>
      <c r="AA3712" s="40" t="s">
        <v>115</v>
      </c>
      <c r="AB3712" s="40" t="s">
        <v>115</v>
      </c>
      <c r="AC3712" s="40" t="s">
        <v>115</v>
      </c>
      <c r="AI3712" s="40" t="s">
        <v>115</v>
      </c>
      <c r="AP3712" s="4" t="s">
        <v>115</v>
      </c>
    </row>
    <row r="3713" spans="1:42" x14ac:dyDescent="0.15">
      <c r="A3713" s="40" t="s">
        <v>1</v>
      </c>
      <c r="B3713" s="23">
        <v>90280611</v>
      </c>
      <c r="C3713" s="23">
        <v>2806</v>
      </c>
      <c r="D3713" s="23">
        <v>28</v>
      </c>
      <c r="F3713" s="23" t="s">
        <v>115</v>
      </c>
      <c r="G3713" s="23" t="s">
        <v>115</v>
      </c>
      <c r="H3713" s="23" t="s">
        <v>6450</v>
      </c>
      <c r="I3713" s="23">
        <v>4</v>
      </c>
      <c r="J3713" s="40">
        <v>0</v>
      </c>
      <c r="K3713" s="40">
        <v>0</v>
      </c>
      <c r="L3713" s="40" t="s">
        <v>115</v>
      </c>
      <c r="O3713" s="40" t="s">
        <v>115</v>
      </c>
      <c r="Q3713" s="40">
        <v>201</v>
      </c>
      <c r="R3713" s="40">
        <v>252</v>
      </c>
      <c r="X3713" s="40">
        <v>90280612</v>
      </c>
      <c r="Y3713" s="40" t="s">
        <v>115</v>
      </c>
      <c r="Z3713" s="40" t="s">
        <v>115</v>
      </c>
      <c r="AA3713" s="40" t="s">
        <v>115</v>
      </c>
      <c r="AB3713" s="40" t="s">
        <v>115</v>
      </c>
      <c r="AC3713" s="40" t="s">
        <v>115</v>
      </c>
      <c r="AI3713" s="40" t="s">
        <v>115</v>
      </c>
      <c r="AP3713" s="4" t="s">
        <v>115</v>
      </c>
    </row>
    <row r="3714" spans="1:42" x14ac:dyDescent="0.15">
      <c r="A3714" s="40" t="s">
        <v>1</v>
      </c>
      <c r="B3714" s="23">
        <v>90280612</v>
      </c>
      <c r="C3714" s="23">
        <v>2806</v>
      </c>
      <c r="D3714" s="23">
        <v>28</v>
      </c>
      <c r="F3714" s="23" t="s">
        <v>116</v>
      </c>
      <c r="G3714" s="23">
        <v>314</v>
      </c>
      <c r="H3714" s="23" t="s">
        <v>6451</v>
      </c>
      <c r="I3714" s="23">
        <v>2</v>
      </c>
      <c r="J3714" s="40">
        <v>0</v>
      </c>
      <c r="K3714" s="40">
        <v>0</v>
      </c>
      <c r="L3714" s="40" t="s">
        <v>115</v>
      </c>
      <c r="O3714" s="40" t="s">
        <v>115</v>
      </c>
      <c r="Q3714" s="40">
        <v>201</v>
      </c>
      <c r="R3714" s="40" t="s">
        <v>115</v>
      </c>
      <c r="X3714" s="40">
        <v>90280604</v>
      </c>
      <c r="Y3714" s="40" t="s">
        <v>115</v>
      </c>
      <c r="Z3714" s="40" t="s">
        <v>115</v>
      </c>
      <c r="AA3714" s="40" t="s">
        <v>115</v>
      </c>
      <c r="AB3714" s="40" t="s">
        <v>115</v>
      </c>
      <c r="AC3714" s="40" t="s">
        <v>115</v>
      </c>
      <c r="AI3714" s="40" t="s">
        <v>115</v>
      </c>
      <c r="AP3714" s="4" t="s">
        <v>115</v>
      </c>
    </row>
    <row r="3715" spans="1:42" x14ac:dyDescent="0.15">
      <c r="A3715" s="40" t="s">
        <v>1</v>
      </c>
      <c r="B3715" s="23">
        <v>90280613</v>
      </c>
      <c r="C3715" s="23">
        <v>2806</v>
      </c>
      <c r="D3715" s="23">
        <v>28</v>
      </c>
      <c r="F3715" s="23" t="s">
        <v>115</v>
      </c>
      <c r="G3715" s="23" t="s">
        <v>115</v>
      </c>
      <c r="H3715" s="23" t="s">
        <v>7267</v>
      </c>
      <c r="I3715" s="23">
        <v>4</v>
      </c>
      <c r="J3715" s="40">
        <v>0</v>
      </c>
      <c r="K3715" s="40">
        <v>0</v>
      </c>
      <c r="L3715" s="40" t="s">
        <v>115</v>
      </c>
      <c r="O3715" s="40" t="s">
        <v>115</v>
      </c>
      <c r="Q3715" s="40">
        <v>201</v>
      </c>
      <c r="R3715" s="40" t="s">
        <v>115</v>
      </c>
      <c r="X3715" s="40">
        <v>90280614</v>
      </c>
      <c r="Y3715" s="40" t="s">
        <v>115</v>
      </c>
      <c r="Z3715" s="40" t="s">
        <v>115</v>
      </c>
      <c r="AA3715" s="40" t="s">
        <v>115</v>
      </c>
      <c r="AB3715" s="40" t="s">
        <v>115</v>
      </c>
      <c r="AC3715" s="40" t="s">
        <v>115</v>
      </c>
      <c r="AI3715" s="40" t="s">
        <v>115</v>
      </c>
      <c r="AP3715" s="4" t="s">
        <v>115</v>
      </c>
    </row>
    <row r="3716" spans="1:42" x14ac:dyDescent="0.15">
      <c r="A3716" s="40" t="s">
        <v>1</v>
      </c>
      <c r="B3716" s="23">
        <v>90280614</v>
      </c>
      <c r="C3716" s="23">
        <v>2806</v>
      </c>
      <c r="D3716" s="23">
        <v>28</v>
      </c>
      <c r="F3716" s="23" t="s">
        <v>116</v>
      </c>
      <c r="G3716" s="23">
        <v>312</v>
      </c>
      <c r="H3716" s="23" t="s">
        <v>6452</v>
      </c>
      <c r="I3716" s="23">
        <v>0</v>
      </c>
      <c r="J3716" s="40">
        <v>0</v>
      </c>
      <c r="K3716" s="40">
        <v>0</v>
      </c>
      <c r="L3716" s="40" t="s">
        <v>115</v>
      </c>
      <c r="O3716" s="40" t="s">
        <v>115</v>
      </c>
      <c r="Q3716" s="40">
        <v>201</v>
      </c>
      <c r="R3716" s="40" t="s">
        <v>115</v>
      </c>
      <c r="X3716" s="40">
        <v>90280615</v>
      </c>
      <c r="Y3716" s="40" t="s">
        <v>115</v>
      </c>
      <c r="Z3716" s="40" t="s">
        <v>115</v>
      </c>
      <c r="AA3716" s="40" t="s">
        <v>115</v>
      </c>
      <c r="AB3716" s="40" t="s">
        <v>115</v>
      </c>
      <c r="AC3716" s="40" t="s">
        <v>115</v>
      </c>
      <c r="AI3716" s="40" t="s">
        <v>115</v>
      </c>
      <c r="AP3716" s="4" t="s">
        <v>115</v>
      </c>
    </row>
    <row r="3717" spans="1:42" x14ac:dyDescent="0.15">
      <c r="A3717" s="40" t="s">
        <v>1</v>
      </c>
      <c r="B3717" s="23">
        <v>90280615</v>
      </c>
      <c r="C3717" s="23">
        <v>2806</v>
      </c>
      <c r="D3717" s="23">
        <v>28</v>
      </c>
      <c r="F3717" s="23" t="s">
        <v>115</v>
      </c>
      <c r="G3717" s="23" t="s">
        <v>115</v>
      </c>
      <c r="H3717" s="23" t="s">
        <v>7268</v>
      </c>
      <c r="I3717" s="23">
        <v>4</v>
      </c>
      <c r="J3717" s="40">
        <v>0</v>
      </c>
      <c r="K3717" s="40">
        <v>0</v>
      </c>
      <c r="L3717" s="40" t="s">
        <v>115</v>
      </c>
      <c r="O3717" s="40" t="s">
        <v>115</v>
      </c>
      <c r="Q3717" s="40">
        <v>201</v>
      </c>
      <c r="R3717" s="40">
        <v>301</v>
      </c>
      <c r="X3717" s="40">
        <v>90280616</v>
      </c>
      <c r="Y3717" s="40" t="s">
        <v>115</v>
      </c>
      <c r="Z3717" s="40" t="s">
        <v>115</v>
      </c>
      <c r="AA3717" s="40" t="s">
        <v>115</v>
      </c>
      <c r="AB3717" s="40" t="s">
        <v>115</v>
      </c>
      <c r="AC3717" s="40" t="s">
        <v>115</v>
      </c>
      <c r="AI3717" s="40" t="s">
        <v>115</v>
      </c>
      <c r="AP3717" s="4" t="s">
        <v>115</v>
      </c>
    </row>
    <row r="3718" spans="1:42" x14ac:dyDescent="0.15">
      <c r="A3718" s="40" t="s">
        <v>1</v>
      </c>
      <c r="B3718" s="23">
        <v>90280616</v>
      </c>
      <c r="C3718" s="23">
        <v>2806</v>
      </c>
      <c r="D3718" s="23">
        <v>28</v>
      </c>
      <c r="F3718" s="23" t="s">
        <v>6446</v>
      </c>
      <c r="G3718" s="23" t="s">
        <v>115</v>
      </c>
      <c r="H3718" s="23" t="s">
        <v>7269</v>
      </c>
      <c r="I3718" s="23">
        <v>3</v>
      </c>
      <c r="J3718" s="40">
        <v>0</v>
      </c>
      <c r="K3718" s="40">
        <v>0</v>
      </c>
      <c r="L3718" s="40" t="s">
        <v>115</v>
      </c>
      <c r="O3718" s="40" t="s">
        <v>115</v>
      </c>
      <c r="Q3718" s="40">
        <v>201</v>
      </c>
      <c r="R3718" s="40">
        <v>301</v>
      </c>
      <c r="X3718" s="40">
        <v>90280617</v>
      </c>
      <c r="Y3718" s="40" t="s">
        <v>115</v>
      </c>
      <c r="Z3718" s="40" t="s">
        <v>115</v>
      </c>
      <c r="AA3718" s="40" t="s">
        <v>115</v>
      </c>
      <c r="AB3718" s="40" t="s">
        <v>115</v>
      </c>
      <c r="AC3718" s="40" t="s">
        <v>115</v>
      </c>
      <c r="AI3718" s="40" t="s">
        <v>115</v>
      </c>
      <c r="AP3718" s="4" t="s">
        <v>115</v>
      </c>
    </row>
    <row r="3719" spans="1:42" x14ac:dyDescent="0.15">
      <c r="A3719" s="40" t="s">
        <v>1</v>
      </c>
      <c r="B3719" s="23">
        <v>90280617</v>
      </c>
      <c r="C3719" s="23">
        <v>2806</v>
      </c>
      <c r="D3719" s="23">
        <v>28</v>
      </c>
      <c r="F3719" s="23" t="s">
        <v>116</v>
      </c>
      <c r="G3719" s="23">
        <v>312</v>
      </c>
      <c r="H3719" s="23" t="s">
        <v>6453</v>
      </c>
      <c r="I3719" s="23">
        <v>0</v>
      </c>
      <c r="J3719" s="40">
        <v>0</v>
      </c>
      <c r="K3719" s="40">
        <v>0</v>
      </c>
      <c r="L3719" s="40" t="s">
        <v>115</v>
      </c>
      <c r="O3719" s="40" t="s">
        <v>115</v>
      </c>
      <c r="Q3719" s="40">
        <v>201</v>
      </c>
      <c r="R3719" s="40">
        <v>301</v>
      </c>
      <c r="X3719" s="40">
        <v>90280618</v>
      </c>
      <c r="Y3719" s="40" t="s">
        <v>115</v>
      </c>
      <c r="Z3719" s="40" t="s">
        <v>115</v>
      </c>
      <c r="AA3719" s="40" t="s">
        <v>115</v>
      </c>
      <c r="AB3719" s="40" t="s">
        <v>115</v>
      </c>
      <c r="AC3719" s="40" t="s">
        <v>115</v>
      </c>
      <c r="AI3719" s="40" t="s">
        <v>115</v>
      </c>
      <c r="AP3719" s="4" t="s">
        <v>115</v>
      </c>
    </row>
    <row r="3720" spans="1:42" x14ac:dyDescent="0.15">
      <c r="A3720" s="40" t="s">
        <v>1</v>
      </c>
      <c r="B3720" s="23">
        <v>90280618</v>
      </c>
      <c r="C3720" s="23">
        <v>2806</v>
      </c>
      <c r="D3720" s="23">
        <v>28</v>
      </c>
      <c r="F3720" s="23" t="s">
        <v>6446</v>
      </c>
      <c r="G3720" s="23" t="s">
        <v>115</v>
      </c>
      <c r="H3720" s="23" t="s">
        <v>7270</v>
      </c>
      <c r="I3720" s="23">
        <v>3</v>
      </c>
      <c r="J3720" s="40">
        <v>0</v>
      </c>
      <c r="K3720" s="40">
        <v>0</v>
      </c>
      <c r="L3720" s="40" t="s">
        <v>115</v>
      </c>
      <c r="O3720" s="40" t="s">
        <v>115</v>
      </c>
      <c r="Q3720" s="40">
        <v>201</v>
      </c>
      <c r="R3720" s="40">
        <v>301</v>
      </c>
      <c r="X3720" s="40">
        <v>90280619</v>
      </c>
      <c r="Y3720" s="40" t="s">
        <v>115</v>
      </c>
      <c r="Z3720" s="40" t="s">
        <v>115</v>
      </c>
      <c r="AA3720" s="40" t="s">
        <v>115</v>
      </c>
      <c r="AB3720" s="40" t="s">
        <v>115</v>
      </c>
      <c r="AC3720" s="40" t="s">
        <v>115</v>
      </c>
      <c r="AI3720" s="40" t="s">
        <v>115</v>
      </c>
      <c r="AP3720" s="4" t="s">
        <v>115</v>
      </c>
    </row>
    <row r="3721" spans="1:42" x14ac:dyDescent="0.15">
      <c r="A3721" s="40" t="s">
        <v>1</v>
      </c>
      <c r="B3721" s="23">
        <v>90280619</v>
      </c>
      <c r="C3721" s="23">
        <v>2806</v>
      </c>
      <c r="D3721" s="23">
        <v>28</v>
      </c>
      <c r="F3721" s="23" t="s">
        <v>116</v>
      </c>
      <c r="G3721" s="23">
        <v>314</v>
      </c>
      <c r="H3721" s="23" t="s">
        <v>7271</v>
      </c>
      <c r="I3721" s="23">
        <v>0</v>
      </c>
      <c r="J3721" s="40">
        <v>0</v>
      </c>
      <c r="K3721" s="40">
        <v>0</v>
      </c>
      <c r="L3721" s="40" t="s">
        <v>115</v>
      </c>
      <c r="O3721" s="40" t="s">
        <v>115</v>
      </c>
      <c r="Q3721" s="40">
        <v>201</v>
      </c>
      <c r="R3721" s="40">
        <v>301</v>
      </c>
      <c r="X3721" s="40">
        <v>90280620</v>
      </c>
      <c r="Y3721" s="40" t="s">
        <v>115</v>
      </c>
      <c r="Z3721" s="40" t="s">
        <v>115</v>
      </c>
      <c r="AA3721" s="40" t="s">
        <v>115</v>
      </c>
      <c r="AB3721" s="40" t="s">
        <v>115</v>
      </c>
      <c r="AC3721" s="40" t="s">
        <v>115</v>
      </c>
      <c r="AI3721" s="40" t="s">
        <v>115</v>
      </c>
      <c r="AP3721" s="4" t="s">
        <v>115</v>
      </c>
    </row>
    <row r="3722" spans="1:42" x14ac:dyDescent="0.15">
      <c r="A3722" s="40" t="s">
        <v>1</v>
      </c>
      <c r="B3722" s="23">
        <v>90280620</v>
      </c>
      <c r="C3722" s="23">
        <v>2806</v>
      </c>
      <c r="D3722" s="23">
        <v>28</v>
      </c>
      <c r="F3722" s="23" t="s">
        <v>6446</v>
      </c>
      <c r="G3722" s="23" t="s">
        <v>115</v>
      </c>
      <c r="H3722" s="23" t="s">
        <v>6454</v>
      </c>
      <c r="I3722" s="23">
        <v>3</v>
      </c>
      <c r="J3722" s="40">
        <v>0</v>
      </c>
      <c r="K3722" s="40">
        <v>0</v>
      </c>
      <c r="L3722" s="40" t="s">
        <v>115</v>
      </c>
      <c r="O3722" s="40" t="s">
        <v>115</v>
      </c>
      <c r="Q3722" s="40">
        <v>201</v>
      </c>
      <c r="R3722" s="40">
        <v>301</v>
      </c>
      <c r="X3722" s="40">
        <v>90280621</v>
      </c>
      <c r="Y3722" s="40" t="s">
        <v>115</v>
      </c>
      <c r="Z3722" s="40" t="s">
        <v>115</v>
      </c>
      <c r="AA3722" s="40" t="s">
        <v>115</v>
      </c>
      <c r="AB3722" s="40" t="s">
        <v>115</v>
      </c>
      <c r="AC3722" s="40" t="s">
        <v>115</v>
      </c>
      <c r="AI3722" s="40" t="s">
        <v>115</v>
      </c>
      <c r="AP3722" s="4" t="s">
        <v>115</v>
      </c>
    </row>
    <row r="3723" spans="1:42" x14ac:dyDescent="0.15">
      <c r="A3723" s="40" t="s">
        <v>1</v>
      </c>
      <c r="B3723" s="23">
        <v>90280621</v>
      </c>
      <c r="C3723" s="23">
        <v>2806</v>
      </c>
      <c r="D3723" s="23">
        <v>28</v>
      </c>
      <c r="F3723" s="23" t="s">
        <v>115</v>
      </c>
      <c r="G3723" s="23" t="s">
        <v>115</v>
      </c>
      <c r="H3723" s="23" t="s">
        <v>7272</v>
      </c>
      <c r="I3723" s="23">
        <v>4</v>
      </c>
      <c r="J3723" s="40">
        <v>0</v>
      </c>
      <c r="K3723" s="40">
        <v>0</v>
      </c>
      <c r="L3723" s="40" t="s">
        <v>115</v>
      </c>
      <c r="O3723" s="40" t="s">
        <v>115</v>
      </c>
      <c r="Q3723" s="40">
        <v>201</v>
      </c>
      <c r="R3723" s="40">
        <v>301</v>
      </c>
      <c r="X3723" s="40">
        <v>90280622</v>
      </c>
      <c r="Y3723" s="40" t="s">
        <v>115</v>
      </c>
      <c r="Z3723" s="40" t="s">
        <v>115</v>
      </c>
      <c r="AA3723" s="40" t="s">
        <v>115</v>
      </c>
      <c r="AB3723" s="40" t="s">
        <v>115</v>
      </c>
      <c r="AC3723" s="40" t="s">
        <v>115</v>
      </c>
      <c r="AI3723" s="40" t="s">
        <v>115</v>
      </c>
      <c r="AP3723" s="4" t="s">
        <v>115</v>
      </c>
    </row>
    <row r="3724" spans="1:42" x14ac:dyDescent="0.15">
      <c r="A3724" s="40" t="s">
        <v>1</v>
      </c>
      <c r="B3724" s="23">
        <v>90280622</v>
      </c>
      <c r="C3724" s="23">
        <v>2806</v>
      </c>
      <c r="D3724" s="23">
        <v>28</v>
      </c>
      <c r="F3724" s="23" t="s">
        <v>116</v>
      </c>
      <c r="G3724" s="23">
        <v>312</v>
      </c>
      <c r="H3724" s="23" t="s">
        <v>7273</v>
      </c>
      <c r="I3724" s="23">
        <v>0</v>
      </c>
      <c r="J3724" s="40">
        <v>0</v>
      </c>
      <c r="K3724" s="40">
        <v>0</v>
      </c>
      <c r="L3724" s="40" t="s">
        <v>115</v>
      </c>
      <c r="O3724" s="40" t="s">
        <v>115</v>
      </c>
      <c r="Q3724" s="40">
        <v>201</v>
      </c>
      <c r="R3724" s="40">
        <v>301</v>
      </c>
      <c r="X3724" s="40">
        <v>90280623</v>
      </c>
      <c r="Y3724" s="40" t="s">
        <v>115</v>
      </c>
      <c r="Z3724" s="40" t="s">
        <v>115</v>
      </c>
      <c r="AA3724" s="40" t="s">
        <v>115</v>
      </c>
      <c r="AB3724" s="40" t="s">
        <v>115</v>
      </c>
      <c r="AC3724" s="40" t="s">
        <v>115</v>
      </c>
      <c r="AI3724" s="40" t="s">
        <v>115</v>
      </c>
      <c r="AP3724" s="4" t="s">
        <v>115</v>
      </c>
    </row>
    <row r="3725" spans="1:42" x14ac:dyDescent="0.15">
      <c r="A3725" s="40" t="s">
        <v>1</v>
      </c>
      <c r="B3725" s="23">
        <v>90280623</v>
      </c>
      <c r="C3725" s="23">
        <v>2806</v>
      </c>
      <c r="D3725" s="23">
        <v>28</v>
      </c>
      <c r="F3725" s="23" t="s">
        <v>116</v>
      </c>
      <c r="G3725" s="23">
        <v>312</v>
      </c>
      <c r="H3725" s="23" t="s">
        <v>7274</v>
      </c>
      <c r="I3725" s="23">
        <v>0</v>
      </c>
      <c r="J3725" s="40">
        <v>0</v>
      </c>
      <c r="K3725" s="40">
        <v>0</v>
      </c>
      <c r="L3725" s="40" t="s">
        <v>115</v>
      </c>
      <c r="O3725" s="40" t="s">
        <v>115</v>
      </c>
      <c r="Q3725" s="40">
        <v>201</v>
      </c>
      <c r="R3725" s="40">
        <v>301</v>
      </c>
      <c r="X3725" s="40">
        <v>90280624</v>
      </c>
      <c r="Y3725" s="40" t="s">
        <v>115</v>
      </c>
      <c r="Z3725" s="40" t="s">
        <v>115</v>
      </c>
      <c r="AA3725" s="40" t="s">
        <v>115</v>
      </c>
      <c r="AB3725" s="40" t="s">
        <v>115</v>
      </c>
      <c r="AC3725" s="40" t="s">
        <v>115</v>
      </c>
      <c r="AI3725" s="40" t="s">
        <v>115</v>
      </c>
      <c r="AP3725" s="4" t="s">
        <v>115</v>
      </c>
    </row>
    <row r="3726" spans="1:42" x14ac:dyDescent="0.15">
      <c r="A3726" s="40" t="s">
        <v>1</v>
      </c>
      <c r="B3726" s="23">
        <v>90280624</v>
      </c>
      <c r="C3726" s="23">
        <v>2806</v>
      </c>
      <c r="D3726" s="23">
        <v>28</v>
      </c>
      <c r="F3726" s="23" t="s">
        <v>6446</v>
      </c>
      <c r="G3726" s="23" t="s">
        <v>115</v>
      </c>
      <c r="H3726" s="23" t="s">
        <v>7275</v>
      </c>
      <c r="I3726" s="23">
        <v>3</v>
      </c>
      <c r="J3726" s="40">
        <v>0</v>
      </c>
      <c r="K3726" s="40">
        <v>0</v>
      </c>
      <c r="L3726" s="40" t="s">
        <v>115</v>
      </c>
      <c r="O3726" s="40" t="s">
        <v>115</v>
      </c>
      <c r="Q3726" s="40">
        <v>201</v>
      </c>
      <c r="R3726" s="40">
        <v>301</v>
      </c>
      <c r="X3726" s="40">
        <v>90280625</v>
      </c>
      <c r="Y3726" s="40" t="s">
        <v>115</v>
      </c>
      <c r="Z3726" s="40" t="s">
        <v>115</v>
      </c>
      <c r="AA3726" s="40" t="s">
        <v>115</v>
      </c>
      <c r="AB3726" s="40" t="s">
        <v>115</v>
      </c>
      <c r="AC3726" s="40" t="s">
        <v>115</v>
      </c>
      <c r="AI3726" s="40" t="s">
        <v>115</v>
      </c>
      <c r="AP3726" s="4" t="s">
        <v>115</v>
      </c>
    </row>
    <row r="3727" spans="1:42" x14ac:dyDescent="0.15">
      <c r="A3727" s="40" t="s">
        <v>1</v>
      </c>
      <c r="B3727" s="23">
        <v>90280625</v>
      </c>
      <c r="C3727" s="23">
        <v>2806</v>
      </c>
      <c r="D3727" s="23">
        <v>28</v>
      </c>
      <c r="F3727" s="23" t="s">
        <v>6446</v>
      </c>
      <c r="G3727" s="23" t="s">
        <v>115</v>
      </c>
      <c r="H3727" s="23" t="s">
        <v>6455</v>
      </c>
      <c r="I3727" s="23">
        <v>3</v>
      </c>
      <c r="J3727" s="40">
        <v>0</v>
      </c>
      <c r="K3727" s="40">
        <v>0</v>
      </c>
      <c r="L3727" s="40" t="s">
        <v>115</v>
      </c>
      <c r="O3727" s="40" t="s">
        <v>115</v>
      </c>
      <c r="Q3727" s="40">
        <v>201</v>
      </c>
      <c r="R3727" s="40">
        <v>301</v>
      </c>
      <c r="X3727" s="40">
        <v>90280626</v>
      </c>
      <c r="Y3727" s="40" t="s">
        <v>115</v>
      </c>
      <c r="Z3727" s="40" t="s">
        <v>115</v>
      </c>
      <c r="AA3727" s="40" t="s">
        <v>115</v>
      </c>
      <c r="AB3727" s="40" t="s">
        <v>115</v>
      </c>
      <c r="AC3727" s="40" t="s">
        <v>115</v>
      </c>
      <c r="AI3727" s="40" t="s">
        <v>115</v>
      </c>
      <c r="AP3727" s="4" t="s">
        <v>115</v>
      </c>
    </row>
    <row r="3728" spans="1:42" x14ac:dyDescent="0.15">
      <c r="A3728" s="40" t="s">
        <v>1</v>
      </c>
      <c r="B3728" s="23">
        <v>90280626</v>
      </c>
      <c r="C3728" s="23">
        <v>2806</v>
      </c>
      <c r="D3728" s="23">
        <v>28</v>
      </c>
      <c r="F3728" s="23" t="s">
        <v>116</v>
      </c>
      <c r="G3728" s="23">
        <v>313</v>
      </c>
      <c r="H3728" s="23" t="s">
        <v>6456</v>
      </c>
      <c r="I3728" s="23">
        <v>0</v>
      </c>
      <c r="J3728" s="40">
        <v>0</v>
      </c>
      <c r="K3728" s="40">
        <v>0</v>
      </c>
      <c r="L3728" s="40" t="s">
        <v>115</v>
      </c>
      <c r="O3728" s="40" t="s">
        <v>115</v>
      </c>
      <c r="Q3728" s="40">
        <v>201</v>
      </c>
      <c r="R3728" s="40">
        <v>301</v>
      </c>
      <c r="X3728" s="40">
        <v>90280627</v>
      </c>
      <c r="Y3728" s="40" t="s">
        <v>115</v>
      </c>
      <c r="Z3728" s="40" t="s">
        <v>115</v>
      </c>
      <c r="AA3728" s="40" t="s">
        <v>115</v>
      </c>
      <c r="AB3728" s="40" t="s">
        <v>115</v>
      </c>
      <c r="AC3728" s="40" t="s">
        <v>115</v>
      </c>
      <c r="AI3728" s="40" t="s">
        <v>115</v>
      </c>
      <c r="AP3728" s="4" t="s">
        <v>115</v>
      </c>
    </row>
    <row r="3729" spans="1:42" x14ac:dyDescent="0.15">
      <c r="A3729" s="40" t="s">
        <v>1</v>
      </c>
      <c r="B3729" s="23">
        <v>90280627</v>
      </c>
      <c r="C3729" s="23">
        <v>2806</v>
      </c>
      <c r="D3729" s="23">
        <v>28</v>
      </c>
      <c r="F3729" s="23" t="s">
        <v>116</v>
      </c>
      <c r="G3729" s="23">
        <v>312</v>
      </c>
      <c r="H3729" s="23" t="s">
        <v>6457</v>
      </c>
      <c r="I3729" s="23">
        <v>0</v>
      </c>
      <c r="J3729" s="40">
        <v>0</v>
      </c>
      <c r="K3729" s="40">
        <v>0</v>
      </c>
      <c r="L3729" s="40" t="s">
        <v>115</v>
      </c>
      <c r="O3729" s="40" t="s">
        <v>115</v>
      </c>
      <c r="Q3729" s="40">
        <v>201</v>
      </c>
      <c r="R3729" s="40">
        <v>301</v>
      </c>
      <c r="X3729" s="40">
        <v>90280628</v>
      </c>
      <c r="Y3729" s="40" t="s">
        <v>115</v>
      </c>
      <c r="Z3729" s="40" t="s">
        <v>115</v>
      </c>
      <c r="AA3729" s="40" t="s">
        <v>115</v>
      </c>
      <c r="AB3729" s="40" t="s">
        <v>115</v>
      </c>
      <c r="AC3729" s="40" t="s">
        <v>115</v>
      </c>
      <c r="AI3729" s="40" t="s">
        <v>115</v>
      </c>
      <c r="AP3729" s="4" t="s">
        <v>115</v>
      </c>
    </row>
    <row r="3730" spans="1:42" x14ac:dyDescent="0.15">
      <c r="A3730" s="40" t="s">
        <v>1</v>
      </c>
      <c r="B3730" s="23">
        <v>90280628</v>
      </c>
      <c r="C3730" s="23">
        <v>2806</v>
      </c>
      <c r="D3730" s="23">
        <v>28</v>
      </c>
      <c r="F3730" s="23" t="s">
        <v>116</v>
      </c>
      <c r="G3730" s="23">
        <v>312</v>
      </c>
      <c r="H3730" s="23" t="s">
        <v>7276</v>
      </c>
      <c r="I3730" s="23">
        <v>0</v>
      </c>
      <c r="J3730" s="40">
        <v>0</v>
      </c>
      <c r="K3730" s="40">
        <v>0</v>
      </c>
      <c r="L3730" s="40" t="s">
        <v>115</v>
      </c>
      <c r="O3730" s="40" t="s">
        <v>115</v>
      </c>
      <c r="Q3730" s="40">
        <v>201</v>
      </c>
      <c r="R3730" s="40">
        <v>301</v>
      </c>
      <c r="X3730" s="40">
        <v>90280629</v>
      </c>
      <c r="Y3730" s="40" t="s">
        <v>115</v>
      </c>
      <c r="Z3730" s="40" t="s">
        <v>115</v>
      </c>
      <c r="AA3730" s="40" t="s">
        <v>115</v>
      </c>
      <c r="AB3730" s="40" t="s">
        <v>115</v>
      </c>
      <c r="AC3730" s="40" t="s">
        <v>115</v>
      </c>
      <c r="AI3730" s="40" t="s">
        <v>115</v>
      </c>
      <c r="AP3730" s="4" t="s">
        <v>115</v>
      </c>
    </row>
    <row r="3731" spans="1:42" x14ac:dyDescent="0.15">
      <c r="A3731" s="40" t="s">
        <v>1</v>
      </c>
      <c r="B3731" s="23">
        <v>90280629</v>
      </c>
      <c r="C3731" s="23">
        <v>2806</v>
      </c>
      <c r="D3731" s="23">
        <v>28</v>
      </c>
      <c r="F3731" s="23" t="s">
        <v>6446</v>
      </c>
      <c r="G3731" s="23" t="s">
        <v>115</v>
      </c>
      <c r="H3731" s="23" t="s">
        <v>6458</v>
      </c>
      <c r="I3731" s="23">
        <v>3</v>
      </c>
      <c r="J3731" s="40">
        <v>0</v>
      </c>
      <c r="K3731" s="40">
        <v>0</v>
      </c>
      <c r="L3731" s="40" t="s">
        <v>115</v>
      </c>
      <c r="O3731" s="40" t="s">
        <v>115</v>
      </c>
      <c r="Q3731" s="40">
        <v>201</v>
      </c>
      <c r="R3731" s="40">
        <v>301</v>
      </c>
      <c r="X3731" s="40">
        <v>90280630</v>
      </c>
      <c r="Y3731" s="40" t="s">
        <v>115</v>
      </c>
      <c r="Z3731" s="40" t="s">
        <v>115</v>
      </c>
      <c r="AA3731" s="40" t="s">
        <v>115</v>
      </c>
      <c r="AB3731" s="40" t="s">
        <v>115</v>
      </c>
      <c r="AC3731" s="40" t="s">
        <v>115</v>
      </c>
      <c r="AI3731" s="40" t="s">
        <v>115</v>
      </c>
      <c r="AP3731" s="4" t="s">
        <v>115</v>
      </c>
    </row>
    <row r="3732" spans="1:42" x14ac:dyDescent="0.15">
      <c r="A3732" s="40" t="s">
        <v>1</v>
      </c>
      <c r="B3732" s="23">
        <v>90280630</v>
      </c>
      <c r="C3732" s="23">
        <v>2806</v>
      </c>
      <c r="D3732" s="23">
        <v>28</v>
      </c>
      <c r="F3732" s="23" t="s">
        <v>6446</v>
      </c>
      <c r="G3732" s="23" t="s">
        <v>115</v>
      </c>
      <c r="H3732" s="23" t="s">
        <v>6459</v>
      </c>
      <c r="I3732" s="23">
        <v>3</v>
      </c>
      <c r="J3732" s="40">
        <v>0</v>
      </c>
      <c r="K3732" s="40">
        <v>0</v>
      </c>
      <c r="L3732" s="40" t="s">
        <v>115</v>
      </c>
      <c r="O3732" s="40" t="s">
        <v>115</v>
      </c>
      <c r="Q3732" s="40">
        <v>201</v>
      </c>
      <c r="R3732" s="40">
        <v>301</v>
      </c>
      <c r="X3732" s="40">
        <v>90280631</v>
      </c>
      <c r="Y3732" s="40" t="s">
        <v>115</v>
      </c>
      <c r="Z3732" s="40" t="s">
        <v>115</v>
      </c>
      <c r="AA3732" s="40" t="s">
        <v>115</v>
      </c>
      <c r="AB3732" s="40" t="s">
        <v>115</v>
      </c>
      <c r="AC3732" s="40" t="s">
        <v>115</v>
      </c>
      <c r="AI3732" s="40" t="s">
        <v>115</v>
      </c>
      <c r="AP3732" s="4" t="s">
        <v>115</v>
      </c>
    </row>
    <row r="3733" spans="1:42" x14ac:dyDescent="0.15">
      <c r="A3733" s="40" t="s">
        <v>1</v>
      </c>
      <c r="B3733" s="23">
        <v>90280631</v>
      </c>
      <c r="C3733" s="23">
        <v>2806</v>
      </c>
      <c r="D3733" s="23">
        <v>28</v>
      </c>
      <c r="F3733" s="23" t="s">
        <v>115</v>
      </c>
      <c r="G3733" s="23" t="s">
        <v>115</v>
      </c>
      <c r="H3733" s="23" t="s">
        <v>6460</v>
      </c>
      <c r="I3733" s="23">
        <v>4</v>
      </c>
      <c r="J3733" s="40">
        <v>0</v>
      </c>
      <c r="K3733" s="40">
        <v>0</v>
      </c>
      <c r="L3733" s="40" t="s">
        <v>115</v>
      </c>
      <c r="O3733" s="40" t="s">
        <v>115</v>
      </c>
      <c r="Q3733" s="40">
        <v>201</v>
      </c>
      <c r="R3733" s="40">
        <v>301</v>
      </c>
      <c r="X3733" s="40">
        <v>90280632</v>
      </c>
      <c r="Y3733" s="40" t="s">
        <v>115</v>
      </c>
      <c r="Z3733" s="40" t="s">
        <v>115</v>
      </c>
      <c r="AA3733" s="40" t="s">
        <v>115</v>
      </c>
      <c r="AB3733" s="40" t="s">
        <v>115</v>
      </c>
      <c r="AC3733" s="40" t="s">
        <v>115</v>
      </c>
      <c r="AI3733" s="40" t="s">
        <v>115</v>
      </c>
      <c r="AP3733" s="4" t="s">
        <v>115</v>
      </c>
    </row>
    <row r="3734" spans="1:42" x14ac:dyDescent="0.15">
      <c r="A3734" s="40" t="s">
        <v>1</v>
      </c>
      <c r="B3734" s="23">
        <v>90280632</v>
      </c>
      <c r="C3734" s="23">
        <v>2806</v>
      </c>
      <c r="D3734" s="23">
        <v>28</v>
      </c>
      <c r="F3734" s="23" t="s">
        <v>115</v>
      </c>
      <c r="G3734" s="23" t="s">
        <v>115</v>
      </c>
      <c r="H3734" s="23" t="s">
        <v>6461</v>
      </c>
      <c r="I3734" s="23">
        <v>4</v>
      </c>
      <c r="J3734" s="40">
        <v>0</v>
      </c>
      <c r="K3734" s="40">
        <v>0</v>
      </c>
      <c r="L3734" s="40" t="s">
        <v>115</v>
      </c>
      <c r="O3734" s="40" t="s">
        <v>115</v>
      </c>
      <c r="Q3734" s="40">
        <v>201</v>
      </c>
      <c r="R3734" s="40">
        <v>252</v>
      </c>
      <c r="X3734" s="40">
        <v>90280633</v>
      </c>
      <c r="Y3734" s="40" t="s">
        <v>115</v>
      </c>
      <c r="Z3734" s="40" t="s">
        <v>115</v>
      </c>
      <c r="AA3734" s="40" t="s">
        <v>115</v>
      </c>
      <c r="AB3734" s="40" t="s">
        <v>115</v>
      </c>
      <c r="AC3734" s="40" t="s">
        <v>115</v>
      </c>
      <c r="AI3734" s="40" t="s">
        <v>115</v>
      </c>
      <c r="AP3734" s="4" t="s">
        <v>115</v>
      </c>
    </row>
    <row r="3735" spans="1:42" x14ac:dyDescent="0.15">
      <c r="A3735" s="40" t="s">
        <v>1</v>
      </c>
      <c r="B3735" s="23">
        <v>90280633</v>
      </c>
      <c r="C3735" s="23">
        <v>2806</v>
      </c>
      <c r="D3735" s="23">
        <v>28</v>
      </c>
      <c r="F3735" s="23" t="s">
        <v>6380</v>
      </c>
      <c r="G3735" s="23" t="s">
        <v>115</v>
      </c>
      <c r="H3735" s="23" t="s">
        <v>6462</v>
      </c>
      <c r="I3735" s="23">
        <v>3</v>
      </c>
      <c r="J3735" s="40">
        <v>0</v>
      </c>
      <c r="K3735" s="40">
        <v>0</v>
      </c>
      <c r="L3735" s="40" t="s">
        <v>115</v>
      </c>
      <c r="O3735" s="40" t="s">
        <v>115</v>
      </c>
      <c r="Q3735" s="40">
        <v>201</v>
      </c>
      <c r="R3735" s="40">
        <v>252</v>
      </c>
      <c r="X3735" s="40">
        <v>90280634</v>
      </c>
      <c r="Y3735" s="40" t="s">
        <v>115</v>
      </c>
      <c r="Z3735" s="40" t="s">
        <v>115</v>
      </c>
      <c r="AA3735" s="40" t="s">
        <v>115</v>
      </c>
      <c r="AB3735" s="40" t="s">
        <v>115</v>
      </c>
      <c r="AC3735" s="40" t="s">
        <v>115</v>
      </c>
      <c r="AI3735" s="40" t="s">
        <v>115</v>
      </c>
      <c r="AP3735" s="4" t="s">
        <v>115</v>
      </c>
    </row>
    <row r="3736" spans="1:42" x14ac:dyDescent="0.15">
      <c r="A3736" s="40" t="s">
        <v>1</v>
      </c>
      <c r="B3736" s="23">
        <v>90280634</v>
      </c>
      <c r="C3736" s="23">
        <v>2806</v>
      </c>
      <c r="D3736" s="23">
        <v>28</v>
      </c>
      <c r="F3736" s="23" t="s">
        <v>116</v>
      </c>
      <c r="G3736" s="23">
        <v>312</v>
      </c>
      <c r="H3736" s="23" t="s">
        <v>6463</v>
      </c>
      <c r="I3736" s="23">
        <v>0</v>
      </c>
      <c r="J3736" s="40">
        <v>0</v>
      </c>
      <c r="K3736" s="40">
        <v>0</v>
      </c>
      <c r="L3736" s="40" t="s">
        <v>115</v>
      </c>
      <c r="O3736" s="40" t="s">
        <v>115</v>
      </c>
      <c r="Q3736" s="40">
        <v>201</v>
      </c>
      <c r="R3736" s="40">
        <v>252</v>
      </c>
      <c r="X3736" s="40">
        <v>90280635</v>
      </c>
      <c r="Y3736" s="40" t="s">
        <v>115</v>
      </c>
      <c r="Z3736" s="40" t="s">
        <v>115</v>
      </c>
      <c r="AA3736" s="40" t="s">
        <v>115</v>
      </c>
      <c r="AB3736" s="40" t="s">
        <v>115</v>
      </c>
      <c r="AC3736" s="40" t="s">
        <v>115</v>
      </c>
      <c r="AI3736" s="40" t="s">
        <v>115</v>
      </c>
      <c r="AP3736" s="4" t="s">
        <v>115</v>
      </c>
    </row>
    <row r="3737" spans="1:42" x14ac:dyDescent="0.15">
      <c r="A3737" s="40" t="s">
        <v>1</v>
      </c>
      <c r="B3737" s="23">
        <v>90280635</v>
      </c>
      <c r="C3737" s="23">
        <v>2806</v>
      </c>
      <c r="D3737" s="23">
        <v>28</v>
      </c>
      <c r="F3737" s="23" t="s">
        <v>116</v>
      </c>
      <c r="G3737" s="23">
        <v>312</v>
      </c>
      <c r="H3737" s="23" t="s">
        <v>6464</v>
      </c>
      <c r="I3737" s="23">
        <v>0</v>
      </c>
      <c r="J3737" s="40">
        <v>0</v>
      </c>
      <c r="K3737" s="40">
        <v>0</v>
      </c>
      <c r="L3737" s="40" t="s">
        <v>115</v>
      </c>
      <c r="O3737" s="40" t="s">
        <v>115</v>
      </c>
      <c r="Q3737" s="40">
        <v>201</v>
      </c>
      <c r="R3737" s="40">
        <v>252</v>
      </c>
      <c r="X3737" s="40">
        <v>90280636</v>
      </c>
      <c r="Y3737" s="40" t="s">
        <v>115</v>
      </c>
      <c r="Z3737" s="40" t="s">
        <v>115</v>
      </c>
      <c r="AA3737" s="40" t="s">
        <v>115</v>
      </c>
      <c r="AB3737" s="40" t="s">
        <v>115</v>
      </c>
      <c r="AC3737" s="40" t="s">
        <v>115</v>
      </c>
      <c r="AI3737" s="40" t="s">
        <v>115</v>
      </c>
      <c r="AP3737" s="4" t="s">
        <v>115</v>
      </c>
    </row>
    <row r="3738" spans="1:42" x14ac:dyDescent="0.15">
      <c r="A3738" s="40" t="s">
        <v>1</v>
      </c>
      <c r="B3738" s="23">
        <v>90280636</v>
      </c>
      <c r="C3738" s="23">
        <v>2806</v>
      </c>
      <c r="D3738" s="23">
        <v>28</v>
      </c>
      <c r="F3738" s="23" t="s">
        <v>6380</v>
      </c>
      <c r="G3738" s="23" t="s">
        <v>115</v>
      </c>
      <c r="H3738" s="23" t="s">
        <v>6465</v>
      </c>
      <c r="I3738" s="23">
        <v>3</v>
      </c>
      <c r="J3738" s="40">
        <v>0</v>
      </c>
      <c r="K3738" s="40">
        <v>5</v>
      </c>
      <c r="L3738" s="40" t="s">
        <v>115</v>
      </c>
      <c r="O3738" s="40">
        <v>1</v>
      </c>
      <c r="Q3738" s="40">
        <v>201</v>
      </c>
      <c r="R3738" s="40">
        <v>252</v>
      </c>
      <c r="X3738" s="40" t="s">
        <v>115</v>
      </c>
      <c r="Y3738" s="40" t="s">
        <v>115</v>
      </c>
      <c r="Z3738" s="40">
        <v>4</v>
      </c>
      <c r="AA3738" s="40" t="s">
        <v>115</v>
      </c>
      <c r="AB3738" s="40" t="s">
        <v>115</v>
      </c>
      <c r="AC3738" s="40" t="s">
        <v>115</v>
      </c>
      <c r="AI3738" s="40" t="s">
        <v>115</v>
      </c>
      <c r="AP3738" s="4" t="s">
        <v>6466</v>
      </c>
    </row>
    <row r="3739" spans="1:42" x14ac:dyDescent="0.15">
      <c r="A3739" s="40" t="s">
        <v>1</v>
      </c>
      <c r="B3739" s="23" t="s">
        <v>4920</v>
      </c>
      <c r="C3739" s="23">
        <v>2807</v>
      </c>
      <c r="D3739" s="23">
        <v>28</v>
      </c>
      <c r="F3739" s="23" t="s">
        <v>115</v>
      </c>
      <c r="G3739" s="23" t="s">
        <v>115</v>
      </c>
      <c r="H3739" s="23" t="s">
        <v>6467</v>
      </c>
      <c r="I3739" s="23">
        <v>4</v>
      </c>
      <c r="J3739" s="40">
        <v>1</v>
      </c>
      <c r="K3739" s="40">
        <v>1</v>
      </c>
      <c r="L3739" s="40" t="s">
        <v>115</v>
      </c>
      <c r="O3739" s="40" t="s">
        <v>115</v>
      </c>
      <c r="Q3739" s="40">
        <v>118</v>
      </c>
      <c r="R3739" s="40">
        <v>301</v>
      </c>
      <c r="X3739" s="40">
        <v>90280702</v>
      </c>
      <c r="Y3739" s="40" t="s">
        <v>115</v>
      </c>
      <c r="Z3739" s="40" t="s">
        <v>115</v>
      </c>
      <c r="AA3739" s="40" t="s">
        <v>115</v>
      </c>
      <c r="AB3739" s="40" t="s">
        <v>115</v>
      </c>
      <c r="AC3739" s="40" t="s">
        <v>115</v>
      </c>
      <c r="AI3739" s="40" t="s">
        <v>115</v>
      </c>
      <c r="AP3739" s="4" t="s">
        <v>115</v>
      </c>
    </row>
    <row r="3740" spans="1:42" x14ac:dyDescent="0.15">
      <c r="A3740" s="40" t="s">
        <v>1</v>
      </c>
      <c r="B3740" s="23">
        <v>90280702</v>
      </c>
      <c r="C3740" s="23">
        <v>2807</v>
      </c>
      <c r="D3740" s="23">
        <v>28</v>
      </c>
      <c r="F3740" s="23" t="s">
        <v>116</v>
      </c>
      <c r="G3740" s="23">
        <v>312</v>
      </c>
      <c r="H3740" s="23" t="s">
        <v>6468</v>
      </c>
      <c r="I3740" s="23">
        <v>0</v>
      </c>
      <c r="J3740" s="40">
        <v>0</v>
      </c>
      <c r="K3740" s="40">
        <v>0</v>
      </c>
      <c r="L3740" s="40" t="s">
        <v>115</v>
      </c>
      <c r="O3740" s="40" t="s">
        <v>115</v>
      </c>
      <c r="Q3740" s="40">
        <v>118</v>
      </c>
      <c r="R3740" s="40">
        <v>301</v>
      </c>
      <c r="X3740" s="40">
        <v>90280703</v>
      </c>
      <c r="Y3740" s="40" t="s">
        <v>115</v>
      </c>
      <c r="Z3740" s="40" t="s">
        <v>115</v>
      </c>
      <c r="AA3740" s="40" t="s">
        <v>115</v>
      </c>
      <c r="AB3740" s="40" t="s">
        <v>115</v>
      </c>
      <c r="AC3740" s="40" t="s">
        <v>115</v>
      </c>
      <c r="AI3740" s="40" t="s">
        <v>115</v>
      </c>
      <c r="AP3740" s="4" t="s">
        <v>115</v>
      </c>
    </row>
    <row r="3741" spans="1:42" x14ac:dyDescent="0.15">
      <c r="A3741" s="40" t="s">
        <v>1</v>
      </c>
      <c r="B3741" s="23">
        <v>90280703</v>
      </c>
      <c r="C3741" s="23">
        <v>2807</v>
      </c>
      <c r="D3741" s="23">
        <v>28</v>
      </c>
      <c r="F3741" s="23" t="s">
        <v>6446</v>
      </c>
      <c r="G3741" s="23" t="s">
        <v>115</v>
      </c>
      <c r="H3741" s="23" t="s">
        <v>6469</v>
      </c>
      <c r="I3741" s="23">
        <v>3</v>
      </c>
      <c r="J3741" s="40">
        <v>0</v>
      </c>
      <c r="K3741" s="40">
        <v>0</v>
      </c>
      <c r="L3741" s="40" t="s">
        <v>115</v>
      </c>
      <c r="O3741" s="40" t="s">
        <v>115</v>
      </c>
      <c r="Q3741" s="40">
        <v>118</v>
      </c>
      <c r="R3741" s="40">
        <v>301</v>
      </c>
      <c r="X3741" s="40">
        <v>90280704</v>
      </c>
      <c r="Y3741" s="40" t="s">
        <v>115</v>
      </c>
      <c r="Z3741" s="40" t="s">
        <v>115</v>
      </c>
      <c r="AA3741" s="40" t="s">
        <v>115</v>
      </c>
      <c r="AB3741" s="40" t="s">
        <v>115</v>
      </c>
      <c r="AC3741" s="40" t="s">
        <v>115</v>
      </c>
      <c r="AI3741" s="40" t="s">
        <v>115</v>
      </c>
      <c r="AP3741" s="4" t="s">
        <v>115</v>
      </c>
    </row>
    <row r="3742" spans="1:42" x14ac:dyDescent="0.15">
      <c r="A3742" s="40" t="s">
        <v>1</v>
      </c>
      <c r="B3742" s="23">
        <v>90280704</v>
      </c>
      <c r="C3742" s="23">
        <v>2807</v>
      </c>
      <c r="D3742" s="23">
        <v>28</v>
      </c>
      <c r="F3742" s="23" t="s">
        <v>116</v>
      </c>
      <c r="G3742" s="23">
        <v>312</v>
      </c>
      <c r="H3742" s="23" t="s">
        <v>6470</v>
      </c>
      <c r="I3742" s="23">
        <v>0</v>
      </c>
      <c r="J3742" s="40">
        <v>0</v>
      </c>
      <c r="K3742" s="40">
        <v>0</v>
      </c>
      <c r="L3742" s="40" t="s">
        <v>115</v>
      </c>
      <c r="O3742" s="40" t="s">
        <v>115</v>
      </c>
      <c r="Q3742" s="40">
        <v>118</v>
      </c>
      <c r="R3742" s="40">
        <v>301</v>
      </c>
      <c r="X3742" s="40">
        <v>90280705</v>
      </c>
      <c r="Y3742" s="40" t="s">
        <v>115</v>
      </c>
      <c r="Z3742" s="40" t="s">
        <v>115</v>
      </c>
      <c r="AA3742" s="40" t="s">
        <v>115</v>
      </c>
      <c r="AB3742" s="40" t="s">
        <v>115</v>
      </c>
      <c r="AC3742" s="40" t="s">
        <v>115</v>
      </c>
      <c r="AI3742" s="40" t="s">
        <v>115</v>
      </c>
      <c r="AP3742" s="4" t="s">
        <v>115</v>
      </c>
    </row>
    <row r="3743" spans="1:42" x14ac:dyDescent="0.15">
      <c r="A3743" s="40" t="s">
        <v>1</v>
      </c>
      <c r="B3743" s="23">
        <v>90280705</v>
      </c>
      <c r="C3743" s="23">
        <v>2807</v>
      </c>
      <c r="D3743" s="23">
        <v>28</v>
      </c>
      <c r="F3743" s="23" t="s">
        <v>6446</v>
      </c>
      <c r="G3743" s="23" t="s">
        <v>115</v>
      </c>
      <c r="H3743" s="23" t="s">
        <v>6471</v>
      </c>
      <c r="I3743" s="23">
        <v>3</v>
      </c>
      <c r="J3743" s="40">
        <v>0</v>
      </c>
      <c r="K3743" s="40">
        <v>0</v>
      </c>
      <c r="L3743" s="40" t="s">
        <v>115</v>
      </c>
      <c r="O3743" s="40" t="s">
        <v>115</v>
      </c>
      <c r="Q3743" s="40">
        <v>118</v>
      </c>
      <c r="R3743" s="40">
        <v>301</v>
      </c>
      <c r="X3743" s="40">
        <v>90280706</v>
      </c>
      <c r="Y3743" s="40" t="s">
        <v>115</v>
      </c>
      <c r="Z3743" s="40" t="s">
        <v>115</v>
      </c>
      <c r="AA3743" s="40" t="s">
        <v>115</v>
      </c>
      <c r="AB3743" s="40" t="s">
        <v>115</v>
      </c>
      <c r="AC3743" s="40" t="s">
        <v>115</v>
      </c>
      <c r="AI3743" s="40" t="s">
        <v>115</v>
      </c>
      <c r="AP3743" s="4" t="s">
        <v>115</v>
      </c>
    </row>
    <row r="3744" spans="1:42" x14ac:dyDescent="0.15">
      <c r="A3744" s="40" t="s">
        <v>1</v>
      </c>
      <c r="B3744" s="23">
        <v>90280706</v>
      </c>
      <c r="C3744" s="23">
        <v>2807</v>
      </c>
      <c r="D3744" s="23">
        <v>28</v>
      </c>
      <c r="F3744" s="23" t="s">
        <v>116</v>
      </c>
      <c r="G3744" s="23">
        <v>313</v>
      </c>
      <c r="H3744" s="23" t="s">
        <v>2764</v>
      </c>
      <c r="I3744" s="23">
        <v>0</v>
      </c>
      <c r="J3744" s="40">
        <v>0</v>
      </c>
      <c r="K3744" s="40">
        <v>0</v>
      </c>
      <c r="L3744" s="40" t="s">
        <v>115</v>
      </c>
      <c r="O3744" s="40" t="s">
        <v>115</v>
      </c>
      <c r="Q3744" s="40">
        <v>118</v>
      </c>
      <c r="R3744" s="40">
        <v>301</v>
      </c>
      <c r="X3744" s="40">
        <v>90280707</v>
      </c>
      <c r="Y3744" s="40" t="s">
        <v>115</v>
      </c>
      <c r="Z3744" s="40" t="s">
        <v>115</v>
      </c>
      <c r="AA3744" s="40" t="s">
        <v>115</v>
      </c>
      <c r="AB3744" s="40" t="s">
        <v>115</v>
      </c>
      <c r="AC3744" s="40" t="s">
        <v>115</v>
      </c>
      <c r="AI3744" s="40" t="s">
        <v>115</v>
      </c>
      <c r="AP3744" s="4" t="s">
        <v>115</v>
      </c>
    </row>
    <row r="3745" spans="1:42" x14ac:dyDescent="0.15">
      <c r="A3745" s="40" t="s">
        <v>1</v>
      </c>
      <c r="B3745" s="23">
        <v>90280707</v>
      </c>
      <c r="C3745" s="23">
        <v>2807</v>
      </c>
      <c r="D3745" s="23">
        <v>28</v>
      </c>
      <c r="F3745" s="23" t="s">
        <v>6446</v>
      </c>
      <c r="G3745" s="23" t="s">
        <v>115</v>
      </c>
      <c r="H3745" s="23" t="s">
        <v>6472</v>
      </c>
      <c r="I3745" s="23">
        <v>3</v>
      </c>
      <c r="J3745" s="40">
        <v>0</v>
      </c>
      <c r="K3745" s="40">
        <v>0</v>
      </c>
      <c r="L3745" s="40" t="s">
        <v>115</v>
      </c>
      <c r="O3745" s="40" t="s">
        <v>115</v>
      </c>
      <c r="Q3745" s="40">
        <v>118</v>
      </c>
      <c r="R3745" s="40">
        <v>301</v>
      </c>
      <c r="X3745" s="40">
        <v>90280708</v>
      </c>
      <c r="Y3745" s="40" t="s">
        <v>115</v>
      </c>
      <c r="Z3745" s="40" t="s">
        <v>115</v>
      </c>
      <c r="AA3745" s="40" t="s">
        <v>115</v>
      </c>
      <c r="AB3745" s="40" t="s">
        <v>115</v>
      </c>
      <c r="AC3745" s="40" t="s">
        <v>115</v>
      </c>
      <c r="AI3745" s="40" t="s">
        <v>115</v>
      </c>
      <c r="AP3745" s="4" t="s">
        <v>115</v>
      </c>
    </row>
    <row r="3746" spans="1:42" x14ac:dyDescent="0.15">
      <c r="A3746" s="40" t="s">
        <v>1</v>
      </c>
      <c r="B3746" s="23">
        <v>90280708</v>
      </c>
      <c r="C3746" s="23">
        <v>2807</v>
      </c>
      <c r="D3746" s="23">
        <v>28</v>
      </c>
      <c r="F3746" s="23" t="s">
        <v>6446</v>
      </c>
      <c r="G3746" s="23" t="s">
        <v>115</v>
      </c>
      <c r="H3746" s="23" t="s">
        <v>7277</v>
      </c>
      <c r="I3746" s="23">
        <v>3</v>
      </c>
      <c r="J3746" s="40">
        <v>0</v>
      </c>
      <c r="K3746" s="40">
        <v>0</v>
      </c>
      <c r="L3746" s="40" t="s">
        <v>115</v>
      </c>
      <c r="O3746" s="40" t="s">
        <v>115</v>
      </c>
      <c r="Q3746" s="40">
        <v>118</v>
      </c>
      <c r="R3746" s="40">
        <v>301</v>
      </c>
      <c r="X3746" s="40">
        <v>90280709</v>
      </c>
      <c r="Y3746" s="40" t="s">
        <v>115</v>
      </c>
      <c r="Z3746" s="40" t="s">
        <v>115</v>
      </c>
      <c r="AA3746" s="40" t="s">
        <v>115</v>
      </c>
      <c r="AB3746" s="40" t="s">
        <v>115</v>
      </c>
      <c r="AC3746" s="40" t="s">
        <v>115</v>
      </c>
      <c r="AI3746" s="40" t="s">
        <v>115</v>
      </c>
      <c r="AP3746" s="4" t="s">
        <v>115</v>
      </c>
    </row>
    <row r="3747" spans="1:42" x14ac:dyDescent="0.15">
      <c r="A3747" s="40" t="s">
        <v>1</v>
      </c>
      <c r="B3747" s="23">
        <v>90280709</v>
      </c>
      <c r="C3747" s="23">
        <v>2807</v>
      </c>
      <c r="D3747" s="23">
        <v>28</v>
      </c>
      <c r="F3747" s="23" t="s">
        <v>116</v>
      </c>
      <c r="G3747" s="23">
        <v>314</v>
      </c>
      <c r="H3747" s="23" t="s">
        <v>7278</v>
      </c>
      <c r="I3747" s="23">
        <v>0</v>
      </c>
      <c r="J3747" s="40">
        <v>0</v>
      </c>
      <c r="K3747" s="40">
        <v>0</v>
      </c>
      <c r="L3747" s="40" t="s">
        <v>115</v>
      </c>
      <c r="O3747" s="40" t="s">
        <v>115</v>
      </c>
      <c r="Q3747" s="40">
        <v>118</v>
      </c>
      <c r="R3747" s="40">
        <v>301</v>
      </c>
      <c r="X3747" s="40">
        <v>90280710</v>
      </c>
      <c r="Y3747" s="40" t="s">
        <v>115</v>
      </c>
      <c r="Z3747" s="40" t="s">
        <v>115</v>
      </c>
      <c r="AA3747" s="40" t="s">
        <v>115</v>
      </c>
      <c r="AB3747" s="40" t="s">
        <v>115</v>
      </c>
      <c r="AC3747" s="40" t="s">
        <v>115</v>
      </c>
      <c r="AI3747" s="40" t="s">
        <v>115</v>
      </c>
      <c r="AP3747" s="4" t="s">
        <v>115</v>
      </c>
    </row>
    <row r="3748" spans="1:42" x14ac:dyDescent="0.15">
      <c r="A3748" s="40" t="s">
        <v>1</v>
      </c>
      <c r="B3748" s="23">
        <v>90280710</v>
      </c>
      <c r="C3748" s="23">
        <v>2807</v>
      </c>
      <c r="D3748" s="23">
        <v>28</v>
      </c>
      <c r="F3748" s="23" t="s">
        <v>6446</v>
      </c>
      <c r="G3748" s="23" t="s">
        <v>115</v>
      </c>
      <c r="H3748" s="23" t="s">
        <v>6473</v>
      </c>
      <c r="I3748" s="23">
        <v>3</v>
      </c>
      <c r="J3748" s="40">
        <v>0</v>
      </c>
      <c r="K3748" s="40">
        <v>0</v>
      </c>
      <c r="L3748" s="40" t="s">
        <v>115</v>
      </c>
      <c r="O3748" s="40" t="s">
        <v>115</v>
      </c>
      <c r="Q3748" s="40">
        <v>118</v>
      </c>
      <c r="R3748" s="40">
        <v>301</v>
      </c>
      <c r="X3748" s="40">
        <v>90280711</v>
      </c>
      <c r="Y3748" s="40" t="s">
        <v>115</v>
      </c>
      <c r="Z3748" s="40" t="s">
        <v>115</v>
      </c>
      <c r="AA3748" s="40" t="s">
        <v>115</v>
      </c>
      <c r="AB3748" s="40" t="s">
        <v>115</v>
      </c>
      <c r="AC3748" s="40" t="s">
        <v>115</v>
      </c>
      <c r="AI3748" s="40" t="s">
        <v>115</v>
      </c>
      <c r="AP3748" s="4" t="s">
        <v>115</v>
      </c>
    </row>
    <row r="3749" spans="1:42" x14ac:dyDescent="0.15">
      <c r="A3749" s="40" t="s">
        <v>1</v>
      </c>
      <c r="B3749" s="23">
        <v>90280711</v>
      </c>
      <c r="C3749" s="23">
        <v>2807</v>
      </c>
      <c r="D3749" s="23">
        <v>28</v>
      </c>
      <c r="F3749" s="23" t="s">
        <v>6446</v>
      </c>
      <c r="G3749" s="23" t="s">
        <v>115</v>
      </c>
      <c r="H3749" s="23" t="s">
        <v>6474</v>
      </c>
      <c r="I3749" s="23">
        <v>3</v>
      </c>
      <c r="J3749" s="40">
        <v>0</v>
      </c>
      <c r="K3749" s="40">
        <v>0</v>
      </c>
      <c r="L3749" s="40" t="s">
        <v>115</v>
      </c>
      <c r="O3749" s="40" t="s">
        <v>115</v>
      </c>
      <c r="Q3749" s="40">
        <v>118</v>
      </c>
      <c r="R3749" s="40">
        <v>301</v>
      </c>
      <c r="X3749" s="40">
        <v>90280712</v>
      </c>
      <c r="Y3749" s="40" t="s">
        <v>115</v>
      </c>
      <c r="Z3749" s="40" t="s">
        <v>115</v>
      </c>
      <c r="AA3749" s="40" t="s">
        <v>115</v>
      </c>
      <c r="AB3749" s="40" t="s">
        <v>115</v>
      </c>
      <c r="AC3749" s="40" t="s">
        <v>115</v>
      </c>
      <c r="AI3749" s="40" t="s">
        <v>115</v>
      </c>
      <c r="AP3749" s="4" t="s">
        <v>115</v>
      </c>
    </row>
    <row r="3750" spans="1:42" x14ac:dyDescent="0.15">
      <c r="A3750" s="40" t="s">
        <v>1</v>
      </c>
      <c r="B3750" s="23">
        <v>90280712</v>
      </c>
      <c r="C3750" s="23">
        <v>2807</v>
      </c>
      <c r="D3750" s="23">
        <v>28</v>
      </c>
      <c r="F3750" s="23" t="s">
        <v>6446</v>
      </c>
      <c r="G3750" s="23" t="s">
        <v>115</v>
      </c>
      <c r="H3750" s="23" t="s">
        <v>6475</v>
      </c>
      <c r="I3750" s="23">
        <v>3</v>
      </c>
      <c r="J3750" s="40">
        <v>0</v>
      </c>
      <c r="K3750" s="40">
        <v>0</v>
      </c>
      <c r="L3750" s="40" t="s">
        <v>115</v>
      </c>
      <c r="O3750" s="40" t="s">
        <v>115</v>
      </c>
      <c r="Q3750" s="40">
        <v>118</v>
      </c>
      <c r="R3750" s="40">
        <v>301</v>
      </c>
      <c r="X3750" s="40">
        <v>90280713</v>
      </c>
      <c r="Y3750" s="40" t="s">
        <v>115</v>
      </c>
      <c r="Z3750" s="40" t="s">
        <v>115</v>
      </c>
      <c r="AA3750" s="40" t="s">
        <v>115</v>
      </c>
      <c r="AB3750" s="40" t="s">
        <v>115</v>
      </c>
      <c r="AC3750" s="40" t="s">
        <v>115</v>
      </c>
      <c r="AI3750" s="40" t="s">
        <v>115</v>
      </c>
      <c r="AP3750" s="4" t="s">
        <v>115</v>
      </c>
    </row>
    <row r="3751" spans="1:42" x14ac:dyDescent="0.15">
      <c r="A3751" s="40" t="s">
        <v>1</v>
      </c>
      <c r="B3751" s="23">
        <v>90280713</v>
      </c>
      <c r="C3751" s="23">
        <v>2807</v>
      </c>
      <c r="D3751" s="23">
        <v>28</v>
      </c>
      <c r="F3751" s="23" t="s">
        <v>6446</v>
      </c>
      <c r="G3751" s="23" t="s">
        <v>115</v>
      </c>
      <c r="H3751" s="23" t="s">
        <v>6476</v>
      </c>
      <c r="I3751" s="23">
        <v>3</v>
      </c>
      <c r="J3751" s="40">
        <v>0</v>
      </c>
      <c r="K3751" s="40">
        <v>0</v>
      </c>
      <c r="L3751" s="40" t="s">
        <v>115</v>
      </c>
      <c r="O3751" s="40" t="s">
        <v>115</v>
      </c>
      <c r="Q3751" s="40">
        <v>118</v>
      </c>
      <c r="R3751" s="40">
        <v>301</v>
      </c>
      <c r="X3751" s="40">
        <v>90280714</v>
      </c>
      <c r="Y3751" s="40" t="s">
        <v>115</v>
      </c>
      <c r="Z3751" s="40" t="s">
        <v>115</v>
      </c>
      <c r="AA3751" s="40" t="s">
        <v>115</v>
      </c>
      <c r="AB3751" s="40" t="s">
        <v>115</v>
      </c>
      <c r="AC3751" s="40" t="s">
        <v>115</v>
      </c>
      <c r="AI3751" s="40" t="s">
        <v>115</v>
      </c>
      <c r="AP3751" s="4" t="s">
        <v>115</v>
      </c>
    </row>
    <row r="3752" spans="1:42" x14ac:dyDescent="0.15">
      <c r="A3752" s="40" t="s">
        <v>1</v>
      </c>
      <c r="B3752" s="23">
        <v>90280714</v>
      </c>
      <c r="C3752" s="23">
        <v>2807</v>
      </c>
      <c r="D3752" s="23">
        <v>28</v>
      </c>
      <c r="F3752" s="23" t="s">
        <v>6446</v>
      </c>
      <c r="G3752" s="23" t="s">
        <v>115</v>
      </c>
      <c r="H3752" s="23" t="s">
        <v>6477</v>
      </c>
      <c r="I3752" s="23">
        <v>3</v>
      </c>
      <c r="J3752" s="40">
        <v>0</v>
      </c>
      <c r="K3752" s="40">
        <v>0</v>
      </c>
      <c r="L3752" s="40" t="s">
        <v>115</v>
      </c>
      <c r="O3752" s="40" t="s">
        <v>115</v>
      </c>
      <c r="Q3752" s="40">
        <v>118</v>
      </c>
      <c r="R3752" s="40">
        <v>301</v>
      </c>
      <c r="X3752" s="40">
        <v>90280715</v>
      </c>
      <c r="Y3752" s="40" t="s">
        <v>115</v>
      </c>
      <c r="Z3752" s="40" t="s">
        <v>115</v>
      </c>
      <c r="AA3752" s="40" t="s">
        <v>115</v>
      </c>
      <c r="AB3752" s="40" t="s">
        <v>115</v>
      </c>
      <c r="AC3752" s="40" t="s">
        <v>115</v>
      </c>
      <c r="AI3752" s="40" t="s">
        <v>115</v>
      </c>
      <c r="AP3752" s="4" t="s">
        <v>115</v>
      </c>
    </row>
    <row r="3753" spans="1:42" x14ac:dyDescent="0.15">
      <c r="A3753" s="40" t="s">
        <v>1</v>
      </c>
      <c r="B3753" s="23">
        <v>90280715</v>
      </c>
      <c r="C3753" s="23">
        <v>2807</v>
      </c>
      <c r="D3753" s="23">
        <v>28</v>
      </c>
      <c r="F3753" s="23" t="s">
        <v>116</v>
      </c>
      <c r="G3753" s="23">
        <v>314</v>
      </c>
      <c r="H3753" s="23" t="s">
        <v>6478</v>
      </c>
      <c r="I3753" s="23">
        <v>0</v>
      </c>
      <c r="J3753" s="40">
        <v>0</v>
      </c>
      <c r="K3753" s="40">
        <v>0</v>
      </c>
      <c r="L3753" s="40" t="s">
        <v>115</v>
      </c>
      <c r="O3753" s="40" t="s">
        <v>115</v>
      </c>
      <c r="Q3753" s="40">
        <v>118</v>
      </c>
      <c r="R3753" s="40">
        <v>301</v>
      </c>
      <c r="X3753" s="40">
        <v>90280716</v>
      </c>
      <c r="Y3753" s="40" t="s">
        <v>115</v>
      </c>
      <c r="Z3753" s="40" t="s">
        <v>115</v>
      </c>
      <c r="AA3753" s="40" t="s">
        <v>115</v>
      </c>
      <c r="AB3753" s="40" t="s">
        <v>115</v>
      </c>
      <c r="AC3753" s="40" t="s">
        <v>115</v>
      </c>
      <c r="AI3753" s="40" t="s">
        <v>115</v>
      </c>
      <c r="AP3753" s="4" t="s">
        <v>115</v>
      </c>
    </row>
    <row r="3754" spans="1:42" x14ac:dyDescent="0.15">
      <c r="A3754" s="40" t="s">
        <v>1</v>
      </c>
      <c r="B3754" s="23">
        <v>90280716</v>
      </c>
      <c r="C3754" s="23">
        <v>2807</v>
      </c>
      <c r="D3754" s="23">
        <v>28</v>
      </c>
      <c r="F3754" s="23" t="s">
        <v>6446</v>
      </c>
      <c r="G3754" s="23" t="s">
        <v>115</v>
      </c>
      <c r="H3754" s="23" t="s">
        <v>6479</v>
      </c>
      <c r="I3754" s="23">
        <v>3</v>
      </c>
      <c r="J3754" s="40">
        <v>0</v>
      </c>
      <c r="K3754" s="40">
        <v>0</v>
      </c>
      <c r="L3754" s="40" t="s">
        <v>115</v>
      </c>
      <c r="O3754" s="40" t="s">
        <v>115</v>
      </c>
      <c r="Q3754" s="40">
        <v>118</v>
      </c>
      <c r="R3754" s="40">
        <v>301</v>
      </c>
      <c r="X3754" s="40">
        <v>90280717</v>
      </c>
      <c r="Y3754" s="40" t="s">
        <v>115</v>
      </c>
      <c r="Z3754" s="40" t="s">
        <v>115</v>
      </c>
      <c r="AA3754" s="40" t="s">
        <v>115</v>
      </c>
      <c r="AB3754" s="40" t="s">
        <v>115</v>
      </c>
      <c r="AC3754" s="40" t="s">
        <v>115</v>
      </c>
      <c r="AI3754" s="40" t="s">
        <v>115</v>
      </c>
      <c r="AP3754" s="4" t="s">
        <v>115</v>
      </c>
    </row>
    <row r="3755" spans="1:42" x14ac:dyDescent="0.15">
      <c r="A3755" s="40" t="s">
        <v>1</v>
      </c>
      <c r="B3755" s="23">
        <v>90280717</v>
      </c>
      <c r="C3755" s="23">
        <v>2807</v>
      </c>
      <c r="D3755" s="23">
        <v>28</v>
      </c>
      <c r="F3755" s="23" t="s">
        <v>6446</v>
      </c>
      <c r="G3755" s="23" t="s">
        <v>115</v>
      </c>
      <c r="H3755" s="23" t="s">
        <v>7279</v>
      </c>
      <c r="I3755" s="23">
        <v>3</v>
      </c>
      <c r="J3755" s="40">
        <v>0</v>
      </c>
      <c r="K3755" s="40">
        <v>0</v>
      </c>
      <c r="L3755" s="40" t="s">
        <v>115</v>
      </c>
      <c r="O3755" s="40" t="s">
        <v>115</v>
      </c>
      <c r="Q3755" s="40">
        <v>118</v>
      </c>
      <c r="R3755" s="40">
        <v>301</v>
      </c>
      <c r="X3755" s="40">
        <v>90280718</v>
      </c>
      <c r="Y3755" s="40" t="s">
        <v>115</v>
      </c>
      <c r="Z3755" s="40" t="s">
        <v>115</v>
      </c>
      <c r="AA3755" s="40" t="s">
        <v>115</v>
      </c>
      <c r="AB3755" s="40" t="s">
        <v>115</v>
      </c>
      <c r="AC3755" s="40" t="s">
        <v>115</v>
      </c>
      <c r="AI3755" s="40" t="s">
        <v>115</v>
      </c>
      <c r="AP3755" s="4" t="s">
        <v>115</v>
      </c>
    </row>
    <row r="3756" spans="1:42" x14ac:dyDescent="0.15">
      <c r="A3756" s="40" t="s">
        <v>1</v>
      </c>
      <c r="B3756" s="23">
        <v>90280718</v>
      </c>
      <c r="C3756" s="23">
        <v>2807</v>
      </c>
      <c r="D3756" s="23">
        <v>28</v>
      </c>
      <c r="F3756" s="23" t="s">
        <v>115</v>
      </c>
      <c r="G3756" s="23" t="s">
        <v>115</v>
      </c>
      <c r="H3756" s="23" t="s">
        <v>7280</v>
      </c>
      <c r="I3756" s="23">
        <v>4</v>
      </c>
      <c r="J3756" s="40">
        <v>0</v>
      </c>
      <c r="K3756" s="40">
        <v>0</v>
      </c>
      <c r="L3756" s="40" t="s">
        <v>115</v>
      </c>
      <c r="O3756" s="40" t="s">
        <v>115</v>
      </c>
      <c r="Q3756" s="40">
        <v>118</v>
      </c>
      <c r="R3756" s="40">
        <v>301</v>
      </c>
      <c r="X3756" s="40">
        <v>90280719</v>
      </c>
      <c r="Y3756" s="40" t="s">
        <v>115</v>
      </c>
      <c r="Z3756" s="40" t="s">
        <v>115</v>
      </c>
      <c r="AA3756" s="40" t="s">
        <v>115</v>
      </c>
      <c r="AB3756" s="40" t="s">
        <v>115</v>
      </c>
      <c r="AC3756" s="40" t="s">
        <v>115</v>
      </c>
      <c r="AI3756" s="40" t="s">
        <v>115</v>
      </c>
      <c r="AP3756" s="4" t="s">
        <v>115</v>
      </c>
    </row>
    <row r="3757" spans="1:42" x14ac:dyDescent="0.15">
      <c r="A3757" s="40" t="s">
        <v>1</v>
      </c>
      <c r="B3757" s="23">
        <v>90280719</v>
      </c>
      <c r="C3757" s="23">
        <v>2807</v>
      </c>
      <c r="D3757" s="23">
        <v>28</v>
      </c>
      <c r="F3757" s="23" t="s">
        <v>116</v>
      </c>
      <c r="G3757" s="23">
        <v>312</v>
      </c>
      <c r="H3757" s="23" t="s">
        <v>6480</v>
      </c>
      <c r="I3757" s="23">
        <v>0</v>
      </c>
      <c r="J3757" s="40">
        <v>0</v>
      </c>
      <c r="K3757" s="40">
        <v>0</v>
      </c>
      <c r="L3757" s="40" t="s">
        <v>115</v>
      </c>
      <c r="O3757" s="40" t="s">
        <v>115</v>
      </c>
      <c r="Q3757" s="40">
        <v>118</v>
      </c>
      <c r="R3757" s="40">
        <v>301</v>
      </c>
      <c r="X3757" s="40">
        <v>90280720</v>
      </c>
      <c r="Y3757" s="40" t="s">
        <v>115</v>
      </c>
      <c r="Z3757" s="40" t="s">
        <v>115</v>
      </c>
      <c r="AA3757" s="40" t="s">
        <v>115</v>
      </c>
      <c r="AB3757" s="40" t="s">
        <v>115</v>
      </c>
      <c r="AC3757" s="40" t="s">
        <v>115</v>
      </c>
      <c r="AI3757" s="40" t="s">
        <v>115</v>
      </c>
      <c r="AP3757" s="4" t="s">
        <v>115</v>
      </c>
    </row>
    <row r="3758" spans="1:42" x14ac:dyDescent="0.15">
      <c r="A3758" s="40" t="s">
        <v>1</v>
      </c>
      <c r="B3758" s="23">
        <v>90280720</v>
      </c>
      <c r="C3758" s="23">
        <v>2807</v>
      </c>
      <c r="D3758" s="23">
        <v>28</v>
      </c>
      <c r="F3758" s="23" t="s">
        <v>6446</v>
      </c>
      <c r="G3758" s="23" t="s">
        <v>115</v>
      </c>
      <c r="H3758" s="23" t="s">
        <v>6481</v>
      </c>
      <c r="I3758" s="23">
        <v>3</v>
      </c>
      <c r="J3758" s="40">
        <v>0</v>
      </c>
      <c r="K3758" s="40">
        <v>0</v>
      </c>
      <c r="L3758" s="40" t="s">
        <v>115</v>
      </c>
      <c r="O3758" s="40" t="s">
        <v>115</v>
      </c>
      <c r="Q3758" s="40">
        <v>118</v>
      </c>
      <c r="R3758" s="40">
        <v>301</v>
      </c>
      <c r="X3758" s="40">
        <v>90280721</v>
      </c>
      <c r="Y3758" s="40" t="s">
        <v>115</v>
      </c>
      <c r="Z3758" s="40" t="s">
        <v>115</v>
      </c>
      <c r="AA3758" s="40" t="s">
        <v>115</v>
      </c>
      <c r="AB3758" s="40" t="s">
        <v>115</v>
      </c>
      <c r="AC3758" s="40" t="s">
        <v>115</v>
      </c>
      <c r="AI3758" s="40" t="s">
        <v>115</v>
      </c>
      <c r="AP3758" s="4" t="s">
        <v>115</v>
      </c>
    </row>
    <row r="3759" spans="1:42" x14ac:dyDescent="0.15">
      <c r="A3759" s="40" t="s">
        <v>1</v>
      </c>
      <c r="B3759" s="23">
        <v>90280721</v>
      </c>
      <c r="C3759" s="23">
        <v>2807</v>
      </c>
      <c r="D3759" s="23">
        <v>28</v>
      </c>
      <c r="F3759" s="23" t="s">
        <v>6446</v>
      </c>
      <c r="G3759" s="23" t="s">
        <v>115</v>
      </c>
      <c r="H3759" s="23" t="s">
        <v>7281</v>
      </c>
      <c r="I3759" s="23">
        <v>3</v>
      </c>
      <c r="J3759" s="40">
        <v>0</v>
      </c>
      <c r="K3759" s="40">
        <v>0</v>
      </c>
      <c r="L3759" s="40" t="s">
        <v>115</v>
      </c>
      <c r="O3759" s="40" t="s">
        <v>115</v>
      </c>
      <c r="Q3759" s="40">
        <v>118</v>
      </c>
      <c r="R3759" s="40">
        <v>301</v>
      </c>
      <c r="X3759" s="40">
        <v>90280722</v>
      </c>
      <c r="Y3759" s="40" t="s">
        <v>115</v>
      </c>
      <c r="Z3759" s="40" t="s">
        <v>115</v>
      </c>
      <c r="AA3759" s="40" t="s">
        <v>115</v>
      </c>
      <c r="AB3759" s="40" t="s">
        <v>115</v>
      </c>
      <c r="AC3759" s="40" t="s">
        <v>115</v>
      </c>
      <c r="AI3759" s="40" t="s">
        <v>115</v>
      </c>
      <c r="AP3759" s="4" t="s">
        <v>115</v>
      </c>
    </row>
    <row r="3760" spans="1:42" x14ac:dyDescent="0.15">
      <c r="A3760" s="40" t="s">
        <v>1</v>
      </c>
      <c r="B3760" s="23">
        <v>90280722</v>
      </c>
      <c r="C3760" s="23">
        <v>2807</v>
      </c>
      <c r="D3760" s="23">
        <v>28</v>
      </c>
      <c r="F3760" s="23" t="s">
        <v>6446</v>
      </c>
      <c r="G3760" s="23" t="s">
        <v>115</v>
      </c>
      <c r="H3760" s="23" t="s">
        <v>7282</v>
      </c>
      <c r="I3760" s="23">
        <v>3</v>
      </c>
      <c r="J3760" s="40">
        <v>0</v>
      </c>
      <c r="K3760" s="40">
        <v>0</v>
      </c>
      <c r="L3760" s="40" t="s">
        <v>115</v>
      </c>
      <c r="O3760" s="40" t="s">
        <v>115</v>
      </c>
      <c r="Q3760" s="40">
        <v>118</v>
      </c>
      <c r="R3760" s="40">
        <v>301</v>
      </c>
      <c r="X3760" s="40">
        <v>90280723</v>
      </c>
      <c r="Y3760" s="40" t="s">
        <v>115</v>
      </c>
      <c r="Z3760" s="40" t="s">
        <v>115</v>
      </c>
      <c r="AA3760" s="40" t="s">
        <v>115</v>
      </c>
      <c r="AB3760" s="40" t="s">
        <v>115</v>
      </c>
      <c r="AC3760" s="40" t="s">
        <v>115</v>
      </c>
      <c r="AI3760" s="40" t="s">
        <v>115</v>
      </c>
      <c r="AP3760" s="4" t="s">
        <v>115</v>
      </c>
    </row>
    <row r="3761" spans="1:42" x14ac:dyDescent="0.15">
      <c r="A3761" s="40" t="s">
        <v>1</v>
      </c>
      <c r="B3761" s="23">
        <v>90280723</v>
      </c>
      <c r="C3761" s="23">
        <v>2807</v>
      </c>
      <c r="D3761" s="23">
        <v>28</v>
      </c>
      <c r="F3761" s="23" t="s">
        <v>116</v>
      </c>
      <c r="G3761" s="23">
        <v>312</v>
      </c>
      <c r="H3761" s="23" t="s">
        <v>6482</v>
      </c>
      <c r="I3761" s="23">
        <v>0</v>
      </c>
      <c r="J3761" s="40">
        <v>0</v>
      </c>
      <c r="K3761" s="40">
        <v>0</v>
      </c>
      <c r="L3761" s="40" t="s">
        <v>115</v>
      </c>
      <c r="O3761" s="40" t="s">
        <v>115</v>
      </c>
      <c r="Q3761" s="40">
        <v>118</v>
      </c>
      <c r="R3761" s="40">
        <v>301</v>
      </c>
      <c r="X3761" s="40">
        <v>90280724</v>
      </c>
      <c r="Y3761" s="40" t="s">
        <v>115</v>
      </c>
      <c r="Z3761" s="40" t="s">
        <v>115</v>
      </c>
      <c r="AA3761" s="40" t="s">
        <v>115</v>
      </c>
      <c r="AB3761" s="40" t="s">
        <v>115</v>
      </c>
      <c r="AC3761" s="40" t="s">
        <v>115</v>
      </c>
      <c r="AI3761" s="40" t="s">
        <v>115</v>
      </c>
      <c r="AP3761" s="4" t="s">
        <v>115</v>
      </c>
    </row>
    <row r="3762" spans="1:42" x14ac:dyDescent="0.15">
      <c r="A3762" s="40" t="s">
        <v>1</v>
      </c>
      <c r="B3762" s="23">
        <v>90280724</v>
      </c>
      <c r="C3762" s="23">
        <v>2807</v>
      </c>
      <c r="D3762" s="23">
        <v>28</v>
      </c>
      <c r="F3762" s="23" t="s">
        <v>6446</v>
      </c>
      <c r="G3762" s="23" t="s">
        <v>115</v>
      </c>
      <c r="H3762" s="23" t="s">
        <v>7283</v>
      </c>
      <c r="I3762" s="23">
        <v>3</v>
      </c>
      <c r="J3762" s="40">
        <v>0</v>
      </c>
      <c r="K3762" s="40">
        <v>2</v>
      </c>
      <c r="L3762" s="40" t="s">
        <v>115</v>
      </c>
      <c r="O3762" s="40">
        <v>1</v>
      </c>
      <c r="Q3762" s="40">
        <v>118</v>
      </c>
      <c r="R3762" s="40">
        <v>301</v>
      </c>
      <c r="X3762" s="40" t="s">
        <v>115</v>
      </c>
      <c r="Y3762" s="40" t="s">
        <v>115</v>
      </c>
      <c r="Z3762" s="40">
        <v>1</v>
      </c>
      <c r="AA3762" s="40" t="s">
        <v>115</v>
      </c>
      <c r="AB3762" s="40" t="s">
        <v>115</v>
      </c>
      <c r="AC3762" s="40" t="s">
        <v>115</v>
      </c>
      <c r="AI3762" s="40" t="s">
        <v>115</v>
      </c>
      <c r="AP3762" s="4" t="s">
        <v>6483</v>
      </c>
    </row>
    <row r="3763" spans="1:42" x14ac:dyDescent="0.15">
      <c r="A3763" s="40" t="s">
        <v>1</v>
      </c>
      <c r="B3763" s="23" t="s">
        <v>4921</v>
      </c>
      <c r="C3763" s="23">
        <v>2808</v>
      </c>
      <c r="D3763" s="23">
        <v>28</v>
      </c>
      <c r="F3763" s="23" t="s">
        <v>115</v>
      </c>
      <c r="G3763" s="23" t="s">
        <v>115</v>
      </c>
      <c r="H3763" s="23" t="s">
        <v>6484</v>
      </c>
      <c r="I3763" s="23">
        <v>4</v>
      </c>
      <c r="J3763" s="40">
        <v>1</v>
      </c>
      <c r="K3763" s="40">
        <v>1</v>
      </c>
      <c r="L3763" s="40" t="s">
        <v>115</v>
      </c>
      <c r="O3763" s="40" t="s">
        <v>115</v>
      </c>
      <c r="Q3763" s="40">
        <v>34</v>
      </c>
      <c r="R3763" s="40">
        <v>301</v>
      </c>
      <c r="X3763" s="40">
        <v>90280802</v>
      </c>
      <c r="Y3763" s="40" t="s">
        <v>115</v>
      </c>
      <c r="Z3763" s="40" t="s">
        <v>115</v>
      </c>
      <c r="AA3763" s="40" t="s">
        <v>115</v>
      </c>
      <c r="AB3763" s="40" t="s">
        <v>115</v>
      </c>
      <c r="AC3763" s="40" t="s">
        <v>115</v>
      </c>
      <c r="AI3763" s="40" t="s">
        <v>115</v>
      </c>
      <c r="AP3763" s="4" t="s">
        <v>115</v>
      </c>
    </row>
    <row r="3764" spans="1:42" x14ac:dyDescent="0.15">
      <c r="A3764" s="40" t="s">
        <v>1</v>
      </c>
      <c r="B3764" s="23">
        <v>90280802</v>
      </c>
      <c r="C3764" s="23">
        <v>2808</v>
      </c>
      <c r="D3764" s="23">
        <v>28</v>
      </c>
      <c r="F3764" s="23" t="s">
        <v>322</v>
      </c>
      <c r="G3764" s="23" t="s">
        <v>115</v>
      </c>
      <c r="H3764" s="23" t="s">
        <v>6485</v>
      </c>
      <c r="I3764" s="23">
        <v>3</v>
      </c>
      <c r="J3764" s="40">
        <v>0</v>
      </c>
      <c r="K3764" s="40">
        <v>0</v>
      </c>
      <c r="L3764" s="40" t="s">
        <v>115</v>
      </c>
      <c r="O3764" s="40" t="s">
        <v>115</v>
      </c>
      <c r="Q3764" s="40">
        <v>34</v>
      </c>
      <c r="R3764" s="40">
        <v>243</v>
      </c>
      <c r="X3764" s="40">
        <v>90280803</v>
      </c>
      <c r="Y3764" s="40" t="s">
        <v>115</v>
      </c>
      <c r="Z3764" s="40" t="s">
        <v>115</v>
      </c>
      <c r="AA3764" s="40" t="s">
        <v>115</v>
      </c>
      <c r="AB3764" s="40" t="s">
        <v>115</v>
      </c>
      <c r="AC3764" s="40" t="s">
        <v>115</v>
      </c>
      <c r="AI3764" s="40" t="s">
        <v>115</v>
      </c>
      <c r="AP3764" s="4" t="s">
        <v>115</v>
      </c>
    </row>
    <row r="3765" spans="1:42" x14ac:dyDescent="0.15">
      <c r="A3765" s="40" t="s">
        <v>1</v>
      </c>
      <c r="B3765" s="23">
        <v>90280803</v>
      </c>
      <c r="C3765" s="23">
        <v>2808</v>
      </c>
      <c r="D3765" s="23">
        <v>28</v>
      </c>
      <c r="F3765" s="23" t="s">
        <v>115</v>
      </c>
      <c r="G3765" s="23" t="s">
        <v>115</v>
      </c>
      <c r="H3765" s="23" t="s">
        <v>6486</v>
      </c>
      <c r="I3765" s="23">
        <v>4</v>
      </c>
      <c r="J3765" s="40">
        <v>0</v>
      </c>
      <c r="K3765" s="40">
        <v>0</v>
      </c>
      <c r="L3765" s="40" t="s">
        <v>115</v>
      </c>
      <c r="O3765" s="40" t="s">
        <v>115</v>
      </c>
      <c r="Q3765" s="40">
        <v>34</v>
      </c>
      <c r="R3765" s="40">
        <v>301</v>
      </c>
      <c r="X3765" s="40">
        <v>90280804</v>
      </c>
      <c r="Y3765" s="40" t="s">
        <v>115</v>
      </c>
      <c r="Z3765" s="40" t="s">
        <v>115</v>
      </c>
      <c r="AA3765" s="40" t="s">
        <v>115</v>
      </c>
      <c r="AB3765" s="40" t="s">
        <v>115</v>
      </c>
      <c r="AC3765" s="40" t="s">
        <v>115</v>
      </c>
      <c r="AI3765" s="40" t="s">
        <v>115</v>
      </c>
      <c r="AP3765" s="4" t="s">
        <v>115</v>
      </c>
    </row>
    <row r="3766" spans="1:42" x14ac:dyDescent="0.15">
      <c r="A3766" s="40" t="s">
        <v>1</v>
      </c>
      <c r="B3766" s="23">
        <v>90280804</v>
      </c>
      <c r="C3766" s="23">
        <v>2808</v>
      </c>
      <c r="D3766" s="23">
        <v>28</v>
      </c>
      <c r="F3766" s="23" t="s">
        <v>115</v>
      </c>
      <c r="G3766" s="23" t="s">
        <v>115</v>
      </c>
      <c r="H3766" s="23" t="s">
        <v>6487</v>
      </c>
      <c r="I3766" s="23">
        <v>4</v>
      </c>
      <c r="J3766" s="40">
        <v>0</v>
      </c>
      <c r="K3766" s="40">
        <v>0</v>
      </c>
      <c r="L3766" s="40" t="s">
        <v>115</v>
      </c>
      <c r="O3766" s="40" t="s">
        <v>115</v>
      </c>
      <c r="Q3766" s="40">
        <v>34</v>
      </c>
      <c r="R3766" s="40">
        <v>243</v>
      </c>
      <c r="X3766" s="40">
        <v>90280805</v>
      </c>
      <c r="Y3766" s="40" t="s">
        <v>115</v>
      </c>
      <c r="Z3766" s="40" t="s">
        <v>115</v>
      </c>
      <c r="AA3766" s="40" t="s">
        <v>115</v>
      </c>
      <c r="AB3766" s="40" t="s">
        <v>115</v>
      </c>
      <c r="AC3766" s="40" t="s">
        <v>115</v>
      </c>
      <c r="AI3766" s="40" t="s">
        <v>115</v>
      </c>
      <c r="AP3766" s="4" t="s">
        <v>115</v>
      </c>
    </row>
    <row r="3767" spans="1:42" x14ac:dyDescent="0.15">
      <c r="A3767" s="40" t="s">
        <v>1</v>
      </c>
      <c r="B3767" s="23">
        <v>90280805</v>
      </c>
      <c r="C3767" s="23">
        <v>2808</v>
      </c>
      <c r="D3767" s="23">
        <v>28</v>
      </c>
      <c r="F3767" s="23" t="s">
        <v>322</v>
      </c>
      <c r="G3767" s="23" t="s">
        <v>115</v>
      </c>
      <c r="H3767" s="23" t="s">
        <v>6488</v>
      </c>
      <c r="I3767" s="23">
        <v>3</v>
      </c>
      <c r="J3767" s="40">
        <v>0</v>
      </c>
      <c r="K3767" s="40">
        <v>0</v>
      </c>
      <c r="L3767" s="40" t="s">
        <v>115</v>
      </c>
      <c r="O3767" s="40" t="s">
        <v>115</v>
      </c>
      <c r="Q3767" s="40">
        <v>34</v>
      </c>
      <c r="R3767" s="40">
        <v>243</v>
      </c>
      <c r="X3767" s="40">
        <v>90280806</v>
      </c>
      <c r="Y3767" s="40" t="s">
        <v>115</v>
      </c>
      <c r="Z3767" s="40" t="s">
        <v>115</v>
      </c>
      <c r="AA3767" s="40" t="s">
        <v>115</v>
      </c>
      <c r="AB3767" s="40" t="s">
        <v>115</v>
      </c>
      <c r="AC3767" s="40" t="s">
        <v>115</v>
      </c>
      <c r="AI3767" s="40" t="s">
        <v>115</v>
      </c>
      <c r="AP3767" s="4" t="s">
        <v>115</v>
      </c>
    </row>
    <row r="3768" spans="1:42" x14ac:dyDescent="0.15">
      <c r="A3768" s="40" t="s">
        <v>1</v>
      </c>
      <c r="B3768" s="23">
        <v>90280806</v>
      </c>
      <c r="C3768" s="23">
        <v>2808</v>
      </c>
      <c r="D3768" s="23">
        <v>28</v>
      </c>
      <c r="F3768" s="23" t="s">
        <v>322</v>
      </c>
      <c r="G3768" s="23" t="s">
        <v>115</v>
      </c>
      <c r="H3768" s="23" t="s">
        <v>6489</v>
      </c>
      <c r="I3768" s="23">
        <v>3</v>
      </c>
      <c r="J3768" s="40">
        <v>0</v>
      </c>
      <c r="K3768" s="40">
        <v>2</v>
      </c>
      <c r="L3768" s="40" t="s">
        <v>115</v>
      </c>
      <c r="O3768" s="40">
        <v>1</v>
      </c>
      <c r="Q3768" s="40">
        <v>34</v>
      </c>
      <c r="R3768" s="40">
        <v>243</v>
      </c>
      <c r="X3768" s="40" t="s">
        <v>115</v>
      </c>
      <c r="Y3768" s="40" t="s">
        <v>115</v>
      </c>
      <c r="Z3768" s="40">
        <v>1</v>
      </c>
      <c r="AA3768" s="40" t="s">
        <v>115</v>
      </c>
      <c r="AB3768" s="40" t="s">
        <v>115</v>
      </c>
      <c r="AC3768" s="40" t="s">
        <v>115</v>
      </c>
      <c r="AI3768" s="40" t="s">
        <v>115</v>
      </c>
      <c r="AP3768" s="4" t="s">
        <v>115</v>
      </c>
    </row>
    <row r="3769" spans="1:42" x14ac:dyDescent="0.15">
      <c r="A3769" s="40" t="s">
        <v>1</v>
      </c>
      <c r="B3769" s="23" t="s">
        <v>4922</v>
      </c>
      <c r="C3769" s="23">
        <v>2809</v>
      </c>
      <c r="D3769" s="23">
        <v>28</v>
      </c>
      <c r="F3769" s="23" t="s">
        <v>115</v>
      </c>
      <c r="G3769" s="23" t="s">
        <v>115</v>
      </c>
      <c r="H3769" s="23" t="s">
        <v>6490</v>
      </c>
      <c r="I3769" s="23">
        <v>4</v>
      </c>
      <c r="J3769" s="40">
        <v>1</v>
      </c>
      <c r="K3769" s="40">
        <v>1</v>
      </c>
      <c r="L3769" s="40" t="s">
        <v>115</v>
      </c>
      <c r="O3769" s="40" t="s">
        <v>115</v>
      </c>
      <c r="Q3769" s="40">
        <v>197</v>
      </c>
      <c r="R3769" s="40">
        <v>239</v>
      </c>
      <c r="X3769" s="40">
        <v>90280902</v>
      </c>
      <c r="Y3769" s="40" t="s">
        <v>115</v>
      </c>
      <c r="Z3769" s="40" t="s">
        <v>115</v>
      </c>
      <c r="AA3769" s="40" t="s">
        <v>115</v>
      </c>
      <c r="AB3769" s="40" t="s">
        <v>115</v>
      </c>
      <c r="AC3769" s="40" t="s">
        <v>115</v>
      </c>
      <c r="AI3769" s="40" t="s">
        <v>115</v>
      </c>
      <c r="AP3769" s="4" t="s">
        <v>115</v>
      </c>
    </row>
    <row r="3770" spans="1:42" x14ac:dyDescent="0.15">
      <c r="A3770" s="40" t="s">
        <v>1</v>
      </c>
      <c r="B3770" s="23">
        <v>90280902</v>
      </c>
      <c r="C3770" s="23">
        <v>2809</v>
      </c>
      <c r="D3770" s="23">
        <v>28</v>
      </c>
      <c r="F3770" s="23" t="s">
        <v>335</v>
      </c>
      <c r="G3770" s="23" t="s">
        <v>115</v>
      </c>
      <c r="H3770" s="23" t="s">
        <v>6491</v>
      </c>
      <c r="I3770" s="23">
        <v>3</v>
      </c>
      <c r="J3770" s="40">
        <v>0</v>
      </c>
      <c r="K3770" s="40">
        <v>0</v>
      </c>
      <c r="L3770" s="40" t="s">
        <v>115</v>
      </c>
      <c r="O3770" s="40" t="s">
        <v>115</v>
      </c>
      <c r="Q3770" s="40">
        <v>197</v>
      </c>
      <c r="R3770" s="40">
        <v>239</v>
      </c>
      <c r="X3770" s="40">
        <v>90280903</v>
      </c>
      <c r="Y3770" s="40" t="s">
        <v>115</v>
      </c>
      <c r="Z3770" s="40" t="s">
        <v>115</v>
      </c>
      <c r="AA3770" s="40" t="s">
        <v>115</v>
      </c>
      <c r="AB3770" s="40" t="s">
        <v>115</v>
      </c>
      <c r="AC3770" s="40" t="s">
        <v>115</v>
      </c>
      <c r="AI3770" s="40" t="s">
        <v>115</v>
      </c>
      <c r="AP3770" s="4" t="s">
        <v>115</v>
      </c>
    </row>
    <row r="3771" spans="1:42" x14ac:dyDescent="0.15">
      <c r="A3771" s="40" t="s">
        <v>1</v>
      </c>
      <c r="B3771" s="23">
        <v>90280903</v>
      </c>
      <c r="C3771" s="23">
        <v>2809</v>
      </c>
      <c r="D3771" s="23">
        <v>28</v>
      </c>
      <c r="F3771" s="23" t="s">
        <v>335</v>
      </c>
      <c r="G3771" s="23" t="s">
        <v>115</v>
      </c>
      <c r="H3771" s="23" t="s">
        <v>6492</v>
      </c>
      <c r="I3771" s="23">
        <v>3</v>
      </c>
      <c r="J3771" s="40">
        <v>0</v>
      </c>
      <c r="K3771" s="40">
        <v>0</v>
      </c>
      <c r="L3771" s="40" t="s">
        <v>115</v>
      </c>
      <c r="O3771" s="40" t="s">
        <v>115</v>
      </c>
      <c r="Q3771" s="40">
        <v>197</v>
      </c>
      <c r="R3771" s="40">
        <v>239</v>
      </c>
      <c r="X3771" s="40">
        <v>90280904</v>
      </c>
      <c r="Y3771" s="40" t="s">
        <v>115</v>
      </c>
      <c r="Z3771" s="40" t="s">
        <v>115</v>
      </c>
      <c r="AA3771" s="40" t="s">
        <v>115</v>
      </c>
      <c r="AB3771" s="40" t="s">
        <v>115</v>
      </c>
      <c r="AC3771" s="40" t="s">
        <v>115</v>
      </c>
      <c r="AI3771" s="40" t="s">
        <v>115</v>
      </c>
      <c r="AP3771" s="4" t="s">
        <v>115</v>
      </c>
    </row>
    <row r="3772" spans="1:42" x14ac:dyDescent="0.15">
      <c r="A3772" s="40" t="s">
        <v>1</v>
      </c>
      <c r="B3772" s="23">
        <v>90280904</v>
      </c>
      <c r="C3772" s="23">
        <v>2809</v>
      </c>
      <c r="D3772" s="23">
        <v>28</v>
      </c>
      <c r="F3772" s="23" t="s">
        <v>335</v>
      </c>
      <c r="G3772" s="23" t="s">
        <v>115</v>
      </c>
      <c r="H3772" s="23" t="s">
        <v>6493</v>
      </c>
      <c r="I3772" s="23">
        <v>3</v>
      </c>
      <c r="J3772" s="40">
        <v>0</v>
      </c>
      <c r="K3772" s="40">
        <v>0</v>
      </c>
      <c r="L3772" s="40" t="s">
        <v>115</v>
      </c>
      <c r="O3772" s="40" t="s">
        <v>115</v>
      </c>
      <c r="Q3772" s="40">
        <v>197</v>
      </c>
      <c r="R3772" s="40">
        <v>239</v>
      </c>
      <c r="X3772" s="40">
        <v>90280905</v>
      </c>
      <c r="Y3772" s="40" t="s">
        <v>115</v>
      </c>
      <c r="Z3772" s="40" t="s">
        <v>115</v>
      </c>
      <c r="AA3772" s="40" t="s">
        <v>115</v>
      </c>
      <c r="AB3772" s="40" t="s">
        <v>115</v>
      </c>
      <c r="AC3772" s="40" t="s">
        <v>115</v>
      </c>
      <c r="AI3772" s="40" t="s">
        <v>115</v>
      </c>
      <c r="AP3772" s="4" t="s">
        <v>115</v>
      </c>
    </row>
    <row r="3773" spans="1:42" x14ac:dyDescent="0.15">
      <c r="A3773" s="40" t="s">
        <v>1</v>
      </c>
      <c r="B3773" s="23">
        <v>90280905</v>
      </c>
      <c r="C3773" s="23">
        <v>2809</v>
      </c>
      <c r="D3773" s="23">
        <v>28</v>
      </c>
      <c r="F3773" s="23" t="s">
        <v>335</v>
      </c>
      <c r="G3773" s="23" t="s">
        <v>115</v>
      </c>
      <c r="H3773" s="23" t="s">
        <v>6494</v>
      </c>
      <c r="I3773" s="23">
        <v>3</v>
      </c>
      <c r="J3773" s="40">
        <v>0</v>
      </c>
      <c r="K3773" s="40">
        <v>0</v>
      </c>
      <c r="L3773" s="40" t="s">
        <v>115</v>
      </c>
      <c r="O3773" s="40" t="s">
        <v>115</v>
      </c>
      <c r="Q3773" s="40">
        <v>197</v>
      </c>
      <c r="R3773" s="40">
        <v>239</v>
      </c>
      <c r="X3773" s="40">
        <v>90280906</v>
      </c>
      <c r="Y3773" s="40" t="s">
        <v>115</v>
      </c>
      <c r="Z3773" s="40" t="s">
        <v>115</v>
      </c>
      <c r="AA3773" s="40" t="s">
        <v>115</v>
      </c>
      <c r="AB3773" s="40" t="s">
        <v>115</v>
      </c>
      <c r="AC3773" s="40" t="s">
        <v>115</v>
      </c>
      <c r="AI3773" s="40" t="s">
        <v>115</v>
      </c>
      <c r="AP3773" s="4" t="s">
        <v>115</v>
      </c>
    </row>
    <row r="3774" spans="1:42" x14ac:dyDescent="0.15">
      <c r="A3774" s="40" t="s">
        <v>1</v>
      </c>
      <c r="B3774" s="23">
        <v>90280906</v>
      </c>
      <c r="C3774" s="23">
        <v>2809</v>
      </c>
      <c r="D3774" s="23">
        <v>28</v>
      </c>
      <c r="F3774" s="23" t="s">
        <v>335</v>
      </c>
      <c r="G3774" s="23" t="s">
        <v>115</v>
      </c>
      <c r="H3774" s="23" t="s">
        <v>6495</v>
      </c>
      <c r="I3774" s="23">
        <v>3</v>
      </c>
      <c r="J3774" s="40">
        <v>0</v>
      </c>
      <c r="K3774" s="40">
        <v>0</v>
      </c>
      <c r="L3774" s="40" t="s">
        <v>115</v>
      </c>
      <c r="O3774" s="40" t="s">
        <v>115</v>
      </c>
      <c r="Q3774" s="40">
        <v>197</v>
      </c>
      <c r="R3774" s="40">
        <v>239</v>
      </c>
      <c r="X3774" s="40">
        <v>90280907</v>
      </c>
      <c r="Y3774" s="40" t="s">
        <v>115</v>
      </c>
      <c r="Z3774" s="40" t="s">
        <v>115</v>
      </c>
      <c r="AA3774" s="40" t="s">
        <v>115</v>
      </c>
      <c r="AB3774" s="40" t="s">
        <v>115</v>
      </c>
      <c r="AC3774" s="40" t="s">
        <v>115</v>
      </c>
      <c r="AI3774" s="40" t="s">
        <v>115</v>
      </c>
      <c r="AP3774" s="4" t="s">
        <v>115</v>
      </c>
    </row>
    <row r="3775" spans="1:42" x14ac:dyDescent="0.15">
      <c r="A3775" s="40" t="s">
        <v>1</v>
      </c>
      <c r="B3775" s="23">
        <v>90280907</v>
      </c>
      <c r="C3775" s="23">
        <v>2809</v>
      </c>
      <c r="D3775" s="23">
        <v>28</v>
      </c>
      <c r="F3775" s="23" t="s">
        <v>335</v>
      </c>
      <c r="G3775" s="23" t="s">
        <v>115</v>
      </c>
      <c r="H3775" s="23" t="s">
        <v>6496</v>
      </c>
      <c r="I3775" s="23">
        <v>3</v>
      </c>
      <c r="J3775" s="40">
        <v>0</v>
      </c>
      <c r="K3775" s="40">
        <v>0</v>
      </c>
      <c r="L3775" s="40" t="s">
        <v>115</v>
      </c>
      <c r="O3775" s="40" t="s">
        <v>115</v>
      </c>
      <c r="Q3775" s="40">
        <v>197</v>
      </c>
      <c r="R3775" s="40">
        <v>239</v>
      </c>
      <c r="X3775" s="40">
        <v>90280908</v>
      </c>
      <c r="Y3775" s="40" t="s">
        <v>115</v>
      </c>
      <c r="Z3775" s="40" t="s">
        <v>115</v>
      </c>
      <c r="AA3775" s="40" t="s">
        <v>115</v>
      </c>
      <c r="AB3775" s="40" t="s">
        <v>115</v>
      </c>
      <c r="AC3775" s="40" t="s">
        <v>115</v>
      </c>
      <c r="AI3775" s="40" t="s">
        <v>115</v>
      </c>
      <c r="AP3775" s="4" t="s">
        <v>115</v>
      </c>
    </row>
    <row r="3776" spans="1:42" x14ac:dyDescent="0.15">
      <c r="A3776" s="40" t="s">
        <v>1</v>
      </c>
      <c r="B3776" s="23">
        <v>90280908</v>
      </c>
      <c r="C3776" s="23">
        <v>2809</v>
      </c>
      <c r="D3776" s="23">
        <v>28</v>
      </c>
      <c r="F3776" s="23" t="s">
        <v>335</v>
      </c>
      <c r="G3776" s="23" t="s">
        <v>115</v>
      </c>
      <c r="H3776" s="23" t="s">
        <v>6497</v>
      </c>
      <c r="I3776" s="23">
        <v>3</v>
      </c>
      <c r="J3776" s="40">
        <v>0</v>
      </c>
      <c r="K3776" s="40">
        <v>0</v>
      </c>
      <c r="L3776" s="40" t="s">
        <v>115</v>
      </c>
      <c r="O3776" s="40" t="s">
        <v>115</v>
      </c>
      <c r="Q3776" s="40">
        <v>197</v>
      </c>
      <c r="R3776" s="40">
        <v>239</v>
      </c>
      <c r="X3776" s="40">
        <v>90280909</v>
      </c>
      <c r="Y3776" s="40" t="s">
        <v>115</v>
      </c>
      <c r="Z3776" s="40" t="s">
        <v>115</v>
      </c>
      <c r="AA3776" s="40" t="s">
        <v>115</v>
      </c>
      <c r="AB3776" s="40" t="s">
        <v>115</v>
      </c>
      <c r="AC3776" s="40" t="s">
        <v>115</v>
      </c>
      <c r="AI3776" s="40" t="s">
        <v>115</v>
      </c>
      <c r="AP3776" s="4" t="s">
        <v>115</v>
      </c>
    </row>
    <row r="3777" spans="1:42" x14ac:dyDescent="0.15">
      <c r="A3777" s="40" t="s">
        <v>1</v>
      </c>
      <c r="B3777" s="23">
        <v>90280909</v>
      </c>
      <c r="C3777" s="23">
        <v>2809</v>
      </c>
      <c r="D3777" s="23">
        <v>28</v>
      </c>
      <c r="F3777" s="23" t="s">
        <v>115</v>
      </c>
      <c r="G3777" s="23" t="s">
        <v>115</v>
      </c>
      <c r="H3777" s="23" t="s">
        <v>6498</v>
      </c>
      <c r="I3777" s="23">
        <v>4</v>
      </c>
      <c r="J3777" s="40">
        <v>0</v>
      </c>
      <c r="K3777" s="40">
        <v>0</v>
      </c>
      <c r="L3777" s="40" t="s">
        <v>115</v>
      </c>
      <c r="O3777" s="40" t="s">
        <v>115</v>
      </c>
      <c r="Q3777" s="40">
        <v>197</v>
      </c>
      <c r="R3777" s="40">
        <v>239</v>
      </c>
      <c r="X3777" s="40">
        <v>90280910</v>
      </c>
      <c r="Y3777" s="40" t="s">
        <v>115</v>
      </c>
      <c r="Z3777" s="40" t="s">
        <v>115</v>
      </c>
      <c r="AA3777" s="40" t="s">
        <v>115</v>
      </c>
      <c r="AB3777" s="40" t="s">
        <v>115</v>
      </c>
      <c r="AC3777" s="40" t="s">
        <v>115</v>
      </c>
      <c r="AI3777" s="40" t="s">
        <v>115</v>
      </c>
      <c r="AP3777" s="4" t="s">
        <v>115</v>
      </c>
    </row>
    <row r="3778" spans="1:42" x14ac:dyDescent="0.15">
      <c r="A3778" s="40" t="s">
        <v>1</v>
      </c>
      <c r="B3778" s="23">
        <v>90280910</v>
      </c>
      <c r="C3778" s="23">
        <v>2809</v>
      </c>
      <c r="D3778" s="23">
        <v>28</v>
      </c>
      <c r="F3778" s="23" t="s">
        <v>116</v>
      </c>
      <c r="G3778" s="23" t="s">
        <v>115</v>
      </c>
      <c r="H3778" s="23" t="s">
        <v>6499</v>
      </c>
      <c r="I3778" s="23">
        <v>2</v>
      </c>
      <c r="J3778" s="40">
        <v>0</v>
      </c>
      <c r="K3778" s="40">
        <v>2</v>
      </c>
      <c r="L3778" s="40" t="s">
        <v>115</v>
      </c>
      <c r="O3778" s="40">
        <v>1</v>
      </c>
      <c r="Q3778" s="40">
        <v>197</v>
      </c>
      <c r="R3778" s="40" t="s">
        <v>115</v>
      </c>
      <c r="X3778" s="40" t="s">
        <v>115</v>
      </c>
      <c r="Y3778" s="40" t="s">
        <v>115</v>
      </c>
      <c r="Z3778" s="40">
        <v>1</v>
      </c>
      <c r="AA3778" s="40" t="s">
        <v>115</v>
      </c>
      <c r="AB3778" s="40" t="s">
        <v>115</v>
      </c>
      <c r="AC3778" s="40" t="s">
        <v>115</v>
      </c>
      <c r="AI3778" s="40" t="s">
        <v>115</v>
      </c>
      <c r="AP3778" s="4" t="s">
        <v>115</v>
      </c>
    </row>
    <row r="3779" spans="1:42" x14ac:dyDescent="0.15">
      <c r="A3779" s="40" t="s">
        <v>1</v>
      </c>
      <c r="B3779" s="23" t="s">
        <v>4923</v>
      </c>
      <c r="C3779" s="23">
        <v>2810</v>
      </c>
      <c r="D3779" s="23">
        <v>28</v>
      </c>
      <c r="F3779" s="23" t="s">
        <v>115</v>
      </c>
      <c r="G3779" s="23" t="s">
        <v>115</v>
      </c>
      <c r="H3779" s="23" t="s">
        <v>6500</v>
      </c>
      <c r="I3779" s="23">
        <v>4</v>
      </c>
      <c r="J3779" s="40">
        <v>1</v>
      </c>
      <c r="K3779" s="40">
        <v>1</v>
      </c>
      <c r="L3779" s="40" t="s">
        <v>115</v>
      </c>
      <c r="O3779" s="40" t="s">
        <v>115</v>
      </c>
      <c r="Q3779" s="40">
        <v>162</v>
      </c>
      <c r="R3779" s="40">
        <v>263</v>
      </c>
      <c r="X3779" s="40">
        <v>90281002</v>
      </c>
      <c r="Y3779" s="40" t="s">
        <v>115</v>
      </c>
      <c r="Z3779" s="40" t="s">
        <v>115</v>
      </c>
      <c r="AA3779" s="40" t="s">
        <v>115</v>
      </c>
      <c r="AB3779" s="40" t="s">
        <v>115</v>
      </c>
      <c r="AC3779" s="40" t="s">
        <v>115</v>
      </c>
      <c r="AI3779" s="40" t="s">
        <v>115</v>
      </c>
      <c r="AP3779" s="4" t="s">
        <v>115</v>
      </c>
    </row>
    <row r="3780" spans="1:42" x14ac:dyDescent="0.15">
      <c r="A3780" s="40" t="s">
        <v>1</v>
      </c>
      <c r="B3780" s="23">
        <v>90281002</v>
      </c>
      <c r="C3780" s="23">
        <v>2810</v>
      </c>
      <c r="D3780" s="23">
        <v>28</v>
      </c>
      <c r="F3780" s="23" t="s">
        <v>115</v>
      </c>
      <c r="G3780" s="23" t="s">
        <v>115</v>
      </c>
      <c r="H3780" s="23" t="s">
        <v>6501</v>
      </c>
      <c r="I3780" s="23">
        <v>4</v>
      </c>
      <c r="J3780" s="40">
        <v>0</v>
      </c>
      <c r="K3780" s="40">
        <v>2</v>
      </c>
      <c r="L3780" s="40" t="s">
        <v>115</v>
      </c>
      <c r="O3780" s="40" t="s">
        <v>115</v>
      </c>
      <c r="Q3780" s="40">
        <v>162</v>
      </c>
      <c r="R3780" s="40">
        <v>263</v>
      </c>
      <c r="X3780" s="40" t="s">
        <v>6502</v>
      </c>
      <c r="Y3780" s="40">
        <v>1</v>
      </c>
      <c r="Z3780" s="40">
        <v>1</v>
      </c>
      <c r="AA3780" s="40" t="s">
        <v>115</v>
      </c>
      <c r="AB3780" s="40" t="s">
        <v>115</v>
      </c>
      <c r="AC3780" s="40" t="s">
        <v>115</v>
      </c>
      <c r="AI3780" s="40" t="s">
        <v>115</v>
      </c>
      <c r="AP3780" s="4" t="s">
        <v>115</v>
      </c>
    </row>
    <row r="3781" spans="1:42" x14ac:dyDescent="0.15">
      <c r="A3781" s="40" t="s">
        <v>1</v>
      </c>
      <c r="B3781" s="23">
        <v>90281003</v>
      </c>
      <c r="C3781" s="23">
        <v>2810</v>
      </c>
      <c r="D3781" s="23">
        <v>28</v>
      </c>
      <c r="F3781" s="23" t="s">
        <v>115</v>
      </c>
      <c r="G3781" s="23" t="s">
        <v>115</v>
      </c>
      <c r="H3781" s="23" t="s">
        <v>6503</v>
      </c>
      <c r="I3781" s="23">
        <v>4</v>
      </c>
      <c r="J3781" s="40">
        <v>0</v>
      </c>
      <c r="K3781" s="40">
        <v>3</v>
      </c>
      <c r="L3781" s="40" t="s">
        <v>115</v>
      </c>
      <c r="O3781" s="40" t="s">
        <v>115</v>
      </c>
      <c r="Q3781" s="40">
        <v>162</v>
      </c>
      <c r="R3781" s="40">
        <v>263</v>
      </c>
      <c r="X3781" s="40">
        <v>90281004</v>
      </c>
      <c r="Y3781" s="40">
        <v>-1</v>
      </c>
      <c r="Z3781" s="40">
        <v>2</v>
      </c>
      <c r="AA3781" s="40" t="s">
        <v>6504</v>
      </c>
      <c r="AB3781" s="40" t="s">
        <v>115</v>
      </c>
      <c r="AC3781" s="40" t="s">
        <v>115</v>
      </c>
      <c r="AI3781" s="40" t="s">
        <v>115</v>
      </c>
      <c r="AP3781" s="4" t="s">
        <v>115</v>
      </c>
    </row>
    <row r="3782" spans="1:42" x14ac:dyDescent="0.15">
      <c r="A3782" s="40" t="s">
        <v>1</v>
      </c>
      <c r="B3782" s="23">
        <v>90281004</v>
      </c>
      <c r="C3782" s="23">
        <v>2810</v>
      </c>
      <c r="D3782" s="23">
        <v>28</v>
      </c>
      <c r="F3782" s="23" t="s">
        <v>271</v>
      </c>
      <c r="G3782" s="23" t="s">
        <v>115</v>
      </c>
      <c r="H3782" s="23" t="s">
        <v>6505</v>
      </c>
      <c r="I3782" s="23">
        <v>3</v>
      </c>
      <c r="J3782" s="40">
        <v>0</v>
      </c>
      <c r="K3782" s="40">
        <v>0</v>
      </c>
      <c r="L3782" s="40" t="s">
        <v>115</v>
      </c>
      <c r="O3782" s="40" t="s">
        <v>115</v>
      </c>
      <c r="Q3782" s="40">
        <v>162</v>
      </c>
      <c r="R3782" s="40">
        <v>263</v>
      </c>
      <c r="X3782" s="40">
        <v>90281005</v>
      </c>
      <c r="Y3782" s="40" t="s">
        <v>115</v>
      </c>
      <c r="Z3782" s="40" t="s">
        <v>115</v>
      </c>
      <c r="AA3782" s="40" t="s">
        <v>115</v>
      </c>
      <c r="AB3782" s="40" t="s">
        <v>115</v>
      </c>
      <c r="AC3782" s="40" t="s">
        <v>115</v>
      </c>
      <c r="AI3782" s="40" t="s">
        <v>115</v>
      </c>
      <c r="AP3782" s="4" t="s">
        <v>115</v>
      </c>
    </row>
    <row r="3783" spans="1:42" x14ac:dyDescent="0.15">
      <c r="A3783" s="40" t="s">
        <v>1</v>
      </c>
      <c r="B3783" s="23">
        <v>90281005</v>
      </c>
      <c r="C3783" s="23">
        <v>2810</v>
      </c>
      <c r="D3783" s="23">
        <v>28</v>
      </c>
      <c r="F3783" s="23" t="s">
        <v>116</v>
      </c>
      <c r="G3783" s="23" t="s">
        <v>115</v>
      </c>
      <c r="H3783" s="23" t="s">
        <v>6506</v>
      </c>
      <c r="I3783" s="23">
        <v>0</v>
      </c>
      <c r="J3783" s="40">
        <v>0</v>
      </c>
      <c r="K3783" s="40">
        <v>4</v>
      </c>
      <c r="L3783" s="40" t="s">
        <v>115</v>
      </c>
      <c r="O3783" s="40">
        <v>1</v>
      </c>
      <c r="Q3783" s="40">
        <v>162</v>
      </c>
      <c r="R3783" s="40">
        <v>263</v>
      </c>
      <c r="X3783" s="40" t="s">
        <v>115</v>
      </c>
      <c r="Y3783" s="40" t="s">
        <v>115</v>
      </c>
      <c r="Z3783" s="40">
        <v>3</v>
      </c>
      <c r="AA3783" s="40" t="s">
        <v>115</v>
      </c>
      <c r="AB3783" s="40" t="s">
        <v>115</v>
      </c>
      <c r="AC3783" s="40" t="s">
        <v>115</v>
      </c>
      <c r="AI3783" s="40" t="s">
        <v>115</v>
      </c>
      <c r="AP3783" s="4" t="s">
        <v>115</v>
      </c>
    </row>
    <row r="3784" spans="1:42" x14ac:dyDescent="0.15">
      <c r="A3784" s="40" t="s">
        <v>1</v>
      </c>
      <c r="B3784" s="23" t="s">
        <v>4924</v>
      </c>
      <c r="C3784" s="23">
        <v>2901</v>
      </c>
      <c r="D3784" s="23">
        <v>29</v>
      </c>
      <c r="F3784" s="23" t="s">
        <v>116</v>
      </c>
      <c r="G3784" s="23">
        <v>261</v>
      </c>
      <c r="H3784" s="23" t="s">
        <v>6507</v>
      </c>
      <c r="I3784" s="23">
        <v>0</v>
      </c>
      <c r="J3784" s="40">
        <v>1</v>
      </c>
      <c r="K3784" s="40">
        <v>1</v>
      </c>
      <c r="L3784" s="40" t="s">
        <v>115</v>
      </c>
      <c r="O3784" s="40" t="s">
        <v>115</v>
      </c>
      <c r="Q3784" s="40">
        <v>163</v>
      </c>
      <c r="R3784" s="40" t="s">
        <v>115</v>
      </c>
      <c r="X3784" s="40">
        <v>90290102</v>
      </c>
      <c r="Y3784" s="40" t="s">
        <v>115</v>
      </c>
      <c r="Z3784" s="40" t="s">
        <v>115</v>
      </c>
      <c r="AA3784" s="40" t="s">
        <v>115</v>
      </c>
      <c r="AB3784" s="40" t="s">
        <v>115</v>
      </c>
      <c r="AC3784" s="40" t="s">
        <v>115</v>
      </c>
      <c r="AI3784" s="40" t="s">
        <v>115</v>
      </c>
      <c r="AP3784" s="4" t="s">
        <v>115</v>
      </c>
    </row>
    <row r="3785" spans="1:42" x14ac:dyDescent="0.15">
      <c r="A3785" s="40" t="s">
        <v>1</v>
      </c>
      <c r="B3785" s="23">
        <v>90290102</v>
      </c>
      <c r="C3785" s="23">
        <v>2901</v>
      </c>
      <c r="D3785" s="23">
        <v>29</v>
      </c>
      <c r="F3785" s="23" t="s">
        <v>256</v>
      </c>
      <c r="G3785" s="23" t="s">
        <v>115</v>
      </c>
      <c r="H3785" s="23" t="s">
        <v>6508</v>
      </c>
      <c r="I3785" s="23">
        <v>3</v>
      </c>
      <c r="J3785" s="40">
        <v>0</v>
      </c>
      <c r="K3785" s="40">
        <v>0</v>
      </c>
      <c r="L3785" s="40" t="s">
        <v>115</v>
      </c>
      <c r="O3785" s="40" t="s">
        <v>115</v>
      </c>
      <c r="Q3785" s="40">
        <v>163</v>
      </c>
      <c r="R3785" s="40">
        <v>269</v>
      </c>
      <c r="X3785" s="40">
        <v>90290103</v>
      </c>
      <c r="Y3785" s="40" t="s">
        <v>115</v>
      </c>
      <c r="Z3785" s="40" t="s">
        <v>115</v>
      </c>
      <c r="AA3785" s="40" t="s">
        <v>115</v>
      </c>
      <c r="AB3785" s="40" t="s">
        <v>115</v>
      </c>
      <c r="AC3785" s="40" t="s">
        <v>115</v>
      </c>
      <c r="AI3785" s="40" t="s">
        <v>115</v>
      </c>
      <c r="AP3785" s="4" t="s">
        <v>115</v>
      </c>
    </row>
    <row r="3786" spans="1:42" x14ac:dyDescent="0.15">
      <c r="A3786" s="40" t="s">
        <v>1</v>
      </c>
      <c r="B3786" s="23">
        <v>90290103</v>
      </c>
      <c r="C3786" s="23">
        <v>2901</v>
      </c>
      <c r="D3786" s="23">
        <v>29</v>
      </c>
      <c r="F3786" s="23" t="s">
        <v>116</v>
      </c>
      <c r="G3786" s="23">
        <v>259</v>
      </c>
      <c r="H3786" s="23" t="s">
        <v>6509</v>
      </c>
      <c r="I3786" s="23">
        <v>0</v>
      </c>
      <c r="J3786" s="40">
        <v>0</v>
      </c>
      <c r="K3786" s="40">
        <v>0</v>
      </c>
      <c r="L3786" s="40" t="s">
        <v>115</v>
      </c>
      <c r="O3786" s="40" t="s">
        <v>115</v>
      </c>
      <c r="Q3786" s="40">
        <v>163</v>
      </c>
      <c r="R3786" s="40">
        <v>269</v>
      </c>
      <c r="X3786" s="40">
        <v>90290104</v>
      </c>
      <c r="Y3786" s="40" t="s">
        <v>115</v>
      </c>
      <c r="Z3786" s="40" t="s">
        <v>115</v>
      </c>
      <c r="AA3786" s="40" t="s">
        <v>115</v>
      </c>
      <c r="AB3786" s="40" t="s">
        <v>115</v>
      </c>
      <c r="AC3786" s="40" t="s">
        <v>115</v>
      </c>
      <c r="AI3786" s="40" t="s">
        <v>115</v>
      </c>
      <c r="AP3786" s="4" t="s">
        <v>115</v>
      </c>
    </row>
    <row r="3787" spans="1:42" x14ac:dyDescent="0.15">
      <c r="A3787" s="40" t="s">
        <v>1</v>
      </c>
      <c r="B3787" s="23">
        <v>90290104</v>
      </c>
      <c r="C3787" s="23">
        <v>2901</v>
      </c>
      <c r="D3787" s="23">
        <v>29</v>
      </c>
      <c r="F3787" s="23" t="s">
        <v>115</v>
      </c>
      <c r="G3787" s="23" t="s">
        <v>115</v>
      </c>
      <c r="H3787" s="23" t="s">
        <v>6510</v>
      </c>
      <c r="I3787" s="23">
        <v>4</v>
      </c>
      <c r="J3787" s="40">
        <v>0</v>
      </c>
      <c r="K3787" s="40">
        <v>0</v>
      </c>
      <c r="L3787" s="40" t="s">
        <v>115</v>
      </c>
      <c r="O3787" s="40" t="s">
        <v>115</v>
      </c>
      <c r="Q3787" s="40">
        <v>163</v>
      </c>
      <c r="R3787" s="40">
        <v>269</v>
      </c>
      <c r="X3787" s="40">
        <v>90290105</v>
      </c>
      <c r="Y3787" s="40" t="s">
        <v>115</v>
      </c>
      <c r="Z3787" s="40" t="s">
        <v>115</v>
      </c>
      <c r="AA3787" s="40" t="s">
        <v>115</v>
      </c>
      <c r="AB3787" s="40" t="s">
        <v>115</v>
      </c>
      <c r="AC3787" s="40" t="s">
        <v>115</v>
      </c>
      <c r="AI3787" s="40" t="s">
        <v>115</v>
      </c>
      <c r="AP3787" s="4" t="s">
        <v>115</v>
      </c>
    </row>
    <row r="3788" spans="1:42" x14ac:dyDescent="0.15">
      <c r="A3788" s="40" t="s">
        <v>1</v>
      </c>
      <c r="B3788" s="23">
        <v>90290105</v>
      </c>
      <c r="C3788" s="23">
        <v>2901</v>
      </c>
      <c r="D3788" s="23">
        <v>29</v>
      </c>
      <c r="F3788" s="23" t="s">
        <v>256</v>
      </c>
      <c r="G3788" s="23" t="s">
        <v>115</v>
      </c>
      <c r="H3788" s="23" t="s">
        <v>6511</v>
      </c>
      <c r="I3788" s="23">
        <v>3</v>
      </c>
      <c r="J3788" s="40">
        <v>0</v>
      </c>
      <c r="K3788" s="40">
        <v>0</v>
      </c>
      <c r="L3788" s="40" t="s">
        <v>115</v>
      </c>
      <c r="O3788" s="40" t="s">
        <v>115</v>
      </c>
      <c r="Q3788" s="40">
        <v>163</v>
      </c>
      <c r="R3788" s="40">
        <v>269</v>
      </c>
      <c r="X3788" s="40">
        <v>90290106</v>
      </c>
      <c r="Y3788" s="40" t="s">
        <v>115</v>
      </c>
      <c r="Z3788" s="40" t="s">
        <v>115</v>
      </c>
      <c r="AA3788" s="40" t="s">
        <v>115</v>
      </c>
      <c r="AB3788" s="40" t="s">
        <v>115</v>
      </c>
      <c r="AC3788" s="40" t="s">
        <v>115</v>
      </c>
      <c r="AI3788" s="40" t="s">
        <v>115</v>
      </c>
      <c r="AP3788" s="4" t="s">
        <v>115</v>
      </c>
    </row>
    <row r="3789" spans="1:42" x14ac:dyDescent="0.15">
      <c r="A3789" s="40" t="s">
        <v>1</v>
      </c>
      <c r="B3789" s="23">
        <v>90290106</v>
      </c>
      <c r="C3789" s="23">
        <v>2901</v>
      </c>
      <c r="D3789" s="23">
        <v>29</v>
      </c>
      <c r="F3789" s="23" t="s">
        <v>256</v>
      </c>
      <c r="G3789" s="23" t="s">
        <v>115</v>
      </c>
      <c r="H3789" s="23" t="s">
        <v>6512</v>
      </c>
      <c r="I3789" s="23">
        <v>3</v>
      </c>
      <c r="J3789" s="40">
        <v>0</v>
      </c>
      <c r="K3789" s="40">
        <v>0</v>
      </c>
      <c r="L3789" s="40" t="s">
        <v>115</v>
      </c>
      <c r="O3789" s="40" t="s">
        <v>115</v>
      </c>
      <c r="Q3789" s="40">
        <v>163</v>
      </c>
      <c r="R3789" s="40">
        <v>269</v>
      </c>
      <c r="X3789" s="40">
        <v>90290107</v>
      </c>
      <c r="Y3789" s="40" t="s">
        <v>115</v>
      </c>
      <c r="Z3789" s="40" t="s">
        <v>115</v>
      </c>
      <c r="AA3789" s="40" t="s">
        <v>115</v>
      </c>
      <c r="AB3789" s="40" t="s">
        <v>115</v>
      </c>
      <c r="AC3789" s="40" t="s">
        <v>115</v>
      </c>
      <c r="AI3789" s="40" t="s">
        <v>115</v>
      </c>
      <c r="AP3789" s="4" t="s">
        <v>115</v>
      </c>
    </row>
    <row r="3790" spans="1:42" x14ac:dyDescent="0.15">
      <c r="A3790" s="40" t="s">
        <v>1</v>
      </c>
      <c r="B3790" s="23">
        <v>90290107</v>
      </c>
      <c r="C3790" s="23">
        <v>2901</v>
      </c>
      <c r="D3790" s="23">
        <v>29</v>
      </c>
      <c r="F3790" s="23" t="s">
        <v>115</v>
      </c>
      <c r="G3790" s="23" t="s">
        <v>115</v>
      </c>
      <c r="H3790" s="23" t="s">
        <v>6513</v>
      </c>
      <c r="I3790" s="23">
        <v>4</v>
      </c>
      <c r="J3790" s="40">
        <v>0</v>
      </c>
      <c r="K3790" s="40">
        <v>0</v>
      </c>
      <c r="L3790" s="40" t="s">
        <v>115</v>
      </c>
      <c r="O3790" s="40" t="s">
        <v>115</v>
      </c>
      <c r="Q3790" s="40">
        <v>163</v>
      </c>
      <c r="R3790" s="40">
        <v>269</v>
      </c>
      <c r="X3790" s="40">
        <v>90290108</v>
      </c>
      <c r="Y3790" s="40" t="s">
        <v>115</v>
      </c>
      <c r="Z3790" s="40" t="s">
        <v>115</v>
      </c>
      <c r="AA3790" s="40" t="s">
        <v>115</v>
      </c>
      <c r="AB3790" s="40" t="s">
        <v>115</v>
      </c>
      <c r="AC3790" s="40" t="s">
        <v>115</v>
      </c>
      <c r="AI3790" s="40" t="s">
        <v>115</v>
      </c>
      <c r="AP3790" s="4" t="s">
        <v>115</v>
      </c>
    </row>
    <row r="3791" spans="1:42" x14ac:dyDescent="0.15">
      <c r="A3791" s="40" t="s">
        <v>1</v>
      </c>
      <c r="B3791" s="23">
        <v>90290108</v>
      </c>
      <c r="C3791" s="23">
        <v>2901</v>
      </c>
      <c r="D3791" s="23">
        <v>29</v>
      </c>
      <c r="F3791" s="23" t="s">
        <v>116</v>
      </c>
      <c r="G3791" s="23">
        <v>274</v>
      </c>
      <c r="H3791" s="23" t="s">
        <v>6514</v>
      </c>
      <c r="I3791" s="23">
        <v>0</v>
      </c>
      <c r="J3791" s="40">
        <v>0</v>
      </c>
      <c r="K3791" s="40">
        <v>0</v>
      </c>
      <c r="L3791" s="40" t="s">
        <v>115</v>
      </c>
      <c r="O3791" s="40" t="s">
        <v>115</v>
      </c>
      <c r="Q3791" s="40">
        <v>163</v>
      </c>
      <c r="R3791" s="40">
        <v>269</v>
      </c>
      <c r="X3791" s="40">
        <v>90290109</v>
      </c>
      <c r="Y3791" s="40" t="s">
        <v>115</v>
      </c>
      <c r="Z3791" s="40" t="s">
        <v>115</v>
      </c>
      <c r="AA3791" s="40" t="s">
        <v>115</v>
      </c>
      <c r="AB3791" s="40" t="s">
        <v>115</v>
      </c>
      <c r="AC3791" s="40" t="s">
        <v>115</v>
      </c>
      <c r="AI3791" s="40" t="s">
        <v>115</v>
      </c>
      <c r="AP3791" s="4" t="s">
        <v>115</v>
      </c>
    </row>
    <row r="3792" spans="1:42" x14ac:dyDescent="0.15">
      <c r="A3792" s="40" t="s">
        <v>1</v>
      </c>
      <c r="B3792" s="23">
        <v>90290109</v>
      </c>
      <c r="C3792" s="23">
        <v>2901</v>
      </c>
      <c r="D3792" s="23">
        <v>29</v>
      </c>
      <c r="F3792" s="23" t="s">
        <v>256</v>
      </c>
      <c r="G3792" s="23" t="s">
        <v>115</v>
      </c>
      <c r="H3792" s="23" t="s">
        <v>6515</v>
      </c>
      <c r="I3792" s="23">
        <v>3</v>
      </c>
      <c r="J3792" s="40">
        <v>0</v>
      </c>
      <c r="K3792" s="40">
        <v>0</v>
      </c>
      <c r="L3792" s="40" t="s">
        <v>115</v>
      </c>
      <c r="O3792" s="40" t="s">
        <v>115</v>
      </c>
      <c r="Q3792" s="40">
        <v>163</v>
      </c>
      <c r="R3792" s="40">
        <v>269</v>
      </c>
      <c r="X3792" s="40">
        <v>90290110</v>
      </c>
      <c r="Y3792" s="40" t="s">
        <v>115</v>
      </c>
      <c r="Z3792" s="40" t="s">
        <v>115</v>
      </c>
      <c r="AA3792" s="40" t="s">
        <v>115</v>
      </c>
      <c r="AB3792" s="40" t="s">
        <v>115</v>
      </c>
      <c r="AC3792" s="40" t="s">
        <v>115</v>
      </c>
      <c r="AI3792" s="40" t="s">
        <v>115</v>
      </c>
      <c r="AP3792" s="4" t="s">
        <v>115</v>
      </c>
    </row>
    <row r="3793" spans="1:42" x14ac:dyDescent="0.15">
      <c r="A3793" s="40" t="s">
        <v>1</v>
      </c>
      <c r="B3793" s="23">
        <v>90290110</v>
      </c>
      <c r="C3793" s="23">
        <v>2901</v>
      </c>
      <c r="D3793" s="23">
        <v>29</v>
      </c>
      <c r="F3793" s="23" t="s">
        <v>115</v>
      </c>
      <c r="G3793" s="23" t="s">
        <v>115</v>
      </c>
      <c r="H3793" s="23" t="s">
        <v>6516</v>
      </c>
      <c r="I3793" s="23">
        <v>4</v>
      </c>
      <c r="J3793" s="40">
        <v>0</v>
      </c>
      <c r="K3793" s="40">
        <v>2</v>
      </c>
      <c r="L3793" s="40" t="s">
        <v>115</v>
      </c>
      <c r="O3793" s="40">
        <v>1</v>
      </c>
      <c r="Q3793" s="40">
        <v>163</v>
      </c>
      <c r="R3793" s="40" t="s">
        <v>115</v>
      </c>
      <c r="X3793" s="40" t="s">
        <v>115</v>
      </c>
      <c r="Y3793" s="40" t="s">
        <v>115</v>
      </c>
      <c r="Z3793" s="40">
        <v>1</v>
      </c>
      <c r="AA3793" s="40" t="s">
        <v>115</v>
      </c>
      <c r="AB3793" s="40" t="s">
        <v>115</v>
      </c>
      <c r="AC3793" s="40" t="s">
        <v>115</v>
      </c>
      <c r="AI3793" s="40" t="s">
        <v>115</v>
      </c>
      <c r="AP3793" s="4" t="s">
        <v>6517</v>
      </c>
    </row>
    <row r="3794" spans="1:42" x14ac:dyDescent="0.15">
      <c r="A3794" s="40" t="s">
        <v>1</v>
      </c>
      <c r="B3794" s="23" t="s">
        <v>4926</v>
      </c>
      <c r="C3794" s="23">
        <v>2902</v>
      </c>
      <c r="D3794" s="23">
        <v>29</v>
      </c>
      <c r="F3794" s="23" t="s">
        <v>115</v>
      </c>
      <c r="G3794" s="23" t="s">
        <v>115</v>
      </c>
      <c r="H3794" s="23" t="s">
        <v>6518</v>
      </c>
      <c r="I3794" s="23">
        <v>4</v>
      </c>
      <c r="J3794" s="40">
        <v>1</v>
      </c>
      <c r="K3794" s="40">
        <v>1</v>
      </c>
      <c r="L3794" s="40" t="s">
        <v>115</v>
      </c>
      <c r="O3794" s="40" t="s">
        <v>115</v>
      </c>
      <c r="Q3794" s="40">
        <v>34</v>
      </c>
      <c r="R3794" s="40" t="s">
        <v>115</v>
      </c>
      <c r="X3794" s="40">
        <v>90290202</v>
      </c>
      <c r="Y3794" s="40" t="s">
        <v>115</v>
      </c>
      <c r="Z3794" s="40" t="s">
        <v>115</v>
      </c>
      <c r="AA3794" s="40" t="s">
        <v>115</v>
      </c>
      <c r="AB3794" s="40" t="s">
        <v>115</v>
      </c>
      <c r="AC3794" s="40" t="s">
        <v>115</v>
      </c>
      <c r="AI3794" s="40" t="s">
        <v>115</v>
      </c>
      <c r="AP3794" s="4" t="s">
        <v>115</v>
      </c>
    </row>
    <row r="3795" spans="1:42" x14ac:dyDescent="0.15">
      <c r="A3795" s="40" t="s">
        <v>1</v>
      </c>
      <c r="B3795" s="23">
        <v>90290202</v>
      </c>
      <c r="C3795" s="23">
        <v>2902</v>
      </c>
      <c r="D3795" s="23">
        <v>29</v>
      </c>
      <c r="F3795" s="23" t="s">
        <v>116</v>
      </c>
      <c r="G3795" s="23">
        <v>261</v>
      </c>
      <c r="H3795" s="23" t="s">
        <v>6519</v>
      </c>
      <c r="I3795" s="23">
        <v>0</v>
      </c>
      <c r="J3795" s="40">
        <v>0</v>
      </c>
      <c r="K3795" s="40">
        <v>0</v>
      </c>
      <c r="L3795" s="40" t="s">
        <v>115</v>
      </c>
      <c r="O3795" s="40" t="s">
        <v>115</v>
      </c>
      <c r="Q3795" s="40">
        <v>34</v>
      </c>
      <c r="R3795" s="40" t="s">
        <v>115</v>
      </c>
      <c r="X3795" s="40">
        <v>90290203</v>
      </c>
      <c r="Y3795" s="40" t="s">
        <v>115</v>
      </c>
      <c r="Z3795" s="40" t="s">
        <v>115</v>
      </c>
      <c r="AA3795" s="40" t="s">
        <v>115</v>
      </c>
      <c r="AB3795" s="40" t="s">
        <v>115</v>
      </c>
      <c r="AC3795" s="40" t="s">
        <v>115</v>
      </c>
      <c r="AI3795" s="40" t="s">
        <v>115</v>
      </c>
      <c r="AP3795" s="4" t="s">
        <v>115</v>
      </c>
    </row>
    <row r="3796" spans="1:42" x14ac:dyDescent="0.15">
      <c r="A3796" s="40" t="s">
        <v>1</v>
      </c>
      <c r="B3796" s="23">
        <v>90290203</v>
      </c>
      <c r="C3796" s="23">
        <v>2902</v>
      </c>
      <c r="D3796" s="23">
        <v>29</v>
      </c>
      <c r="F3796" s="23" t="s">
        <v>6520</v>
      </c>
      <c r="G3796" s="23" t="s">
        <v>115</v>
      </c>
      <c r="H3796" s="23" t="s">
        <v>6521</v>
      </c>
      <c r="I3796" s="23">
        <v>3</v>
      </c>
      <c r="J3796" s="40">
        <v>0</v>
      </c>
      <c r="K3796" s="40">
        <v>0</v>
      </c>
      <c r="L3796" s="40" t="s">
        <v>115</v>
      </c>
      <c r="O3796" s="40" t="s">
        <v>115</v>
      </c>
      <c r="Q3796" s="40">
        <v>34</v>
      </c>
      <c r="R3796" s="40">
        <v>16</v>
      </c>
      <c r="X3796" s="40">
        <v>90290204</v>
      </c>
      <c r="Y3796" s="40" t="s">
        <v>115</v>
      </c>
      <c r="Z3796" s="40" t="s">
        <v>115</v>
      </c>
      <c r="AA3796" s="40" t="s">
        <v>115</v>
      </c>
      <c r="AB3796" s="40" t="s">
        <v>115</v>
      </c>
      <c r="AC3796" s="40" t="s">
        <v>115</v>
      </c>
      <c r="AI3796" s="40" t="s">
        <v>115</v>
      </c>
      <c r="AP3796" s="4" t="s">
        <v>115</v>
      </c>
    </row>
    <row r="3797" spans="1:42" x14ac:dyDescent="0.15">
      <c r="A3797" s="40" t="s">
        <v>1</v>
      </c>
      <c r="B3797" s="23">
        <v>90290204</v>
      </c>
      <c r="C3797" s="23">
        <v>2902</v>
      </c>
      <c r="D3797" s="23">
        <v>29</v>
      </c>
      <c r="F3797" s="23" t="s">
        <v>115</v>
      </c>
      <c r="G3797" s="23" t="s">
        <v>115</v>
      </c>
      <c r="H3797" s="23" t="s">
        <v>6522</v>
      </c>
      <c r="I3797" s="23">
        <v>4</v>
      </c>
      <c r="J3797" s="40">
        <v>0</v>
      </c>
      <c r="K3797" s="40">
        <v>0</v>
      </c>
      <c r="L3797" s="40" t="s">
        <v>115</v>
      </c>
      <c r="O3797" s="40" t="s">
        <v>115</v>
      </c>
      <c r="Q3797" s="40">
        <v>34</v>
      </c>
      <c r="R3797" s="40">
        <v>16</v>
      </c>
      <c r="X3797" s="40">
        <v>90290205</v>
      </c>
      <c r="Y3797" s="40" t="s">
        <v>115</v>
      </c>
      <c r="Z3797" s="40" t="s">
        <v>115</v>
      </c>
      <c r="AA3797" s="40" t="s">
        <v>115</v>
      </c>
      <c r="AB3797" s="40" t="s">
        <v>115</v>
      </c>
      <c r="AC3797" s="40" t="s">
        <v>115</v>
      </c>
      <c r="AI3797" s="40" t="s">
        <v>115</v>
      </c>
      <c r="AP3797" s="4" t="s">
        <v>115</v>
      </c>
    </row>
    <row r="3798" spans="1:42" x14ac:dyDescent="0.15">
      <c r="A3798" s="40" t="s">
        <v>1</v>
      </c>
      <c r="B3798" s="23">
        <v>90290205</v>
      </c>
      <c r="C3798" s="23">
        <v>2902</v>
      </c>
      <c r="D3798" s="23">
        <v>29</v>
      </c>
      <c r="F3798" s="23" t="s">
        <v>116</v>
      </c>
      <c r="G3798" s="23">
        <v>274</v>
      </c>
      <c r="H3798" s="23" t="s">
        <v>6523</v>
      </c>
      <c r="I3798" s="23">
        <v>0</v>
      </c>
      <c r="J3798" s="40">
        <v>0</v>
      </c>
      <c r="K3798" s="40">
        <v>0</v>
      </c>
      <c r="L3798" s="40" t="s">
        <v>115</v>
      </c>
      <c r="O3798" s="40" t="s">
        <v>115</v>
      </c>
      <c r="Q3798" s="40">
        <v>34</v>
      </c>
      <c r="R3798" s="40">
        <v>16</v>
      </c>
      <c r="X3798" s="40">
        <v>90290206</v>
      </c>
      <c r="Y3798" s="40" t="s">
        <v>115</v>
      </c>
      <c r="Z3798" s="40" t="s">
        <v>115</v>
      </c>
      <c r="AA3798" s="40" t="s">
        <v>115</v>
      </c>
      <c r="AB3798" s="40" t="s">
        <v>115</v>
      </c>
      <c r="AC3798" s="40" t="s">
        <v>115</v>
      </c>
      <c r="AI3798" s="40" t="s">
        <v>115</v>
      </c>
      <c r="AP3798" s="4" t="s">
        <v>115</v>
      </c>
    </row>
    <row r="3799" spans="1:42" x14ac:dyDescent="0.15">
      <c r="A3799" s="40" t="s">
        <v>1</v>
      </c>
      <c r="B3799" s="23">
        <v>90290206</v>
      </c>
      <c r="C3799" s="23">
        <v>2902</v>
      </c>
      <c r="D3799" s="23">
        <v>29</v>
      </c>
      <c r="F3799" s="23" t="s">
        <v>6520</v>
      </c>
      <c r="G3799" s="23" t="s">
        <v>115</v>
      </c>
      <c r="H3799" s="23" t="s">
        <v>6524</v>
      </c>
      <c r="I3799" s="23">
        <v>3</v>
      </c>
      <c r="J3799" s="40">
        <v>0</v>
      </c>
      <c r="K3799" s="40">
        <v>0</v>
      </c>
      <c r="L3799" s="40" t="s">
        <v>115</v>
      </c>
      <c r="O3799" s="40" t="s">
        <v>115</v>
      </c>
      <c r="Q3799" s="40">
        <v>34</v>
      </c>
      <c r="R3799" s="40">
        <v>16</v>
      </c>
      <c r="X3799" s="40">
        <v>90290207</v>
      </c>
      <c r="Y3799" s="40" t="s">
        <v>115</v>
      </c>
      <c r="Z3799" s="40" t="s">
        <v>115</v>
      </c>
      <c r="AA3799" s="40" t="s">
        <v>115</v>
      </c>
      <c r="AB3799" s="40" t="s">
        <v>115</v>
      </c>
      <c r="AC3799" s="40" t="s">
        <v>115</v>
      </c>
      <c r="AI3799" s="40" t="s">
        <v>115</v>
      </c>
      <c r="AP3799" s="4" t="s">
        <v>115</v>
      </c>
    </row>
    <row r="3800" spans="1:42" x14ac:dyDescent="0.15">
      <c r="A3800" s="40" t="s">
        <v>1</v>
      </c>
      <c r="B3800" s="23">
        <v>90290207</v>
      </c>
      <c r="C3800" s="23">
        <v>2902</v>
      </c>
      <c r="D3800" s="23">
        <v>29</v>
      </c>
      <c r="F3800" s="23" t="s">
        <v>115</v>
      </c>
      <c r="G3800" s="23" t="s">
        <v>115</v>
      </c>
      <c r="H3800" s="23" t="s">
        <v>6525</v>
      </c>
      <c r="I3800" s="23">
        <v>4</v>
      </c>
      <c r="J3800" s="40">
        <v>0</v>
      </c>
      <c r="K3800" s="40">
        <v>0</v>
      </c>
      <c r="L3800" s="40" t="s">
        <v>115</v>
      </c>
      <c r="O3800" s="40" t="s">
        <v>115</v>
      </c>
      <c r="Q3800" s="40">
        <v>34</v>
      </c>
      <c r="R3800" s="40">
        <v>16</v>
      </c>
      <c r="X3800" s="40">
        <v>90290208</v>
      </c>
      <c r="Y3800" s="40" t="s">
        <v>115</v>
      </c>
      <c r="Z3800" s="40" t="s">
        <v>115</v>
      </c>
      <c r="AA3800" s="40" t="s">
        <v>115</v>
      </c>
      <c r="AB3800" s="40" t="s">
        <v>115</v>
      </c>
      <c r="AC3800" s="40" t="s">
        <v>115</v>
      </c>
      <c r="AI3800" s="40" t="s">
        <v>115</v>
      </c>
      <c r="AP3800" s="4" t="s">
        <v>115</v>
      </c>
    </row>
    <row r="3801" spans="1:42" x14ac:dyDescent="0.15">
      <c r="A3801" s="40" t="s">
        <v>1</v>
      </c>
      <c r="B3801" s="23">
        <v>90290208</v>
      </c>
      <c r="C3801" s="23">
        <v>2902</v>
      </c>
      <c r="D3801" s="23">
        <v>29</v>
      </c>
      <c r="F3801" s="23" t="s">
        <v>115</v>
      </c>
      <c r="G3801" s="23" t="s">
        <v>115</v>
      </c>
      <c r="H3801" s="23" t="s">
        <v>6526</v>
      </c>
      <c r="I3801" s="23">
        <v>4</v>
      </c>
      <c r="J3801" s="40">
        <v>0</v>
      </c>
      <c r="K3801" s="40">
        <v>2</v>
      </c>
      <c r="L3801" s="40" t="s">
        <v>115</v>
      </c>
      <c r="O3801" s="40" t="s">
        <v>115</v>
      </c>
      <c r="Q3801" s="40">
        <v>34</v>
      </c>
      <c r="R3801" s="40">
        <v>16</v>
      </c>
      <c r="X3801" s="40" t="s">
        <v>6527</v>
      </c>
      <c r="Y3801" s="40">
        <v>1</v>
      </c>
      <c r="Z3801" s="40">
        <v>1</v>
      </c>
      <c r="AA3801" s="40" t="s">
        <v>115</v>
      </c>
      <c r="AB3801" s="40" t="s">
        <v>115</v>
      </c>
      <c r="AC3801" s="40" t="s">
        <v>115</v>
      </c>
      <c r="AI3801" s="40" t="s">
        <v>115</v>
      </c>
      <c r="AP3801" s="4" t="s">
        <v>115</v>
      </c>
    </row>
    <row r="3802" spans="1:42" x14ac:dyDescent="0.15">
      <c r="A3802" s="40" t="s">
        <v>1</v>
      </c>
      <c r="B3802" s="23">
        <v>90290209</v>
      </c>
      <c r="C3802" s="23">
        <v>2902</v>
      </c>
      <c r="D3802" s="23">
        <v>29</v>
      </c>
      <c r="F3802" s="23" t="s">
        <v>115</v>
      </c>
      <c r="G3802" s="23" t="s">
        <v>115</v>
      </c>
      <c r="H3802" s="23" t="s">
        <v>6528</v>
      </c>
      <c r="I3802" s="23">
        <v>4</v>
      </c>
      <c r="J3802" s="40">
        <v>0</v>
      </c>
      <c r="K3802" s="40">
        <v>3</v>
      </c>
      <c r="L3802" s="40" t="s">
        <v>115</v>
      </c>
      <c r="O3802" s="40" t="s">
        <v>115</v>
      </c>
      <c r="Q3802" s="40">
        <v>34</v>
      </c>
      <c r="R3802" s="40">
        <v>16</v>
      </c>
      <c r="X3802" s="40">
        <v>90290211</v>
      </c>
      <c r="Y3802" s="40">
        <v>-1</v>
      </c>
      <c r="Z3802" s="40">
        <v>2</v>
      </c>
      <c r="AA3802" s="40" t="s">
        <v>6529</v>
      </c>
      <c r="AB3802" s="40" t="s">
        <v>115</v>
      </c>
      <c r="AC3802" s="40" t="s">
        <v>115</v>
      </c>
      <c r="AI3802" s="40" t="s">
        <v>115</v>
      </c>
      <c r="AP3802" s="4" t="s">
        <v>115</v>
      </c>
    </row>
    <row r="3803" spans="1:42" x14ac:dyDescent="0.15">
      <c r="A3803" s="40" t="s">
        <v>1</v>
      </c>
      <c r="B3803" s="23">
        <v>90290210</v>
      </c>
      <c r="C3803" s="23">
        <v>2902</v>
      </c>
      <c r="D3803" s="23">
        <v>29</v>
      </c>
      <c r="F3803" s="23" t="s">
        <v>115</v>
      </c>
      <c r="G3803" s="23" t="s">
        <v>115</v>
      </c>
      <c r="H3803" s="23" t="s">
        <v>6530</v>
      </c>
      <c r="I3803" s="23">
        <v>4</v>
      </c>
      <c r="J3803" s="40">
        <v>0</v>
      </c>
      <c r="K3803" s="40">
        <v>4</v>
      </c>
      <c r="L3803" s="40" t="s">
        <v>115</v>
      </c>
      <c r="O3803" s="40" t="s">
        <v>115</v>
      </c>
      <c r="Q3803" s="40">
        <v>34</v>
      </c>
      <c r="R3803" s="40">
        <v>16</v>
      </c>
      <c r="X3803" s="40">
        <v>90290212</v>
      </c>
      <c r="Y3803" s="40">
        <v>-1</v>
      </c>
      <c r="Z3803" s="40">
        <v>2</v>
      </c>
      <c r="AA3803" s="40" t="s">
        <v>115</v>
      </c>
      <c r="AB3803" s="40" t="s">
        <v>115</v>
      </c>
      <c r="AC3803" s="40" t="s">
        <v>6531</v>
      </c>
      <c r="AI3803" s="40" t="s">
        <v>115</v>
      </c>
      <c r="AP3803" s="4" t="s">
        <v>115</v>
      </c>
    </row>
    <row r="3804" spans="1:42" x14ac:dyDescent="0.15">
      <c r="A3804" s="40" t="s">
        <v>1</v>
      </c>
      <c r="B3804" s="23">
        <v>90290211</v>
      </c>
      <c r="C3804" s="23">
        <v>2902</v>
      </c>
      <c r="D3804" s="23">
        <v>29</v>
      </c>
      <c r="F3804" s="23" t="s">
        <v>6520</v>
      </c>
      <c r="G3804" s="23" t="s">
        <v>115</v>
      </c>
      <c r="H3804" s="23" t="s">
        <v>7284</v>
      </c>
      <c r="I3804" s="23">
        <v>3</v>
      </c>
      <c r="J3804" s="40">
        <v>0</v>
      </c>
      <c r="K3804" s="40">
        <v>0</v>
      </c>
      <c r="L3804" s="40" t="s">
        <v>115</v>
      </c>
      <c r="O3804" s="40" t="s">
        <v>115</v>
      </c>
      <c r="Q3804" s="40">
        <v>34</v>
      </c>
      <c r="R3804" s="40">
        <v>16</v>
      </c>
      <c r="X3804" s="40">
        <v>90290213</v>
      </c>
      <c r="Y3804" s="40" t="s">
        <v>115</v>
      </c>
      <c r="Z3804" s="40" t="s">
        <v>115</v>
      </c>
      <c r="AA3804" s="40" t="s">
        <v>115</v>
      </c>
      <c r="AB3804" s="40" t="s">
        <v>115</v>
      </c>
      <c r="AC3804" s="40" t="s">
        <v>115</v>
      </c>
      <c r="AI3804" s="40" t="s">
        <v>115</v>
      </c>
      <c r="AP3804" s="4" t="s">
        <v>115</v>
      </c>
    </row>
    <row r="3805" spans="1:42" x14ac:dyDescent="0.15">
      <c r="A3805" s="40" t="s">
        <v>1</v>
      </c>
      <c r="B3805" s="23">
        <v>90290212</v>
      </c>
      <c r="C3805" s="23">
        <v>2902</v>
      </c>
      <c r="D3805" s="23">
        <v>29</v>
      </c>
      <c r="F3805" s="23" t="s">
        <v>6520</v>
      </c>
      <c r="G3805" s="23" t="s">
        <v>115</v>
      </c>
      <c r="H3805" s="23" t="s">
        <v>7285</v>
      </c>
      <c r="I3805" s="23">
        <v>3</v>
      </c>
      <c r="J3805" s="40">
        <v>0</v>
      </c>
      <c r="K3805" s="40">
        <v>0</v>
      </c>
      <c r="L3805" s="40" t="s">
        <v>115</v>
      </c>
      <c r="O3805" s="40" t="s">
        <v>115</v>
      </c>
      <c r="Q3805" s="40">
        <v>34</v>
      </c>
      <c r="R3805" s="40">
        <v>16</v>
      </c>
      <c r="X3805" s="40">
        <v>90290213</v>
      </c>
      <c r="Y3805" s="40" t="s">
        <v>115</v>
      </c>
      <c r="Z3805" s="40" t="s">
        <v>115</v>
      </c>
      <c r="AA3805" s="40" t="s">
        <v>115</v>
      </c>
      <c r="AB3805" s="40" t="s">
        <v>115</v>
      </c>
      <c r="AC3805" s="40" t="s">
        <v>115</v>
      </c>
      <c r="AI3805" s="40" t="s">
        <v>115</v>
      </c>
      <c r="AP3805" s="4" t="s">
        <v>115</v>
      </c>
    </row>
    <row r="3806" spans="1:42" x14ac:dyDescent="0.15">
      <c r="A3806" s="40" t="s">
        <v>1</v>
      </c>
      <c r="B3806" s="23">
        <v>90290213</v>
      </c>
      <c r="C3806" s="23">
        <v>2902</v>
      </c>
      <c r="D3806" s="23">
        <v>29</v>
      </c>
      <c r="F3806" s="23" t="s">
        <v>6520</v>
      </c>
      <c r="G3806" s="23" t="s">
        <v>115</v>
      </c>
      <c r="H3806" s="23" t="s">
        <v>6532</v>
      </c>
      <c r="I3806" s="23">
        <v>3</v>
      </c>
      <c r="J3806" s="40">
        <v>0</v>
      </c>
      <c r="K3806" s="40">
        <v>5</v>
      </c>
      <c r="L3806" s="40" t="s">
        <v>6533</v>
      </c>
      <c r="O3806" s="40" t="s">
        <v>115</v>
      </c>
      <c r="Q3806" s="40">
        <v>34</v>
      </c>
      <c r="R3806" s="40">
        <v>16</v>
      </c>
      <c r="X3806" s="40">
        <v>90290214</v>
      </c>
      <c r="Y3806" s="40" t="s">
        <v>115</v>
      </c>
      <c r="Z3806" s="40">
        <v>4</v>
      </c>
      <c r="AA3806" s="40" t="s">
        <v>115</v>
      </c>
      <c r="AB3806" s="40" t="s">
        <v>115</v>
      </c>
      <c r="AC3806" s="40" t="s">
        <v>115</v>
      </c>
      <c r="AI3806" s="40" t="s">
        <v>115</v>
      </c>
      <c r="AP3806" s="4" t="s">
        <v>115</v>
      </c>
    </row>
    <row r="3807" spans="1:42" x14ac:dyDescent="0.15">
      <c r="A3807" s="40" t="s">
        <v>1</v>
      </c>
      <c r="B3807" s="23">
        <v>90290214</v>
      </c>
      <c r="C3807" s="23">
        <v>2902</v>
      </c>
      <c r="D3807" s="23">
        <v>29</v>
      </c>
      <c r="F3807" s="23" t="s">
        <v>6520</v>
      </c>
      <c r="G3807" s="23" t="s">
        <v>115</v>
      </c>
      <c r="H3807" s="23" t="s">
        <v>7286</v>
      </c>
      <c r="I3807" s="23">
        <v>3</v>
      </c>
      <c r="J3807" s="40">
        <v>0</v>
      </c>
      <c r="K3807" s="40">
        <v>0</v>
      </c>
      <c r="L3807" s="40" t="s">
        <v>115</v>
      </c>
      <c r="O3807" s="40" t="s">
        <v>115</v>
      </c>
      <c r="Q3807" s="40">
        <v>34</v>
      </c>
      <c r="R3807" s="40">
        <v>16</v>
      </c>
      <c r="X3807" s="40">
        <v>90290215</v>
      </c>
      <c r="Y3807" s="40" t="s">
        <v>115</v>
      </c>
      <c r="Z3807" s="40" t="s">
        <v>115</v>
      </c>
      <c r="AA3807" s="40" t="s">
        <v>115</v>
      </c>
      <c r="AB3807" s="40" t="s">
        <v>115</v>
      </c>
      <c r="AC3807" s="40" t="s">
        <v>115</v>
      </c>
      <c r="AI3807" s="40" t="s">
        <v>115</v>
      </c>
      <c r="AP3807" s="4" t="s">
        <v>115</v>
      </c>
    </row>
    <row r="3808" spans="1:42" x14ac:dyDescent="0.15">
      <c r="A3808" s="40" t="s">
        <v>1</v>
      </c>
      <c r="B3808" s="23">
        <v>90290215</v>
      </c>
      <c r="C3808" s="23">
        <v>2902</v>
      </c>
      <c r="D3808" s="23">
        <v>29</v>
      </c>
      <c r="F3808" s="23" t="s">
        <v>116</v>
      </c>
      <c r="G3808" s="23">
        <v>275</v>
      </c>
      <c r="H3808" s="23" t="s">
        <v>7287</v>
      </c>
      <c r="I3808" s="23">
        <v>0</v>
      </c>
      <c r="J3808" s="40">
        <v>0</v>
      </c>
      <c r="K3808" s="40">
        <v>0</v>
      </c>
      <c r="L3808" s="40" t="s">
        <v>115</v>
      </c>
      <c r="O3808" s="40" t="s">
        <v>115</v>
      </c>
      <c r="Q3808" s="40">
        <v>34</v>
      </c>
      <c r="R3808" s="40">
        <v>16</v>
      </c>
      <c r="X3808" s="40">
        <v>90290216</v>
      </c>
      <c r="Y3808" s="40" t="s">
        <v>115</v>
      </c>
      <c r="Z3808" s="40" t="s">
        <v>115</v>
      </c>
      <c r="AA3808" s="40" t="s">
        <v>115</v>
      </c>
      <c r="AB3808" s="40" t="s">
        <v>115</v>
      </c>
      <c r="AC3808" s="40" t="s">
        <v>115</v>
      </c>
      <c r="AI3808" s="40" t="s">
        <v>115</v>
      </c>
      <c r="AP3808" s="4" t="s">
        <v>115</v>
      </c>
    </row>
    <row r="3809" spans="1:42" x14ac:dyDescent="0.15">
      <c r="A3809" s="40" t="s">
        <v>1</v>
      </c>
      <c r="B3809" s="23">
        <v>90290216</v>
      </c>
      <c r="C3809" s="23">
        <v>2902</v>
      </c>
      <c r="D3809" s="23">
        <v>29</v>
      </c>
      <c r="F3809" s="23" t="s">
        <v>6520</v>
      </c>
      <c r="G3809" s="23" t="s">
        <v>115</v>
      </c>
      <c r="H3809" s="23" t="s">
        <v>7288</v>
      </c>
      <c r="I3809" s="23">
        <v>3</v>
      </c>
      <c r="J3809" s="40">
        <v>0</v>
      </c>
      <c r="K3809" s="40">
        <v>0</v>
      </c>
      <c r="L3809" s="40" t="s">
        <v>115</v>
      </c>
      <c r="O3809" s="40" t="s">
        <v>115</v>
      </c>
      <c r="Q3809" s="40">
        <v>34</v>
      </c>
      <c r="R3809" s="40">
        <v>16</v>
      </c>
      <c r="X3809" s="40">
        <v>90290217</v>
      </c>
      <c r="Y3809" s="40" t="s">
        <v>115</v>
      </c>
      <c r="Z3809" s="40" t="s">
        <v>115</v>
      </c>
      <c r="AA3809" s="40" t="s">
        <v>115</v>
      </c>
      <c r="AB3809" s="40" t="s">
        <v>115</v>
      </c>
      <c r="AC3809" s="40" t="s">
        <v>115</v>
      </c>
      <c r="AI3809" s="40" t="s">
        <v>115</v>
      </c>
      <c r="AP3809" s="4" t="s">
        <v>115</v>
      </c>
    </row>
    <row r="3810" spans="1:42" x14ac:dyDescent="0.15">
      <c r="A3810" s="40" t="s">
        <v>1</v>
      </c>
      <c r="B3810" s="23">
        <v>90290217</v>
      </c>
      <c r="C3810" s="23">
        <v>2902</v>
      </c>
      <c r="D3810" s="23">
        <v>29</v>
      </c>
      <c r="F3810" s="23" t="s">
        <v>6520</v>
      </c>
      <c r="G3810" s="23" t="s">
        <v>115</v>
      </c>
      <c r="H3810" s="23" t="s">
        <v>7289</v>
      </c>
      <c r="I3810" s="23">
        <v>3</v>
      </c>
      <c r="J3810" s="40">
        <v>0</v>
      </c>
      <c r="K3810" s="40">
        <v>0</v>
      </c>
      <c r="L3810" s="40" t="s">
        <v>115</v>
      </c>
      <c r="O3810" s="40" t="s">
        <v>115</v>
      </c>
      <c r="Q3810" s="40">
        <v>34</v>
      </c>
      <c r="R3810" s="40">
        <v>16</v>
      </c>
      <c r="X3810" s="40">
        <v>90290218</v>
      </c>
      <c r="Y3810" s="40" t="s">
        <v>115</v>
      </c>
      <c r="Z3810" s="40" t="s">
        <v>115</v>
      </c>
      <c r="AA3810" s="40" t="s">
        <v>115</v>
      </c>
      <c r="AB3810" s="40" t="s">
        <v>115</v>
      </c>
      <c r="AC3810" s="40" t="s">
        <v>115</v>
      </c>
      <c r="AI3810" s="40" t="s">
        <v>115</v>
      </c>
      <c r="AP3810" s="4" t="s">
        <v>115</v>
      </c>
    </row>
    <row r="3811" spans="1:42" x14ac:dyDescent="0.15">
      <c r="A3811" s="40" t="s">
        <v>1</v>
      </c>
      <c r="B3811" s="23">
        <v>90290218</v>
      </c>
      <c r="C3811" s="23">
        <v>2902</v>
      </c>
      <c r="D3811" s="23">
        <v>29</v>
      </c>
      <c r="F3811" s="23" t="s">
        <v>6520</v>
      </c>
      <c r="G3811" s="23" t="s">
        <v>115</v>
      </c>
      <c r="H3811" s="23" t="s">
        <v>7290</v>
      </c>
      <c r="I3811" s="23">
        <v>3</v>
      </c>
      <c r="J3811" s="40">
        <v>0</v>
      </c>
      <c r="K3811" s="40">
        <v>0</v>
      </c>
      <c r="L3811" s="40" t="s">
        <v>115</v>
      </c>
      <c r="O3811" s="40" t="s">
        <v>115</v>
      </c>
      <c r="Q3811" s="40">
        <v>34</v>
      </c>
      <c r="R3811" s="40">
        <v>16</v>
      </c>
      <c r="X3811" s="40">
        <v>90290219</v>
      </c>
      <c r="Y3811" s="40" t="s">
        <v>115</v>
      </c>
      <c r="Z3811" s="40" t="s">
        <v>115</v>
      </c>
      <c r="AA3811" s="40" t="s">
        <v>115</v>
      </c>
      <c r="AB3811" s="40" t="s">
        <v>115</v>
      </c>
      <c r="AC3811" s="40" t="s">
        <v>115</v>
      </c>
      <c r="AI3811" s="40" t="s">
        <v>115</v>
      </c>
      <c r="AP3811" s="4" t="s">
        <v>115</v>
      </c>
    </row>
    <row r="3812" spans="1:42" x14ac:dyDescent="0.15">
      <c r="A3812" s="40" t="s">
        <v>1</v>
      </c>
      <c r="B3812" s="23">
        <v>90290219</v>
      </c>
      <c r="C3812" s="23">
        <v>2902</v>
      </c>
      <c r="D3812" s="23">
        <v>29</v>
      </c>
      <c r="F3812" s="23" t="s">
        <v>6520</v>
      </c>
      <c r="G3812" s="23" t="s">
        <v>115</v>
      </c>
      <c r="H3812" s="23" t="s">
        <v>7291</v>
      </c>
      <c r="I3812" s="23">
        <v>3</v>
      </c>
      <c r="J3812" s="40">
        <v>0</v>
      </c>
      <c r="K3812" s="40">
        <v>0</v>
      </c>
      <c r="L3812" s="40" t="s">
        <v>115</v>
      </c>
      <c r="O3812" s="40" t="s">
        <v>115</v>
      </c>
      <c r="Q3812" s="40">
        <v>34</v>
      </c>
      <c r="R3812" s="40" t="s">
        <v>115</v>
      </c>
      <c r="X3812" s="40">
        <v>90290220</v>
      </c>
      <c r="Y3812" s="40" t="s">
        <v>115</v>
      </c>
      <c r="Z3812" s="40" t="s">
        <v>115</v>
      </c>
      <c r="AA3812" s="40" t="s">
        <v>115</v>
      </c>
      <c r="AB3812" s="40" t="s">
        <v>115</v>
      </c>
      <c r="AC3812" s="40" t="s">
        <v>115</v>
      </c>
      <c r="AI3812" s="40" t="s">
        <v>115</v>
      </c>
      <c r="AP3812" s="4" t="s">
        <v>115</v>
      </c>
    </row>
    <row r="3813" spans="1:42" x14ac:dyDescent="0.15">
      <c r="A3813" s="40" t="s">
        <v>1</v>
      </c>
      <c r="B3813" s="23">
        <v>90290220</v>
      </c>
      <c r="C3813" s="23">
        <v>2902</v>
      </c>
      <c r="D3813" s="23">
        <v>29</v>
      </c>
      <c r="F3813" s="23" t="s">
        <v>116</v>
      </c>
      <c r="G3813" s="23">
        <v>259</v>
      </c>
      <c r="H3813" s="23" t="s">
        <v>7292</v>
      </c>
      <c r="I3813" s="23">
        <v>2</v>
      </c>
      <c r="J3813" s="40">
        <v>0</v>
      </c>
      <c r="K3813" s="40">
        <v>6</v>
      </c>
      <c r="L3813" s="40" t="s">
        <v>115</v>
      </c>
      <c r="O3813" s="40">
        <v>1</v>
      </c>
      <c r="Q3813" s="40">
        <v>34</v>
      </c>
      <c r="R3813" s="40" t="s">
        <v>115</v>
      </c>
      <c r="X3813" s="40" t="s">
        <v>115</v>
      </c>
      <c r="Y3813" s="40" t="s">
        <v>115</v>
      </c>
      <c r="Z3813" s="40">
        <v>5</v>
      </c>
      <c r="AA3813" s="40" t="s">
        <v>115</v>
      </c>
      <c r="AB3813" s="40" t="s">
        <v>115</v>
      </c>
      <c r="AC3813" s="40" t="s">
        <v>115</v>
      </c>
      <c r="AI3813" s="40" t="s">
        <v>115</v>
      </c>
      <c r="AP3813" s="4" t="s">
        <v>6534</v>
      </c>
    </row>
    <row r="3814" spans="1:42" x14ac:dyDescent="0.15">
      <c r="A3814" s="40" t="s">
        <v>1</v>
      </c>
      <c r="B3814" s="23" t="s">
        <v>4927</v>
      </c>
      <c r="C3814" s="23">
        <v>2903</v>
      </c>
      <c r="D3814" s="23">
        <v>29</v>
      </c>
      <c r="F3814" s="23" t="s">
        <v>115</v>
      </c>
      <c r="G3814" s="23" t="s">
        <v>115</v>
      </c>
      <c r="H3814" s="23" t="s">
        <v>6535</v>
      </c>
      <c r="I3814" s="23">
        <v>4</v>
      </c>
      <c r="J3814" s="40">
        <v>1</v>
      </c>
      <c r="K3814" s="40">
        <v>1</v>
      </c>
      <c r="L3814" s="40" t="s">
        <v>115</v>
      </c>
      <c r="O3814" s="40" t="s">
        <v>115</v>
      </c>
      <c r="Q3814" s="40">
        <v>137</v>
      </c>
      <c r="R3814" s="40" t="s">
        <v>115</v>
      </c>
      <c r="X3814" s="40">
        <v>90290302</v>
      </c>
      <c r="Y3814" s="40" t="s">
        <v>115</v>
      </c>
      <c r="Z3814" s="40" t="s">
        <v>115</v>
      </c>
      <c r="AA3814" s="40" t="s">
        <v>115</v>
      </c>
      <c r="AB3814" s="40" t="s">
        <v>115</v>
      </c>
      <c r="AC3814" s="40" t="s">
        <v>115</v>
      </c>
      <c r="AI3814" s="40" t="s">
        <v>115</v>
      </c>
      <c r="AP3814" s="4" t="s">
        <v>115</v>
      </c>
    </row>
    <row r="3815" spans="1:42" x14ac:dyDescent="0.15">
      <c r="A3815" s="40" t="s">
        <v>1</v>
      </c>
      <c r="B3815" s="23">
        <v>90290302</v>
      </c>
      <c r="C3815" s="23">
        <v>2903</v>
      </c>
      <c r="D3815" s="23">
        <v>29</v>
      </c>
      <c r="F3815" s="23" t="s">
        <v>116</v>
      </c>
      <c r="G3815" s="23">
        <v>275</v>
      </c>
      <c r="H3815" s="23" t="s">
        <v>6536</v>
      </c>
      <c r="I3815" s="23">
        <v>0</v>
      </c>
      <c r="J3815" s="40">
        <v>0</v>
      </c>
      <c r="K3815" s="40">
        <v>0</v>
      </c>
      <c r="L3815" s="40" t="s">
        <v>115</v>
      </c>
      <c r="O3815" s="40" t="s">
        <v>115</v>
      </c>
      <c r="Q3815" s="40">
        <v>137</v>
      </c>
      <c r="R3815" s="40" t="s">
        <v>115</v>
      </c>
      <c r="X3815" s="40">
        <v>90290303</v>
      </c>
      <c r="Y3815" s="40" t="s">
        <v>115</v>
      </c>
      <c r="Z3815" s="40" t="s">
        <v>115</v>
      </c>
      <c r="AA3815" s="40" t="s">
        <v>115</v>
      </c>
      <c r="AB3815" s="40" t="s">
        <v>115</v>
      </c>
      <c r="AC3815" s="40" t="s">
        <v>115</v>
      </c>
      <c r="AI3815" s="40" t="s">
        <v>115</v>
      </c>
      <c r="AP3815" s="4" t="s">
        <v>115</v>
      </c>
    </row>
    <row r="3816" spans="1:42" x14ac:dyDescent="0.15">
      <c r="A3816" s="40" t="s">
        <v>1</v>
      </c>
      <c r="B3816" s="23">
        <v>90290303</v>
      </c>
      <c r="C3816" s="23">
        <v>2903</v>
      </c>
      <c r="D3816" s="23">
        <v>29</v>
      </c>
      <c r="F3816" s="23" t="s">
        <v>115</v>
      </c>
      <c r="G3816" s="23" t="s">
        <v>115</v>
      </c>
      <c r="H3816" s="23" t="s">
        <v>6537</v>
      </c>
      <c r="I3816" s="23">
        <v>4</v>
      </c>
      <c r="J3816" s="40">
        <v>0</v>
      </c>
      <c r="K3816" s="40">
        <v>2</v>
      </c>
      <c r="L3816" s="40" t="s">
        <v>115</v>
      </c>
      <c r="O3816" s="40" t="s">
        <v>115</v>
      </c>
      <c r="Q3816" s="40">
        <v>137</v>
      </c>
      <c r="R3816" s="40" t="s">
        <v>115</v>
      </c>
      <c r="X3816" s="40" t="s">
        <v>6538</v>
      </c>
      <c r="Y3816" s="40">
        <v>1</v>
      </c>
      <c r="Z3816" s="40">
        <v>1</v>
      </c>
      <c r="AA3816" s="40" t="s">
        <v>115</v>
      </c>
      <c r="AB3816" s="40" t="s">
        <v>115</v>
      </c>
      <c r="AC3816" s="40" t="s">
        <v>115</v>
      </c>
      <c r="AI3816" s="40" t="s">
        <v>115</v>
      </c>
      <c r="AP3816" s="4" t="s">
        <v>115</v>
      </c>
    </row>
    <row r="3817" spans="1:42" x14ac:dyDescent="0.15">
      <c r="A3817" s="40" t="s">
        <v>1</v>
      </c>
      <c r="B3817" s="23">
        <v>90290304</v>
      </c>
      <c r="C3817" s="23">
        <v>2903</v>
      </c>
      <c r="D3817" s="23">
        <v>29</v>
      </c>
      <c r="F3817" s="23" t="s">
        <v>115</v>
      </c>
      <c r="G3817" s="23" t="s">
        <v>115</v>
      </c>
      <c r="H3817" s="23" t="s">
        <v>6539</v>
      </c>
      <c r="I3817" s="23">
        <v>4</v>
      </c>
      <c r="J3817" s="40">
        <v>0</v>
      </c>
      <c r="K3817" s="40">
        <v>3</v>
      </c>
      <c r="L3817" s="40" t="s">
        <v>115</v>
      </c>
      <c r="O3817" s="40" t="s">
        <v>115</v>
      </c>
      <c r="Q3817" s="40">
        <v>137</v>
      </c>
      <c r="R3817" s="40" t="s">
        <v>115</v>
      </c>
      <c r="X3817" s="40">
        <v>90290306</v>
      </c>
      <c r="Y3817" s="40">
        <v>-1</v>
      </c>
      <c r="Z3817" s="40">
        <v>2</v>
      </c>
      <c r="AA3817" s="40" t="s">
        <v>6540</v>
      </c>
      <c r="AB3817" s="40" t="s">
        <v>115</v>
      </c>
      <c r="AC3817" s="40" t="s">
        <v>115</v>
      </c>
      <c r="AI3817" s="40" t="s">
        <v>115</v>
      </c>
      <c r="AP3817" s="4" t="s">
        <v>115</v>
      </c>
    </row>
    <row r="3818" spans="1:42" x14ac:dyDescent="0.15">
      <c r="A3818" s="40" t="s">
        <v>1</v>
      </c>
      <c r="B3818" s="23">
        <v>90290305</v>
      </c>
      <c r="C3818" s="23">
        <v>2903</v>
      </c>
      <c r="D3818" s="23">
        <v>29</v>
      </c>
      <c r="F3818" s="23" t="s">
        <v>115</v>
      </c>
      <c r="G3818" s="23" t="s">
        <v>115</v>
      </c>
      <c r="H3818" s="23" t="s">
        <v>6541</v>
      </c>
      <c r="I3818" s="23">
        <v>4</v>
      </c>
      <c r="J3818" s="40">
        <v>0</v>
      </c>
      <c r="K3818" s="40">
        <v>4</v>
      </c>
      <c r="L3818" s="40" t="s">
        <v>115</v>
      </c>
      <c r="O3818" s="40" t="s">
        <v>115</v>
      </c>
      <c r="Q3818" s="40">
        <v>137</v>
      </c>
      <c r="R3818" s="40" t="s">
        <v>115</v>
      </c>
      <c r="X3818" s="40">
        <v>90290308</v>
      </c>
      <c r="Y3818" s="40">
        <v>-1</v>
      </c>
      <c r="Z3818" s="40">
        <v>2</v>
      </c>
      <c r="AA3818" s="40" t="s">
        <v>115</v>
      </c>
      <c r="AB3818" s="40" t="s">
        <v>115</v>
      </c>
      <c r="AC3818" s="40" t="s">
        <v>6542</v>
      </c>
      <c r="AI3818" s="40" t="s">
        <v>115</v>
      </c>
      <c r="AP3818" s="4" t="s">
        <v>115</v>
      </c>
    </row>
    <row r="3819" spans="1:42" x14ac:dyDescent="0.15">
      <c r="A3819" s="40" t="s">
        <v>1</v>
      </c>
      <c r="B3819" s="23">
        <v>90290306</v>
      </c>
      <c r="C3819" s="23">
        <v>2903</v>
      </c>
      <c r="D3819" s="23">
        <v>29</v>
      </c>
      <c r="F3819" s="23" t="s">
        <v>115</v>
      </c>
      <c r="G3819" s="23" t="s">
        <v>115</v>
      </c>
      <c r="H3819" s="23" t="s">
        <v>6543</v>
      </c>
      <c r="I3819" s="23">
        <v>4</v>
      </c>
      <c r="J3819" s="40">
        <v>0</v>
      </c>
      <c r="K3819" s="40">
        <v>0</v>
      </c>
      <c r="L3819" s="40" t="s">
        <v>115</v>
      </c>
      <c r="O3819" s="40" t="s">
        <v>115</v>
      </c>
      <c r="Q3819" s="40">
        <v>104</v>
      </c>
      <c r="R3819" s="40" t="s">
        <v>115</v>
      </c>
      <c r="X3819" s="40">
        <v>90290307</v>
      </c>
      <c r="Y3819" s="40" t="s">
        <v>115</v>
      </c>
      <c r="Z3819" s="40" t="s">
        <v>115</v>
      </c>
      <c r="AA3819" s="40" t="s">
        <v>115</v>
      </c>
      <c r="AB3819" s="40" t="s">
        <v>115</v>
      </c>
      <c r="AC3819" s="40" t="s">
        <v>115</v>
      </c>
      <c r="AI3819" s="40" t="s">
        <v>115</v>
      </c>
      <c r="AP3819" s="4" t="s">
        <v>115</v>
      </c>
    </row>
    <row r="3820" spans="1:42" x14ac:dyDescent="0.15">
      <c r="A3820" s="40" t="s">
        <v>1</v>
      </c>
      <c r="B3820" s="23">
        <v>90290307</v>
      </c>
      <c r="C3820" s="23">
        <v>2903</v>
      </c>
      <c r="D3820" s="23">
        <v>29</v>
      </c>
      <c r="F3820" s="23" t="s">
        <v>115</v>
      </c>
      <c r="G3820" s="23" t="s">
        <v>115</v>
      </c>
      <c r="H3820" s="23" t="s">
        <v>6544</v>
      </c>
      <c r="I3820" s="23">
        <v>4</v>
      </c>
      <c r="J3820" s="40">
        <v>0</v>
      </c>
      <c r="K3820" s="40">
        <v>0</v>
      </c>
      <c r="L3820" s="40" t="s">
        <v>115</v>
      </c>
      <c r="O3820" s="40" t="s">
        <v>115</v>
      </c>
      <c r="Q3820" s="40">
        <v>104</v>
      </c>
      <c r="R3820" s="40" t="s">
        <v>115</v>
      </c>
      <c r="X3820" s="40">
        <v>90290309</v>
      </c>
      <c r="Y3820" s="40" t="s">
        <v>115</v>
      </c>
      <c r="Z3820" s="40" t="s">
        <v>115</v>
      </c>
      <c r="AA3820" s="40" t="s">
        <v>115</v>
      </c>
      <c r="AB3820" s="40" t="s">
        <v>115</v>
      </c>
      <c r="AC3820" s="40" t="s">
        <v>115</v>
      </c>
      <c r="AI3820" s="40" t="s">
        <v>115</v>
      </c>
      <c r="AP3820" s="4" t="s">
        <v>115</v>
      </c>
    </row>
    <row r="3821" spans="1:42" x14ac:dyDescent="0.15">
      <c r="A3821" s="40" t="s">
        <v>1</v>
      </c>
      <c r="B3821" s="23">
        <v>90290308</v>
      </c>
      <c r="C3821" s="23">
        <v>2903</v>
      </c>
      <c r="D3821" s="23">
        <v>29</v>
      </c>
      <c r="F3821" s="23" t="s">
        <v>115</v>
      </c>
      <c r="G3821" s="23" t="s">
        <v>115</v>
      </c>
      <c r="H3821" s="23" t="s">
        <v>6545</v>
      </c>
      <c r="I3821" s="23">
        <v>4</v>
      </c>
      <c r="J3821" s="40">
        <v>0</v>
      </c>
      <c r="K3821" s="40">
        <v>0</v>
      </c>
      <c r="L3821" s="40" t="s">
        <v>115</v>
      </c>
      <c r="O3821" s="40" t="s">
        <v>115</v>
      </c>
      <c r="Q3821" s="40">
        <v>104</v>
      </c>
      <c r="R3821" s="40" t="s">
        <v>115</v>
      </c>
      <c r="X3821" s="40">
        <v>90290309</v>
      </c>
      <c r="Y3821" s="40" t="s">
        <v>115</v>
      </c>
      <c r="Z3821" s="40" t="s">
        <v>115</v>
      </c>
      <c r="AA3821" s="40" t="s">
        <v>115</v>
      </c>
      <c r="AB3821" s="40" t="s">
        <v>115</v>
      </c>
      <c r="AC3821" s="40" t="s">
        <v>115</v>
      </c>
      <c r="AI3821" s="40" t="s">
        <v>115</v>
      </c>
      <c r="AP3821" s="4" t="s">
        <v>115</v>
      </c>
    </row>
    <row r="3822" spans="1:42" x14ac:dyDescent="0.15">
      <c r="A3822" s="40" t="s">
        <v>1</v>
      </c>
      <c r="B3822" s="23">
        <v>90290309</v>
      </c>
      <c r="C3822" s="23">
        <v>2903</v>
      </c>
      <c r="D3822" s="23">
        <v>29</v>
      </c>
      <c r="F3822" s="23" t="s">
        <v>6546</v>
      </c>
      <c r="G3822" s="23" t="s">
        <v>115</v>
      </c>
      <c r="H3822" s="23" t="s">
        <v>6547</v>
      </c>
      <c r="I3822" s="23">
        <v>3</v>
      </c>
      <c r="J3822" s="40">
        <v>0</v>
      </c>
      <c r="K3822" s="40">
        <v>0</v>
      </c>
      <c r="L3822" s="40" t="s">
        <v>115</v>
      </c>
      <c r="O3822" s="40" t="s">
        <v>115</v>
      </c>
      <c r="Q3822" s="40">
        <v>104</v>
      </c>
      <c r="R3822" s="40">
        <v>128</v>
      </c>
      <c r="X3822" s="40">
        <v>90290310</v>
      </c>
      <c r="Y3822" s="40" t="s">
        <v>115</v>
      </c>
      <c r="Z3822" s="40" t="s">
        <v>115</v>
      </c>
      <c r="AA3822" s="40" t="s">
        <v>115</v>
      </c>
      <c r="AB3822" s="40" t="s">
        <v>115</v>
      </c>
      <c r="AC3822" s="40" t="s">
        <v>115</v>
      </c>
      <c r="AI3822" s="40" t="s">
        <v>115</v>
      </c>
      <c r="AP3822" s="4" t="s">
        <v>115</v>
      </c>
    </row>
    <row r="3823" spans="1:42" x14ac:dyDescent="0.15">
      <c r="A3823" s="40" t="s">
        <v>1</v>
      </c>
      <c r="B3823" s="23">
        <v>90290310</v>
      </c>
      <c r="C3823" s="23">
        <v>2903</v>
      </c>
      <c r="D3823" s="23">
        <v>29</v>
      </c>
      <c r="F3823" s="23" t="s">
        <v>116</v>
      </c>
      <c r="G3823" s="23">
        <v>261</v>
      </c>
      <c r="H3823" s="23" t="s">
        <v>6548</v>
      </c>
      <c r="I3823" s="23">
        <v>0</v>
      </c>
      <c r="J3823" s="40">
        <v>0</v>
      </c>
      <c r="K3823" s="40">
        <v>0</v>
      </c>
      <c r="L3823" s="40" t="s">
        <v>115</v>
      </c>
      <c r="O3823" s="40" t="s">
        <v>115</v>
      </c>
      <c r="Q3823" s="40">
        <v>104</v>
      </c>
      <c r="R3823" s="40">
        <v>128</v>
      </c>
      <c r="X3823" s="40">
        <v>90290311</v>
      </c>
      <c r="Y3823" s="40" t="s">
        <v>115</v>
      </c>
      <c r="Z3823" s="40" t="s">
        <v>115</v>
      </c>
      <c r="AA3823" s="40" t="s">
        <v>115</v>
      </c>
      <c r="AB3823" s="40" t="s">
        <v>115</v>
      </c>
      <c r="AC3823" s="40" t="s">
        <v>115</v>
      </c>
      <c r="AI3823" s="40" t="s">
        <v>115</v>
      </c>
      <c r="AP3823" s="4" t="s">
        <v>115</v>
      </c>
    </row>
    <row r="3824" spans="1:42" x14ac:dyDescent="0.15">
      <c r="A3824" s="40" t="s">
        <v>1</v>
      </c>
      <c r="B3824" s="23">
        <v>90290311</v>
      </c>
      <c r="C3824" s="23">
        <v>2903</v>
      </c>
      <c r="D3824" s="23">
        <v>29</v>
      </c>
      <c r="F3824" s="23" t="s">
        <v>115</v>
      </c>
      <c r="G3824" s="23" t="s">
        <v>115</v>
      </c>
      <c r="H3824" s="23" t="s">
        <v>6549</v>
      </c>
      <c r="I3824" s="23">
        <v>4</v>
      </c>
      <c r="J3824" s="40">
        <v>0</v>
      </c>
      <c r="K3824" s="40">
        <v>0</v>
      </c>
      <c r="L3824" s="40" t="s">
        <v>115</v>
      </c>
      <c r="O3824" s="40" t="s">
        <v>115</v>
      </c>
      <c r="Q3824" s="40">
        <v>104</v>
      </c>
      <c r="R3824" s="40">
        <v>128</v>
      </c>
      <c r="X3824" s="40">
        <v>90290312</v>
      </c>
      <c r="Y3824" s="40" t="s">
        <v>115</v>
      </c>
      <c r="Z3824" s="40" t="s">
        <v>115</v>
      </c>
      <c r="AA3824" s="40" t="s">
        <v>115</v>
      </c>
      <c r="AB3824" s="40" t="s">
        <v>115</v>
      </c>
      <c r="AC3824" s="40" t="s">
        <v>115</v>
      </c>
      <c r="AI3824" s="40" t="s">
        <v>115</v>
      </c>
      <c r="AP3824" s="4" t="s">
        <v>115</v>
      </c>
    </row>
    <row r="3825" spans="1:42" x14ac:dyDescent="0.15">
      <c r="A3825" s="40" t="s">
        <v>1</v>
      </c>
      <c r="B3825" s="23">
        <v>90290312</v>
      </c>
      <c r="C3825" s="23">
        <v>2903</v>
      </c>
      <c r="D3825" s="23">
        <v>29</v>
      </c>
      <c r="F3825" s="23" t="s">
        <v>6546</v>
      </c>
      <c r="G3825" s="23" t="s">
        <v>115</v>
      </c>
      <c r="H3825" s="23" t="s">
        <v>6550</v>
      </c>
      <c r="I3825" s="23">
        <v>3</v>
      </c>
      <c r="J3825" s="40">
        <v>0</v>
      </c>
      <c r="K3825" s="40">
        <v>0</v>
      </c>
      <c r="L3825" s="40" t="s">
        <v>115</v>
      </c>
      <c r="O3825" s="40" t="s">
        <v>115</v>
      </c>
      <c r="Q3825" s="40">
        <v>104</v>
      </c>
      <c r="R3825" s="40">
        <v>128</v>
      </c>
      <c r="X3825" s="40">
        <v>90290313</v>
      </c>
      <c r="Y3825" s="40" t="s">
        <v>115</v>
      </c>
      <c r="Z3825" s="40" t="s">
        <v>115</v>
      </c>
      <c r="AA3825" s="40" t="s">
        <v>115</v>
      </c>
      <c r="AB3825" s="40" t="s">
        <v>115</v>
      </c>
      <c r="AC3825" s="40" t="s">
        <v>115</v>
      </c>
      <c r="AI3825" s="40" t="s">
        <v>115</v>
      </c>
      <c r="AP3825" s="4" t="s">
        <v>115</v>
      </c>
    </row>
    <row r="3826" spans="1:42" x14ac:dyDescent="0.15">
      <c r="A3826" s="40" t="s">
        <v>1</v>
      </c>
      <c r="B3826" s="23">
        <v>90290313</v>
      </c>
      <c r="C3826" s="23">
        <v>2903</v>
      </c>
      <c r="D3826" s="23">
        <v>29</v>
      </c>
      <c r="F3826" s="23" t="s">
        <v>116</v>
      </c>
      <c r="G3826" s="23">
        <v>275</v>
      </c>
      <c r="H3826" s="23" t="s">
        <v>6551</v>
      </c>
      <c r="I3826" s="23">
        <v>2</v>
      </c>
      <c r="J3826" s="40">
        <v>0</v>
      </c>
      <c r="K3826" s="40">
        <v>0</v>
      </c>
      <c r="L3826" s="40" t="s">
        <v>115</v>
      </c>
      <c r="O3826" s="40" t="s">
        <v>115</v>
      </c>
      <c r="Q3826" s="40">
        <v>104</v>
      </c>
      <c r="R3826" s="40">
        <v>128</v>
      </c>
      <c r="X3826" s="40">
        <v>90290314</v>
      </c>
      <c r="Y3826" s="40" t="s">
        <v>115</v>
      </c>
      <c r="Z3826" s="40" t="s">
        <v>115</v>
      </c>
      <c r="AA3826" s="40" t="s">
        <v>115</v>
      </c>
      <c r="AB3826" s="40" t="s">
        <v>115</v>
      </c>
      <c r="AC3826" s="40" t="s">
        <v>115</v>
      </c>
      <c r="AI3826" s="40" t="s">
        <v>115</v>
      </c>
      <c r="AP3826" s="4" t="s">
        <v>115</v>
      </c>
    </row>
    <row r="3827" spans="1:42" x14ac:dyDescent="0.15">
      <c r="A3827" s="40" t="s">
        <v>1</v>
      </c>
      <c r="B3827" s="23">
        <v>90290314</v>
      </c>
      <c r="C3827" s="23">
        <v>2903</v>
      </c>
      <c r="D3827" s="23">
        <v>29</v>
      </c>
      <c r="F3827" s="23" t="s">
        <v>116</v>
      </c>
      <c r="G3827" s="23">
        <v>261</v>
      </c>
      <c r="H3827" s="23" t="s">
        <v>6552</v>
      </c>
      <c r="I3827" s="23">
        <v>0</v>
      </c>
      <c r="J3827" s="40">
        <v>0</v>
      </c>
      <c r="K3827" s="40">
        <v>0</v>
      </c>
      <c r="L3827" s="40" t="s">
        <v>115</v>
      </c>
      <c r="O3827" s="40" t="s">
        <v>115</v>
      </c>
      <c r="Q3827" s="40">
        <v>104</v>
      </c>
      <c r="R3827" s="40">
        <v>128</v>
      </c>
      <c r="X3827" s="40">
        <v>90290315</v>
      </c>
      <c r="Y3827" s="40" t="s">
        <v>115</v>
      </c>
      <c r="Z3827" s="40" t="s">
        <v>115</v>
      </c>
      <c r="AA3827" s="40" t="s">
        <v>115</v>
      </c>
      <c r="AB3827" s="40" t="s">
        <v>115</v>
      </c>
      <c r="AC3827" s="40" t="s">
        <v>115</v>
      </c>
      <c r="AI3827" s="40" t="s">
        <v>115</v>
      </c>
      <c r="AP3827" s="4" t="s">
        <v>115</v>
      </c>
    </row>
    <row r="3828" spans="1:42" x14ac:dyDescent="0.15">
      <c r="A3828" s="40" t="s">
        <v>1</v>
      </c>
      <c r="B3828" s="23">
        <v>90290315</v>
      </c>
      <c r="C3828" s="23">
        <v>2903</v>
      </c>
      <c r="D3828" s="23">
        <v>29</v>
      </c>
      <c r="F3828" s="23" t="s">
        <v>116</v>
      </c>
      <c r="G3828" s="23" t="s">
        <v>115</v>
      </c>
      <c r="H3828" s="23" t="s">
        <v>6553</v>
      </c>
      <c r="I3828" s="23">
        <v>0</v>
      </c>
      <c r="J3828" s="40">
        <v>0</v>
      </c>
      <c r="K3828" s="40">
        <v>0</v>
      </c>
      <c r="L3828" s="40" t="s">
        <v>115</v>
      </c>
      <c r="O3828" s="40" t="s">
        <v>115</v>
      </c>
      <c r="Q3828" s="40">
        <v>104</v>
      </c>
      <c r="R3828" s="40">
        <v>128</v>
      </c>
      <c r="X3828" s="40">
        <v>90290316</v>
      </c>
      <c r="Y3828" s="40" t="s">
        <v>115</v>
      </c>
      <c r="Z3828" s="40" t="s">
        <v>115</v>
      </c>
      <c r="AA3828" s="40" t="s">
        <v>115</v>
      </c>
      <c r="AB3828" s="40" t="s">
        <v>115</v>
      </c>
      <c r="AC3828" s="40" t="s">
        <v>115</v>
      </c>
      <c r="AI3828" s="40" t="s">
        <v>115</v>
      </c>
      <c r="AP3828" s="4" t="s">
        <v>115</v>
      </c>
    </row>
    <row r="3829" spans="1:42" x14ac:dyDescent="0.15">
      <c r="A3829" s="40" t="s">
        <v>1</v>
      </c>
      <c r="B3829" s="23">
        <v>90290316</v>
      </c>
      <c r="C3829" s="23">
        <v>2903</v>
      </c>
      <c r="D3829" s="23">
        <v>29</v>
      </c>
      <c r="F3829" s="23" t="s">
        <v>6546</v>
      </c>
      <c r="G3829" s="23" t="s">
        <v>115</v>
      </c>
      <c r="H3829" s="23" t="s">
        <v>6554</v>
      </c>
      <c r="I3829" s="23">
        <v>3</v>
      </c>
      <c r="J3829" s="40">
        <v>0</v>
      </c>
      <c r="K3829" s="40">
        <v>0</v>
      </c>
      <c r="L3829" s="40" t="s">
        <v>115</v>
      </c>
      <c r="O3829" s="40" t="s">
        <v>115</v>
      </c>
      <c r="Q3829" s="40">
        <v>104</v>
      </c>
      <c r="R3829" s="40">
        <v>128</v>
      </c>
      <c r="X3829" s="40">
        <v>90290317</v>
      </c>
      <c r="Y3829" s="40" t="s">
        <v>115</v>
      </c>
      <c r="Z3829" s="40" t="s">
        <v>115</v>
      </c>
      <c r="AA3829" s="40" t="s">
        <v>115</v>
      </c>
      <c r="AB3829" s="40" t="s">
        <v>115</v>
      </c>
      <c r="AC3829" s="40" t="s">
        <v>115</v>
      </c>
      <c r="AI3829" s="40" t="s">
        <v>115</v>
      </c>
      <c r="AP3829" s="4" t="s">
        <v>115</v>
      </c>
    </row>
    <row r="3830" spans="1:42" x14ac:dyDescent="0.15">
      <c r="A3830" s="40" t="s">
        <v>1</v>
      </c>
      <c r="B3830" s="23">
        <v>90290317</v>
      </c>
      <c r="C3830" s="23">
        <v>2903</v>
      </c>
      <c r="D3830" s="23">
        <v>29</v>
      </c>
      <c r="F3830" s="23" t="s">
        <v>115</v>
      </c>
      <c r="G3830" s="23" t="s">
        <v>115</v>
      </c>
      <c r="H3830" s="23" t="s">
        <v>6555</v>
      </c>
      <c r="I3830" s="23">
        <v>4</v>
      </c>
      <c r="J3830" s="40">
        <v>0</v>
      </c>
      <c r="K3830" s="40">
        <v>0</v>
      </c>
      <c r="L3830" s="40" t="s">
        <v>115</v>
      </c>
      <c r="O3830" s="40" t="s">
        <v>115</v>
      </c>
      <c r="Q3830" s="40">
        <v>104</v>
      </c>
      <c r="R3830" s="40">
        <v>128</v>
      </c>
      <c r="X3830" s="40">
        <v>90290318</v>
      </c>
      <c r="Y3830" s="40" t="s">
        <v>115</v>
      </c>
      <c r="Z3830" s="40" t="s">
        <v>115</v>
      </c>
      <c r="AA3830" s="40" t="s">
        <v>115</v>
      </c>
      <c r="AB3830" s="40" t="s">
        <v>115</v>
      </c>
      <c r="AC3830" s="40" t="s">
        <v>115</v>
      </c>
      <c r="AI3830" s="40" t="s">
        <v>115</v>
      </c>
      <c r="AP3830" s="4" t="s">
        <v>115</v>
      </c>
    </row>
    <row r="3831" spans="1:42" x14ac:dyDescent="0.15">
      <c r="A3831" s="40" t="s">
        <v>1</v>
      </c>
      <c r="B3831" s="23">
        <v>90290318</v>
      </c>
      <c r="C3831" s="23">
        <v>2903</v>
      </c>
      <c r="D3831" s="23">
        <v>29</v>
      </c>
      <c r="F3831" s="23" t="s">
        <v>6546</v>
      </c>
      <c r="G3831" s="23" t="s">
        <v>115</v>
      </c>
      <c r="H3831" s="23" t="s">
        <v>6556</v>
      </c>
      <c r="I3831" s="23">
        <v>3</v>
      </c>
      <c r="J3831" s="40">
        <v>0</v>
      </c>
      <c r="K3831" s="40">
        <v>0</v>
      </c>
      <c r="L3831" s="40" t="s">
        <v>115</v>
      </c>
      <c r="O3831" s="40" t="s">
        <v>115</v>
      </c>
      <c r="Q3831" s="40">
        <v>104</v>
      </c>
      <c r="R3831" s="40">
        <v>128</v>
      </c>
      <c r="X3831" s="40">
        <v>90290319</v>
      </c>
      <c r="Y3831" s="40" t="s">
        <v>115</v>
      </c>
      <c r="Z3831" s="40" t="s">
        <v>115</v>
      </c>
      <c r="AA3831" s="40" t="s">
        <v>115</v>
      </c>
      <c r="AB3831" s="40" t="s">
        <v>115</v>
      </c>
      <c r="AC3831" s="40" t="s">
        <v>115</v>
      </c>
      <c r="AI3831" s="40" t="s">
        <v>115</v>
      </c>
      <c r="AP3831" s="4" t="s">
        <v>115</v>
      </c>
    </row>
    <row r="3832" spans="1:42" x14ac:dyDescent="0.15">
      <c r="A3832" s="40" t="s">
        <v>1</v>
      </c>
      <c r="B3832" s="23">
        <v>90290319</v>
      </c>
      <c r="C3832" s="23">
        <v>2903</v>
      </c>
      <c r="D3832" s="23">
        <v>29</v>
      </c>
      <c r="F3832" s="23" t="s">
        <v>115</v>
      </c>
      <c r="G3832" s="23" t="s">
        <v>115</v>
      </c>
      <c r="H3832" s="23" t="s">
        <v>6557</v>
      </c>
      <c r="I3832" s="23">
        <v>4</v>
      </c>
      <c r="J3832" s="40">
        <v>0</v>
      </c>
      <c r="K3832" s="40">
        <v>0</v>
      </c>
      <c r="L3832" s="40" t="s">
        <v>115</v>
      </c>
      <c r="O3832" s="40" t="s">
        <v>115</v>
      </c>
      <c r="Q3832" s="40">
        <v>104</v>
      </c>
      <c r="R3832" s="40">
        <v>128</v>
      </c>
      <c r="X3832" s="40">
        <v>90290320</v>
      </c>
      <c r="Y3832" s="40" t="s">
        <v>115</v>
      </c>
      <c r="Z3832" s="40" t="s">
        <v>115</v>
      </c>
      <c r="AA3832" s="40" t="s">
        <v>115</v>
      </c>
      <c r="AB3832" s="40" t="s">
        <v>115</v>
      </c>
      <c r="AC3832" s="40" t="s">
        <v>115</v>
      </c>
      <c r="AI3832" s="40" t="s">
        <v>115</v>
      </c>
      <c r="AP3832" s="4" t="s">
        <v>115</v>
      </c>
    </row>
    <row r="3833" spans="1:42" x14ac:dyDescent="0.15">
      <c r="A3833" s="40" t="s">
        <v>1</v>
      </c>
      <c r="B3833" s="23">
        <v>90290320</v>
      </c>
      <c r="C3833" s="23">
        <v>2903</v>
      </c>
      <c r="D3833" s="23">
        <v>29</v>
      </c>
      <c r="F3833" s="23" t="s">
        <v>116</v>
      </c>
      <c r="G3833" s="23">
        <v>275</v>
      </c>
      <c r="H3833" s="23" t="s">
        <v>6558</v>
      </c>
      <c r="I3833" s="23">
        <v>2</v>
      </c>
      <c r="J3833" s="40">
        <v>0</v>
      </c>
      <c r="K3833" s="40">
        <v>0</v>
      </c>
      <c r="L3833" s="40" t="s">
        <v>115</v>
      </c>
      <c r="O3833" s="40" t="s">
        <v>115</v>
      </c>
      <c r="Q3833" s="40">
        <v>104</v>
      </c>
      <c r="R3833" s="40">
        <v>128</v>
      </c>
      <c r="X3833" s="40">
        <v>90290321</v>
      </c>
      <c r="Y3833" s="40" t="s">
        <v>115</v>
      </c>
      <c r="Z3833" s="40" t="s">
        <v>115</v>
      </c>
      <c r="AA3833" s="40" t="s">
        <v>115</v>
      </c>
      <c r="AB3833" s="40" t="s">
        <v>115</v>
      </c>
      <c r="AC3833" s="40" t="s">
        <v>115</v>
      </c>
      <c r="AI3833" s="40" t="s">
        <v>115</v>
      </c>
      <c r="AP3833" s="4" t="s">
        <v>115</v>
      </c>
    </row>
    <row r="3834" spans="1:42" x14ac:dyDescent="0.15">
      <c r="A3834" s="40" t="s">
        <v>1</v>
      </c>
      <c r="B3834" s="23">
        <v>90290321</v>
      </c>
      <c r="C3834" s="23">
        <v>2903</v>
      </c>
      <c r="D3834" s="23">
        <v>29</v>
      </c>
      <c r="F3834" s="23" t="s">
        <v>116</v>
      </c>
      <c r="G3834" s="23">
        <v>261</v>
      </c>
      <c r="H3834" s="23" t="s">
        <v>6559</v>
      </c>
      <c r="I3834" s="23">
        <v>0</v>
      </c>
      <c r="J3834" s="40">
        <v>0</v>
      </c>
      <c r="K3834" s="40">
        <v>0</v>
      </c>
      <c r="L3834" s="40" t="s">
        <v>115</v>
      </c>
      <c r="O3834" s="40" t="s">
        <v>115</v>
      </c>
      <c r="Q3834" s="40">
        <v>104</v>
      </c>
      <c r="R3834" s="40">
        <v>128</v>
      </c>
      <c r="X3834" s="40">
        <v>90290322</v>
      </c>
      <c r="Y3834" s="40" t="s">
        <v>115</v>
      </c>
      <c r="Z3834" s="40" t="s">
        <v>115</v>
      </c>
      <c r="AA3834" s="40" t="s">
        <v>115</v>
      </c>
      <c r="AB3834" s="40" t="s">
        <v>115</v>
      </c>
      <c r="AC3834" s="40" t="s">
        <v>115</v>
      </c>
      <c r="AI3834" s="40" t="s">
        <v>115</v>
      </c>
      <c r="AP3834" s="4" t="s">
        <v>115</v>
      </c>
    </row>
    <row r="3835" spans="1:42" x14ac:dyDescent="0.15">
      <c r="A3835" s="40" t="s">
        <v>1</v>
      </c>
      <c r="B3835" s="23">
        <v>90290322</v>
      </c>
      <c r="C3835" s="23">
        <v>2903</v>
      </c>
      <c r="D3835" s="23">
        <v>29</v>
      </c>
      <c r="F3835" s="23" t="s">
        <v>6546</v>
      </c>
      <c r="G3835" s="23" t="s">
        <v>115</v>
      </c>
      <c r="H3835" s="23" t="s">
        <v>6560</v>
      </c>
      <c r="I3835" s="23">
        <v>3</v>
      </c>
      <c r="J3835" s="40">
        <v>0</v>
      </c>
      <c r="K3835" s="40">
        <v>0</v>
      </c>
      <c r="L3835" s="40" t="s">
        <v>115</v>
      </c>
      <c r="O3835" s="40" t="s">
        <v>115</v>
      </c>
      <c r="Q3835" s="40">
        <v>104</v>
      </c>
      <c r="R3835" s="40">
        <v>128</v>
      </c>
      <c r="X3835" s="40">
        <v>90290323</v>
      </c>
      <c r="Y3835" s="40" t="s">
        <v>115</v>
      </c>
      <c r="Z3835" s="40" t="s">
        <v>115</v>
      </c>
      <c r="AA3835" s="40" t="s">
        <v>115</v>
      </c>
      <c r="AB3835" s="40" t="s">
        <v>115</v>
      </c>
      <c r="AC3835" s="40" t="s">
        <v>115</v>
      </c>
      <c r="AI3835" s="40" t="s">
        <v>115</v>
      </c>
      <c r="AP3835" s="4" t="s">
        <v>115</v>
      </c>
    </row>
    <row r="3836" spans="1:42" x14ac:dyDescent="0.15">
      <c r="A3836" s="40" t="s">
        <v>1</v>
      </c>
      <c r="B3836" s="23">
        <v>90290323</v>
      </c>
      <c r="C3836" s="23">
        <v>2903</v>
      </c>
      <c r="D3836" s="23">
        <v>29</v>
      </c>
      <c r="F3836" s="23" t="s">
        <v>116</v>
      </c>
      <c r="G3836" s="23">
        <v>261</v>
      </c>
      <c r="H3836" s="23" t="s">
        <v>6561</v>
      </c>
      <c r="I3836" s="23">
        <v>0</v>
      </c>
      <c r="J3836" s="40">
        <v>0</v>
      </c>
      <c r="K3836" s="40">
        <v>0</v>
      </c>
      <c r="L3836" s="40" t="s">
        <v>115</v>
      </c>
      <c r="O3836" s="40" t="s">
        <v>115</v>
      </c>
      <c r="Q3836" s="40">
        <v>104</v>
      </c>
      <c r="R3836" s="40">
        <v>128</v>
      </c>
      <c r="X3836" s="40">
        <v>90290324</v>
      </c>
      <c r="Y3836" s="40" t="s">
        <v>115</v>
      </c>
      <c r="Z3836" s="40" t="s">
        <v>115</v>
      </c>
      <c r="AA3836" s="40" t="s">
        <v>115</v>
      </c>
      <c r="AB3836" s="40" t="s">
        <v>115</v>
      </c>
      <c r="AC3836" s="40" t="s">
        <v>115</v>
      </c>
      <c r="AI3836" s="40" t="s">
        <v>115</v>
      </c>
      <c r="AP3836" s="4" t="s">
        <v>115</v>
      </c>
    </row>
    <row r="3837" spans="1:42" x14ac:dyDescent="0.15">
      <c r="A3837" s="40" t="s">
        <v>1</v>
      </c>
      <c r="B3837" s="23">
        <v>90290324</v>
      </c>
      <c r="C3837" s="23">
        <v>2903</v>
      </c>
      <c r="D3837" s="23">
        <v>29</v>
      </c>
      <c r="F3837" s="23" t="s">
        <v>115</v>
      </c>
      <c r="G3837" s="23" t="s">
        <v>115</v>
      </c>
      <c r="H3837" s="23" t="s">
        <v>6562</v>
      </c>
      <c r="I3837" s="23">
        <v>4</v>
      </c>
      <c r="J3837" s="40">
        <v>0</v>
      </c>
      <c r="K3837" s="40">
        <v>5</v>
      </c>
      <c r="L3837" s="40" t="s">
        <v>6563</v>
      </c>
      <c r="O3837" s="40" t="s">
        <v>115</v>
      </c>
      <c r="Q3837" s="40">
        <v>104</v>
      </c>
      <c r="R3837" s="40">
        <v>128</v>
      </c>
      <c r="X3837" s="40">
        <v>90290325</v>
      </c>
      <c r="Y3837" s="40" t="s">
        <v>115</v>
      </c>
      <c r="Z3837" s="40">
        <v>4</v>
      </c>
      <c r="AA3837" s="40" t="s">
        <v>115</v>
      </c>
      <c r="AB3837" s="40" t="s">
        <v>115</v>
      </c>
      <c r="AC3837" s="40" t="s">
        <v>115</v>
      </c>
      <c r="AI3837" s="40" t="s">
        <v>115</v>
      </c>
      <c r="AP3837" s="4" t="s">
        <v>115</v>
      </c>
    </row>
    <row r="3838" spans="1:42" x14ac:dyDescent="0.15">
      <c r="A3838" s="40" t="s">
        <v>1</v>
      </c>
      <c r="B3838" s="23">
        <v>90290325</v>
      </c>
      <c r="C3838" s="23">
        <v>2903</v>
      </c>
      <c r="D3838" s="23">
        <v>29</v>
      </c>
      <c r="F3838" s="23" t="s">
        <v>115</v>
      </c>
      <c r="G3838" s="23" t="s">
        <v>115</v>
      </c>
      <c r="H3838" s="23" t="s">
        <v>6564</v>
      </c>
      <c r="I3838" s="23">
        <v>4</v>
      </c>
      <c r="J3838" s="40">
        <v>0</v>
      </c>
      <c r="K3838" s="40">
        <v>6</v>
      </c>
      <c r="L3838" s="40" t="s">
        <v>115</v>
      </c>
      <c r="O3838" s="40">
        <v>1</v>
      </c>
      <c r="Q3838" s="40">
        <v>104</v>
      </c>
      <c r="R3838" s="40" t="s">
        <v>115</v>
      </c>
      <c r="X3838" s="40" t="s">
        <v>115</v>
      </c>
      <c r="Y3838" s="40" t="s">
        <v>115</v>
      </c>
      <c r="Z3838" s="40">
        <v>5</v>
      </c>
      <c r="AA3838" s="40" t="s">
        <v>115</v>
      </c>
      <c r="AB3838" s="40" t="s">
        <v>115</v>
      </c>
      <c r="AC3838" s="40" t="s">
        <v>115</v>
      </c>
      <c r="AI3838" s="40" t="s">
        <v>115</v>
      </c>
      <c r="AP3838" s="4" t="s">
        <v>6565</v>
      </c>
    </row>
    <row r="3839" spans="1:42" x14ac:dyDescent="0.15">
      <c r="A3839" s="40" t="s">
        <v>1</v>
      </c>
      <c r="B3839" s="23" t="s">
        <v>4928</v>
      </c>
      <c r="C3839" s="23">
        <v>2904</v>
      </c>
      <c r="D3839" s="23">
        <v>29</v>
      </c>
      <c r="F3839" s="23" t="s">
        <v>256</v>
      </c>
      <c r="G3839" s="23" t="s">
        <v>115</v>
      </c>
      <c r="H3839" s="23" t="s">
        <v>6566</v>
      </c>
      <c r="I3839" s="23">
        <v>3</v>
      </c>
      <c r="J3839" s="40">
        <v>1</v>
      </c>
      <c r="K3839" s="40">
        <v>1</v>
      </c>
      <c r="L3839" s="40" t="s">
        <v>115</v>
      </c>
      <c r="O3839" s="40" t="s">
        <v>115</v>
      </c>
      <c r="Q3839" s="40">
        <v>163</v>
      </c>
      <c r="R3839" s="40">
        <v>269</v>
      </c>
      <c r="X3839" s="40">
        <v>90290402</v>
      </c>
      <c r="Y3839" s="40" t="s">
        <v>115</v>
      </c>
      <c r="Z3839" s="40" t="s">
        <v>115</v>
      </c>
      <c r="AA3839" s="40" t="s">
        <v>115</v>
      </c>
      <c r="AB3839" s="40" t="s">
        <v>115</v>
      </c>
      <c r="AC3839" s="40" t="s">
        <v>115</v>
      </c>
      <c r="AI3839" s="40" t="s">
        <v>115</v>
      </c>
      <c r="AP3839" s="4" t="s">
        <v>115</v>
      </c>
    </row>
    <row r="3840" spans="1:42" x14ac:dyDescent="0.15">
      <c r="A3840" s="40" t="s">
        <v>1</v>
      </c>
      <c r="B3840" s="23">
        <v>90290402</v>
      </c>
      <c r="C3840" s="23">
        <v>2904</v>
      </c>
      <c r="D3840" s="23">
        <v>29</v>
      </c>
      <c r="F3840" s="23" t="s">
        <v>115</v>
      </c>
      <c r="G3840" s="23" t="s">
        <v>115</v>
      </c>
      <c r="H3840" s="23" t="s">
        <v>6567</v>
      </c>
      <c r="I3840" s="23">
        <v>4</v>
      </c>
      <c r="J3840" s="40">
        <v>0</v>
      </c>
      <c r="K3840" s="40">
        <v>0</v>
      </c>
      <c r="L3840" s="40" t="s">
        <v>115</v>
      </c>
      <c r="O3840" s="40" t="s">
        <v>115</v>
      </c>
      <c r="Q3840" s="40">
        <v>163</v>
      </c>
      <c r="R3840" s="40">
        <v>269</v>
      </c>
      <c r="X3840" s="40">
        <v>90290403</v>
      </c>
      <c r="Y3840" s="40" t="s">
        <v>115</v>
      </c>
      <c r="Z3840" s="40" t="s">
        <v>115</v>
      </c>
      <c r="AA3840" s="40" t="s">
        <v>115</v>
      </c>
      <c r="AB3840" s="40" t="s">
        <v>115</v>
      </c>
      <c r="AC3840" s="40" t="s">
        <v>115</v>
      </c>
      <c r="AI3840" s="40" t="s">
        <v>115</v>
      </c>
      <c r="AP3840" s="4" t="s">
        <v>115</v>
      </c>
    </row>
    <row r="3841" spans="1:42" x14ac:dyDescent="0.15">
      <c r="A3841" s="40" t="s">
        <v>1</v>
      </c>
      <c r="B3841" s="23">
        <v>90290403</v>
      </c>
      <c r="C3841" s="23">
        <v>2904</v>
      </c>
      <c r="D3841" s="23">
        <v>29</v>
      </c>
      <c r="F3841" s="23" t="s">
        <v>116</v>
      </c>
      <c r="G3841" s="23">
        <v>261</v>
      </c>
      <c r="H3841" s="23" t="s">
        <v>6568</v>
      </c>
      <c r="I3841" s="23">
        <v>0</v>
      </c>
      <c r="J3841" s="40">
        <v>0</v>
      </c>
      <c r="K3841" s="40">
        <v>0</v>
      </c>
      <c r="L3841" s="40" t="s">
        <v>115</v>
      </c>
      <c r="O3841" s="40" t="s">
        <v>115</v>
      </c>
      <c r="Q3841" s="40">
        <v>163</v>
      </c>
      <c r="R3841" s="40">
        <v>269</v>
      </c>
      <c r="X3841" s="40">
        <v>90290404</v>
      </c>
      <c r="Y3841" s="40" t="s">
        <v>115</v>
      </c>
      <c r="Z3841" s="40" t="s">
        <v>115</v>
      </c>
      <c r="AA3841" s="40" t="s">
        <v>115</v>
      </c>
      <c r="AB3841" s="40" t="s">
        <v>115</v>
      </c>
      <c r="AC3841" s="40" t="s">
        <v>115</v>
      </c>
      <c r="AI3841" s="40" t="s">
        <v>115</v>
      </c>
      <c r="AP3841" s="4" t="s">
        <v>115</v>
      </c>
    </row>
    <row r="3842" spans="1:42" x14ac:dyDescent="0.15">
      <c r="A3842" s="40" t="s">
        <v>1</v>
      </c>
      <c r="B3842" s="23">
        <v>90290404</v>
      </c>
      <c r="C3842" s="23">
        <v>2904</v>
      </c>
      <c r="D3842" s="23">
        <v>29</v>
      </c>
      <c r="F3842" s="23" t="s">
        <v>115</v>
      </c>
      <c r="G3842" s="23" t="s">
        <v>115</v>
      </c>
      <c r="H3842" s="23" t="s">
        <v>6569</v>
      </c>
      <c r="I3842" s="23">
        <v>4</v>
      </c>
      <c r="J3842" s="40">
        <v>0</v>
      </c>
      <c r="K3842" s="40">
        <v>0</v>
      </c>
      <c r="L3842" s="40" t="s">
        <v>115</v>
      </c>
      <c r="O3842" s="40" t="s">
        <v>115</v>
      </c>
      <c r="Q3842" s="40">
        <v>163</v>
      </c>
      <c r="R3842" s="40">
        <v>269</v>
      </c>
      <c r="X3842" s="40">
        <v>90290405</v>
      </c>
      <c r="Y3842" s="40" t="s">
        <v>115</v>
      </c>
      <c r="Z3842" s="40" t="s">
        <v>115</v>
      </c>
      <c r="AA3842" s="40" t="s">
        <v>115</v>
      </c>
      <c r="AB3842" s="40" t="s">
        <v>115</v>
      </c>
      <c r="AC3842" s="40" t="s">
        <v>115</v>
      </c>
      <c r="AI3842" s="40" t="s">
        <v>115</v>
      </c>
      <c r="AP3842" s="4" t="s">
        <v>115</v>
      </c>
    </row>
    <row r="3843" spans="1:42" x14ac:dyDescent="0.15">
      <c r="A3843" s="40" t="s">
        <v>1</v>
      </c>
      <c r="B3843" s="23">
        <v>90290405</v>
      </c>
      <c r="C3843" s="23">
        <v>2904</v>
      </c>
      <c r="D3843" s="23">
        <v>29</v>
      </c>
      <c r="F3843" s="23" t="s">
        <v>256</v>
      </c>
      <c r="G3843" s="23" t="s">
        <v>115</v>
      </c>
      <c r="H3843" s="23" t="s">
        <v>6570</v>
      </c>
      <c r="I3843" s="23">
        <v>3</v>
      </c>
      <c r="J3843" s="40">
        <v>0</v>
      </c>
      <c r="K3843" s="40">
        <v>0</v>
      </c>
      <c r="L3843" s="40" t="s">
        <v>115</v>
      </c>
      <c r="O3843" s="40" t="s">
        <v>115</v>
      </c>
      <c r="Q3843" s="40">
        <v>163</v>
      </c>
      <c r="R3843" s="40">
        <v>269</v>
      </c>
      <c r="X3843" s="40">
        <v>90290406</v>
      </c>
      <c r="Y3843" s="40" t="s">
        <v>115</v>
      </c>
      <c r="Z3843" s="40" t="s">
        <v>115</v>
      </c>
      <c r="AA3843" s="40" t="s">
        <v>115</v>
      </c>
      <c r="AB3843" s="40" t="s">
        <v>115</v>
      </c>
      <c r="AC3843" s="40" t="s">
        <v>115</v>
      </c>
      <c r="AI3843" s="40" t="s">
        <v>115</v>
      </c>
      <c r="AP3843" s="4" t="s">
        <v>115</v>
      </c>
    </row>
    <row r="3844" spans="1:42" x14ac:dyDescent="0.15">
      <c r="A3844" s="40" t="s">
        <v>1</v>
      </c>
      <c r="B3844" s="23">
        <v>90290406</v>
      </c>
      <c r="C3844" s="23">
        <v>2904</v>
      </c>
      <c r="D3844" s="23">
        <v>29</v>
      </c>
      <c r="F3844" s="23" t="s">
        <v>115</v>
      </c>
      <c r="G3844" s="23" t="s">
        <v>115</v>
      </c>
      <c r="H3844" s="23" t="s">
        <v>6571</v>
      </c>
      <c r="I3844" s="23">
        <v>4</v>
      </c>
      <c r="J3844" s="40">
        <v>0</v>
      </c>
      <c r="K3844" s="40">
        <v>2</v>
      </c>
      <c r="L3844" s="40" t="s">
        <v>115</v>
      </c>
      <c r="O3844" s="40" t="s">
        <v>115</v>
      </c>
      <c r="Q3844" s="40">
        <v>163</v>
      </c>
      <c r="R3844" s="40">
        <v>269</v>
      </c>
      <c r="X3844" s="40" t="s">
        <v>6572</v>
      </c>
      <c r="Y3844" s="40">
        <v>1</v>
      </c>
      <c r="Z3844" s="40">
        <v>1</v>
      </c>
      <c r="AA3844" s="40" t="s">
        <v>115</v>
      </c>
      <c r="AB3844" s="40" t="s">
        <v>115</v>
      </c>
      <c r="AC3844" s="40" t="s">
        <v>115</v>
      </c>
      <c r="AI3844" s="40" t="s">
        <v>115</v>
      </c>
      <c r="AP3844" s="4" t="s">
        <v>115</v>
      </c>
    </row>
    <row r="3845" spans="1:42" x14ac:dyDescent="0.15">
      <c r="A3845" s="40" t="s">
        <v>1</v>
      </c>
      <c r="B3845" s="23">
        <v>90290407</v>
      </c>
      <c r="C3845" s="23">
        <v>2904</v>
      </c>
      <c r="D3845" s="23">
        <v>29</v>
      </c>
      <c r="F3845" s="23" t="s">
        <v>115</v>
      </c>
      <c r="G3845" s="23" t="s">
        <v>115</v>
      </c>
      <c r="H3845" s="23" t="s">
        <v>6573</v>
      </c>
      <c r="I3845" s="23">
        <v>4</v>
      </c>
      <c r="J3845" s="40">
        <v>0</v>
      </c>
      <c r="K3845" s="40">
        <v>3</v>
      </c>
      <c r="L3845" s="40" t="s">
        <v>115</v>
      </c>
      <c r="O3845" s="40" t="s">
        <v>115</v>
      </c>
      <c r="Q3845" s="40">
        <v>163</v>
      </c>
      <c r="R3845" s="40">
        <v>269</v>
      </c>
      <c r="X3845" s="40">
        <v>90290409</v>
      </c>
      <c r="Y3845" s="40">
        <v>-1</v>
      </c>
      <c r="Z3845" s="40">
        <v>2</v>
      </c>
      <c r="AA3845" s="40" t="s">
        <v>6574</v>
      </c>
      <c r="AB3845" s="40" t="s">
        <v>115</v>
      </c>
      <c r="AC3845" s="40" t="s">
        <v>115</v>
      </c>
      <c r="AI3845" s="40" t="s">
        <v>115</v>
      </c>
      <c r="AP3845" s="4" t="s">
        <v>115</v>
      </c>
    </row>
    <row r="3846" spans="1:42" x14ac:dyDescent="0.15">
      <c r="A3846" s="40" t="s">
        <v>1</v>
      </c>
      <c r="B3846" s="23">
        <v>90290408</v>
      </c>
      <c r="C3846" s="23">
        <v>2904</v>
      </c>
      <c r="D3846" s="23">
        <v>29</v>
      </c>
      <c r="F3846" s="23" t="s">
        <v>115</v>
      </c>
      <c r="G3846" s="23" t="s">
        <v>115</v>
      </c>
      <c r="H3846" s="23" t="s">
        <v>6575</v>
      </c>
      <c r="I3846" s="23">
        <v>4</v>
      </c>
      <c r="J3846" s="40">
        <v>0</v>
      </c>
      <c r="K3846" s="40">
        <v>4</v>
      </c>
      <c r="L3846" s="40" t="s">
        <v>115</v>
      </c>
      <c r="O3846" s="40" t="s">
        <v>115</v>
      </c>
      <c r="Q3846" s="40">
        <v>163</v>
      </c>
      <c r="R3846" s="40">
        <v>269</v>
      </c>
      <c r="X3846" s="40">
        <v>90290410</v>
      </c>
      <c r="Y3846" s="40">
        <v>-1</v>
      </c>
      <c r="Z3846" s="40">
        <v>2</v>
      </c>
      <c r="AA3846" s="40" t="s">
        <v>115</v>
      </c>
      <c r="AB3846" s="40" t="s">
        <v>115</v>
      </c>
      <c r="AC3846" s="40" t="s">
        <v>6576</v>
      </c>
      <c r="AI3846" s="40" t="s">
        <v>115</v>
      </c>
      <c r="AP3846" s="4" t="s">
        <v>115</v>
      </c>
    </row>
    <row r="3847" spans="1:42" x14ac:dyDescent="0.15">
      <c r="A3847" s="40" t="s">
        <v>1</v>
      </c>
      <c r="B3847" s="23">
        <v>90290409</v>
      </c>
      <c r="C3847" s="23">
        <v>2904</v>
      </c>
      <c r="D3847" s="23">
        <v>29</v>
      </c>
      <c r="F3847" s="23" t="s">
        <v>256</v>
      </c>
      <c r="G3847" s="23" t="s">
        <v>115</v>
      </c>
      <c r="H3847" s="23" t="s">
        <v>6577</v>
      </c>
      <c r="I3847" s="23">
        <v>3</v>
      </c>
      <c r="J3847" s="40">
        <v>0</v>
      </c>
      <c r="K3847" s="40">
        <v>0</v>
      </c>
      <c r="L3847" s="40" t="s">
        <v>115</v>
      </c>
      <c r="O3847" s="40" t="s">
        <v>115</v>
      </c>
      <c r="Q3847" s="40">
        <v>163</v>
      </c>
      <c r="R3847" s="40">
        <v>269</v>
      </c>
      <c r="X3847" s="40">
        <v>90290411</v>
      </c>
      <c r="Y3847" s="40" t="s">
        <v>115</v>
      </c>
      <c r="Z3847" s="40" t="s">
        <v>115</v>
      </c>
      <c r="AA3847" s="40" t="s">
        <v>115</v>
      </c>
      <c r="AB3847" s="40" t="s">
        <v>115</v>
      </c>
      <c r="AC3847" s="40" t="s">
        <v>115</v>
      </c>
      <c r="AI3847" s="40" t="s">
        <v>115</v>
      </c>
      <c r="AP3847" s="4" t="s">
        <v>115</v>
      </c>
    </row>
    <row r="3848" spans="1:42" x14ac:dyDescent="0.15">
      <c r="A3848" s="40" t="s">
        <v>1</v>
      </c>
      <c r="B3848" s="23">
        <v>90290410</v>
      </c>
      <c r="C3848" s="23">
        <v>2904</v>
      </c>
      <c r="D3848" s="23">
        <v>29</v>
      </c>
      <c r="F3848" s="23" t="s">
        <v>115</v>
      </c>
      <c r="G3848" s="23" t="s">
        <v>115</v>
      </c>
      <c r="H3848" s="23" t="s">
        <v>6578</v>
      </c>
      <c r="I3848" s="23">
        <v>4</v>
      </c>
      <c r="J3848" s="40">
        <v>0</v>
      </c>
      <c r="K3848" s="40">
        <v>0</v>
      </c>
      <c r="L3848" s="40" t="s">
        <v>115</v>
      </c>
      <c r="O3848" s="40" t="s">
        <v>115</v>
      </c>
      <c r="Q3848" s="40">
        <v>163</v>
      </c>
      <c r="R3848" s="40">
        <v>269</v>
      </c>
      <c r="X3848" s="40">
        <v>90290411</v>
      </c>
      <c r="Y3848" s="40" t="s">
        <v>115</v>
      </c>
      <c r="Z3848" s="40" t="s">
        <v>115</v>
      </c>
      <c r="AA3848" s="40" t="s">
        <v>115</v>
      </c>
      <c r="AB3848" s="40" t="s">
        <v>115</v>
      </c>
      <c r="AC3848" s="40" t="s">
        <v>115</v>
      </c>
      <c r="AI3848" s="40" t="s">
        <v>115</v>
      </c>
      <c r="AP3848" s="4" t="s">
        <v>115</v>
      </c>
    </row>
    <row r="3849" spans="1:42" x14ac:dyDescent="0.15">
      <c r="A3849" s="40" t="s">
        <v>1</v>
      </c>
      <c r="B3849" s="23">
        <v>90290411</v>
      </c>
      <c r="C3849" s="23">
        <v>2904</v>
      </c>
      <c r="D3849" s="23">
        <v>29</v>
      </c>
      <c r="F3849" s="23" t="s">
        <v>256</v>
      </c>
      <c r="G3849" s="23" t="s">
        <v>115</v>
      </c>
      <c r="H3849" s="23" t="s">
        <v>6579</v>
      </c>
      <c r="I3849" s="23">
        <v>3</v>
      </c>
      <c r="J3849" s="40">
        <v>0</v>
      </c>
      <c r="K3849" s="40">
        <v>5</v>
      </c>
      <c r="L3849" s="40" t="s">
        <v>6580</v>
      </c>
      <c r="O3849" s="40" t="s">
        <v>115</v>
      </c>
      <c r="Q3849" s="40">
        <v>163</v>
      </c>
      <c r="R3849" s="40">
        <v>269</v>
      </c>
      <c r="X3849" s="40">
        <v>90290412</v>
      </c>
      <c r="Y3849" s="40" t="s">
        <v>115</v>
      </c>
      <c r="Z3849" s="40">
        <v>4</v>
      </c>
      <c r="AA3849" s="40" t="s">
        <v>115</v>
      </c>
      <c r="AB3849" s="40" t="s">
        <v>115</v>
      </c>
      <c r="AC3849" s="40" t="s">
        <v>115</v>
      </c>
      <c r="AI3849" s="40" t="s">
        <v>115</v>
      </c>
      <c r="AP3849" s="4" t="s">
        <v>115</v>
      </c>
    </row>
    <row r="3850" spans="1:42" x14ac:dyDescent="0.15">
      <c r="A3850" s="40" t="s">
        <v>1</v>
      </c>
      <c r="B3850" s="23">
        <v>90290412</v>
      </c>
      <c r="C3850" s="23">
        <v>2904</v>
      </c>
      <c r="D3850" s="23">
        <v>29</v>
      </c>
      <c r="F3850" s="23" t="s">
        <v>115</v>
      </c>
      <c r="G3850" s="23" t="s">
        <v>115</v>
      </c>
      <c r="H3850" s="23" t="s">
        <v>6581</v>
      </c>
      <c r="I3850" s="23">
        <v>4</v>
      </c>
      <c r="J3850" s="40">
        <v>0</v>
      </c>
      <c r="K3850" s="40">
        <v>0</v>
      </c>
      <c r="L3850" s="40" t="s">
        <v>115</v>
      </c>
      <c r="O3850" s="40" t="s">
        <v>115</v>
      </c>
      <c r="Q3850" s="40">
        <v>163</v>
      </c>
      <c r="R3850" s="40">
        <v>269</v>
      </c>
      <c r="X3850" s="40">
        <v>90290413</v>
      </c>
      <c r="Y3850" s="40" t="s">
        <v>115</v>
      </c>
      <c r="Z3850" s="40" t="s">
        <v>115</v>
      </c>
      <c r="AA3850" s="40" t="s">
        <v>115</v>
      </c>
      <c r="AB3850" s="40" t="s">
        <v>115</v>
      </c>
      <c r="AC3850" s="40" t="s">
        <v>115</v>
      </c>
      <c r="AI3850" s="40" t="s">
        <v>115</v>
      </c>
      <c r="AP3850" s="4" t="s">
        <v>115</v>
      </c>
    </row>
    <row r="3851" spans="1:42" x14ac:dyDescent="0.15">
      <c r="A3851" s="40" t="s">
        <v>1</v>
      </c>
      <c r="B3851" s="23">
        <v>90290413</v>
      </c>
      <c r="C3851" s="23">
        <v>2904</v>
      </c>
      <c r="D3851" s="23">
        <v>29</v>
      </c>
      <c r="F3851" s="23" t="s">
        <v>256</v>
      </c>
      <c r="G3851" s="23" t="s">
        <v>115</v>
      </c>
      <c r="H3851" s="23" t="s">
        <v>6582</v>
      </c>
      <c r="I3851" s="23">
        <v>3</v>
      </c>
      <c r="J3851" s="40">
        <v>0</v>
      </c>
      <c r="K3851" s="40">
        <v>0</v>
      </c>
      <c r="L3851" s="40" t="s">
        <v>115</v>
      </c>
      <c r="O3851" s="40" t="s">
        <v>115</v>
      </c>
      <c r="Q3851" s="40">
        <v>163</v>
      </c>
      <c r="R3851" s="40">
        <v>269</v>
      </c>
      <c r="X3851" s="40">
        <v>90290414</v>
      </c>
      <c r="Y3851" s="40" t="s">
        <v>115</v>
      </c>
      <c r="Z3851" s="40" t="s">
        <v>115</v>
      </c>
      <c r="AA3851" s="40" t="s">
        <v>115</v>
      </c>
      <c r="AB3851" s="40" t="s">
        <v>115</v>
      </c>
      <c r="AC3851" s="40" t="s">
        <v>115</v>
      </c>
      <c r="AI3851" s="40" t="s">
        <v>115</v>
      </c>
      <c r="AP3851" s="4" t="s">
        <v>115</v>
      </c>
    </row>
    <row r="3852" spans="1:42" x14ac:dyDescent="0.15">
      <c r="A3852" s="40" t="s">
        <v>1</v>
      </c>
      <c r="B3852" s="23">
        <v>90290414</v>
      </c>
      <c r="C3852" s="23">
        <v>2904</v>
      </c>
      <c r="D3852" s="23">
        <v>29</v>
      </c>
      <c r="F3852" s="23" t="s">
        <v>115</v>
      </c>
      <c r="G3852" s="23" t="s">
        <v>115</v>
      </c>
      <c r="H3852" s="23" t="s">
        <v>6583</v>
      </c>
      <c r="I3852" s="23">
        <v>4</v>
      </c>
      <c r="J3852" s="40">
        <v>0</v>
      </c>
      <c r="K3852" s="40">
        <v>0</v>
      </c>
      <c r="L3852" s="40" t="s">
        <v>115</v>
      </c>
      <c r="O3852" s="40" t="s">
        <v>115</v>
      </c>
      <c r="Q3852" s="40">
        <v>163</v>
      </c>
      <c r="R3852" s="40" t="s">
        <v>115</v>
      </c>
      <c r="X3852" s="40">
        <v>90290415</v>
      </c>
      <c r="Y3852" s="40" t="s">
        <v>115</v>
      </c>
      <c r="Z3852" s="40" t="s">
        <v>115</v>
      </c>
      <c r="AA3852" s="40" t="s">
        <v>115</v>
      </c>
      <c r="AB3852" s="40" t="s">
        <v>115</v>
      </c>
      <c r="AC3852" s="40" t="s">
        <v>115</v>
      </c>
      <c r="AI3852" s="40" t="s">
        <v>115</v>
      </c>
      <c r="AP3852" s="4" t="s">
        <v>115</v>
      </c>
    </row>
    <row r="3853" spans="1:42" x14ac:dyDescent="0.15">
      <c r="A3853" s="40" t="s">
        <v>1</v>
      </c>
      <c r="B3853" s="23">
        <v>90290415</v>
      </c>
      <c r="C3853" s="23">
        <v>2904</v>
      </c>
      <c r="D3853" s="23">
        <v>29</v>
      </c>
      <c r="F3853" s="23" t="s">
        <v>115</v>
      </c>
      <c r="G3853" s="23" t="s">
        <v>115</v>
      </c>
      <c r="H3853" s="23" t="s">
        <v>6584</v>
      </c>
      <c r="I3853" s="23">
        <v>4</v>
      </c>
      <c r="J3853" s="40">
        <v>0</v>
      </c>
      <c r="K3853" s="40">
        <v>6</v>
      </c>
      <c r="L3853" s="40" t="s">
        <v>115</v>
      </c>
      <c r="O3853" s="40">
        <v>1</v>
      </c>
      <c r="Q3853" s="40">
        <v>163</v>
      </c>
      <c r="R3853" s="40" t="s">
        <v>115</v>
      </c>
      <c r="X3853" s="40" t="s">
        <v>115</v>
      </c>
      <c r="Y3853" s="40" t="s">
        <v>115</v>
      </c>
      <c r="Z3853" s="40">
        <v>5</v>
      </c>
      <c r="AA3853" s="40" t="s">
        <v>115</v>
      </c>
      <c r="AB3853" s="40" t="s">
        <v>115</v>
      </c>
      <c r="AC3853" s="40" t="s">
        <v>115</v>
      </c>
      <c r="AI3853" s="40" t="s">
        <v>115</v>
      </c>
      <c r="AP3853" s="4" t="s">
        <v>6585</v>
      </c>
    </row>
    <row r="3854" spans="1:42" x14ac:dyDescent="0.15">
      <c r="A3854" s="40" t="s">
        <v>1</v>
      </c>
      <c r="B3854" s="23" t="s">
        <v>4929</v>
      </c>
      <c r="C3854" s="23">
        <v>2905</v>
      </c>
      <c r="D3854" s="23">
        <v>29</v>
      </c>
      <c r="F3854" s="23" t="s">
        <v>115</v>
      </c>
      <c r="G3854" s="23" t="s">
        <v>115</v>
      </c>
      <c r="H3854" s="23" t="s">
        <v>6586</v>
      </c>
      <c r="I3854" s="23">
        <v>4</v>
      </c>
      <c r="J3854" s="40">
        <v>1</v>
      </c>
      <c r="K3854" s="40">
        <v>1</v>
      </c>
      <c r="L3854" s="40" t="s">
        <v>115</v>
      </c>
      <c r="O3854" s="40" t="s">
        <v>115</v>
      </c>
      <c r="Q3854" s="40">
        <v>18</v>
      </c>
      <c r="R3854" s="40" t="s">
        <v>115</v>
      </c>
      <c r="X3854" s="40">
        <v>90290502</v>
      </c>
      <c r="Y3854" s="40" t="s">
        <v>115</v>
      </c>
      <c r="Z3854" s="40" t="s">
        <v>115</v>
      </c>
      <c r="AA3854" s="40" t="s">
        <v>115</v>
      </c>
      <c r="AB3854" s="40" t="s">
        <v>115</v>
      </c>
      <c r="AC3854" s="40" t="s">
        <v>115</v>
      </c>
      <c r="AI3854" s="40" t="s">
        <v>115</v>
      </c>
      <c r="AP3854" s="4" t="s">
        <v>115</v>
      </c>
    </row>
    <row r="3855" spans="1:42" x14ac:dyDescent="0.15">
      <c r="A3855" s="40" t="s">
        <v>1</v>
      </c>
      <c r="B3855" s="23">
        <v>90290502</v>
      </c>
      <c r="C3855" s="23">
        <v>2905</v>
      </c>
      <c r="D3855" s="23">
        <v>29</v>
      </c>
      <c r="F3855" s="23" t="s">
        <v>115</v>
      </c>
      <c r="G3855" s="23" t="s">
        <v>115</v>
      </c>
      <c r="H3855" s="23" t="s">
        <v>6587</v>
      </c>
      <c r="I3855" s="23">
        <v>4</v>
      </c>
      <c r="J3855" s="40">
        <v>0</v>
      </c>
      <c r="K3855" s="40">
        <v>2</v>
      </c>
      <c r="L3855" s="40" t="s">
        <v>115</v>
      </c>
      <c r="O3855" s="40" t="s">
        <v>115</v>
      </c>
      <c r="Q3855" s="40">
        <v>18</v>
      </c>
      <c r="R3855" s="40" t="s">
        <v>115</v>
      </c>
      <c r="X3855" s="40" t="s">
        <v>6588</v>
      </c>
      <c r="Y3855" s="40">
        <v>1</v>
      </c>
      <c r="Z3855" s="40">
        <v>1</v>
      </c>
      <c r="AA3855" s="40" t="s">
        <v>115</v>
      </c>
      <c r="AB3855" s="40" t="s">
        <v>115</v>
      </c>
      <c r="AC3855" s="40" t="s">
        <v>115</v>
      </c>
      <c r="AI3855" s="40" t="s">
        <v>115</v>
      </c>
      <c r="AP3855" s="4" t="s">
        <v>115</v>
      </c>
    </row>
    <row r="3856" spans="1:42" x14ac:dyDescent="0.15">
      <c r="A3856" s="40" t="s">
        <v>1</v>
      </c>
      <c r="B3856" s="23">
        <v>90290503</v>
      </c>
      <c r="C3856" s="23">
        <v>2905</v>
      </c>
      <c r="D3856" s="23">
        <v>29</v>
      </c>
      <c r="F3856" s="23" t="s">
        <v>115</v>
      </c>
      <c r="G3856" s="23" t="s">
        <v>115</v>
      </c>
      <c r="H3856" s="23" t="s">
        <v>6589</v>
      </c>
      <c r="I3856" s="23">
        <v>4</v>
      </c>
      <c r="J3856" s="40">
        <v>0</v>
      </c>
      <c r="K3856" s="40">
        <v>3</v>
      </c>
      <c r="L3856" s="40" t="s">
        <v>115</v>
      </c>
      <c r="O3856" s="40" t="s">
        <v>115</v>
      </c>
      <c r="Q3856" s="40">
        <v>18</v>
      </c>
      <c r="R3856" s="40" t="s">
        <v>115</v>
      </c>
      <c r="X3856" s="40">
        <v>90290505</v>
      </c>
      <c r="Y3856" s="40">
        <v>-1</v>
      </c>
      <c r="Z3856" s="40">
        <v>2</v>
      </c>
      <c r="AA3856" s="40" t="s">
        <v>6590</v>
      </c>
      <c r="AB3856" s="40" t="s">
        <v>115</v>
      </c>
      <c r="AC3856" s="40" t="s">
        <v>115</v>
      </c>
      <c r="AI3856" s="40" t="s">
        <v>115</v>
      </c>
      <c r="AP3856" s="4" t="s">
        <v>115</v>
      </c>
    </row>
    <row r="3857" spans="1:42" x14ac:dyDescent="0.15">
      <c r="A3857" s="40" t="s">
        <v>1</v>
      </c>
      <c r="B3857" s="23">
        <v>90290504</v>
      </c>
      <c r="C3857" s="23">
        <v>2905</v>
      </c>
      <c r="D3857" s="23">
        <v>29</v>
      </c>
      <c r="F3857" s="23" t="s">
        <v>115</v>
      </c>
      <c r="G3857" s="23" t="s">
        <v>115</v>
      </c>
      <c r="H3857" s="23" t="s">
        <v>6591</v>
      </c>
      <c r="I3857" s="23">
        <v>4</v>
      </c>
      <c r="J3857" s="40">
        <v>0</v>
      </c>
      <c r="K3857" s="40">
        <v>4</v>
      </c>
      <c r="L3857" s="40" t="s">
        <v>115</v>
      </c>
      <c r="O3857" s="40" t="s">
        <v>115</v>
      </c>
      <c r="Q3857" s="40">
        <v>18</v>
      </c>
      <c r="R3857" s="40" t="s">
        <v>115</v>
      </c>
      <c r="X3857" s="40">
        <v>90290513</v>
      </c>
      <c r="Y3857" s="40">
        <v>-1</v>
      </c>
      <c r="Z3857" s="40">
        <v>2</v>
      </c>
      <c r="AA3857" s="40" t="s">
        <v>6592</v>
      </c>
      <c r="AB3857" s="40" t="s">
        <v>115</v>
      </c>
      <c r="AC3857" s="40" t="s">
        <v>115</v>
      </c>
      <c r="AI3857" s="40" t="s">
        <v>115</v>
      </c>
      <c r="AP3857" s="4" t="s">
        <v>6593</v>
      </c>
    </row>
    <row r="3858" spans="1:42" x14ac:dyDescent="0.15">
      <c r="A3858" s="40" t="s">
        <v>1</v>
      </c>
      <c r="B3858" s="23">
        <v>90290505</v>
      </c>
      <c r="C3858" s="23">
        <v>2905</v>
      </c>
      <c r="D3858" s="23">
        <v>29</v>
      </c>
      <c r="F3858" s="23" t="s">
        <v>115</v>
      </c>
      <c r="G3858" s="23" t="s">
        <v>115</v>
      </c>
      <c r="H3858" s="23" t="s">
        <v>338</v>
      </c>
      <c r="I3858" s="23">
        <v>4</v>
      </c>
      <c r="J3858" s="40">
        <v>0</v>
      </c>
      <c r="K3858" s="40">
        <v>0</v>
      </c>
      <c r="L3858" s="40" t="s">
        <v>115</v>
      </c>
      <c r="O3858" s="40" t="s">
        <v>115</v>
      </c>
      <c r="Q3858" s="40">
        <v>190</v>
      </c>
      <c r="R3858" s="40" t="s">
        <v>115</v>
      </c>
      <c r="X3858" s="40">
        <v>90290506</v>
      </c>
      <c r="Y3858" s="40" t="s">
        <v>115</v>
      </c>
      <c r="Z3858" s="40" t="s">
        <v>115</v>
      </c>
      <c r="AA3858" s="40" t="s">
        <v>115</v>
      </c>
      <c r="AB3858" s="40" t="s">
        <v>115</v>
      </c>
      <c r="AC3858" s="40" t="s">
        <v>115</v>
      </c>
      <c r="AI3858" s="40" t="s">
        <v>115</v>
      </c>
      <c r="AP3858" s="4" t="s">
        <v>115</v>
      </c>
    </row>
    <row r="3859" spans="1:42" x14ac:dyDescent="0.15">
      <c r="A3859" s="40" t="s">
        <v>1</v>
      </c>
      <c r="B3859" s="23">
        <v>90290506</v>
      </c>
      <c r="C3859" s="23">
        <v>2905</v>
      </c>
      <c r="D3859" s="23">
        <v>29</v>
      </c>
      <c r="F3859" s="23" t="s">
        <v>116</v>
      </c>
      <c r="G3859" s="23">
        <v>275</v>
      </c>
      <c r="H3859" s="23" t="s">
        <v>6594</v>
      </c>
      <c r="I3859" s="23">
        <v>0</v>
      </c>
      <c r="J3859" s="40">
        <v>0</v>
      </c>
      <c r="K3859" s="40">
        <v>0</v>
      </c>
      <c r="L3859" s="40" t="s">
        <v>115</v>
      </c>
      <c r="O3859" s="40" t="s">
        <v>115</v>
      </c>
      <c r="Q3859" s="40">
        <v>190</v>
      </c>
      <c r="R3859" s="40" t="s">
        <v>115</v>
      </c>
      <c r="X3859" s="40">
        <v>90290507</v>
      </c>
      <c r="Y3859" s="40" t="s">
        <v>115</v>
      </c>
      <c r="Z3859" s="40" t="s">
        <v>115</v>
      </c>
      <c r="AA3859" s="40" t="s">
        <v>115</v>
      </c>
      <c r="AB3859" s="40" t="s">
        <v>115</v>
      </c>
      <c r="AC3859" s="40" t="s">
        <v>115</v>
      </c>
      <c r="AI3859" s="40" t="s">
        <v>115</v>
      </c>
      <c r="AP3859" s="4" t="s">
        <v>115</v>
      </c>
    </row>
    <row r="3860" spans="1:42" x14ac:dyDescent="0.15">
      <c r="A3860" s="40" t="s">
        <v>1</v>
      </c>
      <c r="B3860" s="23">
        <v>90290507</v>
      </c>
      <c r="C3860" s="23">
        <v>2905</v>
      </c>
      <c r="D3860" s="23">
        <v>29</v>
      </c>
      <c r="F3860" s="23" t="s">
        <v>115</v>
      </c>
      <c r="G3860" s="23" t="s">
        <v>115</v>
      </c>
      <c r="H3860" s="23" t="s">
        <v>6595</v>
      </c>
      <c r="I3860" s="23">
        <v>4</v>
      </c>
      <c r="J3860" s="40">
        <v>0</v>
      </c>
      <c r="K3860" s="40">
        <v>0</v>
      </c>
      <c r="L3860" s="40" t="s">
        <v>115</v>
      </c>
      <c r="O3860" s="40" t="s">
        <v>115</v>
      </c>
      <c r="Q3860" s="40">
        <v>190</v>
      </c>
      <c r="R3860" s="40" t="s">
        <v>115</v>
      </c>
      <c r="X3860" s="40">
        <v>90290508</v>
      </c>
      <c r="Y3860" s="40" t="s">
        <v>115</v>
      </c>
      <c r="Z3860" s="40" t="s">
        <v>115</v>
      </c>
      <c r="AA3860" s="40" t="s">
        <v>115</v>
      </c>
      <c r="AB3860" s="40" t="s">
        <v>115</v>
      </c>
      <c r="AC3860" s="40" t="s">
        <v>115</v>
      </c>
      <c r="AI3860" s="40" t="s">
        <v>115</v>
      </c>
      <c r="AP3860" s="4" t="s">
        <v>115</v>
      </c>
    </row>
    <row r="3861" spans="1:42" x14ac:dyDescent="0.15">
      <c r="A3861" s="40" t="s">
        <v>1</v>
      </c>
      <c r="B3861" s="23">
        <v>90290508</v>
      </c>
      <c r="C3861" s="23">
        <v>2905</v>
      </c>
      <c r="D3861" s="23">
        <v>29</v>
      </c>
      <c r="F3861" s="23" t="s">
        <v>115</v>
      </c>
      <c r="G3861" s="23" t="s">
        <v>115</v>
      </c>
      <c r="H3861" s="23" t="s">
        <v>6596</v>
      </c>
      <c r="I3861" s="23">
        <v>4</v>
      </c>
      <c r="J3861" s="40">
        <v>0</v>
      </c>
      <c r="K3861" s="40">
        <v>5</v>
      </c>
      <c r="L3861" s="40" t="s">
        <v>6597</v>
      </c>
      <c r="O3861" s="40" t="s">
        <v>115</v>
      </c>
      <c r="Q3861" s="40">
        <v>190</v>
      </c>
      <c r="R3861" s="40" t="s">
        <v>115</v>
      </c>
      <c r="X3861" s="40">
        <v>90290509</v>
      </c>
      <c r="Y3861" s="40" t="s">
        <v>115</v>
      </c>
      <c r="Z3861" s="40">
        <v>4</v>
      </c>
      <c r="AA3861" s="40" t="s">
        <v>115</v>
      </c>
      <c r="AB3861" s="40" t="s">
        <v>115</v>
      </c>
      <c r="AC3861" s="40" t="s">
        <v>115</v>
      </c>
      <c r="AI3861" s="40" t="s">
        <v>115</v>
      </c>
      <c r="AP3861" s="4" t="s">
        <v>115</v>
      </c>
    </row>
    <row r="3862" spans="1:42" x14ac:dyDescent="0.15">
      <c r="A3862" s="40" t="s">
        <v>1</v>
      </c>
      <c r="B3862" s="23">
        <v>90290509</v>
      </c>
      <c r="C3862" s="23">
        <v>2905</v>
      </c>
      <c r="D3862" s="23">
        <v>29</v>
      </c>
      <c r="F3862" s="23" t="s">
        <v>115</v>
      </c>
      <c r="G3862" s="23" t="s">
        <v>115</v>
      </c>
      <c r="H3862" s="23" t="s">
        <v>6598</v>
      </c>
      <c r="I3862" s="23">
        <v>4</v>
      </c>
      <c r="J3862" s="40">
        <v>0</v>
      </c>
      <c r="K3862" s="40">
        <v>0</v>
      </c>
      <c r="L3862" s="40" t="s">
        <v>115</v>
      </c>
      <c r="O3862" s="40" t="s">
        <v>115</v>
      </c>
      <c r="Q3862" s="40">
        <v>190</v>
      </c>
      <c r="R3862" s="40" t="s">
        <v>115</v>
      </c>
      <c r="X3862" s="40">
        <v>90290510</v>
      </c>
      <c r="Y3862" s="40" t="s">
        <v>115</v>
      </c>
      <c r="Z3862" s="40" t="s">
        <v>115</v>
      </c>
      <c r="AA3862" s="40" t="s">
        <v>115</v>
      </c>
      <c r="AB3862" s="40" t="s">
        <v>115</v>
      </c>
      <c r="AC3862" s="40" t="s">
        <v>115</v>
      </c>
      <c r="AI3862" s="40" t="s">
        <v>115</v>
      </c>
      <c r="AP3862" s="4" t="s">
        <v>115</v>
      </c>
    </row>
    <row r="3863" spans="1:42" x14ac:dyDescent="0.15">
      <c r="A3863" s="40" t="s">
        <v>1</v>
      </c>
      <c r="B3863" s="23">
        <v>90290510</v>
      </c>
      <c r="C3863" s="23">
        <v>2905</v>
      </c>
      <c r="D3863" s="23">
        <v>29</v>
      </c>
      <c r="F3863" s="23" t="s">
        <v>115</v>
      </c>
      <c r="G3863" s="23" t="s">
        <v>115</v>
      </c>
      <c r="H3863" s="23" t="s">
        <v>6599</v>
      </c>
      <c r="I3863" s="23">
        <v>4</v>
      </c>
      <c r="J3863" s="40">
        <v>0</v>
      </c>
      <c r="K3863" s="40">
        <v>0</v>
      </c>
      <c r="L3863" s="40" t="s">
        <v>115</v>
      </c>
      <c r="O3863" s="40" t="s">
        <v>115</v>
      </c>
      <c r="Q3863" s="40">
        <v>190</v>
      </c>
      <c r="R3863" s="40" t="s">
        <v>115</v>
      </c>
      <c r="X3863" s="40">
        <v>90290511</v>
      </c>
      <c r="Y3863" s="40" t="s">
        <v>115</v>
      </c>
      <c r="Z3863" s="40" t="s">
        <v>115</v>
      </c>
      <c r="AA3863" s="40" t="s">
        <v>115</v>
      </c>
      <c r="AB3863" s="40" t="s">
        <v>115</v>
      </c>
      <c r="AC3863" s="40" t="s">
        <v>115</v>
      </c>
      <c r="AI3863" s="40" t="s">
        <v>115</v>
      </c>
      <c r="AP3863" s="4" t="s">
        <v>115</v>
      </c>
    </row>
    <row r="3864" spans="1:42" x14ac:dyDescent="0.15">
      <c r="A3864" s="40" t="s">
        <v>1</v>
      </c>
      <c r="B3864" s="23">
        <v>90290511</v>
      </c>
      <c r="C3864" s="23">
        <v>2905</v>
      </c>
      <c r="D3864" s="23">
        <v>29</v>
      </c>
      <c r="F3864" s="23" t="s">
        <v>116</v>
      </c>
      <c r="G3864" s="23">
        <v>261</v>
      </c>
      <c r="H3864" s="23" t="s">
        <v>6600</v>
      </c>
      <c r="I3864" s="23">
        <v>0</v>
      </c>
      <c r="J3864" s="40">
        <v>0</v>
      </c>
      <c r="K3864" s="40">
        <v>0</v>
      </c>
      <c r="L3864" s="40" t="s">
        <v>115</v>
      </c>
      <c r="O3864" s="40" t="s">
        <v>115</v>
      </c>
      <c r="Q3864" s="40">
        <v>190</v>
      </c>
      <c r="R3864" s="40" t="s">
        <v>115</v>
      </c>
      <c r="X3864" s="40">
        <v>90290512</v>
      </c>
      <c r="Y3864" s="40" t="s">
        <v>115</v>
      </c>
      <c r="Z3864" s="40" t="s">
        <v>115</v>
      </c>
      <c r="AA3864" s="40" t="s">
        <v>115</v>
      </c>
      <c r="AB3864" s="40" t="s">
        <v>115</v>
      </c>
      <c r="AC3864" s="40" t="s">
        <v>115</v>
      </c>
      <c r="AI3864" s="40" t="s">
        <v>115</v>
      </c>
      <c r="AP3864" s="4" t="s">
        <v>115</v>
      </c>
    </row>
    <row r="3865" spans="1:42" x14ac:dyDescent="0.15">
      <c r="A3865" s="40" t="s">
        <v>1</v>
      </c>
      <c r="B3865" s="23">
        <v>90290512</v>
      </c>
      <c r="C3865" s="23">
        <v>2905</v>
      </c>
      <c r="D3865" s="23">
        <v>29</v>
      </c>
      <c r="F3865" s="23" t="s">
        <v>116</v>
      </c>
      <c r="G3865" s="23">
        <v>261</v>
      </c>
      <c r="H3865" s="23" t="s">
        <v>6601</v>
      </c>
      <c r="I3865" s="23">
        <v>0</v>
      </c>
      <c r="J3865" s="40">
        <v>0</v>
      </c>
      <c r="K3865" s="40">
        <v>6</v>
      </c>
      <c r="L3865" s="40" t="s">
        <v>115</v>
      </c>
      <c r="O3865" s="40">
        <v>1</v>
      </c>
      <c r="Q3865" s="40">
        <v>190</v>
      </c>
      <c r="R3865" s="40" t="s">
        <v>115</v>
      </c>
      <c r="X3865" s="40" t="s">
        <v>115</v>
      </c>
      <c r="Y3865" s="40" t="s">
        <v>115</v>
      </c>
      <c r="Z3865" s="40">
        <v>5</v>
      </c>
      <c r="AA3865" s="40" t="s">
        <v>115</v>
      </c>
      <c r="AB3865" s="40" t="s">
        <v>115</v>
      </c>
      <c r="AC3865" s="40" t="s">
        <v>115</v>
      </c>
      <c r="AI3865" s="40" t="s">
        <v>115</v>
      </c>
      <c r="AP3865" s="4" t="s">
        <v>6593</v>
      </c>
    </row>
    <row r="3866" spans="1:42" x14ac:dyDescent="0.15">
      <c r="A3866" s="40" t="s">
        <v>1</v>
      </c>
      <c r="B3866" s="23">
        <v>90290513</v>
      </c>
      <c r="C3866" s="23">
        <v>2905</v>
      </c>
      <c r="D3866" s="23">
        <v>29</v>
      </c>
      <c r="F3866" s="23" t="s">
        <v>115</v>
      </c>
      <c r="G3866" s="23" t="s">
        <v>115</v>
      </c>
      <c r="H3866" s="23" t="s">
        <v>6602</v>
      </c>
      <c r="I3866" s="23">
        <v>4</v>
      </c>
      <c r="J3866" s="40">
        <v>0</v>
      </c>
      <c r="K3866" s="40">
        <v>0</v>
      </c>
      <c r="L3866" s="40" t="s">
        <v>115</v>
      </c>
      <c r="O3866" s="40" t="s">
        <v>115</v>
      </c>
      <c r="Q3866" s="40">
        <v>187</v>
      </c>
      <c r="R3866" s="40">
        <v>164</v>
      </c>
      <c r="X3866" s="40">
        <v>90290514</v>
      </c>
      <c r="Y3866" s="40" t="s">
        <v>115</v>
      </c>
      <c r="Z3866" s="40" t="s">
        <v>115</v>
      </c>
      <c r="AA3866" s="40" t="s">
        <v>115</v>
      </c>
      <c r="AB3866" s="40" t="s">
        <v>115</v>
      </c>
      <c r="AC3866" s="40" t="s">
        <v>115</v>
      </c>
      <c r="AI3866" s="40" t="s">
        <v>115</v>
      </c>
      <c r="AP3866" s="4" t="s">
        <v>115</v>
      </c>
    </row>
    <row r="3867" spans="1:42" x14ac:dyDescent="0.15">
      <c r="A3867" s="40" t="s">
        <v>1</v>
      </c>
      <c r="B3867" s="23">
        <v>90290514</v>
      </c>
      <c r="C3867" s="23">
        <v>2905</v>
      </c>
      <c r="D3867" s="23">
        <v>29</v>
      </c>
      <c r="F3867" s="23" t="s">
        <v>3690</v>
      </c>
      <c r="G3867" s="23" t="s">
        <v>115</v>
      </c>
      <c r="H3867" s="23" t="s">
        <v>6603</v>
      </c>
      <c r="I3867" s="23">
        <v>3</v>
      </c>
      <c r="J3867" s="40">
        <v>0</v>
      </c>
      <c r="K3867" s="40">
        <v>0</v>
      </c>
      <c r="L3867" s="40" t="s">
        <v>115</v>
      </c>
      <c r="O3867" s="40" t="s">
        <v>115</v>
      </c>
      <c r="Q3867" s="40">
        <v>187</v>
      </c>
      <c r="R3867" s="40">
        <v>164</v>
      </c>
      <c r="X3867" s="40">
        <v>90290515</v>
      </c>
      <c r="Y3867" s="40" t="s">
        <v>115</v>
      </c>
      <c r="Z3867" s="40" t="s">
        <v>115</v>
      </c>
      <c r="AA3867" s="40" t="s">
        <v>115</v>
      </c>
      <c r="AB3867" s="40" t="s">
        <v>115</v>
      </c>
      <c r="AC3867" s="40" t="s">
        <v>115</v>
      </c>
      <c r="AI3867" s="40" t="s">
        <v>115</v>
      </c>
      <c r="AP3867" s="4" t="s">
        <v>115</v>
      </c>
    </row>
    <row r="3868" spans="1:42" x14ac:dyDescent="0.15">
      <c r="A3868" s="40" t="s">
        <v>1</v>
      </c>
      <c r="B3868" s="23">
        <v>90290515</v>
      </c>
      <c r="C3868" s="23">
        <v>2905</v>
      </c>
      <c r="D3868" s="23">
        <v>29</v>
      </c>
      <c r="F3868" s="23" t="s">
        <v>116</v>
      </c>
      <c r="G3868" s="23">
        <v>274</v>
      </c>
      <c r="H3868" s="23" t="s">
        <v>6604</v>
      </c>
      <c r="I3868" s="23">
        <v>0</v>
      </c>
      <c r="J3868" s="40">
        <v>0</v>
      </c>
      <c r="K3868" s="40">
        <v>0</v>
      </c>
      <c r="L3868" s="40" t="s">
        <v>115</v>
      </c>
      <c r="O3868" s="40" t="s">
        <v>115</v>
      </c>
      <c r="Q3868" s="40">
        <v>187</v>
      </c>
      <c r="R3868" s="40">
        <v>164</v>
      </c>
      <c r="X3868" s="40">
        <v>90290516</v>
      </c>
      <c r="Y3868" s="40" t="s">
        <v>115</v>
      </c>
      <c r="Z3868" s="40" t="s">
        <v>115</v>
      </c>
      <c r="AA3868" s="40" t="s">
        <v>115</v>
      </c>
      <c r="AB3868" s="40" t="s">
        <v>115</v>
      </c>
      <c r="AC3868" s="40" t="s">
        <v>115</v>
      </c>
      <c r="AI3868" s="40" t="s">
        <v>115</v>
      </c>
      <c r="AP3868" s="4" t="s">
        <v>115</v>
      </c>
    </row>
    <row r="3869" spans="1:42" x14ac:dyDescent="0.15">
      <c r="A3869" s="40" t="s">
        <v>1</v>
      </c>
      <c r="B3869" s="23">
        <v>90290516</v>
      </c>
      <c r="C3869" s="23">
        <v>2905</v>
      </c>
      <c r="D3869" s="23">
        <v>29</v>
      </c>
      <c r="F3869" s="23" t="s">
        <v>3690</v>
      </c>
      <c r="G3869" s="23" t="s">
        <v>115</v>
      </c>
      <c r="H3869" s="23" t="s">
        <v>6605</v>
      </c>
      <c r="I3869" s="23">
        <v>3</v>
      </c>
      <c r="J3869" s="40">
        <v>0</v>
      </c>
      <c r="K3869" s="40">
        <v>0</v>
      </c>
      <c r="L3869" s="40" t="s">
        <v>115</v>
      </c>
      <c r="O3869" s="40" t="s">
        <v>115</v>
      </c>
      <c r="Q3869" s="40">
        <v>187</v>
      </c>
      <c r="R3869" s="40">
        <v>164</v>
      </c>
      <c r="X3869" s="40">
        <v>90290517</v>
      </c>
      <c r="Y3869" s="40" t="s">
        <v>115</v>
      </c>
      <c r="Z3869" s="40" t="s">
        <v>115</v>
      </c>
      <c r="AA3869" s="40" t="s">
        <v>115</v>
      </c>
      <c r="AB3869" s="40" t="s">
        <v>115</v>
      </c>
      <c r="AC3869" s="40" t="s">
        <v>115</v>
      </c>
      <c r="AI3869" s="40" t="s">
        <v>115</v>
      </c>
      <c r="AP3869" s="4" t="s">
        <v>115</v>
      </c>
    </row>
    <row r="3870" spans="1:42" x14ac:dyDescent="0.15">
      <c r="A3870" s="40" t="s">
        <v>1</v>
      </c>
      <c r="B3870" s="23">
        <v>90290517</v>
      </c>
      <c r="C3870" s="23">
        <v>2905</v>
      </c>
      <c r="D3870" s="23">
        <v>29</v>
      </c>
      <c r="F3870" s="23" t="s">
        <v>116</v>
      </c>
      <c r="G3870" s="23">
        <v>261</v>
      </c>
      <c r="H3870" s="23" t="s">
        <v>6606</v>
      </c>
      <c r="I3870" s="23">
        <v>0</v>
      </c>
      <c r="J3870" s="40">
        <v>0</v>
      </c>
      <c r="K3870" s="40">
        <v>0</v>
      </c>
      <c r="L3870" s="40" t="s">
        <v>115</v>
      </c>
      <c r="O3870" s="40" t="s">
        <v>115</v>
      </c>
      <c r="Q3870" s="40">
        <v>187</v>
      </c>
      <c r="R3870" s="40">
        <v>164</v>
      </c>
      <c r="X3870" s="40">
        <v>90290518</v>
      </c>
      <c r="Y3870" s="40" t="s">
        <v>115</v>
      </c>
      <c r="Z3870" s="40" t="s">
        <v>115</v>
      </c>
      <c r="AA3870" s="40" t="s">
        <v>115</v>
      </c>
      <c r="AB3870" s="40" t="s">
        <v>115</v>
      </c>
      <c r="AC3870" s="40" t="s">
        <v>115</v>
      </c>
      <c r="AI3870" s="40" t="s">
        <v>115</v>
      </c>
      <c r="AP3870" s="4" t="s">
        <v>115</v>
      </c>
    </row>
    <row r="3871" spans="1:42" x14ac:dyDescent="0.15">
      <c r="A3871" s="40" t="s">
        <v>1</v>
      </c>
      <c r="B3871" s="23">
        <v>90290518</v>
      </c>
      <c r="C3871" s="23">
        <v>2905</v>
      </c>
      <c r="D3871" s="23">
        <v>29</v>
      </c>
      <c r="F3871" s="23" t="s">
        <v>3690</v>
      </c>
      <c r="G3871" s="23" t="s">
        <v>115</v>
      </c>
      <c r="H3871" s="23" t="s">
        <v>6607</v>
      </c>
      <c r="I3871" s="23">
        <v>3</v>
      </c>
      <c r="J3871" s="40">
        <v>0</v>
      </c>
      <c r="K3871" s="40">
        <v>0</v>
      </c>
      <c r="L3871" s="40" t="s">
        <v>115</v>
      </c>
      <c r="O3871" s="40" t="s">
        <v>115</v>
      </c>
      <c r="Q3871" s="40">
        <v>187</v>
      </c>
      <c r="R3871" s="40">
        <v>164</v>
      </c>
      <c r="X3871" s="40">
        <v>90290519</v>
      </c>
      <c r="Y3871" s="40" t="s">
        <v>115</v>
      </c>
      <c r="Z3871" s="40" t="s">
        <v>115</v>
      </c>
      <c r="AA3871" s="40" t="s">
        <v>115</v>
      </c>
      <c r="AB3871" s="40" t="s">
        <v>115</v>
      </c>
      <c r="AC3871" s="40" t="s">
        <v>115</v>
      </c>
      <c r="AI3871" s="40" t="s">
        <v>115</v>
      </c>
      <c r="AP3871" s="4" t="s">
        <v>115</v>
      </c>
    </row>
    <row r="3872" spans="1:42" x14ac:dyDescent="0.15">
      <c r="A3872" s="40" t="s">
        <v>1</v>
      </c>
      <c r="B3872" s="23">
        <v>90290519</v>
      </c>
      <c r="C3872" s="23">
        <v>2905</v>
      </c>
      <c r="D3872" s="23">
        <v>29</v>
      </c>
      <c r="F3872" s="23" t="s">
        <v>3690</v>
      </c>
      <c r="G3872" s="23" t="s">
        <v>115</v>
      </c>
      <c r="H3872" s="23" t="s">
        <v>6608</v>
      </c>
      <c r="I3872" s="23">
        <v>3</v>
      </c>
      <c r="J3872" s="40">
        <v>0</v>
      </c>
      <c r="K3872" s="40">
        <v>7</v>
      </c>
      <c r="L3872" s="40" t="s">
        <v>6609</v>
      </c>
      <c r="O3872" s="40" t="s">
        <v>115</v>
      </c>
      <c r="Q3872" s="40">
        <v>187</v>
      </c>
      <c r="R3872" s="40">
        <v>164</v>
      </c>
      <c r="X3872" s="40">
        <v>90290520</v>
      </c>
      <c r="Y3872" s="40" t="s">
        <v>115</v>
      </c>
      <c r="Z3872" s="40">
        <v>6</v>
      </c>
      <c r="AA3872" s="40" t="s">
        <v>115</v>
      </c>
      <c r="AB3872" s="40" t="s">
        <v>115</v>
      </c>
      <c r="AC3872" s="40" t="s">
        <v>115</v>
      </c>
      <c r="AI3872" s="40" t="s">
        <v>115</v>
      </c>
      <c r="AP3872" s="4" t="s">
        <v>115</v>
      </c>
    </row>
    <row r="3873" spans="1:42" x14ac:dyDescent="0.15">
      <c r="A3873" s="40" t="s">
        <v>1</v>
      </c>
      <c r="B3873" s="23">
        <v>90290520</v>
      </c>
      <c r="C3873" s="23">
        <v>2905</v>
      </c>
      <c r="D3873" s="23">
        <v>29</v>
      </c>
      <c r="F3873" s="23" t="s">
        <v>116</v>
      </c>
      <c r="G3873" s="23">
        <v>275</v>
      </c>
      <c r="H3873" s="23" t="s">
        <v>6610</v>
      </c>
      <c r="I3873" s="23">
        <v>2</v>
      </c>
      <c r="J3873" s="40">
        <v>0</v>
      </c>
      <c r="K3873" s="40">
        <v>0</v>
      </c>
      <c r="L3873" s="40" t="s">
        <v>115</v>
      </c>
      <c r="O3873" s="40" t="s">
        <v>115</v>
      </c>
      <c r="Q3873" s="40">
        <v>187</v>
      </c>
      <c r="R3873" s="40" t="s">
        <v>115</v>
      </c>
      <c r="X3873" s="40">
        <v>90290521</v>
      </c>
      <c r="Y3873" s="40" t="s">
        <v>115</v>
      </c>
      <c r="Z3873" s="40" t="s">
        <v>115</v>
      </c>
      <c r="AA3873" s="40" t="s">
        <v>115</v>
      </c>
      <c r="AB3873" s="40" t="s">
        <v>115</v>
      </c>
      <c r="AC3873" s="40" t="s">
        <v>115</v>
      </c>
      <c r="AI3873" s="40" t="s">
        <v>115</v>
      </c>
      <c r="AP3873" s="4" t="s">
        <v>115</v>
      </c>
    </row>
    <row r="3874" spans="1:42" x14ac:dyDescent="0.15">
      <c r="A3874" s="40" t="s">
        <v>1</v>
      </c>
      <c r="B3874" s="23">
        <v>90290521</v>
      </c>
      <c r="C3874" s="23">
        <v>2905</v>
      </c>
      <c r="D3874" s="23">
        <v>29</v>
      </c>
      <c r="F3874" s="23" t="s">
        <v>115</v>
      </c>
      <c r="G3874" s="23" t="s">
        <v>115</v>
      </c>
      <c r="H3874" s="23" t="s">
        <v>6611</v>
      </c>
      <c r="I3874" s="23">
        <v>4</v>
      </c>
      <c r="J3874" s="40">
        <v>0</v>
      </c>
      <c r="K3874" s="40">
        <v>8</v>
      </c>
      <c r="L3874" s="40" t="s">
        <v>115</v>
      </c>
      <c r="O3874" s="40">
        <v>2</v>
      </c>
      <c r="Q3874" s="40">
        <v>187</v>
      </c>
      <c r="R3874" s="40" t="s">
        <v>115</v>
      </c>
      <c r="X3874" s="40" t="s">
        <v>115</v>
      </c>
      <c r="Y3874" s="40" t="s">
        <v>115</v>
      </c>
      <c r="Z3874" s="40">
        <v>7</v>
      </c>
      <c r="AA3874" s="40" t="s">
        <v>115</v>
      </c>
      <c r="AB3874" s="40" t="s">
        <v>115</v>
      </c>
      <c r="AC3874" s="40" t="s">
        <v>115</v>
      </c>
      <c r="AI3874" s="40" t="s">
        <v>115</v>
      </c>
      <c r="AP3874" s="4" t="s">
        <v>115</v>
      </c>
    </row>
    <row r="3875" spans="1:42" x14ac:dyDescent="0.15">
      <c r="A3875" s="40" t="s">
        <v>1</v>
      </c>
      <c r="B3875" s="23" t="s">
        <v>4930</v>
      </c>
      <c r="C3875" s="23">
        <v>2906</v>
      </c>
      <c r="D3875" s="23">
        <v>29</v>
      </c>
      <c r="F3875" s="23" t="s">
        <v>256</v>
      </c>
      <c r="G3875" s="23" t="s">
        <v>115</v>
      </c>
      <c r="H3875" s="23" t="s">
        <v>6612</v>
      </c>
      <c r="I3875" s="23">
        <v>3</v>
      </c>
      <c r="J3875" s="40">
        <v>1</v>
      </c>
      <c r="K3875" s="40">
        <v>1</v>
      </c>
      <c r="L3875" s="40" t="s">
        <v>115</v>
      </c>
      <c r="O3875" s="40" t="s">
        <v>115</v>
      </c>
      <c r="Q3875" s="40">
        <v>163</v>
      </c>
      <c r="R3875" s="40">
        <v>269</v>
      </c>
      <c r="X3875" s="40">
        <v>90290602</v>
      </c>
      <c r="Y3875" s="40" t="s">
        <v>115</v>
      </c>
      <c r="Z3875" s="40" t="s">
        <v>115</v>
      </c>
      <c r="AA3875" s="40" t="s">
        <v>115</v>
      </c>
      <c r="AB3875" s="40" t="s">
        <v>115</v>
      </c>
      <c r="AC3875" s="40" t="s">
        <v>115</v>
      </c>
      <c r="AI3875" s="40" t="s">
        <v>115</v>
      </c>
      <c r="AP3875" s="4" t="s">
        <v>115</v>
      </c>
    </row>
    <row r="3876" spans="1:42" x14ac:dyDescent="0.15">
      <c r="A3876" s="40" t="s">
        <v>1</v>
      </c>
      <c r="B3876" s="23">
        <v>90290602</v>
      </c>
      <c r="C3876" s="23">
        <v>2906</v>
      </c>
      <c r="D3876" s="23">
        <v>29</v>
      </c>
      <c r="F3876" s="23" t="s">
        <v>116</v>
      </c>
      <c r="G3876" s="23">
        <v>261</v>
      </c>
      <c r="H3876" s="23" t="s">
        <v>6613</v>
      </c>
      <c r="I3876" s="23">
        <v>0</v>
      </c>
      <c r="J3876" s="40">
        <v>0</v>
      </c>
      <c r="K3876" s="40">
        <v>0</v>
      </c>
      <c r="L3876" s="40" t="s">
        <v>115</v>
      </c>
      <c r="O3876" s="40" t="s">
        <v>115</v>
      </c>
      <c r="Q3876" s="40">
        <v>163</v>
      </c>
      <c r="R3876" s="40">
        <v>269</v>
      </c>
      <c r="X3876" s="40">
        <v>90290603</v>
      </c>
      <c r="Y3876" s="40" t="s">
        <v>115</v>
      </c>
      <c r="Z3876" s="40" t="s">
        <v>115</v>
      </c>
      <c r="AA3876" s="40" t="s">
        <v>115</v>
      </c>
      <c r="AB3876" s="40" t="s">
        <v>115</v>
      </c>
      <c r="AC3876" s="40" t="s">
        <v>115</v>
      </c>
      <c r="AI3876" s="40" t="s">
        <v>115</v>
      </c>
      <c r="AP3876" s="4" t="s">
        <v>115</v>
      </c>
    </row>
    <row r="3877" spans="1:42" x14ac:dyDescent="0.15">
      <c r="A3877" s="40" t="s">
        <v>1</v>
      </c>
      <c r="B3877" s="23">
        <v>90290603</v>
      </c>
      <c r="C3877" s="23">
        <v>2906</v>
      </c>
      <c r="D3877" s="23">
        <v>29</v>
      </c>
      <c r="F3877" s="23" t="s">
        <v>115</v>
      </c>
      <c r="G3877" s="23" t="s">
        <v>115</v>
      </c>
      <c r="H3877" s="23" t="s">
        <v>6614</v>
      </c>
      <c r="I3877" s="23">
        <v>4</v>
      </c>
      <c r="J3877" s="40">
        <v>0</v>
      </c>
      <c r="K3877" s="40">
        <v>2</v>
      </c>
      <c r="L3877" s="40" t="s">
        <v>115</v>
      </c>
      <c r="O3877" s="40" t="s">
        <v>115</v>
      </c>
      <c r="Q3877" s="40">
        <v>163</v>
      </c>
      <c r="R3877" s="40">
        <v>269</v>
      </c>
      <c r="X3877" s="40" t="s">
        <v>6615</v>
      </c>
      <c r="Y3877" s="40">
        <v>1</v>
      </c>
      <c r="Z3877" s="40">
        <v>1</v>
      </c>
      <c r="AA3877" s="40" t="s">
        <v>115</v>
      </c>
      <c r="AB3877" s="40" t="s">
        <v>115</v>
      </c>
      <c r="AC3877" s="40" t="s">
        <v>115</v>
      </c>
      <c r="AI3877" s="40" t="s">
        <v>115</v>
      </c>
      <c r="AP3877" s="4" t="s">
        <v>115</v>
      </c>
    </row>
    <row r="3878" spans="1:42" x14ac:dyDescent="0.15">
      <c r="A3878" s="40" t="s">
        <v>1</v>
      </c>
      <c r="B3878" s="23">
        <v>90290604</v>
      </c>
      <c r="C3878" s="23">
        <v>2906</v>
      </c>
      <c r="D3878" s="23">
        <v>29</v>
      </c>
      <c r="F3878" s="23" t="s">
        <v>115</v>
      </c>
      <c r="G3878" s="23" t="s">
        <v>115</v>
      </c>
      <c r="H3878" s="23" t="s">
        <v>6616</v>
      </c>
      <c r="I3878" s="23">
        <v>4</v>
      </c>
      <c r="J3878" s="40">
        <v>0</v>
      </c>
      <c r="K3878" s="40">
        <v>3</v>
      </c>
      <c r="L3878" s="40" t="s">
        <v>115</v>
      </c>
      <c r="O3878" s="40" t="s">
        <v>115</v>
      </c>
      <c r="Q3878" s="40">
        <v>163</v>
      </c>
      <c r="R3878" s="40">
        <v>269</v>
      </c>
      <c r="X3878" s="40">
        <v>90290607</v>
      </c>
      <c r="Y3878" s="40">
        <v>-1</v>
      </c>
      <c r="Z3878" s="40">
        <v>2</v>
      </c>
      <c r="AA3878" s="40" t="s">
        <v>6617</v>
      </c>
      <c r="AB3878" s="40" t="s">
        <v>115</v>
      </c>
      <c r="AC3878" s="40" t="s">
        <v>115</v>
      </c>
      <c r="AI3878" s="40" t="s">
        <v>115</v>
      </c>
      <c r="AP3878" s="4" t="s">
        <v>115</v>
      </c>
    </row>
    <row r="3879" spans="1:42" x14ac:dyDescent="0.15">
      <c r="A3879" s="40" t="s">
        <v>1</v>
      </c>
      <c r="B3879" s="23">
        <v>90290605</v>
      </c>
      <c r="C3879" s="23">
        <v>2906</v>
      </c>
      <c r="D3879" s="23">
        <v>29</v>
      </c>
      <c r="F3879" s="23" t="s">
        <v>115</v>
      </c>
      <c r="G3879" s="23" t="s">
        <v>115</v>
      </c>
      <c r="H3879" s="23" t="s">
        <v>6618</v>
      </c>
      <c r="I3879" s="23">
        <v>4</v>
      </c>
      <c r="J3879" s="40">
        <v>0</v>
      </c>
      <c r="K3879" s="40">
        <v>4</v>
      </c>
      <c r="L3879" s="40" t="s">
        <v>115</v>
      </c>
      <c r="O3879" s="40" t="s">
        <v>115</v>
      </c>
      <c r="Q3879" s="40">
        <v>163</v>
      </c>
      <c r="R3879" s="40">
        <v>269</v>
      </c>
      <c r="X3879" s="40">
        <v>90290609</v>
      </c>
      <c r="Y3879" s="40">
        <v>-1</v>
      </c>
      <c r="Z3879" s="40">
        <v>2</v>
      </c>
      <c r="AA3879" s="40" t="s">
        <v>6619</v>
      </c>
      <c r="AB3879" s="40" t="s">
        <v>115</v>
      </c>
      <c r="AC3879" s="40" t="s">
        <v>115</v>
      </c>
      <c r="AI3879" s="40" t="s">
        <v>115</v>
      </c>
      <c r="AP3879" s="4" t="s">
        <v>115</v>
      </c>
    </row>
    <row r="3880" spans="1:42" x14ac:dyDescent="0.15">
      <c r="A3880" s="40" t="s">
        <v>1</v>
      </c>
      <c r="B3880" s="23">
        <v>90290606</v>
      </c>
      <c r="C3880" s="23">
        <v>2906</v>
      </c>
      <c r="D3880" s="23">
        <v>29</v>
      </c>
      <c r="F3880" s="23" t="s">
        <v>115</v>
      </c>
      <c r="G3880" s="23" t="s">
        <v>115</v>
      </c>
      <c r="H3880" s="23" t="s">
        <v>6620</v>
      </c>
      <c r="I3880" s="23">
        <v>4</v>
      </c>
      <c r="J3880" s="40">
        <v>0</v>
      </c>
      <c r="K3880" s="40">
        <v>5</v>
      </c>
      <c r="L3880" s="40" t="s">
        <v>115</v>
      </c>
      <c r="O3880" s="40" t="s">
        <v>115</v>
      </c>
      <c r="Q3880" s="40">
        <v>163</v>
      </c>
      <c r="R3880" s="40">
        <v>269</v>
      </c>
      <c r="X3880" s="40">
        <v>90290617</v>
      </c>
      <c r="Y3880" s="40">
        <v>-1</v>
      </c>
      <c r="Z3880" s="40">
        <v>2</v>
      </c>
      <c r="AA3880" s="40" t="s">
        <v>6621</v>
      </c>
      <c r="AB3880" s="40" t="s">
        <v>115</v>
      </c>
      <c r="AC3880" s="40" t="s">
        <v>115</v>
      </c>
      <c r="AI3880" s="40" t="s">
        <v>115</v>
      </c>
      <c r="AP3880" s="4" t="s">
        <v>115</v>
      </c>
    </row>
    <row r="3881" spans="1:42" x14ac:dyDescent="0.15">
      <c r="A3881" s="40" t="s">
        <v>1</v>
      </c>
      <c r="B3881" s="23">
        <v>90290607</v>
      </c>
      <c r="C3881" s="23">
        <v>2906</v>
      </c>
      <c r="D3881" s="23">
        <v>29</v>
      </c>
      <c r="F3881" s="23" t="s">
        <v>256</v>
      </c>
      <c r="G3881" s="23" t="s">
        <v>115</v>
      </c>
      <c r="H3881" s="23" t="s">
        <v>6622</v>
      </c>
      <c r="I3881" s="23">
        <v>3</v>
      </c>
      <c r="J3881" s="40">
        <v>0</v>
      </c>
      <c r="K3881" s="40">
        <v>0</v>
      </c>
      <c r="L3881" s="40" t="s">
        <v>115</v>
      </c>
      <c r="O3881" s="40" t="s">
        <v>115</v>
      </c>
      <c r="Q3881" s="40">
        <v>163</v>
      </c>
      <c r="R3881" s="40">
        <v>269</v>
      </c>
      <c r="X3881" s="40">
        <v>90290608</v>
      </c>
      <c r="Y3881" s="40" t="s">
        <v>115</v>
      </c>
      <c r="Z3881" s="40" t="s">
        <v>115</v>
      </c>
      <c r="AA3881" s="40" t="s">
        <v>115</v>
      </c>
      <c r="AB3881" s="40" t="s">
        <v>115</v>
      </c>
      <c r="AC3881" s="40" t="s">
        <v>115</v>
      </c>
      <c r="AI3881" s="40" t="s">
        <v>115</v>
      </c>
      <c r="AP3881" s="4" t="s">
        <v>115</v>
      </c>
    </row>
    <row r="3882" spans="1:42" x14ac:dyDescent="0.15">
      <c r="A3882" s="40" t="s">
        <v>1</v>
      </c>
      <c r="B3882" s="23">
        <v>90290608</v>
      </c>
      <c r="C3882" s="23">
        <v>2906</v>
      </c>
      <c r="D3882" s="23">
        <v>29</v>
      </c>
      <c r="F3882" s="23" t="s">
        <v>256</v>
      </c>
      <c r="G3882" s="23" t="s">
        <v>115</v>
      </c>
      <c r="H3882" s="23" t="s">
        <v>6623</v>
      </c>
      <c r="I3882" s="23">
        <v>3</v>
      </c>
      <c r="J3882" s="40">
        <v>0</v>
      </c>
      <c r="K3882" s="40">
        <v>0</v>
      </c>
      <c r="L3882" s="40" t="s">
        <v>115</v>
      </c>
      <c r="O3882" s="40" t="s">
        <v>115</v>
      </c>
      <c r="Q3882" s="40">
        <v>163</v>
      </c>
      <c r="R3882" s="40">
        <v>269</v>
      </c>
      <c r="X3882" s="40">
        <v>90290603</v>
      </c>
      <c r="Y3882" s="40" t="s">
        <v>115</v>
      </c>
      <c r="Z3882" s="40" t="s">
        <v>115</v>
      </c>
      <c r="AA3882" s="40" t="s">
        <v>115</v>
      </c>
      <c r="AB3882" s="40" t="s">
        <v>115</v>
      </c>
      <c r="AC3882" s="40" t="s">
        <v>115</v>
      </c>
      <c r="AI3882" s="40" t="s">
        <v>115</v>
      </c>
      <c r="AP3882" s="4" t="s">
        <v>115</v>
      </c>
    </row>
    <row r="3883" spans="1:42" x14ac:dyDescent="0.15">
      <c r="A3883" s="40" t="s">
        <v>1</v>
      </c>
      <c r="B3883" s="23">
        <v>90290609</v>
      </c>
      <c r="C3883" s="23">
        <v>2906</v>
      </c>
      <c r="D3883" s="23">
        <v>29</v>
      </c>
      <c r="F3883" s="23" t="s">
        <v>256</v>
      </c>
      <c r="G3883" s="23" t="s">
        <v>115</v>
      </c>
      <c r="H3883" s="23" t="s">
        <v>6624</v>
      </c>
      <c r="I3883" s="23">
        <v>3</v>
      </c>
      <c r="J3883" s="40">
        <v>0</v>
      </c>
      <c r="K3883" s="40">
        <v>0</v>
      </c>
      <c r="L3883" s="40" t="s">
        <v>115</v>
      </c>
      <c r="O3883" s="40" t="s">
        <v>115</v>
      </c>
      <c r="Q3883" s="40">
        <v>163</v>
      </c>
      <c r="R3883" s="40">
        <v>269</v>
      </c>
      <c r="X3883" s="40">
        <v>90290610</v>
      </c>
      <c r="Y3883" s="40" t="s">
        <v>115</v>
      </c>
      <c r="Z3883" s="40" t="s">
        <v>115</v>
      </c>
      <c r="AA3883" s="40" t="s">
        <v>115</v>
      </c>
      <c r="AB3883" s="40" t="s">
        <v>115</v>
      </c>
      <c r="AC3883" s="40" t="s">
        <v>115</v>
      </c>
      <c r="AI3883" s="40" t="s">
        <v>115</v>
      </c>
      <c r="AP3883" s="4" t="s">
        <v>115</v>
      </c>
    </row>
    <row r="3884" spans="1:42" x14ac:dyDescent="0.15">
      <c r="A3884" s="40" t="s">
        <v>1</v>
      </c>
      <c r="B3884" s="23">
        <v>90290610</v>
      </c>
      <c r="C3884" s="23">
        <v>2906</v>
      </c>
      <c r="D3884" s="23">
        <v>29</v>
      </c>
      <c r="F3884" s="23" t="s">
        <v>115</v>
      </c>
      <c r="G3884" s="23" t="s">
        <v>115</v>
      </c>
      <c r="H3884" s="23" t="s">
        <v>6625</v>
      </c>
      <c r="I3884" s="23">
        <v>4</v>
      </c>
      <c r="J3884" s="40">
        <v>0</v>
      </c>
      <c r="K3884" s="40">
        <v>6</v>
      </c>
      <c r="L3884" s="40" t="s">
        <v>115</v>
      </c>
      <c r="O3884" s="40" t="s">
        <v>115</v>
      </c>
      <c r="Q3884" s="40">
        <v>163</v>
      </c>
      <c r="R3884" s="40">
        <v>269</v>
      </c>
      <c r="X3884" s="40" t="s">
        <v>6626</v>
      </c>
      <c r="Y3884" s="40">
        <v>1</v>
      </c>
      <c r="Z3884" s="40">
        <v>2</v>
      </c>
      <c r="AA3884" s="40" t="s">
        <v>115</v>
      </c>
      <c r="AB3884" s="40" t="s">
        <v>115</v>
      </c>
      <c r="AC3884" s="40" t="s">
        <v>115</v>
      </c>
      <c r="AI3884" s="40" t="s">
        <v>115</v>
      </c>
      <c r="AP3884" s="4" t="s">
        <v>115</v>
      </c>
    </row>
    <row r="3885" spans="1:42" x14ac:dyDescent="0.15">
      <c r="A3885" s="40" t="s">
        <v>1</v>
      </c>
      <c r="B3885" s="23">
        <v>90290611</v>
      </c>
      <c r="C3885" s="23">
        <v>2906</v>
      </c>
      <c r="D3885" s="23">
        <v>29</v>
      </c>
      <c r="F3885" s="23" t="s">
        <v>115</v>
      </c>
      <c r="G3885" s="23" t="s">
        <v>115</v>
      </c>
      <c r="H3885" s="23" t="s">
        <v>6627</v>
      </c>
      <c r="I3885" s="23">
        <v>4</v>
      </c>
      <c r="J3885" s="40">
        <v>0</v>
      </c>
      <c r="K3885" s="40">
        <v>7</v>
      </c>
      <c r="L3885" s="40" t="s">
        <v>115</v>
      </c>
      <c r="O3885" s="40" t="s">
        <v>115</v>
      </c>
      <c r="Q3885" s="40">
        <v>163</v>
      </c>
      <c r="R3885" s="40">
        <v>269</v>
      </c>
      <c r="X3885" s="40">
        <v>90290613</v>
      </c>
      <c r="Y3885" s="40">
        <v>-1</v>
      </c>
      <c r="Z3885" s="40">
        <v>6</v>
      </c>
      <c r="AA3885" s="40" t="s">
        <v>115</v>
      </c>
      <c r="AB3885" s="40" t="s">
        <v>115</v>
      </c>
      <c r="AC3885" s="40" t="s">
        <v>115</v>
      </c>
      <c r="AI3885" s="40" t="s">
        <v>115</v>
      </c>
      <c r="AP3885" s="4" t="s">
        <v>115</v>
      </c>
    </row>
    <row r="3886" spans="1:42" x14ac:dyDescent="0.15">
      <c r="A3886" s="40" t="s">
        <v>1</v>
      </c>
      <c r="B3886" s="23">
        <v>90290612</v>
      </c>
      <c r="C3886" s="23">
        <v>2906</v>
      </c>
      <c r="D3886" s="23">
        <v>29</v>
      </c>
      <c r="F3886" s="23" t="s">
        <v>115</v>
      </c>
      <c r="G3886" s="23" t="s">
        <v>115</v>
      </c>
      <c r="H3886" s="23" t="s">
        <v>6628</v>
      </c>
      <c r="I3886" s="23">
        <v>4</v>
      </c>
      <c r="J3886" s="40">
        <v>0</v>
      </c>
      <c r="K3886" s="40">
        <v>8</v>
      </c>
      <c r="L3886" s="40" t="s">
        <v>115</v>
      </c>
      <c r="O3886" s="40" t="s">
        <v>115</v>
      </c>
      <c r="Q3886" s="40">
        <v>163</v>
      </c>
      <c r="R3886" s="40">
        <v>269</v>
      </c>
      <c r="X3886" s="40">
        <v>90290615</v>
      </c>
      <c r="Y3886" s="40">
        <v>-1</v>
      </c>
      <c r="Z3886" s="40">
        <v>6</v>
      </c>
      <c r="AA3886" s="40" t="s">
        <v>115</v>
      </c>
      <c r="AB3886" s="40" t="s">
        <v>115</v>
      </c>
      <c r="AC3886" s="40" t="s">
        <v>115</v>
      </c>
      <c r="AI3886" s="40" t="s">
        <v>115</v>
      </c>
      <c r="AP3886" s="4" t="s">
        <v>115</v>
      </c>
    </row>
    <row r="3887" spans="1:42" x14ac:dyDescent="0.15">
      <c r="A3887" s="40" t="s">
        <v>1</v>
      </c>
      <c r="B3887" s="23">
        <v>90290613</v>
      </c>
      <c r="C3887" s="23">
        <v>2906</v>
      </c>
      <c r="D3887" s="23">
        <v>29</v>
      </c>
      <c r="F3887" s="23" t="s">
        <v>115</v>
      </c>
      <c r="G3887" s="23" t="s">
        <v>115</v>
      </c>
      <c r="H3887" s="23" t="s">
        <v>6629</v>
      </c>
      <c r="I3887" s="23">
        <v>4</v>
      </c>
      <c r="J3887" s="40">
        <v>0</v>
      </c>
      <c r="K3887" s="40">
        <v>0</v>
      </c>
      <c r="L3887" s="40" t="s">
        <v>115</v>
      </c>
      <c r="O3887" s="40" t="s">
        <v>115</v>
      </c>
      <c r="Q3887" s="40">
        <v>163</v>
      </c>
      <c r="R3887" s="40">
        <v>269</v>
      </c>
      <c r="X3887" s="40">
        <v>90290614</v>
      </c>
      <c r="Y3887" s="40" t="s">
        <v>115</v>
      </c>
      <c r="Z3887" s="40" t="s">
        <v>115</v>
      </c>
      <c r="AA3887" s="40" t="s">
        <v>115</v>
      </c>
      <c r="AB3887" s="40" t="s">
        <v>115</v>
      </c>
      <c r="AC3887" s="40" t="s">
        <v>115</v>
      </c>
      <c r="AI3887" s="40" t="s">
        <v>115</v>
      </c>
      <c r="AP3887" s="4" t="s">
        <v>115</v>
      </c>
    </row>
    <row r="3888" spans="1:42" x14ac:dyDescent="0.15">
      <c r="A3888" s="40" t="s">
        <v>1</v>
      </c>
      <c r="B3888" s="23">
        <v>90290614</v>
      </c>
      <c r="C3888" s="23">
        <v>2906</v>
      </c>
      <c r="D3888" s="23">
        <v>29</v>
      </c>
      <c r="F3888" s="23" t="s">
        <v>256</v>
      </c>
      <c r="G3888" s="23" t="s">
        <v>115</v>
      </c>
      <c r="H3888" s="23" t="s">
        <v>6630</v>
      </c>
      <c r="I3888" s="23">
        <v>3</v>
      </c>
      <c r="J3888" s="40">
        <v>0</v>
      </c>
      <c r="K3888" s="40">
        <v>0</v>
      </c>
      <c r="L3888" s="40" t="s">
        <v>115</v>
      </c>
      <c r="O3888" s="40" t="s">
        <v>115</v>
      </c>
      <c r="Q3888" s="40">
        <v>163</v>
      </c>
      <c r="R3888" s="40">
        <v>269</v>
      </c>
      <c r="X3888" s="40">
        <v>90290603</v>
      </c>
      <c r="Y3888" s="40" t="s">
        <v>115</v>
      </c>
      <c r="Z3888" s="40" t="s">
        <v>115</v>
      </c>
      <c r="AA3888" s="40" t="s">
        <v>115</v>
      </c>
      <c r="AB3888" s="40" t="s">
        <v>115</v>
      </c>
      <c r="AC3888" s="40" t="s">
        <v>115</v>
      </c>
      <c r="AI3888" s="40" t="s">
        <v>115</v>
      </c>
      <c r="AP3888" s="4" t="s">
        <v>115</v>
      </c>
    </row>
    <row r="3889" spans="1:42" x14ac:dyDescent="0.15">
      <c r="A3889" s="40" t="s">
        <v>1</v>
      </c>
      <c r="B3889" s="23">
        <v>90290615</v>
      </c>
      <c r="C3889" s="23">
        <v>2906</v>
      </c>
      <c r="D3889" s="23">
        <v>29</v>
      </c>
      <c r="F3889" s="23" t="s">
        <v>256</v>
      </c>
      <c r="G3889" s="23" t="s">
        <v>115</v>
      </c>
      <c r="H3889" s="23" t="s">
        <v>6631</v>
      </c>
      <c r="I3889" s="23">
        <v>3</v>
      </c>
      <c r="J3889" s="40">
        <v>0</v>
      </c>
      <c r="K3889" s="40">
        <v>0</v>
      </c>
      <c r="L3889" s="40" t="s">
        <v>115</v>
      </c>
      <c r="O3889" s="40" t="s">
        <v>115</v>
      </c>
      <c r="Q3889" s="40">
        <v>163</v>
      </c>
      <c r="R3889" s="40">
        <v>269</v>
      </c>
      <c r="X3889" s="40">
        <v>90290616</v>
      </c>
      <c r="Y3889" s="40" t="s">
        <v>115</v>
      </c>
      <c r="Z3889" s="40" t="s">
        <v>115</v>
      </c>
      <c r="AA3889" s="40" t="s">
        <v>115</v>
      </c>
      <c r="AB3889" s="40" t="s">
        <v>115</v>
      </c>
      <c r="AC3889" s="40" t="s">
        <v>115</v>
      </c>
      <c r="AI3889" s="40" t="s">
        <v>115</v>
      </c>
      <c r="AP3889" s="4" t="s">
        <v>115</v>
      </c>
    </row>
    <row r="3890" spans="1:42" x14ac:dyDescent="0.15">
      <c r="A3890" s="40" t="s">
        <v>1</v>
      </c>
      <c r="B3890" s="23">
        <v>90290616</v>
      </c>
      <c r="C3890" s="23">
        <v>2906</v>
      </c>
      <c r="D3890" s="23">
        <v>29</v>
      </c>
      <c r="F3890" s="23" t="s">
        <v>256</v>
      </c>
      <c r="G3890" s="23" t="s">
        <v>115</v>
      </c>
      <c r="H3890" s="23" t="s">
        <v>6632</v>
      </c>
      <c r="I3890" s="23">
        <v>3</v>
      </c>
      <c r="J3890" s="40">
        <v>0</v>
      </c>
      <c r="K3890" s="40">
        <v>9</v>
      </c>
      <c r="L3890" s="40" t="s">
        <v>115</v>
      </c>
      <c r="O3890" s="40">
        <v>1</v>
      </c>
      <c r="Q3890" s="40">
        <v>163</v>
      </c>
      <c r="R3890" s="40">
        <v>269</v>
      </c>
      <c r="X3890" s="40" t="s">
        <v>115</v>
      </c>
      <c r="Y3890" s="40" t="s">
        <v>115</v>
      </c>
      <c r="Z3890" s="40">
        <v>8</v>
      </c>
      <c r="AA3890" s="40" t="s">
        <v>115</v>
      </c>
      <c r="AB3890" s="40" t="s">
        <v>115</v>
      </c>
      <c r="AC3890" s="40" t="s">
        <v>115</v>
      </c>
      <c r="AI3890" s="40" t="s">
        <v>115</v>
      </c>
      <c r="AP3890" s="4" t="s">
        <v>115</v>
      </c>
    </row>
    <row r="3891" spans="1:42" x14ac:dyDescent="0.15">
      <c r="A3891" s="40" t="s">
        <v>1</v>
      </c>
      <c r="B3891" s="23">
        <v>90290617</v>
      </c>
      <c r="C3891" s="23">
        <v>2906</v>
      </c>
      <c r="D3891" s="23">
        <v>29</v>
      </c>
      <c r="F3891" s="23" t="s">
        <v>256</v>
      </c>
      <c r="G3891" s="23" t="s">
        <v>115</v>
      </c>
      <c r="H3891" s="23" t="s">
        <v>6633</v>
      </c>
      <c r="I3891" s="23">
        <v>3</v>
      </c>
      <c r="J3891" s="40">
        <v>0</v>
      </c>
      <c r="K3891" s="40">
        <v>0</v>
      </c>
      <c r="L3891" s="40" t="s">
        <v>115</v>
      </c>
      <c r="O3891" s="40" t="s">
        <v>115</v>
      </c>
      <c r="Q3891" s="40">
        <v>163</v>
      </c>
      <c r="R3891" s="40">
        <v>269</v>
      </c>
      <c r="X3891" s="40">
        <v>90290618</v>
      </c>
      <c r="Y3891" s="40" t="s">
        <v>115</v>
      </c>
      <c r="Z3891" s="40" t="s">
        <v>115</v>
      </c>
      <c r="AA3891" s="40" t="s">
        <v>115</v>
      </c>
      <c r="AB3891" s="40" t="s">
        <v>115</v>
      </c>
      <c r="AC3891" s="40" t="s">
        <v>115</v>
      </c>
      <c r="AI3891" s="40" t="s">
        <v>115</v>
      </c>
      <c r="AP3891" s="4" t="s">
        <v>115</v>
      </c>
    </row>
    <row r="3892" spans="1:42" x14ac:dyDescent="0.15">
      <c r="A3892" s="40" t="s">
        <v>1</v>
      </c>
      <c r="B3892" s="23">
        <v>90290618</v>
      </c>
      <c r="C3892" s="23">
        <v>2906</v>
      </c>
      <c r="D3892" s="23">
        <v>29</v>
      </c>
      <c r="F3892" s="23" t="s">
        <v>115</v>
      </c>
      <c r="G3892" s="23" t="s">
        <v>115</v>
      </c>
      <c r="H3892" s="23" t="s">
        <v>6634</v>
      </c>
      <c r="I3892" s="23">
        <v>4</v>
      </c>
      <c r="J3892" s="40">
        <v>0</v>
      </c>
      <c r="K3892" s="40">
        <v>0</v>
      </c>
      <c r="L3892" s="40" t="s">
        <v>115</v>
      </c>
      <c r="O3892" s="40" t="s">
        <v>115</v>
      </c>
      <c r="Q3892" s="40">
        <v>163</v>
      </c>
      <c r="R3892" s="40">
        <v>269</v>
      </c>
      <c r="X3892" s="40">
        <v>90290619</v>
      </c>
      <c r="Y3892" s="40" t="s">
        <v>115</v>
      </c>
      <c r="Z3892" s="40" t="s">
        <v>115</v>
      </c>
      <c r="AA3892" s="40" t="s">
        <v>115</v>
      </c>
      <c r="AB3892" s="40" t="s">
        <v>115</v>
      </c>
      <c r="AC3892" s="40" t="s">
        <v>115</v>
      </c>
      <c r="AI3892" s="40" t="s">
        <v>115</v>
      </c>
      <c r="AP3892" s="4" t="s">
        <v>115</v>
      </c>
    </row>
    <row r="3893" spans="1:42" x14ac:dyDescent="0.15">
      <c r="A3893" s="40" t="s">
        <v>1</v>
      </c>
      <c r="B3893" s="23">
        <v>90290619</v>
      </c>
      <c r="C3893" s="23">
        <v>2906</v>
      </c>
      <c r="D3893" s="23">
        <v>29</v>
      </c>
      <c r="F3893" s="23" t="s">
        <v>115</v>
      </c>
      <c r="G3893" s="23" t="s">
        <v>115</v>
      </c>
      <c r="H3893" s="23" t="s">
        <v>6635</v>
      </c>
      <c r="I3893" s="23">
        <v>4</v>
      </c>
      <c r="J3893" s="40">
        <v>0</v>
      </c>
      <c r="K3893" s="40">
        <v>0</v>
      </c>
      <c r="L3893" s="40" t="s">
        <v>115</v>
      </c>
      <c r="O3893" s="40" t="s">
        <v>115</v>
      </c>
      <c r="Q3893" s="40">
        <v>163</v>
      </c>
      <c r="R3893" s="40">
        <v>269</v>
      </c>
      <c r="X3893" s="40">
        <v>90290620</v>
      </c>
      <c r="Y3893" s="40" t="s">
        <v>115</v>
      </c>
      <c r="Z3893" s="40" t="s">
        <v>115</v>
      </c>
      <c r="AA3893" s="40" t="s">
        <v>115</v>
      </c>
      <c r="AB3893" s="40" t="s">
        <v>115</v>
      </c>
      <c r="AC3893" s="40" t="s">
        <v>115</v>
      </c>
      <c r="AI3893" s="40" t="s">
        <v>115</v>
      </c>
      <c r="AP3893" s="4" t="s">
        <v>115</v>
      </c>
    </row>
    <row r="3894" spans="1:42" x14ac:dyDescent="0.15">
      <c r="A3894" s="40" t="s">
        <v>1</v>
      </c>
      <c r="B3894" s="23">
        <v>90290620</v>
      </c>
      <c r="C3894" s="23">
        <v>2906</v>
      </c>
      <c r="D3894" s="23">
        <v>29</v>
      </c>
      <c r="F3894" s="23" t="s">
        <v>256</v>
      </c>
      <c r="G3894" s="23" t="s">
        <v>115</v>
      </c>
      <c r="H3894" s="23" t="s">
        <v>6636</v>
      </c>
      <c r="I3894" s="23">
        <v>3</v>
      </c>
      <c r="J3894" s="40">
        <v>0</v>
      </c>
      <c r="K3894" s="40">
        <v>0</v>
      </c>
      <c r="L3894" s="40" t="s">
        <v>115</v>
      </c>
      <c r="O3894" s="40" t="s">
        <v>115</v>
      </c>
      <c r="Q3894" s="40">
        <v>163</v>
      </c>
      <c r="R3894" s="40">
        <v>269</v>
      </c>
      <c r="X3894" s="40">
        <v>90290621</v>
      </c>
      <c r="Y3894" s="40" t="s">
        <v>115</v>
      </c>
      <c r="Z3894" s="40" t="s">
        <v>115</v>
      </c>
      <c r="AA3894" s="40" t="s">
        <v>115</v>
      </c>
      <c r="AB3894" s="40" t="s">
        <v>115</v>
      </c>
      <c r="AC3894" s="40" t="s">
        <v>115</v>
      </c>
      <c r="AI3894" s="40" t="s">
        <v>115</v>
      </c>
      <c r="AP3894" s="4" t="s">
        <v>115</v>
      </c>
    </row>
    <row r="3895" spans="1:42" x14ac:dyDescent="0.15">
      <c r="A3895" s="40" t="s">
        <v>1</v>
      </c>
      <c r="B3895" s="23">
        <v>90290621</v>
      </c>
      <c r="C3895" s="23">
        <v>2906</v>
      </c>
      <c r="D3895" s="23">
        <v>29</v>
      </c>
      <c r="F3895" s="23" t="s">
        <v>256</v>
      </c>
      <c r="G3895" s="23" t="s">
        <v>115</v>
      </c>
      <c r="H3895" s="23" t="s">
        <v>6637</v>
      </c>
      <c r="I3895" s="23">
        <v>3</v>
      </c>
      <c r="J3895" s="40">
        <v>0</v>
      </c>
      <c r="K3895" s="40">
        <v>0</v>
      </c>
      <c r="L3895" s="40" t="s">
        <v>115</v>
      </c>
      <c r="O3895" s="40" t="s">
        <v>115</v>
      </c>
      <c r="Q3895" s="40">
        <v>163</v>
      </c>
      <c r="R3895" s="40">
        <v>269</v>
      </c>
      <c r="X3895" s="40">
        <v>90290622</v>
      </c>
      <c r="Y3895" s="40" t="s">
        <v>115</v>
      </c>
      <c r="Z3895" s="40" t="s">
        <v>115</v>
      </c>
      <c r="AA3895" s="40" t="s">
        <v>115</v>
      </c>
      <c r="AB3895" s="40" t="s">
        <v>115</v>
      </c>
      <c r="AC3895" s="40" t="s">
        <v>115</v>
      </c>
      <c r="AI3895" s="40" t="s">
        <v>115</v>
      </c>
      <c r="AP3895" s="4" t="s">
        <v>115</v>
      </c>
    </row>
    <row r="3896" spans="1:42" x14ac:dyDescent="0.15">
      <c r="A3896" s="40" t="s">
        <v>1</v>
      </c>
      <c r="B3896" s="23">
        <v>90290622</v>
      </c>
      <c r="C3896" s="23">
        <v>2906</v>
      </c>
      <c r="D3896" s="23">
        <v>29</v>
      </c>
      <c r="F3896" s="23" t="s">
        <v>256</v>
      </c>
      <c r="G3896" s="23" t="s">
        <v>115</v>
      </c>
      <c r="H3896" s="23" t="s">
        <v>6638</v>
      </c>
      <c r="I3896" s="23">
        <v>3</v>
      </c>
      <c r="J3896" s="40">
        <v>0</v>
      </c>
      <c r="K3896" s="40">
        <v>0</v>
      </c>
      <c r="L3896" s="40" t="s">
        <v>115</v>
      </c>
      <c r="O3896" s="40" t="s">
        <v>115</v>
      </c>
      <c r="Q3896" s="40">
        <v>163</v>
      </c>
      <c r="R3896" s="40">
        <v>269</v>
      </c>
      <c r="X3896" s="40">
        <v>90290623</v>
      </c>
      <c r="Y3896" s="40" t="s">
        <v>115</v>
      </c>
      <c r="Z3896" s="40" t="s">
        <v>115</v>
      </c>
      <c r="AA3896" s="40" t="s">
        <v>115</v>
      </c>
      <c r="AB3896" s="40" t="s">
        <v>115</v>
      </c>
      <c r="AC3896" s="40" t="s">
        <v>115</v>
      </c>
      <c r="AI3896" s="40" t="s">
        <v>115</v>
      </c>
      <c r="AP3896" s="4" t="s">
        <v>115</v>
      </c>
    </row>
    <row r="3897" spans="1:42" x14ac:dyDescent="0.15">
      <c r="A3897" s="40" t="s">
        <v>1</v>
      </c>
      <c r="B3897" s="23">
        <v>90290623</v>
      </c>
      <c r="C3897" s="23">
        <v>2906</v>
      </c>
      <c r="D3897" s="23">
        <v>29</v>
      </c>
      <c r="F3897" s="23" t="s">
        <v>115</v>
      </c>
      <c r="G3897" s="23" t="s">
        <v>115</v>
      </c>
      <c r="H3897" s="23" t="s">
        <v>6639</v>
      </c>
      <c r="I3897" s="23">
        <v>4</v>
      </c>
      <c r="J3897" s="40">
        <v>0</v>
      </c>
      <c r="K3897" s="40">
        <v>0</v>
      </c>
      <c r="L3897" s="40" t="s">
        <v>115</v>
      </c>
      <c r="O3897" s="40" t="s">
        <v>115</v>
      </c>
      <c r="Q3897" s="40">
        <v>163</v>
      </c>
      <c r="R3897" s="40" t="s">
        <v>115</v>
      </c>
      <c r="X3897" s="40">
        <v>90290624</v>
      </c>
      <c r="Y3897" s="40" t="s">
        <v>115</v>
      </c>
      <c r="Z3897" s="40" t="s">
        <v>115</v>
      </c>
      <c r="AA3897" s="40" t="s">
        <v>115</v>
      </c>
      <c r="AB3897" s="40" t="s">
        <v>115</v>
      </c>
      <c r="AC3897" s="40" t="s">
        <v>115</v>
      </c>
      <c r="AI3897" s="40" t="s">
        <v>115</v>
      </c>
      <c r="AP3897" s="4" t="s">
        <v>115</v>
      </c>
    </row>
    <row r="3898" spans="1:42" x14ac:dyDescent="0.15">
      <c r="A3898" s="40" t="s">
        <v>1</v>
      </c>
      <c r="B3898" s="23">
        <v>90290624</v>
      </c>
      <c r="C3898" s="23">
        <v>2906</v>
      </c>
      <c r="D3898" s="23">
        <v>29</v>
      </c>
      <c r="F3898" s="23" t="s">
        <v>115</v>
      </c>
      <c r="G3898" s="23" t="s">
        <v>115</v>
      </c>
      <c r="H3898" s="23" t="s">
        <v>6640</v>
      </c>
      <c r="I3898" s="23">
        <v>4</v>
      </c>
      <c r="J3898" s="40">
        <v>0</v>
      </c>
      <c r="K3898" s="40">
        <v>0</v>
      </c>
      <c r="L3898" s="40" t="s">
        <v>115</v>
      </c>
      <c r="O3898" s="40" t="s">
        <v>115</v>
      </c>
      <c r="Q3898" s="40">
        <v>163</v>
      </c>
      <c r="R3898" s="40" t="s">
        <v>115</v>
      </c>
      <c r="X3898" s="40">
        <v>90290625</v>
      </c>
      <c r="Y3898" s="40" t="s">
        <v>115</v>
      </c>
      <c r="Z3898" s="40" t="s">
        <v>115</v>
      </c>
      <c r="AA3898" s="40" t="s">
        <v>115</v>
      </c>
      <c r="AB3898" s="40" t="s">
        <v>115</v>
      </c>
      <c r="AC3898" s="40" t="s">
        <v>115</v>
      </c>
      <c r="AI3898" s="40" t="s">
        <v>115</v>
      </c>
      <c r="AP3898" s="4" t="s">
        <v>115</v>
      </c>
    </row>
    <row r="3899" spans="1:42" x14ac:dyDescent="0.15">
      <c r="A3899" s="40" t="s">
        <v>1</v>
      </c>
      <c r="B3899" s="23">
        <v>90290625</v>
      </c>
      <c r="C3899" s="23">
        <v>2906</v>
      </c>
      <c r="D3899" s="23">
        <v>29</v>
      </c>
      <c r="F3899" s="23" t="s">
        <v>115</v>
      </c>
      <c r="G3899" s="23" t="s">
        <v>115</v>
      </c>
      <c r="H3899" s="23" t="s">
        <v>6641</v>
      </c>
      <c r="I3899" s="23">
        <v>4</v>
      </c>
      <c r="J3899" s="40">
        <v>0</v>
      </c>
      <c r="K3899" s="40">
        <v>10</v>
      </c>
      <c r="L3899" s="40" t="s">
        <v>115</v>
      </c>
      <c r="O3899" s="40">
        <v>1</v>
      </c>
      <c r="Q3899" s="40">
        <v>163</v>
      </c>
      <c r="R3899" s="40" t="s">
        <v>115</v>
      </c>
      <c r="X3899" s="40" t="s">
        <v>115</v>
      </c>
      <c r="Y3899" s="40" t="s">
        <v>115</v>
      </c>
      <c r="Z3899" s="40">
        <v>9</v>
      </c>
      <c r="AA3899" s="40" t="s">
        <v>115</v>
      </c>
      <c r="AB3899" s="40" t="s">
        <v>115</v>
      </c>
      <c r="AC3899" s="40" t="s">
        <v>115</v>
      </c>
      <c r="AI3899" s="40" t="s">
        <v>115</v>
      </c>
      <c r="AP3899" s="4" t="s">
        <v>115</v>
      </c>
    </row>
    <row r="3900" spans="1:42" x14ac:dyDescent="0.15">
      <c r="A3900" s="40" t="s">
        <v>1</v>
      </c>
      <c r="B3900" s="23" t="s">
        <v>4931</v>
      </c>
      <c r="C3900" s="23">
        <v>2907</v>
      </c>
      <c r="D3900" s="23">
        <v>29</v>
      </c>
      <c r="F3900" s="23" t="s">
        <v>115</v>
      </c>
      <c r="G3900" s="23" t="s">
        <v>115</v>
      </c>
      <c r="H3900" s="23" t="s">
        <v>6642</v>
      </c>
      <c r="I3900" s="23">
        <v>4</v>
      </c>
      <c r="J3900" s="40">
        <v>1</v>
      </c>
      <c r="K3900" s="40">
        <v>1</v>
      </c>
      <c r="L3900" s="40" t="s">
        <v>115</v>
      </c>
      <c r="O3900" s="40" t="s">
        <v>115</v>
      </c>
      <c r="Q3900" s="40">
        <v>198</v>
      </c>
      <c r="R3900" s="40" t="s">
        <v>115</v>
      </c>
      <c r="X3900" s="40">
        <v>90290702</v>
      </c>
      <c r="Y3900" s="40" t="s">
        <v>115</v>
      </c>
      <c r="Z3900" s="40" t="s">
        <v>115</v>
      </c>
      <c r="AA3900" s="40" t="s">
        <v>115</v>
      </c>
      <c r="AB3900" s="40" t="s">
        <v>115</v>
      </c>
      <c r="AC3900" s="40" t="s">
        <v>115</v>
      </c>
      <c r="AI3900" s="40" t="s">
        <v>115</v>
      </c>
      <c r="AP3900" s="4" t="s">
        <v>115</v>
      </c>
    </row>
    <row r="3901" spans="1:42" x14ac:dyDescent="0.15">
      <c r="A3901" s="40" t="s">
        <v>1</v>
      </c>
      <c r="B3901" s="23">
        <v>90290702</v>
      </c>
      <c r="C3901" s="23">
        <v>2907</v>
      </c>
      <c r="D3901" s="23">
        <v>29</v>
      </c>
      <c r="F3901" s="23" t="s">
        <v>116</v>
      </c>
      <c r="G3901" s="23">
        <v>261</v>
      </c>
      <c r="H3901" s="23" t="s">
        <v>6643</v>
      </c>
      <c r="I3901" s="23">
        <v>0</v>
      </c>
      <c r="J3901" s="40">
        <v>0</v>
      </c>
      <c r="K3901" s="40">
        <v>0</v>
      </c>
      <c r="L3901" s="40" t="s">
        <v>115</v>
      </c>
      <c r="O3901" s="40" t="s">
        <v>115</v>
      </c>
      <c r="Q3901" s="40">
        <v>198</v>
      </c>
      <c r="R3901" s="40">
        <v>284</v>
      </c>
      <c r="X3901" s="40">
        <v>90290703</v>
      </c>
      <c r="Y3901" s="40" t="s">
        <v>115</v>
      </c>
      <c r="Z3901" s="40" t="s">
        <v>115</v>
      </c>
      <c r="AA3901" s="40" t="s">
        <v>115</v>
      </c>
      <c r="AB3901" s="40" t="s">
        <v>115</v>
      </c>
      <c r="AC3901" s="40" t="s">
        <v>115</v>
      </c>
      <c r="AI3901" s="40" t="s">
        <v>115</v>
      </c>
      <c r="AP3901" s="4" t="s">
        <v>115</v>
      </c>
    </row>
    <row r="3902" spans="1:42" x14ac:dyDescent="0.15">
      <c r="A3902" s="40" t="s">
        <v>1</v>
      </c>
      <c r="B3902" s="23">
        <v>90290703</v>
      </c>
      <c r="C3902" s="23">
        <v>2907</v>
      </c>
      <c r="D3902" s="23">
        <v>29</v>
      </c>
      <c r="F3902" s="23" t="s">
        <v>1071</v>
      </c>
      <c r="G3902" s="23" t="s">
        <v>115</v>
      </c>
      <c r="H3902" s="23" t="s">
        <v>6644</v>
      </c>
      <c r="I3902" s="23">
        <v>3</v>
      </c>
      <c r="J3902" s="40">
        <v>0</v>
      </c>
      <c r="K3902" s="40">
        <v>0</v>
      </c>
      <c r="L3902" s="40" t="s">
        <v>115</v>
      </c>
      <c r="O3902" s="40" t="s">
        <v>115</v>
      </c>
      <c r="Q3902" s="40">
        <v>198</v>
      </c>
      <c r="R3902" s="40">
        <v>284</v>
      </c>
      <c r="X3902" s="40">
        <v>90290704</v>
      </c>
      <c r="Y3902" s="40" t="s">
        <v>115</v>
      </c>
      <c r="Z3902" s="40" t="s">
        <v>115</v>
      </c>
      <c r="AA3902" s="40" t="s">
        <v>115</v>
      </c>
      <c r="AB3902" s="40" t="s">
        <v>115</v>
      </c>
      <c r="AC3902" s="40" t="s">
        <v>115</v>
      </c>
      <c r="AI3902" s="40" t="s">
        <v>115</v>
      </c>
      <c r="AP3902" s="4" t="s">
        <v>115</v>
      </c>
    </row>
    <row r="3903" spans="1:42" x14ac:dyDescent="0.15">
      <c r="A3903" s="40" t="s">
        <v>1</v>
      </c>
      <c r="B3903" s="23">
        <v>90290704</v>
      </c>
      <c r="C3903" s="23">
        <v>2907</v>
      </c>
      <c r="D3903" s="23">
        <v>29</v>
      </c>
      <c r="F3903" s="23" t="s">
        <v>115</v>
      </c>
      <c r="G3903" s="23" t="s">
        <v>115</v>
      </c>
      <c r="H3903" s="23" t="s">
        <v>6645</v>
      </c>
      <c r="I3903" s="23">
        <v>4</v>
      </c>
      <c r="J3903" s="40">
        <v>0</v>
      </c>
      <c r="K3903" s="40">
        <v>0</v>
      </c>
      <c r="L3903" s="40" t="s">
        <v>115</v>
      </c>
      <c r="O3903" s="40" t="s">
        <v>115</v>
      </c>
      <c r="Q3903" s="40">
        <v>198</v>
      </c>
      <c r="R3903" s="40">
        <v>284</v>
      </c>
      <c r="X3903" s="40">
        <v>90290705</v>
      </c>
      <c r="Y3903" s="40" t="s">
        <v>115</v>
      </c>
      <c r="Z3903" s="40" t="s">
        <v>115</v>
      </c>
      <c r="AA3903" s="40" t="s">
        <v>115</v>
      </c>
      <c r="AB3903" s="40" t="s">
        <v>115</v>
      </c>
      <c r="AC3903" s="40" t="s">
        <v>115</v>
      </c>
      <c r="AI3903" s="40" t="s">
        <v>115</v>
      </c>
      <c r="AP3903" s="4" t="s">
        <v>115</v>
      </c>
    </row>
    <row r="3904" spans="1:42" x14ac:dyDescent="0.15">
      <c r="A3904" s="40" t="s">
        <v>1</v>
      </c>
      <c r="B3904" s="23">
        <v>90290705</v>
      </c>
      <c r="C3904" s="23">
        <v>2907</v>
      </c>
      <c r="D3904" s="23">
        <v>29</v>
      </c>
      <c r="F3904" s="23" t="s">
        <v>115</v>
      </c>
      <c r="G3904" s="23" t="s">
        <v>115</v>
      </c>
      <c r="H3904" s="23" t="s">
        <v>6537</v>
      </c>
      <c r="I3904" s="23">
        <v>4</v>
      </c>
      <c r="J3904" s="40">
        <v>0</v>
      </c>
      <c r="K3904" s="40">
        <v>2</v>
      </c>
      <c r="L3904" s="40" t="s">
        <v>115</v>
      </c>
      <c r="O3904" s="40" t="s">
        <v>115</v>
      </c>
      <c r="Q3904" s="40">
        <v>198</v>
      </c>
      <c r="R3904" s="40">
        <v>284</v>
      </c>
      <c r="X3904" s="40" t="s">
        <v>6646</v>
      </c>
      <c r="Y3904" s="40">
        <v>1</v>
      </c>
      <c r="Z3904" s="40">
        <v>1</v>
      </c>
      <c r="AA3904" s="40" t="s">
        <v>115</v>
      </c>
      <c r="AB3904" s="40" t="s">
        <v>115</v>
      </c>
      <c r="AC3904" s="40" t="s">
        <v>115</v>
      </c>
      <c r="AI3904" s="40" t="s">
        <v>115</v>
      </c>
      <c r="AP3904" s="4" t="s">
        <v>115</v>
      </c>
    </row>
    <row r="3905" spans="1:42" x14ac:dyDescent="0.15">
      <c r="A3905" s="40" t="s">
        <v>1</v>
      </c>
      <c r="B3905" s="23">
        <v>90290706</v>
      </c>
      <c r="C3905" s="23">
        <v>2907</v>
      </c>
      <c r="D3905" s="23">
        <v>29</v>
      </c>
      <c r="F3905" s="23" t="s">
        <v>115</v>
      </c>
      <c r="G3905" s="23" t="s">
        <v>115</v>
      </c>
      <c r="H3905" s="23" t="s">
        <v>6647</v>
      </c>
      <c r="I3905" s="23">
        <v>4</v>
      </c>
      <c r="J3905" s="40">
        <v>0</v>
      </c>
      <c r="K3905" s="40">
        <v>3</v>
      </c>
      <c r="L3905" s="40" t="s">
        <v>115</v>
      </c>
      <c r="O3905" s="40" t="s">
        <v>115</v>
      </c>
      <c r="Q3905" s="40">
        <v>198</v>
      </c>
      <c r="R3905" s="40">
        <v>284</v>
      </c>
      <c r="X3905" s="40">
        <v>90290707</v>
      </c>
      <c r="Y3905" s="40">
        <v>-1</v>
      </c>
      <c r="Z3905" s="40">
        <v>2</v>
      </c>
      <c r="AA3905" s="40" t="s">
        <v>6648</v>
      </c>
      <c r="AB3905" s="40" t="s">
        <v>115</v>
      </c>
      <c r="AC3905" s="40" t="s">
        <v>115</v>
      </c>
      <c r="AI3905" s="40" t="s">
        <v>115</v>
      </c>
      <c r="AP3905" s="4" t="s">
        <v>115</v>
      </c>
    </row>
    <row r="3906" spans="1:42" x14ac:dyDescent="0.15">
      <c r="A3906" s="40" t="s">
        <v>1</v>
      </c>
      <c r="B3906" s="23">
        <v>90290707</v>
      </c>
      <c r="C3906" s="23">
        <v>2907</v>
      </c>
      <c r="D3906" s="23">
        <v>29</v>
      </c>
      <c r="F3906" s="23" t="s">
        <v>1071</v>
      </c>
      <c r="G3906" s="23" t="s">
        <v>115</v>
      </c>
      <c r="H3906" s="23" t="s">
        <v>6649</v>
      </c>
      <c r="I3906" s="23">
        <v>3</v>
      </c>
      <c r="J3906" s="40">
        <v>0</v>
      </c>
      <c r="K3906" s="40">
        <v>0</v>
      </c>
      <c r="L3906" s="40" t="s">
        <v>115</v>
      </c>
      <c r="O3906" s="40" t="s">
        <v>115</v>
      </c>
      <c r="Q3906" s="40">
        <v>198</v>
      </c>
      <c r="R3906" s="40">
        <v>284</v>
      </c>
      <c r="X3906" s="40">
        <v>90290708</v>
      </c>
      <c r="Y3906" s="40" t="s">
        <v>115</v>
      </c>
      <c r="Z3906" s="40" t="s">
        <v>115</v>
      </c>
      <c r="AA3906" s="40" t="s">
        <v>115</v>
      </c>
      <c r="AB3906" s="40" t="s">
        <v>115</v>
      </c>
      <c r="AC3906" s="40" t="s">
        <v>115</v>
      </c>
      <c r="AI3906" s="40" t="s">
        <v>115</v>
      </c>
      <c r="AP3906" s="4" t="s">
        <v>115</v>
      </c>
    </row>
    <row r="3907" spans="1:42" x14ac:dyDescent="0.15">
      <c r="A3907" s="40" t="s">
        <v>1</v>
      </c>
      <c r="B3907" s="23">
        <v>90290708</v>
      </c>
      <c r="C3907" s="23">
        <v>2907</v>
      </c>
      <c r="D3907" s="23">
        <v>29</v>
      </c>
      <c r="F3907" s="23" t="s">
        <v>116</v>
      </c>
      <c r="G3907" s="23">
        <v>274</v>
      </c>
      <c r="H3907" s="23" t="s">
        <v>1024</v>
      </c>
      <c r="I3907" s="23">
        <v>0</v>
      </c>
      <c r="J3907" s="40">
        <v>0</v>
      </c>
      <c r="K3907" s="40">
        <v>0</v>
      </c>
      <c r="L3907" s="40" t="s">
        <v>115</v>
      </c>
      <c r="O3907" s="40" t="s">
        <v>115</v>
      </c>
      <c r="Q3907" s="40">
        <v>198</v>
      </c>
      <c r="R3907" s="40">
        <v>284</v>
      </c>
      <c r="X3907" s="40">
        <v>90290709</v>
      </c>
      <c r="Y3907" s="40" t="s">
        <v>115</v>
      </c>
      <c r="Z3907" s="40" t="s">
        <v>115</v>
      </c>
      <c r="AA3907" s="40" t="s">
        <v>115</v>
      </c>
      <c r="AB3907" s="40" t="s">
        <v>115</v>
      </c>
      <c r="AC3907" s="40" t="s">
        <v>115</v>
      </c>
      <c r="AI3907" s="40" t="s">
        <v>115</v>
      </c>
      <c r="AP3907" s="4" t="s">
        <v>115</v>
      </c>
    </row>
    <row r="3908" spans="1:42" x14ac:dyDescent="0.15">
      <c r="A3908" s="40" t="s">
        <v>1</v>
      </c>
      <c r="B3908" s="23">
        <v>90290709</v>
      </c>
      <c r="C3908" s="23">
        <v>2907</v>
      </c>
      <c r="D3908" s="23">
        <v>29</v>
      </c>
      <c r="F3908" s="23" t="s">
        <v>1071</v>
      </c>
      <c r="G3908" s="23" t="s">
        <v>115</v>
      </c>
      <c r="H3908" s="23" t="s">
        <v>6650</v>
      </c>
      <c r="I3908" s="23">
        <v>3</v>
      </c>
      <c r="J3908" s="40">
        <v>0</v>
      </c>
      <c r="K3908" s="40">
        <v>4</v>
      </c>
      <c r="L3908" s="40" t="s">
        <v>6651</v>
      </c>
      <c r="O3908" s="40" t="s">
        <v>115</v>
      </c>
      <c r="Q3908" s="40">
        <v>198</v>
      </c>
      <c r="R3908" s="40">
        <v>284</v>
      </c>
      <c r="X3908" s="40">
        <v>90290710</v>
      </c>
      <c r="Y3908" s="40" t="s">
        <v>115</v>
      </c>
      <c r="Z3908" s="40">
        <v>3</v>
      </c>
      <c r="AA3908" s="40" t="s">
        <v>115</v>
      </c>
      <c r="AB3908" s="40" t="s">
        <v>115</v>
      </c>
      <c r="AC3908" s="40" t="s">
        <v>115</v>
      </c>
      <c r="AI3908" s="40" t="s">
        <v>115</v>
      </c>
      <c r="AP3908" s="4" t="s">
        <v>115</v>
      </c>
    </row>
    <row r="3909" spans="1:42" x14ac:dyDescent="0.15">
      <c r="A3909" s="40" t="s">
        <v>1</v>
      </c>
      <c r="B3909" s="23">
        <v>90290710</v>
      </c>
      <c r="C3909" s="23">
        <v>2907</v>
      </c>
      <c r="D3909" s="23">
        <v>29</v>
      </c>
      <c r="F3909" s="23" t="s">
        <v>115</v>
      </c>
      <c r="G3909" s="23" t="s">
        <v>115</v>
      </c>
      <c r="H3909" s="23" t="s">
        <v>6652</v>
      </c>
      <c r="I3909" s="23">
        <v>4</v>
      </c>
      <c r="J3909" s="40">
        <v>0</v>
      </c>
      <c r="K3909" s="40">
        <v>0</v>
      </c>
      <c r="L3909" s="40" t="s">
        <v>115</v>
      </c>
      <c r="O3909" s="40" t="s">
        <v>115</v>
      </c>
      <c r="Q3909" s="40">
        <v>198</v>
      </c>
      <c r="R3909" s="40">
        <v>284</v>
      </c>
      <c r="X3909" s="40">
        <v>90290711</v>
      </c>
      <c r="Y3909" s="40" t="s">
        <v>115</v>
      </c>
      <c r="Z3909" s="40" t="s">
        <v>115</v>
      </c>
      <c r="AA3909" s="40" t="s">
        <v>115</v>
      </c>
      <c r="AB3909" s="40" t="s">
        <v>115</v>
      </c>
      <c r="AC3909" s="40" t="s">
        <v>115</v>
      </c>
      <c r="AI3909" s="40" t="s">
        <v>115</v>
      </c>
      <c r="AP3909" s="4" t="s">
        <v>115</v>
      </c>
    </row>
    <row r="3910" spans="1:42" x14ac:dyDescent="0.15">
      <c r="A3910" s="40" t="s">
        <v>1</v>
      </c>
      <c r="B3910" s="23">
        <v>90290711</v>
      </c>
      <c r="C3910" s="23">
        <v>2907</v>
      </c>
      <c r="D3910" s="23">
        <v>29</v>
      </c>
      <c r="F3910" s="23" t="s">
        <v>115</v>
      </c>
      <c r="G3910" s="23" t="s">
        <v>115</v>
      </c>
      <c r="H3910" s="23" t="s">
        <v>6653</v>
      </c>
      <c r="I3910" s="23">
        <v>4</v>
      </c>
      <c r="J3910" s="40">
        <v>0</v>
      </c>
      <c r="K3910" s="40">
        <v>5</v>
      </c>
      <c r="L3910" s="40" t="s">
        <v>115</v>
      </c>
      <c r="O3910" s="40">
        <v>1</v>
      </c>
      <c r="Q3910" s="40">
        <v>198</v>
      </c>
      <c r="R3910" s="40" t="s">
        <v>115</v>
      </c>
      <c r="X3910" s="40" t="s">
        <v>115</v>
      </c>
      <c r="Y3910" s="40" t="s">
        <v>115</v>
      </c>
      <c r="Z3910" s="40">
        <v>4</v>
      </c>
      <c r="AA3910" s="40" t="s">
        <v>115</v>
      </c>
      <c r="AB3910" s="40" t="s">
        <v>115</v>
      </c>
      <c r="AC3910" s="40" t="s">
        <v>115</v>
      </c>
      <c r="AI3910" s="40" t="s">
        <v>115</v>
      </c>
      <c r="AP3910" s="4" t="s">
        <v>115</v>
      </c>
    </row>
    <row r="3911" spans="1:42" x14ac:dyDescent="0.15">
      <c r="A3911" s="40" t="s">
        <v>1</v>
      </c>
      <c r="B3911" s="23" t="s">
        <v>4932</v>
      </c>
      <c r="C3911" s="23">
        <v>2908</v>
      </c>
      <c r="D3911" s="23">
        <v>29</v>
      </c>
      <c r="F3911" s="23" t="s">
        <v>115</v>
      </c>
      <c r="G3911" s="23" t="s">
        <v>115</v>
      </c>
      <c r="H3911" s="23" t="s">
        <v>6654</v>
      </c>
      <c r="I3911" s="23">
        <v>4</v>
      </c>
      <c r="J3911" s="40">
        <v>1</v>
      </c>
      <c r="K3911" s="40">
        <v>1</v>
      </c>
      <c r="L3911" s="40" t="s">
        <v>115</v>
      </c>
      <c r="O3911" s="40" t="s">
        <v>115</v>
      </c>
      <c r="Q3911" s="40">
        <v>143</v>
      </c>
      <c r="R3911" s="40" t="s">
        <v>115</v>
      </c>
      <c r="X3911" s="40">
        <v>90290802</v>
      </c>
      <c r="Y3911" s="40" t="s">
        <v>115</v>
      </c>
      <c r="Z3911" s="40" t="s">
        <v>115</v>
      </c>
      <c r="AA3911" s="40" t="s">
        <v>115</v>
      </c>
      <c r="AB3911" s="40" t="s">
        <v>115</v>
      </c>
      <c r="AC3911" s="40" t="s">
        <v>115</v>
      </c>
      <c r="AI3911" s="40" t="s">
        <v>115</v>
      </c>
      <c r="AP3911" s="4" t="s">
        <v>115</v>
      </c>
    </row>
    <row r="3912" spans="1:42" x14ac:dyDescent="0.15">
      <c r="A3912" s="40" t="s">
        <v>1</v>
      </c>
      <c r="B3912" s="23">
        <v>90290802</v>
      </c>
      <c r="C3912" s="23">
        <v>2908</v>
      </c>
      <c r="D3912" s="23">
        <v>29</v>
      </c>
      <c r="F3912" s="23" t="s">
        <v>115</v>
      </c>
      <c r="G3912" s="23" t="s">
        <v>115</v>
      </c>
      <c r="H3912" s="23" t="s">
        <v>6655</v>
      </c>
      <c r="I3912" s="23">
        <v>4</v>
      </c>
      <c r="J3912" s="40">
        <v>0</v>
      </c>
      <c r="K3912" s="40">
        <v>0</v>
      </c>
      <c r="L3912" s="40" t="s">
        <v>115</v>
      </c>
      <c r="O3912" s="40" t="s">
        <v>115</v>
      </c>
      <c r="Q3912" s="40">
        <v>143</v>
      </c>
      <c r="R3912" s="40" t="s">
        <v>115</v>
      </c>
      <c r="X3912" s="40">
        <v>90290803</v>
      </c>
      <c r="Y3912" s="40" t="s">
        <v>115</v>
      </c>
      <c r="Z3912" s="40" t="s">
        <v>115</v>
      </c>
      <c r="AA3912" s="40" t="s">
        <v>115</v>
      </c>
      <c r="AB3912" s="40" t="s">
        <v>115</v>
      </c>
      <c r="AC3912" s="40" t="s">
        <v>115</v>
      </c>
      <c r="AI3912" s="40" t="s">
        <v>115</v>
      </c>
      <c r="AP3912" s="4" t="s">
        <v>115</v>
      </c>
    </row>
    <row r="3913" spans="1:42" x14ac:dyDescent="0.15">
      <c r="A3913" s="40" t="s">
        <v>1</v>
      </c>
      <c r="B3913" s="23">
        <v>90290803</v>
      </c>
      <c r="C3913" s="23">
        <v>2908</v>
      </c>
      <c r="D3913" s="23">
        <v>29</v>
      </c>
      <c r="F3913" s="23" t="s">
        <v>373</v>
      </c>
      <c r="G3913" s="23" t="s">
        <v>115</v>
      </c>
      <c r="H3913" s="23" t="s">
        <v>6656</v>
      </c>
      <c r="I3913" s="23">
        <v>3</v>
      </c>
      <c r="J3913" s="40">
        <v>0</v>
      </c>
      <c r="K3913" s="40">
        <v>0</v>
      </c>
      <c r="L3913" s="40" t="s">
        <v>115</v>
      </c>
      <c r="O3913" s="40" t="s">
        <v>115</v>
      </c>
      <c r="Q3913" s="40">
        <v>143</v>
      </c>
      <c r="R3913" s="40">
        <v>357</v>
      </c>
      <c r="X3913" s="40">
        <v>90290804</v>
      </c>
      <c r="Y3913" s="40" t="s">
        <v>115</v>
      </c>
      <c r="Z3913" s="40" t="s">
        <v>115</v>
      </c>
      <c r="AA3913" s="40" t="s">
        <v>115</v>
      </c>
      <c r="AB3913" s="40" t="s">
        <v>115</v>
      </c>
      <c r="AC3913" s="40" t="s">
        <v>115</v>
      </c>
      <c r="AI3913" s="40" t="s">
        <v>115</v>
      </c>
      <c r="AP3913" s="4" t="s">
        <v>115</v>
      </c>
    </row>
    <row r="3914" spans="1:42" x14ac:dyDescent="0.15">
      <c r="A3914" s="40" t="s">
        <v>1</v>
      </c>
      <c r="B3914" s="23">
        <v>90290804</v>
      </c>
      <c r="C3914" s="23">
        <v>2908</v>
      </c>
      <c r="D3914" s="23">
        <v>29</v>
      </c>
      <c r="F3914" s="23" t="s">
        <v>115</v>
      </c>
      <c r="G3914" s="23" t="s">
        <v>115</v>
      </c>
      <c r="H3914" s="23" t="s">
        <v>6657</v>
      </c>
      <c r="I3914" s="23">
        <v>4</v>
      </c>
      <c r="J3914" s="40">
        <v>0</v>
      </c>
      <c r="K3914" s="40">
        <v>2</v>
      </c>
      <c r="L3914" s="40" t="s">
        <v>115</v>
      </c>
      <c r="O3914" s="40" t="s">
        <v>115</v>
      </c>
      <c r="Q3914" s="40">
        <v>143</v>
      </c>
      <c r="R3914" s="40">
        <v>357</v>
      </c>
      <c r="X3914" s="40" t="s">
        <v>6658</v>
      </c>
      <c r="Y3914" s="40">
        <v>1</v>
      </c>
      <c r="Z3914" s="40">
        <v>1</v>
      </c>
      <c r="AA3914" s="40" t="s">
        <v>115</v>
      </c>
      <c r="AB3914" s="40" t="s">
        <v>115</v>
      </c>
      <c r="AC3914" s="40" t="s">
        <v>115</v>
      </c>
      <c r="AI3914" s="40" t="s">
        <v>115</v>
      </c>
      <c r="AP3914" s="4" t="s">
        <v>115</v>
      </c>
    </row>
    <row r="3915" spans="1:42" x14ac:dyDescent="0.15">
      <c r="A3915" s="40" t="s">
        <v>1</v>
      </c>
      <c r="B3915" s="23">
        <v>90290805</v>
      </c>
      <c r="C3915" s="23">
        <v>2908</v>
      </c>
      <c r="D3915" s="23">
        <v>29</v>
      </c>
      <c r="F3915" s="23" t="s">
        <v>115</v>
      </c>
      <c r="G3915" s="23" t="s">
        <v>115</v>
      </c>
      <c r="H3915" s="23" t="s">
        <v>6659</v>
      </c>
      <c r="I3915" s="23">
        <v>4</v>
      </c>
      <c r="J3915" s="40">
        <v>0</v>
      </c>
      <c r="K3915" s="40">
        <v>3</v>
      </c>
      <c r="L3915" s="40" t="s">
        <v>115</v>
      </c>
      <c r="O3915" s="40" t="s">
        <v>115</v>
      </c>
      <c r="Q3915" s="40">
        <v>143</v>
      </c>
      <c r="R3915" s="40">
        <v>357</v>
      </c>
      <c r="X3915" s="40">
        <v>90290806</v>
      </c>
      <c r="Y3915" s="40">
        <v>-1</v>
      </c>
      <c r="Z3915" s="40">
        <v>2</v>
      </c>
      <c r="AA3915" s="40" t="s">
        <v>115</v>
      </c>
      <c r="AB3915" s="40" t="s">
        <v>115</v>
      </c>
      <c r="AC3915" s="40" t="s">
        <v>6660</v>
      </c>
      <c r="AI3915" s="40" t="s">
        <v>115</v>
      </c>
      <c r="AP3915" s="4" t="s">
        <v>115</v>
      </c>
    </row>
    <row r="3916" spans="1:42" x14ac:dyDescent="0.15">
      <c r="A3916" s="40" t="s">
        <v>1</v>
      </c>
      <c r="B3916" s="23">
        <v>90290806</v>
      </c>
      <c r="C3916" s="23">
        <v>2908</v>
      </c>
      <c r="D3916" s="23">
        <v>29</v>
      </c>
      <c r="F3916" s="23" t="s">
        <v>373</v>
      </c>
      <c r="G3916" s="23" t="s">
        <v>115</v>
      </c>
      <c r="H3916" s="23" t="s">
        <v>6661</v>
      </c>
      <c r="I3916" s="23">
        <v>3</v>
      </c>
      <c r="J3916" s="40">
        <v>0</v>
      </c>
      <c r="K3916" s="40">
        <v>4</v>
      </c>
      <c r="L3916" s="40" t="s">
        <v>6662</v>
      </c>
      <c r="O3916" s="40" t="s">
        <v>115</v>
      </c>
      <c r="Q3916" s="40">
        <v>143</v>
      </c>
      <c r="R3916" s="40">
        <v>357</v>
      </c>
      <c r="X3916" s="40">
        <v>90290807</v>
      </c>
      <c r="Y3916" s="40" t="s">
        <v>115</v>
      </c>
      <c r="Z3916" s="40">
        <v>3</v>
      </c>
      <c r="AA3916" s="40" t="s">
        <v>115</v>
      </c>
      <c r="AB3916" s="40" t="s">
        <v>115</v>
      </c>
      <c r="AC3916" s="40" t="s">
        <v>115</v>
      </c>
      <c r="AI3916" s="40" t="s">
        <v>115</v>
      </c>
      <c r="AP3916" s="4" t="s">
        <v>115</v>
      </c>
    </row>
    <row r="3917" spans="1:42" x14ac:dyDescent="0.15">
      <c r="A3917" s="40" t="s">
        <v>1</v>
      </c>
      <c r="B3917" s="23">
        <v>90290807</v>
      </c>
      <c r="C3917" s="23">
        <v>2908</v>
      </c>
      <c r="D3917" s="23">
        <v>29</v>
      </c>
      <c r="F3917" s="23" t="s">
        <v>115</v>
      </c>
      <c r="G3917" s="23" t="s">
        <v>115</v>
      </c>
      <c r="H3917" s="23" t="s">
        <v>6663</v>
      </c>
      <c r="I3917" s="23">
        <v>4</v>
      </c>
      <c r="J3917" s="40">
        <v>0</v>
      </c>
      <c r="K3917" s="40">
        <v>0</v>
      </c>
      <c r="L3917" s="40" t="s">
        <v>115</v>
      </c>
      <c r="O3917" s="40" t="s">
        <v>115</v>
      </c>
      <c r="Q3917" s="40">
        <v>143</v>
      </c>
      <c r="R3917" s="40" t="s">
        <v>115</v>
      </c>
      <c r="X3917" s="40">
        <v>90290808</v>
      </c>
      <c r="Y3917" s="40" t="s">
        <v>115</v>
      </c>
      <c r="Z3917" s="40" t="s">
        <v>115</v>
      </c>
      <c r="AA3917" s="40" t="s">
        <v>115</v>
      </c>
      <c r="AB3917" s="40" t="s">
        <v>115</v>
      </c>
      <c r="AC3917" s="40" t="s">
        <v>115</v>
      </c>
      <c r="AI3917" s="40" t="s">
        <v>115</v>
      </c>
      <c r="AP3917" s="4" t="s">
        <v>115</v>
      </c>
    </row>
    <row r="3918" spans="1:42" x14ac:dyDescent="0.15">
      <c r="A3918" s="40" t="s">
        <v>1</v>
      </c>
      <c r="B3918" s="23">
        <v>90290808</v>
      </c>
      <c r="C3918" s="23">
        <v>2908</v>
      </c>
      <c r="D3918" s="23">
        <v>29</v>
      </c>
      <c r="F3918" s="23" t="s">
        <v>116</v>
      </c>
      <c r="G3918" s="23">
        <v>261</v>
      </c>
      <c r="H3918" s="23" t="s">
        <v>6664</v>
      </c>
      <c r="I3918" s="23">
        <v>0</v>
      </c>
      <c r="J3918" s="40">
        <v>0</v>
      </c>
      <c r="K3918" s="40">
        <v>5</v>
      </c>
      <c r="L3918" s="40" t="s">
        <v>115</v>
      </c>
      <c r="O3918" s="40">
        <v>1</v>
      </c>
      <c r="Q3918" s="40">
        <v>143</v>
      </c>
      <c r="R3918" s="40" t="s">
        <v>115</v>
      </c>
      <c r="X3918" s="40" t="s">
        <v>115</v>
      </c>
      <c r="Y3918" s="40" t="s">
        <v>115</v>
      </c>
      <c r="Z3918" s="40">
        <v>4</v>
      </c>
      <c r="AA3918" s="40" t="s">
        <v>115</v>
      </c>
      <c r="AB3918" s="40" t="s">
        <v>115</v>
      </c>
      <c r="AC3918" s="40" t="s">
        <v>115</v>
      </c>
      <c r="AI3918" s="40" t="s">
        <v>115</v>
      </c>
      <c r="AP3918" s="4" t="s">
        <v>115</v>
      </c>
    </row>
    <row r="3919" spans="1:42" x14ac:dyDescent="0.15">
      <c r="A3919" s="40" t="s">
        <v>1</v>
      </c>
      <c r="B3919" s="23" t="s">
        <v>4934</v>
      </c>
      <c r="C3919" s="23">
        <v>2909</v>
      </c>
      <c r="D3919" s="23">
        <v>29</v>
      </c>
      <c r="F3919" s="23" t="s">
        <v>115</v>
      </c>
      <c r="G3919" s="23" t="s">
        <v>115</v>
      </c>
      <c r="H3919" s="23" t="s">
        <v>6665</v>
      </c>
      <c r="I3919" s="23">
        <v>4</v>
      </c>
      <c r="J3919" s="40">
        <v>1</v>
      </c>
      <c r="K3919" s="40">
        <v>1</v>
      </c>
      <c r="L3919" s="40" t="s">
        <v>115</v>
      </c>
      <c r="O3919" s="40" t="s">
        <v>115</v>
      </c>
      <c r="Q3919" s="40">
        <v>189</v>
      </c>
      <c r="R3919" s="40" t="s">
        <v>115</v>
      </c>
      <c r="X3919" s="40">
        <v>90290902</v>
      </c>
      <c r="Y3919" s="40" t="s">
        <v>115</v>
      </c>
      <c r="Z3919" s="40" t="s">
        <v>115</v>
      </c>
      <c r="AA3919" s="40" t="s">
        <v>115</v>
      </c>
      <c r="AB3919" s="40" t="s">
        <v>115</v>
      </c>
      <c r="AC3919" s="40" t="s">
        <v>115</v>
      </c>
      <c r="AI3919" s="40" t="s">
        <v>115</v>
      </c>
      <c r="AP3919" s="4" t="s">
        <v>115</v>
      </c>
    </row>
    <row r="3920" spans="1:42" x14ac:dyDescent="0.15">
      <c r="A3920" s="40" t="s">
        <v>1</v>
      </c>
      <c r="B3920" s="23">
        <v>90290902</v>
      </c>
      <c r="C3920" s="23">
        <v>2909</v>
      </c>
      <c r="D3920" s="23">
        <v>29</v>
      </c>
      <c r="F3920" s="23" t="s">
        <v>6666</v>
      </c>
      <c r="G3920" s="23" t="s">
        <v>115</v>
      </c>
      <c r="H3920" s="23" t="s">
        <v>6667</v>
      </c>
      <c r="I3920" s="23">
        <v>3</v>
      </c>
      <c r="J3920" s="40">
        <v>0</v>
      </c>
      <c r="K3920" s="40">
        <v>0</v>
      </c>
      <c r="L3920" s="40" t="s">
        <v>115</v>
      </c>
      <c r="O3920" s="40" t="s">
        <v>115</v>
      </c>
      <c r="Q3920" s="40">
        <v>189</v>
      </c>
      <c r="R3920" s="40">
        <v>167</v>
      </c>
      <c r="X3920" s="40">
        <v>90290903</v>
      </c>
      <c r="Y3920" s="40" t="s">
        <v>115</v>
      </c>
      <c r="Z3920" s="40" t="s">
        <v>115</v>
      </c>
      <c r="AA3920" s="40" t="s">
        <v>115</v>
      </c>
      <c r="AB3920" s="40" t="s">
        <v>115</v>
      </c>
      <c r="AC3920" s="40" t="s">
        <v>115</v>
      </c>
      <c r="AI3920" s="40" t="s">
        <v>115</v>
      </c>
      <c r="AP3920" s="4" t="s">
        <v>115</v>
      </c>
    </row>
    <row r="3921" spans="1:42" x14ac:dyDescent="0.15">
      <c r="A3921" s="40" t="s">
        <v>1</v>
      </c>
      <c r="B3921" s="23">
        <v>90290903</v>
      </c>
      <c r="C3921" s="23">
        <v>2909</v>
      </c>
      <c r="D3921" s="23">
        <v>29</v>
      </c>
      <c r="F3921" s="23" t="s">
        <v>116</v>
      </c>
      <c r="G3921" s="23">
        <v>261</v>
      </c>
      <c r="H3921" s="23" t="s">
        <v>6668</v>
      </c>
      <c r="I3921" s="23">
        <v>0</v>
      </c>
      <c r="J3921" s="40">
        <v>0</v>
      </c>
      <c r="K3921" s="40">
        <v>0</v>
      </c>
      <c r="L3921" s="40" t="s">
        <v>115</v>
      </c>
      <c r="O3921" s="40" t="s">
        <v>115</v>
      </c>
      <c r="Q3921" s="40">
        <v>189</v>
      </c>
      <c r="R3921" s="40">
        <v>167</v>
      </c>
      <c r="X3921" s="40">
        <v>90290904</v>
      </c>
      <c r="Y3921" s="40" t="s">
        <v>115</v>
      </c>
      <c r="Z3921" s="40" t="s">
        <v>115</v>
      </c>
      <c r="AA3921" s="40" t="s">
        <v>115</v>
      </c>
      <c r="AB3921" s="40" t="s">
        <v>115</v>
      </c>
      <c r="AC3921" s="40" t="s">
        <v>115</v>
      </c>
      <c r="AI3921" s="40" t="s">
        <v>115</v>
      </c>
      <c r="AP3921" s="4" t="s">
        <v>115</v>
      </c>
    </row>
    <row r="3922" spans="1:42" x14ac:dyDescent="0.15">
      <c r="A3922" s="40" t="s">
        <v>1</v>
      </c>
      <c r="B3922" s="23">
        <v>90290904</v>
      </c>
      <c r="C3922" s="23">
        <v>2909</v>
      </c>
      <c r="D3922" s="23">
        <v>29</v>
      </c>
      <c r="F3922" s="23" t="s">
        <v>6666</v>
      </c>
      <c r="G3922" s="23" t="s">
        <v>115</v>
      </c>
      <c r="H3922" s="23" t="s">
        <v>6669</v>
      </c>
      <c r="I3922" s="23">
        <v>3</v>
      </c>
      <c r="J3922" s="40">
        <v>0</v>
      </c>
      <c r="K3922" s="40">
        <v>0</v>
      </c>
      <c r="L3922" s="40" t="s">
        <v>115</v>
      </c>
      <c r="O3922" s="40" t="s">
        <v>115</v>
      </c>
      <c r="Q3922" s="40">
        <v>189</v>
      </c>
      <c r="R3922" s="40">
        <v>167</v>
      </c>
      <c r="X3922" s="40">
        <v>90290905</v>
      </c>
      <c r="Y3922" s="40" t="s">
        <v>115</v>
      </c>
      <c r="Z3922" s="40" t="s">
        <v>115</v>
      </c>
      <c r="AA3922" s="40" t="s">
        <v>115</v>
      </c>
      <c r="AB3922" s="40" t="s">
        <v>115</v>
      </c>
      <c r="AC3922" s="40" t="s">
        <v>115</v>
      </c>
      <c r="AI3922" s="40" t="s">
        <v>115</v>
      </c>
      <c r="AP3922" s="4" t="s">
        <v>115</v>
      </c>
    </row>
    <row r="3923" spans="1:42" x14ac:dyDescent="0.15">
      <c r="A3923" s="40" t="s">
        <v>1</v>
      </c>
      <c r="B3923" s="23">
        <v>90290905</v>
      </c>
      <c r="C3923" s="23">
        <v>2909</v>
      </c>
      <c r="D3923" s="23">
        <v>29</v>
      </c>
      <c r="F3923" s="23" t="s">
        <v>115</v>
      </c>
      <c r="G3923" s="23" t="s">
        <v>115</v>
      </c>
      <c r="H3923" s="23" t="s">
        <v>6670</v>
      </c>
      <c r="I3923" s="23">
        <v>4</v>
      </c>
      <c r="J3923" s="40">
        <v>0</v>
      </c>
      <c r="K3923" s="40">
        <v>2</v>
      </c>
      <c r="L3923" s="40" t="s">
        <v>115</v>
      </c>
      <c r="O3923" s="40" t="s">
        <v>115</v>
      </c>
      <c r="Q3923" s="40">
        <v>189</v>
      </c>
      <c r="R3923" s="40">
        <v>167</v>
      </c>
      <c r="X3923" s="40" t="s">
        <v>6671</v>
      </c>
      <c r="Y3923" s="40">
        <v>1</v>
      </c>
      <c r="Z3923" s="40">
        <v>1</v>
      </c>
      <c r="AA3923" s="40" t="s">
        <v>115</v>
      </c>
      <c r="AB3923" s="40" t="s">
        <v>115</v>
      </c>
      <c r="AC3923" s="40" t="s">
        <v>115</v>
      </c>
      <c r="AI3923" s="40" t="s">
        <v>115</v>
      </c>
      <c r="AP3923" s="4" t="s">
        <v>115</v>
      </c>
    </row>
    <row r="3924" spans="1:42" x14ac:dyDescent="0.15">
      <c r="A3924" s="40" t="s">
        <v>1</v>
      </c>
      <c r="B3924" s="23">
        <v>90290906</v>
      </c>
      <c r="C3924" s="23">
        <v>2909</v>
      </c>
      <c r="D3924" s="23">
        <v>29</v>
      </c>
      <c r="F3924" s="23" t="s">
        <v>115</v>
      </c>
      <c r="G3924" s="23" t="s">
        <v>115</v>
      </c>
      <c r="H3924" s="23" t="s">
        <v>6672</v>
      </c>
      <c r="I3924" s="23">
        <v>4</v>
      </c>
      <c r="J3924" s="40">
        <v>0</v>
      </c>
      <c r="K3924" s="40">
        <v>3</v>
      </c>
      <c r="L3924" s="40" t="s">
        <v>115</v>
      </c>
      <c r="O3924" s="40" t="s">
        <v>115</v>
      </c>
      <c r="Q3924" s="40">
        <v>189</v>
      </c>
      <c r="R3924" s="40">
        <v>167</v>
      </c>
      <c r="X3924" s="40">
        <v>90290907</v>
      </c>
      <c r="Y3924" s="40">
        <v>-1</v>
      </c>
      <c r="Z3924" s="40">
        <v>2</v>
      </c>
      <c r="AA3924" s="40" t="s">
        <v>115</v>
      </c>
      <c r="AB3924" s="40" t="s">
        <v>115</v>
      </c>
      <c r="AC3924" s="40" t="s">
        <v>6673</v>
      </c>
      <c r="AI3924" s="40" t="s">
        <v>115</v>
      </c>
      <c r="AP3924" s="4" t="s">
        <v>115</v>
      </c>
    </row>
    <row r="3925" spans="1:42" x14ac:dyDescent="0.15">
      <c r="A3925" s="40" t="s">
        <v>1</v>
      </c>
      <c r="B3925" s="23">
        <v>90290907</v>
      </c>
      <c r="C3925" s="23">
        <v>2909</v>
      </c>
      <c r="D3925" s="23">
        <v>29</v>
      </c>
      <c r="F3925" s="23" t="s">
        <v>6666</v>
      </c>
      <c r="G3925" s="23" t="s">
        <v>115</v>
      </c>
      <c r="H3925" s="23" t="s">
        <v>6674</v>
      </c>
      <c r="I3925" s="23">
        <v>3</v>
      </c>
      <c r="J3925" s="40">
        <v>0</v>
      </c>
      <c r="K3925" s="40">
        <v>4</v>
      </c>
      <c r="L3925" s="40" t="s">
        <v>6675</v>
      </c>
      <c r="O3925" s="40" t="s">
        <v>115</v>
      </c>
      <c r="Q3925" s="40">
        <v>189</v>
      </c>
      <c r="R3925" s="40">
        <v>167</v>
      </c>
      <c r="X3925" s="40">
        <v>90290908</v>
      </c>
      <c r="Y3925" s="40" t="s">
        <v>115</v>
      </c>
      <c r="Z3925" s="40">
        <v>3</v>
      </c>
      <c r="AA3925" s="40" t="s">
        <v>115</v>
      </c>
      <c r="AB3925" s="40" t="s">
        <v>115</v>
      </c>
      <c r="AC3925" s="40" t="s">
        <v>115</v>
      </c>
      <c r="AI3925" s="40" t="s">
        <v>115</v>
      </c>
      <c r="AP3925" s="4" t="s">
        <v>115</v>
      </c>
    </row>
    <row r="3926" spans="1:42" x14ac:dyDescent="0.15">
      <c r="A3926" s="40" t="s">
        <v>1</v>
      </c>
      <c r="B3926" s="23">
        <v>90290908</v>
      </c>
      <c r="C3926" s="23">
        <v>2909</v>
      </c>
      <c r="D3926" s="23">
        <v>29</v>
      </c>
      <c r="F3926" s="23" t="s">
        <v>115</v>
      </c>
      <c r="G3926" s="23" t="s">
        <v>115</v>
      </c>
      <c r="H3926" s="23" t="s">
        <v>6676</v>
      </c>
      <c r="I3926" s="23">
        <v>4</v>
      </c>
      <c r="J3926" s="40">
        <v>0</v>
      </c>
      <c r="K3926" s="40">
        <v>5</v>
      </c>
      <c r="L3926" s="40" t="s">
        <v>115</v>
      </c>
      <c r="O3926" s="40">
        <v>1</v>
      </c>
      <c r="Q3926" s="40">
        <v>189</v>
      </c>
      <c r="R3926" s="40" t="s">
        <v>115</v>
      </c>
      <c r="X3926" s="40" t="s">
        <v>115</v>
      </c>
      <c r="Y3926" s="40" t="s">
        <v>115</v>
      </c>
      <c r="Z3926" s="40">
        <v>4</v>
      </c>
      <c r="AA3926" s="40" t="s">
        <v>115</v>
      </c>
      <c r="AB3926" s="40" t="s">
        <v>115</v>
      </c>
      <c r="AC3926" s="40" t="s">
        <v>115</v>
      </c>
      <c r="AI3926" s="40" t="s">
        <v>115</v>
      </c>
      <c r="AP3926" s="4" t="s">
        <v>115</v>
      </c>
    </row>
    <row r="3927" spans="1:42" x14ac:dyDescent="0.15">
      <c r="A3927" s="40" t="s">
        <v>1</v>
      </c>
      <c r="B3927" s="23" t="s">
        <v>4936</v>
      </c>
      <c r="C3927" s="23">
        <v>2910</v>
      </c>
      <c r="D3927" s="23">
        <v>29</v>
      </c>
      <c r="F3927" s="23" t="s">
        <v>115</v>
      </c>
      <c r="G3927" s="23" t="s">
        <v>115</v>
      </c>
      <c r="H3927" s="23" t="s">
        <v>6677</v>
      </c>
      <c r="I3927" s="23">
        <v>4</v>
      </c>
      <c r="J3927" s="40">
        <v>1</v>
      </c>
      <c r="K3927" s="40">
        <v>1</v>
      </c>
      <c r="L3927" s="40" t="s">
        <v>115</v>
      </c>
      <c r="O3927" s="40" t="s">
        <v>115</v>
      </c>
      <c r="Q3927" s="40">
        <v>137</v>
      </c>
      <c r="R3927" s="40" t="s">
        <v>115</v>
      </c>
      <c r="X3927" s="40">
        <v>90291002</v>
      </c>
      <c r="Y3927" s="40" t="s">
        <v>115</v>
      </c>
      <c r="Z3927" s="40" t="s">
        <v>115</v>
      </c>
      <c r="AA3927" s="40" t="s">
        <v>115</v>
      </c>
      <c r="AB3927" s="40" t="s">
        <v>115</v>
      </c>
      <c r="AC3927" s="40" t="s">
        <v>115</v>
      </c>
      <c r="AI3927" s="40" t="s">
        <v>115</v>
      </c>
      <c r="AP3927" s="4" t="s">
        <v>115</v>
      </c>
    </row>
    <row r="3928" spans="1:42" x14ac:dyDescent="0.15">
      <c r="A3928" s="40" t="s">
        <v>1</v>
      </c>
      <c r="B3928" s="23">
        <v>90291002</v>
      </c>
      <c r="C3928" s="23">
        <v>2910</v>
      </c>
      <c r="D3928" s="23">
        <v>29</v>
      </c>
      <c r="F3928" s="23" t="s">
        <v>1072</v>
      </c>
      <c r="G3928" s="23" t="s">
        <v>115</v>
      </c>
      <c r="H3928" s="23" t="s">
        <v>6678</v>
      </c>
      <c r="I3928" s="23">
        <v>1</v>
      </c>
      <c r="J3928" s="40">
        <v>0</v>
      </c>
      <c r="K3928" s="40">
        <v>0</v>
      </c>
      <c r="L3928" s="40" t="s">
        <v>115</v>
      </c>
      <c r="O3928" s="40" t="s">
        <v>115</v>
      </c>
      <c r="Q3928" s="40">
        <v>137</v>
      </c>
      <c r="R3928" s="40" t="s">
        <v>115</v>
      </c>
      <c r="X3928" s="40">
        <v>90291003</v>
      </c>
      <c r="Y3928" s="40" t="s">
        <v>115</v>
      </c>
      <c r="Z3928" s="40" t="s">
        <v>115</v>
      </c>
      <c r="AA3928" s="40" t="s">
        <v>115</v>
      </c>
      <c r="AB3928" s="40" t="s">
        <v>115</v>
      </c>
      <c r="AC3928" s="40" t="s">
        <v>115</v>
      </c>
      <c r="AI3928" s="40" t="s">
        <v>7432</v>
      </c>
      <c r="AP3928" s="4" t="s">
        <v>115</v>
      </c>
    </row>
    <row r="3929" spans="1:42" x14ac:dyDescent="0.15">
      <c r="A3929" s="40" t="s">
        <v>1</v>
      </c>
      <c r="B3929" s="23">
        <v>90291003</v>
      </c>
      <c r="C3929" s="23">
        <v>2910</v>
      </c>
      <c r="D3929" s="23">
        <v>29</v>
      </c>
      <c r="F3929" s="23" t="s">
        <v>116</v>
      </c>
      <c r="G3929" s="23">
        <v>259</v>
      </c>
      <c r="H3929" s="23" t="s">
        <v>6679</v>
      </c>
      <c r="I3929" s="23">
        <v>0</v>
      </c>
      <c r="J3929" s="40">
        <v>0</v>
      </c>
      <c r="K3929" s="40">
        <v>0</v>
      </c>
      <c r="L3929" s="40" t="s">
        <v>115</v>
      </c>
      <c r="O3929" s="40" t="s">
        <v>115</v>
      </c>
      <c r="Q3929" s="40">
        <v>137</v>
      </c>
      <c r="R3929" s="40" t="s">
        <v>115</v>
      </c>
      <c r="X3929" s="40">
        <v>90291004</v>
      </c>
      <c r="Y3929" s="40" t="s">
        <v>115</v>
      </c>
      <c r="Z3929" s="40" t="s">
        <v>115</v>
      </c>
      <c r="AA3929" s="40" t="s">
        <v>115</v>
      </c>
      <c r="AB3929" s="40" t="s">
        <v>115</v>
      </c>
      <c r="AC3929" s="40" t="s">
        <v>115</v>
      </c>
      <c r="AI3929" s="40">
        <v>204</v>
      </c>
      <c r="AP3929" s="4" t="s">
        <v>115</v>
      </c>
    </row>
    <row r="3930" spans="1:42" x14ac:dyDescent="0.15">
      <c r="A3930" s="40" t="s">
        <v>1</v>
      </c>
      <c r="B3930" s="23">
        <v>90291004</v>
      </c>
      <c r="C3930" s="23">
        <v>2910</v>
      </c>
      <c r="D3930" s="23">
        <v>29</v>
      </c>
      <c r="F3930" s="23" t="s">
        <v>1072</v>
      </c>
      <c r="G3930" s="23" t="s">
        <v>115</v>
      </c>
      <c r="H3930" s="23" t="s">
        <v>6680</v>
      </c>
      <c r="I3930" s="23">
        <v>1</v>
      </c>
      <c r="J3930" s="40">
        <v>0</v>
      </c>
      <c r="K3930" s="40">
        <v>0</v>
      </c>
      <c r="L3930" s="40" t="s">
        <v>115</v>
      </c>
      <c r="O3930" s="40" t="s">
        <v>115</v>
      </c>
      <c r="Q3930" s="40">
        <v>137</v>
      </c>
      <c r="R3930" s="40" t="s">
        <v>115</v>
      </c>
      <c r="X3930" s="40">
        <v>90291005</v>
      </c>
      <c r="Y3930" s="40" t="s">
        <v>115</v>
      </c>
      <c r="Z3930" s="40" t="s">
        <v>115</v>
      </c>
      <c r="AA3930" s="40" t="s">
        <v>115</v>
      </c>
      <c r="AB3930" s="40" t="s">
        <v>115</v>
      </c>
      <c r="AC3930" s="40" t="s">
        <v>115</v>
      </c>
      <c r="AI3930" s="40" t="s">
        <v>7432</v>
      </c>
      <c r="AP3930" s="4" t="s">
        <v>115</v>
      </c>
    </row>
    <row r="3931" spans="1:42" x14ac:dyDescent="0.15">
      <c r="A3931" s="40" t="s">
        <v>1</v>
      </c>
      <c r="B3931" s="23">
        <v>90291005</v>
      </c>
      <c r="C3931" s="23">
        <v>2910</v>
      </c>
      <c r="D3931" s="23">
        <v>29</v>
      </c>
      <c r="F3931" s="23" t="s">
        <v>116</v>
      </c>
      <c r="G3931" s="23">
        <v>274</v>
      </c>
      <c r="H3931" s="23" t="s">
        <v>6681</v>
      </c>
      <c r="I3931" s="23">
        <v>0</v>
      </c>
      <c r="J3931" s="40">
        <v>0</v>
      </c>
      <c r="K3931" s="40">
        <v>0</v>
      </c>
      <c r="L3931" s="40" t="s">
        <v>115</v>
      </c>
      <c r="O3931" s="40" t="s">
        <v>115</v>
      </c>
      <c r="Q3931" s="40">
        <v>137</v>
      </c>
      <c r="R3931" s="40" t="s">
        <v>115</v>
      </c>
      <c r="X3931" s="40">
        <v>90291006</v>
      </c>
      <c r="Y3931" s="40" t="s">
        <v>115</v>
      </c>
      <c r="Z3931" s="40" t="s">
        <v>115</v>
      </c>
      <c r="AA3931" s="40" t="s">
        <v>115</v>
      </c>
      <c r="AB3931" s="40" t="s">
        <v>115</v>
      </c>
      <c r="AC3931" s="40" t="s">
        <v>115</v>
      </c>
      <c r="AI3931" s="40">
        <v>204</v>
      </c>
      <c r="AP3931" s="4" t="s">
        <v>115</v>
      </c>
    </row>
    <row r="3932" spans="1:42" x14ac:dyDescent="0.15">
      <c r="A3932" s="40" t="s">
        <v>1</v>
      </c>
      <c r="B3932" s="23">
        <v>90291006</v>
      </c>
      <c r="C3932" s="23">
        <v>2910</v>
      </c>
      <c r="D3932" s="23">
        <v>29</v>
      </c>
      <c r="F3932" s="23" t="s">
        <v>1072</v>
      </c>
      <c r="G3932" s="23" t="s">
        <v>115</v>
      </c>
      <c r="H3932" s="23" t="s">
        <v>6682</v>
      </c>
      <c r="I3932" s="23">
        <v>1</v>
      </c>
      <c r="J3932" s="40">
        <v>0</v>
      </c>
      <c r="K3932" s="40">
        <v>0</v>
      </c>
      <c r="L3932" s="40" t="s">
        <v>115</v>
      </c>
      <c r="O3932" s="40" t="s">
        <v>115</v>
      </c>
      <c r="Q3932" s="40">
        <v>137</v>
      </c>
      <c r="R3932" s="40" t="s">
        <v>115</v>
      </c>
      <c r="X3932" s="40">
        <v>90291007</v>
      </c>
      <c r="Y3932" s="40" t="s">
        <v>115</v>
      </c>
      <c r="Z3932" s="40" t="s">
        <v>115</v>
      </c>
      <c r="AA3932" s="40" t="s">
        <v>115</v>
      </c>
      <c r="AB3932" s="40" t="s">
        <v>115</v>
      </c>
      <c r="AC3932" s="40" t="s">
        <v>115</v>
      </c>
      <c r="AI3932" s="40" t="s">
        <v>7432</v>
      </c>
      <c r="AP3932" s="4" t="s">
        <v>115</v>
      </c>
    </row>
    <row r="3933" spans="1:42" x14ac:dyDescent="0.15">
      <c r="A3933" s="40" t="s">
        <v>1</v>
      </c>
      <c r="B3933" s="23">
        <v>90291007</v>
      </c>
      <c r="C3933" s="23">
        <v>2910</v>
      </c>
      <c r="D3933" s="23">
        <v>29</v>
      </c>
      <c r="F3933" s="23" t="s">
        <v>116</v>
      </c>
      <c r="G3933" s="23">
        <v>260</v>
      </c>
      <c r="H3933" s="23" t="s">
        <v>6683</v>
      </c>
      <c r="I3933" s="23">
        <v>0</v>
      </c>
      <c r="J3933" s="40">
        <v>0</v>
      </c>
      <c r="K3933" s="40">
        <v>0</v>
      </c>
      <c r="L3933" s="40" t="s">
        <v>115</v>
      </c>
      <c r="O3933" s="40" t="s">
        <v>115</v>
      </c>
      <c r="Q3933" s="40">
        <v>137</v>
      </c>
      <c r="R3933" s="40" t="s">
        <v>115</v>
      </c>
      <c r="X3933" s="40">
        <v>90291008</v>
      </c>
      <c r="Y3933" s="40" t="s">
        <v>115</v>
      </c>
      <c r="Z3933" s="40" t="s">
        <v>115</v>
      </c>
      <c r="AA3933" s="40" t="s">
        <v>115</v>
      </c>
      <c r="AB3933" s="40" t="s">
        <v>115</v>
      </c>
      <c r="AC3933" s="40" t="s">
        <v>115</v>
      </c>
      <c r="AI3933" s="40">
        <v>204</v>
      </c>
      <c r="AP3933" s="4" t="s">
        <v>115</v>
      </c>
    </row>
    <row r="3934" spans="1:42" x14ac:dyDescent="0.15">
      <c r="A3934" s="40" t="s">
        <v>1</v>
      </c>
      <c r="B3934" s="23">
        <v>90291008</v>
      </c>
      <c r="C3934" s="23">
        <v>2910</v>
      </c>
      <c r="D3934" s="23">
        <v>29</v>
      </c>
      <c r="F3934" s="23" t="s">
        <v>1072</v>
      </c>
      <c r="G3934" s="23" t="s">
        <v>115</v>
      </c>
      <c r="H3934" s="23" t="s">
        <v>6684</v>
      </c>
      <c r="I3934" s="23">
        <v>1</v>
      </c>
      <c r="J3934" s="40">
        <v>0</v>
      </c>
      <c r="K3934" s="40">
        <v>0</v>
      </c>
      <c r="L3934" s="40" t="s">
        <v>115</v>
      </c>
      <c r="O3934" s="40" t="s">
        <v>115</v>
      </c>
      <c r="Q3934" s="40">
        <v>137</v>
      </c>
      <c r="R3934" s="40" t="s">
        <v>115</v>
      </c>
      <c r="X3934" s="40">
        <v>90291009</v>
      </c>
      <c r="Y3934" s="40" t="s">
        <v>115</v>
      </c>
      <c r="Z3934" s="40" t="s">
        <v>115</v>
      </c>
      <c r="AA3934" s="40" t="s">
        <v>115</v>
      </c>
      <c r="AB3934" s="40" t="s">
        <v>115</v>
      </c>
      <c r="AC3934" s="40" t="s">
        <v>115</v>
      </c>
      <c r="AI3934" s="40" t="s">
        <v>1073</v>
      </c>
      <c r="AP3934" s="4" t="s">
        <v>115</v>
      </c>
    </row>
    <row r="3935" spans="1:42" x14ac:dyDescent="0.15">
      <c r="A3935" s="40" t="s">
        <v>1</v>
      </c>
      <c r="B3935" s="23">
        <v>90291009</v>
      </c>
      <c r="C3935" s="23">
        <v>2910</v>
      </c>
      <c r="D3935" s="23">
        <v>29</v>
      </c>
      <c r="F3935" s="23" t="s">
        <v>1072</v>
      </c>
      <c r="G3935" s="23" t="s">
        <v>115</v>
      </c>
      <c r="H3935" s="23" t="s">
        <v>6685</v>
      </c>
      <c r="I3935" s="23">
        <v>1</v>
      </c>
      <c r="J3935" s="40">
        <v>0</v>
      </c>
      <c r="K3935" s="40">
        <v>0</v>
      </c>
      <c r="L3935" s="40" t="s">
        <v>115</v>
      </c>
      <c r="O3935" s="40" t="s">
        <v>115</v>
      </c>
      <c r="Q3935" s="40">
        <v>137</v>
      </c>
      <c r="R3935" s="40" t="s">
        <v>115</v>
      </c>
      <c r="X3935" s="40">
        <v>90291010</v>
      </c>
      <c r="Y3935" s="40" t="s">
        <v>115</v>
      </c>
      <c r="Z3935" s="40" t="s">
        <v>115</v>
      </c>
      <c r="AA3935" s="40" t="s">
        <v>115</v>
      </c>
      <c r="AB3935" s="40" t="s">
        <v>115</v>
      </c>
      <c r="AC3935" s="40" t="s">
        <v>115</v>
      </c>
      <c r="AI3935" s="40" t="s">
        <v>1073</v>
      </c>
      <c r="AP3935" s="4" t="s">
        <v>115</v>
      </c>
    </row>
    <row r="3936" spans="1:42" x14ac:dyDescent="0.15">
      <c r="A3936" s="40" t="s">
        <v>1</v>
      </c>
      <c r="B3936" s="23">
        <v>90291010</v>
      </c>
      <c r="C3936" s="23">
        <v>2910</v>
      </c>
      <c r="D3936" s="23">
        <v>29</v>
      </c>
      <c r="F3936" s="23" t="s">
        <v>116</v>
      </c>
      <c r="G3936" s="23">
        <v>261</v>
      </c>
      <c r="H3936" s="23" t="s">
        <v>6686</v>
      </c>
      <c r="I3936" s="23">
        <v>0</v>
      </c>
      <c r="J3936" s="40">
        <v>0</v>
      </c>
      <c r="K3936" s="40">
        <v>0</v>
      </c>
      <c r="L3936" s="40" t="s">
        <v>115</v>
      </c>
      <c r="O3936" s="40" t="s">
        <v>115</v>
      </c>
      <c r="Q3936" s="40">
        <v>137</v>
      </c>
      <c r="R3936" s="40" t="s">
        <v>115</v>
      </c>
      <c r="X3936" s="40">
        <v>90291011</v>
      </c>
      <c r="Y3936" s="40" t="s">
        <v>115</v>
      </c>
      <c r="Z3936" s="40" t="s">
        <v>115</v>
      </c>
      <c r="AA3936" s="40" t="s">
        <v>115</v>
      </c>
      <c r="AB3936" s="40" t="s">
        <v>115</v>
      </c>
      <c r="AC3936" s="40" t="s">
        <v>115</v>
      </c>
      <c r="AI3936" s="40">
        <v>202</v>
      </c>
      <c r="AP3936" s="4" t="s">
        <v>115</v>
      </c>
    </row>
    <row r="3937" spans="1:42" x14ac:dyDescent="0.15">
      <c r="A3937" s="40" t="s">
        <v>1</v>
      </c>
      <c r="B3937" s="23">
        <v>90291011</v>
      </c>
      <c r="C3937" s="23">
        <v>2910</v>
      </c>
      <c r="D3937" s="23">
        <v>29</v>
      </c>
      <c r="F3937" s="23" t="s">
        <v>115</v>
      </c>
      <c r="G3937" s="23" t="s">
        <v>115</v>
      </c>
      <c r="H3937" s="23" t="s">
        <v>6687</v>
      </c>
      <c r="I3937" s="23">
        <v>4</v>
      </c>
      <c r="J3937" s="40">
        <v>0</v>
      </c>
      <c r="K3937" s="40">
        <v>0</v>
      </c>
      <c r="L3937" s="40" t="s">
        <v>115</v>
      </c>
      <c r="O3937" s="40" t="s">
        <v>115</v>
      </c>
      <c r="Q3937" s="40">
        <v>137</v>
      </c>
      <c r="R3937" s="40" t="s">
        <v>115</v>
      </c>
      <c r="X3937" s="40">
        <v>90291012</v>
      </c>
      <c r="Y3937" s="40" t="s">
        <v>115</v>
      </c>
      <c r="Z3937" s="40" t="s">
        <v>115</v>
      </c>
      <c r="AA3937" s="40" t="s">
        <v>115</v>
      </c>
      <c r="AB3937" s="40" t="s">
        <v>115</v>
      </c>
      <c r="AC3937" s="40" t="s">
        <v>115</v>
      </c>
      <c r="AI3937" s="40">
        <v>202</v>
      </c>
      <c r="AP3937" s="4" t="s">
        <v>115</v>
      </c>
    </row>
    <row r="3938" spans="1:42" x14ac:dyDescent="0.15">
      <c r="A3938" s="40" t="s">
        <v>1</v>
      </c>
      <c r="B3938" s="23">
        <v>90291012</v>
      </c>
      <c r="C3938" s="23">
        <v>2910</v>
      </c>
      <c r="D3938" s="23">
        <v>29</v>
      </c>
      <c r="F3938" s="23" t="s">
        <v>115</v>
      </c>
      <c r="G3938" s="23" t="s">
        <v>115</v>
      </c>
      <c r="H3938" s="23" t="s">
        <v>6537</v>
      </c>
      <c r="I3938" s="23">
        <v>4</v>
      </c>
      <c r="J3938" s="40">
        <v>0</v>
      </c>
      <c r="K3938" s="40">
        <v>2</v>
      </c>
      <c r="L3938" s="40" t="s">
        <v>115</v>
      </c>
      <c r="O3938" s="40" t="s">
        <v>115</v>
      </c>
      <c r="Q3938" s="40">
        <v>137</v>
      </c>
      <c r="R3938" s="40" t="s">
        <v>115</v>
      </c>
      <c r="X3938" s="40" t="s">
        <v>6688</v>
      </c>
      <c r="Y3938" s="40">
        <v>1</v>
      </c>
      <c r="Z3938" s="40">
        <v>1</v>
      </c>
      <c r="AA3938" s="40" t="s">
        <v>115</v>
      </c>
      <c r="AB3938" s="40" t="s">
        <v>115</v>
      </c>
      <c r="AC3938" s="40" t="s">
        <v>115</v>
      </c>
      <c r="AI3938" s="40">
        <v>202</v>
      </c>
      <c r="AP3938" s="4" t="s">
        <v>115</v>
      </c>
    </row>
    <row r="3939" spans="1:42" x14ac:dyDescent="0.15">
      <c r="A3939" s="40" t="s">
        <v>1</v>
      </c>
      <c r="B3939" s="23">
        <v>90291013</v>
      </c>
      <c r="C3939" s="23">
        <v>2910</v>
      </c>
      <c r="D3939" s="23">
        <v>29</v>
      </c>
      <c r="F3939" s="23" t="s">
        <v>115</v>
      </c>
      <c r="G3939" s="23" t="s">
        <v>115</v>
      </c>
      <c r="H3939" s="23" t="s">
        <v>6689</v>
      </c>
      <c r="I3939" s="23">
        <v>4</v>
      </c>
      <c r="J3939" s="40">
        <v>0</v>
      </c>
      <c r="K3939" s="40">
        <v>3</v>
      </c>
      <c r="L3939" s="40" t="s">
        <v>115</v>
      </c>
      <c r="O3939" s="40" t="s">
        <v>115</v>
      </c>
      <c r="Q3939" s="40">
        <v>137</v>
      </c>
      <c r="R3939" s="40" t="s">
        <v>115</v>
      </c>
      <c r="X3939" s="40">
        <v>90291015</v>
      </c>
      <c r="Y3939" s="40">
        <v>-1</v>
      </c>
      <c r="Z3939" s="40">
        <v>2</v>
      </c>
      <c r="AA3939" s="40" t="s">
        <v>3629</v>
      </c>
      <c r="AB3939" s="40" t="s">
        <v>115</v>
      </c>
      <c r="AC3939" s="40" t="s">
        <v>115</v>
      </c>
      <c r="AI3939" s="40">
        <v>202</v>
      </c>
      <c r="AP3939" s="4" t="s">
        <v>115</v>
      </c>
    </row>
    <row r="3940" spans="1:42" x14ac:dyDescent="0.15">
      <c r="A3940" s="40" t="s">
        <v>1</v>
      </c>
      <c r="B3940" s="23">
        <v>90291014</v>
      </c>
      <c r="C3940" s="23">
        <v>2910</v>
      </c>
      <c r="D3940" s="23">
        <v>29</v>
      </c>
      <c r="F3940" s="23" t="s">
        <v>115</v>
      </c>
      <c r="G3940" s="23" t="s">
        <v>115</v>
      </c>
      <c r="H3940" s="23" t="s">
        <v>6690</v>
      </c>
      <c r="I3940" s="23">
        <v>4</v>
      </c>
      <c r="J3940" s="40">
        <v>0</v>
      </c>
      <c r="K3940" s="40">
        <v>4</v>
      </c>
      <c r="L3940" s="40" t="s">
        <v>115</v>
      </c>
      <c r="O3940" s="40" t="s">
        <v>115</v>
      </c>
      <c r="Q3940" s="40">
        <v>137</v>
      </c>
      <c r="R3940" s="40" t="s">
        <v>115</v>
      </c>
      <c r="X3940" s="40">
        <v>90291016</v>
      </c>
      <c r="Y3940" s="40">
        <v>-1</v>
      </c>
      <c r="Z3940" s="40">
        <v>2</v>
      </c>
      <c r="AA3940" s="40" t="s">
        <v>115</v>
      </c>
      <c r="AB3940" s="40" t="s">
        <v>115</v>
      </c>
      <c r="AC3940" s="40" t="s">
        <v>6691</v>
      </c>
      <c r="AI3940" s="40">
        <v>202</v>
      </c>
      <c r="AP3940" s="4" t="s">
        <v>115</v>
      </c>
    </row>
    <row r="3941" spans="1:42" x14ac:dyDescent="0.15">
      <c r="A3941" s="40" t="s">
        <v>1</v>
      </c>
      <c r="B3941" s="23">
        <v>90291015</v>
      </c>
      <c r="C3941" s="23">
        <v>2910</v>
      </c>
      <c r="D3941" s="23">
        <v>29</v>
      </c>
      <c r="F3941" s="23" t="s">
        <v>115</v>
      </c>
      <c r="G3941" s="23" t="s">
        <v>115</v>
      </c>
      <c r="H3941" s="23" t="s">
        <v>6692</v>
      </c>
      <c r="I3941" s="23">
        <v>4</v>
      </c>
      <c r="J3941" s="40">
        <v>0</v>
      </c>
      <c r="K3941" s="40">
        <v>0</v>
      </c>
      <c r="L3941" s="40" t="s">
        <v>115</v>
      </c>
      <c r="O3941" s="40" t="s">
        <v>115</v>
      </c>
      <c r="Q3941" s="40">
        <v>137</v>
      </c>
      <c r="R3941" s="40" t="s">
        <v>115</v>
      </c>
      <c r="X3941" s="40">
        <v>90291017</v>
      </c>
      <c r="Y3941" s="40" t="s">
        <v>115</v>
      </c>
      <c r="Z3941" s="40" t="s">
        <v>115</v>
      </c>
      <c r="AA3941" s="40" t="s">
        <v>115</v>
      </c>
      <c r="AB3941" s="40" t="s">
        <v>115</v>
      </c>
      <c r="AC3941" s="40" t="s">
        <v>115</v>
      </c>
      <c r="AI3941" s="40">
        <v>202</v>
      </c>
      <c r="AP3941" s="4" t="s">
        <v>115</v>
      </c>
    </row>
    <row r="3942" spans="1:42" x14ac:dyDescent="0.15">
      <c r="A3942" s="40" t="s">
        <v>1</v>
      </c>
      <c r="B3942" s="23">
        <v>90291016</v>
      </c>
      <c r="C3942" s="23">
        <v>2910</v>
      </c>
      <c r="D3942" s="23">
        <v>29</v>
      </c>
      <c r="F3942" s="23" t="s">
        <v>115</v>
      </c>
      <c r="G3942" s="23" t="s">
        <v>115</v>
      </c>
      <c r="H3942" s="23" t="s">
        <v>6693</v>
      </c>
      <c r="I3942" s="23">
        <v>4</v>
      </c>
      <c r="J3942" s="40">
        <v>0</v>
      </c>
      <c r="K3942" s="40">
        <v>0</v>
      </c>
      <c r="L3942" s="40" t="s">
        <v>115</v>
      </c>
      <c r="O3942" s="40" t="s">
        <v>115</v>
      </c>
      <c r="Q3942" s="40">
        <v>137</v>
      </c>
      <c r="R3942" s="40" t="s">
        <v>115</v>
      </c>
      <c r="X3942" s="40">
        <v>90291017</v>
      </c>
      <c r="Y3942" s="40" t="s">
        <v>115</v>
      </c>
      <c r="Z3942" s="40" t="s">
        <v>115</v>
      </c>
      <c r="AA3942" s="40" t="s">
        <v>115</v>
      </c>
      <c r="AB3942" s="40" t="s">
        <v>115</v>
      </c>
      <c r="AC3942" s="40" t="s">
        <v>115</v>
      </c>
      <c r="AI3942" s="40">
        <v>202</v>
      </c>
      <c r="AP3942" s="4" t="s">
        <v>115</v>
      </c>
    </row>
    <row r="3943" spans="1:42" x14ac:dyDescent="0.15">
      <c r="A3943" s="40" t="s">
        <v>1</v>
      </c>
      <c r="B3943" s="23">
        <v>90291017</v>
      </c>
      <c r="C3943" s="23">
        <v>2910</v>
      </c>
      <c r="D3943" s="23">
        <v>29</v>
      </c>
      <c r="F3943" s="23" t="s">
        <v>1072</v>
      </c>
      <c r="G3943" s="23" t="s">
        <v>115</v>
      </c>
      <c r="H3943" s="23" t="s">
        <v>6694</v>
      </c>
      <c r="I3943" s="23">
        <v>1</v>
      </c>
      <c r="J3943" s="40">
        <v>0</v>
      </c>
      <c r="K3943" s="40">
        <v>5</v>
      </c>
      <c r="L3943" s="40" t="s">
        <v>6695</v>
      </c>
      <c r="O3943" s="40" t="s">
        <v>115</v>
      </c>
      <c r="Q3943" s="40">
        <v>137</v>
      </c>
      <c r="R3943" s="40" t="s">
        <v>115</v>
      </c>
      <c r="X3943" s="40">
        <v>90291018</v>
      </c>
      <c r="Y3943" s="40" t="s">
        <v>115</v>
      </c>
      <c r="Z3943" s="40">
        <v>4</v>
      </c>
      <c r="AA3943" s="40" t="s">
        <v>115</v>
      </c>
      <c r="AB3943" s="40" t="s">
        <v>115</v>
      </c>
      <c r="AC3943" s="40" t="s">
        <v>115</v>
      </c>
      <c r="AI3943" s="40" t="s">
        <v>1073</v>
      </c>
      <c r="AP3943" s="4" t="s">
        <v>115</v>
      </c>
    </row>
    <row r="3944" spans="1:42" x14ac:dyDescent="0.15">
      <c r="A3944" s="40" t="s">
        <v>1</v>
      </c>
      <c r="B3944" s="23">
        <v>90291018</v>
      </c>
      <c r="C3944" s="23">
        <v>2910</v>
      </c>
      <c r="D3944" s="23">
        <v>29</v>
      </c>
      <c r="F3944" s="23" t="s">
        <v>1072</v>
      </c>
      <c r="G3944" s="23" t="s">
        <v>115</v>
      </c>
      <c r="H3944" s="23" t="s">
        <v>6696</v>
      </c>
      <c r="I3944" s="23">
        <v>1</v>
      </c>
      <c r="J3944" s="40">
        <v>0</v>
      </c>
      <c r="K3944" s="40">
        <v>0</v>
      </c>
      <c r="L3944" s="40" t="s">
        <v>115</v>
      </c>
      <c r="O3944" s="40" t="s">
        <v>115</v>
      </c>
      <c r="Q3944" s="40">
        <v>137</v>
      </c>
      <c r="R3944" s="40" t="s">
        <v>115</v>
      </c>
      <c r="X3944" s="40">
        <v>90291019</v>
      </c>
      <c r="Y3944" s="40" t="s">
        <v>115</v>
      </c>
      <c r="Z3944" s="40" t="s">
        <v>115</v>
      </c>
      <c r="AA3944" s="40" t="s">
        <v>115</v>
      </c>
      <c r="AB3944" s="40" t="s">
        <v>115</v>
      </c>
      <c r="AC3944" s="40" t="s">
        <v>115</v>
      </c>
      <c r="AI3944" s="40" t="s">
        <v>1073</v>
      </c>
      <c r="AP3944" s="4" t="s">
        <v>115</v>
      </c>
    </row>
    <row r="3945" spans="1:42" x14ac:dyDescent="0.15">
      <c r="A3945" s="40" t="s">
        <v>1</v>
      </c>
      <c r="B3945" s="23">
        <v>90291019</v>
      </c>
      <c r="C3945" s="23">
        <v>2910</v>
      </c>
      <c r="D3945" s="23">
        <v>29</v>
      </c>
      <c r="F3945" s="23" t="s">
        <v>115</v>
      </c>
      <c r="G3945" s="23" t="s">
        <v>115</v>
      </c>
      <c r="H3945" s="23" t="s">
        <v>6697</v>
      </c>
      <c r="I3945" s="23">
        <v>4</v>
      </c>
      <c r="J3945" s="40">
        <v>0</v>
      </c>
      <c r="K3945" s="40">
        <v>0</v>
      </c>
      <c r="L3945" s="40" t="s">
        <v>115</v>
      </c>
      <c r="O3945" s="40" t="s">
        <v>115</v>
      </c>
      <c r="Q3945" s="40">
        <v>137</v>
      </c>
      <c r="R3945" s="40" t="s">
        <v>115</v>
      </c>
      <c r="X3945" s="40">
        <v>90291020</v>
      </c>
      <c r="Y3945" s="40" t="s">
        <v>115</v>
      </c>
      <c r="Z3945" s="40" t="s">
        <v>115</v>
      </c>
      <c r="AA3945" s="40" t="s">
        <v>115</v>
      </c>
      <c r="AB3945" s="40" t="s">
        <v>115</v>
      </c>
      <c r="AC3945" s="40" t="s">
        <v>115</v>
      </c>
      <c r="AI3945" s="40" t="s">
        <v>115</v>
      </c>
      <c r="AP3945" s="4" t="s">
        <v>115</v>
      </c>
    </row>
    <row r="3946" spans="1:42" x14ac:dyDescent="0.15">
      <c r="A3946" s="40" t="s">
        <v>1</v>
      </c>
      <c r="B3946" s="23">
        <v>90291020</v>
      </c>
      <c r="C3946" s="23">
        <v>2910</v>
      </c>
      <c r="D3946" s="23">
        <v>29</v>
      </c>
      <c r="F3946" s="23" t="s">
        <v>115</v>
      </c>
      <c r="G3946" s="23" t="s">
        <v>115</v>
      </c>
      <c r="H3946" s="23" t="s">
        <v>6698</v>
      </c>
      <c r="I3946" s="23">
        <v>4</v>
      </c>
      <c r="J3946" s="40">
        <v>0</v>
      </c>
      <c r="K3946" s="40">
        <v>6</v>
      </c>
      <c r="L3946" s="40" t="s">
        <v>115</v>
      </c>
      <c r="O3946" s="40">
        <v>1</v>
      </c>
      <c r="Q3946" s="40">
        <v>137</v>
      </c>
      <c r="R3946" s="40" t="s">
        <v>115</v>
      </c>
      <c r="X3946" s="40" t="s">
        <v>115</v>
      </c>
      <c r="Y3946" s="40" t="s">
        <v>115</v>
      </c>
      <c r="Z3946" s="40">
        <v>5</v>
      </c>
      <c r="AA3946" s="40" t="s">
        <v>115</v>
      </c>
      <c r="AB3946" s="40" t="s">
        <v>115</v>
      </c>
      <c r="AC3946" s="40" t="s">
        <v>115</v>
      </c>
      <c r="AI3946" s="40" t="s">
        <v>115</v>
      </c>
      <c r="AP3946" s="4" t="s">
        <v>115</v>
      </c>
    </row>
    <row r="3947" spans="1:42" x14ac:dyDescent="0.15">
      <c r="A3947" s="40" t="s">
        <v>1</v>
      </c>
      <c r="B3947" s="23" t="s">
        <v>4938</v>
      </c>
      <c r="C3947" s="23">
        <v>3001</v>
      </c>
      <c r="D3947" s="23">
        <v>30</v>
      </c>
      <c r="F3947" s="23" t="s">
        <v>115</v>
      </c>
      <c r="G3947" s="23" t="s">
        <v>115</v>
      </c>
      <c r="H3947" s="23" t="s">
        <v>6699</v>
      </c>
      <c r="I3947" s="23">
        <v>4</v>
      </c>
      <c r="J3947" s="40">
        <v>1</v>
      </c>
      <c r="K3947" s="40">
        <v>1</v>
      </c>
      <c r="L3947" s="40" t="s">
        <v>115</v>
      </c>
      <c r="O3947" s="40" t="s">
        <v>115</v>
      </c>
      <c r="Q3947" s="40">
        <v>31</v>
      </c>
      <c r="R3947" s="40" t="s">
        <v>115</v>
      </c>
      <c r="X3947" s="40">
        <v>90300102</v>
      </c>
      <c r="Y3947" s="40" t="s">
        <v>115</v>
      </c>
      <c r="Z3947" s="40" t="s">
        <v>115</v>
      </c>
      <c r="AA3947" s="40" t="s">
        <v>115</v>
      </c>
      <c r="AB3947" s="40" t="s">
        <v>115</v>
      </c>
      <c r="AC3947" s="40" t="s">
        <v>115</v>
      </c>
      <c r="AI3947" s="40" t="s">
        <v>115</v>
      </c>
      <c r="AP3947" s="4" t="s">
        <v>115</v>
      </c>
    </row>
    <row r="3948" spans="1:42" x14ac:dyDescent="0.15">
      <c r="A3948" s="40" t="s">
        <v>1</v>
      </c>
      <c r="B3948" s="23">
        <v>90300102</v>
      </c>
      <c r="C3948" s="23">
        <v>3001</v>
      </c>
      <c r="D3948" s="23">
        <v>30</v>
      </c>
      <c r="F3948" s="23" t="s">
        <v>116</v>
      </c>
      <c r="G3948" s="23">
        <v>261</v>
      </c>
      <c r="H3948" s="23" t="s">
        <v>6700</v>
      </c>
      <c r="I3948" s="23">
        <v>0</v>
      </c>
      <c r="J3948" s="40">
        <v>0</v>
      </c>
      <c r="K3948" s="40">
        <v>0</v>
      </c>
      <c r="L3948" s="40" t="s">
        <v>115</v>
      </c>
      <c r="O3948" s="40" t="s">
        <v>115</v>
      </c>
      <c r="Q3948" s="40">
        <v>31</v>
      </c>
      <c r="R3948" s="40">
        <v>15</v>
      </c>
      <c r="X3948" s="40">
        <v>90300103</v>
      </c>
      <c r="Y3948" s="40" t="s">
        <v>115</v>
      </c>
      <c r="Z3948" s="40" t="s">
        <v>115</v>
      </c>
      <c r="AA3948" s="40" t="s">
        <v>115</v>
      </c>
      <c r="AB3948" s="40" t="s">
        <v>115</v>
      </c>
      <c r="AC3948" s="40" t="s">
        <v>115</v>
      </c>
      <c r="AI3948" s="40" t="s">
        <v>115</v>
      </c>
      <c r="AP3948" s="4" t="s">
        <v>115</v>
      </c>
    </row>
    <row r="3949" spans="1:42" x14ac:dyDescent="0.15">
      <c r="A3949" s="40" t="s">
        <v>1</v>
      </c>
      <c r="B3949" s="23">
        <v>90300103</v>
      </c>
      <c r="C3949" s="23">
        <v>3001</v>
      </c>
      <c r="D3949" s="23">
        <v>30</v>
      </c>
      <c r="F3949" s="23" t="s">
        <v>6701</v>
      </c>
      <c r="G3949" s="23" t="s">
        <v>115</v>
      </c>
      <c r="H3949" s="23" t="s">
        <v>6702</v>
      </c>
      <c r="I3949" s="23">
        <v>3</v>
      </c>
      <c r="J3949" s="40">
        <v>0</v>
      </c>
      <c r="K3949" s="40">
        <v>0</v>
      </c>
      <c r="L3949" s="40" t="s">
        <v>115</v>
      </c>
      <c r="O3949" s="40" t="s">
        <v>115</v>
      </c>
      <c r="Q3949" s="40">
        <v>31</v>
      </c>
      <c r="R3949" s="40">
        <v>15</v>
      </c>
      <c r="X3949" s="40">
        <v>90300104</v>
      </c>
      <c r="Y3949" s="40" t="s">
        <v>115</v>
      </c>
      <c r="Z3949" s="40" t="s">
        <v>115</v>
      </c>
      <c r="AA3949" s="40" t="s">
        <v>115</v>
      </c>
      <c r="AB3949" s="40" t="s">
        <v>115</v>
      </c>
      <c r="AC3949" s="40" t="s">
        <v>115</v>
      </c>
      <c r="AI3949" s="40" t="s">
        <v>115</v>
      </c>
      <c r="AP3949" s="4" t="s">
        <v>115</v>
      </c>
    </row>
    <row r="3950" spans="1:42" x14ac:dyDescent="0.15">
      <c r="A3950" s="40" t="s">
        <v>1</v>
      </c>
      <c r="B3950" s="23">
        <v>90300104</v>
      </c>
      <c r="C3950" s="23">
        <v>3001</v>
      </c>
      <c r="D3950" s="23">
        <v>30</v>
      </c>
      <c r="F3950" s="23" t="s">
        <v>116</v>
      </c>
      <c r="G3950" s="23">
        <v>274</v>
      </c>
      <c r="H3950" s="23" t="s">
        <v>7479</v>
      </c>
      <c r="I3950" s="23">
        <v>2</v>
      </c>
      <c r="J3950" s="40">
        <v>0</v>
      </c>
      <c r="K3950" s="40">
        <v>0</v>
      </c>
      <c r="L3950" s="40" t="s">
        <v>115</v>
      </c>
      <c r="O3950" s="40" t="s">
        <v>115</v>
      </c>
      <c r="Q3950" s="40">
        <v>31</v>
      </c>
      <c r="R3950" s="40">
        <v>15</v>
      </c>
      <c r="X3950" s="40">
        <v>90300105</v>
      </c>
      <c r="Y3950" s="40" t="s">
        <v>115</v>
      </c>
      <c r="Z3950" s="40" t="s">
        <v>115</v>
      </c>
      <c r="AA3950" s="40" t="s">
        <v>115</v>
      </c>
      <c r="AB3950" s="40" t="s">
        <v>115</v>
      </c>
      <c r="AC3950" s="40" t="s">
        <v>115</v>
      </c>
      <c r="AI3950" s="40" t="s">
        <v>115</v>
      </c>
      <c r="AP3950" s="4" t="s">
        <v>115</v>
      </c>
    </row>
    <row r="3951" spans="1:42" x14ac:dyDescent="0.15">
      <c r="A3951" s="40" t="s">
        <v>1</v>
      </c>
      <c r="B3951" s="23">
        <v>90300105</v>
      </c>
      <c r="C3951" s="23">
        <v>3001</v>
      </c>
      <c r="D3951" s="23">
        <v>30</v>
      </c>
      <c r="F3951" s="23" t="s">
        <v>116</v>
      </c>
      <c r="G3951" s="23">
        <v>261</v>
      </c>
      <c r="H3951" s="23" t="s">
        <v>6703</v>
      </c>
      <c r="I3951" s="23">
        <v>0</v>
      </c>
      <c r="J3951" s="40">
        <v>0</v>
      </c>
      <c r="K3951" s="40">
        <v>0</v>
      </c>
      <c r="L3951" s="40" t="s">
        <v>115</v>
      </c>
      <c r="O3951" s="40" t="s">
        <v>115</v>
      </c>
      <c r="Q3951" s="40">
        <v>31</v>
      </c>
      <c r="R3951" s="40">
        <v>15</v>
      </c>
      <c r="X3951" s="40">
        <v>90300106</v>
      </c>
      <c r="Y3951" s="40" t="s">
        <v>115</v>
      </c>
      <c r="Z3951" s="40" t="s">
        <v>115</v>
      </c>
      <c r="AA3951" s="40" t="s">
        <v>115</v>
      </c>
      <c r="AB3951" s="40" t="s">
        <v>115</v>
      </c>
      <c r="AC3951" s="40" t="s">
        <v>115</v>
      </c>
      <c r="AI3951" s="40" t="s">
        <v>115</v>
      </c>
      <c r="AP3951" s="4" t="s">
        <v>115</v>
      </c>
    </row>
    <row r="3952" spans="1:42" x14ac:dyDescent="0.15">
      <c r="A3952" s="40" t="s">
        <v>1</v>
      </c>
      <c r="B3952" s="23">
        <v>90300106</v>
      </c>
      <c r="C3952" s="23">
        <v>3001</v>
      </c>
      <c r="D3952" s="23">
        <v>30</v>
      </c>
      <c r="F3952" s="23" t="s">
        <v>6701</v>
      </c>
      <c r="G3952" s="23" t="s">
        <v>115</v>
      </c>
      <c r="H3952" s="23" t="s">
        <v>6704</v>
      </c>
      <c r="I3952" s="23">
        <v>3</v>
      </c>
      <c r="J3952" s="40">
        <v>0</v>
      </c>
      <c r="K3952" s="40">
        <v>0</v>
      </c>
      <c r="L3952" s="40" t="s">
        <v>115</v>
      </c>
      <c r="O3952" s="40" t="s">
        <v>115</v>
      </c>
      <c r="Q3952" s="40">
        <v>31</v>
      </c>
      <c r="R3952" s="40">
        <v>15</v>
      </c>
      <c r="X3952" s="40">
        <v>90300107</v>
      </c>
      <c r="Y3952" s="40" t="s">
        <v>115</v>
      </c>
      <c r="Z3952" s="40" t="s">
        <v>115</v>
      </c>
      <c r="AA3952" s="40" t="s">
        <v>115</v>
      </c>
      <c r="AB3952" s="40" t="s">
        <v>115</v>
      </c>
      <c r="AC3952" s="40" t="s">
        <v>115</v>
      </c>
      <c r="AI3952" s="40" t="s">
        <v>115</v>
      </c>
      <c r="AP3952" s="4" t="s">
        <v>115</v>
      </c>
    </row>
    <row r="3953" spans="1:42" x14ac:dyDescent="0.15">
      <c r="A3953" s="40" t="s">
        <v>1</v>
      </c>
      <c r="B3953" s="23">
        <v>90300107</v>
      </c>
      <c r="C3953" s="23">
        <v>3001</v>
      </c>
      <c r="D3953" s="23">
        <v>30</v>
      </c>
      <c r="F3953" s="23" t="s">
        <v>116</v>
      </c>
      <c r="G3953" s="23">
        <v>261</v>
      </c>
      <c r="H3953" s="23" t="s">
        <v>6705</v>
      </c>
      <c r="I3953" s="23">
        <v>0</v>
      </c>
      <c r="J3953" s="40">
        <v>0</v>
      </c>
      <c r="K3953" s="40">
        <v>0</v>
      </c>
      <c r="L3953" s="40" t="s">
        <v>115</v>
      </c>
      <c r="O3953" s="40" t="s">
        <v>115</v>
      </c>
      <c r="Q3953" s="40">
        <v>31</v>
      </c>
      <c r="R3953" s="40">
        <v>15</v>
      </c>
      <c r="X3953" s="40">
        <v>90300108</v>
      </c>
      <c r="Y3953" s="40" t="s">
        <v>115</v>
      </c>
      <c r="Z3953" s="40" t="s">
        <v>115</v>
      </c>
      <c r="AA3953" s="40" t="s">
        <v>115</v>
      </c>
      <c r="AB3953" s="40" t="s">
        <v>115</v>
      </c>
      <c r="AC3953" s="40" t="s">
        <v>115</v>
      </c>
      <c r="AI3953" s="40" t="s">
        <v>115</v>
      </c>
      <c r="AP3953" s="4" t="s">
        <v>115</v>
      </c>
    </row>
    <row r="3954" spans="1:42" x14ac:dyDescent="0.15">
      <c r="A3954" s="40" t="s">
        <v>1</v>
      </c>
      <c r="B3954" s="23">
        <v>90300108</v>
      </c>
      <c r="C3954" s="23">
        <v>3001</v>
      </c>
      <c r="D3954" s="23">
        <v>30</v>
      </c>
      <c r="F3954" s="23" t="s">
        <v>115</v>
      </c>
      <c r="G3954" s="23" t="s">
        <v>115</v>
      </c>
      <c r="H3954" s="23" t="s">
        <v>6706</v>
      </c>
      <c r="I3954" s="23">
        <v>4</v>
      </c>
      <c r="J3954" s="40">
        <v>0</v>
      </c>
      <c r="K3954" s="40">
        <v>0</v>
      </c>
      <c r="L3954" s="40" t="s">
        <v>115</v>
      </c>
      <c r="O3954" s="40" t="s">
        <v>115</v>
      </c>
      <c r="Q3954" s="40">
        <v>31</v>
      </c>
      <c r="R3954" s="40">
        <v>15</v>
      </c>
      <c r="X3954" s="40">
        <v>90300109</v>
      </c>
      <c r="Y3954" s="40" t="s">
        <v>115</v>
      </c>
      <c r="Z3954" s="40" t="s">
        <v>115</v>
      </c>
      <c r="AA3954" s="40" t="s">
        <v>115</v>
      </c>
      <c r="AB3954" s="40" t="s">
        <v>115</v>
      </c>
      <c r="AC3954" s="40" t="s">
        <v>115</v>
      </c>
      <c r="AI3954" s="40" t="s">
        <v>115</v>
      </c>
      <c r="AP3954" s="4" t="s">
        <v>115</v>
      </c>
    </row>
    <row r="3955" spans="1:42" x14ac:dyDescent="0.15">
      <c r="A3955" s="40" t="s">
        <v>1</v>
      </c>
      <c r="B3955" s="23">
        <v>90300109</v>
      </c>
      <c r="C3955" s="23">
        <v>3001</v>
      </c>
      <c r="D3955" s="23">
        <v>30</v>
      </c>
      <c r="F3955" s="23" t="s">
        <v>6701</v>
      </c>
      <c r="G3955" s="23" t="s">
        <v>115</v>
      </c>
      <c r="H3955" s="23" t="s">
        <v>6707</v>
      </c>
      <c r="I3955" s="23">
        <v>3</v>
      </c>
      <c r="J3955" s="40">
        <v>0</v>
      </c>
      <c r="K3955" s="40">
        <v>0</v>
      </c>
      <c r="L3955" s="40" t="s">
        <v>115</v>
      </c>
      <c r="O3955" s="40" t="s">
        <v>115</v>
      </c>
      <c r="Q3955" s="40">
        <v>31</v>
      </c>
      <c r="R3955" s="40">
        <v>15</v>
      </c>
      <c r="X3955" s="40">
        <v>90300110</v>
      </c>
      <c r="Y3955" s="40" t="s">
        <v>115</v>
      </c>
      <c r="Z3955" s="40" t="s">
        <v>115</v>
      </c>
      <c r="AA3955" s="40" t="s">
        <v>115</v>
      </c>
      <c r="AB3955" s="40" t="s">
        <v>115</v>
      </c>
      <c r="AC3955" s="40" t="s">
        <v>115</v>
      </c>
      <c r="AI3955" s="40" t="s">
        <v>115</v>
      </c>
      <c r="AP3955" s="4" t="s">
        <v>115</v>
      </c>
    </row>
    <row r="3956" spans="1:42" x14ac:dyDescent="0.15">
      <c r="A3956" s="40" t="s">
        <v>1</v>
      </c>
      <c r="B3956" s="23">
        <v>90300110</v>
      </c>
      <c r="C3956" s="23">
        <v>3001</v>
      </c>
      <c r="D3956" s="23">
        <v>30</v>
      </c>
      <c r="F3956" s="23" t="s">
        <v>116</v>
      </c>
      <c r="G3956" s="23">
        <v>261</v>
      </c>
      <c r="H3956" s="23" t="s">
        <v>6708</v>
      </c>
      <c r="I3956" s="23">
        <v>2</v>
      </c>
      <c r="J3956" s="40">
        <v>0</v>
      </c>
      <c r="K3956" s="40">
        <v>0</v>
      </c>
      <c r="L3956" s="40" t="s">
        <v>115</v>
      </c>
      <c r="O3956" s="40" t="s">
        <v>115</v>
      </c>
      <c r="Q3956" s="40">
        <v>31</v>
      </c>
      <c r="R3956" s="40">
        <v>15</v>
      </c>
      <c r="X3956" s="40">
        <v>90300111</v>
      </c>
      <c r="Y3956" s="40" t="s">
        <v>115</v>
      </c>
      <c r="Z3956" s="40" t="s">
        <v>115</v>
      </c>
      <c r="AA3956" s="40" t="s">
        <v>115</v>
      </c>
      <c r="AB3956" s="40" t="s">
        <v>115</v>
      </c>
      <c r="AC3956" s="40" t="s">
        <v>115</v>
      </c>
      <c r="AI3956" s="40" t="s">
        <v>115</v>
      </c>
      <c r="AP3956" s="4" t="s">
        <v>115</v>
      </c>
    </row>
    <row r="3957" spans="1:42" x14ac:dyDescent="0.15">
      <c r="A3957" s="40" t="s">
        <v>1</v>
      </c>
      <c r="B3957" s="23">
        <v>90300111</v>
      </c>
      <c r="C3957" s="23">
        <v>3001</v>
      </c>
      <c r="D3957" s="23">
        <v>30</v>
      </c>
      <c r="F3957" s="23" t="s">
        <v>116</v>
      </c>
      <c r="G3957" s="23">
        <v>261</v>
      </c>
      <c r="H3957" s="23" t="s">
        <v>6709</v>
      </c>
      <c r="I3957" s="23">
        <v>0</v>
      </c>
      <c r="J3957" s="40">
        <v>0</v>
      </c>
      <c r="K3957" s="40">
        <v>0</v>
      </c>
      <c r="L3957" s="40" t="s">
        <v>115</v>
      </c>
      <c r="O3957" s="40" t="s">
        <v>115</v>
      </c>
      <c r="Q3957" s="40">
        <v>31</v>
      </c>
      <c r="R3957" s="40">
        <v>15</v>
      </c>
      <c r="X3957" s="40">
        <v>90300112</v>
      </c>
      <c r="Y3957" s="40" t="s">
        <v>115</v>
      </c>
      <c r="Z3957" s="40" t="s">
        <v>115</v>
      </c>
      <c r="AA3957" s="40" t="s">
        <v>115</v>
      </c>
      <c r="AB3957" s="40" t="s">
        <v>115</v>
      </c>
      <c r="AC3957" s="40" t="s">
        <v>115</v>
      </c>
      <c r="AI3957" s="40" t="s">
        <v>115</v>
      </c>
      <c r="AP3957" s="4" t="s">
        <v>115</v>
      </c>
    </row>
    <row r="3958" spans="1:42" x14ac:dyDescent="0.15">
      <c r="A3958" s="40" t="s">
        <v>1</v>
      </c>
      <c r="B3958" s="23">
        <v>90300112</v>
      </c>
      <c r="C3958" s="23">
        <v>3001</v>
      </c>
      <c r="D3958" s="23">
        <v>30</v>
      </c>
      <c r="F3958" s="23" t="s">
        <v>6701</v>
      </c>
      <c r="G3958" s="23" t="s">
        <v>115</v>
      </c>
      <c r="H3958" s="23" t="s">
        <v>6710</v>
      </c>
      <c r="I3958" s="23">
        <v>3</v>
      </c>
      <c r="J3958" s="40">
        <v>0</v>
      </c>
      <c r="K3958" s="40">
        <v>0</v>
      </c>
      <c r="L3958" s="40" t="s">
        <v>115</v>
      </c>
      <c r="O3958" s="40" t="s">
        <v>115</v>
      </c>
      <c r="Q3958" s="40">
        <v>31</v>
      </c>
      <c r="R3958" s="40">
        <v>15</v>
      </c>
      <c r="X3958" s="40">
        <v>90300113</v>
      </c>
      <c r="Y3958" s="40" t="s">
        <v>115</v>
      </c>
      <c r="Z3958" s="40" t="s">
        <v>115</v>
      </c>
      <c r="AA3958" s="40" t="s">
        <v>115</v>
      </c>
      <c r="AB3958" s="40" t="s">
        <v>115</v>
      </c>
      <c r="AC3958" s="40" t="s">
        <v>115</v>
      </c>
      <c r="AI3958" s="40" t="s">
        <v>115</v>
      </c>
      <c r="AP3958" s="4" t="s">
        <v>115</v>
      </c>
    </row>
    <row r="3959" spans="1:42" x14ac:dyDescent="0.15">
      <c r="A3959" s="40" t="s">
        <v>1</v>
      </c>
      <c r="B3959" s="23">
        <v>90300113</v>
      </c>
      <c r="C3959" s="23">
        <v>3001</v>
      </c>
      <c r="D3959" s="23">
        <v>30</v>
      </c>
      <c r="F3959" s="23" t="s">
        <v>6701</v>
      </c>
      <c r="G3959" s="23" t="s">
        <v>115</v>
      </c>
      <c r="H3959" s="23" t="s">
        <v>6711</v>
      </c>
      <c r="I3959" s="23">
        <v>3</v>
      </c>
      <c r="J3959" s="40">
        <v>0</v>
      </c>
      <c r="K3959" s="40">
        <v>0</v>
      </c>
      <c r="L3959" s="40" t="s">
        <v>115</v>
      </c>
      <c r="O3959" s="40" t="s">
        <v>115</v>
      </c>
      <c r="Q3959" s="40">
        <v>31</v>
      </c>
      <c r="R3959" s="40">
        <v>15</v>
      </c>
      <c r="X3959" s="40">
        <v>90300114</v>
      </c>
      <c r="Y3959" s="40" t="s">
        <v>115</v>
      </c>
      <c r="Z3959" s="40" t="s">
        <v>115</v>
      </c>
      <c r="AA3959" s="40" t="s">
        <v>115</v>
      </c>
      <c r="AB3959" s="40" t="s">
        <v>115</v>
      </c>
      <c r="AC3959" s="40" t="s">
        <v>115</v>
      </c>
      <c r="AI3959" s="40" t="s">
        <v>115</v>
      </c>
      <c r="AP3959" s="4" t="s">
        <v>115</v>
      </c>
    </row>
    <row r="3960" spans="1:42" x14ac:dyDescent="0.15">
      <c r="A3960" s="40" t="s">
        <v>1</v>
      </c>
      <c r="B3960" s="23">
        <v>90300114</v>
      </c>
      <c r="C3960" s="23">
        <v>3001</v>
      </c>
      <c r="D3960" s="23">
        <v>30</v>
      </c>
      <c r="F3960" s="23" t="s">
        <v>116</v>
      </c>
      <c r="G3960" s="23">
        <v>261</v>
      </c>
      <c r="H3960" s="23" t="s">
        <v>6712</v>
      </c>
      <c r="I3960" s="23">
        <v>2</v>
      </c>
      <c r="J3960" s="40">
        <v>0</v>
      </c>
      <c r="K3960" s="40">
        <v>0</v>
      </c>
      <c r="L3960" s="40" t="s">
        <v>115</v>
      </c>
      <c r="O3960" s="40" t="s">
        <v>115</v>
      </c>
      <c r="Q3960" s="40">
        <v>31</v>
      </c>
      <c r="R3960" s="40" t="s">
        <v>115</v>
      </c>
      <c r="X3960" s="40">
        <v>90300115</v>
      </c>
      <c r="Y3960" s="40" t="s">
        <v>115</v>
      </c>
      <c r="Z3960" s="40" t="s">
        <v>115</v>
      </c>
      <c r="AA3960" s="40" t="s">
        <v>115</v>
      </c>
      <c r="AB3960" s="40" t="s">
        <v>115</v>
      </c>
      <c r="AC3960" s="40" t="s">
        <v>115</v>
      </c>
      <c r="AI3960" s="40" t="s">
        <v>115</v>
      </c>
      <c r="AP3960" s="4" t="s">
        <v>115</v>
      </c>
    </row>
    <row r="3961" spans="1:42" x14ac:dyDescent="0.15">
      <c r="A3961" s="40" t="s">
        <v>1</v>
      </c>
      <c r="B3961" s="23">
        <v>90300115</v>
      </c>
      <c r="C3961" s="23">
        <v>3001</v>
      </c>
      <c r="D3961" s="23">
        <v>30</v>
      </c>
      <c r="F3961" s="23" t="s">
        <v>115</v>
      </c>
      <c r="G3961" s="23" t="s">
        <v>115</v>
      </c>
      <c r="H3961" s="23" t="s">
        <v>6713</v>
      </c>
      <c r="I3961" s="23">
        <v>4</v>
      </c>
      <c r="J3961" s="40">
        <v>0</v>
      </c>
      <c r="K3961" s="40">
        <v>0</v>
      </c>
      <c r="L3961" s="40" t="s">
        <v>115</v>
      </c>
      <c r="O3961" s="40" t="s">
        <v>115</v>
      </c>
      <c r="Q3961" s="40">
        <v>31</v>
      </c>
      <c r="R3961" s="40" t="s">
        <v>115</v>
      </c>
      <c r="X3961" s="40">
        <v>90300116</v>
      </c>
      <c r="Y3961" s="40" t="s">
        <v>115</v>
      </c>
      <c r="Z3961" s="40" t="s">
        <v>115</v>
      </c>
      <c r="AA3961" s="40" t="s">
        <v>115</v>
      </c>
      <c r="AB3961" s="40" t="s">
        <v>115</v>
      </c>
      <c r="AC3961" s="40" t="s">
        <v>115</v>
      </c>
      <c r="AI3961" s="40" t="s">
        <v>115</v>
      </c>
      <c r="AP3961" s="4" t="s">
        <v>115</v>
      </c>
    </row>
    <row r="3962" spans="1:42" x14ac:dyDescent="0.15">
      <c r="A3962" s="40" t="s">
        <v>1</v>
      </c>
      <c r="B3962" s="23">
        <v>90300116</v>
      </c>
      <c r="C3962" s="23">
        <v>3001</v>
      </c>
      <c r="D3962" s="23">
        <v>30</v>
      </c>
      <c r="F3962" s="23" t="s">
        <v>116</v>
      </c>
      <c r="G3962" s="23">
        <v>261</v>
      </c>
      <c r="H3962" s="23" t="s">
        <v>6714</v>
      </c>
      <c r="I3962" s="23">
        <v>0</v>
      </c>
      <c r="J3962" s="40">
        <v>0</v>
      </c>
      <c r="K3962" s="40">
        <v>2</v>
      </c>
      <c r="L3962" s="40" t="s">
        <v>115</v>
      </c>
      <c r="O3962" s="40">
        <v>1</v>
      </c>
      <c r="Q3962" s="40">
        <v>31</v>
      </c>
      <c r="R3962" s="40" t="s">
        <v>115</v>
      </c>
      <c r="X3962" s="40" t="s">
        <v>115</v>
      </c>
      <c r="Y3962" s="40" t="s">
        <v>115</v>
      </c>
      <c r="Z3962" s="40">
        <v>1</v>
      </c>
      <c r="AA3962" s="40" t="s">
        <v>115</v>
      </c>
      <c r="AB3962" s="40" t="s">
        <v>115</v>
      </c>
      <c r="AC3962" s="40" t="s">
        <v>115</v>
      </c>
      <c r="AI3962" s="40" t="s">
        <v>115</v>
      </c>
      <c r="AP3962" s="4" t="s">
        <v>6715</v>
      </c>
    </row>
    <row r="3963" spans="1:42" x14ac:dyDescent="0.15">
      <c r="A3963" s="40" t="s">
        <v>1</v>
      </c>
      <c r="B3963" s="23" t="s">
        <v>4941</v>
      </c>
      <c r="C3963" s="23">
        <v>3002</v>
      </c>
      <c r="D3963" s="23">
        <v>30</v>
      </c>
      <c r="F3963" s="23" t="s">
        <v>115</v>
      </c>
      <c r="G3963" s="23" t="s">
        <v>115</v>
      </c>
      <c r="H3963" s="23" t="s">
        <v>6716</v>
      </c>
      <c r="I3963" s="23">
        <v>4</v>
      </c>
      <c r="J3963" s="40">
        <v>1</v>
      </c>
      <c r="K3963" s="40">
        <v>1</v>
      </c>
      <c r="L3963" s="40" t="s">
        <v>115</v>
      </c>
      <c r="O3963" s="40" t="s">
        <v>115</v>
      </c>
      <c r="Q3963" s="40">
        <v>351</v>
      </c>
      <c r="R3963" s="40" t="s">
        <v>115</v>
      </c>
      <c r="X3963" s="40">
        <v>90300202</v>
      </c>
      <c r="Y3963" s="40" t="s">
        <v>115</v>
      </c>
      <c r="Z3963" s="40" t="s">
        <v>115</v>
      </c>
      <c r="AA3963" s="40" t="s">
        <v>115</v>
      </c>
      <c r="AB3963" s="40" t="s">
        <v>115</v>
      </c>
      <c r="AC3963" s="40" t="s">
        <v>115</v>
      </c>
      <c r="AI3963" s="40" t="s">
        <v>115</v>
      </c>
      <c r="AP3963" s="4" t="s">
        <v>115</v>
      </c>
    </row>
    <row r="3964" spans="1:42" x14ac:dyDescent="0.15">
      <c r="A3964" s="40" t="s">
        <v>1</v>
      </c>
      <c r="B3964" s="23">
        <v>90300202</v>
      </c>
      <c r="C3964" s="23">
        <v>3002</v>
      </c>
      <c r="D3964" s="23">
        <v>30</v>
      </c>
      <c r="F3964" s="23" t="s">
        <v>116</v>
      </c>
      <c r="G3964" s="23">
        <v>259</v>
      </c>
      <c r="H3964" s="23" t="s">
        <v>7481</v>
      </c>
      <c r="I3964" s="23">
        <v>0</v>
      </c>
      <c r="J3964" s="40">
        <v>0</v>
      </c>
      <c r="K3964" s="40">
        <v>0</v>
      </c>
      <c r="L3964" s="40" t="s">
        <v>115</v>
      </c>
      <c r="O3964" s="40" t="s">
        <v>115</v>
      </c>
      <c r="Q3964" s="40">
        <v>351</v>
      </c>
      <c r="R3964" s="40" t="s">
        <v>115</v>
      </c>
      <c r="X3964" s="40">
        <v>90300203</v>
      </c>
      <c r="Y3964" s="40" t="s">
        <v>115</v>
      </c>
      <c r="Z3964" s="40" t="s">
        <v>115</v>
      </c>
      <c r="AA3964" s="40" t="s">
        <v>115</v>
      </c>
      <c r="AB3964" s="40" t="s">
        <v>115</v>
      </c>
      <c r="AC3964" s="40" t="s">
        <v>115</v>
      </c>
      <c r="AI3964" s="40" t="s">
        <v>115</v>
      </c>
      <c r="AP3964" s="4" t="s">
        <v>115</v>
      </c>
    </row>
    <row r="3965" spans="1:42" x14ac:dyDescent="0.15">
      <c r="A3965" s="40" t="s">
        <v>1</v>
      </c>
      <c r="B3965" s="23">
        <v>90300203</v>
      </c>
      <c r="C3965" s="23">
        <v>3002</v>
      </c>
      <c r="D3965" s="23">
        <v>30</v>
      </c>
      <c r="F3965" s="23" t="s">
        <v>115</v>
      </c>
      <c r="G3965" s="23" t="s">
        <v>115</v>
      </c>
      <c r="H3965" s="23" t="s">
        <v>6717</v>
      </c>
      <c r="I3965" s="23">
        <v>4</v>
      </c>
      <c r="J3965" s="40">
        <v>0</v>
      </c>
      <c r="K3965" s="40">
        <v>0</v>
      </c>
      <c r="L3965" s="40" t="s">
        <v>115</v>
      </c>
      <c r="O3965" s="40" t="s">
        <v>115</v>
      </c>
      <c r="Q3965" s="40">
        <v>351</v>
      </c>
      <c r="R3965" s="40">
        <v>213</v>
      </c>
      <c r="X3965" s="40">
        <v>90300204</v>
      </c>
      <c r="Y3965" s="40" t="s">
        <v>115</v>
      </c>
      <c r="Z3965" s="40" t="s">
        <v>115</v>
      </c>
      <c r="AA3965" s="40" t="s">
        <v>115</v>
      </c>
      <c r="AB3965" s="40" t="s">
        <v>115</v>
      </c>
      <c r="AC3965" s="40" t="s">
        <v>115</v>
      </c>
      <c r="AI3965" s="40" t="s">
        <v>115</v>
      </c>
      <c r="AP3965" s="4" t="s">
        <v>115</v>
      </c>
    </row>
    <row r="3966" spans="1:42" x14ac:dyDescent="0.15">
      <c r="A3966" s="40" t="s">
        <v>1</v>
      </c>
      <c r="B3966" s="23">
        <v>90300204</v>
      </c>
      <c r="C3966" s="23">
        <v>3002</v>
      </c>
      <c r="D3966" s="23">
        <v>30</v>
      </c>
      <c r="F3966" s="23" t="s">
        <v>6718</v>
      </c>
      <c r="G3966" s="23" t="s">
        <v>115</v>
      </c>
      <c r="H3966" s="23" t="s">
        <v>6719</v>
      </c>
      <c r="I3966" s="23">
        <v>3</v>
      </c>
      <c r="J3966" s="40">
        <v>0</v>
      </c>
      <c r="K3966" s="40">
        <v>0</v>
      </c>
      <c r="L3966" s="40" t="s">
        <v>115</v>
      </c>
      <c r="O3966" s="40" t="s">
        <v>115</v>
      </c>
      <c r="Q3966" s="40">
        <v>351</v>
      </c>
      <c r="R3966" s="40">
        <v>213</v>
      </c>
      <c r="X3966" s="40">
        <v>90300205</v>
      </c>
      <c r="Y3966" s="40" t="s">
        <v>115</v>
      </c>
      <c r="Z3966" s="40" t="s">
        <v>115</v>
      </c>
      <c r="AA3966" s="40" t="s">
        <v>115</v>
      </c>
      <c r="AB3966" s="40" t="s">
        <v>115</v>
      </c>
      <c r="AC3966" s="40" t="s">
        <v>115</v>
      </c>
      <c r="AI3966" s="40" t="s">
        <v>115</v>
      </c>
      <c r="AP3966" s="4" t="s">
        <v>115</v>
      </c>
    </row>
    <row r="3967" spans="1:42" x14ac:dyDescent="0.15">
      <c r="A3967" s="40" t="s">
        <v>1</v>
      </c>
      <c r="B3967" s="23">
        <v>90300205</v>
      </c>
      <c r="C3967" s="23">
        <v>3002</v>
      </c>
      <c r="D3967" s="23">
        <v>30</v>
      </c>
      <c r="F3967" s="23" t="s">
        <v>115</v>
      </c>
      <c r="G3967" s="23" t="s">
        <v>115</v>
      </c>
      <c r="H3967" s="23" t="s">
        <v>6720</v>
      </c>
      <c r="I3967" s="23">
        <v>4</v>
      </c>
      <c r="J3967" s="40">
        <v>0</v>
      </c>
      <c r="K3967" s="40">
        <v>0</v>
      </c>
      <c r="L3967" s="40" t="s">
        <v>115</v>
      </c>
      <c r="O3967" s="40" t="s">
        <v>115</v>
      </c>
      <c r="Q3967" s="40">
        <v>351</v>
      </c>
      <c r="R3967" s="40">
        <v>305</v>
      </c>
      <c r="X3967" s="40">
        <v>90300206</v>
      </c>
      <c r="Y3967" s="40" t="s">
        <v>115</v>
      </c>
      <c r="Z3967" s="40" t="s">
        <v>115</v>
      </c>
      <c r="AA3967" s="40" t="s">
        <v>115</v>
      </c>
      <c r="AB3967" s="40" t="s">
        <v>115</v>
      </c>
      <c r="AC3967" s="40" t="s">
        <v>115</v>
      </c>
      <c r="AI3967" s="40" t="s">
        <v>115</v>
      </c>
      <c r="AP3967" s="4" t="s">
        <v>115</v>
      </c>
    </row>
    <row r="3968" spans="1:42" x14ac:dyDescent="0.15">
      <c r="A3968" s="40" t="s">
        <v>1</v>
      </c>
      <c r="B3968" s="23">
        <v>90300206</v>
      </c>
      <c r="C3968" s="23">
        <v>3002</v>
      </c>
      <c r="D3968" s="23">
        <v>30</v>
      </c>
      <c r="F3968" s="23" t="s">
        <v>115</v>
      </c>
      <c r="G3968" s="23" t="s">
        <v>115</v>
      </c>
      <c r="H3968" s="23" t="s">
        <v>6721</v>
      </c>
      <c r="I3968" s="23">
        <v>4</v>
      </c>
      <c r="J3968" s="40">
        <v>0</v>
      </c>
      <c r="K3968" s="40">
        <v>2</v>
      </c>
      <c r="L3968" s="40" t="s">
        <v>115</v>
      </c>
      <c r="O3968" s="40" t="s">
        <v>115</v>
      </c>
      <c r="Q3968" s="40">
        <v>351</v>
      </c>
      <c r="R3968" s="40">
        <v>305</v>
      </c>
      <c r="X3968" s="40" t="s">
        <v>6722</v>
      </c>
      <c r="Y3968" s="40">
        <v>1</v>
      </c>
      <c r="Z3968" s="40">
        <v>1</v>
      </c>
      <c r="AA3968" s="40" t="s">
        <v>115</v>
      </c>
      <c r="AB3968" s="40" t="s">
        <v>115</v>
      </c>
      <c r="AC3968" s="40" t="s">
        <v>115</v>
      </c>
      <c r="AI3968" s="40" t="s">
        <v>115</v>
      </c>
      <c r="AP3968" s="4" t="s">
        <v>115</v>
      </c>
    </row>
    <row r="3969" spans="1:42" x14ac:dyDescent="0.15">
      <c r="A3969" s="40" t="s">
        <v>1</v>
      </c>
      <c r="B3969" s="23">
        <v>90300207</v>
      </c>
      <c r="C3969" s="23">
        <v>3002</v>
      </c>
      <c r="D3969" s="23">
        <v>30</v>
      </c>
      <c r="F3969" s="23" t="s">
        <v>115</v>
      </c>
      <c r="G3969" s="23" t="s">
        <v>115</v>
      </c>
      <c r="H3969" s="23" t="s">
        <v>6723</v>
      </c>
      <c r="I3969" s="23">
        <v>4</v>
      </c>
      <c r="J3969" s="40">
        <v>0</v>
      </c>
      <c r="K3969" s="40">
        <v>3</v>
      </c>
      <c r="L3969" s="40" t="s">
        <v>115</v>
      </c>
      <c r="O3969" s="40" t="s">
        <v>115</v>
      </c>
      <c r="Q3969" s="40">
        <v>351</v>
      </c>
      <c r="R3969" s="40">
        <v>305</v>
      </c>
      <c r="X3969" s="40">
        <v>90300209</v>
      </c>
      <c r="Y3969" s="40">
        <v>-1</v>
      </c>
      <c r="Z3969" s="40">
        <v>2</v>
      </c>
      <c r="AA3969" s="40" t="s">
        <v>115</v>
      </c>
      <c r="AB3969" s="40" t="s">
        <v>115</v>
      </c>
      <c r="AC3969" s="40" t="s">
        <v>6724</v>
      </c>
      <c r="AI3969" s="40" t="s">
        <v>115</v>
      </c>
      <c r="AP3969" s="4" t="s">
        <v>115</v>
      </c>
    </row>
    <row r="3970" spans="1:42" x14ac:dyDescent="0.15">
      <c r="A3970" s="40" t="s">
        <v>1</v>
      </c>
      <c r="B3970" s="23">
        <v>90300208</v>
      </c>
      <c r="C3970" s="23">
        <v>3002</v>
      </c>
      <c r="D3970" s="23">
        <v>30</v>
      </c>
      <c r="F3970" s="23" t="s">
        <v>115</v>
      </c>
      <c r="G3970" s="23" t="s">
        <v>115</v>
      </c>
      <c r="H3970" s="23" t="s">
        <v>6725</v>
      </c>
      <c r="I3970" s="23">
        <v>4</v>
      </c>
      <c r="J3970" s="40">
        <v>0</v>
      </c>
      <c r="K3970" s="40">
        <v>4</v>
      </c>
      <c r="L3970" s="40" t="s">
        <v>115</v>
      </c>
      <c r="O3970" s="40" t="s">
        <v>115</v>
      </c>
      <c r="Q3970" s="40">
        <v>351</v>
      </c>
      <c r="R3970" s="40">
        <v>305</v>
      </c>
      <c r="X3970" s="40">
        <v>90300212</v>
      </c>
      <c r="Y3970" s="40">
        <v>-1</v>
      </c>
      <c r="Z3970" s="40">
        <v>2</v>
      </c>
      <c r="AA3970" s="40" t="s">
        <v>115</v>
      </c>
      <c r="AB3970" s="40" t="s">
        <v>115</v>
      </c>
      <c r="AC3970" s="40" t="s">
        <v>115</v>
      </c>
      <c r="AI3970" s="40" t="s">
        <v>115</v>
      </c>
      <c r="AP3970" s="4" t="s">
        <v>115</v>
      </c>
    </row>
    <row r="3971" spans="1:42" x14ac:dyDescent="0.15">
      <c r="A3971" s="40" t="s">
        <v>1</v>
      </c>
      <c r="B3971" s="23">
        <v>90300209</v>
      </c>
      <c r="C3971" s="23">
        <v>3002</v>
      </c>
      <c r="D3971" s="23">
        <v>30</v>
      </c>
      <c r="F3971" s="23" t="s">
        <v>6726</v>
      </c>
      <c r="G3971" s="23" t="s">
        <v>115</v>
      </c>
      <c r="H3971" s="23" t="s">
        <v>6727</v>
      </c>
      <c r="I3971" s="23">
        <v>3</v>
      </c>
      <c r="J3971" s="40">
        <v>0</v>
      </c>
      <c r="K3971" s="40">
        <v>0</v>
      </c>
      <c r="L3971" s="40" t="s">
        <v>115</v>
      </c>
      <c r="O3971" s="40" t="s">
        <v>115</v>
      </c>
      <c r="Q3971" s="40">
        <v>351</v>
      </c>
      <c r="R3971" s="40">
        <v>305</v>
      </c>
      <c r="X3971" s="40">
        <v>90300210</v>
      </c>
      <c r="Y3971" s="40" t="s">
        <v>115</v>
      </c>
      <c r="Z3971" s="40" t="s">
        <v>115</v>
      </c>
      <c r="AA3971" s="40" t="s">
        <v>115</v>
      </c>
      <c r="AB3971" s="40" t="s">
        <v>115</v>
      </c>
      <c r="AC3971" s="40" t="s">
        <v>115</v>
      </c>
      <c r="AI3971" s="40" t="s">
        <v>115</v>
      </c>
      <c r="AP3971" s="4" t="s">
        <v>115</v>
      </c>
    </row>
    <row r="3972" spans="1:42" x14ac:dyDescent="0.15">
      <c r="A3972" s="40" t="s">
        <v>1</v>
      </c>
      <c r="B3972" s="23">
        <v>90300210</v>
      </c>
      <c r="C3972" s="23">
        <v>3002</v>
      </c>
      <c r="D3972" s="23">
        <v>30</v>
      </c>
      <c r="F3972" s="23" t="s">
        <v>115</v>
      </c>
      <c r="G3972" s="23" t="s">
        <v>115</v>
      </c>
      <c r="H3972" s="23" t="s">
        <v>6728</v>
      </c>
      <c r="I3972" s="23">
        <v>4</v>
      </c>
      <c r="J3972" s="40">
        <v>0</v>
      </c>
      <c r="K3972" s="40">
        <v>0</v>
      </c>
      <c r="L3972" s="40" t="s">
        <v>115</v>
      </c>
      <c r="O3972" s="40" t="s">
        <v>115</v>
      </c>
      <c r="Q3972" s="40">
        <v>351</v>
      </c>
      <c r="R3972" s="40">
        <v>305</v>
      </c>
      <c r="X3972" s="40">
        <v>90300211</v>
      </c>
      <c r="Y3972" s="40" t="s">
        <v>115</v>
      </c>
      <c r="Z3972" s="40" t="s">
        <v>115</v>
      </c>
      <c r="AA3972" s="40" t="s">
        <v>115</v>
      </c>
      <c r="AB3972" s="40" t="s">
        <v>115</v>
      </c>
      <c r="AC3972" s="40" t="s">
        <v>115</v>
      </c>
      <c r="AI3972" s="40" t="s">
        <v>115</v>
      </c>
      <c r="AP3972" s="4" t="s">
        <v>115</v>
      </c>
    </row>
    <row r="3973" spans="1:42" x14ac:dyDescent="0.15">
      <c r="A3973" s="40" t="s">
        <v>1</v>
      </c>
      <c r="B3973" s="23">
        <v>90300211</v>
      </c>
      <c r="C3973" s="23">
        <v>3002</v>
      </c>
      <c r="D3973" s="23">
        <v>30</v>
      </c>
      <c r="F3973" s="23" t="s">
        <v>116</v>
      </c>
      <c r="G3973" s="23">
        <v>275</v>
      </c>
      <c r="H3973" s="23" t="s">
        <v>6729</v>
      </c>
      <c r="I3973" s="23">
        <v>2</v>
      </c>
      <c r="J3973" s="40">
        <v>0</v>
      </c>
      <c r="K3973" s="40">
        <v>0</v>
      </c>
      <c r="L3973" s="40" t="s">
        <v>115</v>
      </c>
      <c r="O3973" s="40" t="s">
        <v>115</v>
      </c>
      <c r="Q3973" s="40">
        <v>351</v>
      </c>
      <c r="R3973" s="40">
        <v>305</v>
      </c>
      <c r="X3973" s="40">
        <v>90300215</v>
      </c>
      <c r="Y3973" s="40" t="s">
        <v>115</v>
      </c>
      <c r="Z3973" s="40" t="s">
        <v>115</v>
      </c>
      <c r="AA3973" s="40" t="s">
        <v>115</v>
      </c>
      <c r="AB3973" s="40" t="s">
        <v>115</v>
      </c>
      <c r="AC3973" s="40" t="s">
        <v>115</v>
      </c>
      <c r="AI3973" s="40" t="s">
        <v>115</v>
      </c>
      <c r="AP3973" s="4" t="s">
        <v>115</v>
      </c>
    </row>
    <row r="3974" spans="1:42" x14ac:dyDescent="0.15">
      <c r="A3974" s="40" t="s">
        <v>1</v>
      </c>
      <c r="B3974" s="23">
        <v>90300212</v>
      </c>
      <c r="C3974" s="23">
        <v>3002</v>
      </c>
      <c r="D3974" s="23">
        <v>30</v>
      </c>
      <c r="F3974" s="23" t="s">
        <v>115</v>
      </c>
      <c r="G3974" s="23" t="s">
        <v>115</v>
      </c>
      <c r="H3974" s="23" t="s">
        <v>6730</v>
      </c>
      <c r="I3974" s="23">
        <v>4</v>
      </c>
      <c r="J3974" s="40">
        <v>0</v>
      </c>
      <c r="K3974" s="40">
        <v>0</v>
      </c>
      <c r="L3974" s="40" t="s">
        <v>115</v>
      </c>
      <c r="O3974" s="40" t="s">
        <v>115</v>
      </c>
      <c r="Q3974" s="40">
        <v>351</v>
      </c>
      <c r="R3974" s="40">
        <v>305</v>
      </c>
      <c r="X3974" s="40">
        <v>90300213</v>
      </c>
      <c r="Y3974" s="40" t="s">
        <v>115</v>
      </c>
      <c r="Z3974" s="40" t="s">
        <v>115</v>
      </c>
      <c r="AA3974" s="40" t="s">
        <v>115</v>
      </c>
      <c r="AB3974" s="40" t="s">
        <v>115</v>
      </c>
      <c r="AC3974" s="40" t="s">
        <v>115</v>
      </c>
      <c r="AI3974" s="40" t="s">
        <v>115</v>
      </c>
      <c r="AP3974" s="4" t="s">
        <v>115</v>
      </c>
    </row>
    <row r="3975" spans="1:42" x14ac:dyDescent="0.15">
      <c r="A3975" s="40" t="s">
        <v>1</v>
      </c>
      <c r="B3975" s="23">
        <v>90300213</v>
      </c>
      <c r="C3975" s="23">
        <v>3002</v>
      </c>
      <c r="D3975" s="23">
        <v>30</v>
      </c>
      <c r="F3975" s="23" t="s">
        <v>116</v>
      </c>
      <c r="G3975" s="23">
        <v>261</v>
      </c>
      <c r="H3975" s="23" t="s">
        <v>6731</v>
      </c>
      <c r="I3975" s="23">
        <v>0</v>
      </c>
      <c r="J3975" s="40">
        <v>0</v>
      </c>
      <c r="K3975" s="40">
        <v>0</v>
      </c>
      <c r="L3975" s="40" t="s">
        <v>115</v>
      </c>
      <c r="O3975" s="40" t="s">
        <v>115</v>
      </c>
      <c r="Q3975" s="40">
        <v>351</v>
      </c>
      <c r="R3975" s="40">
        <v>305</v>
      </c>
      <c r="X3975" s="40">
        <v>90300214</v>
      </c>
      <c r="Y3975" s="40" t="s">
        <v>115</v>
      </c>
      <c r="Z3975" s="40" t="s">
        <v>115</v>
      </c>
      <c r="AA3975" s="40" t="s">
        <v>115</v>
      </c>
      <c r="AB3975" s="40" t="s">
        <v>115</v>
      </c>
      <c r="AC3975" s="40" t="s">
        <v>115</v>
      </c>
      <c r="AI3975" s="40" t="s">
        <v>115</v>
      </c>
      <c r="AP3975" s="4" t="s">
        <v>115</v>
      </c>
    </row>
    <row r="3976" spans="1:42" x14ac:dyDescent="0.15">
      <c r="A3976" s="40" t="s">
        <v>1</v>
      </c>
      <c r="B3976" s="23">
        <v>90300214</v>
      </c>
      <c r="C3976" s="23">
        <v>3002</v>
      </c>
      <c r="D3976" s="23">
        <v>30</v>
      </c>
      <c r="F3976" s="23" t="s">
        <v>116</v>
      </c>
      <c r="G3976" s="23">
        <v>261</v>
      </c>
      <c r="H3976" s="23" t="s">
        <v>6732</v>
      </c>
      <c r="I3976" s="23">
        <v>0</v>
      </c>
      <c r="J3976" s="40">
        <v>0</v>
      </c>
      <c r="K3976" s="40">
        <v>0</v>
      </c>
      <c r="L3976" s="40" t="s">
        <v>115</v>
      </c>
      <c r="O3976" s="40" t="s">
        <v>115</v>
      </c>
      <c r="Q3976" s="40">
        <v>351</v>
      </c>
      <c r="R3976" s="40">
        <v>305</v>
      </c>
      <c r="X3976" s="40">
        <v>90300206</v>
      </c>
      <c r="Y3976" s="40" t="s">
        <v>115</v>
      </c>
      <c r="Z3976" s="40" t="s">
        <v>115</v>
      </c>
      <c r="AA3976" s="40" t="s">
        <v>115</v>
      </c>
      <c r="AB3976" s="40" t="s">
        <v>115</v>
      </c>
      <c r="AC3976" s="40" t="s">
        <v>115</v>
      </c>
      <c r="AI3976" s="40" t="s">
        <v>115</v>
      </c>
      <c r="AP3976" s="4" t="s">
        <v>115</v>
      </c>
    </row>
    <row r="3977" spans="1:42" x14ac:dyDescent="0.15">
      <c r="A3977" s="40" t="s">
        <v>1</v>
      </c>
      <c r="B3977" s="23">
        <v>90300215</v>
      </c>
      <c r="C3977" s="23">
        <v>3002</v>
      </c>
      <c r="D3977" s="23">
        <v>30</v>
      </c>
      <c r="F3977" s="23" t="s">
        <v>116</v>
      </c>
      <c r="G3977" s="23">
        <v>261</v>
      </c>
      <c r="H3977" s="23" t="s">
        <v>6733</v>
      </c>
      <c r="I3977" s="23">
        <v>0</v>
      </c>
      <c r="J3977" s="40">
        <v>0</v>
      </c>
      <c r="K3977" s="40">
        <v>0</v>
      </c>
      <c r="L3977" s="40" t="s">
        <v>115</v>
      </c>
      <c r="O3977" s="40" t="s">
        <v>115</v>
      </c>
      <c r="Q3977" s="40">
        <v>351</v>
      </c>
      <c r="R3977" s="40">
        <v>305</v>
      </c>
      <c r="X3977" s="40">
        <v>90300216</v>
      </c>
      <c r="Y3977" s="40" t="s">
        <v>115</v>
      </c>
      <c r="Z3977" s="40" t="s">
        <v>115</v>
      </c>
      <c r="AA3977" s="40" t="s">
        <v>115</v>
      </c>
      <c r="AB3977" s="40" t="s">
        <v>115</v>
      </c>
      <c r="AC3977" s="40" t="s">
        <v>115</v>
      </c>
      <c r="AI3977" s="40" t="s">
        <v>115</v>
      </c>
      <c r="AP3977" s="4" t="s">
        <v>115</v>
      </c>
    </row>
    <row r="3978" spans="1:42" x14ac:dyDescent="0.15">
      <c r="A3978" s="40" t="s">
        <v>1</v>
      </c>
      <c r="B3978" s="23">
        <v>90300216</v>
      </c>
      <c r="C3978" s="23">
        <v>3002</v>
      </c>
      <c r="D3978" s="23">
        <v>30</v>
      </c>
      <c r="F3978" s="23" t="s">
        <v>6726</v>
      </c>
      <c r="G3978" s="23" t="s">
        <v>115</v>
      </c>
      <c r="H3978" s="23" t="s">
        <v>6734</v>
      </c>
      <c r="I3978" s="23">
        <v>3</v>
      </c>
      <c r="J3978" s="40">
        <v>0</v>
      </c>
      <c r="K3978" s="40">
        <v>0</v>
      </c>
      <c r="L3978" s="40" t="s">
        <v>115</v>
      </c>
      <c r="O3978" s="40" t="s">
        <v>115</v>
      </c>
      <c r="Q3978" s="40">
        <v>351</v>
      </c>
      <c r="R3978" s="40">
        <v>305</v>
      </c>
      <c r="X3978" s="40">
        <v>90300217</v>
      </c>
      <c r="Y3978" s="40" t="s">
        <v>115</v>
      </c>
      <c r="Z3978" s="40" t="s">
        <v>115</v>
      </c>
      <c r="AA3978" s="40" t="s">
        <v>115</v>
      </c>
      <c r="AB3978" s="40" t="s">
        <v>115</v>
      </c>
      <c r="AC3978" s="40" t="s">
        <v>115</v>
      </c>
      <c r="AI3978" s="40" t="s">
        <v>115</v>
      </c>
      <c r="AP3978" s="4" t="s">
        <v>115</v>
      </c>
    </row>
    <row r="3979" spans="1:42" x14ac:dyDescent="0.15">
      <c r="A3979" s="40" t="s">
        <v>1</v>
      </c>
      <c r="B3979" s="23">
        <v>90300217</v>
      </c>
      <c r="C3979" s="23">
        <v>3002</v>
      </c>
      <c r="D3979" s="23">
        <v>30</v>
      </c>
      <c r="F3979" s="23" t="s">
        <v>6726</v>
      </c>
      <c r="G3979" s="23" t="s">
        <v>115</v>
      </c>
      <c r="H3979" s="23" t="s">
        <v>6735</v>
      </c>
      <c r="I3979" s="23">
        <v>3</v>
      </c>
      <c r="J3979" s="40">
        <v>0</v>
      </c>
      <c r="K3979" s="40">
        <v>0</v>
      </c>
      <c r="L3979" s="40" t="s">
        <v>115</v>
      </c>
      <c r="O3979" s="40" t="s">
        <v>115</v>
      </c>
      <c r="Q3979" s="40">
        <v>351</v>
      </c>
      <c r="R3979" s="40">
        <v>305</v>
      </c>
      <c r="X3979" s="40">
        <v>90300218</v>
      </c>
      <c r="Y3979" s="40" t="s">
        <v>115</v>
      </c>
      <c r="Z3979" s="40" t="s">
        <v>115</v>
      </c>
      <c r="AA3979" s="40" t="s">
        <v>115</v>
      </c>
      <c r="AB3979" s="40" t="s">
        <v>115</v>
      </c>
      <c r="AC3979" s="40" t="s">
        <v>115</v>
      </c>
      <c r="AI3979" s="40" t="s">
        <v>115</v>
      </c>
      <c r="AP3979" s="4" t="s">
        <v>115</v>
      </c>
    </row>
    <row r="3980" spans="1:42" x14ac:dyDescent="0.15">
      <c r="A3980" s="40" t="s">
        <v>1</v>
      </c>
      <c r="B3980" s="23">
        <v>90300218</v>
      </c>
      <c r="C3980" s="23">
        <v>3002</v>
      </c>
      <c r="D3980" s="23">
        <v>30</v>
      </c>
      <c r="F3980" s="23" t="s">
        <v>115</v>
      </c>
      <c r="G3980" s="23" t="s">
        <v>115</v>
      </c>
      <c r="H3980" s="23" t="s">
        <v>6736</v>
      </c>
      <c r="I3980" s="23">
        <v>4</v>
      </c>
      <c r="J3980" s="40">
        <v>0</v>
      </c>
      <c r="K3980" s="40">
        <v>0</v>
      </c>
      <c r="L3980" s="40" t="s">
        <v>115</v>
      </c>
      <c r="O3980" s="40" t="s">
        <v>115</v>
      </c>
      <c r="Q3980" s="40">
        <v>351</v>
      </c>
      <c r="R3980" s="40" t="s">
        <v>115</v>
      </c>
      <c r="X3980" s="40">
        <v>90300219</v>
      </c>
      <c r="Y3980" s="40" t="s">
        <v>115</v>
      </c>
      <c r="Z3980" s="40" t="s">
        <v>115</v>
      </c>
      <c r="AA3980" s="40" t="s">
        <v>115</v>
      </c>
      <c r="AB3980" s="40" t="s">
        <v>115</v>
      </c>
      <c r="AC3980" s="40" t="s">
        <v>115</v>
      </c>
      <c r="AI3980" s="40" t="s">
        <v>115</v>
      </c>
      <c r="AP3980" s="4" t="s">
        <v>115</v>
      </c>
    </row>
    <row r="3981" spans="1:42" x14ac:dyDescent="0.15">
      <c r="A3981" s="40" t="s">
        <v>1</v>
      </c>
      <c r="B3981" s="23">
        <v>90300219</v>
      </c>
      <c r="C3981" s="23">
        <v>3002</v>
      </c>
      <c r="D3981" s="23">
        <v>30</v>
      </c>
      <c r="F3981" s="23" t="s">
        <v>116</v>
      </c>
      <c r="G3981" s="23">
        <v>275</v>
      </c>
      <c r="H3981" s="23" t="s">
        <v>6737</v>
      </c>
      <c r="I3981" s="23">
        <v>0</v>
      </c>
      <c r="J3981" s="40">
        <v>0</v>
      </c>
      <c r="K3981" s="40">
        <v>5</v>
      </c>
      <c r="L3981" s="40" t="s">
        <v>115</v>
      </c>
      <c r="O3981" s="40">
        <v>1</v>
      </c>
      <c r="Q3981" s="40">
        <v>351</v>
      </c>
      <c r="R3981" s="40" t="s">
        <v>115</v>
      </c>
      <c r="X3981" s="40" t="s">
        <v>115</v>
      </c>
      <c r="Y3981" s="40" t="s">
        <v>115</v>
      </c>
      <c r="Z3981" s="40">
        <v>4</v>
      </c>
      <c r="AA3981" s="40" t="s">
        <v>115</v>
      </c>
      <c r="AB3981" s="40" t="s">
        <v>115</v>
      </c>
      <c r="AC3981" s="40" t="s">
        <v>115</v>
      </c>
      <c r="AI3981" s="40" t="s">
        <v>115</v>
      </c>
      <c r="AP3981" s="4" t="s">
        <v>6738</v>
      </c>
    </row>
    <row r="3982" spans="1:42" x14ac:dyDescent="0.15">
      <c r="A3982" s="40" t="s">
        <v>1</v>
      </c>
      <c r="B3982" s="23" t="s">
        <v>4942</v>
      </c>
      <c r="C3982" s="23">
        <v>3003</v>
      </c>
      <c r="D3982" s="23">
        <v>30</v>
      </c>
      <c r="F3982" s="23" t="s">
        <v>115</v>
      </c>
      <c r="G3982" s="23" t="s">
        <v>115</v>
      </c>
      <c r="H3982" s="23" t="s">
        <v>6739</v>
      </c>
      <c r="I3982" s="23">
        <v>4</v>
      </c>
      <c r="J3982" s="40">
        <v>1</v>
      </c>
      <c r="K3982" s="40">
        <v>1</v>
      </c>
      <c r="L3982" s="40" t="s">
        <v>115</v>
      </c>
      <c r="O3982" s="40" t="s">
        <v>115</v>
      </c>
      <c r="Q3982" s="40">
        <v>31</v>
      </c>
      <c r="R3982" s="40" t="s">
        <v>115</v>
      </c>
      <c r="X3982" s="40">
        <v>90300302</v>
      </c>
      <c r="Y3982" s="40" t="s">
        <v>115</v>
      </c>
      <c r="Z3982" s="40" t="s">
        <v>115</v>
      </c>
      <c r="AA3982" s="40" t="s">
        <v>115</v>
      </c>
      <c r="AB3982" s="40" t="s">
        <v>115</v>
      </c>
      <c r="AC3982" s="40" t="s">
        <v>115</v>
      </c>
      <c r="AI3982" s="40" t="s">
        <v>115</v>
      </c>
      <c r="AP3982" s="4" t="s">
        <v>115</v>
      </c>
    </row>
    <row r="3983" spans="1:42" x14ac:dyDescent="0.15">
      <c r="A3983" s="40" t="s">
        <v>1</v>
      </c>
      <c r="B3983" s="23">
        <v>90300302</v>
      </c>
      <c r="C3983" s="23">
        <v>3003</v>
      </c>
      <c r="D3983" s="23">
        <v>30</v>
      </c>
      <c r="F3983" s="23" t="s">
        <v>6701</v>
      </c>
      <c r="G3983" s="23" t="s">
        <v>115</v>
      </c>
      <c r="H3983" s="23" t="s">
        <v>6740</v>
      </c>
      <c r="I3983" s="23">
        <v>3</v>
      </c>
      <c r="J3983" s="40">
        <v>0</v>
      </c>
      <c r="K3983" s="40">
        <v>0</v>
      </c>
      <c r="L3983" s="40" t="s">
        <v>115</v>
      </c>
      <c r="O3983" s="40" t="s">
        <v>115</v>
      </c>
      <c r="Q3983" s="40">
        <v>31</v>
      </c>
      <c r="R3983" s="40">
        <v>15</v>
      </c>
      <c r="X3983" s="40">
        <v>90300303</v>
      </c>
      <c r="Y3983" s="40" t="s">
        <v>115</v>
      </c>
      <c r="Z3983" s="40" t="s">
        <v>115</v>
      </c>
      <c r="AA3983" s="40" t="s">
        <v>115</v>
      </c>
      <c r="AB3983" s="40" t="s">
        <v>115</v>
      </c>
      <c r="AC3983" s="40" t="s">
        <v>115</v>
      </c>
      <c r="AI3983" s="40" t="s">
        <v>115</v>
      </c>
      <c r="AP3983" s="4" t="s">
        <v>115</v>
      </c>
    </row>
    <row r="3984" spans="1:42" x14ac:dyDescent="0.15">
      <c r="A3984" s="40" t="s">
        <v>1</v>
      </c>
      <c r="B3984" s="23">
        <v>90300303</v>
      </c>
      <c r="C3984" s="23">
        <v>3003</v>
      </c>
      <c r="D3984" s="23">
        <v>30</v>
      </c>
      <c r="F3984" s="23" t="s">
        <v>116</v>
      </c>
      <c r="G3984" s="23">
        <v>261</v>
      </c>
      <c r="H3984" s="23" t="s">
        <v>6741</v>
      </c>
      <c r="I3984" s="23">
        <v>0</v>
      </c>
      <c r="J3984" s="40">
        <v>0</v>
      </c>
      <c r="K3984" s="40">
        <v>0</v>
      </c>
      <c r="L3984" s="40" t="s">
        <v>115</v>
      </c>
      <c r="O3984" s="40" t="s">
        <v>115</v>
      </c>
      <c r="Q3984" s="40">
        <v>31</v>
      </c>
      <c r="R3984" s="40">
        <v>15</v>
      </c>
      <c r="X3984" s="40">
        <v>90300304</v>
      </c>
      <c r="Y3984" s="40" t="s">
        <v>115</v>
      </c>
      <c r="Z3984" s="40" t="s">
        <v>115</v>
      </c>
      <c r="AA3984" s="40" t="s">
        <v>115</v>
      </c>
      <c r="AB3984" s="40" t="s">
        <v>115</v>
      </c>
      <c r="AC3984" s="40" t="s">
        <v>115</v>
      </c>
      <c r="AI3984" s="40" t="s">
        <v>115</v>
      </c>
      <c r="AP3984" s="4" t="s">
        <v>115</v>
      </c>
    </row>
    <row r="3985" spans="1:42" x14ac:dyDescent="0.15">
      <c r="A3985" s="40" t="s">
        <v>1</v>
      </c>
      <c r="B3985" s="23">
        <v>90300304</v>
      </c>
      <c r="C3985" s="23">
        <v>3003</v>
      </c>
      <c r="D3985" s="23">
        <v>30</v>
      </c>
      <c r="F3985" s="23" t="s">
        <v>6701</v>
      </c>
      <c r="G3985" s="23" t="s">
        <v>115</v>
      </c>
      <c r="H3985" s="23" t="s">
        <v>6742</v>
      </c>
      <c r="I3985" s="23">
        <v>3</v>
      </c>
      <c r="J3985" s="40">
        <v>0</v>
      </c>
      <c r="K3985" s="40">
        <v>0</v>
      </c>
      <c r="L3985" s="40" t="s">
        <v>115</v>
      </c>
      <c r="O3985" s="40" t="s">
        <v>115</v>
      </c>
      <c r="Q3985" s="40">
        <v>31</v>
      </c>
      <c r="R3985" s="40">
        <v>15</v>
      </c>
      <c r="X3985" s="40">
        <v>90300305</v>
      </c>
      <c r="Y3985" s="40" t="s">
        <v>115</v>
      </c>
      <c r="Z3985" s="40" t="s">
        <v>115</v>
      </c>
      <c r="AA3985" s="40" t="s">
        <v>115</v>
      </c>
      <c r="AB3985" s="40" t="s">
        <v>115</v>
      </c>
      <c r="AC3985" s="40" t="s">
        <v>115</v>
      </c>
      <c r="AI3985" s="40" t="s">
        <v>115</v>
      </c>
      <c r="AP3985" s="4" t="s">
        <v>115</v>
      </c>
    </row>
    <row r="3986" spans="1:42" x14ac:dyDescent="0.15">
      <c r="A3986" s="40" t="s">
        <v>1</v>
      </c>
      <c r="B3986" s="23">
        <v>90300305</v>
      </c>
      <c r="C3986" s="23">
        <v>3003</v>
      </c>
      <c r="D3986" s="23">
        <v>30</v>
      </c>
      <c r="F3986" s="23" t="s">
        <v>115</v>
      </c>
      <c r="G3986" s="23" t="s">
        <v>115</v>
      </c>
      <c r="H3986" s="23" t="s">
        <v>6743</v>
      </c>
      <c r="I3986" s="23">
        <v>4</v>
      </c>
      <c r="J3986" s="40">
        <v>0</v>
      </c>
      <c r="K3986" s="40">
        <v>2</v>
      </c>
      <c r="L3986" s="40" t="s">
        <v>115</v>
      </c>
      <c r="O3986" s="40" t="s">
        <v>115</v>
      </c>
      <c r="Q3986" s="40">
        <v>31</v>
      </c>
      <c r="R3986" s="40">
        <v>15</v>
      </c>
      <c r="X3986" s="40" t="s">
        <v>6744</v>
      </c>
      <c r="Y3986" s="40">
        <v>1</v>
      </c>
      <c r="Z3986" s="40">
        <v>1</v>
      </c>
      <c r="AA3986" s="40" t="s">
        <v>115</v>
      </c>
      <c r="AB3986" s="40" t="s">
        <v>115</v>
      </c>
      <c r="AC3986" s="40" t="s">
        <v>115</v>
      </c>
      <c r="AI3986" s="40" t="s">
        <v>115</v>
      </c>
      <c r="AP3986" s="4" t="s">
        <v>115</v>
      </c>
    </row>
    <row r="3987" spans="1:42" x14ac:dyDescent="0.15">
      <c r="A3987" s="40" t="s">
        <v>1</v>
      </c>
      <c r="B3987" s="23">
        <v>90300306</v>
      </c>
      <c r="C3987" s="23">
        <v>3003</v>
      </c>
      <c r="D3987" s="23">
        <v>30</v>
      </c>
      <c r="F3987" s="23" t="s">
        <v>115</v>
      </c>
      <c r="G3987" s="23" t="s">
        <v>115</v>
      </c>
      <c r="H3987" s="23" t="s">
        <v>6745</v>
      </c>
      <c r="I3987" s="23">
        <v>4</v>
      </c>
      <c r="J3987" s="40">
        <v>0</v>
      </c>
      <c r="K3987" s="40">
        <v>3</v>
      </c>
      <c r="L3987" s="40" t="s">
        <v>115</v>
      </c>
      <c r="O3987" s="40" t="s">
        <v>115</v>
      </c>
      <c r="Q3987" s="40">
        <v>31</v>
      </c>
      <c r="R3987" s="40">
        <v>15</v>
      </c>
      <c r="X3987" s="40">
        <v>90300308</v>
      </c>
      <c r="Y3987" s="40">
        <v>-1</v>
      </c>
      <c r="Z3987" s="40">
        <v>2</v>
      </c>
      <c r="AA3987" s="40" t="s">
        <v>115</v>
      </c>
      <c r="AB3987" s="40" t="s">
        <v>115</v>
      </c>
      <c r="AC3987" s="40" t="s">
        <v>6746</v>
      </c>
      <c r="AI3987" s="40" t="s">
        <v>115</v>
      </c>
      <c r="AP3987" s="4" t="s">
        <v>115</v>
      </c>
    </row>
    <row r="3988" spans="1:42" x14ac:dyDescent="0.15">
      <c r="A3988" s="40" t="s">
        <v>1</v>
      </c>
      <c r="B3988" s="23">
        <v>90300307</v>
      </c>
      <c r="C3988" s="23">
        <v>3003</v>
      </c>
      <c r="D3988" s="23">
        <v>30</v>
      </c>
      <c r="F3988" s="23" t="s">
        <v>115</v>
      </c>
      <c r="G3988" s="23" t="s">
        <v>115</v>
      </c>
      <c r="H3988" s="23" t="s">
        <v>6747</v>
      </c>
      <c r="I3988" s="23">
        <v>4</v>
      </c>
      <c r="J3988" s="40">
        <v>0</v>
      </c>
      <c r="K3988" s="40">
        <v>4</v>
      </c>
      <c r="L3988" s="40" t="s">
        <v>115</v>
      </c>
      <c r="O3988" s="40" t="s">
        <v>115</v>
      </c>
      <c r="Q3988" s="40">
        <v>31</v>
      </c>
      <c r="R3988" s="40">
        <v>15</v>
      </c>
      <c r="X3988" s="40">
        <v>90300310</v>
      </c>
      <c r="Y3988" s="40">
        <v>-1</v>
      </c>
      <c r="Z3988" s="40">
        <v>2</v>
      </c>
      <c r="AA3988" s="40" t="s">
        <v>6748</v>
      </c>
      <c r="AB3988" s="40" t="s">
        <v>115</v>
      </c>
      <c r="AC3988" s="40" t="s">
        <v>115</v>
      </c>
      <c r="AI3988" s="40" t="s">
        <v>115</v>
      </c>
      <c r="AP3988" s="4" t="s">
        <v>115</v>
      </c>
    </row>
    <row r="3989" spans="1:42" x14ac:dyDescent="0.15">
      <c r="A3989" s="40" t="s">
        <v>1</v>
      </c>
      <c r="B3989" s="23">
        <v>90300308</v>
      </c>
      <c r="C3989" s="23">
        <v>3003</v>
      </c>
      <c r="D3989" s="23">
        <v>30</v>
      </c>
      <c r="F3989" s="23" t="s">
        <v>116</v>
      </c>
      <c r="G3989" s="23">
        <v>261</v>
      </c>
      <c r="H3989" s="23" t="s">
        <v>6749</v>
      </c>
      <c r="I3989" s="23">
        <v>0</v>
      </c>
      <c r="J3989" s="40">
        <v>0</v>
      </c>
      <c r="K3989" s="40">
        <v>0</v>
      </c>
      <c r="L3989" s="40" t="s">
        <v>115</v>
      </c>
      <c r="O3989" s="40" t="s">
        <v>115</v>
      </c>
      <c r="Q3989" s="40">
        <v>31</v>
      </c>
      <c r="R3989" s="40">
        <v>15</v>
      </c>
      <c r="X3989" s="40">
        <v>90300309</v>
      </c>
      <c r="Y3989" s="40" t="s">
        <v>115</v>
      </c>
      <c r="Z3989" s="40" t="s">
        <v>115</v>
      </c>
      <c r="AA3989" s="40" t="s">
        <v>115</v>
      </c>
      <c r="AB3989" s="40" t="s">
        <v>115</v>
      </c>
      <c r="AC3989" s="40" t="s">
        <v>115</v>
      </c>
      <c r="AI3989" s="40" t="s">
        <v>115</v>
      </c>
      <c r="AP3989" s="4" t="s">
        <v>115</v>
      </c>
    </row>
    <row r="3990" spans="1:42" x14ac:dyDescent="0.15">
      <c r="A3990" s="40" t="s">
        <v>1</v>
      </c>
      <c r="B3990" s="23">
        <v>90300309</v>
      </c>
      <c r="C3990" s="23">
        <v>3003</v>
      </c>
      <c r="D3990" s="23">
        <v>30</v>
      </c>
      <c r="F3990" s="23" t="s">
        <v>6701</v>
      </c>
      <c r="G3990" s="23" t="s">
        <v>115</v>
      </c>
      <c r="H3990" s="23" t="s">
        <v>6750</v>
      </c>
      <c r="I3990" s="23">
        <v>3</v>
      </c>
      <c r="J3990" s="40">
        <v>0</v>
      </c>
      <c r="K3990" s="40">
        <v>0</v>
      </c>
      <c r="L3990" s="40" t="s">
        <v>115</v>
      </c>
      <c r="O3990" s="40" t="s">
        <v>115</v>
      </c>
      <c r="Q3990" s="40">
        <v>31</v>
      </c>
      <c r="R3990" s="40">
        <v>15</v>
      </c>
      <c r="X3990" s="40">
        <v>90300312</v>
      </c>
      <c r="Y3990" s="40" t="s">
        <v>115</v>
      </c>
      <c r="Z3990" s="40" t="s">
        <v>115</v>
      </c>
      <c r="AA3990" s="40" t="s">
        <v>115</v>
      </c>
      <c r="AB3990" s="40" t="s">
        <v>115</v>
      </c>
      <c r="AC3990" s="40" t="s">
        <v>115</v>
      </c>
      <c r="AI3990" s="40" t="s">
        <v>115</v>
      </c>
      <c r="AP3990" s="4" t="s">
        <v>115</v>
      </c>
    </row>
    <row r="3991" spans="1:42" x14ac:dyDescent="0.15">
      <c r="A3991" s="40" t="s">
        <v>1</v>
      </c>
      <c r="B3991" s="23">
        <v>90300310</v>
      </c>
      <c r="C3991" s="23">
        <v>3003</v>
      </c>
      <c r="D3991" s="23">
        <v>30</v>
      </c>
      <c r="F3991" s="23" t="s">
        <v>116</v>
      </c>
      <c r="G3991" s="23">
        <v>261</v>
      </c>
      <c r="H3991" s="23" t="s">
        <v>6751</v>
      </c>
      <c r="I3991" s="23">
        <v>0</v>
      </c>
      <c r="J3991" s="40">
        <v>0</v>
      </c>
      <c r="K3991" s="40">
        <v>0</v>
      </c>
      <c r="L3991" s="40" t="s">
        <v>115</v>
      </c>
      <c r="O3991" s="40" t="s">
        <v>115</v>
      </c>
      <c r="Q3991" s="40">
        <v>31</v>
      </c>
      <c r="R3991" s="40">
        <v>15</v>
      </c>
      <c r="X3991" s="40">
        <v>90300311</v>
      </c>
      <c r="Y3991" s="40" t="s">
        <v>115</v>
      </c>
      <c r="Z3991" s="40" t="s">
        <v>115</v>
      </c>
      <c r="AA3991" s="40" t="s">
        <v>115</v>
      </c>
      <c r="AB3991" s="40" t="s">
        <v>115</v>
      </c>
      <c r="AC3991" s="40" t="s">
        <v>115</v>
      </c>
      <c r="AI3991" s="40" t="s">
        <v>115</v>
      </c>
      <c r="AP3991" s="4" t="s">
        <v>115</v>
      </c>
    </row>
    <row r="3992" spans="1:42" x14ac:dyDescent="0.15">
      <c r="A3992" s="40" t="s">
        <v>1</v>
      </c>
      <c r="B3992" s="23">
        <v>90300311</v>
      </c>
      <c r="C3992" s="23">
        <v>3003</v>
      </c>
      <c r="D3992" s="23">
        <v>30</v>
      </c>
      <c r="F3992" s="23" t="s">
        <v>6701</v>
      </c>
      <c r="G3992" s="23" t="s">
        <v>115</v>
      </c>
      <c r="H3992" s="23" t="s">
        <v>6750</v>
      </c>
      <c r="I3992" s="23">
        <v>3</v>
      </c>
      <c r="J3992" s="40">
        <v>0</v>
      </c>
      <c r="K3992" s="40">
        <v>0</v>
      </c>
      <c r="L3992" s="40" t="s">
        <v>115</v>
      </c>
      <c r="O3992" s="40" t="s">
        <v>115</v>
      </c>
      <c r="Q3992" s="40">
        <v>31</v>
      </c>
      <c r="R3992" s="40">
        <v>15</v>
      </c>
      <c r="X3992" s="40">
        <v>90300312</v>
      </c>
      <c r="Y3992" s="40" t="s">
        <v>115</v>
      </c>
      <c r="Z3992" s="40" t="s">
        <v>115</v>
      </c>
      <c r="AA3992" s="40" t="s">
        <v>115</v>
      </c>
      <c r="AB3992" s="40" t="s">
        <v>115</v>
      </c>
      <c r="AC3992" s="40" t="s">
        <v>115</v>
      </c>
      <c r="AI3992" s="40" t="s">
        <v>115</v>
      </c>
      <c r="AP3992" s="4" t="s">
        <v>115</v>
      </c>
    </row>
    <row r="3993" spans="1:42" x14ac:dyDescent="0.15">
      <c r="A3993" s="40" t="s">
        <v>1</v>
      </c>
      <c r="B3993" s="23">
        <v>90300312</v>
      </c>
      <c r="C3993" s="23">
        <v>3003</v>
      </c>
      <c r="D3993" s="23">
        <v>30</v>
      </c>
      <c r="F3993" s="23" t="s">
        <v>6701</v>
      </c>
      <c r="G3993" s="23" t="s">
        <v>115</v>
      </c>
      <c r="H3993" s="23" t="s">
        <v>6752</v>
      </c>
      <c r="I3993" s="23">
        <v>3</v>
      </c>
      <c r="J3993" s="40">
        <v>0</v>
      </c>
      <c r="K3993" s="40">
        <v>0</v>
      </c>
      <c r="L3993" s="40" t="s">
        <v>115</v>
      </c>
      <c r="O3993" s="40" t="s">
        <v>115</v>
      </c>
      <c r="Q3993" s="40">
        <v>31</v>
      </c>
      <c r="R3993" s="40">
        <v>15</v>
      </c>
      <c r="X3993" s="40">
        <v>90300313</v>
      </c>
      <c r="Y3993" s="40" t="s">
        <v>115</v>
      </c>
      <c r="Z3993" s="40" t="s">
        <v>115</v>
      </c>
      <c r="AA3993" s="40" t="s">
        <v>115</v>
      </c>
      <c r="AB3993" s="40" t="s">
        <v>115</v>
      </c>
      <c r="AC3993" s="40" t="s">
        <v>115</v>
      </c>
      <c r="AI3993" s="40" t="s">
        <v>115</v>
      </c>
      <c r="AP3993" s="4" t="s">
        <v>115</v>
      </c>
    </row>
    <row r="3994" spans="1:42" x14ac:dyDescent="0.15">
      <c r="A3994" s="40" t="s">
        <v>1</v>
      </c>
      <c r="B3994" s="23">
        <v>90300313</v>
      </c>
      <c r="C3994" s="23">
        <v>3003</v>
      </c>
      <c r="D3994" s="23">
        <v>30</v>
      </c>
      <c r="F3994" s="23" t="s">
        <v>116</v>
      </c>
      <c r="G3994" s="23">
        <v>359</v>
      </c>
      <c r="H3994" s="23" t="s">
        <v>6753</v>
      </c>
      <c r="I3994" s="23">
        <v>0</v>
      </c>
      <c r="J3994" s="40">
        <v>0</v>
      </c>
      <c r="K3994" s="40">
        <v>0</v>
      </c>
      <c r="L3994" s="40" t="s">
        <v>115</v>
      </c>
      <c r="O3994" s="40" t="s">
        <v>115</v>
      </c>
      <c r="Q3994" s="40">
        <v>31</v>
      </c>
      <c r="R3994" s="40">
        <v>15</v>
      </c>
      <c r="X3994" s="40">
        <v>90300314</v>
      </c>
      <c r="Y3994" s="40" t="s">
        <v>115</v>
      </c>
      <c r="Z3994" s="40" t="s">
        <v>115</v>
      </c>
      <c r="AA3994" s="40" t="s">
        <v>115</v>
      </c>
      <c r="AB3994" s="40" t="s">
        <v>115</v>
      </c>
      <c r="AC3994" s="40" t="s">
        <v>115</v>
      </c>
      <c r="AI3994" s="40" t="s">
        <v>115</v>
      </c>
      <c r="AP3994" s="4" t="s">
        <v>115</v>
      </c>
    </row>
    <row r="3995" spans="1:42" x14ac:dyDescent="0.15">
      <c r="A3995" s="40" t="s">
        <v>1</v>
      </c>
      <c r="B3995" s="23">
        <v>90300314</v>
      </c>
      <c r="C3995" s="23">
        <v>3003</v>
      </c>
      <c r="D3995" s="23">
        <v>30</v>
      </c>
      <c r="F3995" s="23" t="s">
        <v>115</v>
      </c>
      <c r="G3995" s="23" t="s">
        <v>115</v>
      </c>
      <c r="H3995" s="23" t="s">
        <v>6754</v>
      </c>
      <c r="I3995" s="23">
        <v>4</v>
      </c>
      <c r="J3995" s="40">
        <v>0</v>
      </c>
      <c r="K3995" s="40">
        <v>0</v>
      </c>
      <c r="L3995" s="40" t="s">
        <v>115</v>
      </c>
      <c r="O3995" s="40" t="s">
        <v>115</v>
      </c>
      <c r="Q3995" s="40">
        <v>31</v>
      </c>
      <c r="R3995" s="40" t="s">
        <v>115</v>
      </c>
      <c r="X3995" s="40">
        <v>90300315</v>
      </c>
      <c r="Y3995" s="40" t="s">
        <v>115</v>
      </c>
      <c r="Z3995" s="40" t="s">
        <v>115</v>
      </c>
      <c r="AA3995" s="40" t="s">
        <v>115</v>
      </c>
      <c r="AB3995" s="40" t="s">
        <v>115</v>
      </c>
      <c r="AC3995" s="40" t="s">
        <v>115</v>
      </c>
      <c r="AI3995" s="40" t="s">
        <v>115</v>
      </c>
      <c r="AP3995" s="4" t="s">
        <v>115</v>
      </c>
    </row>
    <row r="3996" spans="1:42" x14ac:dyDescent="0.15">
      <c r="A3996" s="40" t="s">
        <v>1</v>
      </c>
      <c r="B3996" s="23">
        <v>90300315</v>
      </c>
      <c r="C3996" s="23">
        <v>3003</v>
      </c>
      <c r="D3996" s="23">
        <v>30</v>
      </c>
      <c r="F3996" s="23" t="s">
        <v>115</v>
      </c>
      <c r="G3996" s="23" t="s">
        <v>115</v>
      </c>
      <c r="H3996" s="23" t="s">
        <v>6755</v>
      </c>
      <c r="I3996" s="23">
        <v>4</v>
      </c>
      <c r="J3996" s="40">
        <v>0</v>
      </c>
      <c r="K3996" s="40">
        <v>0</v>
      </c>
      <c r="L3996" s="40" t="s">
        <v>115</v>
      </c>
      <c r="O3996" s="40" t="s">
        <v>115</v>
      </c>
      <c r="Q3996" s="40">
        <v>31</v>
      </c>
      <c r="R3996" s="40" t="s">
        <v>115</v>
      </c>
      <c r="X3996" s="40">
        <v>90300316</v>
      </c>
      <c r="Y3996" s="40" t="s">
        <v>115</v>
      </c>
      <c r="Z3996" s="40" t="s">
        <v>115</v>
      </c>
      <c r="AA3996" s="40" t="s">
        <v>115</v>
      </c>
      <c r="AB3996" s="40" t="s">
        <v>115</v>
      </c>
      <c r="AC3996" s="40" t="s">
        <v>115</v>
      </c>
      <c r="AI3996" s="40" t="s">
        <v>115</v>
      </c>
      <c r="AP3996" s="4" t="s">
        <v>115</v>
      </c>
    </row>
    <row r="3997" spans="1:42" x14ac:dyDescent="0.15">
      <c r="A3997" s="40" t="s">
        <v>1</v>
      </c>
      <c r="B3997" s="23">
        <v>90300316</v>
      </c>
      <c r="C3997" s="23">
        <v>3003</v>
      </c>
      <c r="D3997" s="23">
        <v>30</v>
      </c>
      <c r="F3997" s="23" t="s">
        <v>116</v>
      </c>
      <c r="G3997" s="23">
        <v>275</v>
      </c>
      <c r="H3997" s="23" t="s">
        <v>6756</v>
      </c>
      <c r="I3997" s="23">
        <v>0</v>
      </c>
      <c r="J3997" s="40">
        <v>0</v>
      </c>
      <c r="K3997" s="40">
        <v>5</v>
      </c>
      <c r="L3997" s="40" t="s">
        <v>115</v>
      </c>
      <c r="O3997" s="40">
        <v>1</v>
      </c>
      <c r="Q3997" s="40">
        <v>31</v>
      </c>
      <c r="R3997" s="40" t="s">
        <v>115</v>
      </c>
      <c r="X3997" s="40" t="s">
        <v>115</v>
      </c>
      <c r="Y3997" s="40" t="s">
        <v>115</v>
      </c>
      <c r="Z3997" s="40">
        <v>4</v>
      </c>
      <c r="AA3997" s="40" t="s">
        <v>115</v>
      </c>
      <c r="AB3997" s="40" t="s">
        <v>115</v>
      </c>
      <c r="AC3997" s="40" t="s">
        <v>115</v>
      </c>
      <c r="AI3997" s="40" t="s">
        <v>115</v>
      </c>
      <c r="AP3997" s="4" t="s">
        <v>6757</v>
      </c>
    </row>
    <row r="3998" spans="1:42" x14ac:dyDescent="0.15">
      <c r="A3998" s="40" t="s">
        <v>1</v>
      </c>
      <c r="B3998" s="23" t="s">
        <v>4944</v>
      </c>
      <c r="C3998" s="23">
        <v>3004</v>
      </c>
      <c r="D3998" s="23">
        <v>30</v>
      </c>
      <c r="F3998" s="23" t="s">
        <v>115</v>
      </c>
      <c r="G3998" s="23" t="s">
        <v>115</v>
      </c>
      <c r="H3998" s="23" t="s">
        <v>6758</v>
      </c>
      <c r="I3998" s="23">
        <v>4</v>
      </c>
      <c r="J3998" s="40">
        <v>1</v>
      </c>
      <c r="K3998" s="40">
        <v>1</v>
      </c>
      <c r="L3998" s="40" t="s">
        <v>115</v>
      </c>
      <c r="O3998" s="40" t="s">
        <v>115</v>
      </c>
      <c r="Q3998" s="40">
        <v>172</v>
      </c>
      <c r="R3998" s="40" t="s">
        <v>115</v>
      </c>
      <c r="X3998" s="40">
        <v>90300402</v>
      </c>
      <c r="Y3998" s="40" t="s">
        <v>115</v>
      </c>
      <c r="Z3998" s="40" t="s">
        <v>115</v>
      </c>
      <c r="AA3998" s="40" t="s">
        <v>115</v>
      </c>
      <c r="AB3998" s="40" t="s">
        <v>115</v>
      </c>
      <c r="AC3998" s="40" t="s">
        <v>115</v>
      </c>
      <c r="AI3998" s="40" t="s">
        <v>115</v>
      </c>
      <c r="AP3998" s="4" t="s">
        <v>115</v>
      </c>
    </row>
    <row r="3999" spans="1:42" x14ac:dyDescent="0.15">
      <c r="A3999" s="40" t="s">
        <v>1</v>
      </c>
      <c r="B3999" s="23">
        <v>90300402</v>
      </c>
      <c r="C3999" s="23">
        <v>3004</v>
      </c>
      <c r="D3999" s="23">
        <v>30</v>
      </c>
      <c r="F3999" s="23" t="s">
        <v>116</v>
      </c>
      <c r="G3999" s="23">
        <v>261</v>
      </c>
      <c r="H3999" s="23" t="s">
        <v>6759</v>
      </c>
      <c r="I3999" s="23">
        <v>0</v>
      </c>
      <c r="J3999" s="40">
        <v>0</v>
      </c>
      <c r="K3999" s="40">
        <v>0</v>
      </c>
      <c r="L3999" s="40" t="s">
        <v>115</v>
      </c>
      <c r="O3999" s="40" t="s">
        <v>115</v>
      </c>
      <c r="Q3999" s="40">
        <v>172</v>
      </c>
      <c r="R3999" s="40" t="s">
        <v>115</v>
      </c>
      <c r="X3999" s="40">
        <v>90300403</v>
      </c>
      <c r="Y3999" s="40" t="s">
        <v>115</v>
      </c>
      <c r="Z3999" s="40" t="s">
        <v>115</v>
      </c>
      <c r="AA3999" s="40" t="s">
        <v>115</v>
      </c>
      <c r="AB3999" s="40" t="s">
        <v>115</v>
      </c>
      <c r="AC3999" s="40" t="s">
        <v>115</v>
      </c>
      <c r="AI3999" s="40" t="s">
        <v>115</v>
      </c>
      <c r="AP3999" s="4" t="s">
        <v>115</v>
      </c>
    </row>
    <row r="4000" spans="1:42" x14ac:dyDescent="0.15">
      <c r="A4000" s="40" t="s">
        <v>1</v>
      </c>
      <c r="B4000" s="23">
        <v>90300403</v>
      </c>
      <c r="C4000" s="23">
        <v>3004</v>
      </c>
      <c r="D4000" s="23">
        <v>30</v>
      </c>
      <c r="F4000" s="23" t="s">
        <v>115</v>
      </c>
      <c r="G4000" s="23" t="s">
        <v>115</v>
      </c>
      <c r="H4000" s="23" t="s">
        <v>6760</v>
      </c>
      <c r="I4000" s="23">
        <v>4</v>
      </c>
      <c r="J4000" s="40">
        <v>0</v>
      </c>
      <c r="K4000" s="40">
        <v>2</v>
      </c>
      <c r="L4000" s="40" t="s">
        <v>115</v>
      </c>
      <c r="O4000" s="40" t="s">
        <v>115</v>
      </c>
      <c r="Q4000" s="40">
        <v>172</v>
      </c>
      <c r="R4000" s="40" t="s">
        <v>115</v>
      </c>
      <c r="X4000" s="40" t="s">
        <v>6761</v>
      </c>
      <c r="Y4000" s="40">
        <v>1</v>
      </c>
      <c r="Z4000" s="40">
        <v>1</v>
      </c>
      <c r="AA4000" s="40" t="s">
        <v>115</v>
      </c>
      <c r="AB4000" s="40" t="s">
        <v>115</v>
      </c>
      <c r="AC4000" s="40" t="s">
        <v>115</v>
      </c>
      <c r="AI4000" s="40" t="s">
        <v>115</v>
      </c>
      <c r="AP4000" s="4" t="s">
        <v>115</v>
      </c>
    </row>
    <row r="4001" spans="1:42" x14ac:dyDescent="0.15">
      <c r="A4001" s="40" t="s">
        <v>1</v>
      </c>
      <c r="B4001" s="23">
        <v>90300404</v>
      </c>
      <c r="C4001" s="23">
        <v>3004</v>
      </c>
      <c r="D4001" s="23">
        <v>30</v>
      </c>
      <c r="F4001" s="23" t="s">
        <v>115</v>
      </c>
      <c r="G4001" s="23" t="s">
        <v>115</v>
      </c>
      <c r="H4001" s="23" t="s">
        <v>6762</v>
      </c>
      <c r="I4001" s="23">
        <v>4</v>
      </c>
      <c r="J4001" s="40">
        <v>0</v>
      </c>
      <c r="K4001" s="40">
        <v>3</v>
      </c>
      <c r="L4001" s="40" t="s">
        <v>115</v>
      </c>
      <c r="O4001" s="40" t="s">
        <v>115</v>
      </c>
      <c r="Q4001" s="40">
        <v>172</v>
      </c>
      <c r="R4001" s="40" t="s">
        <v>115</v>
      </c>
      <c r="X4001" s="40">
        <v>90300406</v>
      </c>
      <c r="Y4001" s="40">
        <v>-1</v>
      </c>
      <c r="Z4001" s="40">
        <v>2</v>
      </c>
      <c r="AA4001" s="40" t="s">
        <v>115</v>
      </c>
      <c r="AB4001" s="40" t="s">
        <v>115</v>
      </c>
      <c r="AC4001" s="40" t="s">
        <v>6763</v>
      </c>
      <c r="AI4001" s="40" t="s">
        <v>115</v>
      </c>
      <c r="AP4001" s="4" t="s">
        <v>115</v>
      </c>
    </row>
    <row r="4002" spans="1:42" x14ac:dyDescent="0.15">
      <c r="A4002" s="40" t="s">
        <v>1</v>
      </c>
      <c r="B4002" s="23">
        <v>90300405</v>
      </c>
      <c r="C4002" s="23">
        <v>3004</v>
      </c>
      <c r="D4002" s="23">
        <v>30</v>
      </c>
      <c r="F4002" s="23" t="s">
        <v>115</v>
      </c>
      <c r="G4002" s="23" t="s">
        <v>115</v>
      </c>
      <c r="H4002" s="23" t="s">
        <v>6764</v>
      </c>
      <c r="I4002" s="23">
        <v>4</v>
      </c>
      <c r="J4002" s="40">
        <v>0</v>
      </c>
      <c r="K4002" s="40">
        <v>4</v>
      </c>
      <c r="L4002" s="40" t="s">
        <v>115</v>
      </c>
      <c r="O4002" s="40" t="s">
        <v>115</v>
      </c>
      <c r="Q4002" s="40">
        <v>172</v>
      </c>
      <c r="R4002" s="40" t="s">
        <v>115</v>
      </c>
      <c r="X4002" s="40">
        <v>90300409</v>
      </c>
      <c r="Y4002" s="40">
        <v>-1</v>
      </c>
      <c r="Z4002" s="40">
        <v>2</v>
      </c>
      <c r="AA4002" s="40" t="s">
        <v>115</v>
      </c>
      <c r="AB4002" s="40" t="s">
        <v>115</v>
      </c>
      <c r="AC4002" s="40" t="s">
        <v>115</v>
      </c>
      <c r="AI4002" s="40" t="s">
        <v>115</v>
      </c>
      <c r="AP4002" s="4" t="s">
        <v>115</v>
      </c>
    </row>
    <row r="4003" spans="1:42" x14ac:dyDescent="0.15">
      <c r="A4003" s="40" t="s">
        <v>1</v>
      </c>
      <c r="B4003" s="23">
        <v>90300406</v>
      </c>
      <c r="C4003" s="23">
        <v>3004</v>
      </c>
      <c r="D4003" s="23">
        <v>30</v>
      </c>
      <c r="F4003" s="23" t="s">
        <v>116</v>
      </c>
      <c r="G4003" s="23">
        <v>261</v>
      </c>
      <c r="H4003" s="23" t="s">
        <v>6765</v>
      </c>
      <c r="I4003" s="23">
        <v>2</v>
      </c>
      <c r="J4003" s="40">
        <v>0</v>
      </c>
      <c r="K4003" s="40">
        <v>0</v>
      </c>
      <c r="L4003" s="40" t="s">
        <v>115</v>
      </c>
      <c r="O4003" s="40" t="s">
        <v>115</v>
      </c>
      <c r="Q4003" s="40">
        <v>173</v>
      </c>
      <c r="R4003" s="40" t="s">
        <v>115</v>
      </c>
      <c r="X4003" s="40">
        <v>90300407</v>
      </c>
      <c r="Y4003" s="40" t="s">
        <v>115</v>
      </c>
      <c r="Z4003" s="40" t="s">
        <v>115</v>
      </c>
      <c r="AA4003" s="40" t="s">
        <v>115</v>
      </c>
      <c r="AB4003" s="40" t="s">
        <v>115</v>
      </c>
      <c r="AC4003" s="40" t="s">
        <v>115</v>
      </c>
      <c r="AI4003" s="40" t="s">
        <v>115</v>
      </c>
      <c r="AP4003" s="4" t="s">
        <v>115</v>
      </c>
    </row>
    <row r="4004" spans="1:42" x14ac:dyDescent="0.15">
      <c r="A4004" s="40" t="s">
        <v>1</v>
      </c>
      <c r="B4004" s="23">
        <v>90300407</v>
      </c>
      <c r="C4004" s="23">
        <v>3004</v>
      </c>
      <c r="D4004" s="23">
        <v>30</v>
      </c>
      <c r="F4004" s="23" t="s">
        <v>5681</v>
      </c>
      <c r="G4004" s="23" t="s">
        <v>115</v>
      </c>
      <c r="H4004" s="23" t="s">
        <v>6766</v>
      </c>
      <c r="I4004" s="23">
        <v>3</v>
      </c>
      <c r="J4004" s="40">
        <v>0</v>
      </c>
      <c r="K4004" s="40">
        <v>0</v>
      </c>
      <c r="L4004" s="40" t="s">
        <v>115</v>
      </c>
      <c r="O4004" s="40" t="s">
        <v>115</v>
      </c>
      <c r="Q4004" s="40">
        <v>173</v>
      </c>
      <c r="R4004" s="40">
        <v>290</v>
      </c>
      <c r="X4004" s="40">
        <v>90300408</v>
      </c>
      <c r="Y4004" s="40" t="s">
        <v>115</v>
      </c>
      <c r="Z4004" s="40" t="s">
        <v>115</v>
      </c>
      <c r="AA4004" s="40" t="s">
        <v>115</v>
      </c>
      <c r="AB4004" s="40" t="s">
        <v>115</v>
      </c>
      <c r="AC4004" s="40" t="s">
        <v>115</v>
      </c>
      <c r="AI4004" s="40" t="s">
        <v>115</v>
      </c>
      <c r="AP4004" s="4" t="s">
        <v>115</v>
      </c>
    </row>
    <row r="4005" spans="1:42" x14ac:dyDescent="0.15">
      <c r="A4005" s="40" t="s">
        <v>1</v>
      </c>
      <c r="B4005" s="23">
        <v>90300408</v>
      </c>
      <c r="C4005" s="23">
        <v>3004</v>
      </c>
      <c r="D4005" s="23">
        <v>30</v>
      </c>
      <c r="F4005" s="23" t="s">
        <v>116</v>
      </c>
      <c r="G4005" s="23">
        <v>261</v>
      </c>
      <c r="H4005" s="23" t="s">
        <v>6767</v>
      </c>
      <c r="I4005" s="23">
        <v>0</v>
      </c>
      <c r="J4005" s="40">
        <v>0</v>
      </c>
      <c r="K4005" s="40">
        <v>0</v>
      </c>
      <c r="L4005" s="40" t="s">
        <v>115</v>
      </c>
      <c r="O4005" s="40" t="s">
        <v>115</v>
      </c>
      <c r="Q4005" s="40">
        <v>173</v>
      </c>
      <c r="R4005" s="40">
        <v>290</v>
      </c>
      <c r="X4005" s="40">
        <v>90300412</v>
      </c>
      <c r="Y4005" s="40" t="s">
        <v>115</v>
      </c>
      <c r="Z4005" s="40" t="s">
        <v>115</v>
      </c>
      <c r="AA4005" s="40" t="s">
        <v>115</v>
      </c>
      <c r="AB4005" s="40" t="s">
        <v>115</v>
      </c>
      <c r="AC4005" s="40" t="s">
        <v>115</v>
      </c>
      <c r="AI4005" s="40" t="s">
        <v>115</v>
      </c>
      <c r="AP4005" s="4" t="s">
        <v>115</v>
      </c>
    </row>
    <row r="4006" spans="1:42" x14ac:dyDescent="0.15">
      <c r="A4006" s="40" t="s">
        <v>1</v>
      </c>
      <c r="B4006" s="23">
        <v>90300409</v>
      </c>
      <c r="C4006" s="23">
        <v>3004</v>
      </c>
      <c r="D4006" s="23">
        <v>30</v>
      </c>
      <c r="F4006" s="23" t="s">
        <v>115</v>
      </c>
      <c r="G4006" s="23" t="s">
        <v>115</v>
      </c>
      <c r="H4006" s="23" t="s">
        <v>6768</v>
      </c>
      <c r="I4006" s="23">
        <v>4</v>
      </c>
      <c r="J4006" s="40">
        <v>0</v>
      </c>
      <c r="K4006" s="40">
        <v>0</v>
      </c>
      <c r="L4006" s="40" t="s">
        <v>115</v>
      </c>
      <c r="O4006" s="40" t="s">
        <v>115</v>
      </c>
      <c r="Q4006" s="40">
        <v>172</v>
      </c>
      <c r="R4006" s="40">
        <v>290</v>
      </c>
      <c r="X4006" s="40">
        <v>90300410</v>
      </c>
      <c r="Y4006" s="40" t="s">
        <v>115</v>
      </c>
      <c r="Z4006" s="40" t="s">
        <v>115</v>
      </c>
      <c r="AA4006" s="40" t="s">
        <v>115</v>
      </c>
      <c r="AB4006" s="40" t="s">
        <v>115</v>
      </c>
      <c r="AC4006" s="40" t="s">
        <v>115</v>
      </c>
      <c r="AI4006" s="40" t="s">
        <v>115</v>
      </c>
      <c r="AP4006" s="4" t="s">
        <v>115</v>
      </c>
    </row>
    <row r="4007" spans="1:42" x14ac:dyDescent="0.15">
      <c r="A4007" s="40" t="s">
        <v>1</v>
      </c>
      <c r="B4007" s="23">
        <v>90300410</v>
      </c>
      <c r="C4007" s="23">
        <v>3004</v>
      </c>
      <c r="D4007" s="23">
        <v>30</v>
      </c>
      <c r="F4007" s="23" t="s">
        <v>5681</v>
      </c>
      <c r="G4007" s="23" t="s">
        <v>115</v>
      </c>
      <c r="H4007" s="23" t="s">
        <v>6769</v>
      </c>
      <c r="I4007" s="23">
        <v>3</v>
      </c>
      <c r="J4007" s="40">
        <v>0</v>
      </c>
      <c r="K4007" s="40">
        <v>0</v>
      </c>
      <c r="L4007" s="40" t="s">
        <v>115</v>
      </c>
      <c r="O4007" s="40" t="s">
        <v>115</v>
      </c>
      <c r="Q4007" s="40">
        <v>172</v>
      </c>
      <c r="R4007" s="40">
        <v>290</v>
      </c>
      <c r="X4007" s="40">
        <v>90300411</v>
      </c>
      <c r="Y4007" s="40" t="s">
        <v>115</v>
      </c>
      <c r="Z4007" s="40" t="s">
        <v>115</v>
      </c>
      <c r="AA4007" s="40" t="s">
        <v>115</v>
      </c>
      <c r="AB4007" s="40" t="s">
        <v>115</v>
      </c>
      <c r="AC4007" s="40" t="s">
        <v>115</v>
      </c>
      <c r="AI4007" s="40" t="s">
        <v>115</v>
      </c>
      <c r="AP4007" s="4" t="s">
        <v>115</v>
      </c>
    </row>
    <row r="4008" spans="1:42" x14ac:dyDescent="0.15">
      <c r="A4008" s="40" t="s">
        <v>1</v>
      </c>
      <c r="B4008" s="23">
        <v>90300411</v>
      </c>
      <c r="C4008" s="23">
        <v>3004</v>
      </c>
      <c r="D4008" s="23">
        <v>30</v>
      </c>
      <c r="F4008" s="23" t="s">
        <v>116</v>
      </c>
      <c r="G4008" s="23">
        <v>261</v>
      </c>
      <c r="H4008" s="23" t="s">
        <v>6770</v>
      </c>
      <c r="I4008" s="23">
        <v>0</v>
      </c>
      <c r="J4008" s="40">
        <v>0</v>
      </c>
      <c r="K4008" s="40">
        <v>0</v>
      </c>
      <c r="L4008" s="40" t="s">
        <v>115</v>
      </c>
      <c r="O4008" s="40" t="s">
        <v>115</v>
      </c>
      <c r="Q4008" s="40">
        <v>172</v>
      </c>
      <c r="R4008" s="40" t="s">
        <v>115</v>
      </c>
      <c r="X4008" s="40">
        <v>90300403</v>
      </c>
      <c r="Y4008" s="40" t="s">
        <v>115</v>
      </c>
      <c r="Z4008" s="40" t="s">
        <v>115</v>
      </c>
      <c r="AA4008" s="40" t="s">
        <v>115</v>
      </c>
      <c r="AB4008" s="40" t="s">
        <v>115</v>
      </c>
      <c r="AC4008" s="40" t="s">
        <v>115</v>
      </c>
      <c r="AI4008" s="40" t="s">
        <v>115</v>
      </c>
      <c r="AP4008" s="4" t="s">
        <v>115</v>
      </c>
    </row>
    <row r="4009" spans="1:42" x14ac:dyDescent="0.15">
      <c r="A4009" s="40" t="s">
        <v>1</v>
      </c>
      <c r="B4009" s="23">
        <v>90300412</v>
      </c>
      <c r="C4009" s="23">
        <v>3004</v>
      </c>
      <c r="D4009" s="23">
        <v>30</v>
      </c>
      <c r="F4009" s="23" t="s">
        <v>5681</v>
      </c>
      <c r="G4009" s="23" t="s">
        <v>115</v>
      </c>
      <c r="H4009" s="23" t="s">
        <v>6771</v>
      </c>
      <c r="I4009" s="23">
        <v>3</v>
      </c>
      <c r="J4009" s="40">
        <v>0</v>
      </c>
      <c r="K4009" s="40">
        <v>0</v>
      </c>
      <c r="L4009" s="40" t="s">
        <v>115</v>
      </c>
      <c r="O4009" s="40" t="s">
        <v>115</v>
      </c>
      <c r="Q4009" s="40">
        <v>173</v>
      </c>
      <c r="R4009" s="40">
        <v>290</v>
      </c>
      <c r="X4009" s="40">
        <v>90300413</v>
      </c>
      <c r="Y4009" s="40" t="s">
        <v>115</v>
      </c>
      <c r="Z4009" s="40" t="s">
        <v>115</v>
      </c>
      <c r="AA4009" s="40" t="s">
        <v>115</v>
      </c>
      <c r="AB4009" s="40" t="s">
        <v>115</v>
      </c>
      <c r="AC4009" s="40" t="s">
        <v>115</v>
      </c>
      <c r="AI4009" s="40" t="s">
        <v>115</v>
      </c>
      <c r="AP4009" s="4" t="s">
        <v>115</v>
      </c>
    </row>
    <row r="4010" spans="1:42" x14ac:dyDescent="0.15">
      <c r="A4010" s="40" t="s">
        <v>1</v>
      </c>
      <c r="B4010" s="23">
        <v>90300413</v>
      </c>
      <c r="C4010" s="23">
        <v>3004</v>
      </c>
      <c r="D4010" s="23">
        <v>30</v>
      </c>
      <c r="F4010" s="23" t="s">
        <v>5681</v>
      </c>
      <c r="G4010" s="23" t="s">
        <v>115</v>
      </c>
      <c r="H4010" s="23" t="s">
        <v>6772</v>
      </c>
      <c r="I4010" s="23">
        <v>3</v>
      </c>
      <c r="J4010" s="40">
        <v>0</v>
      </c>
      <c r="K4010" s="40">
        <v>0</v>
      </c>
      <c r="L4010" s="40" t="s">
        <v>115</v>
      </c>
      <c r="O4010" s="40" t="s">
        <v>115</v>
      </c>
      <c r="Q4010" s="40">
        <v>173</v>
      </c>
      <c r="R4010" s="40">
        <v>290</v>
      </c>
      <c r="X4010" s="40">
        <v>90300414</v>
      </c>
      <c r="Y4010" s="40" t="s">
        <v>115</v>
      </c>
      <c r="Z4010" s="40" t="s">
        <v>115</v>
      </c>
      <c r="AA4010" s="40" t="s">
        <v>115</v>
      </c>
      <c r="AB4010" s="40" t="s">
        <v>115</v>
      </c>
      <c r="AC4010" s="40" t="s">
        <v>115</v>
      </c>
      <c r="AI4010" s="40" t="s">
        <v>115</v>
      </c>
      <c r="AP4010" s="4" t="s">
        <v>115</v>
      </c>
    </row>
    <row r="4011" spans="1:42" x14ac:dyDescent="0.15">
      <c r="A4011" s="40" t="s">
        <v>1</v>
      </c>
      <c r="B4011" s="23">
        <v>90300414</v>
      </c>
      <c r="C4011" s="23">
        <v>3004</v>
      </c>
      <c r="D4011" s="23">
        <v>30</v>
      </c>
      <c r="F4011" s="23" t="s">
        <v>5681</v>
      </c>
      <c r="G4011" s="23" t="s">
        <v>115</v>
      </c>
      <c r="H4011" s="23" t="s">
        <v>6773</v>
      </c>
      <c r="I4011" s="23">
        <v>3</v>
      </c>
      <c r="J4011" s="40">
        <v>0</v>
      </c>
      <c r="K4011" s="40">
        <v>0</v>
      </c>
      <c r="L4011" s="40" t="s">
        <v>115</v>
      </c>
      <c r="O4011" s="40" t="s">
        <v>115</v>
      </c>
      <c r="Q4011" s="40">
        <v>173</v>
      </c>
      <c r="R4011" s="40">
        <v>290</v>
      </c>
      <c r="X4011" s="40">
        <v>90300415</v>
      </c>
      <c r="Y4011" s="40" t="s">
        <v>115</v>
      </c>
      <c r="Z4011" s="40" t="s">
        <v>115</v>
      </c>
      <c r="AA4011" s="40" t="s">
        <v>115</v>
      </c>
      <c r="AB4011" s="40" t="s">
        <v>115</v>
      </c>
      <c r="AC4011" s="40" t="s">
        <v>115</v>
      </c>
      <c r="AI4011" s="40" t="s">
        <v>115</v>
      </c>
      <c r="AP4011" s="4" t="s">
        <v>115</v>
      </c>
    </row>
    <row r="4012" spans="1:42" x14ac:dyDescent="0.15">
      <c r="A4012" s="40" t="s">
        <v>1</v>
      </c>
      <c r="B4012" s="23">
        <v>90300415</v>
      </c>
      <c r="C4012" s="23">
        <v>3004</v>
      </c>
      <c r="D4012" s="23">
        <v>30</v>
      </c>
      <c r="F4012" s="23" t="s">
        <v>115</v>
      </c>
      <c r="G4012" s="23" t="s">
        <v>115</v>
      </c>
      <c r="H4012" s="23" t="s">
        <v>6774</v>
      </c>
      <c r="I4012" s="23">
        <v>4</v>
      </c>
      <c r="J4012" s="40">
        <v>0</v>
      </c>
      <c r="K4012" s="40">
        <v>0</v>
      </c>
      <c r="L4012" s="40" t="s">
        <v>115</v>
      </c>
      <c r="O4012" s="40" t="s">
        <v>115</v>
      </c>
      <c r="Q4012" s="40">
        <v>173</v>
      </c>
      <c r="R4012" s="40" t="s">
        <v>115</v>
      </c>
      <c r="X4012" s="40">
        <v>90300416</v>
      </c>
      <c r="Y4012" s="40" t="s">
        <v>115</v>
      </c>
      <c r="Z4012" s="40" t="s">
        <v>115</v>
      </c>
      <c r="AA4012" s="40" t="s">
        <v>115</v>
      </c>
      <c r="AB4012" s="40" t="s">
        <v>115</v>
      </c>
      <c r="AC4012" s="40" t="s">
        <v>115</v>
      </c>
      <c r="AI4012" s="40" t="s">
        <v>115</v>
      </c>
      <c r="AP4012" s="4" t="s">
        <v>115</v>
      </c>
    </row>
    <row r="4013" spans="1:42" x14ac:dyDescent="0.15">
      <c r="A4013" s="40" t="s">
        <v>1</v>
      </c>
      <c r="B4013" s="23">
        <v>90300416</v>
      </c>
      <c r="C4013" s="23">
        <v>3004</v>
      </c>
      <c r="D4013" s="23">
        <v>30</v>
      </c>
      <c r="F4013" s="23" t="s">
        <v>116</v>
      </c>
      <c r="G4013" s="23">
        <v>261</v>
      </c>
      <c r="H4013" s="23" t="s">
        <v>6775</v>
      </c>
      <c r="I4013" s="23">
        <v>0</v>
      </c>
      <c r="J4013" s="40">
        <v>0</v>
      </c>
      <c r="K4013" s="40">
        <v>5</v>
      </c>
      <c r="L4013" s="40" t="s">
        <v>115</v>
      </c>
      <c r="O4013" s="40">
        <v>1</v>
      </c>
      <c r="Q4013" s="40">
        <v>173</v>
      </c>
      <c r="R4013" s="40" t="s">
        <v>115</v>
      </c>
      <c r="X4013" s="40" t="s">
        <v>115</v>
      </c>
      <c r="Y4013" s="40" t="s">
        <v>115</v>
      </c>
      <c r="Z4013" s="40">
        <v>4</v>
      </c>
      <c r="AA4013" s="40" t="s">
        <v>115</v>
      </c>
      <c r="AB4013" s="40" t="s">
        <v>115</v>
      </c>
      <c r="AC4013" s="40" t="s">
        <v>115</v>
      </c>
      <c r="AI4013" s="40" t="s">
        <v>115</v>
      </c>
      <c r="AP4013" s="4" t="s">
        <v>6776</v>
      </c>
    </row>
    <row r="4014" spans="1:42" x14ac:dyDescent="0.15">
      <c r="A4014" s="40" t="s">
        <v>1</v>
      </c>
      <c r="B4014" s="23" t="s">
        <v>4946</v>
      </c>
      <c r="C4014" s="23">
        <v>3005</v>
      </c>
      <c r="D4014" s="23">
        <v>30</v>
      </c>
      <c r="F4014" s="23" t="s">
        <v>115</v>
      </c>
      <c r="G4014" s="23" t="s">
        <v>115</v>
      </c>
      <c r="H4014" s="23" t="s">
        <v>6777</v>
      </c>
      <c r="I4014" s="23">
        <v>4</v>
      </c>
      <c r="J4014" s="40">
        <v>1</v>
      </c>
      <c r="K4014" s="40">
        <v>1</v>
      </c>
      <c r="L4014" s="40" t="s">
        <v>115</v>
      </c>
      <c r="O4014" s="40" t="s">
        <v>115</v>
      </c>
      <c r="Q4014" s="40">
        <v>351</v>
      </c>
      <c r="R4014" s="40" t="s">
        <v>115</v>
      </c>
      <c r="X4014" s="40">
        <v>90300502</v>
      </c>
      <c r="Y4014" s="40" t="s">
        <v>115</v>
      </c>
      <c r="Z4014" s="40" t="s">
        <v>115</v>
      </c>
      <c r="AA4014" s="40" t="s">
        <v>115</v>
      </c>
      <c r="AB4014" s="40" t="s">
        <v>115</v>
      </c>
      <c r="AC4014" s="40" t="s">
        <v>115</v>
      </c>
      <c r="AI4014" s="40" t="s">
        <v>115</v>
      </c>
      <c r="AP4014" s="4" t="s">
        <v>115</v>
      </c>
    </row>
    <row r="4015" spans="1:42" x14ac:dyDescent="0.15">
      <c r="A4015" s="40" t="s">
        <v>1</v>
      </c>
      <c r="B4015" s="23">
        <v>90300502</v>
      </c>
      <c r="C4015" s="23">
        <v>3005</v>
      </c>
      <c r="D4015" s="23">
        <v>30</v>
      </c>
      <c r="F4015" s="23" t="s">
        <v>6726</v>
      </c>
      <c r="G4015" s="23" t="s">
        <v>115</v>
      </c>
      <c r="H4015" s="23" t="s">
        <v>6778</v>
      </c>
      <c r="I4015" s="23">
        <v>3</v>
      </c>
      <c r="J4015" s="40">
        <v>0</v>
      </c>
      <c r="K4015" s="40">
        <v>0</v>
      </c>
      <c r="L4015" s="40" t="s">
        <v>115</v>
      </c>
      <c r="O4015" s="40" t="s">
        <v>115</v>
      </c>
      <c r="Q4015" s="40">
        <v>351</v>
      </c>
      <c r="R4015" s="40">
        <v>305</v>
      </c>
      <c r="X4015" s="40">
        <v>90300503</v>
      </c>
      <c r="Y4015" s="40" t="s">
        <v>115</v>
      </c>
      <c r="Z4015" s="40" t="s">
        <v>115</v>
      </c>
      <c r="AA4015" s="40" t="s">
        <v>115</v>
      </c>
      <c r="AB4015" s="40" t="s">
        <v>115</v>
      </c>
      <c r="AC4015" s="40" t="s">
        <v>115</v>
      </c>
      <c r="AI4015" s="40" t="s">
        <v>115</v>
      </c>
      <c r="AP4015" s="4" t="s">
        <v>115</v>
      </c>
    </row>
    <row r="4016" spans="1:42" x14ac:dyDescent="0.15">
      <c r="A4016" s="40" t="s">
        <v>1</v>
      </c>
      <c r="B4016" s="23">
        <v>90300503</v>
      </c>
      <c r="C4016" s="23">
        <v>3005</v>
      </c>
      <c r="D4016" s="23">
        <v>30</v>
      </c>
      <c r="F4016" s="23" t="s">
        <v>116</v>
      </c>
      <c r="G4016" s="23">
        <v>261</v>
      </c>
      <c r="H4016" s="23" t="s">
        <v>6779</v>
      </c>
      <c r="I4016" s="23">
        <v>0</v>
      </c>
      <c r="J4016" s="40">
        <v>0</v>
      </c>
      <c r="K4016" s="40">
        <v>0</v>
      </c>
      <c r="L4016" s="40" t="s">
        <v>115</v>
      </c>
      <c r="O4016" s="40" t="s">
        <v>115</v>
      </c>
      <c r="Q4016" s="40">
        <v>351</v>
      </c>
      <c r="R4016" s="40">
        <v>305</v>
      </c>
      <c r="X4016" s="40">
        <v>90300504</v>
      </c>
      <c r="Y4016" s="40" t="s">
        <v>115</v>
      </c>
      <c r="Z4016" s="40" t="s">
        <v>115</v>
      </c>
      <c r="AA4016" s="40" t="s">
        <v>115</v>
      </c>
      <c r="AB4016" s="40" t="s">
        <v>115</v>
      </c>
      <c r="AC4016" s="40" t="s">
        <v>115</v>
      </c>
      <c r="AI4016" s="40" t="s">
        <v>115</v>
      </c>
      <c r="AP4016" s="4" t="s">
        <v>115</v>
      </c>
    </row>
    <row r="4017" spans="1:42" x14ac:dyDescent="0.15">
      <c r="A4017" s="40" t="s">
        <v>1</v>
      </c>
      <c r="B4017" s="23">
        <v>90300504</v>
      </c>
      <c r="C4017" s="23">
        <v>3005</v>
      </c>
      <c r="D4017" s="23">
        <v>30</v>
      </c>
      <c r="F4017" s="23" t="s">
        <v>6726</v>
      </c>
      <c r="G4017" s="23" t="s">
        <v>115</v>
      </c>
      <c r="H4017" s="23" t="s">
        <v>6780</v>
      </c>
      <c r="I4017" s="23">
        <v>3</v>
      </c>
      <c r="J4017" s="40">
        <v>0</v>
      </c>
      <c r="K4017" s="40">
        <v>0</v>
      </c>
      <c r="L4017" s="40" t="s">
        <v>115</v>
      </c>
      <c r="O4017" s="40" t="s">
        <v>115</v>
      </c>
      <c r="Q4017" s="40">
        <v>351</v>
      </c>
      <c r="R4017" s="40">
        <v>305</v>
      </c>
      <c r="X4017" s="40">
        <v>90300505</v>
      </c>
      <c r="Y4017" s="40" t="s">
        <v>115</v>
      </c>
      <c r="Z4017" s="40" t="s">
        <v>115</v>
      </c>
      <c r="AA4017" s="40" t="s">
        <v>115</v>
      </c>
      <c r="AB4017" s="40" t="s">
        <v>115</v>
      </c>
      <c r="AC4017" s="40" t="s">
        <v>115</v>
      </c>
      <c r="AI4017" s="40" t="s">
        <v>115</v>
      </c>
      <c r="AP4017" s="4" t="s">
        <v>115</v>
      </c>
    </row>
    <row r="4018" spans="1:42" x14ac:dyDescent="0.15">
      <c r="A4018" s="40" t="s">
        <v>1</v>
      </c>
      <c r="B4018" s="23">
        <v>90300505</v>
      </c>
      <c r="C4018" s="23">
        <v>3005</v>
      </c>
      <c r="D4018" s="23">
        <v>30</v>
      </c>
      <c r="F4018" s="23" t="s">
        <v>116</v>
      </c>
      <c r="G4018" s="23">
        <v>261</v>
      </c>
      <c r="H4018" s="23" t="s">
        <v>6781</v>
      </c>
      <c r="I4018" s="23">
        <v>2</v>
      </c>
      <c r="J4018" s="40">
        <v>0</v>
      </c>
      <c r="K4018" s="40">
        <v>0</v>
      </c>
      <c r="L4018" s="40" t="s">
        <v>115</v>
      </c>
      <c r="O4018" s="40" t="s">
        <v>115</v>
      </c>
      <c r="Q4018" s="40">
        <v>351</v>
      </c>
      <c r="R4018" s="40">
        <v>305</v>
      </c>
      <c r="X4018" s="40">
        <v>90300506</v>
      </c>
      <c r="Y4018" s="40" t="s">
        <v>115</v>
      </c>
      <c r="Z4018" s="40" t="s">
        <v>115</v>
      </c>
      <c r="AA4018" s="40" t="s">
        <v>115</v>
      </c>
      <c r="AB4018" s="40" t="s">
        <v>115</v>
      </c>
      <c r="AC4018" s="40" t="s">
        <v>115</v>
      </c>
      <c r="AI4018" s="40" t="s">
        <v>115</v>
      </c>
      <c r="AP4018" s="4" t="s">
        <v>115</v>
      </c>
    </row>
    <row r="4019" spans="1:42" x14ac:dyDescent="0.15">
      <c r="A4019" s="40" t="s">
        <v>1</v>
      </c>
      <c r="B4019" s="23">
        <v>90300506</v>
      </c>
      <c r="C4019" s="23">
        <v>3005</v>
      </c>
      <c r="D4019" s="23">
        <v>30</v>
      </c>
      <c r="F4019" s="23" t="s">
        <v>115</v>
      </c>
      <c r="G4019" s="23" t="s">
        <v>115</v>
      </c>
      <c r="H4019" s="23" t="s">
        <v>6782</v>
      </c>
      <c r="I4019" s="23">
        <v>4</v>
      </c>
      <c r="J4019" s="40">
        <v>0</v>
      </c>
      <c r="K4019" s="40">
        <v>2</v>
      </c>
      <c r="L4019" s="40" t="s">
        <v>115</v>
      </c>
      <c r="O4019" s="40" t="s">
        <v>115</v>
      </c>
      <c r="Q4019" s="40">
        <v>351</v>
      </c>
      <c r="R4019" s="40">
        <v>305</v>
      </c>
      <c r="X4019" s="40" t="s">
        <v>6783</v>
      </c>
      <c r="Y4019" s="40">
        <v>1</v>
      </c>
      <c r="Z4019" s="40">
        <v>1</v>
      </c>
      <c r="AA4019" s="40" t="s">
        <v>115</v>
      </c>
      <c r="AB4019" s="40" t="s">
        <v>115</v>
      </c>
      <c r="AC4019" s="40" t="s">
        <v>115</v>
      </c>
      <c r="AI4019" s="40" t="s">
        <v>115</v>
      </c>
      <c r="AP4019" s="4" t="s">
        <v>115</v>
      </c>
    </row>
    <row r="4020" spans="1:42" x14ac:dyDescent="0.15">
      <c r="A4020" s="40" t="s">
        <v>1</v>
      </c>
      <c r="B4020" s="23">
        <v>90300507</v>
      </c>
      <c r="C4020" s="23">
        <v>3005</v>
      </c>
      <c r="D4020" s="23">
        <v>30</v>
      </c>
      <c r="F4020" s="23" t="s">
        <v>115</v>
      </c>
      <c r="G4020" s="23" t="s">
        <v>115</v>
      </c>
      <c r="H4020" s="23" t="s">
        <v>6784</v>
      </c>
      <c r="I4020" s="23">
        <v>4</v>
      </c>
      <c r="J4020" s="40">
        <v>0</v>
      </c>
      <c r="K4020" s="40">
        <v>3</v>
      </c>
      <c r="L4020" s="40" t="s">
        <v>115</v>
      </c>
      <c r="O4020" s="40" t="s">
        <v>115</v>
      </c>
      <c r="Q4020" s="40">
        <v>351</v>
      </c>
      <c r="R4020" s="40">
        <v>305</v>
      </c>
      <c r="X4020" s="40">
        <v>90300509</v>
      </c>
      <c r="Y4020" s="40">
        <v>-1</v>
      </c>
      <c r="Z4020" s="40">
        <v>2</v>
      </c>
      <c r="AA4020" s="40" t="s">
        <v>6785</v>
      </c>
      <c r="AB4020" s="40" t="s">
        <v>115</v>
      </c>
      <c r="AC4020" s="40" t="s">
        <v>115</v>
      </c>
      <c r="AI4020" s="40" t="s">
        <v>115</v>
      </c>
      <c r="AP4020" s="4" t="s">
        <v>115</v>
      </c>
    </row>
    <row r="4021" spans="1:42" x14ac:dyDescent="0.15">
      <c r="A4021" s="40" t="s">
        <v>1</v>
      </c>
      <c r="B4021" s="23">
        <v>90300508</v>
      </c>
      <c r="C4021" s="23">
        <v>3005</v>
      </c>
      <c r="D4021" s="23">
        <v>30</v>
      </c>
      <c r="F4021" s="23" t="s">
        <v>115</v>
      </c>
      <c r="G4021" s="23" t="s">
        <v>115</v>
      </c>
      <c r="H4021" s="23" t="s">
        <v>6786</v>
      </c>
      <c r="I4021" s="23">
        <v>4</v>
      </c>
      <c r="J4021" s="40">
        <v>0</v>
      </c>
      <c r="K4021" s="40">
        <v>4</v>
      </c>
      <c r="L4021" s="40" t="s">
        <v>115</v>
      </c>
      <c r="O4021" s="40" t="s">
        <v>115</v>
      </c>
      <c r="Q4021" s="40">
        <v>351</v>
      </c>
      <c r="R4021" s="40">
        <v>305</v>
      </c>
      <c r="X4021" s="40">
        <v>90300512</v>
      </c>
      <c r="Y4021" s="40">
        <v>-1</v>
      </c>
      <c r="Z4021" s="40">
        <v>2</v>
      </c>
      <c r="AA4021" s="40" t="s">
        <v>115</v>
      </c>
      <c r="AB4021" s="40" t="s">
        <v>115</v>
      </c>
      <c r="AC4021" s="40" t="s">
        <v>115</v>
      </c>
      <c r="AI4021" s="40" t="s">
        <v>115</v>
      </c>
      <c r="AP4021" s="4" t="s">
        <v>115</v>
      </c>
    </row>
    <row r="4022" spans="1:42" x14ac:dyDescent="0.15">
      <c r="A4022" s="40" t="s">
        <v>1</v>
      </c>
      <c r="B4022" s="23">
        <v>90300509</v>
      </c>
      <c r="C4022" s="23">
        <v>3005</v>
      </c>
      <c r="D4022" s="23">
        <v>30</v>
      </c>
      <c r="F4022" s="23" t="s">
        <v>6726</v>
      </c>
      <c r="G4022" s="23" t="s">
        <v>115</v>
      </c>
      <c r="H4022" s="23" t="s">
        <v>6787</v>
      </c>
      <c r="I4022" s="23">
        <v>3</v>
      </c>
      <c r="J4022" s="40">
        <v>0</v>
      </c>
      <c r="K4022" s="40">
        <v>0</v>
      </c>
      <c r="L4022" s="40" t="s">
        <v>115</v>
      </c>
      <c r="O4022" s="40" t="s">
        <v>115</v>
      </c>
      <c r="Q4022" s="40">
        <v>351</v>
      </c>
      <c r="R4022" s="40">
        <v>305</v>
      </c>
      <c r="X4022" s="40">
        <v>90300510</v>
      </c>
      <c r="Y4022" s="40" t="s">
        <v>115</v>
      </c>
      <c r="Z4022" s="40" t="s">
        <v>115</v>
      </c>
      <c r="AA4022" s="40" t="s">
        <v>115</v>
      </c>
      <c r="AB4022" s="40" t="s">
        <v>115</v>
      </c>
      <c r="AC4022" s="40" t="s">
        <v>115</v>
      </c>
      <c r="AI4022" s="40" t="s">
        <v>115</v>
      </c>
      <c r="AP4022" s="4" t="s">
        <v>115</v>
      </c>
    </row>
    <row r="4023" spans="1:42" x14ac:dyDescent="0.15">
      <c r="A4023" s="40" t="s">
        <v>1</v>
      </c>
      <c r="B4023" s="23">
        <v>90300510</v>
      </c>
      <c r="C4023" s="23">
        <v>3005</v>
      </c>
      <c r="D4023" s="23">
        <v>30</v>
      </c>
      <c r="F4023" s="23" t="s">
        <v>116</v>
      </c>
      <c r="G4023" s="23">
        <v>261</v>
      </c>
      <c r="H4023" s="23" t="s">
        <v>6788</v>
      </c>
      <c r="I4023" s="23">
        <v>0</v>
      </c>
      <c r="J4023" s="40">
        <v>0</v>
      </c>
      <c r="K4023" s="40">
        <v>0</v>
      </c>
      <c r="L4023" s="40" t="s">
        <v>115</v>
      </c>
      <c r="O4023" s="40" t="s">
        <v>115</v>
      </c>
      <c r="Q4023" s="40">
        <v>351</v>
      </c>
      <c r="R4023" s="40">
        <v>305</v>
      </c>
      <c r="X4023" s="40">
        <v>90300511</v>
      </c>
      <c r="Y4023" s="40" t="s">
        <v>115</v>
      </c>
      <c r="Z4023" s="40" t="s">
        <v>115</v>
      </c>
      <c r="AA4023" s="40" t="s">
        <v>115</v>
      </c>
      <c r="AB4023" s="40" t="s">
        <v>115</v>
      </c>
      <c r="AC4023" s="40" t="s">
        <v>115</v>
      </c>
      <c r="AI4023" s="40" t="s">
        <v>115</v>
      </c>
      <c r="AP4023" s="4" t="s">
        <v>115</v>
      </c>
    </row>
    <row r="4024" spans="1:42" x14ac:dyDescent="0.15">
      <c r="A4024" s="40" t="s">
        <v>1</v>
      </c>
      <c r="B4024" s="23">
        <v>90300511</v>
      </c>
      <c r="C4024" s="23">
        <v>3005</v>
      </c>
      <c r="D4024" s="23">
        <v>30</v>
      </c>
      <c r="F4024" s="23" t="s">
        <v>116</v>
      </c>
      <c r="G4024" s="23">
        <v>261</v>
      </c>
      <c r="H4024" s="23" t="s">
        <v>6789</v>
      </c>
      <c r="I4024" s="23">
        <v>0</v>
      </c>
      <c r="J4024" s="40">
        <v>0</v>
      </c>
      <c r="K4024" s="40">
        <v>0</v>
      </c>
      <c r="L4024" s="40" t="s">
        <v>115</v>
      </c>
      <c r="O4024" s="40" t="s">
        <v>115</v>
      </c>
      <c r="Q4024" s="40">
        <v>351</v>
      </c>
      <c r="R4024" s="40">
        <v>305</v>
      </c>
      <c r="X4024" s="40">
        <v>90300516</v>
      </c>
      <c r="Y4024" s="40" t="s">
        <v>115</v>
      </c>
      <c r="Z4024" s="40" t="s">
        <v>115</v>
      </c>
      <c r="AA4024" s="40" t="s">
        <v>115</v>
      </c>
      <c r="AB4024" s="40" t="s">
        <v>115</v>
      </c>
      <c r="AC4024" s="40" t="s">
        <v>115</v>
      </c>
      <c r="AI4024" s="40" t="s">
        <v>115</v>
      </c>
      <c r="AP4024" s="4" t="s">
        <v>115</v>
      </c>
    </row>
    <row r="4025" spans="1:42" x14ac:dyDescent="0.15">
      <c r="A4025" s="40" t="s">
        <v>1</v>
      </c>
      <c r="B4025" s="23">
        <v>90300512</v>
      </c>
      <c r="C4025" s="23">
        <v>3005</v>
      </c>
      <c r="D4025" s="23">
        <v>30</v>
      </c>
      <c r="F4025" s="23" t="s">
        <v>6726</v>
      </c>
      <c r="G4025" s="23" t="s">
        <v>115</v>
      </c>
      <c r="H4025" s="23" t="s">
        <v>6790</v>
      </c>
      <c r="I4025" s="23">
        <v>3</v>
      </c>
      <c r="J4025" s="40">
        <v>0</v>
      </c>
      <c r="K4025" s="40">
        <v>0</v>
      </c>
      <c r="L4025" s="40" t="s">
        <v>115</v>
      </c>
      <c r="O4025" s="40" t="s">
        <v>115</v>
      </c>
      <c r="Q4025" s="40">
        <v>351</v>
      </c>
      <c r="R4025" s="40">
        <v>305</v>
      </c>
      <c r="X4025" s="40">
        <v>90300513</v>
      </c>
      <c r="Y4025" s="40" t="s">
        <v>115</v>
      </c>
      <c r="Z4025" s="40" t="s">
        <v>115</v>
      </c>
      <c r="AA4025" s="40" t="s">
        <v>115</v>
      </c>
      <c r="AB4025" s="40" t="s">
        <v>115</v>
      </c>
      <c r="AC4025" s="40" t="s">
        <v>115</v>
      </c>
      <c r="AI4025" s="40" t="s">
        <v>115</v>
      </c>
      <c r="AP4025" s="4" t="s">
        <v>115</v>
      </c>
    </row>
    <row r="4026" spans="1:42" x14ac:dyDescent="0.15">
      <c r="A4026" s="40" t="s">
        <v>1</v>
      </c>
      <c r="B4026" s="23">
        <v>90300513</v>
      </c>
      <c r="C4026" s="23">
        <v>3005</v>
      </c>
      <c r="D4026" s="23">
        <v>30</v>
      </c>
      <c r="F4026" s="23" t="s">
        <v>116</v>
      </c>
      <c r="G4026" s="23">
        <v>261</v>
      </c>
      <c r="H4026" s="23" t="s">
        <v>6791</v>
      </c>
      <c r="I4026" s="23">
        <v>0</v>
      </c>
      <c r="J4026" s="40">
        <v>0</v>
      </c>
      <c r="K4026" s="40">
        <v>0</v>
      </c>
      <c r="L4026" s="40" t="s">
        <v>115</v>
      </c>
      <c r="O4026" s="40" t="s">
        <v>115</v>
      </c>
      <c r="Q4026" s="40">
        <v>351</v>
      </c>
      <c r="R4026" s="40">
        <v>305</v>
      </c>
      <c r="X4026" s="40">
        <v>90300514</v>
      </c>
      <c r="Y4026" s="40" t="s">
        <v>115</v>
      </c>
      <c r="Z4026" s="40" t="s">
        <v>115</v>
      </c>
      <c r="AA4026" s="40" t="s">
        <v>115</v>
      </c>
      <c r="AB4026" s="40" t="s">
        <v>115</v>
      </c>
      <c r="AC4026" s="40" t="s">
        <v>115</v>
      </c>
      <c r="AI4026" s="40" t="s">
        <v>115</v>
      </c>
      <c r="AP4026" s="4" t="s">
        <v>115</v>
      </c>
    </row>
    <row r="4027" spans="1:42" x14ac:dyDescent="0.15">
      <c r="A4027" s="40" t="s">
        <v>1</v>
      </c>
      <c r="B4027" s="23">
        <v>90300514</v>
      </c>
      <c r="C4027" s="23">
        <v>3005</v>
      </c>
      <c r="D4027" s="23">
        <v>30</v>
      </c>
      <c r="F4027" s="23" t="s">
        <v>6726</v>
      </c>
      <c r="G4027" s="23" t="s">
        <v>115</v>
      </c>
      <c r="H4027" s="23" t="s">
        <v>6792</v>
      </c>
      <c r="I4027" s="23">
        <v>3</v>
      </c>
      <c r="J4027" s="40">
        <v>0</v>
      </c>
      <c r="K4027" s="40">
        <v>0</v>
      </c>
      <c r="L4027" s="40" t="s">
        <v>115</v>
      </c>
      <c r="O4027" s="40" t="s">
        <v>115</v>
      </c>
      <c r="Q4027" s="40">
        <v>351</v>
      </c>
      <c r="R4027" s="40">
        <v>305</v>
      </c>
      <c r="X4027" s="40">
        <v>90300515</v>
      </c>
      <c r="Y4027" s="40" t="s">
        <v>115</v>
      </c>
      <c r="Z4027" s="40" t="s">
        <v>115</v>
      </c>
      <c r="AA4027" s="40" t="s">
        <v>115</v>
      </c>
      <c r="AB4027" s="40" t="s">
        <v>115</v>
      </c>
      <c r="AC4027" s="40" t="s">
        <v>115</v>
      </c>
      <c r="AI4027" s="40" t="s">
        <v>115</v>
      </c>
      <c r="AP4027" s="4" t="s">
        <v>115</v>
      </c>
    </row>
    <row r="4028" spans="1:42" x14ac:dyDescent="0.15">
      <c r="A4028" s="40" t="s">
        <v>1</v>
      </c>
      <c r="B4028" s="23">
        <v>90300515</v>
      </c>
      <c r="C4028" s="23">
        <v>3005</v>
      </c>
      <c r="D4028" s="23">
        <v>30</v>
      </c>
      <c r="F4028" s="23" t="s">
        <v>115</v>
      </c>
      <c r="G4028" s="23" t="s">
        <v>115</v>
      </c>
      <c r="H4028" s="23" t="s">
        <v>6793</v>
      </c>
      <c r="I4028" s="23">
        <v>4</v>
      </c>
      <c r="J4028" s="40">
        <v>0</v>
      </c>
      <c r="K4028" s="40">
        <v>0</v>
      </c>
      <c r="L4028" s="40" t="s">
        <v>115</v>
      </c>
      <c r="O4028" s="40" t="s">
        <v>115</v>
      </c>
      <c r="Q4028" s="40">
        <v>351</v>
      </c>
      <c r="R4028" s="40">
        <v>305</v>
      </c>
      <c r="X4028" s="40">
        <v>90300506</v>
      </c>
      <c r="Y4028" s="40" t="s">
        <v>115</v>
      </c>
      <c r="Z4028" s="40" t="s">
        <v>115</v>
      </c>
      <c r="AA4028" s="40" t="s">
        <v>115</v>
      </c>
      <c r="AB4028" s="40" t="s">
        <v>115</v>
      </c>
      <c r="AC4028" s="40" t="s">
        <v>115</v>
      </c>
      <c r="AI4028" s="40" t="s">
        <v>115</v>
      </c>
      <c r="AP4028" s="4" t="s">
        <v>115</v>
      </c>
    </row>
    <row r="4029" spans="1:42" x14ac:dyDescent="0.15">
      <c r="A4029" s="40" t="s">
        <v>1</v>
      </c>
      <c r="B4029" s="23">
        <v>90300516</v>
      </c>
      <c r="C4029" s="23">
        <v>3005</v>
      </c>
      <c r="D4029" s="23">
        <v>30</v>
      </c>
      <c r="F4029" s="23" t="s">
        <v>6726</v>
      </c>
      <c r="G4029" s="23" t="s">
        <v>115</v>
      </c>
      <c r="H4029" s="23" t="s">
        <v>6794</v>
      </c>
      <c r="I4029" s="23">
        <v>3</v>
      </c>
      <c r="J4029" s="40">
        <v>0</v>
      </c>
      <c r="K4029" s="40">
        <v>0</v>
      </c>
      <c r="L4029" s="40" t="s">
        <v>115</v>
      </c>
      <c r="O4029" s="40" t="s">
        <v>115</v>
      </c>
      <c r="Q4029" s="40">
        <v>351</v>
      </c>
      <c r="R4029" s="40">
        <v>305</v>
      </c>
      <c r="X4029" s="40">
        <v>90300517</v>
      </c>
      <c r="Y4029" s="40" t="s">
        <v>115</v>
      </c>
      <c r="Z4029" s="40" t="s">
        <v>115</v>
      </c>
      <c r="AA4029" s="40" t="s">
        <v>115</v>
      </c>
      <c r="AB4029" s="40" t="s">
        <v>115</v>
      </c>
      <c r="AC4029" s="40" t="s">
        <v>115</v>
      </c>
      <c r="AI4029" s="40" t="s">
        <v>115</v>
      </c>
      <c r="AP4029" s="4" t="s">
        <v>115</v>
      </c>
    </row>
    <row r="4030" spans="1:42" x14ac:dyDescent="0.15">
      <c r="A4030" s="40" t="s">
        <v>1</v>
      </c>
      <c r="B4030" s="23">
        <v>90300517</v>
      </c>
      <c r="C4030" s="23">
        <v>3005</v>
      </c>
      <c r="D4030" s="23">
        <v>30</v>
      </c>
      <c r="F4030" s="23" t="s">
        <v>116</v>
      </c>
      <c r="G4030" s="23">
        <v>274</v>
      </c>
      <c r="H4030" s="23" t="s">
        <v>6795</v>
      </c>
      <c r="I4030" s="23">
        <v>0</v>
      </c>
      <c r="J4030" s="40">
        <v>0</v>
      </c>
      <c r="K4030" s="40">
        <v>0</v>
      </c>
      <c r="L4030" s="40" t="s">
        <v>115</v>
      </c>
      <c r="O4030" s="40" t="s">
        <v>115</v>
      </c>
      <c r="Q4030" s="40">
        <v>351</v>
      </c>
      <c r="R4030" s="40">
        <v>305</v>
      </c>
      <c r="X4030" s="40">
        <v>90300518</v>
      </c>
      <c r="Y4030" s="40" t="s">
        <v>115</v>
      </c>
      <c r="Z4030" s="40" t="s">
        <v>115</v>
      </c>
      <c r="AA4030" s="40" t="s">
        <v>115</v>
      </c>
      <c r="AB4030" s="40" t="s">
        <v>115</v>
      </c>
      <c r="AC4030" s="40" t="s">
        <v>115</v>
      </c>
      <c r="AI4030" s="40" t="s">
        <v>115</v>
      </c>
      <c r="AP4030" s="4" t="s">
        <v>115</v>
      </c>
    </row>
    <row r="4031" spans="1:42" x14ac:dyDescent="0.15">
      <c r="A4031" s="40" t="s">
        <v>1</v>
      </c>
      <c r="B4031" s="23">
        <v>90300518</v>
      </c>
      <c r="C4031" s="23">
        <v>3005</v>
      </c>
      <c r="D4031" s="23">
        <v>30</v>
      </c>
      <c r="F4031" s="23" t="s">
        <v>6726</v>
      </c>
      <c r="G4031" s="23" t="s">
        <v>115</v>
      </c>
      <c r="H4031" s="23" t="s">
        <v>6796</v>
      </c>
      <c r="I4031" s="23">
        <v>3</v>
      </c>
      <c r="J4031" s="40">
        <v>0</v>
      </c>
      <c r="K4031" s="40">
        <v>0</v>
      </c>
      <c r="L4031" s="40" t="s">
        <v>115</v>
      </c>
      <c r="O4031" s="40" t="s">
        <v>115</v>
      </c>
      <c r="Q4031" s="40">
        <v>351</v>
      </c>
      <c r="R4031" s="40">
        <v>305</v>
      </c>
      <c r="X4031" s="40">
        <v>90300519</v>
      </c>
      <c r="Y4031" s="40" t="s">
        <v>115</v>
      </c>
      <c r="Z4031" s="40" t="s">
        <v>115</v>
      </c>
      <c r="AA4031" s="40" t="s">
        <v>115</v>
      </c>
      <c r="AB4031" s="40" t="s">
        <v>115</v>
      </c>
      <c r="AC4031" s="40" t="s">
        <v>115</v>
      </c>
      <c r="AI4031" s="40" t="s">
        <v>115</v>
      </c>
      <c r="AP4031" s="4" t="s">
        <v>115</v>
      </c>
    </row>
    <row r="4032" spans="1:42" x14ac:dyDescent="0.15">
      <c r="A4032" s="40" t="s">
        <v>1</v>
      </c>
      <c r="B4032" s="23">
        <v>90300519</v>
      </c>
      <c r="C4032" s="23">
        <v>3005</v>
      </c>
      <c r="D4032" s="23">
        <v>30</v>
      </c>
      <c r="F4032" s="23" t="s">
        <v>6726</v>
      </c>
      <c r="G4032" s="23" t="s">
        <v>115</v>
      </c>
      <c r="H4032" s="23" t="s">
        <v>6797</v>
      </c>
      <c r="I4032" s="23">
        <v>3</v>
      </c>
      <c r="J4032" s="40">
        <v>0</v>
      </c>
      <c r="K4032" s="40">
        <v>0</v>
      </c>
      <c r="L4032" s="40" t="s">
        <v>115</v>
      </c>
      <c r="O4032" s="40" t="s">
        <v>115</v>
      </c>
      <c r="Q4032" s="40">
        <v>351</v>
      </c>
      <c r="R4032" s="40">
        <v>305</v>
      </c>
      <c r="X4032" s="40">
        <v>90300520</v>
      </c>
      <c r="Y4032" s="40" t="s">
        <v>115</v>
      </c>
      <c r="Z4032" s="40" t="s">
        <v>115</v>
      </c>
      <c r="AA4032" s="40" t="s">
        <v>115</v>
      </c>
      <c r="AB4032" s="40" t="s">
        <v>115</v>
      </c>
      <c r="AC4032" s="40" t="s">
        <v>115</v>
      </c>
      <c r="AI4032" s="40" t="s">
        <v>115</v>
      </c>
      <c r="AP4032" s="4" t="s">
        <v>115</v>
      </c>
    </row>
    <row r="4033" spans="1:42" x14ac:dyDescent="0.15">
      <c r="A4033" s="40" t="s">
        <v>1</v>
      </c>
      <c r="B4033" s="23">
        <v>90300520</v>
      </c>
      <c r="C4033" s="23">
        <v>3005</v>
      </c>
      <c r="D4033" s="23">
        <v>30</v>
      </c>
      <c r="F4033" s="23" t="s">
        <v>6726</v>
      </c>
      <c r="G4033" s="23" t="s">
        <v>115</v>
      </c>
      <c r="H4033" s="23" t="s">
        <v>6798</v>
      </c>
      <c r="I4033" s="23">
        <v>3</v>
      </c>
      <c r="J4033" s="40">
        <v>0</v>
      </c>
      <c r="K4033" s="40">
        <v>0</v>
      </c>
      <c r="L4033" s="40" t="s">
        <v>115</v>
      </c>
      <c r="O4033" s="40" t="s">
        <v>115</v>
      </c>
      <c r="Q4033" s="40">
        <v>351</v>
      </c>
      <c r="R4033" s="40">
        <v>305</v>
      </c>
      <c r="X4033" s="40">
        <v>90300521</v>
      </c>
      <c r="Y4033" s="40" t="s">
        <v>115</v>
      </c>
      <c r="Z4033" s="40" t="s">
        <v>115</v>
      </c>
      <c r="AA4033" s="40" t="s">
        <v>115</v>
      </c>
      <c r="AB4033" s="40" t="s">
        <v>115</v>
      </c>
      <c r="AC4033" s="40" t="s">
        <v>115</v>
      </c>
      <c r="AI4033" s="40" t="s">
        <v>115</v>
      </c>
      <c r="AP4033" s="4" t="s">
        <v>115</v>
      </c>
    </row>
    <row r="4034" spans="1:42" x14ac:dyDescent="0.15">
      <c r="A4034" s="40" t="s">
        <v>1</v>
      </c>
      <c r="B4034" s="23">
        <v>90300521</v>
      </c>
      <c r="C4034" s="23">
        <v>3005</v>
      </c>
      <c r="D4034" s="23">
        <v>30</v>
      </c>
      <c r="F4034" s="23" t="s">
        <v>116</v>
      </c>
      <c r="G4034" s="23">
        <v>261</v>
      </c>
      <c r="H4034" s="23" t="s">
        <v>6799</v>
      </c>
      <c r="I4034" s="23">
        <v>0</v>
      </c>
      <c r="J4034" s="40">
        <v>0</v>
      </c>
      <c r="K4034" s="40">
        <v>0</v>
      </c>
      <c r="L4034" s="40" t="s">
        <v>115</v>
      </c>
      <c r="O4034" s="40" t="s">
        <v>115</v>
      </c>
      <c r="Q4034" s="40">
        <v>351</v>
      </c>
      <c r="R4034" s="40">
        <v>305</v>
      </c>
      <c r="X4034" s="40">
        <v>90300522</v>
      </c>
      <c r="Y4034" s="40" t="s">
        <v>115</v>
      </c>
      <c r="Z4034" s="40" t="s">
        <v>115</v>
      </c>
      <c r="AA4034" s="40" t="s">
        <v>115</v>
      </c>
      <c r="AB4034" s="40" t="s">
        <v>115</v>
      </c>
      <c r="AC4034" s="40" t="s">
        <v>115</v>
      </c>
      <c r="AI4034" s="40" t="s">
        <v>115</v>
      </c>
      <c r="AP4034" s="4" t="s">
        <v>115</v>
      </c>
    </row>
    <row r="4035" spans="1:42" x14ac:dyDescent="0.15">
      <c r="A4035" s="40" t="s">
        <v>1</v>
      </c>
      <c r="B4035" s="23">
        <v>90300522</v>
      </c>
      <c r="C4035" s="23">
        <v>3005</v>
      </c>
      <c r="D4035" s="23">
        <v>30</v>
      </c>
      <c r="F4035" s="23" t="s">
        <v>115</v>
      </c>
      <c r="G4035" s="23" t="s">
        <v>115</v>
      </c>
      <c r="H4035" s="23" t="s">
        <v>7480</v>
      </c>
      <c r="I4035" s="23">
        <v>4</v>
      </c>
      <c r="J4035" s="40">
        <v>0</v>
      </c>
      <c r="K4035" s="40">
        <v>0</v>
      </c>
      <c r="L4035" s="40" t="s">
        <v>115</v>
      </c>
      <c r="O4035" s="40" t="s">
        <v>115</v>
      </c>
      <c r="Q4035" s="40">
        <v>351</v>
      </c>
      <c r="R4035" s="40" t="s">
        <v>115</v>
      </c>
      <c r="X4035" s="40">
        <v>90300523</v>
      </c>
      <c r="Y4035" s="40" t="s">
        <v>115</v>
      </c>
      <c r="Z4035" s="40" t="s">
        <v>115</v>
      </c>
      <c r="AA4035" s="40" t="s">
        <v>115</v>
      </c>
      <c r="AB4035" s="40" t="s">
        <v>115</v>
      </c>
      <c r="AC4035" s="40" t="s">
        <v>115</v>
      </c>
      <c r="AI4035" s="40" t="s">
        <v>115</v>
      </c>
      <c r="AP4035" s="4" t="s">
        <v>115</v>
      </c>
    </row>
    <row r="4036" spans="1:42" x14ac:dyDescent="0.15">
      <c r="A4036" s="40" t="s">
        <v>1</v>
      </c>
      <c r="B4036" s="23">
        <v>90300523</v>
      </c>
      <c r="C4036" s="23">
        <v>3005</v>
      </c>
      <c r="D4036" s="23">
        <v>30</v>
      </c>
      <c r="F4036" s="23" t="s">
        <v>115</v>
      </c>
      <c r="G4036" s="23" t="s">
        <v>115</v>
      </c>
      <c r="H4036" s="23" t="s">
        <v>6800</v>
      </c>
      <c r="I4036" s="23">
        <v>4</v>
      </c>
      <c r="J4036" s="40">
        <v>0</v>
      </c>
      <c r="K4036" s="40">
        <v>5</v>
      </c>
      <c r="L4036" s="40" t="s">
        <v>115</v>
      </c>
      <c r="O4036" s="40">
        <v>1</v>
      </c>
      <c r="Q4036" s="40">
        <v>351</v>
      </c>
      <c r="R4036" s="40" t="s">
        <v>115</v>
      </c>
      <c r="X4036" s="40" t="s">
        <v>115</v>
      </c>
      <c r="Y4036" s="40" t="s">
        <v>115</v>
      </c>
      <c r="Z4036" s="40">
        <v>4</v>
      </c>
      <c r="AA4036" s="40" t="s">
        <v>115</v>
      </c>
      <c r="AB4036" s="40" t="s">
        <v>115</v>
      </c>
      <c r="AC4036" s="40" t="s">
        <v>115</v>
      </c>
      <c r="AI4036" s="40" t="s">
        <v>115</v>
      </c>
      <c r="AP4036" s="4" t="s">
        <v>115</v>
      </c>
    </row>
    <row r="4037" spans="1:42" x14ac:dyDescent="0.15">
      <c r="A4037" s="40" t="s">
        <v>1</v>
      </c>
      <c r="B4037" s="23" t="s">
        <v>4948</v>
      </c>
      <c r="C4037" s="23">
        <v>3006</v>
      </c>
      <c r="D4037" s="23">
        <v>30</v>
      </c>
      <c r="F4037" s="23" t="s">
        <v>115</v>
      </c>
      <c r="G4037" s="23" t="s">
        <v>115</v>
      </c>
      <c r="H4037" s="23" t="s">
        <v>6801</v>
      </c>
      <c r="I4037" s="23">
        <v>4</v>
      </c>
      <c r="J4037" s="40">
        <v>1</v>
      </c>
      <c r="K4037" s="40">
        <v>1</v>
      </c>
      <c r="L4037" s="40" t="s">
        <v>115</v>
      </c>
      <c r="O4037" s="40" t="s">
        <v>115</v>
      </c>
      <c r="Q4037" s="40">
        <v>351</v>
      </c>
      <c r="R4037" s="40" t="s">
        <v>115</v>
      </c>
      <c r="X4037" s="40">
        <v>90300602</v>
      </c>
      <c r="Y4037" s="40" t="s">
        <v>115</v>
      </c>
      <c r="Z4037" s="40" t="s">
        <v>115</v>
      </c>
      <c r="AA4037" s="40" t="s">
        <v>115</v>
      </c>
      <c r="AB4037" s="40" t="s">
        <v>115</v>
      </c>
      <c r="AC4037" s="40" t="s">
        <v>115</v>
      </c>
      <c r="AI4037" s="40" t="s">
        <v>115</v>
      </c>
      <c r="AP4037" s="4" t="s">
        <v>115</v>
      </c>
    </row>
    <row r="4038" spans="1:42" x14ac:dyDescent="0.15">
      <c r="A4038" s="40" t="s">
        <v>1</v>
      </c>
      <c r="B4038" s="23">
        <v>90300602</v>
      </c>
      <c r="C4038" s="23">
        <v>3006</v>
      </c>
      <c r="D4038" s="23">
        <v>30</v>
      </c>
      <c r="F4038" s="23" t="s">
        <v>115</v>
      </c>
      <c r="G4038" s="23" t="s">
        <v>115</v>
      </c>
      <c r="H4038" s="23" t="s">
        <v>6802</v>
      </c>
      <c r="I4038" s="23">
        <v>4</v>
      </c>
      <c r="J4038" s="40">
        <v>0</v>
      </c>
      <c r="K4038" s="40">
        <v>0</v>
      </c>
      <c r="L4038" s="40" t="s">
        <v>115</v>
      </c>
      <c r="O4038" s="40" t="s">
        <v>115</v>
      </c>
      <c r="Q4038" s="40">
        <v>351</v>
      </c>
      <c r="R4038" s="40" t="s">
        <v>115</v>
      </c>
      <c r="X4038" s="40">
        <v>90300603</v>
      </c>
      <c r="Y4038" s="40" t="s">
        <v>115</v>
      </c>
      <c r="Z4038" s="40" t="s">
        <v>115</v>
      </c>
      <c r="AA4038" s="40" t="s">
        <v>115</v>
      </c>
      <c r="AB4038" s="40" t="s">
        <v>115</v>
      </c>
      <c r="AC4038" s="40" t="s">
        <v>115</v>
      </c>
      <c r="AI4038" s="40" t="s">
        <v>115</v>
      </c>
      <c r="AP4038" s="4" t="s">
        <v>115</v>
      </c>
    </row>
    <row r="4039" spans="1:42" x14ac:dyDescent="0.15">
      <c r="A4039" s="40" t="s">
        <v>1</v>
      </c>
      <c r="B4039" s="23">
        <v>90300603</v>
      </c>
      <c r="C4039" s="23">
        <v>3006</v>
      </c>
      <c r="D4039" s="23">
        <v>30</v>
      </c>
      <c r="F4039" s="23" t="s">
        <v>116</v>
      </c>
      <c r="G4039" s="23">
        <v>261</v>
      </c>
      <c r="H4039" s="23" t="s">
        <v>6803</v>
      </c>
      <c r="I4039" s="23">
        <v>0</v>
      </c>
      <c r="J4039" s="40">
        <v>0</v>
      </c>
      <c r="K4039" s="40">
        <v>0</v>
      </c>
      <c r="L4039" s="40" t="s">
        <v>115</v>
      </c>
      <c r="O4039" s="40" t="s">
        <v>115</v>
      </c>
      <c r="Q4039" s="40">
        <v>351</v>
      </c>
      <c r="R4039" s="40">
        <v>255</v>
      </c>
      <c r="X4039" s="40">
        <v>90300604</v>
      </c>
      <c r="Y4039" s="40" t="s">
        <v>115</v>
      </c>
      <c r="Z4039" s="40" t="s">
        <v>115</v>
      </c>
      <c r="AA4039" s="40" t="s">
        <v>115</v>
      </c>
      <c r="AB4039" s="40" t="s">
        <v>115</v>
      </c>
      <c r="AC4039" s="40" t="s">
        <v>115</v>
      </c>
      <c r="AI4039" s="40" t="s">
        <v>115</v>
      </c>
      <c r="AP4039" s="4" t="s">
        <v>115</v>
      </c>
    </row>
    <row r="4040" spans="1:42" x14ac:dyDescent="0.15">
      <c r="A4040" s="40" t="s">
        <v>1</v>
      </c>
      <c r="B4040" s="23">
        <v>90300604</v>
      </c>
      <c r="C4040" s="23">
        <v>3006</v>
      </c>
      <c r="D4040" s="23">
        <v>30</v>
      </c>
      <c r="F4040" s="23" t="s">
        <v>6804</v>
      </c>
      <c r="G4040" s="23" t="s">
        <v>115</v>
      </c>
      <c r="H4040" s="23" t="s">
        <v>6805</v>
      </c>
      <c r="I4040" s="23">
        <v>3</v>
      </c>
      <c r="J4040" s="40">
        <v>0</v>
      </c>
      <c r="K4040" s="40">
        <v>0</v>
      </c>
      <c r="L4040" s="40" t="s">
        <v>115</v>
      </c>
      <c r="O4040" s="40" t="s">
        <v>115</v>
      </c>
      <c r="Q4040" s="40">
        <v>351</v>
      </c>
      <c r="R4040" s="40">
        <v>255</v>
      </c>
      <c r="X4040" s="40">
        <v>90300605</v>
      </c>
      <c r="Y4040" s="40" t="s">
        <v>115</v>
      </c>
      <c r="Z4040" s="40" t="s">
        <v>115</v>
      </c>
      <c r="AA4040" s="40" t="s">
        <v>115</v>
      </c>
      <c r="AB4040" s="40" t="s">
        <v>115</v>
      </c>
      <c r="AC4040" s="40" t="s">
        <v>115</v>
      </c>
      <c r="AI4040" s="40" t="s">
        <v>115</v>
      </c>
      <c r="AP4040" s="4" t="s">
        <v>115</v>
      </c>
    </row>
    <row r="4041" spans="1:42" x14ac:dyDescent="0.15">
      <c r="A4041" s="40" t="s">
        <v>1</v>
      </c>
      <c r="B4041" s="23">
        <v>90300605</v>
      </c>
      <c r="C4041" s="23">
        <v>3006</v>
      </c>
      <c r="D4041" s="23">
        <v>30</v>
      </c>
      <c r="F4041" s="23" t="s">
        <v>115</v>
      </c>
      <c r="G4041" s="23">
        <v>261</v>
      </c>
      <c r="H4041" s="23" t="s">
        <v>6806</v>
      </c>
      <c r="I4041" s="23">
        <v>4</v>
      </c>
      <c r="J4041" s="40">
        <v>0</v>
      </c>
      <c r="K4041" s="40">
        <v>0</v>
      </c>
      <c r="L4041" s="40" t="s">
        <v>115</v>
      </c>
      <c r="O4041" s="40" t="s">
        <v>115</v>
      </c>
      <c r="Q4041" s="40">
        <v>351</v>
      </c>
      <c r="R4041" s="40">
        <v>255</v>
      </c>
      <c r="X4041" s="40">
        <v>90300606</v>
      </c>
      <c r="Y4041" s="40" t="s">
        <v>115</v>
      </c>
      <c r="Z4041" s="40" t="s">
        <v>115</v>
      </c>
      <c r="AA4041" s="40" t="s">
        <v>115</v>
      </c>
      <c r="AB4041" s="40" t="s">
        <v>115</v>
      </c>
      <c r="AC4041" s="40" t="s">
        <v>115</v>
      </c>
      <c r="AI4041" s="40" t="s">
        <v>115</v>
      </c>
      <c r="AP4041" s="4" t="s">
        <v>115</v>
      </c>
    </row>
    <row r="4042" spans="1:42" x14ac:dyDescent="0.15">
      <c r="A4042" s="40" t="s">
        <v>1</v>
      </c>
      <c r="B4042" s="23">
        <v>90300606</v>
      </c>
      <c r="C4042" s="23">
        <v>3006</v>
      </c>
      <c r="D4042" s="23">
        <v>30</v>
      </c>
      <c r="F4042" s="23" t="s">
        <v>115</v>
      </c>
      <c r="G4042" s="23" t="s">
        <v>115</v>
      </c>
      <c r="H4042" s="23" t="s">
        <v>6807</v>
      </c>
      <c r="I4042" s="23">
        <v>4</v>
      </c>
      <c r="J4042" s="40">
        <v>0</v>
      </c>
      <c r="K4042" s="40">
        <v>0</v>
      </c>
      <c r="L4042" s="40" t="s">
        <v>115</v>
      </c>
      <c r="O4042" s="40" t="s">
        <v>115</v>
      </c>
      <c r="Q4042" s="40">
        <v>351</v>
      </c>
      <c r="R4042" s="40">
        <v>255</v>
      </c>
      <c r="X4042" s="40">
        <v>90300607</v>
      </c>
      <c r="Y4042" s="40" t="s">
        <v>115</v>
      </c>
      <c r="Z4042" s="40" t="s">
        <v>115</v>
      </c>
      <c r="AA4042" s="40" t="s">
        <v>115</v>
      </c>
      <c r="AB4042" s="40" t="s">
        <v>115</v>
      </c>
      <c r="AC4042" s="40" t="s">
        <v>115</v>
      </c>
      <c r="AI4042" s="40" t="s">
        <v>115</v>
      </c>
      <c r="AP4042" s="4" t="s">
        <v>115</v>
      </c>
    </row>
    <row r="4043" spans="1:42" x14ac:dyDescent="0.15">
      <c r="A4043" s="40" t="s">
        <v>1</v>
      </c>
      <c r="B4043" s="23">
        <v>90300607</v>
      </c>
      <c r="C4043" s="23">
        <v>3006</v>
      </c>
      <c r="D4043" s="23">
        <v>30</v>
      </c>
      <c r="F4043" s="23" t="s">
        <v>115</v>
      </c>
      <c r="G4043" s="23" t="s">
        <v>115</v>
      </c>
      <c r="H4043" s="23" t="s">
        <v>6808</v>
      </c>
      <c r="I4043" s="23">
        <v>4</v>
      </c>
      <c r="J4043" s="40">
        <v>0</v>
      </c>
      <c r="K4043" s="40">
        <v>2</v>
      </c>
      <c r="L4043" s="40" t="s">
        <v>115</v>
      </c>
      <c r="O4043" s="40" t="s">
        <v>115</v>
      </c>
      <c r="Q4043" s="40">
        <v>351</v>
      </c>
      <c r="R4043" s="40" t="s">
        <v>115</v>
      </c>
      <c r="X4043" s="40" t="s">
        <v>6809</v>
      </c>
      <c r="Y4043" s="40">
        <v>1</v>
      </c>
      <c r="Z4043" s="40">
        <v>1</v>
      </c>
      <c r="AA4043" s="40" t="s">
        <v>115</v>
      </c>
      <c r="AB4043" s="40" t="s">
        <v>115</v>
      </c>
      <c r="AC4043" s="40" t="s">
        <v>115</v>
      </c>
      <c r="AI4043" s="40" t="s">
        <v>115</v>
      </c>
      <c r="AP4043" s="4" t="s">
        <v>115</v>
      </c>
    </row>
    <row r="4044" spans="1:42" x14ac:dyDescent="0.15">
      <c r="A4044" s="40" t="s">
        <v>1</v>
      </c>
      <c r="B4044" s="23">
        <v>90300608</v>
      </c>
      <c r="C4044" s="23">
        <v>3006</v>
      </c>
      <c r="D4044" s="23">
        <v>30</v>
      </c>
      <c r="F4044" s="23" t="s">
        <v>115</v>
      </c>
      <c r="G4044" s="23" t="s">
        <v>115</v>
      </c>
      <c r="H4044" s="23" t="s">
        <v>6810</v>
      </c>
      <c r="I4044" s="23">
        <v>4</v>
      </c>
      <c r="J4044" s="40">
        <v>0</v>
      </c>
      <c r="K4044" s="40">
        <v>3</v>
      </c>
      <c r="L4044" s="40" t="s">
        <v>115</v>
      </c>
      <c r="O4044" s="40" t="s">
        <v>115</v>
      </c>
      <c r="Q4044" s="40">
        <v>351</v>
      </c>
      <c r="R4044" s="40" t="s">
        <v>115</v>
      </c>
      <c r="X4044" s="40">
        <v>90300610</v>
      </c>
      <c r="Y4044" s="40">
        <v>-1</v>
      </c>
      <c r="Z4044" s="40">
        <v>2</v>
      </c>
      <c r="AA4044" s="40" t="s">
        <v>115</v>
      </c>
      <c r="AB4044" s="40" t="s">
        <v>115</v>
      </c>
      <c r="AC4044" s="40" t="s">
        <v>115</v>
      </c>
      <c r="AI4044" s="40" t="s">
        <v>115</v>
      </c>
      <c r="AP4044" s="4" t="s">
        <v>115</v>
      </c>
    </row>
    <row r="4045" spans="1:42" x14ac:dyDescent="0.15">
      <c r="A4045" s="40" t="s">
        <v>1</v>
      </c>
      <c r="B4045" s="23">
        <v>90300609</v>
      </c>
      <c r="C4045" s="23">
        <v>3006</v>
      </c>
      <c r="D4045" s="23">
        <v>30</v>
      </c>
      <c r="F4045" s="23" t="s">
        <v>115</v>
      </c>
      <c r="G4045" s="23" t="s">
        <v>115</v>
      </c>
      <c r="H4045" s="23" t="s">
        <v>6811</v>
      </c>
      <c r="I4045" s="23">
        <v>4</v>
      </c>
      <c r="J4045" s="40">
        <v>0</v>
      </c>
      <c r="K4045" s="40">
        <v>4</v>
      </c>
      <c r="L4045" s="40" t="s">
        <v>115</v>
      </c>
      <c r="O4045" s="40" t="s">
        <v>115</v>
      </c>
      <c r="Q4045" s="40">
        <v>351</v>
      </c>
      <c r="R4045" s="40" t="s">
        <v>115</v>
      </c>
      <c r="X4045" s="40">
        <v>90300613</v>
      </c>
      <c r="Y4045" s="40">
        <v>-1</v>
      </c>
      <c r="Z4045" s="40">
        <v>2</v>
      </c>
      <c r="AA4045" s="40" t="s">
        <v>115</v>
      </c>
      <c r="AB4045" s="40" t="s">
        <v>115</v>
      </c>
      <c r="AC4045" s="40" t="s">
        <v>115</v>
      </c>
      <c r="AI4045" s="40" t="s">
        <v>115</v>
      </c>
      <c r="AP4045" s="4" t="s">
        <v>115</v>
      </c>
    </row>
    <row r="4046" spans="1:42" x14ac:dyDescent="0.15">
      <c r="A4046" s="40" t="s">
        <v>1</v>
      </c>
      <c r="B4046" s="23">
        <v>90300610</v>
      </c>
      <c r="C4046" s="23">
        <v>3006</v>
      </c>
      <c r="D4046" s="23">
        <v>30</v>
      </c>
      <c r="F4046" s="23" t="s">
        <v>6804</v>
      </c>
      <c r="G4046" s="23" t="s">
        <v>115</v>
      </c>
      <c r="H4046" s="23" t="s">
        <v>6812</v>
      </c>
      <c r="I4046" s="23">
        <v>3</v>
      </c>
      <c r="J4046" s="40">
        <v>0</v>
      </c>
      <c r="K4046" s="40">
        <v>0</v>
      </c>
      <c r="L4046" s="40" t="s">
        <v>115</v>
      </c>
      <c r="O4046" s="40" t="s">
        <v>115</v>
      </c>
      <c r="Q4046" s="40">
        <v>351</v>
      </c>
      <c r="R4046" s="40">
        <v>255</v>
      </c>
      <c r="X4046" s="40">
        <v>90300611</v>
      </c>
      <c r="Y4046" s="40" t="s">
        <v>115</v>
      </c>
      <c r="Z4046" s="40" t="s">
        <v>115</v>
      </c>
      <c r="AA4046" s="40" t="s">
        <v>115</v>
      </c>
      <c r="AB4046" s="40" t="s">
        <v>115</v>
      </c>
      <c r="AC4046" s="40" t="s">
        <v>115</v>
      </c>
      <c r="AI4046" s="40" t="s">
        <v>115</v>
      </c>
      <c r="AP4046" s="4" t="s">
        <v>115</v>
      </c>
    </row>
    <row r="4047" spans="1:42" x14ac:dyDescent="0.15">
      <c r="A4047" s="40" t="s">
        <v>1</v>
      </c>
      <c r="B4047" s="23">
        <v>90300611</v>
      </c>
      <c r="C4047" s="23">
        <v>3006</v>
      </c>
      <c r="D4047" s="23">
        <v>30</v>
      </c>
      <c r="F4047" s="23" t="s">
        <v>115</v>
      </c>
      <c r="G4047" s="23" t="s">
        <v>115</v>
      </c>
      <c r="H4047" s="23" t="s">
        <v>6813</v>
      </c>
      <c r="I4047" s="23">
        <v>4</v>
      </c>
      <c r="J4047" s="40">
        <v>0</v>
      </c>
      <c r="K4047" s="40">
        <v>0</v>
      </c>
      <c r="L4047" s="40" t="s">
        <v>115</v>
      </c>
      <c r="O4047" s="40" t="s">
        <v>115</v>
      </c>
      <c r="Q4047" s="40">
        <v>351</v>
      </c>
      <c r="R4047" s="40">
        <v>255</v>
      </c>
      <c r="X4047" s="40">
        <v>90300612</v>
      </c>
      <c r="Y4047" s="40" t="s">
        <v>115</v>
      </c>
      <c r="Z4047" s="40" t="s">
        <v>115</v>
      </c>
      <c r="AA4047" s="40" t="s">
        <v>115</v>
      </c>
      <c r="AB4047" s="40" t="s">
        <v>115</v>
      </c>
      <c r="AC4047" s="40" t="s">
        <v>115</v>
      </c>
      <c r="AI4047" s="40" t="s">
        <v>115</v>
      </c>
      <c r="AP4047" s="4" t="s">
        <v>115</v>
      </c>
    </row>
    <row r="4048" spans="1:42" x14ac:dyDescent="0.15">
      <c r="A4048" s="40" t="s">
        <v>1</v>
      </c>
      <c r="B4048" s="23">
        <v>90300612</v>
      </c>
      <c r="C4048" s="23">
        <v>3006</v>
      </c>
      <c r="D4048" s="23">
        <v>30</v>
      </c>
      <c r="F4048" s="23" t="s">
        <v>6804</v>
      </c>
      <c r="G4048" s="23" t="s">
        <v>115</v>
      </c>
      <c r="H4048" s="23" t="s">
        <v>6814</v>
      </c>
      <c r="I4048" s="23">
        <v>3</v>
      </c>
      <c r="J4048" s="40">
        <v>0</v>
      </c>
      <c r="K4048" s="40">
        <v>0</v>
      </c>
      <c r="L4048" s="40" t="s">
        <v>115</v>
      </c>
      <c r="O4048" s="40" t="s">
        <v>115</v>
      </c>
      <c r="Q4048" s="40">
        <v>351</v>
      </c>
      <c r="R4048" s="40">
        <v>255</v>
      </c>
      <c r="X4048" s="40">
        <v>90300617</v>
      </c>
      <c r="Y4048" s="40" t="s">
        <v>115</v>
      </c>
      <c r="Z4048" s="40" t="s">
        <v>115</v>
      </c>
      <c r="AA4048" s="40" t="s">
        <v>115</v>
      </c>
      <c r="AB4048" s="40" t="s">
        <v>115</v>
      </c>
      <c r="AC4048" s="40" t="s">
        <v>115</v>
      </c>
      <c r="AI4048" s="40" t="s">
        <v>115</v>
      </c>
      <c r="AP4048" s="4" t="s">
        <v>115</v>
      </c>
    </row>
    <row r="4049" spans="1:42" x14ac:dyDescent="0.15">
      <c r="A4049" s="40" t="s">
        <v>1</v>
      </c>
      <c r="B4049" s="23">
        <v>90300613</v>
      </c>
      <c r="C4049" s="23">
        <v>3006</v>
      </c>
      <c r="D4049" s="23">
        <v>30</v>
      </c>
      <c r="F4049" s="23" t="s">
        <v>115</v>
      </c>
      <c r="G4049" s="23" t="s">
        <v>115</v>
      </c>
      <c r="H4049" s="23" t="s">
        <v>6815</v>
      </c>
      <c r="I4049" s="23">
        <v>4</v>
      </c>
      <c r="J4049" s="40">
        <v>0</v>
      </c>
      <c r="K4049" s="40">
        <v>0</v>
      </c>
      <c r="L4049" s="40" t="s">
        <v>115</v>
      </c>
      <c r="O4049" s="40" t="s">
        <v>115</v>
      </c>
      <c r="Q4049" s="40">
        <v>351</v>
      </c>
      <c r="R4049" s="40">
        <v>255</v>
      </c>
      <c r="X4049" s="40">
        <v>90300614</v>
      </c>
      <c r="Y4049" s="40" t="s">
        <v>115</v>
      </c>
      <c r="Z4049" s="40" t="s">
        <v>115</v>
      </c>
      <c r="AA4049" s="40" t="s">
        <v>115</v>
      </c>
      <c r="AB4049" s="40" t="s">
        <v>115</v>
      </c>
      <c r="AC4049" s="40" t="s">
        <v>115</v>
      </c>
      <c r="AI4049" s="40" t="s">
        <v>115</v>
      </c>
      <c r="AP4049" s="4" t="s">
        <v>115</v>
      </c>
    </row>
    <row r="4050" spans="1:42" x14ac:dyDescent="0.15">
      <c r="A4050" s="40" t="s">
        <v>1</v>
      </c>
      <c r="B4050" s="23">
        <v>90300614</v>
      </c>
      <c r="C4050" s="23">
        <v>3006</v>
      </c>
      <c r="D4050" s="23">
        <v>30</v>
      </c>
      <c r="F4050" s="23" t="s">
        <v>6804</v>
      </c>
      <c r="G4050" s="23" t="s">
        <v>115</v>
      </c>
      <c r="H4050" s="23" t="s">
        <v>6816</v>
      </c>
      <c r="I4050" s="23">
        <v>3</v>
      </c>
      <c r="J4050" s="40">
        <v>0</v>
      </c>
      <c r="K4050" s="40">
        <v>0</v>
      </c>
      <c r="L4050" s="40" t="s">
        <v>115</v>
      </c>
      <c r="O4050" s="40" t="s">
        <v>115</v>
      </c>
      <c r="Q4050" s="40">
        <v>351</v>
      </c>
      <c r="R4050" s="40">
        <v>255</v>
      </c>
      <c r="X4050" s="40">
        <v>90300615</v>
      </c>
      <c r="Y4050" s="40" t="s">
        <v>115</v>
      </c>
      <c r="Z4050" s="40" t="s">
        <v>115</v>
      </c>
      <c r="AA4050" s="40" t="s">
        <v>115</v>
      </c>
      <c r="AB4050" s="40" t="s">
        <v>115</v>
      </c>
      <c r="AC4050" s="40" t="s">
        <v>115</v>
      </c>
      <c r="AI4050" s="40" t="s">
        <v>115</v>
      </c>
      <c r="AP4050" s="4" t="s">
        <v>115</v>
      </c>
    </row>
    <row r="4051" spans="1:42" x14ac:dyDescent="0.15">
      <c r="A4051" s="40" t="s">
        <v>1</v>
      </c>
      <c r="B4051" s="23">
        <v>90300615</v>
      </c>
      <c r="C4051" s="23">
        <v>3006</v>
      </c>
      <c r="D4051" s="23">
        <v>30</v>
      </c>
      <c r="F4051" s="23" t="s">
        <v>116</v>
      </c>
      <c r="G4051" s="23">
        <v>261</v>
      </c>
      <c r="H4051" s="23" t="s">
        <v>338</v>
      </c>
      <c r="I4051" s="23">
        <v>0</v>
      </c>
      <c r="J4051" s="40">
        <v>0</v>
      </c>
      <c r="K4051" s="40">
        <v>0</v>
      </c>
      <c r="L4051" s="40" t="s">
        <v>115</v>
      </c>
      <c r="O4051" s="40" t="s">
        <v>115</v>
      </c>
      <c r="Q4051" s="40">
        <v>351</v>
      </c>
      <c r="R4051" s="40">
        <v>255</v>
      </c>
      <c r="X4051" s="40">
        <v>90300616</v>
      </c>
      <c r="Y4051" s="40" t="s">
        <v>115</v>
      </c>
      <c r="Z4051" s="40" t="s">
        <v>115</v>
      </c>
      <c r="AA4051" s="40" t="s">
        <v>115</v>
      </c>
      <c r="AB4051" s="40" t="s">
        <v>115</v>
      </c>
      <c r="AC4051" s="40" t="s">
        <v>115</v>
      </c>
      <c r="AI4051" s="40" t="s">
        <v>115</v>
      </c>
      <c r="AP4051" s="4" t="s">
        <v>115</v>
      </c>
    </row>
    <row r="4052" spans="1:42" x14ac:dyDescent="0.15">
      <c r="A4052" s="40" t="s">
        <v>1</v>
      </c>
      <c r="B4052" s="23">
        <v>90300616</v>
      </c>
      <c r="C4052" s="23">
        <v>3006</v>
      </c>
      <c r="D4052" s="23">
        <v>30</v>
      </c>
      <c r="F4052" s="23" t="s">
        <v>6804</v>
      </c>
      <c r="G4052" s="23" t="s">
        <v>115</v>
      </c>
      <c r="H4052" s="23" t="s">
        <v>6817</v>
      </c>
      <c r="I4052" s="23">
        <v>3</v>
      </c>
      <c r="J4052" s="40">
        <v>0</v>
      </c>
      <c r="K4052" s="40">
        <v>0</v>
      </c>
      <c r="L4052" s="40" t="s">
        <v>115</v>
      </c>
      <c r="O4052" s="40" t="s">
        <v>115</v>
      </c>
      <c r="Q4052" s="40">
        <v>351</v>
      </c>
      <c r="R4052" s="40">
        <v>255</v>
      </c>
      <c r="X4052" s="40">
        <v>90300607</v>
      </c>
      <c r="Y4052" s="40" t="s">
        <v>115</v>
      </c>
      <c r="Z4052" s="40" t="s">
        <v>115</v>
      </c>
      <c r="AA4052" s="40" t="s">
        <v>115</v>
      </c>
      <c r="AB4052" s="40" t="s">
        <v>115</v>
      </c>
      <c r="AC4052" s="40" t="s">
        <v>115</v>
      </c>
      <c r="AI4052" s="40" t="s">
        <v>115</v>
      </c>
      <c r="AP4052" s="4" t="s">
        <v>115</v>
      </c>
    </row>
    <row r="4053" spans="1:42" x14ac:dyDescent="0.15">
      <c r="A4053" s="40" t="s">
        <v>1</v>
      </c>
      <c r="B4053" s="23">
        <v>90300617</v>
      </c>
      <c r="C4053" s="23">
        <v>3006</v>
      </c>
      <c r="D4053" s="23">
        <v>30</v>
      </c>
      <c r="F4053" s="23" t="s">
        <v>115</v>
      </c>
      <c r="G4053" s="23" t="s">
        <v>115</v>
      </c>
      <c r="H4053" s="23" t="s">
        <v>6818</v>
      </c>
      <c r="I4053" s="23">
        <v>4</v>
      </c>
      <c r="J4053" s="40">
        <v>0</v>
      </c>
      <c r="K4053" s="40">
        <v>5</v>
      </c>
      <c r="L4053" s="40" t="s">
        <v>6819</v>
      </c>
      <c r="O4053" s="40" t="s">
        <v>115</v>
      </c>
      <c r="Q4053" s="40">
        <v>351</v>
      </c>
      <c r="R4053" s="40">
        <v>255</v>
      </c>
      <c r="X4053" s="40">
        <v>90300618</v>
      </c>
      <c r="Y4053" s="40" t="s">
        <v>115</v>
      </c>
      <c r="Z4053" s="40">
        <v>4</v>
      </c>
      <c r="AA4053" s="40" t="s">
        <v>115</v>
      </c>
      <c r="AB4053" s="40" t="s">
        <v>115</v>
      </c>
      <c r="AC4053" s="40" t="s">
        <v>115</v>
      </c>
      <c r="AI4053" s="40" t="s">
        <v>115</v>
      </c>
      <c r="AP4053" s="4" t="s">
        <v>115</v>
      </c>
    </row>
    <row r="4054" spans="1:42" x14ac:dyDescent="0.15">
      <c r="A4054" s="40" t="s">
        <v>1</v>
      </c>
      <c r="B4054" s="23">
        <v>90300618</v>
      </c>
      <c r="C4054" s="23">
        <v>3006</v>
      </c>
      <c r="D4054" s="23">
        <v>30</v>
      </c>
      <c r="F4054" s="23" t="s">
        <v>116</v>
      </c>
      <c r="G4054" s="23">
        <v>363</v>
      </c>
      <c r="H4054" s="23" t="s">
        <v>6820</v>
      </c>
      <c r="I4054" s="23">
        <v>0</v>
      </c>
      <c r="J4054" s="40">
        <v>0</v>
      </c>
      <c r="K4054" s="40">
        <v>0</v>
      </c>
      <c r="L4054" s="40" t="s">
        <v>115</v>
      </c>
      <c r="O4054" s="40" t="s">
        <v>115</v>
      </c>
      <c r="Q4054" s="40">
        <v>351</v>
      </c>
      <c r="R4054" s="40">
        <v>255</v>
      </c>
      <c r="X4054" s="40">
        <v>90300619</v>
      </c>
      <c r="Y4054" s="40" t="s">
        <v>115</v>
      </c>
      <c r="Z4054" s="40" t="s">
        <v>115</v>
      </c>
      <c r="AA4054" s="40" t="s">
        <v>115</v>
      </c>
      <c r="AB4054" s="40" t="s">
        <v>115</v>
      </c>
      <c r="AC4054" s="40" t="s">
        <v>115</v>
      </c>
      <c r="AI4054" s="40" t="s">
        <v>115</v>
      </c>
      <c r="AP4054" s="4" t="s">
        <v>115</v>
      </c>
    </row>
    <row r="4055" spans="1:42" x14ac:dyDescent="0.15">
      <c r="A4055" s="40" t="s">
        <v>1</v>
      </c>
      <c r="B4055" s="23">
        <v>90300619</v>
      </c>
      <c r="C4055" s="23">
        <v>3006</v>
      </c>
      <c r="D4055" s="23">
        <v>30</v>
      </c>
      <c r="F4055" s="23" t="s">
        <v>6804</v>
      </c>
      <c r="G4055" s="23" t="s">
        <v>115</v>
      </c>
      <c r="H4055" s="23" t="s">
        <v>6821</v>
      </c>
      <c r="I4055" s="23">
        <v>3</v>
      </c>
      <c r="J4055" s="40">
        <v>0</v>
      </c>
      <c r="K4055" s="40">
        <v>0</v>
      </c>
      <c r="L4055" s="40" t="s">
        <v>115</v>
      </c>
      <c r="O4055" s="40" t="s">
        <v>115</v>
      </c>
      <c r="Q4055" s="40">
        <v>351</v>
      </c>
      <c r="R4055" s="40">
        <v>255</v>
      </c>
      <c r="X4055" s="40">
        <v>90300620</v>
      </c>
      <c r="Y4055" s="40" t="s">
        <v>115</v>
      </c>
      <c r="Z4055" s="40" t="s">
        <v>115</v>
      </c>
      <c r="AA4055" s="40" t="s">
        <v>115</v>
      </c>
      <c r="AB4055" s="40" t="s">
        <v>115</v>
      </c>
      <c r="AC4055" s="40" t="s">
        <v>115</v>
      </c>
      <c r="AI4055" s="40" t="s">
        <v>115</v>
      </c>
      <c r="AP4055" s="4" t="s">
        <v>115</v>
      </c>
    </row>
    <row r="4056" spans="1:42" x14ac:dyDescent="0.15">
      <c r="A4056" s="40" t="s">
        <v>1</v>
      </c>
      <c r="B4056" s="23">
        <v>90300620</v>
      </c>
      <c r="C4056" s="23">
        <v>3006</v>
      </c>
      <c r="D4056" s="23">
        <v>30</v>
      </c>
      <c r="F4056" s="23" t="s">
        <v>115</v>
      </c>
      <c r="G4056" s="23" t="s">
        <v>115</v>
      </c>
      <c r="H4056" s="23" t="s">
        <v>6822</v>
      </c>
      <c r="I4056" s="23">
        <v>4</v>
      </c>
      <c r="J4056" s="40">
        <v>0</v>
      </c>
      <c r="K4056" s="40">
        <v>6</v>
      </c>
      <c r="L4056" s="40" t="s">
        <v>115</v>
      </c>
      <c r="O4056" s="40">
        <v>1</v>
      </c>
      <c r="Q4056" s="40">
        <v>351</v>
      </c>
      <c r="R4056" s="40" t="s">
        <v>115</v>
      </c>
      <c r="X4056" s="40" t="s">
        <v>115</v>
      </c>
      <c r="Y4056" s="40" t="s">
        <v>115</v>
      </c>
      <c r="Z4056" s="40">
        <v>5</v>
      </c>
      <c r="AA4056" s="40" t="s">
        <v>115</v>
      </c>
      <c r="AB4056" s="40" t="s">
        <v>115</v>
      </c>
      <c r="AC4056" s="40" t="s">
        <v>115</v>
      </c>
      <c r="AI4056" s="40" t="s">
        <v>115</v>
      </c>
      <c r="AP4056" s="4" t="s">
        <v>115</v>
      </c>
    </row>
    <row r="4057" spans="1:42" x14ac:dyDescent="0.15">
      <c r="A4057" s="40" t="s">
        <v>1</v>
      </c>
      <c r="B4057" s="23" t="s">
        <v>4949</v>
      </c>
      <c r="C4057" s="23">
        <v>3007</v>
      </c>
      <c r="D4057" s="23">
        <v>30</v>
      </c>
      <c r="F4057" s="23" t="s">
        <v>115</v>
      </c>
      <c r="G4057" s="23" t="s">
        <v>115</v>
      </c>
      <c r="H4057" s="23" t="s">
        <v>6823</v>
      </c>
      <c r="I4057" s="23">
        <v>4</v>
      </c>
      <c r="J4057" s="40">
        <v>1</v>
      </c>
      <c r="K4057" s="40">
        <v>1</v>
      </c>
      <c r="L4057" s="40" t="s">
        <v>115</v>
      </c>
      <c r="O4057" s="40" t="s">
        <v>115</v>
      </c>
      <c r="Q4057" s="40">
        <v>173</v>
      </c>
      <c r="R4057" s="40" t="s">
        <v>115</v>
      </c>
      <c r="X4057" s="40">
        <v>90300702</v>
      </c>
      <c r="Y4057" s="40" t="s">
        <v>115</v>
      </c>
      <c r="Z4057" s="40" t="s">
        <v>115</v>
      </c>
      <c r="AA4057" s="40" t="s">
        <v>115</v>
      </c>
      <c r="AB4057" s="40" t="s">
        <v>115</v>
      </c>
      <c r="AC4057" s="40" t="s">
        <v>115</v>
      </c>
      <c r="AI4057" s="40" t="s">
        <v>115</v>
      </c>
      <c r="AP4057" s="4" t="s">
        <v>115</v>
      </c>
    </row>
    <row r="4058" spans="1:42" x14ac:dyDescent="0.15">
      <c r="A4058" s="40" t="s">
        <v>1</v>
      </c>
      <c r="B4058" s="23">
        <v>90300702</v>
      </c>
      <c r="C4058" s="23">
        <v>3007</v>
      </c>
      <c r="D4058" s="23">
        <v>30</v>
      </c>
      <c r="F4058" s="23" t="s">
        <v>116</v>
      </c>
      <c r="G4058" s="23">
        <v>261</v>
      </c>
      <c r="H4058" s="23" t="s">
        <v>6824</v>
      </c>
      <c r="I4058" s="23">
        <v>0</v>
      </c>
      <c r="J4058" s="40">
        <v>0</v>
      </c>
      <c r="K4058" s="40">
        <v>0</v>
      </c>
      <c r="L4058" s="40" t="s">
        <v>115</v>
      </c>
      <c r="O4058" s="40" t="s">
        <v>115</v>
      </c>
      <c r="Q4058" s="40">
        <v>173</v>
      </c>
      <c r="R4058" s="40">
        <v>290</v>
      </c>
      <c r="X4058" s="40">
        <v>90300703</v>
      </c>
      <c r="Y4058" s="40" t="s">
        <v>115</v>
      </c>
      <c r="Z4058" s="40" t="s">
        <v>115</v>
      </c>
      <c r="AA4058" s="40" t="s">
        <v>115</v>
      </c>
      <c r="AB4058" s="40" t="s">
        <v>115</v>
      </c>
      <c r="AC4058" s="40" t="s">
        <v>115</v>
      </c>
      <c r="AI4058" s="40" t="s">
        <v>115</v>
      </c>
      <c r="AP4058" s="4" t="s">
        <v>115</v>
      </c>
    </row>
    <row r="4059" spans="1:42" x14ac:dyDescent="0.15">
      <c r="A4059" s="40" t="s">
        <v>1</v>
      </c>
      <c r="B4059" s="23">
        <v>90300703</v>
      </c>
      <c r="C4059" s="23">
        <v>3007</v>
      </c>
      <c r="D4059" s="23">
        <v>30</v>
      </c>
      <c r="F4059" s="23" t="s">
        <v>5681</v>
      </c>
      <c r="G4059" s="23" t="s">
        <v>115</v>
      </c>
      <c r="H4059" s="23" t="s">
        <v>6825</v>
      </c>
      <c r="I4059" s="23">
        <v>3</v>
      </c>
      <c r="J4059" s="40">
        <v>0</v>
      </c>
      <c r="K4059" s="40">
        <v>0</v>
      </c>
      <c r="L4059" s="40" t="s">
        <v>115</v>
      </c>
      <c r="O4059" s="40" t="s">
        <v>115</v>
      </c>
      <c r="Q4059" s="40">
        <v>173</v>
      </c>
      <c r="R4059" s="40">
        <v>290</v>
      </c>
      <c r="X4059" s="40">
        <v>90300704</v>
      </c>
      <c r="Y4059" s="40" t="s">
        <v>115</v>
      </c>
      <c r="Z4059" s="40" t="s">
        <v>115</v>
      </c>
      <c r="AA4059" s="40" t="s">
        <v>115</v>
      </c>
      <c r="AB4059" s="40" t="s">
        <v>115</v>
      </c>
      <c r="AC4059" s="40" t="s">
        <v>115</v>
      </c>
      <c r="AI4059" s="40" t="s">
        <v>115</v>
      </c>
      <c r="AP4059" s="4" t="s">
        <v>115</v>
      </c>
    </row>
    <row r="4060" spans="1:42" x14ac:dyDescent="0.15">
      <c r="A4060" s="40" t="s">
        <v>1</v>
      </c>
      <c r="B4060" s="23">
        <v>90300704</v>
      </c>
      <c r="C4060" s="23">
        <v>3007</v>
      </c>
      <c r="D4060" s="23">
        <v>30</v>
      </c>
      <c r="F4060" s="23" t="s">
        <v>116</v>
      </c>
      <c r="G4060" s="23">
        <v>275</v>
      </c>
      <c r="H4060" s="23" t="s">
        <v>6826</v>
      </c>
      <c r="I4060" s="23">
        <v>0</v>
      </c>
      <c r="J4060" s="40">
        <v>0</v>
      </c>
      <c r="K4060" s="40">
        <v>0</v>
      </c>
      <c r="L4060" s="40" t="s">
        <v>115</v>
      </c>
      <c r="O4060" s="40" t="s">
        <v>115</v>
      </c>
      <c r="Q4060" s="40">
        <v>173</v>
      </c>
      <c r="R4060" s="40">
        <v>290</v>
      </c>
      <c r="X4060" s="40">
        <v>90300705</v>
      </c>
      <c r="Y4060" s="40" t="s">
        <v>115</v>
      </c>
      <c r="Z4060" s="40" t="s">
        <v>115</v>
      </c>
      <c r="AA4060" s="40" t="s">
        <v>115</v>
      </c>
      <c r="AB4060" s="40" t="s">
        <v>115</v>
      </c>
      <c r="AC4060" s="40" t="s">
        <v>115</v>
      </c>
      <c r="AI4060" s="40" t="s">
        <v>115</v>
      </c>
      <c r="AP4060" s="4" t="s">
        <v>115</v>
      </c>
    </row>
    <row r="4061" spans="1:42" x14ac:dyDescent="0.15">
      <c r="A4061" s="40" t="s">
        <v>1</v>
      </c>
      <c r="B4061" s="23">
        <v>90300705</v>
      </c>
      <c r="C4061" s="23">
        <v>3007</v>
      </c>
      <c r="D4061" s="23">
        <v>30</v>
      </c>
      <c r="F4061" s="23" t="s">
        <v>115</v>
      </c>
      <c r="G4061" s="23" t="s">
        <v>115</v>
      </c>
      <c r="H4061" s="23" t="s">
        <v>6827</v>
      </c>
      <c r="I4061" s="23">
        <v>4</v>
      </c>
      <c r="J4061" s="40">
        <v>0</v>
      </c>
      <c r="K4061" s="40">
        <v>0</v>
      </c>
      <c r="L4061" s="40" t="s">
        <v>115</v>
      </c>
      <c r="O4061" s="40" t="s">
        <v>115</v>
      </c>
      <c r="Q4061" s="40">
        <v>143</v>
      </c>
      <c r="R4061" s="40" t="s">
        <v>115</v>
      </c>
      <c r="X4061" s="40">
        <v>90300706</v>
      </c>
      <c r="Y4061" s="40" t="s">
        <v>115</v>
      </c>
      <c r="Z4061" s="40" t="s">
        <v>115</v>
      </c>
      <c r="AA4061" s="40" t="s">
        <v>115</v>
      </c>
      <c r="AB4061" s="40" t="s">
        <v>115</v>
      </c>
      <c r="AC4061" s="40" t="s">
        <v>115</v>
      </c>
      <c r="AI4061" s="40" t="s">
        <v>115</v>
      </c>
      <c r="AP4061" s="4" t="s">
        <v>115</v>
      </c>
    </row>
    <row r="4062" spans="1:42" x14ac:dyDescent="0.15">
      <c r="A4062" s="40" t="s">
        <v>1</v>
      </c>
      <c r="B4062" s="23">
        <v>90300706</v>
      </c>
      <c r="C4062" s="23">
        <v>3007</v>
      </c>
      <c r="D4062" s="23">
        <v>30</v>
      </c>
      <c r="F4062" s="23" t="s">
        <v>115</v>
      </c>
      <c r="G4062" s="23" t="s">
        <v>115</v>
      </c>
      <c r="H4062" s="23" t="s">
        <v>6828</v>
      </c>
      <c r="I4062" s="23">
        <v>4</v>
      </c>
      <c r="J4062" s="40">
        <v>0</v>
      </c>
      <c r="K4062" s="40">
        <v>2</v>
      </c>
      <c r="L4062" s="40" t="s">
        <v>115</v>
      </c>
      <c r="O4062" s="40" t="s">
        <v>115</v>
      </c>
      <c r="Q4062" s="40">
        <v>143</v>
      </c>
      <c r="R4062" s="40" t="s">
        <v>115</v>
      </c>
      <c r="X4062" s="40" t="s">
        <v>6829</v>
      </c>
      <c r="Y4062" s="40">
        <v>1</v>
      </c>
      <c r="Z4062" s="40">
        <v>1</v>
      </c>
      <c r="AA4062" s="40" t="s">
        <v>115</v>
      </c>
      <c r="AB4062" s="40" t="s">
        <v>115</v>
      </c>
      <c r="AC4062" s="40" t="s">
        <v>115</v>
      </c>
      <c r="AI4062" s="40" t="s">
        <v>115</v>
      </c>
      <c r="AP4062" s="4" t="s">
        <v>115</v>
      </c>
    </row>
    <row r="4063" spans="1:42" x14ac:dyDescent="0.15">
      <c r="A4063" s="40" t="s">
        <v>1</v>
      </c>
      <c r="B4063" s="23">
        <v>90300707</v>
      </c>
      <c r="C4063" s="23">
        <v>3007</v>
      </c>
      <c r="D4063" s="23">
        <v>30</v>
      </c>
      <c r="F4063" s="23" t="s">
        <v>115</v>
      </c>
      <c r="G4063" s="23" t="s">
        <v>115</v>
      </c>
      <c r="H4063" s="23" t="s">
        <v>6830</v>
      </c>
      <c r="I4063" s="23">
        <v>4</v>
      </c>
      <c r="J4063" s="40">
        <v>0</v>
      </c>
      <c r="K4063" s="40">
        <v>3</v>
      </c>
      <c r="L4063" s="40" t="s">
        <v>115</v>
      </c>
      <c r="O4063" s="40" t="s">
        <v>115</v>
      </c>
      <c r="Q4063" s="40">
        <v>143</v>
      </c>
      <c r="R4063" s="40" t="s">
        <v>115</v>
      </c>
      <c r="X4063" s="40">
        <v>90300709</v>
      </c>
      <c r="Y4063" s="40">
        <v>-1</v>
      </c>
      <c r="Z4063" s="40">
        <v>2</v>
      </c>
      <c r="AA4063" s="40" t="s">
        <v>115</v>
      </c>
      <c r="AB4063" s="40" t="s">
        <v>115</v>
      </c>
      <c r="AC4063" s="40" t="s">
        <v>6831</v>
      </c>
      <c r="AI4063" s="40" t="s">
        <v>115</v>
      </c>
      <c r="AP4063" s="4" t="s">
        <v>115</v>
      </c>
    </row>
    <row r="4064" spans="1:42" x14ac:dyDescent="0.15">
      <c r="A4064" s="40" t="s">
        <v>1</v>
      </c>
      <c r="B4064" s="23">
        <v>90300708</v>
      </c>
      <c r="C4064" s="23">
        <v>3007</v>
      </c>
      <c r="D4064" s="23">
        <v>30</v>
      </c>
      <c r="F4064" s="23" t="s">
        <v>115</v>
      </c>
      <c r="G4064" s="23" t="s">
        <v>115</v>
      </c>
      <c r="H4064" s="23" t="s">
        <v>6832</v>
      </c>
      <c r="I4064" s="23">
        <v>4</v>
      </c>
      <c r="J4064" s="40">
        <v>0</v>
      </c>
      <c r="K4064" s="40">
        <v>4</v>
      </c>
      <c r="L4064" s="40" t="s">
        <v>115</v>
      </c>
      <c r="O4064" s="40" t="s">
        <v>115</v>
      </c>
      <c r="Q4064" s="40">
        <v>143</v>
      </c>
      <c r="R4064" s="40" t="s">
        <v>115</v>
      </c>
      <c r="X4064" s="40">
        <v>90300712</v>
      </c>
      <c r="Y4064" s="40">
        <v>-1</v>
      </c>
      <c r="Z4064" s="40">
        <v>2</v>
      </c>
      <c r="AA4064" s="40" t="s">
        <v>115</v>
      </c>
      <c r="AB4064" s="40" t="s">
        <v>115</v>
      </c>
      <c r="AC4064" s="40" t="s">
        <v>115</v>
      </c>
      <c r="AI4064" s="40" t="s">
        <v>115</v>
      </c>
      <c r="AP4064" s="4" t="s">
        <v>115</v>
      </c>
    </row>
    <row r="4065" spans="1:42" x14ac:dyDescent="0.15">
      <c r="A4065" s="40" t="s">
        <v>1</v>
      </c>
      <c r="B4065" s="23">
        <v>90300709</v>
      </c>
      <c r="C4065" s="23">
        <v>3007</v>
      </c>
      <c r="D4065" s="23">
        <v>30</v>
      </c>
      <c r="F4065" s="23" t="s">
        <v>116</v>
      </c>
      <c r="G4065" s="23">
        <v>274</v>
      </c>
      <c r="H4065" s="23" t="s">
        <v>6833</v>
      </c>
      <c r="I4065" s="23">
        <v>0</v>
      </c>
      <c r="J4065" s="40">
        <v>0</v>
      </c>
      <c r="K4065" s="40">
        <v>0</v>
      </c>
      <c r="L4065" s="40" t="s">
        <v>115</v>
      </c>
      <c r="O4065" s="40" t="s">
        <v>115</v>
      </c>
      <c r="Q4065" s="40">
        <v>143</v>
      </c>
      <c r="R4065" s="40" t="s">
        <v>115</v>
      </c>
      <c r="X4065" s="40">
        <v>90300710</v>
      </c>
      <c r="Y4065" s="40" t="s">
        <v>115</v>
      </c>
      <c r="Z4065" s="40" t="s">
        <v>115</v>
      </c>
      <c r="AA4065" s="40" t="s">
        <v>115</v>
      </c>
      <c r="AB4065" s="40" t="s">
        <v>115</v>
      </c>
      <c r="AC4065" s="40" t="s">
        <v>115</v>
      </c>
      <c r="AI4065" s="40" t="s">
        <v>115</v>
      </c>
      <c r="AP4065" s="4" t="s">
        <v>115</v>
      </c>
    </row>
    <row r="4066" spans="1:42" x14ac:dyDescent="0.15">
      <c r="A4066" s="40" t="s">
        <v>1</v>
      </c>
      <c r="B4066" s="23">
        <v>90300710</v>
      </c>
      <c r="C4066" s="23">
        <v>3007</v>
      </c>
      <c r="D4066" s="23">
        <v>30</v>
      </c>
      <c r="F4066" s="23" t="s">
        <v>115</v>
      </c>
      <c r="G4066" s="23" t="s">
        <v>115</v>
      </c>
      <c r="H4066" s="23" t="s">
        <v>6834</v>
      </c>
      <c r="I4066" s="23">
        <v>4</v>
      </c>
      <c r="J4066" s="40">
        <v>0</v>
      </c>
      <c r="K4066" s="40">
        <v>0</v>
      </c>
      <c r="L4066" s="40" t="s">
        <v>115</v>
      </c>
      <c r="O4066" s="40" t="s">
        <v>115</v>
      </c>
      <c r="Q4066" s="40">
        <v>143</v>
      </c>
      <c r="R4066" s="40" t="s">
        <v>115</v>
      </c>
      <c r="X4066" s="40">
        <v>90300711</v>
      </c>
      <c r="Y4066" s="40" t="s">
        <v>115</v>
      </c>
      <c r="Z4066" s="40" t="s">
        <v>115</v>
      </c>
      <c r="AA4066" s="40" t="s">
        <v>115</v>
      </c>
      <c r="AB4066" s="40" t="s">
        <v>115</v>
      </c>
      <c r="AC4066" s="40" t="s">
        <v>115</v>
      </c>
      <c r="AI4066" s="40" t="s">
        <v>115</v>
      </c>
      <c r="AP4066" s="4" t="s">
        <v>115</v>
      </c>
    </row>
    <row r="4067" spans="1:42" x14ac:dyDescent="0.15">
      <c r="A4067" s="40" t="s">
        <v>1</v>
      </c>
      <c r="B4067" s="23">
        <v>90300711</v>
      </c>
      <c r="C4067" s="23">
        <v>3007</v>
      </c>
      <c r="D4067" s="23">
        <v>30</v>
      </c>
      <c r="F4067" s="23" t="s">
        <v>116</v>
      </c>
      <c r="G4067" s="23">
        <v>274</v>
      </c>
      <c r="H4067" s="23" t="s">
        <v>6835</v>
      </c>
      <c r="I4067" s="23">
        <v>0</v>
      </c>
      <c r="J4067" s="40">
        <v>0</v>
      </c>
      <c r="K4067" s="40">
        <v>0</v>
      </c>
      <c r="L4067" s="40" t="s">
        <v>115</v>
      </c>
      <c r="O4067" s="40" t="s">
        <v>115</v>
      </c>
      <c r="Q4067" s="40">
        <v>143</v>
      </c>
      <c r="R4067" s="40" t="s">
        <v>115</v>
      </c>
      <c r="X4067" s="40">
        <v>90300715</v>
      </c>
      <c r="Y4067" s="40" t="s">
        <v>115</v>
      </c>
      <c r="Z4067" s="40" t="s">
        <v>115</v>
      </c>
      <c r="AA4067" s="40" t="s">
        <v>115</v>
      </c>
      <c r="AB4067" s="40" t="s">
        <v>115</v>
      </c>
      <c r="AC4067" s="40" t="s">
        <v>115</v>
      </c>
      <c r="AI4067" s="40" t="s">
        <v>115</v>
      </c>
      <c r="AP4067" s="4" t="s">
        <v>115</v>
      </c>
    </row>
    <row r="4068" spans="1:42" x14ac:dyDescent="0.15">
      <c r="A4068" s="40" t="s">
        <v>1</v>
      </c>
      <c r="B4068" s="23">
        <v>90300712</v>
      </c>
      <c r="C4068" s="23">
        <v>3007</v>
      </c>
      <c r="D4068" s="23">
        <v>30</v>
      </c>
      <c r="F4068" s="23" t="s">
        <v>116</v>
      </c>
      <c r="G4068" s="23">
        <v>274</v>
      </c>
      <c r="H4068" s="23" t="s">
        <v>6836</v>
      </c>
      <c r="I4068" s="23">
        <v>0</v>
      </c>
      <c r="J4068" s="40">
        <v>0</v>
      </c>
      <c r="K4068" s="40">
        <v>0</v>
      </c>
      <c r="L4068" s="40" t="s">
        <v>115</v>
      </c>
      <c r="O4068" s="40" t="s">
        <v>115</v>
      </c>
      <c r="Q4068" s="40">
        <v>143</v>
      </c>
      <c r="R4068" s="40" t="s">
        <v>115</v>
      </c>
      <c r="X4068" s="40">
        <v>90300713</v>
      </c>
      <c r="Y4068" s="40" t="s">
        <v>115</v>
      </c>
      <c r="Z4068" s="40" t="s">
        <v>115</v>
      </c>
      <c r="AA4068" s="40" t="s">
        <v>115</v>
      </c>
      <c r="AB4068" s="40" t="s">
        <v>115</v>
      </c>
      <c r="AC4068" s="40" t="s">
        <v>115</v>
      </c>
      <c r="AI4068" s="40" t="s">
        <v>115</v>
      </c>
      <c r="AP4068" s="4" t="s">
        <v>115</v>
      </c>
    </row>
    <row r="4069" spans="1:42" x14ac:dyDescent="0.15">
      <c r="A4069" s="40" t="s">
        <v>1</v>
      </c>
      <c r="B4069" s="23">
        <v>90300713</v>
      </c>
      <c r="C4069" s="23">
        <v>3007</v>
      </c>
      <c r="D4069" s="23">
        <v>30</v>
      </c>
      <c r="F4069" s="23" t="s">
        <v>116</v>
      </c>
      <c r="G4069" s="23">
        <v>259</v>
      </c>
      <c r="H4069" s="23" t="s">
        <v>6837</v>
      </c>
      <c r="I4069" s="23">
        <v>0</v>
      </c>
      <c r="J4069" s="40">
        <v>0</v>
      </c>
      <c r="K4069" s="40">
        <v>0</v>
      </c>
      <c r="L4069" s="40" t="s">
        <v>115</v>
      </c>
      <c r="O4069" s="40" t="s">
        <v>115</v>
      </c>
      <c r="Q4069" s="40">
        <v>143</v>
      </c>
      <c r="R4069" s="40" t="s">
        <v>115</v>
      </c>
      <c r="X4069" s="40">
        <v>90300714</v>
      </c>
      <c r="Y4069" s="40" t="s">
        <v>115</v>
      </c>
      <c r="Z4069" s="40" t="s">
        <v>115</v>
      </c>
      <c r="AA4069" s="40" t="s">
        <v>115</v>
      </c>
      <c r="AB4069" s="40" t="s">
        <v>115</v>
      </c>
      <c r="AC4069" s="40" t="s">
        <v>115</v>
      </c>
      <c r="AI4069" s="40" t="s">
        <v>115</v>
      </c>
      <c r="AP4069" s="4" t="s">
        <v>115</v>
      </c>
    </row>
    <row r="4070" spans="1:42" x14ac:dyDescent="0.15">
      <c r="A4070" s="40" t="s">
        <v>1</v>
      </c>
      <c r="B4070" s="23">
        <v>90300714</v>
      </c>
      <c r="C4070" s="23">
        <v>3007</v>
      </c>
      <c r="D4070" s="23">
        <v>30</v>
      </c>
      <c r="F4070" s="23" t="s">
        <v>116</v>
      </c>
      <c r="G4070" s="23">
        <v>261</v>
      </c>
      <c r="H4070" s="23" t="s">
        <v>6838</v>
      </c>
      <c r="I4070" s="23">
        <v>0</v>
      </c>
      <c r="J4070" s="40">
        <v>0</v>
      </c>
      <c r="K4070" s="40">
        <v>0</v>
      </c>
      <c r="L4070" s="40" t="s">
        <v>115</v>
      </c>
      <c r="O4070" s="40" t="s">
        <v>115</v>
      </c>
      <c r="Q4070" s="40">
        <v>143</v>
      </c>
      <c r="R4070" s="40" t="s">
        <v>115</v>
      </c>
      <c r="X4070" s="40">
        <v>90300706</v>
      </c>
      <c r="Y4070" s="40" t="s">
        <v>115</v>
      </c>
      <c r="Z4070" s="40" t="s">
        <v>115</v>
      </c>
      <c r="AA4070" s="40" t="s">
        <v>115</v>
      </c>
      <c r="AB4070" s="40" t="s">
        <v>115</v>
      </c>
      <c r="AC4070" s="40" t="s">
        <v>115</v>
      </c>
      <c r="AI4070" s="40" t="s">
        <v>115</v>
      </c>
      <c r="AP4070" s="4" t="s">
        <v>115</v>
      </c>
    </row>
    <row r="4071" spans="1:42" x14ac:dyDescent="0.15">
      <c r="A4071" s="40" t="s">
        <v>1</v>
      </c>
      <c r="B4071" s="23">
        <v>90300715</v>
      </c>
      <c r="C4071" s="23">
        <v>3007</v>
      </c>
      <c r="D4071" s="23">
        <v>30</v>
      </c>
      <c r="F4071" s="23" t="s">
        <v>115</v>
      </c>
      <c r="G4071" s="23" t="s">
        <v>115</v>
      </c>
      <c r="H4071" s="23" t="s">
        <v>6839</v>
      </c>
      <c r="I4071" s="23">
        <v>4</v>
      </c>
      <c r="J4071" s="40">
        <v>0</v>
      </c>
      <c r="K4071" s="40">
        <v>5</v>
      </c>
      <c r="L4071" s="40" t="s">
        <v>6840</v>
      </c>
      <c r="O4071" s="40" t="s">
        <v>115</v>
      </c>
      <c r="Q4071" s="40">
        <v>143</v>
      </c>
      <c r="R4071" s="40" t="s">
        <v>115</v>
      </c>
      <c r="X4071" s="40">
        <v>90300716</v>
      </c>
      <c r="Y4071" s="40" t="s">
        <v>115</v>
      </c>
      <c r="Z4071" s="40">
        <v>4</v>
      </c>
      <c r="AA4071" s="40" t="s">
        <v>115</v>
      </c>
      <c r="AB4071" s="40" t="s">
        <v>115</v>
      </c>
      <c r="AC4071" s="40" t="s">
        <v>115</v>
      </c>
      <c r="AI4071" s="40" t="s">
        <v>115</v>
      </c>
      <c r="AP4071" s="4" t="s">
        <v>115</v>
      </c>
    </row>
    <row r="4072" spans="1:42" x14ac:dyDescent="0.15">
      <c r="A4072" s="40" t="s">
        <v>1</v>
      </c>
      <c r="B4072" s="23">
        <v>90300716</v>
      </c>
      <c r="C4072" s="23">
        <v>3007</v>
      </c>
      <c r="D4072" s="23">
        <v>30</v>
      </c>
      <c r="F4072" s="23" t="s">
        <v>115</v>
      </c>
      <c r="G4072" s="23" t="s">
        <v>115</v>
      </c>
      <c r="H4072" s="23" t="s">
        <v>6841</v>
      </c>
      <c r="I4072" s="23">
        <v>4</v>
      </c>
      <c r="J4072" s="40">
        <v>0</v>
      </c>
      <c r="K4072" s="40">
        <v>0</v>
      </c>
      <c r="L4072" s="40" t="s">
        <v>115</v>
      </c>
      <c r="O4072" s="40" t="s">
        <v>115</v>
      </c>
      <c r="Q4072" s="40">
        <v>143</v>
      </c>
      <c r="R4072" s="40" t="s">
        <v>115</v>
      </c>
      <c r="X4072" s="40">
        <v>90300717</v>
      </c>
      <c r="Y4072" s="40" t="s">
        <v>115</v>
      </c>
      <c r="Z4072" s="40" t="s">
        <v>115</v>
      </c>
      <c r="AA4072" s="40" t="s">
        <v>115</v>
      </c>
      <c r="AB4072" s="40" t="s">
        <v>115</v>
      </c>
      <c r="AC4072" s="40" t="s">
        <v>115</v>
      </c>
      <c r="AI4072" s="40" t="s">
        <v>115</v>
      </c>
      <c r="AP4072" s="4" t="s">
        <v>115</v>
      </c>
    </row>
    <row r="4073" spans="1:42" x14ac:dyDescent="0.15">
      <c r="A4073" s="40" t="s">
        <v>1</v>
      </c>
      <c r="B4073" s="23">
        <v>90300717</v>
      </c>
      <c r="C4073" s="23">
        <v>3007</v>
      </c>
      <c r="D4073" s="23">
        <v>30</v>
      </c>
      <c r="F4073" s="23" t="s">
        <v>116</v>
      </c>
      <c r="G4073" s="23">
        <v>274</v>
      </c>
      <c r="H4073" s="23" t="s">
        <v>6842</v>
      </c>
      <c r="I4073" s="23">
        <v>0</v>
      </c>
      <c r="J4073" s="40">
        <v>0</v>
      </c>
      <c r="K4073" s="40">
        <v>0</v>
      </c>
      <c r="L4073" s="40" t="s">
        <v>115</v>
      </c>
      <c r="O4073" s="40" t="s">
        <v>115</v>
      </c>
      <c r="Q4073" s="40">
        <v>143</v>
      </c>
      <c r="R4073" s="40" t="s">
        <v>115</v>
      </c>
      <c r="X4073" s="40">
        <v>90300718</v>
      </c>
      <c r="Y4073" s="40" t="s">
        <v>115</v>
      </c>
      <c r="Z4073" s="40" t="s">
        <v>115</v>
      </c>
      <c r="AA4073" s="40" t="s">
        <v>115</v>
      </c>
      <c r="AB4073" s="40" t="s">
        <v>115</v>
      </c>
      <c r="AC4073" s="40" t="s">
        <v>115</v>
      </c>
      <c r="AI4073" s="40" t="s">
        <v>115</v>
      </c>
      <c r="AP4073" s="4" t="s">
        <v>115</v>
      </c>
    </row>
    <row r="4074" spans="1:42" x14ac:dyDescent="0.15">
      <c r="A4074" s="40" t="s">
        <v>1</v>
      </c>
      <c r="B4074" s="23">
        <v>90300718</v>
      </c>
      <c r="C4074" s="23">
        <v>3007</v>
      </c>
      <c r="D4074" s="23">
        <v>30</v>
      </c>
      <c r="F4074" s="23" t="s">
        <v>116</v>
      </c>
      <c r="G4074" s="23">
        <v>261</v>
      </c>
      <c r="H4074" s="23" t="s">
        <v>6843</v>
      </c>
      <c r="I4074" s="23">
        <v>0</v>
      </c>
      <c r="J4074" s="40">
        <v>0</v>
      </c>
      <c r="K4074" s="40">
        <v>6</v>
      </c>
      <c r="L4074" s="40" t="s">
        <v>115</v>
      </c>
      <c r="O4074" s="40">
        <v>1</v>
      </c>
      <c r="Q4074" s="40">
        <v>143</v>
      </c>
      <c r="R4074" s="40" t="s">
        <v>115</v>
      </c>
      <c r="X4074" s="40" t="s">
        <v>115</v>
      </c>
      <c r="Y4074" s="40" t="s">
        <v>115</v>
      </c>
      <c r="Z4074" s="40">
        <v>5</v>
      </c>
      <c r="AA4074" s="40" t="s">
        <v>115</v>
      </c>
      <c r="AB4074" s="40" t="s">
        <v>115</v>
      </c>
      <c r="AC4074" s="40" t="s">
        <v>115</v>
      </c>
      <c r="AI4074" s="40" t="s">
        <v>115</v>
      </c>
      <c r="AP4074" s="4" t="s">
        <v>115</v>
      </c>
    </row>
    <row r="4091" spans="1:42" s="69" customFormat="1" x14ac:dyDescent="0.15">
      <c r="A4091" s="67"/>
      <c r="B4091" s="67" t="s">
        <v>1323</v>
      </c>
      <c r="C4091" s="67"/>
      <c r="D4091" s="67"/>
      <c r="E4091" s="67"/>
      <c r="F4091" s="67"/>
      <c r="G4091" s="67"/>
      <c r="H4091" s="67"/>
      <c r="I4091" s="67"/>
      <c r="J4091" s="67"/>
      <c r="K4091" s="67"/>
      <c r="L4091" s="67"/>
      <c r="M4091" s="68"/>
      <c r="N4091" s="67"/>
      <c r="O4091" s="67"/>
      <c r="P4091" s="67"/>
      <c r="Q4091" s="67"/>
      <c r="R4091" s="67"/>
      <c r="S4091" s="67"/>
      <c r="T4091" s="67"/>
      <c r="U4091" s="67"/>
      <c r="V4091" s="67"/>
      <c r="W4091" s="67"/>
      <c r="X4091" s="67"/>
      <c r="Y4091" s="67"/>
      <c r="Z4091" s="67"/>
      <c r="AA4091" s="67"/>
      <c r="AB4091" s="67"/>
      <c r="AC4091" s="67"/>
      <c r="AD4091" s="67"/>
      <c r="AE4091" s="67"/>
      <c r="AF4091" s="67"/>
      <c r="AG4091" s="67"/>
      <c r="AH4091" s="67"/>
      <c r="AI4091" s="67"/>
      <c r="AJ4091" s="67"/>
      <c r="AK4091" s="67"/>
      <c r="AL4091" s="67"/>
      <c r="AM4091" s="67"/>
      <c r="AN4091" s="67"/>
      <c r="AO4091" s="67"/>
    </row>
    <row r="4093" spans="1:42" x14ac:dyDescent="0.15">
      <c r="A4093" s="40" t="s">
        <v>1</v>
      </c>
      <c r="B4093" s="23" t="s">
        <v>2599</v>
      </c>
      <c r="C4093" s="23">
        <v>50101</v>
      </c>
      <c r="D4093" s="23">
        <v>501</v>
      </c>
      <c r="F4093" s="23" t="s">
        <v>256</v>
      </c>
      <c r="G4093" s="23" t="s">
        <v>115</v>
      </c>
      <c r="H4093" s="23" t="s">
        <v>2600</v>
      </c>
      <c r="I4093" s="23">
        <v>3</v>
      </c>
      <c r="J4093" s="40">
        <v>1</v>
      </c>
      <c r="K4093" s="40">
        <v>1</v>
      </c>
      <c r="L4093" s="40" t="s">
        <v>115</v>
      </c>
      <c r="O4093" s="40" t="s">
        <v>115</v>
      </c>
      <c r="Q4093" s="40">
        <v>163</v>
      </c>
      <c r="R4093" s="40">
        <v>269</v>
      </c>
      <c r="X4093" s="40">
        <v>95010102</v>
      </c>
      <c r="Y4093" s="40" t="s">
        <v>115</v>
      </c>
      <c r="Z4093" s="40" t="s">
        <v>115</v>
      </c>
      <c r="AA4093" s="40" t="s">
        <v>115</v>
      </c>
      <c r="AB4093" s="40" t="s">
        <v>115</v>
      </c>
      <c r="AC4093" s="40" t="s">
        <v>115</v>
      </c>
      <c r="AI4093" s="40" t="s">
        <v>115</v>
      </c>
      <c r="AP4093" s="4" t="s">
        <v>115</v>
      </c>
    </row>
    <row r="4094" spans="1:42" x14ac:dyDescent="0.15">
      <c r="A4094" s="40" t="s">
        <v>1</v>
      </c>
      <c r="B4094" s="23">
        <v>95010102</v>
      </c>
      <c r="C4094" s="23">
        <v>50101</v>
      </c>
      <c r="D4094" s="23">
        <v>501</v>
      </c>
      <c r="F4094" s="23" t="s">
        <v>116</v>
      </c>
      <c r="G4094" s="23">
        <v>312</v>
      </c>
      <c r="H4094" s="23" t="s">
        <v>2601</v>
      </c>
      <c r="I4094" s="23">
        <v>0</v>
      </c>
      <c r="J4094" s="40">
        <v>0</v>
      </c>
      <c r="K4094" s="40">
        <v>0</v>
      </c>
      <c r="L4094" s="40" t="s">
        <v>115</v>
      </c>
      <c r="O4094" s="40" t="s">
        <v>115</v>
      </c>
      <c r="Q4094" s="40">
        <v>163</v>
      </c>
      <c r="R4094" s="40">
        <v>269</v>
      </c>
      <c r="X4094" s="40">
        <v>95010103</v>
      </c>
      <c r="Y4094" s="40" t="s">
        <v>115</v>
      </c>
      <c r="Z4094" s="40" t="s">
        <v>115</v>
      </c>
      <c r="AA4094" s="40" t="s">
        <v>115</v>
      </c>
      <c r="AB4094" s="40" t="s">
        <v>115</v>
      </c>
      <c r="AC4094" s="40" t="s">
        <v>115</v>
      </c>
      <c r="AI4094" s="40" t="s">
        <v>115</v>
      </c>
      <c r="AP4094" s="4" t="s">
        <v>115</v>
      </c>
    </row>
    <row r="4095" spans="1:42" x14ac:dyDescent="0.15">
      <c r="A4095" s="40" t="s">
        <v>1</v>
      </c>
      <c r="B4095" s="23">
        <v>95010103</v>
      </c>
      <c r="C4095" s="23">
        <v>50101</v>
      </c>
      <c r="D4095" s="23">
        <v>501</v>
      </c>
      <c r="F4095" s="23" t="s">
        <v>115</v>
      </c>
      <c r="G4095" s="23" t="s">
        <v>115</v>
      </c>
      <c r="H4095" s="23" t="s">
        <v>2602</v>
      </c>
      <c r="I4095" s="23">
        <v>4</v>
      </c>
      <c r="J4095" s="40">
        <v>0</v>
      </c>
      <c r="K4095" s="40">
        <v>0</v>
      </c>
      <c r="L4095" s="40" t="s">
        <v>115</v>
      </c>
      <c r="O4095" s="40" t="s">
        <v>115</v>
      </c>
      <c r="Q4095" s="40">
        <v>163</v>
      </c>
      <c r="R4095" s="40">
        <v>269</v>
      </c>
      <c r="X4095" s="40">
        <v>95010104</v>
      </c>
      <c r="Y4095" s="40" t="s">
        <v>115</v>
      </c>
      <c r="Z4095" s="40" t="s">
        <v>115</v>
      </c>
      <c r="AA4095" s="40" t="s">
        <v>115</v>
      </c>
      <c r="AB4095" s="40" t="s">
        <v>115</v>
      </c>
      <c r="AC4095" s="40" t="s">
        <v>115</v>
      </c>
      <c r="AI4095" s="40" t="s">
        <v>115</v>
      </c>
      <c r="AP4095" s="4" t="s">
        <v>115</v>
      </c>
    </row>
    <row r="4096" spans="1:42" x14ac:dyDescent="0.15">
      <c r="A4096" s="40" t="s">
        <v>1</v>
      </c>
      <c r="B4096" s="23">
        <v>95010104</v>
      </c>
      <c r="C4096" s="23">
        <v>50101</v>
      </c>
      <c r="D4096" s="23">
        <v>501</v>
      </c>
      <c r="F4096" s="23" t="s">
        <v>256</v>
      </c>
      <c r="G4096" s="23" t="s">
        <v>115</v>
      </c>
      <c r="H4096" s="23" t="s">
        <v>2603</v>
      </c>
      <c r="I4096" s="23">
        <v>3</v>
      </c>
      <c r="J4096" s="40">
        <v>0</v>
      </c>
      <c r="K4096" s="40">
        <v>0</v>
      </c>
      <c r="L4096" s="40" t="s">
        <v>115</v>
      </c>
      <c r="O4096" s="40" t="s">
        <v>115</v>
      </c>
      <c r="Q4096" s="40">
        <v>163</v>
      </c>
      <c r="R4096" s="40">
        <v>269</v>
      </c>
      <c r="X4096" s="40">
        <v>95010105</v>
      </c>
      <c r="Y4096" s="40" t="s">
        <v>115</v>
      </c>
      <c r="Z4096" s="40" t="s">
        <v>115</v>
      </c>
      <c r="AA4096" s="40" t="s">
        <v>115</v>
      </c>
      <c r="AB4096" s="40" t="s">
        <v>115</v>
      </c>
      <c r="AC4096" s="40" t="s">
        <v>115</v>
      </c>
      <c r="AI4096" s="40" t="s">
        <v>115</v>
      </c>
      <c r="AP4096" s="4" t="s">
        <v>115</v>
      </c>
    </row>
    <row r="4097" spans="1:42" x14ac:dyDescent="0.15">
      <c r="A4097" s="40" t="s">
        <v>1</v>
      </c>
      <c r="B4097" s="23">
        <v>95010105</v>
      </c>
      <c r="C4097" s="23">
        <v>50101</v>
      </c>
      <c r="D4097" s="23">
        <v>501</v>
      </c>
      <c r="F4097" s="23" t="s">
        <v>115</v>
      </c>
      <c r="G4097" s="23" t="s">
        <v>115</v>
      </c>
      <c r="H4097" s="23" t="s">
        <v>2604</v>
      </c>
      <c r="I4097" s="23">
        <v>4</v>
      </c>
      <c r="J4097" s="40">
        <v>0</v>
      </c>
      <c r="K4097" s="40">
        <v>0</v>
      </c>
      <c r="L4097" s="40" t="s">
        <v>115</v>
      </c>
      <c r="O4097" s="40" t="s">
        <v>115</v>
      </c>
      <c r="Q4097" s="40">
        <v>163</v>
      </c>
      <c r="R4097" s="40">
        <v>269</v>
      </c>
      <c r="X4097" s="40">
        <v>95010106</v>
      </c>
      <c r="Y4097" s="40" t="s">
        <v>115</v>
      </c>
      <c r="Z4097" s="40" t="s">
        <v>115</v>
      </c>
      <c r="AA4097" s="40" t="s">
        <v>115</v>
      </c>
      <c r="AB4097" s="40" t="s">
        <v>115</v>
      </c>
      <c r="AC4097" s="40" t="s">
        <v>115</v>
      </c>
      <c r="AI4097" s="40" t="s">
        <v>115</v>
      </c>
      <c r="AP4097" s="4" t="s">
        <v>115</v>
      </c>
    </row>
    <row r="4098" spans="1:42" x14ac:dyDescent="0.15">
      <c r="A4098" s="40" t="s">
        <v>1</v>
      </c>
      <c r="B4098" s="23">
        <v>95010106</v>
      </c>
      <c r="C4098" s="23">
        <v>50101</v>
      </c>
      <c r="D4098" s="23">
        <v>501</v>
      </c>
      <c r="F4098" s="23" t="s">
        <v>116</v>
      </c>
      <c r="G4098" s="23">
        <v>313</v>
      </c>
      <c r="H4098" s="23" t="s">
        <v>2605</v>
      </c>
      <c r="I4098" s="23">
        <v>0</v>
      </c>
      <c r="J4098" s="40">
        <v>0</v>
      </c>
      <c r="K4098" s="40">
        <v>0</v>
      </c>
      <c r="L4098" s="40" t="s">
        <v>115</v>
      </c>
      <c r="O4098" s="40" t="s">
        <v>115</v>
      </c>
      <c r="Q4098" s="40">
        <v>163</v>
      </c>
      <c r="R4098" s="40">
        <v>269</v>
      </c>
      <c r="X4098" s="40">
        <v>95010107</v>
      </c>
      <c r="Y4098" s="40" t="s">
        <v>115</v>
      </c>
      <c r="Z4098" s="40" t="s">
        <v>115</v>
      </c>
      <c r="AA4098" s="40" t="s">
        <v>115</v>
      </c>
      <c r="AB4098" s="40" t="s">
        <v>115</v>
      </c>
      <c r="AC4098" s="40" t="s">
        <v>115</v>
      </c>
      <c r="AI4098" s="40" t="s">
        <v>115</v>
      </c>
      <c r="AP4098" s="4" t="s">
        <v>115</v>
      </c>
    </row>
    <row r="4099" spans="1:42" x14ac:dyDescent="0.15">
      <c r="A4099" s="40" t="s">
        <v>1</v>
      </c>
      <c r="B4099" s="23">
        <v>95010107</v>
      </c>
      <c r="C4099" s="23">
        <v>50101</v>
      </c>
      <c r="D4099" s="23">
        <v>501</v>
      </c>
      <c r="F4099" s="23" t="s">
        <v>115</v>
      </c>
      <c r="G4099" s="23" t="s">
        <v>115</v>
      </c>
      <c r="H4099" s="23" t="s">
        <v>2606</v>
      </c>
      <c r="I4099" s="23">
        <v>4</v>
      </c>
      <c r="J4099" s="40">
        <v>0</v>
      </c>
      <c r="K4099" s="40">
        <v>0</v>
      </c>
      <c r="L4099" s="40" t="s">
        <v>115</v>
      </c>
      <c r="O4099" s="40" t="s">
        <v>115</v>
      </c>
      <c r="Q4099" s="40">
        <v>163</v>
      </c>
      <c r="R4099" s="40">
        <v>269</v>
      </c>
      <c r="X4099" s="40">
        <v>95010108</v>
      </c>
      <c r="Y4099" s="40" t="s">
        <v>115</v>
      </c>
      <c r="Z4099" s="40" t="s">
        <v>115</v>
      </c>
      <c r="AA4099" s="40" t="s">
        <v>115</v>
      </c>
      <c r="AB4099" s="40" t="s">
        <v>115</v>
      </c>
      <c r="AC4099" s="40" t="s">
        <v>115</v>
      </c>
      <c r="AI4099" s="40" t="s">
        <v>115</v>
      </c>
      <c r="AP4099" s="4" t="s">
        <v>115</v>
      </c>
    </row>
    <row r="4100" spans="1:42" x14ac:dyDescent="0.15">
      <c r="A4100" s="40" t="s">
        <v>1</v>
      </c>
      <c r="B4100" s="23">
        <v>95010108</v>
      </c>
      <c r="C4100" s="23">
        <v>50101</v>
      </c>
      <c r="D4100" s="23">
        <v>501</v>
      </c>
      <c r="F4100" s="23" t="s">
        <v>256</v>
      </c>
      <c r="G4100" s="23" t="s">
        <v>115</v>
      </c>
      <c r="H4100" s="23" t="s">
        <v>4773</v>
      </c>
      <c r="I4100" s="23">
        <v>3</v>
      </c>
      <c r="J4100" s="40">
        <v>0</v>
      </c>
      <c r="K4100" s="40">
        <v>0</v>
      </c>
      <c r="L4100" s="40" t="s">
        <v>115</v>
      </c>
      <c r="O4100" s="40" t="s">
        <v>115</v>
      </c>
      <c r="Q4100" s="40">
        <v>163</v>
      </c>
      <c r="R4100" s="40">
        <v>269</v>
      </c>
      <c r="X4100" s="40">
        <v>95010109</v>
      </c>
      <c r="Y4100" s="40" t="s">
        <v>115</v>
      </c>
      <c r="Z4100" s="40" t="s">
        <v>115</v>
      </c>
      <c r="AA4100" s="40" t="s">
        <v>115</v>
      </c>
      <c r="AB4100" s="40" t="s">
        <v>115</v>
      </c>
      <c r="AC4100" s="40" t="s">
        <v>115</v>
      </c>
      <c r="AI4100" s="40" t="s">
        <v>115</v>
      </c>
      <c r="AP4100" s="4" t="s">
        <v>115</v>
      </c>
    </row>
    <row r="4101" spans="1:42" x14ac:dyDescent="0.15">
      <c r="A4101" s="40" t="s">
        <v>1</v>
      </c>
      <c r="B4101" s="23">
        <v>95010109</v>
      </c>
      <c r="C4101" s="23">
        <v>50101</v>
      </c>
      <c r="D4101" s="23">
        <v>501</v>
      </c>
      <c r="F4101" s="23" t="s">
        <v>116</v>
      </c>
      <c r="G4101" s="23">
        <v>313</v>
      </c>
      <c r="H4101" s="23" t="s">
        <v>2607</v>
      </c>
      <c r="I4101" s="23">
        <v>0</v>
      </c>
      <c r="J4101" s="40">
        <v>0</v>
      </c>
      <c r="K4101" s="40">
        <v>0</v>
      </c>
      <c r="L4101" s="40" t="s">
        <v>115</v>
      </c>
      <c r="O4101" s="40" t="s">
        <v>115</v>
      </c>
      <c r="Q4101" s="40">
        <v>163</v>
      </c>
      <c r="R4101" s="40">
        <v>269</v>
      </c>
      <c r="X4101" s="40">
        <v>95010110</v>
      </c>
      <c r="Y4101" s="40" t="s">
        <v>115</v>
      </c>
      <c r="Z4101" s="40" t="s">
        <v>115</v>
      </c>
      <c r="AA4101" s="40" t="s">
        <v>115</v>
      </c>
      <c r="AB4101" s="40" t="s">
        <v>115</v>
      </c>
      <c r="AC4101" s="40" t="s">
        <v>115</v>
      </c>
      <c r="AI4101" s="40" t="s">
        <v>115</v>
      </c>
      <c r="AP4101" s="4" t="s">
        <v>115</v>
      </c>
    </row>
    <row r="4102" spans="1:42" x14ac:dyDescent="0.15">
      <c r="A4102" s="40" t="s">
        <v>1</v>
      </c>
      <c r="B4102" s="23">
        <v>95010110</v>
      </c>
      <c r="C4102" s="23">
        <v>50101</v>
      </c>
      <c r="D4102" s="23">
        <v>501</v>
      </c>
      <c r="F4102" s="23" t="s">
        <v>115</v>
      </c>
      <c r="G4102" s="23" t="s">
        <v>115</v>
      </c>
      <c r="H4102" s="23" t="s">
        <v>2608</v>
      </c>
      <c r="I4102" s="23">
        <v>4</v>
      </c>
      <c r="J4102" s="40">
        <v>0</v>
      </c>
      <c r="K4102" s="40">
        <v>0</v>
      </c>
      <c r="L4102" s="40" t="s">
        <v>115</v>
      </c>
      <c r="O4102" s="40" t="s">
        <v>115</v>
      </c>
      <c r="Q4102" s="40">
        <v>163</v>
      </c>
      <c r="R4102" s="40">
        <v>269</v>
      </c>
      <c r="X4102" s="40">
        <v>95010111</v>
      </c>
      <c r="Y4102" s="40" t="s">
        <v>115</v>
      </c>
      <c r="Z4102" s="40" t="s">
        <v>115</v>
      </c>
      <c r="AA4102" s="40" t="s">
        <v>115</v>
      </c>
      <c r="AB4102" s="40" t="s">
        <v>115</v>
      </c>
      <c r="AC4102" s="40" t="s">
        <v>115</v>
      </c>
      <c r="AI4102" s="40" t="s">
        <v>115</v>
      </c>
      <c r="AP4102" s="4" t="s">
        <v>115</v>
      </c>
    </row>
    <row r="4103" spans="1:42" x14ac:dyDescent="0.15">
      <c r="A4103" s="40" t="s">
        <v>1</v>
      </c>
      <c r="B4103" s="23">
        <v>95010111</v>
      </c>
      <c r="C4103" s="23">
        <v>50101</v>
      </c>
      <c r="D4103" s="23">
        <v>501</v>
      </c>
      <c r="F4103" s="23" t="s">
        <v>116</v>
      </c>
      <c r="G4103" s="23">
        <v>313</v>
      </c>
      <c r="H4103" s="23" t="s">
        <v>2609</v>
      </c>
      <c r="I4103" s="23">
        <v>0</v>
      </c>
      <c r="J4103" s="40">
        <v>0</v>
      </c>
      <c r="K4103" s="40">
        <v>0</v>
      </c>
      <c r="L4103" s="40" t="s">
        <v>115</v>
      </c>
      <c r="O4103" s="40" t="s">
        <v>115</v>
      </c>
      <c r="Q4103" s="40">
        <v>163</v>
      </c>
      <c r="R4103" s="40">
        <v>269</v>
      </c>
      <c r="X4103" s="40">
        <v>95010112</v>
      </c>
      <c r="Y4103" s="40" t="s">
        <v>115</v>
      </c>
      <c r="Z4103" s="40" t="s">
        <v>115</v>
      </c>
      <c r="AA4103" s="40" t="s">
        <v>115</v>
      </c>
      <c r="AB4103" s="40" t="s">
        <v>115</v>
      </c>
      <c r="AC4103" s="40" t="s">
        <v>115</v>
      </c>
      <c r="AI4103" s="40" t="s">
        <v>115</v>
      </c>
      <c r="AP4103" s="4" t="s">
        <v>115</v>
      </c>
    </row>
    <row r="4104" spans="1:42" x14ac:dyDescent="0.15">
      <c r="A4104" s="40" t="s">
        <v>1</v>
      </c>
      <c r="B4104" s="23">
        <v>95010112</v>
      </c>
      <c r="C4104" s="23">
        <v>50101</v>
      </c>
      <c r="D4104" s="23">
        <v>501</v>
      </c>
      <c r="F4104" s="23" t="s">
        <v>256</v>
      </c>
      <c r="G4104" s="23" t="s">
        <v>115</v>
      </c>
      <c r="H4104" s="23" t="s">
        <v>2610</v>
      </c>
      <c r="I4104" s="23">
        <v>3</v>
      </c>
      <c r="J4104" s="40">
        <v>0</v>
      </c>
      <c r="K4104" s="40">
        <v>0</v>
      </c>
      <c r="L4104" s="40" t="s">
        <v>115</v>
      </c>
      <c r="O4104" s="40" t="s">
        <v>115</v>
      </c>
      <c r="Q4104" s="40">
        <v>163</v>
      </c>
      <c r="R4104" s="40">
        <v>269</v>
      </c>
      <c r="X4104" s="40">
        <v>95010113</v>
      </c>
      <c r="Y4104" s="40" t="s">
        <v>115</v>
      </c>
      <c r="Z4104" s="40" t="s">
        <v>115</v>
      </c>
      <c r="AA4104" s="40" t="s">
        <v>115</v>
      </c>
      <c r="AB4104" s="40" t="s">
        <v>115</v>
      </c>
      <c r="AC4104" s="40" t="s">
        <v>115</v>
      </c>
      <c r="AI4104" s="40" t="s">
        <v>115</v>
      </c>
      <c r="AP4104" s="4" t="s">
        <v>115</v>
      </c>
    </row>
    <row r="4105" spans="1:42" x14ac:dyDescent="0.15">
      <c r="A4105" s="40" t="s">
        <v>1</v>
      </c>
      <c r="B4105" s="23">
        <v>95010113</v>
      </c>
      <c r="C4105" s="23">
        <v>50101</v>
      </c>
      <c r="D4105" s="23">
        <v>501</v>
      </c>
      <c r="F4105" s="23" t="s">
        <v>116</v>
      </c>
      <c r="G4105" s="23">
        <v>312</v>
      </c>
      <c r="H4105" s="23" t="s">
        <v>2611</v>
      </c>
      <c r="I4105" s="23">
        <v>0</v>
      </c>
      <c r="J4105" s="40">
        <v>0</v>
      </c>
      <c r="K4105" s="40">
        <v>0</v>
      </c>
      <c r="L4105" s="40" t="s">
        <v>115</v>
      </c>
      <c r="O4105" s="40" t="s">
        <v>115</v>
      </c>
      <c r="Q4105" s="40">
        <v>163</v>
      </c>
      <c r="R4105" s="40">
        <v>269</v>
      </c>
      <c r="X4105" s="40">
        <v>95010114</v>
      </c>
      <c r="Y4105" s="40" t="s">
        <v>115</v>
      </c>
      <c r="Z4105" s="40" t="s">
        <v>115</v>
      </c>
      <c r="AA4105" s="40" t="s">
        <v>115</v>
      </c>
      <c r="AB4105" s="40" t="s">
        <v>115</v>
      </c>
      <c r="AC4105" s="40" t="s">
        <v>115</v>
      </c>
      <c r="AI4105" s="40" t="s">
        <v>115</v>
      </c>
      <c r="AP4105" s="4" t="s">
        <v>115</v>
      </c>
    </row>
    <row r="4106" spans="1:42" x14ac:dyDescent="0.15">
      <c r="A4106" s="40" t="s">
        <v>1</v>
      </c>
      <c r="B4106" s="23">
        <v>95010114</v>
      </c>
      <c r="C4106" s="23">
        <v>50101</v>
      </c>
      <c r="D4106" s="23">
        <v>501</v>
      </c>
      <c r="F4106" s="23" t="s">
        <v>256</v>
      </c>
      <c r="G4106" s="23" t="s">
        <v>115</v>
      </c>
      <c r="H4106" s="23" t="s">
        <v>4774</v>
      </c>
      <c r="I4106" s="23">
        <v>3</v>
      </c>
      <c r="J4106" s="40">
        <v>0</v>
      </c>
      <c r="K4106" s="40">
        <v>0</v>
      </c>
      <c r="L4106" s="40" t="s">
        <v>115</v>
      </c>
      <c r="O4106" s="40" t="s">
        <v>115</v>
      </c>
      <c r="Q4106" s="40">
        <v>163</v>
      </c>
      <c r="R4106" s="40">
        <v>269</v>
      </c>
      <c r="X4106" s="40">
        <v>95010115</v>
      </c>
      <c r="Y4106" s="40" t="s">
        <v>115</v>
      </c>
      <c r="Z4106" s="40" t="s">
        <v>115</v>
      </c>
      <c r="AA4106" s="40" t="s">
        <v>115</v>
      </c>
      <c r="AB4106" s="40" t="s">
        <v>115</v>
      </c>
      <c r="AC4106" s="40" t="s">
        <v>115</v>
      </c>
      <c r="AI4106" s="40" t="s">
        <v>115</v>
      </c>
      <c r="AP4106" s="4" t="s">
        <v>115</v>
      </c>
    </row>
    <row r="4107" spans="1:42" x14ac:dyDescent="0.15">
      <c r="A4107" s="40" t="s">
        <v>1</v>
      </c>
      <c r="B4107" s="23">
        <v>95010115</v>
      </c>
      <c r="C4107" s="23">
        <v>50101</v>
      </c>
      <c r="D4107" s="23">
        <v>501</v>
      </c>
      <c r="F4107" s="23" t="s">
        <v>256</v>
      </c>
      <c r="G4107" s="23" t="s">
        <v>115</v>
      </c>
      <c r="H4107" s="23" t="s">
        <v>2612</v>
      </c>
      <c r="I4107" s="23">
        <v>3</v>
      </c>
      <c r="J4107" s="40">
        <v>0</v>
      </c>
      <c r="K4107" s="40">
        <v>0</v>
      </c>
      <c r="L4107" s="40" t="s">
        <v>115</v>
      </c>
      <c r="O4107" s="40" t="s">
        <v>115</v>
      </c>
      <c r="Q4107" s="40">
        <v>163</v>
      </c>
      <c r="R4107" s="40">
        <v>269</v>
      </c>
      <c r="X4107" s="40">
        <v>95010116</v>
      </c>
      <c r="Y4107" s="40" t="s">
        <v>115</v>
      </c>
      <c r="Z4107" s="40" t="s">
        <v>115</v>
      </c>
      <c r="AA4107" s="40" t="s">
        <v>115</v>
      </c>
      <c r="AB4107" s="40" t="s">
        <v>115</v>
      </c>
      <c r="AC4107" s="40" t="s">
        <v>115</v>
      </c>
      <c r="AI4107" s="40" t="s">
        <v>115</v>
      </c>
      <c r="AP4107" s="4" t="s">
        <v>115</v>
      </c>
    </row>
    <row r="4108" spans="1:42" x14ac:dyDescent="0.15">
      <c r="A4108" s="40" t="s">
        <v>1</v>
      </c>
      <c r="B4108" s="23">
        <v>95010116</v>
      </c>
      <c r="C4108" s="23">
        <v>50101</v>
      </c>
      <c r="D4108" s="23">
        <v>501</v>
      </c>
      <c r="F4108" s="23" t="s">
        <v>256</v>
      </c>
      <c r="G4108" s="23" t="s">
        <v>115</v>
      </c>
      <c r="H4108" s="23" t="s">
        <v>7301</v>
      </c>
      <c r="I4108" s="23">
        <v>3</v>
      </c>
      <c r="J4108" s="40">
        <v>0</v>
      </c>
      <c r="K4108" s="40">
        <v>0</v>
      </c>
      <c r="L4108" s="40" t="s">
        <v>115</v>
      </c>
      <c r="O4108" s="40" t="s">
        <v>115</v>
      </c>
      <c r="Q4108" s="40">
        <v>163</v>
      </c>
      <c r="R4108" s="40">
        <v>269</v>
      </c>
      <c r="X4108" s="40">
        <v>95010117</v>
      </c>
      <c r="Y4108" s="40" t="s">
        <v>115</v>
      </c>
      <c r="Z4108" s="40" t="s">
        <v>115</v>
      </c>
      <c r="AA4108" s="40" t="s">
        <v>115</v>
      </c>
      <c r="AB4108" s="40" t="s">
        <v>115</v>
      </c>
      <c r="AC4108" s="40" t="s">
        <v>115</v>
      </c>
      <c r="AI4108" s="40" t="s">
        <v>115</v>
      </c>
      <c r="AP4108" s="4" t="s">
        <v>115</v>
      </c>
    </row>
    <row r="4109" spans="1:42" x14ac:dyDescent="0.15">
      <c r="A4109" s="40" t="s">
        <v>1</v>
      </c>
      <c r="B4109" s="23">
        <v>95010117</v>
      </c>
      <c r="C4109" s="23">
        <v>50101</v>
      </c>
      <c r="D4109" s="23">
        <v>501</v>
      </c>
      <c r="F4109" s="23" t="s">
        <v>256</v>
      </c>
      <c r="G4109" s="23" t="s">
        <v>115</v>
      </c>
      <c r="H4109" s="23" t="s">
        <v>7300</v>
      </c>
      <c r="I4109" s="23">
        <v>3</v>
      </c>
      <c r="J4109" s="40">
        <v>0</v>
      </c>
      <c r="K4109" s="40">
        <v>0</v>
      </c>
      <c r="L4109" s="40" t="s">
        <v>115</v>
      </c>
      <c r="O4109" s="40" t="s">
        <v>115</v>
      </c>
      <c r="Q4109" s="40">
        <v>163</v>
      </c>
      <c r="R4109" s="40">
        <v>269</v>
      </c>
      <c r="X4109" s="40">
        <v>95010118</v>
      </c>
      <c r="Y4109" s="40" t="s">
        <v>115</v>
      </c>
      <c r="Z4109" s="40" t="s">
        <v>115</v>
      </c>
      <c r="AA4109" s="40" t="s">
        <v>115</v>
      </c>
      <c r="AB4109" s="40" t="s">
        <v>115</v>
      </c>
      <c r="AC4109" s="40" t="s">
        <v>115</v>
      </c>
      <c r="AI4109" s="40" t="s">
        <v>115</v>
      </c>
      <c r="AP4109" s="4" t="s">
        <v>115</v>
      </c>
    </row>
    <row r="4110" spans="1:42" x14ac:dyDescent="0.15">
      <c r="A4110" s="40" t="s">
        <v>1</v>
      </c>
      <c r="B4110" s="23">
        <v>95010118</v>
      </c>
      <c r="C4110" s="23">
        <v>50101</v>
      </c>
      <c r="D4110" s="23">
        <v>501</v>
      </c>
      <c r="F4110" s="23" t="s">
        <v>116</v>
      </c>
      <c r="G4110" s="23">
        <v>317</v>
      </c>
      <c r="H4110" s="23" t="s">
        <v>2613</v>
      </c>
      <c r="I4110" s="23">
        <v>2</v>
      </c>
      <c r="J4110" s="40">
        <v>0</v>
      </c>
      <c r="K4110" s="40">
        <v>0</v>
      </c>
      <c r="L4110" s="40" t="s">
        <v>115</v>
      </c>
      <c r="O4110" s="40" t="s">
        <v>115</v>
      </c>
      <c r="Q4110" s="40">
        <v>163</v>
      </c>
      <c r="R4110" s="40">
        <v>269</v>
      </c>
      <c r="X4110" s="40">
        <v>95010119</v>
      </c>
      <c r="Y4110" s="40" t="s">
        <v>115</v>
      </c>
      <c r="Z4110" s="40" t="s">
        <v>115</v>
      </c>
      <c r="AA4110" s="40" t="s">
        <v>115</v>
      </c>
      <c r="AB4110" s="40" t="s">
        <v>115</v>
      </c>
      <c r="AC4110" s="40" t="s">
        <v>115</v>
      </c>
      <c r="AI4110" s="40" t="s">
        <v>115</v>
      </c>
      <c r="AP4110" s="4" t="s">
        <v>115</v>
      </c>
    </row>
    <row r="4111" spans="1:42" x14ac:dyDescent="0.15">
      <c r="A4111" s="40" t="s">
        <v>1</v>
      </c>
      <c r="B4111" s="23">
        <v>95010119</v>
      </c>
      <c r="C4111" s="23">
        <v>50101</v>
      </c>
      <c r="D4111" s="23">
        <v>501</v>
      </c>
      <c r="F4111" s="23" t="s">
        <v>256</v>
      </c>
      <c r="G4111" s="23" t="s">
        <v>115</v>
      </c>
      <c r="H4111" s="23" t="s">
        <v>4775</v>
      </c>
      <c r="I4111" s="23">
        <v>3</v>
      </c>
      <c r="J4111" s="40">
        <v>0</v>
      </c>
      <c r="K4111" s="40">
        <v>0</v>
      </c>
      <c r="L4111" s="40" t="s">
        <v>115</v>
      </c>
      <c r="O4111" s="40" t="s">
        <v>115</v>
      </c>
      <c r="Q4111" s="40">
        <v>163</v>
      </c>
      <c r="R4111" s="40">
        <v>269</v>
      </c>
      <c r="X4111" s="40">
        <v>95010120</v>
      </c>
      <c r="Y4111" s="40" t="s">
        <v>115</v>
      </c>
      <c r="Z4111" s="40" t="s">
        <v>115</v>
      </c>
      <c r="AA4111" s="40" t="s">
        <v>115</v>
      </c>
      <c r="AB4111" s="40" t="s">
        <v>115</v>
      </c>
      <c r="AC4111" s="40" t="s">
        <v>115</v>
      </c>
      <c r="AI4111" s="40" t="s">
        <v>115</v>
      </c>
      <c r="AP4111" s="4" t="s">
        <v>115</v>
      </c>
    </row>
    <row r="4112" spans="1:42" x14ac:dyDescent="0.15">
      <c r="A4112" s="40" t="s">
        <v>1</v>
      </c>
      <c r="B4112" s="23">
        <v>95010120</v>
      </c>
      <c r="C4112" s="23">
        <v>50101</v>
      </c>
      <c r="D4112" s="23">
        <v>501</v>
      </c>
      <c r="F4112" s="23" t="s">
        <v>116</v>
      </c>
      <c r="G4112" s="23">
        <v>368</v>
      </c>
      <c r="H4112" s="23" t="s">
        <v>2614</v>
      </c>
      <c r="I4112" s="23">
        <v>0</v>
      </c>
      <c r="J4112" s="40">
        <v>0</v>
      </c>
      <c r="K4112" s="40">
        <v>0</v>
      </c>
      <c r="L4112" s="40" t="s">
        <v>115</v>
      </c>
      <c r="O4112" s="40" t="s">
        <v>115</v>
      </c>
      <c r="Q4112" s="40">
        <v>163</v>
      </c>
      <c r="R4112" s="40">
        <v>269</v>
      </c>
      <c r="X4112" s="40">
        <v>95010121</v>
      </c>
      <c r="Y4112" s="40" t="s">
        <v>115</v>
      </c>
      <c r="Z4112" s="40" t="s">
        <v>115</v>
      </c>
      <c r="AA4112" s="40" t="s">
        <v>115</v>
      </c>
      <c r="AB4112" s="40" t="s">
        <v>115</v>
      </c>
      <c r="AC4112" s="40" t="s">
        <v>115</v>
      </c>
      <c r="AI4112" s="40" t="s">
        <v>115</v>
      </c>
      <c r="AP4112" s="4" t="s">
        <v>115</v>
      </c>
    </row>
    <row r="4113" spans="1:42" x14ac:dyDescent="0.15">
      <c r="A4113" s="40" t="s">
        <v>1</v>
      </c>
      <c r="B4113" s="23">
        <v>95010121</v>
      </c>
      <c r="C4113" s="23">
        <v>50101</v>
      </c>
      <c r="D4113" s="23">
        <v>501</v>
      </c>
      <c r="F4113" s="23" t="s">
        <v>115</v>
      </c>
      <c r="G4113" s="23" t="s">
        <v>115</v>
      </c>
      <c r="H4113" s="23" t="s">
        <v>2615</v>
      </c>
      <c r="I4113" s="23">
        <v>4</v>
      </c>
      <c r="J4113" s="40">
        <v>0</v>
      </c>
      <c r="K4113" s="40">
        <v>0</v>
      </c>
      <c r="L4113" s="40" t="s">
        <v>115</v>
      </c>
      <c r="O4113" s="40" t="s">
        <v>115</v>
      </c>
      <c r="Q4113" s="40">
        <v>163</v>
      </c>
      <c r="R4113" s="40">
        <v>269</v>
      </c>
      <c r="X4113" s="40">
        <v>95010122</v>
      </c>
      <c r="Y4113" s="40" t="s">
        <v>115</v>
      </c>
      <c r="Z4113" s="40" t="s">
        <v>115</v>
      </c>
      <c r="AA4113" s="40" t="s">
        <v>115</v>
      </c>
      <c r="AB4113" s="40" t="s">
        <v>115</v>
      </c>
      <c r="AC4113" s="40" t="s">
        <v>115</v>
      </c>
      <c r="AI4113" s="40" t="s">
        <v>115</v>
      </c>
      <c r="AP4113" s="4" t="s">
        <v>115</v>
      </c>
    </row>
    <row r="4114" spans="1:42" x14ac:dyDescent="0.15">
      <c r="A4114" s="40" t="s">
        <v>1</v>
      </c>
      <c r="B4114" s="23">
        <v>95010122</v>
      </c>
      <c r="C4114" s="23">
        <v>50101</v>
      </c>
      <c r="D4114" s="23">
        <v>501</v>
      </c>
      <c r="F4114" s="23" t="s">
        <v>116</v>
      </c>
      <c r="G4114" s="23">
        <v>308</v>
      </c>
      <c r="H4114" s="23" t="s">
        <v>2616</v>
      </c>
      <c r="I4114" s="23">
        <v>0</v>
      </c>
      <c r="J4114" s="40">
        <v>0</v>
      </c>
      <c r="K4114" s="40">
        <v>0</v>
      </c>
      <c r="L4114" s="40" t="s">
        <v>115</v>
      </c>
      <c r="O4114" s="40" t="s">
        <v>115</v>
      </c>
      <c r="Q4114" s="40">
        <v>163</v>
      </c>
      <c r="R4114" s="40">
        <v>269</v>
      </c>
      <c r="X4114" s="40">
        <v>95010123</v>
      </c>
      <c r="Y4114" s="40" t="s">
        <v>115</v>
      </c>
      <c r="Z4114" s="40" t="s">
        <v>115</v>
      </c>
      <c r="AA4114" s="40" t="s">
        <v>115</v>
      </c>
      <c r="AB4114" s="40" t="s">
        <v>115</v>
      </c>
      <c r="AC4114" s="40" t="s">
        <v>115</v>
      </c>
      <c r="AI4114" s="40" t="s">
        <v>115</v>
      </c>
      <c r="AP4114" s="4" t="s">
        <v>115</v>
      </c>
    </row>
    <row r="4115" spans="1:42" x14ac:dyDescent="0.15">
      <c r="A4115" s="40" t="s">
        <v>1</v>
      </c>
      <c r="B4115" s="23">
        <v>95010123</v>
      </c>
      <c r="C4115" s="23">
        <v>50101</v>
      </c>
      <c r="D4115" s="23">
        <v>501</v>
      </c>
      <c r="F4115" s="23" t="s">
        <v>115</v>
      </c>
      <c r="G4115" s="23" t="s">
        <v>115</v>
      </c>
      <c r="H4115" s="23" t="s">
        <v>2617</v>
      </c>
      <c r="I4115" s="23">
        <v>4</v>
      </c>
      <c r="J4115" s="40">
        <v>0</v>
      </c>
      <c r="K4115" s="40">
        <v>0</v>
      </c>
      <c r="L4115" s="40" t="s">
        <v>115</v>
      </c>
      <c r="O4115" s="40" t="s">
        <v>115</v>
      </c>
      <c r="Q4115" s="40">
        <v>163</v>
      </c>
      <c r="R4115" s="40">
        <v>269</v>
      </c>
      <c r="X4115" s="40">
        <v>95010124</v>
      </c>
      <c r="Y4115" s="40" t="s">
        <v>115</v>
      </c>
      <c r="Z4115" s="40" t="s">
        <v>115</v>
      </c>
      <c r="AA4115" s="40" t="s">
        <v>115</v>
      </c>
      <c r="AB4115" s="40" t="s">
        <v>115</v>
      </c>
      <c r="AC4115" s="40" t="s">
        <v>115</v>
      </c>
      <c r="AI4115" s="40" t="s">
        <v>115</v>
      </c>
      <c r="AP4115" s="4" t="s">
        <v>115</v>
      </c>
    </row>
    <row r="4116" spans="1:42" x14ac:dyDescent="0.15">
      <c r="A4116" s="40" t="s">
        <v>1</v>
      </c>
      <c r="B4116" s="23">
        <v>95010124</v>
      </c>
      <c r="C4116" s="23">
        <v>50101</v>
      </c>
      <c r="D4116" s="23">
        <v>501</v>
      </c>
      <c r="F4116" s="23" t="s">
        <v>256</v>
      </c>
      <c r="G4116" s="23" t="s">
        <v>115</v>
      </c>
      <c r="H4116" s="23" t="s">
        <v>2618</v>
      </c>
      <c r="I4116" s="23">
        <v>3</v>
      </c>
      <c r="J4116" s="40">
        <v>0</v>
      </c>
      <c r="K4116" s="40">
        <v>0</v>
      </c>
      <c r="L4116" s="40" t="s">
        <v>115</v>
      </c>
      <c r="O4116" s="40" t="s">
        <v>115</v>
      </c>
      <c r="Q4116" s="40">
        <v>163</v>
      </c>
      <c r="R4116" s="40">
        <v>269</v>
      </c>
      <c r="X4116" s="40">
        <v>95010125</v>
      </c>
      <c r="Y4116" s="40" t="s">
        <v>115</v>
      </c>
      <c r="Z4116" s="40" t="s">
        <v>115</v>
      </c>
      <c r="AA4116" s="40" t="s">
        <v>115</v>
      </c>
      <c r="AB4116" s="40" t="s">
        <v>115</v>
      </c>
      <c r="AC4116" s="40" t="s">
        <v>115</v>
      </c>
      <c r="AI4116" s="40" t="s">
        <v>115</v>
      </c>
      <c r="AP4116" s="4" t="s">
        <v>115</v>
      </c>
    </row>
    <row r="4117" spans="1:42" x14ac:dyDescent="0.15">
      <c r="A4117" s="40" t="s">
        <v>1</v>
      </c>
      <c r="B4117" s="23">
        <v>95010125</v>
      </c>
      <c r="C4117" s="23">
        <v>50101</v>
      </c>
      <c r="D4117" s="23">
        <v>501</v>
      </c>
      <c r="F4117" s="23" t="s">
        <v>116</v>
      </c>
      <c r="G4117" s="23">
        <v>311</v>
      </c>
      <c r="H4117" s="23" t="s">
        <v>2619</v>
      </c>
      <c r="I4117" s="23">
        <v>0</v>
      </c>
      <c r="J4117" s="40">
        <v>0</v>
      </c>
      <c r="K4117" s="40">
        <v>0</v>
      </c>
      <c r="L4117" s="40" t="s">
        <v>115</v>
      </c>
      <c r="O4117" s="40" t="s">
        <v>115</v>
      </c>
      <c r="Q4117" s="40">
        <v>163</v>
      </c>
      <c r="R4117" s="40">
        <v>269</v>
      </c>
      <c r="X4117" s="40">
        <v>95010126</v>
      </c>
      <c r="Y4117" s="40" t="s">
        <v>115</v>
      </c>
      <c r="Z4117" s="40" t="s">
        <v>115</v>
      </c>
      <c r="AA4117" s="40" t="s">
        <v>115</v>
      </c>
      <c r="AB4117" s="40" t="s">
        <v>115</v>
      </c>
      <c r="AC4117" s="40" t="s">
        <v>115</v>
      </c>
      <c r="AI4117" s="40" t="s">
        <v>115</v>
      </c>
      <c r="AP4117" s="4" t="s">
        <v>115</v>
      </c>
    </row>
    <row r="4118" spans="1:42" x14ac:dyDescent="0.15">
      <c r="A4118" s="40" t="s">
        <v>1</v>
      </c>
      <c r="B4118" s="23">
        <v>95010126</v>
      </c>
      <c r="C4118" s="23">
        <v>50101</v>
      </c>
      <c r="D4118" s="23">
        <v>501</v>
      </c>
      <c r="F4118" s="23" t="s">
        <v>115</v>
      </c>
      <c r="G4118" s="23" t="s">
        <v>115</v>
      </c>
      <c r="H4118" s="23" t="s">
        <v>2620</v>
      </c>
      <c r="I4118" s="23">
        <v>4</v>
      </c>
      <c r="J4118" s="40">
        <v>0</v>
      </c>
      <c r="K4118" s="40">
        <v>0</v>
      </c>
      <c r="L4118" s="40" t="s">
        <v>115</v>
      </c>
      <c r="O4118" s="40" t="s">
        <v>115</v>
      </c>
      <c r="Q4118" s="40">
        <v>163</v>
      </c>
      <c r="R4118" s="40">
        <v>269</v>
      </c>
      <c r="X4118" s="40">
        <v>95010127</v>
      </c>
      <c r="Y4118" s="40" t="s">
        <v>115</v>
      </c>
      <c r="Z4118" s="40" t="s">
        <v>115</v>
      </c>
      <c r="AA4118" s="40" t="s">
        <v>115</v>
      </c>
      <c r="AB4118" s="40" t="s">
        <v>115</v>
      </c>
      <c r="AC4118" s="40" t="s">
        <v>115</v>
      </c>
      <c r="AI4118" s="40" t="s">
        <v>115</v>
      </c>
      <c r="AP4118" s="4" t="s">
        <v>115</v>
      </c>
    </row>
    <row r="4119" spans="1:42" x14ac:dyDescent="0.15">
      <c r="A4119" s="40" t="s">
        <v>1</v>
      </c>
      <c r="B4119" s="23">
        <v>95010127</v>
      </c>
      <c r="C4119" s="23">
        <v>50101</v>
      </c>
      <c r="D4119" s="23">
        <v>501</v>
      </c>
      <c r="F4119" s="23" t="s">
        <v>256</v>
      </c>
      <c r="G4119" s="23" t="s">
        <v>115</v>
      </c>
      <c r="H4119" s="23" t="s">
        <v>4776</v>
      </c>
      <c r="I4119" s="23">
        <v>3</v>
      </c>
      <c r="J4119" s="40">
        <v>0</v>
      </c>
      <c r="K4119" s="40">
        <v>2</v>
      </c>
      <c r="L4119" s="40" t="s">
        <v>115</v>
      </c>
      <c r="O4119" s="40">
        <v>1</v>
      </c>
      <c r="Q4119" s="40">
        <v>163</v>
      </c>
      <c r="R4119" s="40">
        <v>269</v>
      </c>
      <c r="X4119" s="40" t="s">
        <v>115</v>
      </c>
      <c r="Y4119" s="40" t="s">
        <v>115</v>
      </c>
      <c r="Z4119" s="40">
        <v>1</v>
      </c>
      <c r="AA4119" s="40" t="s">
        <v>115</v>
      </c>
      <c r="AB4119" s="40" t="s">
        <v>115</v>
      </c>
      <c r="AC4119" s="40" t="s">
        <v>115</v>
      </c>
      <c r="AI4119" s="40" t="s">
        <v>115</v>
      </c>
      <c r="AP4119" s="4" t="s">
        <v>2621</v>
      </c>
    </row>
    <row r="4120" spans="1:42" x14ac:dyDescent="0.15">
      <c r="A4120" s="40" t="s">
        <v>1</v>
      </c>
      <c r="B4120" s="23" t="s">
        <v>2622</v>
      </c>
      <c r="C4120" s="23">
        <v>50102</v>
      </c>
      <c r="D4120" s="23">
        <v>501</v>
      </c>
      <c r="F4120" s="23" t="s">
        <v>115</v>
      </c>
      <c r="G4120" s="23" t="s">
        <v>115</v>
      </c>
      <c r="H4120" s="23" t="s">
        <v>2623</v>
      </c>
      <c r="I4120" s="23">
        <v>4</v>
      </c>
      <c r="J4120" s="40">
        <v>1</v>
      </c>
      <c r="K4120" s="40">
        <v>1</v>
      </c>
      <c r="L4120" s="40" t="s">
        <v>115</v>
      </c>
      <c r="O4120" s="40" t="s">
        <v>115</v>
      </c>
      <c r="Q4120" s="40">
        <v>178</v>
      </c>
      <c r="R4120" s="40" t="s">
        <v>115</v>
      </c>
      <c r="X4120" s="40">
        <v>95010202</v>
      </c>
      <c r="Y4120" s="40" t="s">
        <v>115</v>
      </c>
      <c r="Z4120" s="40" t="s">
        <v>115</v>
      </c>
      <c r="AA4120" s="40" t="s">
        <v>115</v>
      </c>
      <c r="AB4120" s="40" t="s">
        <v>115</v>
      </c>
      <c r="AC4120" s="40" t="s">
        <v>115</v>
      </c>
      <c r="AI4120" s="40" t="s">
        <v>115</v>
      </c>
      <c r="AP4120" s="4" t="s">
        <v>115</v>
      </c>
    </row>
    <row r="4121" spans="1:42" x14ac:dyDescent="0.15">
      <c r="A4121" s="40" t="s">
        <v>1</v>
      </c>
      <c r="B4121" s="23">
        <v>95010202</v>
      </c>
      <c r="C4121" s="23">
        <v>50102</v>
      </c>
      <c r="D4121" s="23">
        <v>501</v>
      </c>
      <c r="F4121" s="23" t="s">
        <v>116</v>
      </c>
      <c r="G4121" s="23">
        <v>275</v>
      </c>
      <c r="H4121" s="23" t="s">
        <v>2624</v>
      </c>
      <c r="I4121" s="23">
        <v>2</v>
      </c>
      <c r="J4121" s="40">
        <v>0</v>
      </c>
      <c r="K4121" s="40">
        <v>0</v>
      </c>
      <c r="L4121" s="40" t="s">
        <v>115</v>
      </c>
      <c r="O4121" s="40" t="s">
        <v>115</v>
      </c>
      <c r="Q4121" s="40">
        <v>178</v>
      </c>
      <c r="R4121" s="40" t="s">
        <v>115</v>
      </c>
      <c r="X4121" s="40">
        <v>95010203</v>
      </c>
      <c r="Y4121" s="40" t="s">
        <v>115</v>
      </c>
      <c r="Z4121" s="40" t="s">
        <v>115</v>
      </c>
      <c r="AA4121" s="40" t="s">
        <v>115</v>
      </c>
      <c r="AB4121" s="40" t="s">
        <v>115</v>
      </c>
      <c r="AC4121" s="40" t="s">
        <v>115</v>
      </c>
      <c r="AI4121" s="40" t="s">
        <v>115</v>
      </c>
      <c r="AP4121" s="4" t="s">
        <v>115</v>
      </c>
    </row>
    <row r="4122" spans="1:42" x14ac:dyDescent="0.15">
      <c r="A4122" s="40" t="s">
        <v>1</v>
      </c>
      <c r="B4122" s="23">
        <v>95010203</v>
      </c>
      <c r="C4122" s="23">
        <v>50102</v>
      </c>
      <c r="D4122" s="23">
        <v>501</v>
      </c>
      <c r="F4122" s="23" t="s">
        <v>115</v>
      </c>
      <c r="G4122" s="23" t="s">
        <v>115</v>
      </c>
      <c r="H4122" s="23" t="s">
        <v>2625</v>
      </c>
      <c r="I4122" s="23">
        <v>4</v>
      </c>
      <c r="J4122" s="40">
        <v>0</v>
      </c>
      <c r="K4122" s="40">
        <v>0</v>
      </c>
      <c r="L4122" s="40" t="s">
        <v>115</v>
      </c>
      <c r="O4122" s="40" t="s">
        <v>115</v>
      </c>
      <c r="Q4122" s="40">
        <v>371</v>
      </c>
      <c r="R4122" s="40" t="s">
        <v>115</v>
      </c>
      <c r="X4122" s="40">
        <v>95010204</v>
      </c>
      <c r="Y4122" s="40" t="s">
        <v>115</v>
      </c>
      <c r="Z4122" s="40" t="s">
        <v>115</v>
      </c>
      <c r="AA4122" s="40" t="s">
        <v>115</v>
      </c>
      <c r="AB4122" s="40" t="s">
        <v>115</v>
      </c>
      <c r="AC4122" s="40" t="s">
        <v>115</v>
      </c>
      <c r="AI4122" s="40" t="s">
        <v>115</v>
      </c>
      <c r="AP4122" s="4" t="s">
        <v>115</v>
      </c>
    </row>
    <row r="4123" spans="1:42" x14ac:dyDescent="0.15">
      <c r="A4123" s="40" t="s">
        <v>1</v>
      </c>
      <c r="B4123" s="23">
        <v>95010204</v>
      </c>
      <c r="C4123" s="23">
        <v>50102</v>
      </c>
      <c r="D4123" s="23">
        <v>501</v>
      </c>
      <c r="F4123" s="23" t="s">
        <v>116</v>
      </c>
      <c r="G4123" s="23">
        <v>275</v>
      </c>
      <c r="H4123" s="23" t="s">
        <v>2626</v>
      </c>
      <c r="I4123" s="23">
        <v>2</v>
      </c>
      <c r="J4123" s="40">
        <v>0</v>
      </c>
      <c r="K4123" s="40">
        <v>0</v>
      </c>
      <c r="L4123" s="40" t="s">
        <v>115</v>
      </c>
      <c r="O4123" s="40" t="s">
        <v>115</v>
      </c>
      <c r="Q4123" s="40">
        <v>371</v>
      </c>
      <c r="R4123" s="40" t="s">
        <v>115</v>
      </c>
      <c r="X4123" s="40">
        <v>95010205</v>
      </c>
      <c r="Y4123" s="40" t="s">
        <v>115</v>
      </c>
      <c r="Z4123" s="40" t="s">
        <v>115</v>
      </c>
      <c r="AA4123" s="40" t="s">
        <v>115</v>
      </c>
      <c r="AB4123" s="40" t="s">
        <v>115</v>
      </c>
      <c r="AC4123" s="40" t="s">
        <v>115</v>
      </c>
      <c r="AI4123" s="40" t="s">
        <v>115</v>
      </c>
      <c r="AP4123" s="4" t="s">
        <v>115</v>
      </c>
    </row>
    <row r="4124" spans="1:42" x14ac:dyDescent="0.15">
      <c r="A4124" s="40" t="s">
        <v>1</v>
      </c>
      <c r="B4124" s="23">
        <v>95010205</v>
      </c>
      <c r="C4124" s="23">
        <v>50102</v>
      </c>
      <c r="D4124" s="23">
        <v>501</v>
      </c>
      <c r="F4124" s="23" t="s">
        <v>116</v>
      </c>
      <c r="G4124" s="23">
        <v>275</v>
      </c>
      <c r="H4124" s="23" t="s">
        <v>2627</v>
      </c>
      <c r="I4124" s="23">
        <v>2</v>
      </c>
      <c r="J4124" s="40">
        <v>0</v>
      </c>
      <c r="K4124" s="40">
        <v>2</v>
      </c>
      <c r="L4124" s="40" t="s">
        <v>115</v>
      </c>
      <c r="O4124" s="40" t="s">
        <v>115</v>
      </c>
      <c r="Q4124" s="40">
        <v>371</v>
      </c>
      <c r="R4124" s="40" t="s">
        <v>115</v>
      </c>
      <c r="X4124" s="40" t="s">
        <v>2628</v>
      </c>
      <c r="Y4124" s="40">
        <v>1</v>
      </c>
      <c r="Z4124" s="40">
        <v>1</v>
      </c>
      <c r="AA4124" s="40" t="s">
        <v>115</v>
      </c>
      <c r="AB4124" s="40" t="s">
        <v>115</v>
      </c>
      <c r="AC4124" s="40" t="s">
        <v>115</v>
      </c>
      <c r="AI4124" s="40" t="s">
        <v>115</v>
      </c>
      <c r="AP4124" s="4" t="s">
        <v>115</v>
      </c>
    </row>
    <row r="4125" spans="1:42" x14ac:dyDescent="0.15">
      <c r="A4125" s="40" t="s">
        <v>1</v>
      </c>
      <c r="B4125" s="23">
        <v>95010206</v>
      </c>
      <c r="C4125" s="23">
        <v>50102</v>
      </c>
      <c r="D4125" s="23">
        <v>501</v>
      </c>
      <c r="F4125" s="23" t="s">
        <v>115</v>
      </c>
      <c r="G4125" s="23" t="s">
        <v>115</v>
      </c>
      <c r="H4125" s="23" t="s">
        <v>2629</v>
      </c>
      <c r="I4125" s="23">
        <v>4</v>
      </c>
      <c r="J4125" s="40">
        <v>0</v>
      </c>
      <c r="K4125" s="40">
        <v>3</v>
      </c>
      <c r="L4125" s="40" t="s">
        <v>115</v>
      </c>
      <c r="O4125" s="40" t="s">
        <v>115</v>
      </c>
      <c r="Q4125" s="40">
        <v>371</v>
      </c>
      <c r="R4125" s="40" t="s">
        <v>115</v>
      </c>
      <c r="X4125" s="40">
        <v>95010208</v>
      </c>
      <c r="Y4125" s="40">
        <v>-1</v>
      </c>
      <c r="Z4125" s="40">
        <v>2</v>
      </c>
      <c r="AA4125" s="40" t="s">
        <v>115</v>
      </c>
      <c r="AB4125" s="40" t="s">
        <v>115</v>
      </c>
      <c r="AC4125" s="40" t="s">
        <v>1389</v>
      </c>
      <c r="AI4125" s="40" t="s">
        <v>115</v>
      </c>
      <c r="AP4125" s="4" t="s">
        <v>115</v>
      </c>
    </row>
    <row r="4126" spans="1:42" x14ac:dyDescent="0.15">
      <c r="A4126" s="40" t="s">
        <v>1</v>
      </c>
      <c r="B4126" s="23">
        <v>95010207</v>
      </c>
      <c r="C4126" s="23">
        <v>50102</v>
      </c>
      <c r="D4126" s="23">
        <v>501</v>
      </c>
      <c r="F4126" s="23" t="s">
        <v>115</v>
      </c>
      <c r="G4126" s="23" t="s">
        <v>115</v>
      </c>
      <c r="H4126" s="23" t="s">
        <v>2630</v>
      </c>
      <c r="I4126" s="23">
        <v>4</v>
      </c>
      <c r="J4126" s="40">
        <v>0</v>
      </c>
      <c r="K4126" s="40">
        <v>4</v>
      </c>
      <c r="L4126" s="40" t="s">
        <v>115</v>
      </c>
      <c r="O4126" s="40" t="s">
        <v>115</v>
      </c>
      <c r="Q4126" s="40">
        <v>371</v>
      </c>
      <c r="R4126" s="40" t="s">
        <v>115</v>
      </c>
      <c r="X4126" s="40">
        <v>95010210</v>
      </c>
      <c r="Y4126" s="40">
        <v>-1</v>
      </c>
      <c r="Z4126" s="40">
        <v>2</v>
      </c>
      <c r="AA4126" s="40" t="s">
        <v>2631</v>
      </c>
      <c r="AB4126" s="40" t="s">
        <v>115</v>
      </c>
      <c r="AC4126" s="40" t="s">
        <v>115</v>
      </c>
      <c r="AI4126" s="40" t="s">
        <v>115</v>
      </c>
      <c r="AP4126" s="4" t="s">
        <v>115</v>
      </c>
    </row>
    <row r="4127" spans="1:42" x14ac:dyDescent="0.15">
      <c r="A4127" s="40" t="s">
        <v>1</v>
      </c>
      <c r="B4127" s="23">
        <v>95010208</v>
      </c>
      <c r="C4127" s="23">
        <v>50102</v>
      </c>
      <c r="D4127" s="23">
        <v>501</v>
      </c>
      <c r="F4127" s="23" t="s">
        <v>115</v>
      </c>
      <c r="G4127" s="23" t="s">
        <v>115</v>
      </c>
      <c r="H4127" s="23" t="s">
        <v>2632</v>
      </c>
      <c r="I4127" s="23">
        <v>4</v>
      </c>
      <c r="J4127" s="40">
        <v>0</v>
      </c>
      <c r="K4127" s="40">
        <v>0</v>
      </c>
      <c r="L4127" s="40" t="s">
        <v>115</v>
      </c>
      <c r="O4127" s="40" t="s">
        <v>115</v>
      </c>
      <c r="Q4127" s="40">
        <v>371</v>
      </c>
      <c r="R4127" s="40" t="s">
        <v>115</v>
      </c>
      <c r="X4127" s="40">
        <v>95010209</v>
      </c>
      <c r="Y4127" s="40" t="s">
        <v>115</v>
      </c>
      <c r="Z4127" s="40" t="s">
        <v>115</v>
      </c>
      <c r="AA4127" s="40" t="s">
        <v>115</v>
      </c>
      <c r="AB4127" s="40" t="s">
        <v>115</v>
      </c>
      <c r="AC4127" s="40" t="s">
        <v>115</v>
      </c>
      <c r="AI4127" s="40" t="s">
        <v>115</v>
      </c>
      <c r="AP4127" s="4" t="s">
        <v>115</v>
      </c>
    </row>
    <row r="4128" spans="1:42" x14ac:dyDescent="0.15">
      <c r="A4128" s="40" t="s">
        <v>1</v>
      </c>
      <c r="B4128" s="23">
        <v>95010209</v>
      </c>
      <c r="C4128" s="23">
        <v>50102</v>
      </c>
      <c r="D4128" s="23">
        <v>501</v>
      </c>
      <c r="F4128" s="23" t="s">
        <v>115</v>
      </c>
      <c r="G4128" s="23" t="s">
        <v>115</v>
      </c>
      <c r="H4128" s="23" t="s">
        <v>2633</v>
      </c>
      <c r="I4128" s="23">
        <v>4</v>
      </c>
      <c r="J4128" s="40">
        <v>0</v>
      </c>
      <c r="K4128" s="40">
        <v>5</v>
      </c>
      <c r="L4128" s="40" t="s">
        <v>2634</v>
      </c>
      <c r="O4128" s="40" t="s">
        <v>115</v>
      </c>
      <c r="Q4128" s="40">
        <v>371</v>
      </c>
      <c r="R4128" s="40" t="s">
        <v>115</v>
      </c>
      <c r="X4128" s="40">
        <v>95010205</v>
      </c>
      <c r="Y4128" s="40" t="s">
        <v>115</v>
      </c>
      <c r="Z4128" s="40">
        <v>4</v>
      </c>
      <c r="AA4128" s="40" t="s">
        <v>115</v>
      </c>
      <c r="AB4128" s="40" t="s">
        <v>115</v>
      </c>
      <c r="AC4128" s="40" t="s">
        <v>115</v>
      </c>
      <c r="AI4128" s="40" t="s">
        <v>115</v>
      </c>
      <c r="AP4128" s="4" t="s">
        <v>115</v>
      </c>
    </row>
    <row r="4129" spans="1:42" x14ac:dyDescent="0.15">
      <c r="A4129" s="40" t="s">
        <v>1</v>
      </c>
      <c r="B4129" s="23">
        <v>95010210</v>
      </c>
      <c r="C4129" s="23">
        <v>50102</v>
      </c>
      <c r="D4129" s="23">
        <v>501</v>
      </c>
      <c r="F4129" s="23" t="s">
        <v>115</v>
      </c>
      <c r="G4129" s="23" t="s">
        <v>115</v>
      </c>
      <c r="H4129" s="23" t="s">
        <v>2635</v>
      </c>
      <c r="I4129" s="23">
        <v>4</v>
      </c>
      <c r="J4129" s="40">
        <v>0</v>
      </c>
      <c r="K4129" s="40">
        <v>6</v>
      </c>
      <c r="L4129" s="40" t="s">
        <v>4777</v>
      </c>
      <c r="O4129" s="40" t="s">
        <v>115</v>
      </c>
      <c r="Q4129" s="40">
        <v>371</v>
      </c>
      <c r="R4129" s="40" t="s">
        <v>115</v>
      </c>
      <c r="X4129" s="40">
        <v>95010211</v>
      </c>
      <c r="Y4129" s="40" t="s">
        <v>115</v>
      </c>
      <c r="Z4129" s="40">
        <v>5</v>
      </c>
      <c r="AA4129" s="40" t="s">
        <v>115</v>
      </c>
      <c r="AB4129" s="40" t="s">
        <v>115</v>
      </c>
      <c r="AC4129" s="40" t="s">
        <v>115</v>
      </c>
      <c r="AI4129" s="40" t="s">
        <v>115</v>
      </c>
      <c r="AP4129" s="4" t="s">
        <v>115</v>
      </c>
    </row>
    <row r="4130" spans="1:42" x14ac:dyDescent="0.15">
      <c r="A4130" s="40" t="s">
        <v>1</v>
      </c>
      <c r="B4130" s="23">
        <v>95010211</v>
      </c>
      <c r="C4130" s="23">
        <v>50102</v>
      </c>
      <c r="D4130" s="23">
        <v>501</v>
      </c>
      <c r="F4130" s="23" t="s">
        <v>116</v>
      </c>
      <c r="G4130" s="23">
        <v>261</v>
      </c>
      <c r="H4130" s="23" t="s">
        <v>4778</v>
      </c>
      <c r="I4130" s="23">
        <v>2</v>
      </c>
      <c r="J4130" s="40">
        <v>0</v>
      </c>
      <c r="K4130" s="40">
        <v>7</v>
      </c>
      <c r="L4130" s="40" t="s">
        <v>115</v>
      </c>
      <c r="O4130" s="40">
        <v>1</v>
      </c>
      <c r="Q4130" s="40">
        <v>178</v>
      </c>
      <c r="R4130" s="40" t="s">
        <v>115</v>
      </c>
      <c r="X4130" s="40" t="s">
        <v>115</v>
      </c>
      <c r="Y4130" s="40" t="s">
        <v>115</v>
      </c>
      <c r="Z4130" s="40">
        <v>6</v>
      </c>
      <c r="AA4130" s="40" t="s">
        <v>115</v>
      </c>
      <c r="AB4130" s="40" t="s">
        <v>115</v>
      </c>
      <c r="AC4130" s="40" t="s">
        <v>115</v>
      </c>
      <c r="AI4130" s="40" t="s">
        <v>115</v>
      </c>
      <c r="AP4130" s="4" t="s">
        <v>2636</v>
      </c>
    </row>
    <row r="4131" spans="1:42" x14ac:dyDescent="0.15">
      <c r="A4131" s="40" t="s">
        <v>1</v>
      </c>
      <c r="B4131" s="23" t="s">
        <v>2637</v>
      </c>
      <c r="C4131" s="23">
        <v>50103</v>
      </c>
      <c r="D4131" s="23">
        <v>501</v>
      </c>
      <c r="F4131" s="23" t="s">
        <v>115</v>
      </c>
      <c r="G4131" s="23" t="s">
        <v>115</v>
      </c>
      <c r="H4131" s="23" t="s">
        <v>4779</v>
      </c>
      <c r="I4131" s="23">
        <v>4</v>
      </c>
      <c r="J4131" s="40">
        <v>1</v>
      </c>
      <c r="K4131" s="40">
        <v>1</v>
      </c>
      <c r="L4131" s="40" t="s">
        <v>115</v>
      </c>
      <c r="O4131" s="40" t="s">
        <v>115</v>
      </c>
      <c r="Q4131" s="40">
        <v>163</v>
      </c>
      <c r="R4131" s="40" t="s">
        <v>115</v>
      </c>
      <c r="X4131" s="40">
        <v>95010302</v>
      </c>
      <c r="Y4131" s="40" t="s">
        <v>115</v>
      </c>
      <c r="Z4131" s="40" t="s">
        <v>115</v>
      </c>
      <c r="AA4131" s="40" t="s">
        <v>115</v>
      </c>
      <c r="AB4131" s="40" t="s">
        <v>115</v>
      </c>
      <c r="AC4131" s="40" t="s">
        <v>115</v>
      </c>
      <c r="AI4131" s="40" t="s">
        <v>115</v>
      </c>
      <c r="AP4131" s="4" t="s">
        <v>115</v>
      </c>
    </row>
    <row r="4132" spans="1:42" x14ac:dyDescent="0.15">
      <c r="A4132" s="40" t="s">
        <v>1</v>
      </c>
      <c r="B4132" s="23">
        <v>95010302</v>
      </c>
      <c r="C4132" s="23">
        <v>50103</v>
      </c>
      <c r="D4132" s="23">
        <v>501</v>
      </c>
      <c r="F4132" s="23" t="s">
        <v>115</v>
      </c>
      <c r="G4132" s="23" t="s">
        <v>115</v>
      </c>
      <c r="H4132" s="23" t="s">
        <v>4780</v>
      </c>
      <c r="I4132" s="23">
        <v>4</v>
      </c>
      <c r="J4132" s="40">
        <v>0</v>
      </c>
      <c r="K4132" s="40">
        <v>2</v>
      </c>
      <c r="L4132" s="40" t="s">
        <v>115</v>
      </c>
      <c r="O4132" s="40" t="s">
        <v>115</v>
      </c>
      <c r="Q4132" s="40">
        <v>163</v>
      </c>
      <c r="R4132" s="40" t="s">
        <v>115</v>
      </c>
      <c r="X4132" s="40" t="s">
        <v>4781</v>
      </c>
      <c r="Y4132" s="40">
        <v>1</v>
      </c>
      <c r="Z4132" s="40">
        <v>1</v>
      </c>
      <c r="AA4132" s="40" t="s">
        <v>115</v>
      </c>
      <c r="AB4132" s="40" t="s">
        <v>115</v>
      </c>
      <c r="AC4132" s="40" t="s">
        <v>115</v>
      </c>
      <c r="AI4132" s="40" t="s">
        <v>115</v>
      </c>
      <c r="AP4132" s="4" t="s">
        <v>115</v>
      </c>
    </row>
    <row r="4133" spans="1:42" x14ac:dyDescent="0.15">
      <c r="A4133" s="40" t="s">
        <v>1</v>
      </c>
      <c r="B4133" s="23">
        <v>95010303</v>
      </c>
      <c r="C4133" s="23">
        <v>50103</v>
      </c>
      <c r="D4133" s="23">
        <v>501</v>
      </c>
      <c r="F4133" s="23" t="s">
        <v>115</v>
      </c>
      <c r="G4133" s="23" t="s">
        <v>115</v>
      </c>
      <c r="H4133" s="23" t="s">
        <v>4782</v>
      </c>
      <c r="I4133" s="23">
        <v>4</v>
      </c>
      <c r="J4133" s="40">
        <v>0</v>
      </c>
      <c r="K4133" s="40">
        <v>3</v>
      </c>
      <c r="L4133" s="40" t="s">
        <v>115</v>
      </c>
      <c r="O4133" s="40" t="s">
        <v>115</v>
      </c>
      <c r="Q4133" s="40">
        <v>163</v>
      </c>
      <c r="R4133" s="40" t="s">
        <v>115</v>
      </c>
      <c r="X4133" s="40">
        <v>95010304</v>
      </c>
      <c r="Y4133" s="40">
        <v>-1</v>
      </c>
      <c r="Z4133" s="40">
        <v>2</v>
      </c>
      <c r="AA4133" s="40" t="s">
        <v>4783</v>
      </c>
      <c r="AB4133" s="40" t="s">
        <v>115</v>
      </c>
      <c r="AC4133" s="40" t="s">
        <v>115</v>
      </c>
      <c r="AI4133" s="40" t="s">
        <v>115</v>
      </c>
      <c r="AP4133" s="4" t="s">
        <v>115</v>
      </c>
    </row>
    <row r="4134" spans="1:42" x14ac:dyDescent="0.15">
      <c r="A4134" s="40" t="s">
        <v>1</v>
      </c>
      <c r="B4134" s="23">
        <v>95010304</v>
      </c>
      <c r="C4134" s="23">
        <v>50103</v>
      </c>
      <c r="D4134" s="23">
        <v>501</v>
      </c>
      <c r="F4134" s="23" t="s">
        <v>115</v>
      </c>
      <c r="G4134" s="23" t="s">
        <v>115</v>
      </c>
      <c r="H4134" s="23" t="s">
        <v>2638</v>
      </c>
      <c r="I4134" s="23">
        <v>4</v>
      </c>
      <c r="J4134" s="40">
        <v>0</v>
      </c>
      <c r="K4134" s="40">
        <v>0</v>
      </c>
      <c r="L4134" s="40" t="s">
        <v>115</v>
      </c>
      <c r="O4134" s="40" t="s">
        <v>115</v>
      </c>
      <c r="Q4134" s="40">
        <v>183</v>
      </c>
      <c r="R4134" s="40" t="s">
        <v>115</v>
      </c>
      <c r="X4134" s="40">
        <v>95010305</v>
      </c>
      <c r="Y4134" s="40" t="s">
        <v>115</v>
      </c>
      <c r="Z4134" s="40" t="s">
        <v>115</v>
      </c>
      <c r="AA4134" s="40" t="s">
        <v>115</v>
      </c>
      <c r="AB4134" s="40" t="s">
        <v>115</v>
      </c>
      <c r="AC4134" s="40" t="s">
        <v>115</v>
      </c>
      <c r="AI4134" s="40" t="s">
        <v>115</v>
      </c>
      <c r="AP4134" s="4" t="s">
        <v>115</v>
      </c>
    </row>
    <row r="4135" spans="1:42" x14ac:dyDescent="0.15">
      <c r="A4135" s="40" t="s">
        <v>1</v>
      </c>
      <c r="B4135" s="23">
        <v>95010305</v>
      </c>
      <c r="C4135" s="23">
        <v>50103</v>
      </c>
      <c r="D4135" s="23">
        <v>501</v>
      </c>
      <c r="F4135" s="23" t="s">
        <v>115</v>
      </c>
      <c r="G4135" s="23" t="s">
        <v>115</v>
      </c>
      <c r="H4135" s="23" t="s">
        <v>2639</v>
      </c>
      <c r="I4135" s="23">
        <v>4</v>
      </c>
      <c r="J4135" s="40">
        <v>0</v>
      </c>
      <c r="K4135" s="40">
        <v>0</v>
      </c>
      <c r="L4135" s="40" t="s">
        <v>115</v>
      </c>
      <c r="O4135" s="40" t="s">
        <v>115</v>
      </c>
      <c r="Q4135" s="40">
        <v>185</v>
      </c>
      <c r="R4135" s="40" t="s">
        <v>115</v>
      </c>
      <c r="X4135" s="40">
        <v>95010306</v>
      </c>
      <c r="Y4135" s="40" t="s">
        <v>115</v>
      </c>
      <c r="Z4135" s="40" t="s">
        <v>115</v>
      </c>
      <c r="AA4135" s="40" t="s">
        <v>115</v>
      </c>
      <c r="AB4135" s="40" t="s">
        <v>115</v>
      </c>
      <c r="AC4135" s="40" t="s">
        <v>115</v>
      </c>
      <c r="AI4135" s="40" t="s">
        <v>115</v>
      </c>
      <c r="AP4135" s="4" t="s">
        <v>115</v>
      </c>
    </row>
    <row r="4136" spans="1:42" x14ac:dyDescent="0.15">
      <c r="A4136" s="40" t="s">
        <v>1</v>
      </c>
      <c r="B4136" s="23">
        <v>95010306</v>
      </c>
      <c r="C4136" s="23">
        <v>50103</v>
      </c>
      <c r="D4136" s="23">
        <v>501</v>
      </c>
      <c r="F4136" s="23" t="s">
        <v>115</v>
      </c>
      <c r="G4136" s="23" t="s">
        <v>115</v>
      </c>
      <c r="H4136" s="23" t="s">
        <v>2640</v>
      </c>
      <c r="I4136" s="23">
        <v>4</v>
      </c>
      <c r="J4136" s="40">
        <v>0</v>
      </c>
      <c r="K4136" s="40">
        <v>0</v>
      </c>
      <c r="L4136" s="40" t="s">
        <v>115</v>
      </c>
      <c r="O4136" s="40" t="s">
        <v>115</v>
      </c>
      <c r="Q4136" s="40">
        <v>185</v>
      </c>
      <c r="R4136" s="40">
        <v>269</v>
      </c>
      <c r="X4136" s="40">
        <v>95010307</v>
      </c>
      <c r="Y4136" s="40" t="s">
        <v>115</v>
      </c>
      <c r="Z4136" s="40" t="s">
        <v>115</v>
      </c>
      <c r="AA4136" s="40" t="s">
        <v>115</v>
      </c>
      <c r="AB4136" s="40" t="s">
        <v>115</v>
      </c>
      <c r="AC4136" s="40" t="s">
        <v>115</v>
      </c>
      <c r="AI4136" s="40" t="s">
        <v>115</v>
      </c>
      <c r="AP4136" s="4" t="s">
        <v>115</v>
      </c>
    </row>
    <row r="4137" spans="1:42" x14ac:dyDescent="0.15">
      <c r="A4137" s="40" t="s">
        <v>1</v>
      </c>
      <c r="B4137" s="23">
        <v>95010307</v>
      </c>
      <c r="C4137" s="23">
        <v>50103</v>
      </c>
      <c r="D4137" s="23">
        <v>501</v>
      </c>
      <c r="F4137" s="23" t="s">
        <v>256</v>
      </c>
      <c r="G4137" s="23" t="s">
        <v>115</v>
      </c>
      <c r="H4137" s="23" t="s">
        <v>1088</v>
      </c>
      <c r="I4137" s="23">
        <v>3</v>
      </c>
      <c r="J4137" s="40">
        <v>0</v>
      </c>
      <c r="K4137" s="40">
        <v>0</v>
      </c>
      <c r="L4137" s="40" t="s">
        <v>115</v>
      </c>
      <c r="O4137" s="40" t="s">
        <v>115</v>
      </c>
      <c r="Q4137" s="40">
        <v>185</v>
      </c>
      <c r="R4137" s="40">
        <v>269</v>
      </c>
      <c r="X4137" s="40">
        <v>95010308</v>
      </c>
      <c r="Y4137" s="40" t="s">
        <v>115</v>
      </c>
      <c r="Z4137" s="40" t="s">
        <v>115</v>
      </c>
      <c r="AA4137" s="40" t="s">
        <v>115</v>
      </c>
      <c r="AB4137" s="40" t="s">
        <v>115</v>
      </c>
      <c r="AC4137" s="40" t="s">
        <v>115</v>
      </c>
      <c r="AI4137" s="40" t="s">
        <v>115</v>
      </c>
      <c r="AP4137" s="4" t="s">
        <v>115</v>
      </c>
    </row>
    <row r="4138" spans="1:42" x14ac:dyDescent="0.15">
      <c r="A4138" s="40" t="s">
        <v>1</v>
      </c>
      <c r="B4138" s="23">
        <v>95010308</v>
      </c>
      <c r="C4138" s="23">
        <v>50103</v>
      </c>
      <c r="D4138" s="23">
        <v>501</v>
      </c>
      <c r="F4138" s="23" t="s">
        <v>116</v>
      </c>
      <c r="G4138" s="23">
        <v>365</v>
      </c>
      <c r="H4138" s="23" t="s">
        <v>4784</v>
      </c>
      <c r="I4138" s="23">
        <v>0</v>
      </c>
      <c r="J4138" s="40">
        <v>0</v>
      </c>
      <c r="K4138" s="40">
        <v>0</v>
      </c>
      <c r="L4138" s="40" t="s">
        <v>115</v>
      </c>
      <c r="O4138" s="40" t="s">
        <v>115</v>
      </c>
      <c r="Q4138" s="40">
        <v>185</v>
      </c>
      <c r="R4138" s="40">
        <v>269</v>
      </c>
      <c r="X4138" s="40">
        <v>95010309</v>
      </c>
      <c r="Y4138" s="40" t="s">
        <v>115</v>
      </c>
      <c r="Z4138" s="40" t="s">
        <v>115</v>
      </c>
      <c r="AA4138" s="40" t="s">
        <v>115</v>
      </c>
      <c r="AB4138" s="40" t="s">
        <v>115</v>
      </c>
      <c r="AC4138" s="40" t="s">
        <v>115</v>
      </c>
      <c r="AI4138" s="40" t="s">
        <v>115</v>
      </c>
      <c r="AP4138" s="4" t="s">
        <v>115</v>
      </c>
    </row>
    <row r="4139" spans="1:42" x14ac:dyDescent="0.15">
      <c r="A4139" s="40" t="s">
        <v>1</v>
      </c>
      <c r="B4139" s="23">
        <v>95010309</v>
      </c>
      <c r="C4139" s="23">
        <v>50103</v>
      </c>
      <c r="D4139" s="23">
        <v>501</v>
      </c>
      <c r="F4139" s="23" t="s">
        <v>115</v>
      </c>
      <c r="G4139" s="23" t="s">
        <v>115</v>
      </c>
      <c r="H4139" s="23" t="s">
        <v>2641</v>
      </c>
      <c r="I4139" s="23">
        <v>4</v>
      </c>
      <c r="J4139" s="40">
        <v>0</v>
      </c>
      <c r="K4139" s="40">
        <v>0</v>
      </c>
      <c r="L4139" s="40" t="s">
        <v>115</v>
      </c>
      <c r="O4139" s="40" t="s">
        <v>115</v>
      </c>
      <c r="Q4139" s="40">
        <v>185</v>
      </c>
      <c r="R4139" s="40">
        <v>269</v>
      </c>
      <c r="X4139" s="40">
        <v>95010310</v>
      </c>
      <c r="Y4139" s="40" t="s">
        <v>115</v>
      </c>
      <c r="Z4139" s="40" t="s">
        <v>115</v>
      </c>
      <c r="AA4139" s="40" t="s">
        <v>115</v>
      </c>
      <c r="AB4139" s="40" t="s">
        <v>115</v>
      </c>
      <c r="AC4139" s="40" t="s">
        <v>115</v>
      </c>
      <c r="AI4139" s="40" t="s">
        <v>115</v>
      </c>
      <c r="AP4139" s="4" t="s">
        <v>115</v>
      </c>
    </row>
    <row r="4140" spans="1:42" x14ac:dyDescent="0.15">
      <c r="A4140" s="40" t="s">
        <v>1</v>
      </c>
      <c r="B4140" s="23">
        <v>95010310</v>
      </c>
      <c r="C4140" s="23">
        <v>50103</v>
      </c>
      <c r="D4140" s="23">
        <v>501</v>
      </c>
      <c r="F4140" s="23" t="s">
        <v>116</v>
      </c>
      <c r="G4140" s="23">
        <v>260</v>
      </c>
      <c r="H4140" s="23" t="s">
        <v>2642</v>
      </c>
      <c r="I4140" s="23">
        <v>0</v>
      </c>
      <c r="J4140" s="40">
        <v>0</v>
      </c>
      <c r="K4140" s="40">
        <v>0</v>
      </c>
      <c r="L4140" s="40" t="s">
        <v>115</v>
      </c>
      <c r="O4140" s="40" t="s">
        <v>115</v>
      </c>
      <c r="Q4140" s="40">
        <v>185</v>
      </c>
      <c r="R4140" s="40">
        <v>269</v>
      </c>
      <c r="X4140" s="40">
        <v>95010311</v>
      </c>
      <c r="Y4140" s="40" t="s">
        <v>115</v>
      </c>
      <c r="Z4140" s="40" t="s">
        <v>115</v>
      </c>
      <c r="AA4140" s="40" t="s">
        <v>115</v>
      </c>
      <c r="AB4140" s="40" t="s">
        <v>115</v>
      </c>
      <c r="AC4140" s="40" t="s">
        <v>115</v>
      </c>
      <c r="AI4140" s="40" t="s">
        <v>115</v>
      </c>
      <c r="AP4140" s="4" t="s">
        <v>115</v>
      </c>
    </row>
    <row r="4141" spans="1:42" x14ac:dyDescent="0.15">
      <c r="A4141" s="40" t="s">
        <v>1</v>
      </c>
      <c r="B4141" s="23">
        <v>95010311</v>
      </c>
      <c r="C4141" s="23">
        <v>50103</v>
      </c>
      <c r="D4141" s="23">
        <v>501</v>
      </c>
      <c r="F4141" s="23" t="s">
        <v>256</v>
      </c>
      <c r="G4141" s="23" t="s">
        <v>115</v>
      </c>
      <c r="H4141" s="23" t="s">
        <v>4785</v>
      </c>
      <c r="I4141" s="23">
        <v>3</v>
      </c>
      <c r="J4141" s="40">
        <v>0</v>
      </c>
      <c r="K4141" s="40">
        <v>0</v>
      </c>
      <c r="L4141" s="40" t="s">
        <v>115</v>
      </c>
      <c r="O4141" s="40" t="s">
        <v>115</v>
      </c>
      <c r="Q4141" s="40">
        <v>185</v>
      </c>
      <c r="R4141" s="40">
        <v>269</v>
      </c>
      <c r="X4141" s="40">
        <v>95010312</v>
      </c>
      <c r="Y4141" s="40" t="s">
        <v>115</v>
      </c>
      <c r="Z4141" s="40" t="s">
        <v>115</v>
      </c>
      <c r="AA4141" s="40" t="s">
        <v>115</v>
      </c>
      <c r="AB4141" s="40" t="s">
        <v>115</v>
      </c>
      <c r="AC4141" s="40" t="s">
        <v>115</v>
      </c>
      <c r="AI4141" s="40" t="s">
        <v>115</v>
      </c>
      <c r="AP4141" s="4" t="s">
        <v>115</v>
      </c>
    </row>
    <row r="4142" spans="1:42" x14ac:dyDescent="0.15">
      <c r="A4142" s="40" t="s">
        <v>1</v>
      </c>
      <c r="B4142" s="23">
        <v>95010312</v>
      </c>
      <c r="C4142" s="23">
        <v>50103</v>
      </c>
      <c r="D4142" s="23">
        <v>501</v>
      </c>
      <c r="F4142" s="23" t="s">
        <v>116</v>
      </c>
      <c r="G4142" s="23">
        <v>260</v>
      </c>
      <c r="H4142" s="23" t="s">
        <v>2643</v>
      </c>
      <c r="I4142" s="23">
        <v>0</v>
      </c>
      <c r="J4142" s="40">
        <v>0</v>
      </c>
      <c r="K4142" s="40">
        <v>0</v>
      </c>
      <c r="L4142" s="40" t="s">
        <v>115</v>
      </c>
      <c r="O4142" s="40" t="s">
        <v>115</v>
      </c>
      <c r="Q4142" s="40">
        <v>185</v>
      </c>
      <c r="R4142" s="40">
        <v>269</v>
      </c>
      <c r="X4142" s="40">
        <v>95010313</v>
      </c>
      <c r="Y4142" s="40" t="s">
        <v>115</v>
      </c>
      <c r="Z4142" s="40" t="s">
        <v>115</v>
      </c>
      <c r="AA4142" s="40" t="s">
        <v>115</v>
      </c>
      <c r="AB4142" s="40" t="s">
        <v>115</v>
      </c>
      <c r="AC4142" s="40" t="s">
        <v>115</v>
      </c>
      <c r="AI4142" s="40" t="s">
        <v>115</v>
      </c>
      <c r="AP4142" s="4" t="s">
        <v>115</v>
      </c>
    </row>
    <row r="4143" spans="1:42" x14ac:dyDescent="0.15">
      <c r="A4143" s="40" t="s">
        <v>1</v>
      </c>
      <c r="B4143" s="23">
        <v>95010313</v>
      </c>
      <c r="C4143" s="23">
        <v>50103</v>
      </c>
      <c r="D4143" s="23">
        <v>501</v>
      </c>
      <c r="F4143" s="23" t="s">
        <v>115</v>
      </c>
      <c r="G4143" s="23" t="s">
        <v>115</v>
      </c>
      <c r="H4143" s="23" t="s">
        <v>2644</v>
      </c>
      <c r="I4143" s="23">
        <v>4</v>
      </c>
      <c r="J4143" s="40">
        <v>0</v>
      </c>
      <c r="K4143" s="40">
        <v>0</v>
      </c>
      <c r="L4143" s="40" t="s">
        <v>115</v>
      </c>
      <c r="O4143" s="40" t="s">
        <v>115</v>
      </c>
      <c r="Q4143" s="40">
        <v>185</v>
      </c>
      <c r="R4143" s="40">
        <v>269</v>
      </c>
      <c r="X4143" s="40">
        <v>95010314</v>
      </c>
      <c r="Y4143" s="40" t="s">
        <v>115</v>
      </c>
      <c r="Z4143" s="40" t="s">
        <v>115</v>
      </c>
      <c r="AA4143" s="40" t="s">
        <v>115</v>
      </c>
      <c r="AB4143" s="40" t="s">
        <v>115</v>
      </c>
      <c r="AC4143" s="40" t="s">
        <v>115</v>
      </c>
      <c r="AI4143" s="40" t="s">
        <v>115</v>
      </c>
      <c r="AP4143" s="4" t="s">
        <v>115</v>
      </c>
    </row>
    <row r="4144" spans="1:42" x14ac:dyDescent="0.15">
      <c r="A4144" s="40" t="s">
        <v>1</v>
      </c>
      <c r="B4144" s="23">
        <v>95010314</v>
      </c>
      <c r="C4144" s="23">
        <v>50103</v>
      </c>
      <c r="D4144" s="23">
        <v>501</v>
      </c>
      <c r="F4144" s="23" t="s">
        <v>256</v>
      </c>
      <c r="G4144" s="23" t="s">
        <v>115</v>
      </c>
      <c r="H4144" s="23" t="s">
        <v>2645</v>
      </c>
      <c r="I4144" s="23">
        <v>3</v>
      </c>
      <c r="J4144" s="40">
        <v>0</v>
      </c>
      <c r="K4144" s="40">
        <v>0</v>
      </c>
      <c r="L4144" s="40" t="s">
        <v>115</v>
      </c>
      <c r="O4144" s="40" t="s">
        <v>115</v>
      </c>
      <c r="Q4144" s="40">
        <v>185</v>
      </c>
      <c r="R4144" s="40">
        <v>269</v>
      </c>
      <c r="X4144" s="40">
        <v>95010315</v>
      </c>
      <c r="Y4144" s="40" t="s">
        <v>115</v>
      </c>
      <c r="Z4144" s="40" t="s">
        <v>115</v>
      </c>
      <c r="AA4144" s="40" t="s">
        <v>115</v>
      </c>
      <c r="AB4144" s="40" t="s">
        <v>115</v>
      </c>
      <c r="AC4144" s="40" t="s">
        <v>115</v>
      </c>
      <c r="AI4144" s="40" t="s">
        <v>115</v>
      </c>
      <c r="AP4144" s="4" t="s">
        <v>115</v>
      </c>
    </row>
    <row r="4145" spans="1:42" x14ac:dyDescent="0.15">
      <c r="A4145" s="40" t="s">
        <v>1</v>
      </c>
      <c r="B4145" s="23">
        <v>95010315</v>
      </c>
      <c r="C4145" s="23">
        <v>50103</v>
      </c>
      <c r="D4145" s="23">
        <v>501</v>
      </c>
      <c r="F4145" s="23" t="s">
        <v>256</v>
      </c>
      <c r="G4145" s="23" t="s">
        <v>115</v>
      </c>
      <c r="H4145" s="23" t="s">
        <v>4786</v>
      </c>
      <c r="I4145" s="23">
        <v>3</v>
      </c>
      <c r="J4145" s="40">
        <v>0</v>
      </c>
      <c r="K4145" s="40">
        <v>0</v>
      </c>
      <c r="L4145" s="40" t="s">
        <v>115</v>
      </c>
      <c r="O4145" s="40" t="s">
        <v>115</v>
      </c>
      <c r="Q4145" s="40">
        <v>185</v>
      </c>
      <c r="R4145" s="40">
        <v>269</v>
      </c>
      <c r="X4145" s="40">
        <v>95010316</v>
      </c>
      <c r="Y4145" s="40" t="s">
        <v>115</v>
      </c>
      <c r="Z4145" s="40" t="s">
        <v>115</v>
      </c>
      <c r="AA4145" s="40" t="s">
        <v>115</v>
      </c>
      <c r="AB4145" s="40" t="s">
        <v>115</v>
      </c>
      <c r="AC4145" s="40" t="s">
        <v>115</v>
      </c>
      <c r="AI4145" s="40" t="s">
        <v>115</v>
      </c>
      <c r="AP4145" s="4" t="s">
        <v>115</v>
      </c>
    </row>
    <row r="4146" spans="1:42" x14ac:dyDescent="0.15">
      <c r="A4146" s="40" t="s">
        <v>1</v>
      </c>
      <c r="B4146" s="23">
        <v>95010316</v>
      </c>
      <c r="C4146" s="23">
        <v>50103</v>
      </c>
      <c r="D4146" s="23">
        <v>501</v>
      </c>
      <c r="F4146" s="23" t="s">
        <v>115</v>
      </c>
      <c r="G4146" s="23" t="s">
        <v>115</v>
      </c>
      <c r="H4146" s="23" t="s">
        <v>2646</v>
      </c>
      <c r="I4146" s="23">
        <v>4</v>
      </c>
      <c r="J4146" s="40">
        <v>0</v>
      </c>
      <c r="K4146" s="40">
        <v>4</v>
      </c>
      <c r="L4146" s="40" t="s">
        <v>115</v>
      </c>
      <c r="O4146" s="40">
        <v>1</v>
      </c>
      <c r="Q4146" s="40">
        <v>185</v>
      </c>
      <c r="R4146" s="40" t="s">
        <v>115</v>
      </c>
      <c r="X4146" s="40" t="s">
        <v>115</v>
      </c>
      <c r="Y4146" s="40" t="s">
        <v>115</v>
      </c>
      <c r="Z4146" s="40">
        <v>3</v>
      </c>
      <c r="AA4146" s="40" t="s">
        <v>115</v>
      </c>
      <c r="AB4146" s="40" t="s">
        <v>115</v>
      </c>
      <c r="AC4146" s="40" t="s">
        <v>115</v>
      </c>
      <c r="AI4146" s="40" t="s">
        <v>115</v>
      </c>
      <c r="AP4146" s="4">
        <v>-1</v>
      </c>
    </row>
    <row r="4148" spans="1:42" x14ac:dyDescent="0.15">
      <c r="A4148" s="40" t="s">
        <v>1</v>
      </c>
      <c r="B4148" s="23" t="s">
        <v>1385</v>
      </c>
      <c r="C4148" s="23">
        <v>50201</v>
      </c>
      <c r="D4148" s="23">
        <v>502</v>
      </c>
      <c r="F4148" s="23" t="s">
        <v>115</v>
      </c>
      <c r="G4148" s="23" t="s">
        <v>115</v>
      </c>
      <c r="H4148" s="23" t="s">
        <v>2724</v>
      </c>
      <c r="I4148" s="23">
        <v>4</v>
      </c>
      <c r="J4148" s="40">
        <v>1</v>
      </c>
      <c r="K4148" s="40">
        <v>1</v>
      </c>
      <c r="L4148" s="40" t="s">
        <v>115</v>
      </c>
      <c r="O4148" s="40" t="s">
        <v>115</v>
      </c>
      <c r="Q4148" s="40">
        <v>163</v>
      </c>
      <c r="R4148" s="40">
        <v>269</v>
      </c>
      <c r="X4148" s="40">
        <v>95020102</v>
      </c>
      <c r="Y4148" s="40" t="s">
        <v>115</v>
      </c>
      <c r="Z4148" s="40" t="s">
        <v>115</v>
      </c>
      <c r="AA4148" s="40" t="s">
        <v>115</v>
      </c>
      <c r="AB4148" s="40" t="s">
        <v>115</v>
      </c>
      <c r="AC4148" s="40" t="s">
        <v>115</v>
      </c>
      <c r="AI4148" s="40" t="s">
        <v>115</v>
      </c>
      <c r="AP4148" s="4" t="s">
        <v>115</v>
      </c>
    </row>
    <row r="4149" spans="1:42" x14ac:dyDescent="0.15">
      <c r="A4149" s="40" t="s">
        <v>1</v>
      </c>
      <c r="B4149" s="23">
        <v>95020102</v>
      </c>
      <c r="C4149" s="23">
        <v>50201</v>
      </c>
      <c r="D4149" s="23">
        <v>502</v>
      </c>
      <c r="F4149" s="23" t="s">
        <v>256</v>
      </c>
      <c r="G4149" s="23" t="s">
        <v>115</v>
      </c>
      <c r="H4149" s="23" t="s">
        <v>2725</v>
      </c>
      <c r="I4149" s="23">
        <v>3</v>
      </c>
      <c r="J4149" s="40">
        <v>0</v>
      </c>
      <c r="K4149" s="40">
        <v>0</v>
      </c>
      <c r="L4149" s="40" t="s">
        <v>115</v>
      </c>
      <c r="O4149" s="40" t="s">
        <v>115</v>
      </c>
      <c r="Q4149" s="40">
        <v>163</v>
      </c>
      <c r="R4149" s="40">
        <v>269</v>
      </c>
      <c r="X4149" s="40">
        <v>95020103</v>
      </c>
      <c r="Y4149" s="40" t="s">
        <v>115</v>
      </c>
      <c r="Z4149" s="40" t="s">
        <v>115</v>
      </c>
      <c r="AA4149" s="40" t="s">
        <v>115</v>
      </c>
      <c r="AB4149" s="40" t="s">
        <v>115</v>
      </c>
      <c r="AC4149" s="40" t="s">
        <v>115</v>
      </c>
      <c r="AI4149" s="40" t="s">
        <v>115</v>
      </c>
      <c r="AP4149" s="4" t="s">
        <v>115</v>
      </c>
    </row>
    <row r="4150" spans="1:42" x14ac:dyDescent="0.15">
      <c r="A4150" s="40" t="s">
        <v>1</v>
      </c>
      <c r="B4150" s="23">
        <v>95020103</v>
      </c>
      <c r="C4150" s="23">
        <v>50201</v>
      </c>
      <c r="D4150" s="23">
        <v>502</v>
      </c>
      <c r="F4150" s="23" t="s">
        <v>256</v>
      </c>
      <c r="G4150" s="23" t="s">
        <v>115</v>
      </c>
      <c r="H4150" s="23" t="s">
        <v>2726</v>
      </c>
      <c r="I4150" s="23">
        <v>3</v>
      </c>
      <c r="J4150" s="40">
        <v>0</v>
      </c>
      <c r="K4150" s="40">
        <v>0</v>
      </c>
      <c r="L4150" s="40" t="s">
        <v>115</v>
      </c>
      <c r="O4150" s="40" t="s">
        <v>115</v>
      </c>
      <c r="Q4150" s="40">
        <v>163</v>
      </c>
      <c r="R4150" s="40">
        <v>269</v>
      </c>
      <c r="X4150" s="40">
        <v>95020104</v>
      </c>
      <c r="Y4150" s="40" t="s">
        <v>115</v>
      </c>
      <c r="Z4150" s="40" t="s">
        <v>115</v>
      </c>
      <c r="AA4150" s="40" t="s">
        <v>115</v>
      </c>
      <c r="AB4150" s="40" t="s">
        <v>115</v>
      </c>
      <c r="AC4150" s="40" t="s">
        <v>115</v>
      </c>
      <c r="AI4150" s="40" t="s">
        <v>115</v>
      </c>
      <c r="AP4150" s="4" t="s">
        <v>115</v>
      </c>
    </row>
    <row r="4151" spans="1:42" x14ac:dyDescent="0.15">
      <c r="A4151" s="40" t="s">
        <v>1</v>
      </c>
      <c r="B4151" s="23">
        <v>95020104</v>
      </c>
      <c r="C4151" s="23">
        <v>50201</v>
      </c>
      <c r="D4151" s="23">
        <v>502</v>
      </c>
      <c r="F4151" s="23" t="s">
        <v>256</v>
      </c>
      <c r="G4151" s="23" t="s">
        <v>115</v>
      </c>
      <c r="H4151" s="23" t="s">
        <v>2727</v>
      </c>
      <c r="I4151" s="23">
        <v>3</v>
      </c>
      <c r="J4151" s="40">
        <v>0</v>
      </c>
      <c r="K4151" s="40">
        <v>0</v>
      </c>
      <c r="L4151" s="40" t="s">
        <v>115</v>
      </c>
      <c r="O4151" s="40" t="s">
        <v>115</v>
      </c>
      <c r="Q4151" s="40">
        <v>163</v>
      </c>
      <c r="R4151" s="40">
        <v>269</v>
      </c>
      <c r="X4151" s="40">
        <v>95020105</v>
      </c>
      <c r="Y4151" s="40" t="s">
        <v>115</v>
      </c>
      <c r="Z4151" s="40" t="s">
        <v>115</v>
      </c>
      <c r="AA4151" s="40" t="s">
        <v>115</v>
      </c>
      <c r="AB4151" s="40" t="s">
        <v>115</v>
      </c>
      <c r="AC4151" s="40" t="s">
        <v>115</v>
      </c>
      <c r="AI4151" s="40" t="s">
        <v>115</v>
      </c>
      <c r="AP4151" s="4" t="s">
        <v>115</v>
      </c>
    </row>
    <row r="4152" spans="1:42" x14ac:dyDescent="0.15">
      <c r="A4152" s="40" t="s">
        <v>1</v>
      </c>
      <c r="B4152" s="23">
        <v>95020105</v>
      </c>
      <c r="C4152" s="23">
        <v>50201</v>
      </c>
      <c r="D4152" s="23">
        <v>502</v>
      </c>
      <c r="F4152" s="23" t="s">
        <v>116</v>
      </c>
      <c r="G4152" s="23">
        <v>312</v>
      </c>
      <c r="H4152" s="23" t="s">
        <v>2728</v>
      </c>
      <c r="I4152" s="23">
        <v>0</v>
      </c>
      <c r="J4152" s="40">
        <v>0</v>
      </c>
      <c r="K4152" s="40">
        <v>0</v>
      </c>
      <c r="L4152" s="40" t="s">
        <v>115</v>
      </c>
      <c r="O4152" s="40" t="s">
        <v>115</v>
      </c>
      <c r="Q4152" s="40">
        <v>163</v>
      </c>
      <c r="R4152" s="40">
        <v>269</v>
      </c>
      <c r="X4152" s="40">
        <v>95020106</v>
      </c>
      <c r="Y4152" s="40" t="s">
        <v>115</v>
      </c>
      <c r="Z4152" s="40" t="s">
        <v>115</v>
      </c>
      <c r="AA4152" s="40" t="s">
        <v>115</v>
      </c>
      <c r="AB4152" s="40" t="s">
        <v>115</v>
      </c>
      <c r="AC4152" s="40" t="s">
        <v>115</v>
      </c>
      <c r="AI4152" s="40" t="s">
        <v>115</v>
      </c>
      <c r="AP4152" s="4" t="s">
        <v>115</v>
      </c>
    </row>
    <row r="4153" spans="1:42" x14ac:dyDescent="0.15">
      <c r="A4153" s="40" t="s">
        <v>1</v>
      </c>
      <c r="B4153" s="23">
        <v>95020106</v>
      </c>
      <c r="C4153" s="23">
        <v>50201</v>
      </c>
      <c r="D4153" s="23">
        <v>502</v>
      </c>
      <c r="F4153" s="23" t="s">
        <v>115</v>
      </c>
      <c r="G4153" s="23" t="s">
        <v>115</v>
      </c>
      <c r="H4153" s="23" t="s">
        <v>2623</v>
      </c>
      <c r="I4153" s="23">
        <v>4</v>
      </c>
      <c r="J4153" s="40">
        <v>0</v>
      </c>
      <c r="K4153" s="40">
        <v>0</v>
      </c>
      <c r="L4153" s="40" t="s">
        <v>115</v>
      </c>
      <c r="O4153" s="40" t="s">
        <v>115</v>
      </c>
      <c r="Q4153" s="40">
        <v>178</v>
      </c>
      <c r="R4153" s="40" t="s">
        <v>115</v>
      </c>
      <c r="X4153" s="40">
        <v>95020107</v>
      </c>
      <c r="Y4153" s="40" t="s">
        <v>115</v>
      </c>
      <c r="Z4153" s="40" t="s">
        <v>115</v>
      </c>
      <c r="AA4153" s="40" t="s">
        <v>115</v>
      </c>
      <c r="AB4153" s="40" t="s">
        <v>115</v>
      </c>
      <c r="AC4153" s="40" t="s">
        <v>115</v>
      </c>
      <c r="AI4153" s="40" t="s">
        <v>115</v>
      </c>
      <c r="AP4153" s="4" t="s">
        <v>115</v>
      </c>
    </row>
    <row r="4154" spans="1:42" x14ac:dyDescent="0.15">
      <c r="A4154" s="40" t="s">
        <v>1</v>
      </c>
      <c r="B4154" s="23">
        <v>95020107</v>
      </c>
      <c r="C4154" s="23">
        <v>50201</v>
      </c>
      <c r="D4154" s="23">
        <v>502</v>
      </c>
      <c r="F4154" s="23" t="s">
        <v>116</v>
      </c>
      <c r="G4154" s="23">
        <v>261</v>
      </c>
      <c r="H4154" s="23" t="s">
        <v>2624</v>
      </c>
      <c r="I4154" s="23">
        <v>2</v>
      </c>
      <c r="J4154" s="40">
        <v>0</v>
      </c>
      <c r="K4154" s="40">
        <v>0</v>
      </c>
      <c r="L4154" s="40" t="s">
        <v>115</v>
      </c>
      <c r="O4154" s="40" t="s">
        <v>115</v>
      </c>
      <c r="Q4154" s="40">
        <v>178</v>
      </c>
      <c r="R4154" s="40" t="s">
        <v>115</v>
      </c>
      <c r="X4154" s="40">
        <v>95020108</v>
      </c>
      <c r="Y4154" s="40" t="s">
        <v>115</v>
      </c>
      <c r="Z4154" s="40" t="s">
        <v>115</v>
      </c>
      <c r="AA4154" s="40" t="s">
        <v>115</v>
      </c>
      <c r="AB4154" s="40" t="s">
        <v>115</v>
      </c>
      <c r="AC4154" s="40" t="s">
        <v>115</v>
      </c>
      <c r="AI4154" s="40" t="s">
        <v>115</v>
      </c>
      <c r="AP4154" s="4" t="s">
        <v>115</v>
      </c>
    </row>
    <row r="4155" spans="1:42" x14ac:dyDescent="0.15">
      <c r="A4155" s="40" t="s">
        <v>1</v>
      </c>
      <c r="B4155" s="23">
        <v>95020108</v>
      </c>
      <c r="C4155" s="23">
        <v>50201</v>
      </c>
      <c r="D4155" s="23">
        <v>502</v>
      </c>
      <c r="F4155" s="23" t="s">
        <v>115</v>
      </c>
      <c r="G4155" s="23" t="s">
        <v>115</v>
      </c>
      <c r="H4155" s="23" t="s">
        <v>2625</v>
      </c>
      <c r="I4155" s="23">
        <v>4</v>
      </c>
      <c r="J4155" s="40">
        <v>0</v>
      </c>
      <c r="K4155" s="40">
        <v>0</v>
      </c>
      <c r="L4155" s="40" t="s">
        <v>115</v>
      </c>
      <c r="O4155" s="40" t="s">
        <v>115</v>
      </c>
      <c r="Q4155" s="40">
        <v>371</v>
      </c>
      <c r="R4155" s="40" t="s">
        <v>115</v>
      </c>
      <c r="X4155" s="40">
        <v>95020109</v>
      </c>
      <c r="Y4155" s="40" t="s">
        <v>115</v>
      </c>
      <c r="Z4155" s="40" t="s">
        <v>115</v>
      </c>
      <c r="AA4155" s="40" t="s">
        <v>115</v>
      </c>
      <c r="AB4155" s="40" t="s">
        <v>115</v>
      </c>
      <c r="AC4155" s="40" t="s">
        <v>115</v>
      </c>
      <c r="AI4155" s="40" t="s">
        <v>115</v>
      </c>
      <c r="AP4155" s="4" t="s">
        <v>115</v>
      </c>
    </row>
    <row r="4156" spans="1:42" x14ac:dyDescent="0.15">
      <c r="A4156" s="40" t="s">
        <v>1</v>
      </c>
      <c r="B4156" s="23">
        <v>95020109</v>
      </c>
      <c r="C4156" s="23">
        <v>50201</v>
      </c>
      <c r="D4156" s="23">
        <v>502</v>
      </c>
      <c r="F4156" s="23" t="s">
        <v>116</v>
      </c>
      <c r="G4156" s="23">
        <v>275</v>
      </c>
      <c r="H4156" s="23" t="s">
        <v>2626</v>
      </c>
      <c r="I4156" s="23">
        <v>2</v>
      </c>
      <c r="J4156" s="40">
        <v>0</v>
      </c>
      <c r="K4156" s="40">
        <v>0</v>
      </c>
      <c r="L4156" s="40" t="s">
        <v>115</v>
      </c>
      <c r="O4156" s="40" t="s">
        <v>115</v>
      </c>
      <c r="Q4156" s="40">
        <v>371</v>
      </c>
      <c r="R4156" s="40" t="s">
        <v>115</v>
      </c>
      <c r="X4156" s="40">
        <v>95020110</v>
      </c>
      <c r="Y4156" s="40" t="s">
        <v>115</v>
      </c>
      <c r="Z4156" s="40" t="s">
        <v>115</v>
      </c>
      <c r="AA4156" s="40" t="s">
        <v>115</v>
      </c>
      <c r="AB4156" s="40" t="s">
        <v>115</v>
      </c>
      <c r="AC4156" s="40" t="s">
        <v>115</v>
      </c>
      <c r="AI4156" s="40" t="s">
        <v>115</v>
      </c>
      <c r="AP4156" s="4" t="s">
        <v>115</v>
      </c>
    </row>
    <row r="4157" spans="1:42" x14ac:dyDescent="0.15">
      <c r="A4157" s="40" t="s">
        <v>1</v>
      </c>
      <c r="B4157" s="23">
        <v>95020110</v>
      </c>
      <c r="C4157" s="23">
        <v>50201</v>
      </c>
      <c r="D4157" s="23">
        <v>502</v>
      </c>
      <c r="F4157" s="23" t="s">
        <v>116</v>
      </c>
      <c r="G4157" s="23">
        <v>261</v>
      </c>
      <c r="H4157" s="23" t="s">
        <v>2627</v>
      </c>
      <c r="I4157" s="23">
        <v>2</v>
      </c>
      <c r="J4157" s="40">
        <v>0</v>
      </c>
      <c r="K4157" s="40">
        <v>2</v>
      </c>
      <c r="L4157" s="40" t="s">
        <v>115</v>
      </c>
      <c r="O4157" s="40" t="s">
        <v>115</v>
      </c>
      <c r="Q4157" s="40">
        <v>371</v>
      </c>
      <c r="R4157" s="40" t="s">
        <v>115</v>
      </c>
      <c r="X4157" s="40" t="s">
        <v>4789</v>
      </c>
      <c r="Y4157" s="40">
        <v>1</v>
      </c>
      <c r="Z4157" s="40">
        <v>1</v>
      </c>
      <c r="AA4157" s="40" t="s">
        <v>115</v>
      </c>
      <c r="AB4157" s="40" t="s">
        <v>115</v>
      </c>
      <c r="AC4157" s="40" t="s">
        <v>115</v>
      </c>
      <c r="AI4157" s="40" t="s">
        <v>115</v>
      </c>
      <c r="AP4157" s="4" t="s">
        <v>115</v>
      </c>
    </row>
    <row r="4158" spans="1:42" x14ac:dyDescent="0.15">
      <c r="A4158" s="40" t="s">
        <v>1</v>
      </c>
      <c r="B4158" s="23">
        <v>95020111</v>
      </c>
      <c r="C4158" s="23">
        <v>50201</v>
      </c>
      <c r="D4158" s="23">
        <v>502</v>
      </c>
      <c r="F4158" s="23" t="s">
        <v>115</v>
      </c>
      <c r="G4158" s="23" t="s">
        <v>115</v>
      </c>
      <c r="H4158" s="23" t="s">
        <v>2629</v>
      </c>
      <c r="I4158" s="23">
        <v>4</v>
      </c>
      <c r="J4158" s="40">
        <v>0</v>
      </c>
      <c r="K4158" s="40">
        <v>3</v>
      </c>
      <c r="L4158" s="40" t="s">
        <v>115</v>
      </c>
      <c r="O4158" s="40" t="s">
        <v>115</v>
      </c>
      <c r="Q4158" s="40">
        <v>371</v>
      </c>
      <c r="R4158" s="40" t="s">
        <v>115</v>
      </c>
      <c r="X4158" s="40">
        <v>95020114</v>
      </c>
      <c r="Y4158" s="40">
        <v>-1</v>
      </c>
      <c r="Z4158" s="40">
        <v>2</v>
      </c>
      <c r="AA4158" s="40" t="s">
        <v>115</v>
      </c>
      <c r="AB4158" s="40" t="s">
        <v>115</v>
      </c>
      <c r="AC4158" s="40" t="s">
        <v>1386</v>
      </c>
      <c r="AI4158" s="40" t="s">
        <v>115</v>
      </c>
      <c r="AP4158" s="4" t="s">
        <v>115</v>
      </c>
    </row>
    <row r="4159" spans="1:42" x14ac:dyDescent="0.15">
      <c r="A4159" s="40" t="s">
        <v>1</v>
      </c>
      <c r="B4159" s="23">
        <v>95020112</v>
      </c>
      <c r="C4159" s="23">
        <v>50201</v>
      </c>
      <c r="D4159" s="23">
        <v>502</v>
      </c>
      <c r="F4159" s="23" t="s">
        <v>115</v>
      </c>
      <c r="G4159" s="23" t="s">
        <v>115</v>
      </c>
      <c r="H4159" s="23" t="s">
        <v>2630</v>
      </c>
      <c r="I4159" s="23">
        <v>4</v>
      </c>
      <c r="J4159" s="40">
        <v>0</v>
      </c>
      <c r="K4159" s="40">
        <v>4</v>
      </c>
      <c r="L4159" s="40" t="s">
        <v>115</v>
      </c>
      <c r="O4159" s="40" t="s">
        <v>115</v>
      </c>
      <c r="Q4159" s="40">
        <v>371</v>
      </c>
      <c r="R4159" s="40" t="s">
        <v>115</v>
      </c>
      <c r="X4159" s="40">
        <v>95020116</v>
      </c>
      <c r="Y4159" s="40">
        <v>-1</v>
      </c>
      <c r="Z4159" s="40">
        <v>2</v>
      </c>
      <c r="AA4159" s="40" t="s">
        <v>2631</v>
      </c>
      <c r="AB4159" s="40" t="s">
        <v>115</v>
      </c>
      <c r="AC4159" s="40" t="s">
        <v>115</v>
      </c>
      <c r="AI4159" s="40" t="s">
        <v>115</v>
      </c>
      <c r="AP4159" s="4" t="s">
        <v>115</v>
      </c>
    </row>
    <row r="4160" spans="1:42" x14ac:dyDescent="0.15">
      <c r="A4160" s="40" t="s">
        <v>1</v>
      </c>
      <c r="B4160" s="23">
        <v>95020113</v>
      </c>
      <c r="C4160" s="23">
        <v>50201</v>
      </c>
      <c r="D4160" s="23">
        <v>502</v>
      </c>
      <c r="F4160" s="23" t="s">
        <v>115</v>
      </c>
      <c r="G4160" s="23" t="s">
        <v>115</v>
      </c>
      <c r="H4160" s="23" t="s">
        <v>4782</v>
      </c>
      <c r="I4160" s="23">
        <v>4</v>
      </c>
      <c r="J4160" s="40">
        <v>0</v>
      </c>
      <c r="K4160" s="40">
        <v>5</v>
      </c>
      <c r="L4160" s="40" t="s">
        <v>115</v>
      </c>
      <c r="O4160" s="40" t="s">
        <v>115</v>
      </c>
      <c r="Q4160" s="40">
        <v>371</v>
      </c>
      <c r="R4160" s="40" t="s">
        <v>115</v>
      </c>
      <c r="X4160" s="40">
        <v>95020117</v>
      </c>
      <c r="Y4160" s="40">
        <v>-1</v>
      </c>
      <c r="Z4160" s="40">
        <v>2</v>
      </c>
      <c r="AA4160" s="40" t="s">
        <v>4783</v>
      </c>
      <c r="AB4160" s="40" t="s">
        <v>115</v>
      </c>
      <c r="AC4160" s="40" t="s">
        <v>115</v>
      </c>
      <c r="AI4160" s="40" t="s">
        <v>115</v>
      </c>
      <c r="AP4160" s="4" t="s">
        <v>115</v>
      </c>
    </row>
    <row r="4161" spans="1:42" x14ac:dyDescent="0.15">
      <c r="A4161" s="40" t="s">
        <v>1</v>
      </c>
      <c r="B4161" s="23">
        <v>95020114</v>
      </c>
      <c r="C4161" s="23">
        <v>50201</v>
      </c>
      <c r="D4161" s="23">
        <v>502</v>
      </c>
      <c r="F4161" s="23" t="s">
        <v>115</v>
      </c>
      <c r="G4161" s="23" t="s">
        <v>115</v>
      </c>
      <c r="H4161" s="23" t="s">
        <v>2632</v>
      </c>
      <c r="I4161" s="23">
        <v>4</v>
      </c>
      <c r="J4161" s="40">
        <v>0</v>
      </c>
      <c r="K4161" s="40">
        <v>0</v>
      </c>
      <c r="L4161" s="40" t="s">
        <v>115</v>
      </c>
      <c r="O4161" s="40" t="s">
        <v>115</v>
      </c>
      <c r="Q4161" s="40">
        <v>371</v>
      </c>
      <c r="R4161" s="40" t="s">
        <v>115</v>
      </c>
      <c r="X4161" s="40">
        <v>95020115</v>
      </c>
      <c r="Y4161" s="40" t="s">
        <v>115</v>
      </c>
      <c r="Z4161" s="40" t="s">
        <v>115</v>
      </c>
      <c r="AA4161" s="40" t="s">
        <v>115</v>
      </c>
      <c r="AB4161" s="40" t="s">
        <v>115</v>
      </c>
      <c r="AC4161" s="40" t="s">
        <v>115</v>
      </c>
      <c r="AI4161" s="40" t="s">
        <v>115</v>
      </c>
      <c r="AP4161" s="4" t="s">
        <v>115</v>
      </c>
    </row>
    <row r="4162" spans="1:42" x14ac:dyDescent="0.15">
      <c r="A4162" s="40" t="s">
        <v>1</v>
      </c>
      <c r="B4162" s="23">
        <v>95020115</v>
      </c>
      <c r="C4162" s="23">
        <v>50201</v>
      </c>
      <c r="D4162" s="23">
        <v>502</v>
      </c>
      <c r="F4162" s="23" t="s">
        <v>115</v>
      </c>
      <c r="G4162" s="23" t="s">
        <v>115</v>
      </c>
      <c r="H4162" s="23" t="s">
        <v>2633</v>
      </c>
      <c r="I4162" s="23">
        <v>4</v>
      </c>
      <c r="J4162" s="40">
        <v>0</v>
      </c>
      <c r="K4162" s="40">
        <v>6</v>
      </c>
      <c r="L4162" s="40" t="s">
        <v>2634</v>
      </c>
      <c r="O4162" s="40" t="s">
        <v>115</v>
      </c>
      <c r="Q4162" s="40">
        <v>371</v>
      </c>
      <c r="R4162" s="40" t="s">
        <v>115</v>
      </c>
      <c r="X4162" s="40">
        <v>95020110</v>
      </c>
      <c r="Y4162" s="40" t="s">
        <v>115</v>
      </c>
      <c r="Z4162" s="40">
        <v>5</v>
      </c>
      <c r="AA4162" s="40" t="s">
        <v>115</v>
      </c>
      <c r="AB4162" s="40" t="s">
        <v>115</v>
      </c>
      <c r="AC4162" s="40" t="s">
        <v>115</v>
      </c>
      <c r="AI4162" s="40" t="s">
        <v>115</v>
      </c>
      <c r="AP4162" s="4" t="s">
        <v>115</v>
      </c>
    </row>
    <row r="4163" spans="1:42" x14ac:dyDescent="0.15">
      <c r="A4163" s="40" t="s">
        <v>1</v>
      </c>
      <c r="B4163" s="23">
        <v>95020116</v>
      </c>
      <c r="C4163" s="23">
        <v>50201</v>
      </c>
      <c r="D4163" s="23">
        <v>502</v>
      </c>
      <c r="F4163" s="23" t="s">
        <v>115</v>
      </c>
      <c r="G4163" s="23" t="s">
        <v>115</v>
      </c>
      <c r="H4163" s="23" t="s">
        <v>2635</v>
      </c>
      <c r="I4163" s="23">
        <v>4</v>
      </c>
      <c r="J4163" s="40">
        <v>0</v>
      </c>
      <c r="K4163" s="40">
        <v>7</v>
      </c>
      <c r="L4163" s="40" t="s">
        <v>4777</v>
      </c>
      <c r="O4163" s="40" t="s">
        <v>115</v>
      </c>
      <c r="Q4163" s="40">
        <v>371</v>
      </c>
      <c r="R4163" s="40" t="s">
        <v>115</v>
      </c>
      <c r="X4163" s="40">
        <v>95020110</v>
      </c>
      <c r="Y4163" s="40" t="s">
        <v>115</v>
      </c>
      <c r="Z4163" s="40">
        <v>6</v>
      </c>
      <c r="AA4163" s="40" t="s">
        <v>115</v>
      </c>
      <c r="AB4163" s="40" t="s">
        <v>115</v>
      </c>
      <c r="AC4163" s="40" t="s">
        <v>115</v>
      </c>
      <c r="AI4163" s="40" t="s">
        <v>115</v>
      </c>
      <c r="AP4163" s="4" t="s">
        <v>115</v>
      </c>
    </row>
    <row r="4164" spans="1:42" x14ac:dyDescent="0.15">
      <c r="A4164" s="40" t="s">
        <v>1</v>
      </c>
      <c r="B4164" s="23">
        <v>95020117</v>
      </c>
      <c r="C4164" s="23">
        <v>50201</v>
      </c>
      <c r="D4164" s="23">
        <v>502</v>
      </c>
      <c r="F4164" s="23" t="s">
        <v>115</v>
      </c>
      <c r="G4164" s="23" t="s">
        <v>115</v>
      </c>
      <c r="H4164" s="23" t="s">
        <v>2729</v>
      </c>
      <c r="I4164" s="23">
        <v>4</v>
      </c>
      <c r="J4164" s="40">
        <v>0</v>
      </c>
      <c r="K4164" s="40">
        <v>0</v>
      </c>
      <c r="L4164" s="40" t="s">
        <v>115</v>
      </c>
      <c r="O4164" s="40" t="s">
        <v>115</v>
      </c>
      <c r="Q4164" s="40">
        <v>163</v>
      </c>
      <c r="R4164" s="40" t="s">
        <v>115</v>
      </c>
      <c r="X4164" s="40">
        <v>95020118</v>
      </c>
      <c r="Y4164" s="40" t="s">
        <v>115</v>
      </c>
      <c r="Z4164" s="40" t="s">
        <v>115</v>
      </c>
      <c r="AA4164" s="40" t="s">
        <v>115</v>
      </c>
      <c r="AB4164" s="40" t="s">
        <v>115</v>
      </c>
      <c r="AC4164" s="40" t="s">
        <v>115</v>
      </c>
      <c r="AI4164" s="40" t="s">
        <v>115</v>
      </c>
      <c r="AP4164" s="4" t="s">
        <v>115</v>
      </c>
    </row>
    <row r="4165" spans="1:42" x14ac:dyDescent="0.15">
      <c r="A4165" s="40" t="s">
        <v>1</v>
      </c>
      <c r="B4165" s="23">
        <v>95020118</v>
      </c>
      <c r="C4165" s="23">
        <v>50201</v>
      </c>
      <c r="D4165" s="23">
        <v>502</v>
      </c>
      <c r="F4165" s="23" t="s">
        <v>115</v>
      </c>
      <c r="G4165" s="23" t="s">
        <v>115</v>
      </c>
      <c r="H4165" s="23" t="s">
        <v>2730</v>
      </c>
      <c r="I4165" s="23">
        <v>4</v>
      </c>
      <c r="J4165" s="40">
        <v>0</v>
      </c>
      <c r="K4165" s="40">
        <v>8</v>
      </c>
      <c r="L4165" s="40" t="s">
        <v>115</v>
      </c>
      <c r="O4165" s="40" t="s">
        <v>115</v>
      </c>
      <c r="Q4165" s="40">
        <v>163</v>
      </c>
      <c r="R4165" s="40" t="s">
        <v>115</v>
      </c>
      <c r="X4165" s="40" t="s">
        <v>4790</v>
      </c>
      <c r="Y4165" s="40">
        <v>1</v>
      </c>
      <c r="Z4165" s="40">
        <v>2</v>
      </c>
      <c r="AA4165" s="40" t="s">
        <v>115</v>
      </c>
      <c r="AB4165" s="40" t="s">
        <v>115</v>
      </c>
      <c r="AC4165" s="40" t="s">
        <v>115</v>
      </c>
      <c r="AI4165" s="40" t="s">
        <v>115</v>
      </c>
      <c r="AP4165" s="4" t="s">
        <v>115</v>
      </c>
    </row>
    <row r="4166" spans="1:42" x14ac:dyDescent="0.15">
      <c r="A4166" s="40" t="s">
        <v>1</v>
      </c>
      <c r="B4166" s="23">
        <v>95020119</v>
      </c>
      <c r="C4166" s="23">
        <v>50201</v>
      </c>
      <c r="D4166" s="23">
        <v>502</v>
      </c>
      <c r="F4166" s="23" t="s">
        <v>115</v>
      </c>
      <c r="G4166" s="23" t="s">
        <v>115</v>
      </c>
      <c r="H4166" s="23" t="s">
        <v>2731</v>
      </c>
      <c r="I4166" s="23">
        <v>4</v>
      </c>
      <c r="J4166" s="40">
        <v>0</v>
      </c>
      <c r="K4166" s="40">
        <v>9</v>
      </c>
      <c r="L4166" s="40" t="s">
        <v>115</v>
      </c>
      <c r="O4166" s="40" t="s">
        <v>115</v>
      </c>
      <c r="Q4166" s="40">
        <v>163</v>
      </c>
      <c r="R4166" s="40" t="s">
        <v>115</v>
      </c>
      <c r="X4166" s="40">
        <v>95020120</v>
      </c>
      <c r="Y4166" s="40">
        <v>-1</v>
      </c>
      <c r="Z4166" s="40">
        <v>8</v>
      </c>
      <c r="AA4166" s="40" t="s">
        <v>115</v>
      </c>
      <c r="AB4166" s="40" t="s">
        <v>115</v>
      </c>
      <c r="AC4166" s="40" t="s">
        <v>1387</v>
      </c>
      <c r="AI4166" s="40" t="s">
        <v>115</v>
      </c>
      <c r="AP4166" s="4" t="s">
        <v>115</v>
      </c>
    </row>
    <row r="4167" spans="1:42" x14ac:dyDescent="0.15">
      <c r="A4167" s="40" t="s">
        <v>1</v>
      </c>
      <c r="B4167" s="23">
        <v>95020120</v>
      </c>
      <c r="C4167" s="23">
        <v>50201</v>
      </c>
      <c r="D4167" s="23">
        <v>502</v>
      </c>
      <c r="F4167" s="23" t="s">
        <v>115</v>
      </c>
      <c r="G4167" s="23" t="s">
        <v>115</v>
      </c>
      <c r="H4167" s="23" t="s">
        <v>2732</v>
      </c>
      <c r="I4167" s="23">
        <v>4</v>
      </c>
      <c r="J4167" s="40">
        <v>0</v>
      </c>
      <c r="K4167" s="40">
        <v>0</v>
      </c>
      <c r="L4167" s="40" t="s">
        <v>115</v>
      </c>
      <c r="O4167" s="40" t="s">
        <v>115</v>
      </c>
      <c r="Q4167" s="40">
        <v>178</v>
      </c>
      <c r="R4167" s="40" t="s">
        <v>115</v>
      </c>
      <c r="X4167" s="40">
        <v>95020121</v>
      </c>
      <c r="Y4167" s="40" t="s">
        <v>115</v>
      </c>
      <c r="Z4167" s="40" t="s">
        <v>115</v>
      </c>
      <c r="AA4167" s="40" t="s">
        <v>115</v>
      </c>
      <c r="AB4167" s="40" t="s">
        <v>115</v>
      </c>
      <c r="AC4167" s="40" t="s">
        <v>115</v>
      </c>
      <c r="AI4167" s="40" t="s">
        <v>115</v>
      </c>
      <c r="AP4167" s="4" t="s">
        <v>115</v>
      </c>
    </row>
    <row r="4168" spans="1:42" x14ac:dyDescent="0.15">
      <c r="A4168" s="40" t="s">
        <v>1</v>
      </c>
      <c r="B4168" s="23">
        <v>95020121</v>
      </c>
      <c r="C4168" s="23">
        <v>50201</v>
      </c>
      <c r="D4168" s="23">
        <v>502</v>
      </c>
      <c r="F4168" s="23" t="s">
        <v>256</v>
      </c>
      <c r="G4168" s="23" t="s">
        <v>115</v>
      </c>
      <c r="H4168" s="23" t="s">
        <v>2733</v>
      </c>
      <c r="I4168" s="23">
        <v>3</v>
      </c>
      <c r="J4168" s="40">
        <v>0</v>
      </c>
      <c r="K4168" s="40">
        <v>0</v>
      </c>
      <c r="L4168" s="40" t="s">
        <v>115</v>
      </c>
      <c r="O4168" s="40" t="s">
        <v>115</v>
      </c>
      <c r="Q4168" s="40">
        <v>178</v>
      </c>
      <c r="R4168" s="40">
        <v>269</v>
      </c>
      <c r="X4168" s="40">
        <v>95020122</v>
      </c>
      <c r="Y4168" s="40" t="s">
        <v>115</v>
      </c>
      <c r="Z4168" s="40" t="s">
        <v>115</v>
      </c>
      <c r="AA4168" s="40" t="s">
        <v>115</v>
      </c>
      <c r="AB4168" s="40" t="s">
        <v>115</v>
      </c>
      <c r="AC4168" s="40" t="s">
        <v>115</v>
      </c>
      <c r="AI4168" s="40" t="s">
        <v>115</v>
      </c>
      <c r="AP4168" s="4" t="s">
        <v>115</v>
      </c>
    </row>
    <row r="4169" spans="1:42" x14ac:dyDescent="0.15">
      <c r="A4169" s="40" t="s">
        <v>1</v>
      </c>
      <c r="B4169" s="23">
        <v>95020122</v>
      </c>
      <c r="C4169" s="23">
        <v>50201</v>
      </c>
      <c r="D4169" s="23">
        <v>502</v>
      </c>
      <c r="F4169" s="23" t="s">
        <v>116</v>
      </c>
      <c r="G4169" s="23">
        <v>363</v>
      </c>
      <c r="H4169" s="23" t="s">
        <v>2734</v>
      </c>
      <c r="I4169" s="23">
        <v>0</v>
      </c>
      <c r="J4169" s="40">
        <v>0</v>
      </c>
      <c r="K4169" s="40">
        <v>0</v>
      </c>
      <c r="L4169" s="40" t="s">
        <v>115</v>
      </c>
      <c r="O4169" s="40" t="s">
        <v>115</v>
      </c>
      <c r="Q4169" s="40">
        <v>178</v>
      </c>
      <c r="R4169" s="40">
        <v>269</v>
      </c>
      <c r="X4169" s="40">
        <v>95020123</v>
      </c>
      <c r="Y4169" s="40" t="s">
        <v>115</v>
      </c>
      <c r="Z4169" s="40" t="s">
        <v>115</v>
      </c>
      <c r="AA4169" s="40" t="s">
        <v>115</v>
      </c>
      <c r="AB4169" s="40" t="s">
        <v>115</v>
      </c>
      <c r="AC4169" s="40" t="s">
        <v>115</v>
      </c>
      <c r="AI4169" s="40" t="s">
        <v>115</v>
      </c>
      <c r="AP4169" s="4" t="s">
        <v>115</v>
      </c>
    </row>
    <row r="4170" spans="1:42" x14ac:dyDescent="0.15">
      <c r="A4170" s="40" t="s">
        <v>1</v>
      </c>
      <c r="B4170" s="23">
        <v>95020123</v>
      </c>
      <c r="C4170" s="23">
        <v>50201</v>
      </c>
      <c r="D4170" s="23">
        <v>502</v>
      </c>
      <c r="F4170" s="23" t="s">
        <v>256</v>
      </c>
      <c r="G4170" s="23" t="s">
        <v>115</v>
      </c>
      <c r="H4170" s="23" t="s">
        <v>2735</v>
      </c>
      <c r="I4170" s="23">
        <v>3</v>
      </c>
      <c r="J4170" s="40">
        <v>0</v>
      </c>
      <c r="K4170" s="40">
        <v>0</v>
      </c>
      <c r="L4170" s="40" t="s">
        <v>115</v>
      </c>
      <c r="O4170" s="40" t="s">
        <v>115</v>
      </c>
      <c r="Q4170" s="40">
        <v>178</v>
      </c>
      <c r="R4170" s="40">
        <v>269</v>
      </c>
      <c r="X4170" s="40">
        <v>95020124</v>
      </c>
      <c r="Y4170" s="40" t="s">
        <v>115</v>
      </c>
      <c r="Z4170" s="40" t="s">
        <v>115</v>
      </c>
      <c r="AA4170" s="40" t="s">
        <v>115</v>
      </c>
      <c r="AB4170" s="40" t="s">
        <v>115</v>
      </c>
      <c r="AC4170" s="40" t="s">
        <v>115</v>
      </c>
      <c r="AI4170" s="40" t="s">
        <v>115</v>
      </c>
      <c r="AP4170" s="4" t="s">
        <v>115</v>
      </c>
    </row>
    <row r="4171" spans="1:42" x14ac:dyDescent="0.15">
      <c r="A4171" s="40" t="s">
        <v>1</v>
      </c>
      <c r="B4171" s="23">
        <v>95020124</v>
      </c>
      <c r="C4171" s="23">
        <v>50201</v>
      </c>
      <c r="D4171" s="23">
        <v>502</v>
      </c>
      <c r="F4171" s="23" t="s">
        <v>116</v>
      </c>
      <c r="G4171" s="23">
        <v>363</v>
      </c>
      <c r="H4171" s="23" t="s">
        <v>2736</v>
      </c>
      <c r="I4171" s="23">
        <v>0</v>
      </c>
      <c r="J4171" s="40">
        <v>0</v>
      </c>
      <c r="K4171" s="40">
        <v>0</v>
      </c>
      <c r="L4171" s="40" t="s">
        <v>115</v>
      </c>
      <c r="O4171" s="40" t="s">
        <v>115</v>
      </c>
      <c r="Q4171" s="40">
        <v>178</v>
      </c>
      <c r="R4171" s="40">
        <v>269</v>
      </c>
      <c r="X4171" s="40">
        <v>95020125</v>
      </c>
      <c r="Y4171" s="40" t="s">
        <v>115</v>
      </c>
      <c r="Z4171" s="40" t="s">
        <v>115</v>
      </c>
      <c r="AA4171" s="40" t="s">
        <v>115</v>
      </c>
      <c r="AB4171" s="40" t="s">
        <v>115</v>
      </c>
      <c r="AC4171" s="40" t="s">
        <v>115</v>
      </c>
      <c r="AI4171" s="40" t="s">
        <v>115</v>
      </c>
      <c r="AP4171" s="4" t="s">
        <v>115</v>
      </c>
    </row>
    <row r="4172" spans="1:42" x14ac:dyDescent="0.15">
      <c r="A4172" s="40" t="s">
        <v>1</v>
      </c>
      <c r="B4172" s="23">
        <v>95020125</v>
      </c>
      <c r="C4172" s="23">
        <v>50201</v>
      </c>
      <c r="D4172" s="23">
        <v>502</v>
      </c>
      <c r="F4172" s="23" t="s">
        <v>256</v>
      </c>
      <c r="G4172" s="23" t="s">
        <v>115</v>
      </c>
      <c r="H4172" s="23" t="s">
        <v>2737</v>
      </c>
      <c r="I4172" s="23">
        <v>3</v>
      </c>
      <c r="J4172" s="40">
        <v>0</v>
      </c>
      <c r="K4172" s="40">
        <v>0</v>
      </c>
      <c r="L4172" s="40" t="s">
        <v>115</v>
      </c>
      <c r="O4172" s="40" t="s">
        <v>115</v>
      </c>
      <c r="Q4172" s="40">
        <v>178</v>
      </c>
      <c r="R4172" s="40">
        <v>269</v>
      </c>
      <c r="X4172" s="40">
        <v>95020126</v>
      </c>
      <c r="Y4172" s="40" t="s">
        <v>115</v>
      </c>
      <c r="Z4172" s="40" t="s">
        <v>115</v>
      </c>
      <c r="AA4172" s="40" t="s">
        <v>115</v>
      </c>
      <c r="AB4172" s="40" t="s">
        <v>115</v>
      </c>
      <c r="AC4172" s="40" t="s">
        <v>115</v>
      </c>
      <c r="AI4172" s="40" t="s">
        <v>115</v>
      </c>
      <c r="AP4172" s="4" t="s">
        <v>115</v>
      </c>
    </row>
    <row r="4173" spans="1:42" x14ac:dyDescent="0.15">
      <c r="A4173" s="40" t="s">
        <v>1</v>
      </c>
      <c r="B4173" s="23">
        <v>95020126</v>
      </c>
      <c r="C4173" s="23">
        <v>50201</v>
      </c>
      <c r="D4173" s="23">
        <v>502</v>
      </c>
      <c r="F4173" s="23" t="s">
        <v>256</v>
      </c>
      <c r="G4173" s="23" t="s">
        <v>115</v>
      </c>
      <c r="H4173" s="23" t="s">
        <v>2738</v>
      </c>
      <c r="I4173" s="23">
        <v>3</v>
      </c>
      <c r="J4173" s="40">
        <v>0</v>
      </c>
      <c r="K4173" s="40">
        <v>0</v>
      </c>
      <c r="L4173" s="40" t="s">
        <v>115</v>
      </c>
      <c r="O4173" s="40" t="s">
        <v>115</v>
      </c>
      <c r="Q4173" s="40">
        <v>178</v>
      </c>
      <c r="R4173" s="40">
        <v>269</v>
      </c>
      <c r="X4173" s="40">
        <v>95020127</v>
      </c>
      <c r="Y4173" s="40" t="s">
        <v>115</v>
      </c>
      <c r="Z4173" s="40" t="s">
        <v>115</v>
      </c>
      <c r="AA4173" s="40" t="s">
        <v>115</v>
      </c>
      <c r="AB4173" s="40" t="s">
        <v>115</v>
      </c>
      <c r="AC4173" s="40" t="s">
        <v>115</v>
      </c>
      <c r="AI4173" s="40" t="s">
        <v>115</v>
      </c>
      <c r="AP4173" s="4" t="s">
        <v>115</v>
      </c>
    </row>
    <row r="4174" spans="1:42" x14ac:dyDescent="0.15">
      <c r="A4174" s="40" t="s">
        <v>1</v>
      </c>
      <c r="B4174" s="23">
        <v>95020127</v>
      </c>
      <c r="C4174" s="23">
        <v>50201</v>
      </c>
      <c r="D4174" s="23">
        <v>502</v>
      </c>
      <c r="F4174" s="23" t="s">
        <v>256</v>
      </c>
      <c r="G4174" s="23" t="s">
        <v>115</v>
      </c>
      <c r="H4174" s="23" t="s">
        <v>2739</v>
      </c>
      <c r="I4174" s="23">
        <v>3</v>
      </c>
      <c r="J4174" s="40">
        <v>0</v>
      </c>
      <c r="K4174" s="40">
        <v>0</v>
      </c>
      <c r="L4174" s="40" t="s">
        <v>115</v>
      </c>
      <c r="O4174" s="40" t="s">
        <v>115</v>
      </c>
      <c r="Q4174" s="40">
        <v>178</v>
      </c>
      <c r="R4174" s="40">
        <v>269</v>
      </c>
      <c r="X4174" s="40">
        <v>95020128</v>
      </c>
      <c r="Y4174" s="40" t="s">
        <v>115</v>
      </c>
      <c r="Z4174" s="40" t="s">
        <v>115</v>
      </c>
      <c r="AA4174" s="40" t="s">
        <v>115</v>
      </c>
      <c r="AB4174" s="40" t="s">
        <v>115</v>
      </c>
      <c r="AC4174" s="40" t="s">
        <v>115</v>
      </c>
      <c r="AI4174" s="40" t="s">
        <v>115</v>
      </c>
      <c r="AP4174" s="4" t="s">
        <v>115</v>
      </c>
    </row>
    <row r="4175" spans="1:42" x14ac:dyDescent="0.15">
      <c r="A4175" s="40" t="s">
        <v>1</v>
      </c>
      <c r="B4175" s="23">
        <v>95020128</v>
      </c>
      <c r="C4175" s="23">
        <v>50201</v>
      </c>
      <c r="D4175" s="23">
        <v>502</v>
      </c>
      <c r="F4175" s="23" t="s">
        <v>116</v>
      </c>
      <c r="G4175" s="23">
        <v>363</v>
      </c>
      <c r="H4175" s="23" t="s">
        <v>2740</v>
      </c>
      <c r="I4175" s="23">
        <v>0</v>
      </c>
      <c r="J4175" s="40">
        <v>0</v>
      </c>
      <c r="K4175" s="40">
        <v>0</v>
      </c>
      <c r="L4175" s="40" t="s">
        <v>115</v>
      </c>
      <c r="O4175" s="40" t="s">
        <v>115</v>
      </c>
      <c r="Q4175" s="40">
        <v>178</v>
      </c>
      <c r="R4175" s="40">
        <v>269</v>
      </c>
      <c r="X4175" s="40">
        <v>95020129</v>
      </c>
      <c r="Y4175" s="40" t="s">
        <v>115</v>
      </c>
      <c r="Z4175" s="40" t="s">
        <v>115</v>
      </c>
      <c r="AA4175" s="40" t="s">
        <v>115</v>
      </c>
      <c r="AB4175" s="40" t="s">
        <v>115</v>
      </c>
      <c r="AC4175" s="40" t="s">
        <v>115</v>
      </c>
      <c r="AI4175" s="40" t="s">
        <v>115</v>
      </c>
      <c r="AP4175" s="4" t="s">
        <v>115</v>
      </c>
    </row>
    <row r="4176" spans="1:42" x14ac:dyDescent="0.15">
      <c r="A4176" s="40" t="s">
        <v>1</v>
      </c>
      <c r="B4176" s="23">
        <v>95020129</v>
      </c>
      <c r="C4176" s="23">
        <v>50201</v>
      </c>
      <c r="D4176" s="23">
        <v>502</v>
      </c>
      <c r="F4176" s="23" t="s">
        <v>115</v>
      </c>
      <c r="G4176" s="23" t="s">
        <v>115</v>
      </c>
      <c r="H4176" s="23" t="s">
        <v>2741</v>
      </c>
      <c r="I4176" s="23">
        <v>4</v>
      </c>
      <c r="J4176" s="40">
        <v>0</v>
      </c>
      <c r="K4176" s="40">
        <v>10</v>
      </c>
      <c r="L4176" s="40" t="s">
        <v>115</v>
      </c>
      <c r="O4176" s="40">
        <v>1</v>
      </c>
      <c r="Q4176" s="40">
        <v>178</v>
      </c>
      <c r="R4176" s="40" t="s">
        <v>115</v>
      </c>
      <c r="X4176" s="40" t="s">
        <v>115</v>
      </c>
      <c r="Y4176" s="40" t="s">
        <v>115</v>
      </c>
      <c r="Z4176" s="40">
        <v>9</v>
      </c>
      <c r="AA4176" s="40" t="s">
        <v>115</v>
      </c>
      <c r="AB4176" s="40" t="s">
        <v>115</v>
      </c>
      <c r="AC4176" s="40" t="s">
        <v>115</v>
      </c>
      <c r="AI4176" s="40" t="s">
        <v>115</v>
      </c>
      <c r="AP4176" s="4">
        <v>-1</v>
      </c>
    </row>
    <row r="4178" spans="1:42" x14ac:dyDescent="0.15">
      <c r="A4178" s="40" t="s">
        <v>1</v>
      </c>
      <c r="B4178" s="23" t="s">
        <v>2742</v>
      </c>
      <c r="C4178" s="23">
        <v>50301</v>
      </c>
      <c r="D4178" s="23">
        <v>503</v>
      </c>
      <c r="F4178" s="23" t="s">
        <v>115</v>
      </c>
      <c r="G4178" s="23" t="s">
        <v>115</v>
      </c>
      <c r="H4178" s="23" t="s">
        <v>2724</v>
      </c>
      <c r="I4178" s="23">
        <v>4</v>
      </c>
      <c r="J4178" s="40">
        <v>1</v>
      </c>
      <c r="K4178" s="40">
        <v>1</v>
      </c>
      <c r="L4178" s="40" t="s">
        <v>115</v>
      </c>
      <c r="O4178" s="40" t="s">
        <v>115</v>
      </c>
      <c r="Q4178" s="40">
        <v>163</v>
      </c>
      <c r="R4178" s="40">
        <v>269</v>
      </c>
      <c r="X4178" s="40">
        <v>95030102</v>
      </c>
      <c r="Y4178" s="40" t="s">
        <v>115</v>
      </c>
      <c r="Z4178" s="40" t="s">
        <v>115</v>
      </c>
      <c r="AA4178" s="40" t="s">
        <v>115</v>
      </c>
      <c r="AB4178" s="40" t="s">
        <v>115</v>
      </c>
      <c r="AC4178" s="40" t="s">
        <v>115</v>
      </c>
      <c r="AI4178" s="40" t="s">
        <v>115</v>
      </c>
      <c r="AP4178" s="4" t="s">
        <v>115</v>
      </c>
    </row>
    <row r="4179" spans="1:42" x14ac:dyDescent="0.15">
      <c r="A4179" s="40" t="s">
        <v>1</v>
      </c>
      <c r="B4179" s="23">
        <v>95030102</v>
      </c>
      <c r="C4179" s="23">
        <v>50301</v>
      </c>
      <c r="D4179" s="23">
        <v>503</v>
      </c>
      <c r="F4179" s="23" t="s">
        <v>256</v>
      </c>
      <c r="G4179" s="23" t="s">
        <v>115</v>
      </c>
      <c r="H4179" s="23" t="s">
        <v>2743</v>
      </c>
      <c r="I4179" s="23">
        <v>3</v>
      </c>
      <c r="J4179" s="40">
        <v>0</v>
      </c>
      <c r="K4179" s="40">
        <v>0</v>
      </c>
      <c r="L4179" s="40" t="s">
        <v>115</v>
      </c>
      <c r="O4179" s="40" t="s">
        <v>115</v>
      </c>
      <c r="Q4179" s="40">
        <v>163</v>
      </c>
      <c r="R4179" s="40">
        <v>269</v>
      </c>
      <c r="X4179" s="40">
        <v>95030103</v>
      </c>
      <c r="Y4179" s="40" t="s">
        <v>115</v>
      </c>
      <c r="Z4179" s="40" t="s">
        <v>115</v>
      </c>
      <c r="AA4179" s="40" t="s">
        <v>115</v>
      </c>
      <c r="AB4179" s="40" t="s">
        <v>115</v>
      </c>
      <c r="AC4179" s="40" t="s">
        <v>115</v>
      </c>
      <c r="AI4179" s="40" t="s">
        <v>115</v>
      </c>
      <c r="AP4179" s="4" t="s">
        <v>115</v>
      </c>
    </row>
    <row r="4180" spans="1:42" x14ac:dyDescent="0.15">
      <c r="A4180" s="40" t="s">
        <v>1</v>
      </c>
      <c r="B4180" s="23">
        <v>95030103</v>
      </c>
      <c r="C4180" s="23">
        <v>50301</v>
      </c>
      <c r="D4180" s="23">
        <v>503</v>
      </c>
      <c r="F4180" s="23" t="s">
        <v>256</v>
      </c>
      <c r="G4180" s="23" t="s">
        <v>115</v>
      </c>
      <c r="H4180" s="23" t="s">
        <v>2726</v>
      </c>
      <c r="I4180" s="23">
        <v>3</v>
      </c>
      <c r="J4180" s="40">
        <v>0</v>
      </c>
      <c r="K4180" s="40">
        <v>0</v>
      </c>
      <c r="L4180" s="40" t="s">
        <v>115</v>
      </c>
      <c r="O4180" s="40" t="s">
        <v>115</v>
      </c>
      <c r="Q4180" s="40">
        <v>163</v>
      </c>
      <c r="R4180" s="40">
        <v>269</v>
      </c>
      <c r="X4180" s="40">
        <v>95030104</v>
      </c>
      <c r="Y4180" s="40" t="s">
        <v>115</v>
      </c>
      <c r="Z4180" s="40" t="s">
        <v>115</v>
      </c>
      <c r="AA4180" s="40" t="s">
        <v>115</v>
      </c>
      <c r="AB4180" s="40" t="s">
        <v>115</v>
      </c>
      <c r="AC4180" s="40" t="s">
        <v>115</v>
      </c>
      <c r="AI4180" s="40" t="s">
        <v>115</v>
      </c>
      <c r="AP4180" s="4" t="s">
        <v>115</v>
      </c>
    </row>
    <row r="4181" spans="1:42" x14ac:dyDescent="0.15">
      <c r="A4181" s="40" t="s">
        <v>1</v>
      </c>
      <c r="B4181" s="23">
        <v>95030104</v>
      </c>
      <c r="C4181" s="23">
        <v>50301</v>
      </c>
      <c r="D4181" s="23">
        <v>503</v>
      </c>
      <c r="F4181" s="23" t="s">
        <v>256</v>
      </c>
      <c r="G4181" s="23" t="s">
        <v>115</v>
      </c>
      <c r="H4181" s="23" t="s">
        <v>2727</v>
      </c>
      <c r="I4181" s="23">
        <v>3</v>
      </c>
      <c r="J4181" s="40">
        <v>0</v>
      </c>
      <c r="K4181" s="40">
        <v>0</v>
      </c>
      <c r="L4181" s="40" t="s">
        <v>115</v>
      </c>
      <c r="O4181" s="40" t="s">
        <v>115</v>
      </c>
      <c r="Q4181" s="40">
        <v>163</v>
      </c>
      <c r="R4181" s="40">
        <v>269</v>
      </c>
      <c r="X4181" s="40">
        <v>95030105</v>
      </c>
      <c r="Y4181" s="40" t="s">
        <v>115</v>
      </c>
      <c r="Z4181" s="40" t="s">
        <v>115</v>
      </c>
      <c r="AA4181" s="40" t="s">
        <v>115</v>
      </c>
      <c r="AB4181" s="40" t="s">
        <v>115</v>
      </c>
      <c r="AC4181" s="40" t="s">
        <v>115</v>
      </c>
      <c r="AI4181" s="40" t="s">
        <v>115</v>
      </c>
      <c r="AP4181" s="4" t="s">
        <v>115</v>
      </c>
    </row>
    <row r="4182" spans="1:42" x14ac:dyDescent="0.15">
      <c r="A4182" s="40" t="s">
        <v>1</v>
      </c>
      <c r="B4182" s="23">
        <v>95030105</v>
      </c>
      <c r="C4182" s="23">
        <v>50301</v>
      </c>
      <c r="D4182" s="23">
        <v>503</v>
      </c>
      <c r="F4182" s="23" t="s">
        <v>116</v>
      </c>
      <c r="G4182" s="23">
        <v>312</v>
      </c>
      <c r="H4182" s="23" t="s">
        <v>2728</v>
      </c>
      <c r="I4182" s="23">
        <v>0</v>
      </c>
      <c r="J4182" s="40">
        <v>0</v>
      </c>
      <c r="K4182" s="40">
        <v>0</v>
      </c>
      <c r="L4182" s="40" t="s">
        <v>115</v>
      </c>
      <c r="O4182" s="40" t="s">
        <v>115</v>
      </c>
      <c r="Q4182" s="40">
        <v>163</v>
      </c>
      <c r="R4182" s="40">
        <v>269</v>
      </c>
      <c r="X4182" s="40">
        <v>95030106</v>
      </c>
      <c r="Y4182" s="40" t="s">
        <v>115</v>
      </c>
      <c r="Z4182" s="40" t="s">
        <v>115</v>
      </c>
      <c r="AA4182" s="40" t="s">
        <v>115</v>
      </c>
      <c r="AB4182" s="40" t="s">
        <v>115</v>
      </c>
      <c r="AC4182" s="40" t="s">
        <v>115</v>
      </c>
      <c r="AI4182" s="40" t="s">
        <v>115</v>
      </c>
      <c r="AP4182" s="4" t="s">
        <v>115</v>
      </c>
    </row>
    <row r="4183" spans="1:42" x14ac:dyDescent="0.15">
      <c r="A4183" s="40" t="s">
        <v>1</v>
      </c>
      <c r="B4183" s="23">
        <v>95030106</v>
      </c>
      <c r="C4183" s="23">
        <v>50301</v>
      </c>
      <c r="D4183" s="23">
        <v>503</v>
      </c>
      <c r="F4183" s="23" t="s">
        <v>115</v>
      </c>
      <c r="G4183" s="23" t="s">
        <v>115</v>
      </c>
      <c r="H4183" s="23" t="s">
        <v>2623</v>
      </c>
      <c r="I4183" s="23">
        <v>4</v>
      </c>
      <c r="J4183" s="40">
        <v>0</v>
      </c>
      <c r="K4183" s="40">
        <v>0</v>
      </c>
      <c r="L4183" s="40" t="s">
        <v>115</v>
      </c>
      <c r="O4183" s="40" t="s">
        <v>115</v>
      </c>
      <c r="Q4183" s="40">
        <v>178</v>
      </c>
      <c r="R4183" s="40" t="s">
        <v>115</v>
      </c>
      <c r="X4183" s="40">
        <v>95030107</v>
      </c>
      <c r="Y4183" s="40" t="s">
        <v>115</v>
      </c>
      <c r="Z4183" s="40" t="s">
        <v>115</v>
      </c>
      <c r="AA4183" s="40" t="s">
        <v>115</v>
      </c>
      <c r="AB4183" s="40" t="s">
        <v>115</v>
      </c>
      <c r="AC4183" s="40" t="s">
        <v>115</v>
      </c>
      <c r="AI4183" s="40" t="s">
        <v>115</v>
      </c>
      <c r="AP4183" s="4" t="s">
        <v>115</v>
      </c>
    </row>
    <row r="4184" spans="1:42" x14ac:dyDescent="0.15">
      <c r="A4184" s="40" t="s">
        <v>1</v>
      </c>
      <c r="B4184" s="23">
        <v>95030107</v>
      </c>
      <c r="C4184" s="23">
        <v>50301</v>
      </c>
      <c r="D4184" s="23">
        <v>503</v>
      </c>
      <c r="F4184" s="23" t="s">
        <v>116</v>
      </c>
      <c r="G4184" s="23">
        <v>261</v>
      </c>
      <c r="H4184" s="23" t="s">
        <v>2624</v>
      </c>
      <c r="I4184" s="23">
        <v>2</v>
      </c>
      <c r="J4184" s="40">
        <v>0</v>
      </c>
      <c r="K4184" s="40">
        <v>0</v>
      </c>
      <c r="L4184" s="40" t="s">
        <v>115</v>
      </c>
      <c r="O4184" s="40" t="s">
        <v>115</v>
      </c>
      <c r="Q4184" s="40">
        <v>178</v>
      </c>
      <c r="R4184" s="40" t="s">
        <v>115</v>
      </c>
      <c r="X4184" s="40">
        <v>95030108</v>
      </c>
      <c r="Y4184" s="40" t="s">
        <v>115</v>
      </c>
      <c r="Z4184" s="40" t="s">
        <v>115</v>
      </c>
      <c r="AA4184" s="40" t="s">
        <v>115</v>
      </c>
      <c r="AB4184" s="40" t="s">
        <v>115</v>
      </c>
      <c r="AC4184" s="40" t="s">
        <v>115</v>
      </c>
      <c r="AI4184" s="40" t="s">
        <v>115</v>
      </c>
      <c r="AP4184" s="4" t="s">
        <v>115</v>
      </c>
    </row>
    <row r="4185" spans="1:42" x14ac:dyDescent="0.15">
      <c r="A4185" s="40" t="s">
        <v>1</v>
      </c>
      <c r="B4185" s="23">
        <v>95030108</v>
      </c>
      <c r="C4185" s="23">
        <v>50301</v>
      </c>
      <c r="D4185" s="23">
        <v>503</v>
      </c>
      <c r="F4185" s="23" t="s">
        <v>115</v>
      </c>
      <c r="G4185" s="23" t="s">
        <v>115</v>
      </c>
      <c r="H4185" s="23" t="s">
        <v>2744</v>
      </c>
      <c r="I4185" s="23">
        <v>4</v>
      </c>
      <c r="J4185" s="40">
        <v>0</v>
      </c>
      <c r="K4185" s="40">
        <v>2</v>
      </c>
      <c r="L4185" s="40" t="s">
        <v>115</v>
      </c>
      <c r="O4185" s="40" t="s">
        <v>115</v>
      </c>
      <c r="Q4185" s="40">
        <v>371</v>
      </c>
      <c r="R4185" s="40" t="s">
        <v>115</v>
      </c>
      <c r="X4185" s="40" t="s">
        <v>7142</v>
      </c>
      <c r="Y4185" s="40">
        <v>1</v>
      </c>
      <c r="Z4185" s="40">
        <v>1</v>
      </c>
      <c r="AA4185" s="40" t="s">
        <v>115</v>
      </c>
      <c r="AB4185" s="40" t="s">
        <v>115</v>
      </c>
      <c r="AC4185" s="40" t="s">
        <v>115</v>
      </c>
      <c r="AI4185" s="40" t="s">
        <v>115</v>
      </c>
      <c r="AP4185" s="4" t="s">
        <v>115</v>
      </c>
    </row>
    <row r="4186" spans="1:42" x14ac:dyDescent="0.15">
      <c r="A4186" s="40" t="s">
        <v>1</v>
      </c>
      <c r="B4186" s="23">
        <v>95030109</v>
      </c>
      <c r="C4186" s="23">
        <v>50301</v>
      </c>
      <c r="D4186" s="23">
        <v>503</v>
      </c>
      <c r="F4186" s="23" t="s">
        <v>115</v>
      </c>
      <c r="G4186" s="23" t="s">
        <v>115</v>
      </c>
      <c r="H4186" s="23" t="s">
        <v>2629</v>
      </c>
      <c r="I4186" s="23">
        <v>4</v>
      </c>
      <c r="J4186" s="40">
        <v>0</v>
      </c>
      <c r="K4186" s="40">
        <v>3</v>
      </c>
      <c r="L4186" s="40" t="s">
        <v>115</v>
      </c>
      <c r="O4186" s="40" t="s">
        <v>115</v>
      </c>
      <c r="Q4186" s="40">
        <v>371</v>
      </c>
      <c r="R4186" s="40" t="s">
        <v>115</v>
      </c>
      <c r="X4186" s="40">
        <v>95030112</v>
      </c>
      <c r="Y4186" s="40">
        <v>-1</v>
      </c>
      <c r="Z4186" s="40">
        <v>2</v>
      </c>
      <c r="AA4186" s="40" t="s">
        <v>115</v>
      </c>
      <c r="AB4186" s="40" t="s">
        <v>115</v>
      </c>
      <c r="AC4186" s="40" t="s">
        <v>2745</v>
      </c>
      <c r="AI4186" s="40" t="s">
        <v>115</v>
      </c>
      <c r="AP4186" s="4" t="s">
        <v>115</v>
      </c>
    </row>
    <row r="4187" spans="1:42" x14ac:dyDescent="0.15">
      <c r="A4187" s="40" t="s">
        <v>1</v>
      </c>
      <c r="B4187" s="23">
        <v>95030110</v>
      </c>
      <c r="C4187" s="23">
        <v>50301</v>
      </c>
      <c r="D4187" s="23">
        <v>503</v>
      </c>
      <c r="F4187" s="23" t="s">
        <v>115</v>
      </c>
      <c r="G4187" s="23" t="s">
        <v>115</v>
      </c>
      <c r="H4187" s="23" t="s">
        <v>2630</v>
      </c>
      <c r="I4187" s="23">
        <v>4</v>
      </c>
      <c r="J4187" s="40">
        <v>0</v>
      </c>
      <c r="K4187" s="40">
        <v>4</v>
      </c>
      <c r="L4187" s="40" t="s">
        <v>115</v>
      </c>
      <c r="O4187" s="40" t="s">
        <v>115</v>
      </c>
      <c r="Q4187" s="40">
        <v>371</v>
      </c>
      <c r="R4187" s="40" t="s">
        <v>115</v>
      </c>
      <c r="X4187" s="40">
        <v>95030114</v>
      </c>
      <c r="Y4187" s="40">
        <v>-1</v>
      </c>
      <c r="Z4187" s="40">
        <v>2</v>
      </c>
      <c r="AA4187" s="40" t="s">
        <v>2631</v>
      </c>
      <c r="AB4187" s="40" t="s">
        <v>115</v>
      </c>
      <c r="AC4187" s="40" t="s">
        <v>115</v>
      </c>
      <c r="AI4187" s="40" t="s">
        <v>115</v>
      </c>
      <c r="AP4187" s="4" t="s">
        <v>115</v>
      </c>
    </row>
    <row r="4188" spans="1:42" x14ac:dyDescent="0.15">
      <c r="A4188" s="40" t="s">
        <v>1</v>
      </c>
      <c r="B4188" s="23">
        <v>95030111</v>
      </c>
      <c r="C4188" s="23">
        <v>50301</v>
      </c>
      <c r="D4188" s="23">
        <v>503</v>
      </c>
      <c r="F4188" s="23" t="s">
        <v>115</v>
      </c>
      <c r="G4188" s="23" t="s">
        <v>115</v>
      </c>
      <c r="H4188" s="23" t="s">
        <v>4782</v>
      </c>
      <c r="I4188" s="23">
        <v>4</v>
      </c>
      <c r="J4188" s="40">
        <v>0</v>
      </c>
      <c r="K4188" s="40">
        <v>5</v>
      </c>
      <c r="L4188" s="40" t="s">
        <v>115</v>
      </c>
      <c r="O4188" s="40" t="s">
        <v>115</v>
      </c>
      <c r="Q4188" s="40">
        <v>371</v>
      </c>
      <c r="R4188" s="40" t="s">
        <v>115</v>
      </c>
      <c r="X4188" s="40">
        <v>95030115</v>
      </c>
      <c r="Y4188" s="40">
        <v>-1</v>
      </c>
      <c r="Z4188" s="40">
        <v>2</v>
      </c>
      <c r="AA4188" s="40" t="s">
        <v>4783</v>
      </c>
      <c r="AB4188" s="40" t="s">
        <v>115</v>
      </c>
      <c r="AC4188" s="40" t="s">
        <v>115</v>
      </c>
      <c r="AI4188" s="40" t="s">
        <v>115</v>
      </c>
      <c r="AP4188" s="4" t="s">
        <v>115</v>
      </c>
    </row>
    <row r="4189" spans="1:42" x14ac:dyDescent="0.15">
      <c r="A4189" s="40" t="s">
        <v>1</v>
      </c>
      <c r="B4189" s="23">
        <v>95030112</v>
      </c>
      <c r="C4189" s="23">
        <v>50301</v>
      </c>
      <c r="D4189" s="23">
        <v>503</v>
      </c>
      <c r="F4189" s="23" t="s">
        <v>115</v>
      </c>
      <c r="G4189" s="23" t="s">
        <v>115</v>
      </c>
      <c r="H4189" s="23" t="s">
        <v>2632</v>
      </c>
      <c r="I4189" s="23">
        <v>4</v>
      </c>
      <c r="J4189" s="40">
        <v>0</v>
      </c>
      <c r="K4189" s="40">
        <v>0</v>
      </c>
      <c r="L4189" s="40" t="s">
        <v>115</v>
      </c>
      <c r="O4189" s="40" t="s">
        <v>115</v>
      </c>
      <c r="Q4189" s="40">
        <v>371</v>
      </c>
      <c r="R4189" s="40" t="s">
        <v>115</v>
      </c>
      <c r="X4189" s="40">
        <v>95030113</v>
      </c>
      <c r="Y4189" s="40" t="s">
        <v>115</v>
      </c>
      <c r="Z4189" s="40" t="s">
        <v>115</v>
      </c>
      <c r="AA4189" s="40" t="s">
        <v>115</v>
      </c>
      <c r="AB4189" s="40" t="s">
        <v>115</v>
      </c>
      <c r="AC4189" s="40" t="s">
        <v>115</v>
      </c>
      <c r="AI4189" s="40" t="s">
        <v>115</v>
      </c>
      <c r="AP4189" s="4" t="s">
        <v>115</v>
      </c>
    </row>
    <row r="4190" spans="1:42" x14ac:dyDescent="0.15">
      <c r="A4190" s="40" t="s">
        <v>1</v>
      </c>
      <c r="B4190" s="23">
        <v>95030113</v>
      </c>
      <c r="C4190" s="23">
        <v>50301</v>
      </c>
      <c r="D4190" s="23">
        <v>503</v>
      </c>
      <c r="F4190" s="23" t="s">
        <v>115</v>
      </c>
      <c r="G4190" s="23" t="s">
        <v>115</v>
      </c>
      <c r="H4190" s="23" t="s">
        <v>2633</v>
      </c>
      <c r="I4190" s="23">
        <v>4</v>
      </c>
      <c r="J4190" s="40">
        <v>0</v>
      </c>
      <c r="K4190" s="40">
        <v>6</v>
      </c>
      <c r="L4190" s="40" t="s">
        <v>2634</v>
      </c>
      <c r="O4190" s="40" t="s">
        <v>115</v>
      </c>
      <c r="Q4190" s="40">
        <v>371</v>
      </c>
      <c r="R4190" s="40" t="s">
        <v>115</v>
      </c>
      <c r="X4190" s="40">
        <v>95030108</v>
      </c>
      <c r="Y4190" s="40" t="s">
        <v>115</v>
      </c>
      <c r="Z4190" s="40">
        <v>5</v>
      </c>
      <c r="AA4190" s="40" t="s">
        <v>115</v>
      </c>
      <c r="AB4190" s="40" t="s">
        <v>115</v>
      </c>
      <c r="AC4190" s="40" t="s">
        <v>115</v>
      </c>
      <c r="AI4190" s="40" t="s">
        <v>115</v>
      </c>
      <c r="AP4190" s="4" t="s">
        <v>115</v>
      </c>
    </row>
    <row r="4191" spans="1:42" x14ac:dyDescent="0.15">
      <c r="A4191" s="40" t="s">
        <v>1</v>
      </c>
      <c r="B4191" s="23">
        <v>95030114</v>
      </c>
      <c r="C4191" s="23">
        <v>50301</v>
      </c>
      <c r="D4191" s="23">
        <v>503</v>
      </c>
      <c r="F4191" s="23" t="s">
        <v>115</v>
      </c>
      <c r="G4191" s="23" t="s">
        <v>115</v>
      </c>
      <c r="H4191" s="23" t="s">
        <v>2635</v>
      </c>
      <c r="I4191" s="23">
        <v>4</v>
      </c>
      <c r="J4191" s="40">
        <v>0</v>
      </c>
      <c r="K4191" s="40">
        <v>7</v>
      </c>
      <c r="L4191" s="40" t="s">
        <v>4777</v>
      </c>
      <c r="O4191" s="40" t="s">
        <v>115</v>
      </c>
      <c r="Q4191" s="40">
        <v>371</v>
      </c>
      <c r="R4191" s="40" t="s">
        <v>115</v>
      </c>
      <c r="X4191" s="40">
        <v>95030108</v>
      </c>
      <c r="Y4191" s="40" t="s">
        <v>115</v>
      </c>
      <c r="Z4191" s="40">
        <v>6</v>
      </c>
      <c r="AA4191" s="40" t="s">
        <v>115</v>
      </c>
      <c r="AB4191" s="40" t="s">
        <v>115</v>
      </c>
      <c r="AC4191" s="40" t="s">
        <v>115</v>
      </c>
      <c r="AI4191" s="40" t="s">
        <v>115</v>
      </c>
      <c r="AP4191" s="4" t="s">
        <v>115</v>
      </c>
    </row>
    <row r="4192" spans="1:42" x14ac:dyDescent="0.15">
      <c r="A4192" s="40" t="s">
        <v>1</v>
      </c>
      <c r="B4192" s="23">
        <v>95030115</v>
      </c>
      <c r="C4192" s="23">
        <v>50301</v>
      </c>
      <c r="D4192" s="23">
        <v>503</v>
      </c>
      <c r="F4192" s="23" t="s">
        <v>115</v>
      </c>
      <c r="G4192" s="23" t="s">
        <v>115</v>
      </c>
      <c r="H4192" s="23" t="s">
        <v>2729</v>
      </c>
      <c r="I4192" s="23">
        <v>4</v>
      </c>
      <c r="J4192" s="40">
        <v>0</v>
      </c>
      <c r="K4192" s="40">
        <v>0</v>
      </c>
      <c r="L4192" s="40" t="s">
        <v>115</v>
      </c>
      <c r="O4192" s="40" t="s">
        <v>115</v>
      </c>
      <c r="Q4192" s="40">
        <v>163</v>
      </c>
      <c r="R4192" s="40" t="s">
        <v>115</v>
      </c>
      <c r="X4192" s="40">
        <v>95030116</v>
      </c>
      <c r="Y4192" s="40" t="s">
        <v>115</v>
      </c>
      <c r="Z4192" s="40" t="s">
        <v>115</v>
      </c>
      <c r="AA4192" s="40" t="s">
        <v>115</v>
      </c>
      <c r="AB4192" s="40" t="s">
        <v>115</v>
      </c>
      <c r="AC4192" s="40" t="s">
        <v>115</v>
      </c>
      <c r="AI4192" s="40" t="s">
        <v>115</v>
      </c>
      <c r="AP4192" s="4" t="s">
        <v>115</v>
      </c>
    </row>
    <row r="4193" spans="1:42" x14ac:dyDescent="0.15">
      <c r="A4193" s="40" t="s">
        <v>1</v>
      </c>
      <c r="B4193" s="23">
        <v>95030116</v>
      </c>
      <c r="C4193" s="23">
        <v>50301</v>
      </c>
      <c r="D4193" s="23">
        <v>503</v>
      </c>
      <c r="F4193" s="23" t="s">
        <v>115</v>
      </c>
      <c r="G4193" s="23" t="s">
        <v>115</v>
      </c>
      <c r="H4193" s="23" t="s">
        <v>2730</v>
      </c>
      <c r="I4193" s="23">
        <v>4</v>
      </c>
      <c r="J4193" s="40">
        <v>0</v>
      </c>
      <c r="K4193" s="40">
        <v>8</v>
      </c>
      <c r="L4193" s="40" t="s">
        <v>115</v>
      </c>
      <c r="O4193" s="40" t="s">
        <v>115</v>
      </c>
      <c r="Q4193" s="40">
        <v>163</v>
      </c>
      <c r="R4193" s="40" t="s">
        <v>115</v>
      </c>
      <c r="X4193" s="40" t="s">
        <v>7143</v>
      </c>
      <c r="Y4193" s="40">
        <v>1</v>
      </c>
      <c r="Z4193" s="40">
        <v>2</v>
      </c>
      <c r="AA4193" s="40" t="s">
        <v>115</v>
      </c>
      <c r="AB4193" s="40" t="s">
        <v>115</v>
      </c>
      <c r="AC4193" s="40" t="s">
        <v>115</v>
      </c>
      <c r="AI4193" s="40" t="s">
        <v>115</v>
      </c>
      <c r="AP4193" s="4" t="s">
        <v>115</v>
      </c>
    </row>
    <row r="4194" spans="1:42" x14ac:dyDescent="0.15">
      <c r="A4194" s="40" t="s">
        <v>1</v>
      </c>
      <c r="B4194" s="23">
        <v>95030117</v>
      </c>
      <c r="C4194" s="23">
        <v>50301</v>
      </c>
      <c r="D4194" s="23">
        <v>503</v>
      </c>
      <c r="F4194" s="23" t="s">
        <v>115</v>
      </c>
      <c r="G4194" s="23" t="s">
        <v>115</v>
      </c>
      <c r="H4194" s="23" t="s">
        <v>2731</v>
      </c>
      <c r="I4194" s="23">
        <v>4</v>
      </c>
      <c r="J4194" s="40">
        <v>0</v>
      </c>
      <c r="K4194" s="40">
        <v>9</v>
      </c>
      <c r="L4194" s="40" t="s">
        <v>115</v>
      </c>
      <c r="O4194" s="40" t="s">
        <v>115</v>
      </c>
      <c r="Q4194" s="40">
        <v>163</v>
      </c>
      <c r="R4194" s="40" t="s">
        <v>115</v>
      </c>
      <c r="X4194" s="40">
        <v>95030118</v>
      </c>
      <c r="Y4194" s="40">
        <v>-1</v>
      </c>
      <c r="Z4194" s="40">
        <v>8</v>
      </c>
      <c r="AA4194" s="40" t="s">
        <v>115</v>
      </c>
      <c r="AB4194" s="40" t="s">
        <v>115</v>
      </c>
      <c r="AC4194" s="40" t="s">
        <v>2746</v>
      </c>
      <c r="AI4194" s="40" t="s">
        <v>115</v>
      </c>
      <c r="AP4194" s="4" t="s">
        <v>115</v>
      </c>
    </row>
    <row r="4195" spans="1:42" x14ac:dyDescent="0.15">
      <c r="A4195" s="40" t="s">
        <v>1</v>
      </c>
      <c r="B4195" s="23">
        <v>95030118</v>
      </c>
      <c r="C4195" s="23">
        <v>50301</v>
      </c>
      <c r="D4195" s="23">
        <v>503</v>
      </c>
      <c r="F4195" s="23" t="s">
        <v>115</v>
      </c>
      <c r="G4195" s="23" t="s">
        <v>115</v>
      </c>
      <c r="H4195" s="23" t="s">
        <v>2732</v>
      </c>
      <c r="I4195" s="23">
        <v>4</v>
      </c>
      <c r="J4195" s="40">
        <v>0</v>
      </c>
      <c r="K4195" s="40">
        <v>0</v>
      </c>
      <c r="L4195" s="40" t="s">
        <v>115</v>
      </c>
      <c r="O4195" s="40" t="s">
        <v>115</v>
      </c>
      <c r="Q4195" s="40">
        <v>178</v>
      </c>
      <c r="R4195" s="40" t="s">
        <v>115</v>
      </c>
      <c r="X4195" s="40">
        <v>95030119</v>
      </c>
      <c r="Y4195" s="40" t="s">
        <v>115</v>
      </c>
      <c r="Z4195" s="40" t="s">
        <v>115</v>
      </c>
      <c r="AA4195" s="40" t="s">
        <v>115</v>
      </c>
      <c r="AB4195" s="40" t="s">
        <v>115</v>
      </c>
      <c r="AC4195" s="40" t="s">
        <v>115</v>
      </c>
      <c r="AI4195" s="40" t="s">
        <v>115</v>
      </c>
      <c r="AP4195" s="4" t="s">
        <v>115</v>
      </c>
    </row>
    <row r="4196" spans="1:42" x14ac:dyDescent="0.15">
      <c r="A4196" s="40" t="s">
        <v>1</v>
      </c>
      <c r="B4196" s="23">
        <v>95030119</v>
      </c>
      <c r="C4196" s="23">
        <v>50301</v>
      </c>
      <c r="D4196" s="23">
        <v>503</v>
      </c>
      <c r="F4196" s="23" t="s">
        <v>256</v>
      </c>
      <c r="G4196" s="23" t="s">
        <v>115</v>
      </c>
      <c r="H4196" s="23" t="s">
        <v>2747</v>
      </c>
      <c r="I4196" s="23">
        <v>3</v>
      </c>
      <c r="J4196" s="40">
        <v>0</v>
      </c>
      <c r="K4196" s="40">
        <v>0</v>
      </c>
      <c r="L4196" s="40" t="s">
        <v>115</v>
      </c>
      <c r="O4196" s="40" t="s">
        <v>115</v>
      </c>
      <c r="Q4196" s="40">
        <v>178</v>
      </c>
      <c r="R4196" s="40">
        <v>269</v>
      </c>
      <c r="X4196" s="40">
        <v>95030120</v>
      </c>
      <c r="Y4196" s="40" t="s">
        <v>115</v>
      </c>
      <c r="Z4196" s="40" t="s">
        <v>115</v>
      </c>
      <c r="AA4196" s="40" t="s">
        <v>115</v>
      </c>
      <c r="AB4196" s="40" t="s">
        <v>115</v>
      </c>
      <c r="AC4196" s="40" t="s">
        <v>115</v>
      </c>
      <c r="AI4196" s="40" t="s">
        <v>115</v>
      </c>
      <c r="AP4196" s="4" t="s">
        <v>115</v>
      </c>
    </row>
    <row r="4197" spans="1:42" x14ac:dyDescent="0.15">
      <c r="A4197" s="40" t="s">
        <v>1</v>
      </c>
      <c r="B4197" s="23">
        <v>95030120</v>
      </c>
      <c r="C4197" s="23">
        <v>50301</v>
      </c>
      <c r="D4197" s="23">
        <v>503</v>
      </c>
      <c r="F4197" s="23" t="s">
        <v>116</v>
      </c>
      <c r="G4197" s="23">
        <v>363</v>
      </c>
      <c r="H4197" s="23" t="s">
        <v>2728</v>
      </c>
      <c r="I4197" s="23">
        <v>0</v>
      </c>
      <c r="J4197" s="40">
        <v>0</v>
      </c>
      <c r="K4197" s="40">
        <v>0</v>
      </c>
      <c r="L4197" s="40" t="s">
        <v>115</v>
      </c>
      <c r="O4197" s="40" t="s">
        <v>115</v>
      </c>
      <c r="Q4197" s="40">
        <v>178</v>
      </c>
      <c r="R4197" s="40">
        <v>269</v>
      </c>
      <c r="X4197" s="40">
        <v>95030121</v>
      </c>
      <c r="Y4197" s="40" t="s">
        <v>115</v>
      </c>
      <c r="Z4197" s="40" t="s">
        <v>115</v>
      </c>
      <c r="AA4197" s="40" t="s">
        <v>115</v>
      </c>
      <c r="AB4197" s="40" t="s">
        <v>115</v>
      </c>
      <c r="AC4197" s="40" t="s">
        <v>115</v>
      </c>
      <c r="AI4197" s="40" t="s">
        <v>115</v>
      </c>
      <c r="AP4197" s="4" t="s">
        <v>115</v>
      </c>
    </row>
    <row r="4198" spans="1:42" x14ac:dyDescent="0.15">
      <c r="A4198" s="40" t="s">
        <v>1</v>
      </c>
      <c r="B4198" s="23">
        <v>95030121</v>
      </c>
      <c r="C4198" s="23">
        <v>50301</v>
      </c>
      <c r="D4198" s="23">
        <v>503</v>
      </c>
      <c r="F4198" s="23" t="s">
        <v>116</v>
      </c>
      <c r="G4198" s="23">
        <v>261</v>
      </c>
      <c r="H4198" s="23" t="s">
        <v>2748</v>
      </c>
      <c r="I4198" s="23">
        <v>0</v>
      </c>
      <c r="J4198" s="40">
        <v>0</v>
      </c>
      <c r="K4198" s="40">
        <v>0</v>
      </c>
      <c r="L4198" s="40" t="s">
        <v>115</v>
      </c>
      <c r="O4198" s="40" t="s">
        <v>115</v>
      </c>
      <c r="Q4198" s="40">
        <v>178</v>
      </c>
      <c r="R4198" s="40">
        <v>269</v>
      </c>
      <c r="X4198" s="40">
        <v>95030122</v>
      </c>
      <c r="Y4198" s="40" t="s">
        <v>115</v>
      </c>
      <c r="Z4198" s="40" t="s">
        <v>115</v>
      </c>
      <c r="AA4198" s="40" t="s">
        <v>115</v>
      </c>
      <c r="AB4198" s="40" t="s">
        <v>115</v>
      </c>
      <c r="AC4198" s="40" t="s">
        <v>115</v>
      </c>
      <c r="AI4198" s="40" t="s">
        <v>115</v>
      </c>
      <c r="AP4198" s="4" t="s">
        <v>115</v>
      </c>
    </row>
    <row r="4199" spans="1:42" x14ac:dyDescent="0.15">
      <c r="A4199" s="40" t="s">
        <v>1</v>
      </c>
      <c r="B4199" s="23">
        <v>95030122</v>
      </c>
      <c r="C4199" s="23">
        <v>50301</v>
      </c>
      <c r="D4199" s="23">
        <v>503</v>
      </c>
      <c r="F4199" s="23" t="s">
        <v>115</v>
      </c>
      <c r="G4199" s="23" t="s">
        <v>115</v>
      </c>
      <c r="H4199" s="23" t="s">
        <v>2749</v>
      </c>
      <c r="I4199" s="23">
        <v>4</v>
      </c>
      <c r="J4199" s="40">
        <v>0</v>
      </c>
      <c r="K4199" s="40">
        <v>0</v>
      </c>
      <c r="L4199" s="40" t="s">
        <v>115</v>
      </c>
      <c r="O4199" s="40" t="s">
        <v>115</v>
      </c>
      <c r="Q4199" s="40">
        <v>178</v>
      </c>
      <c r="R4199" s="40">
        <v>269</v>
      </c>
      <c r="X4199" s="40">
        <v>95030123</v>
      </c>
      <c r="Y4199" s="40" t="s">
        <v>115</v>
      </c>
      <c r="Z4199" s="40" t="s">
        <v>115</v>
      </c>
      <c r="AA4199" s="40" t="s">
        <v>115</v>
      </c>
      <c r="AB4199" s="40" t="s">
        <v>115</v>
      </c>
      <c r="AC4199" s="40" t="s">
        <v>115</v>
      </c>
      <c r="AI4199" s="40" t="s">
        <v>115</v>
      </c>
      <c r="AP4199" s="4" t="s">
        <v>115</v>
      </c>
    </row>
    <row r="4200" spans="1:42" x14ac:dyDescent="0.15">
      <c r="A4200" s="40" t="s">
        <v>1</v>
      </c>
      <c r="B4200" s="23">
        <v>95030123</v>
      </c>
      <c r="C4200" s="23">
        <v>50301</v>
      </c>
      <c r="D4200" s="23">
        <v>503</v>
      </c>
      <c r="F4200" s="23" t="s">
        <v>256</v>
      </c>
      <c r="G4200" s="23" t="s">
        <v>115</v>
      </c>
      <c r="H4200" s="23" t="s">
        <v>2750</v>
      </c>
      <c r="I4200" s="23">
        <v>3</v>
      </c>
      <c r="J4200" s="40">
        <v>0</v>
      </c>
      <c r="K4200" s="40">
        <v>0</v>
      </c>
      <c r="L4200" s="40" t="s">
        <v>115</v>
      </c>
      <c r="O4200" s="40" t="s">
        <v>115</v>
      </c>
      <c r="Q4200" s="40">
        <v>178</v>
      </c>
      <c r="R4200" s="40">
        <v>269</v>
      </c>
      <c r="X4200" s="40">
        <v>95030124</v>
      </c>
      <c r="Y4200" s="40" t="s">
        <v>115</v>
      </c>
      <c r="Z4200" s="40" t="s">
        <v>115</v>
      </c>
      <c r="AA4200" s="40" t="s">
        <v>115</v>
      </c>
      <c r="AB4200" s="40" t="s">
        <v>115</v>
      </c>
      <c r="AC4200" s="40" t="s">
        <v>115</v>
      </c>
      <c r="AI4200" s="40" t="s">
        <v>115</v>
      </c>
      <c r="AP4200" s="4" t="s">
        <v>115</v>
      </c>
    </row>
    <row r="4201" spans="1:42" x14ac:dyDescent="0.15">
      <c r="A4201" s="40" t="s">
        <v>1</v>
      </c>
      <c r="B4201" s="23">
        <v>95030124</v>
      </c>
      <c r="C4201" s="23">
        <v>50301</v>
      </c>
      <c r="D4201" s="23">
        <v>503</v>
      </c>
      <c r="F4201" s="23" t="s">
        <v>116</v>
      </c>
      <c r="G4201" s="23">
        <v>274</v>
      </c>
      <c r="H4201" s="23" t="s">
        <v>2751</v>
      </c>
      <c r="I4201" s="23">
        <v>0</v>
      </c>
      <c r="J4201" s="40">
        <v>0</v>
      </c>
      <c r="K4201" s="40">
        <v>0</v>
      </c>
      <c r="L4201" s="40" t="s">
        <v>115</v>
      </c>
      <c r="O4201" s="40" t="s">
        <v>115</v>
      </c>
      <c r="Q4201" s="40">
        <v>178</v>
      </c>
      <c r="R4201" s="40">
        <v>269</v>
      </c>
      <c r="X4201" s="40">
        <v>95030125</v>
      </c>
      <c r="Y4201" s="40" t="s">
        <v>115</v>
      </c>
      <c r="Z4201" s="40" t="s">
        <v>115</v>
      </c>
      <c r="AA4201" s="40" t="s">
        <v>115</v>
      </c>
      <c r="AB4201" s="40" t="s">
        <v>115</v>
      </c>
      <c r="AC4201" s="40" t="s">
        <v>115</v>
      </c>
      <c r="AI4201" s="40" t="s">
        <v>115</v>
      </c>
      <c r="AP4201" s="4" t="s">
        <v>115</v>
      </c>
    </row>
    <row r="4202" spans="1:42" x14ac:dyDescent="0.15">
      <c r="A4202" s="40" t="s">
        <v>1</v>
      </c>
      <c r="B4202" s="23">
        <v>95030125</v>
      </c>
      <c r="C4202" s="23">
        <v>50301</v>
      </c>
      <c r="D4202" s="23">
        <v>503</v>
      </c>
      <c r="F4202" s="23" t="s">
        <v>256</v>
      </c>
      <c r="G4202" s="23" t="s">
        <v>115</v>
      </c>
      <c r="H4202" s="23" t="s">
        <v>2752</v>
      </c>
      <c r="I4202" s="23">
        <v>3</v>
      </c>
      <c r="J4202" s="40">
        <v>0</v>
      </c>
      <c r="K4202" s="40">
        <v>0</v>
      </c>
      <c r="L4202" s="40" t="s">
        <v>115</v>
      </c>
      <c r="O4202" s="40" t="s">
        <v>115</v>
      </c>
      <c r="Q4202" s="40">
        <v>178</v>
      </c>
      <c r="R4202" s="40">
        <v>269</v>
      </c>
      <c r="X4202" s="40">
        <v>95030126</v>
      </c>
      <c r="Y4202" s="40" t="s">
        <v>115</v>
      </c>
      <c r="Z4202" s="40" t="s">
        <v>115</v>
      </c>
      <c r="AA4202" s="40" t="s">
        <v>115</v>
      </c>
      <c r="AB4202" s="40" t="s">
        <v>115</v>
      </c>
      <c r="AC4202" s="40" t="s">
        <v>115</v>
      </c>
      <c r="AI4202" s="40" t="s">
        <v>115</v>
      </c>
      <c r="AP4202" s="4" t="s">
        <v>115</v>
      </c>
    </row>
    <row r="4203" spans="1:42" x14ac:dyDescent="0.15">
      <c r="A4203" s="40" t="s">
        <v>1</v>
      </c>
      <c r="B4203" s="23">
        <v>95030126</v>
      </c>
      <c r="C4203" s="23">
        <v>50301</v>
      </c>
      <c r="D4203" s="23">
        <v>503</v>
      </c>
      <c r="F4203" s="23" t="s">
        <v>116</v>
      </c>
      <c r="G4203" s="23">
        <v>275</v>
      </c>
      <c r="H4203" s="23" t="s">
        <v>2753</v>
      </c>
      <c r="I4203" s="23">
        <v>0</v>
      </c>
      <c r="J4203" s="40">
        <v>0</v>
      </c>
      <c r="K4203" s="40">
        <v>0</v>
      </c>
      <c r="L4203" s="40" t="s">
        <v>115</v>
      </c>
      <c r="O4203" s="40" t="s">
        <v>115</v>
      </c>
      <c r="Q4203" s="40">
        <v>178</v>
      </c>
      <c r="R4203" s="40">
        <v>269</v>
      </c>
      <c r="X4203" s="40">
        <v>95030127</v>
      </c>
      <c r="Y4203" s="40" t="s">
        <v>115</v>
      </c>
      <c r="Z4203" s="40" t="s">
        <v>115</v>
      </c>
      <c r="AA4203" s="40" t="s">
        <v>115</v>
      </c>
      <c r="AB4203" s="40" t="s">
        <v>115</v>
      </c>
      <c r="AC4203" s="40" t="s">
        <v>115</v>
      </c>
      <c r="AI4203" s="40" t="s">
        <v>115</v>
      </c>
      <c r="AP4203" s="4" t="s">
        <v>115</v>
      </c>
    </row>
    <row r="4204" spans="1:42" x14ac:dyDescent="0.15">
      <c r="A4204" s="40" t="s">
        <v>1</v>
      </c>
      <c r="B4204" s="23">
        <v>95030127</v>
      </c>
      <c r="C4204" s="23">
        <v>50301</v>
      </c>
      <c r="D4204" s="23">
        <v>503</v>
      </c>
      <c r="F4204" s="23" t="s">
        <v>256</v>
      </c>
      <c r="G4204" s="23" t="s">
        <v>115</v>
      </c>
      <c r="H4204" s="23" t="s">
        <v>4791</v>
      </c>
      <c r="I4204" s="23">
        <v>3</v>
      </c>
      <c r="J4204" s="40">
        <v>0</v>
      </c>
      <c r="K4204" s="40">
        <v>0</v>
      </c>
      <c r="L4204" s="40" t="s">
        <v>115</v>
      </c>
      <c r="O4204" s="40" t="s">
        <v>115</v>
      </c>
      <c r="Q4204" s="40">
        <v>178</v>
      </c>
      <c r="R4204" s="40">
        <v>269</v>
      </c>
      <c r="X4204" s="40">
        <v>95030128</v>
      </c>
      <c r="Y4204" s="40" t="s">
        <v>115</v>
      </c>
      <c r="Z4204" s="40" t="s">
        <v>115</v>
      </c>
      <c r="AA4204" s="40" t="s">
        <v>115</v>
      </c>
      <c r="AB4204" s="40" t="s">
        <v>115</v>
      </c>
      <c r="AC4204" s="40" t="s">
        <v>115</v>
      </c>
      <c r="AI4204" s="40" t="s">
        <v>115</v>
      </c>
      <c r="AP4204" s="4" t="s">
        <v>115</v>
      </c>
    </row>
    <row r="4205" spans="1:42" x14ac:dyDescent="0.15">
      <c r="A4205" s="40" t="s">
        <v>1</v>
      </c>
      <c r="B4205" s="23">
        <v>95030128</v>
      </c>
      <c r="C4205" s="23">
        <v>50301</v>
      </c>
      <c r="D4205" s="23">
        <v>503</v>
      </c>
      <c r="F4205" s="23" t="s">
        <v>116</v>
      </c>
      <c r="G4205" s="23">
        <v>272</v>
      </c>
      <c r="H4205" s="23" t="s">
        <v>2754</v>
      </c>
      <c r="I4205" s="23">
        <v>0</v>
      </c>
      <c r="J4205" s="40">
        <v>0</v>
      </c>
      <c r="K4205" s="40">
        <v>0</v>
      </c>
      <c r="L4205" s="40" t="s">
        <v>115</v>
      </c>
      <c r="O4205" s="40" t="s">
        <v>115</v>
      </c>
      <c r="Q4205" s="40">
        <v>178</v>
      </c>
      <c r="R4205" s="40">
        <v>269</v>
      </c>
      <c r="X4205" s="40">
        <v>95030129</v>
      </c>
      <c r="Y4205" s="40" t="s">
        <v>115</v>
      </c>
      <c r="Z4205" s="40" t="s">
        <v>115</v>
      </c>
      <c r="AA4205" s="40" t="s">
        <v>115</v>
      </c>
      <c r="AB4205" s="40" t="s">
        <v>115</v>
      </c>
      <c r="AC4205" s="40" t="s">
        <v>115</v>
      </c>
      <c r="AI4205" s="40" t="s">
        <v>115</v>
      </c>
      <c r="AP4205" s="4" t="s">
        <v>115</v>
      </c>
    </row>
    <row r="4206" spans="1:42" x14ac:dyDescent="0.15">
      <c r="A4206" s="40" t="s">
        <v>1</v>
      </c>
      <c r="B4206" s="23">
        <v>95030129</v>
      </c>
      <c r="C4206" s="23">
        <v>50301</v>
      </c>
      <c r="D4206" s="23">
        <v>503</v>
      </c>
      <c r="F4206" s="23" t="s">
        <v>256</v>
      </c>
      <c r="G4206" s="23" t="s">
        <v>115</v>
      </c>
      <c r="H4206" s="23" t="s">
        <v>2755</v>
      </c>
      <c r="I4206" s="23">
        <v>3</v>
      </c>
      <c r="J4206" s="40">
        <v>0</v>
      </c>
      <c r="K4206" s="40">
        <v>0</v>
      </c>
      <c r="L4206" s="40" t="s">
        <v>115</v>
      </c>
      <c r="O4206" s="40" t="s">
        <v>115</v>
      </c>
      <c r="Q4206" s="40">
        <v>178</v>
      </c>
      <c r="R4206" s="40">
        <v>269</v>
      </c>
      <c r="X4206" s="40">
        <v>95030130</v>
      </c>
      <c r="Y4206" s="40" t="s">
        <v>115</v>
      </c>
      <c r="Z4206" s="40" t="s">
        <v>115</v>
      </c>
      <c r="AA4206" s="40" t="s">
        <v>115</v>
      </c>
      <c r="AB4206" s="40" t="s">
        <v>115</v>
      </c>
      <c r="AC4206" s="40" t="s">
        <v>115</v>
      </c>
      <c r="AI4206" s="40" t="s">
        <v>115</v>
      </c>
      <c r="AP4206" s="4" t="s">
        <v>115</v>
      </c>
    </row>
    <row r="4207" spans="1:42" x14ac:dyDescent="0.15">
      <c r="A4207" s="40" t="s">
        <v>1</v>
      </c>
      <c r="B4207" s="23">
        <v>95030130</v>
      </c>
      <c r="C4207" s="23">
        <v>50301</v>
      </c>
      <c r="D4207" s="23">
        <v>503</v>
      </c>
      <c r="F4207" s="23" t="s">
        <v>115</v>
      </c>
      <c r="G4207" s="23" t="s">
        <v>115</v>
      </c>
      <c r="H4207" s="23" t="s">
        <v>2756</v>
      </c>
      <c r="I4207" s="23">
        <v>4</v>
      </c>
      <c r="J4207" s="40">
        <v>0</v>
      </c>
      <c r="K4207" s="40">
        <v>10</v>
      </c>
      <c r="L4207" s="40" t="s">
        <v>115</v>
      </c>
      <c r="O4207" s="40">
        <v>1</v>
      </c>
      <c r="Q4207" s="40">
        <v>178</v>
      </c>
      <c r="R4207" s="40" t="s">
        <v>115</v>
      </c>
      <c r="X4207" s="40" t="s">
        <v>115</v>
      </c>
      <c r="Y4207" s="40" t="s">
        <v>115</v>
      </c>
      <c r="Z4207" s="40">
        <v>9</v>
      </c>
      <c r="AA4207" s="40" t="s">
        <v>115</v>
      </c>
      <c r="AB4207" s="40" t="s">
        <v>115</v>
      </c>
      <c r="AC4207" s="40" t="s">
        <v>115</v>
      </c>
      <c r="AI4207" s="40" t="s">
        <v>115</v>
      </c>
      <c r="AP4207" s="4" t="s">
        <v>115</v>
      </c>
    </row>
    <row r="4209" spans="1:42" x14ac:dyDescent="0.15">
      <c r="A4209" s="40" t="s">
        <v>1</v>
      </c>
      <c r="B4209" s="23" t="s">
        <v>2757</v>
      </c>
      <c r="C4209" s="23">
        <v>50401</v>
      </c>
      <c r="D4209" s="23">
        <v>504</v>
      </c>
      <c r="F4209" s="23" t="s">
        <v>115</v>
      </c>
      <c r="G4209" s="23" t="s">
        <v>115</v>
      </c>
      <c r="H4209" s="23" t="s">
        <v>2724</v>
      </c>
      <c r="I4209" s="23">
        <v>4</v>
      </c>
      <c r="J4209" s="40">
        <v>1</v>
      </c>
      <c r="K4209" s="40">
        <v>1</v>
      </c>
      <c r="L4209" s="40" t="s">
        <v>115</v>
      </c>
      <c r="O4209" s="40" t="s">
        <v>115</v>
      </c>
      <c r="Q4209" s="40">
        <v>163</v>
      </c>
      <c r="R4209" s="40">
        <v>269</v>
      </c>
      <c r="X4209" s="40">
        <v>95040102</v>
      </c>
      <c r="Y4209" s="40" t="s">
        <v>115</v>
      </c>
      <c r="Z4209" s="40" t="s">
        <v>115</v>
      </c>
      <c r="AA4209" s="40" t="s">
        <v>115</v>
      </c>
      <c r="AB4209" s="40" t="s">
        <v>115</v>
      </c>
      <c r="AC4209" s="40" t="s">
        <v>115</v>
      </c>
      <c r="AI4209" s="40" t="s">
        <v>115</v>
      </c>
      <c r="AP4209" s="4" t="s">
        <v>115</v>
      </c>
    </row>
    <row r="4210" spans="1:42" x14ac:dyDescent="0.15">
      <c r="A4210" s="40" t="s">
        <v>1</v>
      </c>
      <c r="B4210" s="23">
        <v>95040102</v>
      </c>
      <c r="C4210" s="23">
        <v>50401</v>
      </c>
      <c r="D4210" s="23">
        <v>504</v>
      </c>
      <c r="F4210" s="23" t="s">
        <v>256</v>
      </c>
      <c r="G4210" s="23" t="s">
        <v>115</v>
      </c>
      <c r="H4210" s="23" t="s">
        <v>2758</v>
      </c>
      <c r="I4210" s="23">
        <v>3</v>
      </c>
      <c r="J4210" s="40">
        <v>0</v>
      </c>
      <c r="K4210" s="40">
        <v>0</v>
      </c>
      <c r="L4210" s="40" t="s">
        <v>115</v>
      </c>
      <c r="O4210" s="40" t="s">
        <v>115</v>
      </c>
      <c r="Q4210" s="40">
        <v>163</v>
      </c>
      <c r="R4210" s="40">
        <v>269</v>
      </c>
      <c r="X4210" s="40">
        <v>95040103</v>
      </c>
      <c r="Y4210" s="40" t="s">
        <v>115</v>
      </c>
      <c r="Z4210" s="40" t="s">
        <v>115</v>
      </c>
      <c r="AA4210" s="40" t="s">
        <v>115</v>
      </c>
      <c r="AB4210" s="40" t="s">
        <v>115</v>
      </c>
      <c r="AC4210" s="40" t="s">
        <v>115</v>
      </c>
      <c r="AI4210" s="40" t="s">
        <v>115</v>
      </c>
      <c r="AP4210" s="4" t="s">
        <v>115</v>
      </c>
    </row>
    <row r="4211" spans="1:42" x14ac:dyDescent="0.15">
      <c r="A4211" s="40" t="s">
        <v>1</v>
      </c>
      <c r="B4211" s="23">
        <v>95040103</v>
      </c>
      <c r="C4211" s="23">
        <v>50401</v>
      </c>
      <c r="D4211" s="23">
        <v>504</v>
      </c>
      <c r="F4211" s="23" t="s">
        <v>256</v>
      </c>
      <c r="G4211" s="23" t="s">
        <v>115</v>
      </c>
      <c r="H4211" s="23" t="s">
        <v>2726</v>
      </c>
      <c r="I4211" s="23">
        <v>3</v>
      </c>
      <c r="J4211" s="40">
        <v>0</v>
      </c>
      <c r="K4211" s="40">
        <v>0</v>
      </c>
      <c r="L4211" s="40" t="s">
        <v>115</v>
      </c>
      <c r="O4211" s="40" t="s">
        <v>115</v>
      </c>
      <c r="Q4211" s="40">
        <v>163</v>
      </c>
      <c r="R4211" s="40">
        <v>269</v>
      </c>
      <c r="X4211" s="40">
        <v>95040104</v>
      </c>
      <c r="Y4211" s="40" t="s">
        <v>115</v>
      </c>
      <c r="Z4211" s="40" t="s">
        <v>115</v>
      </c>
      <c r="AA4211" s="40" t="s">
        <v>115</v>
      </c>
      <c r="AB4211" s="40" t="s">
        <v>115</v>
      </c>
      <c r="AC4211" s="40" t="s">
        <v>115</v>
      </c>
      <c r="AI4211" s="40" t="s">
        <v>115</v>
      </c>
      <c r="AP4211" s="4" t="s">
        <v>115</v>
      </c>
    </row>
    <row r="4212" spans="1:42" x14ac:dyDescent="0.15">
      <c r="A4212" s="40" t="s">
        <v>1</v>
      </c>
      <c r="B4212" s="23">
        <v>95040104</v>
      </c>
      <c r="C4212" s="23">
        <v>50401</v>
      </c>
      <c r="D4212" s="23">
        <v>504</v>
      </c>
      <c r="F4212" s="23" t="s">
        <v>256</v>
      </c>
      <c r="G4212" s="23" t="s">
        <v>115</v>
      </c>
      <c r="H4212" s="23" t="s">
        <v>2727</v>
      </c>
      <c r="I4212" s="23">
        <v>3</v>
      </c>
      <c r="J4212" s="40">
        <v>0</v>
      </c>
      <c r="K4212" s="40">
        <v>0</v>
      </c>
      <c r="L4212" s="40" t="s">
        <v>115</v>
      </c>
      <c r="O4212" s="40" t="s">
        <v>115</v>
      </c>
      <c r="Q4212" s="40">
        <v>163</v>
      </c>
      <c r="R4212" s="40">
        <v>269</v>
      </c>
      <c r="X4212" s="40">
        <v>95040105</v>
      </c>
      <c r="Y4212" s="40" t="s">
        <v>115</v>
      </c>
      <c r="Z4212" s="40" t="s">
        <v>115</v>
      </c>
      <c r="AA4212" s="40" t="s">
        <v>115</v>
      </c>
      <c r="AB4212" s="40" t="s">
        <v>115</v>
      </c>
      <c r="AC4212" s="40" t="s">
        <v>115</v>
      </c>
      <c r="AI4212" s="40" t="s">
        <v>115</v>
      </c>
      <c r="AP4212" s="4" t="s">
        <v>115</v>
      </c>
    </row>
    <row r="4213" spans="1:42" x14ac:dyDescent="0.15">
      <c r="A4213" s="40" t="s">
        <v>1</v>
      </c>
      <c r="B4213" s="23">
        <v>95040105</v>
      </c>
      <c r="C4213" s="23">
        <v>50401</v>
      </c>
      <c r="D4213" s="23">
        <v>504</v>
      </c>
      <c r="F4213" s="23" t="s">
        <v>116</v>
      </c>
      <c r="G4213" s="23">
        <v>312</v>
      </c>
      <c r="H4213" s="23" t="s">
        <v>2728</v>
      </c>
      <c r="I4213" s="23">
        <v>0</v>
      </c>
      <c r="J4213" s="40">
        <v>0</v>
      </c>
      <c r="K4213" s="40">
        <v>0</v>
      </c>
      <c r="L4213" s="40" t="s">
        <v>115</v>
      </c>
      <c r="O4213" s="40" t="s">
        <v>115</v>
      </c>
      <c r="Q4213" s="40">
        <v>163</v>
      </c>
      <c r="R4213" s="40">
        <v>269</v>
      </c>
      <c r="X4213" s="40">
        <v>95040106</v>
      </c>
      <c r="Y4213" s="40" t="s">
        <v>115</v>
      </c>
      <c r="Z4213" s="40" t="s">
        <v>115</v>
      </c>
      <c r="AA4213" s="40" t="s">
        <v>115</v>
      </c>
      <c r="AB4213" s="40" t="s">
        <v>115</v>
      </c>
      <c r="AC4213" s="40" t="s">
        <v>115</v>
      </c>
      <c r="AI4213" s="40" t="s">
        <v>115</v>
      </c>
      <c r="AP4213" s="4" t="s">
        <v>115</v>
      </c>
    </row>
    <row r="4214" spans="1:42" x14ac:dyDescent="0.15">
      <c r="A4214" s="40" t="s">
        <v>1</v>
      </c>
      <c r="B4214" s="23">
        <v>95040106</v>
      </c>
      <c r="C4214" s="23">
        <v>50401</v>
      </c>
      <c r="D4214" s="23">
        <v>504</v>
      </c>
      <c r="F4214" s="23" t="s">
        <v>115</v>
      </c>
      <c r="G4214" s="23" t="s">
        <v>115</v>
      </c>
      <c r="H4214" s="23" t="s">
        <v>2623</v>
      </c>
      <c r="I4214" s="23">
        <v>4</v>
      </c>
      <c r="J4214" s="40">
        <v>0</v>
      </c>
      <c r="K4214" s="40">
        <v>0</v>
      </c>
      <c r="L4214" s="40" t="s">
        <v>115</v>
      </c>
      <c r="O4214" s="40" t="s">
        <v>115</v>
      </c>
      <c r="Q4214" s="40">
        <v>178</v>
      </c>
      <c r="R4214" s="40" t="s">
        <v>115</v>
      </c>
      <c r="X4214" s="40">
        <v>95040107</v>
      </c>
      <c r="Y4214" s="40" t="s">
        <v>115</v>
      </c>
      <c r="Z4214" s="40" t="s">
        <v>115</v>
      </c>
      <c r="AA4214" s="40" t="s">
        <v>115</v>
      </c>
      <c r="AB4214" s="40" t="s">
        <v>115</v>
      </c>
      <c r="AC4214" s="40" t="s">
        <v>115</v>
      </c>
      <c r="AI4214" s="40" t="s">
        <v>115</v>
      </c>
      <c r="AP4214" s="4" t="s">
        <v>115</v>
      </c>
    </row>
    <row r="4215" spans="1:42" x14ac:dyDescent="0.15">
      <c r="A4215" s="40" t="s">
        <v>1</v>
      </c>
      <c r="B4215" s="23">
        <v>95040107</v>
      </c>
      <c r="C4215" s="23">
        <v>50401</v>
      </c>
      <c r="D4215" s="23">
        <v>504</v>
      </c>
      <c r="F4215" s="23" t="s">
        <v>116</v>
      </c>
      <c r="G4215" s="23">
        <v>261</v>
      </c>
      <c r="H4215" s="23" t="s">
        <v>2624</v>
      </c>
      <c r="I4215" s="23">
        <v>2</v>
      </c>
      <c r="J4215" s="40">
        <v>0</v>
      </c>
      <c r="K4215" s="40">
        <v>0</v>
      </c>
      <c r="L4215" s="40" t="s">
        <v>115</v>
      </c>
      <c r="O4215" s="40" t="s">
        <v>115</v>
      </c>
      <c r="Q4215" s="40">
        <v>178</v>
      </c>
      <c r="R4215" s="40" t="s">
        <v>115</v>
      </c>
      <c r="X4215" s="40">
        <v>95040108</v>
      </c>
      <c r="Y4215" s="40" t="s">
        <v>115</v>
      </c>
      <c r="Z4215" s="40" t="s">
        <v>115</v>
      </c>
      <c r="AA4215" s="40" t="s">
        <v>115</v>
      </c>
      <c r="AB4215" s="40" t="s">
        <v>115</v>
      </c>
      <c r="AC4215" s="40" t="s">
        <v>115</v>
      </c>
      <c r="AI4215" s="40" t="s">
        <v>115</v>
      </c>
      <c r="AP4215" s="4" t="s">
        <v>115</v>
      </c>
    </row>
    <row r="4216" spans="1:42" x14ac:dyDescent="0.15">
      <c r="A4216" s="40" t="s">
        <v>1</v>
      </c>
      <c r="B4216" s="23">
        <v>95040108</v>
      </c>
      <c r="C4216" s="23">
        <v>50401</v>
      </c>
      <c r="D4216" s="23">
        <v>504</v>
      </c>
      <c r="F4216" s="23" t="s">
        <v>115</v>
      </c>
      <c r="G4216" s="23" t="s">
        <v>115</v>
      </c>
      <c r="H4216" s="23" t="s">
        <v>2744</v>
      </c>
      <c r="I4216" s="23">
        <v>4</v>
      </c>
      <c r="J4216" s="40">
        <v>0</v>
      </c>
      <c r="K4216" s="40">
        <v>2</v>
      </c>
      <c r="L4216" s="40" t="s">
        <v>115</v>
      </c>
      <c r="O4216" s="40" t="s">
        <v>115</v>
      </c>
      <c r="Q4216" s="40">
        <v>371</v>
      </c>
      <c r="R4216" s="40" t="s">
        <v>115</v>
      </c>
      <c r="X4216" s="40" t="s">
        <v>7144</v>
      </c>
      <c r="Y4216" s="40">
        <v>1</v>
      </c>
      <c r="Z4216" s="40">
        <v>1</v>
      </c>
      <c r="AA4216" s="40" t="s">
        <v>115</v>
      </c>
      <c r="AB4216" s="40" t="s">
        <v>115</v>
      </c>
      <c r="AC4216" s="40" t="s">
        <v>115</v>
      </c>
      <c r="AI4216" s="40" t="s">
        <v>115</v>
      </c>
      <c r="AP4216" s="4" t="s">
        <v>115</v>
      </c>
    </row>
    <row r="4217" spans="1:42" x14ac:dyDescent="0.15">
      <c r="A4217" s="40" t="s">
        <v>1</v>
      </c>
      <c r="B4217" s="23">
        <v>95040109</v>
      </c>
      <c r="C4217" s="23">
        <v>50401</v>
      </c>
      <c r="D4217" s="23">
        <v>504</v>
      </c>
      <c r="F4217" s="23" t="s">
        <v>115</v>
      </c>
      <c r="G4217" s="23" t="s">
        <v>115</v>
      </c>
      <c r="H4217" s="23" t="s">
        <v>2629</v>
      </c>
      <c r="I4217" s="23">
        <v>4</v>
      </c>
      <c r="J4217" s="40">
        <v>0</v>
      </c>
      <c r="K4217" s="40">
        <v>3</v>
      </c>
      <c r="L4217" s="40" t="s">
        <v>115</v>
      </c>
      <c r="O4217" s="40" t="s">
        <v>115</v>
      </c>
      <c r="Q4217" s="40">
        <v>371</v>
      </c>
      <c r="R4217" s="40" t="s">
        <v>115</v>
      </c>
      <c r="X4217" s="40">
        <v>95040112</v>
      </c>
      <c r="Y4217" s="40">
        <v>-1</v>
      </c>
      <c r="Z4217" s="40">
        <v>2</v>
      </c>
      <c r="AA4217" s="40" t="s">
        <v>115</v>
      </c>
      <c r="AB4217" s="40" t="s">
        <v>115</v>
      </c>
      <c r="AC4217" s="40" t="s">
        <v>2759</v>
      </c>
      <c r="AI4217" s="40" t="s">
        <v>115</v>
      </c>
      <c r="AP4217" s="4" t="s">
        <v>115</v>
      </c>
    </row>
    <row r="4218" spans="1:42" x14ac:dyDescent="0.15">
      <c r="A4218" s="40" t="s">
        <v>1</v>
      </c>
      <c r="B4218" s="23">
        <v>95040110</v>
      </c>
      <c r="C4218" s="23">
        <v>50401</v>
      </c>
      <c r="D4218" s="23">
        <v>504</v>
      </c>
      <c r="F4218" s="23" t="s">
        <v>115</v>
      </c>
      <c r="G4218" s="23" t="s">
        <v>115</v>
      </c>
      <c r="H4218" s="23" t="s">
        <v>2630</v>
      </c>
      <c r="I4218" s="23">
        <v>4</v>
      </c>
      <c r="J4218" s="40">
        <v>0</v>
      </c>
      <c r="K4218" s="40">
        <v>4</v>
      </c>
      <c r="L4218" s="40" t="s">
        <v>115</v>
      </c>
      <c r="O4218" s="40" t="s">
        <v>115</v>
      </c>
      <c r="Q4218" s="40">
        <v>371</v>
      </c>
      <c r="R4218" s="40" t="s">
        <v>115</v>
      </c>
      <c r="X4218" s="40">
        <v>95040114</v>
      </c>
      <c r="Y4218" s="40">
        <v>-1</v>
      </c>
      <c r="Z4218" s="40">
        <v>2</v>
      </c>
      <c r="AA4218" s="40" t="s">
        <v>2631</v>
      </c>
      <c r="AB4218" s="40" t="s">
        <v>115</v>
      </c>
      <c r="AC4218" s="40" t="s">
        <v>115</v>
      </c>
      <c r="AI4218" s="40" t="s">
        <v>115</v>
      </c>
      <c r="AP4218" s="4" t="s">
        <v>115</v>
      </c>
    </row>
    <row r="4219" spans="1:42" x14ac:dyDescent="0.15">
      <c r="A4219" s="40" t="s">
        <v>1</v>
      </c>
      <c r="B4219" s="23">
        <v>95040111</v>
      </c>
      <c r="C4219" s="23">
        <v>50401</v>
      </c>
      <c r="D4219" s="23">
        <v>504</v>
      </c>
      <c r="F4219" s="23" t="s">
        <v>115</v>
      </c>
      <c r="G4219" s="23" t="s">
        <v>115</v>
      </c>
      <c r="H4219" s="23" t="s">
        <v>4782</v>
      </c>
      <c r="I4219" s="23">
        <v>4</v>
      </c>
      <c r="J4219" s="40">
        <v>0</v>
      </c>
      <c r="K4219" s="40">
        <v>5</v>
      </c>
      <c r="L4219" s="40" t="s">
        <v>115</v>
      </c>
      <c r="O4219" s="40" t="s">
        <v>115</v>
      </c>
      <c r="Q4219" s="40">
        <v>371</v>
      </c>
      <c r="R4219" s="40" t="s">
        <v>115</v>
      </c>
      <c r="X4219" s="40">
        <v>95040115</v>
      </c>
      <c r="Y4219" s="40">
        <v>-1</v>
      </c>
      <c r="Z4219" s="40">
        <v>2</v>
      </c>
      <c r="AA4219" s="40" t="s">
        <v>4783</v>
      </c>
      <c r="AB4219" s="40" t="s">
        <v>115</v>
      </c>
      <c r="AC4219" s="40" t="s">
        <v>115</v>
      </c>
      <c r="AI4219" s="40" t="s">
        <v>115</v>
      </c>
      <c r="AP4219" s="4" t="s">
        <v>115</v>
      </c>
    </row>
    <row r="4220" spans="1:42" x14ac:dyDescent="0.15">
      <c r="A4220" s="40" t="s">
        <v>1</v>
      </c>
      <c r="B4220" s="23">
        <v>95040112</v>
      </c>
      <c r="C4220" s="23">
        <v>50401</v>
      </c>
      <c r="D4220" s="23">
        <v>504</v>
      </c>
      <c r="F4220" s="23" t="s">
        <v>115</v>
      </c>
      <c r="G4220" s="23" t="s">
        <v>115</v>
      </c>
      <c r="H4220" s="23" t="s">
        <v>2632</v>
      </c>
      <c r="I4220" s="23">
        <v>4</v>
      </c>
      <c r="J4220" s="40">
        <v>0</v>
      </c>
      <c r="K4220" s="40">
        <v>0</v>
      </c>
      <c r="L4220" s="40" t="s">
        <v>115</v>
      </c>
      <c r="O4220" s="40" t="s">
        <v>115</v>
      </c>
      <c r="Q4220" s="40">
        <v>371</v>
      </c>
      <c r="R4220" s="40" t="s">
        <v>115</v>
      </c>
      <c r="X4220" s="40">
        <v>95040113</v>
      </c>
      <c r="Y4220" s="40" t="s">
        <v>115</v>
      </c>
      <c r="Z4220" s="40" t="s">
        <v>115</v>
      </c>
      <c r="AA4220" s="40" t="s">
        <v>115</v>
      </c>
      <c r="AB4220" s="40" t="s">
        <v>115</v>
      </c>
      <c r="AC4220" s="40" t="s">
        <v>115</v>
      </c>
      <c r="AI4220" s="40" t="s">
        <v>115</v>
      </c>
      <c r="AP4220" s="4" t="s">
        <v>115</v>
      </c>
    </row>
    <row r="4221" spans="1:42" x14ac:dyDescent="0.15">
      <c r="A4221" s="40" t="s">
        <v>1</v>
      </c>
      <c r="B4221" s="23">
        <v>95040113</v>
      </c>
      <c r="C4221" s="23">
        <v>50401</v>
      </c>
      <c r="D4221" s="23">
        <v>504</v>
      </c>
      <c r="F4221" s="23" t="s">
        <v>115</v>
      </c>
      <c r="G4221" s="23" t="s">
        <v>115</v>
      </c>
      <c r="H4221" s="23" t="s">
        <v>2633</v>
      </c>
      <c r="I4221" s="23">
        <v>4</v>
      </c>
      <c r="J4221" s="40">
        <v>0</v>
      </c>
      <c r="K4221" s="40">
        <v>6</v>
      </c>
      <c r="L4221" s="40" t="s">
        <v>2634</v>
      </c>
      <c r="O4221" s="40" t="s">
        <v>115</v>
      </c>
      <c r="Q4221" s="40">
        <v>371</v>
      </c>
      <c r="R4221" s="40" t="s">
        <v>115</v>
      </c>
      <c r="X4221" s="40">
        <v>95040108</v>
      </c>
      <c r="Y4221" s="40" t="s">
        <v>115</v>
      </c>
      <c r="Z4221" s="40">
        <v>5</v>
      </c>
      <c r="AA4221" s="40" t="s">
        <v>115</v>
      </c>
      <c r="AB4221" s="40" t="s">
        <v>115</v>
      </c>
      <c r="AC4221" s="40" t="s">
        <v>115</v>
      </c>
      <c r="AI4221" s="40" t="s">
        <v>115</v>
      </c>
      <c r="AP4221" s="4" t="s">
        <v>115</v>
      </c>
    </row>
    <row r="4222" spans="1:42" x14ac:dyDescent="0.15">
      <c r="A4222" s="40" t="s">
        <v>1</v>
      </c>
      <c r="B4222" s="23">
        <v>95040114</v>
      </c>
      <c r="C4222" s="23">
        <v>50401</v>
      </c>
      <c r="D4222" s="23">
        <v>504</v>
      </c>
      <c r="F4222" s="23" t="s">
        <v>115</v>
      </c>
      <c r="G4222" s="23" t="s">
        <v>115</v>
      </c>
      <c r="H4222" s="23" t="s">
        <v>2635</v>
      </c>
      <c r="I4222" s="23">
        <v>4</v>
      </c>
      <c r="J4222" s="40">
        <v>0</v>
      </c>
      <c r="K4222" s="40">
        <v>7</v>
      </c>
      <c r="L4222" s="40" t="s">
        <v>4777</v>
      </c>
      <c r="O4222" s="40" t="s">
        <v>115</v>
      </c>
      <c r="Q4222" s="40">
        <v>371</v>
      </c>
      <c r="R4222" s="40" t="s">
        <v>115</v>
      </c>
      <c r="X4222" s="40">
        <v>95040108</v>
      </c>
      <c r="Y4222" s="40" t="s">
        <v>115</v>
      </c>
      <c r="Z4222" s="40">
        <v>6</v>
      </c>
      <c r="AA4222" s="40" t="s">
        <v>115</v>
      </c>
      <c r="AB4222" s="40" t="s">
        <v>115</v>
      </c>
      <c r="AC4222" s="40" t="s">
        <v>115</v>
      </c>
      <c r="AI4222" s="40" t="s">
        <v>115</v>
      </c>
      <c r="AP4222" s="4" t="s">
        <v>115</v>
      </c>
    </row>
    <row r="4223" spans="1:42" x14ac:dyDescent="0.15">
      <c r="A4223" s="40" t="s">
        <v>1</v>
      </c>
      <c r="B4223" s="23">
        <v>95040115</v>
      </c>
      <c r="C4223" s="23">
        <v>50401</v>
      </c>
      <c r="D4223" s="23">
        <v>504</v>
      </c>
      <c r="F4223" s="23" t="s">
        <v>115</v>
      </c>
      <c r="G4223" s="23" t="s">
        <v>115</v>
      </c>
      <c r="H4223" s="23" t="s">
        <v>2729</v>
      </c>
      <c r="I4223" s="23">
        <v>4</v>
      </c>
      <c r="J4223" s="40">
        <v>0</v>
      </c>
      <c r="K4223" s="40">
        <v>0</v>
      </c>
      <c r="L4223" s="40" t="s">
        <v>115</v>
      </c>
      <c r="O4223" s="40" t="s">
        <v>115</v>
      </c>
      <c r="Q4223" s="40">
        <v>163</v>
      </c>
      <c r="R4223" s="40" t="s">
        <v>115</v>
      </c>
      <c r="X4223" s="40">
        <v>95040116</v>
      </c>
      <c r="Y4223" s="40" t="s">
        <v>115</v>
      </c>
      <c r="Z4223" s="40" t="s">
        <v>115</v>
      </c>
      <c r="AA4223" s="40" t="s">
        <v>115</v>
      </c>
      <c r="AB4223" s="40" t="s">
        <v>115</v>
      </c>
      <c r="AC4223" s="40" t="s">
        <v>115</v>
      </c>
      <c r="AI4223" s="40" t="s">
        <v>115</v>
      </c>
      <c r="AP4223" s="4" t="s">
        <v>115</v>
      </c>
    </row>
    <row r="4224" spans="1:42" x14ac:dyDescent="0.15">
      <c r="A4224" s="40" t="s">
        <v>1</v>
      </c>
      <c r="B4224" s="23">
        <v>95040116</v>
      </c>
      <c r="C4224" s="23">
        <v>50401</v>
      </c>
      <c r="D4224" s="23">
        <v>504</v>
      </c>
      <c r="F4224" s="23" t="s">
        <v>115</v>
      </c>
      <c r="G4224" s="23" t="s">
        <v>115</v>
      </c>
      <c r="H4224" s="23" t="s">
        <v>2730</v>
      </c>
      <c r="I4224" s="23">
        <v>4</v>
      </c>
      <c r="J4224" s="40">
        <v>0</v>
      </c>
      <c r="K4224" s="40">
        <v>8</v>
      </c>
      <c r="L4224" s="40" t="s">
        <v>115</v>
      </c>
      <c r="O4224" s="40" t="s">
        <v>115</v>
      </c>
      <c r="Q4224" s="40">
        <v>163</v>
      </c>
      <c r="R4224" s="40" t="s">
        <v>115</v>
      </c>
      <c r="X4224" s="40" t="s">
        <v>7145</v>
      </c>
      <c r="Y4224" s="40">
        <v>1</v>
      </c>
      <c r="Z4224" s="40">
        <v>2</v>
      </c>
      <c r="AA4224" s="40" t="s">
        <v>115</v>
      </c>
      <c r="AB4224" s="40" t="s">
        <v>115</v>
      </c>
      <c r="AC4224" s="40" t="s">
        <v>115</v>
      </c>
      <c r="AI4224" s="40" t="s">
        <v>115</v>
      </c>
      <c r="AP4224" s="4" t="s">
        <v>115</v>
      </c>
    </row>
    <row r="4225" spans="1:42" x14ac:dyDescent="0.15">
      <c r="A4225" s="40" t="s">
        <v>1</v>
      </c>
      <c r="B4225" s="23">
        <v>95040117</v>
      </c>
      <c r="C4225" s="23">
        <v>50401</v>
      </c>
      <c r="D4225" s="23">
        <v>504</v>
      </c>
      <c r="F4225" s="23" t="s">
        <v>115</v>
      </c>
      <c r="G4225" s="23" t="s">
        <v>115</v>
      </c>
      <c r="H4225" s="23" t="s">
        <v>2731</v>
      </c>
      <c r="I4225" s="23">
        <v>4</v>
      </c>
      <c r="J4225" s="40">
        <v>0</v>
      </c>
      <c r="K4225" s="40">
        <v>9</v>
      </c>
      <c r="L4225" s="40" t="s">
        <v>115</v>
      </c>
      <c r="O4225" s="40" t="s">
        <v>115</v>
      </c>
      <c r="Q4225" s="40">
        <v>163</v>
      </c>
      <c r="R4225" s="40" t="s">
        <v>115</v>
      </c>
      <c r="X4225" s="40">
        <v>95040118</v>
      </c>
      <c r="Y4225" s="40">
        <v>-1</v>
      </c>
      <c r="Z4225" s="40">
        <v>8</v>
      </c>
      <c r="AA4225" s="40" t="s">
        <v>115</v>
      </c>
      <c r="AB4225" s="40" t="s">
        <v>115</v>
      </c>
      <c r="AC4225" s="40" t="s">
        <v>2760</v>
      </c>
      <c r="AI4225" s="40" t="s">
        <v>115</v>
      </c>
      <c r="AP4225" s="4" t="s">
        <v>115</v>
      </c>
    </row>
    <row r="4226" spans="1:42" x14ac:dyDescent="0.15">
      <c r="A4226" s="40" t="s">
        <v>1</v>
      </c>
      <c r="B4226" s="23">
        <v>95040118</v>
      </c>
      <c r="C4226" s="23">
        <v>50401</v>
      </c>
      <c r="D4226" s="23">
        <v>504</v>
      </c>
      <c r="F4226" s="23" t="s">
        <v>115</v>
      </c>
      <c r="G4226" s="23" t="s">
        <v>115</v>
      </c>
      <c r="H4226" s="23" t="s">
        <v>2732</v>
      </c>
      <c r="I4226" s="23">
        <v>4</v>
      </c>
      <c r="J4226" s="40">
        <v>0</v>
      </c>
      <c r="K4226" s="40">
        <v>0</v>
      </c>
      <c r="L4226" s="40" t="s">
        <v>115</v>
      </c>
      <c r="O4226" s="40" t="s">
        <v>115</v>
      </c>
      <c r="Q4226" s="40">
        <v>178</v>
      </c>
      <c r="R4226" s="40" t="s">
        <v>115</v>
      </c>
      <c r="X4226" s="40">
        <v>95040119</v>
      </c>
      <c r="Y4226" s="40" t="s">
        <v>115</v>
      </c>
      <c r="Z4226" s="40" t="s">
        <v>115</v>
      </c>
      <c r="AA4226" s="40" t="s">
        <v>115</v>
      </c>
      <c r="AB4226" s="40" t="s">
        <v>115</v>
      </c>
      <c r="AC4226" s="40" t="s">
        <v>115</v>
      </c>
      <c r="AI4226" s="40" t="s">
        <v>115</v>
      </c>
      <c r="AP4226" s="4" t="s">
        <v>115</v>
      </c>
    </row>
    <row r="4227" spans="1:42" x14ac:dyDescent="0.15">
      <c r="A4227" s="40" t="s">
        <v>1</v>
      </c>
      <c r="B4227" s="23">
        <v>95040119</v>
      </c>
      <c r="C4227" s="23">
        <v>50401</v>
      </c>
      <c r="D4227" s="23">
        <v>504</v>
      </c>
      <c r="F4227" s="23" t="s">
        <v>256</v>
      </c>
      <c r="G4227" s="23" t="s">
        <v>115</v>
      </c>
      <c r="H4227" s="23" t="s">
        <v>2761</v>
      </c>
      <c r="I4227" s="23">
        <v>3</v>
      </c>
      <c r="J4227" s="40">
        <v>0</v>
      </c>
      <c r="K4227" s="40">
        <v>0</v>
      </c>
      <c r="L4227" s="40" t="s">
        <v>115</v>
      </c>
      <c r="O4227" s="40" t="s">
        <v>115</v>
      </c>
      <c r="Q4227" s="40">
        <v>178</v>
      </c>
      <c r="R4227" s="40">
        <v>269</v>
      </c>
      <c r="X4227" s="40">
        <v>95040120</v>
      </c>
      <c r="Y4227" s="40" t="s">
        <v>115</v>
      </c>
      <c r="Z4227" s="40" t="s">
        <v>115</v>
      </c>
      <c r="AA4227" s="40" t="s">
        <v>115</v>
      </c>
      <c r="AB4227" s="40" t="s">
        <v>115</v>
      </c>
      <c r="AC4227" s="40" t="s">
        <v>115</v>
      </c>
      <c r="AI4227" s="40" t="s">
        <v>115</v>
      </c>
      <c r="AP4227" s="4" t="s">
        <v>115</v>
      </c>
    </row>
    <row r="4228" spans="1:42" x14ac:dyDescent="0.15">
      <c r="A4228" s="40" t="s">
        <v>1</v>
      </c>
      <c r="B4228" s="23">
        <v>95040120</v>
      </c>
      <c r="C4228" s="23">
        <v>50401</v>
      </c>
      <c r="D4228" s="23">
        <v>504</v>
      </c>
      <c r="F4228" s="23" t="s">
        <v>116</v>
      </c>
      <c r="G4228" s="23">
        <v>363</v>
      </c>
      <c r="H4228" s="23" t="s">
        <v>2728</v>
      </c>
      <c r="I4228" s="23">
        <v>0</v>
      </c>
      <c r="J4228" s="40">
        <v>0</v>
      </c>
      <c r="K4228" s="40">
        <v>0</v>
      </c>
      <c r="L4228" s="40" t="s">
        <v>115</v>
      </c>
      <c r="O4228" s="40" t="s">
        <v>115</v>
      </c>
      <c r="Q4228" s="40">
        <v>178</v>
      </c>
      <c r="R4228" s="40">
        <v>269</v>
      </c>
      <c r="X4228" s="40">
        <v>95040121</v>
      </c>
      <c r="Y4228" s="40" t="s">
        <v>115</v>
      </c>
      <c r="Z4228" s="40" t="s">
        <v>115</v>
      </c>
      <c r="AA4228" s="40" t="s">
        <v>115</v>
      </c>
      <c r="AB4228" s="40" t="s">
        <v>115</v>
      </c>
      <c r="AC4228" s="40" t="s">
        <v>115</v>
      </c>
      <c r="AI4228" s="40" t="s">
        <v>115</v>
      </c>
      <c r="AP4228" s="4" t="s">
        <v>115</v>
      </c>
    </row>
    <row r="4229" spans="1:42" x14ac:dyDescent="0.15">
      <c r="A4229" s="40" t="s">
        <v>1</v>
      </c>
      <c r="B4229" s="23">
        <v>95040121</v>
      </c>
      <c r="C4229" s="23">
        <v>50401</v>
      </c>
      <c r="D4229" s="23">
        <v>504</v>
      </c>
      <c r="F4229" s="23" t="s">
        <v>116</v>
      </c>
      <c r="G4229" s="23">
        <v>261</v>
      </c>
      <c r="H4229" s="23" t="s">
        <v>2762</v>
      </c>
      <c r="I4229" s="23">
        <v>0</v>
      </c>
      <c r="J4229" s="40">
        <v>0</v>
      </c>
      <c r="K4229" s="40">
        <v>0</v>
      </c>
      <c r="L4229" s="40" t="s">
        <v>115</v>
      </c>
      <c r="O4229" s="40" t="s">
        <v>115</v>
      </c>
      <c r="Q4229" s="40">
        <v>178</v>
      </c>
      <c r="R4229" s="40">
        <v>269</v>
      </c>
      <c r="X4229" s="40">
        <v>95040122</v>
      </c>
      <c r="Y4229" s="40" t="s">
        <v>115</v>
      </c>
      <c r="Z4229" s="40" t="s">
        <v>115</v>
      </c>
      <c r="AA4229" s="40" t="s">
        <v>115</v>
      </c>
      <c r="AB4229" s="40" t="s">
        <v>115</v>
      </c>
      <c r="AC4229" s="40" t="s">
        <v>115</v>
      </c>
      <c r="AI4229" s="40" t="s">
        <v>115</v>
      </c>
      <c r="AP4229" s="4" t="s">
        <v>115</v>
      </c>
    </row>
    <row r="4230" spans="1:42" x14ac:dyDescent="0.15">
      <c r="A4230" s="40" t="s">
        <v>1</v>
      </c>
      <c r="B4230" s="23">
        <v>95040122</v>
      </c>
      <c r="C4230" s="23">
        <v>50401</v>
      </c>
      <c r="D4230" s="23">
        <v>504</v>
      </c>
      <c r="F4230" s="23" t="s">
        <v>115</v>
      </c>
      <c r="G4230" s="23" t="s">
        <v>115</v>
      </c>
      <c r="H4230" s="23" t="s">
        <v>2749</v>
      </c>
      <c r="I4230" s="23">
        <v>4</v>
      </c>
      <c r="J4230" s="40">
        <v>0</v>
      </c>
      <c r="K4230" s="40">
        <v>0</v>
      </c>
      <c r="L4230" s="40" t="s">
        <v>115</v>
      </c>
      <c r="O4230" s="40" t="s">
        <v>115</v>
      </c>
      <c r="Q4230" s="40">
        <v>178</v>
      </c>
      <c r="R4230" s="40">
        <v>269</v>
      </c>
      <c r="X4230" s="40">
        <v>95040123</v>
      </c>
      <c r="Y4230" s="40" t="s">
        <v>115</v>
      </c>
      <c r="Z4230" s="40" t="s">
        <v>115</v>
      </c>
      <c r="AA4230" s="40" t="s">
        <v>115</v>
      </c>
      <c r="AB4230" s="40" t="s">
        <v>115</v>
      </c>
      <c r="AC4230" s="40" t="s">
        <v>115</v>
      </c>
      <c r="AI4230" s="40" t="s">
        <v>115</v>
      </c>
      <c r="AP4230" s="4" t="s">
        <v>115</v>
      </c>
    </row>
    <row r="4231" spans="1:42" x14ac:dyDescent="0.15">
      <c r="A4231" s="40" t="s">
        <v>1</v>
      </c>
      <c r="B4231" s="23">
        <v>95040123</v>
      </c>
      <c r="C4231" s="23">
        <v>50401</v>
      </c>
      <c r="D4231" s="23">
        <v>504</v>
      </c>
      <c r="F4231" s="23" t="s">
        <v>256</v>
      </c>
      <c r="G4231" s="23" t="s">
        <v>115</v>
      </c>
      <c r="H4231" s="23" t="s">
        <v>2763</v>
      </c>
      <c r="I4231" s="23">
        <v>3</v>
      </c>
      <c r="J4231" s="40">
        <v>0</v>
      </c>
      <c r="K4231" s="40">
        <v>0</v>
      </c>
      <c r="L4231" s="40" t="s">
        <v>115</v>
      </c>
      <c r="O4231" s="40" t="s">
        <v>115</v>
      </c>
      <c r="Q4231" s="40">
        <v>178</v>
      </c>
      <c r="R4231" s="40">
        <v>269</v>
      </c>
      <c r="X4231" s="40">
        <v>95040124</v>
      </c>
      <c r="Y4231" s="40" t="s">
        <v>115</v>
      </c>
      <c r="Z4231" s="40" t="s">
        <v>115</v>
      </c>
      <c r="AA4231" s="40" t="s">
        <v>115</v>
      </c>
      <c r="AB4231" s="40" t="s">
        <v>115</v>
      </c>
      <c r="AC4231" s="40" t="s">
        <v>115</v>
      </c>
      <c r="AI4231" s="40" t="s">
        <v>115</v>
      </c>
      <c r="AP4231" s="4" t="s">
        <v>115</v>
      </c>
    </row>
    <row r="4232" spans="1:42" x14ac:dyDescent="0.15">
      <c r="A4232" s="40" t="s">
        <v>1</v>
      </c>
      <c r="B4232" s="23">
        <v>95040124</v>
      </c>
      <c r="C4232" s="23">
        <v>50401</v>
      </c>
      <c r="D4232" s="23">
        <v>504</v>
      </c>
      <c r="F4232" s="23" t="s">
        <v>116</v>
      </c>
      <c r="G4232" s="23">
        <v>261</v>
      </c>
      <c r="H4232" s="23" t="s">
        <v>2764</v>
      </c>
      <c r="I4232" s="23">
        <v>0</v>
      </c>
      <c r="J4232" s="40">
        <v>0</v>
      </c>
      <c r="K4232" s="40">
        <v>0</v>
      </c>
      <c r="L4232" s="40" t="s">
        <v>115</v>
      </c>
      <c r="O4232" s="40" t="s">
        <v>115</v>
      </c>
      <c r="Q4232" s="40">
        <v>178</v>
      </c>
      <c r="R4232" s="40">
        <v>269</v>
      </c>
      <c r="X4232" s="40">
        <v>95040125</v>
      </c>
      <c r="Y4232" s="40" t="s">
        <v>115</v>
      </c>
      <c r="Z4232" s="40" t="s">
        <v>115</v>
      </c>
      <c r="AA4232" s="40" t="s">
        <v>115</v>
      </c>
      <c r="AB4232" s="40" t="s">
        <v>115</v>
      </c>
      <c r="AC4232" s="40" t="s">
        <v>115</v>
      </c>
      <c r="AI4232" s="40" t="s">
        <v>115</v>
      </c>
      <c r="AP4232" s="4" t="s">
        <v>115</v>
      </c>
    </row>
    <row r="4233" spans="1:42" x14ac:dyDescent="0.15">
      <c r="A4233" s="40" t="s">
        <v>1</v>
      </c>
      <c r="B4233" s="23">
        <v>95040125</v>
      </c>
      <c r="C4233" s="23">
        <v>50401</v>
      </c>
      <c r="D4233" s="23">
        <v>504</v>
      </c>
      <c r="F4233" s="23" t="s">
        <v>256</v>
      </c>
      <c r="G4233" s="23" t="s">
        <v>115</v>
      </c>
      <c r="H4233" s="23" t="s">
        <v>2765</v>
      </c>
      <c r="I4233" s="23">
        <v>3</v>
      </c>
      <c r="J4233" s="40">
        <v>0</v>
      </c>
      <c r="K4233" s="40">
        <v>0</v>
      </c>
      <c r="L4233" s="40" t="s">
        <v>115</v>
      </c>
      <c r="O4233" s="40" t="s">
        <v>115</v>
      </c>
      <c r="Q4233" s="40">
        <v>178</v>
      </c>
      <c r="R4233" s="40">
        <v>269</v>
      </c>
      <c r="X4233" s="40">
        <v>95040126</v>
      </c>
      <c r="Y4233" s="40" t="s">
        <v>115</v>
      </c>
      <c r="Z4233" s="40" t="s">
        <v>115</v>
      </c>
      <c r="AA4233" s="40" t="s">
        <v>115</v>
      </c>
      <c r="AB4233" s="40" t="s">
        <v>115</v>
      </c>
      <c r="AC4233" s="40" t="s">
        <v>115</v>
      </c>
      <c r="AI4233" s="40" t="s">
        <v>115</v>
      </c>
      <c r="AP4233" s="4" t="s">
        <v>115</v>
      </c>
    </row>
    <row r="4234" spans="1:42" x14ac:dyDescent="0.15">
      <c r="A4234" s="40" t="s">
        <v>1</v>
      </c>
      <c r="B4234" s="23">
        <v>95040126</v>
      </c>
      <c r="C4234" s="23">
        <v>50401</v>
      </c>
      <c r="D4234" s="23">
        <v>504</v>
      </c>
      <c r="F4234" s="23" t="s">
        <v>116</v>
      </c>
      <c r="G4234" s="23">
        <v>258</v>
      </c>
      <c r="H4234" s="23" t="s">
        <v>2766</v>
      </c>
      <c r="I4234" s="23">
        <v>0</v>
      </c>
      <c r="J4234" s="40">
        <v>0</v>
      </c>
      <c r="K4234" s="40">
        <v>0</v>
      </c>
      <c r="L4234" s="40" t="s">
        <v>115</v>
      </c>
      <c r="O4234" s="40" t="s">
        <v>115</v>
      </c>
      <c r="Q4234" s="40">
        <v>178</v>
      </c>
      <c r="R4234" s="40">
        <v>269</v>
      </c>
      <c r="X4234" s="40">
        <v>95040127</v>
      </c>
      <c r="Y4234" s="40" t="s">
        <v>115</v>
      </c>
      <c r="Z4234" s="40" t="s">
        <v>115</v>
      </c>
      <c r="AA4234" s="40" t="s">
        <v>115</v>
      </c>
      <c r="AB4234" s="40" t="s">
        <v>115</v>
      </c>
      <c r="AC4234" s="40" t="s">
        <v>115</v>
      </c>
      <c r="AI4234" s="40" t="s">
        <v>115</v>
      </c>
      <c r="AP4234" s="4" t="s">
        <v>115</v>
      </c>
    </row>
    <row r="4235" spans="1:42" x14ac:dyDescent="0.15">
      <c r="A4235" s="40" t="s">
        <v>1</v>
      </c>
      <c r="B4235" s="23">
        <v>95040127</v>
      </c>
      <c r="C4235" s="23">
        <v>50401</v>
      </c>
      <c r="D4235" s="23">
        <v>504</v>
      </c>
      <c r="F4235" s="23" t="s">
        <v>256</v>
      </c>
      <c r="G4235" s="23" t="s">
        <v>115</v>
      </c>
      <c r="H4235" s="23" t="s">
        <v>2767</v>
      </c>
      <c r="I4235" s="23">
        <v>3</v>
      </c>
      <c r="J4235" s="40">
        <v>0</v>
      </c>
      <c r="K4235" s="40">
        <v>0</v>
      </c>
      <c r="L4235" s="40" t="s">
        <v>115</v>
      </c>
      <c r="O4235" s="40" t="s">
        <v>115</v>
      </c>
      <c r="Q4235" s="40">
        <v>178</v>
      </c>
      <c r="R4235" s="40">
        <v>269</v>
      </c>
      <c r="X4235" s="40">
        <v>95040128</v>
      </c>
      <c r="Y4235" s="40" t="s">
        <v>115</v>
      </c>
      <c r="Z4235" s="40" t="s">
        <v>115</v>
      </c>
      <c r="AA4235" s="40" t="s">
        <v>115</v>
      </c>
      <c r="AB4235" s="40" t="s">
        <v>115</v>
      </c>
      <c r="AC4235" s="40" t="s">
        <v>115</v>
      </c>
      <c r="AI4235" s="40" t="s">
        <v>115</v>
      </c>
      <c r="AP4235" s="4" t="s">
        <v>115</v>
      </c>
    </row>
    <row r="4236" spans="1:42" x14ac:dyDescent="0.15">
      <c r="A4236" s="40" t="s">
        <v>1</v>
      </c>
      <c r="B4236" s="23">
        <v>95040128</v>
      </c>
      <c r="C4236" s="23">
        <v>50401</v>
      </c>
      <c r="D4236" s="23">
        <v>504</v>
      </c>
      <c r="F4236" s="23" t="s">
        <v>256</v>
      </c>
      <c r="G4236" s="23" t="s">
        <v>115</v>
      </c>
      <c r="H4236" s="23" t="s">
        <v>2768</v>
      </c>
      <c r="I4236" s="23">
        <v>3</v>
      </c>
      <c r="J4236" s="40">
        <v>0</v>
      </c>
      <c r="K4236" s="40">
        <v>0</v>
      </c>
      <c r="L4236" s="40" t="s">
        <v>115</v>
      </c>
      <c r="O4236" s="40" t="s">
        <v>115</v>
      </c>
      <c r="Q4236" s="40">
        <v>178</v>
      </c>
      <c r="R4236" s="40">
        <v>269</v>
      </c>
      <c r="X4236" s="40">
        <v>95040129</v>
      </c>
      <c r="Y4236" s="40" t="s">
        <v>115</v>
      </c>
      <c r="Z4236" s="40" t="s">
        <v>115</v>
      </c>
      <c r="AA4236" s="40" t="s">
        <v>115</v>
      </c>
      <c r="AB4236" s="40" t="s">
        <v>115</v>
      </c>
      <c r="AC4236" s="40" t="s">
        <v>115</v>
      </c>
      <c r="AI4236" s="40" t="s">
        <v>115</v>
      </c>
      <c r="AP4236" s="4" t="s">
        <v>115</v>
      </c>
    </row>
    <row r="4237" spans="1:42" x14ac:dyDescent="0.15">
      <c r="A4237" s="40" t="s">
        <v>1</v>
      </c>
      <c r="B4237" s="23">
        <v>95040129</v>
      </c>
      <c r="C4237" s="23">
        <v>50401</v>
      </c>
      <c r="D4237" s="23">
        <v>504</v>
      </c>
      <c r="F4237" s="23" t="s">
        <v>115</v>
      </c>
      <c r="G4237" s="23" t="s">
        <v>115</v>
      </c>
      <c r="H4237" s="23" t="s">
        <v>2769</v>
      </c>
      <c r="I4237" s="23">
        <v>4</v>
      </c>
      <c r="J4237" s="40">
        <v>0</v>
      </c>
      <c r="K4237" s="40">
        <v>10</v>
      </c>
      <c r="L4237" s="40" t="s">
        <v>115</v>
      </c>
      <c r="O4237" s="40">
        <v>1</v>
      </c>
      <c r="Q4237" s="40">
        <v>178</v>
      </c>
      <c r="R4237" s="40" t="s">
        <v>115</v>
      </c>
      <c r="X4237" s="40" t="s">
        <v>115</v>
      </c>
      <c r="Y4237" s="40" t="s">
        <v>115</v>
      </c>
      <c r="Z4237" s="40">
        <v>9</v>
      </c>
      <c r="AA4237" s="40" t="s">
        <v>115</v>
      </c>
      <c r="AB4237" s="40" t="s">
        <v>115</v>
      </c>
      <c r="AC4237" s="40" t="s">
        <v>115</v>
      </c>
      <c r="AI4237" s="40" t="s">
        <v>115</v>
      </c>
      <c r="AP4237" s="4" t="s">
        <v>115</v>
      </c>
    </row>
    <row r="4506" spans="1:42" s="69" customFormat="1" x14ac:dyDescent="0.15">
      <c r="A4506" s="67"/>
      <c r="B4506" s="67" t="s">
        <v>1322</v>
      </c>
      <c r="C4506" s="67"/>
      <c r="D4506" s="67"/>
      <c r="E4506" s="67"/>
      <c r="F4506" s="67"/>
      <c r="G4506" s="67"/>
      <c r="H4506" s="67"/>
      <c r="I4506" s="67"/>
      <c r="J4506" s="67"/>
      <c r="K4506" s="67"/>
      <c r="L4506" s="67"/>
      <c r="M4506" s="68"/>
      <c r="N4506" s="67"/>
      <c r="O4506" s="67"/>
      <c r="P4506" s="67"/>
      <c r="Q4506" s="67"/>
      <c r="R4506" s="67"/>
      <c r="S4506" s="67"/>
      <c r="T4506" s="67"/>
      <c r="U4506" s="67"/>
      <c r="V4506" s="67"/>
      <c r="W4506" s="67"/>
      <c r="X4506" s="67"/>
      <c r="Y4506" s="67"/>
      <c r="Z4506" s="67"/>
      <c r="AA4506" s="67"/>
      <c r="AB4506" s="67"/>
      <c r="AC4506" s="67"/>
      <c r="AD4506" s="67"/>
      <c r="AE4506" s="67"/>
      <c r="AF4506" s="67"/>
      <c r="AG4506" s="67"/>
      <c r="AH4506" s="67"/>
      <c r="AI4506" s="67"/>
      <c r="AJ4506" s="67"/>
      <c r="AK4506" s="67"/>
      <c r="AL4506" s="67"/>
      <c r="AM4506" s="67"/>
      <c r="AN4506" s="67"/>
      <c r="AO4506" s="67"/>
    </row>
    <row r="4508" spans="1:42" x14ac:dyDescent="0.15">
      <c r="A4508" s="40" t="s">
        <v>1</v>
      </c>
      <c r="B4508" s="23">
        <v>95601101</v>
      </c>
      <c r="C4508" s="23">
        <v>56011</v>
      </c>
      <c r="D4508" s="51">
        <v>5601</v>
      </c>
      <c r="F4508" s="23" t="s">
        <v>529</v>
      </c>
      <c r="H4508" s="23" t="s">
        <v>1527</v>
      </c>
      <c r="I4508" s="23">
        <v>3</v>
      </c>
      <c r="J4508" s="40">
        <v>1</v>
      </c>
      <c r="K4508" s="40">
        <v>1</v>
      </c>
      <c r="L4508" s="40" t="s">
        <v>115</v>
      </c>
      <c r="O4508" s="40" t="s">
        <v>115</v>
      </c>
      <c r="Q4508" s="40">
        <v>181</v>
      </c>
      <c r="R4508" s="40">
        <v>213</v>
      </c>
      <c r="X4508" s="40">
        <v>95601102</v>
      </c>
      <c r="Y4508" s="40" t="s">
        <v>115</v>
      </c>
      <c r="Z4508" s="40" t="s">
        <v>115</v>
      </c>
      <c r="AA4508" s="40" t="s">
        <v>115</v>
      </c>
      <c r="AB4508" s="40" t="s">
        <v>115</v>
      </c>
      <c r="AC4508" s="40" t="s">
        <v>115</v>
      </c>
      <c r="AI4508" s="40" t="s">
        <v>115</v>
      </c>
      <c r="AP4508" s="4" t="s">
        <v>115</v>
      </c>
    </row>
    <row r="4509" spans="1:42" x14ac:dyDescent="0.15">
      <c r="A4509" s="40" t="s">
        <v>1</v>
      </c>
      <c r="B4509" s="23">
        <v>95601102</v>
      </c>
      <c r="C4509" s="23">
        <v>56011</v>
      </c>
      <c r="D4509" s="51">
        <v>5601</v>
      </c>
      <c r="F4509" s="23" t="s">
        <v>116</v>
      </c>
      <c r="G4509" s="23" t="s">
        <v>115</v>
      </c>
      <c r="H4509" s="23" t="s">
        <v>1528</v>
      </c>
      <c r="I4509" s="23">
        <v>0</v>
      </c>
      <c r="J4509" s="40">
        <v>0</v>
      </c>
      <c r="K4509" s="40">
        <v>0</v>
      </c>
      <c r="L4509" s="40" t="s">
        <v>115</v>
      </c>
      <c r="O4509" s="40" t="s">
        <v>115</v>
      </c>
      <c r="Q4509" s="40">
        <v>181</v>
      </c>
      <c r="R4509" s="40">
        <v>213</v>
      </c>
      <c r="X4509" s="40">
        <v>95601103</v>
      </c>
      <c r="Y4509" s="40" t="s">
        <v>115</v>
      </c>
      <c r="Z4509" s="40" t="s">
        <v>115</v>
      </c>
      <c r="AA4509" s="40" t="s">
        <v>115</v>
      </c>
      <c r="AB4509" s="40" t="s">
        <v>115</v>
      </c>
      <c r="AC4509" s="40" t="s">
        <v>115</v>
      </c>
      <c r="AI4509" s="40" t="s">
        <v>115</v>
      </c>
      <c r="AP4509" s="4" t="s">
        <v>115</v>
      </c>
    </row>
    <row r="4510" spans="1:42" x14ac:dyDescent="0.15">
      <c r="A4510" s="40" t="s">
        <v>1</v>
      </c>
      <c r="B4510" s="23">
        <v>95601103</v>
      </c>
      <c r="C4510" s="23">
        <v>56011</v>
      </c>
      <c r="D4510" s="51">
        <v>5601</v>
      </c>
      <c r="F4510" s="23" t="s">
        <v>529</v>
      </c>
      <c r="G4510" s="23" t="s">
        <v>115</v>
      </c>
      <c r="H4510" s="23" t="s">
        <v>1529</v>
      </c>
      <c r="I4510" s="23">
        <v>3</v>
      </c>
      <c r="J4510" s="40">
        <v>0</v>
      </c>
      <c r="K4510" s="40">
        <v>0</v>
      </c>
      <c r="L4510" s="40" t="s">
        <v>115</v>
      </c>
      <c r="O4510" s="40" t="s">
        <v>115</v>
      </c>
      <c r="Q4510" s="40">
        <v>181</v>
      </c>
      <c r="R4510" s="40">
        <v>213</v>
      </c>
      <c r="X4510" s="40">
        <v>95601104</v>
      </c>
      <c r="Y4510" s="40" t="s">
        <v>115</v>
      </c>
      <c r="Z4510" s="40" t="s">
        <v>115</v>
      </c>
      <c r="AA4510" s="40" t="s">
        <v>115</v>
      </c>
      <c r="AB4510" s="40" t="s">
        <v>115</v>
      </c>
      <c r="AC4510" s="40" t="s">
        <v>115</v>
      </c>
      <c r="AI4510" s="40" t="s">
        <v>115</v>
      </c>
      <c r="AP4510" s="4" t="s">
        <v>115</v>
      </c>
    </row>
    <row r="4511" spans="1:42" x14ac:dyDescent="0.15">
      <c r="A4511" s="40" t="s">
        <v>1</v>
      </c>
      <c r="B4511" s="23">
        <v>95601104</v>
      </c>
      <c r="C4511" s="23">
        <v>56011</v>
      </c>
      <c r="D4511" s="51">
        <v>5601</v>
      </c>
      <c r="F4511" s="23" t="s">
        <v>116</v>
      </c>
      <c r="G4511" s="23" t="s">
        <v>115</v>
      </c>
      <c r="H4511" s="23" t="s">
        <v>1530</v>
      </c>
      <c r="I4511" s="23">
        <v>0</v>
      </c>
      <c r="J4511" s="40">
        <v>0</v>
      </c>
      <c r="K4511" s="40">
        <v>0</v>
      </c>
      <c r="L4511" s="40" t="s">
        <v>115</v>
      </c>
      <c r="O4511" s="40" t="s">
        <v>115</v>
      </c>
      <c r="Q4511" s="40">
        <v>181</v>
      </c>
      <c r="R4511" s="40">
        <v>213</v>
      </c>
      <c r="X4511" s="40">
        <v>95601105</v>
      </c>
      <c r="Y4511" s="40" t="s">
        <v>115</v>
      </c>
      <c r="Z4511" s="40" t="s">
        <v>115</v>
      </c>
      <c r="AA4511" s="40" t="s">
        <v>115</v>
      </c>
      <c r="AB4511" s="40" t="s">
        <v>115</v>
      </c>
      <c r="AC4511" s="40" t="s">
        <v>115</v>
      </c>
      <c r="AI4511" s="40" t="s">
        <v>115</v>
      </c>
      <c r="AP4511" s="4" t="s">
        <v>115</v>
      </c>
    </row>
    <row r="4512" spans="1:42" x14ac:dyDescent="0.15">
      <c r="A4512" s="40" t="s">
        <v>1</v>
      </c>
      <c r="B4512" s="23">
        <v>95601105</v>
      </c>
      <c r="C4512" s="23">
        <v>56011</v>
      </c>
      <c r="D4512" s="51">
        <v>5601</v>
      </c>
      <c r="F4512" s="23" t="s">
        <v>529</v>
      </c>
      <c r="G4512" s="23" t="s">
        <v>115</v>
      </c>
      <c r="H4512" s="23" t="s">
        <v>1531</v>
      </c>
      <c r="I4512" s="23">
        <v>3</v>
      </c>
      <c r="J4512" s="40">
        <v>0</v>
      </c>
      <c r="K4512" s="40">
        <v>0</v>
      </c>
      <c r="L4512" s="40" t="s">
        <v>115</v>
      </c>
      <c r="O4512" s="40" t="s">
        <v>115</v>
      </c>
      <c r="Q4512" s="40">
        <v>181</v>
      </c>
      <c r="R4512" s="40">
        <v>213</v>
      </c>
      <c r="X4512" s="40">
        <v>95601106</v>
      </c>
      <c r="Y4512" s="40" t="s">
        <v>115</v>
      </c>
      <c r="Z4512" s="40" t="s">
        <v>115</v>
      </c>
      <c r="AA4512" s="40" t="s">
        <v>115</v>
      </c>
      <c r="AB4512" s="40" t="s">
        <v>115</v>
      </c>
      <c r="AC4512" s="40" t="s">
        <v>115</v>
      </c>
      <c r="AI4512" s="40" t="s">
        <v>115</v>
      </c>
      <c r="AP4512" s="4" t="s">
        <v>115</v>
      </c>
    </row>
    <row r="4513" spans="1:42" x14ac:dyDescent="0.15">
      <c r="A4513" s="40" t="s">
        <v>1</v>
      </c>
      <c r="B4513" s="23">
        <v>95601106</v>
      </c>
      <c r="C4513" s="23">
        <v>56011</v>
      </c>
      <c r="D4513" s="51">
        <v>5601</v>
      </c>
      <c r="F4513" s="23" t="s">
        <v>116</v>
      </c>
      <c r="G4513" s="23" t="s">
        <v>115</v>
      </c>
      <c r="H4513" s="23" t="s">
        <v>1532</v>
      </c>
      <c r="I4513" s="23">
        <v>0</v>
      </c>
      <c r="J4513" s="40">
        <v>0</v>
      </c>
      <c r="K4513" s="40">
        <v>0</v>
      </c>
      <c r="L4513" s="40" t="s">
        <v>115</v>
      </c>
      <c r="O4513" s="40" t="s">
        <v>115</v>
      </c>
      <c r="Q4513" s="40">
        <v>181</v>
      </c>
      <c r="R4513" s="40">
        <v>213</v>
      </c>
      <c r="X4513" s="40">
        <v>95601107</v>
      </c>
      <c r="Y4513" s="40" t="s">
        <v>115</v>
      </c>
      <c r="Z4513" s="40" t="s">
        <v>115</v>
      </c>
      <c r="AA4513" s="40" t="s">
        <v>115</v>
      </c>
      <c r="AB4513" s="40" t="s">
        <v>115</v>
      </c>
      <c r="AC4513" s="40" t="s">
        <v>115</v>
      </c>
      <c r="AI4513" s="40" t="s">
        <v>115</v>
      </c>
      <c r="AP4513" s="4" t="s">
        <v>115</v>
      </c>
    </row>
    <row r="4514" spans="1:42" x14ac:dyDescent="0.15">
      <c r="A4514" s="40" t="s">
        <v>1</v>
      </c>
      <c r="B4514" s="23">
        <v>95601107</v>
      </c>
      <c r="C4514" s="23">
        <v>56011</v>
      </c>
      <c r="D4514" s="51">
        <v>5601</v>
      </c>
      <c r="F4514" s="23" t="s">
        <v>529</v>
      </c>
      <c r="G4514" s="23" t="s">
        <v>115</v>
      </c>
      <c r="H4514" s="23" t="s">
        <v>1533</v>
      </c>
      <c r="I4514" s="23">
        <v>3</v>
      </c>
      <c r="J4514" s="40">
        <v>0</v>
      </c>
      <c r="K4514" s="40">
        <v>0</v>
      </c>
      <c r="L4514" s="40" t="s">
        <v>115</v>
      </c>
      <c r="O4514" s="40" t="s">
        <v>115</v>
      </c>
      <c r="Q4514" s="40">
        <v>181</v>
      </c>
      <c r="R4514" s="40">
        <v>213</v>
      </c>
      <c r="X4514" s="40">
        <v>95601108</v>
      </c>
      <c r="Y4514" s="40" t="s">
        <v>115</v>
      </c>
      <c r="Z4514" s="40" t="s">
        <v>115</v>
      </c>
      <c r="AA4514" s="40" t="s">
        <v>115</v>
      </c>
      <c r="AB4514" s="40" t="s">
        <v>115</v>
      </c>
      <c r="AC4514" s="40" t="s">
        <v>115</v>
      </c>
      <c r="AI4514" s="40" t="s">
        <v>115</v>
      </c>
      <c r="AP4514" s="4" t="s">
        <v>115</v>
      </c>
    </row>
    <row r="4515" spans="1:42" x14ac:dyDescent="0.15">
      <c r="A4515" s="40" t="s">
        <v>1</v>
      </c>
      <c r="B4515" s="23">
        <v>95601108</v>
      </c>
      <c r="C4515" s="23">
        <v>56011</v>
      </c>
      <c r="D4515" s="51">
        <v>5601</v>
      </c>
      <c r="F4515" s="23" t="s">
        <v>116</v>
      </c>
      <c r="G4515" s="23" t="s">
        <v>115</v>
      </c>
      <c r="H4515" s="23" t="s">
        <v>1534</v>
      </c>
      <c r="I4515" s="23">
        <v>0</v>
      </c>
      <c r="J4515" s="40">
        <v>0</v>
      </c>
      <c r="K4515" s="40">
        <v>0</v>
      </c>
      <c r="L4515" s="40" t="s">
        <v>115</v>
      </c>
      <c r="O4515" s="40" t="s">
        <v>115</v>
      </c>
      <c r="Q4515" s="40">
        <v>181</v>
      </c>
      <c r="R4515" s="40">
        <v>213</v>
      </c>
      <c r="X4515" s="40">
        <v>95601109</v>
      </c>
      <c r="Y4515" s="40" t="s">
        <v>115</v>
      </c>
      <c r="Z4515" s="40" t="s">
        <v>115</v>
      </c>
      <c r="AA4515" s="40" t="s">
        <v>115</v>
      </c>
      <c r="AB4515" s="40" t="s">
        <v>115</v>
      </c>
      <c r="AC4515" s="40" t="s">
        <v>115</v>
      </c>
      <c r="AI4515" s="40" t="s">
        <v>115</v>
      </c>
      <c r="AP4515" s="4" t="s">
        <v>115</v>
      </c>
    </row>
    <row r="4516" spans="1:42" x14ac:dyDescent="0.15">
      <c r="A4516" s="40" t="s">
        <v>1</v>
      </c>
      <c r="B4516" s="23">
        <v>95601109</v>
      </c>
      <c r="C4516" s="23">
        <v>56011</v>
      </c>
      <c r="D4516" s="51">
        <v>5601</v>
      </c>
      <c r="F4516" s="23" t="s">
        <v>115</v>
      </c>
      <c r="G4516" s="23" t="s">
        <v>115</v>
      </c>
      <c r="H4516" s="23" t="s">
        <v>1535</v>
      </c>
      <c r="I4516" s="23">
        <v>4</v>
      </c>
      <c r="J4516" s="40">
        <v>0</v>
      </c>
      <c r="K4516" s="40">
        <v>0</v>
      </c>
      <c r="L4516" s="40" t="s">
        <v>115</v>
      </c>
      <c r="O4516" s="40" t="s">
        <v>115</v>
      </c>
      <c r="Q4516" s="40">
        <v>181</v>
      </c>
      <c r="R4516" s="40">
        <v>213</v>
      </c>
      <c r="X4516" s="40">
        <v>95601110</v>
      </c>
      <c r="Y4516" s="40" t="s">
        <v>115</v>
      </c>
      <c r="Z4516" s="40" t="s">
        <v>115</v>
      </c>
      <c r="AA4516" s="40" t="s">
        <v>115</v>
      </c>
      <c r="AB4516" s="40" t="s">
        <v>115</v>
      </c>
      <c r="AC4516" s="40" t="s">
        <v>115</v>
      </c>
      <c r="AI4516" s="40" t="s">
        <v>115</v>
      </c>
      <c r="AP4516" s="4" t="s">
        <v>115</v>
      </c>
    </row>
    <row r="4517" spans="1:42" x14ac:dyDescent="0.15">
      <c r="A4517" s="40" t="s">
        <v>1</v>
      </c>
      <c r="B4517" s="23">
        <v>95601110</v>
      </c>
      <c r="C4517" s="23">
        <v>56011</v>
      </c>
      <c r="D4517" s="51">
        <v>5601</v>
      </c>
      <c r="F4517" s="23" t="s">
        <v>116</v>
      </c>
      <c r="G4517" s="23" t="s">
        <v>115</v>
      </c>
      <c r="H4517" s="23" t="s">
        <v>1536</v>
      </c>
      <c r="I4517" s="23">
        <v>0</v>
      </c>
      <c r="J4517" s="40">
        <v>0</v>
      </c>
      <c r="K4517" s="40">
        <v>0</v>
      </c>
      <c r="L4517" s="40" t="s">
        <v>115</v>
      </c>
      <c r="O4517" s="40" t="s">
        <v>115</v>
      </c>
      <c r="Q4517" s="40">
        <v>181</v>
      </c>
      <c r="R4517" s="40">
        <v>213</v>
      </c>
      <c r="X4517" s="40">
        <v>95601111</v>
      </c>
      <c r="Y4517" s="40" t="s">
        <v>115</v>
      </c>
      <c r="Z4517" s="40" t="s">
        <v>115</v>
      </c>
      <c r="AA4517" s="40" t="s">
        <v>115</v>
      </c>
      <c r="AB4517" s="40" t="s">
        <v>115</v>
      </c>
      <c r="AC4517" s="40" t="s">
        <v>115</v>
      </c>
      <c r="AI4517" s="40" t="s">
        <v>115</v>
      </c>
      <c r="AP4517" s="4" t="s">
        <v>115</v>
      </c>
    </row>
    <row r="4518" spans="1:42" x14ac:dyDescent="0.15">
      <c r="A4518" s="40" t="s">
        <v>1</v>
      </c>
      <c r="B4518" s="23">
        <v>95601111</v>
      </c>
      <c r="C4518" s="23">
        <v>56011</v>
      </c>
      <c r="D4518" s="51">
        <v>5601</v>
      </c>
      <c r="F4518" s="23" t="s">
        <v>529</v>
      </c>
      <c r="G4518" s="23" t="s">
        <v>115</v>
      </c>
      <c r="H4518" s="23" t="s">
        <v>1537</v>
      </c>
      <c r="I4518" s="23">
        <v>3</v>
      </c>
      <c r="J4518" s="40">
        <v>0</v>
      </c>
      <c r="K4518" s="40">
        <v>0</v>
      </c>
      <c r="L4518" s="40" t="s">
        <v>115</v>
      </c>
      <c r="O4518" s="40" t="s">
        <v>115</v>
      </c>
      <c r="Q4518" s="40">
        <v>181</v>
      </c>
      <c r="R4518" s="40">
        <v>213</v>
      </c>
      <c r="X4518" s="40">
        <v>95601112</v>
      </c>
      <c r="Y4518" s="40" t="s">
        <v>115</v>
      </c>
      <c r="Z4518" s="40" t="s">
        <v>115</v>
      </c>
      <c r="AA4518" s="40" t="s">
        <v>115</v>
      </c>
      <c r="AB4518" s="40" t="s">
        <v>115</v>
      </c>
      <c r="AC4518" s="40" t="s">
        <v>115</v>
      </c>
      <c r="AI4518" s="40" t="s">
        <v>115</v>
      </c>
      <c r="AP4518" s="4" t="s">
        <v>115</v>
      </c>
    </row>
    <row r="4519" spans="1:42" x14ac:dyDescent="0.15">
      <c r="A4519" s="40" t="s">
        <v>1</v>
      </c>
      <c r="B4519" s="23">
        <v>95601112</v>
      </c>
      <c r="C4519" s="23">
        <v>56011</v>
      </c>
      <c r="D4519" s="51">
        <v>5601</v>
      </c>
      <c r="F4519" s="23" t="s">
        <v>116</v>
      </c>
      <c r="G4519" s="23" t="s">
        <v>115</v>
      </c>
      <c r="H4519" s="23" t="s">
        <v>1538</v>
      </c>
      <c r="I4519" s="23">
        <v>0</v>
      </c>
      <c r="J4519" s="40">
        <v>0</v>
      </c>
      <c r="K4519" s="40">
        <v>0</v>
      </c>
      <c r="L4519" s="40" t="s">
        <v>115</v>
      </c>
      <c r="O4519" s="40" t="s">
        <v>115</v>
      </c>
      <c r="Q4519" s="40">
        <v>181</v>
      </c>
      <c r="R4519" s="40">
        <v>213</v>
      </c>
      <c r="X4519" s="40">
        <v>95601113</v>
      </c>
      <c r="Y4519" s="40" t="s">
        <v>115</v>
      </c>
      <c r="Z4519" s="40" t="s">
        <v>115</v>
      </c>
      <c r="AA4519" s="40" t="s">
        <v>115</v>
      </c>
      <c r="AB4519" s="40" t="s">
        <v>115</v>
      </c>
      <c r="AC4519" s="40" t="s">
        <v>115</v>
      </c>
      <c r="AI4519" s="40" t="s">
        <v>115</v>
      </c>
      <c r="AP4519" s="4" t="s">
        <v>115</v>
      </c>
    </row>
    <row r="4520" spans="1:42" x14ac:dyDescent="0.15">
      <c r="A4520" s="40" t="s">
        <v>1</v>
      </c>
      <c r="B4520" s="23">
        <v>95601113</v>
      </c>
      <c r="C4520" s="23">
        <v>56011</v>
      </c>
      <c r="D4520" s="51">
        <v>5601</v>
      </c>
      <c r="F4520" s="23" t="s">
        <v>529</v>
      </c>
      <c r="G4520" s="23" t="s">
        <v>115</v>
      </c>
      <c r="H4520" s="23" t="s">
        <v>1539</v>
      </c>
      <c r="I4520" s="23">
        <v>3</v>
      </c>
      <c r="J4520" s="40">
        <v>0</v>
      </c>
      <c r="K4520" s="40">
        <v>0</v>
      </c>
      <c r="L4520" s="40" t="s">
        <v>115</v>
      </c>
      <c r="O4520" s="40" t="s">
        <v>115</v>
      </c>
      <c r="Q4520" s="40">
        <v>181</v>
      </c>
      <c r="R4520" s="40">
        <v>213</v>
      </c>
      <c r="X4520" s="40">
        <v>95601114</v>
      </c>
      <c r="Y4520" s="40" t="s">
        <v>115</v>
      </c>
      <c r="Z4520" s="40" t="s">
        <v>115</v>
      </c>
      <c r="AA4520" s="40" t="s">
        <v>115</v>
      </c>
      <c r="AB4520" s="40" t="s">
        <v>115</v>
      </c>
      <c r="AC4520" s="40" t="s">
        <v>115</v>
      </c>
      <c r="AI4520" s="40" t="s">
        <v>115</v>
      </c>
      <c r="AP4520" s="4" t="s">
        <v>115</v>
      </c>
    </row>
    <row r="4521" spans="1:42" x14ac:dyDescent="0.15">
      <c r="A4521" s="40" t="s">
        <v>1</v>
      </c>
      <c r="B4521" s="23">
        <v>95601114</v>
      </c>
      <c r="C4521" s="23">
        <v>56011</v>
      </c>
      <c r="D4521" s="51">
        <v>5601</v>
      </c>
      <c r="F4521" s="23" t="s">
        <v>116</v>
      </c>
      <c r="G4521" s="23" t="s">
        <v>115</v>
      </c>
      <c r="H4521" s="23" t="s">
        <v>1540</v>
      </c>
      <c r="I4521" s="23">
        <v>0</v>
      </c>
      <c r="J4521" s="40">
        <v>0</v>
      </c>
      <c r="K4521" s="40">
        <v>0</v>
      </c>
      <c r="L4521" s="40" t="s">
        <v>115</v>
      </c>
      <c r="O4521" s="40" t="s">
        <v>115</v>
      </c>
      <c r="Q4521" s="40">
        <v>181</v>
      </c>
      <c r="R4521" s="40">
        <v>213</v>
      </c>
      <c r="X4521" s="40">
        <v>95601115</v>
      </c>
      <c r="Y4521" s="40" t="s">
        <v>115</v>
      </c>
      <c r="Z4521" s="40" t="s">
        <v>115</v>
      </c>
      <c r="AA4521" s="40" t="s">
        <v>115</v>
      </c>
      <c r="AB4521" s="40" t="s">
        <v>115</v>
      </c>
      <c r="AC4521" s="40" t="s">
        <v>115</v>
      </c>
      <c r="AI4521" s="40" t="s">
        <v>115</v>
      </c>
      <c r="AP4521" s="4" t="s">
        <v>115</v>
      </c>
    </row>
    <row r="4522" spans="1:42" x14ac:dyDescent="0.15">
      <c r="A4522" s="40" t="s">
        <v>1</v>
      </c>
      <c r="B4522" s="23">
        <v>95601115</v>
      </c>
      <c r="C4522" s="23">
        <v>56011</v>
      </c>
      <c r="D4522" s="51">
        <v>5601</v>
      </c>
      <c r="F4522" s="23" t="s">
        <v>529</v>
      </c>
      <c r="G4522" s="23" t="s">
        <v>115</v>
      </c>
      <c r="H4522" s="23" t="s">
        <v>1541</v>
      </c>
      <c r="I4522" s="23">
        <v>3</v>
      </c>
      <c r="J4522" s="40">
        <v>0</v>
      </c>
      <c r="K4522" s="40">
        <v>0</v>
      </c>
      <c r="L4522" s="40" t="s">
        <v>115</v>
      </c>
      <c r="O4522" s="40" t="s">
        <v>115</v>
      </c>
      <c r="Q4522" s="40">
        <v>181</v>
      </c>
      <c r="R4522" s="40">
        <v>213</v>
      </c>
      <c r="X4522" s="40">
        <v>95601116</v>
      </c>
      <c r="Y4522" s="40" t="s">
        <v>115</v>
      </c>
      <c r="Z4522" s="40" t="s">
        <v>115</v>
      </c>
      <c r="AA4522" s="40" t="s">
        <v>115</v>
      </c>
      <c r="AB4522" s="40" t="s">
        <v>115</v>
      </c>
      <c r="AC4522" s="40" t="s">
        <v>115</v>
      </c>
      <c r="AI4522" s="40" t="s">
        <v>115</v>
      </c>
      <c r="AP4522" s="4" t="s">
        <v>115</v>
      </c>
    </row>
    <row r="4523" spans="1:42" x14ac:dyDescent="0.15">
      <c r="A4523" s="40" t="s">
        <v>1</v>
      </c>
      <c r="B4523" s="23">
        <v>95601116</v>
      </c>
      <c r="C4523" s="23">
        <v>56011</v>
      </c>
      <c r="D4523" s="51">
        <v>5601</v>
      </c>
      <c r="F4523" s="23" t="s">
        <v>115</v>
      </c>
      <c r="G4523" s="23" t="s">
        <v>115</v>
      </c>
      <c r="H4523" s="23" t="s">
        <v>1542</v>
      </c>
      <c r="I4523" s="23">
        <v>4</v>
      </c>
      <c r="J4523" s="40">
        <v>0</v>
      </c>
      <c r="K4523" s="40">
        <v>0</v>
      </c>
      <c r="L4523" s="40" t="s">
        <v>115</v>
      </c>
      <c r="O4523" s="40" t="s">
        <v>115</v>
      </c>
      <c r="Q4523" s="40">
        <v>181</v>
      </c>
      <c r="R4523" s="40" t="s">
        <v>115</v>
      </c>
      <c r="X4523" s="40">
        <v>95601117</v>
      </c>
      <c r="Y4523" s="40" t="s">
        <v>115</v>
      </c>
      <c r="Z4523" s="40" t="s">
        <v>115</v>
      </c>
      <c r="AA4523" s="40" t="s">
        <v>115</v>
      </c>
      <c r="AB4523" s="40" t="s">
        <v>115</v>
      </c>
      <c r="AC4523" s="40" t="s">
        <v>115</v>
      </c>
      <c r="AI4523" s="40" t="s">
        <v>115</v>
      </c>
      <c r="AP4523" s="4" t="s">
        <v>115</v>
      </c>
    </row>
    <row r="4524" spans="1:42" x14ac:dyDescent="0.15">
      <c r="A4524" s="40" t="s">
        <v>1</v>
      </c>
      <c r="B4524" s="23">
        <v>95601117</v>
      </c>
      <c r="C4524" s="23">
        <v>56011</v>
      </c>
      <c r="D4524" s="51">
        <v>5601</v>
      </c>
      <c r="F4524" s="23" t="s">
        <v>115</v>
      </c>
      <c r="G4524" s="23" t="s">
        <v>115</v>
      </c>
      <c r="H4524" s="23" t="s">
        <v>1543</v>
      </c>
      <c r="I4524" s="23">
        <v>4</v>
      </c>
      <c r="J4524" s="40">
        <v>0</v>
      </c>
      <c r="K4524" s="40">
        <v>2</v>
      </c>
      <c r="L4524" s="40" t="s">
        <v>115</v>
      </c>
      <c r="O4524" s="40">
        <v>1</v>
      </c>
      <c r="Q4524" s="40">
        <v>181</v>
      </c>
      <c r="R4524" s="40" t="s">
        <v>115</v>
      </c>
      <c r="X4524" s="40" t="s">
        <v>115</v>
      </c>
      <c r="Y4524" s="40" t="s">
        <v>115</v>
      </c>
      <c r="Z4524" s="40">
        <v>1</v>
      </c>
      <c r="AA4524" s="40" t="s">
        <v>115</v>
      </c>
      <c r="AB4524" s="40" t="s">
        <v>115</v>
      </c>
      <c r="AC4524" s="40" t="s">
        <v>115</v>
      </c>
      <c r="AI4524" s="40" t="s">
        <v>115</v>
      </c>
      <c r="AP4524" s="40">
        <v>56012</v>
      </c>
    </row>
    <row r="4525" spans="1:42" x14ac:dyDescent="0.15">
      <c r="A4525" s="40" t="s">
        <v>1</v>
      </c>
      <c r="B4525" s="23">
        <v>95601201</v>
      </c>
      <c r="C4525" s="23">
        <v>56012</v>
      </c>
      <c r="D4525" s="51">
        <v>5601</v>
      </c>
      <c r="F4525" s="23" t="s">
        <v>115</v>
      </c>
      <c r="G4525" s="23" t="s">
        <v>115</v>
      </c>
      <c r="H4525" s="23" t="s">
        <v>1544</v>
      </c>
      <c r="I4525" s="23">
        <v>4</v>
      </c>
      <c r="J4525" s="40">
        <v>1</v>
      </c>
      <c r="K4525" s="40">
        <v>1</v>
      </c>
      <c r="L4525" s="40" t="s">
        <v>115</v>
      </c>
      <c r="O4525" s="40" t="s">
        <v>115</v>
      </c>
      <c r="Q4525" s="40">
        <v>205</v>
      </c>
      <c r="R4525" s="40" t="s">
        <v>115</v>
      </c>
      <c r="X4525" s="40">
        <v>95601202</v>
      </c>
      <c r="Y4525" s="40" t="s">
        <v>115</v>
      </c>
      <c r="Z4525" s="40" t="s">
        <v>115</v>
      </c>
      <c r="AA4525" s="40" t="s">
        <v>115</v>
      </c>
      <c r="AB4525" s="40" t="s">
        <v>115</v>
      </c>
      <c r="AC4525" s="40" t="s">
        <v>115</v>
      </c>
      <c r="AI4525" s="40" t="s">
        <v>115</v>
      </c>
      <c r="AP4525" s="4" t="s">
        <v>115</v>
      </c>
    </row>
    <row r="4526" spans="1:42" x14ac:dyDescent="0.15">
      <c r="A4526" s="40" t="s">
        <v>1</v>
      </c>
      <c r="B4526" s="23">
        <v>95601202</v>
      </c>
      <c r="C4526" s="23">
        <v>56012</v>
      </c>
      <c r="D4526" s="51">
        <v>5601</v>
      </c>
      <c r="F4526" s="23" t="s">
        <v>271</v>
      </c>
      <c r="G4526" s="23" t="s">
        <v>115</v>
      </c>
      <c r="H4526" s="23" t="s">
        <v>1545</v>
      </c>
      <c r="I4526" s="23">
        <v>3</v>
      </c>
      <c r="J4526" s="40">
        <v>0</v>
      </c>
      <c r="K4526" s="40">
        <v>0</v>
      </c>
      <c r="L4526" s="40" t="s">
        <v>115</v>
      </c>
      <c r="O4526" s="40" t="s">
        <v>115</v>
      </c>
      <c r="Q4526" s="40">
        <v>205</v>
      </c>
      <c r="R4526" s="40">
        <v>263</v>
      </c>
      <c r="X4526" s="40">
        <v>95601203</v>
      </c>
      <c r="Y4526" s="40" t="s">
        <v>115</v>
      </c>
      <c r="Z4526" s="40" t="s">
        <v>115</v>
      </c>
      <c r="AA4526" s="40" t="s">
        <v>115</v>
      </c>
      <c r="AB4526" s="40" t="s">
        <v>115</v>
      </c>
      <c r="AC4526" s="40" t="s">
        <v>115</v>
      </c>
      <c r="AI4526" s="40" t="s">
        <v>115</v>
      </c>
      <c r="AP4526" s="4" t="s">
        <v>115</v>
      </c>
    </row>
    <row r="4527" spans="1:42" x14ac:dyDescent="0.15">
      <c r="A4527" s="40" t="s">
        <v>1</v>
      </c>
      <c r="B4527" s="23">
        <v>95601203</v>
      </c>
      <c r="C4527" s="23">
        <v>56012</v>
      </c>
      <c r="D4527" s="51">
        <v>5601</v>
      </c>
      <c r="F4527" s="23" t="s">
        <v>116</v>
      </c>
      <c r="G4527" s="23" t="s">
        <v>115</v>
      </c>
      <c r="H4527" s="23" t="s">
        <v>1546</v>
      </c>
      <c r="I4527" s="23">
        <v>0</v>
      </c>
      <c r="J4527" s="40">
        <v>0</v>
      </c>
      <c r="K4527" s="40">
        <v>0</v>
      </c>
      <c r="L4527" s="40" t="s">
        <v>115</v>
      </c>
      <c r="O4527" s="40" t="s">
        <v>115</v>
      </c>
      <c r="Q4527" s="40">
        <v>205</v>
      </c>
      <c r="R4527" s="40">
        <v>263</v>
      </c>
      <c r="X4527" s="40">
        <v>95601204</v>
      </c>
      <c r="Y4527" s="40" t="s">
        <v>115</v>
      </c>
      <c r="Z4527" s="40" t="s">
        <v>115</v>
      </c>
      <c r="AA4527" s="40" t="s">
        <v>115</v>
      </c>
      <c r="AB4527" s="40" t="s">
        <v>115</v>
      </c>
      <c r="AC4527" s="40" t="s">
        <v>115</v>
      </c>
      <c r="AI4527" s="40" t="s">
        <v>115</v>
      </c>
      <c r="AP4527" s="4" t="s">
        <v>115</v>
      </c>
    </row>
    <row r="4528" spans="1:42" x14ac:dyDescent="0.15">
      <c r="A4528" s="40" t="s">
        <v>1</v>
      </c>
      <c r="B4528" s="23">
        <v>95601204</v>
      </c>
      <c r="C4528" s="23">
        <v>56012</v>
      </c>
      <c r="D4528" s="51">
        <v>5601</v>
      </c>
      <c r="F4528" s="23" t="s">
        <v>271</v>
      </c>
      <c r="G4528" s="23" t="s">
        <v>115</v>
      </c>
      <c r="H4528" s="23" t="s">
        <v>1547</v>
      </c>
      <c r="I4528" s="23">
        <v>3</v>
      </c>
      <c r="J4528" s="40">
        <v>0</v>
      </c>
      <c r="K4528" s="40">
        <v>0</v>
      </c>
      <c r="L4528" s="40" t="s">
        <v>115</v>
      </c>
      <c r="O4528" s="40" t="s">
        <v>115</v>
      </c>
      <c r="Q4528" s="40">
        <v>205</v>
      </c>
      <c r="R4528" s="40">
        <v>263</v>
      </c>
      <c r="X4528" s="40">
        <v>95601205</v>
      </c>
      <c r="Y4528" s="40" t="s">
        <v>115</v>
      </c>
      <c r="Z4528" s="40" t="s">
        <v>115</v>
      </c>
      <c r="AA4528" s="40" t="s">
        <v>115</v>
      </c>
      <c r="AB4528" s="40" t="s">
        <v>115</v>
      </c>
      <c r="AC4528" s="40" t="s">
        <v>115</v>
      </c>
      <c r="AI4528" s="40" t="s">
        <v>115</v>
      </c>
      <c r="AP4528" s="4" t="s">
        <v>115</v>
      </c>
    </row>
    <row r="4529" spans="1:42" x14ac:dyDescent="0.15">
      <c r="A4529" s="40" t="s">
        <v>1</v>
      </c>
      <c r="B4529" s="23">
        <v>95601205</v>
      </c>
      <c r="C4529" s="23">
        <v>56012</v>
      </c>
      <c r="D4529" s="51">
        <v>5601</v>
      </c>
      <c r="F4529" s="23" t="s">
        <v>271</v>
      </c>
      <c r="G4529" s="23" t="s">
        <v>115</v>
      </c>
      <c r="H4529" s="23" t="s">
        <v>1548</v>
      </c>
      <c r="I4529" s="23">
        <v>3</v>
      </c>
      <c r="J4529" s="40">
        <v>0</v>
      </c>
      <c r="K4529" s="40">
        <v>0</v>
      </c>
      <c r="L4529" s="40" t="s">
        <v>115</v>
      </c>
      <c r="O4529" s="40" t="s">
        <v>115</v>
      </c>
      <c r="Q4529" s="40">
        <v>205</v>
      </c>
      <c r="R4529" s="40">
        <v>263</v>
      </c>
      <c r="X4529" s="40">
        <v>95601206</v>
      </c>
      <c r="Y4529" s="40" t="s">
        <v>115</v>
      </c>
      <c r="Z4529" s="40" t="s">
        <v>115</v>
      </c>
      <c r="AA4529" s="40" t="s">
        <v>115</v>
      </c>
      <c r="AB4529" s="40" t="s">
        <v>115</v>
      </c>
      <c r="AC4529" s="40" t="s">
        <v>115</v>
      </c>
      <c r="AI4529" s="40" t="s">
        <v>115</v>
      </c>
      <c r="AP4529" s="4" t="s">
        <v>115</v>
      </c>
    </row>
    <row r="4530" spans="1:42" x14ac:dyDescent="0.15">
      <c r="A4530" s="40" t="s">
        <v>1</v>
      </c>
      <c r="B4530" s="23">
        <v>95601206</v>
      </c>
      <c r="C4530" s="23">
        <v>56012</v>
      </c>
      <c r="D4530" s="51">
        <v>5601</v>
      </c>
      <c r="F4530" s="23" t="s">
        <v>116</v>
      </c>
      <c r="G4530" s="23" t="s">
        <v>115</v>
      </c>
      <c r="H4530" s="23" t="s">
        <v>1549</v>
      </c>
      <c r="I4530" s="23">
        <v>0</v>
      </c>
      <c r="J4530" s="40">
        <v>0</v>
      </c>
      <c r="K4530" s="40">
        <v>0</v>
      </c>
      <c r="L4530" s="40" t="s">
        <v>115</v>
      </c>
      <c r="O4530" s="40" t="s">
        <v>115</v>
      </c>
      <c r="Q4530" s="40">
        <v>205</v>
      </c>
      <c r="R4530" s="40">
        <v>263</v>
      </c>
      <c r="X4530" s="40">
        <v>95601207</v>
      </c>
      <c r="Y4530" s="40" t="s">
        <v>115</v>
      </c>
      <c r="Z4530" s="40" t="s">
        <v>115</v>
      </c>
      <c r="AA4530" s="40" t="s">
        <v>115</v>
      </c>
      <c r="AB4530" s="40" t="s">
        <v>115</v>
      </c>
      <c r="AC4530" s="40" t="s">
        <v>115</v>
      </c>
      <c r="AI4530" s="40" t="s">
        <v>115</v>
      </c>
      <c r="AP4530" s="4" t="s">
        <v>115</v>
      </c>
    </row>
    <row r="4531" spans="1:42" x14ac:dyDescent="0.15">
      <c r="A4531" s="40" t="s">
        <v>1</v>
      </c>
      <c r="B4531" s="23">
        <v>95601207</v>
      </c>
      <c r="C4531" s="23">
        <v>56012</v>
      </c>
      <c r="D4531" s="51">
        <v>5601</v>
      </c>
      <c r="F4531" s="23" t="s">
        <v>116</v>
      </c>
      <c r="G4531" s="23" t="s">
        <v>115</v>
      </c>
      <c r="H4531" s="23" t="s">
        <v>1550</v>
      </c>
      <c r="I4531" s="23">
        <v>2</v>
      </c>
      <c r="J4531" s="40">
        <v>0</v>
      </c>
      <c r="K4531" s="40">
        <v>0</v>
      </c>
      <c r="L4531" s="40" t="s">
        <v>115</v>
      </c>
      <c r="O4531" s="40" t="s">
        <v>115</v>
      </c>
      <c r="Q4531" s="40">
        <v>205</v>
      </c>
      <c r="R4531" s="40">
        <v>263</v>
      </c>
      <c r="X4531" s="40">
        <v>95601208</v>
      </c>
      <c r="Y4531" s="40" t="s">
        <v>115</v>
      </c>
      <c r="Z4531" s="40" t="s">
        <v>115</v>
      </c>
      <c r="AA4531" s="40" t="s">
        <v>115</v>
      </c>
      <c r="AB4531" s="40" t="s">
        <v>115</v>
      </c>
      <c r="AC4531" s="40" t="s">
        <v>115</v>
      </c>
      <c r="AI4531" s="40" t="s">
        <v>115</v>
      </c>
      <c r="AP4531" s="4" t="s">
        <v>115</v>
      </c>
    </row>
    <row r="4532" spans="1:42" x14ac:dyDescent="0.15">
      <c r="A4532" s="40" t="s">
        <v>1</v>
      </c>
      <c r="B4532" s="23">
        <v>95601208</v>
      </c>
      <c r="C4532" s="23">
        <v>56012</v>
      </c>
      <c r="D4532" s="51">
        <v>5601</v>
      </c>
      <c r="F4532" s="23" t="s">
        <v>1490</v>
      </c>
      <c r="G4532" s="23" t="s">
        <v>115</v>
      </c>
      <c r="H4532" s="23" t="s">
        <v>1551</v>
      </c>
      <c r="I4532" s="23">
        <v>3</v>
      </c>
      <c r="J4532" s="40">
        <v>0</v>
      </c>
      <c r="K4532" s="40">
        <v>0</v>
      </c>
      <c r="L4532" s="40" t="s">
        <v>115</v>
      </c>
      <c r="O4532" s="40" t="s">
        <v>115</v>
      </c>
      <c r="Q4532" s="40">
        <v>205</v>
      </c>
      <c r="R4532" s="40">
        <v>249</v>
      </c>
      <c r="X4532" s="40">
        <v>95601209</v>
      </c>
      <c r="Y4532" s="40" t="s">
        <v>115</v>
      </c>
      <c r="Z4532" s="40" t="s">
        <v>115</v>
      </c>
      <c r="AA4532" s="40" t="s">
        <v>115</v>
      </c>
      <c r="AB4532" s="40" t="s">
        <v>115</v>
      </c>
      <c r="AC4532" s="40" t="s">
        <v>115</v>
      </c>
      <c r="AI4532" s="40" t="s">
        <v>115</v>
      </c>
      <c r="AP4532" s="4" t="s">
        <v>115</v>
      </c>
    </row>
    <row r="4533" spans="1:42" x14ac:dyDescent="0.15">
      <c r="A4533" s="40" t="s">
        <v>1</v>
      </c>
      <c r="B4533" s="23">
        <v>95601209</v>
      </c>
      <c r="C4533" s="23">
        <v>56012</v>
      </c>
      <c r="D4533" s="51">
        <v>5601</v>
      </c>
      <c r="F4533" s="23" t="s">
        <v>907</v>
      </c>
      <c r="G4533" s="23" t="s">
        <v>115</v>
      </c>
      <c r="H4533" s="23" t="s">
        <v>1552</v>
      </c>
      <c r="I4533" s="23">
        <v>3</v>
      </c>
      <c r="J4533" s="40">
        <v>0</v>
      </c>
      <c r="K4533" s="40">
        <v>0</v>
      </c>
      <c r="L4533" s="40" t="s">
        <v>115</v>
      </c>
      <c r="O4533" s="40" t="s">
        <v>115</v>
      </c>
      <c r="Q4533" s="40">
        <v>205</v>
      </c>
      <c r="R4533" s="40">
        <v>128</v>
      </c>
      <c r="X4533" s="40">
        <v>95601210</v>
      </c>
      <c r="Y4533" s="40" t="s">
        <v>115</v>
      </c>
      <c r="Z4533" s="40" t="s">
        <v>115</v>
      </c>
      <c r="AA4533" s="40" t="s">
        <v>115</v>
      </c>
      <c r="AB4533" s="40" t="s">
        <v>115</v>
      </c>
      <c r="AC4533" s="40" t="s">
        <v>115</v>
      </c>
      <c r="AI4533" s="40" t="s">
        <v>115</v>
      </c>
      <c r="AP4533" s="4" t="s">
        <v>115</v>
      </c>
    </row>
    <row r="4534" spans="1:42" x14ac:dyDescent="0.15">
      <c r="A4534" s="40" t="s">
        <v>1</v>
      </c>
      <c r="B4534" s="23">
        <v>95601210</v>
      </c>
      <c r="C4534" s="23">
        <v>56012</v>
      </c>
      <c r="D4534" s="51">
        <v>5601</v>
      </c>
      <c r="F4534" s="23" t="s">
        <v>1490</v>
      </c>
      <c r="G4534" s="23" t="s">
        <v>115</v>
      </c>
      <c r="H4534" s="23" t="s">
        <v>1553</v>
      </c>
      <c r="I4534" s="23">
        <v>3</v>
      </c>
      <c r="J4534" s="40">
        <v>0</v>
      </c>
      <c r="K4534" s="40">
        <v>0</v>
      </c>
      <c r="L4534" s="40" t="s">
        <v>115</v>
      </c>
      <c r="O4534" s="40" t="s">
        <v>115</v>
      </c>
      <c r="Q4534" s="40">
        <v>205</v>
      </c>
      <c r="R4534" s="40">
        <v>249</v>
      </c>
      <c r="X4534" s="40">
        <v>95601211</v>
      </c>
      <c r="Y4534" s="40" t="s">
        <v>115</v>
      </c>
      <c r="Z4534" s="40" t="s">
        <v>115</v>
      </c>
      <c r="AA4534" s="40" t="s">
        <v>115</v>
      </c>
      <c r="AB4534" s="40" t="s">
        <v>115</v>
      </c>
      <c r="AC4534" s="40" t="s">
        <v>115</v>
      </c>
      <c r="AI4534" s="40" t="s">
        <v>115</v>
      </c>
      <c r="AP4534" s="4" t="s">
        <v>115</v>
      </c>
    </row>
    <row r="4535" spans="1:42" x14ac:dyDescent="0.15">
      <c r="A4535" s="40" t="s">
        <v>1</v>
      </c>
      <c r="B4535" s="23">
        <v>95601211</v>
      </c>
      <c r="C4535" s="23">
        <v>56012</v>
      </c>
      <c r="D4535" s="51">
        <v>5601</v>
      </c>
      <c r="F4535" s="23" t="s">
        <v>1554</v>
      </c>
      <c r="G4535" s="23" t="s">
        <v>115</v>
      </c>
      <c r="H4535" s="23" t="s">
        <v>1555</v>
      </c>
      <c r="I4535" s="23">
        <v>3</v>
      </c>
      <c r="J4535" s="40">
        <v>0</v>
      </c>
      <c r="K4535" s="40">
        <v>0</v>
      </c>
      <c r="L4535" s="40" t="s">
        <v>115</v>
      </c>
      <c r="O4535" s="40" t="s">
        <v>115</v>
      </c>
      <c r="Q4535" s="40">
        <v>205</v>
      </c>
      <c r="R4535" s="40">
        <v>286</v>
      </c>
      <c r="X4535" s="40">
        <v>95601212</v>
      </c>
      <c r="Y4535" s="40" t="s">
        <v>115</v>
      </c>
      <c r="Z4535" s="40" t="s">
        <v>115</v>
      </c>
      <c r="AA4535" s="40" t="s">
        <v>115</v>
      </c>
      <c r="AB4535" s="40" t="s">
        <v>115</v>
      </c>
      <c r="AC4535" s="40" t="s">
        <v>115</v>
      </c>
      <c r="AI4535" s="40" t="s">
        <v>115</v>
      </c>
      <c r="AP4535" s="4" t="s">
        <v>115</v>
      </c>
    </row>
    <row r="4536" spans="1:42" x14ac:dyDescent="0.15">
      <c r="A4536" s="40" t="s">
        <v>1</v>
      </c>
      <c r="B4536" s="23">
        <v>95601212</v>
      </c>
      <c r="C4536" s="23">
        <v>56012</v>
      </c>
      <c r="D4536" s="51">
        <v>5601</v>
      </c>
      <c r="F4536" s="23" t="s">
        <v>115</v>
      </c>
      <c r="G4536" s="23" t="s">
        <v>115</v>
      </c>
      <c r="H4536" s="23" t="s">
        <v>1556</v>
      </c>
      <c r="I4536" s="23">
        <v>4</v>
      </c>
      <c r="J4536" s="40">
        <v>0</v>
      </c>
      <c r="K4536" s="40">
        <v>0</v>
      </c>
      <c r="L4536" s="40" t="s">
        <v>115</v>
      </c>
      <c r="O4536" s="40" t="s">
        <v>115</v>
      </c>
      <c r="Q4536" s="40">
        <v>205</v>
      </c>
      <c r="R4536" s="40" t="s">
        <v>115</v>
      </c>
      <c r="X4536" s="40">
        <v>95601213</v>
      </c>
      <c r="Y4536" s="40" t="s">
        <v>115</v>
      </c>
      <c r="Z4536" s="40" t="s">
        <v>115</v>
      </c>
      <c r="AA4536" s="40" t="s">
        <v>115</v>
      </c>
      <c r="AB4536" s="40" t="s">
        <v>115</v>
      </c>
      <c r="AC4536" s="40" t="s">
        <v>115</v>
      </c>
      <c r="AI4536" s="40" t="s">
        <v>115</v>
      </c>
      <c r="AP4536" s="4" t="s">
        <v>115</v>
      </c>
    </row>
    <row r="4537" spans="1:42" x14ac:dyDescent="0.15">
      <c r="A4537" s="40" t="s">
        <v>1</v>
      </c>
      <c r="B4537" s="23">
        <v>95601213</v>
      </c>
      <c r="C4537" s="23">
        <v>56012</v>
      </c>
      <c r="D4537" s="51">
        <v>5601</v>
      </c>
      <c r="F4537" s="23" t="s">
        <v>116</v>
      </c>
      <c r="G4537" s="23" t="s">
        <v>115</v>
      </c>
      <c r="H4537" s="23" t="s">
        <v>1557</v>
      </c>
      <c r="I4537" s="23">
        <v>0</v>
      </c>
      <c r="J4537" s="40">
        <v>0</v>
      </c>
      <c r="K4537" s="40">
        <v>2</v>
      </c>
      <c r="L4537" s="40" t="s">
        <v>115</v>
      </c>
      <c r="O4537" s="40">
        <v>1</v>
      </c>
      <c r="Q4537" s="40">
        <v>205</v>
      </c>
      <c r="R4537" s="40" t="s">
        <v>115</v>
      </c>
      <c r="X4537" s="40" t="s">
        <v>115</v>
      </c>
      <c r="Y4537" s="40" t="s">
        <v>115</v>
      </c>
      <c r="Z4537" s="40">
        <v>1</v>
      </c>
      <c r="AA4537" s="40" t="s">
        <v>115</v>
      </c>
      <c r="AB4537" s="40" t="s">
        <v>115</v>
      </c>
      <c r="AC4537" s="40" t="s">
        <v>115</v>
      </c>
      <c r="AI4537" s="40" t="s">
        <v>115</v>
      </c>
      <c r="AP4537" s="40">
        <v>56013</v>
      </c>
    </row>
    <row r="4538" spans="1:42" x14ac:dyDescent="0.15">
      <c r="A4538" s="40" t="s">
        <v>1</v>
      </c>
      <c r="B4538" s="23">
        <v>95601301</v>
      </c>
      <c r="C4538" s="23">
        <v>56013</v>
      </c>
      <c r="D4538" s="51">
        <v>5601</v>
      </c>
      <c r="F4538" s="23" t="s">
        <v>115</v>
      </c>
      <c r="G4538" s="23" t="s">
        <v>115</v>
      </c>
      <c r="H4538" s="23" t="s">
        <v>1558</v>
      </c>
      <c r="I4538" s="23">
        <v>4</v>
      </c>
      <c r="J4538" s="40">
        <v>1</v>
      </c>
      <c r="K4538" s="40">
        <v>1</v>
      </c>
      <c r="L4538" s="40" t="s">
        <v>115</v>
      </c>
      <c r="O4538" s="40" t="s">
        <v>115</v>
      </c>
      <c r="Q4538" s="40">
        <v>198</v>
      </c>
      <c r="R4538" s="40" t="s">
        <v>115</v>
      </c>
      <c r="X4538" s="40">
        <v>95601302</v>
      </c>
      <c r="Y4538" s="40" t="s">
        <v>115</v>
      </c>
      <c r="Z4538" s="40" t="s">
        <v>115</v>
      </c>
      <c r="AA4538" s="40" t="s">
        <v>115</v>
      </c>
      <c r="AB4538" s="40" t="s">
        <v>115</v>
      </c>
      <c r="AC4538" s="40" t="s">
        <v>115</v>
      </c>
      <c r="AI4538" s="40" t="s">
        <v>115</v>
      </c>
      <c r="AP4538" s="4" t="s">
        <v>115</v>
      </c>
    </row>
    <row r="4539" spans="1:42" x14ac:dyDescent="0.15">
      <c r="A4539" s="40" t="s">
        <v>1</v>
      </c>
      <c r="B4539" s="23">
        <v>95601302</v>
      </c>
      <c r="C4539" s="23">
        <v>56013</v>
      </c>
      <c r="D4539" s="51">
        <v>5601</v>
      </c>
      <c r="F4539" s="23" t="s">
        <v>116</v>
      </c>
      <c r="G4539" s="23" t="s">
        <v>115</v>
      </c>
      <c r="H4539" s="23" t="s">
        <v>1559</v>
      </c>
      <c r="I4539" s="23">
        <v>0</v>
      </c>
      <c r="J4539" s="40">
        <v>0</v>
      </c>
      <c r="K4539" s="40">
        <v>0</v>
      </c>
      <c r="L4539" s="40" t="s">
        <v>115</v>
      </c>
      <c r="O4539" s="40" t="s">
        <v>115</v>
      </c>
      <c r="Q4539" s="40">
        <v>198</v>
      </c>
      <c r="R4539" s="40" t="s">
        <v>115</v>
      </c>
      <c r="X4539" s="40">
        <v>95601303</v>
      </c>
      <c r="Y4539" s="40" t="s">
        <v>115</v>
      </c>
      <c r="Z4539" s="40" t="s">
        <v>115</v>
      </c>
      <c r="AA4539" s="40" t="s">
        <v>115</v>
      </c>
      <c r="AB4539" s="40" t="s">
        <v>115</v>
      </c>
      <c r="AC4539" s="40" t="s">
        <v>115</v>
      </c>
      <c r="AI4539" s="40" t="s">
        <v>115</v>
      </c>
      <c r="AP4539" s="4" t="s">
        <v>115</v>
      </c>
    </row>
    <row r="4540" spans="1:42" x14ac:dyDescent="0.15">
      <c r="A4540" s="40" t="s">
        <v>1</v>
      </c>
      <c r="B4540" s="23">
        <v>95601303</v>
      </c>
      <c r="C4540" s="23">
        <v>56013</v>
      </c>
      <c r="D4540" s="51">
        <v>5601</v>
      </c>
      <c r="F4540" s="23" t="s">
        <v>1071</v>
      </c>
      <c r="G4540" s="23" t="s">
        <v>115</v>
      </c>
      <c r="H4540" s="23" t="s">
        <v>1560</v>
      </c>
      <c r="I4540" s="23">
        <v>3</v>
      </c>
      <c r="J4540" s="40">
        <v>0</v>
      </c>
      <c r="K4540" s="40">
        <v>0</v>
      </c>
      <c r="L4540" s="40" t="s">
        <v>115</v>
      </c>
      <c r="O4540" s="40" t="s">
        <v>115</v>
      </c>
      <c r="Q4540" s="40">
        <v>198</v>
      </c>
      <c r="R4540" s="40">
        <v>284</v>
      </c>
      <c r="X4540" s="40">
        <v>95601304</v>
      </c>
      <c r="Y4540" s="40" t="s">
        <v>115</v>
      </c>
      <c r="Z4540" s="40" t="s">
        <v>115</v>
      </c>
      <c r="AA4540" s="40" t="s">
        <v>115</v>
      </c>
      <c r="AB4540" s="40" t="s">
        <v>115</v>
      </c>
      <c r="AC4540" s="40" t="s">
        <v>115</v>
      </c>
      <c r="AI4540" s="40" t="s">
        <v>115</v>
      </c>
      <c r="AP4540" s="4" t="s">
        <v>115</v>
      </c>
    </row>
    <row r="4541" spans="1:42" x14ac:dyDescent="0.15">
      <c r="A4541" s="40" t="s">
        <v>1</v>
      </c>
      <c r="B4541" s="23">
        <v>95601304</v>
      </c>
      <c r="C4541" s="23">
        <v>56013</v>
      </c>
      <c r="D4541" s="51">
        <v>5601</v>
      </c>
      <c r="F4541" s="23" t="s">
        <v>116</v>
      </c>
      <c r="G4541" s="23" t="s">
        <v>115</v>
      </c>
      <c r="H4541" s="23" t="s">
        <v>1561</v>
      </c>
      <c r="I4541" s="23">
        <v>0</v>
      </c>
      <c r="J4541" s="40">
        <v>0</v>
      </c>
      <c r="K4541" s="40">
        <v>0</v>
      </c>
      <c r="L4541" s="40" t="s">
        <v>115</v>
      </c>
      <c r="O4541" s="40" t="s">
        <v>115</v>
      </c>
      <c r="Q4541" s="40">
        <v>198</v>
      </c>
      <c r="R4541" s="40">
        <v>284</v>
      </c>
      <c r="X4541" s="40">
        <v>95601305</v>
      </c>
      <c r="Y4541" s="40" t="s">
        <v>115</v>
      </c>
      <c r="Z4541" s="40" t="s">
        <v>115</v>
      </c>
      <c r="AA4541" s="40" t="s">
        <v>115</v>
      </c>
      <c r="AB4541" s="40" t="s">
        <v>115</v>
      </c>
      <c r="AC4541" s="40" t="s">
        <v>115</v>
      </c>
      <c r="AI4541" s="40" t="s">
        <v>115</v>
      </c>
      <c r="AP4541" s="4" t="s">
        <v>115</v>
      </c>
    </row>
    <row r="4542" spans="1:42" x14ac:dyDescent="0.15">
      <c r="A4542" s="40" t="s">
        <v>1</v>
      </c>
      <c r="B4542" s="23">
        <v>95601305</v>
      </c>
      <c r="C4542" s="23">
        <v>56013</v>
      </c>
      <c r="D4542" s="51">
        <v>5601</v>
      </c>
      <c r="F4542" s="23" t="s">
        <v>116</v>
      </c>
      <c r="G4542" s="23" t="s">
        <v>115</v>
      </c>
      <c r="H4542" s="23" t="s">
        <v>1562</v>
      </c>
      <c r="I4542" s="23">
        <v>2</v>
      </c>
      <c r="J4542" s="40">
        <v>0</v>
      </c>
      <c r="K4542" s="40">
        <v>0</v>
      </c>
      <c r="L4542" s="40" t="s">
        <v>115</v>
      </c>
      <c r="O4542" s="40" t="s">
        <v>115</v>
      </c>
      <c r="Q4542" s="40">
        <v>198</v>
      </c>
      <c r="R4542" s="40">
        <v>284</v>
      </c>
      <c r="X4542" s="40">
        <v>95601306</v>
      </c>
      <c r="Y4542" s="40" t="s">
        <v>115</v>
      </c>
      <c r="Z4542" s="40" t="s">
        <v>115</v>
      </c>
      <c r="AA4542" s="40" t="s">
        <v>115</v>
      </c>
      <c r="AB4542" s="40" t="s">
        <v>115</v>
      </c>
      <c r="AC4542" s="40" t="s">
        <v>115</v>
      </c>
      <c r="AI4542" s="40" t="s">
        <v>115</v>
      </c>
      <c r="AP4542" s="4" t="s">
        <v>115</v>
      </c>
    </row>
    <row r="4543" spans="1:42" x14ac:dyDescent="0.15">
      <c r="A4543" s="40" t="s">
        <v>1</v>
      </c>
      <c r="B4543" s="23">
        <v>95601306</v>
      </c>
      <c r="C4543" s="23">
        <v>56013</v>
      </c>
      <c r="D4543" s="51">
        <v>5601</v>
      </c>
      <c r="F4543" s="23" t="s">
        <v>1071</v>
      </c>
      <c r="G4543" s="23" t="s">
        <v>115</v>
      </c>
      <c r="H4543" s="23" t="s">
        <v>1563</v>
      </c>
      <c r="I4543" s="23">
        <v>3</v>
      </c>
      <c r="J4543" s="40">
        <v>0</v>
      </c>
      <c r="K4543" s="40">
        <v>0</v>
      </c>
      <c r="L4543" s="40" t="s">
        <v>115</v>
      </c>
      <c r="O4543" s="40" t="s">
        <v>115</v>
      </c>
      <c r="Q4543" s="40">
        <v>198</v>
      </c>
      <c r="R4543" s="40">
        <v>284</v>
      </c>
      <c r="X4543" s="40">
        <v>95601307</v>
      </c>
      <c r="Y4543" s="40" t="s">
        <v>115</v>
      </c>
      <c r="Z4543" s="40" t="s">
        <v>115</v>
      </c>
      <c r="AA4543" s="40" t="s">
        <v>115</v>
      </c>
      <c r="AB4543" s="40" t="s">
        <v>115</v>
      </c>
      <c r="AC4543" s="40" t="s">
        <v>115</v>
      </c>
      <c r="AI4543" s="40" t="s">
        <v>115</v>
      </c>
      <c r="AP4543" s="4" t="s">
        <v>115</v>
      </c>
    </row>
    <row r="4544" spans="1:42" x14ac:dyDescent="0.15">
      <c r="A4544" s="40" t="s">
        <v>1</v>
      </c>
      <c r="B4544" s="23">
        <v>95601307</v>
      </c>
      <c r="C4544" s="23">
        <v>56013</v>
      </c>
      <c r="D4544" s="51">
        <v>5601</v>
      </c>
      <c r="F4544" s="23" t="s">
        <v>1071</v>
      </c>
      <c r="G4544" s="23" t="s">
        <v>115</v>
      </c>
      <c r="H4544" s="23" t="s">
        <v>1564</v>
      </c>
      <c r="I4544" s="23">
        <v>3</v>
      </c>
      <c r="J4544" s="40">
        <v>0</v>
      </c>
      <c r="K4544" s="40">
        <v>0</v>
      </c>
      <c r="L4544" s="40" t="s">
        <v>115</v>
      </c>
      <c r="O4544" s="40" t="s">
        <v>115</v>
      </c>
      <c r="Q4544" s="40">
        <v>138</v>
      </c>
      <c r="R4544" s="40">
        <v>284</v>
      </c>
      <c r="X4544" s="40">
        <v>95601308</v>
      </c>
      <c r="Y4544" s="40" t="s">
        <v>115</v>
      </c>
      <c r="Z4544" s="40" t="s">
        <v>115</v>
      </c>
      <c r="AA4544" s="40" t="s">
        <v>115</v>
      </c>
      <c r="AB4544" s="40" t="s">
        <v>115</v>
      </c>
      <c r="AC4544" s="40" t="s">
        <v>115</v>
      </c>
      <c r="AI4544" s="40" t="s">
        <v>115</v>
      </c>
      <c r="AP4544" s="4" t="s">
        <v>115</v>
      </c>
    </row>
    <row r="4545" spans="1:42" x14ac:dyDescent="0.15">
      <c r="A4545" s="40" t="s">
        <v>1</v>
      </c>
      <c r="B4545" s="23">
        <v>95601308</v>
      </c>
      <c r="C4545" s="23">
        <v>56013</v>
      </c>
      <c r="D4545" s="51">
        <v>5601</v>
      </c>
      <c r="F4545" s="23" t="s">
        <v>116</v>
      </c>
      <c r="G4545" s="23" t="s">
        <v>115</v>
      </c>
      <c r="H4545" s="23" t="s">
        <v>1565</v>
      </c>
      <c r="I4545" s="23">
        <v>0</v>
      </c>
      <c r="J4545" s="40">
        <v>0</v>
      </c>
      <c r="K4545" s="40">
        <v>0</v>
      </c>
      <c r="L4545" s="40" t="s">
        <v>115</v>
      </c>
      <c r="O4545" s="40" t="s">
        <v>115</v>
      </c>
      <c r="Q4545" s="40">
        <v>138</v>
      </c>
      <c r="R4545" s="40">
        <v>284</v>
      </c>
      <c r="X4545" s="40">
        <v>95601309</v>
      </c>
      <c r="Y4545" s="40" t="s">
        <v>115</v>
      </c>
      <c r="Z4545" s="40" t="s">
        <v>115</v>
      </c>
      <c r="AA4545" s="40" t="s">
        <v>115</v>
      </c>
      <c r="AB4545" s="40" t="s">
        <v>115</v>
      </c>
      <c r="AC4545" s="40" t="s">
        <v>115</v>
      </c>
      <c r="AI4545" s="40" t="s">
        <v>115</v>
      </c>
      <c r="AP4545" s="4" t="s">
        <v>115</v>
      </c>
    </row>
    <row r="4546" spans="1:42" x14ac:dyDescent="0.15">
      <c r="A4546" s="40" t="s">
        <v>1</v>
      </c>
      <c r="B4546" s="23">
        <v>95601309</v>
      </c>
      <c r="C4546" s="23">
        <v>56013</v>
      </c>
      <c r="D4546" s="51">
        <v>5601</v>
      </c>
      <c r="F4546" s="23" t="s">
        <v>115</v>
      </c>
      <c r="G4546" s="23" t="s">
        <v>115</v>
      </c>
      <c r="H4546" s="23" t="s">
        <v>1566</v>
      </c>
      <c r="I4546" s="23">
        <v>4</v>
      </c>
      <c r="J4546" s="40">
        <v>0</v>
      </c>
      <c r="K4546" s="40">
        <v>0</v>
      </c>
      <c r="L4546" s="40" t="s">
        <v>115</v>
      </c>
      <c r="O4546" s="40" t="s">
        <v>115</v>
      </c>
      <c r="Q4546" s="40">
        <v>138</v>
      </c>
      <c r="R4546" s="40">
        <v>284</v>
      </c>
      <c r="X4546" s="40">
        <v>95601310</v>
      </c>
      <c r="Y4546" s="40" t="s">
        <v>115</v>
      </c>
      <c r="Z4546" s="40" t="s">
        <v>115</v>
      </c>
      <c r="AA4546" s="40" t="s">
        <v>115</v>
      </c>
      <c r="AB4546" s="40" t="s">
        <v>115</v>
      </c>
      <c r="AC4546" s="40" t="s">
        <v>115</v>
      </c>
      <c r="AI4546" s="40" t="s">
        <v>115</v>
      </c>
      <c r="AP4546" s="4" t="s">
        <v>115</v>
      </c>
    </row>
    <row r="4547" spans="1:42" x14ac:dyDescent="0.15">
      <c r="A4547" s="40" t="s">
        <v>1</v>
      </c>
      <c r="B4547" s="23">
        <v>95601310</v>
      </c>
      <c r="C4547" s="23">
        <v>56013</v>
      </c>
      <c r="D4547" s="51">
        <v>5601</v>
      </c>
      <c r="F4547" s="23" t="s">
        <v>1071</v>
      </c>
      <c r="G4547" s="23" t="s">
        <v>115</v>
      </c>
      <c r="H4547" s="23" t="s">
        <v>1567</v>
      </c>
      <c r="I4547" s="23">
        <v>3</v>
      </c>
      <c r="J4547" s="40">
        <v>0</v>
      </c>
      <c r="K4547" s="40">
        <v>0</v>
      </c>
      <c r="L4547" s="40" t="s">
        <v>115</v>
      </c>
      <c r="O4547" s="40" t="s">
        <v>115</v>
      </c>
      <c r="Q4547" s="40">
        <v>138</v>
      </c>
      <c r="R4547" s="40">
        <v>284</v>
      </c>
      <c r="X4547" s="40">
        <v>95601311</v>
      </c>
      <c r="Y4547" s="40" t="s">
        <v>115</v>
      </c>
      <c r="Z4547" s="40" t="s">
        <v>115</v>
      </c>
      <c r="AA4547" s="40" t="s">
        <v>115</v>
      </c>
      <c r="AB4547" s="40" t="s">
        <v>115</v>
      </c>
      <c r="AC4547" s="40" t="s">
        <v>115</v>
      </c>
      <c r="AI4547" s="40" t="s">
        <v>115</v>
      </c>
      <c r="AP4547" s="4" t="s">
        <v>115</v>
      </c>
    </row>
    <row r="4548" spans="1:42" x14ac:dyDescent="0.15">
      <c r="A4548" s="40" t="s">
        <v>1</v>
      </c>
      <c r="B4548" s="23">
        <v>95601311</v>
      </c>
      <c r="C4548" s="23">
        <v>56013</v>
      </c>
      <c r="D4548" s="51">
        <v>5601</v>
      </c>
      <c r="F4548" s="23" t="s">
        <v>1071</v>
      </c>
      <c r="G4548" s="23" t="s">
        <v>115</v>
      </c>
      <c r="H4548" s="23" t="s">
        <v>1568</v>
      </c>
      <c r="I4548" s="23">
        <v>3</v>
      </c>
      <c r="J4548" s="40">
        <v>0</v>
      </c>
      <c r="K4548" s="40">
        <v>0</v>
      </c>
      <c r="L4548" s="40" t="s">
        <v>115</v>
      </c>
      <c r="O4548" s="40" t="s">
        <v>115</v>
      </c>
      <c r="Q4548" s="40">
        <v>138</v>
      </c>
      <c r="R4548" s="40">
        <v>284</v>
      </c>
      <c r="X4548" s="40">
        <v>95601312</v>
      </c>
      <c r="Y4548" s="40" t="s">
        <v>115</v>
      </c>
      <c r="Z4548" s="40" t="s">
        <v>115</v>
      </c>
      <c r="AA4548" s="40" t="s">
        <v>115</v>
      </c>
      <c r="AB4548" s="40" t="s">
        <v>115</v>
      </c>
      <c r="AC4548" s="40" t="s">
        <v>115</v>
      </c>
      <c r="AI4548" s="40" t="s">
        <v>115</v>
      </c>
      <c r="AP4548" s="4" t="s">
        <v>115</v>
      </c>
    </row>
    <row r="4549" spans="1:42" x14ac:dyDescent="0.15">
      <c r="A4549" s="40" t="s">
        <v>1</v>
      </c>
      <c r="B4549" s="23">
        <v>95601312</v>
      </c>
      <c r="C4549" s="23">
        <v>56013</v>
      </c>
      <c r="D4549" s="51">
        <v>5601</v>
      </c>
      <c r="F4549" s="23" t="s">
        <v>116</v>
      </c>
      <c r="G4549" s="23" t="s">
        <v>115</v>
      </c>
      <c r="H4549" s="23" t="s">
        <v>1569</v>
      </c>
      <c r="I4549" s="23">
        <v>0</v>
      </c>
      <c r="J4549" s="40">
        <v>0</v>
      </c>
      <c r="K4549" s="40">
        <v>0</v>
      </c>
      <c r="L4549" s="40" t="s">
        <v>115</v>
      </c>
      <c r="O4549" s="40" t="s">
        <v>115</v>
      </c>
      <c r="Q4549" s="40">
        <v>138</v>
      </c>
      <c r="R4549" s="40">
        <v>284</v>
      </c>
      <c r="X4549" s="40">
        <v>95601313</v>
      </c>
      <c r="Y4549" s="40" t="s">
        <v>115</v>
      </c>
      <c r="Z4549" s="40" t="s">
        <v>115</v>
      </c>
      <c r="AA4549" s="40" t="s">
        <v>115</v>
      </c>
      <c r="AB4549" s="40" t="s">
        <v>115</v>
      </c>
      <c r="AC4549" s="40" t="s">
        <v>115</v>
      </c>
      <c r="AI4549" s="40" t="s">
        <v>115</v>
      </c>
      <c r="AP4549" s="4" t="s">
        <v>115</v>
      </c>
    </row>
    <row r="4550" spans="1:42" x14ac:dyDescent="0.15">
      <c r="A4550" s="40" t="s">
        <v>1</v>
      </c>
      <c r="B4550" s="23">
        <v>95601313</v>
      </c>
      <c r="C4550" s="23">
        <v>56013</v>
      </c>
      <c r="D4550" s="51">
        <v>5601</v>
      </c>
      <c r="F4550" s="23" t="s">
        <v>115</v>
      </c>
      <c r="G4550" s="23" t="s">
        <v>115</v>
      </c>
      <c r="H4550" s="23" t="s">
        <v>1570</v>
      </c>
      <c r="I4550" s="23">
        <v>4</v>
      </c>
      <c r="J4550" s="40">
        <v>0</v>
      </c>
      <c r="K4550" s="40">
        <v>0</v>
      </c>
      <c r="L4550" s="40" t="s">
        <v>115</v>
      </c>
      <c r="O4550" s="40" t="s">
        <v>115</v>
      </c>
      <c r="Q4550" s="40">
        <v>138</v>
      </c>
      <c r="R4550" s="40" t="s">
        <v>115</v>
      </c>
      <c r="X4550" s="40">
        <v>95601314</v>
      </c>
      <c r="Y4550" s="40" t="s">
        <v>115</v>
      </c>
      <c r="Z4550" s="40" t="s">
        <v>115</v>
      </c>
      <c r="AA4550" s="40" t="s">
        <v>115</v>
      </c>
      <c r="AB4550" s="40" t="s">
        <v>115</v>
      </c>
      <c r="AC4550" s="40" t="s">
        <v>115</v>
      </c>
      <c r="AI4550" s="40" t="s">
        <v>115</v>
      </c>
      <c r="AP4550" s="4" t="s">
        <v>115</v>
      </c>
    </row>
    <row r="4551" spans="1:42" x14ac:dyDescent="0.15">
      <c r="A4551" s="40" t="s">
        <v>1</v>
      </c>
      <c r="B4551" s="23">
        <v>95601314</v>
      </c>
      <c r="C4551" s="23">
        <v>56013</v>
      </c>
      <c r="D4551" s="51">
        <v>5601</v>
      </c>
      <c r="F4551" s="23" t="s">
        <v>115</v>
      </c>
      <c r="G4551" s="23" t="s">
        <v>115</v>
      </c>
      <c r="H4551" s="23" t="s">
        <v>1571</v>
      </c>
      <c r="I4551" s="23">
        <v>4</v>
      </c>
      <c r="J4551" s="40">
        <v>0</v>
      </c>
      <c r="K4551" s="40">
        <v>0</v>
      </c>
      <c r="L4551" s="40" t="s">
        <v>115</v>
      </c>
      <c r="O4551" s="40" t="s">
        <v>115</v>
      </c>
      <c r="Q4551" s="40">
        <v>378</v>
      </c>
      <c r="R4551" s="40" t="s">
        <v>115</v>
      </c>
      <c r="X4551" s="40">
        <v>95601315</v>
      </c>
      <c r="Y4551" s="40" t="s">
        <v>115</v>
      </c>
      <c r="Z4551" s="40" t="s">
        <v>115</v>
      </c>
      <c r="AA4551" s="40" t="s">
        <v>115</v>
      </c>
      <c r="AB4551" s="40" t="s">
        <v>115</v>
      </c>
      <c r="AC4551" s="40" t="s">
        <v>115</v>
      </c>
      <c r="AI4551" s="40" t="s">
        <v>115</v>
      </c>
      <c r="AP4551" s="4" t="s">
        <v>115</v>
      </c>
    </row>
    <row r="4552" spans="1:42" x14ac:dyDescent="0.15">
      <c r="A4552" s="40" t="s">
        <v>1</v>
      </c>
      <c r="B4552" s="23">
        <v>95601315</v>
      </c>
      <c r="C4552" s="23">
        <v>56013</v>
      </c>
      <c r="D4552" s="51">
        <v>5601</v>
      </c>
      <c r="F4552" s="23" t="s">
        <v>115</v>
      </c>
      <c r="G4552" s="23" t="s">
        <v>115</v>
      </c>
      <c r="H4552" s="23" t="s">
        <v>1572</v>
      </c>
      <c r="I4552" s="23">
        <v>4</v>
      </c>
      <c r="J4552" s="40">
        <v>0</v>
      </c>
      <c r="K4552" s="40">
        <v>0</v>
      </c>
      <c r="L4552" s="40" t="s">
        <v>115</v>
      </c>
      <c r="O4552" s="40" t="s">
        <v>115</v>
      </c>
      <c r="Q4552" s="40">
        <v>378</v>
      </c>
      <c r="R4552" s="40" t="s">
        <v>115</v>
      </c>
      <c r="X4552" s="40">
        <v>95601316</v>
      </c>
      <c r="Y4552" s="40" t="s">
        <v>115</v>
      </c>
      <c r="Z4552" s="40" t="s">
        <v>115</v>
      </c>
      <c r="AA4552" s="40" t="s">
        <v>115</v>
      </c>
      <c r="AB4552" s="40" t="s">
        <v>115</v>
      </c>
      <c r="AC4552" s="40" t="s">
        <v>115</v>
      </c>
      <c r="AI4552" s="40" t="s">
        <v>115</v>
      </c>
      <c r="AP4552" s="4" t="s">
        <v>115</v>
      </c>
    </row>
    <row r="4553" spans="1:42" x14ac:dyDescent="0.15">
      <c r="A4553" s="40" t="s">
        <v>1</v>
      </c>
      <c r="B4553" s="23">
        <v>95601316</v>
      </c>
      <c r="C4553" s="23">
        <v>56013</v>
      </c>
      <c r="D4553" s="51">
        <v>5601</v>
      </c>
      <c r="F4553" s="23" t="s">
        <v>115</v>
      </c>
      <c r="G4553" s="23" t="s">
        <v>115</v>
      </c>
      <c r="H4553" s="23" t="s">
        <v>1573</v>
      </c>
      <c r="I4553" s="23">
        <v>4</v>
      </c>
      <c r="J4553" s="40">
        <v>0</v>
      </c>
      <c r="K4553" s="40">
        <v>0</v>
      </c>
      <c r="L4553" s="40" t="s">
        <v>115</v>
      </c>
      <c r="O4553" s="40" t="s">
        <v>115</v>
      </c>
      <c r="Q4553" s="40">
        <v>378</v>
      </c>
      <c r="R4553" s="40" t="s">
        <v>115</v>
      </c>
      <c r="X4553" s="40">
        <v>95601317</v>
      </c>
      <c r="Y4553" s="40" t="s">
        <v>115</v>
      </c>
      <c r="Z4553" s="40" t="s">
        <v>115</v>
      </c>
      <c r="AA4553" s="40" t="s">
        <v>115</v>
      </c>
      <c r="AB4553" s="40" t="s">
        <v>115</v>
      </c>
      <c r="AC4553" s="40" t="s">
        <v>115</v>
      </c>
      <c r="AI4553" s="40" t="s">
        <v>115</v>
      </c>
      <c r="AP4553" s="4" t="s">
        <v>115</v>
      </c>
    </row>
    <row r="4554" spans="1:42" x14ac:dyDescent="0.15">
      <c r="A4554" s="40" t="s">
        <v>1</v>
      </c>
      <c r="B4554" s="23">
        <v>95601317</v>
      </c>
      <c r="C4554" s="23">
        <v>56013</v>
      </c>
      <c r="D4554" s="51">
        <v>5601</v>
      </c>
      <c r="F4554" s="23" t="s">
        <v>115</v>
      </c>
      <c r="G4554" s="23" t="s">
        <v>115</v>
      </c>
      <c r="H4554" s="23" t="s">
        <v>1574</v>
      </c>
      <c r="I4554" s="23">
        <v>4</v>
      </c>
      <c r="J4554" s="40">
        <v>0</v>
      </c>
      <c r="K4554" s="40">
        <v>0</v>
      </c>
      <c r="L4554" s="40" t="s">
        <v>115</v>
      </c>
      <c r="O4554" s="40" t="s">
        <v>115</v>
      </c>
      <c r="Q4554" s="40">
        <v>378</v>
      </c>
      <c r="R4554" s="40" t="s">
        <v>115</v>
      </c>
      <c r="X4554" s="40">
        <v>95601318</v>
      </c>
      <c r="Y4554" s="40" t="s">
        <v>115</v>
      </c>
      <c r="Z4554" s="40" t="s">
        <v>115</v>
      </c>
      <c r="AA4554" s="40" t="s">
        <v>115</v>
      </c>
      <c r="AB4554" s="40" t="s">
        <v>115</v>
      </c>
      <c r="AC4554" s="40" t="s">
        <v>115</v>
      </c>
      <c r="AI4554" s="40" t="s">
        <v>115</v>
      </c>
      <c r="AP4554" s="4" t="s">
        <v>115</v>
      </c>
    </row>
    <row r="4555" spans="1:42" x14ac:dyDescent="0.15">
      <c r="A4555" s="40" t="s">
        <v>1</v>
      </c>
      <c r="B4555" s="23">
        <v>95601318</v>
      </c>
      <c r="C4555" s="23">
        <v>56013</v>
      </c>
      <c r="D4555" s="51">
        <v>5601</v>
      </c>
      <c r="F4555" s="23" t="s">
        <v>115</v>
      </c>
      <c r="G4555" s="23" t="s">
        <v>115</v>
      </c>
      <c r="H4555" s="23" t="s">
        <v>338</v>
      </c>
      <c r="I4555" s="23">
        <v>4</v>
      </c>
      <c r="J4555" s="40">
        <v>0</v>
      </c>
      <c r="K4555" s="40">
        <v>0</v>
      </c>
      <c r="L4555" s="40" t="s">
        <v>115</v>
      </c>
      <c r="O4555" s="40" t="s">
        <v>115</v>
      </c>
      <c r="Q4555" s="40">
        <v>378</v>
      </c>
      <c r="R4555" s="40" t="s">
        <v>115</v>
      </c>
      <c r="X4555" s="40">
        <v>95601319</v>
      </c>
      <c r="Y4555" s="40" t="s">
        <v>115</v>
      </c>
      <c r="Z4555" s="40" t="s">
        <v>115</v>
      </c>
      <c r="AA4555" s="40" t="s">
        <v>115</v>
      </c>
      <c r="AB4555" s="40" t="s">
        <v>115</v>
      </c>
      <c r="AC4555" s="40" t="s">
        <v>115</v>
      </c>
      <c r="AI4555" s="40" t="s">
        <v>115</v>
      </c>
      <c r="AP4555" s="4" t="s">
        <v>115</v>
      </c>
    </row>
    <row r="4556" spans="1:42" x14ac:dyDescent="0.15">
      <c r="A4556" s="40" t="s">
        <v>1</v>
      </c>
      <c r="B4556" s="23">
        <v>95601319</v>
      </c>
      <c r="C4556" s="23">
        <v>56013</v>
      </c>
      <c r="D4556" s="51">
        <v>5601</v>
      </c>
      <c r="F4556" s="23" t="s">
        <v>1071</v>
      </c>
      <c r="G4556" s="23" t="s">
        <v>115</v>
      </c>
      <c r="H4556" s="23" t="s">
        <v>1575</v>
      </c>
      <c r="I4556" s="23">
        <v>3</v>
      </c>
      <c r="J4556" s="40">
        <v>0</v>
      </c>
      <c r="K4556" s="40">
        <v>0</v>
      </c>
      <c r="L4556" s="40" t="s">
        <v>115</v>
      </c>
      <c r="O4556" s="40" t="s">
        <v>115</v>
      </c>
      <c r="Q4556" s="40">
        <v>378</v>
      </c>
      <c r="R4556" s="40">
        <v>284</v>
      </c>
      <c r="X4556" s="40">
        <v>95601320</v>
      </c>
      <c r="Y4556" s="40" t="s">
        <v>115</v>
      </c>
      <c r="Z4556" s="40" t="s">
        <v>115</v>
      </c>
      <c r="AA4556" s="40" t="s">
        <v>115</v>
      </c>
      <c r="AB4556" s="40" t="s">
        <v>115</v>
      </c>
      <c r="AC4556" s="40" t="s">
        <v>115</v>
      </c>
      <c r="AI4556" s="40" t="s">
        <v>115</v>
      </c>
      <c r="AP4556" s="4" t="s">
        <v>115</v>
      </c>
    </row>
    <row r="4557" spans="1:42" x14ac:dyDescent="0.15">
      <c r="A4557" s="40" t="s">
        <v>1</v>
      </c>
      <c r="B4557" s="23">
        <v>95601320</v>
      </c>
      <c r="C4557" s="23">
        <v>56013</v>
      </c>
      <c r="D4557" s="51">
        <v>5601</v>
      </c>
      <c r="F4557" s="23" t="s">
        <v>1071</v>
      </c>
      <c r="G4557" s="23" t="s">
        <v>115</v>
      </c>
      <c r="H4557" s="23" t="s">
        <v>1576</v>
      </c>
      <c r="I4557" s="23">
        <v>3</v>
      </c>
      <c r="J4557" s="40">
        <v>0</v>
      </c>
      <c r="K4557" s="40">
        <v>0</v>
      </c>
      <c r="L4557" s="40" t="s">
        <v>115</v>
      </c>
      <c r="O4557" s="40" t="s">
        <v>115</v>
      </c>
      <c r="Q4557" s="40">
        <v>138</v>
      </c>
      <c r="R4557" s="40">
        <v>284</v>
      </c>
      <c r="X4557" s="40">
        <v>95601321</v>
      </c>
      <c r="Y4557" s="40" t="s">
        <v>115</v>
      </c>
      <c r="Z4557" s="40" t="s">
        <v>115</v>
      </c>
      <c r="AA4557" s="40" t="s">
        <v>115</v>
      </c>
      <c r="AB4557" s="40" t="s">
        <v>115</v>
      </c>
      <c r="AC4557" s="40" t="s">
        <v>115</v>
      </c>
      <c r="AI4557" s="40" t="s">
        <v>115</v>
      </c>
      <c r="AP4557" s="4" t="s">
        <v>115</v>
      </c>
    </row>
    <row r="4558" spans="1:42" x14ac:dyDescent="0.15">
      <c r="A4558" s="40" t="s">
        <v>1</v>
      </c>
      <c r="B4558" s="23">
        <v>95601321</v>
      </c>
      <c r="C4558" s="23">
        <v>56013</v>
      </c>
      <c r="D4558" s="51">
        <v>5601</v>
      </c>
      <c r="F4558" s="23" t="s">
        <v>116</v>
      </c>
      <c r="G4558" s="23" t="s">
        <v>115</v>
      </c>
      <c r="H4558" s="23" t="s">
        <v>958</v>
      </c>
      <c r="I4558" s="23">
        <v>0</v>
      </c>
      <c r="J4558" s="40">
        <v>0</v>
      </c>
      <c r="K4558" s="40">
        <v>0</v>
      </c>
      <c r="L4558" s="40" t="s">
        <v>115</v>
      </c>
      <c r="O4558" s="40" t="s">
        <v>115</v>
      </c>
      <c r="Q4558" s="40">
        <v>138</v>
      </c>
      <c r="R4558" s="40">
        <v>284</v>
      </c>
      <c r="X4558" s="40">
        <v>95601322</v>
      </c>
      <c r="Y4558" s="40" t="s">
        <v>115</v>
      </c>
      <c r="Z4558" s="40" t="s">
        <v>115</v>
      </c>
      <c r="AA4558" s="40" t="s">
        <v>115</v>
      </c>
      <c r="AB4558" s="40" t="s">
        <v>115</v>
      </c>
      <c r="AC4558" s="40" t="s">
        <v>115</v>
      </c>
      <c r="AI4558" s="40" t="s">
        <v>115</v>
      </c>
      <c r="AP4558" s="4" t="s">
        <v>115</v>
      </c>
    </row>
    <row r="4559" spans="1:42" x14ac:dyDescent="0.15">
      <c r="A4559" s="40" t="s">
        <v>1</v>
      </c>
      <c r="B4559" s="23">
        <v>95601322</v>
      </c>
      <c r="C4559" s="23">
        <v>56013</v>
      </c>
      <c r="D4559" s="51">
        <v>5601</v>
      </c>
      <c r="F4559" s="23" t="s">
        <v>1071</v>
      </c>
      <c r="G4559" s="23" t="s">
        <v>115</v>
      </c>
      <c r="H4559" s="23" t="s">
        <v>1577</v>
      </c>
      <c r="I4559" s="23">
        <v>3</v>
      </c>
      <c r="J4559" s="40">
        <v>0</v>
      </c>
      <c r="K4559" s="40">
        <v>0</v>
      </c>
      <c r="L4559" s="40" t="s">
        <v>115</v>
      </c>
      <c r="O4559" s="40" t="s">
        <v>115</v>
      </c>
      <c r="Q4559" s="40">
        <v>138</v>
      </c>
      <c r="R4559" s="40">
        <v>284</v>
      </c>
      <c r="X4559" s="40">
        <v>95601323</v>
      </c>
      <c r="Y4559" s="40" t="s">
        <v>115</v>
      </c>
      <c r="Z4559" s="40" t="s">
        <v>115</v>
      </c>
      <c r="AA4559" s="40" t="s">
        <v>115</v>
      </c>
      <c r="AB4559" s="40" t="s">
        <v>115</v>
      </c>
      <c r="AC4559" s="40" t="s">
        <v>115</v>
      </c>
      <c r="AI4559" s="40" t="s">
        <v>115</v>
      </c>
      <c r="AP4559" s="4" t="s">
        <v>115</v>
      </c>
    </row>
    <row r="4560" spans="1:42" x14ac:dyDescent="0.15">
      <c r="A4560" s="40" t="s">
        <v>1</v>
      </c>
      <c r="B4560" s="23">
        <v>95601323</v>
      </c>
      <c r="C4560" s="23">
        <v>56013</v>
      </c>
      <c r="D4560" s="51">
        <v>5601</v>
      </c>
      <c r="F4560" s="23" t="s">
        <v>116</v>
      </c>
      <c r="G4560" s="23" t="s">
        <v>115</v>
      </c>
      <c r="H4560" s="23" t="s">
        <v>1578</v>
      </c>
      <c r="I4560" s="23">
        <v>0</v>
      </c>
      <c r="J4560" s="40">
        <v>0</v>
      </c>
      <c r="K4560" s="40">
        <v>0</v>
      </c>
      <c r="L4560" s="40" t="s">
        <v>115</v>
      </c>
      <c r="O4560" s="40" t="s">
        <v>115</v>
      </c>
      <c r="Q4560" s="40">
        <v>138</v>
      </c>
      <c r="R4560" s="40">
        <v>284</v>
      </c>
      <c r="X4560" s="40">
        <v>95601324</v>
      </c>
      <c r="Y4560" s="40" t="s">
        <v>115</v>
      </c>
      <c r="Z4560" s="40" t="s">
        <v>115</v>
      </c>
      <c r="AA4560" s="40" t="s">
        <v>115</v>
      </c>
      <c r="AB4560" s="40" t="s">
        <v>115</v>
      </c>
      <c r="AC4560" s="40" t="s">
        <v>115</v>
      </c>
      <c r="AI4560" s="40" t="s">
        <v>115</v>
      </c>
      <c r="AP4560" s="4" t="s">
        <v>115</v>
      </c>
    </row>
    <row r="4561" spans="1:42" x14ac:dyDescent="0.15">
      <c r="A4561" s="40" t="s">
        <v>1</v>
      </c>
      <c r="B4561" s="23">
        <v>95601324</v>
      </c>
      <c r="C4561" s="23">
        <v>56013</v>
      </c>
      <c r="D4561" s="51">
        <v>5601</v>
      </c>
      <c r="F4561" s="23" t="s">
        <v>1071</v>
      </c>
      <c r="G4561" s="23" t="s">
        <v>115</v>
      </c>
      <c r="H4561" s="23" t="s">
        <v>1579</v>
      </c>
      <c r="I4561" s="23">
        <v>3</v>
      </c>
      <c r="J4561" s="40">
        <v>0</v>
      </c>
      <c r="K4561" s="40">
        <v>0</v>
      </c>
      <c r="L4561" s="40" t="s">
        <v>115</v>
      </c>
      <c r="O4561" s="40" t="s">
        <v>115</v>
      </c>
      <c r="Q4561" s="40">
        <v>138</v>
      </c>
      <c r="R4561" s="40">
        <v>284</v>
      </c>
      <c r="X4561" s="40">
        <v>95601325</v>
      </c>
      <c r="Y4561" s="40" t="s">
        <v>115</v>
      </c>
      <c r="Z4561" s="40" t="s">
        <v>115</v>
      </c>
      <c r="AA4561" s="40" t="s">
        <v>115</v>
      </c>
      <c r="AB4561" s="40" t="s">
        <v>115</v>
      </c>
      <c r="AC4561" s="40" t="s">
        <v>115</v>
      </c>
      <c r="AI4561" s="40" t="s">
        <v>115</v>
      </c>
      <c r="AP4561" s="4" t="s">
        <v>115</v>
      </c>
    </row>
    <row r="4562" spans="1:42" x14ac:dyDescent="0.15">
      <c r="A4562" s="40" t="s">
        <v>1</v>
      </c>
      <c r="B4562" s="23">
        <v>95601325</v>
      </c>
      <c r="C4562" s="23">
        <v>56013</v>
      </c>
      <c r="D4562" s="51">
        <v>5601</v>
      </c>
      <c r="F4562" s="23" t="s">
        <v>1071</v>
      </c>
      <c r="G4562" s="23" t="s">
        <v>115</v>
      </c>
      <c r="H4562" s="23" t="s">
        <v>1580</v>
      </c>
      <c r="I4562" s="23">
        <v>3</v>
      </c>
      <c r="J4562" s="40">
        <v>0</v>
      </c>
      <c r="K4562" s="40">
        <v>0</v>
      </c>
      <c r="L4562" s="40" t="s">
        <v>115</v>
      </c>
      <c r="O4562" s="40" t="s">
        <v>115</v>
      </c>
      <c r="Q4562" s="40">
        <v>138</v>
      </c>
      <c r="R4562" s="40">
        <v>284</v>
      </c>
      <c r="X4562" s="40">
        <v>95601326</v>
      </c>
      <c r="Y4562" s="40" t="s">
        <v>115</v>
      </c>
      <c r="Z4562" s="40" t="s">
        <v>115</v>
      </c>
      <c r="AA4562" s="40" t="s">
        <v>115</v>
      </c>
      <c r="AB4562" s="40" t="s">
        <v>115</v>
      </c>
      <c r="AC4562" s="40" t="s">
        <v>115</v>
      </c>
      <c r="AI4562" s="40" t="s">
        <v>115</v>
      </c>
      <c r="AP4562" s="4" t="s">
        <v>115</v>
      </c>
    </row>
    <row r="4563" spans="1:42" x14ac:dyDescent="0.15">
      <c r="A4563" s="40" t="s">
        <v>1</v>
      </c>
      <c r="B4563" s="23">
        <v>95601326</v>
      </c>
      <c r="C4563" s="23">
        <v>56013</v>
      </c>
      <c r="D4563" s="51">
        <v>5601</v>
      </c>
      <c r="F4563" s="23" t="s">
        <v>116</v>
      </c>
      <c r="G4563" s="23" t="s">
        <v>115</v>
      </c>
      <c r="H4563" s="23" t="s">
        <v>1581</v>
      </c>
      <c r="I4563" s="23">
        <v>0</v>
      </c>
      <c r="J4563" s="40">
        <v>0</v>
      </c>
      <c r="K4563" s="40">
        <v>0</v>
      </c>
      <c r="L4563" s="40" t="s">
        <v>115</v>
      </c>
      <c r="O4563" s="40" t="s">
        <v>115</v>
      </c>
      <c r="Q4563" s="40">
        <v>138</v>
      </c>
      <c r="R4563" s="40">
        <v>284</v>
      </c>
      <c r="X4563" s="40">
        <v>95601327</v>
      </c>
      <c r="Y4563" s="40" t="s">
        <v>115</v>
      </c>
      <c r="Z4563" s="40" t="s">
        <v>115</v>
      </c>
      <c r="AA4563" s="40" t="s">
        <v>115</v>
      </c>
      <c r="AB4563" s="40" t="s">
        <v>115</v>
      </c>
      <c r="AC4563" s="40" t="s">
        <v>115</v>
      </c>
      <c r="AI4563" s="40" t="s">
        <v>115</v>
      </c>
      <c r="AP4563" s="4" t="s">
        <v>115</v>
      </c>
    </row>
    <row r="4564" spans="1:42" x14ac:dyDescent="0.15">
      <c r="A4564" s="40" t="s">
        <v>1</v>
      </c>
      <c r="B4564" s="23">
        <v>95601327</v>
      </c>
      <c r="C4564" s="23">
        <v>56013</v>
      </c>
      <c r="D4564" s="51">
        <v>5601</v>
      </c>
      <c r="F4564" s="23" t="s">
        <v>115</v>
      </c>
      <c r="G4564" s="23" t="s">
        <v>115</v>
      </c>
      <c r="H4564" s="23" t="s">
        <v>1582</v>
      </c>
      <c r="I4564" s="23">
        <v>4</v>
      </c>
      <c r="J4564" s="40">
        <v>0</v>
      </c>
      <c r="K4564" s="40">
        <v>0</v>
      </c>
      <c r="L4564" s="40" t="s">
        <v>115</v>
      </c>
      <c r="O4564" s="40" t="s">
        <v>115</v>
      </c>
      <c r="Q4564" s="40">
        <v>138</v>
      </c>
      <c r="R4564" s="40">
        <v>284</v>
      </c>
      <c r="X4564" s="40">
        <v>95601328</v>
      </c>
      <c r="Y4564" s="40" t="s">
        <v>115</v>
      </c>
      <c r="Z4564" s="40" t="s">
        <v>115</v>
      </c>
      <c r="AA4564" s="40" t="s">
        <v>115</v>
      </c>
      <c r="AB4564" s="40" t="s">
        <v>115</v>
      </c>
      <c r="AC4564" s="40" t="s">
        <v>115</v>
      </c>
      <c r="AI4564" s="40" t="s">
        <v>115</v>
      </c>
      <c r="AP4564" s="4" t="s">
        <v>115</v>
      </c>
    </row>
    <row r="4565" spans="1:42" x14ac:dyDescent="0.15">
      <c r="A4565" s="40" t="s">
        <v>1</v>
      </c>
      <c r="B4565" s="23">
        <v>95601328</v>
      </c>
      <c r="C4565" s="23">
        <v>56013</v>
      </c>
      <c r="D4565" s="51">
        <v>5601</v>
      </c>
      <c r="F4565" s="23" t="s">
        <v>115</v>
      </c>
      <c r="G4565" s="23" t="s">
        <v>115</v>
      </c>
      <c r="H4565" s="23" t="s">
        <v>1583</v>
      </c>
      <c r="I4565" s="23">
        <v>4</v>
      </c>
      <c r="J4565" s="40">
        <v>0</v>
      </c>
      <c r="K4565" s="40">
        <v>2</v>
      </c>
      <c r="L4565" s="40" t="s">
        <v>115</v>
      </c>
      <c r="O4565" s="40">
        <v>1</v>
      </c>
      <c r="Q4565" s="40">
        <v>138</v>
      </c>
      <c r="R4565" s="40" t="s">
        <v>115</v>
      </c>
      <c r="X4565" s="40" t="s">
        <v>115</v>
      </c>
      <c r="Y4565" s="40" t="s">
        <v>115</v>
      </c>
      <c r="Z4565" s="40">
        <v>1</v>
      </c>
      <c r="AA4565" s="40" t="s">
        <v>115</v>
      </c>
      <c r="AB4565" s="40" t="s">
        <v>115</v>
      </c>
      <c r="AC4565" s="40" t="s">
        <v>115</v>
      </c>
      <c r="AI4565" s="40" t="s">
        <v>115</v>
      </c>
      <c r="AP4565" s="40">
        <v>-1</v>
      </c>
    </row>
    <row r="4566" spans="1:42" x14ac:dyDescent="0.15">
      <c r="B4566" s="23" t="s">
        <v>115</v>
      </c>
      <c r="C4566" s="23" t="s">
        <v>115</v>
      </c>
      <c r="D4566" s="51"/>
      <c r="X4566" s="40" t="s">
        <v>115</v>
      </c>
      <c r="AP4566" s="4" t="s">
        <v>115</v>
      </c>
    </row>
    <row r="4567" spans="1:42" x14ac:dyDescent="0.15">
      <c r="A4567" s="40" t="s">
        <v>1</v>
      </c>
      <c r="B4567" s="23">
        <v>95602101</v>
      </c>
      <c r="C4567" s="23">
        <v>56021</v>
      </c>
      <c r="D4567" s="51">
        <v>5602</v>
      </c>
      <c r="F4567" s="23" t="s">
        <v>335</v>
      </c>
      <c r="G4567" s="23" t="s">
        <v>115</v>
      </c>
      <c r="H4567" s="23" t="s">
        <v>1774</v>
      </c>
      <c r="I4567" s="23">
        <v>3</v>
      </c>
      <c r="J4567" s="40">
        <v>1</v>
      </c>
      <c r="K4567" s="40">
        <v>1</v>
      </c>
      <c r="L4567" s="40" t="s">
        <v>115</v>
      </c>
      <c r="O4567" s="40" t="s">
        <v>115</v>
      </c>
      <c r="Q4567" s="40">
        <v>178</v>
      </c>
      <c r="R4567" s="40">
        <v>239</v>
      </c>
      <c r="X4567" s="40">
        <v>95602102</v>
      </c>
      <c r="Y4567" s="40" t="s">
        <v>115</v>
      </c>
      <c r="Z4567" s="40" t="s">
        <v>115</v>
      </c>
      <c r="AA4567" s="40" t="s">
        <v>115</v>
      </c>
      <c r="AB4567" s="40" t="s">
        <v>115</v>
      </c>
      <c r="AC4567" s="40" t="s">
        <v>115</v>
      </c>
      <c r="AI4567" s="40" t="s">
        <v>115</v>
      </c>
      <c r="AP4567" s="4" t="s">
        <v>115</v>
      </c>
    </row>
    <row r="4568" spans="1:42" x14ac:dyDescent="0.15">
      <c r="A4568" s="40" t="s">
        <v>1</v>
      </c>
      <c r="B4568" s="23">
        <v>95602102</v>
      </c>
      <c r="C4568" s="23">
        <v>56021</v>
      </c>
      <c r="D4568" s="51">
        <v>5602</v>
      </c>
      <c r="F4568" s="23" t="s">
        <v>116</v>
      </c>
      <c r="G4568" s="23">
        <v>261</v>
      </c>
      <c r="H4568" s="23" t="s">
        <v>1775</v>
      </c>
      <c r="I4568" s="23">
        <v>0</v>
      </c>
      <c r="J4568" s="40">
        <v>0</v>
      </c>
      <c r="K4568" s="40">
        <v>0</v>
      </c>
      <c r="L4568" s="40" t="s">
        <v>115</v>
      </c>
      <c r="O4568" s="40" t="s">
        <v>115</v>
      </c>
      <c r="Q4568" s="40">
        <v>178</v>
      </c>
      <c r="R4568" s="40">
        <v>239</v>
      </c>
      <c r="X4568" s="40">
        <v>95602103</v>
      </c>
      <c r="Y4568" s="40" t="s">
        <v>115</v>
      </c>
      <c r="Z4568" s="40" t="s">
        <v>115</v>
      </c>
      <c r="AA4568" s="40" t="s">
        <v>115</v>
      </c>
      <c r="AB4568" s="40" t="s">
        <v>115</v>
      </c>
      <c r="AC4568" s="40" t="s">
        <v>115</v>
      </c>
      <c r="AI4568" s="40" t="s">
        <v>115</v>
      </c>
      <c r="AP4568" s="4" t="s">
        <v>115</v>
      </c>
    </row>
    <row r="4569" spans="1:42" x14ac:dyDescent="0.15">
      <c r="A4569" s="40" t="s">
        <v>1</v>
      </c>
      <c r="B4569" s="23">
        <v>95602103</v>
      </c>
      <c r="C4569" s="23">
        <v>56021</v>
      </c>
      <c r="D4569" s="51">
        <v>5602</v>
      </c>
      <c r="F4569" s="23" t="s">
        <v>335</v>
      </c>
      <c r="G4569" s="23" t="s">
        <v>115</v>
      </c>
      <c r="H4569" s="23" t="s">
        <v>1776</v>
      </c>
      <c r="I4569" s="23">
        <v>3</v>
      </c>
      <c r="J4569" s="40">
        <v>0</v>
      </c>
      <c r="K4569" s="40">
        <v>0</v>
      </c>
      <c r="L4569" s="40" t="s">
        <v>115</v>
      </c>
      <c r="O4569" s="40" t="s">
        <v>115</v>
      </c>
      <c r="Q4569" s="40">
        <v>178</v>
      </c>
      <c r="R4569" s="40">
        <v>239</v>
      </c>
      <c r="X4569" s="40">
        <v>95602104</v>
      </c>
      <c r="Y4569" s="40" t="s">
        <v>115</v>
      </c>
      <c r="Z4569" s="40" t="s">
        <v>115</v>
      </c>
      <c r="AA4569" s="40" t="s">
        <v>115</v>
      </c>
      <c r="AB4569" s="40" t="s">
        <v>115</v>
      </c>
      <c r="AC4569" s="40" t="s">
        <v>115</v>
      </c>
      <c r="AI4569" s="40" t="s">
        <v>115</v>
      </c>
      <c r="AP4569" s="4" t="s">
        <v>115</v>
      </c>
    </row>
    <row r="4570" spans="1:42" x14ac:dyDescent="0.15">
      <c r="A4570" s="40" t="s">
        <v>1</v>
      </c>
      <c r="B4570" s="23">
        <v>95602104</v>
      </c>
      <c r="C4570" s="23">
        <v>56021</v>
      </c>
      <c r="D4570" s="51">
        <v>5602</v>
      </c>
      <c r="F4570" s="23" t="s">
        <v>116</v>
      </c>
      <c r="G4570" s="23">
        <v>275</v>
      </c>
      <c r="H4570" s="23" t="s">
        <v>1777</v>
      </c>
      <c r="I4570" s="23">
        <v>0</v>
      </c>
      <c r="J4570" s="40">
        <v>0</v>
      </c>
      <c r="K4570" s="40">
        <v>0</v>
      </c>
      <c r="L4570" s="40" t="s">
        <v>115</v>
      </c>
      <c r="O4570" s="40" t="s">
        <v>115</v>
      </c>
      <c r="Q4570" s="40">
        <v>178</v>
      </c>
      <c r="R4570" s="40">
        <v>239</v>
      </c>
      <c r="X4570" s="40">
        <v>95602105</v>
      </c>
      <c r="Y4570" s="40" t="s">
        <v>115</v>
      </c>
      <c r="Z4570" s="40" t="s">
        <v>115</v>
      </c>
      <c r="AA4570" s="40" t="s">
        <v>115</v>
      </c>
      <c r="AB4570" s="40" t="s">
        <v>115</v>
      </c>
      <c r="AC4570" s="40" t="s">
        <v>115</v>
      </c>
      <c r="AI4570" s="40" t="s">
        <v>115</v>
      </c>
      <c r="AP4570" s="4" t="s">
        <v>115</v>
      </c>
    </row>
    <row r="4571" spans="1:42" x14ac:dyDescent="0.15">
      <c r="A4571" s="40" t="s">
        <v>1</v>
      </c>
      <c r="B4571" s="23">
        <v>95602105</v>
      </c>
      <c r="C4571" s="23">
        <v>56021</v>
      </c>
      <c r="D4571" s="51">
        <v>5602</v>
      </c>
      <c r="F4571" s="23" t="s">
        <v>335</v>
      </c>
      <c r="G4571" s="23" t="s">
        <v>115</v>
      </c>
      <c r="H4571" s="23" t="s">
        <v>1778</v>
      </c>
      <c r="I4571" s="23">
        <v>3</v>
      </c>
      <c r="J4571" s="40">
        <v>0</v>
      </c>
      <c r="K4571" s="40">
        <v>0</v>
      </c>
      <c r="L4571" s="40" t="s">
        <v>115</v>
      </c>
      <c r="O4571" s="40" t="s">
        <v>115</v>
      </c>
      <c r="Q4571" s="40">
        <v>178</v>
      </c>
      <c r="R4571" s="40">
        <v>239</v>
      </c>
      <c r="X4571" s="40">
        <v>95602106</v>
      </c>
      <c r="Y4571" s="40" t="s">
        <v>115</v>
      </c>
      <c r="Z4571" s="40" t="s">
        <v>115</v>
      </c>
      <c r="AA4571" s="40" t="s">
        <v>115</v>
      </c>
      <c r="AB4571" s="40" t="s">
        <v>115</v>
      </c>
      <c r="AC4571" s="40" t="s">
        <v>115</v>
      </c>
      <c r="AI4571" s="40" t="s">
        <v>115</v>
      </c>
      <c r="AP4571" s="4" t="s">
        <v>115</v>
      </c>
    </row>
    <row r="4572" spans="1:42" x14ac:dyDescent="0.15">
      <c r="A4572" s="40" t="s">
        <v>1</v>
      </c>
      <c r="B4572" s="23">
        <v>95602106</v>
      </c>
      <c r="C4572" s="23">
        <v>56021</v>
      </c>
      <c r="D4572" s="51">
        <v>5602</v>
      </c>
      <c r="F4572" s="23" t="s">
        <v>335</v>
      </c>
      <c r="G4572" s="23" t="s">
        <v>115</v>
      </c>
      <c r="H4572" s="23" t="s">
        <v>1779</v>
      </c>
      <c r="I4572" s="23">
        <v>3</v>
      </c>
      <c r="J4572" s="40">
        <v>0</v>
      </c>
      <c r="K4572" s="40">
        <v>0</v>
      </c>
      <c r="L4572" s="40" t="s">
        <v>115</v>
      </c>
      <c r="O4572" s="40" t="s">
        <v>115</v>
      </c>
      <c r="Q4572" s="40">
        <v>178</v>
      </c>
      <c r="R4572" s="40">
        <v>239</v>
      </c>
      <c r="X4572" s="40">
        <v>95602107</v>
      </c>
      <c r="Y4572" s="40" t="s">
        <v>115</v>
      </c>
      <c r="Z4572" s="40" t="s">
        <v>115</v>
      </c>
      <c r="AA4572" s="40" t="s">
        <v>115</v>
      </c>
      <c r="AB4572" s="40" t="s">
        <v>115</v>
      </c>
      <c r="AC4572" s="40" t="s">
        <v>115</v>
      </c>
      <c r="AI4572" s="40" t="s">
        <v>115</v>
      </c>
      <c r="AP4572" s="4" t="s">
        <v>115</v>
      </c>
    </row>
    <row r="4573" spans="1:42" x14ac:dyDescent="0.15">
      <c r="A4573" s="40" t="s">
        <v>1</v>
      </c>
      <c r="B4573" s="23">
        <v>95602107</v>
      </c>
      <c r="C4573" s="23">
        <v>56021</v>
      </c>
      <c r="D4573" s="51">
        <v>5602</v>
      </c>
      <c r="F4573" s="23" t="s">
        <v>116</v>
      </c>
      <c r="G4573" s="23">
        <v>261</v>
      </c>
      <c r="H4573" s="23" t="s">
        <v>1780</v>
      </c>
      <c r="I4573" s="23">
        <v>0</v>
      </c>
      <c r="J4573" s="40">
        <v>0</v>
      </c>
      <c r="K4573" s="40">
        <v>0</v>
      </c>
      <c r="L4573" s="40" t="s">
        <v>115</v>
      </c>
      <c r="O4573" s="40" t="s">
        <v>115</v>
      </c>
      <c r="Q4573" s="40">
        <v>178</v>
      </c>
      <c r="R4573" s="40">
        <v>239</v>
      </c>
      <c r="X4573" s="40">
        <v>95602108</v>
      </c>
      <c r="Y4573" s="40" t="s">
        <v>115</v>
      </c>
      <c r="Z4573" s="40" t="s">
        <v>115</v>
      </c>
      <c r="AA4573" s="40" t="s">
        <v>115</v>
      </c>
      <c r="AB4573" s="40" t="s">
        <v>115</v>
      </c>
      <c r="AC4573" s="40" t="s">
        <v>115</v>
      </c>
      <c r="AI4573" s="40" t="s">
        <v>115</v>
      </c>
      <c r="AP4573" s="4" t="s">
        <v>115</v>
      </c>
    </row>
    <row r="4574" spans="1:42" x14ac:dyDescent="0.15">
      <c r="A4574" s="40" t="s">
        <v>1</v>
      </c>
      <c r="B4574" s="23">
        <v>95602108</v>
      </c>
      <c r="C4574" s="23">
        <v>56021</v>
      </c>
      <c r="D4574" s="51">
        <v>5602</v>
      </c>
      <c r="F4574" s="23" t="s">
        <v>335</v>
      </c>
      <c r="G4574" s="23" t="s">
        <v>115</v>
      </c>
      <c r="H4574" s="23" t="s">
        <v>1781</v>
      </c>
      <c r="I4574" s="23">
        <v>3</v>
      </c>
      <c r="J4574" s="40">
        <v>0</v>
      </c>
      <c r="K4574" s="40">
        <v>0</v>
      </c>
      <c r="L4574" s="40" t="s">
        <v>115</v>
      </c>
      <c r="O4574" s="40" t="s">
        <v>115</v>
      </c>
      <c r="Q4574" s="40">
        <v>178</v>
      </c>
      <c r="R4574" s="40">
        <v>239</v>
      </c>
      <c r="X4574" s="40">
        <v>95602109</v>
      </c>
      <c r="Y4574" s="40" t="s">
        <v>115</v>
      </c>
      <c r="Z4574" s="40" t="s">
        <v>115</v>
      </c>
      <c r="AA4574" s="40" t="s">
        <v>115</v>
      </c>
      <c r="AB4574" s="40" t="s">
        <v>115</v>
      </c>
      <c r="AC4574" s="40" t="s">
        <v>115</v>
      </c>
      <c r="AI4574" s="40" t="s">
        <v>115</v>
      </c>
      <c r="AP4574" s="4" t="s">
        <v>115</v>
      </c>
    </row>
    <row r="4575" spans="1:42" x14ac:dyDescent="0.15">
      <c r="A4575" s="40" t="s">
        <v>1</v>
      </c>
      <c r="B4575" s="23">
        <v>95602109</v>
      </c>
      <c r="C4575" s="23">
        <v>56021</v>
      </c>
      <c r="D4575" s="51">
        <v>5602</v>
      </c>
      <c r="F4575" s="23" t="s">
        <v>335</v>
      </c>
      <c r="G4575" s="23" t="s">
        <v>115</v>
      </c>
      <c r="H4575" s="23" t="s">
        <v>1782</v>
      </c>
      <c r="I4575" s="23">
        <v>3</v>
      </c>
      <c r="J4575" s="40">
        <v>0</v>
      </c>
      <c r="K4575" s="40">
        <v>0</v>
      </c>
      <c r="L4575" s="40" t="s">
        <v>115</v>
      </c>
      <c r="O4575" s="40" t="s">
        <v>115</v>
      </c>
      <c r="Q4575" s="40">
        <v>178</v>
      </c>
      <c r="R4575" s="40">
        <v>239</v>
      </c>
      <c r="X4575" s="40">
        <v>95602110</v>
      </c>
      <c r="Y4575" s="40" t="s">
        <v>115</v>
      </c>
      <c r="Z4575" s="40" t="s">
        <v>115</v>
      </c>
      <c r="AA4575" s="40" t="s">
        <v>115</v>
      </c>
      <c r="AB4575" s="40" t="s">
        <v>115</v>
      </c>
      <c r="AC4575" s="40" t="s">
        <v>115</v>
      </c>
      <c r="AI4575" s="40" t="s">
        <v>115</v>
      </c>
      <c r="AP4575" s="4" t="s">
        <v>115</v>
      </c>
    </row>
    <row r="4576" spans="1:42" x14ac:dyDescent="0.15">
      <c r="A4576" s="40" t="s">
        <v>1</v>
      </c>
      <c r="B4576" s="23">
        <v>95602110</v>
      </c>
      <c r="C4576" s="23">
        <v>56021</v>
      </c>
      <c r="D4576" s="51">
        <v>5602</v>
      </c>
      <c r="F4576" s="23" t="s">
        <v>116</v>
      </c>
      <c r="G4576" s="23">
        <v>261</v>
      </c>
      <c r="H4576" s="23" t="s">
        <v>1783</v>
      </c>
      <c r="I4576" s="23">
        <v>2</v>
      </c>
      <c r="J4576" s="40">
        <v>0</v>
      </c>
      <c r="K4576" s="40">
        <v>2</v>
      </c>
      <c r="L4576" s="40" t="s">
        <v>115</v>
      </c>
      <c r="O4576" s="40">
        <v>1</v>
      </c>
      <c r="Q4576" s="40">
        <v>178</v>
      </c>
      <c r="R4576" s="40">
        <v>239</v>
      </c>
      <c r="X4576" s="40" t="s">
        <v>115</v>
      </c>
      <c r="Y4576" s="40" t="s">
        <v>115</v>
      </c>
      <c r="Z4576" s="40" t="s">
        <v>115</v>
      </c>
      <c r="AA4576" s="40" t="s">
        <v>115</v>
      </c>
      <c r="AB4576" s="40" t="s">
        <v>115</v>
      </c>
      <c r="AC4576" s="40" t="s">
        <v>115</v>
      </c>
      <c r="AI4576" s="40" t="s">
        <v>115</v>
      </c>
      <c r="AP4576" s="40">
        <v>56022</v>
      </c>
    </row>
    <row r="4577" spans="1:42" x14ac:dyDescent="0.15">
      <c r="A4577" s="40" t="s">
        <v>1</v>
      </c>
      <c r="B4577" s="23">
        <v>95602201</v>
      </c>
      <c r="C4577" s="23">
        <v>56022</v>
      </c>
      <c r="D4577" s="51">
        <v>5602</v>
      </c>
      <c r="F4577" s="23" t="s">
        <v>115</v>
      </c>
      <c r="G4577" s="23" t="s">
        <v>115</v>
      </c>
      <c r="H4577" s="23" t="s">
        <v>1784</v>
      </c>
      <c r="I4577" s="23">
        <v>4</v>
      </c>
      <c r="J4577" s="40">
        <v>1</v>
      </c>
      <c r="K4577" s="40">
        <v>1</v>
      </c>
      <c r="L4577" s="40" t="s">
        <v>115</v>
      </c>
      <c r="O4577" s="40" t="s">
        <v>115</v>
      </c>
      <c r="Q4577" s="40">
        <v>198</v>
      </c>
      <c r="R4577" s="40" t="s">
        <v>115</v>
      </c>
      <c r="X4577" s="40">
        <v>95602202</v>
      </c>
      <c r="Y4577" s="40" t="s">
        <v>115</v>
      </c>
      <c r="Z4577" s="40" t="s">
        <v>115</v>
      </c>
      <c r="AA4577" s="40" t="s">
        <v>115</v>
      </c>
      <c r="AB4577" s="40" t="s">
        <v>115</v>
      </c>
      <c r="AC4577" s="40" t="s">
        <v>115</v>
      </c>
      <c r="AI4577" s="40" t="s">
        <v>115</v>
      </c>
      <c r="AP4577" s="4" t="s">
        <v>115</v>
      </c>
    </row>
    <row r="4578" spans="1:42" x14ac:dyDescent="0.15">
      <c r="A4578" s="40" t="s">
        <v>1</v>
      </c>
      <c r="B4578" s="23">
        <v>95602202</v>
      </c>
      <c r="C4578" s="23">
        <v>56022</v>
      </c>
      <c r="D4578" s="51">
        <v>5602</v>
      </c>
      <c r="F4578" s="23" t="s">
        <v>115</v>
      </c>
      <c r="G4578" s="23" t="s">
        <v>115</v>
      </c>
      <c r="H4578" s="23" t="s">
        <v>1785</v>
      </c>
      <c r="I4578" s="23">
        <v>4</v>
      </c>
      <c r="J4578" s="40">
        <v>0</v>
      </c>
      <c r="K4578" s="40">
        <v>0</v>
      </c>
      <c r="L4578" s="40" t="s">
        <v>115</v>
      </c>
      <c r="O4578" s="40" t="s">
        <v>115</v>
      </c>
      <c r="Q4578" s="40">
        <v>198</v>
      </c>
      <c r="R4578" s="40" t="s">
        <v>115</v>
      </c>
      <c r="X4578" s="40">
        <v>95602203</v>
      </c>
      <c r="Y4578" s="40" t="s">
        <v>115</v>
      </c>
      <c r="Z4578" s="40" t="s">
        <v>115</v>
      </c>
      <c r="AA4578" s="40" t="s">
        <v>115</v>
      </c>
      <c r="AB4578" s="40" t="s">
        <v>115</v>
      </c>
      <c r="AC4578" s="40" t="s">
        <v>115</v>
      </c>
      <c r="AI4578" s="40" t="s">
        <v>115</v>
      </c>
      <c r="AP4578" s="4" t="s">
        <v>115</v>
      </c>
    </row>
    <row r="4579" spans="1:42" x14ac:dyDescent="0.15">
      <c r="A4579" s="40" t="s">
        <v>1</v>
      </c>
      <c r="B4579" s="23">
        <v>95602203</v>
      </c>
      <c r="C4579" s="23">
        <v>56022</v>
      </c>
      <c r="D4579" s="51">
        <v>5602</v>
      </c>
      <c r="F4579" s="23" t="s">
        <v>115</v>
      </c>
      <c r="G4579" s="23" t="s">
        <v>115</v>
      </c>
      <c r="H4579" s="23" t="s">
        <v>1786</v>
      </c>
      <c r="I4579" s="23">
        <v>4</v>
      </c>
      <c r="J4579" s="40">
        <v>0</v>
      </c>
      <c r="K4579" s="40">
        <v>0</v>
      </c>
      <c r="L4579" s="40" t="s">
        <v>115</v>
      </c>
      <c r="O4579" s="40" t="s">
        <v>115</v>
      </c>
      <c r="Q4579" s="40">
        <v>198</v>
      </c>
      <c r="R4579" s="40" t="s">
        <v>115</v>
      </c>
      <c r="X4579" s="40">
        <v>95602204</v>
      </c>
      <c r="Y4579" s="40" t="s">
        <v>115</v>
      </c>
      <c r="Z4579" s="40" t="s">
        <v>115</v>
      </c>
      <c r="AA4579" s="40" t="s">
        <v>115</v>
      </c>
      <c r="AB4579" s="40" t="s">
        <v>115</v>
      </c>
      <c r="AC4579" s="40" t="s">
        <v>115</v>
      </c>
      <c r="AI4579" s="40" t="s">
        <v>115</v>
      </c>
      <c r="AP4579" s="4" t="s">
        <v>115</v>
      </c>
    </row>
    <row r="4580" spans="1:42" x14ac:dyDescent="0.15">
      <c r="A4580" s="40" t="s">
        <v>1</v>
      </c>
      <c r="B4580" s="23">
        <v>95602204</v>
      </c>
      <c r="C4580" s="23">
        <v>56022</v>
      </c>
      <c r="D4580" s="51">
        <v>5602</v>
      </c>
      <c r="F4580" s="23" t="s">
        <v>115</v>
      </c>
      <c r="G4580" s="23" t="s">
        <v>115</v>
      </c>
      <c r="H4580" s="23" t="s">
        <v>1787</v>
      </c>
      <c r="I4580" s="23">
        <v>4</v>
      </c>
      <c r="J4580" s="40">
        <v>0</v>
      </c>
      <c r="K4580" s="40">
        <v>0</v>
      </c>
      <c r="L4580" s="40" t="s">
        <v>115</v>
      </c>
      <c r="O4580" s="40" t="s">
        <v>115</v>
      </c>
      <c r="Q4580" s="40">
        <v>198</v>
      </c>
      <c r="R4580" s="40" t="s">
        <v>115</v>
      </c>
      <c r="X4580" s="40">
        <v>95602205</v>
      </c>
      <c r="Y4580" s="40" t="s">
        <v>115</v>
      </c>
      <c r="Z4580" s="40" t="s">
        <v>115</v>
      </c>
      <c r="AA4580" s="40" t="s">
        <v>115</v>
      </c>
      <c r="AB4580" s="40" t="s">
        <v>115</v>
      </c>
      <c r="AC4580" s="40" t="s">
        <v>115</v>
      </c>
      <c r="AI4580" s="40" t="s">
        <v>115</v>
      </c>
      <c r="AP4580" s="4" t="s">
        <v>115</v>
      </c>
    </row>
    <row r="4581" spans="1:42" x14ac:dyDescent="0.15">
      <c r="A4581" s="40" t="s">
        <v>1</v>
      </c>
      <c r="B4581" s="23">
        <v>95602205</v>
      </c>
      <c r="C4581" s="23">
        <v>56022</v>
      </c>
      <c r="D4581" s="51">
        <v>5602</v>
      </c>
      <c r="F4581" s="23" t="s">
        <v>1076</v>
      </c>
      <c r="G4581" s="23" t="s">
        <v>115</v>
      </c>
      <c r="H4581" s="23" t="s">
        <v>1788</v>
      </c>
      <c r="I4581" s="23">
        <v>3</v>
      </c>
      <c r="J4581" s="40">
        <v>0</v>
      </c>
      <c r="K4581" s="40">
        <v>0</v>
      </c>
      <c r="L4581" s="40" t="s">
        <v>115</v>
      </c>
      <c r="O4581" s="40" t="s">
        <v>115</v>
      </c>
      <c r="Q4581" s="40">
        <v>112</v>
      </c>
      <c r="R4581" s="40">
        <v>245</v>
      </c>
      <c r="X4581" s="40">
        <v>95602206</v>
      </c>
      <c r="Y4581" s="40" t="s">
        <v>115</v>
      </c>
      <c r="Z4581" s="40">
        <v>1</v>
      </c>
      <c r="AA4581" s="40" t="s">
        <v>115</v>
      </c>
      <c r="AB4581" s="40" t="s">
        <v>115</v>
      </c>
      <c r="AC4581" s="40" t="s">
        <v>115</v>
      </c>
      <c r="AI4581" s="40" t="s">
        <v>115</v>
      </c>
      <c r="AP4581" s="4" t="s">
        <v>115</v>
      </c>
    </row>
    <row r="4582" spans="1:42" x14ac:dyDescent="0.15">
      <c r="A4582" s="40" t="s">
        <v>1</v>
      </c>
      <c r="B4582" s="23">
        <v>95602206</v>
      </c>
      <c r="C4582" s="23">
        <v>56022</v>
      </c>
      <c r="D4582" s="51">
        <v>5602</v>
      </c>
      <c r="F4582" s="23" t="s">
        <v>1789</v>
      </c>
      <c r="G4582" s="23" t="s">
        <v>115</v>
      </c>
      <c r="H4582" s="23" t="s">
        <v>1790</v>
      </c>
      <c r="I4582" s="23">
        <v>3</v>
      </c>
      <c r="J4582" s="40">
        <v>0</v>
      </c>
      <c r="K4582" s="40">
        <v>0</v>
      </c>
      <c r="L4582" s="40" t="s">
        <v>115</v>
      </c>
      <c r="O4582" s="40" t="s">
        <v>115</v>
      </c>
      <c r="Q4582" s="40">
        <v>112</v>
      </c>
      <c r="R4582" s="40">
        <v>283</v>
      </c>
      <c r="X4582" s="40">
        <v>95602207</v>
      </c>
      <c r="Y4582" s="40" t="s">
        <v>115</v>
      </c>
      <c r="Z4582" s="40" t="s">
        <v>115</v>
      </c>
      <c r="AA4582" s="40" t="s">
        <v>115</v>
      </c>
      <c r="AB4582" s="40" t="s">
        <v>115</v>
      </c>
      <c r="AC4582" s="40" t="s">
        <v>115</v>
      </c>
      <c r="AI4582" s="40" t="s">
        <v>115</v>
      </c>
      <c r="AP4582" s="4" t="s">
        <v>115</v>
      </c>
    </row>
    <row r="4583" spans="1:42" x14ac:dyDescent="0.15">
      <c r="A4583" s="40" t="s">
        <v>1</v>
      </c>
      <c r="B4583" s="23">
        <v>95602207</v>
      </c>
      <c r="C4583" s="23">
        <v>56022</v>
      </c>
      <c r="D4583" s="51">
        <v>5602</v>
      </c>
      <c r="F4583" s="23" t="s">
        <v>1076</v>
      </c>
      <c r="G4583" s="23" t="s">
        <v>115</v>
      </c>
      <c r="H4583" s="23" t="s">
        <v>1791</v>
      </c>
      <c r="I4583" s="23">
        <v>3</v>
      </c>
      <c r="J4583" s="40">
        <v>0</v>
      </c>
      <c r="K4583" s="40">
        <v>0</v>
      </c>
      <c r="L4583" s="40" t="s">
        <v>115</v>
      </c>
      <c r="O4583" s="40" t="s">
        <v>115</v>
      </c>
      <c r="Q4583" s="40">
        <v>112</v>
      </c>
      <c r="R4583" s="40">
        <v>245</v>
      </c>
      <c r="X4583" s="40">
        <v>95602208</v>
      </c>
      <c r="Y4583" s="40" t="s">
        <v>115</v>
      </c>
      <c r="Z4583" s="40" t="s">
        <v>115</v>
      </c>
      <c r="AA4583" s="40" t="s">
        <v>115</v>
      </c>
      <c r="AB4583" s="40" t="s">
        <v>115</v>
      </c>
      <c r="AC4583" s="40" t="s">
        <v>115</v>
      </c>
      <c r="AI4583" s="40" t="s">
        <v>115</v>
      </c>
      <c r="AP4583" s="4" t="s">
        <v>115</v>
      </c>
    </row>
    <row r="4584" spans="1:42" x14ac:dyDescent="0.15">
      <c r="A4584" s="40" t="s">
        <v>1</v>
      </c>
      <c r="B4584" s="23">
        <v>95602208</v>
      </c>
      <c r="C4584" s="23">
        <v>56022</v>
      </c>
      <c r="D4584" s="51">
        <v>5602</v>
      </c>
      <c r="F4584" s="23" t="s">
        <v>1789</v>
      </c>
      <c r="G4584" s="23" t="s">
        <v>115</v>
      </c>
      <c r="H4584" s="23" t="s">
        <v>1792</v>
      </c>
      <c r="I4584" s="23">
        <v>3</v>
      </c>
      <c r="J4584" s="40">
        <v>0</v>
      </c>
      <c r="K4584" s="40">
        <v>0</v>
      </c>
      <c r="L4584" s="40" t="s">
        <v>115</v>
      </c>
      <c r="O4584" s="40" t="s">
        <v>115</v>
      </c>
      <c r="Q4584" s="40">
        <v>112</v>
      </c>
      <c r="R4584" s="40">
        <v>283</v>
      </c>
      <c r="X4584" s="40">
        <v>95602209</v>
      </c>
      <c r="Y4584" s="40" t="s">
        <v>115</v>
      </c>
      <c r="Z4584" s="40" t="s">
        <v>115</v>
      </c>
      <c r="AA4584" s="40" t="s">
        <v>115</v>
      </c>
      <c r="AB4584" s="40" t="s">
        <v>115</v>
      </c>
      <c r="AC4584" s="40" t="s">
        <v>115</v>
      </c>
      <c r="AI4584" s="40" t="s">
        <v>115</v>
      </c>
      <c r="AP4584" s="4" t="s">
        <v>115</v>
      </c>
    </row>
    <row r="4585" spans="1:42" x14ac:dyDescent="0.15">
      <c r="A4585" s="40" t="s">
        <v>1</v>
      </c>
      <c r="B4585" s="23">
        <v>95602209</v>
      </c>
      <c r="C4585" s="23">
        <v>56022</v>
      </c>
      <c r="D4585" s="51">
        <v>5602</v>
      </c>
      <c r="F4585" s="23" t="s">
        <v>1789</v>
      </c>
      <c r="G4585" s="23" t="s">
        <v>115</v>
      </c>
      <c r="H4585" s="23" t="s">
        <v>1793</v>
      </c>
      <c r="I4585" s="23">
        <v>3</v>
      </c>
      <c r="J4585" s="40">
        <v>0</v>
      </c>
      <c r="K4585" s="40">
        <v>0</v>
      </c>
      <c r="L4585" s="40" t="s">
        <v>115</v>
      </c>
      <c r="O4585" s="40" t="s">
        <v>115</v>
      </c>
      <c r="Q4585" s="40">
        <v>112</v>
      </c>
      <c r="R4585" s="40">
        <v>283</v>
      </c>
      <c r="X4585" s="40">
        <v>95602210</v>
      </c>
      <c r="Y4585" s="40" t="s">
        <v>115</v>
      </c>
      <c r="Z4585" s="40" t="s">
        <v>115</v>
      </c>
      <c r="AA4585" s="40" t="s">
        <v>115</v>
      </c>
      <c r="AB4585" s="40" t="s">
        <v>115</v>
      </c>
      <c r="AC4585" s="40" t="s">
        <v>115</v>
      </c>
      <c r="AI4585" s="40" t="s">
        <v>115</v>
      </c>
      <c r="AP4585" s="4" t="s">
        <v>115</v>
      </c>
    </row>
    <row r="4586" spans="1:42" x14ac:dyDescent="0.15">
      <c r="A4586" s="40" t="s">
        <v>1</v>
      </c>
      <c r="B4586" s="23">
        <v>95602210</v>
      </c>
      <c r="C4586" s="23">
        <v>56022</v>
      </c>
      <c r="D4586" s="51">
        <v>5602</v>
      </c>
      <c r="F4586" s="23" t="s">
        <v>1076</v>
      </c>
      <c r="G4586" s="23" t="s">
        <v>115</v>
      </c>
      <c r="H4586" s="23" t="s">
        <v>1794</v>
      </c>
      <c r="I4586" s="23">
        <v>3</v>
      </c>
      <c r="J4586" s="40">
        <v>0</v>
      </c>
      <c r="K4586" s="40">
        <v>0</v>
      </c>
      <c r="L4586" s="40" t="s">
        <v>115</v>
      </c>
      <c r="O4586" s="40" t="s">
        <v>115</v>
      </c>
      <c r="Q4586" s="40">
        <v>112</v>
      </c>
      <c r="R4586" s="40">
        <v>245</v>
      </c>
      <c r="X4586" s="40">
        <v>95602211</v>
      </c>
      <c r="Y4586" s="40" t="s">
        <v>115</v>
      </c>
      <c r="Z4586" s="40" t="s">
        <v>115</v>
      </c>
      <c r="AA4586" s="40" t="s">
        <v>115</v>
      </c>
      <c r="AB4586" s="40" t="s">
        <v>115</v>
      </c>
      <c r="AC4586" s="40" t="s">
        <v>115</v>
      </c>
      <c r="AI4586" s="40" t="s">
        <v>115</v>
      </c>
      <c r="AP4586" s="4" t="s">
        <v>115</v>
      </c>
    </row>
    <row r="4587" spans="1:42" x14ac:dyDescent="0.15">
      <c r="A4587" s="40" t="s">
        <v>1</v>
      </c>
      <c r="B4587" s="23">
        <v>95602211</v>
      </c>
      <c r="C4587" s="23">
        <v>56022</v>
      </c>
      <c r="D4587" s="51">
        <v>5602</v>
      </c>
      <c r="F4587" s="23" t="s">
        <v>1789</v>
      </c>
      <c r="G4587" s="23" t="s">
        <v>115</v>
      </c>
      <c r="H4587" s="23" t="s">
        <v>1795</v>
      </c>
      <c r="I4587" s="23">
        <v>3</v>
      </c>
      <c r="J4587" s="40">
        <v>0</v>
      </c>
      <c r="K4587" s="40">
        <v>0</v>
      </c>
      <c r="L4587" s="40" t="s">
        <v>115</v>
      </c>
      <c r="O4587" s="40" t="s">
        <v>115</v>
      </c>
      <c r="Q4587" s="40">
        <v>112</v>
      </c>
      <c r="R4587" s="40">
        <v>283</v>
      </c>
      <c r="X4587" s="40">
        <v>95602212</v>
      </c>
      <c r="Y4587" s="40" t="s">
        <v>115</v>
      </c>
      <c r="Z4587" s="40" t="s">
        <v>115</v>
      </c>
      <c r="AA4587" s="40" t="s">
        <v>115</v>
      </c>
      <c r="AB4587" s="40" t="s">
        <v>115</v>
      </c>
      <c r="AC4587" s="40" t="s">
        <v>115</v>
      </c>
      <c r="AI4587" s="40" t="s">
        <v>115</v>
      </c>
      <c r="AP4587" s="4" t="s">
        <v>115</v>
      </c>
    </row>
    <row r="4588" spans="1:42" x14ac:dyDescent="0.15">
      <c r="A4588" s="40" t="s">
        <v>1</v>
      </c>
      <c r="B4588" s="23">
        <v>95602212</v>
      </c>
      <c r="C4588" s="23">
        <v>56022</v>
      </c>
      <c r="D4588" s="51">
        <v>5602</v>
      </c>
      <c r="F4588" s="23" t="s">
        <v>1789</v>
      </c>
      <c r="G4588" s="23" t="s">
        <v>115</v>
      </c>
      <c r="H4588" s="23" t="s">
        <v>1796</v>
      </c>
      <c r="I4588" s="23">
        <v>3</v>
      </c>
      <c r="J4588" s="40">
        <v>0</v>
      </c>
      <c r="K4588" s="40">
        <v>0</v>
      </c>
      <c r="L4588" s="40" t="s">
        <v>115</v>
      </c>
      <c r="O4588" s="40" t="s">
        <v>115</v>
      </c>
      <c r="Q4588" s="40">
        <v>112</v>
      </c>
      <c r="R4588" s="40">
        <v>283</v>
      </c>
      <c r="X4588" s="40">
        <v>95602213</v>
      </c>
      <c r="Y4588" s="40" t="s">
        <v>115</v>
      </c>
      <c r="Z4588" s="40" t="s">
        <v>115</v>
      </c>
      <c r="AA4588" s="40" t="s">
        <v>115</v>
      </c>
      <c r="AB4588" s="40" t="s">
        <v>115</v>
      </c>
      <c r="AC4588" s="40" t="s">
        <v>115</v>
      </c>
      <c r="AI4588" s="40" t="s">
        <v>115</v>
      </c>
      <c r="AP4588" s="4" t="s">
        <v>115</v>
      </c>
    </row>
    <row r="4589" spans="1:42" x14ac:dyDescent="0.15">
      <c r="A4589" s="40" t="s">
        <v>1</v>
      </c>
      <c r="B4589" s="23">
        <v>95602213</v>
      </c>
      <c r="C4589" s="23">
        <v>56022</v>
      </c>
      <c r="D4589" s="51">
        <v>5602</v>
      </c>
      <c r="F4589" s="23" t="s">
        <v>1076</v>
      </c>
      <c r="G4589" s="23" t="s">
        <v>115</v>
      </c>
      <c r="H4589" s="23" t="s">
        <v>1797</v>
      </c>
      <c r="I4589" s="23">
        <v>3</v>
      </c>
      <c r="J4589" s="40">
        <v>0</v>
      </c>
      <c r="K4589" s="40">
        <v>0</v>
      </c>
      <c r="L4589" s="40" t="s">
        <v>115</v>
      </c>
      <c r="O4589" s="40" t="s">
        <v>115</v>
      </c>
      <c r="Q4589" s="40">
        <v>112</v>
      </c>
      <c r="R4589" s="40">
        <v>245</v>
      </c>
      <c r="X4589" s="40">
        <v>95602214</v>
      </c>
      <c r="Y4589" s="40" t="s">
        <v>115</v>
      </c>
      <c r="Z4589" s="40" t="s">
        <v>115</v>
      </c>
      <c r="AA4589" s="40" t="s">
        <v>115</v>
      </c>
      <c r="AB4589" s="40" t="s">
        <v>115</v>
      </c>
      <c r="AC4589" s="40" t="s">
        <v>115</v>
      </c>
      <c r="AI4589" s="40" t="s">
        <v>115</v>
      </c>
      <c r="AP4589" s="4" t="s">
        <v>115</v>
      </c>
    </row>
    <row r="4590" spans="1:42" x14ac:dyDescent="0.15">
      <c r="A4590" s="40" t="s">
        <v>1</v>
      </c>
      <c r="B4590" s="23">
        <v>95602214</v>
      </c>
      <c r="C4590" s="23">
        <v>56022</v>
      </c>
      <c r="D4590" s="51">
        <v>5602</v>
      </c>
      <c r="F4590" s="23" t="s">
        <v>1789</v>
      </c>
      <c r="G4590" s="23" t="s">
        <v>115</v>
      </c>
      <c r="H4590" s="23" t="s">
        <v>1798</v>
      </c>
      <c r="I4590" s="23">
        <v>3</v>
      </c>
      <c r="J4590" s="40">
        <v>0</v>
      </c>
      <c r="K4590" s="40">
        <v>0</v>
      </c>
      <c r="L4590" s="40" t="s">
        <v>115</v>
      </c>
      <c r="O4590" s="40" t="s">
        <v>115</v>
      </c>
      <c r="Q4590" s="40">
        <v>112</v>
      </c>
      <c r="R4590" s="40">
        <v>283</v>
      </c>
      <c r="X4590" s="40">
        <v>95602215</v>
      </c>
      <c r="Y4590" s="40" t="s">
        <v>115</v>
      </c>
      <c r="Z4590" s="40" t="s">
        <v>115</v>
      </c>
      <c r="AA4590" s="40" t="s">
        <v>115</v>
      </c>
      <c r="AB4590" s="40" t="s">
        <v>115</v>
      </c>
      <c r="AC4590" s="40" t="s">
        <v>115</v>
      </c>
      <c r="AI4590" s="40" t="s">
        <v>115</v>
      </c>
      <c r="AP4590" s="4" t="s">
        <v>115</v>
      </c>
    </row>
    <row r="4591" spans="1:42" x14ac:dyDescent="0.15">
      <c r="A4591" s="40" t="s">
        <v>1</v>
      </c>
      <c r="B4591" s="23">
        <v>95602215</v>
      </c>
      <c r="C4591" s="23">
        <v>56022</v>
      </c>
      <c r="D4591" s="51">
        <v>5602</v>
      </c>
      <c r="F4591" s="23" t="s">
        <v>1789</v>
      </c>
      <c r="G4591" s="23" t="s">
        <v>115</v>
      </c>
      <c r="H4591" s="23" t="s">
        <v>1799</v>
      </c>
      <c r="I4591" s="23">
        <v>3</v>
      </c>
      <c r="J4591" s="40">
        <v>0</v>
      </c>
      <c r="K4591" s="40">
        <v>0</v>
      </c>
      <c r="L4591" s="40" t="s">
        <v>115</v>
      </c>
      <c r="O4591" s="40" t="s">
        <v>115</v>
      </c>
      <c r="Q4591" s="40">
        <v>112</v>
      </c>
      <c r="R4591" s="40">
        <v>283</v>
      </c>
      <c r="X4591" s="40">
        <v>95602216</v>
      </c>
      <c r="Y4591" s="40" t="s">
        <v>115</v>
      </c>
      <c r="Z4591" s="40" t="s">
        <v>115</v>
      </c>
      <c r="AA4591" s="40" t="s">
        <v>115</v>
      </c>
      <c r="AB4591" s="40" t="s">
        <v>115</v>
      </c>
      <c r="AC4591" s="40" t="s">
        <v>115</v>
      </c>
      <c r="AI4591" s="40" t="s">
        <v>115</v>
      </c>
      <c r="AP4591" s="4" t="s">
        <v>115</v>
      </c>
    </row>
    <row r="4592" spans="1:42" x14ac:dyDescent="0.15">
      <c r="A4592" s="40" t="s">
        <v>1</v>
      </c>
      <c r="B4592" s="23">
        <v>95602216</v>
      </c>
      <c r="C4592" s="23">
        <v>56022</v>
      </c>
      <c r="D4592" s="51">
        <v>5602</v>
      </c>
      <c r="F4592" s="23" t="s">
        <v>1076</v>
      </c>
      <c r="G4592" s="23" t="s">
        <v>115</v>
      </c>
      <c r="H4592" s="23" t="s">
        <v>1800</v>
      </c>
      <c r="I4592" s="23">
        <v>3</v>
      </c>
      <c r="J4592" s="40">
        <v>0</v>
      </c>
      <c r="K4592" s="40">
        <v>0</v>
      </c>
      <c r="L4592" s="40" t="s">
        <v>115</v>
      </c>
      <c r="O4592" s="40" t="s">
        <v>115</v>
      </c>
      <c r="Q4592" s="40">
        <v>112</v>
      </c>
      <c r="R4592" s="40">
        <v>245</v>
      </c>
      <c r="X4592" s="40">
        <v>95602217</v>
      </c>
      <c r="Y4592" s="40" t="s">
        <v>115</v>
      </c>
      <c r="Z4592" s="40" t="s">
        <v>115</v>
      </c>
      <c r="AA4592" s="40" t="s">
        <v>115</v>
      </c>
      <c r="AB4592" s="40" t="s">
        <v>115</v>
      </c>
      <c r="AC4592" s="40" t="s">
        <v>115</v>
      </c>
      <c r="AI4592" s="40" t="s">
        <v>115</v>
      </c>
      <c r="AP4592" s="4" t="s">
        <v>115</v>
      </c>
    </row>
    <row r="4593" spans="1:42" x14ac:dyDescent="0.15">
      <c r="A4593" s="40" t="s">
        <v>1</v>
      </c>
      <c r="B4593" s="23">
        <v>95602217</v>
      </c>
      <c r="C4593" s="23">
        <v>56022</v>
      </c>
      <c r="D4593" s="51">
        <v>5602</v>
      </c>
      <c r="F4593" s="23" t="s">
        <v>116</v>
      </c>
      <c r="G4593" s="23">
        <v>261</v>
      </c>
      <c r="H4593" s="23" t="s">
        <v>1801</v>
      </c>
      <c r="I4593" s="23">
        <v>2</v>
      </c>
      <c r="J4593" s="40">
        <v>0</v>
      </c>
      <c r="K4593" s="40">
        <v>2</v>
      </c>
      <c r="L4593" s="40" t="s">
        <v>115</v>
      </c>
      <c r="O4593" s="40">
        <v>1</v>
      </c>
      <c r="Q4593" s="40">
        <v>112</v>
      </c>
      <c r="R4593" s="40" t="s">
        <v>115</v>
      </c>
      <c r="X4593" s="40" t="s">
        <v>115</v>
      </c>
      <c r="Y4593" s="40" t="s">
        <v>115</v>
      </c>
      <c r="Z4593" s="40" t="s">
        <v>115</v>
      </c>
      <c r="AA4593" s="40" t="s">
        <v>115</v>
      </c>
      <c r="AB4593" s="40" t="s">
        <v>115</v>
      </c>
      <c r="AC4593" s="40" t="s">
        <v>115</v>
      </c>
      <c r="AI4593" s="40" t="s">
        <v>115</v>
      </c>
      <c r="AP4593" s="40">
        <v>56023</v>
      </c>
    </row>
    <row r="4594" spans="1:42" x14ac:dyDescent="0.15">
      <c r="A4594" s="40" t="s">
        <v>1</v>
      </c>
      <c r="B4594" s="23">
        <v>95602301</v>
      </c>
      <c r="C4594" s="23">
        <v>56023</v>
      </c>
      <c r="D4594" s="51">
        <v>5602</v>
      </c>
      <c r="F4594" s="23" t="s">
        <v>115</v>
      </c>
      <c r="G4594" s="23" t="s">
        <v>115</v>
      </c>
      <c r="H4594" s="23" t="s">
        <v>1802</v>
      </c>
      <c r="I4594" s="23">
        <v>4</v>
      </c>
      <c r="J4594" s="40">
        <v>1</v>
      </c>
      <c r="K4594" s="40">
        <v>1</v>
      </c>
      <c r="L4594" s="40" t="s">
        <v>115</v>
      </c>
      <c r="O4594" s="40" t="s">
        <v>115</v>
      </c>
      <c r="Q4594" s="40">
        <v>198</v>
      </c>
      <c r="R4594" s="40" t="s">
        <v>115</v>
      </c>
      <c r="X4594" s="40">
        <v>95602302</v>
      </c>
      <c r="Y4594" s="40" t="s">
        <v>115</v>
      </c>
      <c r="Z4594" s="40" t="s">
        <v>115</v>
      </c>
      <c r="AA4594" s="40" t="s">
        <v>115</v>
      </c>
      <c r="AB4594" s="40" t="s">
        <v>115</v>
      </c>
      <c r="AC4594" s="40" t="s">
        <v>115</v>
      </c>
      <c r="AI4594" s="40" t="s">
        <v>115</v>
      </c>
      <c r="AP4594" s="4" t="s">
        <v>115</v>
      </c>
    </row>
    <row r="4595" spans="1:42" x14ac:dyDescent="0.15">
      <c r="A4595" s="40" t="s">
        <v>1</v>
      </c>
      <c r="B4595" s="23">
        <v>95602302</v>
      </c>
      <c r="C4595" s="23">
        <v>56023</v>
      </c>
      <c r="D4595" s="51">
        <v>5602</v>
      </c>
      <c r="F4595" s="23" t="s">
        <v>115</v>
      </c>
      <c r="G4595" s="23" t="s">
        <v>115</v>
      </c>
      <c r="H4595" s="23" t="s">
        <v>1803</v>
      </c>
      <c r="I4595" s="23">
        <v>4</v>
      </c>
      <c r="J4595" s="40">
        <v>0</v>
      </c>
      <c r="K4595" s="40">
        <v>0</v>
      </c>
      <c r="L4595" s="40" t="s">
        <v>115</v>
      </c>
      <c r="O4595" s="40" t="s">
        <v>115</v>
      </c>
      <c r="Q4595" s="40">
        <v>198</v>
      </c>
      <c r="R4595" s="40" t="s">
        <v>115</v>
      </c>
      <c r="X4595" s="40">
        <v>95602303</v>
      </c>
      <c r="Y4595" s="40" t="s">
        <v>115</v>
      </c>
      <c r="Z4595" s="40" t="s">
        <v>115</v>
      </c>
      <c r="AA4595" s="40" t="s">
        <v>115</v>
      </c>
      <c r="AB4595" s="40" t="s">
        <v>115</v>
      </c>
      <c r="AC4595" s="40" t="s">
        <v>115</v>
      </c>
      <c r="AI4595" s="40" t="s">
        <v>115</v>
      </c>
      <c r="AP4595" s="4" t="s">
        <v>115</v>
      </c>
    </row>
    <row r="4596" spans="1:42" x14ac:dyDescent="0.15">
      <c r="A4596" s="40" t="s">
        <v>1</v>
      </c>
      <c r="B4596" s="23">
        <v>95602303</v>
      </c>
      <c r="C4596" s="23">
        <v>56023</v>
      </c>
      <c r="D4596" s="51">
        <v>5602</v>
      </c>
      <c r="F4596" s="23" t="s">
        <v>116</v>
      </c>
      <c r="G4596" s="23">
        <v>259</v>
      </c>
      <c r="H4596" s="23" t="s">
        <v>1804</v>
      </c>
      <c r="I4596" s="23">
        <v>0</v>
      </c>
      <c r="J4596" s="40">
        <v>0</v>
      </c>
      <c r="K4596" s="40">
        <v>0</v>
      </c>
      <c r="L4596" s="40" t="s">
        <v>115</v>
      </c>
      <c r="O4596" s="40" t="s">
        <v>115</v>
      </c>
      <c r="Q4596" s="40">
        <v>198</v>
      </c>
      <c r="R4596" s="40" t="s">
        <v>115</v>
      </c>
      <c r="X4596" s="40">
        <v>95602304</v>
      </c>
      <c r="Y4596" s="40" t="s">
        <v>115</v>
      </c>
      <c r="Z4596" s="40" t="s">
        <v>115</v>
      </c>
      <c r="AA4596" s="40" t="s">
        <v>115</v>
      </c>
      <c r="AB4596" s="40" t="s">
        <v>115</v>
      </c>
      <c r="AC4596" s="40" t="s">
        <v>115</v>
      </c>
      <c r="AI4596" s="40" t="s">
        <v>115</v>
      </c>
      <c r="AP4596" s="4" t="s">
        <v>115</v>
      </c>
    </row>
    <row r="4597" spans="1:42" x14ac:dyDescent="0.15">
      <c r="A4597" s="40" t="s">
        <v>1</v>
      </c>
      <c r="B4597" s="23">
        <v>95602304</v>
      </c>
      <c r="C4597" s="23">
        <v>56023</v>
      </c>
      <c r="D4597" s="51">
        <v>5602</v>
      </c>
      <c r="F4597" s="23" t="s">
        <v>115</v>
      </c>
      <c r="G4597" s="23" t="s">
        <v>115</v>
      </c>
      <c r="H4597" s="23" t="s">
        <v>1805</v>
      </c>
      <c r="I4597" s="23">
        <v>4</v>
      </c>
      <c r="J4597" s="40">
        <v>0</v>
      </c>
      <c r="K4597" s="40">
        <v>0</v>
      </c>
      <c r="L4597" s="40" t="s">
        <v>115</v>
      </c>
      <c r="O4597" s="40" t="s">
        <v>115</v>
      </c>
      <c r="Q4597" s="40">
        <v>198</v>
      </c>
      <c r="R4597" s="40" t="s">
        <v>115</v>
      </c>
      <c r="X4597" s="40">
        <v>95602305</v>
      </c>
      <c r="Y4597" s="40" t="s">
        <v>115</v>
      </c>
      <c r="Z4597" s="40" t="s">
        <v>115</v>
      </c>
      <c r="AA4597" s="40" t="s">
        <v>115</v>
      </c>
      <c r="AB4597" s="40" t="s">
        <v>115</v>
      </c>
      <c r="AC4597" s="40" t="s">
        <v>115</v>
      </c>
      <c r="AI4597" s="40" t="s">
        <v>115</v>
      </c>
      <c r="AP4597" s="4" t="s">
        <v>115</v>
      </c>
    </row>
    <row r="4598" spans="1:42" x14ac:dyDescent="0.15">
      <c r="A4598" s="40" t="s">
        <v>1</v>
      </c>
      <c r="B4598" s="23">
        <v>95602305</v>
      </c>
      <c r="C4598" s="23">
        <v>56023</v>
      </c>
      <c r="D4598" s="51">
        <v>5602</v>
      </c>
      <c r="F4598" s="23" t="s">
        <v>1071</v>
      </c>
      <c r="G4598" s="23" t="s">
        <v>115</v>
      </c>
      <c r="H4598" s="23" t="s">
        <v>1806</v>
      </c>
      <c r="I4598" s="23">
        <v>3</v>
      </c>
      <c r="J4598" s="40">
        <v>0</v>
      </c>
      <c r="K4598" s="40">
        <v>0</v>
      </c>
      <c r="L4598" s="40" t="s">
        <v>115</v>
      </c>
      <c r="O4598" s="40" t="s">
        <v>115</v>
      </c>
      <c r="Q4598" s="40">
        <v>198</v>
      </c>
      <c r="R4598" s="40">
        <v>284</v>
      </c>
      <c r="X4598" s="40">
        <v>95602306</v>
      </c>
      <c r="Y4598" s="40" t="s">
        <v>115</v>
      </c>
      <c r="Z4598" s="40" t="s">
        <v>115</v>
      </c>
      <c r="AA4598" s="40" t="s">
        <v>115</v>
      </c>
      <c r="AB4598" s="40" t="s">
        <v>115</v>
      </c>
      <c r="AC4598" s="40" t="s">
        <v>115</v>
      </c>
      <c r="AI4598" s="40" t="s">
        <v>115</v>
      </c>
      <c r="AP4598" s="4" t="s">
        <v>115</v>
      </c>
    </row>
    <row r="4599" spans="1:42" x14ac:dyDescent="0.15">
      <c r="A4599" s="40" t="s">
        <v>1</v>
      </c>
      <c r="B4599" s="23">
        <v>95602306</v>
      </c>
      <c r="C4599" s="23">
        <v>56023</v>
      </c>
      <c r="D4599" s="51">
        <v>5602</v>
      </c>
      <c r="F4599" s="23" t="s">
        <v>116</v>
      </c>
      <c r="G4599" s="23">
        <v>261</v>
      </c>
      <c r="H4599" s="23" t="s">
        <v>1807</v>
      </c>
      <c r="I4599" s="23">
        <v>0</v>
      </c>
      <c r="J4599" s="40">
        <v>0</v>
      </c>
      <c r="K4599" s="40">
        <v>0</v>
      </c>
      <c r="L4599" s="40" t="s">
        <v>115</v>
      </c>
      <c r="O4599" s="40" t="s">
        <v>115</v>
      </c>
      <c r="Q4599" s="40">
        <v>198</v>
      </c>
      <c r="R4599" s="40">
        <v>284</v>
      </c>
      <c r="X4599" s="40">
        <v>95602307</v>
      </c>
      <c r="Y4599" s="40" t="s">
        <v>115</v>
      </c>
      <c r="Z4599" s="40" t="s">
        <v>115</v>
      </c>
      <c r="AA4599" s="40" t="s">
        <v>115</v>
      </c>
      <c r="AB4599" s="40" t="s">
        <v>115</v>
      </c>
      <c r="AC4599" s="40" t="s">
        <v>115</v>
      </c>
      <c r="AI4599" s="40" t="s">
        <v>115</v>
      </c>
      <c r="AP4599" s="4" t="s">
        <v>115</v>
      </c>
    </row>
    <row r="4600" spans="1:42" x14ac:dyDescent="0.15">
      <c r="A4600" s="40" t="s">
        <v>1</v>
      </c>
      <c r="B4600" s="23">
        <v>95602307</v>
      </c>
      <c r="C4600" s="23">
        <v>56023</v>
      </c>
      <c r="D4600" s="51">
        <v>5602</v>
      </c>
      <c r="F4600" s="23" t="s">
        <v>1071</v>
      </c>
      <c r="G4600" s="23" t="s">
        <v>115</v>
      </c>
      <c r="H4600" s="23" t="s">
        <v>1808</v>
      </c>
      <c r="I4600" s="23">
        <v>3</v>
      </c>
      <c r="J4600" s="40">
        <v>0</v>
      </c>
      <c r="K4600" s="40">
        <v>0</v>
      </c>
      <c r="L4600" s="40" t="s">
        <v>115</v>
      </c>
      <c r="O4600" s="40" t="s">
        <v>115</v>
      </c>
      <c r="Q4600" s="40">
        <v>198</v>
      </c>
      <c r="R4600" s="40">
        <v>284</v>
      </c>
      <c r="X4600" s="40">
        <v>95602308</v>
      </c>
      <c r="Y4600" s="40" t="s">
        <v>115</v>
      </c>
      <c r="Z4600" s="40" t="s">
        <v>115</v>
      </c>
      <c r="AA4600" s="40" t="s">
        <v>115</v>
      </c>
      <c r="AB4600" s="40" t="s">
        <v>115</v>
      </c>
      <c r="AC4600" s="40" t="s">
        <v>115</v>
      </c>
      <c r="AI4600" s="40" t="s">
        <v>115</v>
      </c>
      <c r="AP4600" s="4" t="s">
        <v>115</v>
      </c>
    </row>
    <row r="4601" spans="1:42" x14ac:dyDescent="0.15">
      <c r="A4601" s="40" t="s">
        <v>1</v>
      </c>
      <c r="B4601" s="23">
        <v>95602308</v>
      </c>
      <c r="C4601" s="23">
        <v>56023</v>
      </c>
      <c r="D4601" s="51">
        <v>5602</v>
      </c>
      <c r="F4601" s="23" t="s">
        <v>116</v>
      </c>
      <c r="G4601" s="23">
        <v>275</v>
      </c>
      <c r="H4601" s="23" t="s">
        <v>1809</v>
      </c>
      <c r="I4601" s="23">
        <v>0</v>
      </c>
      <c r="J4601" s="40">
        <v>0</v>
      </c>
      <c r="K4601" s="40">
        <v>0</v>
      </c>
      <c r="L4601" s="40" t="s">
        <v>115</v>
      </c>
      <c r="O4601" s="40" t="s">
        <v>115</v>
      </c>
      <c r="Q4601" s="40">
        <v>198</v>
      </c>
      <c r="R4601" s="40">
        <v>284</v>
      </c>
      <c r="X4601" s="40">
        <v>95602309</v>
      </c>
      <c r="Y4601" s="40" t="s">
        <v>115</v>
      </c>
      <c r="Z4601" s="40" t="s">
        <v>115</v>
      </c>
      <c r="AA4601" s="40" t="s">
        <v>115</v>
      </c>
      <c r="AB4601" s="40" t="s">
        <v>115</v>
      </c>
      <c r="AC4601" s="40" t="s">
        <v>115</v>
      </c>
      <c r="AI4601" s="40" t="s">
        <v>115</v>
      </c>
      <c r="AP4601" s="4" t="s">
        <v>115</v>
      </c>
    </row>
    <row r="4602" spans="1:42" x14ac:dyDescent="0.15">
      <c r="A4602" s="40" t="s">
        <v>1</v>
      </c>
      <c r="B4602" s="23">
        <v>95602309</v>
      </c>
      <c r="C4602" s="23">
        <v>56023</v>
      </c>
      <c r="D4602" s="51">
        <v>5602</v>
      </c>
      <c r="F4602" s="23" t="s">
        <v>1071</v>
      </c>
      <c r="G4602" s="23" t="s">
        <v>115</v>
      </c>
      <c r="H4602" s="23" t="s">
        <v>1810</v>
      </c>
      <c r="I4602" s="23">
        <v>3</v>
      </c>
      <c r="J4602" s="40">
        <v>0</v>
      </c>
      <c r="K4602" s="40">
        <v>0</v>
      </c>
      <c r="L4602" s="40" t="s">
        <v>115</v>
      </c>
      <c r="O4602" s="40" t="s">
        <v>115</v>
      </c>
      <c r="Q4602" s="40">
        <v>198</v>
      </c>
      <c r="R4602" s="40">
        <v>284</v>
      </c>
      <c r="X4602" s="40">
        <v>95602310</v>
      </c>
      <c r="Y4602" s="40" t="s">
        <v>115</v>
      </c>
      <c r="Z4602" s="40" t="s">
        <v>115</v>
      </c>
      <c r="AA4602" s="40" t="s">
        <v>115</v>
      </c>
      <c r="AB4602" s="40" t="s">
        <v>115</v>
      </c>
      <c r="AC4602" s="40" t="s">
        <v>115</v>
      </c>
      <c r="AI4602" s="40" t="s">
        <v>115</v>
      </c>
      <c r="AP4602" s="4" t="s">
        <v>115</v>
      </c>
    </row>
    <row r="4603" spans="1:42" x14ac:dyDescent="0.15">
      <c r="A4603" s="40" t="s">
        <v>1</v>
      </c>
      <c r="B4603" s="23">
        <v>95602310</v>
      </c>
      <c r="C4603" s="23">
        <v>56023</v>
      </c>
      <c r="D4603" s="51">
        <v>5602</v>
      </c>
      <c r="F4603" s="23" t="s">
        <v>1071</v>
      </c>
      <c r="G4603" s="23" t="s">
        <v>115</v>
      </c>
      <c r="H4603" s="23" t="s">
        <v>1811</v>
      </c>
      <c r="I4603" s="23">
        <v>3</v>
      </c>
      <c r="J4603" s="40">
        <v>0</v>
      </c>
      <c r="K4603" s="40">
        <v>0</v>
      </c>
      <c r="L4603" s="40" t="s">
        <v>115</v>
      </c>
      <c r="O4603" s="40" t="s">
        <v>115</v>
      </c>
      <c r="Q4603" s="40">
        <v>198</v>
      </c>
      <c r="R4603" s="40">
        <v>284</v>
      </c>
      <c r="X4603" s="40">
        <v>95602311</v>
      </c>
      <c r="Y4603" s="40" t="s">
        <v>115</v>
      </c>
      <c r="Z4603" s="40" t="s">
        <v>115</v>
      </c>
      <c r="AA4603" s="40" t="s">
        <v>115</v>
      </c>
      <c r="AB4603" s="40" t="s">
        <v>115</v>
      </c>
      <c r="AC4603" s="40" t="s">
        <v>115</v>
      </c>
      <c r="AI4603" s="40" t="s">
        <v>115</v>
      </c>
      <c r="AP4603" s="4" t="s">
        <v>115</v>
      </c>
    </row>
    <row r="4604" spans="1:42" x14ac:dyDescent="0.15">
      <c r="A4604" s="40" t="s">
        <v>1</v>
      </c>
      <c r="B4604" s="23">
        <v>95602311</v>
      </c>
      <c r="C4604" s="23">
        <v>56023</v>
      </c>
      <c r="D4604" s="51">
        <v>5602</v>
      </c>
      <c r="F4604" s="23" t="s">
        <v>116</v>
      </c>
      <c r="G4604" s="23">
        <v>261</v>
      </c>
      <c r="H4604" s="23" t="s">
        <v>1812</v>
      </c>
      <c r="I4604" s="23">
        <v>0</v>
      </c>
      <c r="J4604" s="40">
        <v>0</v>
      </c>
      <c r="K4604" s="40">
        <v>0</v>
      </c>
      <c r="L4604" s="40" t="s">
        <v>115</v>
      </c>
      <c r="O4604" s="40" t="s">
        <v>115</v>
      </c>
      <c r="Q4604" s="40">
        <v>198</v>
      </c>
      <c r="R4604" s="40">
        <v>284</v>
      </c>
      <c r="X4604" s="40">
        <v>95602312</v>
      </c>
      <c r="Y4604" s="40" t="s">
        <v>115</v>
      </c>
      <c r="Z4604" s="40" t="s">
        <v>115</v>
      </c>
      <c r="AA4604" s="40" t="s">
        <v>115</v>
      </c>
      <c r="AB4604" s="40" t="s">
        <v>115</v>
      </c>
      <c r="AC4604" s="40" t="s">
        <v>115</v>
      </c>
      <c r="AI4604" s="40" t="s">
        <v>115</v>
      </c>
      <c r="AP4604" s="4" t="s">
        <v>115</v>
      </c>
    </row>
    <row r="4605" spans="1:42" x14ac:dyDescent="0.15">
      <c r="A4605" s="40" t="s">
        <v>1</v>
      </c>
      <c r="B4605" s="23">
        <v>95602312</v>
      </c>
      <c r="C4605" s="23">
        <v>56023</v>
      </c>
      <c r="D4605" s="51">
        <v>5602</v>
      </c>
      <c r="F4605" s="23" t="s">
        <v>1071</v>
      </c>
      <c r="G4605" s="23" t="s">
        <v>115</v>
      </c>
      <c r="H4605" s="23" t="s">
        <v>1813</v>
      </c>
      <c r="I4605" s="23">
        <v>3</v>
      </c>
      <c r="J4605" s="40">
        <v>0</v>
      </c>
      <c r="K4605" s="40">
        <v>0</v>
      </c>
      <c r="L4605" s="40" t="s">
        <v>115</v>
      </c>
      <c r="O4605" s="40" t="s">
        <v>115</v>
      </c>
      <c r="Q4605" s="40">
        <v>198</v>
      </c>
      <c r="R4605" s="40">
        <v>284</v>
      </c>
      <c r="X4605" s="40">
        <v>95602313</v>
      </c>
      <c r="Y4605" s="40" t="s">
        <v>115</v>
      </c>
      <c r="Z4605" s="40" t="s">
        <v>115</v>
      </c>
      <c r="AA4605" s="40" t="s">
        <v>115</v>
      </c>
      <c r="AB4605" s="40" t="s">
        <v>115</v>
      </c>
      <c r="AC4605" s="40" t="s">
        <v>115</v>
      </c>
      <c r="AI4605" s="40" t="s">
        <v>115</v>
      </c>
      <c r="AP4605" s="4" t="s">
        <v>115</v>
      </c>
    </row>
    <row r="4606" spans="1:42" x14ac:dyDescent="0.15">
      <c r="A4606" s="40" t="s">
        <v>1</v>
      </c>
      <c r="B4606" s="23">
        <v>95602313</v>
      </c>
      <c r="C4606" s="23">
        <v>56023</v>
      </c>
      <c r="D4606" s="51">
        <v>5602</v>
      </c>
      <c r="F4606" s="23" t="s">
        <v>116</v>
      </c>
      <c r="G4606" s="23">
        <v>261</v>
      </c>
      <c r="H4606" s="23" t="s">
        <v>1814</v>
      </c>
      <c r="I4606" s="23">
        <v>0</v>
      </c>
      <c r="J4606" s="40">
        <v>0</v>
      </c>
      <c r="K4606" s="40">
        <v>0</v>
      </c>
      <c r="L4606" s="40" t="s">
        <v>115</v>
      </c>
      <c r="O4606" s="40" t="s">
        <v>115</v>
      </c>
      <c r="Q4606" s="40">
        <v>198</v>
      </c>
      <c r="R4606" s="40">
        <v>284</v>
      </c>
      <c r="X4606" s="40">
        <v>95602314</v>
      </c>
      <c r="Y4606" s="40" t="s">
        <v>115</v>
      </c>
      <c r="Z4606" s="40" t="s">
        <v>115</v>
      </c>
      <c r="AA4606" s="40" t="s">
        <v>115</v>
      </c>
      <c r="AB4606" s="40" t="s">
        <v>115</v>
      </c>
      <c r="AC4606" s="40" t="s">
        <v>115</v>
      </c>
      <c r="AI4606" s="40" t="s">
        <v>115</v>
      </c>
      <c r="AP4606" s="4" t="s">
        <v>115</v>
      </c>
    </row>
    <row r="4607" spans="1:42" x14ac:dyDescent="0.15">
      <c r="A4607" s="40" t="s">
        <v>1</v>
      </c>
      <c r="B4607" s="23">
        <v>95602314</v>
      </c>
      <c r="C4607" s="23">
        <v>56023</v>
      </c>
      <c r="D4607" s="51">
        <v>5602</v>
      </c>
      <c r="F4607" s="23" t="s">
        <v>1071</v>
      </c>
      <c r="G4607" s="23" t="s">
        <v>115</v>
      </c>
      <c r="H4607" s="23" t="s">
        <v>1815</v>
      </c>
      <c r="I4607" s="23">
        <v>3</v>
      </c>
      <c r="J4607" s="40">
        <v>0</v>
      </c>
      <c r="K4607" s="40">
        <v>0</v>
      </c>
      <c r="L4607" s="40" t="s">
        <v>115</v>
      </c>
      <c r="O4607" s="40" t="s">
        <v>115</v>
      </c>
      <c r="Q4607" s="40">
        <v>198</v>
      </c>
      <c r="R4607" s="40">
        <v>284</v>
      </c>
      <c r="X4607" s="40">
        <v>95602315</v>
      </c>
      <c r="Y4607" s="40" t="s">
        <v>115</v>
      </c>
      <c r="Z4607" s="40" t="s">
        <v>115</v>
      </c>
      <c r="AA4607" s="40" t="s">
        <v>115</v>
      </c>
      <c r="AB4607" s="40" t="s">
        <v>115</v>
      </c>
      <c r="AC4607" s="40" t="s">
        <v>115</v>
      </c>
      <c r="AI4607" s="40" t="s">
        <v>115</v>
      </c>
      <c r="AP4607" s="4" t="s">
        <v>115</v>
      </c>
    </row>
    <row r="4608" spans="1:42" x14ac:dyDescent="0.15">
      <c r="A4608" s="40" t="s">
        <v>1</v>
      </c>
      <c r="B4608" s="23">
        <v>95602315</v>
      </c>
      <c r="C4608" s="23">
        <v>56023</v>
      </c>
      <c r="D4608" s="51">
        <v>5602</v>
      </c>
      <c r="F4608" s="23" t="s">
        <v>1071</v>
      </c>
      <c r="G4608" s="23" t="s">
        <v>115</v>
      </c>
      <c r="H4608" s="23" t="s">
        <v>1816</v>
      </c>
      <c r="I4608" s="23">
        <v>3</v>
      </c>
      <c r="J4608" s="40">
        <v>0</v>
      </c>
      <c r="K4608" s="40">
        <v>2</v>
      </c>
      <c r="L4608" s="40" t="s">
        <v>115</v>
      </c>
      <c r="O4608" s="40">
        <v>1</v>
      </c>
      <c r="Q4608" s="40">
        <v>198</v>
      </c>
      <c r="R4608" s="40">
        <v>284</v>
      </c>
      <c r="X4608" s="40" t="s">
        <v>115</v>
      </c>
      <c r="Y4608" s="40" t="s">
        <v>115</v>
      </c>
      <c r="Z4608" s="40" t="s">
        <v>115</v>
      </c>
      <c r="AA4608" s="40" t="s">
        <v>115</v>
      </c>
      <c r="AB4608" s="40" t="s">
        <v>115</v>
      </c>
      <c r="AC4608" s="40" t="s">
        <v>115</v>
      </c>
      <c r="AI4608" s="40" t="s">
        <v>115</v>
      </c>
      <c r="AP4608" s="40">
        <v>-1</v>
      </c>
    </row>
    <row r="4609" spans="1:42" x14ac:dyDescent="0.15">
      <c r="D4609" s="51"/>
      <c r="AP4609" s="40"/>
    </row>
    <row r="4610" spans="1:42" x14ac:dyDescent="0.15">
      <c r="A4610" s="40" t="s">
        <v>1</v>
      </c>
      <c r="B4610" s="23">
        <v>95603101</v>
      </c>
      <c r="C4610" s="23">
        <v>56031</v>
      </c>
      <c r="D4610" s="51">
        <v>5603</v>
      </c>
      <c r="F4610" s="23" t="s">
        <v>115</v>
      </c>
      <c r="G4610" s="23" t="s">
        <v>115</v>
      </c>
      <c r="H4610" s="23" t="s">
        <v>7427</v>
      </c>
      <c r="I4610" s="23">
        <v>4</v>
      </c>
      <c r="J4610" s="40">
        <v>1</v>
      </c>
      <c r="K4610" s="40">
        <v>1</v>
      </c>
      <c r="L4610" s="40" t="s">
        <v>115</v>
      </c>
      <c r="O4610" s="40" t="s">
        <v>115</v>
      </c>
      <c r="Q4610" s="40">
        <v>163</v>
      </c>
      <c r="R4610" s="40" t="s">
        <v>115</v>
      </c>
      <c r="X4610" s="40">
        <v>95603102</v>
      </c>
      <c r="Y4610" s="40" t="s">
        <v>115</v>
      </c>
      <c r="Z4610" s="40" t="s">
        <v>115</v>
      </c>
      <c r="AA4610" s="40" t="s">
        <v>115</v>
      </c>
      <c r="AB4610" s="40" t="s">
        <v>115</v>
      </c>
      <c r="AC4610" s="40" t="s">
        <v>115</v>
      </c>
      <c r="AI4610" s="40" t="s">
        <v>115</v>
      </c>
      <c r="AP4610" s="40" t="s">
        <v>115</v>
      </c>
    </row>
    <row r="4611" spans="1:42" x14ac:dyDescent="0.15">
      <c r="A4611" s="40" t="s">
        <v>1</v>
      </c>
      <c r="B4611" s="23">
        <v>95603102</v>
      </c>
      <c r="C4611" s="23">
        <v>56031</v>
      </c>
      <c r="D4611" s="51">
        <v>5603</v>
      </c>
      <c r="F4611" s="23" t="s">
        <v>115</v>
      </c>
      <c r="G4611" s="23" t="s">
        <v>115</v>
      </c>
      <c r="H4611" s="23" t="s">
        <v>7428</v>
      </c>
      <c r="I4611" s="23">
        <v>4</v>
      </c>
      <c r="J4611" s="40">
        <v>0</v>
      </c>
      <c r="K4611" s="40">
        <v>0</v>
      </c>
      <c r="L4611" s="40" t="s">
        <v>115</v>
      </c>
      <c r="O4611" s="40" t="s">
        <v>115</v>
      </c>
      <c r="Q4611" s="40">
        <v>163</v>
      </c>
      <c r="R4611" s="40" t="s">
        <v>115</v>
      </c>
      <c r="X4611" s="40">
        <v>95603103</v>
      </c>
      <c r="Y4611" s="40" t="s">
        <v>115</v>
      </c>
      <c r="Z4611" s="40" t="s">
        <v>115</v>
      </c>
      <c r="AA4611" s="40" t="s">
        <v>115</v>
      </c>
      <c r="AB4611" s="40" t="s">
        <v>115</v>
      </c>
      <c r="AC4611" s="40" t="s">
        <v>115</v>
      </c>
      <c r="AI4611" s="40" t="s">
        <v>115</v>
      </c>
      <c r="AP4611" s="40" t="s">
        <v>115</v>
      </c>
    </row>
    <row r="4612" spans="1:42" x14ac:dyDescent="0.15">
      <c r="A4612" s="40" t="s">
        <v>1</v>
      </c>
      <c r="B4612" s="23">
        <v>95603103</v>
      </c>
      <c r="C4612" s="23">
        <v>56031</v>
      </c>
      <c r="D4612" s="51">
        <v>5603</v>
      </c>
      <c r="F4612" s="23" t="s">
        <v>116</v>
      </c>
      <c r="G4612" s="23">
        <v>275</v>
      </c>
      <c r="H4612" s="23" t="s">
        <v>7429</v>
      </c>
      <c r="I4612" s="23">
        <v>0</v>
      </c>
      <c r="J4612" s="40">
        <v>0</v>
      </c>
      <c r="K4612" s="40">
        <v>0</v>
      </c>
      <c r="L4612" s="40" t="s">
        <v>115</v>
      </c>
      <c r="O4612" s="40" t="s">
        <v>115</v>
      </c>
      <c r="Q4612" s="40">
        <v>163</v>
      </c>
      <c r="R4612" s="40" t="s">
        <v>115</v>
      </c>
      <c r="X4612" s="40">
        <v>95603104</v>
      </c>
      <c r="Y4612" s="40" t="s">
        <v>115</v>
      </c>
      <c r="Z4612" s="40" t="s">
        <v>115</v>
      </c>
      <c r="AA4612" s="40" t="s">
        <v>115</v>
      </c>
      <c r="AB4612" s="40" t="s">
        <v>115</v>
      </c>
      <c r="AC4612" s="40" t="s">
        <v>115</v>
      </c>
      <c r="AI4612" s="40" t="s">
        <v>115</v>
      </c>
      <c r="AP4612" s="40" t="s">
        <v>115</v>
      </c>
    </row>
    <row r="4613" spans="1:42" x14ac:dyDescent="0.15">
      <c r="A4613" s="40" t="s">
        <v>1</v>
      </c>
      <c r="B4613" s="23">
        <v>95603104</v>
      </c>
      <c r="C4613" s="23">
        <v>56031</v>
      </c>
      <c r="D4613" s="51">
        <v>5603</v>
      </c>
      <c r="F4613" s="23" t="s">
        <v>116</v>
      </c>
      <c r="G4613" s="23">
        <v>261</v>
      </c>
      <c r="H4613" s="23" t="s">
        <v>7430</v>
      </c>
      <c r="I4613" s="23">
        <v>0</v>
      </c>
      <c r="J4613" s="40">
        <v>0</v>
      </c>
      <c r="K4613" s="40">
        <v>2</v>
      </c>
      <c r="L4613" s="40" t="s">
        <v>115</v>
      </c>
      <c r="O4613" s="40">
        <v>1</v>
      </c>
      <c r="Q4613" s="40">
        <v>163</v>
      </c>
      <c r="R4613" s="40" t="s">
        <v>115</v>
      </c>
      <c r="X4613" s="40" t="s">
        <v>115</v>
      </c>
      <c r="Y4613" s="40" t="s">
        <v>115</v>
      </c>
      <c r="Z4613" s="40">
        <v>1</v>
      </c>
      <c r="AA4613" s="40" t="s">
        <v>115</v>
      </c>
      <c r="AB4613" s="40" t="s">
        <v>115</v>
      </c>
      <c r="AC4613" s="40" t="s">
        <v>115</v>
      </c>
      <c r="AI4613" s="40" t="s">
        <v>115</v>
      </c>
      <c r="AP4613" s="40" t="s">
        <v>115</v>
      </c>
    </row>
    <row r="4614" spans="1:42" x14ac:dyDescent="0.15">
      <c r="D4614" s="51"/>
      <c r="AP4614" s="40"/>
    </row>
    <row r="4615" spans="1:42" x14ac:dyDescent="0.15">
      <c r="A4615" s="40" t="s">
        <v>1</v>
      </c>
      <c r="B4615" s="23">
        <v>95604101</v>
      </c>
      <c r="C4615" s="23">
        <v>56041</v>
      </c>
      <c r="D4615" s="51">
        <v>5604</v>
      </c>
      <c r="F4615" s="23" t="s">
        <v>115</v>
      </c>
      <c r="G4615" s="23" t="s">
        <v>115</v>
      </c>
      <c r="H4615" s="23" t="s">
        <v>7427</v>
      </c>
      <c r="I4615" s="23">
        <v>4</v>
      </c>
      <c r="J4615" s="40">
        <v>1</v>
      </c>
      <c r="K4615" s="40">
        <v>1</v>
      </c>
      <c r="L4615" s="40" t="s">
        <v>115</v>
      </c>
      <c r="O4615" s="40" t="s">
        <v>115</v>
      </c>
      <c r="Q4615" s="40">
        <v>163</v>
      </c>
      <c r="R4615" s="40" t="s">
        <v>115</v>
      </c>
      <c r="X4615" s="40">
        <v>95604102</v>
      </c>
      <c r="Y4615" s="40" t="s">
        <v>115</v>
      </c>
      <c r="Z4615" s="40" t="s">
        <v>115</v>
      </c>
      <c r="AA4615" s="40" t="s">
        <v>115</v>
      </c>
      <c r="AB4615" s="40" t="s">
        <v>115</v>
      </c>
      <c r="AC4615" s="40" t="s">
        <v>115</v>
      </c>
      <c r="AI4615" s="40" t="s">
        <v>115</v>
      </c>
      <c r="AP4615" s="40" t="s">
        <v>115</v>
      </c>
    </row>
    <row r="4616" spans="1:42" x14ac:dyDescent="0.15">
      <c r="A4616" s="40" t="s">
        <v>1</v>
      </c>
      <c r="B4616" s="23">
        <v>95604102</v>
      </c>
      <c r="C4616" s="23">
        <v>56041</v>
      </c>
      <c r="D4616" s="51">
        <v>5604</v>
      </c>
      <c r="F4616" s="23" t="s">
        <v>115</v>
      </c>
      <c r="G4616" s="23" t="s">
        <v>115</v>
      </c>
      <c r="H4616" s="23" t="s">
        <v>7428</v>
      </c>
      <c r="I4616" s="23">
        <v>4</v>
      </c>
      <c r="J4616" s="40">
        <v>0</v>
      </c>
      <c r="K4616" s="40">
        <v>0</v>
      </c>
      <c r="L4616" s="40" t="s">
        <v>115</v>
      </c>
      <c r="O4616" s="40" t="s">
        <v>115</v>
      </c>
      <c r="Q4616" s="40">
        <v>163</v>
      </c>
      <c r="R4616" s="40" t="s">
        <v>115</v>
      </c>
      <c r="X4616" s="40">
        <v>95604103</v>
      </c>
      <c r="Y4616" s="40" t="s">
        <v>115</v>
      </c>
      <c r="Z4616" s="40" t="s">
        <v>115</v>
      </c>
      <c r="AA4616" s="40" t="s">
        <v>115</v>
      </c>
      <c r="AB4616" s="40" t="s">
        <v>115</v>
      </c>
      <c r="AC4616" s="40" t="s">
        <v>115</v>
      </c>
      <c r="AI4616" s="40" t="s">
        <v>115</v>
      </c>
      <c r="AP4616" s="40" t="s">
        <v>115</v>
      </c>
    </row>
    <row r="4617" spans="1:42" x14ac:dyDescent="0.15">
      <c r="A4617" s="40" t="s">
        <v>1</v>
      </c>
      <c r="B4617" s="23">
        <v>95604103</v>
      </c>
      <c r="C4617" s="23">
        <v>56041</v>
      </c>
      <c r="D4617" s="51">
        <v>5604</v>
      </c>
      <c r="F4617" s="23" t="s">
        <v>116</v>
      </c>
      <c r="G4617" s="23">
        <v>275</v>
      </c>
      <c r="H4617" s="23" t="s">
        <v>7429</v>
      </c>
      <c r="I4617" s="23">
        <v>0</v>
      </c>
      <c r="J4617" s="40">
        <v>0</v>
      </c>
      <c r="K4617" s="40">
        <v>0</v>
      </c>
      <c r="L4617" s="40" t="s">
        <v>115</v>
      </c>
      <c r="O4617" s="40" t="s">
        <v>115</v>
      </c>
      <c r="Q4617" s="40">
        <v>163</v>
      </c>
      <c r="R4617" s="40" t="s">
        <v>115</v>
      </c>
      <c r="X4617" s="40">
        <v>95604104</v>
      </c>
      <c r="Y4617" s="40" t="s">
        <v>115</v>
      </c>
      <c r="Z4617" s="40" t="s">
        <v>115</v>
      </c>
      <c r="AA4617" s="40" t="s">
        <v>115</v>
      </c>
      <c r="AB4617" s="40" t="s">
        <v>115</v>
      </c>
      <c r="AC4617" s="40" t="s">
        <v>115</v>
      </c>
      <c r="AI4617" s="40" t="s">
        <v>115</v>
      </c>
      <c r="AP4617" s="40" t="s">
        <v>115</v>
      </c>
    </row>
    <row r="4618" spans="1:42" x14ac:dyDescent="0.15">
      <c r="A4618" s="40" t="s">
        <v>1</v>
      </c>
      <c r="B4618" s="23">
        <v>95604104</v>
      </c>
      <c r="C4618" s="23">
        <v>56041</v>
      </c>
      <c r="D4618" s="51">
        <v>5604</v>
      </c>
      <c r="F4618" s="23" t="s">
        <v>116</v>
      </c>
      <c r="G4618" s="23">
        <v>261</v>
      </c>
      <c r="H4618" s="23" t="s">
        <v>7430</v>
      </c>
      <c r="I4618" s="23">
        <v>0</v>
      </c>
      <c r="J4618" s="40">
        <v>0</v>
      </c>
      <c r="K4618" s="40">
        <v>2</v>
      </c>
      <c r="L4618" s="40" t="s">
        <v>115</v>
      </c>
      <c r="O4618" s="40">
        <v>1</v>
      </c>
      <c r="Q4618" s="40">
        <v>163</v>
      </c>
      <c r="R4618" s="40" t="s">
        <v>115</v>
      </c>
      <c r="X4618" s="40" t="s">
        <v>115</v>
      </c>
      <c r="Y4618" s="40" t="s">
        <v>115</v>
      </c>
      <c r="Z4618" s="40">
        <v>1</v>
      </c>
      <c r="AA4618" s="40" t="s">
        <v>115</v>
      </c>
      <c r="AB4618" s="40" t="s">
        <v>115</v>
      </c>
      <c r="AC4618" s="40" t="s">
        <v>115</v>
      </c>
      <c r="AI4618" s="40" t="s">
        <v>115</v>
      </c>
      <c r="AP4618" s="40" t="s">
        <v>115</v>
      </c>
    </row>
    <row r="4619" spans="1:42" x14ac:dyDescent="0.15">
      <c r="D4619" s="51"/>
      <c r="AP4619" s="40"/>
    </row>
    <row r="4620" spans="1:42" x14ac:dyDescent="0.15">
      <c r="A4620" s="40" t="s">
        <v>1</v>
      </c>
      <c r="B4620" s="23">
        <v>95605101</v>
      </c>
      <c r="C4620" s="23">
        <v>56051</v>
      </c>
      <c r="D4620" s="51">
        <v>5605</v>
      </c>
      <c r="F4620" s="23" t="s">
        <v>115</v>
      </c>
      <c r="G4620" s="23" t="s">
        <v>115</v>
      </c>
      <c r="H4620" s="23" t="s">
        <v>7427</v>
      </c>
      <c r="I4620" s="23">
        <v>4</v>
      </c>
      <c r="J4620" s="40">
        <v>1</v>
      </c>
      <c r="K4620" s="40">
        <v>1</v>
      </c>
      <c r="L4620" s="40" t="s">
        <v>115</v>
      </c>
      <c r="O4620" s="40" t="s">
        <v>115</v>
      </c>
      <c r="Q4620" s="40">
        <v>163</v>
      </c>
      <c r="R4620" s="40" t="s">
        <v>115</v>
      </c>
      <c r="X4620" s="40">
        <v>95605102</v>
      </c>
      <c r="Y4620" s="40" t="s">
        <v>115</v>
      </c>
      <c r="Z4620" s="40" t="s">
        <v>115</v>
      </c>
      <c r="AA4620" s="40" t="s">
        <v>115</v>
      </c>
      <c r="AB4620" s="40" t="s">
        <v>115</v>
      </c>
      <c r="AC4620" s="40" t="s">
        <v>115</v>
      </c>
      <c r="AI4620" s="40" t="s">
        <v>115</v>
      </c>
      <c r="AP4620" s="40" t="s">
        <v>115</v>
      </c>
    </row>
    <row r="4621" spans="1:42" x14ac:dyDescent="0.15">
      <c r="A4621" s="40" t="s">
        <v>1</v>
      </c>
      <c r="B4621" s="23">
        <v>95605102</v>
      </c>
      <c r="C4621" s="23">
        <v>56051</v>
      </c>
      <c r="D4621" s="51">
        <v>5605</v>
      </c>
      <c r="F4621" s="23" t="s">
        <v>115</v>
      </c>
      <c r="G4621" s="23" t="s">
        <v>115</v>
      </c>
      <c r="H4621" s="23" t="s">
        <v>7428</v>
      </c>
      <c r="I4621" s="23">
        <v>4</v>
      </c>
      <c r="J4621" s="40">
        <v>0</v>
      </c>
      <c r="K4621" s="40">
        <v>0</v>
      </c>
      <c r="L4621" s="40" t="s">
        <v>115</v>
      </c>
      <c r="O4621" s="40" t="s">
        <v>115</v>
      </c>
      <c r="Q4621" s="40">
        <v>163</v>
      </c>
      <c r="R4621" s="40" t="s">
        <v>115</v>
      </c>
      <c r="X4621" s="40">
        <v>95605103</v>
      </c>
      <c r="Y4621" s="40" t="s">
        <v>115</v>
      </c>
      <c r="Z4621" s="40" t="s">
        <v>115</v>
      </c>
      <c r="AA4621" s="40" t="s">
        <v>115</v>
      </c>
      <c r="AB4621" s="40" t="s">
        <v>115</v>
      </c>
      <c r="AC4621" s="40" t="s">
        <v>115</v>
      </c>
      <c r="AI4621" s="40" t="s">
        <v>115</v>
      </c>
      <c r="AP4621" s="40" t="s">
        <v>115</v>
      </c>
    </row>
    <row r="4622" spans="1:42" x14ac:dyDescent="0.15">
      <c r="A4622" s="40" t="s">
        <v>1</v>
      </c>
      <c r="B4622" s="23">
        <v>95605103</v>
      </c>
      <c r="C4622" s="23">
        <v>56051</v>
      </c>
      <c r="D4622" s="51">
        <v>5605</v>
      </c>
      <c r="F4622" s="23" t="s">
        <v>116</v>
      </c>
      <c r="G4622" s="23">
        <v>275</v>
      </c>
      <c r="H4622" s="23" t="s">
        <v>7429</v>
      </c>
      <c r="I4622" s="23">
        <v>0</v>
      </c>
      <c r="J4622" s="40">
        <v>0</v>
      </c>
      <c r="K4622" s="40">
        <v>0</v>
      </c>
      <c r="L4622" s="40" t="s">
        <v>115</v>
      </c>
      <c r="O4622" s="40" t="s">
        <v>115</v>
      </c>
      <c r="Q4622" s="40">
        <v>163</v>
      </c>
      <c r="R4622" s="40" t="s">
        <v>115</v>
      </c>
      <c r="X4622" s="40">
        <v>95605104</v>
      </c>
      <c r="Y4622" s="40" t="s">
        <v>115</v>
      </c>
      <c r="Z4622" s="40" t="s">
        <v>115</v>
      </c>
      <c r="AA4622" s="40" t="s">
        <v>115</v>
      </c>
      <c r="AB4622" s="40" t="s">
        <v>115</v>
      </c>
      <c r="AC4622" s="40" t="s">
        <v>115</v>
      </c>
      <c r="AI4622" s="40" t="s">
        <v>115</v>
      </c>
      <c r="AP4622" s="40" t="s">
        <v>115</v>
      </c>
    </row>
    <row r="4623" spans="1:42" x14ac:dyDescent="0.15">
      <c r="A4623" s="40" t="s">
        <v>1</v>
      </c>
      <c r="B4623" s="23">
        <v>95605104</v>
      </c>
      <c r="C4623" s="23">
        <v>56051</v>
      </c>
      <c r="D4623" s="51">
        <v>5605</v>
      </c>
      <c r="F4623" s="23" t="s">
        <v>116</v>
      </c>
      <c r="G4623" s="23">
        <v>261</v>
      </c>
      <c r="H4623" s="23" t="s">
        <v>7431</v>
      </c>
      <c r="I4623" s="23">
        <v>0</v>
      </c>
      <c r="J4623" s="40">
        <v>0</v>
      </c>
      <c r="K4623" s="40">
        <v>2</v>
      </c>
      <c r="L4623" s="40" t="s">
        <v>115</v>
      </c>
      <c r="O4623" s="40">
        <v>1</v>
      </c>
      <c r="Q4623" s="40">
        <v>163</v>
      </c>
      <c r="R4623" s="40" t="s">
        <v>115</v>
      </c>
      <c r="X4623" s="40" t="s">
        <v>115</v>
      </c>
      <c r="Y4623" s="40" t="s">
        <v>115</v>
      </c>
      <c r="Z4623" s="40">
        <v>1</v>
      </c>
      <c r="AA4623" s="40" t="s">
        <v>115</v>
      </c>
      <c r="AB4623" s="40" t="s">
        <v>115</v>
      </c>
      <c r="AC4623" s="40" t="s">
        <v>115</v>
      </c>
      <c r="AI4623" s="40" t="s">
        <v>115</v>
      </c>
      <c r="AP4623" s="40" t="s">
        <v>115</v>
      </c>
    </row>
    <row r="4624" spans="1:42" x14ac:dyDescent="0.15">
      <c r="B4624" s="23" t="s">
        <v>115</v>
      </c>
      <c r="C4624" s="23" t="s">
        <v>115</v>
      </c>
      <c r="X4624" s="40" t="s">
        <v>115</v>
      </c>
      <c r="AP4624" s="4" t="s">
        <v>115</v>
      </c>
    </row>
    <row r="4625" spans="1:42" x14ac:dyDescent="0.15">
      <c r="A4625" s="40" t="s">
        <v>1</v>
      </c>
      <c r="B4625" s="23">
        <v>95801101</v>
      </c>
      <c r="C4625" s="23">
        <v>58011</v>
      </c>
      <c r="D4625" s="23">
        <v>5801</v>
      </c>
      <c r="F4625" s="23" t="s">
        <v>115</v>
      </c>
      <c r="G4625" s="23" t="s">
        <v>115</v>
      </c>
      <c r="H4625" s="23" t="s">
        <v>1278</v>
      </c>
      <c r="I4625" s="23">
        <v>4</v>
      </c>
      <c r="J4625" s="40">
        <v>1</v>
      </c>
      <c r="K4625" s="40">
        <v>1</v>
      </c>
      <c r="L4625" s="40" t="s">
        <v>115</v>
      </c>
      <c r="O4625" s="40" t="s">
        <v>115</v>
      </c>
      <c r="Q4625" s="40">
        <v>136</v>
      </c>
      <c r="R4625" s="40" t="s">
        <v>115</v>
      </c>
      <c r="X4625" s="40">
        <v>95801102</v>
      </c>
      <c r="Y4625" s="40" t="s">
        <v>115</v>
      </c>
      <c r="Z4625" s="40" t="s">
        <v>115</v>
      </c>
      <c r="AA4625" s="40" t="s">
        <v>115</v>
      </c>
      <c r="AB4625" s="40" t="s">
        <v>115</v>
      </c>
      <c r="AC4625" s="40" t="s">
        <v>115</v>
      </c>
      <c r="AI4625" s="40" t="s">
        <v>115</v>
      </c>
      <c r="AP4625" s="4" t="s">
        <v>115</v>
      </c>
    </row>
    <row r="4626" spans="1:42" x14ac:dyDescent="0.15">
      <c r="A4626" s="40" t="s">
        <v>1</v>
      </c>
      <c r="B4626" s="23">
        <v>95801102</v>
      </c>
      <c r="C4626" s="23">
        <v>58011</v>
      </c>
      <c r="D4626" s="23">
        <v>5801</v>
      </c>
      <c r="F4626" s="23" t="s">
        <v>115</v>
      </c>
      <c r="G4626" s="23" t="s">
        <v>115</v>
      </c>
      <c r="H4626" s="23" t="s">
        <v>1279</v>
      </c>
      <c r="I4626" s="23">
        <v>4</v>
      </c>
      <c r="J4626" s="40">
        <v>0</v>
      </c>
      <c r="K4626" s="40">
        <v>0</v>
      </c>
      <c r="L4626" s="40" t="s">
        <v>115</v>
      </c>
      <c r="O4626" s="40" t="s">
        <v>115</v>
      </c>
      <c r="Q4626" s="40">
        <v>136</v>
      </c>
      <c r="R4626" s="40" t="s">
        <v>115</v>
      </c>
      <c r="X4626" s="40">
        <v>95801103</v>
      </c>
      <c r="Y4626" s="40" t="s">
        <v>115</v>
      </c>
      <c r="Z4626" s="40" t="s">
        <v>115</v>
      </c>
      <c r="AA4626" s="40" t="s">
        <v>115</v>
      </c>
      <c r="AB4626" s="40" t="s">
        <v>115</v>
      </c>
      <c r="AC4626" s="40" t="s">
        <v>115</v>
      </c>
      <c r="AI4626" s="40" t="s">
        <v>115</v>
      </c>
      <c r="AP4626" s="4" t="s">
        <v>115</v>
      </c>
    </row>
    <row r="4627" spans="1:42" x14ac:dyDescent="0.15">
      <c r="A4627" s="40" t="s">
        <v>1</v>
      </c>
      <c r="B4627" s="23">
        <v>95801103</v>
      </c>
      <c r="C4627" s="23">
        <v>58011</v>
      </c>
      <c r="D4627" s="23">
        <v>5801</v>
      </c>
      <c r="F4627" s="23" t="s">
        <v>116</v>
      </c>
      <c r="G4627" s="23">
        <v>312</v>
      </c>
      <c r="H4627" s="23" t="s">
        <v>1280</v>
      </c>
      <c r="I4627" s="23">
        <v>0</v>
      </c>
      <c r="J4627" s="40">
        <v>0</v>
      </c>
      <c r="K4627" s="40">
        <v>0</v>
      </c>
      <c r="L4627" s="40" t="s">
        <v>115</v>
      </c>
      <c r="O4627" s="40" t="s">
        <v>115</v>
      </c>
      <c r="Q4627" s="40">
        <v>136</v>
      </c>
      <c r="R4627" s="40" t="s">
        <v>115</v>
      </c>
      <c r="X4627" s="40">
        <v>95801104</v>
      </c>
      <c r="Y4627" s="40" t="s">
        <v>115</v>
      </c>
      <c r="Z4627" s="40" t="s">
        <v>115</v>
      </c>
      <c r="AA4627" s="40" t="s">
        <v>115</v>
      </c>
      <c r="AB4627" s="40" t="s">
        <v>115</v>
      </c>
      <c r="AC4627" s="40" t="s">
        <v>115</v>
      </c>
      <c r="AI4627" s="40" t="s">
        <v>115</v>
      </c>
      <c r="AP4627" s="4" t="s">
        <v>115</v>
      </c>
    </row>
    <row r="4628" spans="1:42" x14ac:dyDescent="0.15">
      <c r="A4628" s="40" t="s">
        <v>1</v>
      </c>
      <c r="B4628" s="23">
        <v>95801104</v>
      </c>
      <c r="C4628" s="23">
        <v>58011</v>
      </c>
      <c r="D4628" s="23">
        <v>5801</v>
      </c>
      <c r="F4628" s="23" t="s">
        <v>116</v>
      </c>
      <c r="G4628" s="23">
        <v>314</v>
      </c>
      <c r="H4628" s="23" t="s">
        <v>1281</v>
      </c>
      <c r="I4628" s="23">
        <v>0</v>
      </c>
      <c r="J4628" s="40">
        <v>0</v>
      </c>
      <c r="K4628" s="40">
        <v>0</v>
      </c>
      <c r="L4628" s="40" t="s">
        <v>115</v>
      </c>
      <c r="O4628" s="40" t="s">
        <v>115</v>
      </c>
      <c r="Q4628" s="40">
        <v>136</v>
      </c>
      <c r="R4628" s="40" t="s">
        <v>115</v>
      </c>
      <c r="X4628" s="40">
        <v>95801105</v>
      </c>
      <c r="Y4628" s="40" t="s">
        <v>115</v>
      </c>
      <c r="Z4628" s="40" t="s">
        <v>115</v>
      </c>
      <c r="AA4628" s="40" t="s">
        <v>115</v>
      </c>
      <c r="AB4628" s="40" t="s">
        <v>115</v>
      </c>
      <c r="AC4628" s="40" t="s">
        <v>115</v>
      </c>
      <c r="AI4628" s="40" t="s">
        <v>115</v>
      </c>
      <c r="AP4628" s="4" t="s">
        <v>115</v>
      </c>
    </row>
    <row r="4629" spans="1:42" x14ac:dyDescent="0.15">
      <c r="A4629" s="40" t="s">
        <v>1</v>
      </c>
      <c r="B4629" s="23">
        <v>95801105</v>
      </c>
      <c r="C4629" s="23">
        <v>58011</v>
      </c>
      <c r="D4629" s="23">
        <v>5801</v>
      </c>
      <c r="F4629" s="23" t="s">
        <v>1282</v>
      </c>
      <c r="G4629" s="23" t="s">
        <v>115</v>
      </c>
      <c r="H4629" s="23" t="s">
        <v>1283</v>
      </c>
      <c r="I4629" s="23">
        <v>3</v>
      </c>
      <c r="J4629" s="40">
        <v>0</v>
      </c>
      <c r="K4629" s="40">
        <v>0</v>
      </c>
      <c r="L4629" s="40" t="s">
        <v>115</v>
      </c>
      <c r="O4629" s="40" t="s">
        <v>115</v>
      </c>
      <c r="Q4629" s="40">
        <v>136</v>
      </c>
      <c r="R4629" s="40">
        <v>98</v>
      </c>
      <c r="X4629" s="40">
        <v>95801106</v>
      </c>
      <c r="Y4629" s="40" t="s">
        <v>115</v>
      </c>
      <c r="Z4629" s="40" t="s">
        <v>115</v>
      </c>
      <c r="AA4629" s="40" t="s">
        <v>115</v>
      </c>
      <c r="AB4629" s="40" t="s">
        <v>115</v>
      </c>
      <c r="AC4629" s="40" t="s">
        <v>115</v>
      </c>
      <c r="AI4629" s="40" t="s">
        <v>115</v>
      </c>
      <c r="AP4629" s="4" t="s">
        <v>115</v>
      </c>
    </row>
    <row r="4630" spans="1:42" x14ac:dyDescent="0.15">
      <c r="A4630" s="40" t="s">
        <v>1</v>
      </c>
      <c r="B4630" s="23">
        <v>95801106</v>
      </c>
      <c r="C4630" s="23">
        <v>58011</v>
      </c>
      <c r="D4630" s="23">
        <v>5801</v>
      </c>
      <c r="F4630" s="23" t="s">
        <v>1284</v>
      </c>
      <c r="G4630" s="23" t="s">
        <v>115</v>
      </c>
      <c r="H4630" s="23" t="s">
        <v>1285</v>
      </c>
      <c r="I4630" s="23">
        <v>3</v>
      </c>
      <c r="J4630" s="40">
        <v>0</v>
      </c>
      <c r="K4630" s="40">
        <v>0</v>
      </c>
      <c r="L4630" s="40" t="s">
        <v>115</v>
      </c>
      <c r="O4630" s="40" t="s">
        <v>115</v>
      </c>
      <c r="Q4630" s="40">
        <v>136</v>
      </c>
      <c r="R4630" s="40">
        <v>307</v>
      </c>
      <c r="X4630" s="40">
        <v>95801107</v>
      </c>
      <c r="Y4630" s="40" t="s">
        <v>115</v>
      </c>
      <c r="Z4630" s="40" t="s">
        <v>115</v>
      </c>
      <c r="AA4630" s="40" t="s">
        <v>115</v>
      </c>
      <c r="AB4630" s="40" t="s">
        <v>115</v>
      </c>
      <c r="AC4630" s="40" t="s">
        <v>115</v>
      </c>
      <c r="AI4630" s="40" t="s">
        <v>115</v>
      </c>
      <c r="AP4630" s="4" t="s">
        <v>115</v>
      </c>
    </row>
    <row r="4631" spans="1:42" x14ac:dyDescent="0.15">
      <c r="A4631" s="40" t="s">
        <v>1</v>
      </c>
      <c r="B4631" s="23">
        <v>95801107</v>
      </c>
      <c r="C4631" s="23">
        <v>58011</v>
      </c>
      <c r="D4631" s="23">
        <v>5801</v>
      </c>
      <c r="F4631" s="23" t="s">
        <v>1282</v>
      </c>
      <c r="G4631" s="23" t="s">
        <v>115</v>
      </c>
      <c r="H4631" s="23" t="s">
        <v>1286</v>
      </c>
      <c r="I4631" s="23">
        <v>3</v>
      </c>
      <c r="J4631" s="40">
        <v>0</v>
      </c>
      <c r="K4631" s="40">
        <v>0</v>
      </c>
      <c r="L4631" s="40" t="s">
        <v>115</v>
      </c>
      <c r="O4631" s="40" t="s">
        <v>115</v>
      </c>
      <c r="Q4631" s="40">
        <v>136</v>
      </c>
      <c r="R4631" s="40">
        <v>98</v>
      </c>
      <c r="X4631" s="40">
        <v>95801108</v>
      </c>
      <c r="Y4631" s="40" t="s">
        <v>115</v>
      </c>
      <c r="Z4631" s="40" t="s">
        <v>115</v>
      </c>
      <c r="AA4631" s="40" t="s">
        <v>115</v>
      </c>
      <c r="AB4631" s="40" t="s">
        <v>115</v>
      </c>
      <c r="AC4631" s="40" t="s">
        <v>115</v>
      </c>
      <c r="AI4631" s="40" t="s">
        <v>115</v>
      </c>
      <c r="AP4631" s="4" t="s">
        <v>115</v>
      </c>
    </row>
    <row r="4632" spans="1:42" x14ac:dyDescent="0.15">
      <c r="A4632" s="40" t="s">
        <v>1</v>
      </c>
      <c r="B4632" s="23">
        <v>95801108</v>
      </c>
      <c r="C4632" s="23">
        <v>58011</v>
      </c>
      <c r="D4632" s="23">
        <v>5801</v>
      </c>
      <c r="F4632" s="23" t="s">
        <v>1282</v>
      </c>
      <c r="G4632" s="23" t="s">
        <v>115</v>
      </c>
      <c r="H4632" s="23" t="s">
        <v>1287</v>
      </c>
      <c r="I4632" s="23">
        <v>3</v>
      </c>
      <c r="J4632" s="40">
        <v>0</v>
      </c>
      <c r="K4632" s="40">
        <v>0</v>
      </c>
      <c r="L4632" s="40" t="s">
        <v>115</v>
      </c>
      <c r="O4632" s="40" t="s">
        <v>115</v>
      </c>
      <c r="Q4632" s="40">
        <v>136</v>
      </c>
      <c r="R4632" s="40">
        <v>98</v>
      </c>
      <c r="X4632" s="40">
        <v>95801109</v>
      </c>
      <c r="Y4632" s="40" t="s">
        <v>115</v>
      </c>
      <c r="Z4632" s="40" t="s">
        <v>115</v>
      </c>
      <c r="AA4632" s="40" t="s">
        <v>115</v>
      </c>
      <c r="AB4632" s="40" t="s">
        <v>115</v>
      </c>
      <c r="AC4632" s="40" t="s">
        <v>115</v>
      </c>
      <c r="AI4632" s="40" t="s">
        <v>115</v>
      </c>
      <c r="AP4632" s="4" t="s">
        <v>115</v>
      </c>
    </row>
    <row r="4633" spans="1:42" x14ac:dyDescent="0.15">
      <c r="A4633" s="40" t="s">
        <v>1</v>
      </c>
      <c r="B4633" s="23">
        <v>95801109</v>
      </c>
      <c r="C4633" s="23">
        <v>58011</v>
      </c>
      <c r="D4633" s="23">
        <v>5801</v>
      </c>
      <c r="F4633" s="23" t="s">
        <v>116</v>
      </c>
      <c r="G4633" s="23">
        <v>314</v>
      </c>
      <c r="H4633" s="23" t="s">
        <v>1288</v>
      </c>
      <c r="I4633" s="23">
        <v>2</v>
      </c>
      <c r="J4633" s="40">
        <v>0</v>
      </c>
      <c r="K4633" s="40">
        <v>0</v>
      </c>
      <c r="L4633" s="40" t="s">
        <v>115</v>
      </c>
      <c r="O4633" s="40" t="s">
        <v>115</v>
      </c>
      <c r="Q4633" s="40">
        <v>136</v>
      </c>
      <c r="R4633" s="40">
        <v>98</v>
      </c>
      <c r="X4633" s="40">
        <v>95801110</v>
      </c>
      <c r="Y4633" s="40" t="s">
        <v>115</v>
      </c>
      <c r="Z4633" s="40" t="s">
        <v>115</v>
      </c>
      <c r="AA4633" s="40" t="s">
        <v>115</v>
      </c>
      <c r="AB4633" s="40" t="s">
        <v>115</v>
      </c>
      <c r="AC4633" s="40" t="s">
        <v>115</v>
      </c>
      <c r="AI4633" s="40" t="s">
        <v>115</v>
      </c>
      <c r="AP4633" s="4" t="s">
        <v>115</v>
      </c>
    </row>
    <row r="4634" spans="1:42" x14ac:dyDescent="0.15">
      <c r="A4634" s="40" t="s">
        <v>1</v>
      </c>
      <c r="B4634" s="23">
        <v>95801110</v>
      </c>
      <c r="C4634" s="23">
        <v>58011</v>
      </c>
      <c r="D4634" s="23">
        <v>5801</v>
      </c>
      <c r="F4634" s="23" t="s">
        <v>1282</v>
      </c>
      <c r="G4634" s="23" t="s">
        <v>115</v>
      </c>
      <c r="H4634" s="23" t="s">
        <v>1289</v>
      </c>
      <c r="I4634" s="23">
        <v>3</v>
      </c>
      <c r="J4634" s="40">
        <v>0</v>
      </c>
      <c r="K4634" s="40">
        <v>0</v>
      </c>
      <c r="L4634" s="40" t="s">
        <v>115</v>
      </c>
      <c r="O4634" s="40" t="s">
        <v>115</v>
      </c>
      <c r="Q4634" s="40">
        <v>136</v>
      </c>
      <c r="R4634" s="40">
        <v>98</v>
      </c>
      <c r="X4634" s="40">
        <v>95801111</v>
      </c>
      <c r="Y4634" s="40" t="s">
        <v>115</v>
      </c>
      <c r="Z4634" s="40" t="s">
        <v>115</v>
      </c>
      <c r="AA4634" s="40" t="s">
        <v>115</v>
      </c>
      <c r="AB4634" s="40" t="s">
        <v>115</v>
      </c>
      <c r="AC4634" s="40" t="s">
        <v>115</v>
      </c>
      <c r="AI4634" s="40" t="s">
        <v>115</v>
      </c>
      <c r="AP4634" s="4" t="s">
        <v>115</v>
      </c>
    </row>
    <row r="4635" spans="1:42" x14ac:dyDescent="0.15">
      <c r="A4635" s="40" t="s">
        <v>1</v>
      </c>
      <c r="B4635" s="23">
        <v>95801111</v>
      </c>
      <c r="C4635" s="23">
        <v>58011</v>
      </c>
      <c r="D4635" s="23">
        <v>5801</v>
      </c>
      <c r="F4635" s="23" t="s">
        <v>1282</v>
      </c>
      <c r="G4635" s="23" t="s">
        <v>115</v>
      </c>
      <c r="H4635" s="23" t="s">
        <v>1290</v>
      </c>
      <c r="I4635" s="23">
        <v>3</v>
      </c>
      <c r="J4635" s="40">
        <v>0</v>
      </c>
      <c r="K4635" s="40">
        <v>0</v>
      </c>
      <c r="L4635" s="40" t="s">
        <v>115</v>
      </c>
      <c r="O4635" s="40" t="s">
        <v>115</v>
      </c>
      <c r="Q4635" s="40">
        <v>136</v>
      </c>
      <c r="R4635" s="40">
        <v>98</v>
      </c>
      <c r="X4635" s="40">
        <v>95801112</v>
      </c>
      <c r="Y4635" s="40" t="s">
        <v>115</v>
      </c>
      <c r="Z4635" s="40" t="s">
        <v>115</v>
      </c>
      <c r="AA4635" s="40" t="s">
        <v>115</v>
      </c>
      <c r="AB4635" s="40" t="s">
        <v>115</v>
      </c>
      <c r="AC4635" s="40" t="s">
        <v>115</v>
      </c>
      <c r="AI4635" s="40" t="s">
        <v>115</v>
      </c>
      <c r="AP4635" s="4" t="s">
        <v>115</v>
      </c>
    </row>
    <row r="4636" spans="1:42" x14ac:dyDescent="0.15">
      <c r="A4636" s="40" t="s">
        <v>1</v>
      </c>
      <c r="B4636" s="23">
        <v>95801112</v>
      </c>
      <c r="C4636" s="23">
        <v>58011</v>
      </c>
      <c r="D4636" s="23">
        <v>5801</v>
      </c>
      <c r="F4636" s="23" t="s">
        <v>1284</v>
      </c>
      <c r="G4636" s="23" t="s">
        <v>115</v>
      </c>
      <c r="H4636" s="23" t="s">
        <v>1291</v>
      </c>
      <c r="I4636" s="23">
        <v>3</v>
      </c>
      <c r="J4636" s="40">
        <v>0</v>
      </c>
      <c r="K4636" s="40">
        <v>0</v>
      </c>
      <c r="L4636" s="40" t="s">
        <v>115</v>
      </c>
      <c r="O4636" s="40" t="s">
        <v>115</v>
      </c>
      <c r="Q4636" s="40">
        <v>136</v>
      </c>
      <c r="R4636" s="40">
        <v>307</v>
      </c>
      <c r="X4636" s="40">
        <v>95801113</v>
      </c>
      <c r="Y4636" s="40" t="s">
        <v>115</v>
      </c>
      <c r="Z4636" s="40" t="s">
        <v>115</v>
      </c>
      <c r="AA4636" s="40" t="s">
        <v>115</v>
      </c>
      <c r="AB4636" s="40" t="s">
        <v>115</v>
      </c>
      <c r="AC4636" s="40" t="s">
        <v>115</v>
      </c>
      <c r="AI4636" s="40" t="s">
        <v>115</v>
      </c>
      <c r="AP4636" s="4" t="s">
        <v>115</v>
      </c>
    </row>
    <row r="4637" spans="1:42" x14ac:dyDescent="0.15">
      <c r="A4637" s="40" t="s">
        <v>1</v>
      </c>
      <c r="B4637" s="23">
        <v>95801113</v>
      </c>
      <c r="C4637" s="23">
        <v>58011</v>
      </c>
      <c r="D4637" s="23">
        <v>5801</v>
      </c>
      <c r="F4637" s="23" t="s">
        <v>1282</v>
      </c>
      <c r="G4637" s="23" t="s">
        <v>115</v>
      </c>
      <c r="H4637" s="23" t="s">
        <v>1292</v>
      </c>
      <c r="I4637" s="23">
        <v>3</v>
      </c>
      <c r="J4637" s="40">
        <v>0</v>
      </c>
      <c r="K4637" s="40">
        <v>0</v>
      </c>
      <c r="L4637" s="40" t="s">
        <v>115</v>
      </c>
      <c r="O4637" s="40" t="s">
        <v>115</v>
      </c>
      <c r="Q4637" s="40">
        <v>136</v>
      </c>
      <c r="R4637" s="40">
        <v>98</v>
      </c>
      <c r="X4637" s="40">
        <v>95801114</v>
      </c>
      <c r="Y4637" s="40" t="s">
        <v>115</v>
      </c>
      <c r="Z4637" s="40" t="s">
        <v>115</v>
      </c>
      <c r="AA4637" s="40" t="s">
        <v>115</v>
      </c>
      <c r="AB4637" s="40" t="s">
        <v>115</v>
      </c>
      <c r="AC4637" s="40" t="s">
        <v>115</v>
      </c>
      <c r="AI4637" s="40" t="s">
        <v>115</v>
      </c>
      <c r="AP4637" s="4" t="s">
        <v>115</v>
      </c>
    </row>
    <row r="4638" spans="1:42" x14ac:dyDescent="0.15">
      <c r="A4638" s="40" t="s">
        <v>1</v>
      </c>
      <c r="B4638" s="23">
        <v>95801114</v>
      </c>
      <c r="C4638" s="23">
        <v>58011</v>
      </c>
      <c r="D4638" s="23">
        <v>5801</v>
      </c>
      <c r="F4638" s="23" t="s">
        <v>116</v>
      </c>
      <c r="G4638" s="23">
        <v>312</v>
      </c>
      <c r="H4638" s="23" t="s">
        <v>1293</v>
      </c>
      <c r="I4638" s="23">
        <v>2</v>
      </c>
      <c r="J4638" s="40">
        <v>0</v>
      </c>
      <c r="K4638" s="40">
        <v>0</v>
      </c>
      <c r="L4638" s="40" t="s">
        <v>115</v>
      </c>
      <c r="O4638" s="40" t="s">
        <v>115</v>
      </c>
      <c r="Q4638" s="40">
        <v>136</v>
      </c>
      <c r="R4638" s="40" t="s">
        <v>115</v>
      </c>
      <c r="X4638" s="40">
        <v>95801115</v>
      </c>
      <c r="Y4638" s="40" t="s">
        <v>115</v>
      </c>
      <c r="Z4638" s="40" t="s">
        <v>115</v>
      </c>
      <c r="AA4638" s="40" t="s">
        <v>115</v>
      </c>
      <c r="AB4638" s="40" t="s">
        <v>115</v>
      </c>
      <c r="AC4638" s="40" t="s">
        <v>115</v>
      </c>
      <c r="AI4638" s="40" t="s">
        <v>115</v>
      </c>
      <c r="AP4638" s="4" t="s">
        <v>115</v>
      </c>
    </row>
    <row r="4639" spans="1:42" x14ac:dyDescent="0.15">
      <c r="A4639" s="40" t="s">
        <v>1</v>
      </c>
      <c r="B4639" s="23">
        <v>95801115</v>
      </c>
      <c r="C4639" s="23">
        <v>58011</v>
      </c>
      <c r="D4639" s="23">
        <v>5801</v>
      </c>
      <c r="F4639" s="23" t="s">
        <v>115</v>
      </c>
      <c r="G4639" s="23" t="s">
        <v>115</v>
      </c>
      <c r="H4639" s="23" t="s">
        <v>1294</v>
      </c>
      <c r="I4639" s="23">
        <v>4</v>
      </c>
      <c r="J4639" s="40">
        <v>0</v>
      </c>
      <c r="K4639" s="40">
        <v>0</v>
      </c>
      <c r="L4639" s="40" t="s">
        <v>115</v>
      </c>
      <c r="O4639" s="40" t="s">
        <v>115</v>
      </c>
      <c r="Q4639" s="40">
        <v>136</v>
      </c>
      <c r="R4639" s="40" t="s">
        <v>115</v>
      </c>
      <c r="X4639" s="40">
        <v>95801116</v>
      </c>
      <c r="Y4639" s="40" t="s">
        <v>115</v>
      </c>
      <c r="Z4639" s="40" t="s">
        <v>115</v>
      </c>
      <c r="AA4639" s="40" t="s">
        <v>115</v>
      </c>
      <c r="AB4639" s="40" t="s">
        <v>115</v>
      </c>
      <c r="AC4639" s="40" t="s">
        <v>115</v>
      </c>
      <c r="AI4639" s="40" t="s">
        <v>115</v>
      </c>
      <c r="AP4639" s="4" t="s">
        <v>115</v>
      </c>
    </row>
    <row r="4640" spans="1:42" x14ac:dyDescent="0.15">
      <c r="A4640" s="40" t="s">
        <v>1</v>
      </c>
      <c r="B4640" s="23">
        <v>95801116</v>
      </c>
      <c r="C4640" s="23">
        <v>58011</v>
      </c>
      <c r="D4640" s="23">
        <v>5801</v>
      </c>
      <c r="F4640" s="23" t="s">
        <v>116</v>
      </c>
      <c r="G4640" s="23">
        <v>314</v>
      </c>
      <c r="H4640" s="23" t="s">
        <v>1295</v>
      </c>
      <c r="I4640" s="23">
        <v>0</v>
      </c>
      <c r="J4640" s="40">
        <v>0</v>
      </c>
      <c r="K4640" s="40">
        <v>0</v>
      </c>
      <c r="L4640" s="40" t="s">
        <v>115</v>
      </c>
      <c r="O4640" s="40" t="s">
        <v>115</v>
      </c>
      <c r="Q4640" s="40">
        <v>136</v>
      </c>
      <c r="R4640" s="40" t="s">
        <v>115</v>
      </c>
      <c r="X4640" s="40">
        <v>95801117</v>
      </c>
      <c r="Y4640" s="40" t="s">
        <v>115</v>
      </c>
      <c r="Z4640" s="40" t="s">
        <v>115</v>
      </c>
      <c r="AA4640" s="40" t="s">
        <v>115</v>
      </c>
      <c r="AB4640" s="40" t="s">
        <v>115</v>
      </c>
      <c r="AC4640" s="40" t="s">
        <v>115</v>
      </c>
      <c r="AI4640" s="40" t="s">
        <v>115</v>
      </c>
      <c r="AP4640" s="4" t="s">
        <v>115</v>
      </c>
    </row>
    <row r="4641" spans="1:42" x14ac:dyDescent="0.15">
      <c r="A4641" s="40" t="s">
        <v>1</v>
      </c>
      <c r="B4641" s="23">
        <v>95801117</v>
      </c>
      <c r="C4641" s="23">
        <v>58011</v>
      </c>
      <c r="D4641" s="23">
        <v>5801</v>
      </c>
      <c r="F4641" s="23" t="s">
        <v>116</v>
      </c>
      <c r="G4641" s="23">
        <v>312</v>
      </c>
      <c r="H4641" s="23" t="s">
        <v>1296</v>
      </c>
      <c r="I4641" s="23">
        <v>0</v>
      </c>
      <c r="J4641" s="40">
        <v>0</v>
      </c>
      <c r="K4641" s="40">
        <v>0</v>
      </c>
      <c r="L4641" s="40" t="s">
        <v>115</v>
      </c>
      <c r="O4641" s="40" t="s">
        <v>115</v>
      </c>
      <c r="Q4641" s="40">
        <v>136</v>
      </c>
      <c r="R4641" s="40">
        <v>128</v>
      </c>
      <c r="X4641" s="40">
        <v>95801118</v>
      </c>
      <c r="Y4641" s="40" t="s">
        <v>115</v>
      </c>
      <c r="Z4641" s="40" t="s">
        <v>115</v>
      </c>
      <c r="AA4641" s="40" t="s">
        <v>115</v>
      </c>
      <c r="AB4641" s="40" t="s">
        <v>115</v>
      </c>
      <c r="AC4641" s="40" t="s">
        <v>115</v>
      </c>
      <c r="AI4641" s="40" t="s">
        <v>115</v>
      </c>
      <c r="AP4641" s="4" t="s">
        <v>115</v>
      </c>
    </row>
    <row r="4642" spans="1:42" x14ac:dyDescent="0.15">
      <c r="A4642" s="40" t="s">
        <v>1</v>
      </c>
      <c r="B4642" s="23">
        <v>95801118</v>
      </c>
      <c r="C4642" s="23">
        <v>58011</v>
      </c>
      <c r="D4642" s="23">
        <v>5801</v>
      </c>
      <c r="F4642" s="23" t="s">
        <v>942</v>
      </c>
      <c r="G4642" s="23" t="s">
        <v>115</v>
      </c>
      <c r="H4642" s="23" t="s">
        <v>1297</v>
      </c>
      <c r="I4642" s="23">
        <v>3</v>
      </c>
      <c r="J4642" s="40">
        <v>0</v>
      </c>
      <c r="K4642" s="40">
        <v>0</v>
      </c>
      <c r="L4642" s="40" t="s">
        <v>115</v>
      </c>
      <c r="O4642" s="40" t="s">
        <v>115</v>
      </c>
      <c r="Q4642" s="40">
        <v>136</v>
      </c>
      <c r="R4642" s="40">
        <v>128</v>
      </c>
      <c r="X4642" s="40">
        <v>95801119</v>
      </c>
      <c r="Y4642" s="40" t="s">
        <v>115</v>
      </c>
      <c r="Z4642" s="40" t="s">
        <v>115</v>
      </c>
      <c r="AA4642" s="40" t="s">
        <v>115</v>
      </c>
      <c r="AB4642" s="40" t="s">
        <v>115</v>
      </c>
      <c r="AC4642" s="40" t="s">
        <v>115</v>
      </c>
      <c r="AI4642" s="40" t="s">
        <v>115</v>
      </c>
      <c r="AP4642" s="4" t="s">
        <v>115</v>
      </c>
    </row>
    <row r="4643" spans="1:42" x14ac:dyDescent="0.15">
      <c r="A4643" s="40" t="s">
        <v>1</v>
      </c>
      <c r="B4643" s="23">
        <v>95801119</v>
      </c>
      <c r="C4643" s="23">
        <v>58011</v>
      </c>
      <c r="D4643" s="23">
        <v>5801</v>
      </c>
      <c r="F4643" s="23" t="s">
        <v>942</v>
      </c>
      <c r="G4643" s="23" t="s">
        <v>115</v>
      </c>
      <c r="H4643" s="23" t="s">
        <v>1298</v>
      </c>
      <c r="I4643" s="23">
        <v>3</v>
      </c>
      <c r="J4643" s="40">
        <v>0</v>
      </c>
      <c r="K4643" s="40">
        <v>0</v>
      </c>
      <c r="L4643" s="40" t="s">
        <v>115</v>
      </c>
      <c r="O4643" s="40" t="s">
        <v>115</v>
      </c>
      <c r="Q4643" s="40">
        <v>136</v>
      </c>
      <c r="R4643" s="40">
        <v>128</v>
      </c>
      <c r="X4643" s="40">
        <v>95801120</v>
      </c>
      <c r="Y4643" s="40" t="s">
        <v>115</v>
      </c>
      <c r="Z4643" s="40" t="s">
        <v>115</v>
      </c>
      <c r="AA4643" s="40" t="s">
        <v>115</v>
      </c>
      <c r="AB4643" s="40" t="s">
        <v>115</v>
      </c>
      <c r="AC4643" s="40" t="s">
        <v>115</v>
      </c>
      <c r="AI4643" s="40" t="s">
        <v>115</v>
      </c>
      <c r="AP4643" s="4" t="s">
        <v>115</v>
      </c>
    </row>
    <row r="4644" spans="1:42" x14ac:dyDescent="0.15">
      <c r="A4644" s="40" t="s">
        <v>1</v>
      </c>
      <c r="B4644" s="23">
        <v>95801120</v>
      </c>
      <c r="C4644" s="23">
        <v>58011</v>
      </c>
      <c r="D4644" s="23">
        <v>5801</v>
      </c>
      <c r="F4644" s="23" t="s">
        <v>116</v>
      </c>
      <c r="G4644" s="23">
        <v>314</v>
      </c>
      <c r="H4644" s="23" t="s">
        <v>1299</v>
      </c>
      <c r="I4644" s="23">
        <v>2</v>
      </c>
      <c r="J4644" s="40">
        <v>0</v>
      </c>
      <c r="K4644" s="40">
        <v>2</v>
      </c>
      <c r="L4644" s="40" t="s">
        <v>115</v>
      </c>
      <c r="O4644" s="40">
        <v>1</v>
      </c>
      <c r="Q4644" s="40">
        <v>136</v>
      </c>
      <c r="R4644" s="40" t="s">
        <v>115</v>
      </c>
      <c r="X4644" s="40" t="s">
        <v>115</v>
      </c>
      <c r="Y4644" s="40" t="s">
        <v>115</v>
      </c>
      <c r="Z4644" s="40">
        <v>1</v>
      </c>
      <c r="AA4644" s="40" t="s">
        <v>115</v>
      </c>
      <c r="AB4644" s="40" t="s">
        <v>115</v>
      </c>
      <c r="AC4644" s="40" t="s">
        <v>115</v>
      </c>
      <c r="AI4644" s="40" t="s">
        <v>115</v>
      </c>
      <c r="AP4644" s="40">
        <v>58012</v>
      </c>
    </row>
    <row r="4645" spans="1:42" x14ac:dyDescent="0.15">
      <c r="A4645" s="40" t="s">
        <v>1</v>
      </c>
      <c r="B4645" s="23">
        <v>95801201</v>
      </c>
      <c r="C4645" s="23">
        <v>58012</v>
      </c>
      <c r="D4645" s="23">
        <v>5801</v>
      </c>
      <c r="F4645" s="23" t="s">
        <v>1026</v>
      </c>
      <c r="G4645" s="23" t="s">
        <v>115</v>
      </c>
      <c r="H4645" s="23" t="s">
        <v>1300</v>
      </c>
      <c r="I4645" s="23">
        <v>3</v>
      </c>
      <c r="J4645" s="40">
        <v>1</v>
      </c>
      <c r="K4645" s="40">
        <v>1</v>
      </c>
      <c r="L4645" s="40" t="s">
        <v>115</v>
      </c>
      <c r="O4645" s="40" t="s">
        <v>115</v>
      </c>
      <c r="Q4645" s="40">
        <v>137</v>
      </c>
      <c r="R4645" s="40">
        <v>252</v>
      </c>
      <c r="X4645" s="40">
        <v>95801202</v>
      </c>
      <c r="Y4645" s="40" t="s">
        <v>115</v>
      </c>
      <c r="Z4645" s="40" t="s">
        <v>115</v>
      </c>
      <c r="AA4645" s="40" t="s">
        <v>115</v>
      </c>
      <c r="AB4645" s="40" t="s">
        <v>115</v>
      </c>
      <c r="AC4645" s="40" t="s">
        <v>115</v>
      </c>
      <c r="AI4645" s="40" t="s">
        <v>115</v>
      </c>
      <c r="AP4645" s="4" t="s">
        <v>115</v>
      </c>
    </row>
    <row r="4646" spans="1:42" x14ac:dyDescent="0.15">
      <c r="A4646" s="40" t="s">
        <v>1</v>
      </c>
      <c r="B4646" s="23">
        <v>95801202</v>
      </c>
      <c r="C4646" s="23">
        <v>58012</v>
      </c>
      <c r="D4646" s="23">
        <v>5801</v>
      </c>
      <c r="F4646" s="23" t="s">
        <v>1026</v>
      </c>
      <c r="G4646" s="23" t="s">
        <v>115</v>
      </c>
      <c r="H4646" s="23" t="s">
        <v>1301</v>
      </c>
      <c r="I4646" s="23">
        <v>3</v>
      </c>
      <c r="J4646" s="40">
        <v>0</v>
      </c>
      <c r="K4646" s="40">
        <v>0</v>
      </c>
      <c r="L4646" s="40" t="s">
        <v>115</v>
      </c>
      <c r="O4646" s="40" t="s">
        <v>115</v>
      </c>
      <c r="Q4646" s="40">
        <v>137</v>
      </c>
      <c r="R4646" s="40">
        <v>252</v>
      </c>
      <c r="X4646" s="40">
        <v>95801203</v>
      </c>
      <c r="Y4646" s="40" t="s">
        <v>115</v>
      </c>
      <c r="Z4646" s="40" t="s">
        <v>115</v>
      </c>
      <c r="AA4646" s="40" t="s">
        <v>115</v>
      </c>
      <c r="AB4646" s="40" t="s">
        <v>115</v>
      </c>
      <c r="AC4646" s="40" t="s">
        <v>115</v>
      </c>
      <c r="AI4646" s="40" t="s">
        <v>115</v>
      </c>
      <c r="AP4646" s="4" t="s">
        <v>115</v>
      </c>
    </row>
    <row r="4647" spans="1:42" x14ac:dyDescent="0.15">
      <c r="A4647" s="40" t="s">
        <v>1</v>
      </c>
      <c r="B4647" s="23">
        <v>95801203</v>
      </c>
      <c r="C4647" s="23">
        <v>58012</v>
      </c>
      <c r="D4647" s="23">
        <v>5801</v>
      </c>
      <c r="F4647" s="23" t="s">
        <v>1423</v>
      </c>
      <c r="G4647" s="23" t="s">
        <v>115</v>
      </c>
      <c r="H4647" s="23" t="s">
        <v>1424</v>
      </c>
      <c r="I4647" s="23">
        <v>3</v>
      </c>
      <c r="J4647" s="40">
        <v>0</v>
      </c>
      <c r="K4647" s="40">
        <v>0</v>
      </c>
      <c r="L4647" s="40" t="s">
        <v>115</v>
      </c>
      <c r="O4647" s="40" t="s">
        <v>115</v>
      </c>
      <c r="Q4647" s="40">
        <v>137</v>
      </c>
      <c r="R4647" s="40">
        <v>252</v>
      </c>
      <c r="X4647" s="40">
        <v>95801204</v>
      </c>
      <c r="Y4647" s="40" t="s">
        <v>115</v>
      </c>
      <c r="Z4647" s="40" t="s">
        <v>115</v>
      </c>
      <c r="AA4647" s="40" t="s">
        <v>115</v>
      </c>
      <c r="AB4647" s="40" t="s">
        <v>115</v>
      </c>
      <c r="AC4647" s="40" t="s">
        <v>115</v>
      </c>
      <c r="AI4647" s="40" t="s">
        <v>115</v>
      </c>
      <c r="AP4647" s="4" t="s">
        <v>115</v>
      </c>
    </row>
    <row r="4648" spans="1:42" x14ac:dyDescent="0.15">
      <c r="A4648" s="40" t="s">
        <v>1</v>
      </c>
      <c r="B4648" s="23">
        <v>95801204</v>
      </c>
      <c r="C4648" s="23">
        <v>58012</v>
      </c>
      <c r="D4648" s="23">
        <v>5801</v>
      </c>
      <c r="F4648" s="23" t="s">
        <v>1026</v>
      </c>
      <c r="G4648" s="23" t="s">
        <v>115</v>
      </c>
      <c r="H4648" s="23" t="s">
        <v>1425</v>
      </c>
      <c r="I4648" s="23">
        <v>3</v>
      </c>
      <c r="J4648" s="40">
        <v>0</v>
      </c>
      <c r="K4648" s="40">
        <v>0</v>
      </c>
      <c r="L4648" s="40" t="s">
        <v>115</v>
      </c>
      <c r="O4648" s="40" t="s">
        <v>115</v>
      </c>
      <c r="Q4648" s="40">
        <v>137</v>
      </c>
      <c r="R4648" s="40" t="s">
        <v>115</v>
      </c>
      <c r="X4648" s="40">
        <v>95801205</v>
      </c>
      <c r="Y4648" s="40" t="s">
        <v>115</v>
      </c>
      <c r="Z4648" s="40" t="s">
        <v>115</v>
      </c>
      <c r="AA4648" s="40" t="s">
        <v>115</v>
      </c>
      <c r="AB4648" s="40" t="s">
        <v>115</v>
      </c>
      <c r="AC4648" s="40" t="s">
        <v>115</v>
      </c>
      <c r="AI4648" s="40" t="s">
        <v>115</v>
      </c>
      <c r="AP4648" s="4" t="s">
        <v>115</v>
      </c>
    </row>
    <row r="4649" spans="1:42" x14ac:dyDescent="0.15">
      <c r="A4649" s="40" t="s">
        <v>1</v>
      </c>
      <c r="B4649" s="23">
        <v>95801205</v>
      </c>
      <c r="C4649" s="23">
        <v>58012</v>
      </c>
      <c r="D4649" s="23">
        <v>5801</v>
      </c>
      <c r="F4649" s="23" t="s">
        <v>1026</v>
      </c>
      <c r="G4649" s="23" t="s">
        <v>115</v>
      </c>
      <c r="H4649" s="23" t="s">
        <v>1426</v>
      </c>
      <c r="I4649" s="23">
        <v>3</v>
      </c>
      <c r="J4649" s="40">
        <v>0</v>
      </c>
      <c r="K4649" s="40">
        <v>0</v>
      </c>
      <c r="L4649" s="40" t="s">
        <v>115</v>
      </c>
      <c r="O4649" s="40" t="s">
        <v>115</v>
      </c>
      <c r="Q4649" s="40">
        <v>137</v>
      </c>
      <c r="R4649" s="40">
        <v>252</v>
      </c>
      <c r="X4649" s="40">
        <v>95801206</v>
      </c>
      <c r="Y4649" s="40" t="s">
        <v>115</v>
      </c>
      <c r="Z4649" s="40" t="s">
        <v>115</v>
      </c>
      <c r="AA4649" s="40" t="s">
        <v>115</v>
      </c>
      <c r="AB4649" s="40" t="s">
        <v>115</v>
      </c>
      <c r="AC4649" s="40" t="s">
        <v>115</v>
      </c>
      <c r="AI4649" s="40" t="s">
        <v>115</v>
      </c>
      <c r="AP4649" s="4" t="s">
        <v>115</v>
      </c>
    </row>
    <row r="4650" spans="1:42" x14ac:dyDescent="0.15">
      <c r="A4650" s="40" t="s">
        <v>1</v>
      </c>
      <c r="B4650" s="23">
        <v>95801206</v>
      </c>
      <c r="C4650" s="23">
        <v>58012</v>
      </c>
      <c r="D4650" s="23">
        <v>5801</v>
      </c>
      <c r="F4650" s="23" t="s">
        <v>116</v>
      </c>
      <c r="G4650" s="23">
        <v>312</v>
      </c>
      <c r="H4650" s="23" t="s">
        <v>957</v>
      </c>
      <c r="I4650" s="23">
        <v>0</v>
      </c>
      <c r="J4650" s="40">
        <v>0</v>
      </c>
      <c r="K4650" s="40">
        <v>0</v>
      </c>
      <c r="L4650" s="40" t="s">
        <v>115</v>
      </c>
      <c r="O4650" s="40" t="s">
        <v>115</v>
      </c>
      <c r="Q4650" s="40">
        <v>144</v>
      </c>
      <c r="R4650" s="40" t="s">
        <v>115</v>
      </c>
      <c r="X4650" s="40">
        <v>95801207</v>
      </c>
      <c r="Y4650" s="40" t="s">
        <v>115</v>
      </c>
      <c r="Z4650" s="40" t="s">
        <v>115</v>
      </c>
      <c r="AA4650" s="40" t="s">
        <v>115</v>
      </c>
      <c r="AB4650" s="40" t="s">
        <v>115</v>
      </c>
      <c r="AC4650" s="40" t="s">
        <v>115</v>
      </c>
      <c r="AI4650" s="40" t="s">
        <v>115</v>
      </c>
      <c r="AP4650" s="4" t="s">
        <v>115</v>
      </c>
    </row>
    <row r="4651" spans="1:42" x14ac:dyDescent="0.15">
      <c r="A4651" s="40" t="s">
        <v>1</v>
      </c>
      <c r="B4651" s="23">
        <v>95801207</v>
      </c>
      <c r="C4651" s="23">
        <v>58012</v>
      </c>
      <c r="D4651" s="23">
        <v>5801</v>
      </c>
      <c r="F4651" s="23" t="s">
        <v>503</v>
      </c>
      <c r="G4651" s="23" t="s">
        <v>115</v>
      </c>
      <c r="H4651" s="23" t="s">
        <v>1427</v>
      </c>
      <c r="I4651" s="23">
        <v>3</v>
      </c>
      <c r="J4651" s="40">
        <v>0</v>
      </c>
      <c r="K4651" s="40">
        <v>0</v>
      </c>
      <c r="L4651" s="40" t="s">
        <v>115</v>
      </c>
      <c r="O4651" s="40" t="s">
        <v>115</v>
      </c>
      <c r="Q4651" s="40">
        <v>144</v>
      </c>
      <c r="R4651" s="40">
        <v>161</v>
      </c>
      <c r="X4651" s="40">
        <v>95801208</v>
      </c>
      <c r="Y4651" s="40" t="s">
        <v>115</v>
      </c>
      <c r="Z4651" s="40" t="s">
        <v>115</v>
      </c>
      <c r="AA4651" s="40" t="s">
        <v>115</v>
      </c>
      <c r="AB4651" s="40" t="s">
        <v>115</v>
      </c>
      <c r="AC4651" s="40" t="s">
        <v>115</v>
      </c>
      <c r="AI4651" s="40" t="s">
        <v>115</v>
      </c>
      <c r="AP4651" s="4" t="s">
        <v>115</v>
      </c>
    </row>
    <row r="4652" spans="1:42" x14ac:dyDescent="0.15">
      <c r="A4652" s="40" t="s">
        <v>1</v>
      </c>
      <c r="B4652" s="23">
        <v>95801208</v>
      </c>
      <c r="C4652" s="23">
        <v>58012</v>
      </c>
      <c r="D4652" s="23">
        <v>5801</v>
      </c>
      <c r="F4652" s="23" t="s">
        <v>116</v>
      </c>
      <c r="G4652" s="23">
        <v>317</v>
      </c>
      <c r="H4652" s="23" t="s">
        <v>1302</v>
      </c>
      <c r="I4652" s="23">
        <v>2</v>
      </c>
      <c r="J4652" s="40">
        <v>0</v>
      </c>
      <c r="K4652" s="40">
        <v>0</v>
      </c>
      <c r="L4652" s="40" t="s">
        <v>115</v>
      </c>
      <c r="O4652" s="40" t="s">
        <v>115</v>
      </c>
      <c r="Q4652" s="40">
        <v>144</v>
      </c>
      <c r="R4652" s="40">
        <v>161</v>
      </c>
      <c r="X4652" s="40">
        <v>95801209</v>
      </c>
      <c r="Y4652" s="40" t="s">
        <v>115</v>
      </c>
      <c r="Z4652" s="40" t="s">
        <v>115</v>
      </c>
      <c r="AA4652" s="40" t="s">
        <v>115</v>
      </c>
      <c r="AB4652" s="40" t="s">
        <v>115</v>
      </c>
      <c r="AC4652" s="40" t="s">
        <v>115</v>
      </c>
      <c r="AI4652" s="40" t="s">
        <v>115</v>
      </c>
      <c r="AP4652" s="4" t="s">
        <v>115</v>
      </c>
    </row>
    <row r="4653" spans="1:42" x14ac:dyDescent="0.15">
      <c r="A4653" s="40" t="s">
        <v>1</v>
      </c>
      <c r="B4653" s="23">
        <v>95801209</v>
      </c>
      <c r="C4653" s="23">
        <v>58012</v>
      </c>
      <c r="D4653" s="23">
        <v>5801</v>
      </c>
      <c r="F4653" s="23" t="s">
        <v>503</v>
      </c>
      <c r="G4653" s="23" t="s">
        <v>115</v>
      </c>
      <c r="H4653" s="23" t="s">
        <v>1303</v>
      </c>
      <c r="I4653" s="23">
        <v>3</v>
      </c>
      <c r="J4653" s="40">
        <v>0</v>
      </c>
      <c r="K4653" s="40">
        <v>0</v>
      </c>
      <c r="L4653" s="40" t="s">
        <v>115</v>
      </c>
      <c r="O4653" s="40" t="s">
        <v>115</v>
      </c>
      <c r="Q4653" s="40">
        <v>144</v>
      </c>
      <c r="R4653" s="40">
        <v>161</v>
      </c>
      <c r="X4653" s="40">
        <v>95801210</v>
      </c>
      <c r="Y4653" s="40" t="s">
        <v>115</v>
      </c>
      <c r="Z4653" s="40" t="s">
        <v>115</v>
      </c>
      <c r="AA4653" s="40" t="s">
        <v>115</v>
      </c>
      <c r="AB4653" s="40" t="s">
        <v>115</v>
      </c>
      <c r="AC4653" s="40" t="s">
        <v>115</v>
      </c>
      <c r="AI4653" s="40" t="s">
        <v>115</v>
      </c>
      <c r="AP4653" s="4" t="s">
        <v>115</v>
      </c>
    </row>
    <row r="4654" spans="1:42" x14ac:dyDescent="0.15">
      <c r="A4654" s="40" t="s">
        <v>1</v>
      </c>
      <c r="B4654" s="23">
        <v>95801210</v>
      </c>
      <c r="C4654" s="23">
        <v>58012</v>
      </c>
      <c r="D4654" s="23">
        <v>5801</v>
      </c>
      <c r="F4654" s="23" t="s">
        <v>116</v>
      </c>
      <c r="G4654" s="23">
        <v>311</v>
      </c>
      <c r="H4654" s="23" t="s">
        <v>1304</v>
      </c>
      <c r="I4654" s="23">
        <v>0</v>
      </c>
      <c r="J4654" s="40">
        <v>0</v>
      </c>
      <c r="K4654" s="40">
        <v>0</v>
      </c>
      <c r="L4654" s="40" t="s">
        <v>115</v>
      </c>
      <c r="O4654" s="40" t="s">
        <v>115</v>
      </c>
      <c r="Q4654" s="40">
        <v>144</v>
      </c>
      <c r="R4654" s="40">
        <v>161</v>
      </c>
      <c r="X4654" s="40">
        <v>95801211</v>
      </c>
      <c r="Y4654" s="40" t="s">
        <v>115</v>
      </c>
      <c r="Z4654" s="40" t="s">
        <v>115</v>
      </c>
      <c r="AA4654" s="40" t="s">
        <v>115</v>
      </c>
      <c r="AB4654" s="40" t="s">
        <v>115</v>
      </c>
      <c r="AC4654" s="40" t="s">
        <v>115</v>
      </c>
      <c r="AI4654" s="40" t="s">
        <v>115</v>
      </c>
      <c r="AP4654" s="4" t="s">
        <v>115</v>
      </c>
    </row>
    <row r="4655" spans="1:42" x14ac:dyDescent="0.15">
      <c r="A4655" s="40" t="s">
        <v>1</v>
      </c>
      <c r="B4655" s="23">
        <v>95801211</v>
      </c>
      <c r="C4655" s="23">
        <v>58012</v>
      </c>
      <c r="D4655" s="23">
        <v>5801</v>
      </c>
      <c r="F4655" s="23" t="s">
        <v>503</v>
      </c>
      <c r="G4655" s="23" t="s">
        <v>115</v>
      </c>
      <c r="H4655" s="23" t="s">
        <v>1063</v>
      </c>
      <c r="I4655" s="23">
        <v>3</v>
      </c>
      <c r="J4655" s="40">
        <v>0</v>
      </c>
      <c r="K4655" s="40">
        <v>0</v>
      </c>
      <c r="L4655" s="40" t="s">
        <v>115</v>
      </c>
      <c r="O4655" s="40" t="s">
        <v>115</v>
      </c>
      <c r="Q4655" s="40">
        <v>144</v>
      </c>
      <c r="R4655" s="40">
        <v>161</v>
      </c>
      <c r="X4655" s="40">
        <v>95801212</v>
      </c>
      <c r="Y4655" s="40" t="s">
        <v>115</v>
      </c>
      <c r="Z4655" s="40" t="s">
        <v>115</v>
      </c>
      <c r="AA4655" s="40" t="s">
        <v>115</v>
      </c>
      <c r="AB4655" s="40" t="s">
        <v>115</v>
      </c>
      <c r="AC4655" s="40" t="s">
        <v>115</v>
      </c>
      <c r="AI4655" s="40" t="s">
        <v>115</v>
      </c>
      <c r="AP4655" s="4" t="s">
        <v>115</v>
      </c>
    </row>
    <row r="4656" spans="1:42" x14ac:dyDescent="0.15">
      <c r="A4656" s="40" t="s">
        <v>1</v>
      </c>
      <c r="B4656" s="23">
        <v>95801212</v>
      </c>
      <c r="C4656" s="23">
        <v>58012</v>
      </c>
      <c r="D4656" s="23">
        <v>5801</v>
      </c>
      <c r="F4656" s="23" t="s">
        <v>116</v>
      </c>
      <c r="G4656" s="23">
        <v>311</v>
      </c>
      <c r="H4656" s="23" t="s">
        <v>1305</v>
      </c>
      <c r="I4656" s="23">
        <v>0</v>
      </c>
      <c r="J4656" s="40">
        <v>0</v>
      </c>
      <c r="K4656" s="40">
        <v>0</v>
      </c>
      <c r="L4656" s="40" t="s">
        <v>115</v>
      </c>
      <c r="O4656" s="40" t="s">
        <v>115</v>
      </c>
      <c r="Q4656" s="40">
        <v>144</v>
      </c>
      <c r="R4656" s="40">
        <v>161</v>
      </c>
      <c r="X4656" s="40">
        <v>95801213</v>
      </c>
      <c r="Y4656" s="40" t="s">
        <v>115</v>
      </c>
      <c r="Z4656" s="40" t="s">
        <v>115</v>
      </c>
      <c r="AA4656" s="40" t="s">
        <v>115</v>
      </c>
      <c r="AB4656" s="40" t="s">
        <v>115</v>
      </c>
      <c r="AC4656" s="40" t="s">
        <v>115</v>
      </c>
      <c r="AI4656" s="40" t="s">
        <v>115</v>
      </c>
      <c r="AP4656" s="4" t="s">
        <v>115</v>
      </c>
    </row>
    <row r="4657" spans="1:42" x14ac:dyDescent="0.15">
      <c r="A4657" s="40" t="s">
        <v>1</v>
      </c>
      <c r="B4657" s="23">
        <v>95801213</v>
      </c>
      <c r="C4657" s="23">
        <v>58012</v>
      </c>
      <c r="D4657" s="23">
        <v>5801</v>
      </c>
      <c r="F4657" s="23" t="s">
        <v>503</v>
      </c>
      <c r="G4657" s="23" t="s">
        <v>115</v>
      </c>
      <c r="H4657" s="23" t="s">
        <v>1306</v>
      </c>
      <c r="I4657" s="23">
        <v>3</v>
      </c>
      <c r="J4657" s="40">
        <v>0</v>
      </c>
      <c r="K4657" s="40">
        <v>0</v>
      </c>
      <c r="L4657" s="40" t="s">
        <v>115</v>
      </c>
      <c r="O4657" s="40" t="s">
        <v>115</v>
      </c>
      <c r="Q4657" s="40">
        <v>144</v>
      </c>
      <c r="R4657" s="40">
        <v>161</v>
      </c>
      <c r="X4657" s="40">
        <v>95801214</v>
      </c>
      <c r="Y4657" s="40" t="s">
        <v>115</v>
      </c>
      <c r="Z4657" s="40" t="s">
        <v>115</v>
      </c>
      <c r="AA4657" s="40" t="s">
        <v>115</v>
      </c>
      <c r="AB4657" s="40" t="s">
        <v>115</v>
      </c>
      <c r="AC4657" s="40" t="s">
        <v>115</v>
      </c>
      <c r="AI4657" s="40" t="s">
        <v>115</v>
      </c>
      <c r="AP4657" s="4" t="s">
        <v>115</v>
      </c>
    </row>
    <row r="4658" spans="1:42" x14ac:dyDescent="0.15">
      <c r="A4658" s="40" t="s">
        <v>1</v>
      </c>
      <c r="B4658" s="23">
        <v>95801214</v>
      </c>
      <c r="C4658" s="23">
        <v>58012</v>
      </c>
      <c r="D4658" s="23">
        <v>5801</v>
      </c>
      <c r="F4658" s="23" t="s">
        <v>116</v>
      </c>
      <c r="G4658" s="23">
        <v>311</v>
      </c>
      <c r="H4658" s="23" t="s">
        <v>1307</v>
      </c>
      <c r="I4658" s="23">
        <v>0</v>
      </c>
      <c r="J4658" s="40">
        <v>0</v>
      </c>
      <c r="K4658" s="40">
        <v>0</v>
      </c>
      <c r="L4658" s="40" t="s">
        <v>115</v>
      </c>
      <c r="O4658" s="40" t="s">
        <v>115</v>
      </c>
      <c r="Q4658" s="40">
        <v>144</v>
      </c>
      <c r="R4658" s="40">
        <v>161</v>
      </c>
      <c r="X4658" s="40">
        <v>95801215</v>
      </c>
      <c r="Y4658" s="40" t="s">
        <v>115</v>
      </c>
      <c r="Z4658" s="40" t="s">
        <v>115</v>
      </c>
      <c r="AA4658" s="40" t="s">
        <v>115</v>
      </c>
      <c r="AB4658" s="40" t="s">
        <v>115</v>
      </c>
      <c r="AC4658" s="40" t="s">
        <v>115</v>
      </c>
      <c r="AI4658" s="40" t="s">
        <v>115</v>
      </c>
      <c r="AP4658" s="4" t="s">
        <v>115</v>
      </c>
    </row>
    <row r="4659" spans="1:42" x14ac:dyDescent="0.15">
      <c r="A4659" s="40" t="s">
        <v>1</v>
      </c>
      <c r="B4659" s="23">
        <v>95801215</v>
      </c>
      <c r="C4659" s="23">
        <v>58012</v>
      </c>
      <c r="D4659" s="23">
        <v>5801</v>
      </c>
      <c r="F4659" s="23" t="s">
        <v>115</v>
      </c>
      <c r="G4659" s="23" t="s">
        <v>115</v>
      </c>
      <c r="H4659" s="23" t="s">
        <v>1308</v>
      </c>
      <c r="I4659" s="23">
        <v>4</v>
      </c>
      <c r="J4659" s="40">
        <v>0</v>
      </c>
      <c r="K4659" s="40">
        <v>0</v>
      </c>
      <c r="L4659" s="40" t="s">
        <v>115</v>
      </c>
      <c r="O4659" s="40" t="s">
        <v>115</v>
      </c>
      <c r="Q4659" s="40">
        <v>144</v>
      </c>
      <c r="R4659" s="40">
        <v>161</v>
      </c>
      <c r="X4659" s="40">
        <v>95801216</v>
      </c>
      <c r="Y4659" s="40" t="s">
        <v>115</v>
      </c>
      <c r="Z4659" s="40" t="s">
        <v>115</v>
      </c>
      <c r="AA4659" s="40" t="s">
        <v>115</v>
      </c>
      <c r="AB4659" s="40" t="s">
        <v>115</v>
      </c>
      <c r="AC4659" s="40" t="s">
        <v>115</v>
      </c>
      <c r="AI4659" s="40" t="s">
        <v>115</v>
      </c>
      <c r="AP4659" s="4" t="s">
        <v>115</v>
      </c>
    </row>
    <row r="4660" spans="1:42" x14ac:dyDescent="0.15">
      <c r="A4660" s="40" t="s">
        <v>1</v>
      </c>
      <c r="B4660" s="23">
        <v>95801216</v>
      </c>
      <c r="C4660" s="23">
        <v>58012</v>
      </c>
      <c r="D4660" s="23">
        <v>5801</v>
      </c>
      <c r="F4660" s="23" t="s">
        <v>503</v>
      </c>
      <c r="G4660" s="23" t="s">
        <v>115</v>
      </c>
      <c r="H4660" s="23" t="s">
        <v>1309</v>
      </c>
      <c r="I4660" s="23">
        <v>3</v>
      </c>
      <c r="J4660" s="40">
        <v>0</v>
      </c>
      <c r="K4660" s="40">
        <v>0</v>
      </c>
      <c r="L4660" s="40" t="s">
        <v>115</v>
      </c>
      <c r="O4660" s="40" t="s">
        <v>115</v>
      </c>
      <c r="Q4660" s="40">
        <v>144</v>
      </c>
      <c r="R4660" s="40">
        <v>161</v>
      </c>
      <c r="X4660" s="40">
        <v>95801217</v>
      </c>
      <c r="Y4660" s="40" t="s">
        <v>115</v>
      </c>
      <c r="Z4660" s="40" t="s">
        <v>115</v>
      </c>
      <c r="AA4660" s="40" t="s">
        <v>115</v>
      </c>
      <c r="AB4660" s="40" t="s">
        <v>115</v>
      </c>
      <c r="AC4660" s="40" t="s">
        <v>115</v>
      </c>
      <c r="AI4660" s="40" t="s">
        <v>115</v>
      </c>
      <c r="AP4660" s="4" t="s">
        <v>115</v>
      </c>
    </row>
    <row r="4661" spans="1:42" x14ac:dyDescent="0.15">
      <c r="A4661" s="40" t="s">
        <v>1</v>
      </c>
      <c r="B4661" s="23">
        <v>95801217</v>
      </c>
      <c r="C4661" s="23">
        <v>58012</v>
      </c>
      <c r="D4661" s="23">
        <v>5801</v>
      </c>
      <c r="F4661" s="23" t="s">
        <v>503</v>
      </c>
      <c r="G4661" s="23" t="s">
        <v>115</v>
      </c>
      <c r="H4661" s="23" t="s">
        <v>1310</v>
      </c>
      <c r="I4661" s="23">
        <v>3</v>
      </c>
      <c r="J4661" s="40">
        <v>0</v>
      </c>
      <c r="K4661" s="40">
        <v>0</v>
      </c>
      <c r="L4661" s="40" t="s">
        <v>115</v>
      </c>
      <c r="O4661" s="40" t="s">
        <v>115</v>
      </c>
      <c r="Q4661" s="40">
        <v>144</v>
      </c>
      <c r="R4661" s="40">
        <v>161</v>
      </c>
      <c r="X4661" s="40">
        <v>95801218</v>
      </c>
      <c r="Y4661" s="40" t="s">
        <v>115</v>
      </c>
      <c r="Z4661" s="40" t="s">
        <v>115</v>
      </c>
      <c r="AA4661" s="40" t="s">
        <v>115</v>
      </c>
      <c r="AB4661" s="40" t="s">
        <v>115</v>
      </c>
      <c r="AC4661" s="40" t="s">
        <v>115</v>
      </c>
      <c r="AI4661" s="40" t="s">
        <v>115</v>
      </c>
      <c r="AP4661" s="4" t="s">
        <v>115</v>
      </c>
    </row>
    <row r="4662" spans="1:42" x14ac:dyDescent="0.15">
      <c r="A4662" s="40" t="s">
        <v>1</v>
      </c>
      <c r="B4662" s="23">
        <v>95801218</v>
      </c>
      <c r="C4662" s="23">
        <v>58012</v>
      </c>
      <c r="D4662" s="23">
        <v>5801</v>
      </c>
      <c r="F4662" s="23" t="s">
        <v>503</v>
      </c>
      <c r="G4662" s="23" t="s">
        <v>115</v>
      </c>
      <c r="H4662" s="23" t="s">
        <v>1311</v>
      </c>
      <c r="I4662" s="23">
        <v>3</v>
      </c>
      <c r="J4662" s="40">
        <v>0</v>
      </c>
      <c r="K4662" s="40">
        <v>0</v>
      </c>
      <c r="L4662" s="40" t="s">
        <v>115</v>
      </c>
      <c r="O4662" s="40" t="s">
        <v>115</v>
      </c>
      <c r="Q4662" s="40">
        <v>144</v>
      </c>
      <c r="R4662" s="40">
        <v>161</v>
      </c>
      <c r="X4662" s="40">
        <v>95801219</v>
      </c>
      <c r="Y4662" s="40" t="s">
        <v>115</v>
      </c>
      <c r="Z4662" s="40" t="s">
        <v>115</v>
      </c>
      <c r="AA4662" s="40" t="s">
        <v>115</v>
      </c>
      <c r="AB4662" s="40" t="s">
        <v>115</v>
      </c>
      <c r="AC4662" s="40" t="s">
        <v>115</v>
      </c>
      <c r="AI4662" s="40" t="s">
        <v>115</v>
      </c>
      <c r="AP4662" s="4" t="s">
        <v>115</v>
      </c>
    </row>
    <row r="4663" spans="1:42" x14ac:dyDescent="0.15">
      <c r="A4663" s="40" t="s">
        <v>1</v>
      </c>
      <c r="B4663" s="23">
        <v>95801219</v>
      </c>
      <c r="C4663" s="23">
        <v>58012</v>
      </c>
      <c r="D4663" s="23">
        <v>5801</v>
      </c>
      <c r="F4663" s="23" t="s">
        <v>503</v>
      </c>
      <c r="G4663" s="23" t="s">
        <v>115</v>
      </c>
      <c r="H4663" s="23" t="s">
        <v>1312</v>
      </c>
      <c r="I4663" s="23">
        <v>3</v>
      </c>
      <c r="J4663" s="40">
        <v>0</v>
      </c>
      <c r="K4663" s="40">
        <v>0</v>
      </c>
      <c r="L4663" s="40" t="s">
        <v>115</v>
      </c>
      <c r="O4663" s="40" t="s">
        <v>115</v>
      </c>
      <c r="Q4663" s="40">
        <v>144</v>
      </c>
      <c r="R4663" s="40">
        <v>161</v>
      </c>
      <c r="X4663" s="40">
        <v>95801220</v>
      </c>
      <c r="Y4663" s="40" t="s">
        <v>115</v>
      </c>
      <c r="Z4663" s="40" t="s">
        <v>115</v>
      </c>
      <c r="AA4663" s="40" t="s">
        <v>115</v>
      </c>
      <c r="AB4663" s="40" t="s">
        <v>115</v>
      </c>
      <c r="AC4663" s="40" t="s">
        <v>115</v>
      </c>
      <c r="AI4663" s="40" t="s">
        <v>115</v>
      </c>
      <c r="AP4663" s="4" t="s">
        <v>115</v>
      </c>
    </row>
    <row r="4664" spans="1:42" x14ac:dyDescent="0.15">
      <c r="A4664" s="40" t="s">
        <v>1</v>
      </c>
      <c r="B4664" s="23">
        <v>95801220</v>
      </c>
      <c r="C4664" s="23">
        <v>58012</v>
      </c>
      <c r="D4664" s="23">
        <v>5801</v>
      </c>
      <c r="F4664" s="23" t="s">
        <v>503</v>
      </c>
      <c r="G4664" s="23" t="s">
        <v>115</v>
      </c>
      <c r="H4664" s="23" t="s">
        <v>1313</v>
      </c>
      <c r="I4664" s="23">
        <v>3</v>
      </c>
      <c r="J4664" s="40">
        <v>0</v>
      </c>
      <c r="K4664" s="40">
        <v>0</v>
      </c>
      <c r="L4664" s="40" t="s">
        <v>115</v>
      </c>
      <c r="O4664" s="40" t="s">
        <v>115</v>
      </c>
      <c r="Q4664" s="40">
        <v>144</v>
      </c>
      <c r="R4664" s="40">
        <v>161</v>
      </c>
      <c r="X4664" s="40">
        <v>95801221</v>
      </c>
      <c r="Y4664" s="40" t="s">
        <v>115</v>
      </c>
      <c r="Z4664" s="40" t="s">
        <v>115</v>
      </c>
      <c r="AA4664" s="40" t="s">
        <v>115</v>
      </c>
      <c r="AB4664" s="40" t="s">
        <v>115</v>
      </c>
      <c r="AC4664" s="40" t="s">
        <v>115</v>
      </c>
      <c r="AI4664" s="40" t="s">
        <v>115</v>
      </c>
      <c r="AP4664" s="4" t="s">
        <v>115</v>
      </c>
    </row>
    <row r="4665" spans="1:42" x14ac:dyDescent="0.15">
      <c r="A4665" s="40" t="s">
        <v>1</v>
      </c>
      <c r="B4665" s="23">
        <v>95801221</v>
      </c>
      <c r="C4665" s="23">
        <v>58012</v>
      </c>
      <c r="D4665" s="23">
        <v>5801</v>
      </c>
      <c r="F4665" s="23" t="s">
        <v>116</v>
      </c>
      <c r="G4665" s="23">
        <v>312</v>
      </c>
      <c r="H4665" s="23" t="s">
        <v>1314</v>
      </c>
      <c r="I4665" s="23">
        <v>0</v>
      </c>
      <c r="J4665" s="40">
        <v>0</v>
      </c>
      <c r="K4665" s="40">
        <v>0</v>
      </c>
      <c r="L4665" s="40" t="s">
        <v>115</v>
      </c>
      <c r="O4665" s="40" t="s">
        <v>115</v>
      </c>
      <c r="Q4665" s="40">
        <v>144</v>
      </c>
      <c r="R4665" s="40">
        <v>161</v>
      </c>
      <c r="X4665" s="40">
        <v>95801222</v>
      </c>
      <c r="Y4665" s="40" t="s">
        <v>115</v>
      </c>
      <c r="Z4665" s="40" t="s">
        <v>115</v>
      </c>
      <c r="AA4665" s="40" t="s">
        <v>115</v>
      </c>
      <c r="AB4665" s="40" t="s">
        <v>115</v>
      </c>
      <c r="AC4665" s="40" t="s">
        <v>115</v>
      </c>
      <c r="AI4665" s="40" t="s">
        <v>115</v>
      </c>
      <c r="AP4665" s="4" t="s">
        <v>115</v>
      </c>
    </row>
    <row r="4666" spans="1:42" x14ac:dyDescent="0.15">
      <c r="A4666" s="40" t="s">
        <v>1</v>
      </c>
      <c r="B4666" s="23">
        <v>95801222</v>
      </c>
      <c r="C4666" s="23">
        <v>58012</v>
      </c>
      <c r="D4666" s="23">
        <v>5801</v>
      </c>
      <c r="F4666" s="23" t="s">
        <v>503</v>
      </c>
      <c r="G4666" s="23" t="s">
        <v>115</v>
      </c>
      <c r="H4666" s="23" t="s">
        <v>1315</v>
      </c>
      <c r="I4666" s="23">
        <v>3</v>
      </c>
      <c r="J4666" s="40">
        <v>0</v>
      </c>
      <c r="K4666" s="40">
        <v>0</v>
      </c>
      <c r="L4666" s="40" t="s">
        <v>115</v>
      </c>
      <c r="O4666" s="40" t="s">
        <v>115</v>
      </c>
      <c r="Q4666" s="40">
        <v>144</v>
      </c>
      <c r="R4666" s="40">
        <v>161</v>
      </c>
      <c r="X4666" s="40">
        <v>95801223</v>
      </c>
      <c r="Y4666" s="40" t="s">
        <v>115</v>
      </c>
      <c r="Z4666" s="40" t="s">
        <v>115</v>
      </c>
      <c r="AA4666" s="40" t="s">
        <v>115</v>
      </c>
      <c r="AB4666" s="40" t="s">
        <v>115</v>
      </c>
      <c r="AC4666" s="40" t="s">
        <v>115</v>
      </c>
      <c r="AI4666" s="40" t="s">
        <v>115</v>
      </c>
      <c r="AP4666" s="4" t="s">
        <v>115</v>
      </c>
    </row>
    <row r="4667" spans="1:42" x14ac:dyDescent="0.15">
      <c r="A4667" s="40" t="s">
        <v>1</v>
      </c>
      <c r="B4667" s="23">
        <v>95801223</v>
      </c>
      <c r="C4667" s="23">
        <v>58012</v>
      </c>
      <c r="D4667" s="23">
        <v>5801</v>
      </c>
      <c r="F4667" s="23" t="s">
        <v>116</v>
      </c>
      <c r="G4667" s="23">
        <v>312</v>
      </c>
      <c r="H4667" s="23" t="s">
        <v>1316</v>
      </c>
      <c r="I4667" s="23">
        <v>0</v>
      </c>
      <c r="J4667" s="40">
        <v>0</v>
      </c>
      <c r="K4667" s="40">
        <v>0</v>
      </c>
      <c r="L4667" s="40" t="s">
        <v>115</v>
      </c>
      <c r="O4667" s="40" t="s">
        <v>115</v>
      </c>
      <c r="Q4667" s="40">
        <v>144</v>
      </c>
      <c r="R4667" s="40">
        <v>161</v>
      </c>
      <c r="X4667" s="40">
        <v>95801224</v>
      </c>
      <c r="Y4667" s="40" t="s">
        <v>115</v>
      </c>
      <c r="Z4667" s="40" t="s">
        <v>115</v>
      </c>
      <c r="AA4667" s="40" t="s">
        <v>115</v>
      </c>
      <c r="AB4667" s="40" t="s">
        <v>115</v>
      </c>
      <c r="AC4667" s="40" t="s">
        <v>115</v>
      </c>
      <c r="AI4667" s="40" t="s">
        <v>115</v>
      </c>
      <c r="AP4667" s="4" t="s">
        <v>115</v>
      </c>
    </row>
    <row r="4668" spans="1:42" x14ac:dyDescent="0.15">
      <c r="A4668" s="40" t="s">
        <v>1</v>
      </c>
      <c r="B4668" s="23">
        <v>95801224</v>
      </c>
      <c r="C4668" s="23">
        <v>58012</v>
      </c>
      <c r="D4668" s="23">
        <v>5801</v>
      </c>
      <c r="F4668" s="23" t="s">
        <v>503</v>
      </c>
      <c r="G4668" s="23" t="s">
        <v>115</v>
      </c>
      <c r="H4668" s="23" t="s">
        <v>1317</v>
      </c>
      <c r="I4668" s="23">
        <v>3</v>
      </c>
      <c r="J4668" s="40">
        <v>0</v>
      </c>
      <c r="K4668" s="40">
        <v>0</v>
      </c>
      <c r="L4668" s="40" t="s">
        <v>115</v>
      </c>
      <c r="O4668" s="40" t="s">
        <v>115</v>
      </c>
      <c r="Q4668" s="40">
        <v>144</v>
      </c>
      <c r="R4668" s="40">
        <v>161</v>
      </c>
      <c r="X4668" s="40">
        <v>95801225</v>
      </c>
      <c r="Y4668" s="40" t="s">
        <v>115</v>
      </c>
      <c r="Z4668" s="40" t="s">
        <v>115</v>
      </c>
      <c r="AA4668" s="40" t="s">
        <v>115</v>
      </c>
      <c r="AB4668" s="40" t="s">
        <v>115</v>
      </c>
      <c r="AC4668" s="40" t="s">
        <v>115</v>
      </c>
      <c r="AI4668" s="40" t="s">
        <v>115</v>
      </c>
      <c r="AP4668" s="4" t="s">
        <v>115</v>
      </c>
    </row>
    <row r="4669" spans="1:42" x14ac:dyDescent="0.15">
      <c r="A4669" s="40" t="s">
        <v>1</v>
      </c>
      <c r="B4669" s="23">
        <v>95801225</v>
      </c>
      <c r="C4669" s="23">
        <v>58012</v>
      </c>
      <c r="D4669" s="23">
        <v>5801</v>
      </c>
      <c r="F4669" s="23" t="s">
        <v>116</v>
      </c>
      <c r="G4669" s="23">
        <v>312</v>
      </c>
      <c r="H4669" s="23" t="s">
        <v>1318</v>
      </c>
      <c r="I4669" s="23">
        <v>0</v>
      </c>
      <c r="J4669" s="40">
        <v>0</v>
      </c>
      <c r="K4669" s="40">
        <v>2</v>
      </c>
      <c r="L4669" s="40" t="s">
        <v>115</v>
      </c>
      <c r="O4669" s="40">
        <v>1</v>
      </c>
      <c r="Q4669" s="40">
        <v>144</v>
      </c>
      <c r="R4669" s="40">
        <v>161</v>
      </c>
      <c r="X4669" s="40" t="s">
        <v>115</v>
      </c>
      <c r="Y4669" s="40" t="s">
        <v>115</v>
      </c>
      <c r="Z4669" s="40">
        <v>1</v>
      </c>
      <c r="AA4669" s="40" t="s">
        <v>115</v>
      </c>
      <c r="AB4669" s="40" t="s">
        <v>115</v>
      </c>
      <c r="AC4669" s="40" t="s">
        <v>115</v>
      </c>
      <c r="AI4669" s="40" t="s">
        <v>115</v>
      </c>
      <c r="AP4669" s="40">
        <v>-1</v>
      </c>
    </row>
    <row r="4670" spans="1:42" x14ac:dyDescent="0.15">
      <c r="B4670" s="23" t="s">
        <v>115</v>
      </c>
      <c r="C4670" s="23" t="s">
        <v>115</v>
      </c>
      <c r="X4670" s="40" t="s">
        <v>115</v>
      </c>
      <c r="AP4670" s="4" t="s">
        <v>115</v>
      </c>
    </row>
    <row r="4671" spans="1:42" x14ac:dyDescent="0.15">
      <c r="A4671" s="40" t="s">
        <v>1</v>
      </c>
      <c r="B4671" s="23">
        <v>95802101</v>
      </c>
      <c r="C4671" s="23">
        <v>58021</v>
      </c>
      <c r="D4671" s="23">
        <v>5802</v>
      </c>
      <c r="F4671" s="23" t="s">
        <v>115</v>
      </c>
      <c r="G4671" s="23" t="s">
        <v>115</v>
      </c>
      <c r="H4671" s="23" t="s">
        <v>1651</v>
      </c>
      <c r="I4671" s="23">
        <v>4</v>
      </c>
      <c r="J4671" s="40">
        <v>1</v>
      </c>
      <c r="K4671" s="40">
        <v>1</v>
      </c>
      <c r="L4671" s="40" t="s">
        <v>115</v>
      </c>
      <c r="O4671" s="40" t="s">
        <v>115</v>
      </c>
      <c r="Q4671" s="40">
        <v>189</v>
      </c>
      <c r="R4671" s="40" t="s">
        <v>115</v>
      </c>
      <c r="X4671" s="40">
        <v>95802102</v>
      </c>
      <c r="Y4671" s="40" t="s">
        <v>115</v>
      </c>
      <c r="Z4671" s="40" t="s">
        <v>115</v>
      </c>
      <c r="AA4671" s="40" t="s">
        <v>115</v>
      </c>
      <c r="AB4671" s="40" t="s">
        <v>115</v>
      </c>
      <c r="AC4671" s="40" t="s">
        <v>115</v>
      </c>
      <c r="AI4671" s="40" t="s">
        <v>115</v>
      </c>
      <c r="AP4671" s="4" t="s">
        <v>115</v>
      </c>
    </row>
    <row r="4672" spans="1:42" x14ac:dyDescent="0.15">
      <c r="A4672" s="40" t="s">
        <v>1</v>
      </c>
      <c r="B4672" s="23">
        <v>95802102</v>
      </c>
      <c r="C4672" s="23">
        <v>58021</v>
      </c>
      <c r="D4672" s="23">
        <v>5802</v>
      </c>
      <c r="F4672" s="23" t="s">
        <v>1652</v>
      </c>
      <c r="G4672" s="23" t="s">
        <v>115</v>
      </c>
      <c r="H4672" s="23" t="s">
        <v>1653</v>
      </c>
      <c r="I4672" s="23">
        <v>3</v>
      </c>
      <c r="J4672" s="40">
        <v>0</v>
      </c>
      <c r="K4672" s="40">
        <v>0</v>
      </c>
      <c r="L4672" s="40" t="s">
        <v>115</v>
      </c>
      <c r="O4672" s="40" t="s">
        <v>115</v>
      </c>
      <c r="Q4672" s="40">
        <v>189</v>
      </c>
      <c r="R4672" s="40">
        <v>304</v>
      </c>
      <c r="X4672" s="40">
        <v>95802103</v>
      </c>
      <c r="Y4672" s="40" t="s">
        <v>115</v>
      </c>
      <c r="Z4672" s="40" t="s">
        <v>115</v>
      </c>
      <c r="AA4672" s="40" t="s">
        <v>115</v>
      </c>
      <c r="AB4672" s="40" t="s">
        <v>115</v>
      </c>
      <c r="AC4672" s="40" t="s">
        <v>115</v>
      </c>
      <c r="AI4672" s="40" t="s">
        <v>115</v>
      </c>
      <c r="AP4672" s="4" t="s">
        <v>115</v>
      </c>
    </row>
    <row r="4673" spans="1:42" x14ac:dyDescent="0.15">
      <c r="A4673" s="40" t="s">
        <v>1</v>
      </c>
      <c r="B4673" s="23">
        <v>95802103</v>
      </c>
      <c r="C4673" s="23">
        <v>58021</v>
      </c>
      <c r="D4673" s="23">
        <v>5802</v>
      </c>
      <c r="F4673" s="23" t="s">
        <v>115</v>
      </c>
      <c r="G4673" s="23" t="s">
        <v>115</v>
      </c>
      <c r="H4673" s="23" t="s">
        <v>1654</v>
      </c>
      <c r="I4673" s="23">
        <v>4</v>
      </c>
      <c r="J4673" s="40">
        <v>0</v>
      </c>
      <c r="K4673" s="40">
        <v>0</v>
      </c>
      <c r="L4673" s="40" t="s">
        <v>115</v>
      </c>
      <c r="O4673" s="40" t="s">
        <v>115</v>
      </c>
      <c r="Q4673" s="40">
        <v>189</v>
      </c>
      <c r="R4673" s="40">
        <v>304</v>
      </c>
      <c r="X4673" s="40">
        <v>95802104</v>
      </c>
      <c r="Y4673" s="40" t="s">
        <v>115</v>
      </c>
      <c r="Z4673" s="40" t="s">
        <v>115</v>
      </c>
      <c r="AA4673" s="40" t="s">
        <v>115</v>
      </c>
      <c r="AB4673" s="40" t="s">
        <v>115</v>
      </c>
      <c r="AC4673" s="40" t="s">
        <v>115</v>
      </c>
      <c r="AI4673" s="40" t="s">
        <v>115</v>
      </c>
      <c r="AP4673" s="4" t="s">
        <v>115</v>
      </c>
    </row>
    <row r="4674" spans="1:42" x14ac:dyDescent="0.15">
      <c r="A4674" s="40" t="s">
        <v>1</v>
      </c>
      <c r="B4674" s="23">
        <v>95802104</v>
      </c>
      <c r="C4674" s="23">
        <v>58021</v>
      </c>
      <c r="D4674" s="23">
        <v>5802</v>
      </c>
      <c r="F4674" s="23" t="s">
        <v>116</v>
      </c>
      <c r="G4674" s="23">
        <v>261</v>
      </c>
      <c r="H4674" s="23" t="s">
        <v>1655</v>
      </c>
      <c r="I4674" s="23">
        <v>0</v>
      </c>
      <c r="J4674" s="40">
        <v>0</v>
      </c>
      <c r="K4674" s="40">
        <v>0</v>
      </c>
      <c r="L4674" s="40" t="s">
        <v>115</v>
      </c>
      <c r="O4674" s="40" t="s">
        <v>115</v>
      </c>
      <c r="Q4674" s="40">
        <v>189</v>
      </c>
      <c r="R4674" s="40">
        <v>304</v>
      </c>
      <c r="X4674" s="40">
        <v>95802105</v>
      </c>
      <c r="Y4674" s="40" t="s">
        <v>115</v>
      </c>
      <c r="Z4674" s="40" t="s">
        <v>115</v>
      </c>
      <c r="AA4674" s="40" t="s">
        <v>115</v>
      </c>
      <c r="AB4674" s="40" t="s">
        <v>115</v>
      </c>
      <c r="AC4674" s="40" t="s">
        <v>115</v>
      </c>
      <c r="AI4674" s="40" t="s">
        <v>115</v>
      </c>
      <c r="AP4674" s="4" t="s">
        <v>115</v>
      </c>
    </row>
    <row r="4675" spans="1:42" x14ac:dyDescent="0.15">
      <c r="A4675" s="40" t="s">
        <v>1</v>
      </c>
      <c r="B4675" s="23">
        <v>95802105</v>
      </c>
      <c r="C4675" s="23">
        <v>58021</v>
      </c>
      <c r="D4675" s="23">
        <v>5802</v>
      </c>
      <c r="F4675" s="23" t="s">
        <v>1652</v>
      </c>
      <c r="G4675" s="23" t="s">
        <v>115</v>
      </c>
      <c r="H4675" s="23" t="s">
        <v>1656</v>
      </c>
      <c r="I4675" s="23">
        <v>3</v>
      </c>
      <c r="J4675" s="40">
        <v>0</v>
      </c>
      <c r="K4675" s="40">
        <v>0</v>
      </c>
      <c r="L4675" s="40" t="s">
        <v>115</v>
      </c>
      <c r="O4675" s="40" t="s">
        <v>115</v>
      </c>
      <c r="Q4675" s="40">
        <v>189</v>
      </c>
      <c r="R4675" s="40">
        <v>304</v>
      </c>
      <c r="X4675" s="40">
        <v>95802106</v>
      </c>
      <c r="Y4675" s="40" t="s">
        <v>115</v>
      </c>
      <c r="Z4675" s="40" t="s">
        <v>115</v>
      </c>
      <c r="AA4675" s="40" t="s">
        <v>115</v>
      </c>
      <c r="AB4675" s="40" t="s">
        <v>115</v>
      </c>
      <c r="AC4675" s="40" t="s">
        <v>115</v>
      </c>
      <c r="AI4675" s="40" t="s">
        <v>115</v>
      </c>
      <c r="AP4675" s="4" t="s">
        <v>115</v>
      </c>
    </row>
    <row r="4676" spans="1:42" x14ac:dyDescent="0.15">
      <c r="A4676" s="40" t="s">
        <v>1</v>
      </c>
      <c r="B4676" s="23">
        <v>95802106</v>
      </c>
      <c r="C4676" s="23">
        <v>58021</v>
      </c>
      <c r="D4676" s="23">
        <v>5802</v>
      </c>
      <c r="F4676" s="23" t="s">
        <v>1652</v>
      </c>
      <c r="G4676" s="23" t="s">
        <v>115</v>
      </c>
      <c r="H4676" s="23" t="s">
        <v>1657</v>
      </c>
      <c r="I4676" s="23">
        <v>3</v>
      </c>
      <c r="J4676" s="40">
        <v>0</v>
      </c>
      <c r="K4676" s="40">
        <v>0</v>
      </c>
      <c r="L4676" s="40" t="s">
        <v>115</v>
      </c>
      <c r="O4676" s="40" t="s">
        <v>115</v>
      </c>
      <c r="Q4676" s="40">
        <v>189</v>
      </c>
      <c r="R4676" s="40">
        <v>304</v>
      </c>
      <c r="X4676" s="40">
        <v>95802107</v>
      </c>
      <c r="Y4676" s="40" t="s">
        <v>115</v>
      </c>
      <c r="Z4676" s="40" t="s">
        <v>115</v>
      </c>
      <c r="AA4676" s="40" t="s">
        <v>115</v>
      </c>
      <c r="AB4676" s="40" t="s">
        <v>115</v>
      </c>
      <c r="AC4676" s="40" t="s">
        <v>115</v>
      </c>
      <c r="AI4676" s="40" t="s">
        <v>115</v>
      </c>
      <c r="AP4676" s="4" t="s">
        <v>115</v>
      </c>
    </row>
    <row r="4677" spans="1:42" x14ac:dyDescent="0.15">
      <c r="A4677" s="40" t="s">
        <v>1</v>
      </c>
      <c r="B4677" s="23">
        <v>95802107</v>
      </c>
      <c r="C4677" s="23">
        <v>58021</v>
      </c>
      <c r="D4677" s="23">
        <v>5802</v>
      </c>
      <c r="F4677" s="23" t="s">
        <v>1652</v>
      </c>
      <c r="G4677" s="23" t="s">
        <v>115</v>
      </c>
      <c r="H4677" s="23" t="s">
        <v>1658</v>
      </c>
      <c r="I4677" s="23">
        <v>3</v>
      </c>
      <c r="J4677" s="40">
        <v>0</v>
      </c>
      <c r="K4677" s="40">
        <v>0</v>
      </c>
      <c r="L4677" s="40" t="s">
        <v>115</v>
      </c>
      <c r="O4677" s="40" t="s">
        <v>115</v>
      </c>
      <c r="Q4677" s="40">
        <v>189</v>
      </c>
      <c r="R4677" s="40">
        <v>304</v>
      </c>
      <c r="X4677" s="40">
        <v>95802108</v>
      </c>
      <c r="Y4677" s="40" t="s">
        <v>115</v>
      </c>
      <c r="Z4677" s="40" t="s">
        <v>115</v>
      </c>
      <c r="AA4677" s="40" t="s">
        <v>115</v>
      </c>
      <c r="AB4677" s="40" t="s">
        <v>115</v>
      </c>
      <c r="AC4677" s="40" t="s">
        <v>115</v>
      </c>
      <c r="AI4677" s="40" t="s">
        <v>115</v>
      </c>
      <c r="AP4677" s="4" t="s">
        <v>115</v>
      </c>
    </row>
    <row r="4678" spans="1:42" x14ac:dyDescent="0.15">
      <c r="A4678" s="40" t="s">
        <v>1</v>
      </c>
      <c r="B4678" s="23">
        <v>95802108</v>
      </c>
      <c r="C4678" s="23">
        <v>58021</v>
      </c>
      <c r="D4678" s="23">
        <v>5802</v>
      </c>
      <c r="F4678" s="23" t="s">
        <v>116</v>
      </c>
      <c r="G4678" s="23">
        <v>275</v>
      </c>
      <c r="H4678" s="23" t="s">
        <v>1659</v>
      </c>
      <c r="I4678" s="23">
        <v>0</v>
      </c>
      <c r="J4678" s="40">
        <v>0</v>
      </c>
      <c r="K4678" s="40">
        <v>0</v>
      </c>
      <c r="L4678" s="40" t="s">
        <v>115</v>
      </c>
      <c r="O4678" s="40" t="s">
        <v>115</v>
      </c>
      <c r="Q4678" s="40">
        <v>189</v>
      </c>
      <c r="R4678" s="40">
        <v>304</v>
      </c>
      <c r="X4678" s="40">
        <v>95802109</v>
      </c>
      <c r="Y4678" s="40" t="s">
        <v>115</v>
      </c>
      <c r="Z4678" s="40" t="s">
        <v>115</v>
      </c>
      <c r="AA4678" s="40" t="s">
        <v>115</v>
      </c>
      <c r="AB4678" s="40" t="s">
        <v>115</v>
      </c>
      <c r="AC4678" s="40" t="s">
        <v>115</v>
      </c>
      <c r="AI4678" s="40" t="s">
        <v>115</v>
      </c>
      <c r="AP4678" s="4" t="s">
        <v>115</v>
      </c>
    </row>
    <row r="4679" spans="1:42" x14ac:dyDescent="0.15">
      <c r="A4679" s="40" t="s">
        <v>1</v>
      </c>
      <c r="B4679" s="23">
        <v>95802109</v>
      </c>
      <c r="C4679" s="23">
        <v>58021</v>
      </c>
      <c r="D4679" s="23">
        <v>5802</v>
      </c>
      <c r="F4679" s="23" t="s">
        <v>115</v>
      </c>
      <c r="G4679" s="23" t="s">
        <v>115</v>
      </c>
      <c r="H4679" s="23" t="s">
        <v>1660</v>
      </c>
      <c r="I4679" s="23">
        <v>4</v>
      </c>
      <c r="J4679" s="40">
        <v>0</v>
      </c>
      <c r="K4679" s="40">
        <v>0</v>
      </c>
      <c r="L4679" s="40" t="s">
        <v>115</v>
      </c>
      <c r="O4679" s="40" t="s">
        <v>115</v>
      </c>
      <c r="Q4679" s="40">
        <v>189</v>
      </c>
      <c r="R4679" s="40">
        <v>304</v>
      </c>
      <c r="X4679" s="40">
        <v>95802110</v>
      </c>
      <c r="Y4679" s="40" t="s">
        <v>115</v>
      </c>
      <c r="Z4679" s="40" t="s">
        <v>115</v>
      </c>
      <c r="AA4679" s="40" t="s">
        <v>115</v>
      </c>
      <c r="AB4679" s="40" t="s">
        <v>115</v>
      </c>
      <c r="AC4679" s="40" t="s">
        <v>115</v>
      </c>
      <c r="AI4679" s="40" t="s">
        <v>115</v>
      </c>
      <c r="AP4679" s="4" t="s">
        <v>115</v>
      </c>
    </row>
    <row r="4680" spans="1:42" x14ac:dyDescent="0.15">
      <c r="A4680" s="40" t="s">
        <v>1</v>
      </c>
      <c r="B4680" s="23">
        <v>95802110</v>
      </c>
      <c r="C4680" s="23">
        <v>58021</v>
      </c>
      <c r="D4680" s="23">
        <v>5802</v>
      </c>
      <c r="F4680" s="23" t="s">
        <v>1652</v>
      </c>
      <c r="G4680" s="23" t="s">
        <v>115</v>
      </c>
      <c r="H4680" s="23" t="s">
        <v>1661</v>
      </c>
      <c r="I4680" s="23">
        <v>3</v>
      </c>
      <c r="J4680" s="40">
        <v>0</v>
      </c>
      <c r="K4680" s="40">
        <v>0</v>
      </c>
      <c r="L4680" s="40" t="s">
        <v>115</v>
      </c>
      <c r="O4680" s="40" t="s">
        <v>115</v>
      </c>
      <c r="Q4680" s="40">
        <v>189</v>
      </c>
      <c r="R4680" s="40">
        <v>304</v>
      </c>
      <c r="X4680" s="40">
        <v>95802111</v>
      </c>
      <c r="Y4680" s="40" t="s">
        <v>115</v>
      </c>
      <c r="Z4680" s="40" t="s">
        <v>115</v>
      </c>
      <c r="AA4680" s="40" t="s">
        <v>115</v>
      </c>
      <c r="AB4680" s="40" t="s">
        <v>115</v>
      </c>
      <c r="AC4680" s="40" t="s">
        <v>115</v>
      </c>
      <c r="AI4680" s="40" t="s">
        <v>115</v>
      </c>
      <c r="AP4680" s="4" t="s">
        <v>115</v>
      </c>
    </row>
    <row r="4681" spans="1:42" x14ac:dyDescent="0.15">
      <c r="A4681" s="40" t="s">
        <v>1</v>
      </c>
      <c r="B4681" s="23">
        <v>95802111</v>
      </c>
      <c r="C4681" s="23">
        <v>58021</v>
      </c>
      <c r="D4681" s="23">
        <v>5802</v>
      </c>
      <c r="F4681" s="23" t="s">
        <v>1652</v>
      </c>
      <c r="G4681" s="23" t="s">
        <v>115</v>
      </c>
      <c r="H4681" s="23" t="s">
        <v>1662</v>
      </c>
      <c r="I4681" s="23">
        <v>3</v>
      </c>
      <c r="J4681" s="40">
        <v>0</v>
      </c>
      <c r="K4681" s="40">
        <v>0</v>
      </c>
      <c r="L4681" s="40" t="s">
        <v>115</v>
      </c>
      <c r="O4681" s="40" t="s">
        <v>115</v>
      </c>
      <c r="Q4681" s="40">
        <v>189</v>
      </c>
      <c r="R4681" s="40">
        <v>304</v>
      </c>
      <c r="X4681" s="40">
        <v>95802112</v>
      </c>
      <c r="Y4681" s="40" t="s">
        <v>115</v>
      </c>
      <c r="Z4681" s="40" t="s">
        <v>115</v>
      </c>
      <c r="AA4681" s="40" t="s">
        <v>115</v>
      </c>
      <c r="AB4681" s="40" t="s">
        <v>115</v>
      </c>
      <c r="AC4681" s="40" t="s">
        <v>115</v>
      </c>
      <c r="AI4681" s="40" t="s">
        <v>115</v>
      </c>
      <c r="AP4681" s="4" t="s">
        <v>115</v>
      </c>
    </row>
    <row r="4682" spans="1:42" x14ac:dyDescent="0.15">
      <c r="A4682" s="40" t="s">
        <v>1</v>
      </c>
      <c r="B4682" s="23">
        <v>95802112</v>
      </c>
      <c r="C4682" s="23">
        <v>58021</v>
      </c>
      <c r="D4682" s="23">
        <v>5802</v>
      </c>
      <c r="F4682" s="23" t="s">
        <v>115</v>
      </c>
      <c r="G4682" s="23" t="s">
        <v>115</v>
      </c>
      <c r="H4682" s="23" t="s">
        <v>1663</v>
      </c>
      <c r="I4682" s="23">
        <v>4</v>
      </c>
      <c r="J4682" s="40">
        <v>0</v>
      </c>
      <c r="K4682" s="40">
        <v>0</v>
      </c>
      <c r="L4682" s="40" t="s">
        <v>115</v>
      </c>
      <c r="O4682" s="40" t="s">
        <v>115</v>
      </c>
      <c r="Q4682" s="40">
        <v>189</v>
      </c>
      <c r="R4682" s="40">
        <v>244</v>
      </c>
      <c r="X4682" s="40">
        <v>95802113</v>
      </c>
      <c r="Y4682" s="40" t="s">
        <v>115</v>
      </c>
      <c r="Z4682" s="40" t="s">
        <v>115</v>
      </c>
      <c r="AA4682" s="40" t="s">
        <v>115</v>
      </c>
      <c r="AB4682" s="40" t="s">
        <v>115</v>
      </c>
      <c r="AC4682" s="40" t="s">
        <v>115</v>
      </c>
      <c r="AI4682" s="40" t="s">
        <v>115</v>
      </c>
      <c r="AP4682" s="4" t="s">
        <v>115</v>
      </c>
    </row>
    <row r="4683" spans="1:42" x14ac:dyDescent="0.15">
      <c r="A4683" s="40" t="s">
        <v>1</v>
      </c>
      <c r="B4683" s="23">
        <v>95802113</v>
      </c>
      <c r="C4683" s="23">
        <v>58021</v>
      </c>
      <c r="D4683" s="23">
        <v>5802</v>
      </c>
      <c r="F4683" s="23" t="s">
        <v>1664</v>
      </c>
      <c r="G4683" s="23" t="s">
        <v>115</v>
      </c>
      <c r="H4683" s="23" t="s">
        <v>1665</v>
      </c>
      <c r="I4683" s="23">
        <v>3</v>
      </c>
      <c r="J4683" s="40">
        <v>0</v>
      </c>
      <c r="K4683" s="40">
        <v>0</v>
      </c>
      <c r="L4683" s="40" t="s">
        <v>115</v>
      </c>
      <c r="O4683" s="40" t="s">
        <v>115</v>
      </c>
      <c r="Q4683" s="40">
        <v>189</v>
      </c>
      <c r="R4683" s="40">
        <v>244</v>
      </c>
      <c r="X4683" s="40">
        <v>95802114</v>
      </c>
      <c r="Y4683" s="40" t="s">
        <v>115</v>
      </c>
      <c r="Z4683" s="40" t="s">
        <v>115</v>
      </c>
      <c r="AA4683" s="40" t="s">
        <v>115</v>
      </c>
      <c r="AB4683" s="40" t="s">
        <v>115</v>
      </c>
      <c r="AC4683" s="40" t="s">
        <v>115</v>
      </c>
      <c r="AI4683" s="40" t="s">
        <v>115</v>
      </c>
      <c r="AP4683" s="4" t="s">
        <v>115</v>
      </c>
    </row>
    <row r="4684" spans="1:42" x14ac:dyDescent="0.15">
      <c r="A4684" s="40" t="s">
        <v>1</v>
      </c>
      <c r="B4684" s="23">
        <v>95802114</v>
      </c>
      <c r="C4684" s="23">
        <v>58021</v>
      </c>
      <c r="D4684" s="23">
        <v>5802</v>
      </c>
      <c r="F4684" s="23" t="s">
        <v>1664</v>
      </c>
      <c r="G4684" s="23" t="s">
        <v>115</v>
      </c>
      <c r="H4684" s="23" t="s">
        <v>1666</v>
      </c>
      <c r="I4684" s="23">
        <v>3</v>
      </c>
      <c r="J4684" s="40">
        <v>0</v>
      </c>
      <c r="K4684" s="40">
        <v>0</v>
      </c>
      <c r="L4684" s="40" t="s">
        <v>115</v>
      </c>
      <c r="O4684" s="40" t="s">
        <v>115</v>
      </c>
      <c r="Q4684" s="40">
        <v>189</v>
      </c>
      <c r="R4684" s="40">
        <v>244</v>
      </c>
      <c r="X4684" s="40">
        <v>95802115</v>
      </c>
      <c r="Y4684" s="40" t="s">
        <v>115</v>
      </c>
      <c r="Z4684" s="40" t="s">
        <v>115</v>
      </c>
      <c r="AA4684" s="40" t="s">
        <v>115</v>
      </c>
      <c r="AB4684" s="40" t="s">
        <v>115</v>
      </c>
      <c r="AC4684" s="40" t="s">
        <v>115</v>
      </c>
      <c r="AI4684" s="40" t="s">
        <v>115</v>
      </c>
      <c r="AP4684" s="4" t="s">
        <v>115</v>
      </c>
    </row>
    <row r="4685" spans="1:42" x14ac:dyDescent="0.15">
      <c r="A4685" s="40" t="s">
        <v>1</v>
      </c>
      <c r="B4685" s="23">
        <v>95802115</v>
      </c>
      <c r="C4685" s="23">
        <v>58021</v>
      </c>
      <c r="D4685" s="23">
        <v>5802</v>
      </c>
      <c r="F4685" s="23" t="s">
        <v>1652</v>
      </c>
      <c r="G4685" s="23" t="s">
        <v>115</v>
      </c>
      <c r="H4685" s="23" t="s">
        <v>1667</v>
      </c>
      <c r="I4685" s="23">
        <v>3</v>
      </c>
      <c r="J4685" s="40">
        <v>0</v>
      </c>
      <c r="K4685" s="40">
        <v>0</v>
      </c>
      <c r="L4685" s="40" t="s">
        <v>115</v>
      </c>
      <c r="O4685" s="40" t="s">
        <v>115</v>
      </c>
      <c r="Q4685" s="40">
        <v>189</v>
      </c>
      <c r="R4685" s="40">
        <v>304</v>
      </c>
      <c r="X4685" s="40">
        <v>95802116</v>
      </c>
      <c r="Y4685" s="40" t="s">
        <v>115</v>
      </c>
      <c r="Z4685" s="40" t="s">
        <v>115</v>
      </c>
      <c r="AA4685" s="40" t="s">
        <v>115</v>
      </c>
      <c r="AB4685" s="40" t="s">
        <v>115</v>
      </c>
      <c r="AC4685" s="40" t="s">
        <v>115</v>
      </c>
      <c r="AI4685" s="40" t="s">
        <v>115</v>
      </c>
      <c r="AP4685" s="4" t="s">
        <v>115</v>
      </c>
    </row>
    <row r="4686" spans="1:42" x14ac:dyDescent="0.15">
      <c r="A4686" s="40" t="s">
        <v>1</v>
      </c>
      <c r="B4686" s="23">
        <v>95802116</v>
      </c>
      <c r="C4686" s="23">
        <v>58021</v>
      </c>
      <c r="D4686" s="23">
        <v>5802</v>
      </c>
      <c r="F4686" s="23" t="s">
        <v>1664</v>
      </c>
      <c r="G4686" s="23" t="s">
        <v>115</v>
      </c>
      <c r="H4686" s="23" t="s">
        <v>1668</v>
      </c>
      <c r="I4686" s="23">
        <v>3</v>
      </c>
      <c r="J4686" s="40">
        <v>0</v>
      </c>
      <c r="K4686" s="40">
        <v>0</v>
      </c>
      <c r="L4686" s="40" t="s">
        <v>115</v>
      </c>
      <c r="O4686" s="40" t="s">
        <v>115</v>
      </c>
      <c r="Q4686" s="40">
        <v>189</v>
      </c>
      <c r="R4686" s="40">
        <v>244</v>
      </c>
      <c r="X4686" s="40">
        <v>95802117</v>
      </c>
      <c r="Y4686" s="40" t="s">
        <v>115</v>
      </c>
      <c r="Z4686" s="40" t="s">
        <v>115</v>
      </c>
      <c r="AA4686" s="40" t="s">
        <v>115</v>
      </c>
      <c r="AB4686" s="40" t="s">
        <v>115</v>
      </c>
      <c r="AC4686" s="40" t="s">
        <v>115</v>
      </c>
      <c r="AI4686" s="40" t="s">
        <v>115</v>
      </c>
      <c r="AP4686" s="4" t="s">
        <v>115</v>
      </c>
    </row>
    <row r="4687" spans="1:42" x14ac:dyDescent="0.15">
      <c r="A4687" s="40" t="s">
        <v>1</v>
      </c>
      <c r="B4687" s="23">
        <v>95802117</v>
      </c>
      <c r="C4687" s="23">
        <v>58021</v>
      </c>
      <c r="D4687" s="23">
        <v>5802</v>
      </c>
      <c r="F4687" s="23" t="s">
        <v>1664</v>
      </c>
      <c r="G4687" s="23" t="s">
        <v>115</v>
      </c>
      <c r="H4687" s="23" t="s">
        <v>1669</v>
      </c>
      <c r="I4687" s="23">
        <v>3</v>
      </c>
      <c r="J4687" s="40">
        <v>0</v>
      </c>
      <c r="K4687" s="40">
        <v>0</v>
      </c>
      <c r="L4687" s="40" t="s">
        <v>115</v>
      </c>
      <c r="O4687" s="40" t="s">
        <v>115</v>
      </c>
      <c r="Q4687" s="40">
        <v>189</v>
      </c>
      <c r="R4687" s="40">
        <v>244</v>
      </c>
      <c r="X4687" s="40">
        <v>95802118</v>
      </c>
      <c r="Y4687" s="40" t="s">
        <v>115</v>
      </c>
      <c r="Z4687" s="40" t="s">
        <v>115</v>
      </c>
      <c r="AA4687" s="40" t="s">
        <v>115</v>
      </c>
      <c r="AB4687" s="40" t="s">
        <v>115</v>
      </c>
      <c r="AC4687" s="40" t="s">
        <v>115</v>
      </c>
      <c r="AI4687" s="40" t="s">
        <v>115</v>
      </c>
      <c r="AP4687" s="4" t="s">
        <v>115</v>
      </c>
    </row>
    <row r="4688" spans="1:42" x14ac:dyDescent="0.15">
      <c r="A4688" s="40" t="s">
        <v>1</v>
      </c>
      <c r="B4688" s="23">
        <v>95802118</v>
      </c>
      <c r="C4688" s="23">
        <v>58021</v>
      </c>
      <c r="D4688" s="23">
        <v>5802</v>
      </c>
      <c r="F4688" s="23" t="s">
        <v>1652</v>
      </c>
      <c r="G4688" s="23" t="s">
        <v>115</v>
      </c>
      <c r="H4688" s="23" t="s">
        <v>1670</v>
      </c>
      <c r="I4688" s="23">
        <v>3</v>
      </c>
      <c r="J4688" s="40">
        <v>0</v>
      </c>
      <c r="K4688" s="40">
        <v>0</v>
      </c>
      <c r="L4688" s="40" t="s">
        <v>115</v>
      </c>
      <c r="O4688" s="40" t="s">
        <v>115</v>
      </c>
      <c r="Q4688" s="40">
        <v>189</v>
      </c>
      <c r="R4688" s="40">
        <v>304</v>
      </c>
      <c r="X4688" s="40">
        <v>95802119</v>
      </c>
      <c r="Y4688" s="40" t="s">
        <v>115</v>
      </c>
      <c r="Z4688" s="40" t="s">
        <v>115</v>
      </c>
      <c r="AA4688" s="40" t="s">
        <v>115</v>
      </c>
      <c r="AB4688" s="40" t="s">
        <v>115</v>
      </c>
      <c r="AC4688" s="40" t="s">
        <v>115</v>
      </c>
      <c r="AI4688" s="40" t="s">
        <v>115</v>
      </c>
      <c r="AP4688" s="4" t="s">
        <v>115</v>
      </c>
    </row>
    <row r="4689" spans="1:42" x14ac:dyDescent="0.15">
      <c r="A4689" s="40" t="s">
        <v>1</v>
      </c>
      <c r="B4689" s="23">
        <v>95802119</v>
      </c>
      <c r="C4689" s="23">
        <v>58021</v>
      </c>
      <c r="D4689" s="23">
        <v>5802</v>
      </c>
      <c r="F4689" s="23" t="s">
        <v>116</v>
      </c>
      <c r="G4689" s="23">
        <v>261</v>
      </c>
      <c r="H4689" s="23" t="s">
        <v>1671</v>
      </c>
      <c r="I4689" s="23">
        <v>0</v>
      </c>
      <c r="J4689" s="40">
        <v>0</v>
      </c>
      <c r="K4689" s="40">
        <v>0</v>
      </c>
      <c r="L4689" s="40" t="s">
        <v>115</v>
      </c>
      <c r="O4689" s="40" t="s">
        <v>115</v>
      </c>
      <c r="Q4689" s="40">
        <v>189</v>
      </c>
      <c r="R4689" s="40">
        <v>304</v>
      </c>
      <c r="X4689" s="40">
        <v>95802120</v>
      </c>
      <c r="Y4689" s="40" t="s">
        <v>115</v>
      </c>
      <c r="Z4689" s="40" t="s">
        <v>115</v>
      </c>
      <c r="AA4689" s="40" t="s">
        <v>115</v>
      </c>
      <c r="AB4689" s="40" t="s">
        <v>115</v>
      </c>
      <c r="AC4689" s="40" t="s">
        <v>115</v>
      </c>
      <c r="AI4689" s="40" t="s">
        <v>115</v>
      </c>
      <c r="AP4689" s="4" t="s">
        <v>115</v>
      </c>
    </row>
    <row r="4690" spans="1:42" x14ac:dyDescent="0.15">
      <c r="A4690" s="40" t="s">
        <v>1</v>
      </c>
      <c r="B4690" s="23">
        <v>95802120</v>
      </c>
      <c r="C4690" s="23">
        <v>58021</v>
      </c>
      <c r="D4690" s="23">
        <v>5802</v>
      </c>
      <c r="F4690" s="23" t="s">
        <v>1652</v>
      </c>
      <c r="G4690" s="23" t="s">
        <v>115</v>
      </c>
      <c r="H4690" s="23" t="s">
        <v>1672</v>
      </c>
      <c r="I4690" s="23">
        <v>3</v>
      </c>
      <c r="J4690" s="40">
        <v>0</v>
      </c>
      <c r="K4690" s="40">
        <v>0</v>
      </c>
      <c r="L4690" s="40" t="s">
        <v>115</v>
      </c>
      <c r="O4690" s="40" t="s">
        <v>115</v>
      </c>
      <c r="Q4690" s="40">
        <v>189</v>
      </c>
      <c r="R4690" s="40">
        <v>304</v>
      </c>
      <c r="X4690" s="40">
        <v>95802121</v>
      </c>
      <c r="Y4690" s="40" t="s">
        <v>115</v>
      </c>
      <c r="Z4690" s="40" t="s">
        <v>115</v>
      </c>
      <c r="AA4690" s="40" t="s">
        <v>115</v>
      </c>
      <c r="AB4690" s="40" t="s">
        <v>115</v>
      </c>
      <c r="AC4690" s="40" t="s">
        <v>115</v>
      </c>
      <c r="AI4690" s="40" t="s">
        <v>115</v>
      </c>
      <c r="AP4690" s="4" t="s">
        <v>115</v>
      </c>
    </row>
    <row r="4691" spans="1:42" x14ac:dyDescent="0.15">
      <c r="A4691" s="40" t="s">
        <v>1</v>
      </c>
      <c r="B4691" s="23">
        <v>95802121</v>
      </c>
      <c r="C4691" s="23">
        <v>58021</v>
      </c>
      <c r="D4691" s="23">
        <v>5802</v>
      </c>
      <c r="F4691" s="23" t="s">
        <v>116</v>
      </c>
      <c r="G4691" s="23">
        <v>261</v>
      </c>
      <c r="H4691" s="23" t="s">
        <v>1673</v>
      </c>
      <c r="I4691" s="23">
        <v>0</v>
      </c>
      <c r="J4691" s="40">
        <v>0</v>
      </c>
      <c r="K4691" s="40">
        <v>0</v>
      </c>
      <c r="L4691" s="40" t="s">
        <v>115</v>
      </c>
      <c r="O4691" s="40" t="s">
        <v>115</v>
      </c>
      <c r="Q4691" s="40">
        <v>189</v>
      </c>
      <c r="R4691" s="40">
        <v>304</v>
      </c>
      <c r="X4691" s="40">
        <v>95802122</v>
      </c>
      <c r="Y4691" s="40" t="s">
        <v>115</v>
      </c>
      <c r="Z4691" s="40" t="s">
        <v>115</v>
      </c>
      <c r="AA4691" s="40" t="s">
        <v>115</v>
      </c>
      <c r="AB4691" s="40" t="s">
        <v>115</v>
      </c>
      <c r="AC4691" s="40" t="s">
        <v>115</v>
      </c>
      <c r="AI4691" s="40" t="s">
        <v>115</v>
      </c>
      <c r="AP4691" s="4" t="s">
        <v>115</v>
      </c>
    </row>
    <row r="4692" spans="1:42" x14ac:dyDescent="0.15">
      <c r="A4692" s="40" t="s">
        <v>1</v>
      </c>
      <c r="B4692" s="23">
        <v>95802122</v>
      </c>
      <c r="C4692" s="23">
        <v>58021</v>
      </c>
      <c r="D4692" s="23">
        <v>5802</v>
      </c>
      <c r="F4692" s="23" t="s">
        <v>115</v>
      </c>
      <c r="G4692" s="23" t="s">
        <v>115</v>
      </c>
      <c r="H4692" s="23" t="s">
        <v>1674</v>
      </c>
      <c r="I4692" s="23">
        <v>4</v>
      </c>
      <c r="J4692" s="40">
        <v>0</v>
      </c>
      <c r="K4692" s="40">
        <v>0</v>
      </c>
      <c r="L4692" s="40" t="s">
        <v>115</v>
      </c>
      <c r="O4692" s="40" t="s">
        <v>115</v>
      </c>
      <c r="Q4692" s="40">
        <v>189</v>
      </c>
      <c r="R4692" s="40">
        <v>304</v>
      </c>
      <c r="X4692" s="40">
        <v>95802123</v>
      </c>
      <c r="Y4692" s="40" t="s">
        <v>115</v>
      </c>
      <c r="Z4692" s="40" t="s">
        <v>115</v>
      </c>
      <c r="AA4692" s="40" t="s">
        <v>115</v>
      </c>
      <c r="AB4692" s="40" t="s">
        <v>115</v>
      </c>
      <c r="AC4692" s="40" t="s">
        <v>115</v>
      </c>
      <c r="AI4692" s="40" t="s">
        <v>115</v>
      </c>
      <c r="AP4692" s="4" t="s">
        <v>115</v>
      </c>
    </row>
    <row r="4693" spans="1:42" x14ac:dyDescent="0.15">
      <c r="A4693" s="40" t="s">
        <v>1</v>
      </c>
      <c r="B4693" s="23">
        <v>95802123</v>
      </c>
      <c r="C4693" s="23">
        <v>58021</v>
      </c>
      <c r="D4693" s="23">
        <v>5802</v>
      </c>
      <c r="F4693" s="23" t="s">
        <v>115</v>
      </c>
      <c r="G4693" s="23" t="s">
        <v>115</v>
      </c>
      <c r="H4693" s="23" t="s">
        <v>1675</v>
      </c>
      <c r="I4693" s="23">
        <v>4</v>
      </c>
      <c r="J4693" s="40">
        <v>0</v>
      </c>
      <c r="K4693" s="40">
        <v>0</v>
      </c>
      <c r="L4693" s="40" t="s">
        <v>115</v>
      </c>
      <c r="O4693" s="40" t="s">
        <v>115</v>
      </c>
      <c r="Q4693" s="40">
        <v>189</v>
      </c>
      <c r="R4693" s="40" t="s">
        <v>115</v>
      </c>
      <c r="X4693" s="40">
        <v>95802124</v>
      </c>
      <c r="Y4693" s="40" t="s">
        <v>115</v>
      </c>
      <c r="Z4693" s="40" t="s">
        <v>115</v>
      </c>
      <c r="AA4693" s="40" t="s">
        <v>115</v>
      </c>
      <c r="AB4693" s="40" t="s">
        <v>115</v>
      </c>
      <c r="AC4693" s="40" t="s">
        <v>115</v>
      </c>
      <c r="AI4693" s="40" t="s">
        <v>115</v>
      </c>
      <c r="AP4693" s="4" t="s">
        <v>115</v>
      </c>
    </row>
    <row r="4694" spans="1:42" x14ac:dyDescent="0.15">
      <c r="A4694" s="40" t="s">
        <v>1</v>
      </c>
      <c r="B4694" s="23">
        <v>95802124</v>
      </c>
      <c r="C4694" s="23">
        <v>58021</v>
      </c>
      <c r="D4694" s="23">
        <v>5802</v>
      </c>
      <c r="F4694" s="23" t="s">
        <v>116</v>
      </c>
      <c r="G4694" s="23">
        <v>275</v>
      </c>
      <c r="H4694" s="23" t="s">
        <v>1676</v>
      </c>
      <c r="I4694" s="23">
        <v>2</v>
      </c>
      <c r="J4694" s="40">
        <v>0</v>
      </c>
      <c r="K4694" s="40">
        <v>2</v>
      </c>
      <c r="L4694" s="40" t="s">
        <v>115</v>
      </c>
      <c r="O4694" s="40">
        <v>1</v>
      </c>
      <c r="Q4694" s="40">
        <v>189</v>
      </c>
      <c r="R4694" s="40" t="s">
        <v>115</v>
      </c>
      <c r="X4694" s="40" t="s">
        <v>115</v>
      </c>
      <c r="Y4694" s="40" t="s">
        <v>115</v>
      </c>
      <c r="Z4694" s="40">
        <v>1</v>
      </c>
      <c r="AA4694" s="40" t="s">
        <v>115</v>
      </c>
      <c r="AB4694" s="40" t="s">
        <v>115</v>
      </c>
      <c r="AC4694" s="40" t="s">
        <v>115</v>
      </c>
      <c r="AI4694" s="40" t="s">
        <v>115</v>
      </c>
      <c r="AP4694" s="40">
        <v>58022</v>
      </c>
    </row>
    <row r="4695" spans="1:42" x14ac:dyDescent="0.15">
      <c r="A4695" s="40" t="s">
        <v>1</v>
      </c>
      <c r="B4695" s="23">
        <v>95802201</v>
      </c>
      <c r="C4695" s="23">
        <v>58022</v>
      </c>
      <c r="D4695" s="23">
        <v>5802</v>
      </c>
      <c r="F4695" s="23" t="s">
        <v>503</v>
      </c>
      <c r="G4695" s="23" t="s">
        <v>115</v>
      </c>
      <c r="H4695" s="23" t="s">
        <v>1677</v>
      </c>
      <c r="I4695" s="23">
        <v>3</v>
      </c>
      <c r="J4695" s="40">
        <v>1</v>
      </c>
      <c r="K4695" s="40">
        <v>1</v>
      </c>
      <c r="L4695" s="40" t="s">
        <v>115</v>
      </c>
      <c r="O4695" s="40" t="s">
        <v>115</v>
      </c>
      <c r="Q4695" s="40">
        <v>144</v>
      </c>
      <c r="R4695" s="40">
        <v>161</v>
      </c>
      <c r="X4695" s="40">
        <v>95802202</v>
      </c>
      <c r="Y4695" s="40" t="s">
        <v>115</v>
      </c>
      <c r="Z4695" s="40" t="s">
        <v>115</v>
      </c>
      <c r="AA4695" s="40" t="s">
        <v>115</v>
      </c>
      <c r="AB4695" s="40" t="s">
        <v>115</v>
      </c>
      <c r="AC4695" s="40" t="s">
        <v>115</v>
      </c>
      <c r="AI4695" s="40" t="s">
        <v>115</v>
      </c>
      <c r="AP4695" s="4" t="s">
        <v>115</v>
      </c>
    </row>
    <row r="4696" spans="1:42" x14ac:dyDescent="0.15">
      <c r="A4696" s="40" t="s">
        <v>1</v>
      </c>
      <c r="B4696" s="23">
        <v>95802202</v>
      </c>
      <c r="C4696" s="23">
        <v>58022</v>
      </c>
      <c r="D4696" s="23">
        <v>5802</v>
      </c>
      <c r="F4696" s="23" t="s">
        <v>116</v>
      </c>
      <c r="G4696" s="23">
        <v>261</v>
      </c>
      <c r="H4696" s="23" t="s">
        <v>1678</v>
      </c>
      <c r="I4696" s="23">
        <v>0</v>
      </c>
      <c r="J4696" s="40">
        <v>0</v>
      </c>
      <c r="K4696" s="40">
        <v>0</v>
      </c>
      <c r="L4696" s="40" t="s">
        <v>115</v>
      </c>
      <c r="O4696" s="40" t="s">
        <v>115</v>
      </c>
      <c r="Q4696" s="40">
        <v>144</v>
      </c>
      <c r="R4696" s="40">
        <v>161</v>
      </c>
      <c r="X4696" s="40">
        <v>95802203</v>
      </c>
      <c r="Y4696" s="40" t="s">
        <v>115</v>
      </c>
      <c r="Z4696" s="40" t="s">
        <v>115</v>
      </c>
      <c r="AA4696" s="40" t="s">
        <v>115</v>
      </c>
      <c r="AB4696" s="40" t="s">
        <v>115</v>
      </c>
      <c r="AC4696" s="40" t="s">
        <v>115</v>
      </c>
      <c r="AI4696" s="40" t="s">
        <v>115</v>
      </c>
      <c r="AP4696" s="4" t="s">
        <v>115</v>
      </c>
    </row>
    <row r="4697" spans="1:42" x14ac:dyDescent="0.15">
      <c r="A4697" s="40" t="s">
        <v>1</v>
      </c>
      <c r="B4697" s="23">
        <v>95802203</v>
      </c>
      <c r="C4697" s="23">
        <v>58022</v>
      </c>
      <c r="D4697" s="23">
        <v>5802</v>
      </c>
      <c r="F4697" s="23" t="s">
        <v>503</v>
      </c>
      <c r="G4697" s="23" t="s">
        <v>115</v>
      </c>
      <c r="H4697" s="23" t="s">
        <v>1679</v>
      </c>
      <c r="I4697" s="23">
        <v>3</v>
      </c>
      <c r="J4697" s="40">
        <v>0</v>
      </c>
      <c r="K4697" s="40">
        <v>0</v>
      </c>
      <c r="L4697" s="40" t="s">
        <v>115</v>
      </c>
      <c r="O4697" s="40" t="s">
        <v>115</v>
      </c>
      <c r="Q4697" s="40">
        <v>144</v>
      </c>
      <c r="R4697" s="40">
        <v>161</v>
      </c>
      <c r="X4697" s="40">
        <v>95802204</v>
      </c>
      <c r="Y4697" s="40" t="s">
        <v>115</v>
      </c>
      <c r="Z4697" s="40" t="s">
        <v>115</v>
      </c>
      <c r="AA4697" s="40" t="s">
        <v>115</v>
      </c>
      <c r="AB4697" s="40" t="s">
        <v>115</v>
      </c>
      <c r="AC4697" s="40" t="s">
        <v>115</v>
      </c>
      <c r="AI4697" s="40" t="s">
        <v>115</v>
      </c>
      <c r="AP4697" s="4" t="s">
        <v>115</v>
      </c>
    </row>
    <row r="4698" spans="1:42" x14ac:dyDescent="0.15">
      <c r="A4698" s="40" t="s">
        <v>1</v>
      </c>
      <c r="B4698" s="23">
        <v>95802204</v>
      </c>
      <c r="C4698" s="23">
        <v>58022</v>
      </c>
      <c r="D4698" s="23">
        <v>5802</v>
      </c>
      <c r="F4698" s="23" t="s">
        <v>115</v>
      </c>
      <c r="G4698" s="23" t="s">
        <v>115</v>
      </c>
      <c r="H4698" s="23" t="s">
        <v>1680</v>
      </c>
      <c r="I4698" s="23">
        <v>4</v>
      </c>
      <c r="J4698" s="40">
        <v>0</v>
      </c>
      <c r="K4698" s="40">
        <v>0</v>
      </c>
      <c r="L4698" s="40" t="s">
        <v>115</v>
      </c>
      <c r="O4698" s="40" t="s">
        <v>115</v>
      </c>
      <c r="Q4698" s="40">
        <v>144</v>
      </c>
      <c r="R4698" s="40">
        <v>161</v>
      </c>
      <c r="X4698" s="40">
        <v>95802205</v>
      </c>
      <c r="Y4698" s="40" t="s">
        <v>115</v>
      </c>
      <c r="Z4698" s="40" t="s">
        <v>115</v>
      </c>
      <c r="AA4698" s="40" t="s">
        <v>115</v>
      </c>
      <c r="AB4698" s="40" t="s">
        <v>115</v>
      </c>
      <c r="AC4698" s="40" t="s">
        <v>115</v>
      </c>
      <c r="AI4698" s="40" t="s">
        <v>115</v>
      </c>
      <c r="AP4698" s="4" t="s">
        <v>115</v>
      </c>
    </row>
    <row r="4699" spans="1:42" x14ac:dyDescent="0.15">
      <c r="A4699" s="40" t="s">
        <v>1</v>
      </c>
      <c r="B4699" s="23">
        <v>95802205</v>
      </c>
      <c r="C4699" s="23">
        <v>58022</v>
      </c>
      <c r="D4699" s="23">
        <v>5802</v>
      </c>
      <c r="F4699" s="23" t="s">
        <v>503</v>
      </c>
      <c r="G4699" s="23" t="s">
        <v>115</v>
      </c>
      <c r="H4699" s="23" t="s">
        <v>1681</v>
      </c>
      <c r="I4699" s="23">
        <v>3</v>
      </c>
      <c r="J4699" s="40">
        <v>0</v>
      </c>
      <c r="K4699" s="40">
        <v>0</v>
      </c>
      <c r="L4699" s="40" t="s">
        <v>115</v>
      </c>
      <c r="O4699" s="40" t="s">
        <v>115</v>
      </c>
      <c r="Q4699" s="40">
        <v>144</v>
      </c>
      <c r="R4699" s="40">
        <v>161</v>
      </c>
      <c r="X4699" s="40">
        <v>95802206</v>
      </c>
      <c r="Y4699" s="40" t="s">
        <v>115</v>
      </c>
      <c r="Z4699" s="40" t="s">
        <v>115</v>
      </c>
      <c r="AA4699" s="40" t="s">
        <v>115</v>
      </c>
      <c r="AB4699" s="40" t="s">
        <v>115</v>
      </c>
      <c r="AC4699" s="40" t="s">
        <v>115</v>
      </c>
      <c r="AI4699" s="40" t="s">
        <v>115</v>
      </c>
      <c r="AP4699" s="4" t="s">
        <v>115</v>
      </c>
    </row>
    <row r="4700" spans="1:42" x14ac:dyDescent="0.15">
      <c r="A4700" s="40" t="s">
        <v>1</v>
      </c>
      <c r="B4700" s="23">
        <v>95802206</v>
      </c>
      <c r="C4700" s="23">
        <v>58022</v>
      </c>
      <c r="D4700" s="23">
        <v>5802</v>
      </c>
      <c r="F4700" s="23" t="s">
        <v>503</v>
      </c>
      <c r="G4700" s="23" t="s">
        <v>115</v>
      </c>
      <c r="H4700" s="23" t="s">
        <v>1682</v>
      </c>
      <c r="I4700" s="23">
        <v>3</v>
      </c>
      <c r="J4700" s="40">
        <v>0</v>
      </c>
      <c r="K4700" s="40">
        <v>0</v>
      </c>
      <c r="L4700" s="40" t="s">
        <v>115</v>
      </c>
      <c r="O4700" s="40" t="s">
        <v>115</v>
      </c>
      <c r="Q4700" s="40">
        <v>144</v>
      </c>
      <c r="R4700" s="40">
        <v>161</v>
      </c>
      <c r="X4700" s="40">
        <v>95802207</v>
      </c>
      <c r="Y4700" s="40" t="s">
        <v>115</v>
      </c>
      <c r="Z4700" s="40" t="s">
        <v>115</v>
      </c>
      <c r="AA4700" s="40" t="s">
        <v>115</v>
      </c>
      <c r="AB4700" s="40" t="s">
        <v>115</v>
      </c>
      <c r="AC4700" s="40" t="s">
        <v>115</v>
      </c>
      <c r="AI4700" s="40" t="s">
        <v>115</v>
      </c>
      <c r="AP4700" s="4" t="s">
        <v>115</v>
      </c>
    </row>
    <row r="4701" spans="1:42" x14ac:dyDescent="0.15">
      <c r="A4701" s="40" t="s">
        <v>1</v>
      </c>
      <c r="B4701" s="23">
        <v>95802207</v>
      </c>
      <c r="C4701" s="23">
        <v>58022</v>
      </c>
      <c r="D4701" s="23">
        <v>5802</v>
      </c>
      <c r="F4701" s="23" t="s">
        <v>116</v>
      </c>
      <c r="G4701" s="23">
        <v>275</v>
      </c>
      <c r="H4701" s="23" t="s">
        <v>1683</v>
      </c>
      <c r="I4701" s="23">
        <v>0</v>
      </c>
      <c r="J4701" s="40">
        <v>0</v>
      </c>
      <c r="K4701" s="40">
        <v>0</v>
      </c>
      <c r="L4701" s="40" t="s">
        <v>115</v>
      </c>
      <c r="O4701" s="40" t="s">
        <v>115</v>
      </c>
      <c r="Q4701" s="40">
        <v>144</v>
      </c>
      <c r="R4701" s="40">
        <v>161</v>
      </c>
      <c r="X4701" s="40">
        <v>95802208</v>
      </c>
      <c r="Y4701" s="40" t="s">
        <v>115</v>
      </c>
      <c r="Z4701" s="40" t="s">
        <v>115</v>
      </c>
      <c r="AA4701" s="40" t="s">
        <v>115</v>
      </c>
      <c r="AB4701" s="40" t="s">
        <v>115</v>
      </c>
      <c r="AC4701" s="40" t="s">
        <v>115</v>
      </c>
      <c r="AI4701" s="40" t="s">
        <v>115</v>
      </c>
      <c r="AP4701" s="4" t="s">
        <v>115</v>
      </c>
    </row>
    <row r="4702" spans="1:42" x14ac:dyDescent="0.15">
      <c r="A4702" s="40" t="s">
        <v>1</v>
      </c>
      <c r="B4702" s="23">
        <v>95802208</v>
      </c>
      <c r="C4702" s="23">
        <v>58022</v>
      </c>
      <c r="D4702" s="23">
        <v>5802</v>
      </c>
      <c r="F4702" s="23" t="s">
        <v>503</v>
      </c>
      <c r="G4702" s="23" t="s">
        <v>115</v>
      </c>
      <c r="H4702" s="23" t="s">
        <v>1684</v>
      </c>
      <c r="I4702" s="23">
        <v>3</v>
      </c>
      <c r="J4702" s="40">
        <v>0</v>
      </c>
      <c r="K4702" s="40">
        <v>0</v>
      </c>
      <c r="L4702" s="40" t="s">
        <v>115</v>
      </c>
      <c r="O4702" s="40" t="s">
        <v>115</v>
      </c>
      <c r="Q4702" s="40">
        <v>144</v>
      </c>
      <c r="R4702" s="40">
        <v>161</v>
      </c>
      <c r="X4702" s="40">
        <v>95802209</v>
      </c>
      <c r="Y4702" s="40" t="s">
        <v>115</v>
      </c>
      <c r="Z4702" s="40" t="s">
        <v>115</v>
      </c>
      <c r="AA4702" s="40" t="s">
        <v>115</v>
      </c>
      <c r="AB4702" s="40" t="s">
        <v>115</v>
      </c>
      <c r="AC4702" s="40" t="s">
        <v>115</v>
      </c>
      <c r="AI4702" s="40" t="s">
        <v>115</v>
      </c>
      <c r="AP4702" s="4" t="s">
        <v>115</v>
      </c>
    </row>
    <row r="4703" spans="1:42" x14ac:dyDescent="0.15">
      <c r="A4703" s="40" t="s">
        <v>1</v>
      </c>
      <c r="B4703" s="23">
        <v>95802209</v>
      </c>
      <c r="C4703" s="23">
        <v>58022</v>
      </c>
      <c r="D4703" s="23">
        <v>5802</v>
      </c>
      <c r="F4703" s="23" t="s">
        <v>503</v>
      </c>
      <c r="G4703" s="23" t="s">
        <v>115</v>
      </c>
      <c r="H4703" s="23" t="s">
        <v>1685</v>
      </c>
      <c r="I4703" s="23">
        <v>3</v>
      </c>
      <c r="J4703" s="40">
        <v>0</v>
      </c>
      <c r="K4703" s="40">
        <v>0</v>
      </c>
      <c r="L4703" s="40" t="s">
        <v>115</v>
      </c>
      <c r="O4703" s="40" t="s">
        <v>115</v>
      </c>
      <c r="Q4703" s="40">
        <v>144</v>
      </c>
      <c r="R4703" s="40">
        <v>161</v>
      </c>
      <c r="X4703" s="40">
        <v>95802210</v>
      </c>
      <c r="Y4703" s="40" t="s">
        <v>115</v>
      </c>
      <c r="Z4703" s="40" t="s">
        <v>115</v>
      </c>
      <c r="AA4703" s="40" t="s">
        <v>115</v>
      </c>
      <c r="AB4703" s="40" t="s">
        <v>115</v>
      </c>
      <c r="AC4703" s="40" t="s">
        <v>115</v>
      </c>
      <c r="AI4703" s="40" t="s">
        <v>115</v>
      </c>
      <c r="AP4703" s="4" t="s">
        <v>115</v>
      </c>
    </row>
    <row r="4704" spans="1:42" x14ac:dyDescent="0.15">
      <c r="A4704" s="40" t="s">
        <v>1</v>
      </c>
      <c r="B4704" s="23">
        <v>95802210</v>
      </c>
      <c r="C4704" s="23">
        <v>58022</v>
      </c>
      <c r="D4704" s="23">
        <v>5802</v>
      </c>
      <c r="F4704" s="23" t="s">
        <v>116</v>
      </c>
      <c r="G4704" s="23">
        <v>275</v>
      </c>
      <c r="H4704" s="23" t="s">
        <v>1686</v>
      </c>
      <c r="I4704" s="23">
        <v>0</v>
      </c>
      <c r="J4704" s="40">
        <v>0</v>
      </c>
      <c r="K4704" s="40">
        <v>0</v>
      </c>
      <c r="L4704" s="40" t="s">
        <v>115</v>
      </c>
      <c r="O4704" s="40" t="s">
        <v>115</v>
      </c>
      <c r="Q4704" s="40">
        <v>144</v>
      </c>
      <c r="R4704" s="40">
        <v>161</v>
      </c>
      <c r="X4704" s="40">
        <v>95802211</v>
      </c>
      <c r="Y4704" s="40" t="s">
        <v>115</v>
      </c>
      <c r="Z4704" s="40" t="s">
        <v>115</v>
      </c>
      <c r="AA4704" s="40" t="s">
        <v>115</v>
      </c>
      <c r="AB4704" s="40" t="s">
        <v>115</v>
      </c>
      <c r="AC4704" s="40" t="s">
        <v>115</v>
      </c>
      <c r="AI4704" s="40" t="s">
        <v>115</v>
      </c>
      <c r="AP4704" s="4" t="s">
        <v>115</v>
      </c>
    </row>
    <row r="4705" spans="1:42" x14ac:dyDescent="0.15">
      <c r="A4705" s="40" t="s">
        <v>1</v>
      </c>
      <c r="B4705" s="23">
        <v>95802211</v>
      </c>
      <c r="C4705" s="23">
        <v>58022</v>
      </c>
      <c r="D4705" s="23">
        <v>5802</v>
      </c>
      <c r="F4705" s="23" t="s">
        <v>503</v>
      </c>
      <c r="G4705" s="23" t="s">
        <v>115</v>
      </c>
      <c r="H4705" s="23" t="s">
        <v>1687</v>
      </c>
      <c r="I4705" s="23">
        <v>3</v>
      </c>
      <c r="J4705" s="40">
        <v>0</v>
      </c>
      <c r="K4705" s="40">
        <v>0</v>
      </c>
      <c r="L4705" s="40" t="s">
        <v>115</v>
      </c>
      <c r="O4705" s="40" t="s">
        <v>115</v>
      </c>
      <c r="Q4705" s="40">
        <v>144</v>
      </c>
      <c r="R4705" s="40">
        <v>161</v>
      </c>
      <c r="X4705" s="40">
        <v>95802212</v>
      </c>
      <c r="Y4705" s="40" t="s">
        <v>115</v>
      </c>
      <c r="Z4705" s="40" t="s">
        <v>115</v>
      </c>
      <c r="AA4705" s="40" t="s">
        <v>115</v>
      </c>
      <c r="AB4705" s="40" t="s">
        <v>115</v>
      </c>
      <c r="AC4705" s="40" t="s">
        <v>115</v>
      </c>
      <c r="AI4705" s="40" t="s">
        <v>115</v>
      </c>
      <c r="AP4705" s="4" t="s">
        <v>115</v>
      </c>
    </row>
    <row r="4706" spans="1:42" x14ac:dyDescent="0.15">
      <c r="A4706" s="40" t="s">
        <v>1</v>
      </c>
      <c r="B4706" s="23">
        <v>95802212</v>
      </c>
      <c r="C4706" s="23">
        <v>58022</v>
      </c>
      <c r="D4706" s="23">
        <v>5802</v>
      </c>
      <c r="F4706" s="23" t="s">
        <v>503</v>
      </c>
      <c r="G4706" s="23" t="s">
        <v>115</v>
      </c>
      <c r="H4706" s="23" t="s">
        <v>1688</v>
      </c>
      <c r="I4706" s="23">
        <v>3</v>
      </c>
      <c r="J4706" s="40">
        <v>0</v>
      </c>
      <c r="K4706" s="40">
        <v>0</v>
      </c>
      <c r="L4706" s="40" t="s">
        <v>115</v>
      </c>
      <c r="O4706" s="40" t="s">
        <v>115</v>
      </c>
      <c r="Q4706" s="40">
        <v>144</v>
      </c>
      <c r="R4706" s="40">
        <v>161</v>
      </c>
      <c r="X4706" s="40">
        <v>95802213</v>
      </c>
      <c r="Y4706" s="40" t="s">
        <v>115</v>
      </c>
      <c r="Z4706" s="40" t="s">
        <v>115</v>
      </c>
      <c r="AA4706" s="40" t="s">
        <v>115</v>
      </c>
      <c r="AB4706" s="40" t="s">
        <v>115</v>
      </c>
      <c r="AC4706" s="40" t="s">
        <v>115</v>
      </c>
      <c r="AI4706" s="40" t="s">
        <v>115</v>
      </c>
      <c r="AP4706" s="4" t="s">
        <v>115</v>
      </c>
    </row>
    <row r="4707" spans="1:42" x14ac:dyDescent="0.15">
      <c r="A4707" s="40" t="s">
        <v>1</v>
      </c>
      <c r="B4707" s="23">
        <v>95802213</v>
      </c>
      <c r="C4707" s="23">
        <v>58022</v>
      </c>
      <c r="D4707" s="23">
        <v>5802</v>
      </c>
      <c r="F4707" s="23" t="s">
        <v>116</v>
      </c>
      <c r="G4707" s="23">
        <v>259</v>
      </c>
      <c r="H4707" s="23" t="s">
        <v>1689</v>
      </c>
      <c r="I4707" s="23">
        <v>0</v>
      </c>
      <c r="J4707" s="40">
        <v>0</v>
      </c>
      <c r="K4707" s="40">
        <v>2</v>
      </c>
      <c r="L4707" s="40" t="s">
        <v>115</v>
      </c>
      <c r="O4707" s="40">
        <v>1</v>
      </c>
      <c r="Q4707" s="40">
        <v>144</v>
      </c>
      <c r="R4707" s="40">
        <v>161</v>
      </c>
      <c r="X4707" s="40" t="s">
        <v>115</v>
      </c>
      <c r="Y4707" s="40" t="s">
        <v>115</v>
      </c>
      <c r="Z4707" s="40">
        <v>1</v>
      </c>
      <c r="AA4707" s="40" t="s">
        <v>115</v>
      </c>
      <c r="AB4707" s="40" t="s">
        <v>115</v>
      </c>
      <c r="AC4707" s="40" t="s">
        <v>115</v>
      </c>
      <c r="AI4707" s="40" t="s">
        <v>115</v>
      </c>
      <c r="AP4707" s="40">
        <v>-1</v>
      </c>
    </row>
    <row r="4708" spans="1:42" x14ac:dyDescent="0.15">
      <c r="AP4708" s="40"/>
    </row>
    <row r="4709" spans="1:42" x14ac:dyDescent="0.15">
      <c r="A4709" s="40" t="s">
        <v>1</v>
      </c>
      <c r="B4709" s="23">
        <v>95803101</v>
      </c>
      <c r="C4709" s="23">
        <v>58031</v>
      </c>
      <c r="D4709" s="23">
        <v>5803</v>
      </c>
      <c r="F4709" s="23" t="s">
        <v>115</v>
      </c>
      <c r="G4709" s="23" t="s">
        <v>115</v>
      </c>
      <c r="H4709" s="23" t="s">
        <v>7427</v>
      </c>
      <c r="I4709" s="23">
        <v>4</v>
      </c>
      <c r="J4709" s="40">
        <v>1</v>
      </c>
      <c r="K4709" s="40">
        <v>1</v>
      </c>
      <c r="L4709" s="40" t="s">
        <v>115</v>
      </c>
      <c r="O4709" s="40" t="s">
        <v>115</v>
      </c>
      <c r="Q4709" s="40">
        <v>163</v>
      </c>
      <c r="R4709" s="40" t="s">
        <v>115</v>
      </c>
      <c r="X4709" s="40">
        <v>95803102</v>
      </c>
      <c r="Y4709" s="40" t="s">
        <v>115</v>
      </c>
      <c r="Z4709" s="40" t="s">
        <v>115</v>
      </c>
      <c r="AA4709" s="40" t="s">
        <v>115</v>
      </c>
      <c r="AB4709" s="40" t="s">
        <v>115</v>
      </c>
      <c r="AC4709" s="40" t="s">
        <v>115</v>
      </c>
      <c r="AI4709" s="40" t="s">
        <v>115</v>
      </c>
      <c r="AP4709" s="40" t="s">
        <v>115</v>
      </c>
    </row>
    <row r="4710" spans="1:42" x14ac:dyDescent="0.15">
      <c r="A4710" s="40" t="s">
        <v>1</v>
      </c>
      <c r="B4710" s="23">
        <v>95803102</v>
      </c>
      <c r="C4710" s="23">
        <v>58031</v>
      </c>
      <c r="D4710" s="23">
        <v>5803</v>
      </c>
      <c r="F4710" s="23" t="s">
        <v>115</v>
      </c>
      <c r="G4710" s="23" t="s">
        <v>115</v>
      </c>
      <c r="H4710" s="23" t="s">
        <v>7428</v>
      </c>
      <c r="I4710" s="23">
        <v>4</v>
      </c>
      <c r="J4710" s="40">
        <v>0</v>
      </c>
      <c r="K4710" s="40">
        <v>0</v>
      </c>
      <c r="L4710" s="40" t="s">
        <v>115</v>
      </c>
      <c r="O4710" s="40" t="s">
        <v>115</v>
      </c>
      <c r="Q4710" s="40">
        <v>163</v>
      </c>
      <c r="R4710" s="40" t="s">
        <v>115</v>
      </c>
      <c r="X4710" s="40">
        <v>95803103</v>
      </c>
      <c r="Y4710" s="40" t="s">
        <v>115</v>
      </c>
      <c r="Z4710" s="40" t="s">
        <v>115</v>
      </c>
      <c r="AA4710" s="40" t="s">
        <v>115</v>
      </c>
      <c r="AB4710" s="40" t="s">
        <v>115</v>
      </c>
      <c r="AC4710" s="40" t="s">
        <v>115</v>
      </c>
      <c r="AI4710" s="40" t="s">
        <v>115</v>
      </c>
      <c r="AP4710" s="40" t="s">
        <v>115</v>
      </c>
    </row>
    <row r="4711" spans="1:42" x14ac:dyDescent="0.15">
      <c r="A4711" s="40" t="s">
        <v>1</v>
      </c>
      <c r="B4711" s="23">
        <v>95803103</v>
      </c>
      <c r="C4711" s="23">
        <v>58031</v>
      </c>
      <c r="D4711" s="23">
        <v>5803</v>
      </c>
      <c r="F4711" s="23" t="s">
        <v>116</v>
      </c>
      <c r="G4711" s="23">
        <v>275</v>
      </c>
      <c r="H4711" s="23" t="s">
        <v>7429</v>
      </c>
      <c r="I4711" s="23">
        <v>0</v>
      </c>
      <c r="J4711" s="40">
        <v>0</v>
      </c>
      <c r="K4711" s="40">
        <v>0</v>
      </c>
      <c r="L4711" s="40" t="s">
        <v>115</v>
      </c>
      <c r="O4711" s="40" t="s">
        <v>115</v>
      </c>
      <c r="Q4711" s="40">
        <v>163</v>
      </c>
      <c r="R4711" s="40" t="s">
        <v>115</v>
      </c>
      <c r="X4711" s="40">
        <v>95803104</v>
      </c>
      <c r="Y4711" s="40" t="s">
        <v>115</v>
      </c>
      <c r="Z4711" s="40" t="s">
        <v>115</v>
      </c>
      <c r="AA4711" s="40" t="s">
        <v>115</v>
      </c>
      <c r="AB4711" s="40" t="s">
        <v>115</v>
      </c>
      <c r="AC4711" s="40" t="s">
        <v>115</v>
      </c>
      <c r="AI4711" s="40" t="s">
        <v>115</v>
      </c>
      <c r="AP4711" s="40" t="s">
        <v>115</v>
      </c>
    </row>
    <row r="4712" spans="1:42" x14ac:dyDescent="0.15">
      <c r="A4712" s="40" t="s">
        <v>1</v>
      </c>
      <c r="B4712" s="23">
        <v>95803104</v>
      </c>
      <c r="C4712" s="23">
        <v>58031</v>
      </c>
      <c r="D4712" s="23">
        <v>5803</v>
      </c>
      <c r="F4712" s="23" t="s">
        <v>116</v>
      </c>
      <c r="G4712" s="23">
        <v>261</v>
      </c>
      <c r="H4712" s="23" t="s">
        <v>7430</v>
      </c>
      <c r="I4712" s="23">
        <v>0</v>
      </c>
      <c r="J4712" s="40">
        <v>0</v>
      </c>
      <c r="K4712" s="40">
        <v>2</v>
      </c>
      <c r="L4712" s="40" t="s">
        <v>115</v>
      </c>
      <c r="O4712" s="40">
        <v>1</v>
      </c>
      <c r="Q4712" s="40">
        <v>163</v>
      </c>
      <c r="R4712" s="40" t="s">
        <v>115</v>
      </c>
      <c r="X4712" s="40" t="s">
        <v>115</v>
      </c>
      <c r="Y4712" s="40" t="s">
        <v>115</v>
      </c>
      <c r="Z4712" s="40">
        <v>1</v>
      </c>
      <c r="AA4712" s="40" t="s">
        <v>115</v>
      </c>
      <c r="AB4712" s="40" t="s">
        <v>115</v>
      </c>
      <c r="AC4712" s="40" t="s">
        <v>115</v>
      </c>
      <c r="AI4712" s="40" t="s">
        <v>115</v>
      </c>
      <c r="AP4712" s="40" t="s">
        <v>115</v>
      </c>
    </row>
    <row r="4713" spans="1:42" x14ac:dyDescent="0.15">
      <c r="AP4713" s="40"/>
    </row>
    <row r="4714" spans="1:42" x14ac:dyDescent="0.15">
      <c r="A4714" s="40" t="s">
        <v>1</v>
      </c>
      <c r="B4714" s="23">
        <v>95804101</v>
      </c>
      <c r="C4714" s="23">
        <v>58041</v>
      </c>
      <c r="D4714" s="23">
        <v>5804</v>
      </c>
      <c r="F4714" s="23" t="s">
        <v>115</v>
      </c>
      <c r="G4714" s="23" t="s">
        <v>115</v>
      </c>
      <c r="H4714" s="23" t="s">
        <v>7427</v>
      </c>
      <c r="I4714" s="23">
        <v>4</v>
      </c>
      <c r="J4714" s="40">
        <v>1</v>
      </c>
      <c r="K4714" s="40">
        <v>1</v>
      </c>
      <c r="L4714" s="40" t="s">
        <v>115</v>
      </c>
      <c r="O4714" s="40" t="s">
        <v>115</v>
      </c>
      <c r="Q4714" s="40">
        <v>163</v>
      </c>
      <c r="R4714" s="40" t="s">
        <v>115</v>
      </c>
      <c r="X4714" s="40">
        <v>95804102</v>
      </c>
      <c r="Y4714" s="40" t="s">
        <v>115</v>
      </c>
      <c r="Z4714" s="40" t="s">
        <v>115</v>
      </c>
      <c r="AA4714" s="40" t="s">
        <v>115</v>
      </c>
      <c r="AB4714" s="40" t="s">
        <v>115</v>
      </c>
      <c r="AC4714" s="40" t="s">
        <v>115</v>
      </c>
      <c r="AI4714" s="40" t="s">
        <v>115</v>
      </c>
      <c r="AP4714" s="40" t="s">
        <v>115</v>
      </c>
    </row>
    <row r="4715" spans="1:42" x14ac:dyDescent="0.15">
      <c r="A4715" s="40" t="s">
        <v>1</v>
      </c>
      <c r="B4715" s="23">
        <v>95804102</v>
      </c>
      <c r="C4715" s="23">
        <v>58041</v>
      </c>
      <c r="D4715" s="23">
        <v>5804</v>
      </c>
      <c r="F4715" s="23" t="s">
        <v>115</v>
      </c>
      <c r="G4715" s="23" t="s">
        <v>115</v>
      </c>
      <c r="H4715" s="23" t="s">
        <v>7428</v>
      </c>
      <c r="I4715" s="23">
        <v>4</v>
      </c>
      <c r="J4715" s="40">
        <v>0</v>
      </c>
      <c r="K4715" s="40">
        <v>0</v>
      </c>
      <c r="L4715" s="40" t="s">
        <v>115</v>
      </c>
      <c r="O4715" s="40" t="s">
        <v>115</v>
      </c>
      <c r="Q4715" s="40">
        <v>163</v>
      </c>
      <c r="R4715" s="40" t="s">
        <v>115</v>
      </c>
      <c r="X4715" s="40">
        <v>95804103</v>
      </c>
      <c r="Y4715" s="40" t="s">
        <v>115</v>
      </c>
      <c r="Z4715" s="40" t="s">
        <v>115</v>
      </c>
      <c r="AA4715" s="40" t="s">
        <v>115</v>
      </c>
      <c r="AB4715" s="40" t="s">
        <v>115</v>
      </c>
      <c r="AC4715" s="40" t="s">
        <v>115</v>
      </c>
      <c r="AI4715" s="40" t="s">
        <v>115</v>
      </c>
      <c r="AP4715" s="40" t="s">
        <v>115</v>
      </c>
    </row>
    <row r="4716" spans="1:42" x14ac:dyDescent="0.15">
      <c r="A4716" s="40" t="s">
        <v>1</v>
      </c>
      <c r="B4716" s="23">
        <v>95804103</v>
      </c>
      <c r="C4716" s="23">
        <v>58041</v>
      </c>
      <c r="D4716" s="23">
        <v>5804</v>
      </c>
      <c r="F4716" s="23" t="s">
        <v>116</v>
      </c>
      <c r="G4716" s="23">
        <v>275</v>
      </c>
      <c r="H4716" s="23" t="s">
        <v>7429</v>
      </c>
      <c r="I4716" s="23">
        <v>0</v>
      </c>
      <c r="J4716" s="40">
        <v>0</v>
      </c>
      <c r="K4716" s="40">
        <v>0</v>
      </c>
      <c r="L4716" s="40" t="s">
        <v>115</v>
      </c>
      <c r="O4716" s="40" t="s">
        <v>115</v>
      </c>
      <c r="Q4716" s="40">
        <v>163</v>
      </c>
      <c r="R4716" s="40" t="s">
        <v>115</v>
      </c>
      <c r="X4716" s="40">
        <v>95804104</v>
      </c>
      <c r="Y4716" s="40" t="s">
        <v>115</v>
      </c>
      <c r="Z4716" s="40" t="s">
        <v>115</v>
      </c>
      <c r="AA4716" s="40" t="s">
        <v>115</v>
      </c>
      <c r="AB4716" s="40" t="s">
        <v>115</v>
      </c>
      <c r="AC4716" s="40" t="s">
        <v>115</v>
      </c>
      <c r="AI4716" s="40" t="s">
        <v>115</v>
      </c>
      <c r="AP4716" s="40" t="s">
        <v>115</v>
      </c>
    </row>
    <row r="4717" spans="1:42" x14ac:dyDescent="0.15">
      <c r="A4717" s="40" t="s">
        <v>1</v>
      </c>
      <c r="B4717" s="23">
        <v>95804104</v>
      </c>
      <c r="C4717" s="23">
        <v>58041</v>
      </c>
      <c r="D4717" s="23">
        <v>5804</v>
      </c>
      <c r="F4717" s="23" t="s">
        <v>116</v>
      </c>
      <c r="G4717" s="23">
        <v>261</v>
      </c>
      <c r="H4717" s="23" t="s">
        <v>7430</v>
      </c>
      <c r="I4717" s="23">
        <v>0</v>
      </c>
      <c r="J4717" s="40">
        <v>0</v>
      </c>
      <c r="K4717" s="40">
        <v>2</v>
      </c>
      <c r="L4717" s="40" t="s">
        <v>115</v>
      </c>
      <c r="O4717" s="40">
        <v>1</v>
      </c>
      <c r="Q4717" s="40">
        <v>163</v>
      </c>
      <c r="R4717" s="40" t="s">
        <v>115</v>
      </c>
      <c r="X4717" s="40" t="s">
        <v>115</v>
      </c>
      <c r="Y4717" s="40" t="s">
        <v>115</v>
      </c>
      <c r="Z4717" s="40">
        <v>1</v>
      </c>
      <c r="AA4717" s="40" t="s">
        <v>115</v>
      </c>
      <c r="AB4717" s="40" t="s">
        <v>115</v>
      </c>
      <c r="AC4717" s="40" t="s">
        <v>115</v>
      </c>
      <c r="AI4717" s="40" t="s">
        <v>115</v>
      </c>
      <c r="AP4717" s="40" t="s">
        <v>115</v>
      </c>
    </row>
    <row r="4718" spans="1:42" x14ac:dyDescent="0.15">
      <c r="AP4718" s="40"/>
    </row>
    <row r="4719" spans="1:42" x14ac:dyDescent="0.15">
      <c r="A4719" s="40" t="s">
        <v>1</v>
      </c>
      <c r="B4719" s="23">
        <v>95805101</v>
      </c>
      <c r="C4719" s="23">
        <v>58051</v>
      </c>
      <c r="D4719" s="23">
        <v>5805</v>
      </c>
      <c r="F4719" s="23" t="s">
        <v>115</v>
      </c>
      <c r="G4719" s="23" t="s">
        <v>115</v>
      </c>
      <c r="H4719" s="23" t="s">
        <v>7427</v>
      </c>
      <c r="I4719" s="23">
        <v>4</v>
      </c>
      <c r="J4719" s="40">
        <v>1</v>
      </c>
      <c r="K4719" s="40">
        <v>1</v>
      </c>
      <c r="L4719" s="40" t="s">
        <v>115</v>
      </c>
      <c r="O4719" s="40" t="s">
        <v>115</v>
      </c>
      <c r="Q4719" s="40">
        <v>163</v>
      </c>
      <c r="R4719" s="40" t="s">
        <v>115</v>
      </c>
      <c r="X4719" s="40">
        <v>95805102</v>
      </c>
      <c r="Y4719" s="40" t="s">
        <v>115</v>
      </c>
      <c r="Z4719" s="40" t="s">
        <v>115</v>
      </c>
      <c r="AA4719" s="40" t="s">
        <v>115</v>
      </c>
      <c r="AB4719" s="40" t="s">
        <v>115</v>
      </c>
      <c r="AC4719" s="40" t="s">
        <v>115</v>
      </c>
      <c r="AI4719" s="40" t="s">
        <v>115</v>
      </c>
      <c r="AP4719" s="40" t="s">
        <v>115</v>
      </c>
    </row>
    <row r="4720" spans="1:42" x14ac:dyDescent="0.15">
      <c r="A4720" s="40" t="s">
        <v>1</v>
      </c>
      <c r="B4720" s="23">
        <v>95805102</v>
      </c>
      <c r="C4720" s="23">
        <v>58051</v>
      </c>
      <c r="D4720" s="23">
        <v>5805</v>
      </c>
      <c r="F4720" s="23" t="s">
        <v>115</v>
      </c>
      <c r="G4720" s="23" t="s">
        <v>115</v>
      </c>
      <c r="H4720" s="23" t="s">
        <v>7428</v>
      </c>
      <c r="I4720" s="23">
        <v>4</v>
      </c>
      <c r="J4720" s="40">
        <v>0</v>
      </c>
      <c r="K4720" s="40">
        <v>0</v>
      </c>
      <c r="L4720" s="40" t="s">
        <v>115</v>
      </c>
      <c r="O4720" s="40" t="s">
        <v>115</v>
      </c>
      <c r="Q4720" s="40">
        <v>163</v>
      </c>
      <c r="R4720" s="40" t="s">
        <v>115</v>
      </c>
      <c r="X4720" s="40">
        <v>95805103</v>
      </c>
      <c r="Y4720" s="40" t="s">
        <v>115</v>
      </c>
      <c r="Z4720" s="40" t="s">
        <v>115</v>
      </c>
      <c r="AA4720" s="40" t="s">
        <v>115</v>
      </c>
      <c r="AB4720" s="40" t="s">
        <v>115</v>
      </c>
      <c r="AC4720" s="40" t="s">
        <v>115</v>
      </c>
      <c r="AI4720" s="40" t="s">
        <v>115</v>
      </c>
      <c r="AP4720" s="40" t="s">
        <v>115</v>
      </c>
    </row>
    <row r="4721" spans="1:42" x14ac:dyDescent="0.15">
      <c r="A4721" s="40" t="s">
        <v>1</v>
      </c>
      <c r="B4721" s="23">
        <v>95805103</v>
      </c>
      <c r="C4721" s="23">
        <v>58051</v>
      </c>
      <c r="D4721" s="23">
        <v>5805</v>
      </c>
      <c r="F4721" s="23" t="s">
        <v>116</v>
      </c>
      <c r="G4721" s="23">
        <v>275</v>
      </c>
      <c r="H4721" s="23" t="s">
        <v>7429</v>
      </c>
      <c r="I4721" s="23">
        <v>0</v>
      </c>
      <c r="J4721" s="40">
        <v>0</v>
      </c>
      <c r="K4721" s="40">
        <v>0</v>
      </c>
      <c r="L4721" s="40" t="s">
        <v>115</v>
      </c>
      <c r="O4721" s="40" t="s">
        <v>115</v>
      </c>
      <c r="Q4721" s="40">
        <v>163</v>
      </c>
      <c r="R4721" s="40" t="s">
        <v>115</v>
      </c>
      <c r="X4721" s="40">
        <v>95805104</v>
      </c>
      <c r="Y4721" s="40" t="s">
        <v>115</v>
      </c>
      <c r="Z4721" s="40" t="s">
        <v>115</v>
      </c>
      <c r="AA4721" s="40" t="s">
        <v>115</v>
      </c>
      <c r="AB4721" s="40" t="s">
        <v>115</v>
      </c>
      <c r="AC4721" s="40" t="s">
        <v>115</v>
      </c>
      <c r="AI4721" s="40" t="s">
        <v>115</v>
      </c>
      <c r="AP4721" s="40" t="s">
        <v>115</v>
      </c>
    </row>
    <row r="4722" spans="1:42" x14ac:dyDescent="0.15">
      <c r="A4722" s="40" t="s">
        <v>1</v>
      </c>
      <c r="B4722" s="23">
        <v>95805104</v>
      </c>
      <c r="C4722" s="23">
        <v>58051</v>
      </c>
      <c r="D4722" s="23">
        <v>5805</v>
      </c>
      <c r="F4722" s="23" t="s">
        <v>116</v>
      </c>
      <c r="G4722" s="23">
        <v>261</v>
      </c>
      <c r="H4722" s="23" t="s">
        <v>7430</v>
      </c>
      <c r="I4722" s="23">
        <v>0</v>
      </c>
      <c r="J4722" s="40">
        <v>0</v>
      </c>
      <c r="K4722" s="40">
        <v>2</v>
      </c>
      <c r="L4722" s="40" t="s">
        <v>115</v>
      </c>
      <c r="O4722" s="40">
        <v>1</v>
      </c>
      <c r="Q4722" s="40">
        <v>163</v>
      </c>
      <c r="R4722" s="40" t="s">
        <v>115</v>
      </c>
      <c r="X4722" s="40" t="s">
        <v>115</v>
      </c>
      <c r="Y4722" s="40" t="s">
        <v>115</v>
      </c>
      <c r="Z4722" s="40">
        <v>1</v>
      </c>
      <c r="AA4722" s="40" t="s">
        <v>115</v>
      </c>
      <c r="AB4722" s="40" t="s">
        <v>115</v>
      </c>
      <c r="AC4722" s="40" t="s">
        <v>115</v>
      </c>
      <c r="AI4722" s="40" t="s">
        <v>115</v>
      </c>
      <c r="AP4722" s="40" t="s">
        <v>115</v>
      </c>
    </row>
    <row r="4723" spans="1:42" x14ac:dyDescent="0.15">
      <c r="B4723" s="23" t="s">
        <v>115</v>
      </c>
      <c r="C4723" s="23" t="s">
        <v>115</v>
      </c>
      <c r="D4723" s="6"/>
      <c r="X4723" s="40" t="s">
        <v>115</v>
      </c>
      <c r="AP4723" s="4" t="s">
        <v>115</v>
      </c>
    </row>
    <row r="4724" spans="1:42" x14ac:dyDescent="0.15">
      <c r="A4724" s="40" t="s">
        <v>1</v>
      </c>
      <c r="B4724" s="23">
        <v>96901101</v>
      </c>
      <c r="C4724" s="23">
        <v>69011</v>
      </c>
      <c r="D4724" s="6">
        <v>6901</v>
      </c>
      <c r="F4724" s="23" t="s">
        <v>1182</v>
      </c>
      <c r="G4724" s="23" t="s">
        <v>115</v>
      </c>
      <c r="H4724" s="23" t="s">
        <v>1465</v>
      </c>
      <c r="I4724" s="23">
        <v>3</v>
      </c>
      <c r="J4724" s="40">
        <v>1</v>
      </c>
      <c r="K4724" s="40">
        <v>1</v>
      </c>
      <c r="L4724" s="40" t="s">
        <v>115</v>
      </c>
      <c r="O4724" s="40" t="s">
        <v>115</v>
      </c>
      <c r="Q4724" s="40">
        <v>181</v>
      </c>
      <c r="R4724" s="40">
        <v>316</v>
      </c>
      <c r="X4724" s="40">
        <v>96901102</v>
      </c>
      <c r="Y4724" s="40" t="s">
        <v>115</v>
      </c>
      <c r="Z4724" s="40" t="s">
        <v>115</v>
      </c>
      <c r="AA4724" s="40" t="s">
        <v>115</v>
      </c>
      <c r="AB4724" s="40" t="s">
        <v>115</v>
      </c>
      <c r="AC4724" s="40" t="s">
        <v>115</v>
      </c>
      <c r="AI4724" s="40" t="s">
        <v>115</v>
      </c>
      <c r="AP4724" s="4" t="s">
        <v>115</v>
      </c>
    </row>
    <row r="4725" spans="1:42" x14ac:dyDescent="0.15">
      <c r="A4725" s="40" t="s">
        <v>1</v>
      </c>
      <c r="B4725" s="23">
        <v>96901102</v>
      </c>
      <c r="C4725" s="23">
        <v>69011</v>
      </c>
      <c r="D4725" s="6">
        <v>6901</v>
      </c>
      <c r="F4725" s="23" t="s">
        <v>1182</v>
      </c>
      <c r="G4725" s="23" t="s">
        <v>115</v>
      </c>
      <c r="H4725" s="23" t="s">
        <v>1466</v>
      </c>
      <c r="I4725" s="23">
        <v>3</v>
      </c>
      <c r="J4725" s="40">
        <v>0</v>
      </c>
      <c r="K4725" s="40">
        <v>0</v>
      </c>
      <c r="L4725" s="40" t="s">
        <v>115</v>
      </c>
      <c r="O4725" s="40" t="s">
        <v>115</v>
      </c>
      <c r="Q4725" s="40">
        <v>181</v>
      </c>
      <c r="R4725" s="40">
        <v>316</v>
      </c>
      <c r="X4725" s="40">
        <v>96901103</v>
      </c>
      <c r="Y4725" s="40" t="s">
        <v>115</v>
      </c>
      <c r="Z4725" s="40" t="s">
        <v>115</v>
      </c>
      <c r="AA4725" s="40" t="s">
        <v>115</v>
      </c>
      <c r="AB4725" s="40" t="s">
        <v>115</v>
      </c>
      <c r="AC4725" s="40" t="s">
        <v>115</v>
      </c>
      <c r="AI4725" s="40" t="s">
        <v>115</v>
      </c>
      <c r="AP4725" s="4" t="s">
        <v>115</v>
      </c>
    </row>
    <row r="4726" spans="1:42" x14ac:dyDescent="0.15">
      <c r="A4726" s="40" t="s">
        <v>1</v>
      </c>
      <c r="B4726" s="23">
        <v>96901103</v>
      </c>
      <c r="C4726" s="23">
        <v>69011</v>
      </c>
      <c r="D4726" s="6">
        <v>6901</v>
      </c>
      <c r="F4726" s="23" t="s">
        <v>116</v>
      </c>
      <c r="G4726" s="23" t="s">
        <v>115</v>
      </c>
      <c r="H4726" s="23" t="s">
        <v>1467</v>
      </c>
      <c r="I4726" s="23">
        <v>0</v>
      </c>
      <c r="J4726" s="40">
        <v>0</v>
      </c>
      <c r="K4726" s="40">
        <v>0</v>
      </c>
      <c r="L4726" s="40" t="s">
        <v>115</v>
      </c>
      <c r="O4726" s="40" t="s">
        <v>115</v>
      </c>
      <c r="Q4726" s="40">
        <v>181</v>
      </c>
      <c r="R4726" s="40">
        <v>316</v>
      </c>
      <c r="X4726" s="40">
        <v>96901104</v>
      </c>
      <c r="Y4726" s="40" t="s">
        <v>115</v>
      </c>
      <c r="Z4726" s="40" t="s">
        <v>115</v>
      </c>
      <c r="AA4726" s="40" t="s">
        <v>115</v>
      </c>
      <c r="AB4726" s="40" t="s">
        <v>115</v>
      </c>
      <c r="AC4726" s="40" t="s">
        <v>115</v>
      </c>
      <c r="AI4726" s="40" t="s">
        <v>115</v>
      </c>
      <c r="AP4726" s="4" t="s">
        <v>115</v>
      </c>
    </row>
    <row r="4727" spans="1:42" x14ac:dyDescent="0.15">
      <c r="A4727" s="40" t="s">
        <v>1</v>
      </c>
      <c r="B4727" s="23">
        <v>96901104</v>
      </c>
      <c r="C4727" s="23">
        <v>69011</v>
      </c>
      <c r="D4727" s="6">
        <v>6901</v>
      </c>
      <c r="F4727" s="23" t="s">
        <v>1182</v>
      </c>
      <c r="G4727" s="23" t="s">
        <v>115</v>
      </c>
      <c r="H4727" s="23" t="s">
        <v>1468</v>
      </c>
      <c r="I4727" s="23">
        <v>3</v>
      </c>
      <c r="J4727" s="40">
        <v>0</v>
      </c>
      <c r="K4727" s="40">
        <v>0</v>
      </c>
      <c r="L4727" s="40" t="s">
        <v>115</v>
      </c>
      <c r="O4727" s="40" t="s">
        <v>115</v>
      </c>
      <c r="Q4727" s="40">
        <v>181</v>
      </c>
      <c r="R4727" s="40">
        <v>316</v>
      </c>
      <c r="X4727" s="40">
        <v>96901105</v>
      </c>
      <c r="Y4727" s="40" t="s">
        <v>115</v>
      </c>
      <c r="Z4727" s="40" t="s">
        <v>115</v>
      </c>
      <c r="AA4727" s="40" t="s">
        <v>115</v>
      </c>
      <c r="AB4727" s="40" t="s">
        <v>115</v>
      </c>
      <c r="AC4727" s="40" t="s">
        <v>115</v>
      </c>
      <c r="AI4727" s="40" t="s">
        <v>115</v>
      </c>
      <c r="AP4727" s="4" t="s">
        <v>115</v>
      </c>
    </row>
    <row r="4728" spans="1:42" x14ac:dyDescent="0.15">
      <c r="A4728" s="40" t="s">
        <v>1</v>
      </c>
      <c r="B4728" s="23">
        <v>96901105</v>
      </c>
      <c r="C4728" s="23">
        <v>69011</v>
      </c>
      <c r="D4728" s="6">
        <v>6901</v>
      </c>
      <c r="F4728" s="23" t="s">
        <v>116</v>
      </c>
      <c r="G4728" s="23" t="s">
        <v>115</v>
      </c>
      <c r="H4728" s="23" t="s">
        <v>1469</v>
      </c>
      <c r="I4728" s="23">
        <v>0</v>
      </c>
      <c r="J4728" s="40">
        <v>0</v>
      </c>
      <c r="K4728" s="40">
        <v>0</v>
      </c>
      <c r="L4728" s="40" t="s">
        <v>115</v>
      </c>
      <c r="O4728" s="40" t="s">
        <v>115</v>
      </c>
      <c r="Q4728" s="40">
        <v>181</v>
      </c>
      <c r="R4728" s="40">
        <v>316</v>
      </c>
      <c r="X4728" s="40">
        <v>96901106</v>
      </c>
      <c r="Y4728" s="40" t="s">
        <v>115</v>
      </c>
      <c r="Z4728" s="40" t="s">
        <v>115</v>
      </c>
      <c r="AA4728" s="40" t="s">
        <v>115</v>
      </c>
      <c r="AB4728" s="40" t="s">
        <v>115</v>
      </c>
      <c r="AC4728" s="40" t="s">
        <v>115</v>
      </c>
      <c r="AI4728" s="40" t="s">
        <v>115</v>
      </c>
      <c r="AP4728" s="4" t="s">
        <v>115</v>
      </c>
    </row>
    <row r="4729" spans="1:42" x14ac:dyDescent="0.15">
      <c r="A4729" s="40" t="s">
        <v>1</v>
      </c>
      <c r="B4729" s="23">
        <v>96901106</v>
      </c>
      <c r="C4729" s="23">
        <v>69011</v>
      </c>
      <c r="D4729" s="6">
        <v>6901</v>
      </c>
      <c r="F4729" s="23" t="s">
        <v>116</v>
      </c>
      <c r="G4729" s="23" t="s">
        <v>115</v>
      </c>
      <c r="H4729" s="23" t="s">
        <v>1470</v>
      </c>
      <c r="I4729" s="23">
        <v>0</v>
      </c>
      <c r="J4729" s="40">
        <v>0</v>
      </c>
      <c r="K4729" s="40">
        <v>0</v>
      </c>
      <c r="L4729" s="40" t="s">
        <v>115</v>
      </c>
      <c r="O4729" s="40" t="s">
        <v>115</v>
      </c>
      <c r="Q4729" s="40">
        <v>181</v>
      </c>
      <c r="R4729" s="40">
        <v>316</v>
      </c>
      <c r="X4729" s="40">
        <v>96901107</v>
      </c>
      <c r="Y4729" s="40" t="s">
        <v>115</v>
      </c>
      <c r="Z4729" s="40" t="s">
        <v>115</v>
      </c>
      <c r="AA4729" s="40" t="s">
        <v>115</v>
      </c>
      <c r="AB4729" s="40" t="s">
        <v>115</v>
      </c>
      <c r="AC4729" s="40" t="s">
        <v>115</v>
      </c>
      <c r="AI4729" s="40" t="s">
        <v>115</v>
      </c>
      <c r="AP4729" s="4" t="s">
        <v>115</v>
      </c>
    </row>
    <row r="4730" spans="1:42" x14ac:dyDescent="0.15">
      <c r="A4730" s="40" t="s">
        <v>1</v>
      </c>
      <c r="B4730" s="23">
        <v>96901107</v>
      </c>
      <c r="C4730" s="23">
        <v>69011</v>
      </c>
      <c r="D4730" s="6">
        <v>6901</v>
      </c>
      <c r="F4730" s="23" t="s">
        <v>1182</v>
      </c>
      <c r="G4730" s="23" t="s">
        <v>115</v>
      </c>
      <c r="H4730" s="23" t="s">
        <v>1471</v>
      </c>
      <c r="I4730" s="23">
        <v>3</v>
      </c>
      <c r="J4730" s="40">
        <v>0</v>
      </c>
      <c r="K4730" s="40">
        <v>0</v>
      </c>
      <c r="L4730" s="40" t="s">
        <v>115</v>
      </c>
      <c r="O4730" s="40" t="s">
        <v>115</v>
      </c>
      <c r="Q4730" s="40">
        <v>181</v>
      </c>
      <c r="R4730" s="40">
        <v>316</v>
      </c>
      <c r="X4730" s="40">
        <v>96901108</v>
      </c>
      <c r="Y4730" s="40" t="s">
        <v>115</v>
      </c>
      <c r="Z4730" s="40" t="s">
        <v>115</v>
      </c>
      <c r="AA4730" s="40" t="s">
        <v>115</v>
      </c>
      <c r="AB4730" s="40" t="s">
        <v>115</v>
      </c>
      <c r="AC4730" s="40" t="s">
        <v>115</v>
      </c>
      <c r="AI4730" s="40" t="s">
        <v>115</v>
      </c>
      <c r="AP4730" s="4" t="s">
        <v>115</v>
      </c>
    </row>
    <row r="4731" spans="1:42" x14ac:dyDescent="0.15">
      <c r="A4731" s="40" t="s">
        <v>1</v>
      </c>
      <c r="B4731" s="23">
        <v>96901108</v>
      </c>
      <c r="C4731" s="23">
        <v>69011</v>
      </c>
      <c r="D4731" s="6">
        <v>6901</v>
      </c>
      <c r="F4731" s="23" t="s">
        <v>116</v>
      </c>
      <c r="G4731" s="23" t="s">
        <v>115</v>
      </c>
      <c r="H4731" s="23" t="s">
        <v>1472</v>
      </c>
      <c r="I4731" s="23">
        <v>0</v>
      </c>
      <c r="J4731" s="40">
        <v>0</v>
      </c>
      <c r="K4731" s="40">
        <v>0</v>
      </c>
      <c r="L4731" s="40" t="s">
        <v>115</v>
      </c>
      <c r="O4731" s="40" t="s">
        <v>115</v>
      </c>
      <c r="Q4731" s="40">
        <v>181</v>
      </c>
      <c r="R4731" s="40">
        <v>316</v>
      </c>
      <c r="X4731" s="40">
        <v>96901109</v>
      </c>
      <c r="Y4731" s="40" t="s">
        <v>115</v>
      </c>
      <c r="Z4731" s="40" t="s">
        <v>115</v>
      </c>
      <c r="AA4731" s="40" t="s">
        <v>115</v>
      </c>
      <c r="AB4731" s="40" t="s">
        <v>115</v>
      </c>
      <c r="AC4731" s="40" t="s">
        <v>115</v>
      </c>
      <c r="AI4731" s="40" t="s">
        <v>115</v>
      </c>
      <c r="AP4731" s="4" t="s">
        <v>115</v>
      </c>
    </row>
    <row r="4732" spans="1:42" x14ac:dyDescent="0.15">
      <c r="A4732" s="40" t="s">
        <v>1</v>
      </c>
      <c r="B4732" s="23">
        <v>96901109</v>
      </c>
      <c r="C4732" s="23">
        <v>69011</v>
      </c>
      <c r="D4732" s="6">
        <v>6901</v>
      </c>
      <c r="F4732" s="23" t="s">
        <v>115</v>
      </c>
      <c r="G4732" s="23" t="s">
        <v>115</v>
      </c>
      <c r="H4732" s="23" t="s">
        <v>1473</v>
      </c>
      <c r="I4732" s="23">
        <v>4</v>
      </c>
      <c r="J4732" s="40">
        <v>0</v>
      </c>
      <c r="K4732" s="40">
        <v>0</v>
      </c>
      <c r="L4732" s="40" t="s">
        <v>115</v>
      </c>
      <c r="O4732" s="40" t="s">
        <v>115</v>
      </c>
      <c r="Q4732" s="40">
        <v>181</v>
      </c>
      <c r="R4732" s="40" t="s">
        <v>115</v>
      </c>
      <c r="X4732" s="40">
        <v>96901110</v>
      </c>
      <c r="Y4732" s="40" t="s">
        <v>115</v>
      </c>
      <c r="Z4732" s="40" t="s">
        <v>115</v>
      </c>
      <c r="AA4732" s="40" t="s">
        <v>115</v>
      </c>
      <c r="AB4732" s="40" t="s">
        <v>115</v>
      </c>
      <c r="AC4732" s="40" t="s">
        <v>115</v>
      </c>
      <c r="AI4732" s="40" t="s">
        <v>115</v>
      </c>
      <c r="AP4732" s="4" t="s">
        <v>115</v>
      </c>
    </row>
    <row r="4733" spans="1:42" x14ac:dyDescent="0.15">
      <c r="A4733" s="40" t="s">
        <v>1</v>
      </c>
      <c r="B4733" s="23">
        <v>96901110</v>
      </c>
      <c r="C4733" s="23">
        <v>69011</v>
      </c>
      <c r="D4733" s="6">
        <v>6901</v>
      </c>
      <c r="F4733" s="23" t="s">
        <v>1474</v>
      </c>
      <c r="G4733" s="23" t="s">
        <v>115</v>
      </c>
      <c r="H4733" s="23" t="s">
        <v>1475</v>
      </c>
      <c r="I4733" s="23">
        <v>3</v>
      </c>
      <c r="J4733" s="40">
        <v>0</v>
      </c>
      <c r="K4733" s="40">
        <v>0</v>
      </c>
      <c r="L4733" s="40" t="s">
        <v>115</v>
      </c>
      <c r="O4733" s="40" t="s">
        <v>115</v>
      </c>
      <c r="Q4733" s="40">
        <v>181</v>
      </c>
      <c r="R4733" s="40">
        <v>285</v>
      </c>
      <c r="X4733" s="40">
        <v>96901111</v>
      </c>
      <c r="Y4733" s="40" t="s">
        <v>115</v>
      </c>
      <c r="Z4733" s="40" t="s">
        <v>115</v>
      </c>
      <c r="AA4733" s="40" t="s">
        <v>115</v>
      </c>
      <c r="AB4733" s="40" t="s">
        <v>115</v>
      </c>
      <c r="AC4733" s="40" t="s">
        <v>115</v>
      </c>
      <c r="AI4733" s="40" t="s">
        <v>115</v>
      </c>
      <c r="AP4733" s="4" t="s">
        <v>115</v>
      </c>
    </row>
    <row r="4734" spans="1:42" x14ac:dyDescent="0.15">
      <c r="A4734" s="40" t="s">
        <v>1</v>
      </c>
      <c r="B4734" s="23">
        <v>96901111</v>
      </c>
      <c r="C4734" s="23">
        <v>69011</v>
      </c>
      <c r="D4734" s="6">
        <v>6901</v>
      </c>
      <c r="F4734" s="23" t="s">
        <v>116</v>
      </c>
      <c r="G4734" s="23" t="s">
        <v>115</v>
      </c>
      <c r="H4734" s="23" t="s">
        <v>1476</v>
      </c>
      <c r="I4734" s="23">
        <v>0</v>
      </c>
      <c r="J4734" s="40">
        <v>0</v>
      </c>
      <c r="K4734" s="40">
        <v>0</v>
      </c>
      <c r="L4734" s="40" t="s">
        <v>115</v>
      </c>
      <c r="O4734" s="40" t="s">
        <v>115</v>
      </c>
      <c r="Q4734" s="40">
        <v>181</v>
      </c>
      <c r="R4734" s="40">
        <v>285</v>
      </c>
      <c r="X4734" s="40">
        <v>96901112</v>
      </c>
      <c r="Y4734" s="40" t="s">
        <v>115</v>
      </c>
      <c r="Z4734" s="40" t="s">
        <v>115</v>
      </c>
      <c r="AA4734" s="40" t="s">
        <v>115</v>
      </c>
      <c r="AB4734" s="40" t="s">
        <v>115</v>
      </c>
      <c r="AC4734" s="40" t="s">
        <v>115</v>
      </c>
      <c r="AI4734" s="40" t="s">
        <v>115</v>
      </c>
      <c r="AP4734" s="4" t="s">
        <v>115</v>
      </c>
    </row>
    <row r="4735" spans="1:42" x14ac:dyDescent="0.15">
      <c r="A4735" s="40" t="s">
        <v>1</v>
      </c>
      <c r="B4735" s="23">
        <v>96901112</v>
      </c>
      <c r="C4735" s="23">
        <v>69011</v>
      </c>
      <c r="D4735" s="6">
        <v>6901</v>
      </c>
      <c r="F4735" s="23" t="s">
        <v>1072</v>
      </c>
      <c r="G4735" s="23" t="s">
        <v>115</v>
      </c>
      <c r="H4735" s="23" t="s">
        <v>1477</v>
      </c>
      <c r="I4735" s="23">
        <v>1</v>
      </c>
      <c r="J4735" s="40">
        <v>0</v>
      </c>
      <c r="K4735" s="40">
        <v>0</v>
      </c>
      <c r="L4735" s="40" t="s">
        <v>115</v>
      </c>
      <c r="O4735" s="40" t="s">
        <v>115</v>
      </c>
      <c r="Q4735" s="40">
        <v>181</v>
      </c>
      <c r="R4735" s="40" t="s">
        <v>115</v>
      </c>
      <c r="X4735" s="40">
        <v>96901113</v>
      </c>
      <c r="Y4735" s="40" t="s">
        <v>115</v>
      </c>
      <c r="Z4735" s="40" t="s">
        <v>115</v>
      </c>
      <c r="AA4735" s="40" t="s">
        <v>115</v>
      </c>
      <c r="AB4735" s="40" t="s">
        <v>115</v>
      </c>
      <c r="AC4735" s="40" t="s">
        <v>115</v>
      </c>
      <c r="AI4735" s="40" t="s">
        <v>1073</v>
      </c>
      <c r="AP4735" s="4" t="s">
        <v>115</v>
      </c>
    </row>
    <row r="4736" spans="1:42" x14ac:dyDescent="0.15">
      <c r="A4736" s="40" t="s">
        <v>1</v>
      </c>
      <c r="B4736" s="23">
        <v>96901113</v>
      </c>
      <c r="C4736" s="23">
        <v>69011</v>
      </c>
      <c r="D4736" s="6">
        <v>6901</v>
      </c>
      <c r="F4736" s="23" t="s">
        <v>1474</v>
      </c>
      <c r="G4736" s="23" t="s">
        <v>115</v>
      </c>
      <c r="H4736" s="23" t="s">
        <v>1478</v>
      </c>
      <c r="I4736" s="23">
        <v>3</v>
      </c>
      <c r="J4736" s="40">
        <v>0</v>
      </c>
      <c r="K4736" s="40">
        <v>0</v>
      </c>
      <c r="L4736" s="40" t="s">
        <v>115</v>
      </c>
      <c r="O4736" s="40" t="s">
        <v>115</v>
      </c>
      <c r="Q4736" s="40">
        <v>181</v>
      </c>
      <c r="R4736" s="40">
        <v>285</v>
      </c>
      <c r="X4736" s="40">
        <v>96901114</v>
      </c>
      <c r="Y4736" s="40" t="s">
        <v>115</v>
      </c>
      <c r="Z4736" s="40" t="s">
        <v>115</v>
      </c>
      <c r="AA4736" s="40" t="s">
        <v>115</v>
      </c>
      <c r="AB4736" s="40" t="s">
        <v>115</v>
      </c>
      <c r="AC4736" s="40" t="s">
        <v>115</v>
      </c>
      <c r="AI4736" s="40" t="s">
        <v>115</v>
      </c>
      <c r="AP4736" s="4" t="s">
        <v>115</v>
      </c>
    </row>
    <row r="4737" spans="1:42" x14ac:dyDescent="0.15">
      <c r="A4737" s="40" t="s">
        <v>1</v>
      </c>
      <c r="B4737" s="23">
        <v>96901114</v>
      </c>
      <c r="C4737" s="23">
        <v>69011</v>
      </c>
      <c r="D4737" s="6">
        <v>6901</v>
      </c>
      <c r="F4737" s="23" t="s">
        <v>116</v>
      </c>
      <c r="G4737" s="23" t="s">
        <v>115</v>
      </c>
      <c r="H4737" s="23" t="s">
        <v>1479</v>
      </c>
      <c r="I4737" s="23">
        <v>0</v>
      </c>
      <c r="J4737" s="40">
        <v>0</v>
      </c>
      <c r="K4737" s="40">
        <v>0</v>
      </c>
      <c r="L4737" s="40" t="s">
        <v>115</v>
      </c>
      <c r="O4737" s="40" t="s">
        <v>115</v>
      </c>
      <c r="Q4737" s="40">
        <v>181</v>
      </c>
      <c r="R4737" s="40" t="s">
        <v>115</v>
      </c>
      <c r="X4737" s="40">
        <v>96901115</v>
      </c>
      <c r="Y4737" s="40" t="s">
        <v>115</v>
      </c>
      <c r="Z4737" s="40" t="s">
        <v>115</v>
      </c>
      <c r="AA4737" s="40" t="s">
        <v>115</v>
      </c>
      <c r="AB4737" s="40" t="s">
        <v>115</v>
      </c>
      <c r="AC4737" s="40" t="s">
        <v>115</v>
      </c>
      <c r="AI4737" s="40">
        <v>202</v>
      </c>
      <c r="AP4737" s="4" t="s">
        <v>115</v>
      </c>
    </row>
    <row r="4738" spans="1:42" x14ac:dyDescent="0.15">
      <c r="A4738" s="40" t="s">
        <v>1</v>
      </c>
      <c r="B4738" s="23">
        <v>96901115</v>
      </c>
      <c r="C4738" s="23">
        <v>69011</v>
      </c>
      <c r="D4738" s="6">
        <v>6901</v>
      </c>
      <c r="F4738" s="23" t="s">
        <v>1072</v>
      </c>
      <c r="G4738" s="23" t="s">
        <v>115</v>
      </c>
      <c r="H4738" s="23" t="s">
        <v>1480</v>
      </c>
      <c r="I4738" s="23">
        <v>1</v>
      </c>
      <c r="J4738" s="40">
        <v>0</v>
      </c>
      <c r="K4738" s="40">
        <v>0</v>
      </c>
      <c r="L4738" s="40" t="s">
        <v>115</v>
      </c>
      <c r="O4738" s="40" t="s">
        <v>115</v>
      </c>
      <c r="Q4738" s="40">
        <v>181</v>
      </c>
      <c r="R4738" s="40" t="s">
        <v>115</v>
      </c>
      <c r="X4738" s="40">
        <v>96901116</v>
      </c>
      <c r="Y4738" s="40" t="s">
        <v>115</v>
      </c>
      <c r="Z4738" s="40" t="s">
        <v>115</v>
      </c>
      <c r="AA4738" s="40" t="s">
        <v>115</v>
      </c>
      <c r="AB4738" s="40" t="s">
        <v>115</v>
      </c>
      <c r="AC4738" s="40" t="s">
        <v>115</v>
      </c>
      <c r="AI4738" s="40" t="s">
        <v>1073</v>
      </c>
      <c r="AP4738" s="4" t="s">
        <v>115</v>
      </c>
    </row>
    <row r="4739" spans="1:42" x14ac:dyDescent="0.15">
      <c r="A4739" s="40" t="s">
        <v>1</v>
      </c>
      <c r="B4739" s="23">
        <v>96901116</v>
      </c>
      <c r="C4739" s="23">
        <v>69011</v>
      </c>
      <c r="D4739" s="6">
        <v>6901</v>
      </c>
      <c r="F4739" s="23" t="s">
        <v>1072</v>
      </c>
      <c r="G4739" s="23" t="s">
        <v>115</v>
      </c>
      <c r="H4739" s="23" t="s">
        <v>1481</v>
      </c>
      <c r="I4739" s="23">
        <v>1</v>
      </c>
      <c r="J4739" s="40">
        <v>0</v>
      </c>
      <c r="K4739" s="40">
        <v>0</v>
      </c>
      <c r="L4739" s="40" t="s">
        <v>115</v>
      </c>
      <c r="O4739" s="40" t="s">
        <v>115</v>
      </c>
      <c r="Q4739" s="40">
        <v>181</v>
      </c>
      <c r="R4739" s="40" t="s">
        <v>115</v>
      </c>
      <c r="X4739" s="40">
        <v>96901117</v>
      </c>
      <c r="Y4739" s="40" t="s">
        <v>115</v>
      </c>
      <c r="Z4739" s="40" t="s">
        <v>115</v>
      </c>
      <c r="AA4739" s="40" t="s">
        <v>115</v>
      </c>
      <c r="AB4739" s="40" t="s">
        <v>115</v>
      </c>
      <c r="AC4739" s="40" t="s">
        <v>115</v>
      </c>
      <c r="AI4739" s="40" t="s">
        <v>1073</v>
      </c>
      <c r="AP4739" s="4" t="s">
        <v>115</v>
      </c>
    </row>
    <row r="4740" spans="1:42" x14ac:dyDescent="0.15">
      <c r="A4740" s="40" t="s">
        <v>1</v>
      </c>
      <c r="B4740" s="23">
        <v>96901117</v>
      </c>
      <c r="C4740" s="23">
        <v>69011</v>
      </c>
      <c r="D4740" s="6">
        <v>6901</v>
      </c>
      <c r="F4740" s="23" t="s">
        <v>116</v>
      </c>
      <c r="G4740" s="23" t="s">
        <v>115</v>
      </c>
      <c r="H4740" s="23" t="s">
        <v>1482</v>
      </c>
      <c r="I4740" s="23">
        <v>0</v>
      </c>
      <c r="J4740" s="40">
        <v>0</v>
      </c>
      <c r="K4740" s="40">
        <v>0</v>
      </c>
      <c r="L4740" s="40" t="s">
        <v>115</v>
      </c>
      <c r="O4740" s="40" t="s">
        <v>115</v>
      </c>
      <c r="Q4740" s="40">
        <v>181</v>
      </c>
      <c r="R4740" s="40" t="s">
        <v>115</v>
      </c>
      <c r="X4740" s="40">
        <v>96901118</v>
      </c>
      <c r="Y4740" s="40" t="s">
        <v>115</v>
      </c>
      <c r="Z4740" s="40" t="s">
        <v>115</v>
      </c>
      <c r="AA4740" s="40" t="s">
        <v>115</v>
      </c>
      <c r="AB4740" s="40" t="s">
        <v>115</v>
      </c>
      <c r="AC4740" s="40" t="s">
        <v>115</v>
      </c>
      <c r="AI4740" s="40">
        <v>202</v>
      </c>
      <c r="AP4740" s="4" t="s">
        <v>115</v>
      </c>
    </row>
    <row r="4741" spans="1:42" x14ac:dyDescent="0.15">
      <c r="A4741" s="40" t="s">
        <v>1</v>
      </c>
      <c r="B4741" s="23">
        <v>96901118</v>
      </c>
      <c r="C4741" s="23">
        <v>69011</v>
      </c>
      <c r="D4741" s="6">
        <v>6901</v>
      </c>
      <c r="F4741" s="23" t="s">
        <v>1072</v>
      </c>
      <c r="G4741" s="23" t="s">
        <v>115</v>
      </c>
      <c r="H4741" s="23" t="s">
        <v>1483</v>
      </c>
      <c r="I4741" s="23">
        <v>1</v>
      </c>
      <c r="J4741" s="40">
        <v>0</v>
      </c>
      <c r="K4741" s="40">
        <v>0</v>
      </c>
      <c r="L4741" s="40" t="s">
        <v>115</v>
      </c>
      <c r="O4741" s="40" t="s">
        <v>115</v>
      </c>
      <c r="Q4741" s="40">
        <v>181</v>
      </c>
      <c r="R4741" s="40" t="s">
        <v>115</v>
      </c>
      <c r="X4741" s="40">
        <v>96901119</v>
      </c>
      <c r="Y4741" s="40" t="s">
        <v>115</v>
      </c>
      <c r="Z4741" s="40" t="s">
        <v>115</v>
      </c>
      <c r="AA4741" s="40" t="s">
        <v>115</v>
      </c>
      <c r="AB4741" s="40" t="s">
        <v>115</v>
      </c>
      <c r="AC4741" s="40" t="s">
        <v>115</v>
      </c>
      <c r="AI4741" s="40" t="s">
        <v>1073</v>
      </c>
      <c r="AP4741" s="4" t="s">
        <v>115</v>
      </c>
    </row>
    <row r="4742" spans="1:42" x14ac:dyDescent="0.15">
      <c r="A4742" s="40" t="s">
        <v>1</v>
      </c>
      <c r="B4742" s="23">
        <v>96901119</v>
      </c>
      <c r="C4742" s="23">
        <v>69011</v>
      </c>
      <c r="D4742" s="6">
        <v>6901</v>
      </c>
      <c r="F4742" s="23" t="s">
        <v>1072</v>
      </c>
      <c r="G4742" s="23" t="s">
        <v>115</v>
      </c>
      <c r="H4742" s="23" t="s">
        <v>1484</v>
      </c>
      <c r="I4742" s="23">
        <v>1</v>
      </c>
      <c r="J4742" s="40">
        <v>0</v>
      </c>
      <c r="K4742" s="40">
        <v>0</v>
      </c>
      <c r="L4742" s="40" t="s">
        <v>115</v>
      </c>
      <c r="O4742" s="40" t="s">
        <v>115</v>
      </c>
      <c r="Q4742" s="40">
        <v>181</v>
      </c>
      <c r="R4742" s="40" t="s">
        <v>115</v>
      </c>
      <c r="X4742" s="40">
        <v>96901120</v>
      </c>
      <c r="Y4742" s="40" t="s">
        <v>115</v>
      </c>
      <c r="Z4742" s="40" t="s">
        <v>115</v>
      </c>
      <c r="AA4742" s="40" t="s">
        <v>115</v>
      </c>
      <c r="AB4742" s="40" t="s">
        <v>115</v>
      </c>
      <c r="AC4742" s="40" t="s">
        <v>115</v>
      </c>
      <c r="AI4742" s="40" t="s">
        <v>1073</v>
      </c>
      <c r="AP4742" s="4" t="s">
        <v>115</v>
      </c>
    </row>
    <row r="4743" spans="1:42" x14ac:dyDescent="0.15">
      <c r="A4743" s="40" t="s">
        <v>1</v>
      </c>
      <c r="B4743" s="23">
        <v>96901120</v>
      </c>
      <c r="C4743" s="23">
        <v>69011</v>
      </c>
      <c r="D4743" s="6">
        <v>6901</v>
      </c>
      <c r="F4743" s="23" t="s">
        <v>115</v>
      </c>
      <c r="G4743" s="23" t="s">
        <v>115</v>
      </c>
      <c r="H4743" s="23" t="s">
        <v>1485</v>
      </c>
      <c r="I4743" s="23">
        <v>4</v>
      </c>
      <c r="J4743" s="40">
        <v>0</v>
      </c>
      <c r="K4743" s="40">
        <v>0</v>
      </c>
      <c r="L4743" s="40" t="s">
        <v>115</v>
      </c>
      <c r="O4743" s="40" t="s">
        <v>115</v>
      </c>
      <c r="Q4743" s="40">
        <v>181</v>
      </c>
      <c r="R4743" s="40" t="s">
        <v>115</v>
      </c>
      <c r="X4743" s="40">
        <v>96901121</v>
      </c>
      <c r="Y4743" s="40" t="s">
        <v>115</v>
      </c>
      <c r="Z4743" s="40" t="s">
        <v>115</v>
      </c>
      <c r="AA4743" s="40" t="s">
        <v>115</v>
      </c>
      <c r="AB4743" s="40" t="s">
        <v>115</v>
      </c>
      <c r="AC4743" s="40" t="s">
        <v>115</v>
      </c>
      <c r="AI4743" s="40">
        <v>202</v>
      </c>
      <c r="AP4743" s="4" t="s">
        <v>115</v>
      </c>
    </row>
    <row r="4744" spans="1:42" x14ac:dyDescent="0.15">
      <c r="A4744" s="40" t="s">
        <v>1</v>
      </c>
      <c r="B4744" s="23">
        <v>96901121</v>
      </c>
      <c r="C4744" s="23">
        <v>69011</v>
      </c>
      <c r="D4744" s="6">
        <v>6901</v>
      </c>
      <c r="F4744" s="23" t="s">
        <v>116</v>
      </c>
      <c r="G4744" s="23" t="s">
        <v>115</v>
      </c>
      <c r="H4744" s="23" t="s">
        <v>1486</v>
      </c>
      <c r="I4744" s="23">
        <v>2</v>
      </c>
      <c r="J4744" s="40">
        <v>0</v>
      </c>
      <c r="K4744" s="40">
        <v>0</v>
      </c>
      <c r="L4744" s="40" t="s">
        <v>115</v>
      </c>
      <c r="O4744" s="40" t="s">
        <v>115</v>
      </c>
      <c r="Q4744" s="40">
        <v>181</v>
      </c>
      <c r="R4744" s="40" t="s">
        <v>115</v>
      </c>
      <c r="X4744" s="40">
        <v>96901122</v>
      </c>
      <c r="Y4744" s="40" t="s">
        <v>115</v>
      </c>
      <c r="Z4744" s="40" t="s">
        <v>115</v>
      </c>
      <c r="AA4744" s="40" t="s">
        <v>115</v>
      </c>
      <c r="AB4744" s="40" t="s">
        <v>115</v>
      </c>
      <c r="AC4744" s="40" t="s">
        <v>115</v>
      </c>
      <c r="AI4744" s="40" t="s">
        <v>115</v>
      </c>
      <c r="AP4744" s="4" t="s">
        <v>115</v>
      </c>
    </row>
    <row r="4745" spans="1:42" x14ac:dyDescent="0.15">
      <c r="A4745" s="40" t="s">
        <v>1</v>
      </c>
      <c r="B4745" s="23">
        <v>96901122</v>
      </c>
      <c r="C4745" s="23">
        <v>69011</v>
      </c>
      <c r="D4745" s="6">
        <v>6901</v>
      </c>
      <c r="F4745" s="23" t="s">
        <v>116</v>
      </c>
      <c r="G4745" s="23" t="s">
        <v>115</v>
      </c>
      <c r="H4745" s="23" t="s">
        <v>1487</v>
      </c>
      <c r="I4745" s="23">
        <v>2</v>
      </c>
      <c r="J4745" s="40">
        <v>0</v>
      </c>
      <c r="K4745" s="40">
        <v>2</v>
      </c>
      <c r="L4745" s="40" t="s">
        <v>115</v>
      </c>
      <c r="O4745" s="40">
        <v>1</v>
      </c>
      <c r="Q4745" s="40">
        <v>181</v>
      </c>
      <c r="R4745" s="40" t="s">
        <v>115</v>
      </c>
      <c r="X4745" s="40" t="s">
        <v>115</v>
      </c>
      <c r="Y4745" s="40" t="s">
        <v>115</v>
      </c>
      <c r="Z4745" s="40">
        <v>1</v>
      </c>
      <c r="AA4745" s="40" t="s">
        <v>115</v>
      </c>
      <c r="AB4745" s="40" t="s">
        <v>115</v>
      </c>
      <c r="AC4745" s="40" t="s">
        <v>115</v>
      </c>
      <c r="AI4745" s="40" t="s">
        <v>115</v>
      </c>
      <c r="AP4745" s="40">
        <v>69012</v>
      </c>
    </row>
    <row r="4746" spans="1:42" x14ac:dyDescent="0.15">
      <c r="A4746" s="40" t="s">
        <v>1</v>
      </c>
      <c r="B4746" s="23">
        <v>96901201</v>
      </c>
      <c r="C4746" s="23">
        <v>69012</v>
      </c>
      <c r="D4746" s="6">
        <v>6901</v>
      </c>
      <c r="F4746" s="23" t="s">
        <v>115</v>
      </c>
      <c r="G4746" s="23" t="s">
        <v>115</v>
      </c>
      <c r="H4746" s="23" t="s">
        <v>1488</v>
      </c>
      <c r="I4746" s="23">
        <v>4</v>
      </c>
      <c r="J4746" s="40">
        <v>1</v>
      </c>
      <c r="K4746" s="40">
        <v>1</v>
      </c>
      <c r="L4746" s="40" t="s">
        <v>115</v>
      </c>
      <c r="O4746" s="40" t="s">
        <v>115</v>
      </c>
      <c r="Q4746" s="40">
        <v>162</v>
      </c>
      <c r="R4746" s="40" t="s">
        <v>115</v>
      </c>
      <c r="X4746" s="40">
        <v>96901202</v>
      </c>
      <c r="Y4746" s="40" t="s">
        <v>115</v>
      </c>
      <c r="Z4746" s="40" t="s">
        <v>115</v>
      </c>
      <c r="AA4746" s="40" t="s">
        <v>115</v>
      </c>
      <c r="AB4746" s="40" t="s">
        <v>115</v>
      </c>
      <c r="AC4746" s="40" t="s">
        <v>115</v>
      </c>
      <c r="AI4746" s="40" t="s">
        <v>115</v>
      </c>
      <c r="AP4746" s="4" t="s">
        <v>115</v>
      </c>
    </row>
    <row r="4747" spans="1:42" x14ac:dyDescent="0.15">
      <c r="A4747" s="40" t="s">
        <v>1</v>
      </c>
      <c r="B4747" s="23">
        <v>96901202</v>
      </c>
      <c r="C4747" s="23">
        <v>69012</v>
      </c>
      <c r="D4747" s="6">
        <v>6901</v>
      </c>
      <c r="F4747" s="23" t="s">
        <v>116</v>
      </c>
      <c r="G4747" s="23" t="s">
        <v>115</v>
      </c>
      <c r="H4747" s="23" t="s">
        <v>1489</v>
      </c>
      <c r="I4747" s="23">
        <v>0</v>
      </c>
      <c r="J4747" s="40">
        <v>0</v>
      </c>
      <c r="K4747" s="40">
        <v>0</v>
      </c>
      <c r="L4747" s="40" t="s">
        <v>115</v>
      </c>
      <c r="O4747" s="40" t="s">
        <v>115</v>
      </c>
      <c r="Q4747" s="40">
        <v>162</v>
      </c>
      <c r="R4747" s="40" t="s">
        <v>115</v>
      </c>
      <c r="X4747" s="40">
        <v>96901203</v>
      </c>
      <c r="Y4747" s="40" t="s">
        <v>115</v>
      </c>
      <c r="Z4747" s="40" t="s">
        <v>115</v>
      </c>
      <c r="AA4747" s="40" t="s">
        <v>115</v>
      </c>
      <c r="AB4747" s="40" t="s">
        <v>115</v>
      </c>
      <c r="AC4747" s="40" t="s">
        <v>115</v>
      </c>
      <c r="AI4747" s="40" t="s">
        <v>115</v>
      </c>
      <c r="AP4747" s="4" t="s">
        <v>115</v>
      </c>
    </row>
    <row r="4748" spans="1:42" x14ac:dyDescent="0.15">
      <c r="A4748" s="40" t="s">
        <v>1</v>
      </c>
      <c r="B4748" s="23">
        <v>96901203</v>
      </c>
      <c r="C4748" s="23">
        <v>69012</v>
      </c>
      <c r="D4748" s="6">
        <v>6901</v>
      </c>
      <c r="F4748" s="23" t="s">
        <v>1490</v>
      </c>
      <c r="G4748" s="23" t="s">
        <v>115</v>
      </c>
      <c r="H4748" s="23" t="s">
        <v>1491</v>
      </c>
      <c r="I4748" s="23">
        <v>3</v>
      </c>
      <c r="J4748" s="40">
        <v>0</v>
      </c>
      <c r="K4748" s="40">
        <v>0</v>
      </c>
      <c r="L4748" s="40" t="s">
        <v>115</v>
      </c>
      <c r="O4748" s="40" t="s">
        <v>115</v>
      </c>
      <c r="Q4748" s="40">
        <v>162</v>
      </c>
      <c r="R4748" s="40">
        <v>249</v>
      </c>
      <c r="X4748" s="40">
        <v>96901204</v>
      </c>
      <c r="Y4748" s="40" t="s">
        <v>115</v>
      </c>
      <c r="Z4748" s="40" t="s">
        <v>115</v>
      </c>
      <c r="AA4748" s="40" t="s">
        <v>115</v>
      </c>
      <c r="AB4748" s="40" t="s">
        <v>115</v>
      </c>
      <c r="AC4748" s="40" t="s">
        <v>115</v>
      </c>
      <c r="AI4748" s="40" t="s">
        <v>115</v>
      </c>
      <c r="AP4748" s="4" t="s">
        <v>115</v>
      </c>
    </row>
    <row r="4749" spans="1:42" x14ac:dyDescent="0.15">
      <c r="A4749" s="40" t="s">
        <v>1</v>
      </c>
      <c r="B4749" s="23">
        <v>96901204</v>
      </c>
      <c r="C4749" s="23">
        <v>69012</v>
      </c>
      <c r="D4749" s="6">
        <v>6901</v>
      </c>
      <c r="F4749" s="23" t="s">
        <v>116</v>
      </c>
      <c r="G4749" s="23" t="s">
        <v>115</v>
      </c>
      <c r="H4749" s="23" t="s">
        <v>1492</v>
      </c>
      <c r="I4749" s="23">
        <v>0</v>
      </c>
      <c r="J4749" s="40">
        <v>0</v>
      </c>
      <c r="K4749" s="40">
        <v>0</v>
      </c>
      <c r="L4749" s="40" t="s">
        <v>115</v>
      </c>
      <c r="O4749" s="40" t="s">
        <v>115</v>
      </c>
      <c r="Q4749" s="40">
        <v>162</v>
      </c>
      <c r="R4749" s="40">
        <v>249</v>
      </c>
      <c r="X4749" s="40">
        <v>96901205</v>
      </c>
      <c r="Y4749" s="40" t="s">
        <v>115</v>
      </c>
      <c r="Z4749" s="40" t="s">
        <v>115</v>
      </c>
      <c r="AA4749" s="40" t="s">
        <v>115</v>
      </c>
      <c r="AB4749" s="40" t="s">
        <v>115</v>
      </c>
      <c r="AC4749" s="40" t="s">
        <v>115</v>
      </c>
      <c r="AI4749" s="40" t="s">
        <v>115</v>
      </c>
      <c r="AP4749" s="4" t="s">
        <v>115</v>
      </c>
    </row>
    <row r="4750" spans="1:42" x14ac:dyDescent="0.15">
      <c r="A4750" s="40" t="s">
        <v>1</v>
      </c>
      <c r="B4750" s="23">
        <v>96901205</v>
      </c>
      <c r="C4750" s="23">
        <v>69012</v>
      </c>
      <c r="D4750" s="6">
        <v>6901</v>
      </c>
      <c r="F4750" s="23" t="s">
        <v>1490</v>
      </c>
      <c r="G4750" s="23" t="s">
        <v>115</v>
      </c>
      <c r="H4750" s="23" t="s">
        <v>1493</v>
      </c>
      <c r="I4750" s="23">
        <v>3</v>
      </c>
      <c r="J4750" s="40">
        <v>0</v>
      </c>
      <c r="K4750" s="40">
        <v>0</v>
      </c>
      <c r="L4750" s="40" t="s">
        <v>115</v>
      </c>
      <c r="O4750" s="40" t="s">
        <v>115</v>
      </c>
      <c r="Q4750" s="40">
        <v>162</v>
      </c>
      <c r="R4750" s="40">
        <v>249</v>
      </c>
      <c r="X4750" s="40">
        <v>96901206</v>
      </c>
      <c r="Y4750" s="40" t="s">
        <v>115</v>
      </c>
      <c r="Z4750" s="40" t="s">
        <v>115</v>
      </c>
      <c r="AA4750" s="40" t="s">
        <v>115</v>
      </c>
      <c r="AB4750" s="40" t="s">
        <v>115</v>
      </c>
      <c r="AC4750" s="40" t="s">
        <v>115</v>
      </c>
      <c r="AI4750" s="40" t="s">
        <v>115</v>
      </c>
      <c r="AP4750" s="4" t="s">
        <v>115</v>
      </c>
    </row>
    <row r="4751" spans="1:42" x14ac:dyDescent="0.15">
      <c r="A4751" s="40" t="s">
        <v>1</v>
      </c>
      <c r="B4751" s="23">
        <v>96901206</v>
      </c>
      <c r="C4751" s="23">
        <v>69012</v>
      </c>
      <c r="D4751" s="6">
        <v>6901</v>
      </c>
      <c r="F4751" s="23" t="s">
        <v>1490</v>
      </c>
      <c r="G4751" s="23" t="s">
        <v>115</v>
      </c>
      <c r="H4751" s="23" t="s">
        <v>1494</v>
      </c>
      <c r="I4751" s="23">
        <v>3</v>
      </c>
      <c r="J4751" s="40">
        <v>0</v>
      </c>
      <c r="K4751" s="40">
        <v>0</v>
      </c>
      <c r="L4751" s="40" t="s">
        <v>115</v>
      </c>
      <c r="O4751" s="40" t="s">
        <v>115</v>
      </c>
      <c r="Q4751" s="40">
        <v>162</v>
      </c>
      <c r="R4751" s="40">
        <v>249</v>
      </c>
      <c r="X4751" s="40">
        <v>96901207</v>
      </c>
      <c r="Y4751" s="40" t="s">
        <v>115</v>
      </c>
      <c r="Z4751" s="40" t="s">
        <v>115</v>
      </c>
      <c r="AA4751" s="40" t="s">
        <v>115</v>
      </c>
      <c r="AB4751" s="40" t="s">
        <v>115</v>
      </c>
      <c r="AC4751" s="40" t="s">
        <v>115</v>
      </c>
      <c r="AI4751" s="40" t="s">
        <v>115</v>
      </c>
      <c r="AP4751" s="4" t="s">
        <v>115</v>
      </c>
    </row>
    <row r="4752" spans="1:42" x14ac:dyDescent="0.15">
      <c r="A4752" s="40" t="s">
        <v>1</v>
      </c>
      <c r="B4752" s="23">
        <v>96901207</v>
      </c>
      <c r="C4752" s="23">
        <v>69012</v>
      </c>
      <c r="D4752" s="6">
        <v>6901</v>
      </c>
      <c r="F4752" s="23" t="s">
        <v>1490</v>
      </c>
      <c r="G4752" s="23" t="s">
        <v>115</v>
      </c>
      <c r="H4752" s="23" t="s">
        <v>1495</v>
      </c>
      <c r="I4752" s="23">
        <v>3</v>
      </c>
      <c r="J4752" s="40">
        <v>0</v>
      </c>
      <c r="K4752" s="40">
        <v>0</v>
      </c>
      <c r="L4752" s="40" t="s">
        <v>115</v>
      </c>
      <c r="O4752" s="40" t="s">
        <v>115</v>
      </c>
      <c r="Q4752" s="40">
        <v>162</v>
      </c>
      <c r="R4752" s="40">
        <v>249</v>
      </c>
      <c r="X4752" s="40">
        <v>96901208</v>
      </c>
      <c r="Y4752" s="40" t="s">
        <v>115</v>
      </c>
      <c r="Z4752" s="40" t="s">
        <v>115</v>
      </c>
      <c r="AA4752" s="40" t="s">
        <v>115</v>
      </c>
      <c r="AB4752" s="40" t="s">
        <v>115</v>
      </c>
      <c r="AC4752" s="40" t="s">
        <v>115</v>
      </c>
      <c r="AI4752" s="40" t="s">
        <v>115</v>
      </c>
      <c r="AP4752" s="4" t="s">
        <v>115</v>
      </c>
    </row>
    <row r="4753" spans="1:42" x14ac:dyDescent="0.15">
      <c r="A4753" s="40" t="s">
        <v>1</v>
      </c>
      <c r="B4753" s="23">
        <v>96901208</v>
      </c>
      <c r="C4753" s="23">
        <v>69012</v>
      </c>
      <c r="D4753" s="6">
        <v>6901</v>
      </c>
      <c r="F4753" s="23" t="s">
        <v>1496</v>
      </c>
      <c r="G4753" s="23" t="s">
        <v>115</v>
      </c>
      <c r="H4753" s="23" t="s">
        <v>1497</v>
      </c>
      <c r="I4753" s="23">
        <v>3</v>
      </c>
      <c r="J4753" s="40">
        <v>0</v>
      </c>
      <c r="K4753" s="40">
        <v>0</v>
      </c>
      <c r="L4753" s="40" t="s">
        <v>115</v>
      </c>
      <c r="O4753" s="40" t="s">
        <v>115</v>
      </c>
      <c r="Q4753" s="40">
        <v>162</v>
      </c>
      <c r="R4753" s="40">
        <v>167</v>
      </c>
      <c r="X4753" s="40">
        <v>96901209</v>
      </c>
      <c r="Y4753" s="40" t="s">
        <v>115</v>
      </c>
      <c r="Z4753" s="40" t="s">
        <v>115</v>
      </c>
      <c r="AA4753" s="40" t="s">
        <v>115</v>
      </c>
      <c r="AB4753" s="40" t="s">
        <v>115</v>
      </c>
      <c r="AC4753" s="40" t="s">
        <v>115</v>
      </c>
      <c r="AI4753" s="40" t="s">
        <v>115</v>
      </c>
      <c r="AP4753" s="4" t="s">
        <v>115</v>
      </c>
    </row>
    <row r="4754" spans="1:42" x14ac:dyDescent="0.15">
      <c r="A4754" s="40" t="s">
        <v>1</v>
      </c>
      <c r="B4754" s="23">
        <v>96901209</v>
      </c>
      <c r="C4754" s="23">
        <v>69012</v>
      </c>
      <c r="D4754" s="6">
        <v>6901</v>
      </c>
      <c r="F4754" s="23" t="s">
        <v>1490</v>
      </c>
      <c r="G4754" s="23" t="s">
        <v>115</v>
      </c>
      <c r="H4754" s="23" t="s">
        <v>1498</v>
      </c>
      <c r="I4754" s="23">
        <v>3</v>
      </c>
      <c r="J4754" s="40">
        <v>0</v>
      </c>
      <c r="K4754" s="40">
        <v>0</v>
      </c>
      <c r="L4754" s="40" t="s">
        <v>115</v>
      </c>
      <c r="O4754" s="40" t="s">
        <v>115</v>
      </c>
      <c r="Q4754" s="40">
        <v>162</v>
      </c>
      <c r="R4754" s="40">
        <v>249</v>
      </c>
      <c r="X4754" s="40">
        <v>96901210</v>
      </c>
      <c r="Y4754" s="40" t="s">
        <v>115</v>
      </c>
      <c r="Z4754" s="40" t="s">
        <v>115</v>
      </c>
      <c r="AA4754" s="40" t="s">
        <v>115</v>
      </c>
      <c r="AB4754" s="40" t="s">
        <v>115</v>
      </c>
      <c r="AC4754" s="40" t="s">
        <v>115</v>
      </c>
      <c r="AI4754" s="40" t="s">
        <v>115</v>
      </c>
      <c r="AP4754" s="4" t="s">
        <v>115</v>
      </c>
    </row>
    <row r="4755" spans="1:42" x14ac:dyDescent="0.15">
      <c r="A4755" s="40" t="s">
        <v>1</v>
      </c>
      <c r="B4755" s="23">
        <v>96901210</v>
      </c>
      <c r="C4755" s="23">
        <v>69012</v>
      </c>
      <c r="D4755" s="6">
        <v>6901</v>
      </c>
      <c r="F4755" s="23" t="s">
        <v>1496</v>
      </c>
      <c r="G4755" s="23" t="s">
        <v>115</v>
      </c>
      <c r="H4755" s="23" t="s">
        <v>1499</v>
      </c>
      <c r="I4755" s="23">
        <v>3</v>
      </c>
      <c r="J4755" s="40">
        <v>0</v>
      </c>
      <c r="K4755" s="40">
        <v>0</v>
      </c>
      <c r="L4755" s="40" t="s">
        <v>115</v>
      </c>
      <c r="O4755" s="40" t="s">
        <v>115</v>
      </c>
      <c r="Q4755" s="40">
        <v>162</v>
      </c>
      <c r="R4755" s="40">
        <v>167</v>
      </c>
      <c r="X4755" s="40">
        <v>96901211</v>
      </c>
      <c r="Y4755" s="40" t="s">
        <v>115</v>
      </c>
      <c r="Z4755" s="40" t="s">
        <v>115</v>
      </c>
      <c r="AA4755" s="40" t="s">
        <v>115</v>
      </c>
      <c r="AB4755" s="40" t="s">
        <v>115</v>
      </c>
      <c r="AC4755" s="40" t="s">
        <v>115</v>
      </c>
      <c r="AI4755" s="40" t="s">
        <v>115</v>
      </c>
      <c r="AP4755" s="4" t="s">
        <v>115</v>
      </c>
    </row>
    <row r="4756" spans="1:42" x14ac:dyDescent="0.15">
      <c r="A4756" s="40" t="s">
        <v>1</v>
      </c>
      <c r="B4756" s="23">
        <v>96901211</v>
      </c>
      <c r="C4756" s="23">
        <v>69012</v>
      </c>
      <c r="D4756" s="6">
        <v>6901</v>
      </c>
      <c r="F4756" s="23" t="s">
        <v>1500</v>
      </c>
      <c r="G4756" s="23" t="s">
        <v>115</v>
      </c>
      <c r="H4756" s="23" t="s">
        <v>1501</v>
      </c>
      <c r="I4756" s="23">
        <v>3</v>
      </c>
      <c r="J4756" s="40">
        <v>0</v>
      </c>
      <c r="K4756" s="40">
        <v>0</v>
      </c>
      <c r="L4756" s="40" t="s">
        <v>115</v>
      </c>
      <c r="O4756" s="40" t="s">
        <v>115</v>
      </c>
      <c r="Q4756" s="40">
        <v>162</v>
      </c>
      <c r="R4756" s="40">
        <v>283</v>
      </c>
      <c r="X4756" s="40">
        <v>96901212</v>
      </c>
      <c r="Y4756" s="40" t="s">
        <v>115</v>
      </c>
      <c r="Z4756" s="40" t="s">
        <v>115</v>
      </c>
      <c r="AA4756" s="40" t="s">
        <v>115</v>
      </c>
      <c r="AB4756" s="40" t="s">
        <v>115</v>
      </c>
      <c r="AC4756" s="40" t="s">
        <v>115</v>
      </c>
      <c r="AI4756" s="40" t="s">
        <v>115</v>
      </c>
      <c r="AP4756" s="4" t="s">
        <v>115</v>
      </c>
    </row>
    <row r="4757" spans="1:42" x14ac:dyDescent="0.15">
      <c r="A4757" s="40" t="s">
        <v>1</v>
      </c>
      <c r="B4757" s="23">
        <v>96901212</v>
      </c>
      <c r="C4757" s="23">
        <v>69012</v>
      </c>
      <c r="D4757" s="6">
        <v>6901</v>
      </c>
      <c r="F4757" s="23" t="s">
        <v>115</v>
      </c>
      <c r="G4757" s="23" t="s">
        <v>115</v>
      </c>
      <c r="H4757" s="23" t="s">
        <v>1502</v>
      </c>
      <c r="I4757" s="23">
        <v>4</v>
      </c>
      <c r="J4757" s="40">
        <v>0</v>
      </c>
      <c r="K4757" s="40">
        <v>0</v>
      </c>
      <c r="L4757" s="40" t="s">
        <v>115</v>
      </c>
      <c r="O4757" s="40" t="s">
        <v>115</v>
      </c>
      <c r="Q4757" s="40">
        <v>162</v>
      </c>
      <c r="R4757" s="40" t="s">
        <v>115</v>
      </c>
      <c r="X4757" s="40">
        <v>96901213</v>
      </c>
      <c r="Y4757" s="40" t="s">
        <v>115</v>
      </c>
      <c r="Z4757" s="40" t="s">
        <v>115</v>
      </c>
      <c r="AA4757" s="40" t="s">
        <v>115</v>
      </c>
      <c r="AB4757" s="40" t="s">
        <v>115</v>
      </c>
      <c r="AC4757" s="40" t="s">
        <v>115</v>
      </c>
      <c r="AI4757" s="40" t="s">
        <v>115</v>
      </c>
      <c r="AP4757" s="4" t="s">
        <v>115</v>
      </c>
    </row>
    <row r="4758" spans="1:42" x14ac:dyDescent="0.15">
      <c r="A4758" s="40" t="s">
        <v>1</v>
      </c>
      <c r="B4758" s="23">
        <v>96901213</v>
      </c>
      <c r="C4758" s="23">
        <v>69012</v>
      </c>
      <c r="D4758" s="6">
        <v>6901</v>
      </c>
      <c r="F4758" s="23" t="s">
        <v>1500</v>
      </c>
      <c r="G4758" s="23" t="s">
        <v>115</v>
      </c>
      <c r="H4758" s="23" t="s">
        <v>1503</v>
      </c>
      <c r="I4758" s="23">
        <v>3</v>
      </c>
      <c r="J4758" s="40">
        <v>0</v>
      </c>
      <c r="K4758" s="40">
        <v>0</v>
      </c>
      <c r="L4758" s="40" t="s">
        <v>115</v>
      </c>
      <c r="O4758" s="40" t="s">
        <v>115</v>
      </c>
      <c r="Q4758" s="40">
        <v>162</v>
      </c>
      <c r="R4758" s="40">
        <v>283</v>
      </c>
      <c r="X4758" s="40">
        <v>96901214</v>
      </c>
      <c r="Y4758" s="40" t="s">
        <v>115</v>
      </c>
      <c r="Z4758" s="40" t="s">
        <v>115</v>
      </c>
      <c r="AA4758" s="40" t="s">
        <v>115</v>
      </c>
      <c r="AB4758" s="40" t="s">
        <v>115</v>
      </c>
      <c r="AC4758" s="40" t="s">
        <v>115</v>
      </c>
      <c r="AI4758" s="40" t="s">
        <v>115</v>
      </c>
      <c r="AP4758" s="4" t="s">
        <v>115</v>
      </c>
    </row>
    <row r="4759" spans="1:42" x14ac:dyDescent="0.15">
      <c r="A4759" s="40" t="s">
        <v>1</v>
      </c>
      <c r="B4759" s="23">
        <v>96901214</v>
      </c>
      <c r="C4759" s="23">
        <v>69012</v>
      </c>
      <c r="D4759" s="6">
        <v>6901</v>
      </c>
      <c r="F4759" s="23" t="s">
        <v>1500</v>
      </c>
      <c r="G4759" s="23" t="s">
        <v>115</v>
      </c>
      <c r="H4759" s="23" t="s">
        <v>1504</v>
      </c>
      <c r="I4759" s="23">
        <v>3</v>
      </c>
      <c r="J4759" s="40">
        <v>0</v>
      </c>
      <c r="K4759" s="40">
        <v>0</v>
      </c>
      <c r="L4759" s="40" t="s">
        <v>115</v>
      </c>
      <c r="O4759" s="40" t="s">
        <v>115</v>
      </c>
      <c r="Q4759" s="40">
        <v>162</v>
      </c>
      <c r="R4759" s="40">
        <v>283</v>
      </c>
      <c r="X4759" s="40">
        <v>96901215</v>
      </c>
      <c r="Y4759" s="40" t="s">
        <v>115</v>
      </c>
      <c r="Z4759" s="40" t="s">
        <v>115</v>
      </c>
      <c r="AA4759" s="40" t="s">
        <v>115</v>
      </c>
      <c r="AB4759" s="40" t="s">
        <v>115</v>
      </c>
      <c r="AC4759" s="40" t="s">
        <v>115</v>
      </c>
      <c r="AI4759" s="40" t="s">
        <v>115</v>
      </c>
      <c r="AP4759" s="4" t="s">
        <v>115</v>
      </c>
    </row>
    <row r="4760" spans="1:42" x14ac:dyDescent="0.15">
      <c r="A4760" s="40" t="s">
        <v>1</v>
      </c>
      <c r="B4760" s="23">
        <v>96901215</v>
      </c>
      <c r="C4760" s="23">
        <v>69012</v>
      </c>
      <c r="D4760" s="6">
        <v>6901</v>
      </c>
      <c r="F4760" s="23" t="s">
        <v>1500</v>
      </c>
      <c r="G4760" s="23" t="s">
        <v>115</v>
      </c>
      <c r="H4760" s="23" t="s">
        <v>1505</v>
      </c>
      <c r="I4760" s="23">
        <v>3</v>
      </c>
      <c r="J4760" s="40">
        <v>0</v>
      </c>
      <c r="K4760" s="40">
        <v>0</v>
      </c>
      <c r="L4760" s="40" t="s">
        <v>115</v>
      </c>
      <c r="O4760" s="40" t="s">
        <v>115</v>
      </c>
      <c r="Q4760" s="40">
        <v>162</v>
      </c>
      <c r="R4760" s="40">
        <v>283</v>
      </c>
      <c r="X4760" s="40">
        <v>96901216</v>
      </c>
      <c r="Y4760" s="40" t="s">
        <v>115</v>
      </c>
      <c r="Z4760" s="40" t="s">
        <v>115</v>
      </c>
      <c r="AA4760" s="40" t="s">
        <v>115</v>
      </c>
      <c r="AB4760" s="40" t="s">
        <v>115</v>
      </c>
      <c r="AC4760" s="40" t="s">
        <v>115</v>
      </c>
      <c r="AI4760" s="40" t="s">
        <v>115</v>
      </c>
      <c r="AP4760" s="4" t="s">
        <v>115</v>
      </c>
    </row>
    <row r="4761" spans="1:42" x14ac:dyDescent="0.15">
      <c r="A4761" s="40" t="s">
        <v>1</v>
      </c>
      <c r="B4761" s="23">
        <v>96901216</v>
      </c>
      <c r="C4761" s="23">
        <v>69012</v>
      </c>
      <c r="D4761" s="6">
        <v>6901</v>
      </c>
      <c r="F4761" s="23" t="s">
        <v>116</v>
      </c>
      <c r="G4761" s="23" t="s">
        <v>115</v>
      </c>
      <c r="H4761" s="23" t="s">
        <v>1506</v>
      </c>
      <c r="I4761" s="23">
        <v>2</v>
      </c>
      <c r="J4761" s="40">
        <v>0</v>
      </c>
      <c r="K4761" s="40">
        <v>0</v>
      </c>
      <c r="L4761" s="40" t="s">
        <v>115</v>
      </c>
      <c r="O4761" s="40" t="s">
        <v>115</v>
      </c>
      <c r="Q4761" s="40">
        <v>162</v>
      </c>
      <c r="R4761" s="40" t="s">
        <v>115</v>
      </c>
      <c r="X4761" s="40">
        <v>96901217</v>
      </c>
      <c r="Y4761" s="40" t="s">
        <v>115</v>
      </c>
      <c r="Z4761" s="40" t="s">
        <v>115</v>
      </c>
      <c r="AA4761" s="40" t="s">
        <v>115</v>
      </c>
      <c r="AB4761" s="40" t="s">
        <v>115</v>
      </c>
      <c r="AC4761" s="40" t="s">
        <v>115</v>
      </c>
      <c r="AI4761" s="40" t="s">
        <v>115</v>
      </c>
      <c r="AP4761" s="4" t="s">
        <v>115</v>
      </c>
    </row>
    <row r="4762" spans="1:42" x14ac:dyDescent="0.15">
      <c r="A4762" s="40" t="s">
        <v>1</v>
      </c>
      <c r="B4762" s="23">
        <v>96901217</v>
      </c>
      <c r="C4762" s="23">
        <v>69012</v>
      </c>
      <c r="D4762" s="6">
        <v>6901</v>
      </c>
      <c r="F4762" s="23" t="s">
        <v>115</v>
      </c>
      <c r="G4762" s="23" t="s">
        <v>115</v>
      </c>
      <c r="H4762" s="23" t="s">
        <v>1507</v>
      </c>
      <c r="I4762" s="23">
        <v>4</v>
      </c>
      <c r="J4762" s="40">
        <v>0</v>
      </c>
      <c r="K4762" s="40">
        <v>0</v>
      </c>
      <c r="L4762" s="40" t="s">
        <v>115</v>
      </c>
      <c r="O4762" s="40" t="s">
        <v>115</v>
      </c>
      <c r="Q4762" s="40">
        <v>162</v>
      </c>
      <c r="R4762" s="40" t="s">
        <v>115</v>
      </c>
      <c r="X4762" s="40">
        <v>96901218</v>
      </c>
      <c r="Y4762" s="40" t="s">
        <v>115</v>
      </c>
      <c r="Z4762" s="40" t="s">
        <v>115</v>
      </c>
      <c r="AA4762" s="40" t="s">
        <v>115</v>
      </c>
      <c r="AB4762" s="40" t="s">
        <v>115</v>
      </c>
      <c r="AC4762" s="40" t="s">
        <v>115</v>
      </c>
      <c r="AI4762" s="40" t="s">
        <v>115</v>
      </c>
      <c r="AP4762" s="4" t="s">
        <v>115</v>
      </c>
    </row>
    <row r="4763" spans="1:42" x14ac:dyDescent="0.15">
      <c r="A4763" s="40" t="s">
        <v>1</v>
      </c>
      <c r="B4763" s="23">
        <v>96901218</v>
      </c>
      <c r="C4763" s="23">
        <v>69012</v>
      </c>
      <c r="D4763" s="6">
        <v>6901</v>
      </c>
      <c r="F4763" s="23" t="s">
        <v>271</v>
      </c>
      <c r="G4763" s="23" t="s">
        <v>115</v>
      </c>
      <c r="H4763" s="23" t="s">
        <v>1508</v>
      </c>
      <c r="I4763" s="23">
        <v>3</v>
      </c>
      <c r="J4763" s="40">
        <v>0</v>
      </c>
      <c r="K4763" s="40">
        <v>0</v>
      </c>
      <c r="L4763" s="40" t="s">
        <v>115</v>
      </c>
      <c r="O4763" s="40" t="s">
        <v>115</v>
      </c>
      <c r="Q4763" s="40">
        <v>162</v>
      </c>
      <c r="R4763" s="40">
        <v>263</v>
      </c>
      <c r="X4763" s="40">
        <v>96901219</v>
      </c>
      <c r="Y4763" s="40" t="s">
        <v>115</v>
      </c>
      <c r="Z4763" s="40" t="s">
        <v>115</v>
      </c>
      <c r="AA4763" s="40" t="s">
        <v>115</v>
      </c>
      <c r="AB4763" s="40" t="s">
        <v>115</v>
      </c>
      <c r="AC4763" s="40" t="s">
        <v>115</v>
      </c>
      <c r="AI4763" s="40" t="s">
        <v>115</v>
      </c>
      <c r="AP4763" s="4" t="s">
        <v>115</v>
      </c>
    </row>
    <row r="4764" spans="1:42" x14ac:dyDescent="0.15">
      <c r="A4764" s="40" t="s">
        <v>1</v>
      </c>
      <c r="B4764" s="23">
        <v>96901219</v>
      </c>
      <c r="C4764" s="23">
        <v>69012</v>
      </c>
      <c r="D4764" s="6">
        <v>6901</v>
      </c>
      <c r="F4764" s="23" t="s">
        <v>271</v>
      </c>
      <c r="G4764" s="23" t="s">
        <v>115</v>
      </c>
      <c r="H4764" s="23" t="s">
        <v>1509</v>
      </c>
      <c r="I4764" s="23">
        <v>3</v>
      </c>
      <c r="J4764" s="40">
        <v>0</v>
      </c>
      <c r="K4764" s="40">
        <v>0</v>
      </c>
      <c r="L4764" s="40" t="s">
        <v>115</v>
      </c>
      <c r="O4764" s="40" t="s">
        <v>115</v>
      </c>
      <c r="Q4764" s="40">
        <v>162</v>
      </c>
      <c r="R4764" s="40">
        <v>263</v>
      </c>
      <c r="X4764" s="40">
        <v>96901220</v>
      </c>
      <c r="Y4764" s="40" t="s">
        <v>115</v>
      </c>
      <c r="Z4764" s="40" t="s">
        <v>115</v>
      </c>
      <c r="AA4764" s="40" t="s">
        <v>115</v>
      </c>
      <c r="AB4764" s="40" t="s">
        <v>115</v>
      </c>
      <c r="AC4764" s="40" t="s">
        <v>115</v>
      </c>
      <c r="AI4764" s="40" t="s">
        <v>115</v>
      </c>
      <c r="AP4764" s="4" t="s">
        <v>115</v>
      </c>
    </row>
    <row r="4765" spans="1:42" x14ac:dyDescent="0.15">
      <c r="A4765" s="40" t="s">
        <v>1</v>
      </c>
      <c r="B4765" s="23">
        <v>96901220</v>
      </c>
      <c r="C4765" s="23">
        <v>69012</v>
      </c>
      <c r="D4765" s="6">
        <v>6901</v>
      </c>
      <c r="F4765" s="23" t="s">
        <v>115</v>
      </c>
      <c r="G4765" s="23" t="s">
        <v>115</v>
      </c>
      <c r="H4765" s="23" t="s">
        <v>1510</v>
      </c>
      <c r="I4765" s="23">
        <v>4</v>
      </c>
      <c r="J4765" s="40">
        <v>0</v>
      </c>
      <c r="K4765" s="40">
        <v>0</v>
      </c>
      <c r="L4765" s="40" t="s">
        <v>115</v>
      </c>
      <c r="O4765" s="40" t="s">
        <v>115</v>
      </c>
      <c r="Q4765" s="40">
        <v>162</v>
      </c>
      <c r="R4765" s="40" t="s">
        <v>115</v>
      </c>
      <c r="X4765" s="40">
        <v>96901221</v>
      </c>
      <c r="Y4765" s="40" t="s">
        <v>115</v>
      </c>
      <c r="Z4765" s="40" t="s">
        <v>115</v>
      </c>
      <c r="AA4765" s="40" t="s">
        <v>115</v>
      </c>
      <c r="AB4765" s="40" t="s">
        <v>115</v>
      </c>
      <c r="AC4765" s="40" t="s">
        <v>115</v>
      </c>
      <c r="AI4765" s="40" t="s">
        <v>115</v>
      </c>
      <c r="AP4765" s="4" t="s">
        <v>115</v>
      </c>
    </row>
    <row r="4766" spans="1:42" x14ac:dyDescent="0.15">
      <c r="A4766" s="40" t="s">
        <v>1</v>
      </c>
      <c r="B4766" s="23">
        <v>96901221</v>
      </c>
      <c r="C4766" s="23">
        <v>69012</v>
      </c>
      <c r="D4766" s="6">
        <v>6901</v>
      </c>
      <c r="F4766" s="23" t="s">
        <v>116</v>
      </c>
      <c r="G4766" s="23" t="s">
        <v>115</v>
      </c>
      <c r="H4766" s="23" t="s">
        <v>1511</v>
      </c>
      <c r="I4766" s="23">
        <v>0</v>
      </c>
      <c r="J4766" s="40">
        <v>0</v>
      </c>
      <c r="K4766" s="40">
        <v>0</v>
      </c>
      <c r="L4766" s="40" t="s">
        <v>115</v>
      </c>
      <c r="O4766" s="40" t="s">
        <v>115</v>
      </c>
      <c r="Q4766" s="40">
        <v>162</v>
      </c>
      <c r="R4766" s="40" t="s">
        <v>115</v>
      </c>
      <c r="X4766" s="40">
        <v>96901222</v>
      </c>
      <c r="Y4766" s="40" t="s">
        <v>115</v>
      </c>
      <c r="Z4766" s="40" t="s">
        <v>115</v>
      </c>
      <c r="AA4766" s="40" t="s">
        <v>115</v>
      </c>
      <c r="AB4766" s="40" t="s">
        <v>115</v>
      </c>
      <c r="AC4766" s="40" t="s">
        <v>115</v>
      </c>
      <c r="AI4766" s="40" t="s">
        <v>115</v>
      </c>
      <c r="AP4766" s="4" t="s">
        <v>115</v>
      </c>
    </row>
    <row r="4767" spans="1:42" x14ac:dyDescent="0.15">
      <c r="A4767" s="40" t="s">
        <v>1</v>
      </c>
      <c r="B4767" s="23">
        <v>96901222</v>
      </c>
      <c r="C4767" s="23">
        <v>69012</v>
      </c>
      <c r="D4767" s="6">
        <v>6901</v>
      </c>
      <c r="F4767" s="23" t="s">
        <v>271</v>
      </c>
      <c r="G4767" s="23" t="s">
        <v>115</v>
      </c>
      <c r="H4767" s="23" t="s">
        <v>1512</v>
      </c>
      <c r="I4767" s="23">
        <v>3</v>
      </c>
      <c r="J4767" s="40">
        <v>0</v>
      </c>
      <c r="K4767" s="40">
        <v>0</v>
      </c>
      <c r="L4767" s="40" t="s">
        <v>115</v>
      </c>
      <c r="O4767" s="40" t="s">
        <v>115</v>
      </c>
      <c r="Q4767" s="40">
        <v>162</v>
      </c>
      <c r="R4767" s="40">
        <v>263</v>
      </c>
      <c r="X4767" s="40">
        <v>96901223</v>
      </c>
      <c r="Y4767" s="40" t="s">
        <v>115</v>
      </c>
      <c r="Z4767" s="40" t="s">
        <v>115</v>
      </c>
      <c r="AA4767" s="40" t="s">
        <v>115</v>
      </c>
      <c r="AB4767" s="40" t="s">
        <v>115</v>
      </c>
      <c r="AC4767" s="40" t="s">
        <v>115</v>
      </c>
      <c r="AI4767" s="40" t="s">
        <v>115</v>
      </c>
      <c r="AP4767" s="4" t="s">
        <v>115</v>
      </c>
    </row>
    <row r="4768" spans="1:42" x14ac:dyDescent="0.15">
      <c r="A4768" s="40" t="s">
        <v>1</v>
      </c>
      <c r="B4768" s="23">
        <v>96901223</v>
      </c>
      <c r="C4768" s="23">
        <v>69012</v>
      </c>
      <c r="D4768" s="6">
        <v>6901</v>
      </c>
      <c r="F4768" s="23" t="s">
        <v>271</v>
      </c>
      <c r="G4768" s="23" t="s">
        <v>115</v>
      </c>
      <c r="H4768" s="23" t="s">
        <v>1513</v>
      </c>
      <c r="I4768" s="23">
        <v>3</v>
      </c>
      <c r="J4768" s="40">
        <v>0</v>
      </c>
      <c r="K4768" s="40">
        <v>0</v>
      </c>
      <c r="L4768" s="40" t="s">
        <v>115</v>
      </c>
      <c r="O4768" s="40" t="s">
        <v>115</v>
      </c>
      <c r="Q4768" s="40">
        <v>162</v>
      </c>
      <c r="R4768" s="40">
        <v>263</v>
      </c>
      <c r="X4768" s="40">
        <v>96901224</v>
      </c>
      <c r="Y4768" s="40" t="s">
        <v>115</v>
      </c>
      <c r="Z4768" s="40" t="s">
        <v>115</v>
      </c>
      <c r="AA4768" s="40" t="s">
        <v>115</v>
      </c>
      <c r="AB4768" s="40" t="s">
        <v>115</v>
      </c>
      <c r="AC4768" s="40" t="s">
        <v>115</v>
      </c>
      <c r="AI4768" s="40" t="s">
        <v>115</v>
      </c>
      <c r="AP4768" s="4" t="s">
        <v>115</v>
      </c>
    </row>
    <row r="4769" spans="1:42" x14ac:dyDescent="0.15">
      <c r="A4769" s="40" t="s">
        <v>1</v>
      </c>
      <c r="B4769" s="23">
        <v>96901224</v>
      </c>
      <c r="C4769" s="23">
        <v>69012</v>
      </c>
      <c r="D4769" s="6">
        <v>6901</v>
      </c>
      <c r="F4769" s="23" t="s">
        <v>116</v>
      </c>
      <c r="G4769" s="23" t="s">
        <v>115</v>
      </c>
      <c r="H4769" s="23" t="s">
        <v>1514</v>
      </c>
      <c r="I4769" s="23">
        <v>0</v>
      </c>
      <c r="J4769" s="40">
        <v>0</v>
      </c>
      <c r="K4769" s="40">
        <v>0</v>
      </c>
      <c r="L4769" s="40" t="s">
        <v>115</v>
      </c>
      <c r="O4769" s="40" t="s">
        <v>115</v>
      </c>
      <c r="Q4769" s="40">
        <v>162</v>
      </c>
      <c r="R4769" s="40">
        <v>263</v>
      </c>
      <c r="X4769" s="40">
        <v>96901225</v>
      </c>
      <c r="Y4769" s="40" t="s">
        <v>115</v>
      </c>
      <c r="Z4769" s="40" t="s">
        <v>115</v>
      </c>
      <c r="AA4769" s="40" t="s">
        <v>115</v>
      </c>
      <c r="AB4769" s="40" t="s">
        <v>115</v>
      </c>
      <c r="AC4769" s="40" t="s">
        <v>115</v>
      </c>
      <c r="AI4769" s="40" t="s">
        <v>115</v>
      </c>
      <c r="AP4769" s="4" t="s">
        <v>115</v>
      </c>
    </row>
    <row r="4770" spans="1:42" x14ac:dyDescent="0.15">
      <c r="A4770" s="40" t="s">
        <v>1</v>
      </c>
      <c r="B4770" s="23">
        <v>96901225</v>
      </c>
      <c r="C4770" s="23">
        <v>69012</v>
      </c>
      <c r="D4770" s="6">
        <v>6901</v>
      </c>
      <c r="F4770" s="23" t="s">
        <v>271</v>
      </c>
      <c r="G4770" s="23" t="s">
        <v>115</v>
      </c>
      <c r="H4770" s="23" t="s">
        <v>1515</v>
      </c>
      <c r="I4770" s="23">
        <v>3</v>
      </c>
      <c r="J4770" s="40">
        <v>0</v>
      </c>
      <c r="K4770" s="40">
        <v>0</v>
      </c>
      <c r="L4770" s="40" t="s">
        <v>115</v>
      </c>
      <c r="O4770" s="40" t="s">
        <v>115</v>
      </c>
      <c r="Q4770" s="40">
        <v>162</v>
      </c>
      <c r="R4770" s="40">
        <v>263</v>
      </c>
      <c r="X4770" s="40">
        <v>96901226</v>
      </c>
      <c r="Y4770" s="40" t="s">
        <v>115</v>
      </c>
      <c r="Z4770" s="40" t="s">
        <v>115</v>
      </c>
      <c r="AA4770" s="40" t="s">
        <v>115</v>
      </c>
      <c r="AB4770" s="40" t="s">
        <v>115</v>
      </c>
      <c r="AC4770" s="40" t="s">
        <v>115</v>
      </c>
      <c r="AI4770" s="40" t="s">
        <v>115</v>
      </c>
      <c r="AP4770" s="4" t="s">
        <v>115</v>
      </c>
    </row>
    <row r="4771" spans="1:42" x14ac:dyDescent="0.15">
      <c r="A4771" s="40" t="s">
        <v>1</v>
      </c>
      <c r="B4771" s="23">
        <v>96901226</v>
      </c>
      <c r="C4771" s="23">
        <v>69012</v>
      </c>
      <c r="D4771" s="6">
        <v>6901</v>
      </c>
      <c r="F4771" s="23" t="s">
        <v>116</v>
      </c>
      <c r="G4771" s="23" t="s">
        <v>115</v>
      </c>
      <c r="H4771" s="23" t="s">
        <v>1024</v>
      </c>
      <c r="I4771" s="23">
        <v>0</v>
      </c>
      <c r="J4771" s="40">
        <v>0</v>
      </c>
      <c r="K4771" s="40">
        <v>0</v>
      </c>
      <c r="L4771" s="40" t="s">
        <v>115</v>
      </c>
      <c r="O4771" s="40" t="s">
        <v>115</v>
      </c>
      <c r="Q4771" s="40">
        <v>162</v>
      </c>
      <c r="R4771" s="40">
        <v>263</v>
      </c>
      <c r="X4771" s="40">
        <v>96901227</v>
      </c>
      <c r="Y4771" s="40" t="s">
        <v>115</v>
      </c>
      <c r="Z4771" s="40" t="s">
        <v>115</v>
      </c>
      <c r="AA4771" s="40" t="s">
        <v>115</v>
      </c>
      <c r="AB4771" s="40" t="s">
        <v>115</v>
      </c>
      <c r="AC4771" s="40" t="s">
        <v>115</v>
      </c>
      <c r="AI4771" s="40" t="s">
        <v>115</v>
      </c>
      <c r="AP4771" s="4" t="s">
        <v>115</v>
      </c>
    </row>
    <row r="4772" spans="1:42" x14ac:dyDescent="0.15">
      <c r="A4772" s="40" t="s">
        <v>1</v>
      </c>
      <c r="B4772" s="23">
        <v>96901227</v>
      </c>
      <c r="C4772" s="23">
        <v>69012</v>
      </c>
      <c r="D4772" s="6">
        <v>6901</v>
      </c>
      <c r="F4772" s="23" t="s">
        <v>271</v>
      </c>
      <c r="G4772" s="23" t="s">
        <v>115</v>
      </c>
      <c r="H4772" s="23" t="s">
        <v>1516</v>
      </c>
      <c r="I4772" s="23">
        <v>3</v>
      </c>
      <c r="J4772" s="40">
        <v>0</v>
      </c>
      <c r="K4772" s="40">
        <v>0</v>
      </c>
      <c r="L4772" s="40" t="s">
        <v>115</v>
      </c>
      <c r="O4772" s="40" t="s">
        <v>115</v>
      </c>
      <c r="Q4772" s="40">
        <v>162</v>
      </c>
      <c r="R4772" s="40">
        <v>263</v>
      </c>
      <c r="X4772" s="40">
        <v>96901228</v>
      </c>
      <c r="Y4772" s="40" t="s">
        <v>115</v>
      </c>
      <c r="Z4772" s="40" t="s">
        <v>115</v>
      </c>
      <c r="AA4772" s="40" t="s">
        <v>115</v>
      </c>
      <c r="AB4772" s="40" t="s">
        <v>115</v>
      </c>
      <c r="AC4772" s="40" t="s">
        <v>115</v>
      </c>
      <c r="AI4772" s="40" t="s">
        <v>115</v>
      </c>
      <c r="AP4772" s="4" t="s">
        <v>115</v>
      </c>
    </row>
    <row r="4773" spans="1:42" x14ac:dyDescent="0.15">
      <c r="A4773" s="40" t="s">
        <v>1</v>
      </c>
      <c r="B4773" s="23">
        <v>96901228</v>
      </c>
      <c r="C4773" s="23">
        <v>69012</v>
      </c>
      <c r="D4773" s="6">
        <v>6901</v>
      </c>
      <c r="F4773" s="23" t="s">
        <v>116</v>
      </c>
      <c r="G4773" s="23" t="s">
        <v>115</v>
      </c>
      <c r="H4773" s="23" t="s">
        <v>1517</v>
      </c>
      <c r="I4773" s="23">
        <v>0</v>
      </c>
      <c r="J4773" s="40">
        <v>0</v>
      </c>
      <c r="K4773" s="40">
        <v>0</v>
      </c>
      <c r="L4773" s="40" t="s">
        <v>115</v>
      </c>
      <c r="O4773" s="40" t="s">
        <v>115</v>
      </c>
      <c r="Q4773" s="40">
        <v>162</v>
      </c>
      <c r="R4773" s="40">
        <v>263</v>
      </c>
      <c r="X4773" s="40">
        <v>96901229</v>
      </c>
      <c r="Y4773" s="40" t="s">
        <v>115</v>
      </c>
      <c r="Z4773" s="40" t="s">
        <v>115</v>
      </c>
      <c r="AA4773" s="40" t="s">
        <v>115</v>
      </c>
      <c r="AB4773" s="40" t="s">
        <v>115</v>
      </c>
      <c r="AC4773" s="40" t="s">
        <v>115</v>
      </c>
      <c r="AI4773" s="40" t="s">
        <v>115</v>
      </c>
      <c r="AP4773" s="4" t="s">
        <v>115</v>
      </c>
    </row>
    <row r="4774" spans="1:42" x14ac:dyDescent="0.15">
      <c r="A4774" s="40" t="s">
        <v>1</v>
      </c>
      <c r="B4774" s="23">
        <v>96901229</v>
      </c>
      <c r="C4774" s="23">
        <v>69012</v>
      </c>
      <c r="D4774" s="6">
        <v>6901</v>
      </c>
      <c r="F4774" s="23" t="s">
        <v>271</v>
      </c>
      <c r="G4774" s="23" t="s">
        <v>115</v>
      </c>
      <c r="H4774" s="23" t="s">
        <v>1518</v>
      </c>
      <c r="I4774" s="23">
        <v>3</v>
      </c>
      <c r="J4774" s="40">
        <v>0</v>
      </c>
      <c r="K4774" s="40">
        <v>0</v>
      </c>
      <c r="L4774" s="40" t="s">
        <v>115</v>
      </c>
      <c r="O4774" s="40" t="s">
        <v>115</v>
      </c>
      <c r="Q4774" s="40">
        <v>162</v>
      </c>
      <c r="R4774" s="40">
        <v>263</v>
      </c>
      <c r="X4774" s="40">
        <v>96901230</v>
      </c>
      <c r="Y4774" s="40" t="s">
        <v>115</v>
      </c>
      <c r="Z4774" s="40" t="s">
        <v>115</v>
      </c>
      <c r="AA4774" s="40" t="s">
        <v>115</v>
      </c>
      <c r="AB4774" s="40" t="s">
        <v>115</v>
      </c>
      <c r="AC4774" s="40" t="s">
        <v>115</v>
      </c>
      <c r="AI4774" s="40" t="s">
        <v>115</v>
      </c>
      <c r="AP4774" s="4" t="s">
        <v>115</v>
      </c>
    </row>
    <row r="4775" spans="1:42" x14ac:dyDescent="0.15">
      <c r="A4775" s="40" t="s">
        <v>1</v>
      </c>
      <c r="B4775" s="23">
        <v>96901230</v>
      </c>
      <c r="C4775" s="23">
        <v>69012</v>
      </c>
      <c r="D4775" s="6">
        <v>6901</v>
      </c>
      <c r="F4775" s="23" t="s">
        <v>271</v>
      </c>
      <c r="G4775" s="23" t="s">
        <v>115</v>
      </c>
      <c r="H4775" s="23" t="s">
        <v>1519</v>
      </c>
      <c r="I4775" s="23">
        <v>3</v>
      </c>
      <c r="J4775" s="40">
        <v>0</v>
      </c>
      <c r="K4775" s="40">
        <v>0</v>
      </c>
      <c r="L4775" s="40" t="s">
        <v>115</v>
      </c>
      <c r="O4775" s="40" t="s">
        <v>115</v>
      </c>
      <c r="Q4775" s="40">
        <v>162</v>
      </c>
      <c r="R4775" s="40">
        <v>263</v>
      </c>
      <c r="X4775" s="40">
        <v>96901231</v>
      </c>
      <c r="Y4775" s="40" t="s">
        <v>115</v>
      </c>
      <c r="Z4775" s="40" t="s">
        <v>115</v>
      </c>
      <c r="AA4775" s="40" t="s">
        <v>115</v>
      </c>
      <c r="AB4775" s="40" t="s">
        <v>115</v>
      </c>
      <c r="AC4775" s="40" t="s">
        <v>115</v>
      </c>
      <c r="AI4775" s="40" t="s">
        <v>115</v>
      </c>
      <c r="AP4775" s="4" t="s">
        <v>115</v>
      </c>
    </row>
    <row r="4776" spans="1:42" x14ac:dyDescent="0.15">
      <c r="A4776" s="40" t="s">
        <v>1</v>
      </c>
      <c r="B4776" s="23">
        <v>96901231</v>
      </c>
      <c r="C4776" s="23">
        <v>69012</v>
      </c>
      <c r="D4776" s="6">
        <v>6901</v>
      </c>
      <c r="F4776" s="23" t="s">
        <v>116</v>
      </c>
      <c r="G4776" s="23" t="s">
        <v>115</v>
      </c>
      <c r="H4776" s="23" t="s">
        <v>1520</v>
      </c>
      <c r="I4776" s="23">
        <v>0</v>
      </c>
      <c r="J4776" s="40">
        <v>0</v>
      </c>
      <c r="K4776" s="40">
        <v>0</v>
      </c>
      <c r="L4776" s="40" t="s">
        <v>115</v>
      </c>
      <c r="O4776" s="40" t="s">
        <v>115</v>
      </c>
      <c r="Q4776" s="40">
        <v>162</v>
      </c>
      <c r="R4776" s="40" t="s">
        <v>115</v>
      </c>
      <c r="X4776" s="40">
        <v>96901232</v>
      </c>
      <c r="Y4776" s="40" t="s">
        <v>115</v>
      </c>
      <c r="Z4776" s="40" t="s">
        <v>115</v>
      </c>
      <c r="AA4776" s="40" t="s">
        <v>115</v>
      </c>
      <c r="AB4776" s="40" t="s">
        <v>115</v>
      </c>
      <c r="AC4776" s="40" t="s">
        <v>115</v>
      </c>
      <c r="AI4776" s="40" t="s">
        <v>115</v>
      </c>
      <c r="AP4776" s="4" t="s">
        <v>115</v>
      </c>
    </row>
    <row r="4777" spans="1:42" x14ac:dyDescent="0.15">
      <c r="A4777" s="40" t="s">
        <v>1</v>
      </c>
      <c r="B4777" s="23">
        <v>96901232</v>
      </c>
      <c r="C4777" s="23">
        <v>69012</v>
      </c>
      <c r="D4777" s="6">
        <v>6901</v>
      </c>
      <c r="F4777" s="23" t="s">
        <v>115</v>
      </c>
      <c r="G4777" s="23" t="s">
        <v>115</v>
      </c>
      <c r="H4777" s="23" t="s">
        <v>1521</v>
      </c>
      <c r="I4777" s="23">
        <v>4</v>
      </c>
      <c r="J4777" s="40">
        <v>0</v>
      </c>
      <c r="K4777" s="40">
        <v>0</v>
      </c>
      <c r="L4777" s="40" t="s">
        <v>115</v>
      </c>
      <c r="O4777" s="40" t="s">
        <v>115</v>
      </c>
      <c r="Q4777" s="40">
        <v>162</v>
      </c>
      <c r="R4777" s="40" t="s">
        <v>115</v>
      </c>
      <c r="X4777" s="40">
        <v>96901233</v>
      </c>
      <c r="Y4777" s="40" t="s">
        <v>115</v>
      </c>
      <c r="Z4777" s="40" t="s">
        <v>115</v>
      </c>
      <c r="AA4777" s="40" t="s">
        <v>115</v>
      </c>
      <c r="AB4777" s="40" t="s">
        <v>115</v>
      </c>
      <c r="AC4777" s="40" t="s">
        <v>115</v>
      </c>
      <c r="AI4777" s="40" t="s">
        <v>115</v>
      </c>
      <c r="AP4777" s="4" t="s">
        <v>115</v>
      </c>
    </row>
    <row r="4778" spans="1:42" x14ac:dyDescent="0.15">
      <c r="A4778" s="40" t="s">
        <v>1</v>
      </c>
      <c r="B4778" s="23">
        <v>96901233</v>
      </c>
      <c r="C4778" s="23">
        <v>69012</v>
      </c>
      <c r="D4778" s="6">
        <v>6901</v>
      </c>
      <c r="F4778" s="23" t="s">
        <v>115</v>
      </c>
      <c r="G4778" s="23" t="s">
        <v>115</v>
      </c>
      <c r="H4778" s="23" t="s">
        <v>1522</v>
      </c>
      <c r="I4778" s="23">
        <v>4</v>
      </c>
      <c r="J4778" s="40">
        <v>0</v>
      </c>
      <c r="K4778" s="40">
        <v>0</v>
      </c>
      <c r="L4778" s="40" t="s">
        <v>115</v>
      </c>
      <c r="O4778" s="40" t="s">
        <v>115</v>
      </c>
      <c r="Q4778" s="40">
        <v>162</v>
      </c>
      <c r="R4778" s="40" t="s">
        <v>115</v>
      </c>
      <c r="X4778" s="40">
        <v>96901234</v>
      </c>
      <c r="Y4778" s="40" t="s">
        <v>115</v>
      </c>
      <c r="Z4778" s="40" t="s">
        <v>115</v>
      </c>
      <c r="AA4778" s="40" t="s">
        <v>115</v>
      </c>
      <c r="AB4778" s="40" t="s">
        <v>115</v>
      </c>
      <c r="AC4778" s="40" t="s">
        <v>115</v>
      </c>
      <c r="AI4778" s="40" t="s">
        <v>115</v>
      </c>
      <c r="AP4778" s="4" t="s">
        <v>115</v>
      </c>
    </row>
    <row r="4779" spans="1:42" x14ac:dyDescent="0.15">
      <c r="A4779" s="40" t="s">
        <v>1</v>
      </c>
      <c r="B4779" s="23">
        <v>96901234</v>
      </c>
      <c r="C4779" s="23">
        <v>69012</v>
      </c>
      <c r="D4779" s="6">
        <v>6901</v>
      </c>
      <c r="F4779" s="23" t="s">
        <v>115</v>
      </c>
      <c r="G4779" s="23" t="s">
        <v>115</v>
      </c>
      <c r="H4779" s="23" t="s">
        <v>1523</v>
      </c>
      <c r="I4779" s="23">
        <v>4</v>
      </c>
      <c r="J4779" s="40">
        <v>0</v>
      </c>
      <c r="K4779" s="40">
        <v>0</v>
      </c>
      <c r="L4779" s="40" t="s">
        <v>115</v>
      </c>
      <c r="O4779" s="40" t="s">
        <v>115</v>
      </c>
      <c r="Q4779" s="40">
        <v>138</v>
      </c>
      <c r="R4779" s="40" t="s">
        <v>115</v>
      </c>
      <c r="X4779" s="40">
        <v>96901235</v>
      </c>
      <c r="Y4779" s="40" t="s">
        <v>115</v>
      </c>
      <c r="Z4779" s="40" t="s">
        <v>115</v>
      </c>
      <c r="AA4779" s="40" t="s">
        <v>115</v>
      </c>
      <c r="AB4779" s="40" t="s">
        <v>115</v>
      </c>
      <c r="AC4779" s="40" t="s">
        <v>115</v>
      </c>
      <c r="AI4779" s="40" t="s">
        <v>115</v>
      </c>
      <c r="AP4779" s="4" t="s">
        <v>115</v>
      </c>
    </row>
    <row r="4780" spans="1:42" x14ac:dyDescent="0.15">
      <c r="A4780" s="40" t="s">
        <v>1</v>
      </c>
      <c r="B4780" s="23">
        <v>96901235</v>
      </c>
      <c r="C4780" s="23">
        <v>69012</v>
      </c>
      <c r="D4780" s="6">
        <v>6901</v>
      </c>
      <c r="F4780" s="23" t="s">
        <v>115</v>
      </c>
      <c r="G4780" s="23" t="s">
        <v>115</v>
      </c>
      <c r="H4780" s="23" t="s">
        <v>1524</v>
      </c>
      <c r="I4780" s="23">
        <v>4</v>
      </c>
      <c r="J4780" s="40">
        <v>0</v>
      </c>
      <c r="K4780" s="40">
        <v>0</v>
      </c>
      <c r="L4780" s="40" t="s">
        <v>115</v>
      </c>
      <c r="O4780" s="40" t="s">
        <v>115</v>
      </c>
      <c r="Q4780" s="40">
        <v>138</v>
      </c>
      <c r="R4780" s="40" t="s">
        <v>115</v>
      </c>
      <c r="X4780" s="40">
        <v>96901236</v>
      </c>
      <c r="Y4780" s="40" t="s">
        <v>115</v>
      </c>
      <c r="Z4780" s="40" t="s">
        <v>115</v>
      </c>
      <c r="AA4780" s="40" t="s">
        <v>115</v>
      </c>
      <c r="AB4780" s="40" t="s">
        <v>115</v>
      </c>
      <c r="AC4780" s="40" t="s">
        <v>115</v>
      </c>
      <c r="AI4780" s="40" t="s">
        <v>115</v>
      </c>
      <c r="AP4780" s="4" t="s">
        <v>115</v>
      </c>
    </row>
    <row r="4781" spans="1:42" x14ac:dyDescent="0.15">
      <c r="A4781" s="40" t="s">
        <v>1</v>
      </c>
      <c r="B4781" s="23">
        <v>96901236</v>
      </c>
      <c r="C4781" s="23">
        <v>69012</v>
      </c>
      <c r="D4781" s="6">
        <v>6901</v>
      </c>
      <c r="F4781" s="23" t="s">
        <v>115</v>
      </c>
      <c r="G4781" s="23" t="s">
        <v>115</v>
      </c>
      <c r="H4781" s="23" t="s">
        <v>1525</v>
      </c>
      <c r="I4781" s="23">
        <v>4</v>
      </c>
      <c r="J4781" s="40">
        <v>0</v>
      </c>
      <c r="K4781" s="40">
        <v>0</v>
      </c>
      <c r="L4781" s="40" t="s">
        <v>115</v>
      </c>
      <c r="O4781" s="40" t="s">
        <v>115</v>
      </c>
      <c r="Q4781" s="40">
        <v>138</v>
      </c>
      <c r="R4781" s="40" t="s">
        <v>115</v>
      </c>
      <c r="X4781" s="40">
        <v>96901237</v>
      </c>
      <c r="Y4781" s="40" t="s">
        <v>115</v>
      </c>
      <c r="Z4781" s="40" t="s">
        <v>115</v>
      </c>
      <c r="AA4781" s="40" t="s">
        <v>115</v>
      </c>
      <c r="AB4781" s="40" t="s">
        <v>115</v>
      </c>
      <c r="AC4781" s="40" t="s">
        <v>115</v>
      </c>
      <c r="AI4781" s="40" t="s">
        <v>115</v>
      </c>
      <c r="AP4781" s="4" t="s">
        <v>115</v>
      </c>
    </row>
    <row r="4782" spans="1:42" x14ac:dyDescent="0.15">
      <c r="A4782" s="40" t="s">
        <v>1</v>
      </c>
      <c r="B4782" s="23">
        <v>96901237</v>
      </c>
      <c r="C4782" s="23">
        <v>69012</v>
      </c>
      <c r="D4782" s="6">
        <v>6901</v>
      </c>
      <c r="F4782" s="23" t="s">
        <v>115</v>
      </c>
      <c r="G4782" s="23" t="s">
        <v>115</v>
      </c>
      <c r="H4782" s="23" t="s">
        <v>1526</v>
      </c>
      <c r="I4782" s="23">
        <v>4</v>
      </c>
      <c r="J4782" s="40">
        <v>0</v>
      </c>
      <c r="K4782" s="40">
        <v>2</v>
      </c>
      <c r="L4782" s="40" t="s">
        <v>115</v>
      </c>
      <c r="O4782" s="40">
        <v>1</v>
      </c>
      <c r="Q4782" s="40">
        <v>138</v>
      </c>
      <c r="R4782" s="40" t="s">
        <v>115</v>
      </c>
      <c r="X4782" s="40" t="s">
        <v>115</v>
      </c>
      <c r="Y4782" s="40" t="s">
        <v>115</v>
      </c>
      <c r="Z4782" s="40">
        <v>1</v>
      </c>
      <c r="AA4782" s="40" t="s">
        <v>115</v>
      </c>
      <c r="AB4782" s="40" t="s">
        <v>115</v>
      </c>
      <c r="AC4782" s="40" t="s">
        <v>115</v>
      </c>
      <c r="AI4782" s="40" t="s">
        <v>115</v>
      </c>
      <c r="AP4782" s="40">
        <v>-1</v>
      </c>
    </row>
    <row r="4783" spans="1:42" x14ac:dyDescent="0.15">
      <c r="B4783" s="23" t="s">
        <v>115</v>
      </c>
      <c r="C4783" s="23" t="s">
        <v>115</v>
      </c>
      <c r="D4783" s="6"/>
      <c r="X4783" s="40" t="s">
        <v>115</v>
      </c>
      <c r="AP4783" s="4" t="s">
        <v>115</v>
      </c>
    </row>
    <row r="4784" spans="1:42" x14ac:dyDescent="0.15">
      <c r="A4784" s="40" t="s">
        <v>1</v>
      </c>
      <c r="B4784" s="23">
        <v>96902101</v>
      </c>
      <c r="C4784" s="23">
        <v>69021</v>
      </c>
      <c r="D4784" s="6">
        <v>6902</v>
      </c>
      <c r="F4784" s="23" t="s">
        <v>115</v>
      </c>
      <c r="G4784" s="23" t="s">
        <v>115</v>
      </c>
      <c r="H4784" s="23" t="s">
        <v>1735</v>
      </c>
      <c r="I4784" s="23">
        <v>4</v>
      </c>
      <c r="J4784" s="40">
        <v>1</v>
      </c>
      <c r="K4784" s="40">
        <v>1</v>
      </c>
      <c r="L4784" s="40" t="s">
        <v>115</v>
      </c>
      <c r="O4784" s="40" t="s">
        <v>115</v>
      </c>
      <c r="Q4784" s="40">
        <v>189</v>
      </c>
      <c r="R4784" s="40" t="s">
        <v>115</v>
      </c>
      <c r="X4784" s="40">
        <v>96902102</v>
      </c>
      <c r="Y4784" s="40" t="s">
        <v>115</v>
      </c>
      <c r="Z4784" s="40" t="s">
        <v>115</v>
      </c>
      <c r="AA4784" s="40" t="s">
        <v>115</v>
      </c>
      <c r="AB4784" s="40" t="s">
        <v>115</v>
      </c>
      <c r="AC4784" s="40" t="s">
        <v>115</v>
      </c>
      <c r="AI4784" s="40" t="s">
        <v>115</v>
      </c>
      <c r="AP4784" s="4" t="s">
        <v>115</v>
      </c>
    </row>
    <row r="4785" spans="1:42" x14ac:dyDescent="0.15">
      <c r="A4785" s="40" t="s">
        <v>1</v>
      </c>
      <c r="B4785" s="23">
        <v>96902102</v>
      </c>
      <c r="C4785" s="23">
        <v>69021</v>
      </c>
      <c r="D4785" s="6">
        <v>6902</v>
      </c>
      <c r="F4785" s="23" t="s">
        <v>115</v>
      </c>
      <c r="G4785" s="23" t="s">
        <v>115</v>
      </c>
      <c r="H4785" s="23" t="s">
        <v>1736</v>
      </c>
      <c r="I4785" s="23">
        <v>4</v>
      </c>
      <c r="J4785" s="40">
        <v>0</v>
      </c>
      <c r="K4785" s="40">
        <v>0</v>
      </c>
      <c r="L4785" s="40" t="s">
        <v>115</v>
      </c>
      <c r="O4785" s="40" t="s">
        <v>115</v>
      </c>
      <c r="Q4785" s="40">
        <v>189</v>
      </c>
      <c r="R4785" s="40" t="s">
        <v>115</v>
      </c>
      <c r="X4785" s="40">
        <v>96902103</v>
      </c>
      <c r="Y4785" s="40" t="s">
        <v>115</v>
      </c>
      <c r="Z4785" s="40" t="s">
        <v>115</v>
      </c>
      <c r="AA4785" s="40" t="s">
        <v>115</v>
      </c>
      <c r="AB4785" s="40" t="s">
        <v>115</v>
      </c>
      <c r="AC4785" s="40" t="s">
        <v>115</v>
      </c>
      <c r="AI4785" s="40" t="s">
        <v>115</v>
      </c>
      <c r="AP4785" s="4" t="s">
        <v>115</v>
      </c>
    </row>
    <row r="4786" spans="1:42" x14ac:dyDescent="0.15">
      <c r="A4786" s="40" t="s">
        <v>1</v>
      </c>
      <c r="B4786" s="23">
        <v>96902103</v>
      </c>
      <c r="C4786" s="23">
        <v>69021</v>
      </c>
      <c r="D4786" s="6">
        <v>6902</v>
      </c>
      <c r="F4786" s="23" t="s">
        <v>1064</v>
      </c>
      <c r="G4786" s="23" t="s">
        <v>115</v>
      </c>
      <c r="H4786" s="23" t="s">
        <v>1737</v>
      </c>
      <c r="I4786" s="23">
        <v>3</v>
      </c>
      <c r="J4786" s="40">
        <v>0</v>
      </c>
      <c r="K4786" s="40">
        <v>0</v>
      </c>
      <c r="L4786" s="40" t="s">
        <v>115</v>
      </c>
      <c r="O4786" s="40" t="s">
        <v>115</v>
      </c>
      <c r="Q4786" s="40">
        <v>189</v>
      </c>
      <c r="R4786" s="40">
        <v>286</v>
      </c>
      <c r="X4786" s="40">
        <v>96902104</v>
      </c>
      <c r="Y4786" s="40" t="s">
        <v>115</v>
      </c>
      <c r="Z4786" s="40" t="s">
        <v>115</v>
      </c>
      <c r="AA4786" s="40" t="s">
        <v>115</v>
      </c>
      <c r="AB4786" s="40" t="s">
        <v>115</v>
      </c>
      <c r="AC4786" s="40" t="s">
        <v>115</v>
      </c>
      <c r="AI4786" s="40" t="s">
        <v>115</v>
      </c>
      <c r="AP4786" s="4" t="s">
        <v>115</v>
      </c>
    </row>
    <row r="4787" spans="1:42" x14ac:dyDescent="0.15">
      <c r="A4787" s="40" t="s">
        <v>1</v>
      </c>
      <c r="B4787" s="23">
        <v>96902104</v>
      </c>
      <c r="C4787" s="23">
        <v>69021</v>
      </c>
      <c r="D4787" s="6">
        <v>6902</v>
      </c>
      <c r="F4787" s="23" t="s">
        <v>116</v>
      </c>
      <c r="G4787" s="23">
        <v>275</v>
      </c>
      <c r="H4787" s="23" t="s">
        <v>1738</v>
      </c>
      <c r="I4787" s="23">
        <v>0</v>
      </c>
      <c r="J4787" s="40">
        <v>0</v>
      </c>
      <c r="K4787" s="40">
        <v>0</v>
      </c>
      <c r="L4787" s="40" t="s">
        <v>115</v>
      </c>
      <c r="O4787" s="40" t="s">
        <v>115</v>
      </c>
      <c r="Q4787" s="40">
        <v>189</v>
      </c>
      <c r="R4787" s="40">
        <v>286</v>
      </c>
      <c r="X4787" s="40">
        <v>96902105</v>
      </c>
      <c r="Y4787" s="40" t="s">
        <v>115</v>
      </c>
      <c r="Z4787" s="40" t="s">
        <v>115</v>
      </c>
      <c r="AA4787" s="40" t="s">
        <v>115</v>
      </c>
      <c r="AB4787" s="40" t="s">
        <v>115</v>
      </c>
      <c r="AC4787" s="40" t="s">
        <v>115</v>
      </c>
      <c r="AI4787" s="40" t="s">
        <v>115</v>
      </c>
      <c r="AP4787" s="4" t="s">
        <v>115</v>
      </c>
    </row>
    <row r="4788" spans="1:42" x14ac:dyDescent="0.15">
      <c r="A4788" s="40" t="s">
        <v>1</v>
      </c>
      <c r="B4788" s="23">
        <v>96902105</v>
      </c>
      <c r="C4788" s="23">
        <v>69021</v>
      </c>
      <c r="D4788" s="6">
        <v>6902</v>
      </c>
      <c r="F4788" s="23" t="s">
        <v>1064</v>
      </c>
      <c r="G4788" s="23" t="s">
        <v>115</v>
      </c>
      <c r="H4788" s="23" t="s">
        <v>1739</v>
      </c>
      <c r="I4788" s="23">
        <v>3</v>
      </c>
      <c r="J4788" s="40">
        <v>0</v>
      </c>
      <c r="K4788" s="40">
        <v>0</v>
      </c>
      <c r="L4788" s="40" t="s">
        <v>115</v>
      </c>
      <c r="O4788" s="40" t="s">
        <v>115</v>
      </c>
      <c r="Q4788" s="40">
        <v>189</v>
      </c>
      <c r="R4788" s="40">
        <v>286</v>
      </c>
      <c r="X4788" s="40">
        <v>96902106</v>
      </c>
      <c r="Y4788" s="40" t="s">
        <v>115</v>
      </c>
      <c r="Z4788" s="40" t="s">
        <v>115</v>
      </c>
      <c r="AA4788" s="40" t="s">
        <v>115</v>
      </c>
      <c r="AB4788" s="40" t="s">
        <v>115</v>
      </c>
      <c r="AC4788" s="40" t="s">
        <v>115</v>
      </c>
      <c r="AI4788" s="40" t="s">
        <v>115</v>
      </c>
      <c r="AP4788" s="4" t="s">
        <v>115</v>
      </c>
    </row>
    <row r="4789" spans="1:42" x14ac:dyDescent="0.15">
      <c r="A4789" s="40" t="s">
        <v>1</v>
      </c>
      <c r="B4789" s="23">
        <v>96902106</v>
      </c>
      <c r="C4789" s="23">
        <v>69021</v>
      </c>
      <c r="D4789" s="6">
        <v>6902</v>
      </c>
      <c r="F4789" s="23" t="s">
        <v>1064</v>
      </c>
      <c r="G4789" s="23" t="s">
        <v>115</v>
      </c>
      <c r="H4789" s="23" t="s">
        <v>1740</v>
      </c>
      <c r="I4789" s="23">
        <v>3</v>
      </c>
      <c r="J4789" s="40">
        <v>0</v>
      </c>
      <c r="K4789" s="40">
        <v>0</v>
      </c>
      <c r="L4789" s="40" t="s">
        <v>115</v>
      </c>
      <c r="O4789" s="40" t="s">
        <v>115</v>
      </c>
      <c r="Q4789" s="40">
        <v>189</v>
      </c>
      <c r="R4789" s="40">
        <v>286</v>
      </c>
      <c r="X4789" s="40">
        <v>96902107</v>
      </c>
      <c r="Y4789" s="40" t="s">
        <v>115</v>
      </c>
      <c r="Z4789" s="40" t="s">
        <v>115</v>
      </c>
      <c r="AA4789" s="40" t="s">
        <v>115</v>
      </c>
      <c r="AB4789" s="40" t="s">
        <v>115</v>
      </c>
      <c r="AC4789" s="40" t="s">
        <v>115</v>
      </c>
      <c r="AI4789" s="40" t="s">
        <v>115</v>
      </c>
      <c r="AP4789" s="4" t="s">
        <v>115</v>
      </c>
    </row>
    <row r="4790" spans="1:42" x14ac:dyDescent="0.15">
      <c r="A4790" s="40" t="s">
        <v>1</v>
      </c>
      <c r="B4790" s="23">
        <v>96902107</v>
      </c>
      <c r="C4790" s="23">
        <v>69021</v>
      </c>
      <c r="D4790" s="6">
        <v>6902</v>
      </c>
      <c r="F4790" s="23" t="s">
        <v>116</v>
      </c>
      <c r="G4790" s="23">
        <v>259</v>
      </c>
      <c r="H4790" s="23" t="s">
        <v>1741</v>
      </c>
      <c r="I4790" s="23">
        <v>0</v>
      </c>
      <c r="J4790" s="40">
        <v>0</v>
      </c>
      <c r="K4790" s="40">
        <v>0</v>
      </c>
      <c r="L4790" s="40" t="s">
        <v>115</v>
      </c>
      <c r="O4790" s="40" t="s">
        <v>115</v>
      </c>
      <c r="Q4790" s="40">
        <v>189</v>
      </c>
      <c r="R4790" s="40">
        <v>286</v>
      </c>
      <c r="X4790" s="40">
        <v>96902108</v>
      </c>
      <c r="Y4790" s="40" t="s">
        <v>115</v>
      </c>
      <c r="Z4790" s="40" t="s">
        <v>115</v>
      </c>
      <c r="AA4790" s="40" t="s">
        <v>115</v>
      </c>
      <c r="AB4790" s="40" t="s">
        <v>115</v>
      </c>
      <c r="AC4790" s="40" t="s">
        <v>115</v>
      </c>
      <c r="AI4790" s="40" t="s">
        <v>115</v>
      </c>
      <c r="AP4790" s="4" t="s">
        <v>115</v>
      </c>
    </row>
    <row r="4791" spans="1:42" x14ac:dyDescent="0.15">
      <c r="A4791" s="40" t="s">
        <v>1</v>
      </c>
      <c r="B4791" s="23">
        <v>96902108</v>
      </c>
      <c r="C4791" s="23">
        <v>69021</v>
      </c>
      <c r="D4791" s="6">
        <v>6902</v>
      </c>
      <c r="F4791" s="23" t="s">
        <v>1064</v>
      </c>
      <c r="G4791" s="23" t="s">
        <v>115</v>
      </c>
      <c r="H4791" s="23" t="s">
        <v>1742</v>
      </c>
      <c r="I4791" s="23">
        <v>3</v>
      </c>
      <c r="J4791" s="40">
        <v>0</v>
      </c>
      <c r="K4791" s="40">
        <v>0</v>
      </c>
      <c r="L4791" s="40" t="s">
        <v>115</v>
      </c>
      <c r="O4791" s="40" t="s">
        <v>115</v>
      </c>
      <c r="Q4791" s="40">
        <v>189</v>
      </c>
      <c r="R4791" s="40">
        <v>286</v>
      </c>
      <c r="X4791" s="40">
        <v>96902109</v>
      </c>
      <c r="Y4791" s="40" t="s">
        <v>115</v>
      </c>
      <c r="Z4791" s="40" t="s">
        <v>115</v>
      </c>
      <c r="AA4791" s="40" t="s">
        <v>115</v>
      </c>
      <c r="AB4791" s="40" t="s">
        <v>115</v>
      </c>
      <c r="AC4791" s="40" t="s">
        <v>115</v>
      </c>
      <c r="AI4791" s="40" t="s">
        <v>115</v>
      </c>
      <c r="AP4791" s="4" t="s">
        <v>115</v>
      </c>
    </row>
    <row r="4792" spans="1:42" x14ac:dyDescent="0.15">
      <c r="A4792" s="40" t="s">
        <v>1</v>
      </c>
      <c r="B4792" s="23">
        <v>96902109</v>
      </c>
      <c r="C4792" s="23">
        <v>69021</v>
      </c>
      <c r="D4792" s="6">
        <v>6902</v>
      </c>
      <c r="F4792" s="23" t="s">
        <v>1064</v>
      </c>
      <c r="G4792" s="23" t="s">
        <v>115</v>
      </c>
      <c r="H4792" s="23" t="s">
        <v>1743</v>
      </c>
      <c r="I4792" s="23">
        <v>3</v>
      </c>
      <c r="J4792" s="40">
        <v>0</v>
      </c>
      <c r="K4792" s="40">
        <v>0</v>
      </c>
      <c r="L4792" s="40" t="s">
        <v>115</v>
      </c>
      <c r="O4792" s="40" t="s">
        <v>115</v>
      </c>
      <c r="Q4792" s="40">
        <v>189</v>
      </c>
      <c r="R4792" s="40">
        <v>286</v>
      </c>
      <c r="X4792" s="40">
        <v>96902110</v>
      </c>
      <c r="Y4792" s="40" t="s">
        <v>115</v>
      </c>
      <c r="Z4792" s="40" t="s">
        <v>115</v>
      </c>
      <c r="AA4792" s="40" t="s">
        <v>115</v>
      </c>
      <c r="AB4792" s="40" t="s">
        <v>115</v>
      </c>
      <c r="AC4792" s="40" t="s">
        <v>115</v>
      </c>
      <c r="AI4792" s="40" t="s">
        <v>115</v>
      </c>
      <c r="AP4792" s="4" t="s">
        <v>115</v>
      </c>
    </row>
    <row r="4793" spans="1:42" x14ac:dyDescent="0.15">
      <c r="A4793" s="40" t="s">
        <v>1</v>
      </c>
      <c r="B4793" s="23">
        <v>96902110</v>
      </c>
      <c r="C4793" s="23">
        <v>69021</v>
      </c>
      <c r="D4793" s="6">
        <v>6902</v>
      </c>
      <c r="F4793" s="23" t="s">
        <v>115</v>
      </c>
      <c r="G4793" s="23" t="s">
        <v>115</v>
      </c>
      <c r="H4793" s="23" t="s">
        <v>1744</v>
      </c>
      <c r="I4793" s="23">
        <v>4</v>
      </c>
      <c r="J4793" s="40">
        <v>0</v>
      </c>
      <c r="K4793" s="40">
        <v>0</v>
      </c>
      <c r="L4793" s="40" t="s">
        <v>115</v>
      </c>
      <c r="O4793" s="40" t="s">
        <v>115</v>
      </c>
      <c r="Q4793" s="40">
        <v>189</v>
      </c>
      <c r="R4793" s="40" t="s">
        <v>115</v>
      </c>
      <c r="X4793" s="40">
        <v>96902111</v>
      </c>
      <c r="Y4793" s="40" t="s">
        <v>115</v>
      </c>
      <c r="Z4793" s="40" t="s">
        <v>115</v>
      </c>
      <c r="AA4793" s="40" t="s">
        <v>115</v>
      </c>
      <c r="AB4793" s="40" t="s">
        <v>115</v>
      </c>
      <c r="AC4793" s="40" t="s">
        <v>115</v>
      </c>
      <c r="AI4793" s="40" t="s">
        <v>115</v>
      </c>
      <c r="AP4793" s="4" t="s">
        <v>115</v>
      </c>
    </row>
    <row r="4794" spans="1:42" x14ac:dyDescent="0.15">
      <c r="A4794" s="40" t="s">
        <v>1</v>
      </c>
      <c r="B4794" s="23">
        <v>96902111</v>
      </c>
      <c r="C4794" s="23">
        <v>69021</v>
      </c>
      <c r="D4794" s="6">
        <v>6902</v>
      </c>
      <c r="F4794" s="23" t="s">
        <v>1745</v>
      </c>
      <c r="G4794" s="23" t="s">
        <v>115</v>
      </c>
      <c r="H4794" s="23" t="s">
        <v>1746</v>
      </c>
      <c r="I4794" s="23">
        <v>3</v>
      </c>
      <c r="J4794" s="40">
        <v>0</v>
      </c>
      <c r="K4794" s="40">
        <v>0</v>
      </c>
      <c r="L4794" s="40" t="s">
        <v>115</v>
      </c>
      <c r="O4794" s="40" t="s">
        <v>115</v>
      </c>
      <c r="Q4794" s="40">
        <v>189</v>
      </c>
      <c r="R4794" s="40">
        <v>128</v>
      </c>
      <c r="X4794" s="40">
        <v>96902112</v>
      </c>
      <c r="Y4794" s="40" t="s">
        <v>115</v>
      </c>
      <c r="Z4794" s="40" t="s">
        <v>115</v>
      </c>
      <c r="AA4794" s="40" t="s">
        <v>115</v>
      </c>
      <c r="AB4794" s="40" t="s">
        <v>115</v>
      </c>
      <c r="AC4794" s="40" t="s">
        <v>115</v>
      </c>
      <c r="AI4794" s="40" t="s">
        <v>115</v>
      </c>
      <c r="AP4794" s="4" t="s">
        <v>115</v>
      </c>
    </row>
    <row r="4795" spans="1:42" x14ac:dyDescent="0.15">
      <c r="A4795" s="40" t="s">
        <v>1</v>
      </c>
      <c r="B4795" s="23">
        <v>96902112</v>
      </c>
      <c r="C4795" s="23">
        <v>69021</v>
      </c>
      <c r="D4795" s="6">
        <v>6902</v>
      </c>
      <c r="F4795" s="23" t="s">
        <v>1745</v>
      </c>
      <c r="G4795" s="23" t="s">
        <v>115</v>
      </c>
      <c r="H4795" s="23" t="s">
        <v>1747</v>
      </c>
      <c r="I4795" s="23">
        <v>3</v>
      </c>
      <c r="J4795" s="40">
        <v>0</v>
      </c>
      <c r="K4795" s="40">
        <v>0</v>
      </c>
      <c r="L4795" s="40" t="s">
        <v>115</v>
      </c>
      <c r="O4795" s="40" t="s">
        <v>115</v>
      </c>
      <c r="Q4795" s="40">
        <v>189</v>
      </c>
      <c r="R4795" s="40">
        <v>128</v>
      </c>
      <c r="X4795" s="40">
        <v>96902113</v>
      </c>
      <c r="Y4795" s="40" t="s">
        <v>115</v>
      </c>
      <c r="Z4795" s="40">
        <v>1</v>
      </c>
      <c r="AA4795" s="40" t="s">
        <v>115</v>
      </c>
      <c r="AB4795" s="40" t="s">
        <v>115</v>
      </c>
      <c r="AC4795" s="40" t="s">
        <v>115</v>
      </c>
      <c r="AI4795" s="40" t="s">
        <v>115</v>
      </c>
      <c r="AP4795" s="4" t="s">
        <v>115</v>
      </c>
    </row>
    <row r="4796" spans="1:42" x14ac:dyDescent="0.15">
      <c r="A4796" s="40" t="s">
        <v>1</v>
      </c>
      <c r="B4796" s="23">
        <v>96902113</v>
      </c>
      <c r="C4796" s="23">
        <v>69021</v>
      </c>
      <c r="D4796" s="6">
        <v>6902</v>
      </c>
      <c r="F4796" s="23" t="s">
        <v>116</v>
      </c>
      <c r="G4796" s="23">
        <v>274</v>
      </c>
      <c r="H4796" s="23" t="s">
        <v>1748</v>
      </c>
      <c r="I4796" s="23">
        <v>2</v>
      </c>
      <c r="J4796" s="40">
        <v>0</v>
      </c>
      <c r="K4796" s="40">
        <v>0</v>
      </c>
      <c r="L4796" s="40" t="s">
        <v>115</v>
      </c>
      <c r="O4796" s="40" t="s">
        <v>115</v>
      </c>
      <c r="Q4796" s="40">
        <v>189</v>
      </c>
      <c r="R4796" s="40">
        <v>128</v>
      </c>
      <c r="X4796" s="40">
        <v>96902114</v>
      </c>
      <c r="Y4796" s="40" t="s">
        <v>115</v>
      </c>
      <c r="Z4796" s="40" t="s">
        <v>115</v>
      </c>
      <c r="AA4796" s="40" t="s">
        <v>115</v>
      </c>
      <c r="AB4796" s="40" t="s">
        <v>115</v>
      </c>
      <c r="AC4796" s="40" t="s">
        <v>115</v>
      </c>
      <c r="AI4796" s="40" t="s">
        <v>115</v>
      </c>
      <c r="AP4796" s="4" t="s">
        <v>115</v>
      </c>
    </row>
    <row r="4797" spans="1:42" x14ac:dyDescent="0.15">
      <c r="A4797" s="40" t="s">
        <v>1</v>
      </c>
      <c r="B4797" s="23">
        <v>96902114</v>
      </c>
      <c r="C4797" s="23">
        <v>69021</v>
      </c>
      <c r="D4797" s="6">
        <v>6902</v>
      </c>
      <c r="F4797" s="23" t="s">
        <v>115</v>
      </c>
      <c r="G4797" s="23" t="s">
        <v>115</v>
      </c>
      <c r="H4797" s="23" t="s">
        <v>1749</v>
      </c>
      <c r="I4797" s="23">
        <v>4</v>
      </c>
      <c r="J4797" s="40">
        <v>0</v>
      </c>
      <c r="K4797" s="40">
        <v>0</v>
      </c>
      <c r="L4797" s="40" t="s">
        <v>115</v>
      </c>
      <c r="O4797" s="40" t="s">
        <v>115</v>
      </c>
      <c r="Q4797" s="40">
        <v>189</v>
      </c>
      <c r="R4797" s="40" t="s">
        <v>115</v>
      </c>
      <c r="X4797" s="40">
        <v>96902115</v>
      </c>
      <c r="Y4797" s="40" t="s">
        <v>115</v>
      </c>
      <c r="Z4797" s="40" t="s">
        <v>115</v>
      </c>
      <c r="AA4797" s="40" t="s">
        <v>115</v>
      </c>
      <c r="AB4797" s="40" t="s">
        <v>115</v>
      </c>
      <c r="AC4797" s="40" t="s">
        <v>115</v>
      </c>
      <c r="AI4797" s="40" t="s">
        <v>115</v>
      </c>
      <c r="AP4797" s="4" t="s">
        <v>115</v>
      </c>
    </row>
    <row r="4798" spans="1:42" x14ac:dyDescent="0.15">
      <c r="A4798" s="40" t="s">
        <v>1</v>
      </c>
      <c r="B4798" s="23">
        <v>96902115</v>
      </c>
      <c r="C4798" s="23">
        <v>69021</v>
      </c>
      <c r="D4798" s="6">
        <v>6902</v>
      </c>
      <c r="F4798" s="23" t="s">
        <v>115</v>
      </c>
      <c r="G4798" s="23" t="s">
        <v>115</v>
      </c>
      <c r="H4798" s="23" t="s">
        <v>1750</v>
      </c>
      <c r="I4798" s="23">
        <v>4</v>
      </c>
      <c r="J4798" s="40">
        <v>0</v>
      </c>
      <c r="K4798" s="40">
        <v>0</v>
      </c>
      <c r="L4798" s="40" t="s">
        <v>115</v>
      </c>
      <c r="O4798" s="40" t="s">
        <v>115</v>
      </c>
      <c r="Q4798" s="40">
        <v>189</v>
      </c>
      <c r="R4798" s="40" t="s">
        <v>115</v>
      </c>
      <c r="X4798" s="40">
        <v>96902116</v>
      </c>
      <c r="Y4798" s="40" t="s">
        <v>115</v>
      </c>
      <c r="Z4798" s="40" t="s">
        <v>115</v>
      </c>
      <c r="AA4798" s="40" t="s">
        <v>115</v>
      </c>
      <c r="AB4798" s="40" t="s">
        <v>115</v>
      </c>
      <c r="AC4798" s="40" t="s">
        <v>115</v>
      </c>
      <c r="AI4798" s="40" t="s">
        <v>115</v>
      </c>
      <c r="AP4798" s="4" t="s">
        <v>115</v>
      </c>
    </row>
    <row r="4799" spans="1:42" x14ac:dyDescent="0.15">
      <c r="A4799" s="40" t="s">
        <v>1</v>
      </c>
      <c r="B4799" s="23">
        <v>96902116</v>
      </c>
      <c r="C4799" s="23">
        <v>69021</v>
      </c>
      <c r="D4799" s="6">
        <v>6902</v>
      </c>
      <c r="F4799" s="23" t="s">
        <v>1500</v>
      </c>
      <c r="G4799" s="23" t="s">
        <v>115</v>
      </c>
      <c r="H4799" s="23" t="s">
        <v>1751</v>
      </c>
      <c r="I4799" s="23">
        <v>3</v>
      </c>
      <c r="J4799" s="40">
        <v>0</v>
      </c>
      <c r="K4799" s="40">
        <v>0</v>
      </c>
      <c r="L4799" s="40" t="s">
        <v>115</v>
      </c>
      <c r="O4799" s="40" t="s">
        <v>115</v>
      </c>
      <c r="Q4799" s="40">
        <v>189</v>
      </c>
      <c r="R4799" s="40">
        <v>283</v>
      </c>
      <c r="X4799" s="40">
        <v>96902117</v>
      </c>
      <c r="Y4799" s="40" t="s">
        <v>115</v>
      </c>
      <c r="Z4799" s="40" t="s">
        <v>115</v>
      </c>
      <c r="AA4799" s="40" t="s">
        <v>115</v>
      </c>
      <c r="AB4799" s="40" t="s">
        <v>115</v>
      </c>
      <c r="AC4799" s="40" t="s">
        <v>115</v>
      </c>
      <c r="AI4799" s="40" t="s">
        <v>115</v>
      </c>
      <c r="AP4799" s="4" t="s">
        <v>115</v>
      </c>
    </row>
    <row r="4800" spans="1:42" x14ac:dyDescent="0.15">
      <c r="A4800" s="40" t="s">
        <v>1</v>
      </c>
      <c r="B4800" s="23">
        <v>96902117</v>
      </c>
      <c r="C4800" s="23">
        <v>69021</v>
      </c>
      <c r="D4800" s="6">
        <v>6902</v>
      </c>
      <c r="F4800" s="23" t="s">
        <v>1500</v>
      </c>
      <c r="G4800" s="23" t="s">
        <v>115</v>
      </c>
      <c r="H4800" s="23" t="s">
        <v>1752</v>
      </c>
      <c r="I4800" s="23">
        <v>3</v>
      </c>
      <c r="J4800" s="40">
        <v>0</v>
      </c>
      <c r="K4800" s="40">
        <v>0</v>
      </c>
      <c r="L4800" s="40" t="s">
        <v>115</v>
      </c>
      <c r="O4800" s="40" t="s">
        <v>115</v>
      </c>
      <c r="Q4800" s="40">
        <v>189</v>
      </c>
      <c r="R4800" s="40">
        <v>283</v>
      </c>
      <c r="X4800" s="40">
        <v>96902118</v>
      </c>
      <c r="Y4800" s="40" t="s">
        <v>115</v>
      </c>
      <c r="Z4800" s="40" t="s">
        <v>115</v>
      </c>
      <c r="AA4800" s="40" t="s">
        <v>115</v>
      </c>
      <c r="AB4800" s="40" t="s">
        <v>115</v>
      </c>
      <c r="AC4800" s="40" t="s">
        <v>115</v>
      </c>
      <c r="AI4800" s="40" t="s">
        <v>115</v>
      </c>
      <c r="AP4800" s="4" t="s">
        <v>115</v>
      </c>
    </row>
    <row r="4801" spans="1:42" x14ac:dyDescent="0.15">
      <c r="A4801" s="40" t="s">
        <v>1</v>
      </c>
      <c r="B4801" s="23">
        <v>96902118</v>
      </c>
      <c r="C4801" s="23">
        <v>69021</v>
      </c>
      <c r="D4801" s="6">
        <v>6902</v>
      </c>
      <c r="F4801" s="23" t="s">
        <v>115</v>
      </c>
      <c r="G4801" s="23" t="s">
        <v>115</v>
      </c>
      <c r="H4801" s="23" t="s">
        <v>1753</v>
      </c>
      <c r="I4801" s="23">
        <v>4</v>
      </c>
      <c r="J4801" s="40">
        <v>0</v>
      </c>
      <c r="K4801" s="40">
        <v>0</v>
      </c>
      <c r="L4801" s="40" t="s">
        <v>115</v>
      </c>
      <c r="O4801" s="40" t="s">
        <v>115</v>
      </c>
      <c r="Q4801" s="40">
        <v>189</v>
      </c>
      <c r="R4801" s="40" t="s">
        <v>115</v>
      </c>
      <c r="X4801" s="40">
        <v>96902119</v>
      </c>
      <c r="Y4801" s="40" t="s">
        <v>115</v>
      </c>
      <c r="Z4801" s="40" t="s">
        <v>115</v>
      </c>
      <c r="AA4801" s="40" t="s">
        <v>115</v>
      </c>
      <c r="AB4801" s="40" t="s">
        <v>115</v>
      </c>
      <c r="AC4801" s="40" t="s">
        <v>115</v>
      </c>
      <c r="AI4801" s="40" t="s">
        <v>115</v>
      </c>
      <c r="AP4801" s="4" t="s">
        <v>115</v>
      </c>
    </row>
    <row r="4802" spans="1:42" x14ac:dyDescent="0.15">
      <c r="A4802" s="40" t="s">
        <v>1</v>
      </c>
      <c r="B4802" s="23">
        <v>96902119</v>
      </c>
      <c r="C4802" s="23">
        <v>69021</v>
      </c>
      <c r="D4802" s="6">
        <v>6902</v>
      </c>
      <c r="F4802" s="23" t="s">
        <v>116</v>
      </c>
      <c r="G4802" s="23">
        <v>259</v>
      </c>
      <c r="H4802" s="23" t="s">
        <v>338</v>
      </c>
      <c r="I4802" s="23">
        <v>0</v>
      </c>
      <c r="J4802" s="40">
        <v>0</v>
      </c>
      <c r="K4802" s="40">
        <v>0</v>
      </c>
      <c r="L4802" s="40" t="s">
        <v>115</v>
      </c>
      <c r="O4802" s="40" t="s">
        <v>115</v>
      </c>
      <c r="Q4802" s="40">
        <v>189</v>
      </c>
      <c r="R4802" s="40" t="s">
        <v>115</v>
      </c>
      <c r="X4802" s="40">
        <v>96902120</v>
      </c>
      <c r="Y4802" s="40" t="s">
        <v>115</v>
      </c>
      <c r="Z4802" s="40" t="s">
        <v>115</v>
      </c>
      <c r="AA4802" s="40" t="s">
        <v>115</v>
      </c>
      <c r="AB4802" s="40" t="s">
        <v>115</v>
      </c>
      <c r="AC4802" s="40" t="s">
        <v>115</v>
      </c>
      <c r="AI4802" s="40" t="s">
        <v>115</v>
      </c>
      <c r="AP4802" s="4" t="s">
        <v>115</v>
      </c>
    </row>
    <row r="4803" spans="1:42" x14ac:dyDescent="0.15">
      <c r="A4803" s="40" t="s">
        <v>1</v>
      </c>
      <c r="B4803" s="23">
        <v>96902120</v>
      </c>
      <c r="C4803" s="23">
        <v>69021</v>
      </c>
      <c r="D4803" s="6">
        <v>6902</v>
      </c>
      <c r="F4803" s="23" t="s">
        <v>116</v>
      </c>
      <c r="G4803" s="23">
        <v>259</v>
      </c>
      <c r="H4803" s="23" t="s">
        <v>1754</v>
      </c>
      <c r="I4803" s="23">
        <v>0</v>
      </c>
      <c r="J4803" s="40">
        <v>0</v>
      </c>
      <c r="K4803" s="40">
        <v>2</v>
      </c>
      <c r="L4803" s="40" t="s">
        <v>115</v>
      </c>
      <c r="O4803" s="40">
        <v>1</v>
      </c>
      <c r="Q4803" s="40">
        <v>189</v>
      </c>
      <c r="R4803" s="40" t="s">
        <v>115</v>
      </c>
      <c r="X4803" s="40" t="s">
        <v>115</v>
      </c>
      <c r="Y4803" s="40" t="s">
        <v>115</v>
      </c>
      <c r="Z4803" s="40" t="s">
        <v>115</v>
      </c>
      <c r="AA4803" s="40" t="s">
        <v>115</v>
      </c>
      <c r="AB4803" s="40" t="s">
        <v>115</v>
      </c>
      <c r="AC4803" s="40" t="s">
        <v>115</v>
      </c>
      <c r="AI4803" s="40" t="s">
        <v>115</v>
      </c>
      <c r="AP4803" s="40">
        <v>69022</v>
      </c>
    </row>
    <row r="4804" spans="1:42" x14ac:dyDescent="0.15">
      <c r="A4804" s="40" t="s">
        <v>1</v>
      </c>
      <c r="B4804" s="23">
        <v>96902201</v>
      </c>
      <c r="C4804" s="23">
        <v>69022</v>
      </c>
      <c r="D4804" s="6">
        <v>6902</v>
      </c>
      <c r="F4804" s="23" t="s">
        <v>115</v>
      </c>
      <c r="G4804" s="23" t="s">
        <v>115</v>
      </c>
      <c r="H4804" s="23" t="s">
        <v>1755</v>
      </c>
      <c r="I4804" s="23">
        <v>4</v>
      </c>
      <c r="J4804" s="40">
        <v>1</v>
      </c>
      <c r="K4804" s="40">
        <v>1</v>
      </c>
      <c r="L4804" s="40" t="s">
        <v>115</v>
      </c>
      <c r="O4804" s="40" t="s">
        <v>115</v>
      </c>
      <c r="Q4804" s="40">
        <v>105</v>
      </c>
      <c r="R4804" s="40" t="s">
        <v>115</v>
      </c>
      <c r="X4804" s="40">
        <v>96902202</v>
      </c>
      <c r="Y4804" s="40" t="s">
        <v>115</v>
      </c>
      <c r="Z4804" s="40" t="s">
        <v>115</v>
      </c>
      <c r="AA4804" s="40" t="s">
        <v>115</v>
      </c>
      <c r="AB4804" s="40" t="s">
        <v>115</v>
      </c>
      <c r="AC4804" s="40" t="s">
        <v>115</v>
      </c>
      <c r="AI4804" s="40" t="s">
        <v>115</v>
      </c>
      <c r="AP4804" s="4" t="s">
        <v>115</v>
      </c>
    </row>
    <row r="4805" spans="1:42" x14ac:dyDescent="0.15">
      <c r="A4805" s="40" t="s">
        <v>1</v>
      </c>
      <c r="B4805" s="23">
        <v>96902202</v>
      </c>
      <c r="C4805" s="23">
        <v>69022</v>
      </c>
      <c r="D4805" s="6">
        <v>6902</v>
      </c>
      <c r="F4805" s="23" t="s">
        <v>115</v>
      </c>
      <c r="G4805" s="23" t="s">
        <v>115</v>
      </c>
      <c r="H4805" s="23" t="s">
        <v>1756</v>
      </c>
      <c r="I4805" s="23">
        <v>4</v>
      </c>
      <c r="J4805" s="40">
        <v>0</v>
      </c>
      <c r="K4805" s="40">
        <v>0</v>
      </c>
      <c r="L4805" s="40" t="s">
        <v>115</v>
      </c>
      <c r="O4805" s="40" t="s">
        <v>115</v>
      </c>
      <c r="Q4805" s="40">
        <v>162</v>
      </c>
      <c r="R4805" s="40" t="s">
        <v>115</v>
      </c>
      <c r="X4805" s="40">
        <v>96902203</v>
      </c>
      <c r="Y4805" s="40" t="s">
        <v>115</v>
      </c>
      <c r="Z4805" s="40">
        <v>1</v>
      </c>
      <c r="AA4805" s="40" t="s">
        <v>115</v>
      </c>
      <c r="AB4805" s="40" t="s">
        <v>115</v>
      </c>
      <c r="AC4805" s="40" t="s">
        <v>115</v>
      </c>
      <c r="AI4805" s="40" t="s">
        <v>115</v>
      </c>
      <c r="AP4805" s="4" t="s">
        <v>115</v>
      </c>
    </row>
    <row r="4806" spans="1:42" x14ac:dyDescent="0.15">
      <c r="A4806" s="40" t="s">
        <v>1</v>
      </c>
      <c r="B4806" s="23">
        <v>96902203</v>
      </c>
      <c r="C4806" s="23">
        <v>69022</v>
      </c>
      <c r="D4806" s="6">
        <v>6902</v>
      </c>
      <c r="F4806" s="23" t="s">
        <v>116</v>
      </c>
      <c r="G4806" s="23">
        <v>274</v>
      </c>
      <c r="H4806" s="23" t="s">
        <v>1757</v>
      </c>
      <c r="I4806" s="23">
        <v>2</v>
      </c>
      <c r="J4806" s="40">
        <v>0</v>
      </c>
      <c r="K4806" s="40">
        <v>0</v>
      </c>
      <c r="L4806" s="40" t="s">
        <v>115</v>
      </c>
      <c r="O4806" s="40" t="s">
        <v>115</v>
      </c>
      <c r="Q4806" s="40">
        <v>162</v>
      </c>
      <c r="R4806" s="40">
        <v>263</v>
      </c>
      <c r="X4806" s="40">
        <v>96902204</v>
      </c>
      <c r="Y4806" s="40" t="s">
        <v>115</v>
      </c>
      <c r="Z4806" s="40" t="s">
        <v>115</v>
      </c>
      <c r="AA4806" s="40" t="s">
        <v>115</v>
      </c>
      <c r="AB4806" s="40" t="s">
        <v>115</v>
      </c>
      <c r="AC4806" s="40" t="s">
        <v>115</v>
      </c>
      <c r="AI4806" s="40" t="s">
        <v>115</v>
      </c>
      <c r="AP4806" s="4" t="s">
        <v>115</v>
      </c>
    </row>
    <row r="4807" spans="1:42" x14ac:dyDescent="0.15">
      <c r="A4807" s="40" t="s">
        <v>1</v>
      </c>
      <c r="B4807" s="23">
        <v>96902204</v>
      </c>
      <c r="C4807" s="23">
        <v>69022</v>
      </c>
      <c r="D4807" s="6">
        <v>6902</v>
      </c>
      <c r="F4807" s="23" t="s">
        <v>271</v>
      </c>
      <c r="G4807" s="23" t="s">
        <v>115</v>
      </c>
      <c r="H4807" s="23" t="s">
        <v>1758</v>
      </c>
      <c r="I4807" s="23">
        <v>3</v>
      </c>
      <c r="J4807" s="40">
        <v>0</v>
      </c>
      <c r="K4807" s="40">
        <v>0</v>
      </c>
      <c r="L4807" s="40" t="s">
        <v>115</v>
      </c>
      <c r="O4807" s="40" t="s">
        <v>115</v>
      </c>
      <c r="Q4807" s="40">
        <v>162</v>
      </c>
      <c r="R4807" s="40">
        <v>263</v>
      </c>
      <c r="X4807" s="40">
        <v>96902205</v>
      </c>
      <c r="Y4807" s="40" t="s">
        <v>115</v>
      </c>
      <c r="Z4807" s="40" t="s">
        <v>115</v>
      </c>
      <c r="AA4807" s="40" t="s">
        <v>115</v>
      </c>
      <c r="AB4807" s="40" t="s">
        <v>115</v>
      </c>
      <c r="AC4807" s="40" t="s">
        <v>115</v>
      </c>
      <c r="AI4807" s="40" t="s">
        <v>115</v>
      </c>
      <c r="AP4807" s="4" t="s">
        <v>115</v>
      </c>
    </row>
    <row r="4808" spans="1:42" x14ac:dyDescent="0.15">
      <c r="A4808" s="40" t="s">
        <v>1</v>
      </c>
      <c r="B4808" s="23">
        <v>96902205</v>
      </c>
      <c r="C4808" s="23">
        <v>69022</v>
      </c>
      <c r="D4808" s="6">
        <v>6902</v>
      </c>
      <c r="F4808" s="23" t="s">
        <v>116</v>
      </c>
      <c r="G4808" s="23">
        <v>261</v>
      </c>
      <c r="H4808" s="23" t="s">
        <v>1759</v>
      </c>
      <c r="I4808" s="23">
        <v>0</v>
      </c>
      <c r="J4808" s="40">
        <v>0</v>
      </c>
      <c r="K4808" s="40">
        <v>0</v>
      </c>
      <c r="L4808" s="40" t="s">
        <v>115</v>
      </c>
      <c r="O4808" s="40" t="s">
        <v>115</v>
      </c>
      <c r="Q4808" s="40">
        <v>162</v>
      </c>
      <c r="R4808" s="40">
        <v>263</v>
      </c>
      <c r="X4808" s="40">
        <v>96902206</v>
      </c>
      <c r="Y4808" s="40" t="s">
        <v>115</v>
      </c>
      <c r="Z4808" s="40" t="s">
        <v>115</v>
      </c>
      <c r="AA4808" s="40" t="s">
        <v>115</v>
      </c>
      <c r="AB4808" s="40" t="s">
        <v>115</v>
      </c>
      <c r="AC4808" s="40" t="s">
        <v>115</v>
      </c>
      <c r="AI4808" s="40" t="s">
        <v>115</v>
      </c>
      <c r="AP4808" s="4" t="s">
        <v>115</v>
      </c>
    </row>
    <row r="4809" spans="1:42" x14ac:dyDescent="0.15">
      <c r="A4809" s="40" t="s">
        <v>1</v>
      </c>
      <c r="B4809" s="23">
        <v>96902206</v>
      </c>
      <c r="C4809" s="23">
        <v>69022</v>
      </c>
      <c r="D4809" s="6">
        <v>6902</v>
      </c>
      <c r="F4809" s="23" t="s">
        <v>271</v>
      </c>
      <c r="G4809" s="23" t="s">
        <v>115</v>
      </c>
      <c r="H4809" s="23" t="s">
        <v>1760</v>
      </c>
      <c r="I4809" s="23">
        <v>3</v>
      </c>
      <c r="J4809" s="40">
        <v>0</v>
      </c>
      <c r="K4809" s="40">
        <v>0</v>
      </c>
      <c r="L4809" s="40" t="s">
        <v>115</v>
      </c>
      <c r="O4809" s="40" t="s">
        <v>115</v>
      </c>
      <c r="Q4809" s="40">
        <v>162</v>
      </c>
      <c r="R4809" s="40">
        <v>263</v>
      </c>
      <c r="X4809" s="40">
        <v>96902207</v>
      </c>
      <c r="Y4809" s="40" t="s">
        <v>115</v>
      </c>
      <c r="Z4809" s="40" t="s">
        <v>115</v>
      </c>
      <c r="AA4809" s="40" t="s">
        <v>115</v>
      </c>
      <c r="AB4809" s="40" t="s">
        <v>115</v>
      </c>
      <c r="AC4809" s="40" t="s">
        <v>115</v>
      </c>
      <c r="AI4809" s="40" t="s">
        <v>115</v>
      </c>
      <c r="AP4809" s="4" t="s">
        <v>115</v>
      </c>
    </row>
    <row r="4810" spans="1:42" x14ac:dyDescent="0.15">
      <c r="A4810" s="40" t="s">
        <v>1</v>
      </c>
      <c r="B4810" s="23">
        <v>96902207</v>
      </c>
      <c r="C4810" s="23">
        <v>69022</v>
      </c>
      <c r="D4810" s="6">
        <v>6902</v>
      </c>
      <c r="F4810" s="23" t="s">
        <v>116</v>
      </c>
      <c r="G4810" s="23">
        <v>261</v>
      </c>
      <c r="H4810" s="23" t="s">
        <v>1761</v>
      </c>
      <c r="I4810" s="23">
        <v>0</v>
      </c>
      <c r="J4810" s="40">
        <v>0</v>
      </c>
      <c r="K4810" s="40">
        <v>0</v>
      </c>
      <c r="L4810" s="40" t="s">
        <v>115</v>
      </c>
      <c r="O4810" s="40" t="s">
        <v>115</v>
      </c>
      <c r="Q4810" s="40">
        <v>162</v>
      </c>
      <c r="R4810" s="40">
        <v>263</v>
      </c>
      <c r="X4810" s="40">
        <v>96902208</v>
      </c>
      <c r="Y4810" s="40" t="s">
        <v>115</v>
      </c>
      <c r="Z4810" s="40" t="s">
        <v>115</v>
      </c>
      <c r="AA4810" s="40" t="s">
        <v>115</v>
      </c>
      <c r="AB4810" s="40" t="s">
        <v>115</v>
      </c>
      <c r="AC4810" s="40" t="s">
        <v>115</v>
      </c>
      <c r="AI4810" s="40" t="s">
        <v>115</v>
      </c>
      <c r="AP4810" s="4" t="s">
        <v>115</v>
      </c>
    </row>
    <row r="4811" spans="1:42" x14ac:dyDescent="0.15">
      <c r="A4811" s="40" t="s">
        <v>1</v>
      </c>
      <c r="B4811" s="23">
        <v>96902208</v>
      </c>
      <c r="C4811" s="23">
        <v>69022</v>
      </c>
      <c r="D4811" s="6">
        <v>6902</v>
      </c>
      <c r="F4811" s="23" t="s">
        <v>271</v>
      </c>
      <c r="G4811" s="23" t="s">
        <v>115</v>
      </c>
      <c r="H4811" s="23" t="s">
        <v>1762</v>
      </c>
      <c r="I4811" s="23">
        <v>3</v>
      </c>
      <c r="J4811" s="40">
        <v>0</v>
      </c>
      <c r="K4811" s="40">
        <v>0</v>
      </c>
      <c r="L4811" s="40" t="s">
        <v>115</v>
      </c>
      <c r="O4811" s="40" t="s">
        <v>115</v>
      </c>
      <c r="Q4811" s="40">
        <v>162</v>
      </c>
      <c r="R4811" s="40">
        <v>263</v>
      </c>
      <c r="X4811" s="40">
        <v>96902209</v>
      </c>
      <c r="Y4811" s="40" t="s">
        <v>115</v>
      </c>
      <c r="Z4811" s="40" t="s">
        <v>115</v>
      </c>
      <c r="AA4811" s="40" t="s">
        <v>115</v>
      </c>
      <c r="AB4811" s="40" t="s">
        <v>115</v>
      </c>
      <c r="AC4811" s="40" t="s">
        <v>115</v>
      </c>
      <c r="AI4811" s="40" t="s">
        <v>115</v>
      </c>
      <c r="AP4811" s="4" t="s">
        <v>115</v>
      </c>
    </row>
    <row r="4812" spans="1:42" x14ac:dyDescent="0.15">
      <c r="A4812" s="40" t="s">
        <v>1</v>
      </c>
      <c r="B4812" s="23">
        <v>96902209</v>
      </c>
      <c r="C4812" s="23">
        <v>69022</v>
      </c>
      <c r="D4812" s="6">
        <v>6902</v>
      </c>
      <c r="F4812" s="23" t="s">
        <v>271</v>
      </c>
      <c r="G4812" s="23" t="s">
        <v>115</v>
      </c>
      <c r="H4812" s="23" t="s">
        <v>1763</v>
      </c>
      <c r="I4812" s="23">
        <v>3</v>
      </c>
      <c r="J4812" s="40">
        <v>0</v>
      </c>
      <c r="K4812" s="40">
        <v>0</v>
      </c>
      <c r="L4812" s="40" t="s">
        <v>115</v>
      </c>
      <c r="O4812" s="40" t="s">
        <v>115</v>
      </c>
      <c r="Q4812" s="40">
        <v>162</v>
      </c>
      <c r="R4812" s="40">
        <v>263</v>
      </c>
      <c r="X4812" s="40">
        <v>96902210</v>
      </c>
      <c r="Y4812" s="40" t="s">
        <v>115</v>
      </c>
      <c r="Z4812" s="40" t="s">
        <v>115</v>
      </c>
      <c r="AA4812" s="40" t="s">
        <v>115</v>
      </c>
      <c r="AB4812" s="40" t="s">
        <v>115</v>
      </c>
      <c r="AC4812" s="40" t="s">
        <v>115</v>
      </c>
      <c r="AI4812" s="40" t="s">
        <v>115</v>
      </c>
      <c r="AP4812" s="4" t="s">
        <v>115</v>
      </c>
    </row>
    <row r="4813" spans="1:42" x14ac:dyDescent="0.15">
      <c r="A4813" s="40" t="s">
        <v>1</v>
      </c>
      <c r="B4813" s="23">
        <v>96902210</v>
      </c>
      <c r="C4813" s="23">
        <v>69022</v>
      </c>
      <c r="D4813" s="6">
        <v>6902</v>
      </c>
      <c r="F4813" s="23" t="s">
        <v>116</v>
      </c>
      <c r="G4813" s="23">
        <v>275</v>
      </c>
      <c r="H4813" s="23" t="s">
        <v>1764</v>
      </c>
      <c r="I4813" s="23">
        <v>0</v>
      </c>
      <c r="J4813" s="40">
        <v>0</v>
      </c>
      <c r="K4813" s="40">
        <v>0</v>
      </c>
      <c r="L4813" s="40" t="s">
        <v>115</v>
      </c>
      <c r="O4813" s="40" t="s">
        <v>115</v>
      </c>
      <c r="Q4813" s="40">
        <v>162</v>
      </c>
      <c r="R4813" s="40">
        <v>263</v>
      </c>
      <c r="X4813" s="40">
        <v>96902211</v>
      </c>
      <c r="Y4813" s="40" t="s">
        <v>115</v>
      </c>
      <c r="Z4813" s="40" t="s">
        <v>115</v>
      </c>
      <c r="AA4813" s="40" t="s">
        <v>115</v>
      </c>
      <c r="AB4813" s="40" t="s">
        <v>115</v>
      </c>
      <c r="AC4813" s="40" t="s">
        <v>115</v>
      </c>
      <c r="AI4813" s="40" t="s">
        <v>115</v>
      </c>
      <c r="AP4813" s="4" t="s">
        <v>115</v>
      </c>
    </row>
    <row r="4814" spans="1:42" x14ac:dyDescent="0.15">
      <c r="A4814" s="40" t="s">
        <v>1</v>
      </c>
      <c r="B4814" s="23">
        <v>96902211</v>
      </c>
      <c r="C4814" s="23">
        <v>69022</v>
      </c>
      <c r="D4814" s="6">
        <v>6902</v>
      </c>
      <c r="F4814" s="23" t="s">
        <v>271</v>
      </c>
      <c r="G4814" s="23" t="s">
        <v>115</v>
      </c>
      <c r="H4814" s="23" t="s">
        <v>1765</v>
      </c>
      <c r="I4814" s="23">
        <v>3</v>
      </c>
      <c r="J4814" s="40">
        <v>0</v>
      </c>
      <c r="K4814" s="40">
        <v>0</v>
      </c>
      <c r="L4814" s="40" t="s">
        <v>115</v>
      </c>
      <c r="O4814" s="40" t="s">
        <v>115</v>
      </c>
      <c r="Q4814" s="40">
        <v>162</v>
      </c>
      <c r="R4814" s="40">
        <v>263</v>
      </c>
      <c r="X4814" s="40">
        <v>96902212</v>
      </c>
      <c r="Y4814" s="40" t="s">
        <v>115</v>
      </c>
      <c r="Z4814" s="40" t="s">
        <v>115</v>
      </c>
      <c r="AA4814" s="40" t="s">
        <v>115</v>
      </c>
      <c r="AB4814" s="40" t="s">
        <v>115</v>
      </c>
      <c r="AC4814" s="40" t="s">
        <v>115</v>
      </c>
      <c r="AI4814" s="40" t="s">
        <v>115</v>
      </c>
      <c r="AP4814" s="4" t="s">
        <v>115</v>
      </c>
    </row>
    <row r="4815" spans="1:42" x14ac:dyDescent="0.15">
      <c r="A4815" s="40" t="s">
        <v>1</v>
      </c>
      <c r="B4815" s="23">
        <v>96902212</v>
      </c>
      <c r="C4815" s="23">
        <v>69022</v>
      </c>
      <c r="D4815" s="6">
        <v>6902</v>
      </c>
      <c r="F4815" s="23" t="s">
        <v>271</v>
      </c>
      <c r="G4815" s="23" t="s">
        <v>115</v>
      </c>
      <c r="H4815" s="23" t="s">
        <v>1766</v>
      </c>
      <c r="I4815" s="23">
        <v>3</v>
      </c>
      <c r="J4815" s="40">
        <v>0</v>
      </c>
      <c r="K4815" s="40">
        <v>0</v>
      </c>
      <c r="L4815" s="40" t="s">
        <v>115</v>
      </c>
      <c r="O4815" s="40" t="s">
        <v>115</v>
      </c>
      <c r="Q4815" s="40">
        <v>162</v>
      </c>
      <c r="R4815" s="40">
        <v>263</v>
      </c>
      <c r="X4815" s="40">
        <v>96902213</v>
      </c>
      <c r="Y4815" s="40" t="s">
        <v>115</v>
      </c>
      <c r="Z4815" s="40" t="s">
        <v>115</v>
      </c>
      <c r="AA4815" s="40" t="s">
        <v>115</v>
      </c>
      <c r="AB4815" s="40" t="s">
        <v>115</v>
      </c>
      <c r="AC4815" s="40" t="s">
        <v>115</v>
      </c>
      <c r="AI4815" s="40" t="s">
        <v>115</v>
      </c>
      <c r="AP4815" s="4" t="s">
        <v>115</v>
      </c>
    </row>
    <row r="4816" spans="1:42" x14ac:dyDescent="0.15">
      <c r="A4816" s="40" t="s">
        <v>1</v>
      </c>
      <c r="B4816" s="23">
        <v>96902213</v>
      </c>
      <c r="C4816" s="23">
        <v>69022</v>
      </c>
      <c r="D4816" s="6">
        <v>6902</v>
      </c>
      <c r="F4816" s="23" t="s">
        <v>116</v>
      </c>
      <c r="G4816" s="23">
        <v>261</v>
      </c>
      <c r="H4816" s="23" t="s">
        <v>1767</v>
      </c>
      <c r="I4816" s="23">
        <v>0</v>
      </c>
      <c r="J4816" s="40">
        <v>0</v>
      </c>
      <c r="K4816" s="40">
        <v>0</v>
      </c>
      <c r="L4816" s="40" t="s">
        <v>115</v>
      </c>
      <c r="O4816" s="40" t="s">
        <v>115</v>
      </c>
      <c r="Q4816" s="40">
        <v>162</v>
      </c>
      <c r="R4816" s="40">
        <v>263</v>
      </c>
      <c r="X4816" s="40">
        <v>96902214</v>
      </c>
      <c r="Y4816" s="40" t="s">
        <v>115</v>
      </c>
      <c r="Z4816" s="40" t="s">
        <v>115</v>
      </c>
      <c r="AA4816" s="40" t="s">
        <v>115</v>
      </c>
      <c r="AB4816" s="40" t="s">
        <v>115</v>
      </c>
      <c r="AC4816" s="40" t="s">
        <v>115</v>
      </c>
      <c r="AI4816" s="40" t="s">
        <v>115</v>
      </c>
      <c r="AP4816" s="4" t="s">
        <v>115</v>
      </c>
    </row>
    <row r="4817" spans="1:42" x14ac:dyDescent="0.15">
      <c r="A4817" s="40" t="s">
        <v>1</v>
      </c>
      <c r="B4817" s="23">
        <v>96902214</v>
      </c>
      <c r="C4817" s="23">
        <v>69022</v>
      </c>
      <c r="D4817" s="6">
        <v>6902</v>
      </c>
      <c r="F4817" s="23" t="s">
        <v>271</v>
      </c>
      <c r="G4817" s="23" t="s">
        <v>115</v>
      </c>
      <c r="H4817" s="23" t="s">
        <v>1768</v>
      </c>
      <c r="I4817" s="23">
        <v>3</v>
      </c>
      <c r="J4817" s="40">
        <v>0</v>
      </c>
      <c r="K4817" s="40">
        <v>0</v>
      </c>
      <c r="L4817" s="40" t="s">
        <v>115</v>
      </c>
      <c r="O4817" s="40" t="s">
        <v>115</v>
      </c>
      <c r="Q4817" s="40">
        <v>162</v>
      </c>
      <c r="R4817" s="40">
        <v>263</v>
      </c>
      <c r="X4817" s="40">
        <v>96902215</v>
      </c>
      <c r="Y4817" s="40" t="s">
        <v>115</v>
      </c>
      <c r="Z4817" s="40" t="s">
        <v>115</v>
      </c>
      <c r="AA4817" s="40" t="s">
        <v>115</v>
      </c>
      <c r="AB4817" s="40" t="s">
        <v>115</v>
      </c>
      <c r="AC4817" s="40" t="s">
        <v>115</v>
      </c>
      <c r="AI4817" s="40" t="s">
        <v>115</v>
      </c>
      <c r="AP4817" s="4" t="s">
        <v>115</v>
      </c>
    </row>
    <row r="4818" spans="1:42" x14ac:dyDescent="0.15">
      <c r="A4818" s="40" t="s">
        <v>1</v>
      </c>
      <c r="B4818" s="23">
        <v>96902215</v>
      </c>
      <c r="C4818" s="23">
        <v>69022</v>
      </c>
      <c r="D4818" s="6">
        <v>6902</v>
      </c>
      <c r="F4818" s="23" t="s">
        <v>271</v>
      </c>
      <c r="G4818" s="23" t="s">
        <v>115</v>
      </c>
      <c r="H4818" s="23" t="s">
        <v>1769</v>
      </c>
      <c r="I4818" s="23">
        <v>3</v>
      </c>
      <c r="J4818" s="40">
        <v>0</v>
      </c>
      <c r="K4818" s="40">
        <v>0</v>
      </c>
      <c r="L4818" s="40" t="s">
        <v>115</v>
      </c>
      <c r="O4818" s="40" t="s">
        <v>115</v>
      </c>
      <c r="Q4818" s="40">
        <v>162</v>
      </c>
      <c r="R4818" s="40">
        <v>263</v>
      </c>
      <c r="X4818" s="40">
        <v>96902216</v>
      </c>
      <c r="Y4818" s="40" t="s">
        <v>115</v>
      </c>
      <c r="Z4818" s="40" t="s">
        <v>115</v>
      </c>
      <c r="AA4818" s="40" t="s">
        <v>115</v>
      </c>
      <c r="AB4818" s="40" t="s">
        <v>115</v>
      </c>
      <c r="AC4818" s="40" t="s">
        <v>115</v>
      </c>
      <c r="AI4818" s="40" t="s">
        <v>115</v>
      </c>
      <c r="AP4818" s="4" t="s">
        <v>115</v>
      </c>
    </row>
    <row r="4819" spans="1:42" x14ac:dyDescent="0.15">
      <c r="A4819" s="40" t="s">
        <v>1</v>
      </c>
      <c r="B4819" s="23">
        <v>96902216</v>
      </c>
      <c r="C4819" s="23">
        <v>69022</v>
      </c>
      <c r="D4819" s="6">
        <v>6902</v>
      </c>
      <c r="F4819" s="23" t="s">
        <v>115</v>
      </c>
      <c r="G4819" s="23" t="s">
        <v>115</v>
      </c>
      <c r="H4819" s="23" t="s">
        <v>1770</v>
      </c>
      <c r="I4819" s="23">
        <v>4</v>
      </c>
      <c r="J4819" s="40">
        <v>0</v>
      </c>
      <c r="K4819" s="40">
        <v>0</v>
      </c>
      <c r="L4819" s="40" t="s">
        <v>115</v>
      </c>
      <c r="O4819" s="40" t="s">
        <v>115</v>
      </c>
      <c r="Q4819" s="40">
        <v>162</v>
      </c>
      <c r="R4819" s="40">
        <v>263</v>
      </c>
      <c r="X4819" s="40">
        <v>96902217</v>
      </c>
      <c r="Y4819" s="40" t="s">
        <v>115</v>
      </c>
      <c r="Z4819" s="40" t="s">
        <v>115</v>
      </c>
      <c r="AA4819" s="40" t="s">
        <v>115</v>
      </c>
      <c r="AB4819" s="40" t="s">
        <v>115</v>
      </c>
      <c r="AC4819" s="40" t="s">
        <v>115</v>
      </c>
      <c r="AI4819" s="40" t="s">
        <v>115</v>
      </c>
      <c r="AP4819" s="4" t="s">
        <v>115</v>
      </c>
    </row>
    <row r="4820" spans="1:42" x14ac:dyDescent="0.15">
      <c r="A4820" s="40" t="s">
        <v>1</v>
      </c>
      <c r="B4820" s="23">
        <v>96902217</v>
      </c>
      <c r="C4820" s="23">
        <v>69022</v>
      </c>
      <c r="D4820" s="6">
        <v>6902</v>
      </c>
      <c r="F4820" s="23" t="s">
        <v>115</v>
      </c>
      <c r="G4820" s="23" t="s">
        <v>115</v>
      </c>
      <c r="H4820" s="23" t="s">
        <v>1771</v>
      </c>
      <c r="I4820" s="23">
        <v>4</v>
      </c>
      <c r="J4820" s="40">
        <v>0</v>
      </c>
      <c r="K4820" s="40">
        <v>0</v>
      </c>
      <c r="L4820" s="40" t="s">
        <v>115</v>
      </c>
      <c r="O4820" s="40" t="s">
        <v>115</v>
      </c>
      <c r="Q4820" s="40">
        <v>162</v>
      </c>
      <c r="R4820" s="40" t="s">
        <v>115</v>
      </c>
      <c r="X4820" s="40">
        <v>96902218</v>
      </c>
      <c r="Y4820" s="40" t="s">
        <v>115</v>
      </c>
      <c r="Z4820" s="40" t="s">
        <v>115</v>
      </c>
      <c r="AA4820" s="40" t="s">
        <v>115</v>
      </c>
      <c r="AB4820" s="40" t="s">
        <v>115</v>
      </c>
      <c r="AC4820" s="40" t="s">
        <v>115</v>
      </c>
      <c r="AI4820" s="40" t="s">
        <v>115</v>
      </c>
      <c r="AP4820" s="4" t="s">
        <v>115</v>
      </c>
    </row>
    <row r="4821" spans="1:42" x14ac:dyDescent="0.15">
      <c r="A4821" s="40" t="s">
        <v>1</v>
      </c>
      <c r="B4821" s="23">
        <v>96902218</v>
      </c>
      <c r="C4821" s="23">
        <v>69022</v>
      </c>
      <c r="D4821" s="6">
        <v>6902</v>
      </c>
      <c r="F4821" s="23" t="s">
        <v>115</v>
      </c>
      <c r="G4821" s="23" t="s">
        <v>115</v>
      </c>
      <c r="H4821" s="23" t="s">
        <v>1772</v>
      </c>
      <c r="I4821" s="23">
        <v>4</v>
      </c>
      <c r="J4821" s="40">
        <v>0</v>
      </c>
      <c r="K4821" s="40">
        <v>0</v>
      </c>
      <c r="L4821" s="40" t="s">
        <v>115</v>
      </c>
      <c r="O4821" s="40" t="s">
        <v>115</v>
      </c>
      <c r="Q4821" s="40">
        <v>162</v>
      </c>
      <c r="R4821" s="40" t="s">
        <v>115</v>
      </c>
      <c r="X4821" s="40">
        <v>96902219</v>
      </c>
      <c r="Y4821" s="40" t="s">
        <v>115</v>
      </c>
      <c r="Z4821" s="40" t="s">
        <v>115</v>
      </c>
      <c r="AA4821" s="40" t="s">
        <v>115</v>
      </c>
      <c r="AB4821" s="40" t="s">
        <v>115</v>
      </c>
      <c r="AC4821" s="40" t="s">
        <v>115</v>
      </c>
      <c r="AI4821" s="40" t="s">
        <v>115</v>
      </c>
      <c r="AP4821" s="4" t="s">
        <v>115</v>
      </c>
    </row>
    <row r="4822" spans="1:42" x14ac:dyDescent="0.15">
      <c r="A4822" s="40" t="s">
        <v>1</v>
      </c>
      <c r="B4822" s="23">
        <v>96902219</v>
      </c>
      <c r="C4822" s="23">
        <v>69022</v>
      </c>
      <c r="D4822" s="6">
        <v>6902</v>
      </c>
      <c r="F4822" s="23" t="s">
        <v>115</v>
      </c>
      <c r="G4822" s="23" t="s">
        <v>115</v>
      </c>
      <c r="H4822" s="23" t="s">
        <v>1773</v>
      </c>
      <c r="I4822" s="23">
        <v>4</v>
      </c>
      <c r="J4822" s="40">
        <v>0</v>
      </c>
      <c r="K4822" s="40">
        <v>2</v>
      </c>
      <c r="L4822" s="40" t="s">
        <v>115</v>
      </c>
      <c r="O4822" s="40">
        <v>1</v>
      </c>
      <c r="Q4822" s="40">
        <v>162</v>
      </c>
      <c r="R4822" s="40" t="s">
        <v>115</v>
      </c>
      <c r="X4822" s="40" t="s">
        <v>115</v>
      </c>
      <c r="Y4822" s="40" t="s">
        <v>115</v>
      </c>
      <c r="Z4822" s="40">
        <v>1</v>
      </c>
      <c r="AA4822" s="40" t="s">
        <v>115</v>
      </c>
      <c r="AB4822" s="40" t="s">
        <v>115</v>
      </c>
      <c r="AC4822" s="40" t="s">
        <v>115</v>
      </c>
      <c r="AI4822" s="40" t="s">
        <v>115</v>
      </c>
      <c r="AP4822" s="40">
        <v>-1</v>
      </c>
    </row>
    <row r="4823" spans="1:42" x14ac:dyDescent="0.15">
      <c r="D4823" s="6"/>
      <c r="AP4823" s="40"/>
    </row>
    <row r="4824" spans="1:42" x14ac:dyDescent="0.15">
      <c r="A4824" s="40" t="s">
        <v>1</v>
      </c>
      <c r="B4824" s="23">
        <v>96903101</v>
      </c>
      <c r="C4824" s="23">
        <v>69031</v>
      </c>
      <c r="D4824" s="6">
        <v>6903</v>
      </c>
      <c r="F4824" s="23" t="s">
        <v>115</v>
      </c>
      <c r="G4824" s="23" t="s">
        <v>115</v>
      </c>
      <c r="H4824" s="23" t="s">
        <v>7427</v>
      </c>
      <c r="I4824" s="23">
        <v>4</v>
      </c>
      <c r="J4824" s="40">
        <v>1</v>
      </c>
      <c r="K4824" s="40">
        <v>1</v>
      </c>
      <c r="L4824" s="40" t="s">
        <v>115</v>
      </c>
      <c r="O4824" s="40" t="s">
        <v>115</v>
      </c>
      <c r="Q4824" s="40">
        <v>163</v>
      </c>
      <c r="R4824" s="40" t="s">
        <v>115</v>
      </c>
      <c r="X4824" s="40">
        <v>96903102</v>
      </c>
      <c r="Y4824" s="40" t="s">
        <v>115</v>
      </c>
      <c r="Z4824" s="40" t="s">
        <v>115</v>
      </c>
      <c r="AA4824" s="40" t="s">
        <v>115</v>
      </c>
      <c r="AB4824" s="40" t="s">
        <v>115</v>
      </c>
      <c r="AC4824" s="40" t="s">
        <v>115</v>
      </c>
      <c r="AI4824" s="40" t="s">
        <v>115</v>
      </c>
      <c r="AP4824" s="40" t="s">
        <v>115</v>
      </c>
    </row>
    <row r="4825" spans="1:42" x14ac:dyDescent="0.15">
      <c r="A4825" s="40" t="s">
        <v>1</v>
      </c>
      <c r="B4825" s="23">
        <v>96903102</v>
      </c>
      <c r="C4825" s="23">
        <v>69031</v>
      </c>
      <c r="D4825" s="6">
        <v>6903</v>
      </c>
      <c r="F4825" s="23" t="s">
        <v>115</v>
      </c>
      <c r="G4825" s="23" t="s">
        <v>115</v>
      </c>
      <c r="H4825" s="23" t="s">
        <v>7428</v>
      </c>
      <c r="I4825" s="23">
        <v>4</v>
      </c>
      <c r="J4825" s="40">
        <v>0</v>
      </c>
      <c r="K4825" s="40">
        <v>0</v>
      </c>
      <c r="L4825" s="40" t="s">
        <v>115</v>
      </c>
      <c r="O4825" s="40" t="s">
        <v>115</v>
      </c>
      <c r="Q4825" s="40">
        <v>163</v>
      </c>
      <c r="R4825" s="40" t="s">
        <v>115</v>
      </c>
      <c r="X4825" s="40">
        <v>96903103</v>
      </c>
      <c r="Y4825" s="40" t="s">
        <v>115</v>
      </c>
      <c r="Z4825" s="40" t="s">
        <v>115</v>
      </c>
      <c r="AA4825" s="40" t="s">
        <v>115</v>
      </c>
      <c r="AB4825" s="40" t="s">
        <v>115</v>
      </c>
      <c r="AC4825" s="40" t="s">
        <v>115</v>
      </c>
      <c r="AI4825" s="40" t="s">
        <v>115</v>
      </c>
      <c r="AP4825" s="40" t="s">
        <v>115</v>
      </c>
    </row>
    <row r="4826" spans="1:42" x14ac:dyDescent="0.15">
      <c r="A4826" s="40" t="s">
        <v>1</v>
      </c>
      <c r="B4826" s="23">
        <v>96903103</v>
      </c>
      <c r="C4826" s="23">
        <v>69031</v>
      </c>
      <c r="D4826" s="6">
        <v>6903</v>
      </c>
      <c r="F4826" s="23" t="s">
        <v>116</v>
      </c>
      <c r="G4826" s="23">
        <v>275</v>
      </c>
      <c r="H4826" s="23" t="s">
        <v>7429</v>
      </c>
      <c r="I4826" s="23">
        <v>0</v>
      </c>
      <c r="J4826" s="40">
        <v>0</v>
      </c>
      <c r="K4826" s="40">
        <v>0</v>
      </c>
      <c r="L4826" s="40" t="s">
        <v>115</v>
      </c>
      <c r="O4826" s="40" t="s">
        <v>115</v>
      </c>
      <c r="Q4826" s="40">
        <v>163</v>
      </c>
      <c r="R4826" s="40" t="s">
        <v>115</v>
      </c>
      <c r="X4826" s="40">
        <v>96903104</v>
      </c>
      <c r="Y4826" s="40" t="s">
        <v>115</v>
      </c>
      <c r="Z4826" s="40" t="s">
        <v>115</v>
      </c>
      <c r="AA4826" s="40" t="s">
        <v>115</v>
      </c>
      <c r="AB4826" s="40" t="s">
        <v>115</v>
      </c>
      <c r="AC4826" s="40" t="s">
        <v>115</v>
      </c>
      <c r="AI4826" s="40" t="s">
        <v>115</v>
      </c>
      <c r="AP4826" s="40" t="s">
        <v>115</v>
      </c>
    </row>
    <row r="4827" spans="1:42" x14ac:dyDescent="0.15">
      <c r="A4827" s="40" t="s">
        <v>1</v>
      </c>
      <c r="B4827" s="23">
        <v>96903104</v>
      </c>
      <c r="C4827" s="23">
        <v>69031</v>
      </c>
      <c r="D4827" s="6">
        <v>6903</v>
      </c>
      <c r="F4827" s="23" t="s">
        <v>116</v>
      </c>
      <c r="G4827" s="23">
        <v>261</v>
      </c>
      <c r="H4827" s="23" t="s">
        <v>7430</v>
      </c>
      <c r="I4827" s="23">
        <v>0</v>
      </c>
      <c r="J4827" s="40">
        <v>0</v>
      </c>
      <c r="K4827" s="40">
        <v>2</v>
      </c>
      <c r="L4827" s="40" t="s">
        <v>115</v>
      </c>
      <c r="O4827" s="40">
        <v>1</v>
      </c>
      <c r="Q4827" s="40">
        <v>163</v>
      </c>
      <c r="R4827" s="40" t="s">
        <v>115</v>
      </c>
      <c r="X4827" s="40" t="s">
        <v>115</v>
      </c>
      <c r="Y4827" s="40" t="s">
        <v>115</v>
      </c>
      <c r="Z4827" s="40">
        <v>1</v>
      </c>
      <c r="AA4827" s="40" t="s">
        <v>115</v>
      </c>
      <c r="AB4827" s="40" t="s">
        <v>115</v>
      </c>
      <c r="AC4827" s="40" t="s">
        <v>115</v>
      </c>
      <c r="AI4827" s="40" t="s">
        <v>115</v>
      </c>
      <c r="AP4827" s="40" t="s">
        <v>115</v>
      </c>
    </row>
    <row r="4828" spans="1:42" x14ac:dyDescent="0.15">
      <c r="D4828" s="6"/>
      <c r="AP4828" s="40"/>
    </row>
    <row r="4829" spans="1:42" x14ac:dyDescent="0.15">
      <c r="A4829" s="40" t="s">
        <v>1</v>
      </c>
      <c r="B4829" s="23">
        <v>96904101</v>
      </c>
      <c r="C4829" s="23">
        <v>69041</v>
      </c>
      <c r="D4829" s="6">
        <v>6904</v>
      </c>
      <c r="F4829" s="23" t="s">
        <v>115</v>
      </c>
      <c r="G4829" s="23" t="s">
        <v>115</v>
      </c>
      <c r="H4829" s="23" t="s">
        <v>7427</v>
      </c>
      <c r="I4829" s="23">
        <v>4</v>
      </c>
      <c r="J4829" s="40">
        <v>1</v>
      </c>
      <c r="K4829" s="40">
        <v>1</v>
      </c>
      <c r="L4829" s="40" t="s">
        <v>115</v>
      </c>
      <c r="O4829" s="40" t="s">
        <v>115</v>
      </c>
      <c r="Q4829" s="40">
        <v>163</v>
      </c>
      <c r="R4829" s="40" t="s">
        <v>115</v>
      </c>
      <c r="X4829" s="40">
        <v>96904102</v>
      </c>
      <c r="Y4829" s="40" t="s">
        <v>115</v>
      </c>
      <c r="Z4829" s="40" t="s">
        <v>115</v>
      </c>
      <c r="AA4829" s="40" t="s">
        <v>115</v>
      </c>
      <c r="AB4829" s="40" t="s">
        <v>115</v>
      </c>
      <c r="AC4829" s="40" t="s">
        <v>115</v>
      </c>
      <c r="AI4829" s="40" t="s">
        <v>115</v>
      </c>
      <c r="AP4829" s="40" t="s">
        <v>115</v>
      </c>
    </row>
    <row r="4830" spans="1:42" x14ac:dyDescent="0.15">
      <c r="A4830" s="40" t="s">
        <v>1</v>
      </c>
      <c r="B4830" s="23">
        <v>96904102</v>
      </c>
      <c r="C4830" s="23">
        <v>69041</v>
      </c>
      <c r="D4830" s="6">
        <v>6904</v>
      </c>
      <c r="F4830" s="23" t="s">
        <v>115</v>
      </c>
      <c r="G4830" s="23" t="s">
        <v>115</v>
      </c>
      <c r="H4830" s="23" t="s">
        <v>7428</v>
      </c>
      <c r="I4830" s="23">
        <v>4</v>
      </c>
      <c r="J4830" s="40">
        <v>0</v>
      </c>
      <c r="K4830" s="40">
        <v>0</v>
      </c>
      <c r="L4830" s="40" t="s">
        <v>115</v>
      </c>
      <c r="O4830" s="40" t="s">
        <v>115</v>
      </c>
      <c r="Q4830" s="40">
        <v>163</v>
      </c>
      <c r="R4830" s="40" t="s">
        <v>115</v>
      </c>
      <c r="X4830" s="40">
        <v>96904103</v>
      </c>
      <c r="Y4830" s="40" t="s">
        <v>115</v>
      </c>
      <c r="Z4830" s="40" t="s">
        <v>115</v>
      </c>
      <c r="AA4830" s="40" t="s">
        <v>115</v>
      </c>
      <c r="AB4830" s="40" t="s">
        <v>115</v>
      </c>
      <c r="AC4830" s="40" t="s">
        <v>115</v>
      </c>
      <c r="AI4830" s="40" t="s">
        <v>115</v>
      </c>
      <c r="AP4830" s="40" t="s">
        <v>115</v>
      </c>
    </row>
    <row r="4831" spans="1:42" x14ac:dyDescent="0.15">
      <c r="A4831" s="40" t="s">
        <v>1</v>
      </c>
      <c r="B4831" s="23">
        <v>96904103</v>
      </c>
      <c r="C4831" s="23">
        <v>69041</v>
      </c>
      <c r="D4831" s="6">
        <v>6904</v>
      </c>
      <c r="F4831" s="23" t="s">
        <v>116</v>
      </c>
      <c r="G4831" s="23">
        <v>275</v>
      </c>
      <c r="H4831" s="23" t="s">
        <v>7429</v>
      </c>
      <c r="I4831" s="23">
        <v>0</v>
      </c>
      <c r="J4831" s="40">
        <v>0</v>
      </c>
      <c r="K4831" s="40">
        <v>0</v>
      </c>
      <c r="L4831" s="40" t="s">
        <v>115</v>
      </c>
      <c r="O4831" s="40" t="s">
        <v>115</v>
      </c>
      <c r="Q4831" s="40">
        <v>163</v>
      </c>
      <c r="R4831" s="40" t="s">
        <v>115</v>
      </c>
      <c r="X4831" s="40">
        <v>96904104</v>
      </c>
      <c r="Y4831" s="40" t="s">
        <v>115</v>
      </c>
      <c r="Z4831" s="40" t="s">
        <v>115</v>
      </c>
      <c r="AA4831" s="40" t="s">
        <v>115</v>
      </c>
      <c r="AB4831" s="40" t="s">
        <v>115</v>
      </c>
      <c r="AC4831" s="40" t="s">
        <v>115</v>
      </c>
      <c r="AI4831" s="40" t="s">
        <v>115</v>
      </c>
      <c r="AP4831" s="40" t="s">
        <v>115</v>
      </c>
    </row>
    <row r="4832" spans="1:42" x14ac:dyDescent="0.15">
      <c r="A4832" s="40" t="s">
        <v>1</v>
      </c>
      <c r="B4832" s="23">
        <v>96904104</v>
      </c>
      <c r="C4832" s="23">
        <v>69041</v>
      </c>
      <c r="D4832" s="6">
        <v>6904</v>
      </c>
      <c r="F4832" s="23" t="s">
        <v>116</v>
      </c>
      <c r="G4832" s="23">
        <v>261</v>
      </c>
      <c r="H4832" s="23" t="s">
        <v>7430</v>
      </c>
      <c r="I4832" s="23">
        <v>0</v>
      </c>
      <c r="J4832" s="40">
        <v>0</v>
      </c>
      <c r="K4832" s="40">
        <v>2</v>
      </c>
      <c r="L4832" s="40" t="s">
        <v>115</v>
      </c>
      <c r="O4832" s="40">
        <v>1</v>
      </c>
      <c r="Q4832" s="40">
        <v>163</v>
      </c>
      <c r="R4832" s="40" t="s">
        <v>115</v>
      </c>
      <c r="X4832" s="40" t="s">
        <v>115</v>
      </c>
      <c r="Y4832" s="40" t="s">
        <v>115</v>
      </c>
      <c r="Z4832" s="40">
        <v>1</v>
      </c>
      <c r="AA4832" s="40" t="s">
        <v>115</v>
      </c>
      <c r="AB4832" s="40" t="s">
        <v>115</v>
      </c>
      <c r="AC4832" s="40" t="s">
        <v>115</v>
      </c>
      <c r="AI4832" s="40" t="s">
        <v>115</v>
      </c>
      <c r="AP4832" s="40" t="s">
        <v>115</v>
      </c>
    </row>
    <row r="4833" spans="1:42" x14ac:dyDescent="0.15">
      <c r="D4833" s="6"/>
      <c r="AP4833" s="40"/>
    </row>
    <row r="4834" spans="1:42" x14ac:dyDescent="0.15">
      <c r="A4834" s="40" t="s">
        <v>1</v>
      </c>
      <c r="B4834" s="23">
        <v>96905101</v>
      </c>
      <c r="C4834" s="23">
        <v>69051</v>
      </c>
      <c r="D4834" s="6">
        <v>6905</v>
      </c>
      <c r="F4834" s="23" t="s">
        <v>115</v>
      </c>
      <c r="G4834" s="23" t="s">
        <v>115</v>
      </c>
      <c r="H4834" s="23" t="s">
        <v>7427</v>
      </c>
      <c r="I4834" s="23">
        <v>4</v>
      </c>
      <c r="J4834" s="40">
        <v>1</v>
      </c>
      <c r="K4834" s="40">
        <v>1</v>
      </c>
      <c r="L4834" s="40" t="s">
        <v>115</v>
      </c>
      <c r="O4834" s="40" t="s">
        <v>115</v>
      </c>
      <c r="Q4834" s="40">
        <v>163</v>
      </c>
      <c r="R4834" s="40" t="s">
        <v>115</v>
      </c>
      <c r="X4834" s="40">
        <v>96905102</v>
      </c>
      <c r="Y4834" s="40" t="s">
        <v>115</v>
      </c>
      <c r="Z4834" s="40" t="s">
        <v>115</v>
      </c>
      <c r="AA4834" s="40" t="s">
        <v>115</v>
      </c>
      <c r="AB4834" s="40" t="s">
        <v>115</v>
      </c>
      <c r="AC4834" s="40" t="s">
        <v>115</v>
      </c>
      <c r="AI4834" s="40" t="s">
        <v>115</v>
      </c>
      <c r="AP4834" s="40" t="s">
        <v>115</v>
      </c>
    </row>
    <row r="4835" spans="1:42" x14ac:dyDescent="0.15">
      <c r="A4835" s="40" t="s">
        <v>1</v>
      </c>
      <c r="B4835" s="23">
        <v>96905102</v>
      </c>
      <c r="C4835" s="23">
        <v>69051</v>
      </c>
      <c r="D4835" s="6">
        <v>6905</v>
      </c>
      <c r="F4835" s="23" t="s">
        <v>115</v>
      </c>
      <c r="G4835" s="23" t="s">
        <v>115</v>
      </c>
      <c r="H4835" s="23" t="s">
        <v>7428</v>
      </c>
      <c r="I4835" s="23">
        <v>4</v>
      </c>
      <c r="J4835" s="40">
        <v>0</v>
      </c>
      <c r="K4835" s="40">
        <v>0</v>
      </c>
      <c r="L4835" s="40" t="s">
        <v>115</v>
      </c>
      <c r="O4835" s="40" t="s">
        <v>115</v>
      </c>
      <c r="Q4835" s="40">
        <v>163</v>
      </c>
      <c r="R4835" s="40" t="s">
        <v>115</v>
      </c>
      <c r="X4835" s="40">
        <v>96905103</v>
      </c>
      <c r="Y4835" s="40" t="s">
        <v>115</v>
      </c>
      <c r="Z4835" s="40" t="s">
        <v>115</v>
      </c>
      <c r="AA4835" s="40" t="s">
        <v>115</v>
      </c>
      <c r="AB4835" s="40" t="s">
        <v>115</v>
      </c>
      <c r="AC4835" s="40" t="s">
        <v>115</v>
      </c>
      <c r="AI4835" s="40" t="s">
        <v>115</v>
      </c>
      <c r="AP4835" s="40" t="s">
        <v>115</v>
      </c>
    </row>
    <row r="4836" spans="1:42" x14ac:dyDescent="0.15">
      <c r="A4836" s="40" t="s">
        <v>1</v>
      </c>
      <c r="B4836" s="23">
        <v>96905103</v>
      </c>
      <c r="C4836" s="23">
        <v>69051</v>
      </c>
      <c r="D4836" s="6">
        <v>6905</v>
      </c>
      <c r="F4836" s="23" t="s">
        <v>116</v>
      </c>
      <c r="G4836" s="23">
        <v>275</v>
      </c>
      <c r="H4836" s="23" t="s">
        <v>7429</v>
      </c>
      <c r="I4836" s="23">
        <v>0</v>
      </c>
      <c r="J4836" s="40">
        <v>0</v>
      </c>
      <c r="K4836" s="40">
        <v>0</v>
      </c>
      <c r="L4836" s="40" t="s">
        <v>115</v>
      </c>
      <c r="O4836" s="40" t="s">
        <v>115</v>
      </c>
      <c r="Q4836" s="40">
        <v>163</v>
      </c>
      <c r="R4836" s="40" t="s">
        <v>115</v>
      </c>
      <c r="X4836" s="40">
        <v>96905104</v>
      </c>
      <c r="Y4836" s="40" t="s">
        <v>115</v>
      </c>
      <c r="Z4836" s="40" t="s">
        <v>115</v>
      </c>
      <c r="AA4836" s="40" t="s">
        <v>115</v>
      </c>
      <c r="AB4836" s="40" t="s">
        <v>115</v>
      </c>
      <c r="AC4836" s="40" t="s">
        <v>115</v>
      </c>
      <c r="AI4836" s="40" t="s">
        <v>115</v>
      </c>
      <c r="AP4836" s="40" t="s">
        <v>115</v>
      </c>
    </row>
    <row r="4837" spans="1:42" x14ac:dyDescent="0.15">
      <c r="A4837" s="40" t="s">
        <v>1</v>
      </c>
      <c r="B4837" s="23">
        <v>96905104</v>
      </c>
      <c r="C4837" s="23">
        <v>69051</v>
      </c>
      <c r="D4837" s="6">
        <v>6905</v>
      </c>
      <c r="F4837" s="23" t="s">
        <v>116</v>
      </c>
      <c r="G4837" s="23">
        <v>261</v>
      </c>
      <c r="H4837" s="23" t="s">
        <v>7430</v>
      </c>
      <c r="I4837" s="23">
        <v>0</v>
      </c>
      <c r="J4837" s="40">
        <v>0</v>
      </c>
      <c r="K4837" s="40">
        <v>2</v>
      </c>
      <c r="L4837" s="40" t="s">
        <v>115</v>
      </c>
      <c r="O4837" s="40">
        <v>1</v>
      </c>
      <c r="Q4837" s="40">
        <v>163</v>
      </c>
      <c r="R4837" s="40" t="s">
        <v>115</v>
      </c>
      <c r="X4837" s="40" t="s">
        <v>115</v>
      </c>
      <c r="Y4837" s="40" t="s">
        <v>115</v>
      </c>
      <c r="Z4837" s="40">
        <v>1</v>
      </c>
      <c r="AA4837" s="40" t="s">
        <v>115</v>
      </c>
      <c r="AB4837" s="40" t="s">
        <v>115</v>
      </c>
      <c r="AC4837" s="40" t="s">
        <v>115</v>
      </c>
      <c r="AI4837" s="40" t="s">
        <v>115</v>
      </c>
      <c r="AP4837" s="40" t="s">
        <v>115</v>
      </c>
    </row>
    <row r="4838" spans="1:42" x14ac:dyDescent="0.15">
      <c r="D4838" s="6"/>
      <c r="AP4838" s="40"/>
    </row>
    <row r="4839" spans="1:42" x14ac:dyDescent="0.15">
      <c r="A4839" s="40" t="s">
        <v>1</v>
      </c>
      <c r="B4839" s="23">
        <v>97001101</v>
      </c>
      <c r="C4839" s="23">
        <v>70011</v>
      </c>
      <c r="D4839" s="6">
        <v>7001</v>
      </c>
      <c r="F4839" s="23" t="s">
        <v>115</v>
      </c>
      <c r="G4839" s="23" t="s">
        <v>115</v>
      </c>
      <c r="H4839" s="23" t="s">
        <v>7427</v>
      </c>
      <c r="I4839" s="23">
        <v>4</v>
      </c>
      <c r="J4839" s="40">
        <v>1</v>
      </c>
      <c r="K4839" s="40">
        <v>1</v>
      </c>
      <c r="L4839" s="40" t="s">
        <v>115</v>
      </c>
      <c r="O4839" s="40" t="s">
        <v>115</v>
      </c>
      <c r="Q4839" s="40">
        <v>163</v>
      </c>
      <c r="R4839" s="40" t="s">
        <v>115</v>
      </c>
      <c r="X4839" s="40">
        <v>97001102</v>
      </c>
      <c r="Y4839" s="40" t="s">
        <v>115</v>
      </c>
      <c r="Z4839" s="40" t="s">
        <v>115</v>
      </c>
      <c r="AA4839" s="40" t="s">
        <v>115</v>
      </c>
      <c r="AB4839" s="40" t="s">
        <v>115</v>
      </c>
      <c r="AC4839" s="40" t="s">
        <v>115</v>
      </c>
      <c r="AI4839" s="40" t="s">
        <v>115</v>
      </c>
      <c r="AP4839" s="40" t="s">
        <v>115</v>
      </c>
    </row>
    <row r="4840" spans="1:42" x14ac:dyDescent="0.15">
      <c r="A4840" s="40" t="s">
        <v>1</v>
      </c>
      <c r="B4840" s="23">
        <v>97001102</v>
      </c>
      <c r="C4840" s="23">
        <v>70011</v>
      </c>
      <c r="D4840" s="6">
        <v>7001</v>
      </c>
      <c r="F4840" s="23" t="s">
        <v>115</v>
      </c>
      <c r="G4840" s="23" t="s">
        <v>115</v>
      </c>
      <c r="H4840" s="23" t="s">
        <v>7428</v>
      </c>
      <c r="I4840" s="23">
        <v>4</v>
      </c>
      <c r="J4840" s="40">
        <v>0</v>
      </c>
      <c r="K4840" s="40">
        <v>0</v>
      </c>
      <c r="L4840" s="40" t="s">
        <v>115</v>
      </c>
      <c r="O4840" s="40" t="s">
        <v>115</v>
      </c>
      <c r="Q4840" s="40">
        <v>163</v>
      </c>
      <c r="R4840" s="40" t="s">
        <v>115</v>
      </c>
      <c r="X4840" s="40">
        <v>97001103</v>
      </c>
      <c r="Y4840" s="40" t="s">
        <v>115</v>
      </c>
      <c r="Z4840" s="40" t="s">
        <v>115</v>
      </c>
      <c r="AA4840" s="40" t="s">
        <v>115</v>
      </c>
      <c r="AB4840" s="40" t="s">
        <v>115</v>
      </c>
      <c r="AC4840" s="40" t="s">
        <v>115</v>
      </c>
      <c r="AI4840" s="40" t="s">
        <v>115</v>
      </c>
      <c r="AP4840" s="40" t="s">
        <v>115</v>
      </c>
    </row>
    <row r="4841" spans="1:42" x14ac:dyDescent="0.15">
      <c r="A4841" s="40" t="s">
        <v>1</v>
      </c>
      <c r="B4841" s="23">
        <v>97001103</v>
      </c>
      <c r="C4841" s="23">
        <v>70011</v>
      </c>
      <c r="D4841" s="6">
        <v>7001</v>
      </c>
      <c r="F4841" s="23" t="s">
        <v>116</v>
      </c>
      <c r="G4841" s="23">
        <v>275</v>
      </c>
      <c r="H4841" s="23" t="s">
        <v>7429</v>
      </c>
      <c r="I4841" s="23">
        <v>0</v>
      </c>
      <c r="J4841" s="40">
        <v>0</v>
      </c>
      <c r="K4841" s="40">
        <v>0</v>
      </c>
      <c r="L4841" s="40" t="s">
        <v>115</v>
      </c>
      <c r="O4841" s="40" t="s">
        <v>115</v>
      </c>
      <c r="Q4841" s="40">
        <v>163</v>
      </c>
      <c r="R4841" s="40" t="s">
        <v>115</v>
      </c>
      <c r="X4841" s="40">
        <v>97001104</v>
      </c>
      <c r="Y4841" s="40" t="s">
        <v>115</v>
      </c>
      <c r="Z4841" s="40" t="s">
        <v>115</v>
      </c>
      <c r="AA4841" s="40" t="s">
        <v>115</v>
      </c>
      <c r="AB4841" s="40" t="s">
        <v>115</v>
      </c>
      <c r="AC4841" s="40" t="s">
        <v>115</v>
      </c>
      <c r="AI4841" s="40" t="s">
        <v>115</v>
      </c>
      <c r="AP4841" s="40" t="s">
        <v>115</v>
      </c>
    </row>
    <row r="4842" spans="1:42" x14ac:dyDescent="0.15">
      <c r="A4842" s="40" t="s">
        <v>1</v>
      </c>
      <c r="B4842" s="23">
        <v>97001104</v>
      </c>
      <c r="C4842" s="23">
        <v>70011</v>
      </c>
      <c r="D4842" s="6">
        <v>7001</v>
      </c>
      <c r="F4842" s="23" t="s">
        <v>116</v>
      </c>
      <c r="G4842" s="23">
        <v>261</v>
      </c>
      <c r="H4842" s="23" t="s">
        <v>7430</v>
      </c>
      <c r="I4842" s="23">
        <v>0</v>
      </c>
      <c r="J4842" s="40">
        <v>0</v>
      </c>
      <c r="K4842" s="40">
        <v>2</v>
      </c>
      <c r="L4842" s="40" t="s">
        <v>115</v>
      </c>
      <c r="O4842" s="40">
        <v>1</v>
      </c>
      <c r="Q4842" s="40">
        <v>163</v>
      </c>
      <c r="R4842" s="40" t="s">
        <v>115</v>
      </c>
      <c r="X4842" s="40" t="s">
        <v>115</v>
      </c>
      <c r="Y4842" s="40" t="s">
        <v>115</v>
      </c>
      <c r="Z4842" s="40">
        <v>1</v>
      </c>
      <c r="AA4842" s="40" t="s">
        <v>115</v>
      </c>
      <c r="AB4842" s="40" t="s">
        <v>115</v>
      </c>
      <c r="AC4842" s="40" t="s">
        <v>115</v>
      </c>
      <c r="AI4842" s="40" t="s">
        <v>115</v>
      </c>
      <c r="AP4842" s="40" t="s">
        <v>115</v>
      </c>
    </row>
    <row r="4843" spans="1:42" x14ac:dyDescent="0.15">
      <c r="D4843" s="6"/>
      <c r="AP4843" s="40"/>
    </row>
    <row r="4844" spans="1:42" x14ac:dyDescent="0.15">
      <c r="A4844" s="40" t="s">
        <v>1</v>
      </c>
      <c r="B4844" s="23">
        <v>97002101</v>
      </c>
      <c r="C4844" s="23">
        <v>70021</v>
      </c>
      <c r="D4844" s="6">
        <v>7002</v>
      </c>
      <c r="F4844" s="23" t="s">
        <v>115</v>
      </c>
      <c r="G4844" s="23" t="s">
        <v>115</v>
      </c>
      <c r="H4844" s="23" t="s">
        <v>7427</v>
      </c>
      <c r="I4844" s="23">
        <v>4</v>
      </c>
      <c r="J4844" s="40">
        <v>1</v>
      </c>
      <c r="K4844" s="40">
        <v>1</v>
      </c>
      <c r="L4844" s="40" t="s">
        <v>115</v>
      </c>
      <c r="O4844" s="40" t="s">
        <v>115</v>
      </c>
      <c r="Q4844" s="40">
        <v>163</v>
      </c>
      <c r="R4844" s="40" t="s">
        <v>115</v>
      </c>
      <c r="X4844" s="40">
        <v>97002102</v>
      </c>
      <c r="Y4844" s="40" t="s">
        <v>115</v>
      </c>
      <c r="Z4844" s="40" t="s">
        <v>115</v>
      </c>
      <c r="AA4844" s="40" t="s">
        <v>115</v>
      </c>
      <c r="AB4844" s="40" t="s">
        <v>115</v>
      </c>
      <c r="AC4844" s="40" t="s">
        <v>115</v>
      </c>
      <c r="AI4844" s="40" t="s">
        <v>115</v>
      </c>
      <c r="AP4844" s="40" t="s">
        <v>115</v>
      </c>
    </row>
    <row r="4845" spans="1:42" x14ac:dyDescent="0.15">
      <c r="A4845" s="40" t="s">
        <v>1</v>
      </c>
      <c r="B4845" s="23">
        <v>97002102</v>
      </c>
      <c r="C4845" s="23">
        <v>70021</v>
      </c>
      <c r="D4845" s="6">
        <v>7002</v>
      </c>
      <c r="F4845" s="23" t="s">
        <v>115</v>
      </c>
      <c r="G4845" s="23" t="s">
        <v>115</v>
      </c>
      <c r="H4845" s="23" t="s">
        <v>7428</v>
      </c>
      <c r="I4845" s="23">
        <v>4</v>
      </c>
      <c r="J4845" s="40">
        <v>0</v>
      </c>
      <c r="K4845" s="40">
        <v>0</v>
      </c>
      <c r="L4845" s="40" t="s">
        <v>115</v>
      </c>
      <c r="O4845" s="40" t="s">
        <v>115</v>
      </c>
      <c r="Q4845" s="40">
        <v>163</v>
      </c>
      <c r="R4845" s="40" t="s">
        <v>115</v>
      </c>
      <c r="X4845" s="40">
        <v>97002103</v>
      </c>
      <c r="Y4845" s="40" t="s">
        <v>115</v>
      </c>
      <c r="Z4845" s="40" t="s">
        <v>115</v>
      </c>
      <c r="AA4845" s="40" t="s">
        <v>115</v>
      </c>
      <c r="AB4845" s="40" t="s">
        <v>115</v>
      </c>
      <c r="AC4845" s="40" t="s">
        <v>115</v>
      </c>
      <c r="AI4845" s="40" t="s">
        <v>115</v>
      </c>
      <c r="AP4845" s="40" t="s">
        <v>115</v>
      </c>
    </row>
    <row r="4846" spans="1:42" x14ac:dyDescent="0.15">
      <c r="A4846" s="40" t="s">
        <v>1</v>
      </c>
      <c r="B4846" s="23">
        <v>97002103</v>
      </c>
      <c r="C4846" s="23">
        <v>70021</v>
      </c>
      <c r="D4846" s="6">
        <v>7002</v>
      </c>
      <c r="F4846" s="23" t="s">
        <v>116</v>
      </c>
      <c r="G4846" s="23">
        <v>275</v>
      </c>
      <c r="H4846" s="23" t="s">
        <v>7429</v>
      </c>
      <c r="I4846" s="23">
        <v>0</v>
      </c>
      <c r="J4846" s="40">
        <v>0</v>
      </c>
      <c r="K4846" s="40">
        <v>0</v>
      </c>
      <c r="L4846" s="40" t="s">
        <v>115</v>
      </c>
      <c r="O4846" s="40" t="s">
        <v>115</v>
      </c>
      <c r="Q4846" s="40">
        <v>163</v>
      </c>
      <c r="R4846" s="40" t="s">
        <v>115</v>
      </c>
      <c r="X4846" s="40">
        <v>97002104</v>
      </c>
      <c r="Y4846" s="40" t="s">
        <v>115</v>
      </c>
      <c r="Z4846" s="40" t="s">
        <v>115</v>
      </c>
      <c r="AA4846" s="40" t="s">
        <v>115</v>
      </c>
      <c r="AB4846" s="40" t="s">
        <v>115</v>
      </c>
      <c r="AC4846" s="40" t="s">
        <v>115</v>
      </c>
      <c r="AI4846" s="40" t="s">
        <v>115</v>
      </c>
      <c r="AP4846" s="40" t="s">
        <v>115</v>
      </c>
    </row>
    <row r="4847" spans="1:42" x14ac:dyDescent="0.15">
      <c r="A4847" s="40" t="s">
        <v>1</v>
      </c>
      <c r="B4847" s="23">
        <v>97002104</v>
      </c>
      <c r="C4847" s="23">
        <v>70021</v>
      </c>
      <c r="D4847" s="6">
        <v>7002</v>
      </c>
      <c r="F4847" s="23" t="s">
        <v>116</v>
      </c>
      <c r="G4847" s="23">
        <v>261</v>
      </c>
      <c r="H4847" s="23" t="s">
        <v>7430</v>
      </c>
      <c r="I4847" s="23">
        <v>0</v>
      </c>
      <c r="J4847" s="40">
        <v>0</v>
      </c>
      <c r="K4847" s="40">
        <v>2</v>
      </c>
      <c r="L4847" s="40" t="s">
        <v>115</v>
      </c>
      <c r="O4847" s="40">
        <v>1</v>
      </c>
      <c r="Q4847" s="40">
        <v>163</v>
      </c>
      <c r="R4847" s="40" t="s">
        <v>115</v>
      </c>
      <c r="X4847" s="40" t="s">
        <v>115</v>
      </c>
      <c r="Y4847" s="40" t="s">
        <v>115</v>
      </c>
      <c r="Z4847" s="40">
        <v>1</v>
      </c>
      <c r="AA4847" s="40" t="s">
        <v>115</v>
      </c>
      <c r="AB4847" s="40" t="s">
        <v>115</v>
      </c>
      <c r="AC4847" s="40" t="s">
        <v>115</v>
      </c>
      <c r="AI4847" s="40" t="s">
        <v>115</v>
      </c>
      <c r="AP4847" s="40" t="s">
        <v>115</v>
      </c>
    </row>
    <row r="4848" spans="1:42" x14ac:dyDescent="0.15">
      <c r="D4848" s="6"/>
      <c r="AP4848" s="40"/>
    </row>
    <row r="4849" spans="1:42" x14ac:dyDescent="0.15">
      <c r="A4849" s="40" t="s">
        <v>1</v>
      </c>
      <c r="B4849" s="23">
        <v>97003101</v>
      </c>
      <c r="C4849" s="23">
        <v>70031</v>
      </c>
      <c r="D4849" s="6">
        <v>7003</v>
      </c>
      <c r="F4849" s="23" t="s">
        <v>115</v>
      </c>
      <c r="G4849" s="23" t="s">
        <v>115</v>
      </c>
      <c r="H4849" s="23" t="s">
        <v>7427</v>
      </c>
      <c r="I4849" s="23">
        <v>4</v>
      </c>
      <c r="J4849" s="40">
        <v>1</v>
      </c>
      <c r="K4849" s="40">
        <v>1</v>
      </c>
      <c r="L4849" s="40" t="s">
        <v>115</v>
      </c>
      <c r="O4849" s="40" t="s">
        <v>115</v>
      </c>
      <c r="Q4849" s="40">
        <v>163</v>
      </c>
      <c r="R4849" s="40" t="s">
        <v>115</v>
      </c>
      <c r="X4849" s="40">
        <v>97003102</v>
      </c>
      <c r="Y4849" s="40" t="s">
        <v>115</v>
      </c>
      <c r="Z4849" s="40" t="s">
        <v>115</v>
      </c>
      <c r="AA4849" s="40" t="s">
        <v>115</v>
      </c>
      <c r="AB4849" s="40" t="s">
        <v>115</v>
      </c>
      <c r="AC4849" s="40" t="s">
        <v>115</v>
      </c>
      <c r="AI4849" s="40" t="s">
        <v>115</v>
      </c>
      <c r="AP4849" s="40" t="s">
        <v>115</v>
      </c>
    </row>
    <row r="4850" spans="1:42" x14ac:dyDescent="0.15">
      <c r="A4850" s="40" t="s">
        <v>1</v>
      </c>
      <c r="B4850" s="23">
        <v>97003102</v>
      </c>
      <c r="C4850" s="23">
        <v>70031</v>
      </c>
      <c r="D4850" s="6">
        <v>7003</v>
      </c>
      <c r="F4850" s="23" t="s">
        <v>115</v>
      </c>
      <c r="G4850" s="23" t="s">
        <v>115</v>
      </c>
      <c r="H4850" s="23" t="s">
        <v>7428</v>
      </c>
      <c r="I4850" s="23">
        <v>4</v>
      </c>
      <c r="J4850" s="40">
        <v>0</v>
      </c>
      <c r="K4850" s="40">
        <v>0</v>
      </c>
      <c r="L4850" s="40" t="s">
        <v>115</v>
      </c>
      <c r="O4850" s="40" t="s">
        <v>115</v>
      </c>
      <c r="Q4850" s="40">
        <v>163</v>
      </c>
      <c r="R4850" s="40" t="s">
        <v>115</v>
      </c>
      <c r="X4850" s="40">
        <v>97003103</v>
      </c>
      <c r="Y4850" s="40" t="s">
        <v>115</v>
      </c>
      <c r="Z4850" s="40" t="s">
        <v>115</v>
      </c>
      <c r="AA4850" s="40" t="s">
        <v>115</v>
      </c>
      <c r="AB4850" s="40" t="s">
        <v>115</v>
      </c>
      <c r="AC4850" s="40" t="s">
        <v>115</v>
      </c>
      <c r="AI4850" s="40" t="s">
        <v>115</v>
      </c>
      <c r="AP4850" s="40" t="s">
        <v>115</v>
      </c>
    </row>
    <row r="4851" spans="1:42" x14ac:dyDescent="0.15">
      <c r="A4851" s="40" t="s">
        <v>1</v>
      </c>
      <c r="B4851" s="23">
        <v>97003103</v>
      </c>
      <c r="C4851" s="23">
        <v>70031</v>
      </c>
      <c r="D4851" s="6">
        <v>7003</v>
      </c>
      <c r="F4851" s="23" t="s">
        <v>116</v>
      </c>
      <c r="G4851" s="23">
        <v>275</v>
      </c>
      <c r="H4851" s="23" t="s">
        <v>7429</v>
      </c>
      <c r="I4851" s="23">
        <v>0</v>
      </c>
      <c r="J4851" s="40">
        <v>0</v>
      </c>
      <c r="K4851" s="40">
        <v>0</v>
      </c>
      <c r="L4851" s="40" t="s">
        <v>115</v>
      </c>
      <c r="O4851" s="40" t="s">
        <v>115</v>
      </c>
      <c r="Q4851" s="40">
        <v>163</v>
      </c>
      <c r="R4851" s="40" t="s">
        <v>115</v>
      </c>
      <c r="X4851" s="40">
        <v>97003104</v>
      </c>
      <c r="Y4851" s="40" t="s">
        <v>115</v>
      </c>
      <c r="Z4851" s="40" t="s">
        <v>115</v>
      </c>
      <c r="AA4851" s="40" t="s">
        <v>115</v>
      </c>
      <c r="AB4851" s="40" t="s">
        <v>115</v>
      </c>
      <c r="AC4851" s="40" t="s">
        <v>115</v>
      </c>
      <c r="AI4851" s="40" t="s">
        <v>115</v>
      </c>
      <c r="AP4851" s="40" t="s">
        <v>115</v>
      </c>
    </row>
    <row r="4852" spans="1:42" x14ac:dyDescent="0.15">
      <c r="A4852" s="40" t="s">
        <v>1</v>
      </c>
      <c r="B4852" s="23">
        <v>97003104</v>
      </c>
      <c r="C4852" s="23">
        <v>70031</v>
      </c>
      <c r="D4852" s="6">
        <v>7003</v>
      </c>
      <c r="F4852" s="23" t="s">
        <v>116</v>
      </c>
      <c r="G4852" s="23">
        <v>261</v>
      </c>
      <c r="H4852" s="23" t="s">
        <v>7430</v>
      </c>
      <c r="I4852" s="23">
        <v>0</v>
      </c>
      <c r="J4852" s="40">
        <v>0</v>
      </c>
      <c r="K4852" s="40">
        <v>2</v>
      </c>
      <c r="L4852" s="40" t="s">
        <v>115</v>
      </c>
      <c r="O4852" s="40">
        <v>1</v>
      </c>
      <c r="Q4852" s="40">
        <v>163</v>
      </c>
      <c r="R4852" s="40" t="s">
        <v>115</v>
      </c>
      <c r="X4852" s="40" t="s">
        <v>115</v>
      </c>
      <c r="Y4852" s="40" t="s">
        <v>115</v>
      </c>
      <c r="Z4852" s="40">
        <v>1</v>
      </c>
      <c r="AA4852" s="40" t="s">
        <v>115</v>
      </c>
      <c r="AB4852" s="40" t="s">
        <v>115</v>
      </c>
      <c r="AC4852" s="40" t="s">
        <v>115</v>
      </c>
      <c r="AI4852" s="40" t="s">
        <v>115</v>
      </c>
      <c r="AP4852" s="40" t="s">
        <v>115</v>
      </c>
    </row>
    <row r="4853" spans="1:42" x14ac:dyDescent="0.15">
      <c r="D4853" s="6"/>
      <c r="AP4853" s="40"/>
    </row>
    <row r="4854" spans="1:42" x14ac:dyDescent="0.15">
      <c r="A4854" s="40" t="s">
        <v>1</v>
      </c>
      <c r="B4854" s="23">
        <v>97004101</v>
      </c>
      <c r="C4854" s="23">
        <v>70041</v>
      </c>
      <c r="D4854" s="6">
        <v>7004</v>
      </c>
      <c r="F4854" s="23" t="s">
        <v>115</v>
      </c>
      <c r="G4854" s="23" t="s">
        <v>115</v>
      </c>
      <c r="H4854" s="23" t="s">
        <v>7427</v>
      </c>
      <c r="I4854" s="23">
        <v>4</v>
      </c>
      <c r="J4854" s="40">
        <v>1</v>
      </c>
      <c r="K4854" s="40">
        <v>1</v>
      </c>
      <c r="L4854" s="40" t="s">
        <v>115</v>
      </c>
      <c r="O4854" s="40" t="s">
        <v>115</v>
      </c>
      <c r="Q4854" s="40">
        <v>163</v>
      </c>
      <c r="R4854" s="40" t="s">
        <v>115</v>
      </c>
      <c r="X4854" s="40">
        <v>97004102</v>
      </c>
      <c r="Y4854" s="40" t="s">
        <v>115</v>
      </c>
      <c r="Z4854" s="40" t="s">
        <v>115</v>
      </c>
      <c r="AA4854" s="40" t="s">
        <v>115</v>
      </c>
      <c r="AB4854" s="40" t="s">
        <v>115</v>
      </c>
      <c r="AC4854" s="40" t="s">
        <v>115</v>
      </c>
      <c r="AI4854" s="40" t="s">
        <v>115</v>
      </c>
      <c r="AP4854" s="40" t="s">
        <v>115</v>
      </c>
    </row>
    <row r="4855" spans="1:42" x14ac:dyDescent="0.15">
      <c r="A4855" s="40" t="s">
        <v>1</v>
      </c>
      <c r="B4855" s="23">
        <v>97004102</v>
      </c>
      <c r="C4855" s="23">
        <v>70041</v>
      </c>
      <c r="D4855" s="6">
        <v>7004</v>
      </c>
      <c r="F4855" s="23" t="s">
        <v>115</v>
      </c>
      <c r="G4855" s="23" t="s">
        <v>115</v>
      </c>
      <c r="H4855" s="23" t="s">
        <v>7428</v>
      </c>
      <c r="I4855" s="23">
        <v>4</v>
      </c>
      <c r="J4855" s="40">
        <v>0</v>
      </c>
      <c r="K4855" s="40">
        <v>0</v>
      </c>
      <c r="L4855" s="40" t="s">
        <v>115</v>
      </c>
      <c r="O4855" s="40" t="s">
        <v>115</v>
      </c>
      <c r="Q4855" s="40">
        <v>163</v>
      </c>
      <c r="R4855" s="40" t="s">
        <v>115</v>
      </c>
      <c r="X4855" s="40">
        <v>97004103</v>
      </c>
      <c r="Y4855" s="40" t="s">
        <v>115</v>
      </c>
      <c r="Z4855" s="40" t="s">
        <v>115</v>
      </c>
      <c r="AA4855" s="40" t="s">
        <v>115</v>
      </c>
      <c r="AB4855" s="40" t="s">
        <v>115</v>
      </c>
      <c r="AC4855" s="40" t="s">
        <v>115</v>
      </c>
      <c r="AI4855" s="40" t="s">
        <v>115</v>
      </c>
      <c r="AP4855" s="40" t="s">
        <v>115</v>
      </c>
    </row>
    <row r="4856" spans="1:42" x14ac:dyDescent="0.15">
      <c r="A4856" s="40" t="s">
        <v>1</v>
      </c>
      <c r="B4856" s="23">
        <v>97004103</v>
      </c>
      <c r="C4856" s="23">
        <v>70041</v>
      </c>
      <c r="D4856" s="6">
        <v>7004</v>
      </c>
      <c r="F4856" s="23" t="s">
        <v>116</v>
      </c>
      <c r="G4856" s="23">
        <v>275</v>
      </c>
      <c r="H4856" s="23" t="s">
        <v>7429</v>
      </c>
      <c r="I4856" s="23">
        <v>0</v>
      </c>
      <c r="J4856" s="40">
        <v>0</v>
      </c>
      <c r="K4856" s="40">
        <v>0</v>
      </c>
      <c r="L4856" s="40" t="s">
        <v>115</v>
      </c>
      <c r="O4856" s="40" t="s">
        <v>115</v>
      </c>
      <c r="Q4856" s="40">
        <v>163</v>
      </c>
      <c r="R4856" s="40" t="s">
        <v>115</v>
      </c>
      <c r="X4856" s="40">
        <v>97004104</v>
      </c>
      <c r="Y4856" s="40" t="s">
        <v>115</v>
      </c>
      <c r="Z4856" s="40" t="s">
        <v>115</v>
      </c>
      <c r="AA4856" s="40" t="s">
        <v>115</v>
      </c>
      <c r="AB4856" s="40" t="s">
        <v>115</v>
      </c>
      <c r="AC4856" s="40" t="s">
        <v>115</v>
      </c>
      <c r="AI4856" s="40" t="s">
        <v>115</v>
      </c>
      <c r="AP4856" s="40" t="s">
        <v>115</v>
      </c>
    </row>
    <row r="4857" spans="1:42" x14ac:dyDescent="0.15">
      <c r="A4857" s="40" t="s">
        <v>1</v>
      </c>
      <c r="B4857" s="23">
        <v>97004104</v>
      </c>
      <c r="C4857" s="23">
        <v>70041</v>
      </c>
      <c r="D4857" s="6">
        <v>7004</v>
      </c>
      <c r="F4857" s="23" t="s">
        <v>116</v>
      </c>
      <c r="G4857" s="23">
        <v>261</v>
      </c>
      <c r="H4857" s="23" t="s">
        <v>7430</v>
      </c>
      <c r="I4857" s="23">
        <v>0</v>
      </c>
      <c r="J4857" s="40">
        <v>0</v>
      </c>
      <c r="K4857" s="40">
        <v>2</v>
      </c>
      <c r="L4857" s="40" t="s">
        <v>115</v>
      </c>
      <c r="O4857" s="40">
        <v>1</v>
      </c>
      <c r="Q4857" s="40">
        <v>163</v>
      </c>
      <c r="R4857" s="40" t="s">
        <v>115</v>
      </c>
      <c r="X4857" s="40" t="s">
        <v>115</v>
      </c>
      <c r="Y4857" s="40" t="s">
        <v>115</v>
      </c>
      <c r="Z4857" s="40">
        <v>1</v>
      </c>
      <c r="AA4857" s="40" t="s">
        <v>115</v>
      </c>
      <c r="AB4857" s="40" t="s">
        <v>115</v>
      </c>
      <c r="AC4857" s="40" t="s">
        <v>115</v>
      </c>
      <c r="AI4857" s="40" t="s">
        <v>115</v>
      </c>
      <c r="AP4857" s="40" t="s">
        <v>115</v>
      </c>
    </row>
    <row r="4858" spans="1:42" x14ac:dyDescent="0.15">
      <c r="D4858" s="6"/>
      <c r="AP4858" s="40"/>
    </row>
    <row r="4859" spans="1:42" x14ac:dyDescent="0.15">
      <c r="A4859" s="40" t="s">
        <v>1</v>
      </c>
      <c r="B4859" s="23">
        <v>97005101</v>
      </c>
      <c r="C4859" s="23">
        <v>70051</v>
      </c>
      <c r="D4859" s="6">
        <v>7005</v>
      </c>
      <c r="F4859" s="23" t="s">
        <v>115</v>
      </c>
      <c r="G4859" s="23" t="s">
        <v>115</v>
      </c>
      <c r="H4859" s="23" t="s">
        <v>7427</v>
      </c>
      <c r="I4859" s="23">
        <v>4</v>
      </c>
      <c r="J4859" s="40">
        <v>1</v>
      </c>
      <c r="K4859" s="40">
        <v>1</v>
      </c>
      <c r="L4859" s="40" t="s">
        <v>115</v>
      </c>
      <c r="O4859" s="40" t="s">
        <v>115</v>
      </c>
      <c r="Q4859" s="40">
        <v>163</v>
      </c>
      <c r="R4859" s="40" t="s">
        <v>115</v>
      </c>
      <c r="X4859" s="40">
        <v>97005102</v>
      </c>
      <c r="Y4859" s="40" t="s">
        <v>115</v>
      </c>
      <c r="Z4859" s="40" t="s">
        <v>115</v>
      </c>
      <c r="AA4859" s="40" t="s">
        <v>115</v>
      </c>
      <c r="AB4859" s="40" t="s">
        <v>115</v>
      </c>
      <c r="AC4859" s="40" t="s">
        <v>115</v>
      </c>
      <c r="AI4859" s="40" t="s">
        <v>115</v>
      </c>
      <c r="AP4859" s="40" t="s">
        <v>115</v>
      </c>
    </row>
    <row r="4860" spans="1:42" x14ac:dyDescent="0.15">
      <c r="A4860" s="40" t="s">
        <v>1</v>
      </c>
      <c r="B4860" s="23">
        <v>97005102</v>
      </c>
      <c r="C4860" s="23">
        <v>70051</v>
      </c>
      <c r="D4860" s="6">
        <v>7005</v>
      </c>
      <c r="F4860" s="23" t="s">
        <v>115</v>
      </c>
      <c r="G4860" s="23" t="s">
        <v>115</v>
      </c>
      <c r="H4860" s="23" t="s">
        <v>7428</v>
      </c>
      <c r="I4860" s="23">
        <v>4</v>
      </c>
      <c r="J4860" s="40">
        <v>0</v>
      </c>
      <c r="K4860" s="40">
        <v>0</v>
      </c>
      <c r="L4860" s="40" t="s">
        <v>115</v>
      </c>
      <c r="O4860" s="40" t="s">
        <v>115</v>
      </c>
      <c r="Q4860" s="40">
        <v>163</v>
      </c>
      <c r="R4860" s="40" t="s">
        <v>115</v>
      </c>
      <c r="X4860" s="40">
        <v>97005103</v>
      </c>
      <c r="Y4860" s="40" t="s">
        <v>115</v>
      </c>
      <c r="Z4860" s="40" t="s">
        <v>115</v>
      </c>
      <c r="AA4860" s="40" t="s">
        <v>115</v>
      </c>
      <c r="AB4860" s="40" t="s">
        <v>115</v>
      </c>
      <c r="AC4860" s="40" t="s">
        <v>115</v>
      </c>
      <c r="AI4860" s="40" t="s">
        <v>115</v>
      </c>
      <c r="AP4860" s="40" t="s">
        <v>115</v>
      </c>
    </row>
    <row r="4861" spans="1:42" x14ac:dyDescent="0.15">
      <c r="A4861" s="40" t="s">
        <v>1</v>
      </c>
      <c r="B4861" s="23">
        <v>97005103</v>
      </c>
      <c r="C4861" s="23">
        <v>70051</v>
      </c>
      <c r="D4861" s="6">
        <v>7005</v>
      </c>
      <c r="F4861" s="23" t="s">
        <v>116</v>
      </c>
      <c r="G4861" s="23">
        <v>275</v>
      </c>
      <c r="H4861" s="23" t="s">
        <v>7429</v>
      </c>
      <c r="I4861" s="23">
        <v>0</v>
      </c>
      <c r="J4861" s="40">
        <v>0</v>
      </c>
      <c r="K4861" s="40">
        <v>0</v>
      </c>
      <c r="L4861" s="40" t="s">
        <v>115</v>
      </c>
      <c r="O4861" s="40" t="s">
        <v>115</v>
      </c>
      <c r="Q4861" s="40">
        <v>163</v>
      </c>
      <c r="R4861" s="40" t="s">
        <v>115</v>
      </c>
      <c r="X4861" s="40">
        <v>97005104</v>
      </c>
      <c r="Y4861" s="40" t="s">
        <v>115</v>
      </c>
      <c r="Z4861" s="40" t="s">
        <v>115</v>
      </c>
      <c r="AA4861" s="40" t="s">
        <v>115</v>
      </c>
      <c r="AB4861" s="40" t="s">
        <v>115</v>
      </c>
      <c r="AC4861" s="40" t="s">
        <v>115</v>
      </c>
      <c r="AI4861" s="40" t="s">
        <v>115</v>
      </c>
      <c r="AP4861" s="40" t="s">
        <v>115</v>
      </c>
    </row>
    <row r="4862" spans="1:42" x14ac:dyDescent="0.15">
      <c r="A4862" s="40" t="s">
        <v>1</v>
      </c>
      <c r="B4862" s="23">
        <v>97005104</v>
      </c>
      <c r="C4862" s="23">
        <v>70051</v>
      </c>
      <c r="D4862" s="6">
        <v>7005</v>
      </c>
      <c r="F4862" s="23" t="s">
        <v>116</v>
      </c>
      <c r="G4862" s="23">
        <v>261</v>
      </c>
      <c r="H4862" s="23" t="s">
        <v>7430</v>
      </c>
      <c r="I4862" s="23">
        <v>0</v>
      </c>
      <c r="J4862" s="40">
        <v>0</v>
      </c>
      <c r="K4862" s="40">
        <v>2</v>
      </c>
      <c r="L4862" s="40" t="s">
        <v>115</v>
      </c>
      <c r="O4862" s="40">
        <v>1</v>
      </c>
      <c r="Q4862" s="40">
        <v>163</v>
      </c>
      <c r="R4862" s="40" t="s">
        <v>115</v>
      </c>
      <c r="X4862" s="40" t="s">
        <v>115</v>
      </c>
      <c r="Y4862" s="40" t="s">
        <v>115</v>
      </c>
      <c r="Z4862" s="40">
        <v>1</v>
      </c>
      <c r="AA4862" s="40" t="s">
        <v>115</v>
      </c>
      <c r="AB4862" s="40" t="s">
        <v>115</v>
      </c>
      <c r="AC4862" s="40" t="s">
        <v>115</v>
      </c>
      <c r="AI4862" s="40" t="s">
        <v>115</v>
      </c>
      <c r="AP4862" s="40" t="s">
        <v>115</v>
      </c>
    </row>
    <row r="4863" spans="1:42" x14ac:dyDescent="0.15">
      <c r="B4863" s="23" t="s">
        <v>115</v>
      </c>
      <c r="C4863" s="23" t="s">
        <v>115</v>
      </c>
      <c r="D4863" s="6"/>
      <c r="X4863" s="40" t="s">
        <v>115</v>
      </c>
      <c r="AP4863" s="4" t="s">
        <v>115</v>
      </c>
    </row>
    <row r="4864" spans="1:42" x14ac:dyDescent="0.15">
      <c r="A4864" s="40" t="s">
        <v>1</v>
      </c>
      <c r="B4864" s="23">
        <v>97201101</v>
      </c>
      <c r="C4864" s="23">
        <v>72011</v>
      </c>
      <c r="D4864" s="6">
        <v>7201</v>
      </c>
      <c r="F4864" s="23" t="s">
        <v>115</v>
      </c>
      <c r="G4864" s="23" t="s">
        <v>115</v>
      </c>
      <c r="H4864" s="23" t="s">
        <v>1584</v>
      </c>
      <c r="I4864" s="23">
        <v>4</v>
      </c>
      <c r="J4864" s="40">
        <v>1</v>
      </c>
      <c r="K4864" s="40">
        <v>1</v>
      </c>
      <c r="L4864" s="40" t="s">
        <v>115</v>
      </c>
      <c r="O4864" s="40" t="s">
        <v>115</v>
      </c>
      <c r="Q4864" s="40">
        <v>198</v>
      </c>
      <c r="R4864" s="40" t="s">
        <v>115</v>
      </c>
      <c r="X4864" s="40">
        <v>97201102</v>
      </c>
      <c r="Y4864" s="40" t="s">
        <v>115</v>
      </c>
      <c r="Z4864" s="40" t="s">
        <v>115</v>
      </c>
      <c r="AA4864" s="40" t="s">
        <v>115</v>
      </c>
      <c r="AB4864" s="40" t="s">
        <v>115</v>
      </c>
      <c r="AC4864" s="40" t="s">
        <v>115</v>
      </c>
      <c r="AI4864" s="40" t="s">
        <v>115</v>
      </c>
      <c r="AP4864" s="4" t="s">
        <v>115</v>
      </c>
    </row>
    <row r="4865" spans="1:42" x14ac:dyDescent="0.15">
      <c r="A4865" s="40" t="s">
        <v>1</v>
      </c>
      <c r="B4865" s="23">
        <v>97201102</v>
      </c>
      <c r="C4865" s="23">
        <v>72011</v>
      </c>
      <c r="D4865" s="6">
        <v>7201</v>
      </c>
      <c r="F4865" s="23" t="s">
        <v>1067</v>
      </c>
      <c r="G4865" s="23" t="s">
        <v>115</v>
      </c>
      <c r="H4865" s="23" t="s">
        <v>1585</v>
      </c>
      <c r="I4865" s="23">
        <v>3</v>
      </c>
      <c r="J4865" s="40">
        <v>0</v>
      </c>
      <c r="K4865" s="40">
        <v>0</v>
      </c>
      <c r="L4865" s="40" t="s">
        <v>115</v>
      </c>
      <c r="O4865" s="40" t="s">
        <v>115</v>
      </c>
      <c r="Q4865" s="40">
        <v>198</v>
      </c>
      <c r="R4865" s="40">
        <v>98</v>
      </c>
      <c r="X4865" s="40">
        <v>97201103</v>
      </c>
      <c r="Y4865" s="40" t="s">
        <v>115</v>
      </c>
      <c r="Z4865" s="40" t="s">
        <v>115</v>
      </c>
      <c r="AA4865" s="40" t="s">
        <v>115</v>
      </c>
      <c r="AB4865" s="40" t="s">
        <v>115</v>
      </c>
      <c r="AC4865" s="40" t="s">
        <v>115</v>
      </c>
      <c r="AI4865" s="40" t="s">
        <v>115</v>
      </c>
      <c r="AP4865" s="4" t="s">
        <v>115</v>
      </c>
    </row>
    <row r="4866" spans="1:42" x14ac:dyDescent="0.15">
      <c r="A4866" s="40" t="s">
        <v>1</v>
      </c>
      <c r="B4866" s="23">
        <v>97201103</v>
      </c>
      <c r="C4866" s="23">
        <v>72011</v>
      </c>
      <c r="D4866" s="6">
        <v>7201</v>
      </c>
      <c r="F4866" s="23" t="s">
        <v>1586</v>
      </c>
      <c r="G4866" s="23" t="s">
        <v>115</v>
      </c>
      <c r="H4866" s="23" t="s">
        <v>1587</v>
      </c>
      <c r="I4866" s="23">
        <v>3</v>
      </c>
      <c r="J4866" s="40">
        <v>0</v>
      </c>
      <c r="K4866" s="40">
        <v>0</v>
      </c>
      <c r="L4866" s="40" t="s">
        <v>115</v>
      </c>
      <c r="O4866" s="40" t="s">
        <v>115</v>
      </c>
      <c r="Q4866" s="40">
        <v>198</v>
      </c>
      <c r="R4866" s="40">
        <v>15</v>
      </c>
      <c r="X4866" s="40">
        <v>97201104</v>
      </c>
      <c r="Y4866" s="40" t="s">
        <v>115</v>
      </c>
      <c r="Z4866" s="40" t="s">
        <v>115</v>
      </c>
      <c r="AA4866" s="40" t="s">
        <v>115</v>
      </c>
      <c r="AB4866" s="40" t="s">
        <v>115</v>
      </c>
      <c r="AC4866" s="40" t="s">
        <v>115</v>
      </c>
      <c r="AI4866" s="40" t="s">
        <v>115</v>
      </c>
      <c r="AP4866" s="4" t="s">
        <v>115</v>
      </c>
    </row>
    <row r="4867" spans="1:42" x14ac:dyDescent="0.15">
      <c r="A4867" s="40" t="s">
        <v>1</v>
      </c>
      <c r="B4867" s="23">
        <v>97201104</v>
      </c>
      <c r="C4867" s="23">
        <v>72011</v>
      </c>
      <c r="D4867" s="6">
        <v>7201</v>
      </c>
      <c r="F4867" s="23" t="s">
        <v>1067</v>
      </c>
      <c r="G4867" s="23" t="s">
        <v>115</v>
      </c>
      <c r="H4867" s="23" t="s">
        <v>1588</v>
      </c>
      <c r="I4867" s="23">
        <v>3</v>
      </c>
      <c r="J4867" s="40">
        <v>0</v>
      </c>
      <c r="K4867" s="40">
        <v>0</v>
      </c>
      <c r="L4867" s="40" t="s">
        <v>115</v>
      </c>
      <c r="O4867" s="40" t="s">
        <v>115</v>
      </c>
      <c r="Q4867" s="40">
        <v>198</v>
      </c>
      <c r="R4867" s="40">
        <v>98</v>
      </c>
      <c r="X4867" s="40">
        <v>97201105</v>
      </c>
      <c r="Y4867" s="40" t="s">
        <v>115</v>
      </c>
      <c r="Z4867" s="40" t="s">
        <v>115</v>
      </c>
      <c r="AA4867" s="40" t="s">
        <v>115</v>
      </c>
      <c r="AB4867" s="40" t="s">
        <v>115</v>
      </c>
      <c r="AC4867" s="40" t="s">
        <v>115</v>
      </c>
      <c r="AI4867" s="40" t="s">
        <v>115</v>
      </c>
      <c r="AP4867" s="4" t="s">
        <v>115</v>
      </c>
    </row>
    <row r="4868" spans="1:42" x14ac:dyDescent="0.15">
      <c r="A4868" s="40" t="s">
        <v>1</v>
      </c>
      <c r="B4868" s="23">
        <v>97201105</v>
      </c>
      <c r="C4868" s="23">
        <v>72011</v>
      </c>
      <c r="D4868" s="6">
        <v>7201</v>
      </c>
      <c r="F4868" s="23" t="s">
        <v>1067</v>
      </c>
      <c r="G4868" s="23" t="s">
        <v>115</v>
      </c>
      <c r="H4868" s="23" t="s">
        <v>1589</v>
      </c>
      <c r="I4868" s="23">
        <v>3</v>
      </c>
      <c r="J4868" s="40">
        <v>0</v>
      </c>
      <c r="K4868" s="40">
        <v>0</v>
      </c>
      <c r="L4868" s="40" t="s">
        <v>115</v>
      </c>
      <c r="O4868" s="40" t="s">
        <v>115</v>
      </c>
      <c r="Q4868" s="40">
        <v>198</v>
      </c>
      <c r="R4868" s="40">
        <v>98</v>
      </c>
      <c r="X4868" s="40">
        <v>97201106</v>
      </c>
      <c r="Y4868" s="40" t="s">
        <v>115</v>
      </c>
      <c r="Z4868" s="40" t="s">
        <v>115</v>
      </c>
      <c r="AA4868" s="40" t="s">
        <v>115</v>
      </c>
      <c r="AB4868" s="40" t="s">
        <v>115</v>
      </c>
      <c r="AC4868" s="40" t="s">
        <v>115</v>
      </c>
      <c r="AI4868" s="40" t="s">
        <v>115</v>
      </c>
      <c r="AP4868" s="4" t="s">
        <v>115</v>
      </c>
    </row>
    <row r="4869" spans="1:42" x14ac:dyDescent="0.15">
      <c r="A4869" s="40" t="s">
        <v>1</v>
      </c>
      <c r="B4869" s="23">
        <v>97201106</v>
      </c>
      <c r="C4869" s="23">
        <v>72011</v>
      </c>
      <c r="D4869" s="6">
        <v>7201</v>
      </c>
      <c r="F4869" s="23" t="s">
        <v>1067</v>
      </c>
      <c r="G4869" s="23" t="s">
        <v>115</v>
      </c>
      <c r="H4869" s="23" t="s">
        <v>1590</v>
      </c>
      <c r="I4869" s="23">
        <v>3</v>
      </c>
      <c r="J4869" s="40">
        <v>0</v>
      </c>
      <c r="K4869" s="40">
        <v>0</v>
      </c>
      <c r="L4869" s="40" t="s">
        <v>115</v>
      </c>
      <c r="O4869" s="40" t="s">
        <v>115</v>
      </c>
      <c r="Q4869" s="40">
        <v>198</v>
      </c>
      <c r="R4869" s="40">
        <v>98</v>
      </c>
      <c r="X4869" s="40">
        <v>97201107</v>
      </c>
      <c r="Y4869" s="40" t="s">
        <v>115</v>
      </c>
      <c r="Z4869" s="40" t="s">
        <v>115</v>
      </c>
      <c r="AA4869" s="40" t="s">
        <v>115</v>
      </c>
      <c r="AB4869" s="40" t="s">
        <v>115</v>
      </c>
      <c r="AC4869" s="40" t="s">
        <v>115</v>
      </c>
      <c r="AI4869" s="40" t="s">
        <v>115</v>
      </c>
      <c r="AP4869" s="4" t="s">
        <v>115</v>
      </c>
    </row>
    <row r="4870" spans="1:42" x14ac:dyDescent="0.15">
      <c r="A4870" s="40" t="s">
        <v>1</v>
      </c>
      <c r="B4870" s="23">
        <v>97201107</v>
      </c>
      <c r="C4870" s="23">
        <v>72011</v>
      </c>
      <c r="D4870" s="6">
        <v>7201</v>
      </c>
      <c r="F4870" s="23" t="s">
        <v>1586</v>
      </c>
      <c r="G4870" s="23" t="s">
        <v>115</v>
      </c>
      <c r="H4870" s="23" t="s">
        <v>1591</v>
      </c>
      <c r="I4870" s="23">
        <v>3</v>
      </c>
      <c r="J4870" s="40">
        <v>0</v>
      </c>
      <c r="K4870" s="40">
        <v>0</v>
      </c>
      <c r="L4870" s="40" t="s">
        <v>115</v>
      </c>
      <c r="O4870" s="40" t="s">
        <v>115</v>
      </c>
      <c r="Q4870" s="40">
        <v>198</v>
      </c>
      <c r="R4870" s="40">
        <v>15</v>
      </c>
      <c r="X4870" s="40">
        <v>97201108</v>
      </c>
      <c r="Y4870" s="40" t="s">
        <v>115</v>
      </c>
      <c r="Z4870" s="40" t="s">
        <v>115</v>
      </c>
      <c r="AA4870" s="40" t="s">
        <v>115</v>
      </c>
      <c r="AB4870" s="40" t="s">
        <v>115</v>
      </c>
      <c r="AC4870" s="40" t="s">
        <v>115</v>
      </c>
      <c r="AI4870" s="40" t="s">
        <v>115</v>
      </c>
      <c r="AP4870" s="4" t="s">
        <v>115</v>
      </c>
    </row>
    <row r="4871" spans="1:42" x14ac:dyDescent="0.15">
      <c r="A4871" s="40" t="s">
        <v>1</v>
      </c>
      <c r="B4871" s="23">
        <v>97201108</v>
      </c>
      <c r="C4871" s="23">
        <v>72011</v>
      </c>
      <c r="D4871" s="6">
        <v>7201</v>
      </c>
      <c r="F4871" s="23" t="s">
        <v>1067</v>
      </c>
      <c r="G4871" s="23" t="s">
        <v>115</v>
      </c>
      <c r="H4871" s="23" t="s">
        <v>1592</v>
      </c>
      <c r="I4871" s="23">
        <v>3</v>
      </c>
      <c r="J4871" s="40">
        <v>0</v>
      </c>
      <c r="K4871" s="40">
        <v>0</v>
      </c>
      <c r="L4871" s="40" t="s">
        <v>115</v>
      </c>
      <c r="O4871" s="40" t="s">
        <v>115</v>
      </c>
      <c r="Q4871" s="40">
        <v>198</v>
      </c>
      <c r="R4871" s="40">
        <v>98</v>
      </c>
      <c r="X4871" s="40">
        <v>97201109</v>
      </c>
      <c r="Y4871" s="40" t="s">
        <v>115</v>
      </c>
      <c r="Z4871" s="40" t="s">
        <v>115</v>
      </c>
      <c r="AA4871" s="40" t="s">
        <v>115</v>
      </c>
      <c r="AB4871" s="40" t="s">
        <v>115</v>
      </c>
      <c r="AC4871" s="40" t="s">
        <v>115</v>
      </c>
      <c r="AI4871" s="40" t="s">
        <v>115</v>
      </c>
      <c r="AP4871" s="4" t="s">
        <v>115</v>
      </c>
    </row>
    <row r="4872" spans="1:42" x14ac:dyDescent="0.15">
      <c r="A4872" s="40" t="s">
        <v>1</v>
      </c>
      <c r="B4872" s="23">
        <v>97201109</v>
      </c>
      <c r="C4872" s="23">
        <v>72011</v>
      </c>
      <c r="D4872" s="6">
        <v>7201</v>
      </c>
      <c r="F4872" s="23" t="s">
        <v>1067</v>
      </c>
      <c r="G4872" s="23" t="s">
        <v>115</v>
      </c>
      <c r="H4872" s="23" t="s">
        <v>1593</v>
      </c>
      <c r="I4872" s="23">
        <v>3</v>
      </c>
      <c r="J4872" s="40">
        <v>0</v>
      </c>
      <c r="K4872" s="40">
        <v>0</v>
      </c>
      <c r="L4872" s="40" t="s">
        <v>115</v>
      </c>
      <c r="O4872" s="40" t="s">
        <v>115</v>
      </c>
      <c r="Q4872" s="40">
        <v>198</v>
      </c>
      <c r="R4872" s="40">
        <v>98</v>
      </c>
      <c r="X4872" s="40">
        <v>97201110</v>
      </c>
      <c r="Y4872" s="40" t="s">
        <v>115</v>
      </c>
      <c r="Z4872" s="40" t="s">
        <v>115</v>
      </c>
      <c r="AA4872" s="40" t="s">
        <v>115</v>
      </c>
      <c r="AB4872" s="40" t="s">
        <v>115</v>
      </c>
      <c r="AC4872" s="40" t="s">
        <v>115</v>
      </c>
      <c r="AI4872" s="40" t="s">
        <v>115</v>
      </c>
      <c r="AP4872" s="4" t="s">
        <v>115</v>
      </c>
    </row>
    <row r="4873" spans="1:42" x14ac:dyDescent="0.15">
      <c r="A4873" s="40" t="s">
        <v>1</v>
      </c>
      <c r="B4873" s="23">
        <v>97201110</v>
      </c>
      <c r="C4873" s="23">
        <v>72011</v>
      </c>
      <c r="D4873" s="6">
        <v>7201</v>
      </c>
      <c r="F4873" s="23" t="s">
        <v>116</v>
      </c>
      <c r="G4873" s="23">
        <v>275</v>
      </c>
      <c r="H4873" s="23" t="s">
        <v>1594</v>
      </c>
      <c r="I4873" s="23">
        <v>2</v>
      </c>
      <c r="J4873" s="40">
        <v>0</v>
      </c>
      <c r="K4873" s="40">
        <v>0</v>
      </c>
      <c r="L4873" s="40" t="s">
        <v>115</v>
      </c>
      <c r="O4873" s="40" t="s">
        <v>115</v>
      </c>
      <c r="Q4873" s="40">
        <v>198</v>
      </c>
      <c r="R4873" s="40" t="s">
        <v>115</v>
      </c>
      <c r="X4873" s="40">
        <v>97201111</v>
      </c>
      <c r="Y4873" s="40" t="s">
        <v>115</v>
      </c>
      <c r="Z4873" s="40" t="s">
        <v>115</v>
      </c>
      <c r="AA4873" s="40" t="s">
        <v>115</v>
      </c>
      <c r="AB4873" s="40" t="s">
        <v>115</v>
      </c>
      <c r="AC4873" s="40" t="s">
        <v>115</v>
      </c>
      <c r="AI4873" s="40" t="s">
        <v>115</v>
      </c>
      <c r="AP4873" s="4" t="s">
        <v>115</v>
      </c>
    </row>
    <row r="4874" spans="1:42" x14ac:dyDescent="0.15">
      <c r="A4874" s="40" t="s">
        <v>1</v>
      </c>
      <c r="B4874" s="23">
        <v>97201111</v>
      </c>
      <c r="C4874" s="23">
        <v>72011</v>
      </c>
      <c r="D4874" s="6">
        <v>7201</v>
      </c>
      <c r="F4874" s="23" t="s">
        <v>116</v>
      </c>
      <c r="G4874" s="23">
        <v>275</v>
      </c>
      <c r="H4874" s="23" t="s">
        <v>1595</v>
      </c>
      <c r="I4874" s="23">
        <v>2</v>
      </c>
      <c r="J4874" s="40">
        <v>0</v>
      </c>
      <c r="K4874" s="40">
        <v>2</v>
      </c>
      <c r="L4874" s="40" t="s">
        <v>115</v>
      </c>
      <c r="O4874" s="40">
        <v>1</v>
      </c>
      <c r="Q4874" s="40">
        <v>198</v>
      </c>
      <c r="R4874" s="40" t="s">
        <v>115</v>
      </c>
      <c r="X4874" s="40" t="s">
        <v>115</v>
      </c>
      <c r="Y4874" s="40" t="s">
        <v>115</v>
      </c>
      <c r="Z4874" s="40">
        <v>1</v>
      </c>
      <c r="AA4874" s="40" t="s">
        <v>115</v>
      </c>
      <c r="AB4874" s="40" t="s">
        <v>115</v>
      </c>
      <c r="AC4874" s="40" t="s">
        <v>115</v>
      </c>
      <c r="AI4874" s="40" t="s">
        <v>115</v>
      </c>
      <c r="AP4874" s="40">
        <v>72012</v>
      </c>
    </row>
    <row r="4875" spans="1:42" x14ac:dyDescent="0.15">
      <c r="A4875" s="40" t="s">
        <v>1</v>
      </c>
      <c r="B4875" s="23">
        <v>97201201</v>
      </c>
      <c r="C4875" s="23">
        <v>72012</v>
      </c>
      <c r="D4875" s="6">
        <v>7201</v>
      </c>
      <c r="F4875" s="23" t="s">
        <v>115</v>
      </c>
      <c r="G4875" s="23" t="s">
        <v>115</v>
      </c>
      <c r="H4875" s="23" t="s">
        <v>1596</v>
      </c>
      <c r="I4875" s="23">
        <v>4</v>
      </c>
      <c r="J4875" s="40">
        <v>1</v>
      </c>
      <c r="K4875" s="40">
        <v>1</v>
      </c>
      <c r="L4875" s="40" t="s">
        <v>115</v>
      </c>
      <c r="O4875" s="40" t="s">
        <v>115</v>
      </c>
      <c r="Q4875" s="40">
        <v>189</v>
      </c>
      <c r="R4875" s="40" t="s">
        <v>115</v>
      </c>
      <c r="X4875" s="40">
        <v>97201202</v>
      </c>
      <c r="Y4875" s="40" t="s">
        <v>115</v>
      </c>
      <c r="Z4875" s="40" t="s">
        <v>115</v>
      </c>
      <c r="AA4875" s="40" t="s">
        <v>115</v>
      </c>
      <c r="AB4875" s="40" t="s">
        <v>115</v>
      </c>
      <c r="AC4875" s="40" t="s">
        <v>115</v>
      </c>
      <c r="AI4875" s="40" t="s">
        <v>115</v>
      </c>
      <c r="AP4875" s="4" t="s">
        <v>115</v>
      </c>
    </row>
    <row r="4876" spans="1:42" x14ac:dyDescent="0.15">
      <c r="A4876" s="40" t="s">
        <v>1</v>
      </c>
      <c r="B4876" s="23">
        <v>97201202</v>
      </c>
      <c r="C4876" s="23">
        <v>72012</v>
      </c>
      <c r="D4876" s="6">
        <v>7201</v>
      </c>
      <c r="F4876" s="23" t="s">
        <v>115</v>
      </c>
      <c r="G4876" s="23" t="s">
        <v>115</v>
      </c>
      <c r="H4876" s="23" t="s">
        <v>1597</v>
      </c>
      <c r="I4876" s="23">
        <v>4</v>
      </c>
      <c r="J4876" s="40">
        <v>0</v>
      </c>
      <c r="K4876" s="40">
        <v>0</v>
      </c>
      <c r="L4876" s="40" t="s">
        <v>115</v>
      </c>
      <c r="O4876" s="40" t="s">
        <v>115</v>
      </c>
      <c r="Q4876" s="40">
        <v>189</v>
      </c>
      <c r="R4876" s="40" t="s">
        <v>115</v>
      </c>
      <c r="X4876" s="40">
        <v>97201203</v>
      </c>
      <c r="Y4876" s="40" t="s">
        <v>115</v>
      </c>
      <c r="Z4876" s="40" t="s">
        <v>115</v>
      </c>
      <c r="AA4876" s="40" t="s">
        <v>115</v>
      </c>
      <c r="AB4876" s="40" t="s">
        <v>115</v>
      </c>
      <c r="AC4876" s="40" t="s">
        <v>115</v>
      </c>
      <c r="AI4876" s="40" t="s">
        <v>115</v>
      </c>
      <c r="AP4876" s="4" t="s">
        <v>115</v>
      </c>
    </row>
    <row r="4877" spans="1:42" x14ac:dyDescent="0.15">
      <c r="A4877" s="40" t="s">
        <v>1</v>
      </c>
      <c r="B4877" s="23">
        <v>97201203</v>
      </c>
      <c r="C4877" s="23">
        <v>72012</v>
      </c>
      <c r="D4877" s="6">
        <v>7201</v>
      </c>
      <c r="F4877" s="23" t="s">
        <v>335</v>
      </c>
      <c r="G4877" s="23" t="s">
        <v>115</v>
      </c>
      <c r="H4877" s="23" t="s">
        <v>1598</v>
      </c>
      <c r="I4877" s="23">
        <v>3</v>
      </c>
      <c r="J4877" s="40">
        <v>0</v>
      </c>
      <c r="K4877" s="40">
        <v>0</v>
      </c>
      <c r="L4877" s="40" t="s">
        <v>115</v>
      </c>
      <c r="O4877" s="40" t="s">
        <v>115</v>
      </c>
      <c r="Q4877" s="40">
        <v>189</v>
      </c>
      <c r="R4877" s="40">
        <v>239</v>
      </c>
      <c r="X4877" s="40">
        <v>97201204</v>
      </c>
      <c r="Y4877" s="40" t="s">
        <v>115</v>
      </c>
      <c r="Z4877" s="40" t="s">
        <v>115</v>
      </c>
      <c r="AA4877" s="40" t="s">
        <v>115</v>
      </c>
      <c r="AB4877" s="40" t="s">
        <v>115</v>
      </c>
      <c r="AC4877" s="40" t="s">
        <v>115</v>
      </c>
      <c r="AI4877" s="40" t="s">
        <v>115</v>
      </c>
      <c r="AP4877" s="4" t="s">
        <v>115</v>
      </c>
    </row>
    <row r="4878" spans="1:42" x14ac:dyDescent="0.15">
      <c r="A4878" s="40" t="s">
        <v>1</v>
      </c>
      <c r="B4878" s="23">
        <v>97201204</v>
      </c>
      <c r="C4878" s="23">
        <v>72012</v>
      </c>
      <c r="D4878" s="6">
        <v>7201</v>
      </c>
      <c r="F4878" s="23" t="s">
        <v>116</v>
      </c>
      <c r="G4878" s="23">
        <v>261</v>
      </c>
      <c r="H4878" s="23" t="s">
        <v>1599</v>
      </c>
      <c r="I4878" s="23">
        <v>0</v>
      </c>
      <c r="J4878" s="40">
        <v>0</v>
      </c>
      <c r="K4878" s="40">
        <v>0</v>
      </c>
      <c r="L4878" s="40" t="s">
        <v>115</v>
      </c>
      <c r="O4878" s="40" t="s">
        <v>115</v>
      </c>
      <c r="Q4878" s="40">
        <v>189</v>
      </c>
      <c r="R4878" s="40">
        <v>239</v>
      </c>
      <c r="X4878" s="40">
        <v>97201205</v>
      </c>
      <c r="Y4878" s="40" t="s">
        <v>115</v>
      </c>
      <c r="Z4878" s="40" t="s">
        <v>115</v>
      </c>
      <c r="AA4878" s="40" t="s">
        <v>115</v>
      </c>
      <c r="AB4878" s="40" t="s">
        <v>115</v>
      </c>
      <c r="AC4878" s="40" t="s">
        <v>115</v>
      </c>
      <c r="AI4878" s="40" t="s">
        <v>115</v>
      </c>
      <c r="AP4878" s="4" t="s">
        <v>115</v>
      </c>
    </row>
    <row r="4879" spans="1:42" x14ac:dyDescent="0.15">
      <c r="A4879" s="40" t="s">
        <v>1</v>
      </c>
      <c r="B4879" s="23">
        <v>97201205</v>
      </c>
      <c r="C4879" s="23">
        <v>72012</v>
      </c>
      <c r="D4879" s="6">
        <v>7201</v>
      </c>
      <c r="F4879" s="23" t="s">
        <v>335</v>
      </c>
      <c r="G4879" s="23" t="s">
        <v>115</v>
      </c>
      <c r="H4879" s="23" t="s">
        <v>1600</v>
      </c>
      <c r="I4879" s="23">
        <v>3</v>
      </c>
      <c r="J4879" s="40">
        <v>0</v>
      </c>
      <c r="K4879" s="40">
        <v>0</v>
      </c>
      <c r="L4879" s="40" t="s">
        <v>115</v>
      </c>
      <c r="O4879" s="40" t="s">
        <v>115</v>
      </c>
      <c r="Q4879" s="40">
        <v>189</v>
      </c>
      <c r="R4879" s="40">
        <v>239</v>
      </c>
      <c r="X4879" s="40">
        <v>97201206</v>
      </c>
      <c r="Y4879" s="40" t="s">
        <v>115</v>
      </c>
      <c r="Z4879" s="40" t="s">
        <v>115</v>
      </c>
      <c r="AA4879" s="40" t="s">
        <v>115</v>
      </c>
      <c r="AB4879" s="40" t="s">
        <v>115</v>
      </c>
      <c r="AC4879" s="40" t="s">
        <v>115</v>
      </c>
      <c r="AI4879" s="40" t="s">
        <v>115</v>
      </c>
      <c r="AP4879" s="4" t="s">
        <v>115</v>
      </c>
    </row>
    <row r="4880" spans="1:42" x14ac:dyDescent="0.15">
      <c r="A4880" s="40" t="s">
        <v>1</v>
      </c>
      <c r="B4880" s="23">
        <v>97201206</v>
      </c>
      <c r="C4880" s="23">
        <v>72012</v>
      </c>
      <c r="D4880" s="6">
        <v>7201</v>
      </c>
      <c r="F4880" s="23" t="s">
        <v>335</v>
      </c>
      <c r="G4880" s="23" t="s">
        <v>115</v>
      </c>
      <c r="H4880" s="23" t="s">
        <v>1601</v>
      </c>
      <c r="I4880" s="23">
        <v>3</v>
      </c>
      <c r="J4880" s="40">
        <v>0</v>
      </c>
      <c r="K4880" s="40">
        <v>0</v>
      </c>
      <c r="L4880" s="40" t="s">
        <v>115</v>
      </c>
      <c r="O4880" s="40" t="s">
        <v>115</v>
      </c>
      <c r="Q4880" s="40">
        <v>189</v>
      </c>
      <c r="R4880" s="40">
        <v>239</v>
      </c>
      <c r="X4880" s="40">
        <v>97201207</v>
      </c>
      <c r="Y4880" s="40" t="s">
        <v>115</v>
      </c>
      <c r="Z4880" s="40" t="s">
        <v>115</v>
      </c>
      <c r="AA4880" s="40" t="s">
        <v>115</v>
      </c>
      <c r="AB4880" s="40" t="s">
        <v>115</v>
      </c>
      <c r="AC4880" s="40" t="s">
        <v>115</v>
      </c>
      <c r="AI4880" s="40" t="s">
        <v>115</v>
      </c>
      <c r="AP4880" s="4" t="s">
        <v>115</v>
      </c>
    </row>
    <row r="4881" spans="1:42" x14ac:dyDescent="0.15">
      <c r="A4881" s="40" t="s">
        <v>1</v>
      </c>
      <c r="B4881" s="23">
        <v>97201207</v>
      </c>
      <c r="C4881" s="23">
        <v>72012</v>
      </c>
      <c r="D4881" s="6">
        <v>7201</v>
      </c>
      <c r="F4881" s="23" t="s">
        <v>115</v>
      </c>
      <c r="G4881" s="23" t="s">
        <v>115</v>
      </c>
      <c r="H4881" s="23" t="s">
        <v>1602</v>
      </c>
      <c r="I4881" s="23">
        <v>4</v>
      </c>
      <c r="J4881" s="40">
        <v>0</v>
      </c>
      <c r="K4881" s="40">
        <v>0</v>
      </c>
      <c r="L4881" s="40" t="s">
        <v>115</v>
      </c>
      <c r="O4881" s="40" t="s">
        <v>115</v>
      </c>
      <c r="Q4881" s="40">
        <v>189</v>
      </c>
      <c r="R4881" s="40">
        <v>239</v>
      </c>
      <c r="X4881" s="40">
        <v>97201208</v>
      </c>
      <c r="Y4881" s="40" t="s">
        <v>115</v>
      </c>
      <c r="Z4881" s="40" t="s">
        <v>115</v>
      </c>
      <c r="AA4881" s="40" t="s">
        <v>115</v>
      </c>
      <c r="AB4881" s="40" t="s">
        <v>115</v>
      </c>
      <c r="AC4881" s="40" t="s">
        <v>115</v>
      </c>
      <c r="AI4881" s="40" t="s">
        <v>115</v>
      </c>
      <c r="AP4881" s="4" t="s">
        <v>115</v>
      </c>
    </row>
    <row r="4882" spans="1:42" x14ac:dyDescent="0.15">
      <c r="A4882" s="40" t="s">
        <v>1</v>
      </c>
      <c r="B4882" s="23">
        <v>97201208</v>
      </c>
      <c r="C4882" s="23">
        <v>72012</v>
      </c>
      <c r="D4882" s="6">
        <v>7201</v>
      </c>
      <c r="F4882" s="23" t="s">
        <v>335</v>
      </c>
      <c r="G4882" s="23" t="s">
        <v>115</v>
      </c>
      <c r="H4882" s="23" t="s">
        <v>1603</v>
      </c>
      <c r="I4882" s="23">
        <v>3</v>
      </c>
      <c r="J4882" s="40">
        <v>0</v>
      </c>
      <c r="K4882" s="40">
        <v>0</v>
      </c>
      <c r="L4882" s="40" t="s">
        <v>115</v>
      </c>
      <c r="O4882" s="40" t="s">
        <v>115</v>
      </c>
      <c r="Q4882" s="40">
        <v>189</v>
      </c>
      <c r="R4882" s="40">
        <v>239</v>
      </c>
      <c r="X4882" s="40">
        <v>97201209</v>
      </c>
      <c r="Y4882" s="40" t="s">
        <v>115</v>
      </c>
      <c r="Z4882" s="40" t="s">
        <v>115</v>
      </c>
      <c r="AA4882" s="40" t="s">
        <v>115</v>
      </c>
      <c r="AB4882" s="40" t="s">
        <v>115</v>
      </c>
      <c r="AC4882" s="40" t="s">
        <v>115</v>
      </c>
      <c r="AI4882" s="40" t="s">
        <v>115</v>
      </c>
      <c r="AP4882" s="4" t="s">
        <v>115</v>
      </c>
    </row>
    <row r="4883" spans="1:42" x14ac:dyDescent="0.15">
      <c r="A4883" s="40" t="s">
        <v>1</v>
      </c>
      <c r="B4883" s="23">
        <v>97201209</v>
      </c>
      <c r="C4883" s="23">
        <v>72012</v>
      </c>
      <c r="D4883" s="6">
        <v>7201</v>
      </c>
      <c r="F4883" s="23" t="s">
        <v>335</v>
      </c>
      <c r="G4883" s="23" t="s">
        <v>115</v>
      </c>
      <c r="H4883" s="23" t="s">
        <v>1604</v>
      </c>
      <c r="I4883" s="23">
        <v>3</v>
      </c>
      <c r="J4883" s="40">
        <v>0</v>
      </c>
      <c r="K4883" s="40">
        <v>0</v>
      </c>
      <c r="L4883" s="40" t="s">
        <v>115</v>
      </c>
      <c r="O4883" s="40" t="s">
        <v>115</v>
      </c>
      <c r="Q4883" s="40">
        <v>189</v>
      </c>
      <c r="R4883" s="40">
        <v>239</v>
      </c>
      <c r="X4883" s="40">
        <v>97201210</v>
      </c>
      <c r="Y4883" s="40" t="s">
        <v>115</v>
      </c>
      <c r="Z4883" s="40" t="s">
        <v>115</v>
      </c>
      <c r="AA4883" s="40" t="s">
        <v>115</v>
      </c>
      <c r="AB4883" s="40" t="s">
        <v>115</v>
      </c>
      <c r="AC4883" s="40" t="s">
        <v>115</v>
      </c>
      <c r="AI4883" s="40" t="s">
        <v>115</v>
      </c>
      <c r="AP4883" s="4" t="s">
        <v>115</v>
      </c>
    </row>
    <row r="4884" spans="1:42" x14ac:dyDescent="0.15">
      <c r="A4884" s="40" t="s">
        <v>1</v>
      </c>
      <c r="B4884" s="23">
        <v>97201210</v>
      </c>
      <c r="C4884" s="23">
        <v>72012</v>
      </c>
      <c r="D4884" s="6">
        <v>7201</v>
      </c>
      <c r="F4884" s="23" t="s">
        <v>116</v>
      </c>
      <c r="G4884" s="23">
        <v>274</v>
      </c>
      <c r="H4884" s="23" t="s">
        <v>1605</v>
      </c>
      <c r="I4884" s="23">
        <v>0</v>
      </c>
      <c r="J4884" s="40">
        <v>0</v>
      </c>
      <c r="K4884" s="40">
        <v>0</v>
      </c>
      <c r="L4884" s="40" t="s">
        <v>115</v>
      </c>
      <c r="O4884" s="40" t="s">
        <v>115</v>
      </c>
      <c r="Q4884" s="40">
        <v>189</v>
      </c>
      <c r="R4884" s="40">
        <v>239</v>
      </c>
      <c r="X4884" s="40">
        <v>97201211</v>
      </c>
      <c r="Y4884" s="40" t="s">
        <v>115</v>
      </c>
      <c r="Z4884" s="40" t="s">
        <v>115</v>
      </c>
      <c r="AA4884" s="40" t="s">
        <v>115</v>
      </c>
      <c r="AB4884" s="40" t="s">
        <v>115</v>
      </c>
      <c r="AC4884" s="40" t="s">
        <v>115</v>
      </c>
      <c r="AI4884" s="40" t="s">
        <v>115</v>
      </c>
      <c r="AP4884" s="4" t="s">
        <v>115</v>
      </c>
    </row>
    <row r="4885" spans="1:42" x14ac:dyDescent="0.15">
      <c r="A4885" s="40" t="s">
        <v>1</v>
      </c>
      <c r="B4885" s="23">
        <v>97201211</v>
      </c>
      <c r="C4885" s="23">
        <v>72012</v>
      </c>
      <c r="D4885" s="6">
        <v>7201</v>
      </c>
      <c r="F4885" s="23" t="s">
        <v>335</v>
      </c>
      <c r="G4885" s="23" t="s">
        <v>115</v>
      </c>
      <c r="H4885" s="23" t="s">
        <v>1606</v>
      </c>
      <c r="I4885" s="23">
        <v>3</v>
      </c>
      <c r="J4885" s="40">
        <v>0</v>
      </c>
      <c r="K4885" s="40">
        <v>0</v>
      </c>
      <c r="L4885" s="40" t="s">
        <v>115</v>
      </c>
      <c r="O4885" s="40" t="s">
        <v>115</v>
      </c>
      <c r="Q4885" s="40">
        <v>189</v>
      </c>
      <c r="R4885" s="40">
        <v>239</v>
      </c>
      <c r="X4885" s="40">
        <v>97201212</v>
      </c>
      <c r="Y4885" s="40" t="s">
        <v>115</v>
      </c>
      <c r="Z4885" s="40" t="s">
        <v>115</v>
      </c>
      <c r="AA4885" s="40" t="s">
        <v>115</v>
      </c>
      <c r="AB4885" s="40" t="s">
        <v>115</v>
      </c>
      <c r="AC4885" s="40" t="s">
        <v>115</v>
      </c>
      <c r="AI4885" s="40" t="s">
        <v>115</v>
      </c>
      <c r="AP4885" s="4" t="s">
        <v>115</v>
      </c>
    </row>
    <row r="4886" spans="1:42" x14ac:dyDescent="0.15">
      <c r="A4886" s="40" t="s">
        <v>1</v>
      </c>
      <c r="B4886" s="23">
        <v>97201212</v>
      </c>
      <c r="C4886" s="23">
        <v>72012</v>
      </c>
      <c r="D4886" s="6">
        <v>7201</v>
      </c>
      <c r="F4886" s="23" t="s">
        <v>335</v>
      </c>
      <c r="G4886" s="23" t="s">
        <v>115</v>
      </c>
      <c r="H4886" s="23" t="s">
        <v>1607</v>
      </c>
      <c r="I4886" s="23">
        <v>3</v>
      </c>
      <c r="J4886" s="40">
        <v>0</v>
      </c>
      <c r="K4886" s="40">
        <v>2</v>
      </c>
      <c r="L4886" s="40" t="s">
        <v>115</v>
      </c>
      <c r="O4886" s="40">
        <v>1</v>
      </c>
      <c r="Q4886" s="40">
        <v>189</v>
      </c>
      <c r="R4886" s="40">
        <v>239</v>
      </c>
      <c r="X4886" s="40" t="s">
        <v>115</v>
      </c>
      <c r="Y4886" s="40" t="s">
        <v>115</v>
      </c>
      <c r="Z4886" s="40">
        <v>1</v>
      </c>
      <c r="AA4886" s="40" t="s">
        <v>115</v>
      </c>
      <c r="AB4886" s="40" t="s">
        <v>115</v>
      </c>
      <c r="AC4886" s="40" t="s">
        <v>115</v>
      </c>
      <c r="AI4886" s="40" t="s">
        <v>115</v>
      </c>
      <c r="AP4886" s="40">
        <v>72013</v>
      </c>
    </row>
    <row r="4887" spans="1:42" x14ac:dyDescent="0.15">
      <c r="A4887" s="40" t="s">
        <v>1</v>
      </c>
      <c r="B4887" s="23">
        <v>97201301</v>
      </c>
      <c r="C4887" s="23">
        <v>72013</v>
      </c>
      <c r="D4887" s="6">
        <v>7201</v>
      </c>
      <c r="F4887" s="23" t="s">
        <v>115</v>
      </c>
      <c r="G4887" s="23" t="s">
        <v>115</v>
      </c>
      <c r="H4887" s="23" t="s">
        <v>1608</v>
      </c>
      <c r="I4887" s="23">
        <v>4</v>
      </c>
      <c r="J4887" s="40">
        <v>1</v>
      </c>
      <c r="K4887" s="40">
        <v>1</v>
      </c>
      <c r="L4887" s="40" t="s">
        <v>115</v>
      </c>
      <c r="O4887" s="40" t="s">
        <v>115</v>
      </c>
      <c r="Q4887" s="40">
        <v>111</v>
      </c>
      <c r="R4887" s="40" t="s">
        <v>115</v>
      </c>
      <c r="X4887" s="40">
        <v>97201302</v>
      </c>
      <c r="Y4887" s="40" t="s">
        <v>115</v>
      </c>
      <c r="Z4887" s="40" t="s">
        <v>115</v>
      </c>
      <c r="AA4887" s="40" t="s">
        <v>115</v>
      </c>
      <c r="AB4887" s="40" t="s">
        <v>115</v>
      </c>
      <c r="AC4887" s="40" t="s">
        <v>115</v>
      </c>
      <c r="AI4887" s="40" t="s">
        <v>115</v>
      </c>
      <c r="AP4887" s="4" t="s">
        <v>115</v>
      </c>
    </row>
    <row r="4888" spans="1:42" x14ac:dyDescent="0.15">
      <c r="A4888" s="40" t="s">
        <v>1</v>
      </c>
      <c r="B4888" s="23">
        <v>97201302</v>
      </c>
      <c r="C4888" s="23">
        <v>72013</v>
      </c>
      <c r="D4888" s="6">
        <v>7201</v>
      </c>
      <c r="F4888" s="23" t="s">
        <v>116</v>
      </c>
      <c r="G4888" s="23">
        <v>275</v>
      </c>
      <c r="H4888" s="23" t="s">
        <v>1609</v>
      </c>
      <c r="I4888" s="23">
        <v>2</v>
      </c>
      <c r="J4888" s="40">
        <v>0</v>
      </c>
      <c r="K4888" s="40">
        <v>0</v>
      </c>
      <c r="L4888" s="40" t="s">
        <v>115</v>
      </c>
      <c r="O4888" s="40" t="s">
        <v>115</v>
      </c>
      <c r="Q4888" s="40">
        <v>111</v>
      </c>
      <c r="R4888" s="40" t="s">
        <v>115</v>
      </c>
      <c r="X4888" s="40">
        <v>97201303</v>
      </c>
      <c r="Y4888" s="40" t="s">
        <v>115</v>
      </c>
      <c r="Z4888" s="40" t="s">
        <v>115</v>
      </c>
      <c r="AA4888" s="40" t="s">
        <v>115</v>
      </c>
      <c r="AB4888" s="40" t="s">
        <v>115</v>
      </c>
      <c r="AC4888" s="40" t="s">
        <v>115</v>
      </c>
      <c r="AI4888" s="40" t="s">
        <v>115</v>
      </c>
      <c r="AP4888" s="4" t="s">
        <v>115</v>
      </c>
    </row>
    <row r="4889" spans="1:42" x14ac:dyDescent="0.15">
      <c r="A4889" s="40" t="s">
        <v>1</v>
      </c>
      <c r="B4889" s="23">
        <v>97201303</v>
      </c>
      <c r="C4889" s="23">
        <v>72013</v>
      </c>
      <c r="D4889" s="6">
        <v>7201</v>
      </c>
      <c r="F4889" s="23" t="s">
        <v>859</v>
      </c>
      <c r="G4889" s="23" t="s">
        <v>115</v>
      </c>
      <c r="H4889" s="23" t="s">
        <v>1610</v>
      </c>
      <c r="I4889" s="23">
        <v>3</v>
      </c>
      <c r="J4889" s="40">
        <v>0</v>
      </c>
      <c r="K4889" s="40">
        <v>0</v>
      </c>
      <c r="L4889" s="40" t="s">
        <v>115</v>
      </c>
      <c r="O4889" s="40" t="s">
        <v>115</v>
      </c>
      <c r="Q4889" s="40">
        <v>111</v>
      </c>
      <c r="R4889" s="40">
        <v>268</v>
      </c>
      <c r="X4889" s="40">
        <v>97201304</v>
      </c>
      <c r="Y4889" s="40" t="s">
        <v>115</v>
      </c>
      <c r="Z4889" s="40" t="s">
        <v>115</v>
      </c>
      <c r="AA4889" s="40" t="s">
        <v>115</v>
      </c>
      <c r="AB4889" s="40" t="s">
        <v>115</v>
      </c>
      <c r="AC4889" s="40" t="s">
        <v>115</v>
      </c>
      <c r="AI4889" s="40" t="s">
        <v>115</v>
      </c>
      <c r="AP4889" s="4" t="s">
        <v>115</v>
      </c>
    </row>
    <row r="4890" spans="1:42" x14ac:dyDescent="0.15">
      <c r="A4890" s="40" t="s">
        <v>1</v>
      </c>
      <c r="B4890" s="23">
        <v>97201304</v>
      </c>
      <c r="C4890" s="23">
        <v>72013</v>
      </c>
      <c r="D4890" s="6">
        <v>7201</v>
      </c>
      <c r="F4890" s="23" t="s">
        <v>116</v>
      </c>
      <c r="G4890" s="23">
        <v>272</v>
      </c>
      <c r="H4890" s="23" t="s">
        <v>1611</v>
      </c>
      <c r="I4890" s="23">
        <v>0</v>
      </c>
      <c r="J4890" s="40">
        <v>0</v>
      </c>
      <c r="K4890" s="40">
        <v>0</v>
      </c>
      <c r="L4890" s="40" t="s">
        <v>115</v>
      </c>
      <c r="O4890" s="40" t="s">
        <v>115</v>
      </c>
      <c r="Q4890" s="40">
        <v>111</v>
      </c>
      <c r="R4890" s="40">
        <v>268</v>
      </c>
      <c r="X4890" s="40">
        <v>97201305</v>
      </c>
      <c r="Y4890" s="40" t="s">
        <v>115</v>
      </c>
      <c r="Z4890" s="40" t="s">
        <v>115</v>
      </c>
      <c r="AA4890" s="40" t="s">
        <v>115</v>
      </c>
      <c r="AB4890" s="40" t="s">
        <v>115</v>
      </c>
      <c r="AC4890" s="40" t="s">
        <v>115</v>
      </c>
      <c r="AI4890" s="40" t="s">
        <v>115</v>
      </c>
      <c r="AP4890" s="4" t="s">
        <v>115</v>
      </c>
    </row>
    <row r="4891" spans="1:42" x14ac:dyDescent="0.15">
      <c r="A4891" s="40" t="s">
        <v>1</v>
      </c>
      <c r="B4891" s="23">
        <v>97201305</v>
      </c>
      <c r="C4891" s="23">
        <v>72013</v>
      </c>
      <c r="D4891" s="6">
        <v>7201</v>
      </c>
      <c r="F4891" s="23" t="s">
        <v>115</v>
      </c>
      <c r="G4891" s="23" t="s">
        <v>115</v>
      </c>
      <c r="H4891" s="23" t="s">
        <v>1612</v>
      </c>
      <c r="I4891" s="23">
        <v>4</v>
      </c>
      <c r="J4891" s="40">
        <v>0</v>
      </c>
      <c r="K4891" s="40">
        <v>0</v>
      </c>
      <c r="L4891" s="40" t="s">
        <v>115</v>
      </c>
      <c r="O4891" s="40" t="s">
        <v>115</v>
      </c>
      <c r="Q4891" s="40">
        <v>111</v>
      </c>
      <c r="R4891" s="40">
        <v>268</v>
      </c>
      <c r="X4891" s="40">
        <v>97201306</v>
      </c>
      <c r="Y4891" s="40" t="s">
        <v>115</v>
      </c>
      <c r="Z4891" s="40" t="s">
        <v>115</v>
      </c>
      <c r="AA4891" s="40" t="s">
        <v>115</v>
      </c>
      <c r="AB4891" s="40" t="s">
        <v>115</v>
      </c>
      <c r="AC4891" s="40" t="s">
        <v>115</v>
      </c>
      <c r="AI4891" s="40" t="s">
        <v>115</v>
      </c>
      <c r="AP4891" s="4" t="s">
        <v>115</v>
      </c>
    </row>
    <row r="4892" spans="1:42" x14ac:dyDescent="0.15">
      <c r="A4892" s="40" t="s">
        <v>1</v>
      </c>
      <c r="B4892" s="23">
        <v>97201306</v>
      </c>
      <c r="C4892" s="23">
        <v>72013</v>
      </c>
      <c r="D4892" s="6">
        <v>7201</v>
      </c>
      <c r="F4892" s="23" t="s">
        <v>115</v>
      </c>
      <c r="G4892" s="23" t="s">
        <v>115</v>
      </c>
      <c r="H4892" s="23" t="s">
        <v>1613</v>
      </c>
      <c r="I4892" s="23">
        <v>4</v>
      </c>
      <c r="J4892" s="40">
        <v>0</v>
      </c>
      <c r="K4892" s="40">
        <v>0</v>
      </c>
      <c r="L4892" s="40" t="s">
        <v>115</v>
      </c>
      <c r="O4892" s="40" t="s">
        <v>115</v>
      </c>
      <c r="Q4892" s="40">
        <v>111</v>
      </c>
      <c r="R4892" s="40">
        <v>268</v>
      </c>
      <c r="X4892" s="40">
        <v>97201307</v>
      </c>
      <c r="Y4892" s="40" t="s">
        <v>115</v>
      </c>
      <c r="Z4892" s="40" t="s">
        <v>115</v>
      </c>
      <c r="AA4892" s="40" t="s">
        <v>115</v>
      </c>
      <c r="AB4892" s="40" t="s">
        <v>115</v>
      </c>
      <c r="AC4892" s="40" t="s">
        <v>115</v>
      </c>
      <c r="AI4892" s="40" t="s">
        <v>115</v>
      </c>
      <c r="AP4892" s="4" t="s">
        <v>115</v>
      </c>
    </row>
    <row r="4893" spans="1:42" x14ac:dyDescent="0.15">
      <c r="A4893" s="40" t="s">
        <v>1</v>
      </c>
      <c r="B4893" s="23">
        <v>97201307</v>
      </c>
      <c r="C4893" s="23">
        <v>72013</v>
      </c>
      <c r="D4893" s="6">
        <v>7201</v>
      </c>
      <c r="F4893" s="23" t="s">
        <v>116</v>
      </c>
      <c r="G4893" s="23">
        <v>259</v>
      </c>
      <c r="H4893" s="23" t="s">
        <v>1614</v>
      </c>
      <c r="I4893" s="23">
        <v>0</v>
      </c>
      <c r="J4893" s="40">
        <v>0</v>
      </c>
      <c r="K4893" s="40">
        <v>0</v>
      </c>
      <c r="L4893" s="40" t="s">
        <v>115</v>
      </c>
      <c r="O4893" s="40" t="s">
        <v>115</v>
      </c>
      <c r="Q4893" s="40">
        <v>111</v>
      </c>
      <c r="R4893" s="40">
        <v>268</v>
      </c>
      <c r="X4893" s="40">
        <v>97201308</v>
      </c>
      <c r="Y4893" s="40" t="s">
        <v>115</v>
      </c>
      <c r="Z4893" s="40" t="s">
        <v>115</v>
      </c>
      <c r="AA4893" s="40" t="s">
        <v>115</v>
      </c>
      <c r="AB4893" s="40" t="s">
        <v>115</v>
      </c>
      <c r="AC4893" s="40" t="s">
        <v>115</v>
      </c>
      <c r="AI4893" s="40" t="s">
        <v>115</v>
      </c>
      <c r="AP4893" s="4" t="s">
        <v>115</v>
      </c>
    </row>
    <row r="4894" spans="1:42" x14ac:dyDescent="0.15">
      <c r="A4894" s="40" t="s">
        <v>1</v>
      </c>
      <c r="B4894" s="23">
        <v>97201308</v>
      </c>
      <c r="C4894" s="23">
        <v>72013</v>
      </c>
      <c r="D4894" s="6">
        <v>7201</v>
      </c>
      <c r="F4894" s="23" t="s">
        <v>859</v>
      </c>
      <c r="G4894" s="23" t="s">
        <v>115</v>
      </c>
      <c r="H4894" s="23" t="s">
        <v>1615</v>
      </c>
      <c r="I4894" s="23">
        <v>3</v>
      </c>
      <c r="J4894" s="40">
        <v>0</v>
      </c>
      <c r="K4894" s="40">
        <v>0</v>
      </c>
      <c r="L4894" s="40" t="s">
        <v>115</v>
      </c>
      <c r="O4894" s="40" t="s">
        <v>115</v>
      </c>
      <c r="Q4894" s="40">
        <v>111</v>
      </c>
      <c r="R4894" s="40">
        <v>268</v>
      </c>
      <c r="X4894" s="40">
        <v>97201309</v>
      </c>
      <c r="Y4894" s="40" t="s">
        <v>115</v>
      </c>
      <c r="Z4894" s="40" t="s">
        <v>115</v>
      </c>
      <c r="AA4894" s="40" t="s">
        <v>115</v>
      </c>
      <c r="AB4894" s="40" t="s">
        <v>115</v>
      </c>
      <c r="AC4894" s="40" t="s">
        <v>115</v>
      </c>
      <c r="AI4894" s="40" t="s">
        <v>115</v>
      </c>
      <c r="AP4894" s="4" t="s">
        <v>115</v>
      </c>
    </row>
    <row r="4895" spans="1:42" x14ac:dyDescent="0.15">
      <c r="A4895" s="40" t="s">
        <v>1</v>
      </c>
      <c r="B4895" s="23">
        <v>97201309</v>
      </c>
      <c r="C4895" s="23">
        <v>72013</v>
      </c>
      <c r="D4895" s="6">
        <v>7201</v>
      </c>
      <c r="F4895" s="23" t="s">
        <v>116</v>
      </c>
      <c r="G4895" s="23">
        <v>261</v>
      </c>
      <c r="H4895" s="23" t="s">
        <v>1616</v>
      </c>
      <c r="I4895" s="23">
        <v>0</v>
      </c>
      <c r="J4895" s="40">
        <v>0</v>
      </c>
      <c r="K4895" s="40">
        <v>0</v>
      </c>
      <c r="L4895" s="40" t="s">
        <v>115</v>
      </c>
      <c r="O4895" s="40" t="s">
        <v>115</v>
      </c>
      <c r="Q4895" s="40">
        <v>111</v>
      </c>
      <c r="R4895" s="40">
        <v>268</v>
      </c>
      <c r="X4895" s="40">
        <v>97201310</v>
      </c>
      <c r="Y4895" s="40" t="s">
        <v>115</v>
      </c>
      <c r="Z4895" s="40" t="s">
        <v>115</v>
      </c>
      <c r="AA4895" s="40" t="s">
        <v>115</v>
      </c>
      <c r="AB4895" s="40" t="s">
        <v>115</v>
      </c>
      <c r="AC4895" s="40" t="s">
        <v>115</v>
      </c>
      <c r="AI4895" s="40" t="s">
        <v>115</v>
      </c>
      <c r="AP4895" s="4" t="s">
        <v>115</v>
      </c>
    </row>
    <row r="4896" spans="1:42" x14ac:dyDescent="0.15">
      <c r="A4896" s="40" t="s">
        <v>1</v>
      </c>
      <c r="B4896" s="23">
        <v>97201310</v>
      </c>
      <c r="C4896" s="23">
        <v>72013</v>
      </c>
      <c r="D4896" s="6">
        <v>7201</v>
      </c>
      <c r="F4896" s="23" t="s">
        <v>859</v>
      </c>
      <c r="G4896" s="23" t="s">
        <v>115</v>
      </c>
      <c r="H4896" s="23" t="s">
        <v>1617</v>
      </c>
      <c r="I4896" s="23">
        <v>3</v>
      </c>
      <c r="J4896" s="40">
        <v>0</v>
      </c>
      <c r="K4896" s="40">
        <v>0</v>
      </c>
      <c r="L4896" s="40" t="s">
        <v>115</v>
      </c>
      <c r="O4896" s="40" t="s">
        <v>115</v>
      </c>
      <c r="Q4896" s="40">
        <v>111</v>
      </c>
      <c r="R4896" s="40">
        <v>268</v>
      </c>
      <c r="X4896" s="40">
        <v>97201311</v>
      </c>
      <c r="Y4896" s="40" t="s">
        <v>115</v>
      </c>
      <c r="Z4896" s="40" t="s">
        <v>115</v>
      </c>
      <c r="AA4896" s="40" t="s">
        <v>115</v>
      </c>
      <c r="AB4896" s="40" t="s">
        <v>115</v>
      </c>
      <c r="AC4896" s="40" t="s">
        <v>115</v>
      </c>
      <c r="AI4896" s="40" t="s">
        <v>115</v>
      </c>
      <c r="AP4896" s="4" t="s">
        <v>115</v>
      </c>
    </row>
    <row r="4897" spans="1:42" x14ac:dyDescent="0.15">
      <c r="A4897" s="40" t="s">
        <v>1</v>
      </c>
      <c r="B4897" s="23">
        <v>97201311</v>
      </c>
      <c r="C4897" s="23">
        <v>72013</v>
      </c>
      <c r="D4897" s="6">
        <v>7201</v>
      </c>
      <c r="F4897" s="23" t="s">
        <v>115</v>
      </c>
      <c r="G4897" s="23" t="s">
        <v>115</v>
      </c>
      <c r="H4897" s="23" t="s">
        <v>1618</v>
      </c>
      <c r="I4897" s="23">
        <v>4</v>
      </c>
      <c r="J4897" s="40">
        <v>0</v>
      </c>
      <c r="K4897" s="40">
        <v>0</v>
      </c>
      <c r="L4897" s="40" t="s">
        <v>115</v>
      </c>
      <c r="O4897" s="40" t="s">
        <v>115</v>
      </c>
      <c r="Q4897" s="40">
        <v>111</v>
      </c>
      <c r="R4897" s="40">
        <v>268</v>
      </c>
      <c r="X4897" s="40">
        <v>97201312</v>
      </c>
      <c r="Y4897" s="40" t="s">
        <v>115</v>
      </c>
      <c r="Z4897" s="40" t="s">
        <v>115</v>
      </c>
      <c r="AA4897" s="40" t="s">
        <v>115</v>
      </c>
      <c r="AB4897" s="40" t="s">
        <v>115</v>
      </c>
      <c r="AC4897" s="40" t="s">
        <v>115</v>
      </c>
      <c r="AI4897" s="40" t="s">
        <v>115</v>
      </c>
      <c r="AP4897" s="4" t="s">
        <v>115</v>
      </c>
    </row>
    <row r="4898" spans="1:42" x14ac:dyDescent="0.15">
      <c r="A4898" s="40" t="s">
        <v>1</v>
      </c>
      <c r="B4898" s="23">
        <v>97201312</v>
      </c>
      <c r="C4898" s="23">
        <v>72013</v>
      </c>
      <c r="D4898" s="6">
        <v>7201</v>
      </c>
      <c r="F4898" s="23" t="s">
        <v>859</v>
      </c>
      <c r="G4898" s="23" t="s">
        <v>115</v>
      </c>
      <c r="H4898" s="23" t="s">
        <v>1619</v>
      </c>
      <c r="I4898" s="23">
        <v>3</v>
      </c>
      <c r="J4898" s="40">
        <v>0</v>
      </c>
      <c r="K4898" s="40">
        <v>2</v>
      </c>
      <c r="L4898" s="40" t="s">
        <v>115</v>
      </c>
      <c r="O4898" s="40">
        <v>1</v>
      </c>
      <c r="Q4898" s="40">
        <v>111</v>
      </c>
      <c r="R4898" s="40">
        <v>268</v>
      </c>
      <c r="X4898" s="40" t="s">
        <v>115</v>
      </c>
      <c r="Y4898" s="40" t="s">
        <v>115</v>
      </c>
      <c r="Z4898" s="40">
        <v>1</v>
      </c>
      <c r="AA4898" s="40" t="s">
        <v>115</v>
      </c>
      <c r="AB4898" s="40" t="s">
        <v>115</v>
      </c>
      <c r="AC4898" s="40" t="s">
        <v>115</v>
      </c>
      <c r="AI4898" s="40" t="s">
        <v>115</v>
      </c>
      <c r="AP4898" s="40">
        <v>-1</v>
      </c>
    </row>
    <row r="4899" spans="1:42" x14ac:dyDescent="0.15">
      <c r="A4899" s="40" t="s">
        <v>1</v>
      </c>
      <c r="B4899" s="23">
        <v>97202101</v>
      </c>
      <c r="C4899" s="23">
        <v>72021</v>
      </c>
      <c r="D4899" s="6">
        <v>7202</v>
      </c>
      <c r="F4899" s="23" t="s">
        <v>1177</v>
      </c>
      <c r="G4899" s="23" t="s">
        <v>115</v>
      </c>
      <c r="H4899" s="23" t="s">
        <v>1620</v>
      </c>
      <c r="I4899" s="23">
        <v>3</v>
      </c>
      <c r="J4899" s="40">
        <v>1</v>
      </c>
      <c r="K4899" s="40">
        <v>1</v>
      </c>
      <c r="L4899" s="40" t="s">
        <v>115</v>
      </c>
      <c r="O4899" s="40" t="s">
        <v>115</v>
      </c>
      <c r="Q4899" s="40">
        <v>189</v>
      </c>
      <c r="R4899" s="40">
        <v>256</v>
      </c>
      <c r="X4899" s="40">
        <v>97202102</v>
      </c>
      <c r="Y4899" s="40" t="s">
        <v>115</v>
      </c>
      <c r="Z4899" s="40" t="s">
        <v>115</v>
      </c>
      <c r="AA4899" s="40" t="s">
        <v>115</v>
      </c>
      <c r="AB4899" s="40" t="s">
        <v>115</v>
      </c>
      <c r="AC4899" s="40" t="s">
        <v>115</v>
      </c>
      <c r="AI4899" s="40" t="s">
        <v>115</v>
      </c>
      <c r="AP4899" s="4" t="s">
        <v>115</v>
      </c>
    </row>
    <row r="4900" spans="1:42" x14ac:dyDescent="0.15">
      <c r="A4900" s="40" t="s">
        <v>1</v>
      </c>
      <c r="B4900" s="23">
        <v>97202102</v>
      </c>
      <c r="C4900" s="23">
        <v>72021</v>
      </c>
      <c r="D4900" s="6">
        <v>7202</v>
      </c>
      <c r="F4900" s="23" t="s">
        <v>1177</v>
      </c>
      <c r="G4900" s="23" t="s">
        <v>115</v>
      </c>
      <c r="H4900" s="23" t="s">
        <v>1621</v>
      </c>
      <c r="I4900" s="23">
        <v>3</v>
      </c>
      <c r="J4900" s="40">
        <v>0</v>
      </c>
      <c r="K4900" s="40">
        <v>0</v>
      </c>
      <c r="L4900" s="40" t="s">
        <v>115</v>
      </c>
      <c r="O4900" s="40" t="s">
        <v>115</v>
      </c>
      <c r="Q4900" s="40">
        <v>189</v>
      </c>
      <c r="R4900" s="40">
        <v>256</v>
      </c>
      <c r="X4900" s="40">
        <v>97202103</v>
      </c>
      <c r="Y4900" s="40" t="s">
        <v>115</v>
      </c>
      <c r="Z4900" s="40" t="s">
        <v>115</v>
      </c>
      <c r="AA4900" s="40" t="s">
        <v>115</v>
      </c>
      <c r="AB4900" s="40" t="s">
        <v>115</v>
      </c>
      <c r="AC4900" s="40" t="s">
        <v>115</v>
      </c>
      <c r="AI4900" s="40" t="s">
        <v>115</v>
      </c>
      <c r="AP4900" s="4" t="s">
        <v>115</v>
      </c>
    </row>
    <row r="4901" spans="1:42" x14ac:dyDescent="0.15">
      <c r="A4901" s="40" t="s">
        <v>1</v>
      </c>
      <c r="B4901" s="23">
        <v>97202103</v>
      </c>
      <c r="C4901" s="23">
        <v>72021</v>
      </c>
      <c r="D4901" s="6">
        <v>7202</v>
      </c>
      <c r="F4901" s="23" t="s">
        <v>116</v>
      </c>
      <c r="G4901" s="23">
        <v>261</v>
      </c>
      <c r="H4901" s="23" t="s">
        <v>1622</v>
      </c>
      <c r="I4901" s="23">
        <v>0</v>
      </c>
      <c r="J4901" s="40">
        <v>0</v>
      </c>
      <c r="K4901" s="40">
        <v>0</v>
      </c>
      <c r="L4901" s="40" t="s">
        <v>115</v>
      </c>
      <c r="O4901" s="40" t="s">
        <v>115</v>
      </c>
      <c r="Q4901" s="40">
        <v>189</v>
      </c>
      <c r="R4901" s="40">
        <v>256</v>
      </c>
      <c r="X4901" s="40">
        <v>97202104</v>
      </c>
      <c r="Y4901" s="40" t="s">
        <v>115</v>
      </c>
      <c r="Z4901" s="40" t="s">
        <v>115</v>
      </c>
      <c r="AA4901" s="40" t="s">
        <v>115</v>
      </c>
      <c r="AB4901" s="40" t="s">
        <v>115</v>
      </c>
      <c r="AC4901" s="40" t="s">
        <v>115</v>
      </c>
      <c r="AI4901" s="40" t="s">
        <v>115</v>
      </c>
      <c r="AP4901" s="4" t="s">
        <v>115</v>
      </c>
    </row>
    <row r="4902" spans="1:42" x14ac:dyDescent="0.15">
      <c r="A4902" s="40" t="s">
        <v>1</v>
      </c>
      <c r="B4902" s="23">
        <v>97202104</v>
      </c>
      <c r="C4902" s="23">
        <v>72021</v>
      </c>
      <c r="D4902" s="6">
        <v>7202</v>
      </c>
      <c r="F4902" s="23" t="s">
        <v>1177</v>
      </c>
      <c r="G4902" s="23" t="s">
        <v>115</v>
      </c>
      <c r="H4902" s="23" t="s">
        <v>1623</v>
      </c>
      <c r="I4902" s="23">
        <v>3</v>
      </c>
      <c r="J4902" s="40">
        <v>0</v>
      </c>
      <c r="K4902" s="40">
        <v>0</v>
      </c>
      <c r="L4902" s="40" t="s">
        <v>115</v>
      </c>
      <c r="O4902" s="40" t="s">
        <v>115</v>
      </c>
      <c r="Q4902" s="40">
        <v>189</v>
      </c>
      <c r="R4902" s="40">
        <v>256</v>
      </c>
      <c r="X4902" s="40">
        <v>97202105</v>
      </c>
      <c r="Y4902" s="40" t="s">
        <v>115</v>
      </c>
      <c r="Z4902" s="40" t="s">
        <v>115</v>
      </c>
      <c r="AA4902" s="40" t="s">
        <v>115</v>
      </c>
      <c r="AB4902" s="40" t="s">
        <v>115</v>
      </c>
      <c r="AC4902" s="40" t="s">
        <v>115</v>
      </c>
      <c r="AI4902" s="40" t="s">
        <v>115</v>
      </c>
      <c r="AP4902" s="4" t="s">
        <v>115</v>
      </c>
    </row>
    <row r="4903" spans="1:42" x14ac:dyDescent="0.15">
      <c r="A4903" s="40" t="s">
        <v>1</v>
      </c>
      <c r="B4903" s="23">
        <v>97202105</v>
      </c>
      <c r="C4903" s="23">
        <v>72021</v>
      </c>
      <c r="D4903" s="6">
        <v>7202</v>
      </c>
      <c r="F4903" s="23" t="s">
        <v>1177</v>
      </c>
      <c r="G4903" s="23" t="s">
        <v>115</v>
      </c>
      <c r="H4903" s="23" t="s">
        <v>1624</v>
      </c>
      <c r="I4903" s="23">
        <v>3</v>
      </c>
      <c r="J4903" s="40">
        <v>0</v>
      </c>
      <c r="K4903" s="40">
        <v>0</v>
      </c>
      <c r="L4903" s="40" t="s">
        <v>115</v>
      </c>
      <c r="O4903" s="40" t="s">
        <v>115</v>
      </c>
      <c r="Q4903" s="40">
        <v>189</v>
      </c>
      <c r="R4903" s="40">
        <v>256</v>
      </c>
      <c r="X4903" s="40">
        <v>97202106</v>
      </c>
      <c r="Y4903" s="40" t="s">
        <v>115</v>
      </c>
      <c r="Z4903" s="40" t="s">
        <v>115</v>
      </c>
      <c r="AA4903" s="40" t="s">
        <v>115</v>
      </c>
      <c r="AB4903" s="40" t="s">
        <v>115</v>
      </c>
      <c r="AC4903" s="40" t="s">
        <v>115</v>
      </c>
      <c r="AI4903" s="40" t="s">
        <v>115</v>
      </c>
      <c r="AP4903" s="4" t="s">
        <v>115</v>
      </c>
    </row>
    <row r="4904" spans="1:42" x14ac:dyDescent="0.15">
      <c r="A4904" s="40" t="s">
        <v>1</v>
      </c>
      <c r="B4904" s="23">
        <v>97202106</v>
      </c>
      <c r="C4904" s="23">
        <v>72021</v>
      </c>
      <c r="D4904" s="51">
        <v>7202</v>
      </c>
      <c r="F4904" s="23" t="s">
        <v>1177</v>
      </c>
      <c r="G4904" s="23" t="s">
        <v>115</v>
      </c>
      <c r="H4904" s="23" t="s">
        <v>1625</v>
      </c>
      <c r="I4904" s="23">
        <v>3</v>
      </c>
      <c r="J4904" s="40">
        <v>0</v>
      </c>
      <c r="K4904" s="40">
        <v>0</v>
      </c>
      <c r="L4904" s="40" t="s">
        <v>115</v>
      </c>
      <c r="O4904" s="40" t="s">
        <v>115</v>
      </c>
      <c r="Q4904" s="40">
        <v>189</v>
      </c>
      <c r="R4904" s="40">
        <v>256</v>
      </c>
      <c r="X4904" s="40">
        <v>97202107</v>
      </c>
      <c r="Y4904" s="40" t="s">
        <v>115</v>
      </c>
      <c r="Z4904" s="40" t="s">
        <v>115</v>
      </c>
      <c r="AA4904" s="40" t="s">
        <v>115</v>
      </c>
      <c r="AB4904" s="40" t="s">
        <v>115</v>
      </c>
      <c r="AC4904" s="40" t="s">
        <v>115</v>
      </c>
      <c r="AI4904" s="40" t="s">
        <v>115</v>
      </c>
      <c r="AP4904" s="4" t="s">
        <v>115</v>
      </c>
    </row>
    <row r="4905" spans="1:42" x14ac:dyDescent="0.15">
      <c r="A4905" s="40" t="s">
        <v>1</v>
      </c>
      <c r="B4905" s="23">
        <v>97202107</v>
      </c>
      <c r="C4905" s="23">
        <v>72021</v>
      </c>
      <c r="D4905" s="51">
        <v>7202</v>
      </c>
      <c r="F4905" s="23" t="s">
        <v>116</v>
      </c>
      <c r="G4905" s="23">
        <v>261</v>
      </c>
      <c r="H4905" s="23" t="s">
        <v>1626</v>
      </c>
      <c r="I4905" s="23">
        <v>0</v>
      </c>
      <c r="J4905" s="40">
        <v>0</v>
      </c>
      <c r="K4905" s="40">
        <v>0</v>
      </c>
      <c r="L4905" s="40" t="s">
        <v>115</v>
      </c>
      <c r="O4905" s="40" t="s">
        <v>115</v>
      </c>
      <c r="Q4905" s="40">
        <v>189</v>
      </c>
      <c r="R4905" s="40">
        <v>256</v>
      </c>
      <c r="X4905" s="40">
        <v>97202108</v>
      </c>
      <c r="Y4905" s="40" t="s">
        <v>115</v>
      </c>
      <c r="Z4905" s="40" t="s">
        <v>115</v>
      </c>
      <c r="AA4905" s="40" t="s">
        <v>115</v>
      </c>
      <c r="AB4905" s="40" t="s">
        <v>115</v>
      </c>
      <c r="AC4905" s="40" t="s">
        <v>115</v>
      </c>
      <c r="AI4905" s="40" t="s">
        <v>115</v>
      </c>
      <c r="AP4905" s="4" t="s">
        <v>115</v>
      </c>
    </row>
    <row r="4906" spans="1:42" x14ac:dyDescent="0.15">
      <c r="A4906" s="40" t="s">
        <v>1</v>
      </c>
      <c r="B4906" s="23">
        <v>97202108</v>
      </c>
      <c r="C4906" s="23">
        <v>72021</v>
      </c>
      <c r="D4906" s="51">
        <v>7202</v>
      </c>
      <c r="F4906" s="23" t="s">
        <v>1177</v>
      </c>
      <c r="G4906" s="23" t="s">
        <v>115</v>
      </c>
      <c r="H4906" s="23" t="s">
        <v>1627</v>
      </c>
      <c r="I4906" s="23">
        <v>3</v>
      </c>
      <c r="J4906" s="40">
        <v>0</v>
      </c>
      <c r="K4906" s="40">
        <v>0</v>
      </c>
      <c r="L4906" s="40" t="s">
        <v>115</v>
      </c>
      <c r="O4906" s="40" t="s">
        <v>115</v>
      </c>
      <c r="Q4906" s="40">
        <v>189</v>
      </c>
      <c r="R4906" s="40">
        <v>256</v>
      </c>
      <c r="X4906" s="40">
        <v>97202109</v>
      </c>
      <c r="Y4906" s="40" t="s">
        <v>115</v>
      </c>
      <c r="Z4906" s="40" t="s">
        <v>115</v>
      </c>
      <c r="AA4906" s="40" t="s">
        <v>115</v>
      </c>
      <c r="AB4906" s="40" t="s">
        <v>115</v>
      </c>
      <c r="AC4906" s="40" t="s">
        <v>115</v>
      </c>
      <c r="AI4906" s="40" t="s">
        <v>115</v>
      </c>
      <c r="AP4906" s="4" t="s">
        <v>115</v>
      </c>
    </row>
    <row r="4907" spans="1:42" x14ac:dyDescent="0.15">
      <c r="A4907" s="40" t="s">
        <v>1</v>
      </c>
      <c r="B4907" s="23">
        <v>97202109</v>
      </c>
      <c r="C4907" s="23">
        <v>72021</v>
      </c>
      <c r="D4907" s="51">
        <v>7202</v>
      </c>
      <c r="F4907" s="23" t="s">
        <v>1177</v>
      </c>
      <c r="G4907" s="23" t="s">
        <v>115</v>
      </c>
      <c r="H4907" s="23" t="s">
        <v>1628</v>
      </c>
      <c r="I4907" s="23">
        <v>3</v>
      </c>
      <c r="J4907" s="40">
        <v>0</v>
      </c>
      <c r="K4907" s="40">
        <v>0</v>
      </c>
      <c r="L4907" s="40" t="s">
        <v>115</v>
      </c>
      <c r="O4907" s="40" t="s">
        <v>115</v>
      </c>
      <c r="Q4907" s="40">
        <v>189</v>
      </c>
      <c r="R4907" s="40">
        <v>256</v>
      </c>
      <c r="X4907" s="40">
        <v>97202110</v>
      </c>
      <c r="Y4907" s="40" t="s">
        <v>115</v>
      </c>
      <c r="Z4907" s="40" t="s">
        <v>115</v>
      </c>
      <c r="AA4907" s="40" t="s">
        <v>115</v>
      </c>
      <c r="AB4907" s="40" t="s">
        <v>115</v>
      </c>
      <c r="AC4907" s="40" t="s">
        <v>115</v>
      </c>
      <c r="AI4907" s="40" t="s">
        <v>115</v>
      </c>
      <c r="AP4907" s="4" t="s">
        <v>115</v>
      </c>
    </row>
    <row r="4908" spans="1:42" x14ac:dyDescent="0.15">
      <c r="A4908" s="40" t="s">
        <v>1</v>
      </c>
      <c r="B4908" s="23">
        <v>97202110</v>
      </c>
      <c r="C4908" s="23">
        <v>72021</v>
      </c>
      <c r="D4908" s="51">
        <v>7202</v>
      </c>
      <c r="F4908" s="23" t="s">
        <v>116</v>
      </c>
      <c r="G4908" s="23">
        <v>261</v>
      </c>
      <c r="H4908" s="23" t="s">
        <v>1629</v>
      </c>
      <c r="I4908" s="23">
        <v>0</v>
      </c>
      <c r="J4908" s="40">
        <v>0</v>
      </c>
      <c r="K4908" s="40">
        <v>0</v>
      </c>
      <c r="L4908" s="40" t="s">
        <v>115</v>
      </c>
      <c r="O4908" s="40" t="s">
        <v>115</v>
      </c>
      <c r="Q4908" s="40">
        <v>189</v>
      </c>
      <c r="R4908" s="40">
        <v>256</v>
      </c>
      <c r="X4908" s="40">
        <v>97202111</v>
      </c>
      <c r="Y4908" s="40" t="s">
        <v>115</v>
      </c>
      <c r="Z4908" s="40" t="s">
        <v>115</v>
      </c>
      <c r="AA4908" s="40" t="s">
        <v>115</v>
      </c>
      <c r="AB4908" s="40" t="s">
        <v>115</v>
      </c>
      <c r="AC4908" s="40" t="s">
        <v>115</v>
      </c>
      <c r="AI4908" s="40" t="s">
        <v>115</v>
      </c>
      <c r="AP4908" s="4" t="s">
        <v>115</v>
      </c>
    </row>
    <row r="4909" spans="1:42" x14ac:dyDescent="0.15">
      <c r="A4909" s="40" t="s">
        <v>1</v>
      </c>
      <c r="B4909" s="23">
        <v>97202111</v>
      </c>
      <c r="C4909" s="23">
        <v>72021</v>
      </c>
      <c r="D4909" s="6">
        <v>7202</v>
      </c>
      <c r="F4909" s="23" t="s">
        <v>116</v>
      </c>
      <c r="G4909" s="23">
        <v>275</v>
      </c>
      <c r="H4909" s="23" t="s">
        <v>1630</v>
      </c>
      <c r="I4909" s="23">
        <v>2</v>
      </c>
      <c r="J4909" s="40">
        <v>0</v>
      </c>
      <c r="K4909" s="40">
        <v>0</v>
      </c>
      <c r="L4909" s="40" t="s">
        <v>115</v>
      </c>
      <c r="O4909" s="40" t="s">
        <v>115</v>
      </c>
      <c r="Q4909" s="40">
        <v>189</v>
      </c>
      <c r="R4909" s="40">
        <v>256</v>
      </c>
      <c r="X4909" s="40">
        <v>97202112</v>
      </c>
      <c r="Y4909" s="40" t="s">
        <v>115</v>
      </c>
      <c r="Z4909" s="40" t="s">
        <v>115</v>
      </c>
      <c r="AA4909" s="40" t="s">
        <v>115</v>
      </c>
      <c r="AB4909" s="40" t="s">
        <v>115</v>
      </c>
      <c r="AC4909" s="40" t="s">
        <v>115</v>
      </c>
      <c r="AI4909" s="40" t="s">
        <v>115</v>
      </c>
      <c r="AP4909" s="4" t="s">
        <v>115</v>
      </c>
    </row>
    <row r="4910" spans="1:42" x14ac:dyDescent="0.15">
      <c r="A4910" s="40" t="s">
        <v>1</v>
      </c>
      <c r="B4910" s="23">
        <v>97202112</v>
      </c>
      <c r="C4910" s="23">
        <v>72021</v>
      </c>
      <c r="D4910" s="51">
        <v>7202</v>
      </c>
      <c r="F4910" s="23" t="s">
        <v>116</v>
      </c>
      <c r="G4910" s="23" t="s">
        <v>115</v>
      </c>
      <c r="H4910" s="23" t="s">
        <v>1631</v>
      </c>
      <c r="I4910" s="23">
        <v>2</v>
      </c>
      <c r="J4910" s="40">
        <v>0</v>
      </c>
      <c r="K4910" s="40">
        <v>2</v>
      </c>
      <c r="L4910" s="40" t="s">
        <v>115</v>
      </c>
      <c r="O4910" s="40">
        <v>1</v>
      </c>
      <c r="Q4910" s="40">
        <v>189</v>
      </c>
      <c r="R4910" s="40">
        <v>256</v>
      </c>
      <c r="X4910" s="40" t="s">
        <v>115</v>
      </c>
      <c r="Y4910" s="40" t="s">
        <v>115</v>
      </c>
      <c r="Z4910" s="40">
        <v>1</v>
      </c>
      <c r="AA4910" s="40" t="s">
        <v>115</v>
      </c>
      <c r="AB4910" s="40" t="s">
        <v>115</v>
      </c>
      <c r="AC4910" s="40" t="s">
        <v>115</v>
      </c>
      <c r="AI4910" s="40" t="s">
        <v>115</v>
      </c>
      <c r="AP4910" s="40">
        <v>72022</v>
      </c>
    </row>
    <row r="4911" spans="1:42" x14ac:dyDescent="0.15">
      <c r="A4911" s="40" t="s">
        <v>1</v>
      </c>
      <c r="B4911" s="23">
        <v>97202201</v>
      </c>
      <c r="C4911" s="23">
        <v>72022</v>
      </c>
      <c r="D4911" s="51">
        <v>7202</v>
      </c>
      <c r="F4911" s="23" t="s">
        <v>115</v>
      </c>
      <c r="G4911" s="23" t="s">
        <v>115</v>
      </c>
      <c r="H4911" s="23" t="s">
        <v>1632</v>
      </c>
      <c r="I4911" s="23">
        <v>4</v>
      </c>
      <c r="J4911" s="40">
        <v>1</v>
      </c>
      <c r="K4911" s="40">
        <v>1</v>
      </c>
      <c r="L4911" s="40" t="s">
        <v>115</v>
      </c>
      <c r="O4911" s="40" t="s">
        <v>115</v>
      </c>
      <c r="Q4911" s="40">
        <v>188</v>
      </c>
      <c r="R4911" s="40" t="s">
        <v>115</v>
      </c>
      <c r="X4911" s="40">
        <v>97202202</v>
      </c>
      <c r="Y4911" s="40" t="s">
        <v>115</v>
      </c>
      <c r="Z4911" s="40" t="s">
        <v>115</v>
      </c>
      <c r="AA4911" s="40" t="s">
        <v>115</v>
      </c>
      <c r="AB4911" s="40" t="s">
        <v>115</v>
      </c>
      <c r="AC4911" s="40" t="s">
        <v>115</v>
      </c>
      <c r="AI4911" s="40" t="s">
        <v>115</v>
      </c>
      <c r="AP4911" s="4" t="s">
        <v>115</v>
      </c>
    </row>
    <row r="4912" spans="1:42" x14ac:dyDescent="0.15">
      <c r="A4912" s="40" t="s">
        <v>1</v>
      </c>
      <c r="B4912" s="23">
        <v>97202202</v>
      </c>
      <c r="C4912" s="23">
        <v>72022</v>
      </c>
      <c r="D4912" s="51">
        <v>7202</v>
      </c>
      <c r="F4912" s="23" t="s">
        <v>1633</v>
      </c>
      <c r="G4912" s="23" t="s">
        <v>115</v>
      </c>
      <c r="H4912" s="23" t="s">
        <v>1634</v>
      </c>
      <c r="I4912" s="23">
        <v>3</v>
      </c>
      <c r="J4912" s="40">
        <v>0</v>
      </c>
      <c r="K4912" s="40">
        <v>0</v>
      </c>
      <c r="L4912" s="40" t="s">
        <v>115</v>
      </c>
      <c r="O4912" s="40" t="s">
        <v>115</v>
      </c>
      <c r="Q4912" s="40">
        <v>188</v>
      </c>
      <c r="R4912" s="40">
        <v>98</v>
      </c>
      <c r="X4912" s="40">
        <v>97202203</v>
      </c>
      <c r="Y4912" s="40" t="s">
        <v>115</v>
      </c>
      <c r="Z4912" s="40" t="s">
        <v>115</v>
      </c>
      <c r="AA4912" s="40" t="s">
        <v>115</v>
      </c>
      <c r="AB4912" s="40" t="s">
        <v>115</v>
      </c>
      <c r="AC4912" s="40" t="s">
        <v>115</v>
      </c>
      <c r="AI4912" s="40" t="s">
        <v>115</v>
      </c>
      <c r="AP4912" s="4" t="s">
        <v>115</v>
      </c>
    </row>
    <row r="4913" spans="1:42" x14ac:dyDescent="0.15">
      <c r="A4913" s="40" t="s">
        <v>1</v>
      </c>
      <c r="B4913" s="23">
        <v>97202203</v>
      </c>
      <c r="C4913" s="23">
        <v>72022</v>
      </c>
      <c r="D4913" s="51">
        <v>7202</v>
      </c>
      <c r="F4913" s="23" t="s">
        <v>1633</v>
      </c>
      <c r="G4913" s="23" t="s">
        <v>115</v>
      </c>
      <c r="H4913" s="23" t="s">
        <v>1635</v>
      </c>
      <c r="I4913" s="23">
        <v>3</v>
      </c>
      <c r="J4913" s="40">
        <v>0</v>
      </c>
      <c r="K4913" s="40">
        <v>0</v>
      </c>
      <c r="L4913" s="40" t="s">
        <v>115</v>
      </c>
      <c r="O4913" s="40" t="s">
        <v>115</v>
      </c>
      <c r="Q4913" s="40">
        <v>188</v>
      </c>
      <c r="R4913" s="40">
        <v>98</v>
      </c>
      <c r="X4913" s="40">
        <v>97202204</v>
      </c>
      <c r="Y4913" s="40" t="s">
        <v>115</v>
      </c>
      <c r="Z4913" s="40" t="s">
        <v>115</v>
      </c>
      <c r="AA4913" s="40" t="s">
        <v>115</v>
      </c>
      <c r="AB4913" s="40" t="s">
        <v>115</v>
      </c>
      <c r="AC4913" s="40" t="s">
        <v>115</v>
      </c>
      <c r="AI4913" s="40" t="s">
        <v>115</v>
      </c>
      <c r="AP4913" s="4" t="s">
        <v>115</v>
      </c>
    </row>
    <row r="4914" spans="1:42" x14ac:dyDescent="0.15">
      <c r="A4914" s="40" t="s">
        <v>1</v>
      </c>
      <c r="B4914" s="23">
        <v>97202204</v>
      </c>
      <c r="C4914" s="23">
        <v>72022</v>
      </c>
      <c r="D4914" s="51">
        <v>7202</v>
      </c>
      <c r="F4914" s="23" t="s">
        <v>115</v>
      </c>
      <c r="G4914" s="23" t="s">
        <v>115</v>
      </c>
      <c r="H4914" s="23" t="s">
        <v>1636</v>
      </c>
      <c r="I4914" s="23">
        <v>4</v>
      </c>
      <c r="J4914" s="40">
        <v>0</v>
      </c>
      <c r="K4914" s="40">
        <v>0</v>
      </c>
      <c r="L4914" s="40" t="s">
        <v>115</v>
      </c>
      <c r="O4914" s="40" t="s">
        <v>115</v>
      </c>
      <c r="Q4914" s="40">
        <v>188</v>
      </c>
      <c r="R4914" s="40">
        <v>268</v>
      </c>
      <c r="X4914" s="40">
        <v>97202205</v>
      </c>
      <c r="Y4914" s="40" t="s">
        <v>115</v>
      </c>
      <c r="Z4914" s="40" t="s">
        <v>115</v>
      </c>
      <c r="AA4914" s="40" t="s">
        <v>115</v>
      </c>
      <c r="AB4914" s="40" t="s">
        <v>115</v>
      </c>
      <c r="AC4914" s="40" t="s">
        <v>115</v>
      </c>
      <c r="AI4914" s="40" t="s">
        <v>115</v>
      </c>
      <c r="AP4914" s="4" t="s">
        <v>115</v>
      </c>
    </row>
    <row r="4915" spans="1:42" x14ac:dyDescent="0.15">
      <c r="A4915" s="40" t="s">
        <v>1</v>
      </c>
      <c r="B4915" s="23">
        <v>97202205</v>
      </c>
      <c r="C4915" s="23">
        <v>72022</v>
      </c>
      <c r="D4915" s="6">
        <v>7202</v>
      </c>
      <c r="F4915" s="23" t="s">
        <v>116</v>
      </c>
      <c r="G4915" s="23">
        <v>261</v>
      </c>
      <c r="H4915" s="23" t="s">
        <v>1637</v>
      </c>
      <c r="I4915" s="23">
        <v>0</v>
      </c>
      <c r="J4915" s="40">
        <v>0</v>
      </c>
      <c r="K4915" s="40">
        <v>0</v>
      </c>
      <c r="L4915" s="40" t="s">
        <v>115</v>
      </c>
      <c r="O4915" s="40" t="s">
        <v>115</v>
      </c>
      <c r="Q4915" s="40">
        <v>188</v>
      </c>
      <c r="R4915" s="40">
        <v>268</v>
      </c>
      <c r="X4915" s="40">
        <v>97202206</v>
      </c>
      <c r="Y4915" s="40" t="s">
        <v>115</v>
      </c>
      <c r="Z4915" s="40" t="s">
        <v>115</v>
      </c>
      <c r="AA4915" s="40" t="s">
        <v>115</v>
      </c>
      <c r="AB4915" s="40" t="s">
        <v>115</v>
      </c>
      <c r="AC4915" s="40" t="s">
        <v>115</v>
      </c>
      <c r="AI4915" s="40" t="s">
        <v>115</v>
      </c>
      <c r="AP4915" s="4" t="s">
        <v>115</v>
      </c>
    </row>
    <row r="4916" spans="1:42" x14ac:dyDescent="0.15">
      <c r="A4916" s="40" t="s">
        <v>1</v>
      </c>
      <c r="B4916" s="23">
        <v>97202206</v>
      </c>
      <c r="C4916" s="23">
        <v>72022</v>
      </c>
      <c r="D4916" s="51">
        <v>7202</v>
      </c>
      <c r="F4916" s="23" t="s">
        <v>115</v>
      </c>
      <c r="G4916" s="23" t="s">
        <v>115</v>
      </c>
      <c r="H4916" s="23" t="s">
        <v>1638</v>
      </c>
      <c r="I4916" s="23">
        <v>4</v>
      </c>
      <c r="J4916" s="40">
        <v>0</v>
      </c>
      <c r="K4916" s="40">
        <v>0</v>
      </c>
      <c r="L4916" s="40" t="s">
        <v>115</v>
      </c>
      <c r="O4916" s="40" t="s">
        <v>115</v>
      </c>
      <c r="Q4916" s="40">
        <v>188</v>
      </c>
      <c r="R4916" s="40">
        <v>268</v>
      </c>
      <c r="X4916" s="40">
        <v>97202207</v>
      </c>
      <c r="Y4916" s="40" t="s">
        <v>115</v>
      </c>
      <c r="Z4916" s="40" t="s">
        <v>115</v>
      </c>
      <c r="AA4916" s="40" t="s">
        <v>115</v>
      </c>
      <c r="AB4916" s="40" t="s">
        <v>115</v>
      </c>
      <c r="AC4916" s="40" t="s">
        <v>115</v>
      </c>
      <c r="AI4916" s="40" t="s">
        <v>115</v>
      </c>
      <c r="AP4916" s="4" t="s">
        <v>115</v>
      </c>
    </row>
    <row r="4917" spans="1:42" x14ac:dyDescent="0.15">
      <c r="A4917" s="40" t="s">
        <v>1</v>
      </c>
      <c r="B4917" s="23">
        <v>97202207</v>
      </c>
      <c r="C4917" s="23">
        <v>72022</v>
      </c>
      <c r="D4917" s="51">
        <v>7202</v>
      </c>
      <c r="F4917" s="23" t="s">
        <v>859</v>
      </c>
      <c r="G4917" s="23" t="s">
        <v>115</v>
      </c>
      <c r="H4917" s="23" t="s">
        <v>1639</v>
      </c>
      <c r="I4917" s="23">
        <v>3</v>
      </c>
      <c r="J4917" s="40">
        <v>0</v>
      </c>
      <c r="K4917" s="40">
        <v>0</v>
      </c>
      <c r="L4917" s="40" t="s">
        <v>115</v>
      </c>
      <c r="O4917" s="40" t="s">
        <v>115</v>
      </c>
      <c r="Q4917" s="40">
        <v>188</v>
      </c>
      <c r="R4917" s="40">
        <v>268</v>
      </c>
      <c r="X4917" s="40">
        <v>97202208</v>
      </c>
      <c r="Y4917" s="40" t="s">
        <v>115</v>
      </c>
      <c r="Z4917" s="40" t="s">
        <v>115</v>
      </c>
      <c r="AA4917" s="40" t="s">
        <v>115</v>
      </c>
      <c r="AB4917" s="40" t="s">
        <v>115</v>
      </c>
      <c r="AC4917" s="40" t="s">
        <v>115</v>
      </c>
      <c r="AI4917" s="40" t="s">
        <v>115</v>
      </c>
      <c r="AP4917" s="4" t="s">
        <v>115</v>
      </c>
    </row>
    <row r="4918" spans="1:42" x14ac:dyDescent="0.15">
      <c r="A4918" s="40" t="s">
        <v>1</v>
      </c>
      <c r="B4918" s="23">
        <v>97202208</v>
      </c>
      <c r="C4918" s="23">
        <v>72022</v>
      </c>
      <c r="D4918" s="51">
        <v>7202</v>
      </c>
      <c r="F4918" s="23" t="s">
        <v>116</v>
      </c>
      <c r="G4918" s="23">
        <v>275</v>
      </c>
      <c r="H4918" s="23" t="s">
        <v>1640</v>
      </c>
      <c r="I4918" s="23">
        <v>0</v>
      </c>
      <c r="J4918" s="40">
        <v>0</v>
      </c>
      <c r="K4918" s="40">
        <v>0</v>
      </c>
      <c r="L4918" s="40" t="s">
        <v>115</v>
      </c>
      <c r="O4918" s="40" t="s">
        <v>115</v>
      </c>
      <c r="Q4918" s="40">
        <v>188</v>
      </c>
      <c r="R4918" s="40">
        <v>268</v>
      </c>
      <c r="X4918" s="40">
        <v>97202209</v>
      </c>
      <c r="Y4918" s="40" t="s">
        <v>115</v>
      </c>
      <c r="Z4918" s="40" t="s">
        <v>115</v>
      </c>
      <c r="AA4918" s="40" t="s">
        <v>115</v>
      </c>
      <c r="AB4918" s="40" t="s">
        <v>115</v>
      </c>
      <c r="AC4918" s="40" t="s">
        <v>115</v>
      </c>
      <c r="AI4918" s="40" t="s">
        <v>115</v>
      </c>
      <c r="AP4918" s="4" t="s">
        <v>115</v>
      </c>
    </row>
    <row r="4919" spans="1:42" x14ac:dyDescent="0.15">
      <c r="A4919" s="40" t="s">
        <v>1</v>
      </c>
      <c r="B4919" s="23">
        <v>97202209</v>
      </c>
      <c r="C4919" s="23">
        <v>72022</v>
      </c>
      <c r="D4919" s="51">
        <v>7202</v>
      </c>
      <c r="F4919" s="23" t="s">
        <v>859</v>
      </c>
      <c r="G4919" s="23" t="s">
        <v>115</v>
      </c>
      <c r="H4919" s="23" t="s">
        <v>1641</v>
      </c>
      <c r="I4919" s="23">
        <v>3</v>
      </c>
      <c r="J4919" s="40">
        <v>0</v>
      </c>
      <c r="K4919" s="40">
        <v>0</v>
      </c>
      <c r="L4919" s="40" t="s">
        <v>115</v>
      </c>
      <c r="O4919" s="40" t="s">
        <v>115</v>
      </c>
      <c r="Q4919" s="40">
        <v>188</v>
      </c>
      <c r="R4919" s="40">
        <v>268</v>
      </c>
      <c r="X4919" s="40">
        <v>97202210</v>
      </c>
      <c r="Y4919" s="40" t="s">
        <v>115</v>
      </c>
      <c r="Z4919" s="40" t="s">
        <v>115</v>
      </c>
      <c r="AA4919" s="40" t="s">
        <v>115</v>
      </c>
      <c r="AB4919" s="40" t="s">
        <v>115</v>
      </c>
      <c r="AC4919" s="40" t="s">
        <v>115</v>
      </c>
      <c r="AI4919" s="40" t="s">
        <v>115</v>
      </c>
      <c r="AP4919" s="4" t="s">
        <v>115</v>
      </c>
    </row>
    <row r="4920" spans="1:42" x14ac:dyDescent="0.15">
      <c r="A4920" s="40" t="s">
        <v>1</v>
      </c>
      <c r="B4920" s="23">
        <v>97202210</v>
      </c>
      <c r="C4920" s="23">
        <v>72022</v>
      </c>
      <c r="D4920" s="51">
        <v>7202</v>
      </c>
      <c r="F4920" s="23" t="s">
        <v>859</v>
      </c>
      <c r="G4920" s="23" t="s">
        <v>115</v>
      </c>
      <c r="H4920" s="23" t="s">
        <v>1642</v>
      </c>
      <c r="I4920" s="23">
        <v>3</v>
      </c>
      <c r="J4920" s="40">
        <v>0</v>
      </c>
      <c r="K4920" s="40">
        <v>0</v>
      </c>
      <c r="L4920" s="40" t="s">
        <v>115</v>
      </c>
      <c r="O4920" s="40" t="s">
        <v>115</v>
      </c>
      <c r="Q4920" s="40">
        <v>188</v>
      </c>
      <c r="R4920" s="40">
        <v>268</v>
      </c>
      <c r="X4920" s="40">
        <v>97202211</v>
      </c>
      <c r="Y4920" s="40" t="s">
        <v>115</v>
      </c>
      <c r="Z4920" s="40" t="s">
        <v>115</v>
      </c>
      <c r="AA4920" s="40" t="s">
        <v>115</v>
      </c>
      <c r="AB4920" s="40" t="s">
        <v>115</v>
      </c>
      <c r="AC4920" s="40" t="s">
        <v>115</v>
      </c>
      <c r="AI4920" s="40" t="s">
        <v>115</v>
      </c>
      <c r="AP4920" s="4" t="s">
        <v>115</v>
      </c>
    </row>
    <row r="4921" spans="1:42" x14ac:dyDescent="0.15">
      <c r="A4921" s="40" t="s">
        <v>1</v>
      </c>
      <c r="B4921" s="23">
        <v>97202211</v>
      </c>
      <c r="C4921" s="23">
        <v>72022</v>
      </c>
      <c r="D4921" s="6">
        <v>7202</v>
      </c>
      <c r="F4921" s="23" t="s">
        <v>115</v>
      </c>
      <c r="G4921" s="23" t="s">
        <v>115</v>
      </c>
      <c r="H4921" s="23" t="s">
        <v>1643</v>
      </c>
      <c r="I4921" s="23">
        <v>4</v>
      </c>
      <c r="J4921" s="40">
        <v>0</v>
      </c>
      <c r="K4921" s="40">
        <v>0</v>
      </c>
      <c r="L4921" s="40" t="s">
        <v>115</v>
      </c>
      <c r="O4921" s="40" t="s">
        <v>115</v>
      </c>
      <c r="Q4921" s="40">
        <v>188</v>
      </c>
      <c r="R4921" s="40">
        <v>268</v>
      </c>
      <c r="X4921" s="40">
        <v>97202212</v>
      </c>
      <c r="Y4921" s="40" t="s">
        <v>115</v>
      </c>
      <c r="Z4921" s="40" t="s">
        <v>115</v>
      </c>
      <c r="AA4921" s="40" t="s">
        <v>115</v>
      </c>
      <c r="AB4921" s="40" t="s">
        <v>115</v>
      </c>
      <c r="AC4921" s="40" t="s">
        <v>115</v>
      </c>
      <c r="AI4921" s="40" t="s">
        <v>115</v>
      </c>
      <c r="AP4921" s="4" t="s">
        <v>115</v>
      </c>
    </row>
    <row r="4922" spans="1:42" x14ac:dyDescent="0.15">
      <c r="A4922" s="40" t="s">
        <v>1</v>
      </c>
      <c r="B4922" s="23">
        <v>97202212</v>
      </c>
      <c r="C4922" s="23">
        <v>72022</v>
      </c>
      <c r="D4922" s="51">
        <v>7202</v>
      </c>
      <c r="F4922" s="23" t="s">
        <v>116</v>
      </c>
      <c r="G4922" s="23">
        <v>274</v>
      </c>
      <c r="H4922" s="23" t="s">
        <v>1644</v>
      </c>
      <c r="I4922" s="23">
        <v>2</v>
      </c>
      <c r="J4922" s="40">
        <v>0</v>
      </c>
      <c r="K4922" s="40">
        <v>0</v>
      </c>
      <c r="L4922" s="40" t="s">
        <v>115</v>
      </c>
      <c r="O4922" s="40" t="s">
        <v>115</v>
      </c>
      <c r="Q4922" s="40">
        <v>188</v>
      </c>
      <c r="R4922" s="40">
        <v>268</v>
      </c>
      <c r="X4922" s="40">
        <v>97202213</v>
      </c>
      <c r="Y4922" s="40" t="s">
        <v>115</v>
      </c>
      <c r="Z4922" s="40" t="s">
        <v>115</v>
      </c>
      <c r="AA4922" s="40" t="s">
        <v>115</v>
      </c>
      <c r="AB4922" s="40" t="s">
        <v>115</v>
      </c>
      <c r="AC4922" s="40" t="s">
        <v>115</v>
      </c>
      <c r="AI4922" s="40" t="s">
        <v>115</v>
      </c>
      <c r="AP4922" s="4" t="s">
        <v>115</v>
      </c>
    </row>
    <row r="4923" spans="1:42" x14ac:dyDescent="0.15">
      <c r="A4923" s="40" t="s">
        <v>1</v>
      </c>
      <c r="B4923" s="23">
        <v>97202213</v>
      </c>
      <c r="C4923" s="23">
        <v>72022</v>
      </c>
      <c r="D4923" s="51">
        <v>7202</v>
      </c>
      <c r="F4923" s="23" t="s">
        <v>116</v>
      </c>
      <c r="G4923" s="23">
        <v>275</v>
      </c>
      <c r="H4923" s="23" t="s">
        <v>1645</v>
      </c>
      <c r="I4923" s="23">
        <v>2</v>
      </c>
      <c r="J4923" s="40">
        <v>0</v>
      </c>
      <c r="K4923" s="40">
        <v>0</v>
      </c>
      <c r="L4923" s="40" t="s">
        <v>115</v>
      </c>
      <c r="O4923" s="40" t="s">
        <v>115</v>
      </c>
      <c r="Q4923" s="40">
        <v>188</v>
      </c>
      <c r="R4923" s="40">
        <v>268</v>
      </c>
      <c r="X4923" s="40">
        <v>97202214</v>
      </c>
      <c r="Y4923" s="40" t="s">
        <v>115</v>
      </c>
      <c r="Z4923" s="40" t="s">
        <v>115</v>
      </c>
      <c r="AA4923" s="40" t="s">
        <v>115</v>
      </c>
      <c r="AB4923" s="40" t="s">
        <v>115</v>
      </c>
      <c r="AC4923" s="40" t="s">
        <v>115</v>
      </c>
      <c r="AI4923" s="40" t="s">
        <v>115</v>
      </c>
      <c r="AP4923" s="4" t="s">
        <v>115</v>
      </c>
    </row>
    <row r="4924" spans="1:42" x14ac:dyDescent="0.15">
      <c r="A4924" s="40" t="s">
        <v>1</v>
      </c>
      <c r="B4924" s="23">
        <v>97202214</v>
      </c>
      <c r="C4924" s="23">
        <v>72022</v>
      </c>
      <c r="D4924" s="51">
        <v>7202</v>
      </c>
      <c r="F4924" s="23" t="s">
        <v>115</v>
      </c>
      <c r="G4924" s="23" t="s">
        <v>115</v>
      </c>
      <c r="H4924" s="23" t="s">
        <v>1646</v>
      </c>
      <c r="I4924" s="23">
        <v>4</v>
      </c>
      <c r="J4924" s="40">
        <v>0</v>
      </c>
      <c r="K4924" s="40">
        <v>0</v>
      </c>
      <c r="L4924" s="40" t="s">
        <v>115</v>
      </c>
      <c r="O4924" s="40" t="s">
        <v>115</v>
      </c>
      <c r="Q4924" s="40">
        <v>188</v>
      </c>
      <c r="R4924" s="40">
        <v>268</v>
      </c>
      <c r="X4924" s="40">
        <v>97202215</v>
      </c>
      <c r="Y4924" s="40" t="s">
        <v>115</v>
      </c>
      <c r="Z4924" s="40" t="s">
        <v>115</v>
      </c>
      <c r="AA4924" s="40" t="s">
        <v>115</v>
      </c>
      <c r="AB4924" s="40" t="s">
        <v>115</v>
      </c>
      <c r="AC4924" s="40" t="s">
        <v>115</v>
      </c>
      <c r="AI4924" s="40" t="s">
        <v>115</v>
      </c>
      <c r="AP4924" s="4" t="s">
        <v>115</v>
      </c>
    </row>
    <row r="4925" spans="1:42" x14ac:dyDescent="0.15">
      <c r="A4925" s="40" t="s">
        <v>1</v>
      </c>
      <c r="B4925" s="23">
        <v>97202215</v>
      </c>
      <c r="C4925" s="23">
        <v>72022</v>
      </c>
      <c r="D4925" s="51">
        <v>7202</v>
      </c>
      <c r="F4925" s="23" t="s">
        <v>116</v>
      </c>
      <c r="G4925" s="23">
        <v>261</v>
      </c>
      <c r="H4925" s="23" t="s">
        <v>1647</v>
      </c>
      <c r="I4925" s="23">
        <v>0</v>
      </c>
      <c r="J4925" s="40">
        <v>0</v>
      </c>
      <c r="K4925" s="40">
        <v>0</v>
      </c>
      <c r="L4925" s="40" t="s">
        <v>115</v>
      </c>
      <c r="O4925" s="40" t="s">
        <v>115</v>
      </c>
      <c r="Q4925" s="40">
        <v>188</v>
      </c>
      <c r="R4925" s="40">
        <v>268</v>
      </c>
      <c r="X4925" s="40">
        <v>97202216</v>
      </c>
      <c r="Y4925" s="40" t="s">
        <v>115</v>
      </c>
      <c r="Z4925" s="40" t="s">
        <v>115</v>
      </c>
      <c r="AA4925" s="40" t="s">
        <v>115</v>
      </c>
      <c r="AB4925" s="40" t="s">
        <v>115</v>
      </c>
      <c r="AC4925" s="40" t="s">
        <v>115</v>
      </c>
      <c r="AI4925" s="40" t="s">
        <v>115</v>
      </c>
      <c r="AP4925" s="4" t="s">
        <v>115</v>
      </c>
    </row>
    <row r="4926" spans="1:42" x14ac:dyDescent="0.15">
      <c r="A4926" s="40" t="s">
        <v>1</v>
      </c>
      <c r="B4926" s="23">
        <v>97202216</v>
      </c>
      <c r="C4926" s="23">
        <v>72022</v>
      </c>
      <c r="D4926" s="51">
        <v>7202</v>
      </c>
      <c r="F4926" s="23" t="s">
        <v>115</v>
      </c>
      <c r="G4926" s="23" t="s">
        <v>115</v>
      </c>
      <c r="H4926" s="23" t="s">
        <v>1648</v>
      </c>
      <c r="I4926" s="23">
        <v>4</v>
      </c>
      <c r="J4926" s="40">
        <v>0</v>
      </c>
      <c r="K4926" s="40">
        <v>0</v>
      </c>
      <c r="L4926" s="40" t="s">
        <v>115</v>
      </c>
      <c r="O4926" s="40" t="s">
        <v>115</v>
      </c>
      <c r="Q4926" s="40">
        <v>188</v>
      </c>
      <c r="R4926" s="40">
        <v>268</v>
      </c>
      <c r="X4926" s="40">
        <v>97202217</v>
      </c>
      <c r="Y4926" s="40" t="s">
        <v>115</v>
      </c>
      <c r="Z4926" s="40" t="s">
        <v>115</v>
      </c>
      <c r="AA4926" s="40" t="s">
        <v>115</v>
      </c>
      <c r="AB4926" s="40" t="s">
        <v>115</v>
      </c>
      <c r="AC4926" s="40" t="s">
        <v>115</v>
      </c>
      <c r="AI4926" s="40" t="s">
        <v>115</v>
      </c>
      <c r="AP4926" s="4" t="s">
        <v>115</v>
      </c>
    </row>
    <row r="4927" spans="1:42" x14ac:dyDescent="0.15">
      <c r="A4927" s="40" t="s">
        <v>1</v>
      </c>
      <c r="B4927" s="23">
        <v>97202217</v>
      </c>
      <c r="C4927" s="23">
        <v>72022</v>
      </c>
      <c r="D4927" s="51">
        <v>7202</v>
      </c>
      <c r="F4927" s="23" t="s">
        <v>859</v>
      </c>
      <c r="G4927" s="23" t="s">
        <v>115</v>
      </c>
      <c r="H4927" s="23" t="s">
        <v>1649</v>
      </c>
      <c r="I4927" s="23">
        <v>3</v>
      </c>
      <c r="J4927" s="40">
        <v>0</v>
      </c>
      <c r="K4927" s="40">
        <v>0</v>
      </c>
      <c r="L4927" s="40" t="s">
        <v>115</v>
      </c>
      <c r="O4927" s="40" t="s">
        <v>115</v>
      </c>
      <c r="Q4927" s="40">
        <v>188</v>
      </c>
      <c r="R4927" s="40">
        <v>268</v>
      </c>
      <c r="X4927" s="40">
        <v>97202218</v>
      </c>
      <c r="Y4927" s="40" t="s">
        <v>115</v>
      </c>
      <c r="Z4927" s="40" t="s">
        <v>115</v>
      </c>
      <c r="AA4927" s="40" t="s">
        <v>115</v>
      </c>
      <c r="AB4927" s="40" t="s">
        <v>115</v>
      </c>
      <c r="AC4927" s="40" t="s">
        <v>115</v>
      </c>
      <c r="AI4927" s="40" t="s">
        <v>115</v>
      </c>
      <c r="AP4927" s="4" t="s">
        <v>115</v>
      </c>
    </row>
    <row r="4928" spans="1:42" x14ac:dyDescent="0.15">
      <c r="A4928" s="40" t="s">
        <v>1</v>
      </c>
      <c r="B4928" s="23">
        <v>97202218</v>
      </c>
      <c r="C4928" s="23">
        <v>72022</v>
      </c>
      <c r="D4928" s="51">
        <v>7202</v>
      </c>
      <c r="F4928" s="23" t="s">
        <v>859</v>
      </c>
      <c r="G4928" s="23" t="s">
        <v>115</v>
      </c>
      <c r="H4928" s="23" t="s">
        <v>1650</v>
      </c>
      <c r="I4928" s="23">
        <v>3</v>
      </c>
      <c r="J4928" s="40">
        <v>0</v>
      </c>
      <c r="K4928" s="40">
        <v>2</v>
      </c>
      <c r="L4928" s="40" t="s">
        <v>115</v>
      </c>
      <c r="O4928" s="40">
        <v>1</v>
      </c>
      <c r="Q4928" s="40">
        <v>188</v>
      </c>
      <c r="R4928" s="40">
        <v>268</v>
      </c>
      <c r="X4928" s="40" t="s">
        <v>115</v>
      </c>
      <c r="Y4928" s="40" t="s">
        <v>115</v>
      </c>
      <c r="Z4928" s="40">
        <v>1</v>
      </c>
      <c r="AA4928" s="40" t="s">
        <v>115</v>
      </c>
      <c r="AB4928" s="40" t="s">
        <v>115</v>
      </c>
      <c r="AC4928" s="40" t="s">
        <v>115</v>
      </c>
      <c r="AI4928" s="40" t="s">
        <v>115</v>
      </c>
      <c r="AP4928" s="40">
        <v>-1</v>
      </c>
    </row>
    <row r="4929" spans="1:42" x14ac:dyDescent="0.15">
      <c r="D4929" s="51"/>
      <c r="AP4929" s="40"/>
    </row>
    <row r="4930" spans="1:42" x14ac:dyDescent="0.15">
      <c r="A4930" s="40" t="s">
        <v>1</v>
      </c>
      <c r="B4930" s="23">
        <v>97203101</v>
      </c>
      <c r="C4930" s="23">
        <v>72031</v>
      </c>
      <c r="D4930" s="51">
        <v>7203</v>
      </c>
      <c r="F4930" s="23" t="s">
        <v>115</v>
      </c>
      <c r="G4930" s="23" t="s">
        <v>115</v>
      </c>
      <c r="H4930" s="23" t="s">
        <v>7427</v>
      </c>
      <c r="I4930" s="23">
        <v>4</v>
      </c>
      <c r="J4930" s="40">
        <v>1</v>
      </c>
      <c r="K4930" s="40">
        <v>1</v>
      </c>
      <c r="L4930" s="40" t="s">
        <v>115</v>
      </c>
      <c r="O4930" s="40" t="s">
        <v>115</v>
      </c>
      <c r="Q4930" s="40">
        <v>163</v>
      </c>
      <c r="R4930" s="40" t="s">
        <v>115</v>
      </c>
      <c r="X4930" s="40">
        <v>97203102</v>
      </c>
      <c r="Y4930" s="40" t="s">
        <v>115</v>
      </c>
      <c r="Z4930" s="40" t="s">
        <v>115</v>
      </c>
      <c r="AA4930" s="40" t="s">
        <v>115</v>
      </c>
      <c r="AB4930" s="40" t="s">
        <v>115</v>
      </c>
      <c r="AC4930" s="40" t="s">
        <v>115</v>
      </c>
      <c r="AI4930" s="40" t="s">
        <v>115</v>
      </c>
      <c r="AP4930" s="40" t="s">
        <v>115</v>
      </c>
    </row>
    <row r="4931" spans="1:42" x14ac:dyDescent="0.15">
      <c r="A4931" s="40" t="s">
        <v>1</v>
      </c>
      <c r="B4931" s="23">
        <v>97203102</v>
      </c>
      <c r="C4931" s="23">
        <v>72031</v>
      </c>
      <c r="D4931" s="51">
        <v>7203</v>
      </c>
      <c r="F4931" s="23" t="s">
        <v>115</v>
      </c>
      <c r="G4931" s="23" t="s">
        <v>115</v>
      </c>
      <c r="H4931" s="23" t="s">
        <v>7428</v>
      </c>
      <c r="I4931" s="23">
        <v>4</v>
      </c>
      <c r="J4931" s="40">
        <v>0</v>
      </c>
      <c r="K4931" s="40">
        <v>0</v>
      </c>
      <c r="L4931" s="40" t="s">
        <v>115</v>
      </c>
      <c r="O4931" s="40" t="s">
        <v>115</v>
      </c>
      <c r="Q4931" s="40">
        <v>163</v>
      </c>
      <c r="R4931" s="40" t="s">
        <v>115</v>
      </c>
      <c r="X4931" s="40">
        <v>97203103</v>
      </c>
      <c r="Y4931" s="40" t="s">
        <v>115</v>
      </c>
      <c r="Z4931" s="40" t="s">
        <v>115</v>
      </c>
      <c r="AA4931" s="40" t="s">
        <v>115</v>
      </c>
      <c r="AB4931" s="40" t="s">
        <v>115</v>
      </c>
      <c r="AC4931" s="40" t="s">
        <v>115</v>
      </c>
      <c r="AI4931" s="40" t="s">
        <v>115</v>
      </c>
      <c r="AP4931" s="40" t="s">
        <v>115</v>
      </c>
    </row>
    <row r="4932" spans="1:42" x14ac:dyDescent="0.15">
      <c r="A4932" s="40" t="s">
        <v>1</v>
      </c>
      <c r="B4932" s="23">
        <v>97203103</v>
      </c>
      <c r="C4932" s="23">
        <v>72031</v>
      </c>
      <c r="D4932" s="51">
        <v>7203</v>
      </c>
      <c r="F4932" s="23" t="s">
        <v>116</v>
      </c>
      <c r="G4932" s="23">
        <v>275</v>
      </c>
      <c r="H4932" s="23" t="s">
        <v>7429</v>
      </c>
      <c r="I4932" s="23">
        <v>0</v>
      </c>
      <c r="J4932" s="40">
        <v>0</v>
      </c>
      <c r="K4932" s="40">
        <v>0</v>
      </c>
      <c r="L4932" s="40" t="s">
        <v>115</v>
      </c>
      <c r="O4932" s="40" t="s">
        <v>115</v>
      </c>
      <c r="Q4932" s="40">
        <v>163</v>
      </c>
      <c r="R4932" s="40" t="s">
        <v>115</v>
      </c>
      <c r="X4932" s="40">
        <v>97203104</v>
      </c>
      <c r="Y4932" s="40" t="s">
        <v>115</v>
      </c>
      <c r="Z4932" s="40" t="s">
        <v>115</v>
      </c>
      <c r="AA4932" s="40" t="s">
        <v>115</v>
      </c>
      <c r="AB4932" s="40" t="s">
        <v>115</v>
      </c>
      <c r="AC4932" s="40" t="s">
        <v>115</v>
      </c>
      <c r="AI4932" s="40" t="s">
        <v>115</v>
      </c>
      <c r="AP4932" s="40" t="s">
        <v>115</v>
      </c>
    </row>
    <row r="4933" spans="1:42" x14ac:dyDescent="0.15">
      <c r="A4933" s="40" t="s">
        <v>1</v>
      </c>
      <c r="B4933" s="23">
        <v>97203104</v>
      </c>
      <c r="C4933" s="23">
        <v>72031</v>
      </c>
      <c r="D4933" s="51">
        <v>7203</v>
      </c>
      <c r="F4933" s="23" t="s">
        <v>116</v>
      </c>
      <c r="G4933" s="23">
        <v>261</v>
      </c>
      <c r="H4933" s="23" t="s">
        <v>7430</v>
      </c>
      <c r="I4933" s="23">
        <v>0</v>
      </c>
      <c r="J4933" s="40">
        <v>0</v>
      </c>
      <c r="K4933" s="40">
        <v>2</v>
      </c>
      <c r="L4933" s="40" t="s">
        <v>115</v>
      </c>
      <c r="O4933" s="40">
        <v>1</v>
      </c>
      <c r="Q4933" s="40">
        <v>163</v>
      </c>
      <c r="R4933" s="40" t="s">
        <v>115</v>
      </c>
      <c r="X4933" s="40" t="s">
        <v>115</v>
      </c>
      <c r="Y4933" s="40" t="s">
        <v>115</v>
      </c>
      <c r="Z4933" s="40">
        <v>1</v>
      </c>
      <c r="AA4933" s="40" t="s">
        <v>115</v>
      </c>
      <c r="AB4933" s="40" t="s">
        <v>115</v>
      </c>
      <c r="AC4933" s="40" t="s">
        <v>115</v>
      </c>
      <c r="AI4933" s="40" t="s">
        <v>115</v>
      </c>
      <c r="AP4933" s="40" t="s">
        <v>115</v>
      </c>
    </row>
    <row r="4934" spans="1:42" x14ac:dyDescent="0.15">
      <c r="D4934" s="51"/>
      <c r="AP4934" s="40"/>
    </row>
    <row r="4935" spans="1:42" x14ac:dyDescent="0.15">
      <c r="A4935" s="40" t="s">
        <v>1</v>
      </c>
      <c r="B4935" s="23">
        <v>97204101</v>
      </c>
      <c r="C4935" s="23">
        <v>72041</v>
      </c>
      <c r="D4935" s="51">
        <v>7204</v>
      </c>
      <c r="F4935" s="23" t="s">
        <v>115</v>
      </c>
      <c r="G4935" s="23" t="s">
        <v>115</v>
      </c>
      <c r="H4935" s="23" t="s">
        <v>7427</v>
      </c>
      <c r="I4935" s="23">
        <v>4</v>
      </c>
      <c r="J4935" s="40">
        <v>1</v>
      </c>
      <c r="K4935" s="40">
        <v>1</v>
      </c>
      <c r="L4935" s="40" t="s">
        <v>115</v>
      </c>
      <c r="O4935" s="40" t="s">
        <v>115</v>
      </c>
      <c r="Q4935" s="40">
        <v>163</v>
      </c>
      <c r="R4935" s="40" t="s">
        <v>115</v>
      </c>
      <c r="X4935" s="40">
        <v>97204102</v>
      </c>
      <c r="Y4935" s="40" t="s">
        <v>115</v>
      </c>
      <c r="Z4935" s="40" t="s">
        <v>115</v>
      </c>
      <c r="AA4935" s="40" t="s">
        <v>115</v>
      </c>
      <c r="AB4935" s="40" t="s">
        <v>115</v>
      </c>
      <c r="AC4935" s="40" t="s">
        <v>115</v>
      </c>
      <c r="AI4935" s="40" t="s">
        <v>115</v>
      </c>
      <c r="AP4935" s="40" t="s">
        <v>115</v>
      </c>
    </row>
    <row r="4936" spans="1:42" x14ac:dyDescent="0.15">
      <c r="A4936" s="40" t="s">
        <v>1</v>
      </c>
      <c r="B4936" s="23">
        <v>97204102</v>
      </c>
      <c r="C4936" s="23">
        <v>72041</v>
      </c>
      <c r="D4936" s="51">
        <v>7204</v>
      </c>
      <c r="F4936" s="23" t="s">
        <v>115</v>
      </c>
      <c r="G4936" s="23" t="s">
        <v>115</v>
      </c>
      <c r="H4936" s="23" t="s">
        <v>7428</v>
      </c>
      <c r="I4936" s="23">
        <v>4</v>
      </c>
      <c r="J4936" s="40">
        <v>0</v>
      </c>
      <c r="K4936" s="40">
        <v>0</v>
      </c>
      <c r="L4936" s="40" t="s">
        <v>115</v>
      </c>
      <c r="O4936" s="40" t="s">
        <v>115</v>
      </c>
      <c r="Q4936" s="40">
        <v>163</v>
      </c>
      <c r="R4936" s="40" t="s">
        <v>115</v>
      </c>
      <c r="X4936" s="40">
        <v>97204103</v>
      </c>
      <c r="Y4936" s="40" t="s">
        <v>115</v>
      </c>
      <c r="Z4936" s="40" t="s">
        <v>115</v>
      </c>
      <c r="AA4936" s="40" t="s">
        <v>115</v>
      </c>
      <c r="AB4936" s="40" t="s">
        <v>115</v>
      </c>
      <c r="AC4936" s="40" t="s">
        <v>115</v>
      </c>
      <c r="AI4936" s="40" t="s">
        <v>115</v>
      </c>
      <c r="AP4936" s="40" t="s">
        <v>115</v>
      </c>
    </row>
    <row r="4937" spans="1:42" x14ac:dyDescent="0.15">
      <c r="A4937" s="40" t="s">
        <v>1</v>
      </c>
      <c r="B4937" s="23">
        <v>97204103</v>
      </c>
      <c r="C4937" s="23">
        <v>72041</v>
      </c>
      <c r="D4937" s="51">
        <v>7204</v>
      </c>
      <c r="F4937" s="23" t="s">
        <v>116</v>
      </c>
      <c r="G4937" s="23">
        <v>275</v>
      </c>
      <c r="H4937" s="23" t="s">
        <v>7429</v>
      </c>
      <c r="I4937" s="23">
        <v>0</v>
      </c>
      <c r="J4937" s="40">
        <v>0</v>
      </c>
      <c r="K4937" s="40">
        <v>0</v>
      </c>
      <c r="L4937" s="40" t="s">
        <v>115</v>
      </c>
      <c r="O4937" s="40" t="s">
        <v>115</v>
      </c>
      <c r="Q4937" s="40">
        <v>163</v>
      </c>
      <c r="R4937" s="40" t="s">
        <v>115</v>
      </c>
      <c r="X4937" s="40">
        <v>97204104</v>
      </c>
      <c r="Y4937" s="40" t="s">
        <v>115</v>
      </c>
      <c r="Z4937" s="40" t="s">
        <v>115</v>
      </c>
      <c r="AA4937" s="40" t="s">
        <v>115</v>
      </c>
      <c r="AB4937" s="40" t="s">
        <v>115</v>
      </c>
      <c r="AC4937" s="40" t="s">
        <v>115</v>
      </c>
      <c r="AI4937" s="40" t="s">
        <v>115</v>
      </c>
      <c r="AP4937" s="40" t="s">
        <v>115</v>
      </c>
    </row>
    <row r="4938" spans="1:42" x14ac:dyDescent="0.15">
      <c r="A4938" s="40" t="s">
        <v>1</v>
      </c>
      <c r="B4938" s="23">
        <v>97204104</v>
      </c>
      <c r="C4938" s="23">
        <v>72041</v>
      </c>
      <c r="D4938" s="51">
        <v>7204</v>
      </c>
      <c r="F4938" s="23" t="s">
        <v>116</v>
      </c>
      <c r="G4938" s="23">
        <v>261</v>
      </c>
      <c r="H4938" s="23" t="s">
        <v>7430</v>
      </c>
      <c r="I4938" s="23">
        <v>0</v>
      </c>
      <c r="J4938" s="40">
        <v>0</v>
      </c>
      <c r="K4938" s="40">
        <v>2</v>
      </c>
      <c r="L4938" s="40" t="s">
        <v>115</v>
      </c>
      <c r="O4938" s="40">
        <v>1</v>
      </c>
      <c r="Q4938" s="40">
        <v>163</v>
      </c>
      <c r="R4938" s="40" t="s">
        <v>115</v>
      </c>
      <c r="X4938" s="40" t="s">
        <v>115</v>
      </c>
      <c r="Y4938" s="40" t="s">
        <v>115</v>
      </c>
      <c r="Z4938" s="40">
        <v>1</v>
      </c>
      <c r="AA4938" s="40" t="s">
        <v>115</v>
      </c>
      <c r="AB4938" s="40" t="s">
        <v>115</v>
      </c>
      <c r="AC4938" s="40" t="s">
        <v>115</v>
      </c>
      <c r="AI4938" s="40" t="s">
        <v>115</v>
      </c>
      <c r="AP4938" s="40" t="s">
        <v>115</v>
      </c>
    </row>
    <row r="4939" spans="1:42" x14ac:dyDescent="0.15">
      <c r="D4939" s="51"/>
      <c r="AP4939" s="40"/>
    </row>
    <row r="4940" spans="1:42" x14ac:dyDescent="0.15">
      <c r="A4940" s="40" t="s">
        <v>1</v>
      </c>
      <c r="B4940" s="23">
        <v>97205101</v>
      </c>
      <c r="C4940" s="23">
        <v>72051</v>
      </c>
      <c r="D4940" s="51">
        <v>7205</v>
      </c>
      <c r="F4940" s="23" t="s">
        <v>115</v>
      </c>
      <c r="G4940" s="23" t="s">
        <v>115</v>
      </c>
      <c r="H4940" s="23" t="s">
        <v>7427</v>
      </c>
      <c r="I4940" s="23">
        <v>4</v>
      </c>
      <c r="J4940" s="40">
        <v>1</v>
      </c>
      <c r="K4940" s="40">
        <v>1</v>
      </c>
      <c r="L4940" s="40" t="s">
        <v>115</v>
      </c>
      <c r="O4940" s="40" t="s">
        <v>115</v>
      </c>
      <c r="Q4940" s="40">
        <v>163</v>
      </c>
      <c r="R4940" s="40" t="s">
        <v>115</v>
      </c>
      <c r="X4940" s="40">
        <v>97205102</v>
      </c>
      <c r="Y4940" s="40" t="s">
        <v>115</v>
      </c>
      <c r="Z4940" s="40" t="s">
        <v>115</v>
      </c>
      <c r="AA4940" s="40" t="s">
        <v>115</v>
      </c>
      <c r="AB4940" s="40" t="s">
        <v>115</v>
      </c>
      <c r="AC4940" s="40" t="s">
        <v>115</v>
      </c>
      <c r="AI4940" s="40" t="s">
        <v>115</v>
      </c>
      <c r="AP4940" s="40" t="s">
        <v>115</v>
      </c>
    </row>
    <row r="4941" spans="1:42" x14ac:dyDescent="0.15">
      <c r="A4941" s="40" t="s">
        <v>1</v>
      </c>
      <c r="B4941" s="23">
        <v>97205102</v>
      </c>
      <c r="C4941" s="23">
        <v>72051</v>
      </c>
      <c r="D4941" s="51">
        <v>7205</v>
      </c>
      <c r="F4941" s="23" t="s">
        <v>115</v>
      </c>
      <c r="G4941" s="23" t="s">
        <v>115</v>
      </c>
      <c r="H4941" s="23" t="s">
        <v>7428</v>
      </c>
      <c r="I4941" s="23">
        <v>4</v>
      </c>
      <c r="J4941" s="40">
        <v>0</v>
      </c>
      <c r="K4941" s="40">
        <v>0</v>
      </c>
      <c r="L4941" s="40" t="s">
        <v>115</v>
      </c>
      <c r="O4941" s="40" t="s">
        <v>115</v>
      </c>
      <c r="Q4941" s="40">
        <v>163</v>
      </c>
      <c r="R4941" s="40" t="s">
        <v>115</v>
      </c>
      <c r="X4941" s="40">
        <v>97205103</v>
      </c>
      <c r="Y4941" s="40" t="s">
        <v>115</v>
      </c>
      <c r="Z4941" s="40" t="s">
        <v>115</v>
      </c>
      <c r="AA4941" s="40" t="s">
        <v>115</v>
      </c>
      <c r="AB4941" s="40" t="s">
        <v>115</v>
      </c>
      <c r="AC4941" s="40" t="s">
        <v>115</v>
      </c>
      <c r="AI4941" s="40" t="s">
        <v>115</v>
      </c>
      <c r="AP4941" s="40" t="s">
        <v>115</v>
      </c>
    </row>
    <row r="4942" spans="1:42" x14ac:dyDescent="0.15">
      <c r="A4942" s="40" t="s">
        <v>1</v>
      </c>
      <c r="B4942" s="23">
        <v>97205103</v>
      </c>
      <c r="C4942" s="23">
        <v>72051</v>
      </c>
      <c r="D4942" s="51">
        <v>7205</v>
      </c>
      <c r="F4942" s="23" t="s">
        <v>116</v>
      </c>
      <c r="G4942" s="23">
        <v>275</v>
      </c>
      <c r="H4942" s="23" t="s">
        <v>7429</v>
      </c>
      <c r="I4942" s="23">
        <v>0</v>
      </c>
      <c r="J4942" s="40">
        <v>0</v>
      </c>
      <c r="K4942" s="40">
        <v>0</v>
      </c>
      <c r="L4942" s="40" t="s">
        <v>115</v>
      </c>
      <c r="O4942" s="40" t="s">
        <v>115</v>
      </c>
      <c r="Q4942" s="40">
        <v>163</v>
      </c>
      <c r="R4942" s="40" t="s">
        <v>115</v>
      </c>
      <c r="X4942" s="40">
        <v>97205104</v>
      </c>
      <c r="Y4942" s="40" t="s">
        <v>115</v>
      </c>
      <c r="Z4942" s="40" t="s">
        <v>115</v>
      </c>
      <c r="AA4942" s="40" t="s">
        <v>115</v>
      </c>
      <c r="AB4942" s="40" t="s">
        <v>115</v>
      </c>
      <c r="AC4942" s="40" t="s">
        <v>115</v>
      </c>
      <c r="AI4942" s="40" t="s">
        <v>115</v>
      </c>
      <c r="AP4942" s="40" t="s">
        <v>115</v>
      </c>
    </row>
    <row r="4943" spans="1:42" x14ac:dyDescent="0.15">
      <c r="A4943" s="40" t="s">
        <v>1</v>
      </c>
      <c r="B4943" s="23">
        <v>97205104</v>
      </c>
      <c r="C4943" s="23">
        <v>72051</v>
      </c>
      <c r="D4943" s="51">
        <v>7205</v>
      </c>
      <c r="F4943" s="23" t="s">
        <v>116</v>
      </c>
      <c r="G4943" s="23">
        <v>261</v>
      </c>
      <c r="H4943" s="23" t="s">
        <v>7430</v>
      </c>
      <c r="I4943" s="23">
        <v>0</v>
      </c>
      <c r="J4943" s="40">
        <v>0</v>
      </c>
      <c r="K4943" s="40">
        <v>2</v>
      </c>
      <c r="L4943" s="40" t="s">
        <v>115</v>
      </c>
      <c r="O4943" s="40">
        <v>1</v>
      </c>
      <c r="Q4943" s="40">
        <v>163</v>
      </c>
      <c r="R4943" s="40" t="s">
        <v>115</v>
      </c>
      <c r="X4943" s="40" t="s">
        <v>115</v>
      </c>
      <c r="Y4943" s="40" t="s">
        <v>115</v>
      </c>
      <c r="Z4943" s="40">
        <v>1</v>
      </c>
      <c r="AA4943" s="40" t="s">
        <v>115</v>
      </c>
      <c r="AB4943" s="40" t="s">
        <v>115</v>
      </c>
      <c r="AC4943" s="40" t="s">
        <v>115</v>
      </c>
      <c r="AI4943" s="40" t="s">
        <v>115</v>
      </c>
      <c r="AP4943" s="40" t="s">
        <v>115</v>
      </c>
    </row>
    <row r="4944" spans="1:42" x14ac:dyDescent="0.15">
      <c r="D4944" s="51"/>
      <c r="AP4944" s="40"/>
    </row>
    <row r="4945" spans="1:42" x14ac:dyDescent="0.15">
      <c r="A4945" s="40" t="s">
        <v>1</v>
      </c>
      <c r="B4945" s="23">
        <v>97301101</v>
      </c>
      <c r="C4945" s="23">
        <v>73011</v>
      </c>
      <c r="D4945" s="51">
        <v>7301</v>
      </c>
      <c r="F4945" s="23" t="s">
        <v>115</v>
      </c>
      <c r="G4945" s="23" t="s">
        <v>115</v>
      </c>
      <c r="H4945" s="23" t="s">
        <v>1931</v>
      </c>
      <c r="I4945" s="23">
        <v>4</v>
      </c>
      <c r="J4945" s="40">
        <v>1</v>
      </c>
      <c r="K4945" s="40">
        <v>1</v>
      </c>
      <c r="L4945" s="40" t="s">
        <v>115</v>
      </c>
      <c r="O4945" s="40" t="s">
        <v>115</v>
      </c>
      <c r="Q4945" s="40">
        <v>181</v>
      </c>
      <c r="R4945" s="40" t="s">
        <v>115</v>
      </c>
      <c r="X4945" s="40">
        <v>97301102</v>
      </c>
      <c r="Y4945" s="40" t="s">
        <v>115</v>
      </c>
      <c r="Z4945" s="40" t="s">
        <v>115</v>
      </c>
      <c r="AA4945" s="40" t="s">
        <v>115</v>
      </c>
      <c r="AB4945" s="40" t="s">
        <v>115</v>
      </c>
      <c r="AC4945" s="40" t="s">
        <v>115</v>
      </c>
      <c r="AI4945" s="40" t="s">
        <v>115</v>
      </c>
      <c r="AP4945" s="40" t="s">
        <v>115</v>
      </c>
    </row>
    <row r="4946" spans="1:42" x14ac:dyDescent="0.15">
      <c r="A4946" s="40" t="s">
        <v>1</v>
      </c>
      <c r="B4946" s="23">
        <v>97301102</v>
      </c>
      <c r="C4946" s="23">
        <v>73011</v>
      </c>
      <c r="D4946" s="51">
        <v>7301</v>
      </c>
      <c r="F4946" s="23" t="s">
        <v>115</v>
      </c>
      <c r="G4946" s="23" t="s">
        <v>115</v>
      </c>
      <c r="H4946" s="23" t="s">
        <v>1932</v>
      </c>
      <c r="I4946" s="23">
        <v>4</v>
      </c>
      <c r="J4946" s="40">
        <v>0</v>
      </c>
      <c r="K4946" s="40">
        <v>0</v>
      </c>
      <c r="L4946" s="40" t="s">
        <v>115</v>
      </c>
      <c r="O4946" s="40" t="s">
        <v>115</v>
      </c>
      <c r="Q4946" s="40">
        <v>181</v>
      </c>
      <c r="R4946" s="40" t="s">
        <v>115</v>
      </c>
      <c r="X4946" s="40">
        <v>97301103</v>
      </c>
      <c r="Y4946" s="40" t="s">
        <v>115</v>
      </c>
      <c r="Z4946" s="40" t="s">
        <v>115</v>
      </c>
      <c r="AA4946" s="40" t="s">
        <v>115</v>
      </c>
      <c r="AB4946" s="40" t="s">
        <v>115</v>
      </c>
      <c r="AC4946" s="40" t="s">
        <v>115</v>
      </c>
      <c r="AI4946" s="40" t="s">
        <v>115</v>
      </c>
      <c r="AP4946" s="40" t="s">
        <v>115</v>
      </c>
    </row>
    <row r="4947" spans="1:42" x14ac:dyDescent="0.15">
      <c r="A4947" s="40" t="s">
        <v>1</v>
      </c>
      <c r="B4947" s="23">
        <v>97301103</v>
      </c>
      <c r="C4947" s="23">
        <v>73011</v>
      </c>
      <c r="D4947" s="51">
        <v>7301</v>
      </c>
      <c r="F4947" s="23" t="s">
        <v>115</v>
      </c>
      <c r="G4947" s="23" t="s">
        <v>115</v>
      </c>
      <c r="H4947" s="23" t="s">
        <v>1933</v>
      </c>
      <c r="I4947" s="23">
        <v>4</v>
      </c>
      <c r="J4947" s="40">
        <v>0</v>
      </c>
      <c r="K4947" s="40">
        <v>0</v>
      </c>
      <c r="L4947" s="40" t="s">
        <v>115</v>
      </c>
      <c r="O4947" s="40" t="s">
        <v>115</v>
      </c>
      <c r="Q4947" s="40">
        <v>181</v>
      </c>
      <c r="R4947" s="40" t="s">
        <v>115</v>
      </c>
      <c r="X4947" s="40">
        <v>97301104</v>
      </c>
      <c r="Y4947" s="40" t="s">
        <v>115</v>
      </c>
      <c r="Z4947" s="40" t="s">
        <v>115</v>
      </c>
      <c r="AA4947" s="40" t="s">
        <v>115</v>
      </c>
      <c r="AB4947" s="40" t="s">
        <v>115</v>
      </c>
      <c r="AC4947" s="40" t="s">
        <v>115</v>
      </c>
      <c r="AI4947" s="40" t="s">
        <v>115</v>
      </c>
      <c r="AP4947" s="40" t="s">
        <v>115</v>
      </c>
    </row>
    <row r="4948" spans="1:42" x14ac:dyDescent="0.15">
      <c r="A4948" s="40" t="s">
        <v>1</v>
      </c>
      <c r="B4948" s="23">
        <v>97301104</v>
      </c>
      <c r="C4948" s="23">
        <v>73011</v>
      </c>
      <c r="D4948" s="51">
        <v>7301</v>
      </c>
      <c r="F4948" s="23" t="s">
        <v>1934</v>
      </c>
      <c r="G4948" s="23" t="s">
        <v>115</v>
      </c>
      <c r="H4948" s="23" t="s">
        <v>1935</v>
      </c>
      <c r="I4948" s="23">
        <v>3</v>
      </c>
      <c r="J4948" s="40">
        <v>0</v>
      </c>
      <c r="K4948" s="40">
        <v>0</v>
      </c>
      <c r="L4948" s="40" t="s">
        <v>115</v>
      </c>
      <c r="O4948" s="40" t="s">
        <v>115</v>
      </c>
      <c r="Q4948" s="40">
        <v>181</v>
      </c>
      <c r="R4948" s="40">
        <v>249</v>
      </c>
      <c r="X4948" s="40">
        <v>97301105</v>
      </c>
      <c r="Y4948" s="40" t="s">
        <v>115</v>
      </c>
      <c r="Z4948" s="40" t="s">
        <v>115</v>
      </c>
      <c r="AA4948" s="40" t="s">
        <v>115</v>
      </c>
      <c r="AB4948" s="40" t="s">
        <v>115</v>
      </c>
      <c r="AC4948" s="40" t="s">
        <v>115</v>
      </c>
      <c r="AI4948" s="40" t="s">
        <v>115</v>
      </c>
      <c r="AP4948" s="40" t="s">
        <v>115</v>
      </c>
    </row>
    <row r="4949" spans="1:42" x14ac:dyDescent="0.15">
      <c r="A4949" s="40" t="s">
        <v>1</v>
      </c>
      <c r="B4949" s="23">
        <v>97301105</v>
      </c>
      <c r="C4949" s="23">
        <v>73011</v>
      </c>
      <c r="D4949" s="51">
        <v>7301</v>
      </c>
      <c r="F4949" s="23" t="s">
        <v>116</v>
      </c>
      <c r="G4949" s="23">
        <v>261</v>
      </c>
      <c r="H4949" s="23" t="s">
        <v>1936</v>
      </c>
      <c r="I4949" s="23">
        <v>0</v>
      </c>
      <c r="J4949" s="40">
        <v>0</v>
      </c>
      <c r="K4949" s="40">
        <v>0</v>
      </c>
      <c r="L4949" s="40" t="s">
        <v>115</v>
      </c>
      <c r="O4949" s="40" t="s">
        <v>115</v>
      </c>
      <c r="Q4949" s="40">
        <v>181</v>
      </c>
      <c r="R4949" s="40">
        <v>249</v>
      </c>
      <c r="X4949" s="40">
        <v>97301106</v>
      </c>
      <c r="Y4949" s="40" t="s">
        <v>115</v>
      </c>
      <c r="Z4949" s="40" t="s">
        <v>115</v>
      </c>
      <c r="AA4949" s="40" t="s">
        <v>115</v>
      </c>
      <c r="AB4949" s="40" t="s">
        <v>115</v>
      </c>
      <c r="AC4949" s="40" t="s">
        <v>115</v>
      </c>
      <c r="AI4949" s="40" t="s">
        <v>115</v>
      </c>
      <c r="AP4949" s="40" t="s">
        <v>115</v>
      </c>
    </row>
    <row r="4950" spans="1:42" x14ac:dyDescent="0.15">
      <c r="A4950" s="40" t="s">
        <v>1</v>
      </c>
      <c r="B4950" s="23">
        <v>97301106</v>
      </c>
      <c r="C4950" s="23">
        <v>73011</v>
      </c>
      <c r="D4950" s="51">
        <v>7301</v>
      </c>
      <c r="F4950" s="23" t="s">
        <v>1934</v>
      </c>
      <c r="G4950" s="23" t="s">
        <v>115</v>
      </c>
      <c r="H4950" s="23" t="s">
        <v>1937</v>
      </c>
      <c r="I4950" s="23">
        <v>3</v>
      </c>
      <c r="J4950" s="40">
        <v>0</v>
      </c>
      <c r="K4950" s="40">
        <v>0</v>
      </c>
      <c r="L4950" s="40" t="s">
        <v>115</v>
      </c>
      <c r="O4950" s="40" t="s">
        <v>115</v>
      </c>
      <c r="Q4950" s="40">
        <v>181</v>
      </c>
      <c r="R4950" s="40">
        <v>249</v>
      </c>
      <c r="X4950" s="40">
        <v>97301107</v>
      </c>
      <c r="Y4950" s="40" t="s">
        <v>115</v>
      </c>
      <c r="Z4950" s="40" t="s">
        <v>115</v>
      </c>
      <c r="AA4950" s="40" t="s">
        <v>115</v>
      </c>
      <c r="AB4950" s="40" t="s">
        <v>115</v>
      </c>
      <c r="AC4950" s="40" t="s">
        <v>115</v>
      </c>
      <c r="AI4950" s="40" t="s">
        <v>115</v>
      </c>
      <c r="AP4950" s="40" t="s">
        <v>115</v>
      </c>
    </row>
    <row r="4951" spans="1:42" x14ac:dyDescent="0.15">
      <c r="A4951" s="40" t="s">
        <v>1</v>
      </c>
      <c r="B4951" s="23">
        <v>97301107</v>
      </c>
      <c r="C4951" s="23">
        <v>73011</v>
      </c>
      <c r="D4951" s="51">
        <v>7301</v>
      </c>
      <c r="F4951" s="23" t="s">
        <v>116</v>
      </c>
      <c r="G4951" s="23">
        <v>275</v>
      </c>
      <c r="H4951" s="23" t="s">
        <v>1938</v>
      </c>
      <c r="I4951" s="23">
        <v>0</v>
      </c>
      <c r="J4951" s="40">
        <v>0</v>
      </c>
      <c r="K4951" s="40">
        <v>0</v>
      </c>
      <c r="L4951" s="40" t="s">
        <v>115</v>
      </c>
      <c r="O4951" s="40" t="s">
        <v>115</v>
      </c>
      <c r="Q4951" s="40">
        <v>181</v>
      </c>
      <c r="R4951" s="40">
        <v>249</v>
      </c>
      <c r="X4951" s="40">
        <v>97301108</v>
      </c>
      <c r="Y4951" s="40" t="s">
        <v>115</v>
      </c>
      <c r="Z4951" s="40" t="s">
        <v>115</v>
      </c>
      <c r="AA4951" s="40" t="s">
        <v>115</v>
      </c>
      <c r="AB4951" s="40" t="s">
        <v>115</v>
      </c>
      <c r="AC4951" s="40" t="s">
        <v>115</v>
      </c>
      <c r="AI4951" s="40" t="s">
        <v>115</v>
      </c>
      <c r="AP4951" s="40" t="s">
        <v>115</v>
      </c>
    </row>
    <row r="4952" spans="1:42" x14ac:dyDescent="0.15">
      <c r="A4952" s="40" t="s">
        <v>1</v>
      </c>
      <c r="B4952" s="23">
        <v>97301108</v>
      </c>
      <c r="C4952" s="23">
        <v>73011</v>
      </c>
      <c r="D4952" s="51">
        <v>7301</v>
      </c>
      <c r="F4952" s="23" t="s">
        <v>1934</v>
      </c>
      <c r="G4952" s="23" t="s">
        <v>115</v>
      </c>
      <c r="H4952" s="23" t="s">
        <v>1939</v>
      </c>
      <c r="I4952" s="23">
        <v>3</v>
      </c>
      <c r="J4952" s="40">
        <v>0</v>
      </c>
      <c r="K4952" s="40">
        <v>0</v>
      </c>
      <c r="L4952" s="40" t="s">
        <v>115</v>
      </c>
      <c r="O4952" s="40" t="s">
        <v>115</v>
      </c>
      <c r="Q4952" s="40">
        <v>181</v>
      </c>
      <c r="R4952" s="40">
        <v>249</v>
      </c>
      <c r="X4952" s="40">
        <v>97301109</v>
      </c>
      <c r="Y4952" s="40" t="s">
        <v>115</v>
      </c>
      <c r="Z4952" s="40" t="s">
        <v>115</v>
      </c>
      <c r="AA4952" s="40" t="s">
        <v>115</v>
      </c>
      <c r="AB4952" s="40" t="s">
        <v>115</v>
      </c>
      <c r="AC4952" s="40" t="s">
        <v>115</v>
      </c>
      <c r="AI4952" s="40" t="s">
        <v>115</v>
      </c>
      <c r="AP4952" s="40" t="s">
        <v>115</v>
      </c>
    </row>
    <row r="4953" spans="1:42" x14ac:dyDescent="0.15">
      <c r="A4953" s="40" t="s">
        <v>1</v>
      </c>
      <c r="B4953" s="23">
        <v>97301109</v>
      </c>
      <c r="C4953" s="23">
        <v>73011</v>
      </c>
      <c r="D4953" s="51">
        <v>7301</v>
      </c>
      <c r="F4953" s="23" t="s">
        <v>116</v>
      </c>
      <c r="G4953" s="23">
        <v>275</v>
      </c>
      <c r="H4953" s="23" t="s">
        <v>1940</v>
      </c>
      <c r="I4953" s="23">
        <v>0</v>
      </c>
      <c r="J4953" s="40">
        <v>0</v>
      </c>
      <c r="K4953" s="40">
        <v>0</v>
      </c>
      <c r="L4953" s="40" t="s">
        <v>115</v>
      </c>
      <c r="O4953" s="40" t="s">
        <v>115</v>
      </c>
      <c r="Q4953" s="40">
        <v>181</v>
      </c>
      <c r="R4953" s="40">
        <v>249</v>
      </c>
      <c r="X4953" s="40">
        <v>97301110</v>
      </c>
      <c r="Y4953" s="40" t="s">
        <v>115</v>
      </c>
      <c r="Z4953" s="40" t="s">
        <v>115</v>
      </c>
      <c r="AA4953" s="40" t="s">
        <v>115</v>
      </c>
      <c r="AB4953" s="40" t="s">
        <v>115</v>
      </c>
      <c r="AC4953" s="40" t="s">
        <v>115</v>
      </c>
      <c r="AI4953" s="40" t="s">
        <v>115</v>
      </c>
      <c r="AP4953" s="40" t="s">
        <v>115</v>
      </c>
    </row>
    <row r="4954" spans="1:42" x14ac:dyDescent="0.15">
      <c r="A4954" s="40" t="s">
        <v>1</v>
      </c>
      <c r="B4954" s="23">
        <v>97301110</v>
      </c>
      <c r="C4954" s="23">
        <v>73011</v>
      </c>
      <c r="D4954" s="51">
        <v>7301</v>
      </c>
      <c r="F4954" s="23" t="s">
        <v>1428</v>
      </c>
      <c r="G4954" s="23" t="s">
        <v>115</v>
      </c>
      <c r="H4954" s="23" t="s">
        <v>1941</v>
      </c>
      <c r="I4954" s="23">
        <v>3</v>
      </c>
      <c r="J4954" s="40">
        <v>0</v>
      </c>
      <c r="K4954" s="40">
        <v>0</v>
      </c>
      <c r="L4954" s="40" t="s">
        <v>115</v>
      </c>
      <c r="O4954" s="40" t="s">
        <v>115</v>
      </c>
      <c r="Q4954" s="40">
        <v>181</v>
      </c>
      <c r="R4954" s="40">
        <v>245</v>
      </c>
      <c r="X4954" s="40">
        <v>97301111</v>
      </c>
      <c r="Y4954" s="40" t="s">
        <v>115</v>
      </c>
      <c r="Z4954" s="40" t="s">
        <v>115</v>
      </c>
      <c r="AA4954" s="40" t="s">
        <v>115</v>
      </c>
      <c r="AB4954" s="40" t="s">
        <v>115</v>
      </c>
      <c r="AC4954" s="40" t="s">
        <v>115</v>
      </c>
      <c r="AI4954" s="40" t="s">
        <v>115</v>
      </c>
      <c r="AP4954" s="40" t="s">
        <v>115</v>
      </c>
    </row>
    <row r="4955" spans="1:42" x14ac:dyDescent="0.15">
      <c r="A4955" s="40" t="s">
        <v>1</v>
      </c>
      <c r="B4955" s="23">
        <v>97301111</v>
      </c>
      <c r="C4955" s="23">
        <v>73011</v>
      </c>
      <c r="D4955" s="51">
        <v>7301</v>
      </c>
      <c r="F4955" s="23" t="s">
        <v>116</v>
      </c>
      <c r="G4955" s="23">
        <v>261</v>
      </c>
      <c r="H4955" s="23" t="s">
        <v>1942</v>
      </c>
      <c r="I4955" s="23">
        <v>0</v>
      </c>
      <c r="J4955" s="40">
        <v>0</v>
      </c>
      <c r="K4955" s="40">
        <v>0</v>
      </c>
      <c r="L4955" s="40" t="s">
        <v>115</v>
      </c>
      <c r="O4955" s="40" t="s">
        <v>115</v>
      </c>
      <c r="Q4955" s="40">
        <v>181</v>
      </c>
      <c r="R4955" s="40">
        <v>245</v>
      </c>
      <c r="X4955" s="40">
        <v>97301112</v>
      </c>
      <c r="Y4955" s="40" t="s">
        <v>115</v>
      </c>
      <c r="Z4955" s="40" t="s">
        <v>115</v>
      </c>
      <c r="AA4955" s="40" t="s">
        <v>115</v>
      </c>
      <c r="AB4955" s="40" t="s">
        <v>115</v>
      </c>
      <c r="AC4955" s="40" t="s">
        <v>115</v>
      </c>
      <c r="AI4955" s="40" t="s">
        <v>115</v>
      </c>
      <c r="AP4955" s="40" t="s">
        <v>115</v>
      </c>
    </row>
    <row r="4956" spans="1:42" x14ac:dyDescent="0.15">
      <c r="A4956" s="40" t="s">
        <v>1</v>
      </c>
      <c r="B4956" s="23">
        <v>97301112</v>
      </c>
      <c r="C4956" s="23">
        <v>73011</v>
      </c>
      <c r="D4956" s="51">
        <v>7301</v>
      </c>
      <c r="F4956" s="23" t="s">
        <v>1428</v>
      </c>
      <c r="G4956" s="23" t="s">
        <v>115</v>
      </c>
      <c r="H4956" s="23" t="s">
        <v>1943</v>
      </c>
      <c r="I4956" s="23">
        <v>3</v>
      </c>
      <c r="J4956" s="40">
        <v>0</v>
      </c>
      <c r="K4956" s="40">
        <v>0</v>
      </c>
      <c r="L4956" s="40" t="s">
        <v>115</v>
      </c>
      <c r="O4956" s="40" t="s">
        <v>115</v>
      </c>
      <c r="Q4956" s="40">
        <v>181</v>
      </c>
      <c r="R4956" s="40">
        <v>245</v>
      </c>
      <c r="X4956" s="40">
        <v>97301113</v>
      </c>
      <c r="Y4956" s="40" t="s">
        <v>115</v>
      </c>
      <c r="Z4956" s="40" t="s">
        <v>115</v>
      </c>
      <c r="AA4956" s="40" t="s">
        <v>115</v>
      </c>
      <c r="AB4956" s="40" t="s">
        <v>115</v>
      </c>
      <c r="AC4956" s="40" t="s">
        <v>115</v>
      </c>
      <c r="AI4956" s="40" t="s">
        <v>115</v>
      </c>
      <c r="AP4956" s="40" t="s">
        <v>115</v>
      </c>
    </row>
    <row r="4957" spans="1:42" x14ac:dyDescent="0.15">
      <c r="A4957" s="40" t="s">
        <v>1</v>
      </c>
      <c r="B4957" s="23">
        <v>97301113</v>
      </c>
      <c r="C4957" s="23">
        <v>73011</v>
      </c>
      <c r="D4957" s="51">
        <v>7301</v>
      </c>
      <c r="F4957" s="23" t="s">
        <v>1428</v>
      </c>
      <c r="G4957" s="23" t="s">
        <v>115</v>
      </c>
      <c r="H4957" s="23" t="s">
        <v>1944</v>
      </c>
      <c r="I4957" s="23">
        <v>3</v>
      </c>
      <c r="J4957" s="40">
        <v>0</v>
      </c>
      <c r="K4957" s="40">
        <v>0</v>
      </c>
      <c r="L4957" s="40" t="s">
        <v>115</v>
      </c>
      <c r="O4957" s="40" t="s">
        <v>115</v>
      </c>
      <c r="Q4957" s="40">
        <v>181</v>
      </c>
      <c r="R4957" s="40">
        <v>245</v>
      </c>
      <c r="X4957" s="40">
        <v>97301114</v>
      </c>
      <c r="Y4957" s="40" t="s">
        <v>115</v>
      </c>
      <c r="Z4957" s="40" t="s">
        <v>115</v>
      </c>
      <c r="AA4957" s="40" t="s">
        <v>115</v>
      </c>
      <c r="AB4957" s="40" t="s">
        <v>115</v>
      </c>
      <c r="AC4957" s="40" t="s">
        <v>115</v>
      </c>
      <c r="AI4957" s="40" t="s">
        <v>115</v>
      </c>
      <c r="AP4957" s="40" t="s">
        <v>115</v>
      </c>
    </row>
    <row r="4958" spans="1:42" x14ac:dyDescent="0.15">
      <c r="A4958" s="40" t="s">
        <v>1</v>
      </c>
      <c r="B4958" s="23">
        <v>97301114</v>
      </c>
      <c r="C4958" s="23">
        <v>73011</v>
      </c>
      <c r="D4958" s="51">
        <v>7301</v>
      </c>
      <c r="F4958" s="23" t="s">
        <v>1428</v>
      </c>
      <c r="G4958" s="23" t="s">
        <v>115</v>
      </c>
      <c r="H4958" s="23" t="s">
        <v>1429</v>
      </c>
      <c r="I4958" s="23">
        <v>3</v>
      </c>
      <c r="J4958" s="40">
        <v>0</v>
      </c>
      <c r="K4958" s="40">
        <v>0</v>
      </c>
      <c r="L4958" s="40" t="s">
        <v>115</v>
      </c>
      <c r="O4958" s="40" t="s">
        <v>115</v>
      </c>
      <c r="Q4958" s="40">
        <v>181</v>
      </c>
      <c r="R4958" s="40">
        <v>245</v>
      </c>
      <c r="X4958" s="40">
        <v>97301115</v>
      </c>
      <c r="Y4958" s="40" t="s">
        <v>115</v>
      </c>
      <c r="Z4958" s="40" t="s">
        <v>115</v>
      </c>
      <c r="AA4958" s="40" t="s">
        <v>115</v>
      </c>
      <c r="AB4958" s="40" t="s">
        <v>115</v>
      </c>
      <c r="AC4958" s="40" t="s">
        <v>115</v>
      </c>
      <c r="AI4958" s="40" t="s">
        <v>115</v>
      </c>
      <c r="AP4958" s="4" t="s">
        <v>115</v>
      </c>
    </row>
    <row r="4959" spans="1:42" x14ac:dyDescent="0.15">
      <c r="A4959" s="40" t="s">
        <v>1</v>
      </c>
      <c r="B4959" s="23">
        <v>97301115</v>
      </c>
      <c r="C4959" s="23">
        <v>73011</v>
      </c>
      <c r="D4959" s="51">
        <v>7301</v>
      </c>
      <c r="F4959" s="23" t="s">
        <v>116</v>
      </c>
      <c r="G4959" s="23">
        <v>261</v>
      </c>
      <c r="H4959" s="23" t="s">
        <v>1430</v>
      </c>
      <c r="I4959" s="23">
        <v>0</v>
      </c>
      <c r="J4959" s="40">
        <v>0</v>
      </c>
      <c r="K4959" s="40">
        <v>0</v>
      </c>
      <c r="L4959" s="40" t="s">
        <v>115</v>
      </c>
      <c r="O4959" s="40" t="s">
        <v>115</v>
      </c>
      <c r="Q4959" s="40">
        <v>181</v>
      </c>
      <c r="R4959" s="40">
        <v>245</v>
      </c>
      <c r="X4959" s="40">
        <v>97301116</v>
      </c>
      <c r="Y4959" s="40" t="s">
        <v>115</v>
      </c>
      <c r="Z4959" s="40" t="s">
        <v>115</v>
      </c>
      <c r="AA4959" s="40" t="s">
        <v>115</v>
      </c>
      <c r="AB4959" s="40" t="s">
        <v>115</v>
      </c>
      <c r="AC4959" s="40" t="s">
        <v>115</v>
      </c>
      <c r="AI4959" s="40" t="s">
        <v>115</v>
      </c>
      <c r="AP4959" s="4" t="s">
        <v>115</v>
      </c>
    </row>
    <row r="4960" spans="1:42" x14ac:dyDescent="0.15">
      <c r="A4960" s="40" t="s">
        <v>1</v>
      </c>
      <c r="B4960" s="23">
        <v>97301116</v>
      </c>
      <c r="C4960" s="23">
        <v>73011</v>
      </c>
      <c r="D4960" s="51">
        <v>7301</v>
      </c>
      <c r="F4960" s="23" t="s">
        <v>116</v>
      </c>
      <c r="G4960" s="23">
        <v>275</v>
      </c>
      <c r="H4960" s="23" t="s">
        <v>1431</v>
      </c>
      <c r="I4960" s="23">
        <v>2</v>
      </c>
      <c r="J4960" s="40">
        <v>0</v>
      </c>
      <c r="K4960" s="40">
        <v>2</v>
      </c>
      <c r="L4960" s="40" t="s">
        <v>115</v>
      </c>
      <c r="O4960" s="40">
        <v>1</v>
      </c>
      <c r="Q4960" s="40">
        <v>181</v>
      </c>
      <c r="R4960" s="40" t="s">
        <v>115</v>
      </c>
      <c r="X4960" s="40" t="s">
        <v>115</v>
      </c>
      <c r="Y4960" s="40" t="s">
        <v>115</v>
      </c>
      <c r="Z4960" s="40">
        <v>1</v>
      </c>
      <c r="AA4960" s="40" t="s">
        <v>115</v>
      </c>
      <c r="AB4960" s="40" t="s">
        <v>115</v>
      </c>
      <c r="AC4960" s="40" t="s">
        <v>115</v>
      </c>
      <c r="AI4960" s="40" t="s">
        <v>115</v>
      </c>
      <c r="AP4960" s="40">
        <v>73012</v>
      </c>
    </row>
    <row r="4961" spans="1:42" x14ac:dyDescent="0.15">
      <c r="A4961" s="40" t="s">
        <v>1</v>
      </c>
      <c r="B4961" s="23">
        <v>97301201</v>
      </c>
      <c r="C4961" s="23">
        <v>73012</v>
      </c>
      <c r="D4961" s="51">
        <v>7301</v>
      </c>
      <c r="F4961" s="23" t="s">
        <v>115</v>
      </c>
      <c r="G4961" s="23" t="s">
        <v>115</v>
      </c>
      <c r="H4961" s="23" t="s">
        <v>1432</v>
      </c>
      <c r="I4961" s="23">
        <v>4</v>
      </c>
      <c r="J4961" s="40">
        <v>1</v>
      </c>
      <c r="K4961" s="40">
        <v>1</v>
      </c>
      <c r="L4961" s="40" t="s">
        <v>115</v>
      </c>
      <c r="O4961" s="40" t="s">
        <v>115</v>
      </c>
      <c r="Q4961" s="40">
        <v>198</v>
      </c>
      <c r="R4961" s="40" t="s">
        <v>115</v>
      </c>
      <c r="X4961" s="40">
        <v>97301202</v>
      </c>
      <c r="Y4961" s="40" t="s">
        <v>115</v>
      </c>
      <c r="Z4961" s="40" t="s">
        <v>115</v>
      </c>
      <c r="AA4961" s="40" t="s">
        <v>115</v>
      </c>
      <c r="AB4961" s="40" t="s">
        <v>115</v>
      </c>
      <c r="AC4961" s="40" t="s">
        <v>115</v>
      </c>
      <c r="AI4961" s="40" t="s">
        <v>115</v>
      </c>
      <c r="AP4961" s="4" t="s">
        <v>115</v>
      </c>
    </row>
    <row r="4962" spans="1:42" x14ac:dyDescent="0.15">
      <c r="A4962" s="40" t="s">
        <v>1</v>
      </c>
      <c r="B4962" s="23">
        <v>97301202</v>
      </c>
      <c r="C4962" s="23">
        <v>73012</v>
      </c>
      <c r="D4962" s="51">
        <v>7301</v>
      </c>
      <c r="F4962" s="23" t="s">
        <v>1433</v>
      </c>
      <c r="G4962" s="23" t="s">
        <v>115</v>
      </c>
      <c r="H4962" s="23" t="s">
        <v>1434</v>
      </c>
      <c r="I4962" s="23">
        <v>3</v>
      </c>
      <c r="J4962" s="40">
        <v>0</v>
      </c>
      <c r="K4962" s="40">
        <v>0</v>
      </c>
      <c r="L4962" s="40" t="s">
        <v>115</v>
      </c>
      <c r="O4962" s="40" t="s">
        <v>115</v>
      </c>
      <c r="Q4962" s="40">
        <v>198</v>
      </c>
      <c r="R4962" s="40">
        <v>133</v>
      </c>
      <c r="X4962" s="40">
        <v>97301203</v>
      </c>
      <c r="Y4962" s="40" t="s">
        <v>115</v>
      </c>
      <c r="Z4962" s="40" t="s">
        <v>115</v>
      </c>
      <c r="AA4962" s="40" t="s">
        <v>115</v>
      </c>
      <c r="AB4962" s="40" t="s">
        <v>115</v>
      </c>
      <c r="AC4962" s="40" t="s">
        <v>115</v>
      </c>
      <c r="AI4962" s="40" t="s">
        <v>115</v>
      </c>
      <c r="AP4962" s="4" t="s">
        <v>115</v>
      </c>
    </row>
    <row r="4963" spans="1:42" x14ac:dyDescent="0.15">
      <c r="A4963" s="40" t="s">
        <v>1</v>
      </c>
      <c r="B4963" s="23">
        <v>97301203</v>
      </c>
      <c r="C4963" s="23">
        <v>73012</v>
      </c>
      <c r="D4963" s="51">
        <v>7301</v>
      </c>
      <c r="F4963" s="23" t="s">
        <v>116</v>
      </c>
      <c r="G4963" s="23">
        <v>275</v>
      </c>
      <c r="H4963" s="23" t="s">
        <v>1435</v>
      </c>
      <c r="I4963" s="23">
        <v>0</v>
      </c>
      <c r="J4963" s="40">
        <v>0</v>
      </c>
      <c r="K4963" s="40">
        <v>0</v>
      </c>
      <c r="L4963" s="40" t="s">
        <v>115</v>
      </c>
      <c r="O4963" s="40" t="s">
        <v>115</v>
      </c>
      <c r="Q4963" s="40">
        <v>198</v>
      </c>
      <c r="R4963" s="40">
        <v>133</v>
      </c>
      <c r="X4963" s="40">
        <v>97301204</v>
      </c>
      <c r="Y4963" s="40" t="s">
        <v>115</v>
      </c>
      <c r="Z4963" s="40" t="s">
        <v>115</v>
      </c>
      <c r="AA4963" s="40" t="s">
        <v>115</v>
      </c>
      <c r="AB4963" s="40" t="s">
        <v>115</v>
      </c>
      <c r="AC4963" s="40" t="s">
        <v>115</v>
      </c>
      <c r="AI4963" s="40" t="s">
        <v>115</v>
      </c>
      <c r="AP4963" s="4" t="s">
        <v>115</v>
      </c>
    </row>
    <row r="4964" spans="1:42" x14ac:dyDescent="0.15">
      <c r="A4964" s="40" t="s">
        <v>1</v>
      </c>
      <c r="B4964" s="23">
        <v>97301204</v>
      </c>
      <c r="C4964" s="23">
        <v>73012</v>
      </c>
      <c r="D4964" s="51">
        <v>7301</v>
      </c>
      <c r="F4964" s="23" t="s">
        <v>1436</v>
      </c>
      <c r="G4964" s="23" t="s">
        <v>115</v>
      </c>
      <c r="H4964" s="23" t="s">
        <v>1437</v>
      </c>
      <c r="I4964" s="23">
        <v>3</v>
      </c>
      <c r="J4964" s="40">
        <v>0</v>
      </c>
      <c r="K4964" s="40">
        <v>0</v>
      </c>
      <c r="L4964" s="40" t="s">
        <v>115</v>
      </c>
      <c r="O4964" s="40" t="s">
        <v>115</v>
      </c>
      <c r="Q4964" s="40">
        <v>198</v>
      </c>
      <c r="R4964" s="40">
        <v>133</v>
      </c>
      <c r="X4964" s="40">
        <v>97301205</v>
      </c>
      <c r="Y4964" s="40" t="s">
        <v>115</v>
      </c>
      <c r="Z4964" s="40" t="s">
        <v>115</v>
      </c>
      <c r="AA4964" s="40" t="s">
        <v>115</v>
      </c>
      <c r="AB4964" s="40" t="s">
        <v>115</v>
      </c>
      <c r="AC4964" s="40" t="s">
        <v>115</v>
      </c>
      <c r="AI4964" s="40" t="s">
        <v>115</v>
      </c>
      <c r="AP4964" s="4" t="s">
        <v>115</v>
      </c>
    </row>
    <row r="4965" spans="1:42" x14ac:dyDescent="0.15">
      <c r="A4965" s="40" t="s">
        <v>1</v>
      </c>
      <c r="B4965" s="23">
        <v>97301205</v>
      </c>
      <c r="C4965" s="23">
        <v>73012</v>
      </c>
      <c r="D4965" s="51">
        <v>7301</v>
      </c>
      <c r="F4965" s="23" t="s">
        <v>1436</v>
      </c>
      <c r="G4965" s="23" t="s">
        <v>115</v>
      </c>
      <c r="H4965" s="23" t="s">
        <v>1438</v>
      </c>
      <c r="I4965" s="23">
        <v>3</v>
      </c>
      <c r="J4965" s="40">
        <v>0</v>
      </c>
      <c r="K4965" s="40">
        <v>0</v>
      </c>
      <c r="L4965" s="40" t="s">
        <v>115</v>
      </c>
      <c r="O4965" s="40" t="s">
        <v>115</v>
      </c>
      <c r="Q4965" s="40">
        <v>198</v>
      </c>
      <c r="R4965" s="40">
        <v>133</v>
      </c>
      <c r="X4965" s="40">
        <v>97301206</v>
      </c>
      <c r="Y4965" s="40" t="s">
        <v>115</v>
      </c>
      <c r="Z4965" s="40" t="s">
        <v>115</v>
      </c>
      <c r="AA4965" s="40" t="s">
        <v>115</v>
      </c>
      <c r="AB4965" s="40" t="s">
        <v>115</v>
      </c>
      <c r="AC4965" s="40" t="s">
        <v>115</v>
      </c>
      <c r="AI4965" s="40" t="s">
        <v>115</v>
      </c>
      <c r="AP4965" s="4" t="s">
        <v>115</v>
      </c>
    </row>
    <row r="4966" spans="1:42" x14ac:dyDescent="0.15">
      <c r="A4966" s="40" t="s">
        <v>1</v>
      </c>
      <c r="B4966" s="23">
        <v>97301206</v>
      </c>
      <c r="C4966" s="23">
        <v>73012</v>
      </c>
      <c r="D4966" s="51">
        <v>7301</v>
      </c>
      <c r="F4966" s="23" t="s">
        <v>116</v>
      </c>
      <c r="G4966" s="23">
        <v>259</v>
      </c>
      <c r="H4966" s="23" t="s">
        <v>1439</v>
      </c>
      <c r="I4966" s="23">
        <v>0</v>
      </c>
      <c r="J4966" s="40">
        <v>0</v>
      </c>
      <c r="K4966" s="40">
        <v>0</v>
      </c>
      <c r="L4966" s="40" t="s">
        <v>115</v>
      </c>
      <c r="O4966" s="40" t="s">
        <v>115</v>
      </c>
      <c r="Q4966" s="40">
        <v>198</v>
      </c>
      <c r="R4966" s="40">
        <v>133</v>
      </c>
      <c r="X4966" s="40">
        <v>97301207</v>
      </c>
      <c r="Y4966" s="40" t="s">
        <v>115</v>
      </c>
      <c r="Z4966" s="40" t="s">
        <v>115</v>
      </c>
      <c r="AA4966" s="40" t="s">
        <v>115</v>
      </c>
      <c r="AB4966" s="40" t="s">
        <v>115</v>
      </c>
      <c r="AC4966" s="40" t="s">
        <v>115</v>
      </c>
      <c r="AI4966" s="40" t="s">
        <v>115</v>
      </c>
      <c r="AP4966" s="4" t="s">
        <v>115</v>
      </c>
    </row>
    <row r="4967" spans="1:42" x14ac:dyDescent="0.15">
      <c r="A4967" s="40" t="s">
        <v>1</v>
      </c>
      <c r="B4967" s="23">
        <v>97301207</v>
      </c>
      <c r="C4967" s="23">
        <v>73012</v>
      </c>
      <c r="D4967" s="51">
        <v>7301</v>
      </c>
      <c r="F4967" s="23" t="s">
        <v>1436</v>
      </c>
      <c r="G4967" s="23" t="s">
        <v>115</v>
      </c>
      <c r="H4967" s="23" t="s">
        <v>1440</v>
      </c>
      <c r="I4967" s="23">
        <v>3</v>
      </c>
      <c r="J4967" s="40">
        <v>0</v>
      </c>
      <c r="K4967" s="40">
        <v>0</v>
      </c>
      <c r="L4967" s="40" t="s">
        <v>115</v>
      </c>
      <c r="O4967" s="40" t="s">
        <v>115</v>
      </c>
      <c r="Q4967" s="40">
        <v>198</v>
      </c>
      <c r="R4967" s="40">
        <v>133</v>
      </c>
      <c r="X4967" s="40">
        <v>97301208</v>
      </c>
      <c r="Y4967" s="40" t="s">
        <v>115</v>
      </c>
      <c r="Z4967" s="40" t="s">
        <v>115</v>
      </c>
      <c r="AA4967" s="40" t="s">
        <v>115</v>
      </c>
      <c r="AB4967" s="40" t="s">
        <v>115</v>
      </c>
      <c r="AC4967" s="40" t="s">
        <v>115</v>
      </c>
      <c r="AI4967" s="40" t="s">
        <v>115</v>
      </c>
      <c r="AP4967" s="4" t="s">
        <v>115</v>
      </c>
    </row>
    <row r="4968" spans="1:42" x14ac:dyDescent="0.15">
      <c r="A4968" s="40" t="s">
        <v>1</v>
      </c>
      <c r="B4968" s="23">
        <v>97301208</v>
      </c>
      <c r="C4968" s="23">
        <v>73012</v>
      </c>
      <c r="D4968" s="23">
        <v>7301</v>
      </c>
      <c r="F4968" s="23" t="s">
        <v>1436</v>
      </c>
      <c r="G4968" s="23" t="s">
        <v>115</v>
      </c>
      <c r="H4968" s="23" t="s">
        <v>1441</v>
      </c>
      <c r="I4968" s="23">
        <v>3</v>
      </c>
      <c r="J4968" s="40">
        <v>0</v>
      </c>
      <c r="K4968" s="40">
        <v>0</v>
      </c>
      <c r="L4968" s="40" t="s">
        <v>115</v>
      </c>
      <c r="O4968" s="40" t="s">
        <v>115</v>
      </c>
      <c r="Q4968" s="40">
        <v>198</v>
      </c>
      <c r="R4968" s="40">
        <v>133</v>
      </c>
      <c r="X4968" s="40">
        <v>97301209</v>
      </c>
      <c r="Y4968" s="40" t="s">
        <v>115</v>
      </c>
      <c r="Z4968" s="40" t="s">
        <v>115</v>
      </c>
      <c r="AA4968" s="40" t="s">
        <v>115</v>
      </c>
      <c r="AB4968" s="40" t="s">
        <v>115</v>
      </c>
      <c r="AC4968" s="40" t="s">
        <v>115</v>
      </c>
      <c r="AI4968" s="40" t="s">
        <v>115</v>
      </c>
      <c r="AP4968" s="4" t="s">
        <v>115</v>
      </c>
    </row>
    <row r="4969" spans="1:42" x14ac:dyDescent="0.15">
      <c r="A4969" s="40" t="s">
        <v>1</v>
      </c>
      <c r="B4969" s="23">
        <v>97301209</v>
      </c>
      <c r="C4969" s="23">
        <v>73012</v>
      </c>
      <c r="D4969" s="23">
        <v>7301</v>
      </c>
      <c r="F4969" s="23" t="s">
        <v>1436</v>
      </c>
      <c r="G4969" s="23" t="s">
        <v>115</v>
      </c>
      <c r="H4969" s="23" t="s">
        <v>1442</v>
      </c>
      <c r="I4969" s="23">
        <v>3</v>
      </c>
      <c r="J4969" s="40">
        <v>0</v>
      </c>
      <c r="K4969" s="40">
        <v>0</v>
      </c>
      <c r="L4969" s="40" t="s">
        <v>115</v>
      </c>
      <c r="O4969" s="40" t="s">
        <v>115</v>
      </c>
      <c r="Q4969" s="40">
        <v>198</v>
      </c>
      <c r="R4969" s="40">
        <v>133</v>
      </c>
      <c r="X4969" s="40">
        <v>97301210</v>
      </c>
      <c r="Y4969" s="40" t="s">
        <v>115</v>
      </c>
      <c r="Z4969" s="40" t="s">
        <v>115</v>
      </c>
      <c r="AA4969" s="40" t="s">
        <v>115</v>
      </c>
      <c r="AB4969" s="40" t="s">
        <v>115</v>
      </c>
      <c r="AC4969" s="40" t="s">
        <v>115</v>
      </c>
      <c r="AI4969" s="40" t="s">
        <v>115</v>
      </c>
      <c r="AP4969" s="4" t="s">
        <v>115</v>
      </c>
    </row>
    <row r="4970" spans="1:42" x14ac:dyDescent="0.15">
      <c r="A4970" s="40" t="s">
        <v>1</v>
      </c>
      <c r="B4970" s="23">
        <v>97301210</v>
      </c>
      <c r="C4970" s="23">
        <v>73012</v>
      </c>
      <c r="D4970" s="23">
        <v>7301</v>
      </c>
      <c r="F4970" s="23" t="s">
        <v>322</v>
      </c>
      <c r="G4970" s="23" t="s">
        <v>115</v>
      </c>
      <c r="H4970" s="23" t="s">
        <v>1443</v>
      </c>
      <c r="I4970" s="23">
        <v>3</v>
      </c>
      <c r="J4970" s="40">
        <v>0</v>
      </c>
      <c r="K4970" s="40">
        <v>0</v>
      </c>
      <c r="L4970" s="40" t="s">
        <v>115</v>
      </c>
      <c r="O4970" s="40" t="s">
        <v>115</v>
      </c>
      <c r="Q4970" s="40">
        <v>198</v>
      </c>
      <c r="R4970" s="40">
        <v>243</v>
      </c>
      <c r="X4970" s="40">
        <v>97301211</v>
      </c>
      <c r="Y4970" s="40" t="s">
        <v>115</v>
      </c>
      <c r="Z4970" s="40" t="s">
        <v>115</v>
      </c>
      <c r="AA4970" s="40" t="s">
        <v>115</v>
      </c>
      <c r="AB4970" s="40" t="s">
        <v>115</v>
      </c>
      <c r="AC4970" s="40" t="s">
        <v>115</v>
      </c>
      <c r="AI4970" s="40" t="s">
        <v>115</v>
      </c>
      <c r="AP4970" s="4" t="s">
        <v>115</v>
      </c>
    </row>
    <row r="4971" spans="1:42" x14ac:dyDescent="0.15">
      <c r="A4971" s="40" t="s">
        <v>1</v>
      </c>
      <c r="B4971" s="23">
        <v>97301211</v>
      </c>
      <c r="C4971" s="23">
        <v>73012</v>
      </c>
      <c r="D4971" s="23">
        <v>7301</v>
      </c>
      <c r="F4971" s="23" t="s">
        <v>116</v>
      </c>
      <c r="G4971" s="23">
        <v>261</v>
      </c>
      <c r="H4971" s="23" t="s">
        <v>1444</v>
      </c>
      <c r="I4971" s="23">
        <v>0</v>
      </c>
      <c r="J4971" s="40">
        <v>0</v>
      </c>
      <c r="K4971" s="40">
        <v>0</v>
      </c>
      <c r="L4971" s="40" t="s">
        <v>115</v>
      </c>
      <c r="O4971" s="40" t="s">
        <v>115</v>
      </c>
      <c r="Q4971" s="40">
        <v>198</v>
      </c>
      <c r="R4971" s="40">
        <v>243</v>
      </c>
      <c r="X4971" s="40">
        <v>97301212</v>
      </c>
      <c r="Y4971" s="40" t="s">
        <v>115</v>
      </c>
      <c r="Z4971" s="40" t="s">
        <v>115</v>
      </c>
      <c r="AA4971" s="40" t="s">
        <v>115</v>
      </c>
      <c r="AB4971" s="40" t="s">
        <v>115</v>
      </c>
      <c r="AC4971" s="40" t="s">
        <v>115</v>
      </c>
      <c r="AI4971" s="40" t="s">
        <v>115</v>
      </c>
      <c r="AP4971" s="4" t="s">
        <v>115</v>
      </c>
    </row>
    <row r="4972" spans="1:42" x14ac:dyDescent="0.15">
      <c r="A4972" s="40" t="s">
        <v>1</v>
      </c>
      <c r="B4972" s="23">
        <v>97301212</v>
      </c>
      <c r="C4972" s="23">
        <v>73012</v>
      </c>
      <c r="D4972" s="23">
        <v>7301</v>
      </c>
      <c r="F4972" s="23" t="s">
        <v>116</v>
      </c>
      <c r="G4972" s="23">
        <v>261</v>
      </c>
      <c r="H4972" s="23" t="s">
        <v>1445</v>
      </c>
      <c r="I4972" s="23">
        <v>0</v>
      </c>
      <c r="J4972" s="40">
        <v>0</v>
      </c>
      <c r="K4972" s="40">
        <v>0</v>
      </c>
      <c r="L4972" s="40" t="s">
        <v>115</v>
      </c>
      <c r="O4972" s="40" t="s">
        <v>115</v>
      </c>
      <c r="Q4972" s="40">
        <v>198</v>
      </c>
      <c r="R4972" s="40">
        <v>243</v>
      </c>
      <c r="X4972" s="40">
        <v>97301213</v>
      </c>
      <c r="Y4972" s="40" t="s">
        <v>115</v>
      </c>
      <c r="Z4972" s="40" t="s">
        <v>115</v>
      </c>
      <c r="AA4972" s="40" t="s">
        <v>115</v>
      </c>
      <c r="AB4972" s="40" t="s">
        <v>115</v>
      </c>
      <c r="AC4972" s="40" t="s">
        <v>115</v>
      </c>
      <c r="AI4972" s="40" t="s">
        <v>115</v>
      </c>
      <c r="AP4972" s="4" t="s">
        <v>115</v>
      </c>
    </row>
    <row r="4973" spans="1:42" x14ac:dyDescent="0.15">
      <c r="A4973" s="40" t="s">
        <v>1</v>
      </c>
      <c r="B4973" s="23">
        <v>97301213</v>
      </c>
      <c r="C4973" s="23">
        <v>73012</v>
      </c>
      <c r="D4973" s="23">
        <v>7301</v>
      </c>
      <c r="F4973" s="23" t="s">
        <v>322</v>
      </c>
      <c r="G4973" s="23" t="s">
        <v>115</v>
      </c>
      <c r="H4973" s="23" t="s">
        <v>1446</v>
      </c>
      <c r="I4973" s="23">
        <v>3</v>
      </c>
      <c r="J4973" s="40">
        <v>0</v>
      </c>
      <c r="K4973" s="40">
        <v>0</v>
      </c>
      <c r="L4973" s="40" t="s">
        <v>115</v>
      </c>
      <c r="O4973" s="40" t="s">
        <v>115</v>
      </c>
      <c r="Q4973" s="40">
        <v>198</v>
      </c>
      <c r="R4973" s="40">
        <v>243</v>
      </c>
      <c r="X4973" s="40">
        <v>97301214</v>
      </c>
      <c r="Y4973" s="40" t="s">
        <v>115</v>
      </c>
      <c r="Z4973" s="40" t="s">
        <v>115</v>
      </c>
      <c r="AA4973" s="40" t="s">
        <v>115</v>
      </c>
      <c r="AB4973" s="40" t="s">
        <v>115</v>
      </c>
      <c r="AC4973" s="40" t="s">
        <v>115</v>
      </c>
      <c r="AI4973" s="40" t="s">
        <v>115</v>
      </c>
      <c r="AP4973" s="4" t="s">
        <v>115</v>
      </c>
    </row>
    <row r="4974" spans="1:42" x14ac:dyDescent="0.15">
      <c r="A4974" s="40" t="s">
        <v>1</v>
      </c>
      <c r="B4974" s="23">
        <v>97301214</v>
      </c>
      <c r="C4974" s="23">
        <v>73012</v>
      </c>
      <c r="D4974" s="23">
        <v>7301</v>
      </c>
      <c r="F4974" s="23" t="s">
        <v>116</v>
      </c>
      <c r="G4974" s="23">
        <v>261</v>
      </c>
      <c r="H4974" s="23" t="s">
        <v>1447</v>
      </c>
      <c r="I4974" s="23">
        <v>0</v>
      </c>
      <c r="J4974" s="40">
        <v>0</v>
      </c>
      <c r="K4974" s="40">
        <v>0</v>
      </c>
      <c r="L4974" s="40" t="s">
        <v>115</v>
      </c>
      <c r="O4974" s="40" t="s">
        <v>115</v>
      </c>
      <c r="Q4974" s="40">
        <v>198</v>
      </c>
      <c r="R4974" s="40">
        <v>243</v>
      </c>
      <c r="X4974" s="40">
        <v>97301215</v>
      </c>
      <c r="Y4974" s="40" t="s">
        <v>115</v>
      </c>
      <c r="Z4974" s="40" t="s">
        <v>115</v>
      </c>
      <c r="AA4974" s="40" t="s">
        <v>115</v>
      </c>
      <c r="AB4974" s="40" t="s">
        <v>115</v>
      </c>
      <c r="AC4974" s="40" t="s">
        <v>115</v>
      </c>
      <c r="AI4974" s="40" t="s">
        <v>115</v>
      </c>
      <c r="AP4974" s="4" t="s">
        <v>115</v>
      </c>
    </row>
    <row r="4975" spans="1:42" x14ac:dyDescent="0.15">
      <c r="A4975" s="40" t="s">
        <v>1</v>
      </c>
      <c r="B4975" s="23">
        <v>97301215</v>
      </c>
      <c r="C4975" s="23">
        <v>73012</v>
      </c>
      <c r="D4975" s="23">
        <v>7301</v>
      </c>
      <c r="F4975" s="23" t="s">
        <v>322</v>
      </c>
      <c r="G4975" s="23" t="s">
        <v>115</v>
      </c>
      <c r="H4975" s="23" t="s">
        <v>1448</v>
      </c>
      <c r="I4975" s="23">
        <v>3</v>
      </c>
      <c r="J4975" s="40">
        <v>0</v>
      </c>
      <c r="K4975" s="40">
        <v>2</v>
      </c>
      <c r="L4975" s="40" t="s">
        <v>115</v>
      </c>
      <c r="O4975" s="40">
        <v>1</v>
      </c>
      <c r="Q4975" s="40">
        <v>198</v>
      </c>
      <c r="R4975" s="40">
        <v>243</v>
      </c>
      <c r="X4975" s="40" t="s">
        <v>115</v>
      </c>
      <c r="Y4975" s="40" t="s">
        <v>115</v>
      </c>
      <c r="Z4975" s="40">
        <v>1</v>
      </c>
      <c r="AA4975" s="40" t="s">
        <v>115</v>
      </c>
      <c r="AB4975" s="40" t="s">
        <v>115</v>
      </c>
      <c r="AC4975" s="40" t="s">
        <v>115</v>
      </c>
      <c r="AI4975" s="40" t="s">
        <v>115</v>
      </c>
      <c r="AP4975" s="40">
        <v>73013</v>
      </c>
    </row>
    <row r="4976" spans="1:42" x14ac:dyDescent="0.15">
      <c r="A4976" s="40" t="s">
        <v>1</v>
      </c>
      <c r="B4976" s="23">
        <v>97301301</v>
      </c>
      <c r="C4976" s="23">
        <v>73013</v>
      </c>
      <c r="D4976" s="23">
        <v>7301</v>
      </c>
      <c r="F4976" s="23" t="s">
        <v>115</v>
      </c>
      <c r="G4976" s="23" t="s">
        <v>115</v>
      </c>
      <c r="H4976" s="23" t="s">
        <v>1449</v>
      </c>
      <c r="I4976" s="23">
        <v>4</v>
      </c>
      <c r="J4976" s="40">
        <v>1</v>
      </c>
      <c r="K4976" s="40">
        <v>1</v>
      </c>
      <c r="L4976" s="40" t="s">
        <v>115</v>
      </c>
      <c r="O4976" s="40" t="s">
        <v>115</v>
      </c>
      <c r="Q4976" s="40">
        <v>183</v>
      </c>
      <c r="R4976" s="40" t="s">
        <v>115</v>
      </c>
      <c r="X4976" s="40">
        <v>97301302</v>
      </c>
      <c r="Y4976" s="40" t="s">
        <v>115</v>
      </c>
      <c r="Z4976" s="40" t="s">
        <v>115</v>
      </c>
      <c r="AA4976" s="40" t="s">
        <v>115</v>
      </c>
      <c r="AB4976" s="40" t="s">
        <v>115</v>
      </c>
      <c r="AC4976" s="40" t="s">
        <v>115</v>
      </c>
      <c r="AI4976" s="40" t="s">
        <v>115</v>
      </c>
      <c r="AP4976" s="4" t="s">
        <v>115</v>
      </c>
    </row>
    <row r="4977" spans="1:42" x14ac:dyDescent="0.15">
      <c r="A4977" s="40" t="s">
        <v>1</v>
      </c>
      <c r="B4977" s="23">
        <v>97301302</v>
      </c>
      <c r="C4977" s="23">
        <v>73013</v>
      </c>
      <c r="D4977" s="23">
        <v>7301</v>
      </c>
      <c r="F4977" s="23" t="s">
        <v>115</v>
      </c>
      <c r="G4977" s="23" t="s">
        <v>115</v>
      </c>
      <c r="H4977" s="23" t="s">
        <v>1450</v>
      </c>
      <c r="I4977" s="23">
        <v>4</v>
      </c>
      <c r="J4977" s="40">
        <v>0</v>
      </c>
      <c r="K4977" s="40">
        <v>0</v>
      </c>
      <c r="L4977" s="40" t="s">
        <v>115</v>
      </c>
      <c r="O4977" s="40" t="s">
        <v>115</v>
      </c>
      <c r="Q4977" s="40">
        <v>183</v>
      </c>
      <c r="R4977" s="40" t="s">
        <v>115</v>
      </c>
      <c r="X4977" s="40">
        <v>97301303</v>
      </c>
      <c r="Y4977" s="40" t="s">
        <v>115</v>
      </c>
      <c r="Z4977" s="40" t="s">
        <v>115</v>
      </c>
      <c r="AA4977" s="40" t="s">
        <v>115</v>
      </c>
      <c r="AB4977" s="40" t="s">
        <v>115</v>
      </c>
      <c r="AC4977" s="40" t="s">
        <v>115</v>
      </c>
      <c r="AI4977" s="40" t="s">
        <v>115</v>
      </c>
      <c r="AP4977" s="4" t="s">
        <v>115</v>
      </c>
    </row>
    <row r="4978" spans="1:42" x14ac:dyDescent="0.15">
      <c r="A4978" s="40" t="s">
        <v>1</v>
      </c>
      <c r="B4978" s="23">
        <v>97301303</v>
      </c>
      <c r="C4978" s="23">
        <v>73013</v>
      </c>
      <c r="D4978" s="23">
        <v>7301</v>
      </c>
      <c r="F4978" s="23" t="s">
        <v>1451</v>
      </c>
      <c r="G4978" s="23" t="s">
        <v>115</v>
      </c>
      <c r="H4978" s="23" t="s">
        <v>1452</v>
      </c>
      <c r="I4978" s="23">
        <v>3</v>
      </c>
      <c r="J4978" s="40">
        <v>0</v>
      </c>
      <c r="K4978" s="40">
        <v>0</v>
      </c>
      <c r="L4978" s="40" t="s">
        <v>115</v>
      </c>
      <c r="O4978" s="40" t="s">
        <v>115</v>
      </c>
      <c r="Q4978" s="40">
        <v>183</v>
      </c>
      <c r="R4978" s="40">
        <v>300</v>
      </c>
      <c r="X4978" s="40">
        <v>97301304</v>
      </c>
      <c r="Y4978" s="40" t="s">
        <v>115</v>
      </c>
      <c r="Z4978" s="40" t="s">
        <v>115</v>
      </c>
      <c r="AA4978" s="40" t="s">
        <v>115</v>
      </c>
      <c r="AB4978" s="40" t="s">
        <v>115</v>
      </c>
      <c r="AC4978" s="40" t="s">
        <v>115</v>
      </c>
      <c r="AI4978" s="40" t="s">
        <v>115</v>
      </c>
      <c r="AP4978" s="4" t="s">
        <v>115</v>
      </c>
    </row>
    <row r="4979" spans="1:42" x14ac:dyDescent="0.15">
      <c r="A4979" s="40" t="s">
        <v>1</v>
      </c>
      <c r="B4979" s="23">
        <v>97301304</v>
      </c>
      <c r="C4979" s="23">
        <v>73013</v>
      </c>
      <c r="D4979" s="23">
        <v>7301</v>
      </c>
      <c r="F4979" s="23" t="s">
        <v>115</v>
      </c>
      <c r="G4979" s="23" t="s">
        <v>115</v>
      </c>
      <c r="H4979" s="23" t="s">
        <v>1453</v>
      </c>
      <c r="I4979" s="23">
        <v>4</v>
      </c>
      <c r="J4979" s="40">
        <v>0</v>
      </c>
      <c r="K4979" s="40">
        <v>0</v>
      </c>
      <c r="L4979" s="40" t="s">
        <v>115</v>
      </c>
      <c r="O4979" s="40" t="s">
        <v>115</v>
      </c>
      <c r="Q4979" s="40">
        <v>183</v>
      </c>
      <c r="R4979" s="40">
        <v>300</v>
      </c>
      <c r="X4979" s="40">
        <v>97301305</v>
      </c>
      <c r="Y4979" s="40" t="s">
        <v>115</v>
      </c>
      <c r="Z4979" s="40" t="s">
        <v>115</v>
      </c>
      <c r="AA4979" s="40" t="s">
        <v>115</v>
      </c>
      <c r="AB4979" s="40" t="s">
        <v>115</v>
      </c>
      <c r="AC4979" s="40" t="s">
        <v>115</v>
      </c>
      <c r="AI4979" s="40" t="s">
        <v>115</v>
      </c>
      <c r="AP4979" s="4" t="s">
        <v>115</v>
      </c>
    </row>
    <row r="4980" spans="1:42" x14ac:dyDescent="0.15">
      <c r="A4980" s="40" t="s">
        <v>1</v>
      </c>
      <c r="B4980" s="23">
        <v>97301305</v>
      </c>
      <c r="C4980" s="23">
        <v>73013</v>
      </c>
      <c r="D4980" s="23">
        <v>7301</v>
      </c>
      <c r="F4980" s="23" t="s">
        <v>1454</v>
      </c>
      <c r="G4980" s="23" t="s">
        <v>115</v>
      </c>
      <c r="H4980" s="23" t="s">
        <v>1455</v>
      </c>
      <c r="I4980" s="23">
        <v>3</v>
      </c>
      <c r="J4980" s="40">
        <v>0</v>
      </c>
      <c r="K4980" s="40">
        <v>0</v>
      </c>
      <c r="L4980" s="40" t="s">
        <v>115</v>
      </c>
      <c r="O4980" s="40" t="s">
        <v>115</v>
      </c>
      <c r="Q4980" s="40">
        <v>183</v>
      </c>
      <c r="R4980" s="40">
        <v>285</v>
      </c>
      <c r="X4980" s="40">
        <v>97301306</v>
      </c>
      <c r="Y4980" s="40" t="s">
        <v>115</v>
      </c>
      <c r="Z4980" s="40" t="s">
        <v>115</v>
      </c>
      <c r="AA4980" s="40" t="s">
        <v>115</v>
      </c>
      <c r="AB4980" s="40" t="s">
        <v>115</v>
      </c>
      <c r="AC4980" s="40" t="s">
        <v>115</v>
      </c>
      <c r="AI4980" s="40" t="s">
        <v>115</v>
      </c>
      <c r="AP4980" s="4" t="s">
        <v>115</v>
      </c>
    </row>
    <row r="4981" spans="1:42" x14ac:dyDescent="0.15">
      <c r="A4981" s="40" t="s">
        <v>1</v>
      </c>
      <c r="B4981" s="23">
        <v>97301306</v>
      </c>
      <c r="C4981" s="23">
        <v>73013</v>
      </c>
      <c r="D4981" s="23">
        <v>7301</v>
      </c>
      <c r="F4981" s="23" t="s">
        <v>115</v>
      </c>
      <c r="G4981" s="23" t="s">
        <v>115</v>
      </c>
      <c r="H4981" s="23" t="s">
        <v>1456</v>
      </c>
      <c r="I4981" s="23">
        <v>4</v>
      </c>
      <c r="J4981" s="40">
        <v>0</v>
      </c>
      <c r="K4981" s="40">
        <v>0</v>
      </c>
      <c r="L4981" s="40" t="s">
        <v>115</v>
      </c>
      <c r="O4981" s="40" t="s">
        <v>115</v>
      </c>
      <c r="Q4981" s="40">
        <v>183</v>
      </c>
      <c r="R4981" s="40">
        <v>17</v>
      </c>
      <c r="X4981" s="40">
        <v>97301307</v>
      </c>
      <c r="Y4981" s="40" t="s">
        <v>115</v>
      </c>
      <c r="Z4981" s="40" t="s">
        <v>115</v>
      </c>
      <c r="AA4981" s="40" t="s">
        <v>115</v>
      </c>
      <c r="AB4981" s="40" t="s">
        <v>115</v>
      </c>
      <c r="AC4981" s="40" t="s">
        <v>115</v>
      </c>
      <c r="AI4981" s="40" t="s">
        <v>115</v>
      </c>
      <c r="AP4981" s="4" t="s">
        <v>115</v>
      </c>
    </row>
    <row r="4982" spans="1:42" x14ac:dyDescent="0.15">
      <c r="A4982" s="40" t="s">
        <v>1</v>
      </c>
      <c r="B4982" s="23">
        <v>97301307</v>
      </c>
      <c r="C4982" s="23">
        <v>73013</v>
      </c>
      <c r="D4982" s="23">
        <v>7301</v>
      </c>
      <c r="F4982" s="23" t="s">
        <v>115</v>
      </c>
      <c r="G4982" s="23" t="s">
        <v>115</v>
      </c>
      <c r="H4982" s="23" t="s">
        <v>1457</v>
      </c>
      <c r="I4982" s="23">
        <v>4</v>
      </c>
      <c r="J4982" s="40">
        <v>0</v>
      </c>
      <c r="K4982" s="40">
        <v>0</v>
      </c>
      <c r="L4982" s="40" t="s">
        <v>115</v>
      </c>
      <c r="O4982" s="40" t="s">
        <v>115</v>
      </c>
      <c r="Q4982" s="40">
        <v>183</v>
      </c>
      <c r="R4982" s="40" t="s">
        <v>115</v>
      </c>
      <c r="X4982" s="40">
        <v>97301308</v>
      </c>
      <c r="Y4982" s="40" t="s">
        <v>115</v>
      </c>
      <c r="Z4982" s="40" t="s">
        <v>115</v>
      </c>
      <c r="AA4982" s="40" t="s">
        <v>115</v>
      </c>
      <c r="AB4982" s="40" t="s">
        <v>115</v>
      </c>
      <c r="AC4982" s="40" t="s">
        <v>115</v>
      </c>
      <c r="AI4982" s="40" t="s">
        <v>115</v>
      </c>
      <c r="AP4982" s="4" t="s">
        <v>115</v>
      </c>
    </row>
    <row r="4983" spans="1:42" x14ac:dyDescent="0.15">
      <c r="A4983" s="40" t="s">
        <v>1</v>
      </c>
      <c r="B4983" s="23">
        <v>97301308</v>
      </c>
      <c r="C4983" s="23">
        <v>73013</v>
      </c>
      <c r="D4983" s="23">
        <v>7301</v>
      </c>
      <c r="F4983" s="23" t="s">
        <v>115</v>
      </c>
      <c r="G4983" s="23" t="s">
        <v>115</v>
      </c>
      <c r="H4983" s="23" t="s">
        <v>1458</v>
      </c>
      <c r="I4983" s="23">
        <v>4</v>
      </c>
      <c r="J4983" s="40">
        <v>0</v>
      </c>
      <c r="K4983" s="40">
        <v>0</v>
      </c>
      <c r="L4983" s="40" t="s">
        <v>115</v>
      </c>
      <c r="O4983" s="40" t="s">
        <v>115</v>
      </c>
      <c r="Q4983" s="40">
        <v>183</v>
      </c>
      <c r="R4983" s="40" t="s">
        <v>115</v>
      </c>
      <c r="X4983" s="40">
        <v>97301309</v>
      </c>
      <c r="Y4983" s="40" t="s">
        <v>115</v>
      </c>
      <c r="Z4983" s="40" t="s">
        <v>115</v>
      </c>
      <c r="AA4983" s="40" t="s">
        <v>115</v>
      </c>
      <c r="AB4983" s="40" t="s">
        <v>115</v>
      </c>
      <c r="AC4983" s="40" t="s">
        <v>115</v>
      </c>
      <c r="AI4983" s="40" t="s">
        <v>115</v>
      </c>
      <c r="AP4983" s="4" t="s">
        <v>115</v>
      </c>
    </row>
    <row r="4984" spans="1:42" x14ac:dyDescent="0.15">
      <c r="A4984" s="40" t="s">
        <v>1</v>
      </c>
      <c r="B4984" s="23">
        <v>97301309</v>
      </c>
      <c r="C4984" s="23">
        <v>73013</v>
      </c>
      <c r="D4984" s="23">
        <v>7301</v>
      </c>
      <c r="F4984" s="23" t="s">
        <v>115</v>
      </c>
      <c r="G4984" s="23" t="s">
        <v>115</v>
      </c>
      <c r="H4984" s="23" t="s">
        <v>1459</v>
      </c>
      <c r="I4984" s="23">
        <v>4</v>
      </c>
      <c r="J4984" s="40">
        <v>0</v>
      </c>
      <c r="K4984" s="40">
        <v>0</v>
      </c>
      <c r="L4984" s="40" t="s">
        <v>115</v>
      </c>
      <c r="O4984" s="40" t="s">
        <v>115</v>
      </c>
      <c r="Q4984" s="40">
        <v>183</v>
      </c>
      <c r="R4984" s="40" t="s">
        <v>115</v>
      </c>
      <c r="X4984" s="40">
        <v>97301310</v>
      </c>
      <c r="Y4984" s="40" t="s">
        <v>115</v>
      </c>
      <c r="Z4984" s="40" t="s">
        <v>115</v>
      </c>
      <c r="AA4984" s="40" t="s">
        <v>115</v>
      </c>
      <c r="AB4984" s="40" t="s">
        <v>115</v>
      </c>
      <c r="AC4984" s="40" t="s">
        <v>115</v>
      </c>
      <c r="AI4984" s="40" t="s">
        <v>115</v>
      </c>
      <c r="AP4984" s="4" t="s">
        <v>115</v>
      </c>
    </row>
    <row r="4985" spans="1:42" x14ac:dyDescent="0.15">
      <c r="A4985" s="40" t="s">
        <v>1</v>
      </c>
      <c r="B4985" s="23">
        <v>97301310</v>
      </c>
      <c r="C4985" s="23">
        <v>73013</v>
      </c>
      <c r="D4985" s="23">
        <v>7301</v>
      </c>
      <c r="F4985" s="23" t="s">
        <v>115</v>
      </c>
      <c r="G4985" s="23" t="s">
        <v>115</v>
      </c>
      <c r="H4985" s="23" t="s">
        <v>1460</v>
      </c>
      <c r="I4985" s="23">
        <v>4</v>
      </c>
      <c r="J4985" s="40">
        <v>0</v>
      </c>
      <c r="K4985" s="40">
        <v>0</v>
      </c>
      <c r="L4985" s="40" t="s">
        <v>115</v>
      </c>
      <c r="O4985" s="40" t="s">
        <v>115</v>
      </c>
      <c r="Q4985" s="40">
        <v>183</v>
      </c>
      <c r="R4985" s="40">
        <v>300</v>
      </c>
      <c r="X4985" s="40">
        <v>97301311</v>
      </c>
      <c r="Y4985" s="40" t="s">
        <v>115</v>
      </c>
      <c r="Z4985" s="40" t="s">
        <v>115</v>
      </c>
      <c r="AA4985" s="40" t="s">
        <v>115</v>
      </c>
      <c r="AB4985" s="40" t="s">
        <v>115</v>
      </c>
      <c r="AC4985" s="40" t="s">
        <v>115</v>
      </c>
      <c r="AI4985" s="40" t="s">
        <v>115</v>
      </c>
      <c r="AP4985" s="4" t="s">
        <v>115</v>
      </c>
    </row>
    <row r="4986" spans="1:42" x14ac:dyDescent="0.15">
      <c r="A4986" s="40" t="s">
        <v>1</v>
      </c>
      <c r="B4986" s="23">
        <v>97301311</v>
      </c>
      <c r="C4986" s="23">
        <v>73013</v>
      </c>
      <c r="D4986" s="23">
        <v>7301</v>
      </c>
      <c r="F4986" s="23" t="s">
        <v>115</v>
      </c>
      <c r="G4986" s="23" t="s">
        <v>115</v>
      </c>
      <c r="H4986" s="23" t="s">
        <v>1461</v>
      </c>
      <c r="I4986" s="23">
        <v>4</v>
      </c>
      <c r="J4986" s="40">
        <v>0</v>
      </c>
      <c r="K4986" s="40">
        <v>0</v>
      </c>
      <c r="L4986" s="40" t="s">
        <v>115</v>
      </c>
      <c r="O4986" s="40" t="s">
        <v>115</v>
      </c>
      <c r="Q4986" s="40">
        <v>183</v>
      </c>
      <c r="R4986" s="40">
        <v>17</v>
      </c>
      <c r="X4986" s="40">
        <v>97301312</v>
      </c>
      <c r="Y4986" s="40" t="s">
        <v>115</v>
      </c>
      <c r="Z4986" s="40" t="s">
        <v>115</v>
      </c>
      <c r="AA4986" s="40" t="s">
        <v>115</v>
      </c>
      <c r="AB4986" s="40" t="s">
        <v>115</v>
      </c>
      <c r="AC4986" s="40" t="s">
        <v>115</v>
      </c>
      <c r="AI4986" s="40" t="s">
        <v>115</v>
      </c>
      <c r="AP4986" s="4" t="s">
        <v>115</v>
      </c>
    </row>
    <row r="4987" spans="1:42" x14ac:dyDescent="0.15">
      <c r="A4987" s="40" t="s">
        <v>1</v>
      </c>
      <c r="B4987" s="23">
        <v>97301312</v>
      </c>
      <c r="C4987" s="23">
        <v>73013</v>
      </c>
      <c r="D4987" s="23">
        <v>7301</v>
      </c>
      <c r="F4987" s="23" t="s">
        <v>322</v>
      </c>
      <c r="G4987" s="23" t="s">
        <v>115</v>
      </c>
      <c r="H4987" s="23" t="s">
        <v>1462</v>
      </c>
      <c r="I4987" s="23">
        <v>3</v>
      </c>
      <c r="J4987" s="40">
        <v>0</v>
      </c>
      <c r="K4987" s="40">
        <v>0</v>
      </c>
      <c r="L4987" s="40" t="s">
        <v>115</v>
      </c>
      <c r="O4987" s="40" t="s">
        <v>115</v>
      </c>
      <c r="Q4987" s="40">
        <v>183</v>
      </c>
      <c r="R4987" s="40">
        <v>17</v>
      </c>
      <c r="X4987" s="40">
        <v>97301313</v>
      </c>
      <c r="Y4987" s="40" t="s">
        <v>115</v>
      </c>
      <c r="Z4987" s="40" t="s">
        <v>115</v>
      </c>
      <c r="AA4987" s="40" t="s">
        <v>115</v>
      </c>
      <c r="AB4987" s="40" t="s">
        <v>115</v>
      </c>
      <c r="AC4987" s="40" t="s">
        <v>115</v>
      </c>
      <c r="AI4987" s="40" t="s">
        <v>115</v>
      </c>
      <c r="AP4987" s="4" t="s">
        <v>115</v>
      </c>
    </row>
    <row r="4988" spans="1:42" x14ac:dyDescent="0.15">
      <c r="A4988" s="40" t="s">
        <v>1</v>
      </c>
      <c r="B4988" s="23">
        <v>97301313</v>
      </c>
      <c r="C4988" s="23">
        <v>73013</v>
      </c>
      <c r="D4988" s="23">
        <v>7301</v>
      </c>
      <c r="F4988" s="23" t="s">
        <v>1451</v>
      </c>
      <c r="G4988" s="23" t="s">
        <v>115</v>
      </c>
      <c r="H4988" s="23" t="s">
        <v>1463</v>
      </c>
      <c r="I4988" s="23">
        <v>3</v>
      </c>
      <c r="J4988" s="40">
        <v>0</v>
      </c>
      <c r="K4988" s="40">
        <v>0</v>
      </c>
      <c r="L4988" s="40" t="s">
        <v>115</v>
      </c>
      <c r="O4988" s="40" t="s">
        <v>115</v>
      </c>
      <c r="Q4988" s="40">
        <v>183</v>
      </c>
      <c r="R4988" s="40">
        <v>300</v>
      </c>
      <c r="X4988" s="40">
        <v>97301314</v>
      </c>
      <c r="Y4988" s="40" t="s">
        <v>115</v>
      </c>
      <c r="Z4988" s="40" t="s">
        <v>115</v>
      </c>
      <c r="AA4988" s="40" t="s">
        <v>115</v>
      </c>
      <c r="AB4988" s="40" t="s">
        <v>115</v>
      </c>
      <c r="AC4988" s="40" t="s">
        <v>115</v>
      </c>
      <c r="AI4988" s="40" t="s">
        <v>115</v>
      </c>
      <c r="AP4988" s="4" t="s">
        <v>115</v>
      </c>
    </row>
    <row r="4989" spans="1:42" x14ac:dyDescent="0.15">
      <c r="A4989" s="40" t="s">
        <v>1</v>
      </c>
      <c r="B4989" s="23">
        <v>97301314</v>
      </c>
      <c r="C4989" s="23">
        <v>73013</v>
      </c>
      <c r="D4989" s="23">
        <v>7301</v>
      </c>
      <c r="F4989" s="23" t="s">
        <v>115</v>
      </c>
      <c r="G4989" s="23" t="s">
        <v>115</v>
      </c>
      <c r="H4989" s="23" t="s">
        <v>1464</v>
      </c>
      <c r="I4989" s="23">
        <v>4</v>
      </c>
      <c r="J4989" s="40">
        <v>0</v>
      </c>
      <c r="K4989" s="40">
        <v>2</v>
      </c>
      <c r="L4989" s="40" t="s">
        <v>115</v>
      </c>
      <c r="O4989" s="40">
        <v>1</v>
      </c>
      <c r="Q4989" s="40">
        <v>183</v>
      </c>
      <c r="R4989" s="40">
        <v>300</v>
      </c>
      <c r="X4989" s="40" t="s">
        <v>115</v>
      </c>
      <c r="Y4989" s="40" t="s">
        <v>115</v>
      </c>
      <c r="Z4989" s="40">
        <v>1</v>
      </c>
      <c r="AA4989" s="40" t="s">
        <v>115</v>
      </c>
      <c r="AB4989" s="40" t="s">
        <v>115</v>
      </c>
      <c r="AC4989" s="40" t="s">
        <v>115</v>
      </c>
      <c r="AI4989" s="40" t="s">
        <v>115</v>
      </c>
      <c r="AP4989" s="40">
        <v>-1</v>
      </c>
    </row>
    <row r="4990" spans="1:42" x14ac:dyDescent="0.15">
      <c r="B4990" s="23" t="s">
        <v>115</v>
      </c>
      <c r="C4990" s="23" t="s">
        <v>115</v>
      </c>
      <c r="X4990" s="40" t="s">
        <v>115</v>
      </c>
      <c r="AP4990" s="4" t="s">
        <v>115</v>
      </c>
    </row>
    <row r="4991" spans="1:42" x14ac:dyDescent="0.15">
      <c r="A4991" s="40" t="s">
        <v>1</v>
      </c>
      <c r="B4991" s="23">
        <v>97302101</v>
      </c>
      <c r="C4991" s="23">
        <v>73021</v>
      </c>
      <c r="D4991" s="23">
        <v>7302</v>
      </c>
      <c r="F4991" s="23" t="s">
        <v>115</v>
      </c>
      <c r="G4991" s="23" t="s">
        <v>115</v>
      </c>
      <c r="H4991" s="23" t="s">
        <v>1690</v>
      </c>
      <c r="I4991" s="23">
        <v>4</v>
      </c>
      <c r="J4991" s="40">
        <v>1</v>
      </c>
      <c r="K4991" s="40">
        <v>1</v>
      </c>
      <c r="L4991" s="40" t="s">
        <v>115</v>
      </c>
      <c r="O4991" s="40" t="s">
        <v>115</v>
      </c>
      <c r="Q4991" s="40">
        <v>189</v>
      </c>
      <c r="R4991" s="40" t="s">
        <v>115</v>
      </c>
      <c r="X4991" s="40">
        <v>97302102</v>
      </c>
      <c r="Y4991" s="40" t="s">
        <v>115</v>
      </c>
      <c r="Z4991" s="40" t="s">
        <v>115</v>
      </c>
      <c r="AA4991" s="40" t="s">
        <v>115</v>
      </c>
      <c r="AB4991" s="40" t="s">
        <v>115</v>
      </c>
      <c r="AC4991" s="40" t="s">
        <v>115</v>
      </c>
      <c r="AI4991" s="40" t="s">
        <v>115</v>
      </c>
      <c r="AP4991" s="4" t="s">
        <v>115</v>
      </c>
    </row>
    <row r="4992" spans="1:42" x14ac:dyDescent="0.15">
      <c r="A4992" s="40" t="s">
        <v>1</v>
      </c>
      <c r="B4992" s="23">
        <v>97302102</v>
      </c>
      <c r="C4992" s="23">
        <v>73021</v>
      </c>
      <c r="D4992" s="23">
        <v>7302</v>
      </c>
      <c r="F4992" s="23" t="s">
        <v>115</v>
      </c>
      <c r="G4992" s="23" t="s">
        <v>115</v>
      </c>
      <c r="H4992" s="23" t="s">
        <v>1691</v>
      </c>
      <c r="I4992" s="23">
        <v>4</v>
      </c>
      <c r="J4992" s="40">
        <v>0</v>
      </c>
      <c r="K4992" s="40">
        <v>0</v>
      </c>
      <c r="L4992" s="40" t="s">
        <v>115</v>
      </c>
      <c r="O4992" s="40" t="s">
        <v>115</v>
      </c>
      <c r="Q4992" s="40">
        <v>189</v>
      </c>
      <c r="R4992" s="40">
        <v>249</v>
      </c>
      <c r="X4992" s="40">
        <v>97302103</v>
      </c>
      <c r="Y4992" s="40" t="s">
        <v>115</v>
      </c>
      <c r="Z4992" s="40" t="s">
        <v>115</v>
      </c>
      <c r="AA4992" s="40" t="s">
        <v>115</v>
      </c>
      <c r="AB4992" s="40" t="s">
        <v>115</v>
      </c>
      <c r="AC4992" s="40" t="s">
        <v>115</v>
      </c>
      <c r="AI4992" s="40" t="s">
        <v>115</v>
      </c>
      <c r="AP4992" s="4" t="s">
        <v>115</v>
      </c>
    </row>
    <row r="4993" spans="1:42" x14ac:dyDescent="0.15">
      <c r="A4993" s="40" t="s">
        <v>1</v>
      </c>
      <c r="B4993" s="23">
        <v>97302103</v>
      </c>
      <c r="C4993" s="23">
        <v>73021</v>
      </c>
      <c r="D4993" s="23">
        <v>7302</v>
      </c>
      <c r="F4993" s="23" t="s">
        <v>1692</v>
      </c>
      <c r="G4993" s="23" t="s">
        <v>115</v>
      </c>
      <c r="H4993" s="23" t="s">
        <v>1693</v>
      </c>
      <c r="I4993" s="23">
        <v>3</v>
      </c>
      <c r="J4993" s="40">
        <v>0</v>
      </c>
      <c r="K4993" s="40">
        <v>0</v>
      </c>
      <c r="L4993" s="40" t="s">
        <v>115</v>
      </c>
      <c r="O4993" s="40" t="s">
        <v>115</v>
      </c>
      <c r="Q4993" s="40">
        <v>189</v>
      </c>
      <c r="R4993" s="40">
        <v>249</v>
      </c>
      <c r="X4993" s="40">
        <v>97302104</v>
      </c>
      <c r="Y4993" s="40" t="s">
        <v>115</v>
      </c>
      <c r="Z4993" s="40" t="s">
        <v>115</v>
      </c>
      <c r="AA4993" s="40" t="s">
        <v>115</v>
      </c>
      <c r="AB4993" s="40" t="s">
        <v>115</v>
      </c>
      <c r="AC4993" s="40" t="s">
        <v>115</v>
      </c>
      <c r="AI4993" s="40" t="s">
        <v>115</v>
      </c>
      <c r="AP4993" s="4" t="s">
        <v>115</v>
      </c>
    </row>
    <row r="4994" spans="1:42" x14ac:dyDescent="0.15">
      <c r="A4994" s="40" t="s">
        <v>1</v>
      </c>
      <c r="B4994" s="23">
        <v>97302104</v>
      </c>
      <c r="C4994" s="23">
        <v>73021</v>
      </c>
      <c r="D4994" s="23">
        <v>7302</v>
      </c>
      <c r="F4994" s="23" t="s">
        <v>116</v>
      </c>
      <c r="G4994" s="23">
        <v>261</v>
      </c>
      <c r="H4994" s="23" t="s">
        <v>1694</v>
      </c>
      <c r="I4994" s="23">
        <v>0</v>
      </c>
      <c r="J4994" s="40">
        <v>0</v>
      </c>
      <c r="K4994" s="40">
        <v>0</v>
      </c>
      <c r="L4994" s="40" t="s">
        <v>115</v>
      </c>
      <c r="O4994" s="40" t="s">
        <v>115</v>
      </c>
      <c r="Q4994" s="40">
        <v>189</v>
      </c>
      <c r="R4994" s="40">
        <v>249</v>
      </c>
      <c r="X4994" s="40">
        <v>97302105</v>
      </c>
      <c r="Y4994" s="40" t="s">
        <v>115</v>
      </c>
      <c r="Z4994" s="40">
        <v>1</v>
      </c>
      <c r="AA4994" s="40" t="s">
        <v>115</v>
      </c>
      <c r="AB4994" s="40" t="s">
        <v>115</v>
      </c>
      <c r="AC4994" s="40" t="s">
        <v>115</v>
      </c>
      <c r="AI4994" s="40" t="s">
        <v>115</v>
      </c>
      <c r="AP4994" s="4" t="s">
        <v>115</v>
      </c>
    </row>
    <row r="4995" spans="1:42" x14ac:dyDescent="0.15">
      <c r="A4995" s="40" t="s">
        <v>1</v>
      </c>
      <c r="B4995" s="23">
        <v>97302105</v>
      </c>
      <c r="C4995" s="23">
        <v>73021</v>
      </c>
      <c r="D4995" s="23">
        <v>7302</v>
      </c>
      <c r="F4995" s="23" t="s">
        <v>1692</v>
      </c>
      <c r="G4995" s="23" t="s">
        <v>115</v>
      </c>
      <c r="H4995" s="23" t="s">
        <v>1695</v>
      </c>
      <c r="I4995" s="23">
        <v>3</v>
      </c>
      <c r="J4995" s="40">
        <v>0</v>
      </c>
      <c r="K4995" s="40">
        <v>0</v>
      </c>
      <c r="L4995" s="40" t="s">
        <v>115</v>
      </c>
      <c r="O4995" s="40" t="s">
        <v>115</v>
      </c>
      <c r="Q4995" s="40">
        <v>189</v>
      </c>
      <c r="R4995" s="40">
        <v>249</v>
      </c>
      <c r="X4995" s="40">
        <v>97302106</v>
      </c>
      <c r="Y4995" s="40" t="s">
        <v>115</v>
      </c>
      <c r="Z4995" s="40" t="s">
        <v>115</v>
      </c>
      <c r="AA4995" s="40" t="s">
        <v>115</v>
      </c>
      <c r="AB4995" s="40" t="s">
        <v>115</v>
      </c>
      <c r="AC4995" s="40" t="s">
        <v>115</v>
      </c>
      <c r="AI4995" s="40" t="s">
        <v>115</v>
      </c>
      <c r="AP4995" s="4" t="s">
        <v>115</v>
      </c>
    </row>
    <row r="4996" spans="1:42" x14ac:dyDescent="0.15">
      <c r="A4996" s="40" t="s">
        <v>1</v>
      </c>
      <c r="B4996" s="23">
        <v>97302106</v>
      </c>
      <c r="C4996" s="23">
        <v>73021</v>
      </c>
      <c r="D4996" s="23">
        <v>7302</v>
      </c>
      <c r="F4996" s="23" t="s">
        <v>1692</v>
      </c>
      <c r="G4996" s="23" t="s">
        <v>115</v>
      </c>
      <c r="H4996" s="23" t="s">
        <v>1696</v>
      </c>
      <c r="I4996" s="23">
        <v>3</v>
      </c>
      <c r="J4996" s="40">
        <v>0</v>
      </c>
      <c r="K4996" s="40">
        <v>0</v>
      </c>
      <c r="L4996" s="40" t="s">
        <v>115</v>
      </c>
      <c r="O4996" s="40" t="s">
        <v>115</v>
      </c>
      <c r="Q4996" s="40">
        <v>189</v>
      </c>
      <c r="R4996" s="40">
        <v>249</v>
      </c>
      <c r="X4996" s="40">
        <v>97302107</v>
      </c>
      <c r="Y4996" s="40" t="s">
        <v>115</v>
      </c>
      <c r="Z4996" s="40" t="s">
        <v>115</v>
      </c>
      <c r="AA4996" s="40" t="s">
        <v>115</v>
      </c>
      <c r="AB4996" s="40" t="s">
        <v>115</v>
      </c>
      <c r="AC4996" s="40" t="s">
        <v>115</v>
      </c>
      <c r="AI4996" s="40" t="s">
        <v>115</v>
      </c>
      <c r="AP4996" s="4" t="s">
        <v>115</v>
      </c>
    </row>
    <row r="4997" spans="1:42" x14ac:dyDescent="0.15">
      <c r="A4997" s="40" t="s">
        <v>1</v>
      </c>
      <c r="B4997" s="23">
        <v>97302107</v>
      </c>
      <c r="C4997" s="23">
        <v>73021</v>
      </c>
      <c r="D4997" s="23">
        <v>7302</v>
      </c>
      <c r="F4997" s="23" t="s">
        <v>116</v>
      </c>
      <c r="G4997" s="23">
        <v>261</v>
      </c>
      <c r="H4997" s="23" t="s">
        <v>1697</v>
      </c>
      <c r="I4997" s="23">
        <v>0</v>
      </c>
      <c r="J4997" s="40">
        <v>0</v>
      </c>
      <c r="K4997" s="40">
        <v>0</v>
      </c>
      <c r="L4997" s="40" t="s">
        <v>115</v>
      </c>
      <c r="O4997" s="40" t="s">
        <v>115</v>
      </c>
      <c r="Q4997" s="40">
        <v>189</v>
      </c>
      <c r="R4997" s="40">
        <v>249</v>
      </c>
      <c r="X4997" s="40">
        <v>97302108</v>
      </c>
      <c r="Y4997" s="40" t="s">
        <v>115</v>
      </c>
      <c r="Z4997" s="40" t="s">
        <v>115</v>
      </c>
      <c r="AA4997" s="40" t="s">
        <v>115</v>
      </c>
      <c r="AB4997" s="40" t="s">
        <v>115</v>
      </c>
      <c r="AC4997" s="40" t="s">
        <v>115</v>
      </c>
      <c r="AI4997" s="40" t="s">
        <v>115</v>
      </c>
      <c r="AP4997" s="4" t="s">
        <v>115</v>
      </c>
    </row>
    <row r="4998" spans="1:42" x14ac:dyDescent="0.15">
      <c r="A4998" s="40" t="s">
        <v>1</v>
      </c>
      <c r="B4998" s="23">
        <v>97302108</v>
      </c>
      <c r="C4998" s="23">
        <v>73021</v>
      </c>
      <c r="D4998" s="23">
        <v>7302</v>
      </c>
      <c r="F4998" s="23" t="s">
        <v>1692</v>
      </c>
      <c r="G4998" s="23" t="s">
        <v>115</v>
      </c>
      <c r="H4998" s="23" t="s">
        <v>1698</v>
      </c>
      <c r="I4998" s="23">
        <v>3</v>
      </c>
      <c r="J4998" s="40">
        <v>0</v>
      </c>
      <c r="K4998" s="40">
        <v>0</v>
      </c>
      <c r="L4998" s="40" t="s">
        <v>115</v>
      </c>
      <c r="O4998" s="40" t="s">
        <v>115</v>
      </c>
      <c r="Q4998" s="40">
        <v>189</v>
      </c>
      <c r="R4998" s="40">
        <v>249</v>
      </c>
      <c r="X4998" s="40">
        <v>97302109</v>
      </c>
      <c r="Y4998" s="40" t="s">
        <v>115</v>
      </c>
      <c r="Z4998" s="40" t="s">
        <v>115</v>
      </c>
      <c r="AA4998" s="40" t="s">
        <v>115</v>
      </c>
      <c r="AB4998" s="40" t="s">
        <v>115</v>
      </c>
      <c r="AC4998" s="40" t="s">
        <v>115</v>
      </c>
      <c r="AI4998" s="40" t="s">
        <v>115</v>
      </c>
      <c r="AP4998" s="4" t="s">
        <v>115</v>
      </c>
    </row>
    <row r="4999" spans="1:42" x14ac:dyDescent="0.15">
      <c r="A4999" s="40" t="s">
        <v>1</v>
      </c>
      <c r="B4999" s="23">
        <v>97302109</v>
      </c>
      <c r="C4999" s="23">
        <v>73021</v>
      </c>
      <c r="D4999" s="23">
        <v>7302</v>
      </c>
      <c r="F4999" s="23" t="s">
        <v>116</v>
      </c>
      <c r="G4999" s="23">
        <v>261</v>
      </c>
      <c r="H4999" s="23" t="s">
        <v>1699</v>
      </c>
      <c r="I4999" s="23">
        <v>0</v>
      </c>
      <c r="J4999" s="40">
        <v>0</v>
      </c>
      <c r="K4999" s="40">
        <v>0</v>
      </c>
      <c r="L4999" s="40" t="s">
        <v>115</v>
      </c>
      <c r="O4999" s="40" t="s">
        <v>115</v>
      </c>
      <c r="Q4999" s="40">
        <v>189</v>
      </c>
      <c r="R4999" s="40">
        <v>249</v>
      </c>
      <c r="X4999" s="40">
        <v>97302110</v>
      </c>
      <c r="Y4999" s="40" t="s">
        <v>115</v>
      </c>
      <c r="Z4999" s="40" t="s">
        <v>115</v>
      </c>
      <c r="AA4999" s="40" t="s">
        <v>115</v>
      </c>
      <c r="AB4999" s="40" t="s">
        <v>115</v>
      </c>
      <c r="AC4999" s="40" t="s">
        <v>115</v>
      </c>
      <c r="AI4999" s="40" t="s">
        <v>115</v>
      </c>
      <c r="AP4999" s="4" t="s">
        <v>115</v>
      </c>
    </row>
    <row r="5000" spans="1:42" x14ac:dyDescent="0.15">
      <c r="A5000" s="40" t="s">
        <v>1</v>
      </c>
      <c r="B5000" s="23">
        <v>97302110</v>
      </c>
      <c r="C5000" s="23">
        <v>73021</v>
      </c>
      <c r="D5000" s="23">
        <v>7302</v>
      </c>
      <c r="F5000" s="23" t="s">
        <v>1692</v>
      </c>
      <c r="G5000" s="23" t="s">
        <v>115</v>
      </c>
      <c r="H5000" s="23" t="s">
        <v>1700</v>
      </c>
      <c r="I5000" s="23">
        <v>3</v>
      </c>
      <c r="J5000" s="40">
        <v>0</v>
      </c>
      <c r="K5000" s="40">
        <v>0</v>
      </c>
      <c r="L5000" s="40" t="s">
        <v>115</v>
      </c>
      <c r="O5000" s="40" t="s">
        <v>115</v>
      </c>
      <c r="Q5000" s="40">
        <v>189</v>
      </c>
      <c r="R5000" s="40">
        <v>249</v>
      </c>
      <c r="X5000" s="40">
        <v>97302111</v>
      </c>
      <c r="Y5000" s="40" t="s">
        <v>115</v>
      </c>
      <c r="Z5000" s="40" t="s">
        <v>115</v>
      </c>
      <c r="AA5000" s="40" t="s">
        <v>115</v>
      </c>
      <c r="AB5000" s="40" t="s">
        <v>115</v>
      </c>
      <c r="AC5000" s="40" t="s">
        <v>115</v>
      </c>
      <c r="AI5000" s="40" t="s">
        <v>115</v>
      </c>
      <c r="AP5000" s="4" t="s">
        <v>115</v>
      </c>
    </row>
    <row r="5001" spans="1:42" x14ac:dyDescent="0.15">
      <c r="A5001" s="40" t="s">
        <v>1</v>
      </c>
      <c r="B5001" s="23">
        <v>97302111</v>
      </c>
      <c r="C5001" s="23">
        <v>73021</v>
      </c>
      <c r="D5001" s="23">
        <v>7302</v>
      </c>
      <c r="F5001" s="23" t="s">
        <v>1692</v>
      </c>
      <c r="G5001" s="23" t="s">
        <v>115</v>
      </c>
      <c r="H5001" s="23" t="s">
        <v>1701</v>
      </c>
      <c r="I5001" s="23">
        <v>3</v>
      </c>
      <c r="J5001" s="40">
        <v>0</v>
      </c>
      <c r="K5001" s="40">
        <v>0</v>
      </c>
      <c r="L5001" s="40" t="s">
        <v>115</v>
      </c>
      <c r="O5001" s="40" t="s">
        <v>115</v>
      </c>
      <c r="Q5001" s="40">
        <v>189</v>
      </c>
      <c r="R5001" s="40">
        <v>249</v>
      </c>
      <c r="X5001" s="40">
        <v>97302112</v>
      </c>
      <c r="Y5001" s="40" t="s">
        <v>115</v>
      </c>
      <c r="Z5001" s="40" t="s">
        <v>115</v>
      </c>
      <c r="AA5001" s="40" t="s">
        <v>115</v>
      </c>
      <c r="AB5001" s="40" t="s">
        <v>115</v>
      </c>
      <c r="AC5001" s="40" t="s">
        <v>115</v>
      </c>
      <c r="AI5001" s="40" t="s">
        <v>115</v>
      </c>
      <c r="AP5001" s="4" t="s">
        <v>115</v>
      </c>
    </row>
    <row r="5002" spans="1:42" x14ac:dyDescent="0.15">
      <c r="A5002" s="40" t="s">
        <v>1</v>
      </c>
      <c r="B5002" s="23">
        <v>97302112</v>
      </c>
      <c r="C5002" s="23">
        <v>73021</v>
      </c>
      <c r="D5002" s="23">
        <v>7302</v>
      </c>
      <c r="F5002" s="23" t="s">
        <v>1692</v>
      </c>
      <c r="G5002" s="23" t="s">
        <v>115</v>
      </c>
      <c r="H5002" s="23" t="s">
        <v>1702</v>
      </c>
      <c r="I5002" s="23">
        <v>3</v>
      </c>
      <c r="J5002" s="40">
        <v>0</v>
      </c>
      <c r="K5002" s="40">
        <v>0</v>
      </c>
      <c r="L5002" s="40" t="s">
        <v>115</v>
      </c>
      <c r="O5002" s="40" t="s">
        <v>115</v>
      </c>
      <c r="Q5002" s="40">
        <v>189</v>
      </c>
      <c r="R5002" s="40">
        <v>249</v>
      </c>
      <c r="X5002" s="40">
        <v>97302113</v>
      </c>
      <c r="Y5002" s="40" t="s">
        <v>115</v>
      </c>
      <c r="Z5002" s="40" t="s">
        <v>115</v>
      </c>
      <c r="AA5002" s="40" t="s">
        <v>115</v>
      </c>
      <c r="AB5002" s="40" t="s">
        <v>115</v>
      </c>
      <c r="AC5002" s="40" t="s">
        <v>115</v>
      </c>
      <c r="AI5002" s="40" t="s">
        <v>115</v>
      </c>
      <c r="AP5002" s="4" t="s">
        <v>115</v>
      </c>
    </row>
    <row r="5003" spans="1:42" x14ac:dyDescent="0.15">
      <c r="A5003" s="40" t="s">
        <v>1</v>
      </c>
      <c r="B5003" s="23">
        <v>97302113</v>
      </c>
      <c r="C5003" s="23">
        <v>73021</v>
      </c>
      <c r="D5003" s="23">
        <v>7302</v>
      </c>
      <c r="F5003" s="23" t="s">
        <v>115</v>
      </c>
      <c r="G5003" s="23" t="s">
        <v>115</v>
      </c>
      <c r="H5003" s="23" t="s">
        <v>1703</v>
      </c>
      <c r="I5003" s="23">
        <v>4</v>
      </c>
      <c r="J5003" s="40">
        <v>0</v>
      </c>
      <c r="K5003" s="40">
        <v>0</v>
      </c>
      <c r="L5003" s="40" t="s">
        <v>115</v>
      </c>
      <c r="O5003" s="40" t="s">
        <v>115</v>
      </c>
      <c r="Q5003" s="40">
        <v>189</v>
      </c>
      <c r="R5003" s="40">
        <v>249</v>
      </c>
      <c r="X5003" s="40">
        <v>97302114</v>
      </c>
      <c r="Y5003" s="40" t="s">
        <v>115</v>
      </c>
      <c r="Z5003" s="40" t="s">
        <v>115</v>
      </c>
      <c r="AA5003" s="40" t="s">
        <v>115</v>
      </c>
      <c r="AB5003" s="40" t="s">
        <v>115</v>
      </c>
      <c r="AC5003" s="40" t="s">
        <v>115</v>
      </c>
      <c r="AI5003" s="40" t="s">
        <v>115</v>
      </c>
      <c r="AP5003" s="4" t="s">
        <v>115</v>
      </c>
    </row>
    <row r="5004" spans="1:42" x14ac:dyDescent="0.15">
      <c r="A5004" s="40" t="s">
        <v>1</v>
      </c>
      <c r="B5004" s="23">
        <v>97302114</v>
      </c>
      <c r="C5004" s="23">
        <v>73021</v>
      </c>
      <c r="D5004" s="23">
        <v>7302</v>
      </c>
      <c r="F5004" s="23" t="s">
        <v>116</v>
      </c>
      <c r="G5004" s="23">
        <v>275</v>
      </c>
      <c r="H5004" s="23" t="s">
        <v>1704</v>
      </c>
      <c r="I5004" s="23">
        <v>2</v>
      </c>
      <c r="J5004" s="40">
        <v>0</v>
      </c>
      <c r="K5004" s="40">
        <v>2</v>
      </c>
      <c r="L5004" s="40" t="s">
        <v>115</v>
      </c>
      <c r="O5004" s="40">
        <v>1</v>
      </c>
      <c r="Q5004" s="40">
        <v>189</v>
      </c>
      <c r="R5004" s="40" t="s">
        <v>115</v>
      </c>
      <c r="X5004" s="40" t="s">
        <v>115</v>
      </c>
      <c r="Y5004" s="40" t="s">
        <v>115</v>
      </c>
      <c r="Z5004" s="40" t="s">
        <v>115</v>
      </c>
      <c r="AA5004" s="40" t="s">
        <v>115</v>
      </c>
      <c r="AB5004" s="40" t="s">
        <v>115</v>
      </c>
      <c r="AC5004" s="40" t="s">
        <v>115</v>
      </c>
      <c r="AI5004" s="40" t="s">
        <v>115</v>
      </c>
      <c r="AP5004" s="40">
        <v>73022</v>
      </c>
    </row>
    <row r="5005" spans="1:42" x14ac:dyDescent="0.15">
      <c r="A5005" s="40" t="s">
        <v>1</v>
      </c>
      <c r="B5005" s="23">
        <v>97302201</v>
      </c>
      <c r="C5005" s="23">
        <v>73022</v>
      </c>
      <c r="D5005" s="23">
        <v>7302</v>
      </c>
      <c r="F5005" s="23" t="s">
        <v>1072</v>
      </c>
      <c r="G5005" s="23" t="s">
        <v>115</v>
      </c>
      <c r="H5005" s="23" t="s">
        <v>1705</v>
      </c>
      <c r="I5005" s="23">
        <v>1</v>
      </c>
      <c r="J5005" s="40">
        <v>1</v>
      </c>
      <c r="K5005" s="40">
        <v>1</v>
      </c>
      <c r="L5005" s="40" t="s">
        <v>115</v>
      </c>
      <c r="O5005" s="40" t="s">
        <v>115</v>
      </c>
      <c r="Q5005" s="40">
        <v>189</v>
      </c>
      <c r="R5005" s="40" t="s">
        <v>115</v>
      </c>
      <c r="X5005" s="40">
        <v>97302202</v>
      </c>
      <c r="Y5005" s="40" t="s">
        <v>115</v>
      </c>
      <c r="Z5005" s="40" t="s">
        <v>115</v>
      </c>
      <c r="AA5005" s="40" t="s">
        <v>115</v>
      </c>
      <c r="AB5005" s="40" t="s">
        <v>115</v>
      </c>
      <c r="AC5005" s="40" t="s">
        <v>115</v>
      </c>
      <c r="AI5005" s="40">
        <v>204</v>
      </c>
      <c r="AP5005" s="4" t="s">
        <v>115</v>
      </c>
    </row>
    <row r="5006" spans="1:42" x14ac:dyDescent="0.15">
      <c r="A5006" s="40" t="s">
        <v>1</v>
      </c>
      <c r="B5006" s="23">
        <v>97302202</v>
      </c>
      <c r="C5006" s="23">
        <v>73022</v>
      </c>
      <c r="D5006" s="23">
        <v>7302</v>
      </c>
      <c r="F5006" s="23" t="s">
        <v>116</v>
      </c>
      <c r="G5006" s="23">
        <v>261</v>
      </c>
      <c r="H5006" s="23" t="s">
        <v>1706</v>
      </c>
      <c r="I5006" s="23">
        <v>0</v>
      </c>
      <c r="J5006" s="40">
        <v>0</v>
      </c>
      <c r="K5006" s="40">
        <v>0</v>
      </c>
      <c r="L5006" s="40" t="s">
        <v>115</v>
      </c>
      <c r="O5006" s="40" t="s">
        <v>115</v>
      </c>
      <c r="Q5006" s="40">
        <v>189</v>
      </c>
      <c r="R5006" s="40" t="s">
        <v>115</v>
      </c>
      <c r="X5006" s="40">
        <v>97302203</v>
      </c>
      <c r="Y5006" s="40" t="s">
        <v>115</v>
      </c>
      <c r="Z5006" s="40" t="s">
        <v>115</v>
      </c>
      <c r="AA5006" s="40" t="s">
        <v>115</v>
      </c>
      <c r="AB5006" s="40" t="s">
        <v>115</v>
      </c>
      <c r="AC5006" s="40" t="s">
        <v>115</v>
      </c>
      <c r="AI5006" s="40">
        <v>204</v>
      </c>
      <c r="AP5006" s="4" t="s">
        <v>115</v>
      </c>
    </row>
    <row r="5007" spans="1:42" x14ac:dyDescent="0.15">
      <c r="A5007" s="40" t="s">
        <v>1</v>
      </c>
      <c r="B5007" s="23">
        <v>97302203</v>
      </c>
      <c r="C5007" s="23">
        <v>73022</v>
      </c>
      <c r="D5007" s="23">
        <v>7302</v>
      </c>
      <c r="F5007" s="23" t="s">
        <v>1072</v>
      </c>
      <c r="G5007" s="23" t="s">
        <v>115</v>
      </c>
      <c r="H5007" s="23" t="s">
        <v>1707</v>
      </c>
      <c r="I5007" s="23">
        <v>1</v>
      </c>
      <c r="J5007" s="40">
        <v>0</v>
      </c>
      <c r="K5007" s="40">
        <v>0</v>
      </c>
      <c r="L5007" s="40" t="s">
        <v>115</v>
      </c>
      <c r="O5007" s="40" t="s">
        <v>115</v>
      </c>
      <c r="Q5007" s="40">
        <v>189</v>
      </c>
      <c r="R5007" s="40" t="s">
        <v>115</v>
      </c>
      <c r="X5007" s="40">
        <v>97302204</v>
      </c>
      <c r="Y5007" s="40" t="s">
        <v>115</v>
      </c>
      <c r="Z5007" s="40" t="s">
        <v>115</v>
      </c>
      <c r="AA5007" s="40" t="s">
        <v>115</v>
      </c>
      <c r="AB5007" s="40" t="s">
        <v>115</v>
      </c>
      <c r="AC5007" s="40" t="s">
        <v>115</v>
      </c>
      <c r="AI5007" s="40" t="s">
        <v>1073</v>
      </c>
      <c r="AP5007" s="4" t="s">
        <v>115</v>
      </c>
    </row>
    <row r="5008" spans="1:42" x14ac:dyDescent="0.15">
      <c r="A5008" s="40" t="s">
        <v>1</v>
      </c>
      <c r="B5008" s="23">
        <v>97302204</v>
      </c>
      <c r="C5008" s="23">
        <v>73022</v>
      </c>
      <c r="D5008" s="23">
        <v>7302</v>
      </c>
      <c r="F5008" s="23" t="s">
        <v>115</v>
      </c>
      <c r="G5008" s="23" t="s">
        <v>115</v>
      </c>
      <c r="H5008" s="23" t="s">
        <v>1708</v>
      </c>
      <c r="I5008" s="23">
        <v>4</v>
      </c>
      <c r="J5008" s="40">
        <v>0</v>
      </c>
      <c r="K5008" s="40">
        <v>0</v>
      </c>
      <c r="L5008" s="40" t="s">
        <v>115</v>
      </c>
      <c r="O5008" s="40" t="s">
        <v>115</v>
      </c>
      <c r="Q5008" s="40">
        <v>189</v>
      </c>
      <c r="R5008" s="40" t="s">
        <v>115</v>
      </c>
      <c r="X5008" s="40">
        <v>97302205</v>
      </c>
      <c r="Y5008" s="40" t="s">
        <v>115</v>
      </c>
      <c r="Z5008" s="40">
        <v>1</v>
      </c>
      <c r="AA5008" s="40" t="s">
        <v>115</v>
      </c>
      <c r="AB5008" s="40" t="s">
        <v>115</v>
      </c>
      <c r="AC5008" s="40" t="s">
        <v>115</v>
      </c>
      <c r="AI5008" s="40">
        <v>204</v>
      </c>
      <c r="AP5008" s="4" t="s">
        <v>115</v>
      </c>
    </row>
    <row r="5009" spans="1:42" x14ac:dyDescent="0.15">
      <c r="A5009" s="40" t="s">
        <v>1</v>
      </c>
      <c r="B5009" s="23">
        <v>97302205</v>
      </c>
      <c r="C5009" s="23">
        <v>73022</v>
      </c>
      <c r="D5009" s="23">
        <v>7302</v>
      </c>
      <c r="F5009" s="23" t="s">
        <v>1072</v>
      </c>
      <c r="G5009" s="23" t="s">
        <v>115</v>
      </c>
      <c r="H5009" s="23" t="s">
        <v>1709</v>
      </c>
      <c r="I5009" s="23">
        <v>1</v>
      </c>
      <c r="J5009" s="40">
        <v>0</v>
      </c>
      <c r="K5009" s="40">
        <v>0</v>
      </c>
      <c r="L5009" s="40" t="s">
        <v>115</v>
      </c>
      <c r="O5009" s="40" t="s">
        <v>115</v>
      </c>
      <c r="Q5009" s="40">
        <v>189</v>
      </c>
      <c r="R5009" s="40" t="s">
        <v>115</v>
      </c>
      <c r="X5009" s="40">
        <v>97302206</v>
      </c>
      <c r="Y5009" s="40" t="s">
        <v>115</v>
      </c>
      <c r="Z5009" s="40" t="s">
        <v>115</v>
      </c>
      <c r="AA5009" s="40" t="s">
        <v>115</v>
      </c>
      <c r="AB5009" s="40" t="s">
        <v>115</v>
      </c>
      <c r="AC5009" s="40" t="s">
        <v>115</v>
      </c>
      <c r="AI5009" s="40">
        <v>204</v>
      </c>
      <c r="AP5009" s="4" t="s">
        <v>115</v>
      </c>
    </row>
    <row r="5010" spans="1:42" x14ac:dyDescent="0.15">
      <c r="A5010" s="40" t="s">
        <v>1</v>
      </c>
      <c r="B5010" s="23">
        <v>97302206</v>
      </c>
      <c r="C5010" s="23">
        <v>73022</v>
      </c>
      <c r="D5010" s="23">
        <v>7302</v>
      </c>
      <c r="F5010" s="23" t="s">
        <v>116</v>
      </c>
      <c r="G5010" s="23">
        <v>275</v>
      </c>
      <c r="H5010" s="23" t="s">
        <v>1710</v>
      </c>
      <c r="I5010" s="23">
        <v>0</v>
      </c>
      <c r="J5010" s="40">
        <v>0</v>
      </c>
      <c r="K5010" s="40">
        <v>0</v>
      </c>
      <c r="L5010" s="40" t="s">
        <v>115</v>
      </c>
      <c r="O5010" s="40" t="s">
        <v>115</v>
      </c>
      <c r="Q5010" s="40">
        <v>189</v>
      </c>
      <c r="R5010" s="40" t="s">
        <v>115</v>
      </c>
      <c r="X5010" s="40">
        <v>97302207</v>
      </c>
      <c r="Y5010" s="40" t="s">
        <v>115</v>
      </c>
      <c r="Z5010" s="40" t="s">
        <v>115</v>
      </c>
      <c r="AA5010" s="40" t="s">
        <v>115</v>
      </c>
      <c r="AB5010" s="40" t="s">
        <v>115</v>
      </c>
      <c r="AC5010" s="40" t="s">
        <v>115</v>
      </c>
      <c r="AI5010" s="40">
        <v>204</v>
      </c>
      <c r="AP5010" s="4" t="s">
        <v>115</v>
      </c>
    </row>
    <row r="5011" spans="1:42" x14ac:dyDescent="0.15">
      <c r="A5011" s="40" t="s">
        <v>1</v>
      </c>
      <c r="B5011" s="23">
        <v>97302207</v>
      </c>
      <c r="C5011" s="23">
        <v>73022</v>
      </c>
      <c r="D5011" s="23">
        <v>7302</v>
      </c>
      <c r="F5011" s="23" t="s">
        <v>1072</v>
      </c>
      <c r="G5011" s="23" t="s">
        <v>115</v>
      </c>
      <c r="H5011" s="23" t="s">
        <v>1711</v>
      </c>
      <c r="I5011" s="23">
        <v>1</v>
      </c>
      <c r="J5011" s="40">
        <v>0</v>
      </c>
      <c r="K5011" s="40">
        <v>0</v>
      </c>
      <c r="L5011" s="40" t="s">
        <v>115</v>
      </c>
      <c r="O5011" s="40" t="s">
        <v>115</v>
      </c>
      <c r="Q5011" s="40">
        <v>189</v>
      </c>
      <c r="R5011" s="40" t="s">
        <v>115</v>
      </c>
      <c r="X5011" s="40">
        <v>97302208</v>
      </c>
      <c r="Y5011" s="40" t="s">
        <v>115</v>
      </c>
      <c r="Z5011" s="40" t="s">
        <v>115</v>
      </c>
      <c r="AA5011" s="40" t="s">
        <v>115</v>
      </c>
      <c r="AB5011" s="40" t="s">
        <v>115</v>
      </c>
      <c r="AC5011" s="40" t="s">
        <v>115</v>
      </c>
      <c r="AI5011" s="40">
        <v>204</v>
      </c>
      <c r="AP5011" s="4" t="s">
        <v>115</v>
      </c>
    </row>
    <row r="5012" spans="1:42" x14ac:dyDescent="0.15">
      <c r="A5012" s="40" t="s">
        <v>1</v>
      </c>
      <c r="B5012" s="23">
        <v>97302208</v>
      </c>
      <c r="C5012" s="23">
        <v>73022</v>
      </c>
      <c r="D5012" s="23">
        <v>7302</v>
      </c>
      <c r="F5012" s="23" t="s">
        <v>1072</v>
      </c>
      <c r="G5012" s="23" t="s">
        <v>115</v>
      </c>
      <c r="H5012" s="23" t="s">
        <v>1712</v>
      </c>
      <c r="I5012" s="23">
        <v>1</v>
      </c>
      <c r="J5012" s="40">
        <v>0</v>
      </c>
      <c r="K5012" s="40">
        <v>0</v>
      </c>
      <c r="L5012" s="40" t="s">
        <v>115</v>
      </c>
      <c r="O5012" s="40" t="s">
        <v>115</v>
      </c>
      <c r="Q5012" s="40">
        <v>189</v>
      </c>
      <c r="R5012" s="40" t="s">
        <v>115</v>
      </c>
      <c r="X5012" s="40">
        <v>97302209</v>
      </c>
      <c r="Y5012" s="40" t="s">
        <v>115</v>
      </c>
      <c r="Z5012" s="40" t="s">
        <v>115</v>
      </c>
      <c r="AA5012" s="40" t="s">
        <v>115</v>
      </c>
      <c r="AB5012" s="40" t="s">
        <v>115</v>
      </c>
      <c r="AC5012" s="40" t="s">
        <v>115</v>
      </c>
      <c r="AI5012" s="40">
        <v>204</v>
      </c>
      <c r="AP5012" s="4" t="s">
        <v>115</v>
      </c>
    </row>
    <row r="5013" spans="1:42" x14ac:dyDescent="0.15">
      <c r="A5013" s="40" t="s">
        <v>1</v>
      </c>
      <c r="B5013" s="23">
        <v>97302209</v>
      </c>
      <c r="C5013" s="23">
        <v>73022</v>
      </c>
      <c r="D5013" s="23">
        <v>7302</v>
      </c>
      <c r="F5013" s="23" t="s">
        <v>1072</v>
      </c>
      <c r="G5013" s="23" t="s">
        <v>115</v>
      </c>
      <c r="H5013" s="23" t="s">
        <v>1713</v>
      </c>
      <c r="I5013" s="23">
        <v>1</v>
      </c>
      <c r="J5013" s="40">
        <v>0</v>
      </c>
      <c r="K5013" s="40">
        <v>0</v>
      </c>
      <c r="L5013" s="40" t="s">
        <v>115</v>
      </c>
      <c r="O5013" s="40" t="s">
        <v>115</v>
      </c>
      <c r="Q5013" s="40">
        <v>189</v>
      </c>
      <c r="R5013" s="40" t="s">
        <v>115</v>
      </c>
      <c r="X5013" s="40">
        <v>97302210</v>
      </c>
      <c r="Y5013" s="40" t="s">
        <v>115</v>
      </c>
      <c r="Z5013" s="40" t="s">
        <v>115</v>
      </c>
      <c r="AA5013" s="40" t="s">
        <v>115</v>
      </c>
      <c r="AB5013" s="40" t="s">
        <v>115</v>
      </c>
      <c r="AC5013" s="40" t="s">
        <v>115</v>
      </c>
      <c r="AI5013" s="40">
        <v>204</v>
      </c>
      <c r="AP5013" s="4" t="s">
        <v>115</v>
      </c>
    </row>
    <row r="5014" spans="1:42" x14ac:dyDescent="0.15">
      <c r="A5014" s="40" t="s">
        <v>1</v>
      </c>
      <c r="B5014" s="23">
        <v>97302210</v>
      </c>
      <c r="C5014" s="23">
        <v>73022</v>
      </c>
      <c r="D5014" s="23">
        <v>7302</v>
      </c>
      <c r="F5014" s="23" t="s">
        <v>115</v>
      </c>
      <c r="G5014" s="23" t="s">
        <v>115</v>
      </c>
      <c r="H5014" s="23" t="s">
        <v>1714</v>
      </c>
      <c r="I5014" s="23">
        <v>4</v>
      </c>
      <c r="J5014" s="40">
        <v>0</v>
      </c>
      <c r="K5014" s="40">
        <v>0</v>
      </c>
      <c r="L5014" s="40" t="s">
        <v>115</v>
      </c>
      <c r="O5014" s="40" t="s">
        <v>115</v>
      </c>
      <c r="Q5014" s="40">
        <v>189</v>
      </c>
      <c r="R5014" s="40" t="s">
        <v>115</v>
      </c>
      <c r="X5014" s="40">
        <v>97302211</v>
      </c>
      <c r="Y5014" s="40" t="s">
        <v>115</v>
      </c>
      <c r="Z5014" s="40" t="s">
        <v>115</v>
      </c>
      <c r="AA5014" s="40" t="s">
        <v>115</v>
      </c>
      <c r="AB5014" s="40" t="s">
        <v>115</v>
      </c>
      <c r="AC5014" s="40" t="s">
        <v>115</v>
      </c>
      <c r="AI5014" s="40">
        <v>204</v>
      </c>
      <c r="AP5014" s="4" t="s">
        <v>115</v>
      </c>
    </row>
    <row r="5015" spans="1:42" x14ac:dyDescent="0.15">
      <c r="A5015" s="40" t="s">
        <v>1</v>
      </c>
      <c r="B5015" s="23">
        <v>97302211</v>
      </c>
      <c r="C5015" s="23">
        <v>73022</v>
      </c>
      <c r="D5015" s="23">
        <v>7302</v>
      </c>
      <c r="F5015" s="23" t="s">
        <v>1072</v>
      </c>
      <c r="G5015" s="23" t="s">
        <v>115</v>
      </c>
      <c r="H5015" s="23" t="s">
        <v>1715</v>
      </c>
      <c r="I5015" s="23">
        <v>1</v>
      </c>
      <c r="J5015" s="40">
        <v>0</v>
      </c>
      <c r="K5015" s="40">
        <v>0</v>
      </c>
      <c r="L5015" s="40" t="s">
        <v>115</v>
      </c>
      <c r="O5015" s="40" t="s">
        <v>115</v>
      </c>
      <c r="Q5015" s="40">
        <v>189</v>
      </c>
      <c r="R5015" s="40" t="s">
        <v>115</v>
      </c>
      <c r="X5015" s="40">
        <v>97302212</v>
      </c>
      <c r="Y5015" s="40" t="s">
        <v>115</v>
      </c>
      <c r="Z5015" s="40" t="s">
        <v>115</v>
      </c>
      <c r="AA5015" s="40" t="s">
        <v>115</v>
      </c>
      <c r="AB5015" s="40" t="s">
        <v>115</v>
      </c>
      <c r="AC5015" s="40" t="s">
        <v>115</v>
      </c>
      <c r="AI5015" s="40">
        <v>204</v>
      </c>
      <c r="AP5015" s="4" t="s">
        <v>115</v>
      </c>
    </row>
    <row r="5016" spans="1:42" x14ac:dyDescent="0.15">
      <c r="A5016" s="40" t="s">
        <v>1</v>
      </c>
      <c r="B5016" s="23">
        <v>97302212</v>
      </c>
      <c r="C5016" s="23">
        <v>73022</v>
      </c>
      <c r="D5016" s="23">
        <v>7302</v>
      </c>
      <c r="F5016" s="23" t="s">
        <v>1072</v>
      </c>
      <c r="G5016" s="23" t="s">
        <v>115</v>
      </c>
      <c r="H5016" s="23" t="s">
        <v>1716</v>
      </c>
      <c r="I5016" s="23">
        <v>1</v>
      </c>
      <c r="J5016" s="40">
        <v>0</v>
      </c>
      <c r="K5016" s="40">
        <v>0</v>
      </c>
      <c r="L5016" s="40" t="s">
        <v>115</v>
      </c>
      <c r="O5016" s="40" t="s">
        <v>115</v>
      </c>
      <c r="Q5016" s="40">
        <v>189</v>
      </c>
      <c r="R5016" s="40" t="s">
        <v>115</v>
      </c>
      <c r="X5016" s="40">
        <v>97302213</v>
      </c>
      <c r="Y5016" s="40" t="s">
        <v>115</v>
      </c>
      <c r="Z5016" s="40" t="s">
        <v>115</v>
      </c>
      <c r="AA5016" s="40" t="s">
        <v>115</v>
      </c>
      <c r="AB5016" s="40" t="s">
        <v>115</v>
      </c>
      <c r="AC5016" s="40" t="s">
        <v>115</v>
      </c>
      <c r="AI5016" s="40">
        <v>204</v>
      </c>
      <c r="AP5016" s="4" t="s">
        <v>115</v>
      </c>
    </row>
    <row r="5017" spans="1:42" x14ac:dyDescent="0.15">
      <c r="A5017" s="40" t="s">
        <v>1</v>
      </c>
      <c r="B5017" s="23">
        <v>97302213</v>
      </c>
      <c r="C5017" s="23">
        <v>73022</v>
      </c>
      <c r="D5017" s="23">
        <v>7302</v>
      </c>
      <c r="F5017" s="23" t="s">
        <v>115</v>
      </c>
      <c r="G5017" s="23" t="s">
        <v>115</v>
      </c>
      <c r="H5017" s="23" t="s">
        <v>1717</v>
      </c>
      <c r="I5017" s="23">
        <v>4</v>
      </c>
      <c r="J5017" s="40">
        <v>0</v>
      </c>
      <c r="K5017" s="40">
        <v>0</v>
      </c>
      <c r="L5017" s="40" t="s">
        <v>115</v>
      </c>
      <c r="O5017" s="40" t="s">
        <v>115</v>
      </c>
      <c r="Q5017" s="40">
        <v>189</v>
      </c>
      <c r="R5017" s="40" t="s">
        <v>115</v>
      </c>
      <c r="X5017" s="40">
        <v>97302214</v>
      </c>
      <c r="Y5017" s="40" t="s">
        <v>115</v>
      </c>
      <c r="Z5017" s="40" t="s">
        <v>115</v>
      </c>
      <c r="AA5017" s="40" t="s">
        <v>115</v>
      </c>
      <c r="AB5017" s="40" t="s">
        <v>115</v>
      </c>
      <c r="AC5017" s="40" t="s">
        <v>115</v>
      </c>
      <c r="AI5017" s="40">
        <v>204</v>
      </c>
      <c r="AP5017" s="4" t="s">
        <v>115</v>
      </c>
    </row>
    <row r="5018" spans="1:42" x14ac:dyDescent="0.15">
      <c r="A5018" s="40" t="s">
        <v>1</v>
      </c>
      <c r="B5018" s="23">
        <v>97302214</v>
      </c>
      <c r="C5018" s="23">
        <v>73022</v>
      </c>
      <c r="D5018" s="23">
        <v>7302</v>
      </c>
      <c r="F5018" s="23" t="s">
        <v>116</v>
      </c>
      <c r="G5018" s="23">
        <v>261</v>
      </c>
      <c r="H5018" s="23" t="s">
        <v>1718</v>
      </c>
      <c r="I5018" s="23">
        <v>0</v>
      </c>
      <c r="J5018" s="40">
        <v>0</v>
      </c>
      <c r="K5018" s="40">
        <v>0</v>
      </c>
      <c r="L5018" s="40" t="s">
        <v>115</v>
      </c>
      <c r="O5018" s="40" t="s">
        <v>115</v>
      </c>
      <c r="Q5018" s="40">
        <v>189</v>
      </c>
      <c r="R5018" s="40" t="s">
        <v>115</v>
      </c>
      <c r="X5018" s="40">
        <v>97302215</v>
      </c>
      <c r="Y5018" s="40" t="s">
        <v>115</v>
      </c>
      <c r="Z5018" s="40" t="s">
        <v>115</v>
      </c>
      <c r="AA5018" s="40" t="s">
        <v>115</v>
      </c>
      <c r="AB5018" s="40" t="s">
        <v>115</v>
      </c>
      <c r="AC5018" s="40" t="s">
        <v>115</v>
      </c>
      <c r="AI5018" s="40">
        <v>204</v>
      </c>
      <c r="AP5018" s="4" t="s">
        <v>115</v>
      </c>
    </row>
    <row r="5019" spans="1:42" x14ac:dyDescent="0.15">
      <c r="A5019" s="40" t="s">
        <v>1</v>
      </c>
      <c r="B5019" s="23">
        <v>97302215</v>
      </c>
      <c r="C5019" s="23">
        <v>73022</v>
      </c>
      <c r="D5019" s="23">
        <v>7302</v>
      </c>
      <c r="F5019" s="23" t="s">
        <v>1072</v>
      </c>
      <c r="G5019" s="23" t="s">
        <v>115</v>
      </c>
      <c r="H5019" s="23" t="s">
        <v>1719</v>
      </c>
      <c r="I5019" s="23">
        <v>1</v>
      </c>
      <c r="J5019" s="40">
        <v>0</v>
      </c>
      <c r="K5019" s="40">
        <v>0</v>
      </c>
      <c r="L5019" s="40" t="s">
        <v>115</v>
      </c>
      <c r="O5019" s="40" t="s">
        <v>115</v>
      </c>
      <c r="Q5019" s="40">
        <v>189</v>
      </c>
      <c r="R5019" s="40" t="s">
        <v>115</v>
      </c>
      <c r="X5019" s="40">
        <v>97302216</v>
      </c>
      <c r="Y5019" s="40" t="s">
        <v>115</v>
      </c>
      <c r="Z5019" s="40" t="s">
        <v>115</v>
      </c>
      <c r="AA5019" s="40" t="s">
        <v>115</v>
      </c>
      <c r="AB5019" s="40" t="s">
        <v>115</v>
      </c>
      <c r="AC5019" s="40" t="s">
        <v>115</v>
      </c>
      <c r="AI5019" s="40">
        <v>204</v>
      </c>
      <c r="AP5019" s="4" t="s">
        <v>115</v>
      </c>
    </row>
    <row r="5020" spans="1:42" x14ac:dyDescent="0.15">
      <c r="A5020" s="40" t="s">
        <v>1</v>
      </c>
      <c r="B5020" s="23">
        <v>97302216</v>
      </c>
      <c r="C5020" s="23">
        <v>73022</v>
      </c>
      <c r="D5020" s="23">
        <v>7302</v>
      </c>
      <c r="F5020" s="23" t="s">
        <v>116</v>
      </c>
      <c r="G5020" s="23">
        <v>261</v>
      </c>
      <c r="H5020" s="23" t="s">
        <v>1178</v>
      </c>
      <c r="I5020" s="23">
        <v>0</v>
      </c>
      <c r="J5020" s="40">
        <v>0</v>
      </c>
      <c r="K5020" s="40">
        <v>0</v>
      </c>
      <c r="L5020" s="40" t="s">
        <v>115</v>
      </c>
      <c r="O5020" s="40" t="s">
        <v>115</v>
      </c>
      <c r="Q5020" s="40">
        <v>189</v>
      </c>
      <c r="R5020" s="40" t="s">
        <v>115</v>
      </c>
      <c r="X5020" s="40">
        <v>97302217</v>
      </c>
      <c r="Y5020" s="40" t="s">
        <v>115</v>
      </c>
      <c r="Z5020" s="40" t="s">
        <v>115</v>
      </c>
      <c r="AA5020" s="40" t="s">
        <v>115</v>
      </c>
      <c r="AB5020" s="40" t="s">
        <v>115</v>
      </c>
      <c r="AC5020" s="40" t="s">
        <v>115</v>
      </c>
      <c r="AI5020" s="40">
        <v>204</v>
      </c>
      <c r="AP5020" s="4" t="s">
        <v>115</v>
      </c>
    </row>
    <row r="5021" spans="1:42" x14ac:dyDescent="0.15">
      <c r="A5021" s="40" t="s">
        <v>1</v>
      </c>
      <c r="B5021" s="23">
        <v>97302217</v>
      </c>
      <c r="C5021" s="23">
        <v>73022</v>
      </c>
      <c r="D5021" s="23">
        <v>7302</v>
      </c>
      <c r="F5021" s="23" t="s">
        <v>1072</v>
      </c>
      <c r="G5021" s="23" t="s">
        <v>115</v>
      </c>
      <c r="H5021" s="23" t="s">
        <v>1720</v>
      </c>
      <c r="I5021" s="23">
        <v>1</v>
      </c>
      <c r="J5021" s="40">
        <v>0</v>
      </c>
      <c r="K5021" s="40">
        <v>2</v>
      </c>
      <c r="L5021" s="40" t="s">
        <v>115</v>
      </c>
      <c r="O5021" s="40">
        <v>1</v>
      </c>
      <c r="Q5021" s="40">
        <v>189</v>
      </c>
      <c r="R5021" s="40" t="s">
        <v>115</v>
      </c>
      <c r="X5021" s="40" t="s">
        <v>115</v>
      </c>
      <c r="Y5021" s="40" t="s">
        <v>115</v>
      </c>
      <c r="Z5021" s="40" t="s">
        <v>115</v>
      </c>
      <c r="AA5021" s="40" t="s">
        <v>115</v>
      </c>
      <c r="AB5021" s="40" t="s">
        <v>115</v>
      </c>
      <c r="AC5021" s="40" t="s">
        <v>115</v>
      </c>
      <c r="AI5021" s="40" t="s">
        <v>1073</v>
      </c>
      <c r="AP5021" s="40">
        <v>73023</v>
      </c>
    </row>
    <row r="5022" spans="1:42" x14ac:dyDescent="0.15">
      <c r="A5022" s="40" t="s">
        <v>1</v>
      </c>
      <c r="B5022" s="23">
        <v>97302301</v>
      </c>
      <c r="C5022" s="23">
        <v>73023</v>
      </c>
      <c r="D5022" s="23">
        <v>7302</v>
      </c>
      <c r="F5022" s="23" t="s">
        <v>115</v>
      </c>
      <c r="G5022" s="23" t="s">
        <v>115</v>
      </c>
      <c r="H5022" s="23" t="s">
        <v>1721</v>
      </c>
      <c r="I5022" s="23">
        <v>4</v>
      </c>
      <c r="J5022" s="40">
        <v>1</v>
      </c>
      <c r="K5022" s="40">
        <v>1</v>
      </c>
      <c r="L5022" s="40" t="s">
        <v>115</v>
      </c>
      <c r="O5022" s="40" t="s">
        <v>115</v>
      </c>
      <c r="Q5022" s="40">
        <v>198</v>
      </c>
      <c r="R5022" s="40" t="s">
        <v>115</v>
      </c>
      <c r="X5022" s="40">
        <v>97302302</v>
      </c>
      <c r="Y5022" s="40" t="s">
        <v>115</v>
      </c>
      <c r="Z5022" s="40" t="s">
        <v>115</v>
      </c>
      <c r="AA5022" s="40" t="s">
        <v>115</v>
      </c>
      <c r="AB5022" s="40" t="s">
        <v>115</v>
      </c>
      <c r="AC5022" s="40" t="s">
        <v>115</v>
      </c>
      <c r="AI5022" s="40" t="s">
        <v>115</v>
      </c>
      <c r="AP5022" s="4" t="s">
        <v>115</v>
      </c>
    </row>
    <row r="5023" spans="1:42" x14ac:dyDescent="0.15">
      <c r="A5023" s="40" t="s">
        <v>1</v>
      </c>
      <c r="B5023" s="23">
        <v>97302302</v>
      </c>
      <c r="C5023" s="23">
        <v>73023</v>
      </c>
      <c r="D5023" s="23">
        <v>7302</v>
      </c>
      <c r="F5023" s="23" t="s">
        <v>115</v>
      </c>
      <c r="G5023" s="23" t="s">
        <v>115</v>
      </c>
      <c r="H5023" s="23" t="s">
        <v>1722</v>
      </c>
      <c r="I5023" s="23">
        <v>4</v>
      </c>
      <c r="J5023" s="40">
        <v>0</v>
      </c>
      <c r="K5023" s="40">
        <v>0</v>
      </c>
      <c r="L5023" s="40" t="s">
        <v>115</v>
      </c>
      <c r="O5023" s="40" t="s">
        <v>115</v>
      </c>
      <c r="Q5023" s="40">
        <v>198</v>
      </c>
      <c r="R5023" s="40" t="s">
        <v>115</v>
      </c>
      <c r="X5023" s="40">
        <v>97302303</v>
      </c>
      <c r="Y5023" s="40" t="s">
        <v>115</v>
      </c>
      <c r="Z5023" s="40" t="s">
        <v>115</v>
      </c>
      <c r="AA5023" s="40" t="s">
        <v>115</v>
      </c>
      <c r="AB5023" s="40" t="s">
        <v>115</v>
      </c>
      <c r="AC5023" s="40" t="s">
        <v>115</v>
      </c>
      <c r="AI5023" s="40" t="s">
        <v>115</v>
      </c>
      <c r="AP5023" s="4" t="s">
        <v>115</v>
      </c>
    </row>
    <row r="5024" spans="1:42" x14ac:dyDescent="0.15">
      <c r="A5024" s="40" t="s">
        <v>1</v>
      </c>
      <c r="B5024" s="23">
        <v>97302303</v>
      </c>
      <c r="C5024" s="23">
        <v>73023</v>
      </c>
      <c r="D5024" s="23">
        <v>7302</v>
      </c>
      <c r="F5024" s="23" t="s">
        <v>116</v>
      </c>
      <c r="G5024" s="23">
        <v>261</v>
      </c>
      <c r="H5024" s="23" t="s">
        <v>1723</v>
      </c>
      <c r="I5024" s="23">
        <v>0</v>
      </c>
      <c r="J5024" s="40">
        <v>0</v>
      </c>
      <c r="K5024" s="40">
        <v>0</v>
      </c>
      <c r="L5024" s="40" t="s">
        <v>115</v>
      </c>
      <c r="O5024" s="40" t="s">
        <v>115</v>
      </c>
      <c r="Q5024" s="40">
        <v>198</v>
      </c>
      <c r="R5024" s="40">
        <v>243</v>
      </c>
      <c r="X5024" s="40">
        <v>97302304</v>
      </c>
      <c r="Y5024" s="40" t="s">
        <v>115</v>
      </c>
      <c r="Z5024" s="40" t="s">
        <v>115</v>
      </c>
      <c r="AA5024" s="40" t="s">
        <v>115</v>
      </c>
      <c r="AB5024" s="40" t="s">
        <v>115</v>
      </c>
      <c r="AC5024" s="40" t="s">
        <v>115</v>
      </c>
      <c r="AI5024" s="40" t="s">
        <v>115</v>
      </c>
      <c r="AP5024" s="4" t="s">
        <v>115</v>
      </c>
    </row>
    <row r="5025" spans="1:42" x14ac:dyDescent="0.15">
      <c r="A5025" s="40" t="s">
        <v>1</v>
      </c>
      <c r="B5025" s="23">
        <v>97302304</v>
      </c>
      <c r="C5025" s="23">
        <v>73023</v>
      </c>
      <c r="D5025" s="23">
        <v>7302</v>
      </c>
      <c r="F5025" s="23" t="s">
        <v>115</v>
      </c>
      <c r="G5025" s="23" t="s">
        <v>115</v>
      </c>
      <c r="H5025" s="23" t="s">
        <v>1724</v>
      </c>
      <c r="I5025" s="23">
        <v>4</v>
      </c>
      <c r="J5025" s="40">
        <v>0</v>
      </c>
      <c r="K5025" s="40">
        <v>0</v>
      </c>
      <c r="L5025" s="40" t="s">
        <v>115</v>
      </c>
      <c r="O5025" s="40" t="s">
        <v>115</v>
      </c>
      <c r="Q5025" s="40">
        <v>198</v>
      </c>
      <c r="R5025" s="40">
        <v>243</v>
      </c>
      <c r="X5025" s="40">
        <v>97302305</v>
      </c>
      <c r="Y5025" s="40" t="s">
        <v>115</v>
      </c>
      <c r="Z5025" s="40" t="s">
        <v>115</v>
      </c>
      <c r="AA5025" s="40" t="s">
        <v>115</v>
      </c>
      <c r="AB5025" s="40" t="s">
        <v>115</v>
      </c>
      <c r="AC5025" s="40" t="s">
        <v>115</v>
      </c>
      <c r="AI5025" s="40" t="s">
        <v>115</v>
      </c>
      <c r="AP5025" s="4" t="s">
        <v>115</v>
      </c>
    </row>
    <row r="5026" spans="1:42" x14ac:dyDescent="0.15">
      <c r="A5026" s="40" t="s">
        <v>1</v>
      </c>
      <c r="B5026" s="23">
        <v>97302305</v>
      </c>
      <c r="C5026" s="23">
        <v>73023</v>
      </c>
      <c r="D5026" s="23">
        <v>7302</v>
      </c>
      <c r="F5026" s="23" t="s">
        <v>116</v>
      </c>
      <c r="G5026" s="23">
        <v>261</v>
      </c>
      <c r="H5026" s="23" t="s">
        <v>1725</v>
      </c>
      <c r="I5026" s="23">
        <v>0</v>
      </c>
      <c r="J5026" s="40">
        <v>0</v>
      </c>
      <c r="K5026" s="40">
        <v>0</v>
      </c>
      <c r="L5026" s="40" t="s">
        <v>115</v>
      </c>
      <c r="O5026" s="40" t="s">
        <v>115</v>
      </c>
      <c r="Q5026" s="40">
        <v>198</v>
      </c>
      <c r="R5026" s="40">
        <v>243</v>
      </c>
      <c r="X5026" s="40">
        <v>97302306</v>
      </c>
      <c r="Y5026" s="40" t="s">
        <v>115</v>
      </c>
      <c r="Z5026" s="40" t="s">
        <v>115</v>
      </c>
      <c r="AA5026" s="40" t="s">
        <v>115</v>
      </c>
      <c r="AB5026" s="40" t="s">
        <v>115</v>
      </c>
      <c r="AC5026" s="40" t="s">
        <v>115</v>
      </c>
      <c r="AI5026" s="40" t="s">
        <v>115</v>
      </c>
      <c r="AP5026" s="4" t="s">
        <v>115</v>
      </c>
    </row>
    <row r="5027" spans="1:42" x14ac:dyDescent="0.15">
      <c r="A5027" s="40" t="s">
        <v>1</v>
      </c>
      <c r="B5027" s="23">
        <v>97302306</v>
      </c>
      <c r="C5027" s="23">
        <v>73023</v>
      </c>
      <c r="D5027" s="23">
        <v>7302</v>
      </c>
      <c r="F5027" s="23" t="s">
        <v>322</v>
      </c>
      <c r="G5027" s="23" t="s">
        <v>115</v>
      </c>
      <c r="H5027" s="23" t="s">
        <v>1726</v>
      </c>
      <c r="I5027" s="23">
        <v>3</v>
      </c>
      <c r="J5027" s="40">
        <v>0</v>
      </c>
      <c r="K5027" s="40">
        <v>0</v>
      </c>
      <c r="L5027" s="40" t="s">
        <v>115</v>
      </c>
      <c r="O5027" s="40" t="s">
        <v>115</v>
      </c>
      <c r="Q5027" s="40">
        <v>198</v>
      </c>
      <c r="R5027" s="40">
        <v>243</v>
      </c>
      <c r="X5027" s="40">
        <v>97302307</v>
      </c>
      <c r="Y5027" s="40" t="s">
        <v>115</v>
      </c>
      <c r="Z5027" s="40" t="s">
        <v>115</v>
      </c>
      <c r="AA5027" s="40" t="s">
        <v>115</v>
      </c>
      <c r="AB5027" s="40" t="s">
        <v>115</v>
      </c>
      <c r="AC5027" s="40" t="s">
        <v>115</v>
      </c>
      <c r="AI5027" s="40" t="s">
        <v>115</v>
      </c>
      <c r="AP5027" s="4" t="s">
        <v>115</v>
      </c>
    </row>
    <row r="5028" spans="1:42" x14ac:dyDescent="0.15">
      <c r="A5028" s="40" t="s">
        <v>1</v>
      </c>
      <c r="B5028" s="23">
        <v>97302307</v>
      </c>
      <c r="C5028" s="23">
        <v>73023</v>
      </c>
      <c r="D5028" s="23">
        <v>7302</v>
      </c>
      <c r="F5028" s="23" t="s">
        <v>116</v>
      </c>
      <c r="G5028" s="23">
        <v>261</v>
      </c>
      <c r="H5028" s="23" t="s">
        <v>1727</v>
      </c>
      <c r="I5028" s="23">
        <v>0</v>
      </c>
      <c r="J5028" s="40">
        <v>0</v>
      </c>
      <c r="K5028" s="40">
        <v>0</v>
      </c>
      <c r="L5028" s="40" t="s">
        <v>115</v>
      </c>
      <c r="O5028" s="40" t="s">
        <v>115</v>
      </c>
      <c r="Q5028" s="40">
        <v>198</v>
      </c>
      <c r="R5028" s="40">
        <v>243</v>
      </c>
      <c r="X5028" s="40">
        <v>97302308</v>
      </c>
      <c r="Y5028" s="40" t="s">
        <v>115</v>
      </c>
      <c r="Z5028" s="40">
        <v>1</v>
      </c>
      <c r="AA5028" s="40" t="s">
        <v>115</v>
      </c>
      <c r="AB5028" s="40" t="s">
        <v>115</v>
      </c>
      <c r="AC5028" s="40" t="s">
        <v>115</v>
      </c>
      <c r="AI5028" s="40" t="s">
        <v>115</v>
      </c>
      <c r="AP5028" s="4" t="s">
        <v>115</v>
      </c>
    </row>
    <row r="5029" spans="1:42" x14ac:dyDescent="0.15">
      <c r="A5029" s="40" t="s">
        <v>1</v>
      </c>
      <c r="B5029" s="23">
        <v>97302308</v>
      </c>
      <c r="C5029" s="23">
        <v>73023</v>
      </c>
      <c r="D5029" s="23">
        <v>7302</v>
      </c>
      <c r="F5029" s="23" t="s">
        <v>322</v>
      </c>
      <c r="G5029" s="23" t="s">
        <v>115</v>
      </c>
      <c r="H5029" s="23" t="s">
        <v>1728</v>
      </c>
      <c r="I5029" s="23">
        <v>3</v>
      </c>
      <c r="J5029" s="40">
        <v>0</v>
      </c>
      <c r="K5029" s="40">
        <v>0</v>
      </c>
      <c r="L5029" s="40" t="s">
        <v>115</v>
      </c>
      <c r="O5029" s="40" t="s">
        <v>115</v>
      </c>
      <c r="Q5029" s="40">
        <v>198</v>
      </c>
      <c r="R5029" s="40">
        <v>243</v>
      </c>
      <c r="X5029" s="40">
        <v>97302309</v>
      </c>
      <c r="Y5029" s="40" t="s">
        <v>115</v>
      </c>
      <c r="Z5029" s="40" t="s">
        <v>115</v>
      </c>
      <c r="AA5029" s="40" t="s">
        <v>115</v>
      </c>
      <c r="AB5029" s="40" t="s">
        <v>115</v>
      </c>
      <c r="AC5029" s="40" t="s">
        <v>115</v>
      </c>
      <c r="AI5029" s="40" t="s">
        <v>115</v>
      </c>
      <c r="AP5029" s="4" t="s">
        <v>115</v>
      </c>
    </row>
    <row r="5030" spans="1:42" x14ac:dyDescent="0.15">
      <c r="A5030" s="40" t="s">
        <v>1</v>
      </c>
      <c r="B5030" s="23">
        <v>97302309</v>
      </c>
      <c r="C5030" s="23">
        <v>73023</v>
      </c>
      <c r="D5030" s="23">
        <v>7302</v>
      </c>
      <c r="F5030" s="23" t="s">
        <v>116</v>
      </c>
      <c r="G5030" s="23">
        <v>275</v>
      </c>
      <c r="H5030" s="23" t="s">
        <v>1729</v>
      </c>
      <c r="I5030" s="23">
        <v>0</v>
      </c>
      <c r="J5030" s="40">
        <v>0</v>
      </c>
      <c r="K5030" s="40">
        <v>0</v>
      </c>
      <c r="L5030" s="40" t="s">
        <v>115</v>
      </c>
      <c r="O5030" s="40" t="s">
        <v>115</v>
      </c>
      <c r="Q5030" s="40">
        <v>198</v>
      </c>
      <c r="R5030" s="40">
        <v>243</v>
      </c>
      <c r="X5030" s="40">
        <v>97302310</v>
      </c>
      <c r="Y5030" s="40" t="s">
        <v>115</v>
      </c>
      <c r="Z5030" s="40" t="s">
        <v>115</v>
      </c>
      <c r="AA5030" s="40" t="s">
        <v>115</v>
      </c>
      <c r="AB5030" s="40" t="s">
        <v>115</v>
      </c>
      <c r="AC5030" s="40" t="s">
        <v>115</v>
      </c>
      <c r="AI5030" s="40" t="s">
        <v>115</v>
      </c>
      <c r="AP5030" s="4" t="s">
        <v>115</v>
      </c>
    </row>
    <row r="5031" spans="1:42" x14ac:dyDescent="0.15">
      <c r="A5031" s="40" t="s">
        <v>1</v>
      </c>
      <c r="B5031" s="23">
        <v>97302310</v>
      </c>
      <c r="C5031" s="23">
        <v>73023</v>
      </c>
      <c r="D5031" s="23">
        <v>7302</v>
      </c>
      <c r="F5031" s="23" t="s">
        <v>322</v>
      </c>
      <c r="G5031" s="23" t="s">
        <v>115</v>
      </c>
      <c r="H5031" s="23" t="s">
        <v>1730</v>
      </c>
      <c r="I5031" s="23">
        <v>3</v>
      </c>
      <c r="J5031" s="40">
        <v>0</v>
      </c>
      <c r="K5031" s="40">
        <v>0</v>
      </c>
      <c r="L5031" s="40" t="s">
        <v>115</v>
      </c>
      <c r="O5031" s="40" t="s">
        <v>115</v>
      </c>
      <c r="Q5031" s="40">
        <v>198</v>
      </c>
      <c r="R5031" s="40">
        <v>243</v>
      </c>
      <c r="X5031" s="40">
        <v>97302311</v>
      </c>
      <c r="Y5031" s="40" t="s">
        <v>115</v>
      </c>
      <c r="Z5031" s="40" t="s">
        <v>115</v>
      </c>
      <c r="AA5031" s="40" t="s">
        <v>115</v>
      </c>
      <c r="AB5031" s="40" t="s">
        <v>115</v>
      </c>
      <c r="AC5031" s="40" t="s">
        <v>115</v>
      </c>
      <c r="AI5031" s="40" t="s">
        <v>115</v>
      </c>
      <c r="AP5031" s="4" t="s">
        <v>115</v>
      </c>
    </row>
    <row r="5032" spans="1:42" x14ac:dyDescent="0.15">
      <c r="A5032" s="40" t="s">
        <v>1</v>
      </c>
      <c r="B5032" s="23">
        <v>97302311</v>
      </c>
      <c r="C5032" s="23">
        <v>73023</v>
      </c>
      <c r="D5032" s="23">
        <v>7302</v>
      </c>
      <c r="F5032" s="23" t="s">
        <v>322</v>
      </c>
      <c r="G5032" s="23" t="s">
        <v>115</v>
      </c>
      <c r="H5032" s="23" t="s">
        <v>1731</v>
      </c>
      <c r="I5032" s="23">
        <v>3</v>
      </c>
      <c r="J5032" s="40">
        <v>0</v>
      </c>
      <c r="K5032" s="40">
        <v>0</v>
      </c>
      <c r="L5032" s="40" t="s">
        <v>115</v>
      </c>
      <c r="O5032" s="40" t="s">
        <v>115</v>
      </c>
      <c r="Q5032" s="40">
        <v>198</v>
      </c>
      <c r="R5032" s="40">
        <v>243</v>
      </c>
      <c r="X5032" s="40">
        <v>97302312</v>
      </c>
      <c r="Y5032" s="40" t="s">
        <v>115</v>
      </c>
      <c r="Z5032" s="40" t="s">
        <v>115</v>
      </c>
      <c r="AA5032" s="40" t="s">
        <v>115</v>
      </c>
      <c r="AB5032" s="40" t="s">
        <v>115</v>
      </c>
      <c r="AC5032" s="40" t="s">
        <v>115</v>
      </c>
      <c r="AI5032" s="40" t="s">
        <v>115</v>
      </c>
      <c r="AP5032" s="4" t="s">
        <v>115</v>
      </c>
    </row>
    <row r="5033" spans="1:42" x14ac:dyDescent="0.15">
      <c r="A5033" s="40" t="s">
        <v>1</v>
      </c>
      <c r="B5033" s="23">
        <v>97302312</v>
      </c>
      <c r="C5033" s="23">
        <v>73023</v>
      </c>
      <c r="D5033" s="23">
        <v>7302</v>
      </c>
      <c r="F5033" s="23" t="s">
        <v>116</v>
      </c>
      <c r="G5033" s="23">
        <v>261</v>
      </c>
      <c r="H5033" s="23" t="s">
        <v>1732</v>
      </c>
      <c r="I5033" s="23">
        <v>0</v>
      </c>
      <c r="J5033" s="40">
        <v>0</v>
      </c>
      <c r="K5033" s="40">
        <v>0</v>
      </c>
      <c r="L5033" s="40" t="s">
        <v>115</v>
      </c>
      <c r="O5033" s="40" t="s">
        <v>115</v>
      </c>
      <c r="Q5033" s="40">
        <v>198</v>
      </c>
      <c r="R5033" s="40">
        <v>243</v>
      </c>
      <c r="X5033" s="40">
        <v>97302313</v>
      </c>
      <c r="Y5033" s="40" t="s">
        <v>115</v>
      </c>
      <c r="Z5033" s="40" t="s">
        <v>115</v>
      </c>
      <c r="AA5033" s="40" t="s">
        <v>115</v>
      </c>
      <c r="AB5033" s="40" t="s">
        <v>115</v>
      </c>
      <c r="AC5033" s="40" t="s">
        <v>115</v>
      </c>
      <c r="AI5033" s="40" t="s">
        <v>115</v>
      </c>
      <c r="AP5033" s="4" t="s">
        <v>115</v>
      </c>
    </row>
    <row r="5034" spans="1:42" x14ac:dyDescent="0.15">
      <c r="A5034" s="40" t="s">
        <v>1</v>
      </c>
      <c r="B5034" s="23">
        <v>97302313</v>
      </c>
      <c r="C5034" s="23">
        <v>73023</v>
      </c>
      <c r="D5034" s="23">
        <v>7302</v>
      </c>
      <c r="F5034" s="23" t="s">
        <v>322</v>
      </c>
      <c r="G5034" s="23" t="s">
        <v>115</v>
      </c>
      <c r="H5034" s="23" t="s">
        <v>1733</v>
      </c>
      <c r="I5034" s="23">
        <v>3</v>
      </c>
      <c r="J5034" s="40">
        <v>0</v>
      </c>
      <c r="K5034" s="40">
        <v>0</v>
      </c>
      <c r="L5034" s="40" t="s">
        <v>115</v>
      </c>
      <c r="O5034" s="40" t="s">
        <v>115</v>
      </c>
      <c r="Q5034" s="40">
        <v>198</v>
      </c>
      <c r="R5034" s="40">
        <v>243</v>
      </c>
      <c r="X5034" s="40">
        <v>97302314</v>
      </c>
      <c r="Y5034" s="40" t="s">
        <v>115</v>
      </c>
      <c r="Z5034" s="40" t="s">
        <v>115</v>
      </c>
      <c r="AA5034" s="40" t="s">
        <v>115</v>
      </c>
      <c r="AB5034" s="40" t="s">
        <v>115</v>
      </c>
      <c r="AC5034" s="40" t="s">
        <v>115</v>
      </c>
      <c r="AI5034" s="40" t="s">
        <v>115</v>
      </c>
      <c r="AP5034" s="4" t="s">
        <v>115</v>
      </c>
    </row>
    <row r="5035" spans="1:42" x14ac:dyDescent="0.15">
      <c r="A5035" s="40" t="s">
        <v>1</v>
      </c>
      <c r="B5035" s="23">
        <v>97302314</v>
      </c>
      <c r="C5035" s="23">
        <v>73023</v>
      </c>
      <c r="D5035" s="23">
        <v>7302</v>
      </c>
      <c r="F5035" s="23" t="s">
        <v>322</v>
      </c>
      <c r="G5035" s="23" t="s">
        <v>115</v>
      </c>
      <c r="H5035" s="23" t="s">
        <v>1734</v>
      </c>
      <c r="I5035" s="23">
        <v>3</v>
      </c>
      <c r="J5035" s="40">
        <v>0</v>
      </c>
      <c r="K5035" s="40">
        <v>2</v>
      </c>
      <c r="L5035" s="40" t="s">
        <v>115</v>
      </c>
      <c r="O5035" s="40">
        <v>1</v>
      </c>
      <c r="Q5035" s="40">
        <v>198</v>
      </c>
      <c r="R5035" s="40">
        <v>243</v>
      </c>
      <c r="X5035" s="40" t="s">
        <v>115</v>
      </c>
      <c r="Y5035" s="40" t="s">
        <v>115</v>
      </c>
      <c r="Z5035" s="40" t="s">
        <v>115</v>
      </c>
      <c r="AA5035" s="40" t="s">
        <v>115</v>
      </c>
      <c r="AB5035" s="40" t="s">
        <v>115</v>
      </c>
      <c r="AC5035" s="40" t="s">
        <v>115</v>
      </c>
      <c r="AI5035" s="40" t="s">
        <v>115</v>
      </c>
      <c r="AP5035" s="40">
        <v>-1</v>
      </c>
    </row>
    <row r="5037" spans="1:42" x14ac:dyDescent="0.15">
      <c r="A5037" s="40" t="s">
        <v>1</v>
      </c>
      <c r="B5037" s="23">
        <v>97303101</v>
      </c>
      <c r="C5037" s="23">
        <v>73031</v>
      </c>
      <c r="D5037" s="23">
        <v>7303</v>
      </c>
      <c r="F5037" s="23" t="s">
        <v>115</v>
      </c>
      <c r="G5037" s="23" t="s">
        <v>115</v>
      </c>
      <c r="H5037" s="23" t="s">
        <v>7427</v>
      </c>
      <c r="I5037" s="23">
        <v>4</v>
      </c>
      <c r="J5037" s="40">
        <v>1</v>
      </c>
      <c r="K5037" s="40">
        <v>1</v>
      </c>
      <c r="L5037" s="40" t="s">
        <v>115</v>
      </c>
      <c r="O5037" s="40" t="s">
        <v>115</v>
      </c>
      <c r="Q5037" s="40">
        <v>163</v>
      </c>
      <c r="R5037" s="40" t="s">
        <v>115</v>
      </c>
      <c r="X5037" s="40">
        <v>97303102</v>
      </c>
      <c r="Y5037" s="40" t="s">
        <v>115</v>
      </c>
      <c r="Z5037" s="40" t="s">
        <v>115</v>
      </c>
      <c r="AA5037" s="40" t="s">
        <v>115</v>
      </c>
      <c r="AB5037" s="40" t="s">
        <v>115</v>
      </c>
      <c r="AC5037" s="40" t="s">
        <v>115</v>
      </c>
      <c r="AI5037" s="40" t="s">
        <v>115</v>
      </c>
      <c r="AP5037" s="4" t="s">
        <v>115</v>
      </c>
    </row>
    <row r="5038" spans="1:42" x14ac:dyDescent="0.15">
      <c r="A5038" s="40" t="s">
        <v>1</v>
      </c>
      <c r="B5038" s="23">
        <v>97303102</v>
      </c>
      <c r="C5038" s="23">
        <v>73031</v>
      </c>
      <c r="D5038" s="23">
        <v>7303</v>
      </c>
      <c r="F5038" s="23" t="s">
        <v>115</v>
      </c>
      <c r="G5038" s="23" t="s">
        <v>115</v>
      </c>
      <c r="H5038" s="23" t="s">
        <v>7428</v>
      </c>
      <c r="I5038" s="23">
        <v>4</v>
      </c>
      <c r="J5038" s="40">
        <v>0</v>
      </c>
      <c r="K5038" s="40">
        <v>0</v>
      </c>
      <c r="L5038" s="40" t="s">
        <v>115</v>
      </c>
      <c r="O5038" s="40" t="s">
        <v>115</v>
      </c>
      <c r="Q5038" s="40">
        <v>163</v>
      </c>
      <c r="R5038" s="40" t="s">
        <v>115</v>
      </c>
      <c r="X5038" s="40">
        <v>97303103</v>
      </c>
      <c r="Y5038" s="40" t="s">
        <v>115</v>
      </c>
      <c r="Z5038" s="40" t="s">
        <v>115</v>
      </c>
      <c r="AA5038" s="40" t="s">
        <v>115</v>
      </c>
      <c r="AB5038" s="40" t="s">
        <v>115</v>
      </c>
      <c r="AC5038" s="40" t="s">
        <v>115</v>
      </c>
      <c r="AI5038" s="40" t="s">
        <v>115</v>
      </c>
      <c r="AP5038" s="4" t="s">
        <v>115</v>
      </c>
    </row>
    <row r="5039" spans="1:42" x14ac:dyDescent="0.15">
      <c r="A5039" s="40" t="s">
        <v>1</v>
      </c>
      <c r="B5039" s="23">
        <v>97303103</v>
      </c>
      <c r="C5039" s="23">
        <v>73031</v>
      </c>
      <c r="D5039" s="23">
        <v>7303</v>
      </c>
      <c r="F5039" s="23" t="s">
        <v>116</v>
      </c>
      <c r="G5039" s="23">
        <v>275</v>
      </c>
      <c r="H5039" s="23" t="s">
        <v>7429</v>
      </c>
      <c r="I5039" s="23">
        <v>0</v>
      </c>
      <c r="J5039" s="40">
        <v>0</v>
      </c>
      <c r="K5039" s="40">
        <v>0</v>
      </c>
      <c r="L5039" s="40" t="s">
        <v>115</v>
      </c>
      <c r="O5039" s="40" t="s">
        <v>115</v>
      </c>
      <c r="Q5039" s="40">
        <v>163</v>
      </c>
      <c r="R5039" s="40" t="s">
        <v>115</v>
      </c>
      <c r="X5039" s="40">
        <v>97303104</v>
      </c>
      <c r="Y5039" s="40" t="s">
        <v>115</v>
      </c>
      <c r="Z5039" s="40" t="s">
        <v>115</v>
      </c>
      <c r="AA5039" s="40" t="s">
        <v>115</v>
      </c>
      <c r="AB5039" s="40" t="s">
        <v>115</v>
      </c>
      <c r="AC5039" s="40" t="s">
        <v>115</v>
      </c>
      <c r="AI5039" s="40" t="s">
        <v>115</v>
      </c>
      <c r="AP5039" s="4" t="s">
        <v>115</v>
      </c>
    </row>
    <row r="5040" spans="1:42" x14ac:dyDescent="0.15">
      <c r="A5040" s="40" t="s">
        <v>1</v>
      </c>
      <c r="B5040" s="23">
        <v>97303104</v>
      </c>
      <c r="C5040" s="23">
        <v>73031</v>
      </c>
      <c r="D5040" s="23">
        <v>7303</v>
      </c>
      <c r="F5040" s="23" t="s">
        <v>116</v>
      </c>
      <c r="G5040" s="23">
        <v>261</v>
      </c>
      <c r="H5040" s="23" t="s">
        <v>7430</v>
      </c>
      <c r="I5040" s="23">
        <v>0</v>
      </c>
      <c r="J5040" s="40">
        <v>0</v>
      </c>
      <c r="K5040" s="40">
        <v>2</v>
      </c>
      <c r="L5040" s="40" t="s">
        <v>115</v>
      </c>
      <c r="O5040" s="40">
        <v>1</v>
      </c>
      <c r="Q5040" s="40">
        <v>163</v>
      </c>
      <c r="R5040" s="40" t="s">
        <v>115</v>
      </c>
      <c r="X5040" s="40" t="s">
        <v>115</v>
      </c>
      <c r="Y5040" s="40" t="s">
        <v>115</v>
      </c>
      <c r="Z5040" s="40">
        <v>1</v>
      </c>
      <c r="AA5040" s="40" t="s">
        <v>115</v>
      </c>
      <c r="AB5040" s="40" t="s">
        <v>115</v>
      </c>
      <c r="AC5040" s="40" t="s">
        <v>115</v>
      </c>
      <c r="AI5040" s="40" t="s">
        <v>115</v>
      </c>
      <c r="AP5040" s="4" t="s">
        <v>115</v>
      </c>
    </row>
    <row r="5042" spans="1:42" x14ac:dyDescent="0.15">
      <c r="A5042" s="40" t="s">
        <v>1</v>
      </c>
      <c r="B5042" s="23">
        <v>97304101</v>
      </c>
      <c r="C5042" s="23">
        <v>73041</v>
      </c>
      <c r="D5042" s="23">
        <v>7304</v>
      </c>
      <c r="F5042" s="23" t="s">
        <v>115</v>
      </c>
      <c r="G5042" s="23" t="s">
        <v>115</v>
      </c>
      <c r="H5042" s="23" t="s">
        <v>7427</v>
      </c>
      <c r="I5042" s="23">
        <v>4</v>
      </c>
      <c r="J5042" s="40">
        <v>1</v>
      </c>
      <c r="K5042" s="40">
        <v>1</v>
      </c>
      <c r="L5042" s="40" t="s">
        <v>115</v>
      </c>
      <c r="O5042" s="40" t="s">
        <v>115</v>
      </c>
      <c r="Q5042" s="40">
        <v>163</v>
      </c>
      <c r="R5042" s="40" t="s">
        <v>115</v>
      </c>
      <c r="X5042" s="40">
        <v>97304102</v>
      </c>
      <c r="Y5042" s="40" t="s">
        <v>115</v>
      </c>
      <c r="Z5042" s="40" t="s">
        <v>115</v>
      </c>
      <c r="AA5042" s="40" t="s">
        <v>115</v>
      </c>
      <c r="AB5042" s="40" t="s">
        <v>115</v>
      </c>
      <c r="AC5042" s="40" t="s">
        <v>115</v>
      </c>
      <c r="AI5042" s="40" t="s">
        <v>115</v>
      </c>
      <c r="AP5042" s="4" t="s">
        <v>115</v>
      </c>
    </row>
    <row r="5043" spans="1:42" x14ac:dyDescent="0.15">
      <c r="A5043" s="40" t="s">
        <v>1</v>
      </c>
      <c r="B5043" s="23">
        <v>97304102</v>
      </c>
      <c r="C5043" s="23">
        <v>73041</v>
      </c>
      <c r="D5043" s="23">
        <v>7304</v>
      </c>
      <c r="F5043" s="23" t="s">
        <v>115</v>
      </c>
      <c r="G5043" s="23" t="s">
        <v>115</v>
      </c>
      <c r="H5043" s="23" t="s">
        <v>7428</v>
      </c>
      <c r="I5043" s="23">
        <v>4</v>
      </c>
      <c r="J5043" s="40">
        <v>0</v>
      </c>
      <c r="K5043" s="40">
        <v>0</v>
      </c>
      <c r="L5043" s="40" t="s">
        <v>115</v>
      </c>
      <c r="O5043" s="40" t="s">
        <v>115</v>
      </c>
      <c r="Q5043" s="40">
        <v>163</v>
      </c>
      <c r="R5043" s="40" t="s">
        <v>115</v>
      </c>
      <c r="X5043" s="40">
        <v>97304103</v>
      </c>
      <c r="Y5043" s="40" t="s">
        <v>115</v>
      </c>
      <c r="Z5043" s="40" t="s">
        <v>115</v>
      </c>
      <c r="AA5043" s="40" t="s">
        <v>115</v>
      </c>
      <c r="AB5043" s="40" t="s">
        <v>115</v>
      </c>
      <c r="AC5043" s="40" t="s">
        <v>115</v>
      </c>
      <c r="AI5043" s="40" t="s">
        <v>115</v>
      </c>
      <c r="AP5043" s="4" t="s">
        <v>115</v>
      </c>
    </row>
    <row r="5044" spans="1:42" x14ac:dyDescent="0.15">
      <c r="A5044" s="40" t="s">
        <v>1</v>
      </c>
      <c r="B5044" s="23">
        <v>97304103</v>
      </c>
      <c r="C5044" s="23">
        <v>73041</v>
      </c>
      <c r="D5044" s="23">
        <v>7304</v>
      </c>
      <c r="F5044" s="23" t="s">
        <v>116</v>
      </c>
      <c r="G5044" s="23">
        <v>275</v>
      </c>
      <c r="H5044" s="23" t="s">
        <v>7429</v>
      </c>
      <c r="I5044" s="23">
        <v>0</v>
      </c>
      <c r="J5044" s="40">
        <v>0</v>
      </c>
      <c r="K5044" s="40">
        <v>0</v>
      </c>
      <c r="L5044" s="40" t="s">
        <v>115</v>
      </c>
      <c r="O5044" s="40" t="s">
        <v>115</v>
      </c>
      <c r="Q5044" s="40">
        <v>163</v>
      </c>
      <c r="R5044" s="40" t="s">
        <v>115</v>
      </c>
      <c r="X5044" s="40">
        <v>97304104</v>
      </c>
      <c r="Y5044" s="40" t="s">
        <v>115</v>
      </c>
      <c r="Z5044" s="40" t="s">
        <v>115</v>
      </c>
      <c r="AA5044" s="40" t="s">
        <v>115</v>
      </c>
      <c r="AB5044" s="40" t="s">
        <v>115</v>
      </c>
      <c r="AC5044" s="40" t="s">
        <v>115</v>
      </c>
      <c r="AI5044" s="40" t="s">
        <v>115</v>
      </c>
      <c r="AP5044" s="4" t="s">
        <v>115</v>
      </c>
    </row>
    <row r="5045" spans="1:42" x14ac:dyDescent="0.15">
      <c r="A5045" s="40" t="s">
        <v>1</v>
      </c>
      <c r="B5045" s="23">
        <v>97304104</v>
      </c>
      <c r="C5045" s="23">
        <v>73041</v>
      </c>
      <c r="D5045" s="23">
        <v>7304</v>
      </c>
      <c r="F5045" s="23" t="s">
        <v>116</v>
      </c>
      <c r="G5045" s="23">
        <v>261</v>
      </c>
      <c r="H5045" s="23" t="s">
        <v>7430</v>
      </c>
      <c r="I5045" s="23">
        <v>0</v>
      </c>
      <c r="J5045" s="40">
        <v>0</v>
      </c>
      <c r="K5045" s="40">
        <v>2</v>
      </c>
      <c r="L5045" s="40" t="s">
        <v>115</v>
      </c>
      <c r="O5045" s="40">
        <v>1</v>
      </c>
      <c r="Q5045" s="40">
        <v>163</v>
      </c>
      <c r="R5045" s="40" t="s">
        <v>115</v>
      </c>
      <c r="X5045" s="40" t="s">
        <v>115</v>
      </c>
      <c r="Y5045" s="40" t="s">
        <v>115</v>
      </c>
      <c r="Z5045" s="40">
        <v>1</v>
      </c>
      <c r="AA5045" s="40" t="s">
        <v>115</v>
      </c>
      <c r="AB5045" s="40" t="s">
        <v>115</v>
      </c>
      <c r="AC5045" s="40" t="s">
        <v>115</v>
      </c>
      <c r="AI5045" s="40" t="s">
        <v>115</v>
      </c>
      <c r="AP5045" s="4" t="s">
        <v>115</v>
      </c>
    </row>
    <row r="5047" spans="1:42" x14ac:dyDescent="0.15">
      <c r="A5047" s="40" t="s">
        <v>1</v>
      </c>
      <c r="B5047" s="23">
        <v>97305101</v>
      </c>
      <c r="C5047" s="23">
        <v>73051</v>
      </c>
      <c r="D5047" s="23">
        <v>7305</v>
      </c>
      <c r="F5047" s="23" t="s">
        <v>115</v>
      </c>
      <c r="G5047" s="23" t="s">
        <v>115</v>
      </c>
      <c r="H5047" s="23" t="s">
        <v>7427</v>
      </c>
      <c r="I5047" s="23">
        <v>4</v>
      </c>
      <c r="J5047" s="40">
        <v>1</v>
      </c>
      <c r="K5047" s="40">
        <v>1</v>
      </c>
      <c r="L5047" s="40" t="s">
        <v>115</v>
      </c>
      <c r="O5047" s="40" t="s">
        <v>115</v>
      </c>
      <c r="Q5047" s="40">
        <v>163</v>
      </c>
      <c r="R5047" s="40" t="s">
        <v>115</v>
      </c>
      <c r="X5047" s="40">
        <v>97305102</v>
      </c>
      <c r="Y5047" s="40" t="s">
        <v>115</v>
      </c>
      <c r="Z5047" s="40" t="s">
        <v>115</v>
      </c>
      <c r="AA5047" s="40" t="s">
        <v>115</v>
      </c>
      <c r="AB5047" s="40" t="s">
        <v>115</v>
      </c>
      <c r="AC5047" s="40" t="s">
        <v>115</v>
      </c>
      <c r="AI5047" s="40" t="s">
        <v>115</v>
      </c>
      <c r="AP5047" s="4" t="s">
        <v>115</v>
      </c>
    </row>
    <row r="5048" spans="1:42" x14ac:dyDescent="0.15">
      <c r="A5048" s="40" t="s">
        <v>1</v>
      </c>
      <c r="B5048" s="23">
        <v>97305102</v>
      </c>
      <c r="C5048" s="23">
        <v>73051</v>
      </c>
      <c r="D5048" s="23">
        <v>7305</v>
      </c>
      <c r="F5048" s="23" t="s">
        <v>115</v>
      </c>
      <c r="G5048" s="23" t="s">
        <v>115</v>
      </c>
      <c r="H5048" s="23" t="s">
        <v>7428</v>
      </c>
      <c r="I5048" s="23">
        <v>4</v>
      </c>
      <c r="J5048" s="40">
        <v>0</v>
      </c>
      <c r="K5048" s="40">
        <v>0</v>
      </c>
      <c r="L5048" s="40" t="s">
        <v>115</v>
      </c>
      <c r="O5048" s="40" t="s">
        <v>115</v>
      </c>
      <c r="Q5048" s="40">
        <v>163</v>
      </c>
      <c r="R5048" s="40" t="s">
        <v>115</v>
      </c>
      <c r="X5048" s="40">
        <v>97305103</v>
      </c>
      <c r="Y5048" s="40" t="s">
        <v>115</v>
      </c>
      <c r="Z5048" s="40" t="s">
        <v>115</v>
      </c>
      <c r="AA5048" s="40" t="s">
        <v>115</v>
      </c>
      <c r="AB5048" s="40" t="s">
        <v>115</v>
      </c>
      <c r="AC5048" s="40" t="s">
        <v>115</v>
      </c>
      <c r="AI5048" s="40" t="s">
        <v>115</v>
      </c>
      <c r="AP5048" s="4" t="s">
        <v>115</v>
      </c>
    </row>
    <row r="5049" spans="1:42" x14ac:dyDescent="0.15">
      <c r="A5049" s="40" t="s">
        <v>1</v>
      </c>
      <c r="B5049" s="23">
        <v>97305103</v>
      </c>
      <c r="C5049" s="23">
        <v>73051</v>
      </c>
      <c r="D5049" s="23">
        <v>7305</v>
      </c>
      <c r="F5049" s="23" t="s">
        <v>116</v>
      </c>
      <c r="G5049" s="23">
        <v>275</v>
      </c>
      <c r="H5049" s="23" t="s">
        <v>7429</v>
      </c>
      <c r="I5049" s="23">
        <v>0</v>
      </c>
      <c r="J5049" s="40">
        <v>0</v>
      </c>
      <c r="K5049" s="40">
        <v>0</v>
      </c>
      <c r="L5049" s="40" t="s">
        <v>115</v>
      </c>
      <c r="O5049" s="40" t="s">
        <v>115</v>
      </c>
      <c r="Q5049" s="40">
        <v>163</v>
      </c>
      <c r="R5049" s="40" t="s">
        <v>115</v>
      </c>
      <c r="X5049" s="40">
        <v>97305104</v>
      </c>
      <c r="Y5049" s="40" t="s">
        <v>115</v>
      </c>
      <c r="Z5049" s="40" t="s">
        <v>115</v>
      </c>
      <c r="AA5049" s="40" t="s">
        <v>115</v>
      </c>
      <c r="AB5049" s="40" t="s">
        <v>115</v>
      </c>
      <c r="AC5049" s="40" t="s">
        <v>115</v>
      </c>
      <c r="AI5049" s="40" t="s">
        <v>115</v>
      </c>
      <c r="AP5049" s="4" t="s">
        <v>115</v>
      </c>
    </row>
    <row r="5050" spans="1:42" x14ac:dyDescent="0.15">
      <c r="A5050" s="40" t="s">
        <v>1</v>
      </c>
      <c r="B5050" s="23">
        <v>97305104</v>
      </c>
      <c r="C5050" s="23">
        <v>73051</v>
      </c>
      <c r="D5050" s="23">
        <v>7305</v>
      </c>
      <c r="F5050" s="23" t="s">
        <v>116</v>
      </c>
      <c r="G5050" s="23">
        <v>261</v>
      </c>
      <c r="H5050" s="23" t="s">
        <v>7430</v>
      </c>
      <c r="I5050" s="23">
        <v>0</v>
      </c>
      <c r="J5050" s="40">
        <v>0</v>
      </c>
      <c r="K5050" s="40">
        <v>2</v>
      </c>
      <c r="L5050" s="40" t="s">
        <v>115</v>
      </c>
      <c r="O5050" s="40">
        <v>1</v>
      </c>
      <c r="Q5050" s="40">
        <v>163</v>
      </c>
      <c r="R5050" s="40" t="s">
        <v>115</v>
      </c>
      <c r="X5050" s="40" t="s">
        <v>115</v>
      </c>
      <c r="Y5050" s="40" t="s">
        <v>115</v>
      </c>
      <c r="Z5050" s="40">
        <v>1</v>
      </c>
      <c r="AA5050" s="40" t="s">
        <v>115</v>
      </c>
      <c r="AB5050" s="40" t="s">
        <v>115</v>
      </c>
      <c r="AC5050" s="40" t="s">
        <v>115</v>
      </c>
      <c r="AI5050" s="40" t="s">
        <v>115</v>
      </c>
      <c r="AP5050" s="4" t="s">
        <v>115</v>
      </c>
    </row>
    <row r="5052" spans="1:42" x14ac:dyDescent="0.15">
      <c r="A5052" s="40" t="s">
        <v>1</v>
      </c>
      <c r="B5052" s="23">
        <v>97901101</v>
      </c>
      <c r="C5052" s="23">
        <v>79011</v>
      </c>
      <c r="D5052" s="23">
        <v>7901</v>
      </c>
      <c r="F5052" s="23" t="s">
        <v>115</v>
      </c>
      <c r="G5052" s="23" t="s">
        <v>115</v>
      </c>
      <c r="H5052" s="23" t="s">
        <v>7427</v>
      </c>
      <c r="I5052" s="23">
        <v>4</v>
      </c>
      <c r="J5052" s="40">
        <v>1</v>
      </c>
      <c r="K5052" s="40">
        <v>1</v>
      </c>
      <c r="L5052" s="40" t="s">
        <v>115</v>
      </c>
      <c r="O5052" s="40" t="s">
        <v>115</v>
      </c>
      <c r="Q5052" s="40">
        <v>163</v>
      </c>
      <c r="R5052" s="40" t="s">
        <v>115</v>
      </c>
      <c r="X5052" s="40">
        <v>97901102</v>
      </c>
      <c r="Y5052" s="40" t="s">
        <v>115</v>
      </c>
      <c r="Z5052" s="40" t="s">
        <v>115</v>
      </c>
      <c r="AA5052" s="40" t="s">
        <v>115</v>
      </c>
      <c r="AB5052" s="40" t="s">
        <v>115</v>
      </c>
      <c r="AC5052" s="40" t="s">
        <v>115</v>
      </c>
      <c r="AI5052" s="40" t="s">
        <v>115</v>
      </c>
      <c r="AP5052" s="4" t="s">
        <v>115</v>
      </c>
    </row>
    <row r="5053" spans="1:42" x14ac:dyDescent="0.15">
      <c r="A5053" s="40" t="s">
        <v>1</v>
      </c>
      <c r="B5053" s="23">
        <v>97901102</v>
      </c>
      <c r="C5053" s="23">
        <v>79011</v>
      </c>
      <c r="D5053" s="23">
        <v>7901</v>
      </c>
      <c r="F5053" s="23" t="s">
        <v>115</v>
      </c>
      <c r="G5053" s="23" t="s">
        <v>115</v>
      </c>
      <c r="H5053" s="23" t="s">
        <v>7428</v>
      </c>
      <c r="I5053" s="23">
        <v>4</v>
      </c>
      <c r="J5053" s="40">
        <v>0</v>
      </c>
      <c r="K5053" s="40">
        <v>0</v>
      </c>
      <c r="L5053" s="40" t="s">
        <v>115</v>
      </c>
      <c r="O5053" s="40" t="s">
        <v>115</v>
      </c>
      <c r="Q5053" s="40">
        <v>163</v>
      </c>
      <c r="R5053" s="40" t="s">
        <v>115</v>
      </c>
      <c r="X5053" s="40">
        <v>97901103</v>
      </c>
      <c r="Y5053" s="40" t="s">
        <v>115</v>
      </c>
      <c r="Z5053" s="40" t="s">
        <v>115</v>
      </c>
      <c r="AA5053" s="40" t="s">
        <v>115</v>
      </c>
      <c r="AB5053" s="40" t="s">
        <v>115</v>
      </c>
      <c r="AC5053" s="40" t="s">
        <v>115</v>
      </c>
      <c r="AI5053" s="40" t="s">
        <v>115</v>
      </c>
      <c r="AP5053" s="4" t="s">
        <v>115</v>
      </c>
    </row>
    <row r="5054" spans="1:42" x14ac:dyDescent="0.15">
      <c r="A5054" s="40" t="s">
        <v>1</v>
      </c>
      <c r="B5054" s="23">
        <v>97901103</v>
      </c>
      <c r="C5054" s="23">
        <v>79011</v>
      </c>
      <c r="D5054" s="23">
        <v>7901</v>
      </c>
      <c r="F5054" s="23" t="s">
        <v>116</v>
      </c>
      <c r="G5054" s="23">
        <v>275</v>
      </c>
      <c r="H5054" s="23" t="s">
        <v>7429</v>
      </c>
      <c r="I5054" s="23">
        <v>0</v>
      </c>
      <c r="J5054" s="40">
        <v>0</v>
      </c>
      <c r="K5054" s="40">
        <v>0</v>
      </c>
      <c r="L5054" s="40" t="s">
        <v>115</v>
      </c>
      <c r="O5054" s="40" t="s">
        <v>115</v>
      </c>
      <c r="Q5054" s="40">
        <v>163</v>
      </c>
      <c r="R5054" s="40" t="s">
        <v>115</v>
      </c>
      <c r="X5054" s="40">
        <v>97901104</v>
      </c>
      <c r="Y5054" s="40" t="s">
        <v>115</v>
      </c>
      <c r="Z5054" s="40" t="s">
        <v>115</v>
      </c>
      <c r="AA5054" s="40" t="s">
        <v>115</v>
      </c>
      <c r="AB5054" s="40" t="s">
        <v>115</v>
      </c>
      <c r="AC5054" s="40" t="s">
        <v>115</v>
      </c>
      <c r="AI5054" s="40" t="s">
        <v>115</v>
      </c>
      <c r="AP5054" s="4" t="s">
        <v>115</v>
      </c>
    </row>
    <row r="5055" spans="1:42" x14ac:dyDescent="0.15">
      <c r="A5055" s="40" t="s">
        <v>1</v>
      </c>
      <c r="B5055" s="23">
        <v>97901104</v>
      </c>
      <c r="C5055" s="23">
        <v>79011</v>
      </c>
      <c r="D5055" s="23">
        <v>7901</v>
      </c>
      <c r="F5055" s="23" t="s">
        <v>116</v>
      </c>
      <c r="G5055" s="23">
        <v>261</v>
      </c>
      <c r="H5055" s="23" t="s">
        <v>7430</v>
      </c>
      <c r="I5055" s="23">
        <v>0</v>
      </c>
      <c r="J5055" s="40">
        <v>0</v>
      </c>
      <c r="K5055" s="40">
        <v>2</v>
      </c>
      <c r="L5055" s="40" t="s">
        <v>115</v>
      </c>
      <c r="O5055" s="40">
        <v>1</v>
      </c>
      <c r="Q5055" s="40">
        <v>163</v>
      </c>
      <c r="R5055" s="40" t="s">
        <v>115</v>
      </c>
      <c r="X5055" s="40" t="s">
        <v>115</v>
      </c>
      <c r="Y5055" s="40" t="s">
        <v>115</v>
      </c>
      <c r="Z5055" s="40">
        <v>1</v>
      </c>
      <c r="AA5055" s="40" t="s">
        <v>115</v>
      </c>
      <c r="AB5055" s="40" t="s">
        <v>115</v>
      </c>
      <c r="AC5055" s="40" t="s">
        <v>115</v>
      </c>
      <c r="AI5055" s="40" t="s">
        <v>115</v>
      </c>
      <c r="AP5055" s="4" t="s">
        <v>115</v>
      </c>
    </row>
    <row r="5057" spans="1:42" x14ac:dyDescent="0.15">
      <c r="A5057" s="40" t="s">
        <v>1</v>
      </c>
      <c r="B5057" s="23">
        <v>97902101</v>
      </c>
      <c r="C5057" s="23">
        <v>79021</v>
      </c>
      <c r="D5057" s="23">
        <v>7902</v>
      </c>
      <c r="F5057" s="23" t="s">
        <v>115</v>
      </c>
      <c r="G5057" s="23" t="s">
        <v>115</v>
      </c>
      <c r="H5057" s="23" t="s">
        <v>7427</v>
      </c>
      <c r="I5057" s="23">
        <v>4</v>
      </c>
      <c r="J5057" s="40">
        <v>1</v>
      </c>
      <c r="K5057" s="40">
        <v>1</v>
      </c>
      <c r="L5057" s="40" t="s">
        <v>115</v>
      </c>
      <c r="O5057" s="40" t="s">
        <v>115</v>
      </c>
      <c r="Q5057" s="40">
        <v>163</v>
      </c>
      <c r="R5057" s="40" t="s">
        <v>115</v>
      </c>
      <c r="X5057" s="40">
        <v>97902102</v>
      </c>
      <c r="Y5057" s="40" t="s">
        <v>115</v>
      </c>
      <c r="Z5057" s="40" t="s">
        <v>115</v>
      </c>
      <c r="AA5057" s="40" t="s">
        <v>115</v>
      </c>
      <c r="AB5057" s="40" t="s">
        <v>115</v>
      </c>
      <c r="AC5057" s="40" t="s">
        <v>115</v>
      </c>
      <c r="AI5057" s="40" t="s">
        <v>115</v>
      </c>
      <c r="AP5057" s="4" t="s">
        <v>115</v>
      </c>
    </row>
    <row r="5058" spans="1:42" x14ac:dyDescent="0.15">
      <c r="A5058" s="40" t="s">
        <v>1</v>
      </c>
      <c r="B5058" s="23">
        <v>97902102</v>
      </c>
      <c r="C5058" s="23">
        <v>79021</v>
      </c>
      <c r="D5058" s="23">
        <v>7902</v>
      </c>
      <c r="F5058" s="23" t="s">
        <v>115</v>
      </c>
      <c r="G5058" s="23" t="s">
        <v>115</v>
      </c>
      <c r="H5058" s="23" t="s">
        <v>7428</v>
      </c>
      <c r="I5058" s="23">
        <v>4</v>
      </c>
      <c r="J5058" s="40">
        <v>0</v>
      </c>
      <c r="K5058" s="40">
        <v>0</v>
      </c>
      <c r="L5058" s="40" t="s">
        <v>115</v>
      </c>
      <c r="O5058" s="40" t="s">
        <v>115</v>
      </c>
      <c r="Q5058" s="40">
        <v>163</v>
      </c>
      <c r="R5058" s="40" t="s">
        <v>115</v>
      </c>
      <c r="X5058" s="40">
        <v>97902103</v>
      </c>
      <c r="Y5058" s="40" t="s">
        <v>115</v>
      </c>
      <c r="Z5058" s="40" t="s">
        <v>115</v>
      </c>
      <c r="AA5058" s="40" t="s">
        <v>115</v>
      </c>
      <c r="AB5058" s="40" t="s">
        <v>115</v>
      </c>
      <c r="AC5058" s="40" t="s">
        <v>115</v>
      </c>
      <c r="AI5058" s="40" t="s">
        <v>115</v>
      </c>
      <c r="AP5058" s="4" t="s">
        <v>115</v>
      </c>
    </row>
    <row r="5059" spans="1:42" x14ac:dyDescent="0.15">
      <c r="A5059" s="40" t="s">
        <v>1</v>
      </c>
      <c r="B5059" s="23">
        <v>97902103</v>
      </c>
      <c r="C5059" s="23">
        <v>79021</v>
      </c>
      <c r="D5059" s="23">
        <v>7902</v>
      </c>
      <c r="F5059" s="23" t="s">
        <v>116</v>
      </c>
      <c r="G5059" s="23">
        <v>275</v>
      </c>
      <c r="H5059" s="23" t="s">
        <v>7429</v>
      </c>
      <c r="I5059" s="23">
        <v>0</v>
      </c>
      <c r="J5059" s="40">
        <v>0</v>
      </c>
      <c r="K5059" s="40">
        <v>0</v>
      </c>
      <c r="L5059" s="40" t="s">
        <v>115</v>
      </c>
      <c r="O5059" s="40" t="s">
        <v>115</v>
      </c>
      <c r="Q5059" s="40">
        <v>163</v>
      </c>
      <c r="R5059" s="40" t="s">
        <v>115</v>
      </c>
      <c r="X5059" s="40">
        <v>97902104</v>
      </c>
      <c r="Y5059" s="40" t="s">
        <v>115</v>
      </c>
      <c r="Z5059" s="40" t="s">
        <v>115</v>
      </c>
      <c r="AA5059" s="40" t="s">
        <v>115</v>
      </c>
      <c r="AB5059" s="40" t="s">
        <v>115</v>
      </c>
      <c r="AC5059" s="40" t="s">
        <v>115</v>
      </c>
      <c r="AI5059" s="40" t="s">
        <v>115</v>
      </c>
      <c r="AP5059" s="4" t="s">
        <v>115</v>
      </c>
    </row>
    <row r="5060" spans="1:42" x14ac:dyDescent="0.15">
      <c r="A5060" s="40" t="s">
        <v>1</v>
      </c>
      <c r="B5060" s="23">
        <v>97902104</v>
      </c>
      <c r="C5060" s="23">
        <v>79021</v>
      </c>
      <c r="D5060" s="23">
        <v>7902</v>
      </c>
      <c r="F5060" s="23" t="s">
        <v>116</v>
      </c>
      <c r="G5060" s="23">
        <v>261</v>
      </c>
      <c r="H5060" s="23" t="s">
        <v>7430</v>
      </c>
      <c r="I5060" s="23">
        <v>0</v>
      </c>
      <c r="J5060" s="40">
        <v>0</v>
      </c>
      <c r="K5060" s="40">
        <v>2</v>
      </c>
      <c r="L5060" s="40" t="s">
        <v>115</v>
      </c>
      <c r="O5060" s="40">
        <v>1</v>
      </c>
      <c r="Q5060" s="40">
        <v>163</v>
      </c>
      <c r="R5060" s="40" t="s">
        <v>115</v>
      </c>
      <c r="X5060" s="40" t="s">
        <v>115</v>
      </c>
      <c r="Y5060" s="40" t="s">
        <v>115</v>
      </c>
      <c r="Z5060" s="40">
        <v>1</v>
      </c>
      <c r="AA5060" s="40" t="s">
        <v>115</v>
      </c>
      <c r="AB5060" s="40" t="s">
        <v>115</v>
      </c>
      <c r="AC5060" s="40" t="s">
        <v>115</v>
      </c>
      <c r="AI5060" s="40" t="s">
        <v>115</v>
      </c>
      <c r="AP5060" s="4" t="s">
        <v>115</v>
      </c>
    </row>
    <row r="5062" spans="1:42" x14ac:dyDescent="0.15">
      <c r="A5062" s="40" t="s">
        <v>1</v>
      </c>
      <c r="B5062" s="23">
        <v>97903101</v>
      </c>
      <c r="C5062" s="23">
        <v>79031</v>
      </c>
      <c r="D5062" s="23">
        <v>7903</v>
      </c>
      <c r="F5062" s="23" t="s">
        <v>115</v>
      </c>
      <c r="G5062" s="23" t="s">
        <v>115</v>
      </c>
      <c r="H5062" s="23" t="s">
        <v>7427</v>
      </c>
      <c r="I5062" s="23">
        <v>4</v>
      </c>
      <c r="J5062" s="40">
        <v>1</v>
      </c>
      <c r="K5062" s="40">
        <v>1</v>
      </c>
      <c r="L5062" s="40" t="s">
        <v>115</v>
      </c>
      <c r="O5062" s="40" t="s">
        <v>115</v>
      </c>
      <c r="Q5062" s="40">
        <v>163</v>
      </c>
      <c r="R5062" s="40" t="s">
        <v>115</v>
      </c>
      <c r="X5062" s="40">
        <v>97903102</v>
      </c>
      <c r="Y5062" s="40" t="s">
        <v>115</v>
      </c>
      <c r="Z5062" s="40" t="s">
        <v>115</v>
      </c>
      <c r="AA5062" s="40" t="s">
        <v>115</v>
      </c>
      <c r="AB5062" s="40" t="s">
        <v>115</v>
      </c>
      <c r="AC5062" s="40" t="s">
        <v>115</v>
      </c>
      <c r="AI5062" s="40" t="s">
        <v>115</v>
      </c>
      <c r="AP5062" s="4" t="s">
        <v>115</v>
      </c>
    </row>
    <row r="5063" spans="1:42" x14ac:dyDescent="0.15">
      <c r="A5063" s="40" t="s">
        <v>1</v>
      </c>
      <c r="B5063" s="23">
        <v>97903102</v>
      </c>
      <c r="C5063" s="23">
        <v>79031</v>
      </c>
      <c r="D5063" s="23">
        <v>7903</v>
      </c>
      <c r="F5063" s="23" t="s">
        <v>115</v>
      </c>
      <c r="G5063" s="23" t="s">
        <v>115</v>
      </c>
      <c r="H5063" s="23" t="s">
        <v>7428</v>
      </c>
      <c r="I5063" s="23">
        <v>4</v>
      </c>
      <c r="J5063" s="40">
        <v>0</v>
      </c>
      <c r="K5063" s="40">
        <v>0</v>
      </c>
      <c r="L5063" s="40" t="s">
        <v>115</v>
      </c>
      <c r="O5063" s="40" t="s">
        <v>115</v>
      </c>
      <c r="Q5063" s="40">
        <v>163</v>
      </c>
      <c r="R5063" s="40" t="s">
        <v>115</v>
      </c>
      <c r="X5063" s="40">
        <v>97903103</v>
      </c>
      <c r="Y5063" s="40" t="s">
        <v>115</v>
      </c>
      <c r="Z5063" s="40" t="s">
        <v>115</v>
      </c>
      <c r="AA5063" s="40" t="s">
        <v>115</v>
      </c>
      <c r="AB5063" s="40" t="s">
        <v>115</v>
      </c>
      <c r="AC5063" s="40" t="s">
        <v>115</v>
      </c>
      <c r="AI5063" s="40" t="s">
        <v>115</v>
      </c>
      <c r="AP5063" s="4" t="s">
        <v>115</v>
      </c>
    </row>
    <row r="5064" spans="1:42" x14ac:dyDescent="0.15">
      <c r="A5064" s="40" t="s">
        <v>1</v>
      </c>
      <c r="B5064" s="23">
        <v>97903103</v>
      </c>
      <c r="C5064" s="23">
        <v>79031</v>
      </c>
      <c r="D5064" s="23">
        <v>7903</v>
      </c>
      <c r="F5064" s="23" t="s">
        <v>116</v>
      </c>
      <c r="G5064" s="23">
        <v>275</v>
      </c>
      <c r="H5064" s="23" t="s">
        <v>7429</v>
      </c>
      <c r="I5064" s="23">
        <v>0</v>
      </c>
      <c r="J5064" s="40">
        <v>0</v>
      </c>
      <c r="K5064" s="40">
        <v>0</v>
      </c>
      <c r="L5064" s="40" t="s">
        <v>115</v>
      </c>
      <c r="O5064" s="40" t="s">
        <v>115</v>
      </c>
      <c r="Q5064" s="40">
        <v>163</v>
      </c>
      <c r="R5064" s="40" t="s">
        <v>115</v>
      </c>
      <c r="X5064" s="40">
        <v>97903104</v>
      </c>
      <c r="Y5064" s="40" t="s">
        <v>115</v>
      </c>
      <c r="Z5064" s="40" t="s">
        <v>115</v>
      </c>
      <c r="AA5064" s="40" t="s">
        <v>115</v>
      </c>
      <c r="AB5064" s="40" t="s">
        <v>115</v>
      </c>
      <c r="AC5064" s="40" t="s">
        <v>115</v>
      </c>
      <c r="AI5064" s="40" t="s">
        <v>115</v>
      </c>
      <c r="AP5064" s="4" t="s">
        <v>115</v>
      </c>
    </row>
    <row r="5065" spans="1:42" x14ac:dyDescent="0.15">
      <c r="A5065" s="40" t="s">
        <v>1</v>
      </c>
      <c r="B5065" s="23">
        <v>97903104</v>
      </c>
      <c r="C5065" s="23">
        <v>79031</v>
      </c>
      <c r="D5065" s="23">
        <v>7903</v>
      </c>
      <c r="F5065" s="23" t="s">
        <v>116</v>
      </c>
      <c r="G5065" s="23">
        <v>261</v>
      </c>
      <c r="H5065" s="23" t="s">
        <v>7430</v>
      </c>
      <c r="I5065" s="23">
        <v>0</v>
      </c>
      <c r="J5065" s="40">
        <v>0</v>
      </c>
      <c r="K5065" s="40">
        <v>2</v>
      </c>
      <c r="L5065" s="40" t="s">
        <v>115</v>
      </c>
      <c r="O5065" s="40">
        <v>1</v>
      </c>
      <c r="Q5065" s="40">
        <v>163</v>
      </c>
      <c r="R5065" s="40" t="s">
        <v>115</v>
      </c>
      <c r="X5065" s="40" t="s">
        <v>115</v>
      </c>
      <c r="Y5065" s="40" t="s">
        <v>115</v>
      </c>
      <c r="Z5065" s="40">
        <v>1</v>
      </c>
      <c r="AA5065" s="40" t="s">
        <v>115</v>
      </c>
      <c r="AB5065" s="40" t="s">
        <v>115</v>
      </c>
      <c r="AC5065" s="40" t="s">
        <v>115</v>
      </c>
      <c r="AI5065" s="40" t="s">
        <v>115</v>
      </c>
      <c r="AP5065" s="4" t="s">
        <v>115</v>
      </c>
    </row>
    <row r="5067" spans="1:42" x14ac:dyDescent="0.15">
      <c r="A5067" s="40" t="s">
        <v>1</v>
      </c>
      <c r="B5067" s="23">
        <v>97904101</v>
      </c>
      <c r="C5067" s="23">
        <v>79041</v>
      </c>
      <c r="D5067" s="23">
        <v>7904</v>
      </c>
      <c r="F5067" s="23" t="s">
        <v>115</v>
      </c>
      <c r="G5067" s="23" t="s">
        <v>115</v>
      </c>
      <c r="H5067" s="23" t="s">
        <v>7427</v>
      </c>
      <c r="I5067" s="23">
        <v>4</v>
      </c>
      <c r="J5067" s="40">
        <v>1</v>
      </c>
      <c r="K5067" s="40">
        <v>1</v>
      </c>
      <c r="L5067" s="40" t="s">
        <v>115</v>
      </c>
      <c r="O5067" s="40" t="s">
        <v>115</v>
      </c>
      <c r="Q5067" s="40">
        <v>163</v>
      </c>
      <c r="R5067" s="40" t="s">
        <v>115</v>
      </c>
      <c r="X5067" s="40">
        <v>97904102</v>
      </c>
      <c r="Y5067" s="40" t="s">
        <v>115</v>
      </c>
      <c r="Z5067" s="40" t="s">
        <v>115</v>
      </c>
      <c r="AA5067" s="40" t="s">
        <v>115</v>
      </c>
      <c r="AB5067" s="40" t="s">
        <v>115</v>
      </c>
      <c r="AC5067" s="40" t="s">
        <v>115</v>
      </c>
      <c r="AI5067" s="40" t="s">
        <v>115</v>
      </c>
      <c r="AP5067" s="4" t="s">
        <v>115</v>
      </c>
    </row>
    <row r="5068" spans="1:42" x14ac:dyDescent="0.15">
      <c r="A5068" s="40" t="s">
        <v>1</v>
      </c>
      <c r="B5068" s="23">
        <v>97904102</v>
      </c>
      <c r="C5068" s="23">
        <v>79041</v>
      </c>
      <c r="D5068" s="23">
        <v>7904</v>
      </c>
      <c r="F5068" s="23" t="s">
        <v>115</v>
      </c>
      <c r="G5068" s="23" t="s">
        <v>115</v>
      </c>
      <c r="H5068" s="23" t="s">
        <v>7428</v>
      </c>
      <c r="I5068" s="23">
        <v>4</v>
      </c>
      <c r="J5068" s="40">
        <v>0</v>
      </c>
      <c r="K5068" s="40">
        <v>0</v>
      </c>
      <c r="L5068" s="40" t="s">
        <v>115</v>
      </c>
      <c r="O5068" s="40" t="s">
        <v>115</v>
      </c>
      <c r="Q5068" s="40">
        <v>163</v>
      </c>
      <c r="R5068" s="40" t="s">
        <v>115</v>
      </c>
      <c r="X5068" s="40">
        <v>97904103</v>
      </c>
      <c r="Y5068" s="40" t="s">
        <v>115</v>
      </c>
      <c r="Z5068" s="40" t="s">
        <v>115</v>
      </c>
      <c r="AA5068" s="40" t="s">
        <v>115</v>
      </c>
      <c r="AB5068" s="40" t="s">
        <v>115</v>
      </c>
      <c r="AC5068" s="40" t="s">
        <v>115</v>
      </c>
      <c r="AI5068" s="40" t="s">
        <v>115</v>
      </c>
      <c r="AP5068" s="4" t="s">
        <v>115</v>
      </c>
    </row>
    <row r="5069" spans="1:42" x14ac:dyDescent="0.15">
      <c r="A5069" s="40" t="s">
        <v>1</v>
      </c>
      <c r="B5069" s="23">
        <v>97904103</v>
      </c>
      <c r="C5069" s="23">
        <v>79041</v>
      </c>
      <c r="D5069" s="23">
        <v>7904</v>
      </c>
      <c r="F5069" s="23" t="s">
        <v>116</v>
      </c>
      <c r="G5069" s="23">
        <v>275</v>
      </c>
      <c r="H5069" s="23" t="s">
        <v>7429</v>
      </c>
      <c r="I5069" s="23">
        <v>0</v>
      </c>
      <c r="J5069" s="40">
        <v>0</v>
      </c>
      <c r="K5069" s="40">
        <v>0</v>
      </c>
      <c r="L5069" s="40" t="s">
        <v>115</v>
      </c>
      <c r="O5069" s="40" t="s">
        <v>115</v>
      </c>
      <c r="Q5069" s="40">
        <v>163</v>
      </c>
      <c r="R5069" s="40" t="s">
        <v>115</v>
      </c>
      <c r="X5069" s="40">
        <v>97904104</v>
      </c>
      <c r="Y5069" s="40" t="s">
        <v>115</v>
      </c>
      <c r="Z5069" s="40" t="s">
        <v>115</v>
      </c>
      <c r="AA5069" s="40" t="s">
        <v>115</v>
      </c>
      <c r="AB5069" s="40" t="s">
        <v>115</v>
      </c>
      <c r="AC5069" s="40" t="s">
        <v>115</v>
      </c>
      <c r="AI5069" s="40" t="s">
        <v>115</v>
      </c>
      <c r="AP5069" s="4" t="s">
        <v>115</v>
      </c>
    </row>
    <row r="5070" spans="1:42" x14ac:dyDescent="0.15">
      <c r="A5070" s="40" t="s">
        <v>1</v>
      </c>
      <c r="B5070" s="23">
        <v>97904104</v>
      </c>
      <c r="C5070" s="23">
        <v>79041</v>
      </c>
      <c r="D5070" s="23">
        <v>7904</v>
      </c>
      <c r="F5070" s="23" t="s">
        <v>116</v>
      </c>
      <c r="G5070" s="23">
        <v>261</v>
      </c>
      <c r="H5070" s="23" t="s">
        <v>7430</v>
      </c>
      <c r="I5070" s="23">
        <v>0</v>
      </c>
      <c r="J5070" s="40">
        <v>0</v>
      </c>
      <c r="K5070" s="40">
        <v>2</v>
      </c>
      <c r="L5070" s="40" t="s">
        <v>115</v>
      </c>
      <c r="O5070" s="40">
        <v>1</v>
      </c>
      <c r="Q5070" s="40">
        <v>163</v>
      </c>
      <c r="R5070" s="40" t="s">
        <v>115</v>
      </c>
      <c r="X5070" s="40" t="s">
        <v>115</v>
      </c>
      <c r="Y5070" s="40" t="s">
        <v>115</v>
      </c>
      <c r="Z5070" s="40">
        <v>1</v>
      </c>
      <c r="AA5070" s="40" t="s">
        <v>115</v>
      </c>
      <c r="AB5070" s="40" t="s">
        <v>115</v>
      </c>
      <c r="AC5070" s="40" t="s">
        <v>115</v>
      </c>
      <c r="AI5070" s="40" t="s">
        <v>115</v>
      </c>
      <c r="AP5070" s="4" t="s">
        <v>115</v>
      </c>
    </row>
    <row r="5072" spans="1:42" x14ac:dyDescent="0.15">
      <c r="A5072" s="40" t="s">
        <v>1</v>
      </c>
      <c r="B5072" s="23">
        <v>97905101</v>
      </c>
      <c r="C5072" s="23">
        <v>79051</v>
      </c>
      <c r="D5072" s="23">
        <v>7905</v>
      </c>
      <c r="F5072" s="23" t="s">
        <v>115</v>
      </c>
      <c r="G5072" s="23" t="s">
        <v>115</v>
      </c>
      <c r="H5072" s="23" t="s">
        <v>7427</v>
      </c>
      <c r="I5072" s="23">
        <v>4</v>
      </c>
      <c r="J5072" s="40">
        <v>1</v>
      </c>
      <c r="K5072" s="40">
        <v>1</v>
      </c>
      <c r="L5072" s="40" t="s">
        <v>115</v>
      </c>
      <c r="O5072" s="40" t="s">
        <v>115</v>
      </c>
      <c r="Q5072" s="40">
        <v>163</v>
      </c>
      <c r="R5072" s="40" t="s">
        <v>115</v>
      </c>
      <c r="X5072" s="40">
        <v>97905102</v>
      </c>
      <c r="Y5072" s="40" t="s">
        <v>115</v>
      </c>
      <c r="Z5072" s="40" t="s">
        <v>115</v>
      </c>
      <c r="AA5072" s="40" t="s">
        <v>115</v>
      </c>
      <c r="AB5072" s="40" t="s">
        <v>115</v>
      </c>
      <c r="AC5072" s="40" t="s">
        <v>115</v>
      </c>
      <c r="AI5072" s="40" t="s">
        <v>115</v>
      </c>
      <c r="AP5072" s="4" t="s">
        <v>115</v>
      </c>
    </row>
    <row r="5073" spans="1:42" x14ac:dyDescent="0.15">
      <c r="A5073" s="40" t="s">
        <v>1</v>
      </c>
      <c r="B5073" s="23">
        <v>97905102</v>
      </c>
      <c r="C5073" s="23">
        <v>79051</v>
      </c>
      <c r="D5073" s="23">
        <v>7905</v>
      </c>
      <c r="F5073" s="23" t="s">
        <v>115</v>
      </c>
      <c r="G5073" s="23" t="s">
        <v>115</v>
      </c>
      <c r="H5073" s="23" t="s">
        <v>7428</v>
      </c>
      <c r="I5073" s="23">
        <v>4</v>
      </c>
      <c r="J5073" s="40">
        <v>0</v>
      </c>
      <c r="K5073" s="40">
        <v>0</v>
      </c>
      <c r="L5073" s="40" t="s">
        <v>115</v>
      </c>
      <c r="O5073" s="40" t="s">
        <v>115</v>
      </c>
      <c r="Q5073" s="40">
        <v>163</v>
      </c>
      <c r="R5073" s="40" t="s">
        <v>115</v>
      </c>
      <c r="X5073" s="40">
        <v>97905103</v>
      </c>
      <c r="Y5073" s="40" t="s">
        <v>115</v>
      </c>
      <c r="Z5073" s="40" t="s">
        <v>115</v>
      </c>
      <c r="AA5073" s="40" t="s">
        <v>115</v>
      </c>
      <c r="AB5073" s="40" t="s">
        <v>115</v>
      </c>
      <c r="AC5073" s="40" t="s">
        <v>115</v>
      </c>
      <c r="AI5073" s="40" t="s">
        <v>115</v>
      </c>
      <c r="AP5073" s="4" t="s">
        <v>115</v>
      </c>
    </row>
    <row r="5074" spans="1:42" x14ac:dyDescent="0.15">
      <c r="A5074" s="40" t="s">
        <v>1</v>
      </c>
      <c r="B5074" s="23">
        <v>97905103</v>
      </c>
      <c r="C5074" s="23">
        <v>79051</v>
      </c>
      <c r="D5074" s="23">
        <v>7905</v>
      </c>
      <c r="F5074" s="23" t="s">
        <v>116</v>
      </c>
      <c r="G5074" s="23">
        <v>275</v>
      </c>
      <c r="H5074" s="23" t="s">
        <v>7429</v>
      </c>
      <c r="I5074" s="23">
        <v>0</v>
      </c>
      <c r="J5074" s="40">
        <v>0</v>
      </c>
      <c r="K5074" s="40">
        <v>0</v>
      </c>
      <c r="L5074" s="40" t="s">
        <v>115</v>
      </c>
      <c r="O5074" s="40" t="s">
        <v>115</v>
      </c>
      <c r="Q5074" s="40">
        <v>163</v>
      </c>
      <c r="R5074" s="40" t="s">
        <v>115</v>
      </c>
      <c r="X5074" s="40">
        <v>97905104</v>
      </c>
      <c r="Y5074" s="40" t="s">
        <v>115</v>
      </c>
      <c r="Z5074" s="40" t="s">
        <v>115</v>
      </c>
      <c r="AA5074" s="40" t="s">
        <v>115</v>
      </c>
      <c r="AB5074" s="40" t="s">
        <v>115</v>
      </c>
      <c r="AC5074" s="40" t="s">
        <v>115</v>
      </c>
      <c r="AI5074" s="40" t="s">
        <v>115</v>
      </c>
      <c r="AP5074" s="4" t="s">
        <v>115</v>
      </c>
    </row>
    <row r="5075" spans="1:42" x14ac:dyDescent="0.15">
      <c r="A5075" s="40" t="s">
        <v>1</v>
      </c>
      <c r="B5075" s="23">
        <v>97905104</v>
      </c>
      <c r="C5075" s="23">
        <v>79051</v>
      </c>
      <c r="D5075" s="23">
        <v>7905</v>
      </c>
      <c r="F5075" s="23" t="s">
        <v>116</v>
      </c>
      <c r="G5075" s="23">
        <v>261</v>
      </c>
      <c r="H5075" s="23" t="s">
        <v>7430</v>
      </c>
      <c r="I5075" s="23">
        <v>0</v>
      </c>
      <c r="J5075" s="40">
        <v>0</v>
      </c>
      <c r="K5075" s="40">
        <v>2</v>
      </c>
      <c r="L5075" s="40" t="s">
        <v>115</v>
      </c>
      <c r="O5075" s="40">
        <v>1</v>
      </c>
      <c r="Q5075" s="40">
        <v>163</v>
      </c>
      <c r="R5075" s="40" t="s">
        <v>115</v>
      </c>
      <c r="X5075" s="40" t="s">
        <v>115</v>
      </c>
      <c r="Y5075" s="40" t="s">
        <v>115</v>
      </c>
      <c r="Z5075" s="40">
        <v>1</v>
      </c>
      <c r="AA5075" s="40" t="s">
        <v>115</v>
      </c>
      <c r="AB5075" s="40" t="s">
        <v>115</v>
      </c>
      <c r="AC5075" s="40" t="s">
        <v>115</v>
      </c>
      <c r="AI5075" s="40" t="s">
        <v>115</v>
      </c>
      <c r="AP5075" s="4" t="s">
        <v>115</v>
      </c>
    </row>
  </sheetData>
  <phoneticPr fontId="32" type="noConversion"/>
  <conditionalFormatting sqref="C488:C566">
    <cfRule type="cellIs" dxfId="21" priority="1" operator="lessThan">
      <formula>100</formula>
    </cfRule>
  </conditionalFormatting>
  <conditionalFormatting sqref="B488:B566">
    <cfRule type="cellIs" dxfId="20" priority="6" operator="lessThan">
      <formula>90000000</formula>
    </cfRule>
  </conditionalFormatting>
  <pageMargins left="0.69930555555555596" right="0.69930555555555596" top="0.75" bottom="0.75" header="0.3" footer="0.3"/>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U1217"/>
  <sheetViews>
    <sheetView tabSelected="1" zoomScaleNormal="100" workbookViewId="0">
      <pane ySplit="9" topLeftCell="A1162" activePane="bottomLeft" state="frozen"/>
      <selection pane="bottomLeft" activeCell="K1168" sqref="K1168"/>
    </sheetView>
  </sheetViews>
  <sheetFormatPr defaultColWidth="9" defaultRowHeight="13.5" x14ac:dyDescent="0.15"/>
  <cols>
    <col min="1" max="1" width="9" style="4" customWidth="1"/>
    <col min="2" max="2" width="9.125" style="6" customWidth="1"/>
    <col min="3" max="3" width="6.75" style="4" bestFit="1" customWidth="1"/>
    <col min="4" max="4" width="11.25" style="4" bestFit="1" customWidth="1"/>
    <col min="5" max="5" width="11.125" style="4" bestFit="1" customWidth="1"/>
    <col min="6" max="6" width="12.375" style="4" bestFit="1" customWidth="1"/>
    <col min="7" max="7" width="10.5" style="4" customWidth="1"/>
    <col min="8" max="8" width="18.75" style="4" bestFit="1" customWidth="1"/>
    <col min="9" max="9" width="15.375" style="4" bestFit="1" customWidth="1"/>
    <col min="10" max="10" width="12.25" style="4" bestFit="1" customWidth="1"/>
    <col min="11" max="11" width="12.125" style="4" bestFit="1" customWidth="1"/>
    <col min="12" max="12" width="11.5" style="4" bestFit="1" customWidth="1"/>
    <col min="13" max="13" width="9" style="4" bestFit="1" customWidth="1"/>
    <col min="14" max="14" width="12.75" style="4" bestFit="1" customWidth="1"/>
    <col min="15" max="15" width="9.5" style="4" bestFit="1" customWidth="1"/>
    <col min="16" max="16" width="7.375" style="4" bestFit="1" customWidth="1"/>
    <col min="17" max="17" width="12.75" style="4" bestFit="1" customWidth="1"/>
    <col min="18" max="18" width="9" style="4"/>
    <col min="19" max="19" width="16.625" style="4" customWidth="1"/>
    <col min="20" max="20" width="19.5" style="4" customWidth="1"/>
    <col min="21" max="21" width="16.625" style="4" customWidth="1"/>
    <col min="22" max="16384" width="9" style="4"/>
  </cols>
  <sheetData>
    <row r="1" spans="1:21" s="1" customFormat="1" x14ac:dyDescent="0.15">
      <c r="A1" s="27" t="s">
        <v>1885</v>
      </c>
      <c r="B1" s="27" t="s">
        <v>143</v>
      </c>
      <c r="C1" s="27" t="s">
        <v>143</v>
      </c>
      <c r="D1" s="27" t="s">
        <v>143</v>
      </c>
      <c r="E1" s="27" t="s">
        <v>143</v>
      </c>
      <c r="F1" s="27" t="s">
        <v>1886</v>
      </c>
      <c r="G1" s="28" t="s">
        <v>1887</v>
      </c>
      <c r="H1" s="28" t="s">
        <v>1887</v>
      </c>
      <c r="I1" s="28" t="s">
        <v>1888</v>
      </c>
      <c r="J1" s="28" t="s">
        <v>1886</v>
      </c>
      <c r="K1" s="27" t="s">
        <v>1887</v>
      </c>
      <c r="L1" s="27" t="s">
        <v>1886</v>
      </c>
      <c r="M1" s="28" t="s">
        <v>1887</v>
      </c>
      <c r="N1" s="28"/>
      <c r="O1" s="28"/>
    </row>
    <row r="2" spans="1:21" s="1" customFormat="1" x14ac:dyDescent="0.15">
      <c r="A2" s="27" t="s">
        <v>1889</v>
      </c>
      <c r="B2" s="27" t="s">
        <v>1887</v>
      </c>
      <c r="C2" s="27" t="s">
        <v>1887</v>
      </c>
      <c r="D2" s="27" t="s">
        <v>1887</v>
      </c>
      <c r="E2" s="27" t="s">
        <v>1887</v>
      </c>
      <c r="F2" s="27" t="s">
        <v>1887</v>
      </c>
      <c r="G2" s="28" t="s">
        <v>143</v>
      </c>
      <c r="H2" s="28" t="s">
        <v>1887</v>
      </c>
      <c r="I2" s="28" t="s">
        <v>1887</v>
      </c>
      <c r="J2" s="28" t="s">
        <v>1886</v>
      </c>
      <c r="K2" s="27" t="s">
        <v>1887</v>
      </c>
      <c r="L2" s="27" t="s">
        <v>1886</v>
      </c>
      <c r="M2" s="28" t="s">
        <v>1887</v>
      </c>
      <c r="N2" s="28" t="s">
        <v>1887</v>
      </c>
      <c r="O2" s="28" t="s">
        <v>1887</v>
      </c>
      <c r="P2" s="28" t="s">
        <v>1887</v>
      </c>
      <c r="Q2" s="1" t="s">
        <v>1</v>
      </c>
      <c r="R2" s="1" t="s">
        <v>1</v>
      </c>
      <c r="S2" s="27" t="s">
        <v>247</v>
      </c>
      <c r="T2" s="28" t="s">
        <v>247</v>
      </c>
      <c r="U2" s="27" t="s">
        <v>143</v>
      </c>
    </row>
    <row r="3" spans="1:21" s="2" customFormat="1" ht="14.25" x14ac:dyDescent="0.15">
      <c r="A3" s="21" t="s">
        <v>1</v>
      </c>
      <c r="B3" s="21" t="s">
        <v>1890</v>
      </c>
      <c r="C3" s="21" t="s">
        <v>1890</v>
      </c>
      <c r="D3" s="21" t="s">
        <v>1890</v>
      </c>
      <c r="E3" s="21" t="s">
        <v>1890</v>
      </c>
      <c r="F3" s="21" t="s">
        <v>1890</v>
      </c>
      <c r="G3" s="21" t="s">
        <v>1891</v>
      </c>
      <c r="H3" s="21" t="s">
        <v>1891</v>
      </c>
      <c r="I3" s="21" t="s">
        <v>1892</v>
      </c>
      <c r="J3" s="21" t="s">
        <v>1890</v>
      </c>
      <c r="K3" s="21" t="s">
        <v>1890</v>
      </c>
      <c r="L3" s="21" t="s">
        <v>1890</v>
      </c>
      <c r="M3" s="21" t="s">
        <v>1891</v>
      </c>
      <c r="N3" s="21" t="s">
        <v>1890</v>
      </c>
      <c r="O3" s="21" t="s">
        <v>1890</v>
      </c>
      <c r="P3" s="21" t="s">
        <v>1891</v>
      </c>
      <c r="Q3" s="21" t="s">
        <v>1890</v>
      </c>
      <c r="R3" s="21" t="s">
        <v>1890</v>
      </c>
      <c r="S3" s="21" t="s">
        <v>1890</v>
      </c>
      <c r="T3" s="21" t="s">
        <v>1955</v>
      </c>
      <c r="U3" s="21" t="s">
        <v>1890</v>
      </c>
    </row>
    <row r="4" spans="1:21" s="2" customFormat="1" ht="14.25" x14ac:dyDescent="0.15">
      <c r="A4" s="21"/>
      <c r="B4" s="21" t="s">
        <v>1893</v>
      </c>
      <c r="C4" s="21" t="s">
        <v>1894</v>
      </c>
      <c r="D4" s="21" t="s">
        <v>1895</v>
      </c>
      <c r="E4" s="21" t="s">
        <v>1896</v>
      </c>
      <c r="F4" s="21" t="s">
        <v>1897</v>
      </c>
      <c r="G4" s="21" t="s">
        <v>1898</v>
      </c>
      <c r="H4" s="21" t="s">
        <v>1899</v>
      </c>
      <c r="I4" s="21" t="s">
        <v>1900</v>
      </c>
      <c r="J4" s="21" t="s">
        <v>1901</v>
      </c>
      <c r="K4" s="21" t="s">
        <v>1902</v>
      </c>
      <c r="L4" s="21" t="s">
        <v>1903</v>
      </c>
      <c r="M4" s="21" t="s">
        <v>1904</v>
      </c>
      <c r="N4" s="21" t="s">
        <v>1905</v>
      </c>
      <c r="O4" s="21" t="s">
        <v>1906</v>
      </c>
      <c r="P4" s="21" t="s">
        <v>1907</v>
      </c>
      <c r="Q4" s="21" t="s">
        <v>1908</v>
      </c>
      <c r="R4" s="21" t="s">
        <v>1946</v>
      </c>
      <c r="S4" s="21" t="s">
        <v>1948</v>
      </c>
      <c r="T4" s="21" t="s">
        <v>1949</v>
      </c>
      <c r="U4" s="21" t="s">
        <v>1952</v>
      </c>
    </row>
    <row r="5" spans="1:21" s="2" customFormat="1" ht="14.25" x14ac:dyDescent="0.15">
      <c r="A5" s="21"/>
      <c r="B5" s="21" t="s">
        <v>1909</v>
      </c>
      <c r="C5" s="21" t="s">
        <v>1909</v>
      </c>
      <c r="D5" s="21" t="s">
        <v>1909</v>
      </c>
      <c r="E5" s="21" t="s">
        <v>1909</v>
      </c>
      <c r="F5" s="21" t="str">
        <f>IF(F3="","",IF(F3="INT","i",IF(F3="FLOAT","f",IF(F3="STRING","s"))))</f>
        <v>i</v>
      </c>
      <c r="G5" s="21" t="str">
        <f>IF(G3="","",IF(G3="INT","i",IF(G3="FLOAT","f",IF(G3="STRING","s"))))</f>
        <v>s</v>
      </c>
      <c r="H5" s="21" t="str">
        <f>IF(H3="","",IF(H3="INT","i",IF(H3="FLOAT","f",IF(H3="STRING","s"))))</f>
        <v>s</v>
      </c>
      <c r="I5" s="21" t="str">
        <f>IF(I3="","",IF(I3="INT","i",IF(I3="FLOAT","f",IF(I3="STRING","s"))))</f>
        <v>s</v>
      </c>
      <c r="J5" s="21" t="s">
        <v>1909</v>
      </c>
      <c r="K5" s="21" t="s">
        <v>1909</v>
      </c>
      <c r="L5" s="21" t="s">
        <v>1909</v>
      </c>
      <c r="M5" s="21" t="str">
        <f>IF(M3="","",IF(M3="INT","i",IF(M3="FLOAT","f",IF(M3="STRING","s"))))</f>
        <v>s</v>
      </c>
      <c r="N5" s="21" t="s">
        <v>1909</v>
      </c>
      <c r="O5" s="21" t="s">
        <v>1909</v>
      </c>
      <c r="P5" s="21" t="str">
        <f>IF(P3="","",IF(P3="INT","i",IF(P3="FLOAT","f",IF(P3="STRING","s"))))</f>
        <v>s</v>
      </c>
      <c r="Q5" s="21" t="str">
        <f>IF(Q3="","",IF(Q3="INT","i",IF(Q3="FLOAT","f",IF(Q3="STRING","s"))))</f>
        <v>i</v>
      </c>
      <c r="R5" s="21" t="str">
        <f>IF(R3="","",IF(R3="INT","i",IF(R3="FLOAT","f",IF(R3="STRING","s"))))</f>
        <v>i</v>
      </c>
      <c r="S5" s="21" t="s">
        <v>1909</v>
      </c>
      <c r="T5" s="21" t="str">
        <f>IF(T3="","",IF(T3="INT","i",IF(T3="FLOAT","f",IF(T3="STRING","s"))))</f>
        <v>i</v>
      </c>
      <c r="U5" s="21" t="s">
        <v>1909</v>
      </c>
    </row>
    <row r="6" spans="1:21" s="2" customFormat="1" ht="14.25" x14ac:dyDescent="0.15">
      <c r="A6" s="21" t="s">
        <v>1</v>
      </c>
      <c r="B6" s="21" t="str">
        <f>B5&amp;B4</f>
        <v>iID</v>
      </c>
      <c r="C6" s="21" t="str">
        <f>C5&amp;C4</f>
        <v>iNpcID</v>
      </c>
      <c r="D6" s="21" t="str">
        <f>D5&amp;D4</f>
        <v>iNpcType</v>
      </c>
      <c r="E6" s="21" t="str">
        <f>E5&amp;E4</f>
        <v>iType</v>
      </c>
      <c r="F6" s="21" t="str">
        <f>F5&amp;F4</f>
        <v>iMemberNum</v>
      </c>
      <c r="G6" s="21" t="str">
        <f t="shared" ref="G6:R6" si="0">G5&amp;G4</f>
        <v>sTag</v>
      </c>
      <c r="H6" s="21" t="str">
        <f t="shared" si="0"/>
        <v>sFightProp</v>
      </c>
      <c r="I6" s="21" t="str">
        <f t="shared" si="0"/>
        <v>sPlayCute</v>
      </c>
      <c r="J6" s="21" t="str">
        <f t="shared" si="0"/>
        <v>iSameAdd</v>
      </c>
      <c r="K6" s="21" t="str">
        <f t="shared" si="0"/>
        <v>iSuccessScore</v>
      </c>
      <c r="L6" s="21" t="str">
        <f t="shared" si="0"/>
        <v>iNextFightID</v>
      </c>
      <c r="M6" s="21" t="str">
        <f t="shared" si="0"/>
        <v>sAward</v>
      </c>
      <c r="N6" s="21" t="str">
        <f t="shared" si="0"/>
        <v>iSuccessDocID</v>
      </c>
      <c r="O6" s="21" t="str">
        <f t="shared" si="0"/>
        <v>iFailDocID</v>
      </c>
      <c r="P6" s="21" t="str">
        <f t="shared" si="0"/>
        <v>sDialog</v>
      </c>
      <c r="Q6" s="21" t="str">
        <f t="shared" si="0"/>
        <v>iBgImg</v>
      </c>
      <c r="R6" s="21" t="str">
        <f t="shared" si="0"/>
        <v>iRecommendProp</v>
      </c>
      <c r="S6" s="21" t="str">
        <f>S5&amp;S4</f>
        <v>iTipID</v>
      </c>
      <c r="T6" s="21" t="str">
        <f t="shared" ref="T6" si="1">T5&amp;T4</f>
        <v>iFightType</v>
      </c>
      <c r="U6" s="21" t="str">
        <f>U5&amp;U4</f>
        <v>iBeginDialogID</v>
      </c>
    </row>
    <row r="7" spans="1:21" s="3" customFormat="1" ht="14.25" x14ac:dyDescent="0.15">
      <c r="A7" s="21"/>
      <c r="B7" s="21" t="s">
        <v>1910</v>
      </c>
      <c r="C7" s="21" t="s">
        <v>1911</v>
      </c>
      <c r="D7" s="21" t="s">
        <v>1912</v>
      </c>
      <c r="E7" s="21" t="s">
        <v>1913</v>
      </c>
      <c r="F7" s="21" t="s">
        <v>1914</v>
      </c>
      <c r="G7" s="21" t="s">
        <v>1915</v>
      </c>
      <c r="H7" s="21" t="s">
        <v>1916</v>
      </c>
      <c r="I7" s="21" t="s">
        <v>1917</v>
      </c>
      <c r="J7" s="21" t="s">
        <v>1918</v>
      </c>
      <c r="K7" s="21" t="s">
        <v>1919</v>
      </c>
      <c r="L7" s="21" t="s">
        <v>1920</v>
      </c>
      <c r="M7" s="21" t="s">
        <v>1921</v>
      </c>
      <c r="N7" s="21" t="s">
        <v>1922</v>
      </c>
      <c r="O7" s="21" t="s">
        <v>1923</v>
      </c>
      <c r="P7" s="21" t="s">
        <v>1924</v>
      </c>
      <c r="Q7" s="3" t="s">
        <v>294</v>
      </c>
      <c r="R7" s="3" t="s">
        <v>1925</v>
      </c>
      <c r="S7" s="21" t="s">
        <v>1947</v>
      </c>
      <c r="T7" s="21" t="s">
        <v>1950</v>
      </c>
      <c r="U7" s="21" t="s">
        <v>1953</v>
      </c>
    </row>
    <row r="8" spans="1:21" s="3" customFormat="1" ht="14.25" x14ac:dyDescent="0.15">
      <c r="A8" s="21" t="s">
        <v>6</v>
      </c>
      <c r="B8" s="21"/>
      <c r="C8" s="21">
        <v>0</v>
      </c>
      <c r="D8" s="21">
        <v>0</v>
      </c>
      <c r="E8" s="21">
        <v>0</v>
      </c>
      <c r="F8" s="21"/>
      <c r="G8" s="21"/>
      <c r="H8" s="21"/>
      <c r="I8" s="21"/>
      <c r="J8" s="21">
        <v>0</v>
      </c>
      <c r="K8" s="21">
        <v>0</v>
      </c>
      <c r="L8" s="21">
        <v>0</v>
      </c>
      <c r="M8" s="21"/>
      <c r="N8" s="21">
        <v>0</v>
      </c>
      <c r="O8" s="21">
        <v>0</v>
      </c>
      <c r="R8" s="3">
        <v>1000</v>
      </c>
      <c r="S8" s="3">
        <v>221</v>
      </c>
      <c r="T8" s="3">
        <v>0</v>
      </c>
      <c r="U8" s="3">
        <v>221</v>
      </c>
    </row>
    <row r="9" spans="1:21" s="66" customFormat="1" ht="40.5" customHeight="1" x14ac:dyDescent="0.15">
      <c r="A9" s="61"/>
      <c r="B9" s="62"/>
      <c r="C9" s="61"/>
      <c r="D9" s="62" t="s">
        <v>1926</v>
      </c>
      <c r="E9" s="62" t="s">
        <v>1927</v>
      </c>
      <c r="F9" s="61"/>
      <c r="G9" s="64" t="s">
        <v>1957</v>
      </c>
      <c r="H9" s="64" t="s">
        <v>1954</v>
      </c>
      <c r="I9" s="64" t="s">
        <v>1928</v>
      </c>
      <c r="J9" s="63"/>
      <c r="K9" s="65"/>
      <c r="L9" s="63"/>
      <c r="M9" s="65"/>
      <c r="N9" s="63"/>
      <c r="O9" s="63"/>
      <c r="S9" s="66" t="s">
        <v>1951</v>
      </c>
      <c r="T9" s="76" t="s">
        <v>1956</v>
      </c>
      <c r="U9" s="66" t="s">
        <v>1951</v>
      </c>
    </row>
    <row r="10" spans="1:21" x14ac:dyDescent="0.15">
      <c r="A10" s="4" t="s">
        <v>1</v>
      </c>
      <c r="B10" s="40" t="s">
        <v>641</v>
      </c>
      <c r="C10" s="4" t="s">
        <v>115</v>
      </c>
      <c r="D10" s="4">
        <v>3</v>
      </c>
      <c r="E10" s="4" t="s">
        <v>115</v>
      </c>
      <c r="F10" s="4" t="s">
        <v>115</v>
      </c>
      <c r="G10" s="4" t="s">
        <v>115</v>
      </c>
      <c r="H10" s="4" t="s">
        <v>7307</v>
      </c>
      <c r="I10" s="4" t="s">
        <v>115</v>
      </c>
      <c r="J10" s="4" t="s">
        <v>115</v>
      </c>
      <c r="K10" s="4">
        <v>5200</v>
      </c>
      <c r="L10" s="4">
        <v>112</v>
      </c>
      <c r="N10" s="4" t="s">
        <v>115</v>
      </c>
      <c r="O10" s="4" t="s">
        <v>115</v>
      </c>
      <c r="P10" s="4">
        <v>200111</v>
      </c>
      <c r="Q10" s="4">
        <v>31</v>
      </c>
      <c r="R10" s="88">
        <v>2820</v>
      </c>
    </row>
    <row r="11" spans="1:21" x14ac:dyDescent="0.15">
      <c r="A11" s="4" t="s">
        <v>1</v>
      </c>
      <c r="B11" s="4">
        <v>112</v>
      </c>
      <c r="C11" s="4" t="s">
        <v>115</v>
      </c>
      <c r="D11" s="4" t="s">
        <v>115</v>
      </c>
      <c r="E11" s="4">
        <v>1</v>
      </c>
      <c r="F11" s="4">
        <v>5</v>
      </c>
      <c r="G11" s="4" t="s">
        <v>115</v>
      </c>
      <c r="H11" s="4" t="s">
        <v>7307</v>
      </c>
      <c r="I11" s="4" t="s">
        <v>4800</v>
      </c>
      <c r="J11" s="4" t="s">
        <v>115</v>
      </c>
      <c r="K11" s="4">
        <v>5200</v>
      </c>
      <c r="L11" s="4">
        <v>113</v>
      </c>
      <c r="N11" s="4" t="s">
        <v>115</v>
      </c>
      <c r="O11" s="4" t="s">
        <v>115</v>
      </c>
      <c r="P11" s="4">
        <v>200112</v>
      </c>
      <c r="Q11" s="4">
        <v>31</v>
      </c>
      <c r="R11" s="88">
        <v>1264</v>
      </c>
    </row>
    <row r="12" spans="1:21" x14ac:dyDescent="0.15">
      <c r="A12" s="4" t="s">
        <v>1</v>
      </c>
      <c r="B12" s="4">
        <v>113</v>
      </c>
      <c r="C12" s="4" t="s">
        <v>115</v>
      </c>
      <c r="D12" s="4" t="s">
        <v>115</v>
      </c>
      <c r="E12" s="4">
        <v>2</v>
      </c>
      <c r="F12" s="4">
        <v>5</v>
      </c>
      <c r="G12" s="4" t="s">
        <v>115</v>
      </c>
      <c r="H12" s="4" t="s">
        <v>7307</v>
      </c>
      <c r="I12" s="4" t="s">
        <v>115</v>
      </c>
      <c r="J12" s="4">
        <v>20</v>
      </c>
      <c r="K12" s="4">
        <v>5200</v>
      </c>
      <c r="L12" s="4">
        <v>0</v>
      </c>
      <c r="N12" s="4">
        <v>200115</v>
      </c>
      <c r="O12" s="4">
        <v>200116</v>
      </c>
      <c r="P12" s="4">
        <v>200113</v>
      </c>
      <c r="Q12" s="4">
        <v>31</v>
      </c>
      <c r="R12" s="88">
        <v>1894</v>
      </c>
    </row>
    <row r="13" spans="1:21" x14ac:dyDescent="0.15">
      <c r="A13" s="4" t="s">
        <v>1</v>
      </c>
      <c r="B13" s="4" t="s">
        <v>642</v>
      </c>
      <c r="C13" s="4" t="s">
        <v>115</v>
      </c>
      <c r="D13" s="4">
        <v>3</v>
      </c>
      <c r="E13" s="4" t="s">
        <v>115</v>
      </c>
      <c r="F13" s="4" t="s">
        <v>115</v>
      </c>
      <c r="G13" s="4" t="s">
        <v>115</v>
      </c>
      <c r="H13" s="4" t="s">
        <v>7307</v>
      </c>
      <c r="I13" s="4" t="s">
        <v>115</v>
      </c>
      <c r="J13" s="4" t="s">
        <v>115</v>
      </c>
      <c r="K13" s="4">
        <v>5500</v>
      </c>
      <c r="L13" s="4">
        <v>122</v>
      </c>
      <c r="N13" s="4" t="s">
        <v>115</v>
      </c>
      <c r="O13" s="4" t="s">
        <v>115</v>
      </c>
      <c r="P13" s="4">
        <v>200111</v>
      </c>
      <c r="Q13" s="4">
        <v>112</v>
      </c>
      <c r="R13" s="88">
        <v>2820</v>
      </c>
    </row>
    <row r="14" spans="1:21" x14ac:dyDescent="0.15">
      <c r="A14" s="4" t="s">
        <v>1</v>
      </c>
      <c r="B14" s="40">
        <v>122</v>
      </c>
      <c r="C14" s="4" t="s">
        <v>115</v>
      </c>
      <c r="D14" s="4" t="s">
        <v>115</v>
      </c>
      <c r="E14" s="4">
        <v>1</v>
      </c>
      <c r="F14" s="4">
        <v>5</v>
      </c>
      <c r="G14" s="4" t="s">
        <v>115</v>
      </c>
      <c r="H14" s="4" t="s">
        <v>7307</v>
      </c>
      <c r="I14" s="4" t="s">
        <v>4800</v>
      </c>
      <c r="J14" s="4" t="s">
        <v>115</v>
      </c>
      <c r="K14" s="4">
        <v>5500</v>
      </c>
      <c r="L14" s="4">
        <v>123</v>
      </c>
      <c r="N14" s="4" t="s">
        <v>115</v>
      </c>
      <c r="O14" s="4" t="s">
        <v>115</v>
      </c>
      <c r="P14" s="4">
        <v>200112</v>
      </c>
      <c r="Q14" s="4">
        <v>112</v>
      </c>
      <c r="R14" s="88">
        <v>1264</v>
      </c>
    </row>
    <row r="15" spans="1:21" x14ac:dyDescent="0.15">
      <c r="A15" s="4" t="s">
        <v>1</v>
      </c>
      <c r="B15" s="40">
        <v>123</v>
      </c>
      <c r="C15" s="4" t="s">
        <v>115</v>
      </c>
      <c r="D15" s="4" t="s">
        <v>115</v>
      </c>
      <c r="E15" s="4">
        <v>2</v>
      </c>
      <c r="F15" s="4">
        <v>5</v>
      </c>
      <c r="G15" s="4" t="s">
        <v>115</v>
      </c>
      <c r="H15" s="4" t="s">
        <v>7307</v>
      </c>
      <c r="I15" s="4" t="s">
        <v>115</v>
      </c>
      <c r="J15" s="4">
        <v>20</v>
      </c>
      <c r="K15" s="4">
        <v>5500</v>
      </c>
      <c r="L15" s="4">
        <v>0</v>
      </c>
      <c r="N15" s="4">
        <v>200115</v>
      </c>
      <c r="O15" s="4">
        <v>200116</v>
      </c>
      <c r="P15" s="4">
        <v>200113</v>
      </c>
      <c r="Q15" s="4">
        <v>112</v>
      </c>
      <c r="R15" s="88">
        <v>1894</v>
      </c>
    </row>
    <row r="16" spans="1:21" x14ac:dyDescent="0.15">
      <c r="A16" s="4" t="s">
        <v>1</v>
      </c>
      <c r="B16" s="4" t="s">
        <v>643</v>
      </c>
      <c r="C16" s="4" t="s">
        <v>115</v>
      </c>
      <c r="D16" s="4">
        <v>3</v>
      </c>
      <c r="E16" s="4" t="s">
        <v>115</v>
      </c>
      <c r="F16" s="4" t="s">
        <v>115</v>
      </c>
      <c r="G16" s="4" t="s">
        <v>115</v>
      </c>
      <c r="H16" s="4" t="s">
        <v>7307</v>
      </c>
      <c r="I16" s="4" t="s">
        <v>115</v>
      </c>
      <c r="J16" s="4" t="s">
        <v>115</v>
      </c>
      <c r="K16" s="4">
        <v>5800</v>
      </c>
      <c r="L16" s="4">
        <v>132</v>
      </c>
      <c r="N16" s="4" t="s">
        <v>115</v>
      </c>
      <c r="O16" s="4" t="s">
        <v>115</v>
      </c>
      <c r="P16" s="4">
        <v>200111</v>
      </c>
      <c r="Q16" s="4">
        <v>192</v>
      </c>
      <c r="R16" s="88">
        <v>2820</v>
      </c>
    </row>
    <row r="17" spans="1:18" x14ac:dyDescent="0.15">
      <c r="A17" s="4" t="s">
        <v>1</v>
      </c>
      <c r="B17" s="4">
        <v>132</v>
      </c>
      <c r="C17" s="4" t="s">
        <v>115</v>
      </c>
      <c r="D17" s="4" t="s">
        <v>115</v>
      </c>
      <c r="E17" s="4">
        <v>1</v>
      </c>
      <c r="F17" s="4">
        <v>5</v>
      </c>
      <c r="G17" s="4" t="s">
        <v>115</v>
      </c>
      <c r="H17" s="4" t="s">
        <v>7307</v>
      </c>
      <c r="I17" s="4" t="s">
        <v>4800</v>
      </c>
      <c r="J17" s="4" t="s">
        <v>115</v>
      </c>
      <c r="K17" s="4">
        <v>5800</v>
      </c>
      <c r="L17" s="4">
        <v>133</v>
      </c>
      <c r="N17" s="4" t="s">
        <v>115</v>
      </c>
      <c r="O17" s="4" t="s">
        <v>115</v>
      </c>
      <c r="P17" s="4">
        <v>200112</v>
      </c>
      <c r="Q17" s="4">
        <v>192</v>
      </c>
      <c r="R17" s="88">
        <v>1264</v>
      </c>
    </row>
    <row r="18" spans="1:18" x14ac:dyDescent="0.15">
      <c r="A18" s="4" t="s">
        <v>1</v>
      </c>
      <c r="B18" s="40">
        <v>133</v>
      </c>
      <c r="C18" s="4" t="s">
        <v>115</v>
      </c>
      <c r="D18" s="4" t="s">
        <v>115</v>
      </c>
      <c r="E18" s="4">
        <v>2</v>
      </c>
      <c r="F18" s="4">
        <v>5</v>
      </c>
      <c r="G18" s="4" t="s">
        <v>115</v>
      </c>
      <c r="H18" s="4" t="s">
        <v>7307</v>
      </c>
      <c r="I18" s="4" t="s">
        <v>115</v>
      </c>
      <c r="J18" s="4">
        <v>20</v>
      </c>
      <c r="K18" s="4">
        <v>5800</v>
      </c>
      <c r="L18" s="4">
        <v>0</v>
      </c>
      <c r="N18" s="4">
        <v>200115</v>
      </c>
      <c r="O18" s="4">
        <v>200116</v>
      </c>
      <c r="P18" s="4">
        <v>200113</v>
      </c>
      <c r="Q18" s="4">
        <v>192</v>
      </c>
      <c r="R18" s="88">
        <v>1894</v>
      </c>
    </row>
    <row r="19" spans="1:18" x14ac:dyDescent="0.15">
      <c r="A19" s="4" t="s">
        <v>1</v>
      </c>
      <c r="B19" s="4" t="s">
        <v>450</v>
      </c>
      <c r="C19" s="4" t="s">
        <v>115</v>
      </c>
      <c r="D19" s="4">
        <v>3</v>
      </c>
      <c r="E19" s="4" t="s">
        <v>115</v>
      </c>
      <c r="F19" s="4" t="s">
        <v>115</v>
      </c>
      <c r="G19" s="4" t="s">
        <v>115</v>
      </c>
      <c r="H19" s="4" t="s">
        <v>7307</v>
      </c>
      <c r="I19" s="4" t="s">
        <v>115</v>
      </c>
      <c r="J19" s="4" t="s">
        <v>115</v>
      </c>
      <c r="K19" s="4">
        <v>13500</v>
      </c>
      <c r="L19" s="4">
        <v>212</v>
      </c>
      <c r="N19" s="4" t="s">
        <v>115</v>
      </c>
      <c r="O19" s="4" t="s">
        <v>115</v>
      </c>
      <c r="P19" s="4">
        <v>200111</v>
      </c>
      <c r="Q19" s="4">
        <v>192</v>
      </c>
      <c r="R19" s="88">
        <v>3600</v>
      </c>
    </row>
    <row r="20" spans="1:18" x14ac:dyDescent="0.15">
      <c r="A20" s="4" t="s">
        <v>1</v>
      </c>
      <c r="B20" s="4">
        <v>212</v>
      </c>
      <c r="C20" s="4" t="s">
        <v>115</v>
      </c>
      <c r="D20" s="4" t="s">
        <v>115</v>
      </c>
      <c r="E20" s="4">
        <v>1</v>
      </c>
      <c r="F20" s="4">
        <v>5</v>
      </c>
      <c r="G20" s="4" t="s">
        <v>115</v>
      </c>
      <c r="H20" s="4" t="s">
        <v>7307</v>
      </c>
      <c r="I20" s="4" t="s">
        <v>4800</v>
      </c>
      <c r="J20" s="4" t="s">
        <v>115</v>
      </c>
      <c r="K20" s="4">
        <v>13500</v>
      </c>
      <c r="L20" s="4">
        <v>213</v>
      </c>
      <c r="N20" s="4" t="s">
        <v>115</v>
      </c>
      <c r="O20" s="4" t="s">
        <v>115</v>
      </c>
      <c r="P20" s="4">
        <v>200112</v>
      </c>
      <c r="Q20" s="4">
        <v>192</v>
      </c>
      <c r="R20" s="88">
        <v>6981</v>
      </c>
    </row>
    <row r="21" spans="1:18" x14ac:dyDescent="0.15">
      <c r="A21" s="4" t="s">
        <v>1</v>
      </c>
      <c r="B21" s="40">
        <v>213</v>
      </c>
      <c r="C21" s="4" t="s">
        <v>115</v>
      </c>
      <c r="D21" s="4" t="s">
        <v>115</v>
      </c>
      <c r="E21" s="4">
        <v>2</v>
      </c>
      <c r="F21" s="4">
        <v>5</v>
      </c>
      <c r="G21" s="4" t="s">
        <v>115</v>
      </c>
      <c r="H21" s="4" t="s">
        <v>7307</v>
      </c>
      <c r="I21" s="4" t="s">
        <v>115</v>
      </c>
      <c r="J21" s="4">
        <v>20</v>
      </c>
      <c r="K21" s="4">
        <v>13500</v>
      </c>
      <c r="L21" s="4">
        <v>0</v>
      </c>
      <c r="N21" s="4">
        <v>200115</v>
      </c>
      <c r="O21" s="4">
        <v>200116</v>
      </c>
      <c r="P21" s="4">
        <v>200113</v>
      </c>
      <c r="Q21" s="4">
        <v>192</v>
      </c>
      <c r="R21" s="88">
        <v>3259</v>
      </c>
    </row>
    <row r="22" spans="1:18" x14ac:dyDescent="0.15">
      <c r="A22" s="4" t="s">
        <v>1</v>
      </c>
      <c r="B22" s="4" t="s">
        <v>2471</v>
      </c>
      <c r="C22" s="4" t="s">
        <v>115</v>
      </c>
      <c r="D22" s="4">
        <v>3</v>
      </c>
      <c r="E22" s="4" t="s">
        <v>115</v>
      </c>
      <c r="F22" s="4" t="s">
        <v>115</v>
      </c>
      <c r="G22" s="4" t="s">
        <v>115</v>
      </c>
      <c r="H22" s="4" t="s">
        <v>7307</v>
      </c>
      <c r="I22" s="4" t="s">
        <v>115</v>
      </c>
      <c r="J22" s="4" t="s">
        <v>115</v>
      </c>
      <c r="K22" s="4">
        <v>15000</v>
      </c>
      <c r="L22" s="4">
        <v>222</v>
      </c>
      <c r="N22" s="4" t="s">
        <v>115</v>
      </c>
      <c r="O22" s="4" t="s">
        <v>115</v>
      </c>
      <c r="P22" s="4">
        <v>200111</v>
      </c>
      <c r="Q22" s="4">
        <v>205</v>
      </c>
      <c r="R22" s="88">
        <v>3600</v>
      </c>
    </row>
    <row r="23" spans="1:18" x14ac:dyDescent="0.15">
      <c r="A23" s="4" t="s">
        <v>1</v>
      </c>
      <c r="B23" s="40">
        <v>222</v>
      </c>
      <c r="C23" s="4" t="s">
        <v>115</v>
      </c>
      <c r="D23" s="4" t="s">
        <v>115</v>
      </c>
      <c r="E23" s="4">
        <v>1</v>
      </c>
      <c r="F23" s="4">
        <v>5</v>
      </c>
      <c r="G23" s="4" t="s">
        <v>115</v>
      </c>
      <c r="H23" s="4" t="s">
        <v>7307</v>
      </c>
      <c r="I23" s="4" t="s">
        <v>4800</v>
      </c>
      <c r="J23" s="4" t="s">
        <v>115</v>
      </c>
      <c r="K23" s="4">
        <v>15000</v>
      </c>
      <c r="L23" s="4">
        <v>223</v>
      </c>
      <c r="N23" s="4" t="s">
        <v>115</v>
      </c>
      <c r="O23" s="4" t="s">
        <v>115</v>
      </c>
      <c r="P23" s="4">
        <v>200112</v>
      </c>
      <c r="Q23" s="4">
        <v>205</v>
      </c>
      <c r="R23" s="88">
        <v>6981</v>
      </c>
    </row>
    <row r="24" spans="1:18" x14ac:dyDescent="0.15">
      <c r="A24" s="4" t="s">
        <v>1</v>
      </c>
      <c r="B24" s="4">
        <v>223</v>
      </c>
      <c r="C24" s="4" t="s">
        <v>115</v>
      </c>
      <c r="D24" s="4" t="s">
        <v>115</v>
      </c>
      <c r="E24" s="4">
        <v>2</v>
      </c>
      <c r="F24" s="4">
        <v>5</v>
      </c>
      <c r="G24" s="4" t="s">
        <v>115</v>
      </c>
      <c r="H24" s="4" t="s">
        <v>7307</v>
      </c>
      <c r="I24" s="4" t="s">
        <v>115</v>
      </c>
      <c r="J24" s="4">
        <v>20</v>
      </c>
      <c r="K24" s="4">
        <v>15000</v>
      </c>
      <c r="L24" s="4">
        <v>0</v>
      </c>
      <c r="N24" s="4">
        <v>200115</v>
      </c>
      <c r="O24" s="4">
        <v>200116</v>
      </c>
      <c r="P24" s="4">
        <v>200113</v>
      </c>
      <c r="Q24" s="4">
        <v>205</v>
      </c>
      <c r="R24" s="88">
        <v>5530</v>
      </c>
    </row>
    <row r="25" spans="1:18" x14ac:dyDescent="0.15">
      <c r="A25" s="4" t="s">
        <v>1</v>
      </c>
      <c r="B25" s="4" t="s">
        <v>451</v>
      </c>
      <c r="C25" s="4" t="s">
        <v>115</v>
      </c>
      <c r="D25" s="4">
        <v>3</v>
      </c>
      <c r="E25" s="4" t="s">
        <v>115</v>
      </c>
      <c r="F25" s="4" t="s">
        <v>115</v>
      </c>
      <c r="G25" s="4" t="s">
        <v>115</v>
      </c>
      <c r="H25" s="4" t="s">
        <v>7307</v>
      </c>
      <c r="I25" s="4" t="s">
        <v>115</v>
      </c>
      <c r="J25" s="4" t="s">
        <v>115</v>
      </c>
      <c r="K25" s="4">
        <v>17000</v>
      </c>
      <c r="L25" s="4">
        <v>232</v>
      </c>
      <c r="N25" s="4" t="s">
        <v>115</v>
      </c>
      <c r="O25" s="4" t="s">
        <v>115</v>
      </c>
      <c r="P25" s="4">
        <v>200111</v>
      </c>
      <c r="Q25" s="4">
        <v>118</v>
      </c>
      <c r="R25" s="88">
        <v>3600</v>
      </c>
    </row>
    <row r="26" spans="1:18" x14ac:dyDescent="0.15">
      <c r="A26" s="4" t="s">
        <v>1</v>
      </c>
      <c r="B26" s="4">
        <v>232</v>
      </c>
      <c r="C26" s="4" t="s">
        <v>115</v>
      </c>
      <c r="D26" s="4" t="s">
        <v>115</v>
      </c>
      <c r="E26" s="4">
        <v>1</v>
      </c>
      <c r="F26" s="4">
        <v>5</v>
      </c>
      <c r="G26" s="4" t="s">
        <v>115</v>
      </c>
      <c r="H26" s="4" t="s">
        <v>7307</v>
      </c>
      <c r="I26" s="4" t="s">
        <v>4800</v>
      </c>
      <c r="J26" s="4" t="s">
        <v>115</v>
      </c>
      <c r="K26" s="4">
        <v>17000</v>
      </c>
      <c r="L26" s="4">
        <v>233</v>
      </c>
      <c r="N26" s="4" t="s">
        <v>115</v>
      </c>
      <c r="O26" s="4" t="s">
        <v>115</v>
      </c>
      <c r="P26" s="4">
        <v>200112</v>
      </c>
      <c r="Q26" s="4">
        <v>118</v>
      </c>
      <c r="R26" s="88">
        <v>7936</v>
      </c>
    </row>
    <row r="27" spans="1:18" x14ac:dyDescent="0.15">
      <c r="A27" s="4" t="s">
        <v>1</v>
      </c>
      <c r="B27" s="40">
        <v>233</v>
      </c>
      <c r="C27" s="4" t="s">
        <v>115</v>
      </c>
      <c r="D27" s="4" t="s">
        <v>115</v>
      </c>
      <c r="E27" s="4">
        <v>2</v>
      </c>
      <c r="F27" s="4">
        <v>5</v>
      </c>
      <c r="G27" s="4" t="s">
        <v>115</v>
      </c>
      <c r="H27" s="4" t="s">
        <v>7307</v>
      </c>
      <c r="I27" s="4" t="s">
        <v>115</v>
      </c>
      <c r="J27" s="4">
        <v>20</v>
      </c>
      <c r="K27" s="4">
        <v>17000</v>
      </c>
      <c r="L27" s="4">
        <v>0</v>
      </c>
      <c r="N27" s="4">
        <v>200115</v>
      </c>
      <c r="O27" s="4">
        <v>200116</v>
      </c>
      <c r="P27" s="4">
        <v>200113</v>
      </c>
      <c r="Q27" s="4">
        <v>118</v>
      </c>
      <c r="R27" s="88">
        <v>5630</v>
      </c>
    </row>
    <row r="28" spans="1:18" x14ac:dyDescent="0.15">
      <c r="A28" s="4" t="s">
        <v>1</v>
      </c>
      <c r="B28" s="4" t="s">
        <v>452</v>
      </c>
      <c r="C28" s="4" t="s">
        <v>115</v>
      </c>
      <c r="D28" s="4">
        <v>3</v>
      </c>
      <c r="E28" s="4" t="s">
        <v>115</v>
      </c>
      <c r="F28" s="4" t="s">
        <v>115</v>
      </c>
      <c r="G28" s="4" t="s">
        <v>115</v>
      </c>
      <c r="H28" s="4" t="s">
        <v>7307</v>
      </c>
      <c r="I28" s="4" t="s">
        <v>115</v>
      </c>
      <c r="J28" s="4" t="s">
        <v>115</v>
      </c>
      <c r="K28" s="4">
        <v>22500</v>
      </c>
      <c r="L28" s="4">
        <v>312</v>
      </c>
      <c r="N28" s="4" t="s">
        <v>115</v>
      </c>
      <c r="O28" s="4" t="s">
        <v>115</v>
      </c>
      <c r="P28" s="4">
        <v>200111</v>
      </c>
      <c r="Q28" s="4">
        <v>205</v>
      </c>
      <c r="R28" s="88">
        <v>3870</v>
      </c>
    </row>
    <row r="29" spans="1:18" x14ac:dyDescent="0.15">
      <c r="A29" s="4" t="s">
        <v>1</v>
      </c>
      <c r="B29" s="4">
        <v>312</v>
      </c>
      <c r="C29" s="4" t="s">
        <v>115</v>
      </c>
      <c r="D29" s="4" t="s">
        <v>115</v>
      </c>
      <c r="E29" s="4">
        <v>1</v>
      </c>
      <c r="F29" s="4">
        <v>5</v>
      </c>
      <c r="G29" s="4" t="s">
        <v>115</v>
      </c>
      <c r="H29" s="4" t="s">
        <v>7307</v>
      </c>
      <c r="I29" s="4" t="s">
        <v>4800</v>
      </c>
      <c r="J29" s="4" t="s">
        <v>115</v>
      </c>
      <c r="K29" s="4">
        <v>22500</v>
      </c>
      <c r="L29" s="4">
        <v>313</v>
      </c>
      <c r="N29" s="4" t="s">
        <v>115</v>
      </c>
      <c r="O29" s="4" t="s">
        <v>115</v>
      </c>
      <c r="P29" s="4">
        <v>200112</v>
      </c>
      <c r="Q29" s="4">
        <v>205</v>
      </c>
      <c r="R29" s="88">
        <v>9922</v>
      </c>
    </row>
    <row r="30" spans="1:18" x14ac:dyDescent="0.15">
      <c r="A30" s="4" t="s">
        <v>1</v>
      </c>
      <c r="B30" s="40">
        <v>313</v>
      </c>
      <c r="C30" s="4" t="s">
        <v>115</v>
      </c>
      <c r="D30" s="4" t="s">
        <v>115</v>
      </c>
      <c r="E30" s="4">
        <v>2</v>
      </c>
      <c r="F30" s="4">
        <v>5</v>
      </c>
      <c r="G30" s="4" t="s">
        <v>115</v>
      </c>
      <c r="H30" s="4" t="s">
        <v>7307</v>
      </c>
      <c r="I30" s="4" t="s">
        <v>115</v>
      </c>
      <c r="J30" s="4">
        <v>20</v>
      </c>
      <c r="K30" s="4">
        <v>22500</v>
      </c>
      <c r="L30" s="4">
        <v>0</v>
      </c>
      <c r="N30" s="4">
        <v>200115</v>
      </c>
      <c r="O30" s="4">
        <v>200116</v>
      </c>
      <c r="P30" s="4">
        <v>200113</v>
      </c>
      <c r="Q30" s="4">
        <v>205</v>
      </c>
      <c r="R30" s="88">
        <v>9565</v>
      </c>
    </row>
    <row r="31" spans="1:18" x14ac:dyDescent="0.15">
      <c r="A31" s="4" t="s">
        <v>1</v>
      </c>
      <c r="B31" s="4" t="s">
        <v>453</v>
      </c>
      <c r="C31" s="4" t="s">
        <v>115</v>
      </c>
      <c r="D31" s="4">
        <v>3</v>
      </c>
      <c r="E31" s="4" t="s">
        <v>115</v>
      </c>
      <c r="F31" s="4" t="s">
        <v>115</v>
      </c>
      <c r="G31" s="4" t="s">
        <v>115</v>
      </c>
      <c r="H31" s="4" t="s">
        <v>7307</v>
      </c>
      <c r="I31" s="4" t="s">
        <v>115</v>
      </c>
      <c r="J31" s="4" t="s">
        <v>115</v>
      </c>
      <c r="K31" s="4">
        <v>23500</v>
      </c>
      <c r="L31" s="4">
        <v>322</v>
      </c>
      <c r="N31" s="4" t="s">
        <v>115</v>
      </c>
      <c r="O31" s="4" t="s">
        <v>115</v>
      </c>
      <c r="P31" s="4">
        <v>200111</v>
      </c>
      <c r="Q31" s="4">
        <v>34</v>
      </c>
      <c r="R31" s="88">
        <v>3870</v>
      </c>
    </row>
    <row r="32" spans="1:18" x14ac:dyDescent="0.15">
      <c r="A32" s="4" t="s">
        <v>1</v>
      </c>
      <c r="B32" s="4">
        <v>322</v>
      </c>
      <c r="C32" s="4" t="s">
        <v>115</v>
      </c>
      <c r="D32" s="4" t="s">
        <v>115</v>
      </c>
      <c r="E32" s="4">
        <v>1</v>
      </c>
      <c r="F32" s="4">
        <v>5</v>
      </c>
      <c r="G32" s="4" t="s">
        <v>115</v>
      </c>
      <c r="H32" s="4" t="s">
        <v>7307</v>
      </c>
      <c r="I32" s="4" t="s">
        <v>4800</v>
      </c>
      <c r="J32" s="4" t="s">
        <v>115</v>
      </c>
      <c r="K32" s="4">
        <v>23500</v>
      </c>
      <c r="L32" s="4">
        <v>323</v>
      </c>
      <c r="N32" s="4" t="s">
        <v>115</v>
      </c>
      <c r="O32" s="4" t="s">
        <v>115</v>
      </c>
      <c r="P32" s="4">
        <v>200112</v>
      </c>
      <c r="Q32" s="4">
        <v>34</v>
      </c>
      <c r="R32" s="88">
        <v>10244</v>
      </c>
    </row>
    <row r="33" spans="1:18" x14ac:dyDescent="0.15">
      <c r="A33" s="4" t="s">
        <v>1</v>
      </c>
      <c r="B33" s="4">
        <v>323</v>
      </c>
      <c r="C33" s="4" t="s">
        <v>115</v>
      </c>
      <c r="D33" s="4" t="s">
        <v>115</v>
      </c>
      <c r="E33" s="4">
        <v>2</v>
      </c>
      <c r="F33" s="4">
        <v>5</v>
      </c>
      <c r="G33" s="4" t="s">
        <v>115</v>
      </c>
      <c r="H33" s="4" t="s">
        <v>7307</v>
      </c>
      <c r="I33" s="4" t="s">
        <v>115</v>
      </c>
      <c r="J33" s="4">
        <v>20</v>
      </c>
      <c r="K33" s="4">
        <v>23500</v>
      </c>
      <c r="L33" s="4">
        <v>0</v>
      </c>
      <c r="N33" s="4">
        <v>200115</v>
      </c>
      <c r="O33" s="4">
        <v>200116</v>
      </c>
      <c r="P33" s="4">
        <v>200113</v>
      </c>
      <c r="Q33" s="4">
        <v>34</v>
      </c>
      <c r="R33" s="88">
        <v>9878</v>
      </c>
    </row>
    <row r="34" spans="1:18" x14ac:dyDescent="0.15">
      <c r="A34" s="4" t="s">
        <v>1</v>
      </c>
      <c r="B34" s="40" t="s">
        <v>454</v>
      </c>
      <c r="C34" s="4" t="s">
        <v>115</v>
      </c>
      <c r="D34" s="4">
        <v>3</v>
      </c>
      <c r="E34" s="4" t="s">
        <v>115</v>
      </c>
      <c r="F34" s="4" t="s">
        <v>115</v>
      </c>
      <c r="G34" s="4" t="s">
        <v>115</v>
      </c>
      <c r="H34" s="4" t="s">
        <v>7307</v>
      </c>
      <c r="I34" s="4" t="s">
        <v>115</v>
      </c>
      <c r="J34" s="4" t="s">
        <v>115</v>
      </c>
      <c r="K34" s="4">
        <v>24000</v>
      </c>
      <c r="L34" s="4">
        <v>332</v>
      </c>
      <c r="N34" s="4" t="s">
        <v>115</v>
      </c>
      <c r="O34" s="4" t="s">
        <v>115</v>
      </c>
      <c r="P34" s="4">
        <v>200111</v>
      </c>
      <c r="Q34" s="4">
        <v>197</v>
      </c>
      <c r="R34" s="88">
        <v>3870</v>
      </c>
    </row>
    <row r="35" spans="1:18" x14ac:dyDescent="0.15">
      <c r="A35" s="4" t="s">
        <v>1</v>
      </c>
      <c r="B35" s="4">
        <v>332</v>
      </c>
      <c r="C35" s="4" t="s">
        <v>115</v>
      </c>
      <c r="D35" s="4" t="s">
        <v>115</v>
      </c>
      <c r="E35" s="4">
        <v>1</v>
      </c>
      <c r="F35" s="4">
        <v>5</v>
      </c>
      <c r="G35" s="4" t="s">
        <v>115</v>
      </c>
      <c r="H35" s="4" t="s">
        <v>7307</v>
      </c>
      <c r="I35" s="4" t="s">
        <v>4800</v>
      </c>
      <c r="J35" s="4" t="s">
        <v>115</v>
      </c>
      <c r="K35" s="4">
        <v>24000</v>
      </c>
      <c r="L35" s="4">
        <v>333</v>
      </c>
      <c r="N35" s="4" t="s">
        <v>115</v>
      </c>
      <c r="O35" s="4" t="s">
        <v>115</v>
      </c>
      <c r="P35" s="4">
        <v>200112</v>
      </c>
      <c r="Q35" s="4">
        <v>197</v>
      </c>
      <c r="R35" s="88">
        <v>10562</v>
      </c>
    </row>
    <row r="36" spans="1:18" x14ac:dyDescent="0.15">
      <c r="A36" s="4" t="s">
        <v>1</v>
      </c>
      <c r="B36" s="4">
        <v>333</v>
      </c>
      <c r="C36" s="4" t="s">
        <v>115</v>
      </c>
      <c r="D36" s="4" t="s">
        <v>115</v>
      </c>
      <c r="E36" s="4">
        <v>2</v>
      </c>
      <c r="F36" s="4">
        <v>5</v>
      </c>
      <c r="G36" s="4" t="s">
        <v>115</v>
      </c>
      <c r="H36" s="4" t="s">
        <v>7307</v>
      </c>
      <c r="I36" s="4" t="s">
        <v>115</v>
      </c>
      <c r="J36" s="4">
        <v>20</v>
      </c>
      <c r="K36" s="4">
        <v>24000</v>
      </c>
      <c r="L36" s="4">
        <v>0</v>
      </c>
      <c r="N36" s="4">
        <v>200115</v>
      </c>
      <c r="O36" s="4">
        <v>200116</v>
      </c>
      <c r="P36" s="4">
        <v>200113</v>
      </c>
      <c r="Q36" s="4">
        <v>197</v>
      </c>
      <c r="R36" s="88">
        <v>9878</v>
      </c>
    </row>
    <row r="37" spans="1:18" x14ac:dyDescent="0.15">
      <c r="A37" s="4" t="s">
        <v>1</v>
      </c>
      <c r="B37" s="40" t="s">
        <v>455</v>
      </c>
      <c r="C37" s="4" t="s">
        <v>115</v>
      </c>
      <c r="D37" s="4">
        <v>3</v>
      </c>
      <c r="E37" s="4" t="s">
        <v>115</v>
      </c>
      <c r="F37" s="4" t="s">
        <v>115</v>
      </c>
      <c r="G37" s="4" t="s">
        <v>115</v>
      </c>
      <c r="H37" s="4" t="s">
        <v>7307</v>
      </c>
      <c r="I37" s="4" t="s">
        <v>115</v>
      </c>
      <c r="J37" s="4" t="s">
        <v>115</v>
      </c>
      <c r="K37" s="4">
        <v>24500</v>
      </c>
      <c r="L37" s="4">
        <v>342</v>
      </c>
      <c r="N37" s="4" t="s">
        <v>115</v>
      </c>
      <c r="O37" s="4" t="s">
        <v>115</v>
      </c>
      <c r="P37" s="4">
        <v>200111</v>
      </c>
      <c r="Q37" s="4">
        <v>12</v>
      </c>
      <c r="R37" s="88">
        <v>3870</v>
      </c>
    </row>
    <row r="38" spans="1:18" x14ac:dyDescent="0.15">
      <c r="A38" s="4" t="s">
        <v>1</v>
      </c>
      <c r="B38" s="4">
        <v>342</v>
      </c>
      <c r="C38" s="4" t="s">
        <v>115</v>
      </c>
      <c r="D38" s="4" t="s">
        <v>115</v>
      </c>
      <c r="E38" s="4">
        <v>1</v>
      </c>
      <c r="F38" s="4">
        <v>5</v>
      </c>
      <c r="G38" s="4" t="s">
        <v>115</v>
      </c>
      <c r="H38" s="4" t="s">
        <v>7307</v>
      </c>
      <c r="I38" s="4" t="s">
        <v>4800</v>
      </c>
      <c r="J38" s="4" t="s">
        <v>115</v>
      </c>
      <c r="K38" s="4">
        <v>24500</v>
      </c>
      <c r="L38" s="4">
        <v>343</v>
      </c>
      <c r="N38" s="4" t="s">
        <v>115</v>
      </c>
      <c r="O38" s="4" t="s">
        <v>115</v>
      </c>
      <c r="P38" s="4">
        <v>200112</v>
      </c>
      <c r="Q38" s="4">
        <v>12</v>
      </c>
      <c r="R38" s="88">
        <v>10562</v>
      </c>
    </row>
    <row r="39" spans="1:18" x14ac:dyDescent="0.15">
      <c r="A39" s="4" t="s">
        <v>1</v>
      </c>
      <c r="B39" s="40">
        <v>343</v>
      </c>
      <c r="C39" s="4" t="s">
        <v>115</v>
      </c>
      <c r="D39" s="4" t="s">
        <v>115</v>
      </c>
      <c r="E39" s="4">
        <v>2</v>
      </c>
      <c r="F39" s="4">
        <v>5</v>
      </c>
      <c r="G39" s="4" t="s">
        <v>115</v>
      </c>
      <c r="H39" s="4" t="s">
        <v>7307</v>
      </c>
      <c r="I39" s="4" t="s">
        <v>115</v>
      </c>
      <c r="J39" s="4">
        <v>20</v>
      </c>
      <c r="K39" s="4">
        <v>24500</v>
      </c>
      <c r="L39" s="4">
        <v>0</v>
      </c>
      <c r="N39" s="4">
        <v>200115</v>
      </c>
      <c r="O39" s="4">
        <v>200116</v>
      </c>
      <c r="P39" s="4">
        <v>200113</v>
      </c>
      <c r="Q39" s="4">
        <v>12</v>
      </c>
      <c r="R39" s="88">
        <v>10185</v>
      </c>
    </row>
    <row r="40" spans="1:18" x14ac:dyDescent="0.15">
      <c r="A40" s="4" t="s">
        <v>1</v>
      </c>
      <c r="B40" s="40" t="s">
        <v>456</v>
      </c>
      <c r="C40" s="4" t="s">
        <v>115</v>
      </c>
      <c r="D40" s="4">
        <v>3</v>
      </c>
      <c r="E40" s="4" t="s">
        <v>115</v>
      </c>
      <c r="F40" s="4" t="s">
        <v>115</v>
      </c>
      <c r="G40" s="4" t="s">
        <v>115</v>
      </c>
      <c r="H40" s="4" t="s">
        <v>7307</v>
      </c>
      <c r="I40" s="4" t="s">
        <v>115</v>
      </c>
      <c r="J40" s="4" t="s">
        <v>115</v>
      </c>
      <c r="K40" s="4">
        <v>25000</v>
      </c>
      <c r="L40" s="4">
        <v>352</v>
      </c>
      <c r="N40" s="4" t="s">
        <v>115</v>
      </c>
      <c r="O40" s="4" t="s">
        <v>115</v>
      </c>
      <c r="P40" s="4">
        <v>200111</v>
      </c>
      <c r="Q40" s="4">
        <v>205</v>
      </c>
      <c r="R40" s="88">
        <v>3870</v>
      </c>
    </row>
    <row r="41" spans="1:18" x14ac:dyDescent="0.15">
      <c r="A41" s="4" t="s">
        <v>1</v>
      </c>
      <c r="B41" s="4">
        <v>352</v>
      </c>
      <c r="C41" s="4" t="s">
        <v>115</v>
      </c>
      <c r="D41" s="4" t="s">
        <v>115</v>
      </c>
      <c r="E41" s="4">
        <v>1</v>
      </c>
      <c r="F41" s="4">
        <v>5</v>
      </c>
      <c r="G41" s="4" t="s">
        <v>115</v>
      </c>
      <c r="H41" s="4" t="s">
        <v>7307</v>
      </c>
      <c r="I41" s="4" t="s">
        <v>4800</v>
      </c>
      <c r="J41" s="4" t="s">
        <v>115</v>
      </c>
      <c r="K41" s="4">
        <v>25000</v>
      </c>
      <c r="L41" s="4">
        <v>353</v>
      </c>
      <c r="N41" s="4" t="s">
        <v>115</v>
      </c>
      <c r="O41" s="4" t="s">
        <v>115</v>
      </c>
      <c r="P41" s="4">
        <v>200112</v>
      </c>
      <c r="Q41" s="4">
        <v>205</v>
      </c>
      <c r="R41" s="88">
        <v>12169</v>
      </c>
    </row>
    <row r="42" spans="1:18" x14ac:dyDescent="0.15">
      <c r="A42" s="4" t="s">
        <v>1</v>
      </c>
      <c r="B42" s="40">
        <v>353</v>
      </c>
      <c r="C42" s="4" t="s">
        <v>115</v>
      </c>
      <c r="D42" s="4" t="s">
        <v>115</v>
      </c>
      <c r="E42" s="4">
        <v>2</v>
      </c>
      <c r="F42" s="4">
        <v>5</v>
      </c>
      <c r="G42" s="4" t="s">
        <v>115</v>
      </c>
      <c r="H42" s="4" t="s">
        <v>7307</v>
      </c>
      <c r="I42" s="4" t="s">
        <v>115</v>
      </c>
      <c r="J42" s="4">
        <v>20</v>
      </c>
      <c r="K42" s="4">
        <v>25000</v>
      </c>
      <c r="L42" s="4">
        <v>0</v>
      </c>
      <c r="N42" s="4">
        <v>200115</v>
      </c>
      <c r="O42" s="4">
        <v>200116</v>
      </c>
      <c r="P42" s="4">
        <v>200113</v>
      </c>
      <c r="Q42" s="4">
        <v>205</v>
      </c>
      <c r="R42" s="88">
        <v>10185</v>
      </c>
    </row>
    <row r="43" spans="1:18" x14ac:dyDescent="0.15">
      <c r="A43" s="4" t="s">
        <v>1</v>
      </c>
      <c r="B43" s="4" t="s">
        <v>2472</v>
      </c>
      <c r="C43" s="4" t="s">
        <v>115</v>
      </c>
      <c r="D43" s="4">
        <v>3</v>
      </c>
      <c r="E43" s="4" t="s">
        <v>115</v>
      </c>
      <c r="F43" s="4" t="s">
        <v>115</v>
      </c>
      <c r="G43" s="4" t="s">
        <v>115</v>
      </c>
      <c r="H43" s="4" t="s">
        <v>7307</v>
      </c>
      <c r="I43" s="4" t="s">
        <v>115</v>
      </c>
      <c r="J43" s="4" t="s">
        <v>115</v>
      </c>
      <c r="K43" s="4">
        <v>26000</v>
      </c>
      <c r="L43" s="4">
        <v>362</v>
      </c>
      <c r="N43" s="4" t="s">
        <v>115</v>
      </c>
      <c r="O43" s="4" t="s">
        <v>115</v>
      </c>
      <c r="P43" s="4">
        <v>200111</v>
      </c>
      <c r="Q43" s="4">
        <v>205</v>
      </c>
      <c r="R43" s="88">
        <v>3870</v>
      </c>
    </row>
    <row r="44" spans="1:18" x14ac:dyDescent="0.15">
      <c r="A44" s="4" t="s">
        <v>1</v>
      </c>
      <c r="B44" s="4">
        <v>362</v>
      </c>
      <c r="C44" s="4" t="s">
        <v>115</v>
      </c>
      <c r="D44" s="4" t="s">
        <v>115</v>
      </c>
      <c r="E44" s="4">
        <v>1</v>
      </c>
      <c r="F44" s="4">
        <v>5</v>
      </c>
      <c r="G44" s="4" t="s">
        <v>115</v>
      </c>
      <c r="H44" s="4" t="s">
        <v>7307</v>
      </c>
      <c r="I44" s="4" t="s">
        <v>4800</v>
      </c>
      <c r="J44" s="4" t="s">
        <v>115</v>
      </c>
      <c r="K44" s="4">
        <v>26000</v>
      </c>
      <c r="L44" s="4">
        <v>363</v>
      </c>
      <c r="N44" s="4" t="s">
        <v>115</v>
      </c>
      <c r="O44" s="4" t="s">
        <v>115</v>
      </c>
      <c r="P44" s="4">
        <v>200112</v>
      </c>
      <c r="Q44" s="4">
        <v>205</v>
      </c>
      <c r="R44" s="88">
        <v>12169</v>
      </c>
    </row>
    <row r="45" spans="1:18" x14ac:dyDescent="0.15">
      <c r="A45" s="4" t="s">
        <v>1</v>
      </c>
      <c r="B45" s="40">
        <v>363</v>
      </c>
      <c r="C45" s="4" t="s">
        <v>115</v>
      </c>
      <c r="D45" s="4" t="s">
        <v>115</v>
      </c>
      <c r="E45" s="4">
        <v>2</v>
      </c>
      <c r="F45" s="4">
        <v>5</v>
      </c>
      <c r="G45" s="4" t="s">
        <v>115</v>
      </c>
      <c r="H45" s="4" t="s">
        <v>7307</v>
      </c>
      <c r="I45" s="4" t="s">
        <v>115</v>
      </c>
      <c r="J45" s="4">
        <v>20</v>
      </c>
      <c r="K45" s="4">
        <v>26000</v>
      </c>
      <c r="L45" s="4">
        <v>0</v>
      </c>
      <c r="N45" s="4">
        <v>200115</v>
      </c>
      <c r="O45" s="4">
        <v>200116</v>
      </c>
      <c r="P45" s="4">
        <v>200113</v>
      </c>
      <c r="Q45" s="4">
        <v>205</v>
      </c>
      <c r="R45" s="88">
        <v>11806</v>
      </c>
    </row>
    <row r="46" spans="1:18" x14ac:dyDescent="0.15">
      <c r="A46" s="4" t="s">
        <v>1</v>
      </c>
      <c r="B46" s="4" t="s">
        <v>457</v>
      </c>
      <c r="C46" s="4" t="s">
        <v>115</v>
      </c>
      <c r="D46" s="4">
        <v>3</v>
      </c>
      <c r="E46" s="4" t="s">
        <v>115</v>
      </c>
      <c r="F46" s="4" t="s">
        <v>115</v>
      </c>
      <c r="G46" s="4" t="s">
        <v>115</v>
      </c>
      <c r="H46" s="4" t="s">
        <v>7307</v>
      </c>
      <c r="I46" s="4" t="s">
        <v>115</v>
      </c>
      <c r="J46" s="4" t="s">
        <v>115</v>
      </c>
      <c r="K46" s="4">
        <v>32000</v>
      </c>
      <c r="L46" s="4">
        <v>412</v>
      </c>
      <c r="N46" s="4" t="s">
        <v>115</v>
      </c>
      <c r="O46" s="4" t="s">
        <v>115</v>
      </c>
      <c r="P46" s="4">
        <v>200111</v>
      </c>
      <c r="Q46" s="4">
        <v>12</v>
      </c>
      <c r="R46" s="88">
        <v>4230</v>
      </c>
    </row>
    <row r="47" spans="1:18" x14ac:dyDescent="0.15">
      <c r="A47" s="4" t="s">
        <v>1</v>
      </c>
      <c r="B47" s="4">
        <v>412</v>
      </c>
      <c r="C47" s="4" t="s">
        <v>115</v>
      </c>
      <c r="D47" s="4" t="s">
        <v>115</v>
      </c>
      <c r="E47" s="4">
        <v>1</v>
      </c>
      <c r="F47" s="4">
        <v>5</v>
      </c>
      <c r="G47" s="4" t="s">
        <v>115</v>
      </c>
      <c r="H47" s="4" t="s">
        <v>7307</v>
      </c>
      <c r="I47" s="4" t="s">
        <v>4800</v>
      </c>
      <c r="J47" s="4" t="s">
        <v>115</v>
      </c>
      <c r="K47" s="4">
        <v>32000</v>
      </c>
      <c r="L47" s="4">
        <v>413</v>
      </c>
      <c r="N47" s="4" t="s">
        <v>115</v>
      </c>
      <c r="O47" s="4" t="s">
        <v>115</v>
      </c>
      <c r="P47" s="4">
        <v>200112</v>
      </c>
      <c r="Q47" s="4">
        <v>12</v>
      </c>
      <c r="R47" s="88">
        <v>15994</v>
      </c>
    </row>
    <row r="48" spans="1:18" ht="14.25" x14ac:dyDescent="0.15">
      <c r="A48" s="4" t="s">
        <v>1</v>
      </c>
      <c r="B48" s="4">
        <v>413</v>
      </c>
      <c r="C48" s="4" t="s">
        <v>115</v>
      </c>
      <c r="D48" s="4" t="s">
        <v>115</v>
      </c>
      <c r="E48" s="4">
        <v>2</v>
      </c>
      <c r="F48" s="4">
        <v>5</v>
      </c>
      <c r="G48" s="4" t="s">
        <v>115</v>
      </c>
      <c r="H48" s="4" t="s">
        <v>7307</v>
      </c>
      <c r="I48" s="4" t="s">
        <v>115</v>
      </c>
      <c r="J48" s="4">
        <v>20</v>
      </c>
      <c r="K48" s="4">
        <v>32000</v>
      </c>
      <c r="L48" s="4">
        <v>0</v>
      </c>
      <c r="M48" s="29"/>
      <c r="N48" s="4">
        <v>200115</v>
      </c>
      <c r="O48" s="4">
        <v>200116</v>
      </c>
      <c r="P48" s="4">
        <v>200113</v>
      </c>
      <c r="Q48" s="4">
        <v>12</v>
      </c>
      <c r="R48" s="88">
        <v>12721</v>
      </c>
    </row>
    <row r="49" spans="1:18" x14ac:dyDescent="0.15">
      <c r="A49" s="27" t="s">
        <v>1</v>
      </c>
      <c r="B49" s="4" t="s">
        <v>458</v>
      </c>
      <c r="C49" s="4" t="s">
        <v>115</v>
      </c>
      <c r="D49" s="4">
        <v>3</v>
      </c>
      <c r="E49" s="4" t="s">
        <v>115</v>
      </c>
      <c r="F49" s="4" t="s">
        <v>115</v>
      </c>
      <c r="G49" s="4" t="s">
        <v>115</v>
      </c>
      <c r="H49" s="4" t="s">
        <v>7307</v>
      </c>
      <c r="I49" s="4" t="s">
        <v>115</v>
      </c>
      <c r="J49" s="4" t="s">
        <v>115</v>
      </c>
      <c r="K49" s="4">
        <v>33000</v>
      </c>
      <c r="L49" s="4">
        <v>422</v>
      </c>
      <c r="N49" s="4" t="s">
        <v>115</v>
      </c>
      <c r="O49" s="4" t="s">
        <v>115</v>
      </c>
      <c r="P49" s="4">
        <v>200111</v>
      </c>
      <c r="Q49" s="4">
        <v>206</v>
      </c>
      <c r="R49" s="88">
        <v>4230</v>
      </c>
    </row>
    <row r="50" spans="1:18" x14ac:dyDescent="0.15">
      <c r="A50" s="27" t="s">
        <v>1</v>
      </c>
      <c r="B50" s="4">
        <v>422</v>
      </c>
      <c r="C50" s="4" t="s">
        <v>115</v>
      </c>
      <c r="D50" s="4" t="s">
        <v>115</v>
      </c>
      <c r="E50" s="4">
        <v>1</v>
      </c>
      <c r="F50" s="4">
        <v>5</v>
      </c>
      <c r="G50" s="4" t="s">
        <v>115</v>
      </c>
      <c r="H50" s="4" t="s">
        <v>7307</v>
      </c>
      <c r="I50" s="4" t="s">
        <v>4800</v>
      </c>
      <c r="J50" s="4" t="s">
        <v>115</v>
      </c>
      <c r="K50" s="4">
        <v>33000</v>
      </c>
      <c r="L50" s="4">
        <v>423</v>
      </c>
      <c r="N50" s="4" t="s">
        <v>115</v>
      </c>
      <c r="O50" s="4" t="s">
        <v>115</v>
      </c>
      <c r="P50" s="4">
        <v>200112</v>
      </c>
      <c r="Q50" s="4">
        <v>206</v>
      </c>
      <c r="R50" s="88">
        <v>15994</v>
      </c>
    </row>
    <row r="51" spans="1:18" x14ac:dyDescent="0.15">
      <c r="A51" s="27" t="s">
        <v>1</v>
      </c>
      <c r="B51" s="4">
        <v>423</v>
      </c>
      <c r="C51" s="4" t="s">
        <v>115</v>
      </c>
      <c r="D51" s="4" t="s">
        <v>115</v>
      </c>
      <c r="E51" s="4">
        <v>2</v>
      </c>
      <c r="F51" s="4">
        <v>5</v>
      </c>
      <c r="G51" s="4" t="s">
        <v>115</v>
      </c>
      <c r="H51" s="4" t="s">
        <v>7307</v>
      </c>
      <c r="I51" s="4" t="s">
        <v>115</v>
      </c>
      <c r="J51" s="4">
        <v>20</v>
      </c>
      <c r="K51" s="4">
        <v>33000</v>
      </c>
      <c r="L51" s="4">
        <v>0</v>
      </c>
      <c r="N51" s="4">
        <v>200115</v>
      </c>
      <c r="O51" s="4">
        <v>200116</v>
      </c>
      <c r="P51" s="4">
        <v>200113</v>
      </c>
      <c r="Q51" s="4">
        <v>206</v>
      </c>
      <c r="R51" s="88">
        <v>13022</v>
      </c>
    </row>
    <row r="52" spans="1:18" x14ac:dyDescent="0.15">
      <c r="A52" s="27" t="s">
        <v>1</v>
      </c>
      <c r="B52" s="4" t="s">
        <v>459</v>
      </c>
      <c r="C52" s="4" t="s">
        <v>115</v>
      </c>
      <c r="D52" s="4">
        <v>3</v>
      </c>
      <c r="E52" s="4" t="s">
        <v>115</v>
      </c>
      <c r="F52" s="4" t="s">
        <v>115</v>
      </c>
      <c r="G52" s="4" t="s">
        <v>115</v>
      </c>
      <c r="H52" s="4" t="s">
        <v>7307</v>
      </c>
      <c r="I52" s="4" t="s">
        <v>115</v>
      </c>
      <c r="J52" s="4" t="s">
        <v>115</v>
      </c>
      <c r="K52" s="4">
        <v>33500</v>
      </c>
      <c r="L52" s="4">
        <v>432</v>
      </c>
      <c r="N52" s="4" t="s">
        <v>115</v>
      </c>
      <c r="O52" s="4" t="s">
        <v>115</v>
      </c>
      <c r="P52" s="4">
        <v>200111</v>
      </c>
      <c r="Q52" s="4">
        <v>184</v>
      </c>
      <c r="R52" s="88">
        <v>4230</v>
      </c>
    </row>
    <row r="53" spans="1:18" x14ac:dyDescent="0.15">
      <c r="A53" s="27" t="s">
        <v>1</v>
      </c>
      <c r="B53" s="4">
        <v>432</v>
      </c>
      <c r="C53" s="4" t="s">
        <v>115</v>
      </c>
      <c r="D53" s="4" t="s">
        <v>115</v>
      </c>
      <c r="E53" s="4">
        <v>1</v>
      </c>
      <c r="F53" s="4">
        <v>5</v>
      </c>
      <c r="G53" s="4" t="s">
        <v>115</v>
      </c>
      <c r="H53" s="4" t="s">
        <v>7307</v>
      </c>
      <c r="I53" s="4" t="s">
        <v>4800</v>
      </c>
      <c r="J53" s="4" t="s">
        <v>115</v>
      </c>
      <c r="K53" s="4">
        <v>33500</v>
      </c>
      <c r="L53" s="4">
        <v>433</v>
      </c>
      <c r="N53" s="4" t="s">
        <v>115</v>
      </c>
      <c r="O53" s="4" t="s">
        <v>115</v>
      </c>
      <c r="P53" s="4">
        <v>200112</v>
      </c>
      <c r="Q53" s="4">
        <v>184</v>
      </c>
      <c r="R53" s="88">
        <v>16373</v>
      </c>
    </row>
    <row r="54" spans="1:18" x14ac:dyDescent="0.15">
      <c r="A54" s="27" t="s">
        <v>1</v>
      </c>
      <c r="B54" s="4">
        <v>433</v>
      </c>
      <c r="C54" s="4" t="s">
        <v>115</v>
      </c>
      <c r="D54" s="4" t="s">
        <v>115</v>
      </c>
      <c r="E54" s="4">
        <v>2</v>
      </c>
      <c r="F54" s="4">
        <v>5</v>
      </c>
      <c r="G54" s="4" t="s">
        <v>115</v>
      </c>
      <c r="H54" s="4" t="s">
        <v>7307</v>
      </c>
      <c r="I54" s="4" t="s">
        <v>115</v>
      </c>
      <c r="J54" s="4">
        <v>20</v>
      </c>
      <c r="K54" s="4">
        <v>33500</v>
      </c>
      <c r="L54" s="4">
        <v>0</v>
      </c>
      <c r="N54" s="4">
        <v>200115</v>
      </c>
      <c r="O54" s="4">
        <v>200116</v>
      </c>
      <c r="P54" s="4">
        <v>200113</v>
      </c>
      <c r="Q54" s="4">
        <v>184</v>
      </c>
      <c r="R54" s="88">
        <v>13022</v>
      </c>
    </row>
    <row r="55" spans="1:18" x14ac:dyDescent="0.15">
      <c r="A55" s="27" t="s">
        <v>1</v>
      </c>
      <c r="B55" s="40" t="s">
        <v>834</v>
      </c>
      <c r="C55" s="4" t="s">
        <v>115</v>
      </c>
      <c r="D55" s="4">
        <v>3</v>
      </c>
      <c r="E55" s="4" t="s">
        <v>115</v>
      </c>
      <c r="F55" s="4" t="s">
        <v>115</v>
      </c>
      <c r="G55" s="4" t="s">
        <v>115</v>
      </c>
      <c r="H55" s="4" t="s">
        <v>7307</v>
      </c>
      <c r="I55" s="4" t="s">
        <v>115</v>
      </c>
      <c r="J55" s="4" t="s">
        <v>115</v>
      </c>
      <c r="K55" s="4">
        <v>36000</v>
      </c>
      <c r="L55" s="4">
        <v>512</v>
      </c>
      <c r="N55" s="4" t="s">
        <v>115</v>
      </c>
      <c r="O55" s="4" t="s">
        <v>115</v>
      </c>
      <c r="P55" s="4">
        <v>200111</v>
      </c>
      <c r="Q55" s="4">
        <v>138</v>
      </c>
      <c r="R55" s="88">
        <v>4380</v>
      </c>
    </row>
    <row r="56" spans="1:18" x14ac:dyDescent="0.15">
      <c r="A56" s="27" t="s">
        <v>1</v>
      </c>
      <c r="B56" s="4">
        <v>512</v>
      </c>
      <c r="C56" s="4" t="s">
        <v>115</v>
      </c>
      <c r="D56" s="4" t="s">
        <v>115</v>
      </c>
      <c r="E56" s="4">
        <v>1</v>
      </c>
      <c r="F56" s="4">
        <v>5</v>
      </c>
      <c r="G56" s="4" t="s">
        <v>115</v>
      </c>
      <c r="H56" s="4" t="s">
        <v>7307</v>
      </c>
      <c r="I56" s="4" t="s">
        <v>4800</v>
      </c>
      <c r="J56" s="4" t="s">
        <v>115</v>
      </c>
      <c r="K56" s="4">
        <v>36000</v>
      </c>
      <c r="L56" s="4">
        <v>513</v>
      </c>
      <c r="N56" s="4" t="s">
        <v>115</v>
      </c>
      <c r="O56" s="4" t="s">
        <v>115</v>
      </c>
      <c r="P56" s="4">
        <v>200112</v>
      </c>
      <c r="Q56" s="4">
        <v>138</v>
      </c>
      <c r="R56" s="88">
        <v>16756</v>
      </c>
    </row>
    <row r="57" spans="1:18" x14ac:dyDescent="0.15">
      <c r="A57" s="27" t="s">
        <v>1</v>
      </c>
      <c r="B57" s="40">
        <v>513</v>
      </c>
      <c r="C57" s="4" t="s">
        <v>115</v>
      </c>
      <c r="D57" s="4" t="s">
        <v>115</v>
      </c>
      <c r="E57" s="4">
        <v>2</v>
      </c>
      <c r="F57" s="4">
        <v>5</v>
      </c>
      <c r="G57" s="4" t="s">
        <v>115</v>
      </c>
      <c r="H57" s="4" t="s">
        <v>7307</v>
      </c>
      <c r="I57" s="4" t="s">
        <v>115</v>
      </c>
      <c r="J57" s="4">
        <v>20</v>
      </c>
      <c r="K57" s="4">
        <v>36000</v>
      </c>
      <c r="L57" s="4">
        <v>0</v>
      </c>
      <c r="N57" s="4">
        <v>200115</v>
      </c>
      <c r="O57" s="4">
        <v>200116</v>
      </c>
      <c r="P57" s="4">
        <v>200113</v>
      </c>
      <c r="Q57" s="4">
        <v>138</v>
      </c>
      <c r="R57" s="88">
        <v>17734</v>
      </c>
    </row>
    <row r="58" spans="1:18" x14ac:dyDescent="0.15">
      <c r="A58" s="27" t="s">
        <v>1</v>
      </c>
      <c r="B58" s="4" t="s">
        <v>835</v>
      </c>
      <c r="C58" s="4" t="s">
        <v>115</v>
      </c>
      <c r="D58" s="4">
        <v>3</v>
      </c>
      <c r="E58" s="4" t="s">
        <v>115</v>
      </c>
      <c r="F58" s="4" t="s">
        <v>115</v>
      </c>
      <c r="G58" s="4" t="s">
        <v>115</v>
      </c>
      <c r="H58" s="4" t="s">
        <v>7307</v>
      </c>
      <c r="I58" s="4" t="s">
        <v>115</v>
      </c>
      <c r="J58" s="4" t="s">
        <v>115</v>
      </c>
      <c r="K58" s="4">
        <v>37000</v>
      </c>
      <c r="L58" s="4">
        <v>522</v>
      </c>
      <c r="N58" s="4" t="s">
        <v>115</v>
      </c>
      <c r="O58" s="4" t="s">
        <v>115</v>
      </c>
      <c r="P58" s="4">
        <v>200111</v>
      </c>
      <c r="Q58" s="4">
        <v>138</v>
      </c>
      <c r="R58" s="88">
        <v>4380</v>
      </c>
    </row>
    <row r="59" spans="1:18" x14ac:dyDescent="0.15">
      <c r="A59" s="27" t="s">
        <v>1</v>
      </c>
      <c r="B59" s="4">
        <v>522</v>
      </c>
      <c r="C59" s="4" t="s">
        <v>115</v>
      </c>
      <c r="D59" s="4" t="s">
        <v>115</v>
      </c>
      <c r="E59" s="4">
        <v>1</v>
      </c>
      <c r="F59" s="4">
        <v>5</v>
      </c>
      <c r="G59" s="4" t="s">
        <v>115</v>
      </c>
      <c r="H59" s="4" t="s">
        <v>7307</v>
      </c>
      <c r="I59" s="4" t="s">
        <v>4800</v>
      </c>
      <c r="J59" s="4" t="s">
        <v>115</v>
      </c>
      <c r="K59" s="4">
        <v>37000</v>
      </c>
      <c r="L59" s="4">
        <v>523</v>
      </c>
      <c r="N59" s="4" t="s">
        <v>115</v>
      </c>
      <c r="O59" s="4" t="s">
        <v>115</v>
      </c>
      <c r="P59" s="4">
        <v>200112</v>
      </c>
      <c r="Q59" s="4">
        <v>138</v>
      </c>
      <c r="R59" s="88">
        <v>16756</v>
      </c>
    </row>
    <row r="60" spans="1:18" x14ac:dyDescent="0.15">
      <c r="A60" s="27" t="s">
        <v>1</v>
      </c>
      <c r="B60" s="4">
        <v>523</v>
      </c>
      <c r="C60" s="4" t="s">
        <v>115</v>
      </c>
      <c r="D60" s="4" t="s">
        <v>115</v>
      </c>
      <c r="E60" s="4">
        <v>2</v>
      </c>
      <c r="F60" s="4">
        <v>5</v>
      </c>
      <c r="G60" s="4" t="s">
        <v>115</v>
      </c>
      <c r="H60" s="4" t="s">
        <v>7307</v>
      </c>
      <c r="I60" s="4" t="s">
        <v>115</v>
      </c>
      <c r="J60" s="4">
        <v>20</v>
      </c>
      <c r="K60" s="4">
        <v>37000</v>
      </c>
      <c r="L60" s="4">
        <v>0</v>
      </c>
      <c r="N60" s="4">
        <v>200115</v>
      </c>
      <c r="O60" s="4">
        <v>200116</v>
      </c>
      <c r="P60" s="4">
        <v>200113</v>
      </c>
      <c r="Q60" s="4">
        <v>138</v>
      </c>
      <c r="R60" s="88">
        <v>17734</v>
      </c>
    </row>
    <row r="61" spans="1:18" x14ac:dyDescent="0.15">
      <c r="A61" s="27" t="s">
        <v>1</v>
      </c>
      <c r="B61" s="40" t="s">
        <v>836</v>
      </c>
      <c r="C61" s="4" t="s">
        <v>115</v>
      </c>
      <c r="D61" s="4">
        <v>3</v>
      </c>
      <c r="E61" s="4" t="s">
        <v>115</v>
      </c>
      <c r="F61" s="4" t="s">
        <v>115</v>
      </c>
      <c r="G61" s="4" t="s">
        <v>115</v>
      </c>
      <c r="H61" s="4" t="s">
        <v>7307</v>
      </c>
      <c r="I61" s="4" t="s">
        <v>115</v>
      </c>
      <c r="J61" s="4" t="s">
        <v>115</v>
      </c>
      <c r="K61" s="4">
        <v>38000</v>
      </c>
      <c r="L61" s="4">
        <v>532</v>
      </c>
      <c r="N61" s="4" t="s">
        <v>115</v>
      </c>
      <c r="O61" s="4" t="s">
        <v>115</v>
      </c>
      <c r="P61" s="4">
        <v>200111</v>
      </c>
      <c r="Q61" s="4">
        <v>206</v>
      </c>
      <c r="R61" s="88">
        <v>4380</v>
      </c>
    </row>
    <row r="62" spans="1:18" x14ac:dyDescent="0.15">
      <c r="A62" s="27" t="s">
        <v>1</v>
      </c>
      <c r="B62" s="4">
        <v>532</v>
      </c>
      <c r="C62" s="4" t="s">
        <v>115</v>
      </c>
      <c r="D62" s="4" t="s">
        <v>115</v>
      </c>
      <c r="E62" s="4">
        <v>1</v>
      </c>
      <c r="F62" s="4">
        <v>5</v>
      </c>
      <c r="G62" s="4" t="s">
        <v>115</v>
      </c>
      <c r="H62" s="4" t="s">
        <v>7307</v>
      </c>
      <c r="I62" s="4" t="s">
        <v>4800</v>
      </c>
      <c r="J62" s="4" t="s">
        <v>115</v>
      </c>
      <c r="K62" s="4">
        <v>38000</v>
      </c>
      <c r="L62" s="4">
        <v>533</v>
      </c>
      <c r="N62" s="4" t="s">
        <v>115</v>
      </c>
      <c r="O62" s="4" t="s">
        <v>115</v>
      </c>
      <c r="P62" s="4">
        <v>200112</v>
      </c>
      <c r="Q62" s="4">
        <v>206</v>
      </c>
      <c r="R62" s="88">
        <v>16756</v>
      </c>
    </row>
    <row r="63" spans="1:18" x14ac:dyDescent="0.15">
      <c r="A63" s="27" t="s">
        <v>1</v>
      </c>
      <c r="B63" s="4">
        <v>533</v>
      </c>
      <c r="C63" s="4" t="s">
        <v>115</v>
      </c>
      <c r="D63" s="4" t="s">
        <v>115</v>
      </c>
      <c r="E63" s="4">
        <v>2</v>
      </c>
      <c r="F63" s="4">
        <v>5</v>
      </c>
      <c r="G63" s="4" t="s">
        <v>115</v>
      </c>
      <c r="H63" s="4" t="s">
        <v>7307</v>
      </c>
      <c r="I63" s="4" t="s">
        <v>115</v>
      </c>
      <c r="J63" s="4">
        <v>20</v>
      </c>
      <c r="K63" s="4">
        <v>38000</v>
      </c>
      <c r="L63" s="4">
        <v>0</v>
      </c>
      <c r="N63" s="4">
        <v>200115</v>
      </c>
      <c r="O63" s="4">
        <v>200116</v>
      </c>
      <c r="P63" s="4">
        <v>200113</v>
      </c>
      <c r="Q63" s="4">
        <v>206</v>
      </c>
      <c r="R63" s="88">
        <v>17734</v>
      </c>
    </row>
    <row r="64" spans="1:18" x14ac:dyDescent="0.15">
      <c r="A64" s="27" t="s">
        <v>1</v>
      </c>
      <c r="B64" s="4" t="s">
        <v>947</v>
      </c>
      <c r="C64" s="4" t="s">
        <v>115</v>
      </c>
      <c r="D64" s="4">
        <v>3</v>
      </c>
      <c r="E64" s="4" t="s">
        <v>115</v>
      </c>
      <c r="F64" s="4" t="s">
        <v>115</v>
      </c>
      <c r="G64" s="4" t="s">
        <v>115</v>
      </c>
      <c r="H64" s="4" t="s">
        <v>7307</v>
      </c>
      <c r="I64" s="4" t="s">
        <v>115</v>
      </c>
      <c r="J64" s="4" t="s">
        <v>115</v>
      </c>
      <c r="K64" s="4">
        <v>42000</v>
      </c>
      <c r="L64" s="4">
        <v>612</v>
      </c>
      <c r="N64" s="4" t="s">
        <v>115</v>
      </c>
      <c r="O64" s="4" t="s">
        <v>115</v>
      </c>
      <c r="P64" s="4">
        <v>200111</v>
      </c>
      <c r="Q64" s="4">
        <v>198</v>
      </c>
      <c r="R64" s="88">
        <v>4890</v>
      </c>
    </row>
    <row r="65" spans="1:18" x14ac:dyDescent="0.15">
      <c r="A65" s="27" t="s">
        <v>1</v>
      </c>
      <c r="B65" s="40">
        <v>612</v>
      </c>
      <c r="C65" s="4" t="s">
        <v>115</v>
      </c>
      <c r="D65" s="4" t="s">
        <v>115</v>
      </c>
      <c r="E65" s="4">
        <v>1</v>
      </c>
      <c r="F65" s="4">
        <v>5</v>
      </c>
      <c r="G65" s="4" t="s">
        <v>115</v>
      </c>
      <c r="H65" s="4" t="s">
        <v>7307</v>
      </c>
      <c r="I65" s="4" t="s">
        <v>4800</v>
      </c>
      <c r="J65" s="4" t="s">
        <v>115</v>
      </c>
      <c r="K65" s="4">
        <v>42000</v>
      </c>
      <c r="L65" s="4">
        <v>613</v>
      </c>
      <c r="N65" s="4" t="s">
        <v>115</v>
      </c>
      <c r="O65" s="4" t="s">
        <v>115</v>
      </c>
      <c r="P65" s="4">
        <v>200112</v>
      </c>
      <c r="Q65" s="4">
        <v>198</v>
      </c>
      <c r="R65" s="88">
        <v>20916</v>
      </c>
    </row>
    <row r="66" spans="1:18" x14ac:dyDescent="0.15">
      <c r="A66" s="27" t="s">
        <v>1</v>
      </c>
      <c r="B66" s="4">
        <v>613</v>
      </c>
      <c r="C66" s="4" t="s">
        <v>115</v>
      </c>
      <c r="D66" s="4" t="s">
        <v>115</v>
      </c>
      <c r="E66" s="4">
        <v>2</v>
      </c>
      <c r="F66" s="4">
        <v>5</v>
      </c>
      <c r="G66" s="4" t="s">
        <v>115</v>
      </c>
      <c r="H66" s="4" t="s">
        <v>7307</v>
      </c>
      <c r="I66" s="4" t="s">
        <v>115</v>
      </c>
      <c r="J66" s="4">
        <v>20</v>
      </c>
      <c r="K66" s="4">
        <v>42000</v>
      </c>
      <c r="L66" s="4">
        <v>0</v>
      </c>
      <c r="N66" s="4">
        <v>200115</v>
      </c>
      <c r="O66" s="4">
        <v>200116</v>
      </c>
      <c r="P66" s="4">
        <v>200113</v>
      </c>
      <c r="Q66" s="4">
        <v>198</v>
      </c>
      <c r="R66" s="88">
        <v>19312</v>
      </c>
    </row>
    <row r="67" spans="1:18" x14ac:dyDescent="0.15">
      <c r="A67" s="27" t="s">
        <v>1</v>
      </c>
      <c r="B67" s="40" t="s">
        <v>948</v>
      </c>
      <c r="C67" s="4" t="s">
        <v>115</v>
      </c>
      <c r="D67" s="4">
        <v>3</v>
      </c>
      <c r="E67" s="4" t="s">
        <v>115</v>
      </c>
      <c r="F67" s="4" t="s">
        <v>115</v>
      </c>
      <c r="G67" s="4" t="s">
        <v>115</v>
      </c>
      <c r="H67" s="4" t="s">
        <v>7307</v>
      </c>
      <c r="I67" s="4" t="s">
        <v>115</v>
      </c>
      <c r="J67" s="4" t="s">
        <v>115</v>
      </c>
      <c r="K67" s="4">
        <v>43500</v>
      </c>
      <c r="L67" s="4">
        <v>622</v>
      </c>
      <c r="N67" s="4" t="s">
        <v>115</v>
      </c>
      <c r="O67" s="4" t="s">
        <v>115</v>
      </c>
      <c r="P67" s="4">
        <v>200111</v>
      </c>
      <c r="Q67" s="4">
        <v>163</v>
      </c>
      <c r="R67" s="88">
        <v>4890</v>
      </c>
    </row>
    <row r="68" spans="1:18" x14ac:dyDescent="0.15">
      <c r="A68" s="27" t="s">
        <v>1</v>
      </c>
      <c r="B68" s="4">
        <v>622</v>
      </c>
      <c r="C68" s="4" t="s">
        <v>115</v>
      </c>
      <c r="D68" s="4" t="s">
        <v>115</v>
      </c>
      <c r="E68" s="4">
        <v>1</v>
      </c>
      <c r="F68" s="4">
        <v>5</v>
      </c>
      <c r="G68" s="4" t="s">
        <v>115</v>
      </c>
      <c r="H68" s="4" t="s">
        <v>7307</v>
      </c>
      <c r="I68" s="4" t="s">
        <v>4800</v>
      </c>
      <c r="J68" s="4" t="s">
        <v>115</v>
      </c>
      <c r="K68" s="4">
        <v>43500</v>
      </c>
      <c r="L68" s="4">
        <v>623</v>
      </c>
      <c r="N68" s="4" t="s">
        <v>115</v>
      </c>
      <c r="O68" s="4" t="s">
        <v>115</v>
      </c>
      <c r="P68" s="4">
        <v>200112</v>
      </c>
      <c r="Q68" s="4">
        <v>163</v>
      </c>
      <c r="R68" s="88">
        <v>20916</v>
      </c>
    </row>
    <row r="69" spans="1:18" x14ac:dyDescent="0.15">
      <c r="A69" s="27" t="s">
        <v>1</v>
      </c>
      <c r="B69" s="4">
        <v>623</v>
      </c>
      <c r="C69" s="4" t="s">
        <v>115</v>
      </c>
      <c r="D69" s="4" t="s">
        <v>115</v>
      </c>
      <c r="E69" s="4">
        <v>2</v>
      </c>
      <c r="F69" s="4">
        <v>5</v>
      </c>
      <c r="G69" s="4" t="s">
        <v>115</v>
      </c>
      <c r="H69" s="4" t="s">
        <v>7307</v>
      </c>
      <c r="I69" s="4" t="s">
        <v>115</v>
      </c>
      <c r="J69" s="4">
        <v>20</v>
      </c>
      <c r="K69" s="4">
        <v>43500</v>
      </c>
      <c r="L69" s="4">
        <v>0</v>
      </c>
      <c r="N69" s="4">
        <v>200115</v>
      </c>
      <c r="O69" s="4">
        <v>200116</v>
      </c>
      <c r="P69" s="4">
        <v>200113</v>
      </c>
      <c r="Q69" s="4">
        <v>163</v>
      </c>
      <c r="R69" s="88">
        <v>19312</v>
      </c>
    </row>
    <row r="70" spans="1:18" x14ac:dyDescent="0.15">
      <c r="A70" s="27" t="s">
        <v>1</v>
      </c>
      <c r="B70" s="4" t="s">
        <v>949</v>
      </c>
      <c r="C70" s="4" t="s">
        <v>115</v>
      </c>
      <c r="D70" s="4">
        <v>3</v>
      </c>
      <c r="E70" s="4" t="s">
        <v>115</v>
      </c>
      <c r="F70" s="4" t="s">
        <v>115</v>
      </c>
      <c r="G70" s="4" t="s">
        <v>115</v>
      </c>
      <c r="H70" s="4" t="s">
        <v>7307</v>
      </c>
      <c r="I70" s="4" t="s">
        <v>115</v>
      </c>
      <c r="J70" s="4" t="s">
        <v>115</v>
      </c>
      <c r="K70" s="4">
        <v>44500</v>
      </c>
      <c r="L70" s="4">
        <v>632</v>
      </c>
      <c r="N70" s="4" t="s">
        <v>115</v>
      </c>
      <c r="O70" s="4" t="s">
        <v>115</v>
      </c>
      <c r="P70" s="4">
        <v>200111</v>
      </c>
      <c r="Q70" s="4">
        <v>163</v>
      </c>
      <c r="R70" s="88">
        <v>4890</v>
      </c>
    </row>
    <row r="71" spans="1:18" x14ac:dyDescent="0.15">
      <c r="A71" s="27" t="s">
        <v>1</v>
      </c>
      <c r="B71" s="40">
        <v>632</v>
      </c>
      <c r="C71" s="4" t="s">
        <v>115</v>
      </c>
      <c r="D71" s="4" t="s">
        <v>115</v>
      </c>
      <c r="E71" s="4">
        <v>1</v>
      </c>
      <c r="F71" s="4">
        <v>5</v>
      </c>
      <c r="G71" s="4" t="s">
        <v>115</v>
      </c>
      <c r="H71" s="4" t="s">
        <v>7307</v>
      </c>
      <c r="I71" s="4" t="s">
        <v>4800</v>
      </c>
      <c r="J71" s="4" t="s">
        <v>115</v>
      </c>
      <c r="K71" s="4">
        <v>44500</v>
      </c>
      <c r="L71" s="4">
        <v>633</v>
      </c>
      <c r="N71" s="4" t="s">
        <v>115</v>
      </c>
      <c r="O71" s="4" t="s">
        <v>115</v>
      </c>
      <c r="P71" s="4">
        <v>200112</v>
      </c>
      <c r="Q71" s="4">
        <v>163</v>
      </c>
      <c r="R71" s="88">
        <v>21121</v>
      </c>
    </row>
    <row r="72" spans="1:18" x14ac:dyDescent="0.15">
      <c r="A72" s="27" t="s">
        <v>1</v>
      </c>
      <c r="B72" s="40">
        <v>633</v>
      </c>
      <c r="C72" s="4" t="s">
        <v>115</v>
      </c>
      <c r="D72" s="4" t="s">
        <v>115</v>
      </c>
      <c r="E72" s="4">
        <v>2</v>
      </c>
      <c r="F72" s="4">
        <v>5</v>
      </c>
      <c r="G72" s="4" t="s">
        <v>115</v>
      </c>
      <c r="H72" s="4" t="s">
        <v>7307</v>
      </c>
      <c r="I72" s="4" t="s">
        <v>115</v>
      </c>
      <c r="J72" s="4">
        <v>20</v>
      </c>
      <c r="K72" s="4">
        <v>44500</v>
      </c>
      <c r="L72" s="4">
        <v>0</v>
      </c>
      <c r="N72" s="4">
        <v>200115</v>
      </c>
      <c r="O72" s="4">
        <v>200116</v>
      </c>
      <c r="P72" s="4">
        <v>200113</v>
      </c>
      <c r="Q72" s="4">
        <v>163</v>
      </c>
      <c r="R72" s="88">
        <v>19312</v>
      </c>
    </row>
    <row r="73" spans="1:18" x14ac:dyDescent="0.15">
      <c r="A73" s="27" t="s">
        <v>1</v>
      </c>
      <c r="B73" s="4" t="s">
        <v>950</v>
      </c>
      <c r="C73" s="4" t="s">
        <v>115</v>
      </c>
      <c r="D73" s="4">
        <v>3</v>
      </c>
      <c r="E73" s="4" t="s">
        <v>115</v>
      </c>
      <c r="F73" s="4" t="s">
        <v>115</v>
      </c>
      <c r="G73" s="4" t="s">
        <v>115</v>
      </c>
      <c r="H73" s="4" t="s">
        <v>7307</v>
      </c>
      <c r="I73" s="4" t="s">
        <v>115</v>
      </c>
      <c r="J73" s="4" t="s">
        <v>115</v>
      </c>
      <c r="K73" s="4">
        <v>45000</v>
      </c>
      <c r="L73" s="4">
        <v>642</v>
      </c>
      <c r="N73" s="4" t="s">
        <v>115</v>
      </c>
      <c r="O73" s="4" t="s">
        <v>115</v>
      </c>
      <c r="P73" s="4">
        <v>200111</v>
      </c>
      <c r="Q73" s="4">
        <v>185</v>
      </c>
      <c r="R73" s="88">
        <v>4890</v>
      </c>
    </row>
    <row r="74" spans="1:18" x14ac:dyDescent="0.15">
      <c r="A74" s="27" t="s">
        <v>1</v>
      </c>
      <c r="B74" s="4">
        <v>642</v>
      </c>
      <c r="C74" s="4" t="s">
        <v>115</v>
      </c>
      <c r="D74" s="4" t="s">
        <v>115</v>
      </c>
      <c r="E74" s="4">
        <v>1</v>
      </c>
      <c r="F74" s="4">
        <v>5</v>
      </c>
      <c r="G74" s="4" t="s">
        <v>115</v>
      </c>
      <c r="H74" s="4" t="s">
        <v>7307</v>
      </c>
      <c r="I74" s="4" t="s">
        <v>4800</v>
      </c>
      <c r="J74" s="4" t="s">
        <v>115</v>
      </c>
      <c r="K74" s="4">
        <v>45000</v>
      </c>
      <c r="L74" s="4">
        <v>643</v>
      </c>
      <c r="N74" s="4" t="s">
        <v>115</v>
      </c>
      <c r="O74" s="4" t="s">
        <v>115</v>
      </c>
      <c r="P74" s="4">
        <v>200112</v>
      </c>
      <c r="Q74" s="4">
        <v>185</v>
      </c>
      <c r="R74" s="88">
        <v>21121</v>
      </c>
    </row>
    <row r="75" spans="1:18" x14ac:dyDescent="0.15">
      <c r="A75" s="27" t="s">
        <v>1</v>
      </c>
      <c r="B75" s="4">
        <v>643</v>
      </c>
      <c r="C75" s="4" t="s">
        <v>115</v>
      </c>
      <c r="D75" s="4" t="s">
        <v>115</v>
      </c>
      <c r="E75" s="4">
        <v>2</v>
      </c>
      <c r="F75" s="4">
        <v>5</v>
      </c>
      <c r="G75" s="4" t="s">
        <v>115</v>
      </c>
      <c r="H75" s="4" t="s">
        <v>7307</v>
      </c>
      <c r="I75" s="4" t="s">
        <v>115</v>
      </c>
      <c r="J75" s="4">
        <v>20</v>
      </c>
      <c r="K75" s="4">
        <v>45000</v>
      </c>
      <c r="L75" s="4">
        <v>0</v>
      </c>
      <c r="N75" s="4">
        <v>200115</v>
      </c>
      <c r="O75" s="4">
        <v>200116</v>
      </c>
      <c r="P75" s="4">
        <v>200113</v>
      </c>
      <c r="Q75" s="4">
        <v>185</v>
      </c>
      <c r="R75" s="88">
        <v>19312</v>
      </c>
    </row>
    <row r="76" spans="1:18" x14ac:dyDescent="0.15">
      <c r="A76" s="27" t="s">
        <v>1</v>
      </c>
      <c r="B76" s="40" t="s">
        <v>951</v>
      </c>
      <c r="C76" s="4" t="s">
        <v>115</v>
      </c>
      <c r="D76" s="4">
        <v>3</v>
      </c>
      <c r="E76" s="4" t="s">
        <v>115</v>
      </c>
      <c r="F76" s="4" t="s">
        <v>115</v>
      </c>
      <c r="G76" s="4" t="s">
        <v>115</v>
      </c>
      <c r="H76" s="4" t="s">
        <v>7307</v>
      </c>
      <c r="I76" s="4" t="s">
        <v>115</v>
      </c>
      <c r="J76" s="4" t="s">
        <v>115</v>
      </c>
      <c r="K76" s="4">
        <v>45500</v>
      </c>
      <c r="L76" s="4">
        <v>652</v>
      </c>
      <c r="N76" s="4" t="s">
        <v>115</v>
      </c>
      <c r="O76" s="4" t="s">
        <v>115</v>
      </c>
      <c r="P76" s="4">
        <v>200111</v>
      </c>
      <c r="Q76" s="4">
        <v>187</v>
      </c>
      <c r="R76" s="88">
        <v>4890</v>
      </c>
    </row>
    <row r="77" spans="1:18" x14ac:dyDescent="0.15">
      <c r="A77" s="27" t="s">
        <v>1</v>
      </c>
      <c r="B77" s="4">
        <v>652</v>
      </c>
      <c r="C77" s="4" t="s">
        <v>115</v>
      </c>
      <c r="D77" s="4" t="s">
        <v>115</v>
      </c>
      <c r="E77" s="4">
        <v>1</v>
      </c>
      <c r="F77" s="4">
        <v>5</v>
      </c>
      <c r="G77" s="4" t="s">
        <v>115</v>
      </c>
      <c r="H77" s="4" t="s">
        <v>7307</v>
      </c>
      <c r="I77" s="4" t="s">
        <v>4800</v>
      </c>
      <c r="J77" s="4" t="s">
        <v>115</v>
      </c>
      <c r="K77" s="4">
        <v>45500</v>
      </c>
      <c r="L77" s="4">
        <v>653</v>
      </c>
      <c r="N77" s="4" t="s">
        <v>115</v>
      </c>
      <c r="O77" s="4" t="s">
        <v>115</v>
      </c>
      <c r="P77" s="4">
        <v>200112</v>
      </c>
      <c r="Q77" s="4">
        <v>187</v>
      </c>
      <c r="R77" s="88">
        <v>21568</v>
      </c>
    </row>
    <row r="78" spans="1:18" x14ac:dyDescent="0.15">
      <c r="A78" s="27" t="s">
        <v>1</v>
      </c>
      <c r="B78" s="4">
        <v>653</v>
      </c>
      <c r="C78" s="4" t="s">
        <v>115</v>
      </c>
      <c r="D78" s="4" t="s">
        <v>115</v>
      </c>
      <c r="E78" s="4">
        <v>2</v>
      </c>
      <c r="F78" s="4">
        <v>5</v>
      </c>
      <c r="G78" s="4" t="s">
        <v>115</v>
      </c>
      <c r="H78" s="4" t="s">
        <v>7307</v>
      </c>
      <c r="I78" s="4" t="s">
        <v>115</v>
      </c>
      <c r="J78" s="4">
        <v>20</v>
      </c>
      <c r="K78" s="4">
        <v>45500</v>
      </c>
      <c r="L78" s="4">
        <v>0</v>
      </c>
      <c r="N78" s="4">
        <v>200115</v>
      </c>
      <c r="O78" s="4">
        <v>200116</v>
      </c>
      <c r="P78" s="4">
        <v>200113</v>
      </c>
      <c r="Q78" s="4">
        <v>187</v>
      </c>
      <c r="R78" s="88">
        <v>19312</v>
      </c>
    </row>
    <row r="79" spans="1:18" x14ac:dyDescent="0.15">
      <c r="A79" s="27" t="s">
        <v>1</v>
      </c>
      <c r="B79" s="4" t="s">
        <v>291</v>
      </c>
      <c r="C79" s="4" t="s">
        <v>115</v>
      </c>
      <c r="D79" s="4">
        <v>3</v>
      </c>
      <c r="E79" s="4" t="s">
        <v>115</v>
      </c>
      <c r="F79" s="4" t="s">
        <v>115</v>
      </c>
      <c r="G79" s="4" t="s">
        <v>115</v>
      </c>
      <c r="H79" s="4" t="s">
        <v>7307</v>
      </c>
      <c r="I79" s="4" t="s">
        <v>115</v>
      </c>
      <c r="J79" s="4" t="s">
        <v>115</v>
      </c>
      <c r="K79" s="4">
        <v>49000</v>
      </c>
      <c r="L79" s="4">
        <v>712</v>
      </c>
      <c r="N79" s="4" t="s">
        <v>115</v>
      </c>
      <c r="O79" s="4" t="s">
        <v>115</v>
      </c>
      <c r="P79" s="4">
        <v>200111</v>
      </c>
      <c r="Q79" s="4">
        <v>34</v>
      </c>
      <c r="R79" s="88">
        <v>5130</v>
      </c>
    </row>
    <row r="80" spans="1:18" x14ac:dyDescent="0.15">
      <c r="A80" s="27" t="s">
        <v>1</v>
      </c>
      <c r="B80" s="4">
        <v>712</v>
      </c>
      <c r="C80" s="4" t="s">
        <v>115</v>
      </c>
      <c r="D80" s="4" t="s">
        <v>115</v>
      </c>
      <c r="E80" s="4">
        <v>1</v>
      </c>
      <c r="F80" s="4">
        <v>5</v>
      </c>
      <c r="G80" s="4" t="s">
        <v>115</v>
      </c>
      <c r="H80" s="4" t="s">
        <v>7307</v>
      </c>
      <c r="I80" s="4" t="s">
        <v>4800</v>
      </c>
      <c r="J80" s="4" t="s">
        <v>115</v>
      </c>
      <c r="K80" s="4">
        <v>49000</v>
      </c>
      <c r="L80" s="4">
        <v>713</v>
      </c>
      <c r="N80" s="4" t="s">
        <v>115</v>
      </c>
      <c r="O80" s="4" t="s">
        <v>115</v>
      </c>
      <c r="P80" s="4">
        <v>200112</v>
      </c>
      <c r="Q80" s="4">
        <v>34</v>
      </c>
      <c r="R80" s="88">
        <v>24350</v>
      </c>
    </row>
    <row r="81" spans="1:18" x14ac:dyDescent="0.15">
      <c r="A81" s="27" t="s">
        <v>1</v>
      </c>
      <c r="B81" s="4">
        <v>713</v>
      </c>
      <c r="C81" s="4" t="s">
        <v>115</v>
      </c>
      <c r="D81" s="4" t="s">
        <v>115</v>
      </c>
      <c r="E81" s="4">
        <v>2</v>
      </c>
      <c r="F81" s="4">
        <v>5</v>
      </c>
      <c r="G81" s="4" t="s">
        <v>115</v>
      </c>
      <c r="H81" s="4" t="s">
        <v>7307</v>
      </c>
      <c r="I81" s="4" t="s">
        <v>115</v>
      </c>
      <c r="J81" s="4">
        <v>20</v>
      </c>
      <c r="K81" s="4">
        <v>49000</v>
      </c>
      <c r="L81" s="4">
        <v>0</v>
      </c>
      <c r="N81" s="4">
        <v>200115</v>
      </c>
      <c r="O81" s="4">
        <v>200116</v>
      </c>
      <c r="P81" s="4">
        <v>200113</v>
      </c>
      <c r="Q81" s="4">
        <v>34</v>
      </c>
      <c r="R81" s="88">
        <v>21914</v>
      </c>
    </row>
    <row r="82" spans="1:18" x14ac:dyDescent="0.15">
      <c r="A82" s="27" t="s">
        <v>1</v>
      </c>
      <c r="B82" s="4" t="s">
        <v>292</v>
      </c>
      <c r="C82" s="4" t="s">
        <v>115</v>
      </c>
      <c r="D82" s="4">
        <v>3</v>
      </c>
      <c r="E82" s="4" t="s">
        <v>115</v>
      </c>
      <c r="F82" s="4" t="s">
        <v>115</v>
      </c>
      <c r="G82" s="4" t="s">
        <v>115</v>
      </c>
      <c r="H82" s="4" t="s">
        <v>7307</v>
      </c>
      <c r="I82" s="4" t="s">
        <v>115</v>
      </c>
      <c r="J82" s="4" t="s">
        <v>115</v>
      </c>
      <c r="K82" s="4">
        <v>50000</v>
      </c>
      <c r="L82" s="4">
        <v>722</v>
      </c>
      <c r="N82" s="4" t="s">
        <v>115</v>
      </c>
      <c r="O82" s="4" t="s">
        <v>115</v>
      </c>
      <c r="P82" s="4">
        <v>200111</v>
      </c>
      <c r="Q82" s="4">
        <v>118</v>
      </c>
      <c r="R82" s="88">
        <v>5130</v>
      </c>
    </row>
    <row r="83" spans="1:18" x14ac:dyDescent="0.15">
      <c r="A83" s="27" t="s">
        <v>1</v>
      </c>
      <c r="B83" s="40">
        <v>722</v>
      </c>
      <c r="C83" s="4" t="s">
        <v>115</v>
      </c>
      <c r="D83" s="4" t="s">
        <v>115</v>
      </c>
      <c r="E83" s="4">
        <v>1</v>
      </c>
      <c r="F83" s="4">
        <v>5</v>
      </c>
      <c r="G83" s="4" t="s">
        <v>115</v>
      </c>
      <c r="H83" s="4" t="s">
        <v>7307</v>
      </c>
      <c r="I83" s="4" t="s">
        <v>4800</v>
      </c>
      <c r="J83" s="4" t="s">
        <v>115</v>
      </c>
      <c r="K83" s="4">
        <v>50000</v>
      </c>
      <c r="L83" s="4">
        <v>723</v>
      </c>
      <c r="N83" s="4" t="s">
        <v>115</v>
      </c>
      <c r="O83" s="4" t="s">
        <v>115</v>
      </c>
      <c r="P83" s="4">
        <v>200112</v>
      </c>
      <c r="Q83" s="4">
        <v>118</v>
      </c>
      <c r="R83" s="88">
        <v>24350</v>
      </c>
    </row>
    <row r="84" spans="1:18" x14ac:dyDescent="0.15">
      <c r="A84" s="27" t="s">
        <v>1</v>
      </c>
      <c r="B84" s="40">
        <v>723</v>
      </c>
      <c r="C84" s="4" t="s">
        <v>115</v>
      </c>
      <c r="D84" s="4" t="s">
        <v>115</v>
      </c>
      <c r="E84" s="4">
        <v>2</v>
      </c>
      <c r="F84" s="4">
        <v>5</v>
      </c>
      <c r="G84" s="4" t="s">
        <v>115</v>
      </c>
      <c r="H84" s="4" t="s">
        <v>7307</v>
      </c>
      <c r="I84" s="4" t="s">
        <v>115</v>
      </c>
      <c r="J84" s="4">
        <v>20</v>
      </c>
      <c r="K84" s="4">
        <v>50000</v>
      </c>
      <c r="L84" s="4">
        <v>0</v>
      </c>
      <c r="N84" s="4">
        <v>200115</v>
      </c>
      <c r="O84" s="4">
        <v>200116</v>
      </c>
      <c r="P84" s="4">
        <v>200113</v>
      </c>
      <c r="Q84" s="4">
        <v>118</v>
      </c>
      <c r="R84" s="88">
        <v>21914</v>
      </c>
    </row>
    <row r="85" spans="1:18" x14ac:dyDescent="0.15">
      <c r="A85" s="4" t="s">
        <v>1</v>
      </c>
      <c r="B85" s="4" t="s">
        <v>293</v>
      </c>
      <c r="C85" s="4" t="s">
        <v>115</v>
      </c>
      <c r="D85" s="4">
        <v>3</v>
      </c>
      <c r="E85" s="4" t="s">
        <v>115</v>
      </c>
      <c r="F85" s="4" t="s">
        <v>115</v>
      </c>
      <c r="G85" s="4" t="s">
        <v>115</v>
      </c>
      <c r="H85" s="4" t="s">
        <v>7307</v>
      </c>
      <c r="I85" s="4" t="s">
        <v>115</v>
      </c>
      <c r="J85" s="4" t="s">
        <v>115</v>
      </c>
      <c r="K85" s="4">
        <v>51000</v>
      </c>
      <c r="L85" s="4">
        <v>732</v>
      </c>
      <c r="N85" s="4" t="s">
        <v>115</v>
      </c>
      <c r="O85" s="4" t="s">
        <v>115</v>
      </c>
      <c r="P85" s="4">
        <v>200111</v>
      </c>
      <c r="Q85" s="4">
        <v>118</v>
      </c>
      <c r="R85" s="88">
        <v>5130</v>
      </c>
    </row>
    <row r="86" spans="1:18" x14ac:dyDescent="0.15">
      <c r="A86" s="4" t="s">
        <v>1</v>
      </c>
      <c r="B86" s="4">
        <v>732</v>
      </c>
      <c r="C86" s="4" t="s">
        <v>115</v>
      </c>
      <c r="D86" s="4" t="s">
        <v>115</v>
      </c>
      <c r="E86" s="4">
        <v>1</v>
      </c>
      <c r="F86" s="4">
        <v>5</v>
      </c>
      <c r="G86" s="4" t="s">
        <v>115</v>
      </c>
      <c r="H86" s="4" t="s">
        <v>7307</v>
      </c>
      <c r="I86" s="4" t="s">
        <v>4800</v>
      </c>
      <c r="J86" s="4" t="s">
        <v>115</v>
      </c>
      <c r="K86" s="4">
        <v>51000</v>
      </c>
      <c r="L86" s="4">
        <v>733</v>
      </c>
      <c r="N86" s="4" t="s">
        <v>115</v>
      </c>
      <c r="O86" s="4" t="s">
        <v>115</v>
      </c>
      <c r="P86" s="4">
        <v>200112</v>
      </c>
      <c r="Q86" s="4">
        <v>118</v>
      </c>
      <c r="R86" s="88">
        <v>24350</v>
      </c>
    </row>
    <row r="87" spans="1:18" x14ac:dyDescent="0.15">
      <c r="A87" s="4" t="s">
        <v>1</v>
      </c>
      <c r="B87" s="40">
        <v>733</v>
      </c>
      <c r="C87" s="4" t="s">
        <v>115</v>
      </c>
      <c r="D87" s="4" t="s">
        <v>115</v>
      </c>
      <c r="E87" s="4">
        <v>2</v>
      </c>
      <c r="F87" s="4">
        <v>5</v>
      </c>
      <c r="G87" s="4" t="s">
        <v>115</v>
      </c>
      <c r="H87" s="4" t="s">
        <v>7307</v>
      </c>
      <c r="I87" s="4" t="s">
        <v>115</v>
      </c>
      <c r="J87" s="4">
        <v>20</v>
      </c>
      <c r="K87" s="4">
        <v>51000</v>
      </c>
      <c r="L87" s="4">
        <v>0</v>
      </c>
      <c r="N87" s="4">
        <v>200115</v>
      </c>
      <c r="O87" s="4">
        <v>200116</v>
      </c>
      <c r="P87" s="4">
        <v>200113</v>
      </c>
      <c r="Q87" s="4">
        <v>118</v>
      </c>
      <c r="R87" s="88">
        <v>21914</v>
      </c>
    </row>
    <row r="88" spans="1:18" x14ac:dyDescent="0.15">
      <c r="A88" s="4" t="s">
        <v>1</v>
      </c>
      <c r="B88" s="40" t="s">
        <v>2473</v>
      </c>
      <c r="C88" s="4" t="s">
        <v>115</v>
      </c>
      <c r="D88" s="4">
        <v>3</v>
      </c>
      <c r="E88" s="4" t="s">
        <v>115</v>
      </c>
      <c r="F88" s="4" t="s">
        <v>115</v>
      </c>
      <c r="G88" s="4" t="s">
        <v>115</v>
      </c>
      <c r="H88" s="4" t="s">
        <v>7307</v>
      </c>
      <c r="I88" s="4" t="s">
        <v>115</v>
      </c>
      <c r="J88" s="4" t="s">
        <v>115</v>
      </c>
      <c r="K88" s="4">
        <v>51400</v>
      </c>
      <c r="L88" s="4">
        <v>742</v>
      </c>
      <c r="N88" s="4" t="s">
        <v>115</v>
      </c>
      <c r="O88" s="4" t="s">
        <v>115</v>
      </c>
      <c r="P88" s="4">
        <v>200111</v>
      </c>
      <c r="Q88" s="4">
        <v>205</v>
      </c>
      <c r="R88" s="88">
        <v>5130</v>
      </c>
    </row>
    <row r="89" spans="1:18" x14ac:dyDescent="0.15">
      <c r="A89" s="4" t="s">
        <v>1</v>
      </c>
      <c r="B89" s="4">
        <v>742</v>
      </c>
      <c r="C89" s="4" t="s">
        <v>115</v>
      </c>
      <c r="D89" s="4" t="s">
        <v>115</v>
      </c>
      <c r="E89" s="4">
        <v>1</v>
      </c>
      <c r="F89" s="4">
        <v>5</v>
      </c>
      <c r="G89" s="4" t="s">
        <v>115</v>
      </c>
      <c r="H89" s="4" t="s">
        <v>7307</v>
      </c>
      <c r="I89" s="4" t="s">
        <v>4800</v>
      </c>
      <c r="J89" s="4" t="s">
        <v>115</v>
      </c>
      <c r="K89" s="4">
        <v>51400</v>
      </c>
      <c r="L89" s="4">
        <v>743</v>
      </c>
      <c r="N89" s="4" t="s">
        <v>115</v>
      </c>
      <c r="O89" s="4" t="s">
        <v>115</v>
      </c>
      <c r="P89" s="4">
        <v>200112</v>
      </c>
      <c r="Q89" s="4">
        <v>205</v>
      </c>
      <c r="R89" s="88">
        <v>24350</v>
      </c>
    </row>
    <row r="90" spans="1:18" x14ac:dyDescent="0.15">
      <c r="A90" s="4" t="s">
        <v>1</v>
      </c>
      <c r="B90" s="4">
        <v>743</v>
      </c>
      <c r="C90" s="4" t="s">
        <v>115</v>
      </c>
      <c r="D90" s="4" t="s">
        <v>115</v>
      </c>
      <c r="E90" s="4">
        <v>2</v>
      </c>
      <c r="F90" s="4">
        <v>5</v>
      </c>
      <c r="G90" s="4" t="s">
        <v>115</v>
      </c>
      <c r="H90" s="4" t="s">
        <v>7307</v>
      </c>
      <c r="I90" s="4" t="s">
        <v>115</v>
      </c>
      <c r="J90" s="4">
        <v>20</v>
      </c>
      <c r="K90" s="4">
        <v>51400</v>
      </c>
      <c r="L90" s="4">
        <v>0</v>
      </c>
      <c r="N90" s="4">
        <v>200115</v>
      </c>
      <c r="O90" s="4">
        <v>200116</v>
      </c>
      <c r="P90" s="4">
        <v>200113</v>
      </c>
      <c r="Q90" s="4">
        <v>205</v>
      </c>
      <c r="R90" s="88">
        <v>22328</v>
      </c>
    </row>
    <row r="91" spans="1:18" x14ac:dyDescent="0.15">
      <c r="A91" s="4" t="s">
        <v>1</v>
      </c>
      <c r="B91" s="4" t="s">
        <v>2474</v>
      </c>
      <c r="C91" s="4" t="s">
        <v>115</v>
      </c>
      <c r="D91" s="4">
        <v>3</v>
      </c>
      <c r="E91" s="4" t="s">
        <v>115</v>
      </c>
      <c r="F91" s="4" t="s">
        <v>115</v>
      </c>
      <c r="G91" s="4" t="s">
        <v>115</v>
      </c>
      <c r="H91" s="4" t="s">
        <v>7307</v>
      </c>
      <c r="I91" s="4" t="s">
        <v>115</v>
      </c>
      <c r="J91" s="4" t="s">
        <v>115</v>
      </c>
      <c r="K91" s="4">
        <v>51800</v>
      </c>
      <c r="L91" s="4">
        <v>752</v>
      </c>
      <c r="N91" s="4" t="s">
        <v>115</v>
      </c>
      <c r="O91" s="4" t="s">
        <v>115</v>
      </c>
      <c r="P91" s="4">
        <v>200111</v>
      </c>
      <c r="Q91" s="4">
        <v>197</v>
      </c>
      <c r="R91" s="88">
        <v>6587</v>
      </c>
    </row>
    <row r="92" spans="1:18" x14ac:dyDescent="0.15">
      <c r="A92" s="4" t="s">
        <v>1</v>
      </c>
      <c r="B92" s="40">
        <v>752</v>
      </c>
      <c r="C92" s="4" t="s">
        <v>115</v>
      </c>
      <c r="D92" s="4" t="s">
        <v>115</v>
      </c>
      <c r="E92" s="4">
        <v>1</v>
      </c>
      <c r="F92" s="4">
        <v>5</v>
      </c>
      <c r="G92" s="4" t="s">
        <v>115</v>
      </c>
      <c r="H92" s="4" t="s">
        <v>7307</v>
      </c>
      <c r="I92" s="4" t="s">
        <v>4800</v>
      </c>
      <c r="J92" s="4" t="s">
        <v>115</v>
      </c>
      <c r="K92" s="4">
        <v>51800</v>
      </c>
      <c r="L92" s="4">
        <v>753</v>
      </c>
      <c r="N92" s="4" t="s">
        <v>115</v>
      </c>
      <c r="O92" s="4" t="s">
        <v>115</v>
      </c>
      <c r="P92" s="4">
        <v>200112</v>
      </c>
      <c r="Q92" s="4">
        <v>197</v>
      </c>
      <c r="R92" s="88">
        <v>4200</v>
      </c>
    </row>
    <row r="93" spans="1:18" x14ac:dyDescent="0.15">
      <c r="A93" s="4" t="s">
        <v>1</v>
      </c>
      <c r="B93" s="4">
        <v>753</v>
      </c>
      <c r="C93" s="4" t="s">
        <v>115</v>
      </c>
      <c r="D93" s="4" t="s">
        <v>115</v>
      </c>
      <c r="E93" s="4">
        <v>2</v>
      </c>
      <c r="F93" s="4">
        <v>5</v>
      </c>
      <c r="G93" s="4" t="s">
        <v>115</v>
      </c>
      <c r="H93" s="4" t="s">
        <v>7307</v>
      </c>
      <c r="I93" s="4" t="s">
        <v>115</v>
      </c>
      <c r="J93" s="4">
        <v>20</v>
      </c>
      <c r="K93" s="4">
        <v>51800</v>
      </c>
      <c r="L93" s="4">
        <v>0</v>
      </c>
      <c r="N93" s="4">
        <v>200115</v>
      </c>
      <c r="O93" s="4">
        <v>200116</v>
      </c>
      <c r="P93" s="4">
        <v>200113</v>
      </c>
      <c r="Q93" s="4">
        <v>197</v>
      </c>
      <c r="R93" s="88">
        <v>4725</v>
      </c>
    </row>
    <row r="94" spans="1:18" x14ac:dyDescent="0.15">
      <c r="A94" s="4" t="s">
        <v>1</v>
      </c>
      <c r="B94" s="4" t="s">
        <v>908</v>
      </c>
      <c r="C94" s="4" t="s">
        <v>115</v>
      </c>
      <c r="D94" s="4">
        <v>3</v>
      </c>
      <c r="E94" s="4" t="s">
        <v>115</v>
      </c>
      <c r="F94" s="4" t="s">
        <v>115</v>
      </c>
      <c r="G94" s="4" t="s">
        <v>115</v>
      </c>
      <c r="H94" s="4" t="s">
        <v>7307</v>
      </c>
      <c r="I94" s="4" t="s">
        <v>115</v>
      </c>
      <c r="J94" s="4" t="s">
        <v>115</v>
      </c>
      <c r="K94" s="4">
        <v>53000</v>
      </c>
      <c r="L94" s="4">
        <v>812</v>
      </c>
      <c r="N94" s="4" t="s">
        <v>115</v>
      </c>
      <c r="O94" s="4" t="s">
        <v>115</v>
      </c>
      <c r="P94" s="4">
        <v>200111</v>
      </c>
      <c r="Q94" s="4">
        <v>198</v>
      </c>
      <c r="R94" s="88">
        <v>5280</v>
      </c>
    </row>
    <row r="95" spans="1:18" x14ac:dyDescent="0.15">
      <c r="A95" s="4" t="s">
        <v>1</v>
      </c>
      <c r="B95" s="4">
        <v>812</v>
      </c>
      <c r="C95" s="4" t="s">
        <v>115</v>
      </c>
      <c r="D95" s="4" t="s">
        <v>115</v>
      </c>
      <c r="E95" s="4">
        <v>1</v>
      </c>
      <c r="F95" s="4">
        <v>5</v>
      </c>
      <c r="G95" s="4" t="s">
        <v>115</v>
      </c>
      <c r="H95" s="4" t="s">
        <v>7307</v>
      </c>
      <c r="I95" s="4" t="s">
        <v>4800</v>
      </c>
      <c r="J95" s="4" t="s">
        <v>115</v>
      </c>
      <c r="K95" s="4">
        <v>53000</v>
      </c>
      <c r="L95" s="4">
        <v>813</v>
      </c>
      <c r="N95" s="4" t="s">
        <v>115</v>
      </c>
      <c r="O95" s="4" t="s">
        <v>115</v>
      </c>
      <c r="P95" s="4">
        <v>200112</v>
      </c>
      <c r="Q95" s="4">
        <v>198</v>
      </c>
      <c r="R95" s="88">
        <v>28800</v>
      </c>
    </row>
    <row r="96" spans="1:18" x14ac:dyDescent="0.15">
      <c r="A96" s="4" t="s">
        <v>1</v>
      </c>
      <c r="B96" s="40">
        <v>813</v>
      </c>
      <c r="C96" s="4" t="s">
        <v>115</v>
      </c>
      <c r="D96" s="4" t="s">
        <v>115</v>
      </c>
      <c r="E96" s="4">
        <v>2</v>
      </c>
      <c r="F96" s="4">
        <v>5</v>
      </c>
      <c r="G96" s="4" t="s">
        <v>115</v>
      </c>
      <c r="H96" s="4" t="s">
        <v>7307</v>
      </c>
      <c r="I96" s="4" t="s">
        <v>115</v>
      </c>
      <c r="J96" s="4">
        <v>20</v>
      </c>
      <c r="K96" s="4">
        <v>53000</v>
      </c>
      <c r="L96" s="4">
        <v>0</v>
      </c>
      <c r="N96" s="4">
        <v>200115</v>
      </c>
      <c r="O96" s="4">
        <v>200116</v>
      </c>
      <c r="P96" s="4">
        <v>200113</v>
      </c>
      <c r="Q96" s="4">
        <v>198</v>
      </c>
      <c r="R96" s="88">
        <v>22328</v>
      </c>
    </row>
    <row r="97" spans="1:18" x14ac:dyDescent="0.15">
      <c r="A97" s="4" t="s">
        <v>1</v>
      </c>
      <c r="B97" s="40" t="s">
        <v>909</v>
      </c>
      <c r="C97" s="4" t="s">
        <v>115</v>
      </c>
      <c r="D97" s="4">
        <v>3</v>
      </c>
      <c r="E97" s="4" t="s">
        <v>115</v>
      </c>
      <c r="F97" s="4" t="s">
        <v>115</v>
      </c>
      <c r="G97" s="4" t="s">
        <v>115</v>
      </c>
      <c r="H97" s="4" t="s">
        <v>7307</v>
      </c>
      <c r="I97" s="4" t="s">
        <v>115</v>
      </c>
      <c r="J97" s="4" t="s">
        <v>115</v>
      </c>
      <c r="K97" s="4">
        <v>54500</v>
      </c>
      <c r="L97" s="4">
        <v>822</v>
      </c>
      <c r="N97" s="4" t="s">
        <v>115</v>
      </c>
      <c r="O97" s="4" t="s">
        <v>115</v>
      </c>
      <c r="P97" s="4">
        <v>200111</v>
      </c>
      <c r="Q97" s="4">
        <v>201</v>
      </c>
      <c r="R97" s="88">
        <v>5280</v>
      </c>
    </row>
    <row r="98" spans="1:18" x14ac:dyDescent="0.15">
      <c r="A98" s="4" t="s">
        <v>1</v>
      </c>
      <c r="B98" s="4">
        <v>822</v>
      </c>
      <c r="C98" s="4" t="s">
        <v>115</v>
      </c>
      <c r="D98" s="4" t="s">
        <v>115</v>
      </c>
      <c r="E98" s="4">
        <v>1</v>
      </c>
      <c r="F98" s="4">
        <v>5</v>
      </c>
      <c r="G98" s="4" t="s">
        <v>115</v>
      </c>
      <c r="H98" s="4" t="s">
        <v>7307</v>
      </c>
      <c r="I98" s="4" t="s">
        <v>4800</v>
      </c>
      <c r="J98" s="4" t="s">
        <v>115</v>
      </c>
      <c r="K98" s="4">
        <v>54500</v>
      </c>
      <c r="L98" s="4">
        <v>823</v>
      </c>
      <c r="N98" s="4" t="s">
        <v>115</v>
      </c>
      <c r="O98" s="4" t="s">
        <v>115</v>
      </c>
      <c r="P98" s="4">
        <v>200112</v>
      </c>
      <c r="Q98" s="4">
        <v>201</v>
      </c>
      <c r="R98" s="88">
        <v>28800</v>
      </c>
    </row>
    <row r="99" spans="1:18" x14ac:dyDescent="0.15">
      <c r="A99" s="4" t="s">
        <v>1</v>
      </c>
      <c r="B99" s="4">
        <v>823</v>
      </c>
      <c r="C99" s="4" t="s">
        <v>115</v>
      </c>
      <c r="D99" s="4" t="s">
        <v>115</v>
      </c>
      <c r="E99" s="4">
        <v>2</v>
      </c>
      <c r="F99" s="4">
        <v>5</v>
      </c>
      <c r="G99" s="4" t="s">
        <v>115</v>
      </c>
      <c r="H99" s="4" t="s">
        <v>7307</v>
      </c>
      <c r="I99" s="4" t="s">
        <v>115</v>
      </c>
      <c r="J99" s="4">
        <v>20</v>
      </c>
      <c r="K99" s="4">
        <v>54500</v>
      </c>
      <c r="L99" s="4">
        <v>0</v>
      </c>
      <c r="N99" s="4">
        <v>200115</v>
      </c>
      <c r="O99" s="4">
        <v>200116</v>
      </c>
      <c r="P99" s="4">
        <v>200113</v>
      </c>
      <c r="Q99" s="4">
        <v>201</v>
      </c>
      <c r="R99" s="88">
        <v>22328</v>
      </c>
    </row>
    <row r="100" spans="1:18" x14ac:dyDescent="0.15">
      <c r="A100" s="4" t="s">
        <v>1</v>
      </c>
      <c r="B100" s="4" t="s">
        <v>910</v>
      </c>
      <c r="C100" s="4" t="s">
        <v>115</v>
      </c>
      <c r="D100" s="4">
        <v>3</v>
      </c>
      <c r="E100" s="4" t="s">
        <v>115</v>
      </c>
      <c r="F100" s="4" t="s">
        <v>115</v>
      </c>
      <c r="G100" s="4" t="s">
        <v>115</v>
      </c>
      <c r="H100" s="4" t="s">
        <v>7307</v>
      </c>
      <c r="I100" s="4" t="s">
        <v>115</v>
      </c>
      <c r="J100" s="4" t="s">
        <v>115</v>
      </c>
      <c r="K100" s="4">
        <v>56000</v>
      </c>
      <c r="L100" s="4">
        <v>832</v>
      </c>
      <c r="N100" s="4" t="s">
        <v>115</v>
      </c>
      <c r="O100" s="4" t="s">
        <v>115</v>
      </c>
      <c r="P100" s="4">
        <v>200111</v>
      </c>
      <c r="Q100" s="4">
        <v>198</v>
      </c>
      <c r="R100" s="88">
        <v>5280</v>
      </c>
    </row>
    <row r="101" spans="1:18" x14ac:dyDescent="0.15">
      <c r="A101" s="4" t="s">
        <v>1</v>
      </c>
      <c r="B101" s="40">
        <v>832</v>
      </c>
      <c r="C101" s="4" t="s">
        <v>115</v>
      </c>
      <c r="D101" s="4" t="s">
        <v>115</v>
      </c>
      <c r="E101" s="4">
        <v>1</v>
      </c>
      <c r="F101" s="4">
        <v>5</v>
      </c>
      <c r="G101" s="4" t="s">
        <v>115</v>
      </c>
      <c r="H101" s="4" t="s">
        <v>7307</v>
      </c>
      <c r="I101" s="4" t="s">
        <v>4800</v>
      </c>
      <c r="J101" s="4" t="s">
        <v>115</v>
      </c>
      <c r="K101" s="4">
        <v>56000</v>
      </c>
      <c r="L101" s="4">
        <v>833</v>
      </c>
      <c r="N101" s="4" t="s">
        <v>115</v>
      </c>
      <c r="O101" s="4" t="s">
        <v>115</v>
      </c>
      <c r="P101" s="4">
        <v>200112</v>
      </c>
      <c r="Q101" s="4">
        <v>198</v>
      </c>
      <c r="R101" s="88">
        <v>28800</v>
      </c>
    </row>
    <row r="102" spans="1:18" x14ac:dyDescent="0.15">
      <c r="A102" s="4" t="s">
        <v>1</v>
      </c>
      <c r="B102" s="4">
        <v>833</v>
      </c>
      <c r="C102" s="4" t="s">
        <v>115</v>
      </c>
      <c r="D102" s="4" t="s">
        <v>115</v>
      </c>
      <c r="E102" s="4">
        <v>2</v>
      </c>
      <c r="F102" s="4">
        <v>5</v>
      </c>
      <c r="G102" s="4" t="s">
        <v>115</v>
      </c>
      <c r="H102" s="4" t="s">
        <v>7307</v>
      </c>
      <c r="I102" s="4" t="s">
        <v>115</v>
      </c>
      <c r="J102" s="4">
        <v>20</v>
      </c>
      <c r="K102" s="4">
        <v>56000</v>
      </c>
      <c r="L102" s="4">
        <v>0</v>
      </c>
      <c r="N102" s="4">
        <v>200115</v>
      </c>
      <c r="O102" s="4">
        <v>200116</v>
      </c>
      <c r="P102" s="4">
        <v>200113</v>
      </c>
      <c r="Q102" s="4">
        <v>198</v>
      </c>
      <c r="R102" s="88">
        <v>22328</v>
      </c>
    </row>
    <row r="103" spans="1:18" s="88" customFormat="1" x14ac:dyDescent="0.15">
      <c r="A103" s="88" t="s">
        <v>1</v>
      </c>
      <c r="B103" s="88">
        <v>911</v>
      </c>
      <c r="C103" s="88" t="s">
        <v>115</v>
      </c>
      <c r="D103" s="88">
        <v>3</v>
      </c>
      <c r="E103" s="88" t="s">
        <v>115</v>
      </c>
      <c r="F103" s="88" t="s">
        <v>115</v>
      </c>
      <c r="G103" s="88" t="s">
        <v>115</v>
      </c>
      <c r="H103" s="88" t="s">
        <v>7307</v>
      </c>
      <c r="I103" s="88" t="s">
        <v>115</v>
      </c>
      <c r="J103" s="88" t="s">
        <v>115</v>
      </c>
      <c r="K103" s="4">
        <v>55000</v>
      </c>
      <c r="L103" s="88">
        <v>912</v>
      </c>
      <c r="N103" s="88" t="s">
        <v>115</v>
      </c>
      <c r="O103" s="88" t="s">
        <v>115</v>
      </c>
      <c r="P103" s="88">
        <v>200111</v>
      </c>
      <c r="Q103" s="88">
        <v>140</v>
      </c>
      <c r="R103" s="89">
        <v>5400</v>
      </c>
    </row>
    <row r="104" spans="1:18" s="88" customFormat="1" x14ac:dyDescent="0.15">
      <c r="A104" s="88" t="s">
        <v>1</v>
      </c>
      <c r="B104" s="88">
        <v>912</v>
      </c>
      <c r="C104" s="88" t="s">
        <v>115</v>
      </c>
      <c r="D104" s="88" t="s">
        <v>115</v>
      </c>
      <c r="E104" s="88">
        <v>1</v>
      </c>
      <c r="F104" s="88">
        <v>5</v>
      </c>
      <c r="G104" s="88" t="s">
        <v>115</v>
      </c>
      <c r="H104" s="88" t="s">
        <v>7307</v>
      </c>
      <c r="I104" s="4" t="s">
        <v>4800</v>
      </c>
      <c r="J104" s="88" t="s">
        <v>115</v>
      </c>
      <c r="K104" s="4">
        <v>55000</v>
      </c>
      <c r="L104" s="88">
        <v>913</v>
      </c>
      <c r="N104" s="88" t="s">
        <v>115</v>
      </c>
      <c r="O104" s="88" t="s">
        <v>115</v>
      </c>
      <c r="P104" s="88">
        <v>200112</v>
      </c>
      <c r="Q104" s="88">
        <v>140</v>
      </c>
      <c r="R104" s="89">
        <v>29417</v>
      </c>
    </row>
    <row r="105" spans="1:18" s="88" customFormat="1" x14ac:dyDescent="0.15">
      <c r="A105" s="88" t="s">
        <v>1</v>
      </c>
      <c r="B105" s="88">
        <v>913</v>
      </c>
      <c r="C105" s="88" t="s">
        <v>115</v>
      </c>
      <c r="D105" s="88" t="s">
        <v>115</v>
      </c>
      <c r="E105" s="88">
        <v>2</v>
      </c>
      <c r="F105" s="4">
        <v>5</v>
      </c>
      <c r="G105" s="88" t="s">
        <v>115</v>
      </c>
      <c r="H105" s="88" t="s">
        <v>7307</v>
      </c>
      <c r="I105" s="88" t="s">
        <v>115</v>
      </c>
      <c r="J105" s="88">
        <v>20</v>
      </c>
      <c r="K105" s="4">
        <v>55000</v>
      </c>
      <c r="L105" s="88">
        <v>0</v>
      </c>
      <c r="N105" s="88">
        <v>200115</v>
      </c>
      <c r="O105" s="88">
        <v>200116</v>
      </c>
      <c r="P105" s="88">
        <v>200113</v>
      </c>
      <c r="Q105" s="88">
        <v>140</v>
      </c>
      <c r="R105" s="89">
        <v>22724</v>
      </c>
    </row>
    <row r="106" spans="1:18" x14ac:dyDescent="0.15">
      <c r="A106" s="4" t="s">
        <v>1</v>
      </c>
      <c r="B106" s="40" t="s">
        <v>1033</v>
      </c>
      <c r="C106" s="4" t="s">
        <v>115</v>
      </c>
      <c r="D106" s="4">
        <v>3</v>
      </c>
      <c r="E106" s="4" t="s">
        <v>115</v>
      </c>
      <c r="F106" s="4" t="s">
        <v>115</v>
      </c>
      <c r="G106" s="4" t="s">
        <v>115</v>
      </c>
      <c r="H106" s="4" t="s">
        <v>7307</v>
      </c>
      <c r="I106" s="4" t="s">
        <v>115</v>
      </c>
      <c r="J106" s="4" t="s">
        <v>115</v>
      </c>
      <c r="K106" s="4">
        <v>55500</v>
      </c>
      <c r="L106" s="4">
        <v>922</v>
      </c>
      <c r="N106" s="4" t="s">
        <v>115</v>
      </c>
      <c r="O106" s="4" t="s">
        <v>115</v>
      </c>
      <c r="P106" s="4">
        <v>200111</v>
      </c>
      <c r="Q106" s="4">
        <v>162</v>
      </c>
      <c r="R106" s="89">
        <v>5400</v>
      </c>
    </row>
    <row r="107" spans="1:18" x14ac:dyDescent="0.15">
      <c r="A107" s="4" t="s">
        <v>1</v>
      </c>
      <c r="B107" s="4">
        <v>922</v>
      </c>
      <c r="C107" s="4" t="s">
        <v>115</v>
      </c>
      <c r="D107" s="4" t="s">
        <v>115</v>
      </c>
      <c r="E107" s="4">
        <v>1</v>
      </c>
      <c r="F107" s="4">
        <v>5</v>
      </c>
      <c r="G107" s="4" t="s">
        <v>115</v>
      </c>
      <c r="H107" s="4" t="s">
        <v>7307</v>
      </c>
      <c r="I107" s="4" t="s">
        <v>4800</v>
      </c>
      <c r="J107" s="4" t="s">
        <v>115</v>
      </c>
      <c r="K107" s="4">
        <v>55500</v>
      </c>
      <c r="L107" s="4">
        <v>923</v>
      </c>
      <c r="N107" s="4" t="s">
        <v>115</v>
      </c>
      <c r="O107" s="4" t="s">
        <v>115</v>
      </c>
      <c r="P107" s="4">
        <v>200112</v>
      </c>
      <c r="Q107" s="4">
        <v>162</v>
      </c>
      <c r="R107" s="89">
        <v>29417</v>
      </c>
    </row>
    <row r="108" spans="1:18" x14ac:dyDescent="0.15">
      <c r="A108" s="4" t="s">
        <v>1</v>
      </c>
      <c r="B108" s="4">
        <v>923</v>
      </c>
      <c r="C108" s="4" t="s">
        <v>115</v>
      </c>
      <c r="D108" s="4" t="s">
        <v>115</v>
      </c>
      <c r="E108" s="4">
        <v>2</v>
      </c>
      <c r="F108" s="4">
        <v>5</v>
      </c>
      <c r="G108" s="4" t="s">
        <v>115</v>
      </c>
      <c r="H108" s="4" t="s">
        <v>7307</v>
      </c>
      <c r="I108" s="4" t="s">
        <v>115</v>
      </c>
      <c r="J108" s="4">
        <v>20</v>
      </c>
      <c r="K108" s="4">
        <v>55500</v>
      </c>
      <c r="L108" s="4">
        <v>0</v>
      </c>
      <c r="N108" s="4">
        <v>200115</v>
      </c>
      <c r="O108" s="4">
        <v>200116</v>
      </c>
      <c r="P108" s="4">
        <v>200113</v>
      </c>
      <c r="Q108" s="4">
        <v>162</v>
      </c>
      <c r="R108" s="89">
        <v>22724</v>
      </c>
    </row>
    <row r="109" spans="1:18" x14ac:dyDescent="0.15">
      <c r="A109" s="4" t="s">
        <v>1</v>
      </c>
      <c r="B109" s="40" t="s">
        <v>1034</v>
      </c>
      <c r="C109" s="4" t="s">
        <v>115</v>
      </c>
      <c r="D109" s="4">
        <v>3</v>
      </c>
      <c r="E109" s="4" t="s">
        <v>115</v>
      </c>
      <c r="F109" s="4" t="s">
        <v>115</v>
      </c>
      <c r="G109" s="4" t="s">
        <v>115</v>
      </c>
      <c r="H109" s="4" t="s">
        <v>7307</v>
      </c>
      <c r="I109" s="4" t="s">
        <v>115</v>
      </c>
      <c r="J109" s="4" t="s">
        <v>115</v>
      </c>
      <c r="K109" s="4">
        <v>56000</v>
      </c>
      <c r="L109" s="4">
        <v>932</v>
      </c>
      <c r="N109" s="4" t="s">
        <v>115</v>
      </c>
      <c r="O109" s="4" t="s">
        <v>115</v>
      </c>
      <c r="P109" s="4">
        <v>200111</v>
      </c>
      <c r="Q109" s="4">
        <v>197</v>
      </c>
      <c r="R109" s="89">
        <v>5400</v>
      </c>
    </row>
    <row r="110" spans="1:18" x14ac:dyDescent="0.15">
      <c r="A110" s="4" t="s">
        <v>1</v>
      </c>
      <c r="B110" s="40">
        <v>932</v>
      </c>
      <c r="C110" s="4" t="s">
        <v>115</v>
      </c>
      <c r="D110" s="4" t="s">
        <v>115</v>
      </c>
      <c r="E110" s="4">
        <v>1</v>
      </c>
      <c r="F110" s="4">
        <v>5</v>
      </c>
      <c r="G110" s="4" t="s">
        <v>115</v>
      </c>
      <c r="H110" s="4" t="s">
        <v>7307</v>
      </c>
      <c r="I110" s="4" t="s">
        <v>4800</v>
      </c>
      <c r="J110" s="4" t="s">
        <v>115</v>
      </c>
      <c r="K110" s="4">
        <v>56000</v>
      </c>
      <c r="L110" s="4">
        <v>933</v>
      </c>
      <c r="N110" s="4" t="s">
        <v>115</v>
      </c>
      <c r="O110" s="4" t="s">
        <v>115</v>
      </c>
      <c r="P110" s="4">
        <v>200112</v>
      </c>
      <c r="Q110" s="4">
        <v>197</v>
      </c>
      <c r="R110" s="89">
        <v>29417</v>
      </c>
    </row>
    <row r="111" spans="1:18" x14ac:dyDescent="0.15">
      <c r="A111" s="4" t="s">
        <v>1</v>
      </c>
      <c r="B111" s="4">
        <v>933</v>
      </c>
      <c r="C111" s="4" t="s">
        <v>115</v>
      </c>
      <c r="D111" s="4" t="s">
        <v>115</v>
      </c>
      <c r="E111" s="4">
        <v>2</v>
      </c>
      <c r="F111" s="4">
        <v>5</v>
      </c>
      <c r="G111" s="4" t="s">
        <v>115</v>
      </c>
      <c r="H111" s="4" t="s">
        <v>7307</v>
      </c>
      <c r="I111" s="4" t="s">
        <v>115</v>
      </c>
      <c r="J111" s="4">
        <v>20</v>
      </c>
      <c r="K111" s="4">
        <v>56000</v>
      </c>
      <c r="L111" s="4">
        <v>0</v>
      </c>
      <c r="N111" s="4">
        <v>200115</v>
      </c>
      <c r="O111" s="4">
        <v>200116</v>
      </c>
      <c r="P111" s="4">
        <v>200113</v>
      </c>
      <c r="Q111" s="4">
        <v>197</v>
      </c>
      <c r="R111" s="89">
        <v>22724</v>
      </c>
    </row>
    <row r="112" spans="1:18" x14ac:dyDescent="0.15">
      <c r="A112" s="4" t="s">
        <v>1</v>
      </c>
      <c r="B112" s="4" t="s">
        <v>1035</v>
      </c>
      <c r="C112" s="4" t="s">
        <v>115</v>
      </c>
      <c r="D112" s="4">
        <v>3</v>
      </c>
      <c r="E112" s="4" t="s">
        <v>115</v>
      </c>
      <c r="F112" s="4" t="s">
        <v>115</v>
      </c>
      <c r="G112" s="4" t="s">
        <v>115</v>
      </c>
      <c r="H112" s="4" t="s">
        <v>7307</v>
      </c>
      <c r="I112" s="4" t="s">
        <v>115</v>
      </c>
      <c r="J112" s="4" t="s">
        <v>115</v>
      </c>
      <c r="K112" s="4">
        <v>56500</v>
      </c>
      <c r="L112" s="4">
        <v>942</v>
      </c>
      <c r="N112" s="4" t="s">
        <v>115</v>
      </c>
      <c r="O112" s="4" t="s">
        <v>115</v>
      </c>
      <c r="P112" s="4">
        <v>200111</v>
      </c>
      <c r="Q112" s="4">
        <v>197</v>
      </c>
      <c r="R112" s="89">
        <v>5400</v>
      </c>
    </row>
    <row r="113" spans="1:18" x14ac:dyDescent="0.15">
      <c r="A113" s="4" t="s">
        <v>1</v>
      </c>
      <c r="B113" s="4">
        <v>942</v>
      </c>
      <c r="C113" s="4" t="s">
        <v>115</v>
      </c>
      <c r="D113" s="4" t="s">
        <v>115</v>
      </c>
      <c r="E113" s="4">
        <v>1</v>
      </c>
      <c r="F113" s="4">
        <v>5</v>
      </c>
      <c r="G113" s="4" t="s">
        <v>115</v>
      </c>
      <c r="H113" s="4" t="s">
        <v>7307</v>
      </c>
      <c r="I113" s="4" t="s">
        <v>4800</v>
      </c>
      <c r="J113" s="4" t="s">
        <v>115</v>
      </c>
      <c r="K113" s="4">
        <v>56500</v>
      </c>
      <c r="L113" s="4">
        <v>943</v>
      </c>
      <c r="N113" s="4" t="s">
        <v>115</v>
      </c>
      <c r="O113" s="4" t="s">
        <v>115</v>
      </c>
      <c r="P113" s="4">
        <v>200112</v>
      </c>
      <c r="Q113" s="4">
        <v>197</v>
      </c>
      <c r="R113" s="89">
        <v>29417</v>
      </c>
    </row>
    <row r="114" spans="1:18" x14ac:dyDescent="0.15">
      <c r="A114" s="4" t="s">
        <v>1</v>
      </c>
      <c r="B114" s="40">
        <v>943</v>
      </c>
      <c r="C114" s="4" t="s">
        <v>115</v>
      </c>
      <c r="D114" s="4" t="s">
        <v>115</v>
      </c>
      <c r="E114" s="4">
        <v>2</v>
      </c>
      <c r="F114" s="4">
        <v>5</v>
      </c>
      <c r="G114" s="4" t="s">
        <v>115</v>
      </c>
      <c r="H114" s="4" t="s">
        <v>7307</v>
      </c>
      <c r="I114" s="4" t="s">
        <v>115</v>
      </c>
      <c r="J114" s="4">
        <v>20</v>
      </c>
      <c r="K114" s="4">
        <v>56500</v>
      </c>
      <c r="L114" s="4">
        <v>0</v>
      </c>
      <c r="N114" s="4">
        <v>200115</v>
      </c>
      <c r="O114" s="4">
        <v>200116</v>
      </c>
      <c r="P114" s="4">
        <v>200113</v>
      </c>
      <c r="Q114" s="4">
        <v>197</v>
      </c>
      <c r="R114" s="89">
        <v>22724</v>
      </c>
    </row>
    <row r="115" spans="1:18" x14ac:dyDescent="0.15">
      <c r="A115" s="4" t="s">
        <v>1</v>
      </c>
      <c r="B115" s="4" t="s">
        <v>1036</v>
      </c>
      <c r="C115" s="4" t="s">
        <v>115</v>
      </c>
      <c r="D115" s="4">
        <v>3</v>
      </c>
      <c r="E115" s="4" t="s">
        <v>115</v>
      </c>
      <c r="F115" s="4" t="s">
        <v>115</v>
      </c>
      <c r="G115" s="4" t="s">
        <v>115</v>
      </c>
      <c r="H115" s="4" t="s">
        <v>7307</v>
      </c>
      <c r="I115" s="4" t="s">
        <v>115</v>
      </c>
      <c r="J115" s="4" t="s">
        <v>115</v>
      </c>
      <c r="K115" s="4">
        <v>57000</v>
      </c>
      <c r="L115" s="4">
        <v>952</v>
      </c>
      <c r="N115" s="4" t="s">
        <v>115</v>
      </c>
      <c r="O115" s="4" t="s">
        <v>115</v>
      </c>
      <c r="P115" s="4">
        <v>200111</v>
      </c>
      <c r="Q115" s="4">
        <v>163</v>
      </c>
      <c r="R115" s="89">
        <v>5400</v>
      </c>
    </row>
    <row r="116" spans="1:18" x14ac:dyDescent="0.15">
      <c r="A116" s="4" t="s">
        <v>1</v>
      </c>
      <c r="B116" s="4">
        <v>952</v>
      </c>
      <c r="C116" s="4" t="s">
        <v>115</v>
      </c>
      <c r="D116" s="4" t="s">
        <v>115</v>
      </c>
      <c r="E116" s="4">
        <v>1</v>
      </c>
      <c r="F116" s="4">
        <v>5</v>
      </c>
      <c r="G116" s="4" t="s">
        <v>115</v>
      </c>
      <c r="H116" s="4" t="s">
        <v>7307</v>
      </c>
      <c r="I116" s="4" t="s">
        <v>4800</v>
      </c>
      <c r="J116" s="4" t="s">
        <v>115</v>
      </c>
      <c r="K116" s="4">
        <v>57000</v>
      </c>
      <c r="L116" s="4">
        <v>953</v>
      </c>
      <c r="N116" s="4" t="s">
        <v>115</v>
      </c>
      <c r="O116" s="4" t="s">
        <v>115</v>
      </c>
      <c r="P116" s="4">
        <v>200112</v>
      </c>
      <c r="Q116" s="4">
        <v>163</v>
      </c>
      <c r="R116" s="89">
        <v>29417</v>
      </c>
    </row>
    <row r="117" spans="1:18" x14ac:dyDescent="0.15">
      <c r="A117" s="4" t="s">
        <v>1</v>
      </c>
      <c r="B117" s="4">
        <v>953</v>
      </c>
      <c r="C117" s="4" t="s">
        <v>115</v>
      </c>
      <c r="D117" s="4" t="s">
        <v>115</v>
      </c>
      <c r="E117" s="4">
        <v>2</v>
      </c>
      <c r="F117" s="4">
        <v>5</v>
      </c>
      <c r="G117" s="4" t="s">
        <v>115</v>
      </c>
      <c r="H117" s="4" t="s">
        <v>7307</v>
      </c>
      <c r="I117" s="4" t="s">
        <v>115</v>
      </c>
      <c r="J117" s="4">
        <v>20</v>
      </c>
      <c r="K117" s="4">
        <v>57000</v>
      </c>
      <c r="L117" s="4">
        <v>0</v>
      </c>
      <c r="N117" s="4">
        <v>200115</v>
      </c>
      <c r="O117" s="4">
        <v>200116</v>
      </c>
      <c r="P117" s="4">
        <v>200113</v>
      </c>
      <c r="Q117" s="4">
        <v>163</v>
      </c>
      <c r="R117" s="89">
        <v>22724</v>
      </c>
    </row>
    <row r="118" spans="1:18" x14ac:dyDescent="0.15">
      <c r="A118" s="4" t="s">
        <v>1</v>
      </c>
      <c r="B118" s="4" t="s">
        <v>1037</v>
      </c>
      <c r="C118" s="4" t="s">
        <v>115</v>
      </c>
      <c r="D118" s="4">
        <v>3</v>
      </c>
      <c r="E118" s="4" t="s">
        <v>115</v>
      </c>
      <c r="F118" s="4" t="s">
        <v>115</v>
      </c>
      <c r="G118" s="4" t="s">
        <v>115</v>
      </c>
      <c r="H118" s="4" t="s">
        <v>7307</v>
      </c>
      <c r="I118" s="4" t="s">
        <v>115</v>
      </c>
      <c r="J118" s="4" t="s">
        <v>115</v>
      </c>
      <c r="K118" s="4">
        <v>57500</v>
      </c>
      <c r="L118" s="4">
        <v>962</v>
      </c>
      <c r="N118" s="4" t="s">
        <v>115</v>
      </c>
      <c r="O118" s="4" t="s">
        <v>115</v>
      </c>
      <c r="P118" s="4">
        <v>200111</v>
      </c>
      <c r="Q118" s="4">
        <v>140</v>
      </c>
      <c r="R118" s="89">
        <v>5400</v>
      </c>
    </row>
    <row r="119" spans="1:18" x14ac:dyDescent="0.15">
      <c r="A119" s="4" t="s">
        <v>1</v>
      </c>
      <c r="B119" s="40">
        <v>962</v>
      </c>
      <c r="C119" s="4" t="s">
        <v>115</v>
      </c>
      <c r="D119" s="4" t="s">
        <v>115</v>
      </c>
      <c r="E119" s="4">
        <v>1</v>
      </c>
      <c r="F119" s="4">
        <v>5</v>
      </c>
      <c r="G119" s="4" t="s">
        <v>115</v>
      </c>
      <c r="H119" s="4" t="s">
        <v>7307</v>
      </c>
      <c r="I119" s="4" t="s">
        <v>4800</v>
      </c>
      <c r="J119" s="4" t="s">
        <v>115</v>
      </c>
      <c r="K119" s="4">
        <v>57500</v>
      </c>
      <c r="L119" s="4">
        <v>963</v>
      </c>
      <c r="N119" s="4" t="s">
        <v>115</v>
      </c>
      <c r="O119" s="4" t="s">
        <v>115</v>
      </c>
      <c r="P119" s="4">
        <v>200112</v>
      </c>
      <c r="Q119" s="4">
        <v>140</v>
      </c>
      <c r="R119" s="89">
        <v>29417</v>
      </c>
    </row>
    <row r="120" spans="1:18" x14ac:dyDescent="0.15">
      <c r="A120" s="4" t="s">
        <v>1</v>
      </c>
      <c r="B120" s="4">
        <v>963</v>
      </c>
      <c r="C120" s="4" t="s">
        <v>115</v>
      </c>
      <c r="D120" s="4" t="s">
        <v>115</v>
      </c>
      <c r="E120" s="4">
        <v>2</v>
      </c>
      <c r="F120" s="4">
        <v>5</v>
      </c>
      <c r="G120" s="4" t="s">
        <v>115</v>
      </c>
      <c r="H120" s="4" t="s">
        <v>7307</v>
      </c>
      <c r="I120" s="4" t="s">
        <v>115</v>
      </c>
      <c r="J120" s="4">
        <v>20</v>
      </c>
      <c r="K120" s="4">
        <v>57500</v>
      </c>
      <c r="L120" s="4">
        <v>0</v>
      </c>
      <c r="N120" s="4">
        <v>200115</v>
      </c>
      <c r="O120" s="4">
        <v>200116</v>
      </c>
      <c r="P120" s="4">
        <v>200113</v>
      </c>
      <c r="Q120" s="4">
        <v>140</v>
      </c>
      <c r="R120" s="89">
        <v>22724</v>
      </c>
    </row>
    <row r="121" spans="1:18" x14ac:dyDescent="0.15">
      <c r="A121" s="4" t="s">
        <v>1</v>
      </c>
      <c r="B121" s="40" t="s">
        <v>644</v>
      </c>
      <c r="C121" s="4" t="s">
        <v>115</v>
      </c>
      <c r="D121" s="4">
        <v>3</v>
      </c>
      <c r="E121" s="4" t="s">
        <v>115</v>
      </c>
      <c r="F121" s="4" t="s">
        <v>115</v>
      </c>
      <c r="G121" s="4" t="s">
        <v>115</v>
      </c>
      <c r="H121" s="4" t="s">
        <v>7307</v>
      </c>
      <c r="I121" s="4" t="s">
        <v>115</v>
      </c>
      <c r="J121" s="4" t="s">
        <v>115</v>
      </c>
      <c r="K121" s="4">
        <v>60000</v>
      </c>
      <c r="L121" s="4">
        <v>1012</v>
      </c>
      <c r="N121" s="4" t="s">
        <v>115</v>
      </c>
      <c r="O121" s="4" t="s">
        <v>115</v>
      </c>
      <c r="P121" s="4">
        <v>200111</v>
      </c>
      <c r="Q121" s="4">
        <v>192</v>
      </c>
      <c r="R121" s="88">
        <v>5760</v>
      </c>
    </row>
    <row r="122" spans="1:18" x14ac:dyDescent="0.15">
      <c r="A122" s="4" t="s">
        <v>1</v>
      </c>
      <c r="B122" s="4">
        <v>1012</v>
      </c>
      <c r="C122" s="4" t="s">
        <v>115</v>
      </c>
      <c r="D122" s="4" t="s">
        <v>115</v>
      </c>
      <c r="E122" s="4">
        <v>1</v>
      </c>
      <c r="F122" s="4">
        <v>5</v>
      </c>
      <c r="G122" s="4" t="s">
        <v>115</v>
      </c>
      <c r="H122" s="4" t="s">
        <v>7307</v>
      </c>
      <c r="I122" s="4" t="s">
        <v>4800</v>
      </c>
      <c r="J122" s="4" t="s">
        <v>115</v>
      </c>
      <c r="K122" s="4">
        <v>60000</v>
      </c>
      <c r="L122" s="4">
        <v>1013</v>
      </c>
      <c r="N122" s="4" t="s">
        <v>115</v>
      </c>
      <c r="O122" s="4" t="s">
        <v>115</v>
      </c>
      <c r="P122" s="4">
        <v>200112</v>
      </c>
      <c r="Q122" s="4">
        <v>192</v>
      </c>
      <c r="R122" s="88">
        <v>31965</v>
      </c>
    </row>
    <row r="123" spans="1:18" x14ac:dyDescent="0.15">
      <c r="A123" s="4" t="s">
        <v>1</v>
      </c>
      <c r="B123" s="4">
        <v>1013</v>
      </c>
      <c r="C123" s="4" t="s">
        <v>115</v>
      </c>
      <c r="D123" s="4" t="s">
        <v>115</v>
      </c>
      <c r="E123" s="4">
        <v>2</v>
      </c>
      <c r="F123" s="4">
        <v>5</v>
      </c>
      <c r="G123" s="4" t="s">
        <v>115</v>
      </c>
      <c r="H123" s="4" t="s">
        <v>7307</v>
      </c>
      <c r="I123" s="4" t="s">
        <v>115</v>
      </c>
      <c r="J123" s="4">
        <v>20</v>
      </c>
      <c r="K123" s="4">
        <v>60000</v>
      </c>
      <c r="L123" s="4">
        <v>0</v>
      </c>
      <c r="N123" s="4">
        <v>200115</v>
      </c>
      <c r="O123" s="4">
        <v>200116</v>
      </c>
      <c r="P123" s="4">
        <v>200113</v>
      </c>
      <c r="Q123" s="4">
        <v>192</v>
      </c>
      <c r="R123" s="88">
        <v>23938</v>
      </c>
    </row>
    <row r="124" spans="1:18" x14ac:dyDescent="0.15">
      <c r="A124" s="4" t="s">
        <v>1</v>
      </c>
      <c r="B124" s="4" t="s">
        <v>645</v>
      </c>
      <c r="C124" s="4" t="s">
        <v>115</v>
      </c>
      <c r="D124" s="4">
        <v>3</v>
      </c>
      <c r="E124" s="4" t="s">
        <v>115</v>
      </c>
      <c r="F124" s="4" t="s">
        <v>115</v>
      </c>
      <c r="G124" s="4" t="s">
        <v>115</v>
      </c>
      <c r="H124" s="4" t="s">
        <v>7307</v>
      </c>
      <c r="I124" s="4" t="s">
        <v>115</v>
      </c>
      <c r="J124" s="4" t="s">
        <v>115</v>
      </c>
      <c r="K124" s="4">
        <v>61000</v>
      </c>
      <c r="L124" s="4">
        <v>1022</v>
      </c>
      <c r="N124" s="4" t="s">
        <v>115</v>
      </c>
      <c r="O124" s="4" t="s">
        <v>115</v>
      </c>
      <c r="P124" s="4">
        <v>200111</v>
      </c>
      <c r="Q124" s="4">
        <v>181</v>
      </c>
      <c r="R124" s="88">
        <v>5760</v>
      </c>
    </row>
    <row r="125" spans="1:18" x14ac:dyDescent="0.15">
      <c r="A125" s="4" t="s">
        <v>1</v>
      </c>
      <c r="B125" s="4">
        <v>1022</v>
      </c>
      <c r="C125" s="4" t="s">
        <v>115</v>
      </c>
      <c r="D125" s="4" t="s">
        <v>115</v>
      </c>
      <c r="E125" s="4">
        <v>1</v>
      </c>
      <c r="F125" s="4">
        <v>5</v>
      </c>
      <c r="G125" s="4" t="s">
        <v>115</v>
      </c>
      <c r="H125" s="4" t="s">
        <v>7307</v>
      </c>
      <c r="I125" s="4" t="s">
        <v>4800</v>
      </c>
      <c r="J125" s="4" t="s">
        <v>115</v>
      </c>
      <c r="K125" s="4">
        <v>61000</v>
      </c>
      <c r="L125" s="4">
        <v>1023</v>
      </c>
      <c r="N125" s="4" t="s">
        <v>115</v>
      </c>
      <c r="O125" s="4" t="s">
        <v>115</v>
      </c>
      <c r="P125" s="4">
        <v>200112</v>
      </c>
      <c r="Q125" s="4">
        <v>181</v>
      </c>
      <c r="R125" s="88">
        <v>32504</v>
      </c>
    </row>
    <row r="126" spans="1:18" x14ac:dyDescent="0.15">
      <c r="A126" s="4" t="s">
        <v>1</v>
      </c>
      <c r="B126" s="40">
        <v>1023</v>
      </c>
      <c r="C126" s="4" t="s">
        <v>115</v>
      </c>
      <c r="D126" s="4" t="s">
        <v>115</v>
      </c>
      <c r="E126" s="4">
        <v>2</v>
      </c>
      <c r="F126" s="4">
        <v>5</v>
      </c>
      <c r="G126" s="4" t="s">
        <v>115</v>
      </c>
      <c r="H126" s="4" t="s">
        <v>7307</v>
      </c>
      <c r="I126" s="4" t="s">
        <v>115</v>
      </c>
      <c r="J126" s="4">
        <v>20</v>
      </c>
      <c r="K126" s="4">
        <v>61000</v>
      </c>
      <c r="L126" s="4">
        <v>0</v>
      </c>
      <c r="N126" s="4">
        <v>200115</v>
      </c>
      <c r="O126" s="4">
        <v>200116</v>
      </c>
      <c r="P126" s="4">
        <v>200113</v>
      </c>
      <c r="Q126" s="4">
        <v>181</v>
      </c>
      <c r="R126" s="88">
        <v>23938</v>
      </c>
    </row>
    <row r="127" spans="1:18" x14ac:dyDescent="0.15">
      <c r="A127" s="4" t="s">
        <v>1</v>
      </c>
      <c r="B127" s="40" t="s">
        <v>646</v>
      </c>
      <c r="C127" s="4" t="s">
        <v>115</v>
      </c>
      <c r="D127" s="4">
        <v>3</v>
      </c>
      <c r="E127" s="4" t="s">
        <v>115</v>
      </c>
      <c r="F127" s="4" t="s">
        <v>115</v>
      </c>
      <c r="G127" s="4" t="s">
        <v>115</v>
      </c>
      <c r="H127" s="4" t="s">
        <v>7307</v>
      </c>
      <c r="I127" s="4" t="s">
        <v>115</v>
      </c>
      <c r="J127" s="4" t="s">
        <v>115</v>
      </c>
      <c r="K127" s="4">
        <v>62000</v>
      </c>
      <c r="L127" s="4">
        <v>1032</v>
      </c>
      <c r="N127" s="4" t="s">
        <v>115</v>
      </c>
      <c r="O127" s="4" t="s">
        <v>115</v>
      </c>
      <c r="P127" s="4">
        <v>200111</v>
      </c>
      <c r="Q127" s="4">
        <v>112</v>
      </c>
      <c r="R127" s="88">
        <v>5910</v>
      </c>
    </row>
    <row r="128" spans="1:18" x14ac:dyDescent="0.15">
      <c r="A128" s="4" t="s">
        <v>1</v>
      </c>
      <c r="B128" s="4">
        <v>1032</v>
      </c>
      <c r="C128" s="4" t="s">
        <v>115</v>
      </c>
      <c r="D128" s="4" t="s">
        <v>115</v>
      </c>
      <c r="E128" s="4">
        <v>1</v>
      </c>
      <c r="F128" s="4">
        <v>5</v>
      </c>
      <c r="G128" s="4" t="s">
        <v>115</v>
      </c>
      <c r="H128" s="4" t="s">
        <v>7307</v>
      </c>
      <c r="I128" s="4" t="s">
        <v>4800</v>
      </c>
      <c r="J128" s="4" t="s">
        <v>115</v>
      </c>
      <c r="K128" s="4">
        <v>62000</v>
      </c>
      <c r="L128" s="4">
        <v>1033</v>
      </c>
      <c r="N128" s="4" t="s">
        <v>115</v>
      </c>
      <c r="O128" s="4" t="s">
        <v>115</v>
      </c>
      <c r="P128" s="4">
        <v>200112</v>
      </c>
      <c r="Q128" s="4">
        <v>112</v>
      </c>
      <c r="R128" s="88">
        <v>32504</v>
      </c>
    </row>
    <row r="129" spans="1:18" x14ac:dyDescent="0.15">
      <c r="A129" s="4" t="s">
        <v>1</v>
      </c>
      <c r="B129" s="4">
        <v>1033</v>
      </c>
      <c r="C129" s="4" t="s">
        <v>115</v>
      </c>
      <c r="D129" s="4" t="s">
        <v>115</v>
      </c>
      <c r="E129" s="4">
        <v>2</v>
      </c>
      <c r="F129" s="4">
        <v>5</v>
      </c>
      <c r="G129" s="4" t="s">
        <v>115</v>
      </c>
      <c r="H129" s="4" t="s">
        <v>7307</v>
      </c>
      <c r="I129" s="4" t="s">
        <v>115</v>
      </c>
      <c r="J129" s="4">
        <v>20</v>
      </c>
      <c r="K129" s="4">
        <v>62000</v>
      </c>
      <c r="L129" s="4">
        <v>0</v>
      </c>
      <c r="N129" s="4">
        <v>200115</v>
      </c>
      <c r="O129" s="4">
        <v>200116</v>
      </c>
      <c r="P129" s="4">
        <v>200113</v>
      </c>
      <c r="Q129" s="4">
        <v>112</v>
      </c>
      <c r="R129" s="88">
        <v>24343</v>
      </c>
    </row>
    <row r="130" spans="1:18" x14ac:dyDescent="0.15">
      <c r="A130" s="4" t="s">
        <v>1</v>
      </c>
      <c r="B130" s="4" t="s">
        <v>647</v>
      </c>
      <c r="C130" s="4" t="s">
        <v>115</v>
      </c>
      <c r="D130" s="4">
        <v>3</v>
      </c>
      <c r="E130" s="4" t="s">
        <v>115</v>
      </c>
      <c r="F130" s="4" t="s">
        <v>115</v>
      </c>
      <c r="G130" s="4" t="s">
        <v>115</v>
      </c>
      <c r="H130" s="4" t="s">
        <v>7307</v>
      </c>
      <c r="I130" s="4" t="s">
        <v>115</v>
      </c>
      <c r="J130" s="4" t="s">
        <v>115</v>
      </c>
      <c r="K130" s="4">
        <v>62500</v>
      </c>
      <c r="L130" s="4">
        <v>1042</v>
      </c>
      <c r="N130" s="4" t="s">
        <v>115</v>
      </c>
      <c r="O130" s="4" t="s">
        <v>115</v>
      </c>
      <c r="P130" s="4">
        <v>200111</v>
      </c>
      <c r="Q130" s="4">
        <v>112</v>
      </c>
      <c r="R130" s="88">
        <v>5910</v>
      </c>
    </row>
    <row r="131" spans="1:18" x14ac:dyDescent="0.15">
      <c r="A131" s="4" t="s">
        <v>1</v>
      </c>
      <c r="B131" s="40">
        <v>1042</v>
      </c>
      <c r="C131" s="4" t="s">
        <v>115</v>
      </c>
      <c r="D131" s="4" t="s">
        <v>115</v>
      </c>
      <c r="E131" s="4">
        <v>1</v>
      </c>
      <c r="F131" s="4">
        <v>5</v>
      </c>
      <c r="G131" s="4" t="s">
        <v>115</v>
      </c>
      <c r="H131" s="4" t="s">
        <v>7307</v>
      </c>
      <c r="I131" s="4" t="s">
        <v>4800</v>
      </c>
      <c r="J131" s="4" t="s">
        <v>115</v>
      </c>
      <c r="K131" s="4">
        <v>62500</v>
      </c>
      <c r="L131" s="4">
        <v>1043</v>
      </c>
      <c r="N131" s="4" t="s">
        <v>115</v>
      </c>
      <c r="O131" s="4" t="s">
        <v>115</v>
      </c>
      <c r="P131" s="4">
        <v>200112</v>
      </c>
      <c r="Q131" s="4">
        <v>112</v>
      </c>
      <c r="R131" s="88">
        <v>33052</v>
      </c>
    </row>
    <row r="132" spans="1:18" x14ac:dyDescent="0.15">
      <c r="A132" s="4" t="s">
        <v>1</v>
      </c>
      <c r="B132" s="4">
        <v>1043</v>
      </c>
      <c r="C132" s="4" t="s">
        <v>115</v>
      </c>
      <c r="D132" s="4" t="s">
        <v>115</v>
      </c>
      <c r="E132" s="4">
        <v>2</v>
      </c>
      <c r="F132" s="4">
        <v>5</v>
      </c>
      <c r="G132" s="4" t="s">
        <v>115</v>
      </c>
      <c r="H132" s="4" t="s">
        <v>7307</v>
      </c>
      <c r="I132" s="4" t="s">
        <v>115</v>
      </c>
      <c r="J132" s="4">
        <v>20</v>
      </c>
      <c r="K132" s="4">
        <v>62500</v>
      </c>
      <c r="L132" s="4">
        <v>0</v>
      </c>
      <c r="N132" s="4">
        <v>200115</v>
      </c>
      <c r="O132" s="4">
        <v>200116</v>
      </c>
      <c r="P132" s="4">
        <v>200113</v>
      </c>
      <c r="Q132" s="4">
        <v>112</v>
      </c>
      <c r="R132" s="88">
        <v>24343</v>
      </c>
    </row>
    <row r="133" spans="1:18" x14ac:dyDescent="0.15">
      <c r="A133" s="4" t="s">
        <v>1</v>
      </c>
      <c r="B133" s="4" t="s">
        <v>648</v>
      </c>
      <c r="C133" s="4" t="s">
        <v>115</v>
      </c>
      <c r="D133" s="4">
        <v>3</v>
      </c>
      <c r="E133" s="4" t="s">
        <v>115</v>
      </c>
      <c r="F133" s="4" t="s">
        <v>115</v>
      </c>
      <c r="G133" s="4" t="s">
        <v>115</v>
      </c>
      <c r="H133" s="4" t="s">
        <v>7307</v>
      </c>
      <c r="I133" s="4" t="s">
        <v>115</v>
      </c>
      <c r="J133" s="4" t="s">
        <v>115</v>
      </c>
      <c r="K133" s="4">
        <v>63000</v>
      </c>
      <c r="L133" s="4">
        <v>1052</v>
      </c>
      <c r="N133" s="4" t="s">
        <v>115</v>
      </c>
      <c r="O133" s="4" t="s">
        <v>115</v>
      </c>
      <c r="P133" s="4">
        <v>200111</v>
      </c>
      <c r="Q133" s="4">
        <v>143</v>
      </c>
      <c r="R133" s="88">
        <v>5910</v>
      </c>
    </row>
    <row r="134" spans="1:18" x14ac:dyDescent="0.15">
      <c r="A134" s="4" t="s">
        <v>1</v>
      </c>
      <c r="B134" s="4">
        <v>1052</v>
      </c>
      <c r="C134" s="4" t="s">
        <v>115</v>
      </c>
      <c r="D134" s="4" t="s">
        <v>115</v>
      </c>
      <c r="E134" s="4">
        <v>1</v>
      </c>
      <c r="F134" s="4">
        <v>5</v>
      </c>
      <c r="G134" s="4" t="s">
        <v>115</v>
      </c>
      <c r="H134" s="4" t="s">
        <v>7307</v>
      </c>
      <c r="I134" s="4" t="s">
        <v>4800</v>
      </c>
      <c r="J134" s="4" t="s">
        <v>115</v>
      </c>
      <c r="K134" s="4">
        <v>63000</v>
      </c>
      <c r="L134" s="4">
        <v>1053</v>
      </c>
      <c r="N134" s="4" t="s">
        <v>115</v>
      </c>
      <c r="O134" s="4" t="s">
        <v>115</v>
      </c>
      <c r="P134" s="4">
        <v>200112</v>
      </c>
      <c r="Q134" s="4">
        <v>143</v>
      </c>
      <c r="R134" s="88">
        <v>33052</v>
      </c>
    </row>
    <row r="135" spans="1:18" x14ac:dyDescent="0.15">
      <c r="A135" s="4" t="s">
        <v>1</v>
      </c>
      <c r="B135" s="40">
        <v>1053</v>
      </c>
      <c r="C135" s="4" t="s">
        <v>115</v>
      </c>
      <c r="D135" s="4" t="s">
        <v>115</v>
      </c>
      <c r="E135" s="4">
        <v>2</v>
      </c>
      <c r="F135" s="4">
        <v>5</v>
      </c>
      <c r="G135" s="4" t="s">
        <v>115</v>
      </c>
      <c r="H135" s="4" t="s">
        <v>7307</v>
      </c>
      <c r="I135" s="4" t="s">
        <v>115</v>
      </c>
      <c r="J135" s="4">
        <v>20</v>
      </c>
      <c r="K135" s="4">
        <v>63000</v>
      </c>
      <c r="L135" s="4">
        <v>0</v>
      </c>
      <c r="N135" s="4">
        <v>200115</v>
      </c>
      <c r="O135" s="4">
        <v>200116</v>
      </c>
      <c r="P135" s="4">
        <v>200113</v>
      </c>
      <c r="Q135" s="4">
        <v>143</v>
      </c>
      <c r="R135" s="88">
        <v>24738</v>
      </c>
    </row>
    <row r="136" spans="1:18" x14ac:dyDescent="0.15">
      <c r="A136" s="4" t="s">
        <v>1</v>
      </c>
      <c r="B136" s="4" t="s">
        <v>649</v>
      </c>
      <c r="C136" s="4" t="s">
        <v>115</v>
      </c>
      <c r="D136" s="4">
        <v>3</v>
      </c>
      <c r="E136" s="4" t="s">
        <v>115</v>
      </c>
      <c r="F136" s="4" t="s">
        <v>115</v>
      </c>
      <c r="G136" s="4" t="s">
        <v>115</v>
      </c>
      <c r="H136" s="4" t="s">
        <v>7307</v>
      </c>
      <c r="I136" s="4" t="s">
        <v>115</v>
      </c>
      <c r="J136" s="4" t="s">
        <v>115</v>
      </c>
      <c r="K136" s="4">
        <v>63500</v>
      </c>
      <c r="L136" s="4">
        <v>1062</v>
      </c>
      <c r="N136" s="4" t="s">
        <v>115</v>
      </c>
      <c r="O136" s="4" t="s">
        <v>115</v>
      </c>
      <c r="P136" s="4">
        <v>200111</v>
      </c>
      <c r="Q136" s="4">
        <v>116</v>
      </c>
      <c r="R136" s="88">
        <v>5910</v>
      </c>
    </row>
    <row r="137" spans="1:18" x14ac:dyDescent="0.15">
      <c r="A137" s="4" t="s">
        <v>1</v>
      </c>
      <c r="B137" s="40">
        <v>1062</v>
      </c>
      <c r="C137" s="4" t="s">
        <v>115</v>
      </c>
      <c r="D137" s="4" t="s">
        <v>115</v>
      </c>
      <c r="E137" s="4">
        <v>1</v>
      </c>
      <c r="F137" s="4">
        <v>5</v>
      </c>
      <c r="G137" s="4" t="s">
        <v>115</v>
      </c>
      <c r="H137" s="4" t="s">
        <v>7307</v>
      </c>
      <c r="I137" s="4" t="s">
        <v>4800</v>
      </c>
      <c r="J137" s="4" t="s">
        <v>115</v>
      </c>
      <c r="K137" s="4">
        <v>63500</v>
      </c>
      <c r="L137" s="4">
        <v>1063</v>
      </c>
      <c r="N137" s="4" t="s">
        <v>115</v>
      </c>
      <c r="O137" s="4" t="s">
        <v>115</v>
      </c>
      <c r="P137" s="4">
        <v>200112</v>
      </c>
      <c r="Q137" s="4">
        <v>116</v>
      </c>
      <c r="R137" s="88">
        <v>33052</v>
      </c>
    </row>
    <row r="138" spans="1:18" x14ac:dyDescent="0.15">
      <c r="A138" s="4" t="s">
        <v>1</v>
      </c>
      <c r="B138" s="4">
        <v>1063</v>
      </c>
      <c r="C138" s="4" t="s">
        <v>115</v>
      </c>
      <c r="D138" s="4" t="s">
        <v>115</v>
      </c>
      <c r="E138" s="4">
        <v>2</v>
      </c>
      <c r="F138" s="4">
        <v>5</v>
      </c>
      <c r="G138" s="4" t="s">
        <v>115</v>
      </c>
      <c r="H138" s="4" t="s">
        <v>7307</v>
      </c>
      <c r="I138" s="4" t="s">
        <v>115</v>
      </c>
      <c r="J138" s="4">
        <v>20</v>
      </c>
      <c r="K138" s="4">
        <v>63500</v>
      </c>
      <c r="L138" s="4">
        <v>0</v>
      </c>
      <c r="N138" s="4">
        <v>200115</v>
      </c>
      <c r="O138" s="4">
        <v>200116</v>
      </c>
      <c r="P138" s="4">
        <v>200113</v>
      </c>
      <c r="Q138" s="4">
        <v>116</v>
      </c>
      <c r="R138" s="88">
        <v>24738</v>
      </c>
    </row>
    <row r="139" spans="1:18" x14ac:dyDescent="0.15">
      <c r="A139" s="4" t="s">
        <v>1</v>
      </c>
      <c r="B139" s="4" t="s">
        <v>650</v>
      </c>
      <c r="C139" s="4" t="s">
        <v>115</v>
      </c>
      <c r="D139" s="4">
        <v>3</v>
      </c>
      <c r="E139" s="4" t="s">
        <v>115</v>
      </c>
      <c r="F139" s="4" t="s">
        <v>115</v>
      </c>
      <c r="G139" s="4" t="s">
        <v>115</v>
      </c>
      <c r="H139" s="4" t="s">
        <v>7307</v>
      </c>
      <c r="I139" s="4" t="s">
        <v>115</v>
      </c>
      <c r="J139" s="4" t="s">
        <v>115</v>
      </c>
      <c r="K139" s="4">
        <v>64000</v>
      </c>
      <c r="L139" s="4">
        <v>1072</v>
      </c>
      <c r="N139" s="4" t="s">
        <v>115</v>
      </c>
      <c r="O139" s="4" t="s">
        <v>115</v>
      </c>
      <c r="P139" s="4">
        <v>200111</v>
      </c>
      <c r="Q139" s="4">
        <v>116</v>
      </c>
      <c r="R139" s="88">
        <v>5040</v>
      </c>
    </row>
    <row r="140" spans="1:18" x14ac:dyDescent="0.15">
      <c r="A140" s="4" t="s">
        <v>1</v>
      </c>
      <c r="B140" s="4">
        <v>1072</v>
      </c>
      <c r="C140" s="4" t="s">
        <v>115</v>
      </c>
      <c r="D140" s="4" t="s">
        <v>115</v>
      </c>
      <c r="E140" s="4">
        <v>1</v>
      </c>
      <c r="F140" s="4">
        <v>5</v>
      </c>
      <c r="G140" s="4" t="s">
        <v>115</v>
      </c>
      <c r="H140" s="4" t="s">
        <v>7307</v>
      </c>
      <c r="I140" s="4" t="s">
        <v>4800</v>
      </c>
      <c r="J140" s="4" t="s">
        <v>115</v>
      </c>
      <c r="K140" s="4">
        <v>64000</v>
      </c>
      <c r="L140" s="4">
        <v>1073</v>
      </c>
      <c r="N140" s="4" t="s">
        <v>115</v>
      </c>
      <c r="O140" s="4" t="s">
        <v>115</v>
      </c>
      <c r="P140" s="4">
        <v>200112</v>
      </c>
      <c r="Q140" s="4">
        <v>116</v>
      </c>
      <c r="R140" s="88">
        <v>5040</v>
      </c>
    </row>
    <row r="141" spans="1:18" x14ac:dyDescent="0.15">
      <c r="A141" s="4" t="s">
        <v>1</v>
      </c>
      <c r="B141" s="40">
        <v>1073</v>
      </c>
      <c r="C141" s="4" t="s">
        <v>115</v>
      </c>
      <c r="D141" s="4" t="s">
        <v>115</v>
      </c>
      <c r="E141" s="4">
        <v>2</v>
      </c>
      <c r="F141" s="4">
        <v>5</v>
      </c>
      <c r="G141" s="4" t="s">
        <v>115</v>
      </c>
      <c r="H141" s="4" t="s">
        <v>7307</v>
      </c>
      <c r="I141" s="4" t="s">
        <v>115</v>
      </c>
      <c r="J141" s="4">
        <v>20</v>
      </c>
      <c r="K141" s="4">
        <v>64000</v>
      </c>
      <c r="L141" s="4">
        <v>0</v>
      </c>
      <c r="N141" s="4">
        <v>200115</v>
      </c>
      <c r="O141" s="4">
        <v>200116</v>
      </c>
      <c r="P141" s="4">
        <v>200113</v>
      </c>
      <c r="Q141" s="4">
        <v>116</v>
      </c>
      <c r="R141" s="88">
        <v>5040</v>
      </c>
    </row>
    <row r="142" spans="1:18" x14ac:dyDescent="0.15">
      <c r="A142" s="4" t="s">
        <v>1</v>
      </c>
      <c r="B142" s="4" t="s">
        <v>3250</v>
      </c>
      <c r="C142" s="4" t="s">
        <v>115</v>
      </c>
      <c r="D142" s="4">
        <v>3</v>
      </c>
      <c r="E142" s="4" t="s">
        <v>115</v>
      </c>
      <c r="F142" s="4" t="s">
        <v>115</v>
      </c>
      <c r="G142" s="4" t="s">
        <v>115</v>
      </c>
      <c r="H142" s="4" t="s">
        <v>7307</v>
      </c>
      <c r="I142" s="4" t="s">
        <v>115</v>
      </c>
      <c r="J142" s="4" t="s">
        <v>115</v>
      </c>
      <c r="K142" s="4">
        <v>62500</v>
      </c>
      <c r="L142" s="4">
        <v>1112</v>
      </c>
      <c r="N142" s="4" t="s">
        <v>115</v>
      </c>
      <c r="O142" s="4" t="s">
        <v>115</v>
      </c>
      <c r="P142" s="4">
        <v>200111</v>
      </c>
      <c r="Q142" s="4">
        <v>172</v>
      </c>
      <c r="R142" s="88">
        <v>5040</v>
      </c>
    </row>
    <row r="143" spans="1:18" x14ac:dyDescent="0.15">
      <c r="A143" s="4" t="s">
        <v>1</v>
      </c>
      <c r="B143" s="40">
        <v>1112</v>
      </c>
      <c r="C143" s="4" t="s">
        <v>115</v>
      </c>
      <c r="D143" s="4" t="s">
        <v>115</v>
      </c>
      <c r="E143" s="4">
        <v>1</v>
      </c>
      <c r="F143" s="4">
        <v>5</v>
      </c>
      <c r="G143" s="4" t="s">
        <v>115</v>
      </c>
      <c r="H143" s="4" t="s">
        <v>7307</v>
      </c>
      <c r="I143" s="4" t="s">
        <v>4800</v>
      </c>
      <c r="J143" s="4" t="s">
        <v>115</v>
      </c>
      <c r="K143" s="4">
        <v>62500</v>
      </c>
      <c r="L143" s="4">
        <v>1113</v>
      </c>
      <c r="N143" s="4" t="s">
        <v>115</v>
      </c>
      <c r="O143" s="4" t="s">
        <v>115</v>
      </c>
      <c r="P143" s="4">
        <v>200112</v>
      </c>
      <c r="Q143" s="4">
        <v>172</v>
      </c>
      <c r="R143" s="88">
        <v>6230</v>
      </c>
    </row>
    <row r="144" spans="1:18" x14ac:dyDescent="0.15">
      <c r="A144" s="4" t="s">
        <v>1</v>
      </c>
      <c r="B144" s="4">
        <v>1113</v>
      </c>
      <c r="C144" s="4" t="s">
        <v>115</v>
      </c>
      <c r="D144" s="4" t="s">
        <v>115</v>
      </c>
      <c r="E144" s="4">
        <v>2</v>
      </c>
      <c r="F144" s="4">
        <v>5</v>
      </c>
      <c r="G144" s="4" t="s">
        <v>115</v>
      </c>
      <c r="H144" s="4" t="s">
        <v>7307</v>
      </c>
      <c r="I144" s="4" t="s">
        <v>115</v>
      </c>
      <c r="J144" s="4">
        <v>20</v>
      </c>
      <c r="K144" s="4">
        <v>62500</v>
      </c>
      <c r="L144" s="4">
        <v>0</v>
      </c>
      <c r="N144" s="4">
        <v>200115</v>
      </c>
      <c r="O144" s="4">
        <v>200116</v>
      </c>
      <c r="P144" s="4">
        <v>200113</v>
      </c>
      <c r="Q144" s="4">
        <v>172</v>
      </c>
      <c r="R144" s="88">
        <v>6230</v>
      </c>
    </row>
    <row r="145" spans="1:18" x14ac:dyDescent="0.15">
      <c r="A145" s="4" t="s">
        <v>1</v>
      </c>
      <c r="B145" s="40" t="s">
        <v>3251</v>
      </c>
      <c r="C145" s="4" t="s">
        <v>115</v>
      </c>
      <c r="D145" s="4">
        <v>3</v>
      </c>
      <c r="E145" s="4" t="s">
        <v>115</v>
      </c>
      <c r="F145" s="4" t="s">
        <v>115</v>
      </c>
      <c r="G145" s="4" t="s">
        <v>115</v>
      </c>
      <c r="H145" s="4" t="s">
        <v>7307</v>
      </c>
      <c r="I145" s="4" t="s">
        <v>115</v>
      </c>
      <c r="J145" s="4" t="s">
        <v>115</v>
      </c>
      <c r="K145" s="4">
        <v>63000</v>
      </c>
      <c r="L145" s="4">
        <v>1122</v>
      </c>
      <c r="N145" s="4" t="s">
        <v>115</v>
      </c>
      <c r="O145" s="4" t="s">
        <v>115</v>
      </c>
      <c r="P145" s="4">
        <v>200111</v>
      </c>
      <c r="Q145" s="4">
        <v>185</v>
      </c>
      <c r="R145" s="88">
        <v>6230</v>
      </c>
    </row>
    <row r="146" spans="1:18" x14ac:dyDescent="0.15">
      <c r="A146" s="4" t="s">
        <v>1</v>
      </c>
      <c r="B146" s="4">
        <v>1122</v>
      </c>
      <c r="C146" s="4" t="s">
        <v>115</v>
      </c>
      <c r="D146" s="4" t="s">
        <v>115</v>
      </c>
      <c r="E146" s="4">
        <v>1</v>
      </c>
      <c r="F146" s="4">
        <v>5</v>
      </c>
      <c r="G146" s="4" t="s">
        <v>115</v>
      </c>
      <c r="H146" s="4" t="s">
        <v>7307</v>
      </c>
      <c r="I146" s="4" t="s">
        <v>4800</v>
      </c>
      <c r="J146" s="4" t="s">
        <v>115</v>
      </c>
      <c r="K146" s="4">
        <v>63000</v>
      </c>
      <c r="L146" s="4">
        <v>1123</v>
      </c>
      <c r="N146" s="4" t="s">
        <v>115</v>
      </c>
      <c r="O146" s="4" t="s">
        <v>115</v>
      </c>
      <c r="P146" s="4">
        <v>200112</v>
      </c>
      <c r="Q146" s="4">
        <v>185</v>
      </c>
      <c r="R146" s="88">
        <v>6230</v>
      </c>
    </row>
    <row r="147" spans="1:18" x14ac:dyDescent="0.15">
      <c r="A147" s="4" t="s">
        <v>1</v>
      </c>
      <c r="B147" s="4">
        <v>1123</v>
      </c>
      <c r="C147" s="4" t="s">
        <v>115</v>
      </c>
      <c r="D147" s="4" t="s">
        <v>115</v>
      </c>
      <c r="E147" s="4">
        <v>2</v>
      </c>
      <c r="F147" s="4">
        <v>5</v>
      </c>
      <c r="G147" s="4" t="s">
        <v>115</v>
      </c>
      <c r="H147" s="4" t="s">
        <v>7307</v>
      </c>
      <c r="I147" s="4" t="s">
        <v>115</v>
      </c>
      <c r="J147" s="4">
        <v>20</v>
      </c>
      <c r="K147" s="4">
        <v>63000</v>
      </c>
      <c r="L147" s="4">
        <v>0</v>
      </c>
      <c r="N147" s="4">
        <v>200115</v>
      </c>
      <c r="O147" s="4">
        <v>200116</v>
      </c>
      <c r="P147" s="4">
        <v>200113</v>
      </c>
      <c r="Q147" s="4">
        <v>185</v>
      </c>
      <c r="R147" s="88">
        <v>6230</v>
      </c>
    </row>
    <row r="148" spans="1:18" x14ac:dyDescent="0.15">
      <c r="A148" s="4" t="s">
        <v>1</v>
      </c>
      <c r="B148" s="4" t="s">
        <v>3252</v>
      </c>
      <c r="C148" s="4" t="s">
        <v>115</v>
      </c>
      <c r="D148" s="4">
        <v>3</v>
      </c>
      <c r="E148" s="4" t="s">
        <v>115</v>
      </c>
      <c r="F148" s="4" t="s">
        <v>115</v>
      </c>
      <c r="G148" s="4" t="s">
        <v>115</v>
      </c>
      <c r="H148" s="4" t="s">
        <v>7307</v>
      </c>
      <c r="I148" s="4" t="s">
        <v>115</v>
      </c>
      <c r="J148" s="4" t="s">
        <v>115</v>
      </c>
      <c r="K148" s="4">
        <v>63500</v>
      </c>
      <c r="L148" s="4">
        <v>1132</v>
      </c>
      <c r="N148" s="4" t="s">
        <v>115</v>
      </c>
      <c r="O148" s="4" t="s">
        <v>115</v>
      </c>
      <c r="P148" s="4">
        <v>200111</v>
      </c>
      <c r="Q148" s="4">
        <v>116</v>
      </c>
      <c r="R148" s="88">
        <v>6230</v>
      </c>
    </row>
    <row r="149" spans="1:18" x14ac:dyDescent="0.15">
      <c r="A149" s="4" t="s">
        <v>1</v>
      </c>
      <c r="B149" s="4">
        <v>1132</v>
      </c>
      <c r="C149" s="4" t="s">
        <v>115</v>
      </c>
      <c r="D149" s="4" t="s">
        <v>115</v>
      </c>
      <c r="E149" s="4">
        <v>1</v>
      </c>
      <c r="F149" s="4">
        <v>5</v>
      </c>
      <c r="G149" s="4" t="s">
        <v>115</v>
      </c>
      <c r="H149" s="4" t="s">
        <v>7307</v>
      </c>
      <c r="I149" s="4" t="s">
        <v>4800</v>
      </c>
      <c r="J149" s="4" t="s">
        <v>115</v>
      </c>
      <c r="K149" s="4">
        <v>63500</v>
      </c>
      <c r="L149" s="4">
        <v>1133</v>
      </c>
      <c r="N149" s="4" t="s">
        <v>115</v>
      </c>
      <c r="O149" s="4" t="s">
        <v>115</v>
      </c>
      <c r="P149" s="4">
        <v>200112</v>
      </c>
      <c r="Q149" s="4">
        <v>116</v>
      </c>
      <c r="R149" s="88">
        <v>6230</v>
      </c>
    </row>
    <row r="150" spans="1:18" x14ac:dyDescent="0.15">
      <c r="A150" s="4" t="s">
        <v>1</v>
      </c>
      <c r="B150" s="4">
        <v>1133</v>
      </c>
      <c r="C150" s="4" t="s">
        <v>115</v>
      </c>
      <c r="D150" s="4" t="s">
        <v>115</v>
      </c>
      <c r="E150" s="4">
        <v>2</v>
      </c>
      <c r="F150" s="4">
        <v>5</v>
      </c>
      <c r="G150" s="4" t="s">
        <v>115</v>
      </c>
      <c r="H150" s="4" t="s">
        <v>7307</v>
      </c>
      <c r="I150" s="4" t="s">
        <v>115</v>
      </c>
      <c r="J150" s="4">
        <v>20</v>
      </c>
      <c r="K150" s="4">
        <v>63500</v>
      </c>
      <c r="L150" s="4">
        <v>0</v>
      </c>
      <c r="N150" s="4">
        <v>200115</v>
      </c>
      <c r="O150" s="4">
        <v>200116</v>
      </c>
      <c r="P150" s="4">
        <v>200113</v>
      </c>
      <c r="Q150" s="4">
        <v>116</v>
      </c>
      <c r="R150" s="88">
        <v>6230</v>
      </c>
    </row>
    <row r="151" spans="1:18" x14ac:dyDescent="0.15">
      <c r="A151" s="4" t="s">
        <v>1</v>
      </c>
      <c r="B151" s="4" t="s">
        <v>3253</v>
      </c>
      <c r="C151" s="4" t="s">
        <v>115</v>
      </c>
      <c r="D151" s="4">
        <v>3</v>
      </c>
      <c r="E151" s="4" t="s">
        <v>115</v>
      </c>
      <c r="F151" s="4" t="s">
        <v>115</v>
      </c>
      <c r="G151" s="4" t="s">
        <v>115</v>
      </c>
      <c r="H151" s="4" t="s">
        <v>7307</v>
      </c>
      <c r="I151" s="4" t="s">
        <v>115</v>
      </c>
      <c r="J151" s="4" t="s">
        <v>115</v>
      </c>
      <c r="K151" s="4">
        <v>64000</v>
      </c>
      <c r="L151" s="4">
        <v>1142</v>
      </c>
      <c r="N151" s="4" t="s">
        <v>115</v>
      </c>
      <c r="O151" s="4" t="s">
        <v>115</v>
      </c>
      <c r="P151" s="4">
        <v>200111</v>
      </c>
      <c r="Q151" s="4">
        <v>104</v>
      </c>
      <c r="R151" s="88">
        <v>6230</v>
      </c>
    </row>
    <row r="152" spans="1:18" x14ac:dyDescent="0.15">
      <c r="A152" s="4" t="s">
        <v>1</v>
      </c>
      <c r="B152" s="4">
        <v>1142</v>
      </c>
      <c r="C152" s="4" t="s">
        <v>115</v>
      </c>
      <c r="D152" s="4" t="s">
        <v>115</v>
      </c>
      <c r="E152" s="4">
        <v>1</v>
      </c>
      <c r="F152" s="4">
        <v>5</v>
      </c>
      <c r="G152" s="4" t="s">
        <v>115</v>
      </c>
      <c r="H152" s="4" t="s">
        <v>7307</v>
      </c>
      <c r="I152" s="4" t="s">
        <v>4800</v>
      </c>
      <c r="J152" s="4" t="s">
        <v>115</v>
      </c>
      <c r="K152" s="4">
        <v>64000</v>
      </c>
      <c r="L152" s="4">
        <v>1143</v>
      </c>
      <c r="N152" s="4" t="s">
        <v>115</v>
      </c>
      <c r="O152" s="4" t="s">
        <v>115</v>
      </c>
      <c r="P152" s="4">
        <v>200112</v>
      </c>
      <c r="Q152" s="4">
        <v>104</v>
      </c>
      <c r="R152" s="88">
        <v>6230</v>
      </c>
    </row>
    <row r="153" spans="1:18" x14ac:dyDescent="0.15">
      <c r="A153" s="4" t="s">
        <v>1</v>
      </c>
      <c r="B153" s="4">
        <v>1143</v>
      </c>
      <c r="C153" s="4" t="s">
        <v>115</v>
      </c>
      <c r="D153" s="4" t="s">
        <v>115</v>
      </c>
      <c r="E153" s="4">
        <v>2</v>
      </c>
      <c r="F153" s="4">
        <v>5</v>
      </c>
      <c r="G153" s="4" t="s">
        <v>115</v>
      </c>
      <c r="H153" s="4" t="s">
        <v>7307</v>
      </c>
      <c r="I153" s="4" t="s">
        <v>115</v>
      </c>
      <c r="J153" s="4">
        <v>20</v>
      </c>
      <c r="K153" s="4">
        <v>64000</v>
      </c>
      <c r="L153" s="4">
        <v>0</v>
      </c>
      <c r="N153" s="4">
        <v>200115</v>
      </c>
      <c r="O153" s="4">
        <v>200116</v>
      </c>
      <c r="P153" s="4">
        <v>200113</v>
      </c>
      <c r="Q153" s="4">
        <v>104</v>
      </c>
      <c r="R153" s="88">
        <v>6230</v>
      </c>
    </row>
    <row r="154" spans="1:18" x14ac:dyDescent="0.15">
      <c r="A154" s="4" t="s">
        <v>1</v>
      </c>
      <c r="B154" s="4" t="s">
        <v>3254</v>
      </c>
      <c r="C154" s="4" t="s">
        <v>115</v>
      </c>
      <c r="D154" s="4">
        <v>3</v>
      </c>
      <c r="E154" s="4" t="s">
        <v>115</v>
      </c>
      <c r="F154" s="4" t="s">
        <v>115</v>
      </c>
      <c r="G154" s="4" t="s">
        <v>115</v>
      </c>
      <c r="H154" s="4" t="s">
        <v>7307</v>
      </c>
      <c r="I154" s="4" t="s">
        <v>115</v>
      </c>
      <c r="J154" s="4" t="s">
        <v>115</v>
      </c>
      <c r="K154" s="4">
        <v>64500</v>
      </c>
      <c r="L154" s="4">
        <v>1152</v>
      </c>
      <c r="N154" s="4" t="s">
        <v>115</v>
      </c>
      <c r="O154" s="4" t="s">
        <v>115</v>
      </c>
      <c r="P154" s="4">
        <v>200111</v>
      </c>
      <c r="Q154" s="4">
        <v>111</v>
      </c>
      <c r="R154" s="88">
        <v>6230</v>
      </c>
    </row>
    <row r="155" spans="1:18" x14ac:dyDescent="0.15">
      <c r="A155" s="4" t="s">
        <v>1</v>
      </c>
      <c r="B155" s="4">
        <v>1152</v>
      </c>
      <c r="C155" s="4" t="s">
        <v>115</v>
      </c>
      <c r="D155" s="4" t="s">
        <v>115</v>
      </c>
      <c r="E155" s="4">
        <v>1</v>
      </c>
      <c r="F155" s="4">
        <v>5</v>
      </c>
      <c r="G155" s="4" t="s">
        <v>115</v>
      </c>
      <c r="H155" s="4" t="s">
        <v>7307</v>
      </c>
      <c r="I155" s="4" t="s">
        <v>4800</v>
      </c>
      <c r="J155" s="4" t="s">
        <v>115</v>
      </c>
      <c r="K155" s="4">
        <v>64500</v>
      </c>
      <c r="L155" s="4">
        <v>1153</v>
      </c>
      <c r="N155" s="4" t="s">
        <v>115</v>
      </c>
      <c r="O155" s="4" t="s">
        <v>115</v>
      </c>
      <c r="P155" s="4">
        <v>200112</v>
      </c>
      <c r="Q155" s="4">
        <v>111</v>
      </c>
      <c r="R155" s="88">
        <v>6230</v>
      </c>
    </row>
    <row r="156" spans="1:18" x14ac:dyDescent="0.15">
      <c r="A156" s="4" t="s">
        <v>1</v>
      </c>
      <c r="B156" s="4">
        <v>1153</v>
      </c>
      <c r="C156" s="4" t="s">
        <v>115</v>
      </c>
      <c r="D156" s="4" t="s">
        <v>115</v>
      </c>
      <c r="E156" s="4">
        <v>2</v>
      </c>
      <c r="F156" s="4">
        <v>5</v>
      </c>
      <c r="G156" s="4" t="s">
        <v>115</v>
      </c>
      <c r="H156" s="4" t="s">
        <v>7307</v>
      </c>
      <c r="I156" s="4" t="s">
        <v>115</v>
      </c>
      <c r="J156" s="4">
        <v>20</v>
      </c>
      <c r="K156" s="4">
        <v>64500</v>
      </c>
      <c r="L156" s="4">
        <v>0</v>
      </c>
      <c r="N156" s="4">
        <v>200115</v>
      </c>
      <c r="O156" s="4">
        <v>200116</v>
      </c>
      <c r="P156" s="4">
        <v>200113</v>
      </c>
      <c r="Q156" s="4">
        <v>111</v>
      </c>
      <c r="R156" s="88">
        <v>6230</v>
      </c>
    </row>
    <row r="157" spans="1:18" x14ac:dyDescent="0.15">
      <c r="A157" s="4" t="s">
        <v>1</v>
      </c>
      <c r="B157" s="4" t="s">
        <v>3255</v>
      </c>
      <c r="C157" s="4" t="s">
        <v>115</v>
      </c>
      <c r="D157" s="4">
        <v>3</v>
      </c>
      <c r="E157" s="4" t="s">
        <v>115</v>
      </c>
      <c r="F157" s="4" t="s">
        <v>115</v>
      </c>
      <c r="G157" s="4" t="s">
        <v>115</v>
      </c>
      <c r="H157" s="4" t="s">
        <v>7307</v>
      </c>
      <c r="I157" s="4" t="s">
        <v>115</v>
      </c>
      <c r="J157" s="4" t="s">
        <v>115</v>
      </c>
      <c r="K157" s="4">
        <v>62500</v>
      </c>
      <c r="L157" s="4">
        <v>1212</v>
      </c>
      <c r="N157" s="4" t="s">
        <v>115</v>
      </c>
      <c r="O157" s="4" t="s">
        <v>115</v>
      </c>
      <c r="P157" s="4">
        <v>200111</v>
      </c>
      <c r="Q157" s="4">
        <v>12</v>
      </c>
      <c r="R157" s="88">
        <v>6230</v>
      </c>
    </row>
    <row r="158" spans="1:18" x14ac:dyDescent="0.15">
      <c r="A158" s="4" t="s">
        <v>1</v>
      </c>
      <c r="B158" s="4">
        <v>1212</v>
      </c>
      <c r="C158" s="4" t="s">
        <v>115</v>
      </c>
      <c r="D158" s="4" t="s">
        <v>115</v>
      </c>
      <c r="E158" s="4">
        <v>1</v>
      </c>
      <c r="F158" s="4">
        <v>5</v>
      </c>
      <c r="G158" s="4" t="s">
        <v>115</v>
      </c>
      <c r="H158" s="4" t="s">
        <v>7307</v>
      </c>
      <c r="I158" s="4" t="s">
        <v>4800</v>
      </c>
      <c r="J158" s="4" t="s">
        <v>115</v>
      </c>
      <c r="K158" s="88">
        <v>62500</v>
      </c>
      <c r="L158" s="4">
        <v>1213</v>
      </c>
      <c r="N158" s="4" t="s">
        <v>115</v>
      </c>
      <c r="O158" s="4" t="s">
        <v>115</v>
      </c>
      <c r="P158" s="4">
        <v>200112</v>
      </c>
      <c r="Q158" s="4">
        <v>12</v>
      </c>
      <c r="R158" s="88">
        <v>6230</v>
      </c>
    </row>
    <row r="159" spans="1:18" x14ac:dyDescent="0.15">
      <c r="A159" s="4" t="s">
        <v>1</v>
      </c>
      <c r="B159" s="4">
        <v>1213</v>
      </c>
      <c r="C159" s="4" t="s">
        <v>115</v>
      </c>
      <c r="D159" s="4" t="s">
        <v>115</v>
      </c>
      <c r="E159" s="4">
        <v>2</v>
      </c>
      <c r="F159" s="4">
        <v>5</v>
      </c>
      <c r="G159" s="4" t="s">
        <v>115</v>
      </c>
      <c r="H159" s="4" t="s">
        <v>7307</v>
      </c>
      <c r="I159" s="4" t="s">
        <v>115</v>
      </c>
      <c r="J159" s="4">
        <v>20</v>
      </c>
      <c r="K159" s="88">
        <v>62500</v>
      </c>
      <c r="L159" s="4">
        <v>0</v>
      </c>
      <c r="N159" s="4">
        <v>200115</v>
      </c>
      <c r="O159" s="4">
        <v>200116</v>
      </c>
      <c r="P159" s="4">
        <v>200113</v>
      </c>
      <c r="Q159" s="4">
        <v>12</v>
      </c>
      <c r="R159" s="88">
        <v>6230</v>
      </c>
    </row>
    <row r="160" spans="1:18" x14ac:dyDescent="0.15">
      <c r="A160" s="4" t="s">
        <v>1</v>
      </c>
      <c r="B160" s="4" t="s">
        <v>3256</v>
      </c>
      <c r="C160" s="4" t="s">
        <v>115</v>
      </c>
      <c r="D160" s="4">
        <v>3</v>
      </c>
      <c r="E160" s="4" t="s">
        <v>115</v>
      </c>
      <c r="F160" s="4" t="s">
        <v>115</v>
      </c>
      <c r="G160" s="4" t="s">
        <v>115</v>
      </c>
      <c r="H160" s="4" t="s">
        <v>7307</v>
      </c>
      <c r="I160" s="4" t="s">
        <v>115</v>
      </c>
      <c r="J160" s="4" t="s">
        <v>115</v>
      </c>
      <c r="K160" s="4">
        <v>63000</v>
      </c>
      <c r="L160" s="4">
        <v>1222</v>
      </c>
      <c r="N160" s="4" t="s">
        <v>115</v>
      </c>
      <c r="O160" s="4" t="s">
        <v>115</v>
      </c>
      <c r="P160" s="4">
        <v>200111</v>
      </c>
      <c r="Q160" s="4">
        <v>185</v>
      </c>
      <c r="R160" s="88">
        <v>6230</v>
      </c>
    </row>
    <row r="161" spans="1:18" x14ac:dyDescent="0.15">
      <c r="A161" s="4" t="s">
        <v>1</v>
      </c>
      <c r="B161" s="4">
        <v>1222</v>
      </c>
      <c r="C161" s="4" t="s">
        <v>115</v>
      </c>
      <c r="D161" s="4" t="s">
        <v>115</v>
      </c>
      <c r="E161" s="4">
        <v>1</v>
      </c>
      <c r="F161" s="4">
        <v>5</v>
      </c>
      <c r="G161" s="4" t="s">
        <v>115</v>
      </c>
      <c r="H161" s="4" t="s">
        <v>7307</v>
      </c>
      <c r="I161" s="4" t="s">
        <v>4800</v>
      </c>
      <c r="J161" s="4" t="s">
        <v>115</v>
      </c>
      <c r="K161" s="4">
        <v>63000</v>
      </c>
      <c r="L161" s="4">
        <v>1223</v>
      </c>
      <c r="N161" s="4" t="s">
        <v>115</v>
      </c>
      <c r="O161" s="4" t="s">
        <v>115</v>
      </c>
      <c r="P161" s="4">
        <v>200112</v>
      </c>
      <c r="Q161" s="4">
        <v>185</v>
      </c>
      <c r="R161" s="88">
        <v>6230</v>
      </c>
    </row>
    <row r="162" spans="1:18" x14ac:dyDescent="0.15">
      <c r="A162" s="4" t="s">
        <v>1</v>
      </c>
      <c r="B162" s="4">
        <v>1223</v>
      </c>
      <c r="C162" s="4" t="s">
        <v>115</v>
      </c>
      <c r="D162" s="4" t="s">
        <v>115</v>
      </c>
      <c r="E162" s="4">
        <v>2</v>
      </c>
      <c r="F162" s="4">
        <v>5</v>
      </c>
      <c r="G162" s="4" t="s">
        <v>115</v>
      </c>
      <c r="H162" s="4" t="s">
        <v>7307</v>
      </c>
      <c r="I162" s="4" t="s">
        <v>115</v>
      </c>
      <c r="J162" s="4">
        <v>20</v>
      </c>
      <c r="K162" s="4">
        <v>63000</v>
      </c>
      <c r="L162" s="4">
        <v>0</v>
      </c>
      <c r="N162" s="4">
        <v>200115</v>
      </c>
      <c r="O162" s="4">
        <v>200116</v>
      </c>
      <c r="P162" s="4">
        <v>200113</v>
      </c>
      <c r="Q162" s="4">
        <v>185</v>
      </c>
      <c r="R162" s="88">
        <v>6230</v>
      </c>
    </row>
    <row r="163" spans="1:18" x14ac:dyDescent="0.15">
      <c r="A163" s="4" t="s">
        <v>1</v>
      </c>
      <c r="B163" s="4" t="s">
        <v>3257</v>
      </c>
      <c r="C163" s="4" t="s">
        <v>115</v>
      </c>
      <c r="D163" s="4">
        <v>3</v>
      </c>
      <c r="E163" s="4" t="s">
        <v>115</v>
      </c>
      <c r="F163" s="4" t="s">
        <v>115</v>
      </c>
      <c r="G163" s="4" t="s">
        <v>115</v>
      </c>
      <c r="H163" s="4" t="s">
        <v>7307</v>
      </c>
      <c r="I163" s="4" t="s">
        <v>115</v>
      </c>
      <c r="J163" s="4" t="s">
        <v>115</v>
      </c>
      <c r="K163" s="4">
        <v>63500</v>
      </c>
      <c r="L163" s="4">
        <v>1232</v>
      </c>
      <c r="N163" s="4" t="s">
        <v>115</v>
      </c>
      <c r="O163" s="4" t="s">
        <v>115</v>
      </c>
      <c r="P163" s="4">
        <v>200111</v>
      </c>
      <c r="Q163" s="4">
        <v>163</v>
      </c>
      <c r="R163" s="88">
        <v>6230</v>
      </c>
    </row>
    <row r="164" spans="1:18" x14ac:dyDescent="0.15">
      <c r="A164" s="4" t="s">
        <v>1</v>
      </c>
      <c r="B164" s="4">
        <v>1232</v>
      </c>
      <c r="C164" s="4" t="s">
        <v>115</v>
      </c>
      <c r="D164" s="4" t="s">
        <v>115</v>
      </c>
      <c r="E164" s="4">
        <v>1</v>
      </c>
      <c r="F164" s="4">
        <v>5</v>
      </c>
      <c r="G164" s="4" t="s">
        <v>115</v>
      </c>
      <c r="H164" s="4" t="s">
        <v>7307</v>
      </c>
      <c r="I164" s="4" t="s">
        <v>4800</v>
      </c>
      <c r="J164" s="4" t="s">
        <v>115</v>
      </c>
      <c r="K164" s="88">
        <v>63500</v>
      </c>
      <c r="L164" s="4">
        <v>1233</v>
      </c>
      <c r="N164" s="4" t="s">
        <v>115</v>
      </c>
      <c r="O164" s="4" t="s">
        <v>115</v>
      </c>
      <c r="P164" s="4">
        <v>200112</v>
      </c>
      <c r="Q164" s="4">
        <v>163</v>
      </c>
      <c r="R164" s="88">
        <v>6230</v>
      </c>
    </row>
    <row r="165" spans="1:18" x14ac:dyDescent="0.15">
      <c r="A165" s="4" t="s">
        <v>1</v>
      </c>
      <c r="B165" s="4">
        <v>1233</v>
      </c>
      <c r="C165" s="4" t="s">
        <v>115</v>
      </c>
      <c r="D165" s="4" t="s">
        <v>115</v>
      </c>
      <c r="E165" s="4">
        <v>2</v>
      </c>
      <c r="F165" s="4">
        <v>5</v>
      </c>
      <c r="G165" s="4" t="s">
        <v>115</v>
      </c>
      <c r="H165" s="4" t="s">
        <v>7307</v>
      </c>
      <c r="I165" s="4" t="s">
        <v>115</v>
      </c>
      <c r="J165" s="4">
        <v>20</v>
      </c>
      <c r="K165" s="88">
        <v>63500</v>
      </c>
      <c r="L165" s="4">
        <v>0</v>
      </c>
      <c r="N165" s="4">
        <v>200115</v>
      </c>
      <c r="O165" s="4">
        <v>200116</v>
      </c>
      <c r="P165" s="4">
        <v>200113</v>
      </c>
      <c r="Q165" s="4">
        <v>163</v>
      </c>
      <c r="R165" s="88">
        <v>6230</v>
      </c>
    </row>
    <row r="166" spans="1:18" x14ac:dyDescent="0.15">
      <c r="A166" s="4" t="s">
        <v>1</v>
      </c>
      <c r="B166" s="4" t="s">
        <v>3258</v>
      </c>
      <c r="C166" s="4" t="s">
        <v>115</v>
      </c>
      <c r="D166" s="4">
        <v>3</v>
      </c>
      <c r="E166" s="4" t="s">
        <v>115</v>
      </c>
      <c r="F166" s="4" t="s">
        <v>115</v>
      </c>
      <c r="G166" s="4" t="s">
        <v>115</v>
      </c>
      <c r="H166" s="4" t="s">
        <v>7307</v>
      </c>
      <c r="I166" s="4" t="s">
        <v>115</v>
      </c>
      <c r="J166" s="4" t="s">
        <v>115</v>
      </c>
      <c r="K166" s="4">
        <v>64000</v>
      </c>
      <c r="L166" s="4">
        <v>1242</v>
      </c>
      <c r="N166" s="4" t="s">
        <v>115</v>
      </c>
      <c r="O166" s="4" t="s">
        <v>115</v>
      </c>
      <c r="P166" s="4">
        <v>200111</v>
      </c>
      <c r="Q166" s="4">
        <v>18</v>
      </c>
      <c r="R166" s="88">
        <v>6230</v>
      </c>
    </row>
    <row r="167" spans="1:18" x14ac:dyDescent="0.15">
      <c r="A167" s="4" t="s">
        <v>1</v>
      </c>
      <c r="B167" s="4">
        <v>1242</v>
      </c>
      <c r="C167" s="4" t="s">
        <v>115</v>
      </c>
      <c r="D167" s="4" t="s">
        <v>115</v>
      </c>
      <c r="E167" s="4">
        <v>1</v>
      </c>
      <c r="F167" s="4">
        <v>5</v>
      </c>
      <c r="G167" s="4" t="s">
        <v>115</v>
      </c>
      <c r="H167" s="4" t="s">
        <v>7307</v>
      </c>
      <c r="I167" s="4" t="s">
        <v>4800</v>
      </c>
      <c r="J167" s="4" t="s">
        <v>115</v>
      </c>
      <c r="K167" s="4">
        <v>64000</v>
      </c>
      <c r="L167" s="4">
        <v>1243</v>
      </c>
      <c r="N167" s="4" t="s">
        <v>115</v>
      </c>
      <c r="O167" s="4" t="s">
        <v>115</v>
      </c>
      <c r="P167" s="4">
        <v>200112</v>
      </c>
      <c r="Q167" s="4">
        <v>18</v>
      </c>
      <c r="R167" s="88">
        <v>6230</v>
      </c>
    </row>
    <row r="168" spans="1:18" x14ac:dyDescent="0.15">
      <c r="A168" s="4" t="s">
        <v>1</v>
      </c>
      <c r="B168" s="4">
        <v>1243</v>
      </c>
      <c r="C168" s="4" t="s">
        <v>115</v>
      </c>
      <c r="D168" s="4" t="s">
        <v>115</v>
      </c>
      <c r="E168" s="4">
        <v>2</v>
      </c>
      <c r="F168" s="4">
        <v>5</v>
      </c>
      <c r="G168" s="4" t="s">
        <v>115</v>
      </c>
      <c r="H168" s="4" t="s">
        <v>7307</v>
      </c>
      <c r="I168" s="4" t="s">
        <v>115</v>
      </c>
      <c r="J168" s="4">
        <v>20</v>
      </c>
      <c r="K168" s="4">
        <v>64000</v>
      </c>
      <c r="L168" s="4">
        <v>0</v>
      </c>
      <c r="N168" s="4">
        <v>200115</v>
      </c>
      <c r="O168" s="4">
        <v>200116</v>
      </c>
      <c r="P168" s="4">
        <v>200113</v>
      </c>
      <c r="Q168" s="4">
        <v>18</v>
      </c>
      <c r="R168" s="88">
        <v>6230</v>
      </c>
    </row>
    <row r="169" spans="1:18" x14ac:dyDescent="0.15">
      <c r="A169" s="4" t="s">
        <v>1</v>
      </c>
      <c r="B169" s="4" t="s">
        <v>3259</v>
      </c>
      <c r="C169" s="4" t="s">
        <v>115</v>
      </c>
      <c r="D169" s="4">
        <v>3</v>
      </c>
      <c r="E169" s="4" t="s">
        <v>115</v>
      </c>
      <c r="F169" s="4" t="s">
        <v>115</v>
      </c>
      <c r="G169" s="4" t="s">
        <v>115</v>
      </c>
      <c r="H169" s="4" t="s">
        <v>7307</v>
      </c>
      <c r="I169" s="4" t="s">
        <v>115</v>
      </c>
      <c r="J169" s="4" t="s">
        <v>115</v>
      </c>
      <c r="K169" s="4">
        <v>64500</v>
      </c>
      <c r="L169" s="4">
        <v>1252</v>
      </c>
      <c r="N169" s="4" t="s">
        <v>115</v>
      </c>
      <c r="O169" s="4" t="s">
        <v>115</v>
      </c>
      <c r="P169" s="4">
        <v>200111</v>
      </c>
      <c r="Q169" s="4">
        <v>143</v>
      </c>
      <c r="R169" s="88">
        <v>6230</v>
      </c>
    </row>
    <row r="170" spans="1:18" x14ac:dyDescent="0.15">
      <c r="A170" s="4" t="s">
        <v>1</v>
      </c>
      <c r="B170" s="4">
        <v>1252</v>
      </c>
      <c r="C170" s="4" t="s">
        <v>115</v>
      </c>
      <c r="D170" s="4" t="s">
        <v>115</v>
      </c>
      <c r="E170" s="4">
        <v>1</v>
      </c>
      <c r="F170" s="4">
        <v>5</v>
      </c>
      <c r="G170" s="4" t="s">
        <v>115</v>
      </c>
      <c r="H170" s="4" t="s">
        <v>7307</v>
      </c>
      <c r="I170" s="4" t="s">
        <v>4800</v>
      </c>
      <c r="J170" s="4" t="s">
        <v>115</v>
      </c>
      <c r="K170" s="4">
        <v>64500</v>
      </c>
      <c r="L170" s="4">
        <v>1253</v>
      </c>
      <c r="N170" s="4" t="s">
        <v>115</v>
      </c>
      <c r="O170" s="4" t="s">
        <v>115</v>
      </c>
      <c r="P170" s="4">
        <v>200112</v>
      </c>
      <c r="Q170" s="4">
        <v>143</v>
      </c>
      <c r="R170" s="88">
        <v>6230</v>
      </c>
    </row>
    <row r="171" spans="1:18" x14ac:dyDescent="0.15">
      <c r="A171" s="4" t="s">
        <v>1</v>
      </c>
      <c r="B171" s="4">
        <v>1253</v>
      </c>
      <c r="C171" s="4" t="s">
        <v>115</v>
      </c>
      <c r="D171" s="4" t="s">
        <v>115</v>
      </c>
      <c r="E171" s="4">
        <v>2</v>
      </c>
      <c r="F171" s="4">
        <v>5</v>
      </c>
      <c r="G171" s="4" t="s">
        <v>115</v>
      </c>
      <c r="H171" s="4" t="s">
        <v>7307</v>
      </c>
      <c r="I171" s="4" t="s">
        <v>115</v>
      </c>
      <c r="J171" s="4">
        <v>20</v>
      </c>
      <c r="K171" s="4">
        <v>64500</v>
      </c>
      <c r="L171" s="4">
        <v>0</v>
      </c>
      <c r="N171" s="4">
        <v>200115</v>
      </c>
      <c r="O171" s="4">
        <v>200116</v>
      </c>
      <c r="P171" s="4">
        <v>200113</v>
      </c>
      <c r="Q171" s="4">
        <v>143</v>
      </c>
      <c r="R171" s="88">
        <v>6230</v>
      </c>
    </row>
    <row r="172" spans="1:18" x14ac:dyDescent="0.15">
      <c r="A172" s="4" t="s">
        <v>1</v>
      </c>
      <c r="B172" s="4" t="s">
        <v>3260</v>
      </c>
      <c r="C172" s="4" t="s">
        <v>115</v>
      </c>
      <c r="D172" s="4">
        <v>3</v>
      </c>
      <c r="E172" s="4" t="s">
        <v>115</v>
      </c>
      <c r="F172" s="4" t="s">
        <v>115</v>
      </c>
      <c r="G172" s="4" t="s">
        <v>115</v>
      </c>
      <c r="H172" s="4" t="s">
        <v>7307</v>
      </c>
      <c r="I172" s="4" t="s">
        <v>115</v>
      </c>
      <c r="J172" s="4" t="s">
        <v>115</v>
      </c>
      <c r="K172" s="4">
        <v>65000</v>
      </c>
      <c r="L172" s="96">
        <v>1262</v>
      </c>
      <c r="M172" s="96"/>
      <c r="N172" s="96" t="s">
        <v>115</v>
      </c>
      <c r="O172" s="96" t="s">
        <v>115</v>
      </c>
      <c r="P172" s="96">
        <v>200111</v>
      </c>
      <c r="Q172" s="96">
        <v>12</v>
      </c>
      <c r="R172" s="88">
        <v>6230</v>
      </c>
    </row>
    <row r="173" spans="1:18" x14ac:dyDescent="0.15">
      <c r="A173" s="4" t="s">
        <v>1</v>
      </c>
      <c r="B173" s="4">
        <v>1262</v>
      </c>
      <c r="C173" s="4" t="s">
        <v>115</v>
      </c>
      <c r="D173" s="4" t="s">
        <v>115</v>
      </c>
      <c r="E173" s="4">
        <v>1</v>
      </c>
      <c r="F173" s="4">
        <v>5</v>
      </c>
      <c r="G173" s="4" t="s">
        <v>115</v>
      </c>
      <c r="H173" s="4" t="s">
        <v>7307</v>
      </c>
      <c r="I173" s="4" t="s">
        <v>4800</v>
      </c>
      <c r="J173" s="4" t="s">
        <v>115</v>
      </c>
      <c r="K173" s="88">
        <v>65000</v>
      </c>
      <c r="L173" s="96">
        <v>1263</v>
      </c>
      <c r="M173" s="96"/>
      <c r="N173" s="96" t="s">
        <v>115</v>
      </c>
      <c r="O173" s="96" t="s">
        <v>115</v>
      </c>
      <c r="P173" s="96">
        <v>200112</v>
      </c>
      <c r="Q173" s="96">
        <v>12</v>
      </c>
      <c r="R173" s="88">
        <v>6230</v>
      </c>
    </row>
    <row r="174" spans="1:18" x14ac:dyDescent="0.15">
      <c r="A174" s="4" t="s">
        <v>1</v>
      </c>
      <c r="B174" s="4">
        <v>1263</v>
      </c>
      <c r="C174" s="4" t="s">
        <v>115</v>
      </c>
      <c r="D174" s="4" t="s">
        <v>115</v>
      </c>
      <c r="E174" s="4">
        <v>2</v>
      </c>
      <c r="F174" s="4">
        <v>5</v>
      </c>
      <c r="G174" s="4" t="s">
        <v>115</v>
      </c>
      <c r="H174" s="4" t="s">
        <v>7307</v>
      </c>
      <c r="I174" s="4" t="s">
        <v>115</v>
      </c>
      <c r="J174" s="4">
        <v>20</v>
      </c>
      <c r="K174" s="88">
        <v>65000</v>
      </c>
      <c r="L174" s="96">
        <v>0</v>
      </c>
      <c r="M174" s="96"/>
      <c r="N174" s="96">
        <v>200115</v>
      </c>
      <c r="O174" s="96">
        <v>200116</v>
      </c>
      <c r="P174" s="96">
        <v>200113</v>
      </c>
      <c r="Q174" s="96">
        <v>12</v>
      </c>
      <c r="R174" s="88">
        <v>6230</v>
      </c>
    </row>
    <row r="175" spans="1:18" x14ac:dyDescent="0.15">
      <c r="A175" s="4" t="s">
        <v>1</v>
      </c>
      <c r="B175" s="4" t="s">
        <v>3261</v>
      </c>
      <c r="C175" s="4" t="s">
        <v>115</v>
      </c>
      <c r="D175" s="4">
        <v>3</v>
      </c>
      <c r="E175" s="4" t="s">
        <v>115</v>
      </c>
      <c r="F175" s="4" t="s">
        <v>115</v>
      </c>
      <c r="G175" s="4" t="s">
        <v>115</v>
      </c>
      <c r="H175" s="4" t="s">
        <v>7307</v>
      </c>
      <c r="I175" s="4" t="s">
        <v>115</v>
      </c>
      <c r="J175" s="4" t="s">
        <v>115</v>
      </c>
      <c r="K175" s="4">
        <v>63500</v>
      </c>
      <c r="L175" s="96">
        <v>1312</v>
      </c>
      <c r="M175" s="96"/>
      <c r="N175" s="96" t="s">
        <v>115</v>
      </c>
      <c r="O175" s="96" t="s">
        <v>115</v>
      </c>
      <c r="P175" s="96">
        <v>200111</v>
      </c>
      <c r="Q175" s="96">
        <v>192</v>
      </c>
      <c r="R175" s="88">
        <v>6230</v>
      </c>
    </row>
    <row r="176" spans="1:18" x14ac:dyDescent="0.15">
      <c r="A176" s="4" t="s">
        <v>1</v>
      </c>
      <c r="B176" s="4">
        <v>1312</v>
      </c>
      <c r="C176" s="4" t="s">
        <v>115</v>
      </c>
      <c r="D176" s="4" t="s">
        <v>115</v>
      </c>
      <c r="E176" s="4">
        <v>1</v>
      </c>
      <c r="F176" s="4">
        <v>5</v>
      </c>
      <c r="G176" s="4" t="s">
        <v>115</v>
      </c>
      <c r="H176" s="4" t="s">
        <v>7307</v>
      </c>
      <c r="I176" s="4" t="s">
        <v>4800</v>
      </c>
      <c r="J176" s="4" t="s">
        <v>115</v>
      </c>
      <c r="K176" s="4">
        <v>63500</v>
      </c>
      <c r="L176" s="96">
        <v>1313</v>
      </c>
      <c r="M176" s="96"/>
      <c r="N176" s="96" t="s">
        <v>115</v>
      </c>
      <c r="O176" s="96" t="s">
        <v>115</v>
      </c>
      <c r="P176" s="96">
        <v>200112</v>
      </c>
      <c r="Q176" s="96">
        <v>192</v>
      </c>
      <c r="R176" s="88">
        <v>6230</v>
      </c>
    </row>
    <row r="177" spans="1:18" x14ac:dyDescent="0.15">
      <c r="A177" s="4" t="s">
        <v>1</v>
      </c>
      <c r="B177" s="4">
        <v>1313</v>
      </c>
      <c r="C177" s="4" t="s">
        <v>115</v>
      </c>
      <c r="D177" s="4" t="s">
        <v>115</v>
      </c>
      <c r="E177" s="4">
        <v>2</v>
      </c>
      <c r="F177" s="4">
        <v>5</v>
      </c>
      <c r="G177" s="4" t="s">
        <v>115</v>
      </c>
      <c r="H177" s="4" t="s">
        <v>7307</v>
      </c>
      <c r="I177" s="4" t="s">
        <v>115</v>
      </c>
      <c r="J177" s="4">
        <v>20</v>
      </c>
      <c r="K177" s="4">
        <v>63500</v>
      </c>
      <c r="L177" s="96">
        <v>0</v>
      </c>
      <c r="M177" s="96"/>
      <c r="N177" s="96">
        <v>200115</v>
      </c>
      <c r="O177" s="96">
        <v>200116</v>
      </c>
      <c r="P177" s="96">
        <v>200113</v>
      </c>
      <c r="Q177" s="96">
        <v>192</v>
      </c>
      <c r="R177" s="88">
        <v>6230</v>
      </c>
    </row>
    <row r="178" spans="1:18" x14ac:dyDescent="0.15">
      <c r="A178" s="4" t="s">
        <v>1</v>
      </c>
      <c r="B178" s="4" t="s">
        <v>3262</v>
      </c>
      <c r="C178" s="4" t="s">
        <v>115</v>
      </c>
      <c r="D178" s="4">
        <v>3</v>
      </c>
      <c r="E178" s="4" t="s">
        <v>115</v>
      </c>
      <c r="F178" s="4" t="s">
        <v>115</v>
      </c>
      <c r="G178" s="4" t="s">
        <v>115</v>
      </c>
      <c r="H178" s="4" t="s">
        <v>7307</v>
      </c>
      <c r="I178" s="4" t="s">
        <v>115</v>
      </c>
      <c r="J178" s="4" t="s">
        <v>115</v>
      </c>
      <c r="K178" s="4">
        <v>64000</v>
      </c>
      <c r="L178" s="96">
        <v>1322</v>
      </c>
      <c r="M178" s="96"/>
      <c r="N178" s="96" t="s">
        <v>115</v>
      </c>
      <c r="O178" s="96" t="s">
        <v>115</v>
      </c>
      <c r="P178" s="96">
        <v>200111</v>
      </c>
      <c r="Q178" s="96">
        <v>136</v>
      </c>
      <c r="R178" s="88">
        <v>6230</v>
      </c>
    </row>
    <row r="179" spans="1:18" x14ac:dyDescent="0.15">
      <c r="A179" s="4" t="s">
        <v>1</v>
      </c>
      <c r="B179" s="4">
        <v>1322</v>
      </c>
      <c r="C179" s="4" t="s">
        <v>115</v>
      </c>
      <c r="D179" s="4" t="s">
        <v>115</v>
      </c>
      <c r="E179" s="4">
        <v>1</v>
      </c>
      <c r="F179" s="4">
        <v>5</v>
      </c>
      <c r="G179" s="4" t="s">
        <v>115</v>
      </c>
      <c r="H179" s="4" t="s">
        <v>7307</v>
      </c>
      <c r="I179" s="4" t="s">
        <v>4800</v>
      </c>
      <c r="J179" s="4" t="s">
        <v>115</v>
      </c>
      <c r="K179" s="88">
        <v>64000</v>
      </c>
      <c r="L179" s="96">
        <v>1323</v>
      </c>
      <c r="M179" s="96"/>
      <c r="N179" s="96" t="s">
        <v>115</v>
      </c>
      <c r="O179" s="96" t="s">
        <v>115</v>
      </c>
      <c r="P179" s="96">
        <v>200112</v>
      </c>
      <c r="Q179" s="96">
        <v>136</v>
      </c>
      <c r="R179" s="88">
        <v>6230</v>
      </c>
    </row>
    <row r="180" spans="1:18" x14ac:dyDescent="0.15">
      <c r="A180" s="4" t="s">
        <v>1</v>
      </c>
      <c r="B180" s="4">
        <v>1323</v>
      </c>
      <c r="C180" s="4" t="s">
        <v>115</v>
      </c>
      <c r="D180" s="4" t="s">
        <v>115</v>
      </c>
      <c r="E180" s="4">
        <v>2</v>
      </c>
      <c r="F180" s="4">
        <v>5</v>
      </c>
      <c r="G180" s="4" t="s">
        <v>115</v>
      </c>
      <c r="H180" s="4" t="s">
        <v>7307</v>
      </c>
      <c r="I180" s="4" t="s">
        <v>115</v>
      </c>
      <c r="J180" s="4">
        <v>20</v>
      </c>
      <c r="K180" s="88">
        <v>64000</v>
      </c>
      <c r="L180" s="96">
        <v>0</v>
      </c>
      <c r="M180" s="96"/>
      <c r="N180" s="96">
        <v>200115</v>
      </c>
      <c r="O180" s="96">
        <v>200116</v>
      </c>
      <c r="P180" s="96">
        <v>200113</v>
      </c>
      <c r="Q180" s="96">
        <v>136</v>
      </c>
      <c r="R180" s="88">
        <v>6230</v>
      </c>
    </row>
    <row r="181" spans="1:18" x14ac:dyDescent="0.15">
      <c r="A181" s="4" t="s">
        <v>1</v>
      </c>
      <c r="B181" s="4" t="s">
        <v>3263</v>
      </c>
      <c r="C181" s="4" t="s">
        <v>115</v>
      </c>
      <c r="D181" s="4">
        <v>3</v>
      </c>
      <c r="E181" s="4" t="s">
        <v>115</v>
      </c>
      <c r="F181" s="4" t="s">
        <v>115</v>
      </c>
      <c r="G181" s="4" t="s">
        <v>115</v>
      </c>
      <c r="H181" s="4" t="s">
        <v>7307</v>
      </c>
      <c r="I181" s="4" t="s">
        <v>115</v>
      </c>
      <c r="J181" s="4" t="s">
        <v>115</v>
      </c>
      <c r="K181" s="4">
        <v>64500</v>
      </c>
      <c r="L181" s="96">
        <v>1332</v>
      </c>
      <c r="M181" s="96"/>
      <c r="N181" s="96" t="s">
        <v>115</v>
      </c>
      <c r="O181" s="96" t="s">
        <v>115</v>
      </c>
      <c r="P181" s="96">
        <v>200111</v>
      </c>
      <c r="Q181" s="96">
        <v>143</v>
      </c>
      <c r="R181" s="88">
        <v>6230</v>
      </c>
    </row>
    <row r="182" spans="1:18" x14ac:dyDescent="0.15">
      <c r="A182" s="4" t="s">
        <v>1</v>
      </c>
      <c r="B182" s="4">
        <v>1332</v>
      </c>
      <c r="C182" s="4" t="s">
        <v>115</v>
      </c>
      <c r="D182" s="4" t="s">
        <v>115</v>
      </c>
      <c r="E182" s="4">
        <v>1</v>
      </c>
      <c r="F182" s="4">
        <v>5</v>
      </c>
      <c r="G182" s="4" t="s">
        <v>115</v>
      </c>
      <c r="H182" s="4" t="s">
        <v>7307</v>
      </c>
      <c r="I182" s="4" t="s">
        <v>4800</v>
      </c>
      <c r="J182" s="4" t="s">
        <v>115</v>
      </c>
      <c r="K182" s="4">
        <v>64500</v>
      </c>
      <c r="L182" s="96">
        <v>1333</v>
      </c>
      <c r="M182" s="96"/>
      <c r="N182" s="96" t="s">
        <v>115</v>
      </c>
      <c r="O182" s="96" t="s">
        <v>115</v>
      </c>
      <c r="P182" s="96">
        <v>200112</v>
      </c>
      <c r="Q182" s="96">
        <v>143</v>
      </c>
      <c r="R182" s="88">
        <v>6230</v>
      </c>
    </row>
    <row r="183" spans="1:18" x14ac:dyDescent="0.15">
      <c r="A183" s="4" t="s">
        <v>1</v>
      </c>
      <c r="B183" s="4">
        <v>1333</v>
      </c>
      <c r="C183" s="4" t="s">
        <v>115</v>
      </c>
      <c r="D183" s="4" t="s">
        <v>115</v>
      </c>
      <c r="E183" s="4">
        <v>2</v>
      </c>
      <c r="F183" s="4">
        <v>5</v>
      </c>
      <c r="G183" s="4" t="s">
        <v>115</v>
      </c>
      <c r="H183" s="4" t="s">
        <v>7307</v>
      </c>
      <c r="I183" s="4" t="s">
        <v>115</v>
      </c>
      <c r="J183" s="4">
        <v>20</v>
      </c>
      <c r="K183" s="4">
        <v>64500</v>
      </c>
      <c r="L183" s="96">
        <v>0</v>
      </c>
      <c r="M183" s="96"/>
      <c r="N183" s="96">
        <v>200115</v>
      </c>
      <c r="O183" s="96">
        <v>200116</v>
      </c>
      <c r="P183" s="96">
        <v>200113</v>
      </c>
      <c r="Q183" s="96">
        <v>143</v>
      </c>
      <c r="R183" s="88">
        <v>6230</v>
      </c>
    </row>
    <row r="184" spans="1:18" x14ac:dyDescent="0.15">
      <c r="A184" s="4" t="s">
        <v>1</v>
      </c>
      <c r="B184" s="4" t="s">
        <v>3264</v>
      </c>
      <c r="C184" s="4" t="s">
        <v>115</v>
      </c>
      <c r="D184" s="4">
        <v>3</v>
      </c>
      <c r="E184" s="4" t="s">
        <v>115</v>
      </c>
      <c r="F184" s="4" t="s">
        <v>115</v>
      </c>
      <c r="G184" s="4" t="s">
        <v>115</v>
      </c>
      <c r="H184" s="4" t="s">
        <v>7307</v>
      </c>
      <c r="I184" s="4" t="s">
        <v>115</v>
      </c>
      <c r="J184" s="4" t="s">
        <v>115</v>
      </c>
      <c r="K184" s="4">
        <v>65000</v>
      </c>
      <c r="L184" s="96">
        <v>1342</v>
      </c>
      <c r="M184" s="96"/>
      <c r="N184" s="96" t="s">
        <v>115</v>
      </c>
      <c r="O184" s="96" t="s">
        <v>115</v>
      </c>
      <c r="P184" s="96">
        <v>200111</v>
      </c>
      <c r="Q184" s="96">
        <v>112</v>
      </c>
      <c r="R184" s="88">
        <v>6230</v>
      </c>
    </row>
    <row r="185" spans="1:18" x14ac:dyDescent="0.15">
      <c r="A185" s="4" t="s">
        <v>1</v>
      </c>
      <c r="B185" s="4">
        <v>1342</v>
      </c>
      <c r="C185" s="4" t="s">
        <v>115</v>
      </c>
      <c r="D185" s="4" t="s">
        <v>115</v>
      </c>
      <c r="E185" s="4">
        <v>1</v>
      </c>
      <c r="F185" s="4">
        <v>5</v>
      </c>
      <c r="G185" s="4" t="s">
        <v>115</v>
      </c>
      <c r="H185" s="4" t="s">
        <v>7307</v>
      </c>
      <c r="I185" s="4" t="s">
        <v>4800</v>
      </c>
      <c r="J185" s="4" t="s">
        <v>115</v>
      </c>
      <c r="K185" s="88">
        <v>65000</v>
      </c>
      <c r="L185" s="96">
        <v>1343</v>
      </c>
      <c r="M185" s="96"/>
      <c r="N185" s="96" t="s">
        <v>115</v>
      </c>
      <c r="O185" s="96" t="s">
        <v>115</v>
      </c>
      <c r="P185" s="96">
        <v>200112</v>
      </c>
      <c r="Q185" s="96">
        <v>112</v>
      </c>
      <c r="R185" s="88">
        <v>6230</v>
      </c>
    </row>
    <row r="186" spans="1:18" x14ac:dyDescent="0.15">
      <c r="A186" s="4" t="s">
        <v>1</v>
      </c>
      <c r="B186" s="4">
        <v>1343</v>
      </c>
      <c r="C186" s="4" t="s">
        <v>115</v>
      </c>
      <c r="D186" s="4" t="s">
        <v>115</v>
      </c>
      <c r="E186" s="4">
        <v>2</v>
      </c>
      <c r="F186" s="4">
        <v>5</v>
      </c>
      <c r="G186" s="4" t="s">
        <v>115</v>
      </c>
      <c r="H186" s="4" t="s">
        <v>7307</v>
      </c>
      <c r="I186" s="4" t="s">
        <v>115</v>
      </c>
      <c r="J186" s="4">
        <v>20</v>
      </c>
      <c r="K186" s="88">
        <v>65000</v>
      </c>
      <c r="L186" s="96">
        <v>0</v>
      </c>
      <c r="M186" s="96"/>
      <c r="N186" s="96">
        <v>200115</v>
      </c>
      <c r="O186" s="96">
        <v>200116</v>
      </c>
      <c r="P186" s="96">
        <v>200113</v>
      </c>
      <c r="Q186" s="96">
        <v>112</v>
      </c>
      <c r="R186" s="88">
        <v>6230</v>
      </c>
    </row>
    <row r="187" spans="1:18" x14ac:dyDescent="0.15">
      <c r="A187" s="4" t="s">
        <v>1</v>
      </c>
      <c r="B187" s="4" t="s">
        <v>3265</v>
      </c>
      <c r="C187" s="4" t="s">
        <v>115</v>
      </c>
      <c r="D187" s="4">
        <v>3</v>
      </c>
      <c r="E187" s="4" t="s">
        <v>115</v>
      </c>
      <c r="F187" s="4" t="s">
        <v>115</v>
      </c>
      <c r="G187" s="4" t="s">
        <v>115</v>
      </c>
      <c r="H187" s="4" t="s">
        <v>7307</v>
      </c>
      <c r="I187" s="96" t="s">
        <v>115</v>
      </c>
      <c r="J187" s="96" t="s">
        <v>115</v>
      </c>
      <c r="K187" s="4">
        <v>65500</v>
      </c>
      <c r="L187" s="96">
        <v>1352</v>
      </c>
      <c r="M187" s="96"/>
      <c r="N187" s="96" t="s">
        <v>115</v>
      </c>
      <c r="O187" s="96" t="s">
        <v>115</v>
      </c>
      <c r="P187" s="96">
        <v>200111</v>
      </c>
      <c r="Q187" s="96">
        <v>137</v>
      </c>
      <c r="R187" s="88">
        <v>6230</v>
      </c>
    </row>
    <row r="188" spans="1:18" x14ac:dyDescent="0.15">
      <c r="A188" s="4" t="s">
        <v>1</v>
      </c>
      <c r="B188" s="4">
        <v>1352</v>
      </c>
      <c r="C188" s="4" t="s">
        <v>115</v>
      </c>
      <c r="D188" s="4" t="s">
        <v>115</v>
      </c>
      <c r="E188" s="4">
        <v>1</v>
      </c>
      <c r="F188" s="4">
        <v>5</v>
      </c>
      <c r="G188" s="4" t="s">
        <v>115</v>
      </c>
      <c r="H188" s="4" t="s">
        <v>7307</v>
      </c>
      <c r="I188" s="4" t="s">
        <v>4800</v>
      </c>
      <c r="J188" s="96" t="s">
        <v>115</v>
      </c>
      <c r="K188" s="89">
        <v>65500</v>
      </c>
      <c r="L188" s="96">
        <v>1353</v>
      </c>
      <c r="M188" s="96"/>
      <c r="N188" s="96" t="s">
        <v>115</v>
      </c>
      <c r="O188" s="96" t="s">
        <v>115</v>
      </c>
      <c r="P188" s="96">
        <v>200112</v>
      </c>
      <c r="Q188" s="96">
        <v>137</v>
      </c>
      <c r="R188" s="88">
        <v>6230</v>
      </c>
    </row>
    <row r="189" spans="1:18" x14ac:dyDescent="0.15">
      <c r="A189" s="96" t="s">
        <v>1</v>
      </c>
      <c r="B189" s="96">
        <v>1353</v>
      </c>
      <c r="C189" s="96" t="s">
        <v>115</v>
      </c>
      <c r="D189" s="96" t="s">
        <v>115</v>
      </c>
      <c r="E189" s="96">
        <v>2</v>
      </c>
      <c r="F189" s="4">
        <v>5</v>
      </c>
      <c r="G189" s="4" t="s">
        <v>115</v>
      </c>
      <c r="H189" s="4" t="s">
        <v>7307</v>
      </c>
      <c r="I189" s="96" t="s">
        <v>115</v>
      </c>
      <c r="J189" s="96">
        <v>20</v>
      </c>
      <c r="K189" s="89">
        <v>65500</v>
      </c>
      <c r="L189" s="96">
        <v>0</v>
      </c>
      <c r="M189" s="96"/>
      <c r="N189" s="96">
        <v>200115</v>
      </c>
      <c r="O189" s="96">
        <v>200116</v>
      </c>
      <c r="P189" s="96">
        <v>200113</v>
      </c>
      <c r="Q189" s="96">
        <v>137</v>
      </c>
      <c r="R189" s="88">
        <v>6230</v>
      </c>
    </row>
    <row r="190" spans="1:18" x14ac:dyDescent="0.15">
      <c r="A190" s="97" t="s">
        <v>1</v>
      </c>
      <c r="B190" s="97" t="s">
        <v>3859</v>
      </c>
      <c r="C190" s="97" t="s">
        <v>115</v>
      </c>
      <c r="D190" s="97">
        <v>3</v>
      </c>
      <c r="E190" s="97" t="s">
        <v>115</v>
      </c>
      <c r="F190" s="97" t="s">
        <v>115</v>
      </c>
      <c r="G190" s="88" t="s">
        <v>115</v>
      </c>
      <c r="H190" s="4" t="s">
        <v>7307</v>
      </c>
      <c r="I190" s="97" t="s">
        <v>115</v>
      </c>
      <c r="J190" s="97" t="s">
        <v>115</v>
      </c>
      <c r="K190" s="4">
        <v>64000</v>
      </c>
      <c r="L190" s="97">
        <v>1412</v>
      </c>
      <c r="M190" s="97"/>
      <c r="N190" s="96" t="s">
        <v>115</v>
      </c>
      <c r="O190" s="96" t="s">
        <v>115</v>
      </c>
      <c r="P190" s="96">
        <v>200111</v>
      </c>
      <c r="Q190" s="97">
        <v>104</v>
      </c>
      <c r="R190" s="88">
        <v>6230</v>
      </c>
    </row>
    <row r="191" spans="1:18" x14ac:dyDescent="0.15">
      <c r="A191" s="97" t="s">
        <v>1</v>
      </c>
      <c r="B191" s="97">
        <v>1412</v>
      </c>
      <c r="C191" s="97" t="s">
        <v>115</v>
      </c>
      <c r="D191" s="97" t="s">
        <v>115</v>
      </c>
      <c r="E191" s="97">
        <v>1</v>
      </c>
      <c r="F191" s="97">
        <v>5</v>
      </c>
      <c r="G191" s="88" t="s">
        <v>115</v>
      </c>
      <c r="H191" s="4" t="s">
        <v>7307</v>
      </c>
      <c r="I191" s="4" t="s">
        <v>4800</v>
      </c>
      <c r="J191" s="97" t="s">
        <v>115</v>
      </c>
      <c r="K191" s="88">
        <v>64000</v>
      </c>
      <c r="L191" s="97">
        <v>1413</v>
      </c>
      <c r="M191" s="97"/>
      <c r="N191" s="96" t="s">
        <v>115</v>
      </c>
      <c r="O191" s="96" t="s">
        <v>115</v>
      </c>
      <c r="P191" s="96">
        <v>200112</v>
      </c>
      <c r="Q191" s="97">
        <v>104</v>
      </c>
      <c r="R191" s="88">
        <v>6230</v>
      </c>
    </row>
    <row r="192" spans="1:18" x14ac:dyDescent="0.15">
      <c r="A192" s="97" t="s">
        <v>1</v>
      </c>
      <c r="B192" s="97">
        <v>1413</v>
      </c>
      <c r="C192" s="97" t="s">
        <v>115</v>
      </c>
      <c r="D192" s="97" t="s">
        <v>115</v>
      </c>
      <c r="E192" s="97">
        <v>2</v>
      </c>
      <c r="F192" s="4">
        <v>5</v>
      </c>
      <c r="G192" s="88" t="s">
        <v>115</v>
      </c>
      <c r="H192" s="4" t="s">
        <v>7307</v>
      </c>
      <c r="I192" s="97" t="s">
        <v>115</v>
      </c>
      <c r="J192" s="97">
        <v>20</v>
      </c>
      <c r="K192" s="88">
        <v>64000</v>
      </c>
      <c r="L192" s="97">
        <v>0</v>
      </c>
      <c r="M192" s="97"/>
      <c r="N192" s="96">
        <v>200115</v>
      </c>
      <c r="O192" s="96">
        <v>200116</v>
      </c>
      <c r="P192" s="96">
        <v>200113</v>
      </c>
      <c r="Q192" s="97">
        <v>104</v>
      </c>
      <c r="R192" s="88">
        <v>6230</v>
      </c>
    </row>
    <row r="193" spans="1:18" x14ac:dyDescent="0.15">
      <c r="A193" s="97" t="s">
        <v>1</v>
      </c>
      <c r="B193" s="97" t="s">
        <v>3860</v>
      </c>
      <c r="C193" s="97" t="s">
        <v>115</v>
      </c>
      <c r="D193" s="97">
        <v>3</v>
      </c>
      <c r="E193" s="97" t="s">
        <v>115</v>
      </c>
      <c r="F193" s="97" t="s">
        <v>115</v>
      </c>
      <c r="G193" s="88" t="s">
        <v>115</v>
      </c>
      <c r="H193" s="4" t="s">
        <v>7307</v>
      </c>
      <c r="I193" s="97" t="s">
        <v>115</v>
      </c>
      <c r="J193" s="97" t="s">
        <v>115</v>
      </c>
      <c r="K193" s="4">
        <v>64500</v>
      </c>
      <c r="L193" s="97">
        <v>1422</v>
      </c>
      <c r="M193" s="97"/>
      <c r="N193" s="96" t="s">
        <v>115</v>
      </c>
      <c r="O193" s="96" t="s">
        <v>115</v>
      </c>
      <c r="P193" s="96">
        <v>200111</v>
      </c>
      <c r="Q193" s="40">
        <v>104</v>
      </c>
      <c r="R193" s="88">
        <v>6230</v>
      </c>
    </row>
    <row r="194" spans="1:18" x14ac:dyDescent="0.15">
      <c r="A194" s="97" t="s">
        <v>1</v>
      </c>
      <c r="B194" s="97">
        <v>1422</v>
      </c>
      <c r="C194" s="97" t="s">
        <v>115</v>
      </c>
      <c r="D194" s="97" t="s">
        <v>115</v>
      </c>
      <c r="E194" s="97">
        <v>1</v>
      </c>
      <c r="F194" s="97">
        <v>5</v>
      </c>
      <c r="G194" s="88" t="s">
        <v>115</v>
      </c>
      <c r="H194" s="4" t="s">
        <v>7307</v>
      </c>
      <c r="I194" s="4" t="s">
        <v>4800</v>
      </c>
      <c r="J194" s="97" t="s">
        <v>115</v>
      </c>
      <c r="K194" s="89">
        <v>64500</v>
      </c>
      <c r="L194" s="97">
        <v>1423</v>
      </c>
      <c r="M194" s="97"/>
      <c r="N194" s="96" t="s">
        <v>115</v>
      </c>
      <c r="O194" s="96" t="s">
        <v>115</v>
      </c>
      <c r="P194" s="96">
        <v>200112</v>
      </c>
      <c r="Q194" s="40">
        <v>104</v>
      </c>
      <c r="R194" s="88">
        <v>6230</v>
      </c>
    </row>
    <row r="195" spans="1:18" x14ac:dyDescent="0.15">
      <c r="A195" s="97" t="s">
        <v>1</v>
      </c>
      <c r="B195" s="97">
        <v>1423</v>
      </c>
      <c r="C195" s="97" t="s">
        <v>115</v>
      </c>
      <c r="D195" s="97" t="s">
        <v>115</v>
      </c>
      <c r="E195" s="97">
        <v>2</v>
      </c>
      <c r="F195" s="4">
        <v>5</v>
      </c>
      <c r="G195" s="88" t="s">
        <v>115</v>
      </c>
      <c r="H195" s="4" t="s">
        <v>7307</v>
      </c>
      <c r="I195" s="97" t="s">
        <v>115</v>
      </c>
      <c r="J195" s="97">
        <v>20</v>
      </c>
      <c r="K195" s="89">
        <v>64500</v>
      </c>
      <c r="L195" s="97">
        <v>0</v>
      </c>
      <c r="M195" s="97"/>
      <c r="N195" s="96">
        <v>200115</v>
      </c>
      <c r="O195" s="96">
        <v>200116</v>
      </c>
      <c r="P195" s="96">
        <v>200113</v>
      </c>
      <c r="Q195" s="40">
        <v>104</v>
      </c>
      <c r="R195" s="88">
        <v>6230</v>
      </c>
    </row>
    <row r="196" spans="1:18" s="89" customFormat="1" x14ac:dyDescent="0.15">
      <c r="A196" s="89" t="s">
        <v>1</v>
      </c>
      <c r="B196" s="89">
        <v>1431</v>
      </c>
      <c r="C196" s="89" t="s">
        <v>115</v>
      </c>
      <c r="D196" s="89">
        <v>3</v>
      </c>
      <c r="E196" s="89" t="s">
        <v>115</v>
      </c>
      <c r="F196" s="89" t="s">
        <v>115</v>
      </c>
      <c r="G196" s="89" t="s">
        <v>115</v>
      </c>
      <c r="H196" s="89" t="s">
        <v>7307</v>
      </c>
      <c r="I196" s="89" t="s">
        <v>115</v>
      </c>
      <c r="J196" s="89" t="s">
        <v>115</v>
      </c>
      <c r="K196" s="4">
        <v>65000</v>
      </c>
      <c r="L196" s="89">
        <v>1412</v>
      </c>
      <c r="N196" s="89" t="s">
        <v>115</v>
      </c>
      <c r="O196" s="89" t="s">
        <v>115</v>
      </c>
      <c r="P196" s="89">
        <v>200111</v>
      </c>
      <c r="Q196" s="40">
        <v>110</v>
      </c>
      <c r="R196" s="89">
        <v>6230</v>
      </c>
    </row>
    <row r="197" spans="1:18" s="89" customFormat="1" x14ac:dyDescent="0.15">
      <c r="A197" s="89" t="s">
        <v>1</v>
      </c>
      <c r="B197" s="89">
        <v>1432</v>
      </c>
      <c r="C197" s="89" t="s">
        <v>115</v>
      </c>
      <c r="D197" s="89" t="s">
        <v>115</v>
      </c>
      <c r="E197" s="89">
        <v>1</v>
      </c>
      <c r="F197" s="89">
        <v>5</v>
      </c>
      <c r="G197" s="89" t="s">
        <v>115</v>
      </c>
      <c r="H197" s="89" t="s">
        <v>7307</v>
      </c>
      <c r="I197" s="89" t="s">
        <v>4800</v>
      </c>
      <c r="J197" s="89" t="s">
        <v>115</v>
      </c>
      <c r="K197" s="88">
        <v>65000</v>
      </c>
      <c r="L197" s="89">
        <v>1413</v>
      </c>
      <c r="N197" s="89" t="s">
        <v>115</v>
      </c>
      <c r="O197" s="89" t="s">
        <v>115</v>
      </c>
      <c r="P197" s="89">
        <v>200112</v>
      </c>
      <c r="Q197" s="40">
        <v>110</v>
      </c>
      <c r="R197" s="89">
        <v>6230</v>
      </c>
    </row>
    <row r="198" spans="1:18" s="89" customFormat="1" x14ac:dyDescent="0.15">
      <c r="A198" s="89" t="s">
        <v>1</v>
      </c>
      <c r="B198" s="89">
        <v>1433</v>
      </c>
      <c r="C198" s="89" t="s">
        <v>115</v>
      </c>
      <c r="D198" s="89" t="s">
        <v>115</v>
      </c>
      <c r="E198" s="89">
        <v>2</v>
      </c>
      <c r="F198" s="89">
        <v>5</v>
      </c>
      <c r="G198" s="89" t="s">
        <v>115</v>
      </c>
      <c r="H198" s="89" t="s">
        <v>7307</v>
      </c>
      <c r="I198" s="89" t="s">
        <v>115</v>
      </c>
      <c r="J198" s="89">
        <v>20</v>
      </c>
      <c r="K198" s="88">
        <v>65000</v>
      </c>
      <c r="L198" s="89">
        <v>0</v>
      </c>
      <c r="N198" s="89">
        <v>200115</v>
      </c>
      <c r="O198" s="89">
        <v>200116</v>
      </c>
      <c r="P198" s="89">
        <v>200113</v>
      </c>
      <c r="Q198" s="40">
        <v>110</v>
      </c>
      <c r="R198" s="89">
        <v>6230</v>
      </c>
    </row>
    <row r="199" spans="1:18" s="89" customFormat="1" x14ac:dyDescent="0.15">
      <c r="A199" s="89" t="s">
        <v>1</v>
      </c>
      <c r="B199" s="89">
        <v>1441</v>
      </c>
      <c r="C199" s="89" t="s">
        <v>115</v>
      </c>
      <c r="D199" s="89">
        <v>3</v>
      </c>
      <c r="E199" s="89" t="s">
        <v>115</v>
      </c>
      <c r="F199" s="89" t="s">
        <v>115</v>
      </c>
      <c r="G199" s="89" t="s">
        <v>115</v>
      </c>
      <c r="H199" s="89" t="s">
        <v>7307</v>
      </c>
      <c r="I199" s="89" t="s">
        <v>115</v>
      </c>
      <c r="J199" s="89" t="s">
        <v>115</v>
      </c>
      <c r="K199" s="4">
        <v>65500</v>
      </c>
      <c r="L199" s="89">
        <v>1422</v>
      </c>
      <c r="N199" s="89" t="s">
        <v>115</v>
      </c>
      <c r="O199" s="89" t="s">
        <v>115</v>
      </c>
      <c r="P199" s="89">
        <v>200111</v>
      </c>
      <c r="Q199" s="40">
        <v>31</v>
      </c>
      <c r="R199" s="89">
        <v>6230</v>
      </c>
    </row>
    <row r="200" spans="1:18" s="89" customFormat="1" x14ac:dyDescent="0.15">
      <c r="A200" s="89" t="s">
        <v>1</v>
      </c>
      <c r="B200" s="89">
        <v>1442</v>
      </c>
      <c r="C200" s="89" t="s">
        <v>115</v>
      </c>
      <c r="D200" s="89" t="s">
        <v>115</v>
      </c>
      <c r="E200" s="89">
        <v>1</v>
      </c>
      <c r="F200" s="89">
        <v>5</v>
      </c>
      <c r="G200" s="89" t="s">
        <v>115</v>
      </c>
      <c r="H200" s="89" t="s">
        <v>7307</v>
      </c>
      <c r="I200" s="89" t="s">
        <v>4800</v>
      </c>
      <c r="J200" s="89" t="s">
        <v>115</v>
      </c>
      <c r="K200" s="89">
        <v>65500</v>
      </c>
      <c r="L200" s="89">
        <v>1423</v>
      </c>
      <c r="N200" s="89" t="s">
        <v>115</v>
      </c>
      <c r="O200" s="89" t="s">
        <v>115</v>
      </c>
      <c r="P200" s="89">
        <v>200112</v>
      </c>
      <c r="Q200" s="40">
        <v>31</v>
      </c>
      <c r="R200" s="89">
        <v>6230</v>
      </c>
    </row>
    <row r="201" spans="1:18" s="89" customFormat="1" x14ac:dyDescent="0.15">
      <c r="A201" s="89" t="s">
        <v>1</v>
      </c>
      <c r="B201" s="89">
        <v>1443</v>
      </c>
      <c r="C201" s="89" t="s">
        <v>115</v>
      </c>
      <c r="D201" s="89" t="s">
        <v>115</v>
      </c>
      <c r="E201" s="89">
        <v>2</v>
      </c>
      <c r="F201" s="89">
        <v>5</v>
      </c>
      <c r="G201" s="89" t="s">
        <v>115</v>
      </c>
      <c r="H201" s="89" t="s">
        <v>7307</v>
      </c>
      <c r="I201" s="89" t="s">
        <v>115</v>
      </c>
      <c r="J201" s="89">
        <v>20</v>
      </c>
      <c r="K201" s="89">
        <v>65500</v>
      </c>
      <c r="L201" s="89">
        <v>0</v>
      </c>
      <c r="N201" s="89">
        <v>200115</v>
      </c>
      <c r="O201" s="89">
        <v>200116</v>
      </c>
      <c r="P201" s="89">
        <v>200113</v>
      </c>
      <c r="Q201" s="40">
        <v>31</v>
      </c>
      <c r="R201" s="89">
        <v>6230</v>
      </c>
    </row>
    <row r="202" spans="1:18" s="89" customFormat="1" x14ac:dyDescent="0.15">
      <c r="A202" s="89" t="s">
        <v>1</v>
      </c>
      <c r="B202" s="89">
        <v>1451</v>
      </c>
      <c r="C202" s="89" t="s">
        <v>115</v>
      </c>
      <c r="D202" s="89">
        <v>3</v>
      </c>
      <c r="E202" s="89" t="s">
        <v>115</v>
      </c>
      <c r="F202" s="89" t="s">
        <v>115</v>
      </c>
      <c r="G202" s="89" t="s">
        <v>115</v>
      </c>
      <c r="H202" s="89" t="s">
        <v>7307</v>
      </c>
      <c r="I202" s="89" t="s">
        <v>115</v>
      </c>
      <c r="J202" s="89" t="s">
        <v>115</v>
      </c>
      <c r="K202" s="4">
        <v>66000</v>
      </c>
      <c r="L202" s="89">
        <v>1422</v>
      </c>
      <c r="N202" s="89" t="s">
        <v>115</v>
      </c>
      <c r="O202" s="89" t="s">
        <v>115</v>
      </c>
      <c r="P202" s="89">
        <v>200111</v>
      </c>
      <c r="Q202" s="40">
        <v>31</v>
      </c>
      <c r="R202" s="89">
        <v>6230</v>
      </c>
    </row>
    <row r="203" spans="1:18" s="89" customFormat="1" x14ac:dyDescent="0.15">
      <c r="A203" s="89" t="s">
        <v>1</v>
      </c>
      <c r="B203" s="89">
        <v>1452</v>
      </c>
      <c r="C203" s="89" t="s">
        <v>115</v>
      </c>
      <c r="D203" s="89" t="s">
        <v>115</v>
      </c>
      <c r="E203" s="89">
        <v>1</v>
      </c>
      <c r="F203" s="89">
        <v>5</v>
      </c>
      <c r="G203" s="89" t="s">
        <v>115</v>
      </c>
      <c r="H203" s="89" t="s">
        <v>7307</v>
      </c>
      <c r="I203" s="89" t="s">
        <v>4800</v>
      </c>
      <c r="J203" s="89" t="s">
        <v>115</v>
      </c>
      <c r="K203" s="88">
        <v>66000</v>
      </c>
      <c r="L203" s="89">
        <v>1423</v>
      </c>
      <c r="N203" s="89" t="s">
        <v>115</v>
      </c>
      <c r="O203" s="89" t="s">
        <v>115</v>
      </c>
      <c r="P203" s="89">
        <v>200112</v>
      </c>
      <c r="Q203" s="40">
        <v>31</v>
      </c>
      <c r="R203" s="89">
        <v>6230</v>
      </c>
    </row>
    <row r="204" spans="1:18" s="89" customFormat="1" x14ac:dyDescent="0.15">
      <c r="A204" s="89" t="s">
        <v>1</v>
      </c>
      <c r="B204" s="89">
        <v>1453</v>
      </c>
      <c r="C204" s="89" t="s">
        <v>115</v>
      </c>
      <c r="D204" s="89" t="s">
        <v>115</v>
      </c>
      <c r="E204" s="89">
        <v>2</v>
      </c>
      <c r="F204" s="89">
        <v>5</v>
      </c>
      <c r="G204" s="89" t="s">
        <v>115</v>
      </c>
      <c r="H204" s="89" t="s">
        <v>7307</v>
      </c>
      <c r="I204" s="89" t="s">
        <v>115</v>
      </c>
      <c r="J204" s="89">
        <v>20</v>
      </c>
      <c r="K204" s="89">
        <v>66000</v>
      </c>
      <c r="L204" s="89">
        <v>0</v>
      </c>
      <c r="N204" s="89">
        <v>200115</v>
      </c>
      <c r="O204" s="89">
        <v>200116</v>
      </c>
      <c r="P204" s="89">
        <v>200113</v>
      </c>
      <c r="Q204" s="40">
        <v>31</v>
      </c>
      <c r="R204" s="89">
        <v>6230</v>
      </c>
    </row>
    <row r="205" spans="1:18" x14ac:dyDescent="0.15">
      <c r="A205" s="97" t="s">
        <v>1</v>
      </c>
      <c r="B205" s="97" t="s">
        <v>3861</v>
      </c>
      <c r="C205" s="97" t="s">
        <v>115</v>
      </c>
      <c r="D205" s="97">
        <v>3</v>
      </c>
      <c r="E205" s="97" t="s">
        <v>115</v>
      </c>
      <c r="F205" s="97" t="s">
        <v>115</v>
      </c>
      <c r="G205" s="88" t="s">
        <v>115</v>
      </c>
      <c r="H205" s="4" t="s">
        <v>7307</v>
      </c>
      <c r="I205" s="97" t="s">
        <v>115</v>
      </c>
      <c r="J205" s="97" t="s">
        <v>115</v>
      </c>
      <c r="K205" s="4">
        <v>63500</v>
      </c>
      <c r="L205" s="97">
        <v>1512</v>
      </c>
      <c r="M205" s="97"/>
      <c r="N205" s="96" t="s">
        <v>115</v>
      </c>
      <c r="O205" s="96" t="s">
        <v>115</v>
      </c>
      <c r="P205" s="96">
        <v>200111</v>
      </c>
      <c r="Q205" s="97">
        <v>134</v>
      </c>
      <c r="R205" s="88">
        <v>6230</v>
      </c>
    </row>
    <row r="206" spans="1:18" x14ac:dyDescent="0.15">
      <c r="A206" s="97" t="s">
        <v>1</v>
      </c>
      <c r="B206" s="97">
        <v>1512</v>
      </c>
      <c r="C206" s="97" t="s">
        <v>115</v>
      </c>
      <c r="D206" s="97" t="s">
        <v>115</v>
      </c>
      <c r="E206" s="97">
        <v>1</v>
      </c>
      <c r="F206" s="97">
        <v>5</v>
      </c>
      <c r="G206" s="88" t="s">
        <v>115</v>
      </c>
      <c r="H206" s="4" t="s">
        <v>7307</v>
      </c>
      <c r="I206" s="4" t="s">
        <v>4800</v>
      </c>
      <c r="J206" s="97" t="s">
        <v>115</v>
      </c>
      <c r="K206" s="89">
        <v>63500</v>
      </c>
      <c r="L206" s="97">
        <v>1513</v>
      </c>
      <c r="M206" s="97"/>
      <c r="N206" s="96" t="s">
        <v>115</v>
      </c>
      <c r="O206" s="96" t="s">
        <v>115</v>
      </c>
      <c r="P206" s="96">
        <v>200112</v>
      </c>
      <c r="Q206" s="97">
        <v>134</v>
      </c>
      <c r="R206" s="88">
        <v>6230</v>
      </c>
    </row>
    <row r="207" spans="1:18" x14ac:dyDescent="0.15">
      <c r="A207" s="97" t="s">
        <v>1</v>
      </c>
      <c r="B207" s="97">
        <v>1513</v>
      </c>
      <c r="C207" s="97" t="s">
        <v>115</v>
      </c>
      <c r="D207" s="97" t="s">
        <v>115</v>
      </c>
      <c r="E207" s="97">
        <v>2</v>
      </c>
      <c r="F207" s="97">
        <v>5</v>
      </c>
      <c r="G207" s="88" t="s">
        <v>115</v>
      </c>
      <c r="H207" s="4" t="s">
        <v>7307</v>
      </c>
      <c r="I207" s="97" t="s">
        <v>115</v>
      </c>
      <c r="J207" s="97">
        <v>20</v>
      </c>
      <c r="K207" s="89">
        <v>63500</v>
      </c>
      <c r="L207" s="97">
        <v>0</v>
      </c>
      <c r="M207" s="97"/>
      <c r="N207" s="96">
        <v>200115</v>
      </c>
      <c r="O207" s="96">
        <v>200116</v>
      </c>
      <c r="P207" s="96">
        <v>200113</v>
      </c>
      <c r="Q207" s="97">
        <v>134</v>
      </c>
      <c r="R207" s="88">
        <v>6230</v>
      </c>
    </row>
    <row r="208" spans="1:18" x14ac:dyDescent="0.15">
      <c r="A208" s="97" t="s">
        <v>1</v>
      </c>
      <c r="B208" s="97" t="s">
        <v>3862</v>
      </c>
      <c r="C208" s="97" t="s">
        <v>115</v>
      </c>
      <c r="D208" s="97">
        <v>3</v>
      </c>
      <c r="E208" s="97" t="s">
        <v>115</v>
      </c>
      <c r="F208" s="97" t="s">
        <v>115</v>
      </c>
      <c r="G208" s="88" t="s">
        <v>115</v>
      </c>
      <c r="H208" s="4" t="s">
        <v>7307</v>
      </c>
      <c r="I208" s="97" t="s">
        <v>115</v>
      </c>
      <c r="J208" s="97" t="s">
        <v>115</v>
      </c>
      <c r="K208" s="4">
        <v>64000</v>
      </c>
      <c r="L208" s="97">
        <v>1522</v>
      </c>
      <c r="M208" s="97"/>
      <c r="N208" s="96" t="s">
        <v>115</v>
      </c>
      <c r="O208" s="96" t="s">
        <v>115</v>
      </c>
      <c r="P208" s="96">
        <v>200111</v>
      </c>
      <c r="Q208" s="97">
        <v>192</v>
      </c>
      <c r="R208" s="88">
        <v>6230</v>
      </c>
    </row>
    <row r="209" spans="1:18" x14ac:dyDescent="0.15">
      <c r="A209" s="97" t="s">
        <v>1</v>
      </c>
      <c r="B209" s="97">
        <v>1522</v>
      </c>
      <c r="C209" s="97" t="s">
        <v>115</v>
      </c>
      <c r="D209" s="97" t="s">
        <v>115</v>
      </c>
      <c r="E209" s="97">
        <v>1</v>
      </c>
      <c r="F209" s="97">
        <v>5</v>
      </c>
      <c r="G209" s="88" t="s">
        <v>115</v>
      </c>
      <c r="H209" s="4" t="s">
        <v>7307</v>
      </c>
      <c r="I209" s="4" t="s">
        <v>4800</v>
      </c>
      <c r="J209" s="97" t="s">
        <v>115</v>
      </c>
      <c r="K209" s="88">
        <v>64000</v>
      </c>
      <c r="L209" s="97">
        <v>1523</v>
      </c>
      <c r="M209" s="97"/>
      <c r="N209" s="96" t="s">
        <v>115</v>
      </c>
      <c r="O209" s="96" t="s">
        <v>115</v>
      </c>
      <c r="P209" s="96">
        <v>200112</v>
      </c>
      <c r="Q209" s="97">
        <v>192</v>
      </c>
      <c r="R209" s="88">
        <v>6230</v>
      </c>
    </row>
    <row r="210" spans="1:18" x14ac:dyDescent="0.15">
      <c r="A210" s="97" t="s">
        <v>1</v>
      </c>
      <c r="B210" s="97">
        <v>1523</v>
      </c>
      <c r="C210" s="97" t="s">
        <v>115</v>
      </c>
      <c r="D210" s="97" t="s">
        <v>115</v>
      </c>
      <c r="E210" s="97">
        <v>2</v>
      </c>
      <c r="F210" s="97">
        <v>5</v>
      </c>
      <c r="G210" s="88" t="s">
        <v>115</v>
      </c>
      <c r="H210" s="4" t="s">
        <v>7307</v>
      </c>
      <c r="I210" s="97" t="s">
        <v>115</v>
      </c>
      <c r="J210" s="97">
        <v>20</v>
      </c>
      <c r="K210" s="88">
        <v>64000</v>
      </c>
      <c r="L210" s="97">
        <v>0</v>
      </c>
      <c r="M210" s="97"/>
      <c r="N210" s="96">
        <v>200115</v>
      </c>
      <c r="O210" s="96">
        <v>200116</v>
      </c>
      <c r="P210" s="96">
        <v>200113</v>
      </c>
      <c r="Q210" s="97">
        <v>192</v>
      </c>
      <c r="R210" s="88">
        <v>6230</v>
      </c>
    </row>
    <row r="211" spans="1:18" x14ac:dyDescent="0.15">
      <c r="A211" s="97" t="s">
        <v>1</v>
      </c>
      <c r="B211" s="97" t="s">
        <v>3863</v>
      </c>
      <c r="C211" s="97" t="s">
        <v>115</v>
      </c>
      <c r="D211" s="97">
        <v>3</v>
      </c>
      <c r="E211" s="97" t="s">
        <v>115</v>
      </c>
      <c r="F211" s="97" t="s">
        <v>115</v>
      </c>
      <c r="G211" s="88" t="s">
        <v>115</v>
      </c>
      <c r="H211" s="4" t="s">
        <v>7307</v>
      </c>
      <c r="I211" s="97" t="s">
        <v>115</v>
      </c>
      <c r="J211" s="97" t="s">
        <v>115</v>
      </c>
      <c r="K211" s="4">
        <v>64500</v>
      </c>
      <c r="L211" s="97">
        <v>1532</v>
      </c>
      <c r="M211" s="97"/>
      <c r="N211" s="96" t="s">
        <v>115</v>
      </c>
      <c r="O211" s="96" t="s">
        <v>115</v>
      </c>
      <c r="P211" s="96">
        <v>200111</v>
      </c>
      <c r="Q211" s="97">
        <v>192</v>
      </c>
      <c r="R211" s="88">
        <v>6230</v>
      </c>
    </row>
    <row r="212" spans="1:18" x14ac:dyDescent="0.15">
      <c r="A212" s="97" t="s">
        <v>1</v>
      </c>
      <c r="B212" s="97">
        <v>1532</v>
      </c>
      <c r="C212" s="97" t="s">
        <v>115</v>
      </c>
      <c r="D212" s="97" t="s">
        <v>115</v>
      </c>
      <c r="E212" s="97">
        <v>1</v>
      </c>
      <c r="F212" s="97">
        <v>5</v>
      </c>
      <c r="G212" s="88" t="s">
        <v>115</v>
      </c>
      <c r="H212" s="4" t="s">
        <v>7307</v>
      </c>
      <c r="I212" s="4" t="s">
        <v>4800</v>
      </c>
      <c r="J212" s="97" t="s">
        <v>115</v>
      </c>
      <c r="K212" s="89">
        <v>64500</v>
      </c>
      <c r="L212" s="97">
        <v>1533</v>
      </c>
      <c r="M212" s="97"/>
      <c r="N212" s="96" t="s">
        <v>115</v>
      </c>
      <c r="O212" s="96" t="s">
        <v>115</v>
      </c>
      <c r="P212" s="96">
        <v>200112</v>
      </c>
      <c r="Q212" s="97">
        <v>192</v>
      </c>
      <c r="R212" s="88">
        <v>6230</v>
      </c>
    </row>
    <row r="213" spans="1:18" x14ac:dyDescent="0.15">
      <c r="A213" s="97" t="s">
        <v>1</v>
      </c>
      <c r="B213" s="97">
        <v>1533</v>
      </c>
      <c r="C213" s="97" t="s">
        <v>115</v>
      </c>
      <c r="D213" s="97" t="s">
        <v>115</v>
      </c>
      <c r="E213" s="97">
        <v>2</v>
      </c>
      <c r="F213" s="97">
        <v>5</v>
      </c>
      <c r="G213" s="88" t="s">
        <v>115</v>
      </c>
      <c r="H213" s="4" t="s">
        <v>7307</v>
      </c>
      <c r="I213" s="97" t="s">
        <v>115</v>
      </c>
      <c r="J213" s="97">
        <v>20</v>
      </c>
      <c r="K213" s="89">
        <v>64500</v>
      </c>
      <c r="L213" s="97">
        <v>0</v>
      </c>
      <c r="M213" s="97"/>
      <c r="N213" s="96">
        <v>200115</v>
      </c>
      <c r="O213" s="96">
        <v>200116</v>
      </c>
      <c r="P213" s="96">
        <v>200113</v>
      </c>
      <c r="Q213" s="97">
        <v>192</v>
      </c>
      <c r="R213" s="88">
        <v>6230</v>
      </c>
    </row>
    <row r="214" spans="1:18" x14ac:dyDescent="0.15">
      <c r="A214" s="97" t="s">
        <v>1</v>
      </c>
      <c r="B214" s="97" t="s">
        <v>3864</v>
      </c>
      <c r="C214" s="97" t="s">
        <v>115</v>
      </c>
      <c r="D214" s="97">
        <v>3</v>
      </c>
      <c r="E214" s="97" t="s">
        <v>115</v>
      </c>
      <c r="F214" s="97" t="s">
        <v>115</v>
      </c>
      <c r="G214" s="88" t="s">
        <v>115</v>
      </c>
      <c r="H214" s="4" t="s">
        <v>7307</v>
      </c>
      <c r="I214" s="97" t="s">
        <v>115</v>
      </c>
      <c r="J214" s="97" t="s">
        <v>115</v>
      </c>
      <c r="K214" s="4">
        <v>65000</v>
      </c>
      <c r="L214" s="97">
        <v>1542</v>
      </c>
      <c r="M214" s="97"/>
      <c r="N214" s="96" t="s">
        <v>115</v>
      </c>
      <c r="O214" s="96" t="s">
        <v>115</v>
      </c>
      <c r="P214" s="96">
        <v>200111</v>
      </c>
      <c r="Q214" s="97">
        <v>118</v>
      </c>
      <c r="R214" s="88">
        <v>6230</v>
      </c>
    </row>
    <row r="215" spans="1:18" x14ac:dyDescent="0.15">
      <c r="A215" s="97" t="s">
        <v>1</v>
      </c>
      <c r="B215" s="97">
        <v>1542</v>
      </c>
      <c r="C215" s="97" t="s">
        <v>115</v>
      </c>
      <c r="D215" s="97" t="s">
        <v>115</v>
      </c>
      <c r="E215" s="97">
        <v>1</v>
      </c>
      <c r="F215" s="97">
        <v>5</v>
      </c>
      <c r="G215" s="88" t="s">
        <v>115</v>
      </c>
      <c r="H215" s="4" t="s">
        <v>7307</v>
      </c>
      <c r="I215" s="4" t="s">
        <v>4800</v>
      </c>
      <c r="J215" s="97" t="s">
        <v>115</v>
      </c>
      <c r="K215" s="88">
        <v>65000</v>
      </c>
      <c r="L215" s="97">
        <v>1543</v>
      </c>
      <c r="M215" s="97"/>
      <c r="N215" s="96" t="s">
        <v>115</v>
      </c>
      <c r="O215" s="96" t="s">
        <v>115</v>
      </c>
      <c r="P215" s="96">
        <v>200112</v>
      </c>
      <c r="Q215" s="97">
        <v>118</v>
      </c>
      <c r="R215" s="88">
        <v>6230</v>
      </c>
    </row>
    <row r="216" spans="1:18" x14ac:dyDescent="0.15">
      <c r="A216" s="97" t="s">
        <v>1</v>
      </c>
      <c r="B216" s="97">
        <v>1543</v>
      </c>
      <c r="C216" s="97" t="s">
        <v>115</v>
      </c>
      <c r="D216" s="97" t="s">
        <v>115</v>
      </c>
      <c r="E216" s="97">
        <v>2</v>
      </c>
      <c r="F216" s="97">
        <v>5</v>
      </c>
      <c r="G216" s="88" t="s">
        <v>115</v>
      </c>
      <c r="H216" s="4" t="s">
        <v>7307</v>
      </c>
      <c r="I216" s="97" t="s">
        <v>115</v>
      </c>
      <c r="J216" s="97">
        <v>20</v>
      </c>
      <c r="K216" s="88">
        <v>65000</v>
      </c>
      <c r="L216" s="97">
        <v>0</v>
      </c>
      <c r="M216" s="97"/>
      <c r="N216" s="96">
        <v>200115</v>
      </c>
      <c r="O216" s="96">
        <v>200116</v>
      </c>
      <c r="P216" s="96">
        <v>200113</v>
      </c>
      <c r="Q216" s="97">
        <v>118</v>
      </c>
      <c r="R216" s="88">
        <v>6230</v>
      </c>
    </row>
    <row r="217" spans="1:18" x14ac:dyDescent="0.15">
      <c r="A217" s="97" t="s">
        <v>1</v>
      </c>
      <c r="B217" s="97" t="s">
        <v>3865</v>
      </c>
      <c r="C217" s="97" t="s">
        <v>115</v>
      </c>
      <c r="D217" s="97">
        <v>3</v>
      </c>
      <c r="E217" s="97" t="s">
        <v>115</v>
      </c>
      <c r="F217" s="97" t="s">
        <v>115</v>
      </c>
      <c r="G217" s="88" t="s">
        <v>115</v>
      </c>
      <c r="H217" s="4" t="s">
        <v>7307</v>
      </c>
      <c r="I217" s="97" t="s">
        <v>115</v>
      </c>
      <c r="J217" s="97" t="s">
        <v>115</v>
      </c>
      <c r="K217" s="4">
        <v>65500</v>
      </c>
      <c r="L217" s="97">
        <v>1552</v>
      </c>
      <c r="M217" s="97"/>
      <c r="N217" s="96" t="s">
        <v>115</v>
      </c>
      <c r="O217" s="96" t="s">
        <v>115</v>
      </c>
      <c r="P217" s="96">
        <v>200111</v>
      </c>
      <c r="Q217" s="97">
        <v>198</v>
      </c>
      <c r="R217" s="88">
        <v>6230</v>
      </c>
    </row>
    <row r="218" spans="1:18" x14ac:dyDescent="0.15">
      <c r="A218" s="97" t="s">
        <v>1</v>
      </c>
      <c r="B218" s="97">
        <v>1552</v>
      </c>
      <c r="C218" s="97" t="s">
        <v>115</v>
      </c>
      <c r="D218" s="97" t="s">
        <v>115</v>
      </c>
      <c r="E218" s="97">
        <v>1</v>
      </c>
      <c r="F218" s="97">
        <v>5</v>
      </c>
      <c r="G218" s="88" t="s">
        <v>115</v>
      </c>
      <c r="H218" s="4" t="s">
        <v>7307</v>
      </c>
      <c r="I218" s="4" t="s">
        <v>4800</v>
      </c>
      <c r="J218" s="97" t="s">
        <v>115</v>
      </c>
      <c r="K218" s="89">
        <v>65500</v>
      </c>
      <c r="L218" s="97">
        <v>1553</v>
      </c>
      <c r="M218" s="97"/>
      <c r="N218" s="96" t="s">
        <v>115</v>
      </c>
      <c r="O218" s="96" t="s">
        <v>115</v>
      </c>
      <c r="P218" s="96">
        <v>200112</v>
      </c>
      <c r="Q218" s="97">
        <v>198</v>
      </c>
      <c r="R218" s="88">
        <v>6230</v>
      </c>
    </row>
    <row r="219" spans="1:18" x14ac:dyDescent="0.15">
      <c r="A219" s="97" t="s">
        <v>1</v>
      </c>
      <c r="B219" s="97">
        <v>1553</v>
      </c>
      <c r="C219" s="97" t="s">
        <v>115</v>
      </c>
      <c r="D219" s="97" t="s">
        <v>115</v>
      </c>
      <c r="E219" s="97">
        <v>2</v>
      </c>
      <c r="F219" s="97">
        <v>5</v>
      </c>
      <c r="G219" s="88" t="s">
        <v>115</v>
      </c>
      <c r="H219" s="4" t="s">
        <v>7307</v>
      </c>
      <c r="I219" s="97" t="s">
        <v>115</v>
      </c>
      <c r="J219" s="97">
        <v>20</v>
      </c>
      <c r="K219" s="89">
        <v>65500</v>
      </c>
      <c r="L219" s="97">
        <v>0</v>
      </c>
      <c r="M219" s="97"/>
      <c r="N219" s="96">
        <v>200115</v>
      </c>
      <c r="O219" s="96">
        <v>200116</v>
      </c>
      <c r="P219" s="96">
        <v>200113</v>
      </c>
      <c r="Q219" s="97">
        <v>198</v>
      </c>
      <c r="R219" s="88">
        <v>6230</v>
      </c>
    </row>
    <row r="220" spans="1:18" x14ac:dyDescent="0.15">
      <c r="A220" s="97" t="s">
        <v>1</v>
      </c>
      <c r="B220" s="97" t="s">
        <v>3866</v>
      </c>
      <c r="C220" s="97" t="s">
        <v>115</v>
      </c>
      <c r="D220" s="97">
        <v>3</v>
      </c>
      <c r="E220" s="97" t="s">
        <v>115</v>
      </c>
      <c r="F220" s="97" t="s">
        <v>115</v>
      </c>
      <c r="G220" s="88" t="s">
        <v>115</v>
      </c>
      <c r="H220" s="4" t="s">
        <v>7307</v>
      </c>
      <c r="I220" s="97" t="s">
        <v>115</v>
      </c>
      <c r="J220" s="97" t="s">
        <v>115</v>
      </c>
      <c r="K220" s="4">
        <v>66000</v>
      </c>
      <c r="L220" s="97">
        <v>1562</v>
      </c>
      <c r="M220" s="97"/>
      <c r="N220" s="96" t="s">
        <v>115</v>
      </c>
      <c r="O220" s="96" t="s">
        <v>115</v>
      </c>
      <c r="P220" s="96">
        <v>200111</v>
      </c>
      <c r="Q220" s="97">
        <v>187</v>
      </c>
      <c r="R220" s="88">
        <v>6230</v>
      </c>
    </row>
    <row r="221" spans="1:18" x14ac:dyDescent="0.15">
      <c r="A221" s="97" t="s">
        <v>1</v>
      </c>
      <c r="B221" s="97">
        <v>1562</v>
      </c>
      <c r="C221" s="97" t="s">
        <v>115</v>
      </c>
      <c r="D221" s="97" t="s">
        <v>115</v>
      </c>
      <c r="E221" s="97">
        <v>1</v>
      </c>
      <c r="F221" s="97">
        <v>5</v>
      </c>
      <c r="G221" s="88" t="s">
        <v>115</v>
      </c>
      <c r="H221" s="4" t="s">
        <v>7307</v>
      </c>
      <c r="I221" s="4" t="s">
        <v>4800</v>
      </c>
      <c r="J221" s="97" t="s">
        <v>115</v>
      </c>
      <c r="K221" s="88">
        <v>66000</v>
      </c>
      <c r="L221" s="97">
        <v>1563</v>
      </c>
      <c r="M221" s="97"/>
      <c r="N221" s="96" t="s">
        <v>115</v>
      </c>
      <c r="O221" s="96" t="s">
        <v>115</v>
      </c>
      <c r="P221" s="96">
        <v>200112</v>
      </c>
      <c r="Q221" s="97">
        <v>187</v>
      </c>
      <c r="R221" s="88">
        <v>6230</v>
      </c>
    </row>
    <row r="222" spans="1:18" x14ac:dyDescent="0.15">
      <c r="A222" s="97" t="s">
        <v>1</v>
      </c>
      <c r="B222" s="97">
        <v>1563</v>
      </c>
      <c r="C222" s="97" t="s">
        <v>115</v>
      </c>
      <c r="D222" s="97" t="s">
        <v>115</v>
      </c>
      <c r="E222" s="97">
        <v>2</v>
      </c>
      <c r="F222" s="97">
        <v>5</v>
      </c>
      <c r="G222" s="88" t="s">
        <v>115</v>
      </c>
      <c r="H222" s="4" t="s">
        <v>7307</v>
      </c>
      <c r="I222" s="97" t="s">
        <v>115</v>
      </c>
      <c r="J222" s="97">
        <v>20</v>
      </c>
      <c r="K222" s="88">
        <v>66000</v>
      </c>
      <c r="L222" s="97">
        <v>0</v>
      </c>
      <c r="M222" s="97"/>
      <c r="N222" s="96">
        <v>200115</v>
      </c>
      <c r="O222" s="96">
        <v>200116</v>
      </c>
      <c r="P222" s="96">
        <v>200113</v>
      </c>
      <c r="Q222" s="97">
        <v>187</v>
      </c>
      <c r="R222" s="88">
        <v>6230</v>
      </c>
    </row>
    <row r="223" spans="1:18" x14ac:dyDescent="0.15">
      <c r="A223" s="97" t="s">
        <v>1</v>
      </c>
      <c r="B223" s="97" t="s">
        <v>3867</v>
      </c>
      <c r="C223" s="97" t="s">
        <v>115</v>
      </c>
      <c r="D223" s="97">
        <v>3</v>
      </c>
      <c r="E223" s="97" t="s">
        <v>115</v>
      </c>
      <c r="F223" s="97" t="s">
        <v>115</v>
      </c>
      <c r="G223" s="88" t="s">
        <v>115</v>
      </c>
      <c r="H223" s="4" t="s">
        <v>7307</v>
      </c>
      <c r="I223" s="97" t="s">
        <v>115</v>
      </c>
      <c r="J223" s="97" t="s">
        <v>115</v>
      </c>
      <c r="K223" s="4">
        <v>66500</v>
      </c>
      <c r="L223" s="97">
        <v>1572</v>
      </c>
      <c r="M223" s="97"/>
      <c r="N223" s="96" t="s">
        <v>115</v>
      </c>
      <c r="O223" s="96" t="s">
        <v>115</v>
      </c>
      <c r="P223" s="96">
        <v>200111</v>
      </c>
      <c r="Q223" s="97">
        <v>187</v>
      </c>
      <c r="R223" s="88">
        <v>6230</v>
      </c>
    </row>
    <row r="224" spans="1:18" x14ac:dyDescent="0.15">
      <c r="A224" s="97" t="s">
        <v>1</v>
      </c>
      <c r="B224" s="97">
        <v>1572</v>
      </c>
      <c r="C224" s="97" t="s">
        <v>115</v>
      </c>
      <c r="D224" s="97" t="s">
        <v>115</v>
      </c>
      <c r="E224" s="97">
        <v>1</v>
      </c>
      <c r="F224" s="97">
        <v>5</v>
      </c>
      <c r="G224" s="88" t="s">
        <v>115</v>
      </c>
      <c r="H224" s="4" t="s">
        <v>7307</v>
      </c>
      <c r="I224" s="4" t="s">
        <v>4800</v>
      </c>
      <c r="J224" s="97" t="s">
        <v>115</v>
      </c>
      <c r="K224" s="88">
        <v>66500</v>
      </c>
      <c r="L224" s="97">
        <v>1573</v>
      </c>
      <c r="M224" s="97"/>
      <c r="N224" s="96" t="s">
        <v>115</v>
      </c>
      <c r="O224" s="96" t="s">
        <v>115</v>
      </c>
      <c r="P224" s="96">
        <v>200112</v>
      </c>
      <c r="Q224" s="97">
        <v>187</v>
      </c>
      <c r="R224" s="88">
        <v>6230</v>
      </c>
    </row>
    <row r="225" spans="1:18" x14ac:dyDescent="0.15">
      <c r="A225" s="97" t="s">
        <v>1</v>
      </c>
      <c r="B225" s="97">
        <v>1573</v>
      </c>
      <c r="C225" s="97" t="s">
        <v>115</v>
      </c>
      <c r="D225" s="97" t="s">
        <v>115</v>
      </c>
      <c r="E225" s="97">
        <v>2</v>
      </c>
      <c r="F225" s="97">
        <v>5</v>
      </c>
      <c r="G225" s="88" t="s">
        <v>115</v>
      </c>
      <c r="H225" s="4" t="s">
        <v>7307</v>
      </c>
      <c r="I225" s="97" t="s">
        <v>115</v>
      </c>
      <c r="J225" s="97">
        <v>20</v>
      </c>
      <c r="K225" s="88">
        <v>66500</v>
      </c>
      <c r="L225" s="97">
        <v>0</v>
      </c>
      <c r="M225" s="97"/>
      <c r="N225" s="96">
        <v>200115</v>
      </c>
      <c r="O225" s="96">
        <v>200116</v>
      </c>
      <c r="P225" s="96">
        <v>200113</v>
      </c>
      <c r="Q225" s="97">
        <v>187</v>
      </c>
      <c r="R225" s="88">
        <v>6230</v>
      </c>
    </row>
    <row r="226" spans="1:18" x14ac:dyDescent="0.15">
      <c r="A226" s="97" t="s">
        <v>1</v>
      </c>
      <c r="B226" s="97" t="s">
        <v>3868</v>
      </c>
      <c r="C226" s="97" t="s">
        <v>115</v>
      </c>
      <c r="D226" s="97">
        <v>3</v>
      </c>
      <c r="E226" s="97" t="s">
        <v>115</v>
      </c>
      <c r="F226" s="97" t="s">
        <v>115</v>
      </c>
      <c r="G226" s="88" t="s">
        <v>115</v>
      </c>
      <c r="H226" s="4" t="s">
        <v>7307</v>
      </c>
      <c r="I226" s="97" t="s">
        <v>115</v>
      </c>
      <c r="J226" s="97" t="s">
        <v>115</v>
      </c>
      <c r="K226" s="4">
        <v>63500</v>
      </c>
      <c r="L226" s="97">
        <v>1612</v>
      </c>
      <c r="M226" s="97"/>
      <c r="N226" s="96" t="s">
        <v>115</v>
      </c>
      <c r="O226" s="96" t="s">
        <v>115</v>
      </c>
      <c r="P226" s="96">
        <v>200111</v>
      </c>
      <c r="Q226" s="97">
        <v>111</v>
      </c>
      <c r="R226" s="88">
        <v>6230</v>
      </c>
    </row>
    <row r="227" spans="1:18" x14ac:dyDescent="0.15">
      <c r="A227" s="97" t="s">
        <v>1</v>
      </c>
      <c r="B227" s="97">
        <v>1612</v>
      </c>
      <c r="C227" s="97" t="s">
        <v>115</v>
      </c>
      <c r="D227" s="97" t="s">
        <v>115</v>
      </c>
      <c r="E227" s="97">
        <v>1</v>
      </c>
      <c r="F227" s="97">
        <v>5</v>
      </c>
      <c r="G227" s="88" t="s">
        <v>115</v>
      </c>
      <c r="H227" s="4" t="s">
        <v>7307</v>
      </c>
      <c r="I227" s="4" t="s">
        <v>4800</v>
      </c>
      <c r="J227" s="97" t="s">
        <v>115</v>
      </c>
      <c r="K227" s="88">
        <v>63500</v>
      </c>
      <c r="L227" s="97">
        <v>1613</v>
      </c>
      <c r="M227" s="97"/>
      <c r="N227" s="96" t="s">
        <v>115</v>
      </c>
      <c r="O227" s="96" t="s">
        <v>115</v>
      </c>
      <c r="P227" s="96">
        <v>200112</v>
      </c>
      <c r="Q227" s="97">
        <v>111</v>
      </c>
      <c r="R227" s="88">
        <v>6230</v>
      </c>
    </row>
    <row r="228" spans="1:18" x14ac:dyDescent="0.15">
      <c r="A228" s="97" t="s">
        <v>1</v>
      </c>
      <c r="B228" s="97">
        <v>1613</v>
      </c>
      <c r="C228" s="97" t="s">
        <v>115</v>
      </c>
      <c r="D228" s="97" t="s">
        <v>115</v>
      </c>
      <c r="E228" s="97">
        <v>2</v>
      </c>
      <c r="F228" s="97">
        <v>5</v>
      </c>
      <c r="G228" s="88" t="s">
        <v>115</v>
      </c>
      <c r="H228" s="4" t="s">
        <v>7307</v>
      </c>
      <c r="I228" s="97" t="s">
        <v>115</v>
      </c>
      <c r="J228" s="97">
        <v>20</v>
      </c>
      <c r="K228" s="88">
        <v>63500</v>
      </c>
      <c r="L228" s="97">
        <v>0</v>
      </c>
      <c r="M228" s="97"/>
      <c r="N228" s="96">
        <v>200115</v>
      </c>
      <c r="O228" s="96">
        <v>200116</v>
      </c>
      <c r="P228" s="96">
        <v>200113</v>
      </c>
      <c r="Q228" s="97">
        <v>111</v>
      </c>
      <c r="R228" s="88">
        <v>6230</v>
      </c>
    </row>
    <row r="229" spans="1:18" x14ac:dyDescent="0.15">
      <c r="A229" s="97" t="s">
        <v>1</v>
      </c>
      <c r="B229" s="97" t="s">
        <v>3869</v>
      </c>
      <c r="C229" s="97" t="s">
        <v>115</v>
      </c>
      <c r="D229" s="97">
        <v>3</v>
      </c>
      <c r="E229" s="97" t="s">
        <v>115</v>
      </c>
      <c r="F229" s="97" t="s">
        <v>115</v>
      </c>
      <c r="G229" s="88" t="s">
        <v>115</v>
      </c>
      <c r="H229" s="4" t="s">
        <v>7307</v>
      </c>
      <c r="I229" s="97" t="s">
        <v>115</v>
      </c>
      <c r="J229" s="97" t="s">
        <v>115</v>
      </c>
      <c r="K229" s="4">
        <v>64000</v>
      </c>
      <c r="L229" s="97">
        <v>1622</v>
      </c>
      <c r="M229" s="97"/>
      <c r="N229" s="96" t="s">
        <v>115</v>
      </c>
      <c r="O229" s="96" t="s">
        <v>115</v>
      </c>
      <c r="P229" s="96">
        <v>200111</v>
      </c>
      <c r="Q229" s="97">
        <v>197</v>
      </c>
      <c r="R229" s="88">
        <v>6230</v>
      </c>
    </row>
    <row r="230" spans="1:18" x14ac:dyDescent="0.15">
      <c r="A230" s="97" t="s">
        <v>1</v>
      </c>
      <c r="B230" s="97">
        <v>1622</v>
      </c>
      <c r="C230" s="97" t="s">
        <v>115</v>
      </c>
      <c r="D230" s="97" t="s">
        <v>115</v>
      </c>
      <c r="E230" s="97">
        <v>1</v>
      </c>
      <c r="F230" s="97">
        <v>5</v>
      </c>
      <c r="G230" s="88" t="s">
        <v>115</v>
      </c>
      <c r="H230" s="4" t="s">
        <v>7307</v>
      </c>
      <c r="I230" s="4" t="s">
        <v>4800</v>
      </c>
      <c r="J230" s="97" t="s">
        <v>115</v>
      </c>
      <c r="K230" s="88">
        <v>64000</v>
      </c>
      <c r="L230" s="97">
        <v>1623</v>
      </c>
      <c r="M230" s="97"/>
      <c r="N230" s="96" t="s">
        <v>115</v>
      </c>
      <c r="O230" s="96" t="s">
        <v>115</v>
      </c>
      <c r="P230" s="96">
        <v>200112</v>
      </c>
      <c r="Q230" s="97">
        <v>197</v>
      </c>
      <c r="R230" s="88">
        <v>6230</v>
      </c>
    </row>
    <row r="231" spans="1:18" x14ac:dyDescent="0.15">
      <c r="A231" s="97" t="s">
        <v>1</v>
      </c>
      <c r="B231" s="97">
        <v>1623</v>
      </c>
      <c r="C231" s="97" t="s">
        <v>115</v>
      </c>
      <c r="D231" s="97" t="s">
        <v>115</v>
      </c>
      <c r="E231" s="97">
        <v>2</v>
      </c>
      <c r="F231" s="97">
        <v>5</v>
      </c>
      <c r="G231" s="88" t="s">
        <v>115</v>
      </c>
      <c r="H231" s="4" t="s">
        <v>7307</v>
      </c>
      <c r="I231" s="97" t="s">
        <v>115</v>
      </c>
      <c r="J231" s="97">
        <v>20</v>
      </c>
      <c r="K231" s="88">
        <v>64000</v>
      </c>
      <c r="L231" s="97">
        <v>0</v>
      </c>
      <c r="M231" s="97"/>
      <c r="N231" s="96">
        <v>200115</v>
      </c>
      <c r="O231" s="96">
        <v>200116</v>
      </c>
      <c r="P231" s="96">
        <v>200113</v>
      </c>
      <c r="Q231" s="97">
        <v>197</v>
      </c>
      <c r="R231" s="88">
        <v>6230</v>
      </c>
    </row>
    <row r="232" spans="1:18" x14ac:dyDescent="0.15">
      <c r="A232" s="97" t="s">
        <v>1</v>
      </c>
      <c r="B232" s="97" t="s">
        <v>3870</v>
      </c>
      <c r="C232" s="97" t="s">
        <v>115</v>
      </c>
      <c r="D232" s="97">
        <v>3</v>
      </c>
      <c r="E232" s="97" t="s">
        <v>115</v>
      </c>
      <c r="F232" s="97" t="s">
        <v>115</v>
      </c>
      <c r="G232" s="88" t="s">
        <v>115</v>
      </c>
      <c r="H232" s="4" t="s">
        <v>7307</v>
      </c>
      <c r="I232" s="97" t="s">
        <v>115</v>
      </c>
      <c r="J232" s="97" t="s">
        <v>115</v>
      </c>
      <c r="K232" s="4">
        <v>64500</v>
      </c>
      <c r="L232" s="97">
        <v>1632</v>
      </c>
      <c r="M232" s="97"/>
      <c r="N232" s="96" t="s">
        <v>115</v>
      </c>
      <c r="O232" s="96" t="s">
        <v>115</v>
      </c>
      <c r="P232" s="96">
        <v>200111</v>
      </c>
      <c r="Q232" s="97">
        <v>144</v>
      </c>
      <c r="R232" s="88">
        <v>6230</v>
      </c>
    </row>
    <row r="233" spans="1:18" x14ac:dyDescent="0.15">
      <c r="A233" s="97" t="s">
        <v>1</v>
      </c>
      <c r="B233" s="97">
        <v>1632</v>
      </c>
      <c r="C233" s="97" t="s">
        <v>115</v>
      </c>
      <c r="D233" s="97" t="s">
        <v>115</v>
      </c>
      <c r="E233" s="97">
        <v>1</v>
      </c>
      <c r="F233" s="97">
        <v>5</v>
      </c>
      <c r="G233" s="88" t="s">
        <v>115</v>
      </c>
      <c r="H233" s="4" t="s">
        <v>7307</v>
      </c>
      <c r="I233" s="4" t="s">
        <v>4800</v>
      </c>
      <c r="J233" s="97" t="s">
        <v>115</v>
      </c>
      <c r="K233" s="88">
        <v>64500</v>
      </c>
      <c r="L233" s="97">
        <v>1633</v>
      </c>
      <c r="M233" s="97"/>
      <c r="N233" s="96" t="s">
        <v>115</v>
      </c>
      <c r="O233" s="96" t="s">
        <v>115</v>
      </c>
      <c r="P233" s="96">
        <v>200112</v>
      </c>
      <c r="Q233" s="97">
        <v>144</v>
      </c>
      <c r="R233" s="88">
        <v>6230</v>
      </c>
    </row>
    <row r="234" spans="1:18" x14ac:dyDescent="0.15">
      <c r="A234" s="97" t="s">
        <v>1</v>
      </c>
      <c r="B234" s="97">
        <v>1633</v>
      </c>
      <c r="C234" s="97" t="s">
        <v>115</v>
      </c>
      <c r="D234" s="97" t="s">
        <v>115</v>
      </c>
      <c r="E234" s="97">
        <v>2</v>
      </c>
      <c r="F234" s="97">
        <v>5</v>
      </c>
      <c r="G234" s="88" t="s">
        <v>115</v>
      </c>
      <c r="H234" s="4" t="s">
        <v>7307</v>
      </c>
      <c r="I234" s="97" t="s">
        <v>115</v>
      </c>
      <c r="J234" s="97">
        <v>20</v>
      </c>
      <c r="K234" s="88">
        <v>64500</v>
      </c>
      <c r="L234" s="97">
        <v>0</v>
      </c>
      <c r="M234" s="97"/>
      <c r="N234" s="96">
        <v>200115</v>
      </c>
      <c r="O234" s="96">
        <v>200116</v>
      </c>
      <c r="P234" s="96">
        <v>200113</v>
      </c>
      <c r="Q234" s="97">
        <v>144</v>
      </c>
      <c r="R234" s="88">
        <v>6230</v>
      </c>
    </row>
    <row r="235" spans="1:18" x14ac:dyDescent="0.15">
      <c r="A235" s="97" t="s">
        <v>1</v>
      </c>
      <c r="B235" s="97" t="s">
        <v>3871</v>
      </c>
      <c r="C235" s="97" t="s">
        <v>115</v>
      </c>
      <c r="D235" s="97">
        <v>3</v>
      </c>
      <c r="E235" s="97" t="s">
        <v>115</v>
      </c>
      <c r="F235" s="97" t="s">
        <v>115</v>
      </c>
      <c r="G235" s="88" t="s">
        <v>115</v>
      </c>
      <c r="H235" s="4" t="s">
        <v>7307</v>
      </c>
      <c r="I235" s="97" t="s">
        <v>115</v>
      </c>
      <c r="J235" s="97" t="s">
        <v>115</v>
      </c>
      <c r="K235" s="4">
        <v>65000</v>
      </c>
      <c r="L235" s="97">
        <v>1642</v>
      </c>
      <c r="M235" s="97"/>
      <c r="N235" s="96" t="s">
        <v>115</v>
      </c>
      <c r="O235" s="96" t="s">
        <v>115</v>
      </c>
      <c r="P235" s="96">
        <v>200111</v>
      </c>
      <c r="Q235" s="97">
        <v>112</v>
      </c>
      <c r="R235" s="88">
        <v>6230</v>
      </c>
    </row>
    <row r="236" spans="1:18" x14ac:dyDescent="0.15">
      <c r="A236" s="97" t="s">
        <v>1</v>
      </c>
      <c r="B236" s="97">
        <v>1642</v>
      </c>
      <c r="C236" s="97" t="s">
        <v>115</v>
      </c>
      <c r="D236" s="97" t="s">
        <v>115</v>
      </c>
      <c r="E236" s="97">
        <v>1</v>
      </c>
      <c r="F236" s="97">
        <v>5</v>
      </c>
      <c r="G236" s="88" t="s">
        <v>115</v>
      </c>
      <c r="H236" s="4" t="s">
        <v>7307</v>
      </c>
      <c r="I236" s="4" t="s">
        <v>4800</v>
      </c>
      <c r="J236" s="97" t="s">
        <v>115</v>
      </c>
      <c r="K236" s="88">
        <v>65000</v>
      </c>
      <c r="L236" s="97">
        <v>1643</v>
      </c>
      <c r="M236" s="97"/>
      <c r="N236" s="96" t="s">
        <v>115</v>
      </c>
      <c r="O236" s="96" t="s">
        <v>115</v>
      </c>
      <c r="P236" s="96">
        <v>200112</v>
      </c>
      <c r="Q236" s="97">
        <v>112</v>
      </c>
      <c r="R236" s="88">
        <v>6230</v>
      </c>
    </row>
    <row r="237" spans="1:18" x14ac:dyDescent="0.15">
      <c r="A237" s="97" t="s">
        <v>1</v>
      </c>
      <c r="B237" s="97">
        <v>1643</v>
      </c>
      <c r="C237" s="97" t="s">
        <v>115</v>
      </c>
      <c r="D237" s="97" t="s">
        <v>115</v>
      </c>
      <c r="E237" s="97">
        <v>2</v>
      </c>
      <c r="F237" s="97">
        <v>5</v>
      </c>
      <c r="G237" s="88" t="s">
        <v>115</v>
      </c>
      <c r="H237" s="4" t="s">
        <v>7307</v>
      </c>
      <c r="I237" s="97" t="s">
        <v>115</v>
      </c>
      <c r="J237" s="97">
        <v>20</v>
      </c>
      <c r="K237" s="88">
        <v>65000</v>
      </c>
      <c r="L237" s="97">
        <v>0</v>
      </c>
      <c r="M237" s="97"/>
      <c r="N237" s="96">
        <v>200115</v>
      </c>
      <c r="O237" s="96">
        <v>200116</v>
      </c>
      <c r="P237" s="96">
        <v>200113</v>
      </c>
      <c r="Q237" s="97">
        <v>112</v>
      </c>
      <c r="R237" s="88">
        <v>6230</v>
      </c>
    </row>
    <row r="238" spans="1:18" x14ac:dyDescent="0.15">
      <c r="A238" s="97" t="s">
        <v>1</v>
      </c>
      <c r="B238" s="97" t="s">
        <v>3872</v>
      </c>
      <c r="C238" s="97" t="s">
        <v>115</v>
      </c>
      <c r="D238" s="97">
        <v>3</v>
      </c>
      <c r="E238" s="97" t="s">
        <v>115</v>
      </c>
      <c r="F238" s="97" t="s">
        <v>115</v>
      </c>
      <c r="G238" s="88" t="s">
        <v>115</v>
      </c>
      <c r="H238" s="4" t="s">
        <v>7307</v>
      </c>
      <c r="I238" s="97" t="s">
        <v>115</v>
      </c>
      <c r="J238" s="97" t="s">
        <v>115</v>
      </c>
      <c r="K238" s="4">
        <v>65500</v>
      </c>
      <c r="L238" s="97">
        <v>1652</v>
      </c>
      <c r="M238" s="97"/>
      <c r="N238" s="96" t="s">
        <v>115</v>
      </c>
      <c r="O238" s="96" t="s">
        <v>115</v>
      </c>
      <c r="P238" s="96">
        <v>200111</v>
      </c>
      <c r="Q238" s="97">
        <v>198</v>
      </c>
      <c r="R238" s="88">
        <v>6230</v>
      </c>
    </row>
    <row r="239" spans="1:18" x14ac:dyDescent="0.15">
      <c r="A239" s="97" t="s">
        <v>1</v>
      </c>
      <c r="B239" s="97">
        <v>1652</v>
      </c>
      <c r="C239" s="97" t="s">
        <v>115</v>
      </c>
      <c r="D239" s="97" t="s">
        <v>115</v>
      </c>
      <c r="E239" s="97">
        <v>1</v>
      </c>
      <c r="F239" s="97">
        <v>5</v>
      </c>
      <c r="G239" s="88" t="s">
        <v>115</v>
      </c>
      <c r="H239" s="4" t="s">
        <v>7307</v>
      </c>
      <c r="I239" s="4" t="s">
        <v>4800</v>
      </c>
      <c r="J239" s="97" t="s">
        <v>115</v>
      </c>
      <c r="K239" s="88">
        <v>65500</v>
      </c>
      <c r="L239" s="97">
        <v>1653</v>
      </c>
      <c r="M239" s="97"/>
      <c r="N239" s="96" t="s">
        <v>115</v>
      </c>
      <c r="O239" s="96" t="s">
        <v>115</v>
      </c>
      <c r="P239" s="96">
        <v>200112</v>
      </c>
      <c r="Q239" s="97">
        <v>198</v>
      </c>
      <c r="R239" s="88">
        <v>6230</v>
      </c>
    </row>
    <row r="240" spans="1:18" x14ac:dyDescent="0.15">
      <c r="A240" s="97" t="s">
        <v>1</v>
      </c>
      <c r="B240" s="97">
        <v>1653</v>
      </c>
      <c r="C240" s="97" t="s">
        <v>115</v>
      </c>
      <c r="D240" s="97" t="s">
        <v>115</v>
      </c>
      <c r="E240" s="97">
        <v>2</v>
      </c>
      <c r="F240" s="97">
        <v>5</v>
      </c>
      <c r="G240" s="88" t="s">
        <v>115</v>
      </c>
      <c r="H240" s="4" t="s">
        <v>7307</v>
      </c>
      <c r="I240" s="97" t="s">
        <v>115</v>
      </c>
      <c r="J240" s="97">
        <v>20</v>
      </c>
      <c r="K240" s="88">
        <v>65500</v>
      </c>
      <c r="L240" s="97">
        <v>0</v>
      </c>
      <c r="M240" s="97"/>
      <c r="N240" s="96">
        <v>200115</v>
      </c>
      <c r="O240" s="96">
        <v>200116</v>
      </c>
      <c r="P240" s="96">
        <v>200113</v>
      </c>
      <c r="Q240" s="97">
        <v>198</v>
      </c>
      <c r="R240" s="88">
        <v>6230</v>
      </c>
    </row>
    <row r="241" spans="1:18" x14ac:dyDescent="0.15">
      <c r="A241" s="97" t="s">
        <v>1</v>
      </c>
      <c r="B241" s="97" t="s">
        <v>3873</v>
      </c>
      <c r="C241" s="97" t="s">
        <v>115</v>
      </c>
      <c r="D241" s="97">
        <v>3</v>
      </c>
      <c r="E241" s="97" t="s">
        <v>115</v>
      </c>
      <c r="F241" s="97" t="s">
        <v>115</v>
      </c>
      <c r="G241" s="88" t="s">
        <v>115</v>
      </c>
      <c r="H241" s="4" t="s">
        <v>7307</v>
      </c>
      <c r="I241" s="97" t="s">
        <v>115</v>
      </c>
      <c r="J241" s="97" t="s">
        <v>115</v>
      </c>
      <c r="K241" s="4">
        <v>66000</v>
      </c>
      <c r="L241" s="97">
        <v>1662</v>
      </c>
      <c r="M241" s="97"/>
      <c r="N241" s="96" t="s">
        <v>115</v>
      </c>
      <c r="O241" s="96" t="s">
        <v>115</v>
      </c>
      <c r="P241" s="96">
        <v>200111</v>
      </c>
      <c r="Q241" s="97">
        <v>198</v>
      </c>
      <c r="R241" s="88">
        <v>6230</v>
      </c>
    </row>
    <row r="242" spans="1:18" x14ac:dyDescent="0.15">
      <c r="A242" s="97" t="s">
        <v>1</v>
      </c>
      <c r="B242" s="97">
        <v>1662</v>
      </c>
      <c r="C242" s="97" t="s">
        <v>115</v>
      </c>
      <c r="D242" s="97" t="s">
        <v>115</v>
      </c>
      <c r="E242" s="97">
        <v>1</v>
      </c>
      <c r="F242" s="97">
        <v>5</v>
      </c>
      <c r="G242" s="88" t="s">
        <v>115</v>
      </c>
      <c r="H242" s="4" t="s">
        <v>7307</v>
      </c>
      <c r="I242" s="4" t="s">
        <v>4800</v>
      </c>
      <c r="J242" s="97" t="s">
        <v>115</v>
      </c>
      <c r="K242" s="88">
        <v>66000</v>
      </c>
      <c r="L242" s="97">
        <v>1663</v>
      </c>
      <c r="M242" s="97"/>
      <c r="N242" s="96" t="s">
        <v>115</v>
      </c>
      <c r="O242" s="96" t="s">
        <v>115</v>
      </c>
      <c r="P242" s="96">
        <v>200112</v>
      </c>
      <c r="Q242" s="97">
        <v>198</v>
      </c>
      <c r="R242" s="88">
        <v>6230</v>
      </c>
    </row>
    <row r="243" spans="1:18" x14ac:dyDescent="0.15">
      <c r="A243" s="97" t="s">
        <v>1</v>
      </c>
      <c r="B243" s="97">
        <v>1663</v>
      </c>
      <c r="C243" s="97" t="s">
        <v>115</v>
      </c>
      <c r="D243" s="97" t="s">
        <v>115</v>
      </c>
      <c r="E243" s="97">
        <v>2</v>
      </c>
      <c r="F243" s="97">
        <v>5</v>
      </c>
      <c r="G243" s="88" t="s">
        <v>115</v>
      </c>
      <c r="H243" s="4" t="s">
        <v>7307</v>
      </c>
      <c r="I243" s="97" t="s">
        <v>115</v>
      </c>
      <c r="J243" s="97">
        <v>20</v>
      </c>
      <c r="K243" s="88">
        <v>66000</v>
      </c>
      <c r="L243" s="97">
        <v>0</v>
      </c>
      <c r="M243" s="97"/>
      <c r="N243" s="96">
        <v>200115</v>
      </c>
      <c r="O243" s="96">
        <v>200116</v>
      </c>
      <c r="P243" s="96">
        <v>200113</v>
      </c>
      <c r="Q243" s="97">
        <v>198</v>
      </c>
      <c r="R243" s="88">
        <v>6230</v>
      </c>
    </row>
    <row r="244" spans="1:18" x14ac:dyDescent="0.15">
      <c r="A244" s="97" t="s">
        <v>1</v>
      </c>
      <c r="B244" s="97" t="s">
        <v>3874</v>
      </c>
      <c r="C244" s="97" t="s">
        <v>115</v>
      </c>
      <c r="D244" s="97">
        <v>3</v>
      </c>
      <c r="E244" s="97" t="s">
        <v>115</v>
      </c>
      <c r="F244" s="97" t="s">
        <v>115</v>
      </c>
      <c r="G244" s="88" t="s">
        <v>115</v>
      </c>
      <c r="H244" s="4" t="s">
        <v>7307</v>
      </c>
      <c r="I244" s="97" t="s">
        <v>115</v>
      </c>
      <c r="J244" s="97" t="s">
        <v>115</v>
      </c>
      <c r="K244" s="4">
        <v>66500</v>
      </c>
      <c r="L244" s="97">
        <v>1672</v>
      </c>
      <c r="M244" s="97"/>
      <c r="N244" s="96" t="s">
        <v>115</v>
      </c>
      <c r="O244" s="96" t="s">
        <v>115</v>
      </c>
      <c r="P244" s="96">
        <v>200111</v>
      </c>
      <c r="Q244" s="97">
        <v>143</v>
      </c>
      <c r="R244" s="88">
        <v>6230</v>
      </c>
    </row>
    <row r="245" spans="1:18" x14ac:dyDescent="0.15">
      <c r="A245" s="97" t="s">
        <v>1</v>
      </c>
      <c r="B245" s="97">
        <v>1672</v>
      </c>
      <c r="C245" s="97" t="s">
        <v>115</v>
      </c>
      <c r="D245" s="97" t="s">
        <v>115</v>
      </c>
      <c r="E245" s="97">
        <v>1</v>
      </c>
      <c r="F245" s="97">
        <v>5</v>
      </c>
      <c r="G245" s="88" t="s">
        <v>115</v>
      </c>
      <c r="H245" s="4" t="s">
        <v>7307</v>
      </c>
      <c r="I245" s="4" t="s">
        <v>4800</v>
      </c>
      <c r="J245" s="97" t="s">
        <v>115</v>
      </c>
      <c r="K245" s="88">
        <v>66500</v>
      </c>
      <c r="L245" s="97">
        <v>1673</v>
      </c>
      <c r="M245" s="97"/>
      <c r="N245" s="96" t="s">
        <v>115</v>
      </c>
      <c r="O245" s="96" t="s">
        <v>115</v>
      </c>
      <c r="P245" s="96">
        <v>200112</v>
      </c>
      <c r="Q245" s="97">
        <v>143</v>
      </c>
      <c r="R245" s="88">
        <v>6230</v>
      </c>
    </row>
    <row r="246" spans="1:18" x14ac:dyDescent="0.15">
      <c r="A246" s="97" t="s">
        <v>1</v>
      </c>
      <c r="B246" s="97">
        <v>1673</v>
      </c>
      <c r="C246" s="97" t="s">
        <v>115</v>
      </c>
      <c r="D246" s="97" t="s">
        <v>115</v>
      </c>
      <c r="E246" s="97">
        <v>2</v>
      </c>
      <c r="F246" s="97">
        <v>5</v>
      </c>
      <c r="G246" s="88" t="s">
        <v>115</v>
      </c>
      <c r="H246" s="4" t="s">
        <v>7307</v>
      </c>
      <c r="I246" s="97" t="s">
        <v>115</v>
      </c>
      <c r="J246" s="97">
        <v>20</v>
      </c>
      <c r="K246" s="88">
        <v>66500</v>
      </c>
      <c r="L246" s="97">
        <v>0</v>
      </c>
      <c r="M246" s="97"/>
      <c r="N246" s="96">
        <v>200115</v>
      </c>
      <c r="O246" s="96">
        <v>200116</v>
      </c>
      <c r="P246" s="96">
        <v>200113</v>
      </c>
      <c r="Q246" s="97">
        <v>143</v>
      </c>
      <c r="R246" s="88">
        <v>6230</v>
      </c>
    </row>
    <row r="247" spans="1:18" x14ac:dyDescent="0.15">
      <c r="A247" s="97" t="s">
        <v>1</v>
      </c>
      <c r="B247" s="97" t="s">
        <v>3875</v>
      </c>
      <c r="C247" s="97" t="s">
        <v>115</v>
      </c>
      <c r="D247" s="97">
        <v>3</v>
      </c>
      <c r="E247" s="97" t="s">
        <v>115</v>
      </c>
      <c r="F247" s="97" t="s">
        <v>115</v>
      </c>
      <c r="G247" s="88" t="s">
        <v>115</v>
      </c>
      <c r="H247" s="4" t="s">
        <v>7307</v>
      </c>
      <c r="I247" s="97" t="s">
        <v>115</v>
      </c>
      <c r="J247" s="97" t="s">
        <v>115</v>
      </c>
      <c r="K247" s="4">
        <v>67000</v>
      </c>
      <c r="L247" s="97">
        <v>1682</v>
      </c>
      <c r="M247" s="97"/>
      <c r="N247" s="96" t="s">
        <v>115</v>
      </c>
      <c r="O247" s="96" t="s">
        <v>115</v>
      </c>
      <c r="P247" s="96">
        <v>200111</v>
      </c>
      <c r="Q247" s="97">
        <v>143</v>
      </c>
      <c r="R247" s="88">
        <v>6230</v>
      </c>
    </row>
    <row r="248" spans="1:18" x14ac:dyDescent="0.15">
      <c r="A248" s="97" t="s">
        <v>1</v>
      </c>
      <c r="B248" s="97">
        <v>1682</v>
      </c>
      <c r="C248" s="97" t="s">
        <v>115</v>
      </c>
      <c r="D248" s="97" t="s">
        <v>115</v>
      </c>
      <c r="E248" s="97">
        <v>1</v>
      </c>
      <c r="F248" s="97">
        <v>5</v>
      </c>
      <c r="G248" s="88" t="s">
        <v>115</v>
      </c>
      <c r="H248" s="4" t="s">
        <v>7307</v>
      </c>
      <c r="I248" s="4" t="s">
        <v>4800</v>
      </c>
      <c r="J248" s="97" t="s">
        <v>115</v>
      </c>
      <c r="K248" s="88">
        <v>67000</v>
      </c>
      <c r="L248" s="97">
        <v>1683</v>
      </c>
      <c r="M248" s="97"/>
      <c r="N248" s="96" t="s">
        <v>115</v>
      </c>
      <c r="O248" s="96" t="s">
        <v>115</v>
      </c>
      <c r="P248" s="96">
        <v>200112</v>
      </c>
      <c r="Q248" s="97">
        <v>143</v>
      </c>
      <c r="R248" s="88">
        <v>6230</v>
      </c>
    </row>
    <row r="249" spans="1:18" x14ac:dyDescent="0.15">
      <c r="A249" s="97" t="s">
        <v>1</v>
      </c>
      <c r="B249" s="97">
        <v>1683</v>
      </c>
      <c r="C249" s="97" t="s">
        <v>115</v>
      </c>
      <c r="D249" s="97" t="s">
        <v>115</v>
      </c>
      <c r="E249" s="97">
        <v>2</v>
      </c>
      <c r="F249" s="97">
        <v>5</v>
      </c>
      <c r="G249" s="88" t="s">
        <v>115</v>
      </c>
      <c r="H249" s="4" t="s">
        <v>7307</v>
      </c>
      <c r="I249" s="97" t="s">
        <v>115</v>
      </c>
      <c r="J249" s="97">
        <v>20</v>
      </c>
      <c r="K249" s="88">
        <v>67000</v>
      </c>
      <c r="L249" s="97">
        <v>0</v>
      </c>
      <c r="M249" s="97"/>
      <c r="N249" s="96">
        <v>200115</v>
      </c>
      <c r="O249" s="96">
        <v>200116</v>
      </c>
      <c r="P249" s="96">
        <v>200113</v>
      </c>
      <c r="Q249" s="97">
        <v>143</v>
      </c>
      <c r="R249" s="88">
        <v>6230</v>
      </c>
    </row>
    <row r="250" spans="1:18" s="97" customFormat="1" x14ac:dyDescent="0.15">
      <c r="A250" s="96" t="s">
        <v>1</v>
      </c>
      <c r="B250" s="96" t="s">
        <v>4677</v>
      </c>
      <c r="C250" s="96" t="s">
        <v>115</v>
      </c>
      <c r="D250" s="96">
        <v>3</v>
      </c>
      <c r="E250" s="96" t="s">
        <v>115</v>
      </c>
      <c r="F250" s="96" t="s">
        <v>115</v>
      </c>
      <c r="G250" s="97" t="s">
        <v>115</v>
      </c>
      <c r="H250" s="4" t="s">
        <v>7307</v>
      </c>
      <c r="I250" s="97" t="s">
        <v>115</v>
      </c>
      <c r="J250" s="97" t="s">
        <v>115</v>
      </c>
      <c r="K250" s="4">
        <v>66000</v>
      </c>
      <c r="L250" s="97">
        <v>1712</v>
      </c>
      <c r="N250" s="97" t="s">
        <v>115</v>
      </c>
      <c r="O250" s="97" t="s">
        <v>115</v>
      </c>
      <c r="P250" s="97">
        <v>200111</v>
      </c>
      <c r="Q250" s="97">
        <v>198</v>
      </c>
      <c r="R250" s="96">
        <v>6230</v>
      </c>
    </row>
    <row r="251" spans="1:18" s="97" customFormat="1" x14ac:dyDescent="0.15">
      <c r="A251" s="96" t="s">
        <v>1</v>
      </c>
      <c r="B251" s="96">
        <v>1712</v>
      </c>
      <c r="C251" s="96" t="s">
        <v>115</v>
      </c>
      <c r="D251" s="96" t="s">
        <v>115</v>
      </c>
      <c r="E251" s="96">
        <v>1</v>
      </c>
      <c r="F251" s="96">
        <v>5</v>
      </c>
      <c r="G251" s="97" t="s">
        <v>115</v>
      </c>
      <c r="H251" s="4" t="s">
        <v>7307</v>
      </c>
      <c r="I251" s="97" t="s">
        <v>4800</v>
      </c>
      <c r="J251" s="97" t="s">
        <v>115</v>
      </c>
      <c r="K251" s="96">
        <v>66000</v>
      </c>
      <c r="L251" s="97">
        <v>1713</v>
      </c>
      <c r="N251" s="97" t="s">
        <v>115</v>
      </c>
      <c r="O251" s="97" t="s">
        <v>115</v>
      </c>
      <c r="P251" s="97">
        <v>200112</v>
      </c>
      <c r="Q251" s="97">
        <v>198</v>
      </c>
      <c r="R251" s="96">
        <v>6230</v>
      </c>
    </row>
    <row r="252" spans="1:18" s="97" customFormat="1" x14ac:dyDescent="0.15">
      <c r="A252" s="96" t="s">
        <v>1</v>
      </c>
      <c r="B252" s="96">
        <v>1713</v>
      </c>
      <c r="C252" s="96" t="s">
        <v>115</v>
      </c>
      <c r="D252" s="96" t="s">
        <v>115</v>
      </c>
      <c r="E252" s="96">
        <v>2</v>
      </c>
      <c r="F252" s="96">
        <v>5</v>
      </c>
      <c r="G252" s="97" t="s">
        <v>115</v>
      </c>
      <c r="H252" s="4" t="s">
        <v>7307</v>
      </c>
      <c r="I252" s="97" t="s">
        <v>115</v>
      </c>
      <c r="J252" s="97">
        <v>20</v>
      </c>
      <c r="K252" s="96">
        <v>66000</v>
      </c>
      <c r="L252" s="97">
        <v>0</v>
      </c>
      <c r="N252" s="97">
        <v>200115</v>
      </c>
      <c r="O252" s="97">
        <v>200116</v>
      </c>
      <c r="P252" s="97">
        <v>200113</v>
      </c>
      <c r="Q252" s="97">
        <v>198</v>
      </c>
      <c r="R252" s="96">
        <v>6230</v>
      </c>
    </row>
    <row r="253" spans="1:18" s="97" customFormat="1" x14ac:dyDescent="0.15">
      <c r="A253" s="96" t="s">
        <v>1</v>
      </c>
      <c r="B253" s="96" t="s">
        <v>4678</v>
      </c>
      <c r="C253" s="96" t="s">
        <v>115</v>
      </c>
      <c r="D253" s="96">
        <v>3</v>
      </c>
      <c r="E253" s="96" t="s">
        <v>115</v>
      </c>
      <c r="F253" s="96" t="s">
        <v>115</v>
      </c>
      <c r="G253" s="97" t="s">
        <v>115</v>
      </c>
      <c r="H253" s="4" t="s">
        <v>7307</v>
      </c>
      <c r="I253" s="97" t="s">
        <v>115</v>
      </c>
      <c r="J253" s="97" t="s">
        <v>115</v>
      </c>
      <c r="K253" s="4">
        <v>66500</v>
      </c>
      <c r="L253" s="97">
        <v>1722</v>
      </c>
      <c r="N253" s="97" t="s">
        <v>115</v>
      </c>
      <c r="O253" s="97" t="s">
        <v>115</v>
      </c>
      <c r="P253" s="97">
        <v>200111</v>
      </c>
      <c r="Q253" s="97">
        <v>140</v>
      </c>
      <c r="R253" s="96">
        <v>6230</v>
      </c>
    </row>
    <row r="254" spans="1:18" s="97" customFormat="1" x14ac:dyDescent="0.15">
      <c r="A254" s="96" t="s">
        <v>1</v>
      </c>
      <c r="B254" s="96">
        <v>1722</v>
      </c>
      <c r="C254" s="96" t="s">
        <v>115</v>
      </c>
      <c r="D254" s="96" t="s">
        <v>115</v>
      </c>
      <c r="E254" s="96">
        <v>1</v>
      </c>
      <c r="F254" s="96">
        <v>5</v>
      </c>
      <c r="G254" s="97" t="s">
        <v>115</v>
      </c>
      <c r="H254" s="4" t="s">
        <v>7307</v>
      </c>
      <c r="I254" s="97" t="s">
        <v>4800</v>
      </c>
      <c r="J254" s="97" t="s">
        <v>115</v>
      </c>
      <c r="K254" s="88">
        <v>66500</v>
      </c>
      <c r="L254" s="97">
        <v>1723</v>
      </c>
      <c r="N254" s="97" t="s">
        <v>115</v>
      </c>
      <c r="O254" s="97" t="s">
        <v>115</v>
      </c>
      <c r="P254" s="97">
        <v>200112</v>
      </c>
      <c r="Q254" s="97">
        <v>140</v>
      </c>
      <c r="R254" s="96">
        <v>6230</v>
      </c>
    </row>
    <row r="255" spans="1:18" s="97" customFormat="1" x14ac:dyDescent="0.15">
      <c r="A255" s="96" t="s">
        <v>1</v>
      </c>
      <c r="B255" s="96">
        <v>1723</v>
      </c>
      <c r="C255" s="96" t="s">
        <v>115</v>
      </c>
      <c r="D255" s="96" t="s">
        <v>115</v>
      </c>
      <c r="E255" s="96">
        <v>2</v>
      </c>
      <c r="F255" s="96">
        <v>5</v>
      </c>
      <c r="G255" s="97" t="s">
        <v>115</v>
      </c>
      <c r="H255" s="4" t="s">
        <v>7307</v>
      </c>
      <c r="I255" s="97" t="s">
        <v>115</v>
      </c>
      <c r="J255" s="97">
        <v>20</v>
      </c>
      <c r="K255" s="88">
        <v>66500</v>
      </c>
      <c r="L255" s="97">
        <v>0</v>
      </c>
      <c r="N255" s="97">
        <v>200115</v>
      </c>
      <c r="O255" s="97">
        <v>200116</v>
      </c>
      <c r="P255" s="97">
        <v>200113</v>
      </c>
      <c r="Q255" s="97">
        <v>140</v>
      </c>
      <c r="R255" s="96">
        <v>6230</v>
      </c>
    </row>
    <row r="256" spans="1:18" s="97" customFormat="1" x14ac:dyDescent="0.15">
      <c r="A256" s="96" t="s">
        <v>1</v>
      </c>
      <c r="B256" s="96" t="s">
        <v>4679</v>
      </c>
      <c r="C256" s="96" t="s">
        <v>115</v>
      </c>
      <c r="D256" s="96">
        <v>3</v>
      </c>
      <c r="E256" s="96" t="s">
        <v>115</v>
      </c>
      <c r="F256" s="96" t="s">
        <v>115</v>
      </c>
      <c r="G256" s="97" t="s">
        <v>115</v>
      </c>
      <c r="H256" s="4" t="s">
        <v>7307</v>
      </c>
      <c r="I256" s="97" t="s">
        <v>115</v>
      </c>
      <c r="J256" s="97" t="s">
        <v>115</v>
      </c>
      <c r="K256" s="4">
        <v>67000</v>
      </c>
      <c r="L256" s="97">
        <v>1732</v>
      </c>
      <c r="N256" s="97" t="s">
        <v>115</v>
      </c>
      <c r="O256" s="97" t="s">
        <v>115</v>
      </c>
      <c r="P256" s="97">
        <v>200111</v>
      </c>
      <c r="Q256" s="97">
        <v>140</v>
      </c>
      <c r="R256" s="96">
        <v>6230</v>
      </c>
    </row>
    <row r="257" spans="1:18" s="97" customFormat="1" x14ac:dyDescent="0.15">
      <c r="A257" s="96" t="s">
        <v>1</v>
      </c>
      <c r="B257" s="96">
        <v>1732</v>
      </c>
      <c r="C257" s="96" t="s">
        <v>115</v>
      </c>
      <c r="D257" s="96" t="s">
        <v>115</v>
      </c>
      <c r="E257" s="96">
        <v>1</v>
      </c>
      <c r="F257" s="96">
        <v>5</v>
      </c>
      <c r="G257" s="97" t="s">
        <v>115</v>
      </c>
      <c r="H257" s="4" t="s">
        <v>7307</v>
      </c>
      <c r="I257" s="97" t="s">
        <v>4800</v>
      </c>
      <c r="J257" s="97" t="s">
        <v>115</v>
      </c>
      <c r="K257" s="96">
        <v>67000</v>
      </c>
      <c r="L257" s="97">
        <v>1733</v>
      </c>
      <c r="N257" s="97" t="s">
        <v>115</v>
      </c>
      <c r="O257" s="97" t="s">
        <v>115</v>
      </c>
      <c r="P257" s="97">
        <v>200112</v>
      </c>
      <c r="Q257" s="97">
        <v>140</v>
      </c>
      <c r="R257" s="96">
        <v>6230</v>
      </c>
    </row>
    <row r="258" spans="1:18" s="97" customFormat="1" x14ac:dyDescent="0.15">
      <c r="A258" s="96" t="s">
        <v>1</v>
      </c>
      <c r="B258" s="96">
        <v>1733</v>
      </c>
      <c r="C258" s="96" t="s">
        <v>115</v>
      </c>
      <c r="D258" s="96" t="s">
        <v>115</v>
      </c>
      <c r="E258" s="96">
        <v>2</v>
      </c>
      <c r="F258" s="96">
        <v>5</v>
      </c>
      <c r="G258" s="97" t="s">
        <v>115</v>
      </c>
      <c r="H258" s="4" t="s">
        <v>7307</v>
      </c>
      <c r="I258" s="97" t="s">
        <v>115</v>
      </c>
      <c r="J258" s="97">
        <v>20</v>
      </c>
      <c r="K258" s="96">
        <v>67000</v>
      </c>
      <c r="L258" s="97">
        <v>0</v>
      </c>
      <c r="N258" s="97">
        <v>200115</v>
      </c>
      <c r="O258" s="97">
        <v>200116</v>
      </c>
      <c r="P258" s="97">
        <v>200113</v>
      </c>
      <c r="Q258" s="97">
        <v>140</v>
      </c>
      <c r="R258" s="96">
        <v>6230</v>
      </c>
    </row>
    <row r="259" spans="1:18" s="97" customFormat="1" x14ac:dyDescent="0.15">
      <c r="A259" s="96" t="s">
        <v>1</v>
      </c>
      <c r="B259" s="96" t="s">
        <v>4680</v>
      </c>
      <c r="C259" s="96" t="s">
        <v>115</v>
      </c>
      <c r="D259" s="96">
        <v>3</v>
      </c>
      <c r="E259" s="96" t="s">
        <v>115</v>
      </c>
      <c r="F259" s="96" t="s">
        <v>115</v>
      </c>
      <c r="G259" s="97" t="s">
        <v>115</v>
      </c>
      <c r="H259" s="4" t="s">
        <v>7307</v>
      </c>
      <c r="I259" s="97" t="s">
        <v>115</v>
      </c>
      <c r="J259" s="97" t="s">
        <v>115</v>
      </c>
      <c r="K259" s="4">
        <v>67500</v>
      </c>
      <c r="L259" s="97">
        <v>1742</v>
      </c>
      <c r="N259" s="97" t="s">
        <v>115</v>
      </c>
      <c r="O259" s="97" t="s">
        <v>115</v>
      </c>
      <c r="P259" s="97">
        <v>200111</v>
      </c>
      <c r="Q259" s="97">
        <v>140</v>
      </c>
      <c r="R259" s="96">
        <v>6230</v>
      </c>
    </row>
    <row r="260" spans="1:18" s="97" customFormat="1" x14ac:dyDescent="0.15">
      <c r="A260" s="96" t="s">
        <v>1</v>
      </c>
      <c r="B260" s="96">
        <v>1742</v>
      </c>
      <c r="C260" s="96" t="s">
        <v>115</v>
      </c>
      <c r="D260" s="96" t="s">
        <v>115</v>
      </c>
      <c r="E260" s="96">
        <v>1</v>
      </c>
      <c r="F260" s="96">
        <v>5</v>
      </c>
      <c r="G260" s="97" t="s">
        <v>115</v>
      </c>
      <c r="H260" s="4" t="s">
        <v>7307</v>
      </c>
      <c r="I260" s="97" t="s">
        <v>4800</v>
      </c>
      <c r="J260" s="97" t="s">
        <v>115</v>
      </c>
      <c r="K260" s="96">
        <v>67500</v>
      </c>
      <c r="L260" s="97">
        <v>1743</v>
      </c>
      <c r="N260" s="97" t="s">
        <v>115</v>
      </c>
      <c r="O260" s="97" t="s">
        <v>115</v>
      </c>
      <c r="P260" s="97">
        <v>200112</v>
      </c>
      <c r="Q260" s="97">
        <v>140</v>
      </c>
      <c r="R260" s="96">
        <v>6230</v>
      </c>
    </row>
    <row r="261" spans="1:18" s="97" customFormat="1" x14ac:dyDescent="0.15">
      <c r="A261" s="96" t="s">
        <v>1</v>
      </c>
      <c r="B261" s="96">
        <v>1743</v>
      </c>
      <c r="C261" s="96" t="s">
        <v>115</v>
      </c>
      <c r="D261" s="96" t="s">
        <v>115</v>
      </c>
      <c r="E261" s="96">
        <v>2</v>
      </c>
      <c r="F261" s="96">
        <v>5</v>
      </c>
      <c r="G261" s="97" t="s">
        <v>115</v>
      </c>
      <c r="H261" s="4" t="s">
        <v>7307</v>
      </c>
      <c r="I261" s="97" t="s">
        <v>115</v>
      </c>
      <c r="J261" s="97">
        <v>20</v>
      </c>
      <c r="K261" s="88">
        <v>67500</v>
      </c>
      <c r="L261" s="97">
        <v>0</v>
      </c>
      <c r="N261" s="97">
        <v>200115</v>
      </c>
      <c r="O261" s="97">
        <v>200116</v>
      </c>
      <c r="P261" s="97">
        <v>200113</v>
      </c>
      <c r="Q261" s="97">
        <v>140</v>
      </c>
      <c r="R261" s="96">
        <v>6230</v>
      </c>
    </row>
    <row r="262" spans="1:18" s="97" customFormat="1" x14ac:dyDescent="0.15">
      <c r="A262" s="96" t="s">
        <v>1</v>
      </c>
      <c r="B262" s="96" t="s">
        <v>4681</v>
      </c>
      <c r="C262" s="96" t="s">
        <v>115</v>
      </c>
      <c r="D262" s="96">
        <v>3</v>
      </c>
      <c r="E262" s="96" t="s">
        <v>115</v>
      </c>
      <c r="F262" s="96" t="s">
        <v>115</v>
      </c>
      <c r="G262" s="97" t="s">
        <v>115</v>
      </c>
      <c r="H262" s="4" t="s">
        <v>7307</v>
      </c>
      <c r="I262" s="97" t="s">
        <v>115</v>
      </c>
      <c r="J262" s="97" t="s">
        <v>115</v>
      </c>
      <c r="K262" s="4">
        <v>65000</v>
      </c>
      <c r="L262" s="97">
        <v>1812</v>
      </c>
      <c r="N262" s="97" t="s">
        <v>115</v>
      </c>
      <c r="O262" s="97" t="s">
        <v>115</v>
      </c>
      <c r="P262" s="97">
        <v>200111</v>
      </c>
      <c r="Q262" s="97">
        <v>192</v>
      </c>
      <c r="R262" s="96">
        <v>6230</v>
      </c>
    </row>
    <row r="263" spans="1:18" s="97" customFormat="1" x14ac:dyDescent="0.15">
      <c r="A263" s="96" t="s">
        <v>1</v>
      </c>
      <c r="B263" s="96">
        <v>1812</v>
      </c>
      <c r="C263" s="96" t="s">
        <v>115</v>
      </c>
      <c r="D263" s="96" t="s">
        <v>115</v>
      </c>
      <c r="E263" s="96">
        <v>1</v>
      </c>
      <c r="F263" s="96">
        <v>5</v>
      </c>
      <c r="G263" s="97" t="s">
        <v>115</v>
      </c>
      <c r="H263" s="4" t="s">
        <v>7307</v>
      </c>
      <c r="I263" s="97" t="s">
        <v>4800</v>
      </c>
      <c r="J263" s="97" t="s">
        <v>115</v>
      </c>
      <c r="K263" s="96">
        <v>65000</v>
      </c>
      <c r="L263" s="97">
        <v>1813</v>
      </c>
      <c r="N263" s="97" t="s">
        <v>115</v>
      </c>
      <c r="O263" s="97" t="s">
        <v>115</v>
      </c>
      <c r="P263" s="97">
        <v>200112</v>
      </c>
      <c r="Q263" s="97">
        <v>192</v>
      </c>
      <c r="R263" s="96">
        <v>6230</v>
      </c>
    </row>
    <row r="264" spans="1:18" s="97" customFormat="1" x14ac:dyDescent="0.15">
      <c r="A264" s="96" t="s">
        <v>1</v>
      </c>
      <c r="B264" s="96">
        <v>1813</v>
      </c>
      <c r="C264" s="96" t="s">
        <v>115</v>
      </c>
      <c r="D264" s="96" t="s">
        <v>115</v>
      </c>
      <c r="E264" s="96">
        <v>2</v>
      </c>
      <c r="F264" s="96">
        <v>5</v>
      </c>
      <c r="G264" s="97" t="s">
        <v>115</v>
      </c>
      <c r="H264" s="4" t="s">
        <v>7307</v>
      </c>
      <c r="I264" s="97" t="s">
        <v>115</v>
      </c>
      <c r="J264" s="97">
        <v>20</v>
      </c>
      <c r="K264" s="96">
        <v>65000</v>
      </c>
      <c r="L264" s="97">
        <v>0</v>
      </c>
      <c r="N264" s="97">
        <v>200115</v>
      </c>
      <c r="O264" s="97">
        <v>200116</v>
      </c>
      <c r="P264" s="97">
        <v>200113</v>
      </c>
      <c r="Q264" s="97">
        <v>192</v>
      </c>
      <c r="R264" s="96">
        <v>6230</v>
      </c>
    </row>
    <row r="265" spans="1:18" s="97" customFormat="1" x14ac:dyDescent="0.15">
      <c r="A265" s="96" t="s">
        <v>1</v>
      </c>
      <c r="B265" s="96" t="s">
        <v>4682</v>
      </c>
      <c r="C265" s="96" t="s">
        <v>115</v>
      </c>
      <c r="D265" s="96">
        <v>3</v>
      </c>
      <c r="E265" s="96" t="s">
        <v>115</v>
      </c>
      <c r="F265" s="96" t="s">
        <v>115</v>
      </c>
      <c r="G265" s="97" t="s">
        <v>115</v>
      </c>
      <c r="H265" s="4" t="s">
        <v>7307</v>
      </c>
      <c r="I265" s="97" t="s">
        <v>115</v>
      </c>
      <c r="J265" s="97" t="s">
        <v>115</v>
      </c>
      <c r="K265" s="4">
        <v>65500</v>
      </c>
      <c r="L265" s="97">
        <v>1822</v>
      </c>
      <c r="N265" s="97" t="s">
        <v>115</v>
      </c>
      <c r="O265" s="97" t="s">
        <v>115</v>
      </c>
      <c r="P265" s="97">
        <v>200111</v>
      </c>
      <c r="Q265" s="97">
        <v>192</v>
      </c>
      <c r="R265" s="96">
        <v>6230</v>
      </c>
    </row>
    <row r="266" spans="1:18" s="97" customFormat="1" x14ac:dyDescent="0.15">
      <c r="A266" s="96" t="s">
        <v>1</v>
      </c>
      <c r="B266" s="96">
        <v>1822</v>
      </c>
      <c r="C266" s="96" t="s">
        <v>115</v>
      </c>
      <c r="D266" s="96" t="s">
        <v>115</v>
      </c>
      <c r="E266" s="96">
        <v>1</v>
      </c>
      <c r="F266" s="96">
        <v>5</v>
      </c>
      <c r="G266" s="97" t="s">
        <v>115</v>
      </c>
      <c r="H266" s="4" t="s">
        <v>7307</v>
      </c>
      <c r="I266" s="97" t="s">
        <v>4800</v>
      </c>
      <c r="J266" s="97" t="s">
        <v>115</v>
      </c>
      <c r="K266" s="88">
        <v>65500</v>
      </c>
      <c r="L266" s="97">
        <v>1823</v>
      </c>
      <c r="N266" s="97" t="s">
        <v>115</v>
      </c>
      <c r="O266" s="97" t="s">
        <v>115</v>
      </c>
      <c r="P266" s="97">
        <v>200112</v>
      </c>
      <c r="Q266" s="97">
        <v>192</v>
      </c>
      <c r="R266" s="96">
        <v>6230</v>
      </c>
    </row>
    <row r="267" spans="1:18" s="97" customFormat="1" x14ac:dyDescent="0.15">
      <c r="A267" s="96" t="s">
        <v>1</v>
      </c>
      <c r="B267" s="96">
        <v>1823</v>
      </c>
      <c r="C267" s="96" t="s">
        <v>115</v>
      </c>
      <c r="D267" s="96" t="s">
        <v>115</v>
      </c>
      <c r="E267" s="96">
        <v>2</v>
      </c>
      <c r="F267" s="96">
        <v>5</v>
      </c>
      <c r="G267" s="97" t="s">
        <v>115</v>
      </c>
      <c r="H267" s="4" t="s">
        <v>7307</v>
      </c>
      <c r="I267" s="97" t="s">
        <v>115</v>
      </c>
      <c r="J267" s="97">
        <v>20</v>
      </c>
      <c r="K267" s="88">
        <v>65500</v>
      </c>
      <c r="L267" s="97">
        <v>0</v>
      </c>
      <c r="N267" s="97">
        <v>200115</v>
      </c>
      <c r="O267" s="97">
        <v>200116</v>
      </c>
      <c r="P267" s="97">
        <v>200113</v>
      </c>
      <c r="Q267" s="97">
        <v>192</v>
      </c>
      <c r="R267" s="96">
        <v>6230</v>
      </c>
    </row>
    <row r="268" spans="1:18" s="97" customFormat="1" x14ac:dyDescent="0.15">
      <c r="A268" s="96" t="s">
        <v>1</v>
      </c>
      <c r="B268" s="96" t="s">
        <v>4683</v>
      </c>
      <c r="C268" s="96" t="s">
        <v>115</v>
      </c>
      <c r="D268" s="96">
        <v>3</v>
      </c>
      <c r="E268" s="96" t="s">
        <v>115</v>
      </c>
      <c r="F268" s="96" t="s">
        <v>115</v>
      </c>
      <c r="G268" s="97" t="s">
        <v>115</v>
      </c>
      <c r="H268" s="4" t="s">
        <v>7307</v>
      </c>
      <c r="I268" s="97" t="s">
        <v>115</v>
      </c>
      <c r="J268" s="97" t="s">
        <v>115</v>
      </c>
      <c r="K268" s="4">
        <v>66000</v>
      </c>
      <c r="L268" s="97">
        <v>1832</v>
      </c>
      <c r="N268" s="97" t="s">
        <v>115</v>
      </c>
      <c r="O268" s="97" t="s">
        <v>115</v>
      </c>
      <c r="P268" s="97">
        <v>200111</v>
      </c>
      <c r="Q268" s="97">
        <v>110</v>
      </c>
      <c r="R268" s="96">
        <v>6230</v>
      </c>
    </row>
    <row r="269" spans="1:18" s="97" customFormat="1" x14ac:dyDescent="0.15">
      <c r="A269" s="96" t="s">
        <v>1</v>
      </c>
      <c r="B269" s="96">
        <v>1832</v>
      </c>
      <c r="C269" s="96" t="s">
        <v>115</v>
      </c>
      <c r="D269" s="96" t="s">
        <v>115</v>
      </c>
      <c r="E269" s="96">
        <v>1</v>
      </c>
      <c r="F269" s="96">
        <v>5</v>
      </c>
      <c r="G269" s="97" t="s">
        <v>115</v>
      </c>
      <c r="H269" s="4" t="s">
        <v>7307</v>
      </c>
      <c r="I269" s="97" t="s">
        <v>4800</v>
      </c>
      <c r="J269" s="97" t="s">
        <v>115</v>
      </c>
      <c r="K269" s="96">
        <v>66000</v>
      </c>
      <c r="L269" s="97">
        <v>1833</v>
      </c>
      <c r="N269" s="97" t="s">
        <v>115</v>
      </c>
      <c r="O269" s="97" t="s">
        <v>115</v>
      </c>
      <c r="P269" s="97">
        <v>200112</v>
      </c>
      <c r="Q269" s="97">
        <v>110</v>
      </c>
      <c r="R269" s="96">
        <v>6230</v>
      </c>
    </row>
    <row r="270" spans="1:18" s="97" customFormat="1" x14ac:dyDescent="0.15">
      <c r="A270" s="96" t="s">
        <v>1</v>
      </c>
      <c r="B270" s="96">
        <v>1833</v>
      </c>
      <c r="C270" s="96" t="s">
        <v>115</v>
      </c>
      <c r="D270" s="96" t="s">
        <v>115</v>
      </c>
      <c r="E270" s="96">
        <v>2</v>
      </c>
      <c r="F270" s="96">
        <v>5</v>
      </c>
      <c r="G270" s="97" t="s">
        <v>115</v>
      </c>
      <c r="H270" s="4" t="s">
        <v>7307</v>
      </c>
      <c r="I270" s="97" t="s">
        <v>115</v>
      </c>
      <c r="J270" s="97">
        <v>20</v>
      </c>
      <c r="K270" s="96">
        <v>66000</v>
      </c>
      <c r="L270" s="97">
        <v>0</v>
      </c>
      <c r="N270" s="97">
        <v>200115</v>
      </c>
      <c r="O270" s="97">
        <v>200116</v>
      </c>
      <c r="P270" s="97">
        <v>200113</v>
      </c>
      <c r="Q270" s="97">
        <v>110</v>
      </c>
      <c r="R270" s="96">
        <v>6230</v>
      </c>
    </row>
    <row r="271" spans="1:18" s="97" customFormat="1" x14ac:dyDescent="0.15">
      <c r="A271" s="96" t="s">
        <v>1</v>
      </c>
      <c r="B271" s="96" t="s">
        <v>4684</v>
      </c>
      <c r="C271" s="96" t="s">
        <v>115</v>
      </c>
      <c r="D271" s="96">
        <v>3</v>
      </c>
      <c r="E271" s="96" t="s">
        <v>115</v>
      </c>
      <c r="F271" s="96" t="s">
        <v>115</v>
      </c>
      <c r="G271" s="97" t="s">
        <v>115</v>
      </c>
      <c r="H271" s="4" t="s">
        <v>7307</v>
      </c>
      <c r="I271" s="97" t="s">
        <v>115</v>
      </c>
      <c r="J271" s="97" t="s">
        <v>115</v>
      </c>
      <c r="K271" s="4">
        <v>66500</v>
      </c>
      <c r="L271" s="97">
        <v>1842</v>
      </c>
      <c r="N271" s="97" t="s">
        <v>115</v>
      </c>
      <c r="O271" s="97" t="s">
        <v>115</v>
      </c>
      <c r="P271" s="97">
        <v>200111</v>
      </c>
      <c r="Q271" s="97">
        <v>18</v>
      </c>
      <c r="R271" s="96">
        <v>6230</v>
      </c>
    </row>
    <row r="272" spans="1:18" s="97" customFormat="1" x14ac:dyDescent="0.15">
      <c r="A272" s="96" t="s">
        <v>1</v>
      </c>
      <c r="B272" s="96">
        <v>1842</v>
      </c>
      <c r="C272" s="96" t="s">
        <v>115</v>
      </c>
      <c r="D272" s="96" t="s">
        <v>115</v>
      </c>
      <c r="E272" s="96">
        <v>1</v>
      </c>
      <c r="F272" s="96">
        <v>5</v>
      </c>
      <c r="G272" s="97" t="s">
        <v>115</v>
      </c>
      <c r="H272" s="4" t="s">
        <v>7307</v>
      </c>
      <c r="I272" s="97" t="s">
        <v>4800</v>
      </c>
      <c r="J272" s="97" t="s">
        <v>115</v>
      </c>
      <c r="K272" s="88">
        <v>66500</v>
      </c>
      <c r="L272" s="97">
        <v>1843</v>
      </c>
      <c r="N272" s="97" t="s">
        <v>115</v>
      </c>
      <c r="O272" s="97" t="s">
        <v>115</v>
      </c>
      <c r="P272" s="97">
        <v>200112</v>
      </c>
      <c r="Q272" s="97">
        <v>18</v>
      </c>
      <c r="R272" s="96">
        <v>6230</v>
      </c>
    </row>
    <row r="273" spans="1:18" s="97" customFormat="1" x14ac:dyDescent="0.15">
      <c r="A273" s="96" t="s">
        <v>1</v>
      </c>
      <c r="B273" s="96">
        <v>1843</v>
      </c>
      <c r="C273" s="96" t="s">
        <v>115</v>
      </c>
      <c r="D273" s="96" t="s">
        <v>115</v>
      </c>
      <c r="E273" s="96">
        <v>2</v>
      </c>
      <c r="F273" s="96">
        <v>5</v>
      </c>
      <c r="G273" s="97" t="s">
        <v>115</v>
      </c>
      <c r="H273" s="4" t="s">
        <v>7307</v>
      </c>
      <c r="I273" s="97" t="s">
        <v>115</v>
      </c>
      <c r="J273" s="97">
        <v>20</v>
      </c>
      <c r="K273" s="88">
        <v>66500</v>
      </c>
      <c r="L273" s="97">
        <v>0</v>
      </c>
      <c r="N273" s="97">
        <v>200115</v>
      </c>
      <c r="O273" s="97">
        <v>200116</v>
      </c>
      <c r="P273" s="97">
        <v>200113</v>
      </c>
      <c r="Q273" s="97">
        <v>18</v>
      </c>
      <c r="R273" s="96">
        <v>6230</v>
      </c>
    </row>
    <row r="274" spans="1:18" s="97" customFormat="1" x14ac:dyDescent="0.15">
      <c r="A274" s="96" t="s">
        <v>1</v>
      </c>
      <c r="B274" s="96" t="s">
        <v>4685</v>
      </c>
      <c r="C274" s="96" t="s">
        <v>115</v>
      </c>
      <c r="D274" s="96">
        <v>3</v>
      </c>
      <c r="E274" s="96" t="s">
        <v>115</v>
      </c>
      <c r="F274" s="96" t="s">
        <v>115</v>
      </c>
      <c r="G274" s="97" t="s">
        <v>115</v>
      </c>
      <c r="H274" s="4" t="s">
        <v>7307</v>
      </c>
      <c r="I274" s="97" t="s">
        <v>115</v>
      </c>
      <c r="J274" s="97" t="s">
        <v>115</v>
      </c>
      <c r="K274" s="4">
        <v>67000</v>
      </c>
      <c r="L274" s="97">
        <v>1852</v>
      </c>
      <c r="N274" s="97" t="s">
        <v>115</v>
      </c>
      <c r="O274" s="97" t="s">
        <v>115</v>
      </c>
      <c r="P274" s="97">
        <v>200111</v>
      </c>
      <c r="Q274" s="97">
        <v>110</v>
      </c>
      <c r="R274" s="96">
        <v>6230</v>
      </c>
    </row>
    <row r="275" spans="1:18" s="97" customFormat="1" x14ac:dyDescent="0.15">
      <c r="A275" s="96" t="s">
        <v>1</v>
      </c>
      <c r="B275" s="96">
        <v>1852</v>
      </c>
      <c r="C275" s="96" t="s">
        <v>115</v>
      </c>
      <c r="D275" s="96" t="s">
        <v>115</v>
      </c>
      <c r="E275" s="96">
        <v>1</v>
      </c>
      <c r="F275" s="96">
        <v>5</v>
      </c>
      <c r="G275" s="97" t="s">
        <v>115</v>
      </c>
      <c r="H275" s="4" t="s">
        <v>7307</v>
      </c>
      <c r="I275" s="97" t="s">
        <v>4800</v>
      </c>
      <c r="J275" s="97" t="s">
        <v>115</v>
      </c>
      <c r="K275" s="96">
        <v>67000</v>
      </c>
      <c r="L275" s="97">
        <v>1853</v>
      </c>
      <c r="N275" s="97" t="s">
        <v>115</v>
      </c>
      <c r="O275" s="97" t="s">
        <v>115</v>
      </c>
      <c r="P275" s="97">
        <v>200112</v>
      </c>
      <c r="Q275" s="97">
        <v>110</v>
      </c>
      <c r="R275" s="96">
        <v>6230</v>
      </c>
    </row>
    <row r="276" spans="1:18" s="97" customFormat="1" x14ac:dyDescent="0.15">
      <c r="A276" s="96" t="s">
        <v>1</v>
      </c>
      <c r="B276" s="96">
        <v>1853</v>
      </c>
      <c r="C276" s="96" t="s">
        <v>115</v>
      </c>
      <c r="D276" s="96" t="s">
        <v>115</v>
      </c>
      <c r="E276" s="96">
        <v>2</v>
      </c>
      <c r="F276" s="96">
        <v>5</v>
      </c>
      <c r="G276" s="97" t="s">
        <v>115</v>
      </c>
      <c r="H276" s="4" t="s">
        <v>7307</v>
      </c>
      <c r="I276" s="97" t="s">
        <v>115</v>
      </c>
      <c r="J276" s="97">
        <v>20</v>
      </c>
      <c r="K276" s="96">
        <v>67000</v>
      </c>
      <c r="L276" s="97">
        <v>0</v>
      </c>
      <c r="N276" s="97">
        <v>200115</v>
      </c>
      <c r="O276" s="97">
        <v>200116</v>
      </c>
      <c r="P276" s="97">
        <v>200113</v>
      </c>
      <c r="Q276" s="97">
        <v>110</v>
      </c>
      <c r="R276" s="96">
        <v>6230</v>
      </c>
    </row>
    <row r="277" spans="1:18" s="89" customFormat="1" x14ac:dyDescent="0.15">
      <c r="A277" s="88" t="s">
        <v>1</v>
      </c>
      <c r="B277" s="88" t="s">
        <v>4686</v>
      </c>
      <c r="C277" s="88" t="s">
        <v>115</v>
      </c>
      <c r="D277" s="88">
        <v>3</v>
      </c>
      <c r="E277" s="88" t="s">
        <v>115</v>
      </c>
      <c r="F277" s="88" t="s">
        <v>115</v>
      </c>
      <c r="G277" s="89" t="s">
        <v>115</v>
      </c>
      <c r="H277" s="89" t="s">
        <v>7307</v>
      </c>
      <c r="I277" s="89" t="s">
        <v>115</v>
      </c>
      <c r="J277" s="89" t="s">
        <v>115</v>
      </c>
      <c r="K277" s="4">
        <v>67500</v>
      </c>
      <c r="L277" s="89">
        <v>1862</v>
      </c>
      <c r="N277" s="89" t="s">
        <v>115</v>
      </c>
      <c r="O277" s="89" t="s">
        <v>115</v>
      </c>
      <c r="P277" s="89">
        <v>200111</v>
      </c>
      <c r="Q277" s="89">
        <v>173</v>
      </c>
      <c r="R277" s="88">
        <v>6230</v>
      </c>
    </row>
    <row r="278" spans="1:18" s="89" customFormat="1" x14ac:dyDescent="0.15">
      <c r="A278" s="88" t="s">
        <v>1</v>
      </c>
      <c r="B278" s="88">
        <v>1862</v>
      </c>
      <c r="C278" s="88" t="s">
        <v>115</v>
      </c>
      <c r="D278" s="88" t="s">
        <v>115</v>
      </c>
      <c r="E278" s="88">
        <v>1</v>
      </c>
      <c r="F278" s="88">
        <v>5</v>
      </c>
      <c r="G278" s="89" t="s">
        <v>115</v>
      </c>
      <c r="H278" s="89" t="s">
        <v>7307</v>
      </c>
      <c r="I278" s="89" t="s">
        <v>4800</v>
      </c>
      <c r="J278" s="89" t="s">
        <v>115</v>
      </c>
      <c r="K278" s="88">
        <v>67500</v>
      </c>
      <c r="L278" s="89">
        <v>1863</v>
      </c>
      <c r="N278" s="89" t="s">
        <v>115</v>
      </c>
      <c r="O278" s="89" t="s">
        <v>115</v>
      </c>
      <c r="P278" s="89">
        <v>200112</v>
      </c>
      <c r="Q278" s="89">
        <v>173</v>
      </c>
      <c r="R278" s="88">
        <v>6230</v>
      </c>
    </row>
    <row r="279" spans="1:18" s="89" customFormat="1" x14ac:dyDescent="0.15">
      <c r="A279" s="88" t="s">
        <v>1</v>
      </c>
      <c r="B279" s="88">
        <v>1863</v>
      </c>
      <c r="C279" s="88" t="s">
        <v>115</v>
      </c>
      <c r="D279" s="88" t="s">
        <v>115</v>
      </c>
      <c r="E279" s="88">
        <v>2</v>
      </c>
      <c r="F279" s="88">
        <v>5</v>
      </c>
      <c r="G279" s="89" t="s">
        <v>115</v>
      </c>
      <c r="H279" s="89" t="s">
        <v>7307</v>
      </c>
      <c r="I279" s="89" t="s">
        <v>115</v>
      </c>
      <c r="J279" s="89">
        <v>20</v>
      </c>
      <c r="K279" s="88">
        <v>67500</v>
      </c>
      <c r="L279" s="89">
        <v>0</v>
      </c>
      <c r="N279" s="89">
        <v>200115</v>
      </c>
      <c r="O279" s="89">
        <v>200116</v>
      </c>
      <c r="P279" s="89">
        <v>200113</v>
      </c>
      <c r="Q279" s="89">
        <v>173</v>
      </c>
      <c r="R279" s="88">
        <v>6230</v>
      </c>
    </row>
    <row r="280" spans="1:18" s="89" customFormat="1" x14ac:dyDescent="0.15">
      <c r="A280" s="88" t="s">
        <v>1</v>
      </c>
      <c r="B280" s="88">
        <v>1871</v>
      </c>
      <c r="C280" s="88" t="s">
        <v>115</v>
      </c>
      <c r="D280" s="88">
        <v>3</v>
      </c>
      <c r="E280" s="88" t="s">
        <v>115</v>
      </c>
      <c r="F280" s="88" t="s">
        <v>115</v>
      </c>
      <c r="G280" s="89" t="s">
        <v>115</v>
      </c>
      <c r="H280" s="89" t="s">
        <v>7307</v>
      </c>
      <c r="I280" s="89" t="s">
        <v>115</v>
      </c>
      <c r="J280" s="89" t="s">
        <v>115</v>
      </c>
      <c r="K280" s="4">
        <v>68000</v>
      </c>
      <c r="L280" s="89">
        <v>1872</v>
      </c>
      <c r="N280" s="89" t="s">
        <v>115</v>
      </c>
      <c r="O280" s="89" t="s">
        <v>115</v>
      </c>
      <c r="P280" s="89">
        <v>200111</v>
      </c>
      <c r="Q280" s="89">
        <v>118</v>
      </c>
      <c r="R280" s="88">
        <v>6230</v>
      </c>
    </row>
    <row r="281" spans="1:18" s="89" customFormat="1" x14ac:dyDescent="0.15">
      <c r="A281" s="88" t="s">
        <v>1</v>
      </c>
      <c r="B281" s="88">
        <v>1872</v>
      </c>
      <c r="C281" s="88" t="s">
        <v>115</v>
      </c>
      <c r="D281" s="88" t="s">
        <v>115</v>
      </c>
      <c r="E281" s="88">
        <v>1</v>
      </c>
      <c r="F281" s="88">
        <v>5</v>
      </c>
      <c r="G281" s="89" t="s">
        <v>115</v>
      </c>
      <c r="H281" s="89" t="s">
        <v>7307</v>
      </c>
      <c r="I281" s="89" t="s">
        <v>4800</v>
      </c>
      <c r="J281" s="89" t="s">
        <v>115</v>
      </c>
      <c r="K281" s="88">
        <v>68000</v>
      </c>
      <c r="L281" s="89">
        <v>1873</v>
      </c>
      <c r="N281" s="89" t="s">
        <v>115</v>
      </c>
      <c r="O281" s="89" t="s">
        <v>115</v>
      </c>
      <c r="P281" s="89">
        <v>200112</v>
      </c>
      <c r="Q281" s="89">
        <v>118</v>
      </c>
      <c r="R281" s="88">
        <v>6230</v>
      </c>
    </row>
    <row r="282" spans="1:18" s="89" customFormat="1" x14ac:dyDescent="0.15">
      <c r="A282" s="88" t="s">
        <v>1</v>
      </c>
      <c r="B282" s="88">
        <v>1873</v>
      </c>
      <c r="C282" s="88" t="s">
        <v>115</v>
      </c>
      <c r="D282" s="88" t="s">
        <v>115</v>
      </c>
      <c r="E282" s="88">
        <v>2</v>
      </c>
      <c r="F282" s="88">
        <v>5</v>
      </c>
      <c r="G282" s="89" t="s">
        <v>115</v>
      </c>
      <c r="H282" s="89" t="s">
        <v>7307</v>
      </c>
      <c r="I282" s="89" t="s">
        <v>115</v>
      </c>
      <c r="J282" s="89">
        <v>20</v>
      </c>
      <c r="K282" s="88">
        <v>68000</v>
      </c>
      <c r="L282" s="89">
        <v>0</v>
      </c>
      <c r="N282" s="89">
        <v>200115</v>
      </c>
      <c r="O282" s="89">
        <v>200116</v>
      </c>
      <c r="P282" s="89">
        <v>200113</v>
      </c>
      <c r="Q282" s="89">
        <v>118</v>
      </c>
      <c r="R282" s="88">
        <v>6230</v>
      </c>
    </row>
    <row r="283" spans="1:18" s="97" customFormat="1" x14ac:dyDescent="0.15">
      <c r="A283" s="96" t="s">
        <v>1</v>
      </c>
      <c r="B283" s="96" t="s">
        <v>4687</v>
      </c>
      <c r="C283" s="96" t="s">
        <v>115</v>
      </c>
      <c r="D283" s="96">
        <v>3</v>
      </c>
      <c r="E283" s="96" t="s">
        <v>115</v>
      </c>
      <c r="F283" s="96" t="s">
        <v>115</v>
      </c>
      <c r="G283" s="97" t="s">
        <v>115</v>
      </c>
      <c r="H283" s="4" t="s">
        <v>7307</v>
      </c>
      <c r="I283" s="97" t="s">
        <v>115</v>
      </c>
      <c r="J283" s="97" t="s">
        <v>115</v>
      </c>
      <c r="K283" s="4">
        <v>65000</v>
      </c>
      <c r="L283" s="97">
        <v>1912</v>
      </c>
      <c r="N283" s="97" t="s">
        <v>115</v>
      </c>
      <c r="O283" s="97" t="s">
        <v>115</v>
      </c>
      <c r="P283" s="97">
        <v>200111</v>
      </c>
      <c r="Q283" s="97">
        <v>192</v>
      </c>
      <c r="R283" s="96">
        <v>6230</v>
      </c>
    </row>
    <row r="284" spans="1:18" s="97" customFormat="1" x14ac:dyDescent="0.15">
      <c r="A284" s="96" t="s">
        <v>1</v>
      </c>
      <c r="B284" s="96">
        <v>1912</v>
      </c>
      <c r="C284" s="96" t="s">
        <v>115</v>
      </c>
      <c r="D284" s="96" t="s">
        <v>115</v>
      </c>
      <c r="E284" s="96">
        <v>1</v>
      </c>
      <c r="F284" s="96">
        <v>5</v>
      </c>
      <c r="G284" s="97" t="s">
        <v>115</v>
      </c>
      <c r="H284" s="4" t="s">
        <v>7307</v>
      </c>
      <c r="I284" s="97" t="s">
        <v>4800</v>
      </c>
      <c r="J284" s="97" t="s">
        <v>115</v>
      </c>
      <c r="K284" s="96">
        <v>65000</v>
      </c>
      <c r="L284" s="97">
        <v>1913</v>
      </c>
      <c r="N284" s="97" t="s">
        <v>115</v>
      </c>
      <c r="O284" s="97" t="s">
        <v>115</v>
      </c>
      <c r="P284" s="97">
        <v>200112</v>
      </c>
      <c r="Q284" s="97">
        <v>192</v>
      </c>
      <c r="R284" s="96">
        <v>6230</v>
      </c>
    </row>
    <row r="285" spans="1:18" s="97" customFormat="1" x14ac:dyDescent="0.15">
      <c r="A285" s="96" t="s">
        <v>1</v>
      </c>
      <c r="B285" s="96">
        <v>1913</v>
      </c>
      <c r="C285" s="96" t="s">
        <v>115</v>
      </c>
      <c r="D285" s="96" t="s">
        <v>115</v>
      </c>
      <c r="E285" s="96">
        <v>2</v>
      </c>
      <c r="F285" s="96">
        <v>5</v>
      </c>
      <c r="G285" s="97" t="s">
        <v>115</v>
      </c>
      <c r="H285" s="4" t="s">
        <v>7307</v>
      </c>
      <c r="I285" s="97" t="s">
        <v>115</v>
      </c>
      <c r="J285" s="97">
        <v>20</v>
      </c>
      <c r="K285" s="96">
        <v>65000</v>
      </c>
      <c r="L285" s="97">
        <v>0</v>
      </c>
      <c r="N285" s="97">
        <v>200115</v>
      </c>
      <c r="O285" s="97">
        <v>200116</v>
      </c>
      <c r="P285" s="97">
        <v>200113</v>
      </c>
      <c r="Q285" s="97">
        <v>192</v>
      </c>
      <c r="R285" s="96">
        <v>6230</v>
      </c>
    </row>
    <row r="286" spans="1:18" s="97" customFormat="1" x14ac:dyDescent="0.15">
      <c r="A286" s="96" t="s">
        <v>1</v>
      </c>
      <c r="B286" s="96" t="s">
        <v>4688</v>
      </c>
      <c r="C286" s="96" t="s">
        <v>115</v>
      </c>
      <c r="D286" s="96">
        <v>3</v>
      </c>
      <c r="E286" s="96" t="s">
        <v>115</v>
      </c>
      <c r="F286" s="96" t="s">
        <v>115</v>
      </c>
      <c r="G286" s="97" t="s">
        <v>115</v>
      </c>
      <c r="H286" s="4" t="s">
        <v>7307</v>
      </c>
      <c r="I286" s="97" t="s">
        <v>115</v>
      </c>
      <c r="J286" s="97" t="s">
        <v>115</v>
      </c>
      <c r="K286" s="4">
        <v>65500</v>
      </c>
      <c r="L286" s="97">
        <v>1922</v>
      </c>
      <c r="N286" s="97" t="s">
        <v>115</v>
      </c>
      <c r="O286" s="97" t="s">
        <v>115</v>
      </c>
      <c r="P286" s="97">
        <v>200111</v>
      </c>
      <c r="Q286" s="97">
        <v>205</v>
      </c>
      <c r="R286" s="96">
        <v>6230</v>
      </c>
    </row>
    <row r="287" spans="1:18" s="97" customFormat="1" x14ac:dyDescent="0.15">
      <c r="A287" s="96" t="s">
        <v>1</v>
      </c>
      <c r="B287" s="96">
        <v>1922</v>
      </c>
      <c r="C287" s="96" t="s">
        <v>115</v>
      </c>
      <c r="D287" s="96" t="s">
        <v>115</v>
      </c>
      <c r="E287" s="96">
        <v>1</v>
      </c>
      <c r="F287" s="96">
        <v>5</v>
      </c>
      <c r="G287" s="97" t="s">
        <v>115</v>
      </c>
      <c r="H287" s="4" t="s">
        <v>7307</v>
      </c>
      <c r="I287" s="97" t="s">
        <v>4800</v>
      </c>
      <c r="J287" s="97" t="s">
        <v>115</v>
      </c>
      <c r="K287" s="88">
        <v>65500</v>
      </c>
      <c r="L287" s="97">
        <v>1923</v>
      </c>
      <c r="N287" s="97" t="s">
        <v>115</v>
      </c>
      <c r="O287" s="97" t="s">
        <v>115</v>
      </c>
      <c r="P287" s="97">
        <v>200112</v>
      </c>
      <c r="Q287" s="97">
        <v>205</v>
      </c>
      <c r="R287" s="96">
        <v>6230</v>
      </c>
    </row>
    <row r="288" spans="1:18" s="97" customFormat="1" x14ac:dyDescent="0.15">
      <c r="A288" s="96" t="s">
        <v>1</v>
      </c>
      <c r="B288" s="96">
        <v>1923</v>
      </c>
      <c r="C288" s="96" t="s">
        <v>115</v>
      </c>
      <c r="D288" s="96" t="s">
        <v>115</v>
      </c>
      <c r="E288" s="96">
        <v>2</v>
      </c>
      <c r="F288" s="96">
        <v>5</v>
      </c>
      <c r="G288" s="97" t="s">
        <v>115</v>
      </c>
      <c r="H288" s="4" t="s">
        <v>7307</v>
      </c>
      <c r="I288" s="97" t="s">
        <v>115</v>
      </c>
      <c r="J288" s="97">
        <v>20</v>
      </c>
      <c r="K288" s="88">
        <v>65500</v>
      </c>
      <c r="L288" s="97">
        <v>0</v>
      </c>
      <c r="N288" s="97">
        <v>200115</v>
      </c>
      <c r="O288" s="97">
        <v>200116</v>
      </c>
      <c r="P288" s="97">
        <v>200113</v>
      </c>
      <c r="Q288" s="97">
        <v>205</v>
      </c>
      <c r="R288" s="96">
        <v>6230</v>
      </c>
    </row>
    <row r="289" spans="1:18" s="97" customFormat="1" x14ac:dyDescent="0.15">
      <c r="A289" s="96" t="s">
        <v>1</v>
      </c>
      <c r="B289" s="96" t="s">
        <v>4689</v>
      </c>
      <c r="C289" s="96" t="s">
        <v>115</v>
      </c>
      <c r="D289" s="96">
        <v>3</v>
      </c>
      <c r="E289" s="96" t="s">
        <v>115</v>
      </c>
      <c r="F289" s="96" t="s">
        <v>115</v>
      </c>
      <c r="G289" s="97" t="s">
        <v>115</v>
      </c>
      <c r="H289" s="4" t="s">
        <v>7307</v>
      </c>
      <c r="I289" s="97" t="s">
        <v>115</v>
      </c>
      <c r="J289" s="97" t="s">
        <v>115</v>
      </c>
      <c r="K289" s="4">
        <v>66000</v>
      </c>
      <c r="L289" s="97">
        <v>1932</v>
      </c>
      <c r="N289" s="97" t="s">
        <v>115</v>
      </c>
      <c r="O289" s="97" t="s">
        <v>115</v>
      </c>
      <c r="P289" s="97">
        <v>200111</v>
      </c>
      <c r="Q289" s="97">
        <v>109</v>
      </c>
      <c r="R289" s="96">
        <v>6230</v>
      </c>
    </row>
    <row r="290" spans="1:18" s="97" customFormat="1" x14ac:dyDescent="0.15">
      <c r="A290" s="96" t="s">
        <v>1</v>
      </c>
      <c r="B290" s="96">
        <v>1932</v>
      </c>
      <c r="C290" s="96" t="s">
        <v>115</v>
      </c>
      <c r="D290" s="96" t="s">
        <v>115</v>
      </c>
      <c r="E290" s="96">
        <v>1</v>
      </c>
      <c r="F290" s="96">
        <v>5</v>
      </c>
      <c r="G290" s="97" t="s">
        <v>115</v>
      </c>
      <c r="H290" s="4" t="s">
        <v>7307</v>
      </c>
      <c r="I290" s="97" t="s">
        <v>4800</v>
      </c>
      <c r="J290" s="97" t="s">
        <v>115</v>
      </c>
      <c r="K290" s="96">
        <v>66000</v>
      </c>
      <c r="L290" s="97">
        <v>1933</v>
      </c>
      <c r="N290" s="97" t="s">
        <v>115</v>
      </c>
      <c r="O290" s="97" t="s">
        <v>115</v>
      </c>
      <c r="P290" s="97">
        <v>200112</v>
      </c>
      <c r="Q290" s="97">
        <v>109</v>
      </c>
      <c r="R290" s="96">
        <v>6230</v>
      </c>
    </row>
    <row r="291" spans="1:18" s="97" customFormat="1" x14ac:dyDescent="0.15">
      <c r="A291" s="96" t="s">
        <v>1</v>
      </c>
      <c r="B291" s="96">
        <v>1933</v>
      </c>
      <c r="C291" s="96" t="s">
        <v>115</v>
      </c>
      <c r="D291" s="96" t="s">
        <v>115</v>
      </c>
      <c r="E291" s="96">
        <v>2</v>
      </c>
      <c r="F291" s="96">
        <v>5</v>
      </c>
      <c r="G291" s="97" t="s">
        <v>115</v>
      </c>
      <c r="H291" s="4" t="s">
        <v>7307</v>
      </c>
      <c r="I291" s="97" t="s">
        <v>115</v>
      </c>
      <c r="J291" s="97">
        <v>20</v>
      </c>
      <c r="K291" s="96">
        <v>66000</v>
      </c>
      <c r="L291" s="97">
        <v>0</v>
      </c>
      <c r="N291" s="97">
        <v>200115</v>
      </c>
      <c r="O291" s="97">
        <v>200116</v>
      </c>
      <c r="P291" s="97">
        <v>200113</v>
      </c>
      <c r="Q291" s="97">
        <v>109</v>
      </c>
      <c r="R291" s="96">
        <v>6230</v>
      </c>
    </row>
    <row r="292" spans="1:18" s="97" customFormat="1" x14ac:dyDescent="0.15">
      <c r="A292" s="96" t="s">
        <v>1</v>
      </c>
      <c r="B292" s="96" t="s">
        <v>4690</v>
      </c>
      <c r="C292" s="96" t="s">
        <v>115</v>
      </c>
      <c r="D292" s="96">
        <v>3</v>
      </c>
      <c r="E292" s="96" t="s">
        <v>115</v>
      </c>
      <c r="F292" s="96" t="s">
        <v>115</v>
      </c>
      <c r="G292" s="97" t="s">
        <v>115</v>
      </c>
      <c r="H292" s="4" t="s">
        <v>7307</v>
      </c>
      <c r="I292" s="97" t="s">
        <v>115</v>
      </c>
      <c r="J292" s="97" t="s">
        <v>115</v>
      </c>
      <c r="K292" s="4">
        <v>66500</v>
      </c>
      <c r="L292" s="97">
        <v>1942</v>
      </c>
      <c r="N292" s="97" t="s">
        <v>115</v>
      </c>
      <c r="O292" s="97" t="s">
        <v>115</v>
      </c>
      <c r="P292" s="97">
        <v>200111</v>
      </c>
      <c r="Q292" s="97">
        <v>118</v>
      </c>
      <c r="R292" s="96">
        <v>6230</v>
      </c>
    </row>
    <row r="293" spans="1:18" s="97" customFormat="1" x14ac:dyDescent="0.15">
      <c r="A293" s="96" t="s">
        <v>1</v>
      </c>
      <c r="B293" s="96">
        <v>1942</v>
      </c>
      <c r="C293" s="96" t="s">
        <v>115</v>
      </c>
      <c r="D293" s="96" t="s">
        <v>115</v>
      </c>
      <c r="E293" s="96">
        <v>1</v>
      </c>
      <c r="F293" s="96">
        <v>5</v>
      </c>
      <c r="G293" s="97" t="s">
        <v>115</v>
      </c>
      <c r="H293" s="4" t="s">
        <v>7307</v>
      </c>
      <c r="I293" s="97" t="s">
        <v>4800</v>
      </c>
      <c r="J293" s="97" t="s">
        <v>115</v>
      </c>
      <c r="K293" s="88">
        <v>66500</v>
      </c>
      <c r="L293" s="97">
        <v>1943</v>
      </c>
      <c r="N293" s="97" t="s">
        <v>115</v>
      </c>
      <c r="O293" s="97" t="s">
        <v>115</v>
      </c>
      <c r="P293" s="97">
        <v>200112</v>
      </c>
      <c r="Q293" s="97">
        <v>118</v>
      </c>
      <c r="R293" s="96">
        <v>6230</v>
      </c>
    </row>
    <row r="294" spans="1:18" s="97" customFormat="1" x14ac:dyDescent="0.15">
      <c r="A294" s="97" t="s">
        <v>1</v>
      </c>
      <c r="B294" s="97">
        <v>1943</v>
      </c>
      <c r="C294" s="97" t="s">
        <v>115</v>
      </c>
      <c r="D294" s="97" t="s">
        <v>115</v>
      </c>
      <c r="E294" s="97">
        <v>2</v>
      </c>
      <c r="F294" s="97">
        <v>5</v>
      </c>
      <c r="G294" s="97" t="s">
        <v>115</v>
      </c>
      <c r="H294" s="4" t="s">
        <v>7307</v>
      </c>
      <c r="I294" s="97" t="s">
        <v>115</v>
      </c>
      <c r="J294" s="97">
        <v>20</v>
      </c>
      <c r="K294" s="88">
        <v>66500</v>
      </c>
      <c r="L294" s="97">
        <v>0</v>
      </c>
      <c r="N294" s="97">
        <v>200115</v>
      </c>
      <c r="O294" s="97">
        <v>200116</v>
      </c>
      <c r="P294" s="97">
        <v>200113</v>
      </c>
      <c r="Q294" s="97">
        <v>118</v>
      </c>
      <c r="R294" s="96">
        <v>6230</v>
      </c>
    </row>
    <row r="295" spans="1:18" s="97" customFormat="1" x14ac:dyDescent="0.15">
      <c r="A295" s="97" t="s">
        <v>1</v>
      </c>
      <c r="B295" s="97" t="s">
        <v>4691</v>
      </c>
      <c r="C295" s="97" t="s">
        <v>115</v>
      </c>
      <c r="D295" s="97">
        <v>3</v>
      </c>
      <c r="E295" s="97" t="s">
        <v>115</v>
      </c>
      <c r="F295" s="97" t="s">
        <v>115</v>
      </c>
      <c r="G295" s="97" t="s">
        <v>115</v>
      </c>
      <c r="H295" s="4" t="s">
        <v>7307</v>
      </c>
      <c r="I295" s="97" t="s">
        <v>115</v>
      </c>
      <c r="J295" s="97" t="s">
        <v>115</v>
      </c>
      <c r="K295" s="4">
        <v>67000</v>
      </c>
      <c r="L295" s="97">
        <v>1952</v>
      </c>
      <c r="N295" s="97" t="s">
        <v>115</v>
      </c>
      <c r="O295" s="97" t="s">
        <v>115</v>
      </c>
      <c r="P295" s="97">
        <v>200111</v>
      </c>
      <c r="Q295" s="97">
        <v>118</v>
      </c>
      <c r="R295" s="96">
        <v>6230</v>
      </c>
    </row>
    <row r="296" spans="1:18" s="97" customFormat="1" x14ac:dyDescent="0.15">
      <c r="A296" s="97" t="s">
        <v>1</v>
      </c>
      <c r="B296" s="97">
        <v>1952</v>
      </c>
      <c r="C296" s="97" t="s">
        <v>115</v>
      </c>
      <c r="D296" s="97" t="s">
        <v>115</v>
      </c>
      <c r="E296" s="97">
        <v>1</v>
      </c>
      <c r="F296" s="97">
        <v>5</v>
      </c>
      <c r="G296" s="97" t="s">
        <v>115</v>
      </c>
      <c r="H296" s="4" t="s">
        <v>7307</v>
      </c>
      <c r="I296" s="97" t="s">
        <v>4800</v>
      </c>
      <c r="J296" s="97" t="s">
        <v>115</v>
      </c>
      <c r="K296" s="96">
        <v>67000</v>
      </c>
      <c r="L296" s="97">
        <v>1953</v>
      </c>
      <c r="N296" s="97" t="s">
        <v>115</v>
      </c>
      <c r="O296" s="97" t="s">
        <v>115</v>
      </c>
      <c r="P296" s="97">
        <v>200112</v>
      </c>
      <c r="Q296" s="97">
        <v>118</v>
      </c>
      <c r="R296" s="96">
        <v>6230</v>
      </c>
    </row>
    <row r="297" spans="1:18" s="97" customFormat="1" x14ac:dyDescent="0.15">
      <c r="A297" s="97" t="s">
        <v>1</v>
      </c>
      <c r="B297" s="97">
        <v>1953</v>
      </c>
      <c r="C297" s="97" t="s">
        <v>115</v>
      </c>
      <c r="D297" s="97" t="s">
        <v>115</v>
      </c>
      <c r="E297" s="97">
        <v>2</v>
      </c>
      <c r="F297" s="97">
        <v>5</v>
      </c>
      <c r="G297" s="97" t="s">
        <v>115</v>
      </c>
      <c r="H297" s="4" t="s">
        <v>7307</v>
      </c>
      <c r="I297" s="97" t="s">
        <v>115</v>
      </c>
      <c r="J297" s="97">
        <v>20</v>
      </c>
      <c r="K297" s="96">
        <v>67000</v>
      </c>
      <c r="L297" s="97">
        <v>0</v>
      </c>
      <c r="N297" s="97">
        <v>200115</v>
      </c>
      <c r="O297" s="97">
        <v>200116</v>
      </c>
      <c r="P297" s="97">
        <v>200113</v>
      </c>
      <c r="Q297" s="97">
        <v>118</v>
      </c>
      <c r="R297" s="96">
        <v>6230</v>
      </c>
    </row>
    <row r="298" spans="1:18" s="97" customFormat="1" x14ac:dyDescent="0.15">
      <c r="A298" s="97" t="s">
        <v>1</v>
      </c>
      <c r="B298" s="97" t="s">
        <v>4692</v>
      </c>
      <c r="C298" s="97" t="s">
        <v>115</v>
      </c>
      <c r="D298" s="97">
        <v>3</v>
      </c>
      <c r="E298" s="97" t="s">
        <v>115</v>
      </c>
      <c r="F298" s="97" t="s">
        <v>115</v>
      </c>
      <c r="G298" s="97" t="s">
        <v>115</v>
      </c>
      <c r="H298" s="4" t="s">
        <v>7307</v>
      </c>
      <c r="I298" s="97" t="s">
        <v>115</v>
      </c>
      <c r="J298" s="97" t="s">
        <v>115</v>
      </c>
      <c r="K298" s="4">
        <v>67500</v>
      </c>
      <c r="L298" s="97">
        <v>1962</v>
      </c>
      <c r="N298" s="97" t="s">
        <v>115</v>
      </c>
      <c r="O298" s="97" t="s">
        <v>115</v>
      </c>
      <c r="P298" s="97">
        <v>200111</v>
      </c>
      <c r="Q298" s="97">
        <v>118</v>
      </c>
      <c r="R298" s="96">
        <v>6230</v>
      </c>
    </row>
    <row r="299" spans="1:18" s="97" customFormat="1" x14ac:dyDescent="0.15">
      <c r="A299" s="97" t="s">
        <v>1</v>
      </c>
      <c r="B299" s="97">
        <v>1962</v>
      </c>
      <c r="C299" s="97" t="s">
        <v>115</v>
      </c>
      <c r="D299" s="97" t="s">
        <v>115</v>
      </c>
      <c r="E299" s="97">
        <v>1</v>
      </c>
      <c r="F299" s="97">
        <v>5</v>
      </c>
      <c r="G299" s="97" t="s">
        <v>115</v>
      </c>
      <c r="H299" s="4" t="s">
        <v>7307</v>
      </c>
      <c r="I299" s="97" t="s">
        <v>4800</v>
      </c>
      <c r="J299" s="97" t="s">
        <v>115</v>
      </c>
      <c r="K299" s="88">
        <v>67500</v>
      </c>
      <c r="L299" s="97">
        <v>1963</v>
      </c>
      <c r="N299" s="97" t="s">
        <v>115</v>
      </c>
      <c r="O299" s="97" t="s">
        <v>115</v>
      </c>
      <c r="P299" s="97">
        <v>200112</v>
      </c>
      <c r="Q299" s="97">
        <v>118</v>
      </c>
      <c r="R299" s="96">
        <v>6230</v>
      </c>
    </row>
    <row r="300" spans="1:18" s="97" customFormat="1" x14ac:dyDescent="0.15">
      <c r="A300" s="97" t="s">
        <v>1</v>
      </c>
      <c r="B300" s="97">
        <v>1963</v>
      </c>
      <c r="C300" s="97" t="s">
        <v>115</v>
      </c>
      <c r="D300" s="97" t="s">
        <v>115</v>
      </c>
      <c r="E300" s="97">
        <v>2</v>
      </c>
      <c r="F300" s="97">
        <v>5</v>
      </c>
      <c r="G300" s="97" t="s">
        <v>115</v>
      </c>
      <c r="H300" s="4" t="s">
        <v>7307</v>
      </c>
      <c r="I300" s="97" t="s">
        <v>115</v>
      </c>
      <c r="J300" s="97">
        <v>20</v>
      </c>
      <c r="K300" s="88">
        <v>67500</v>
      </c>
      <c r="L300" s="97">
        <v>0</v>
      </c>
      <c r="N300" s="97">
        <v>200115</v>
      </c>
      <c r="O300" s="97">
        <v>200116</v>
      </c>
      <c r="P300" s="97">
        <v>200113</v>
      </c>
      <c r="Q300" s="97">
        <v>118</v>
      </c>
      <c r="R300" s="96">
        <v>6230</v>
      </c>
    </row>
    <row r="301" spans="1:18" s="97" customFormat="1" x14ac:dyDescent="0.15">
      <c r="A301" s="97" t="s">
        <v>1</v>
      </c>
      <c r="B301" s="97" t="s">
        <v>4693</v>
      </c>
      <c r="C301" s="97" t="s">
        <v>115</v>
      </c>
      <c r="D301" s="97">
        <v>3</v>
      </c>
      <c r="E301" s="97" t="s">
        <v>115</v>
      </c>
      <c r="F301" s="97" t="s">
        <v>115</v>
      </c>
      <c r="G301" s="97" t="s">
        <v>115</v>
      </c>
      <c r="H301" s="4" t="s">
        <v>7307</v>
      </c>
      <c r="I301" s="97" t="s">
        <v>115</v>
      </c>
      <c r="J301" s="97" t="s">
        <v>115</v>
      </c>
      <c r="K301" s="4">
        <v>68000</v>
      </c>
      <c r="L301" s="97">
        <v>1972</v>
      </c>
      <c r="N301" s="97" t="s">
        <v>115</v>
      </c>
      <c r="O301" s="97" t="s">
        <v>115</v>
      </c>
      <c r="P301" s="97">
        <v>200111</v>
      </c>
      <c r="Q301" s="97">
        <v>145</v>
      </c>
      <c r="R301" s="96">
        <v>6230</v>
      </c>
    </row>
    <row r="302" spans="1:18" s="97" customFormat="1" x14ac:dyDescent="0.15">
      <c r="A302" s="97" t="s">
        <v>1</v>
      </c>
      <c r="B302" s="97">
        <v>1972</v>
      </c>
      <c r="C302" s="97" t="s">
        <v>115</v>
      </c>
      <c r="D302" s="97" t="s">
        <v>115</v>
      </c>
      <c r="E302" s="97">
        <v>1</v>
      </c>
      <c r="F302" s="97">
        <v>5</v>
      </c>
      <c r="G302" s="97" t="s">
        <v>115</v>
      </c>
      <c r="H302" s="4" t="s">
        <v>7307</v>
      </c>
      <c r="I302" s="97" t="s">
        <v>4800</v>
      </c>
      <c r="J302" s="97" t="s">
        <v>115</v>
      </c>
      <c r="K302" s="96">
        <v>68000</v>
      </c>
      <c r="L302" s="97">
        <v>1973</v>
      </c>
      <c r="N302" s="97" t="s">
        <v>115</v>
      </c>
      <c r="O302" s="97" t="s">
        <v>115</v>
      </c>
      <c r="P302" s="97">
        <v>200112</v>
      </c>
      <c r="Q302" s="97">
        <v>145</v>
      </c>
      <c r="R302" s="96">
        <v>6230</v>
      </c>
    </row>
    <row r="303" spans="1:18" s="97" customFormat="1" x14ac:dyDescent="0.15">
      <c r="A303" s="97" t="s">
        <v>1</v>
      </c>
      <c r="B303" s="97">
        <v>1973</v>
      </c>
      <c r="C303" s="97" t="s">
        <v>115</v>
      </c>
      <c r="D303" s="97" t="s">
        <v>115</v>
      </c>
      <c r="E303" s="97">
        <v>2</v>
      </c>
      <c r="F303" s="97">
        <v>5</v>
      </c>
      <c r="G303" s="97" t="s">
        <v>115</v>
      </c>
      <c r="H303" s="4" t="s">
        <v>7307</v>
      </c>
      <c r="I303" s="97" t="s">
        <v>115</v>
      </c>
      <c r="J303" s="97">
        <v>20</v>
      </c>
      <c r="K303" s="96">
        <v>68000</v>
      </c>
      <c r="L303" s="97">
        <v>0</v>
      </c>
      <c r="N303" s="97">
        <v>200115</v>
      </c>
      <c r="O303" s="97">
        <v>200116</v>
      </c>
      <c r="P303" s="97">
        <v>200113</v>
      </c>
      <c r="Q303" s="97">
        <v>145</v>
      </c>
      <c r="R303" s="96">
        <v>6230</v>
      </c>
    </row>
    <row r="304" spans="1:18" s="97" customFormat="1" x14ac:dyDescent="0.15">
      <c r="A304" s="97" t="s">
        <v>1</v>
      </c>
      <c r="B304" s="97" t="s">
        <v>4694</v>
      </c>
      <c r="C304" s="97" t="s">
        <v>115</v>
      </c>
      <c r="D304" s="97">
        <v>3</v>
      </c>
      <c r="E304" s="97" t="s">
        <v>115</v>
      </c>
      <c r="F304" s="97" t="s">
        <v>115</v>
      </c>
      <c r="G304" s="97" t="s">
        <v>115</v>
      </c>
      <c r="H304" s="4" t="s">
        <v>7307</v>
      </c>
      <c r="I304" s="97" t="s">
        <v>115</v>
      </c>
      <c r="J304" s="97" t="s">
        <v>115</v>
      </c>
      <c r="K304" s="4">
        <v>68500</v>
      </c>
      <c r="L304" s="97">
        <v>1982</v>
      </c>
      <c r="N304" s="97" t="s">
        <v>115</v>
      </c>
      <c r="O304" s="97" t="s">
        <v>115</v>
      </c>
      <c r="P304" s="97">
        <v>200111</v>
      </c>
      <c r="Q304" s="97">
        <v>145</v>
      </c>
      <c r="R304" s="96">
        <v>6230</v>
      </c>
    </row>
    <row r="305" spans="1:18" s="97" customFormat="1" x14ac:dyDescent="0.15">
      <c r="A305" s="97" t="s">
        <v>1</v>
      </c>
      <c r="B305" s="97">
        <v>1982</v>
      </c>
      <c r="C305" s="97" t="s">
        <v>115</v>
      </c>
      <c r="D305" s="97" t="s">
        <v>115</v>
      </c>
      <c r="E305" s="97">
        <v>1</v>
      </c>
      <c r="F305" s="97">
        <v>5</v>
      </c>
      <c r="G305" s="97" t="s">
        <v>115</v>
      </c>
      <c r="H305" s="4" t="s">
        <v>7307</v>
      </c>
      <c r="I305" s="97" t="s">
        <v>4800</v>
      </c>
      <c r="J305" s="97" t="s">
        <v>115</v>
      </c>
      <c r="K305" s="96">
        <v>68500</v>
      </c>
      <c r="L305" s="97">
        <v>1983</v>
      </c>
      <c r="N305" s="97" t="s">
        <v>115</v>
      </c>
      <c r="O305" s="97" t="s">
        <v>115</v>
      </c>
      <c r="P305" s="97">
        <v>200112</v>
      </c>
      <c r="Q305" s="97">
        <v>145</v>
      </c>
      <c r="R305" s="96">
        <v>6230</v>
      </c>
    </row>
    <row r="306" spans="1:18" s="97" customFormat="1" x14ac:dyDescent="0.15">
      <c r="A306" s="97" t="s">
        <v>1</v>
      </c>
      <c r="B306" s="97">
        <v>1983</v>
      </c>
      <c r="C306" s="97" t="s">
        <v>115</v>
      </c>
      <c r="D306" s="97" t="s">
        <v>115</v>
      </c>
      <c r="E306" s="97">
        <v>2</v>
      </c>
      <c r="F306" s="97">
        <v>5</v>
      </c>
      <c r="G306" s="97" t="s">
        <v>115</v>
      </c>
      <c r="H306" s="4" t="s">
        <v>7307</v>
      </c>
      <c r="I306" s="97" t="s">
        <v>115</v>
      </c>
      <c r="J306" s="97">
        <v>20</v>
      </c>
      <c r="K306" s="96">
        <v>68500</v>
      </c>
      <c r="L306" s="97">
        <v>0</v>
      </c>
      <c r="N306" s="97">
        <v>200115</v>
      </c>
      <c r="O306" s="97">
        <v>200116</v>
      </c>
      <c r="P306" s="97">
        <v>200113</v>
      </c>
      <c r="Q306" s="97">
        <v>145</v>
      </c>
      <c r="R306" s="96">
        <v>6230</v>
      </c>
    </row>
    <row r="307" spans="1:18" s="97" customFormat="1" x14ac:dyDescent="0.15">
      <c r="A307" s="97" t="s">
        <v>1</v>
      </c>
      <c r="B307" s="97" t="s">
        <v>4695</v>
      </c>
      <c r="C307" s="97" t="s">
        <v>115</v>
      </c>
      <c r="D307" s="97">
        <v>3</v>
      </c>
      <c r="E307" s="97" t="s">
        <v>115</v>
      </c>
      <c r="F307" s="97" t="s">
        <v>115</v>
      </c>
      <c r="G307" s="97" t="s">
        <v>115</v>
      </c>
      <c r="H307" s="4" t="s">
        <v>7307</v>
      </c>
      <c r="I307" s="97" t="s">
        <v>115</v>
      </c>
      <c r="J307" s="97" t="s">
        <v>115</v>
      </c>
      <c r="K307" s="4">
        <v>66000</v>
      </c>
      <c r="L307" s="97">
        <v>2012</v>
      </c>
      <c r="N307" s="97" t="s">
        <v>115</v>
      </c>
      <c r="O307" s="97" t="s">
        <v>115</v>
      </c>
      <c r="P307" s="97">
        <v>200111</v>
      </c>
      <c r="Q307" s="97">
        <v>171</v>
      </c>
      <c r="R307" s="96">
        <v>6230</v>
      </c>
    </row>
    <row r="308" spans="1:18" s="97" customFormat="1" x14ac:dyDescent="0.15">
      <c r="A308" s="97" t="s">
        <v>1</v>
      </c>
      <c r="B308" s="97">
        <v>2012</v>
      </c>
      <c r="C308" s="97" t="s">
        <v>115</v>
      </c>
      <c r="D308" s="97" t="s">
        <v>115</v>
      </c>
      <c r="E308" s="97">
        <v>1</v>
      </c>
      <c r="F308" s="97">
        <v>5</v>
      </c>
      <c r="G308" s="97" t="s">
        <v>115</v>
      </c>
      <c r="H308" s="4" t="s">
        <v>7307</v>
      </c>
      <c r="I308" s="97" t="s">
        <v>4800</v>
      </c>
      <c r="J308" s="97" t="s">
        <v>115</v>
      </c>
      <c r="K308" s="96">
        <v>66000</v>
      </c>
      <c r="L308" s="97">
        <v>2013</v>
      </c>
      <c r="N308" s="97" t="s">
        <v>115</v>
      </c>
      <c r="O308" s="97" t="s">
        <v>115</v>
      </c>
      <c r="P308" s="97">
        <v>200112</v>
      </c>
      <c r="Q308" s="97">
        <v>171</v>
      </c>
      <c r="R308" s="96">
        <v>6230</v>
      </c>
    </row>
    <row r="309" spans="1:18" s="97" customFormat="1" x14ac:dyDescent="0.15">
      <c r="A309" s="97" t="s">
        <v>1</v>
      </c>
      <c r="B309" s="97">
        <v>2013</v>
      </c>
      <c r="C309" s="97" t="s">
        <v>115</v>
      </c>
      <c r="D309" s="97" t="s">
        <v>115</v>
      </c>
      <c r="E309" s="97">
        <v>2</v>
      </c>
      <c r="F309" s="97">
        <v>5</v>
      </c>
      <c r="G309" s="97" t="s">
        <v>115</v>
      </c>
      <c r="H309" s="4" t="s">
        <v>7307</v>
      </c>
      <c r="I309" s="97" t="s">
        <v>115</v>
      </c>
      <c r="J309" s="97">
        <v>20</v>
      </c>
      <c r="K309" s="96">
        <v>66000</v>
      </c>
      <c r="L309" s="97">
        <v>0</v>
      </c>
      <c r="N309" s="97">
        <v>200115</v>
      </c>
      <c r="O309" s="97">
        <v>200116</v>
      </c>
      <c r="P309" s="97">
        <v>200113</v>
      </c>
      <c r="Q309" s="97">
        <v>171</v>
      </c>
      <c r="R309" s="96">
        <v>6230</v>
      </c>
    </row>
    <row r="310" spans="1:18" s="97" customFormat="1" x14ac:dyDescent="0.15">
      <c r="A310" s="97" t="s">
        <v>1</v>
      </c>
      <c r="B310" s="97" t="s">
        <v>4696</v>
      </c>
      <c r="C310" s="97" t="s">
        <v>115</v>
      </c>
      <c r="D310" s="97">
        <v>3</v>
      </c>
      <c r="E310" s="97" t="s">
        <v>115</v>
      </c>
      <c r="F310" s="97" t="s">
        <v>115</v>
      </c>
      <c r="G310" s="97" t="s">
        <v>115</v>
      </c>
      <c r="H310" s="4" t="s">
        <v>7307</v>
      </c>
      <c r="I310" s="97" t="s">
        <v>115</v>
      </c>
      <c r="J310" s="97" t="s">
        <v>115</v>
      </c>
      <c r="K310" s="4">
        <v>66500</v>
      </c>
      <c r="L310" s="97">
        <v>2022</v>
      </c>
      <c r="N310" s="97" t="s">
        <v>115</v>
      </c>
      <c r="O310" s="97" t="s">
        <v>115</v>
      </c>
      <c r="P310" s="97">
        <v>200111</v>
      </c>
      <c r="Q310" s="97">
        <v>12</v>
      </c>
      <c r="R310" s="96">
        <v>6230</v>
      </c>
    </row>
    <row r="311" spans="1:18" s="97" customFormat="1" x14ac:dyDescent="0.15">
      <c r="A311" s="97" t="s">
        <v>1</v>
      </c>
      <c r="B311" s="97">
        <v>2022</v>
      </c>
      <c r="C311" s="97" t="s">
        <v>115</v>
      </c>
      <c r="D311" s="97" t="s">
        <v>115</v>
      </c>
      <c r="E311" s="97">
        <v>1</v>
      </c>
      <c r="F311" s="97">
        <v>5</v>
      </c>
      <c r="G311" s="97" t="s">
        <v>115</v>
      </c>
      <c r="H311" s="4" t="s">
        <v>7307</v>
      </c>
      <c r="I311" s="97" t="s">
        <v>4800</v>
      </c>
      <c r="J311" s="97" t="s">
        <v>115</v>
      </c>
      <c r="K311" s="96">
        <v>66500</v>
      </c>
      <c r="L311" s="97">
        <v>2023</v>
      </c>
      <c r="N311" s="97" t="s">
        <v>115</v>
      </c>
      <c r="O311" s="97" t="s">
        <v>115</v>
      </c>
      <c r="P311" s="97">
        <v>200112</v>
      </c>
      <c r="Q311" s="97">
        <v>12</v>
      </c>
      <c r="R311" s="96">
        <v>6230</v>
      </c>
    </row>
    <row r="312" spans="1:18" s="97" customFormat="1" x14ac:dyDescent="0.15">
      <c r="A312" s="97" t="s">
        <v>1</v>
      </c>
      <c r="B312" s="97">
        <v>2023</v>
      </c>
      <c r="C312" s="97" t="s">
        <v>115</v>
      </c>
      <c r="D312" s="97" t="s">
        <v>115</v>
      </c>
      <c r="E312" s="97">
        <v>2</v>
      </c>
      <c r="F312" s="97">
        <v>5</v>
      </c>
      <c r="G312" s="97" t="s">
        <v>115</v>
      </c>
      <c r="H312" s="4" t="s">
        <v>7307</v>
      </c>
      <c r="I312" s="97" t="s">
        <v>115</v>
      </c>
      <c r="J312" s="97">
        <v>20</v>
      </c>
      <c r="K312" s="96">
        <v>66500</v>
      </c>
      <c r="L312" s="97">
        <v>0</v>
      </c>
      <c r="N312" s="97">
        <v>200115</v>
      </c>
      <c r="O312" s="97">
        <v>200116</v>
      </c>
      <c r="P312" s="97">
        <v>200113</v>
      </c>
      <c r="Q312" s="97">
        <v>12</v>
      </c>
      <c r="R312" s="96">
        <v>6230</v>
      </c>
    </row>
    <row r="313" spans="1:18" s="97" customFormat="1" x14ac:dyDescent="0.15">
      <c r="A313" s="97" t="s">
        <v>1</v>
      </c>
      <c r="B313" s="97" t="s">
        <v>4697</v>
      </c>
      <c r="C313" s="97" t="s">
        <v>115</v>
      </c>
      <c r="D313" s="97">
        <v>3</v>
      </c>
      <c r="E313" s="97" t="s">
        <v>115</v>
      </c>
      <c r="F313" s="97" t="s">
        <v>115</v>
      </c>
      <c r="G313" s="97" t="s">
        <v>115</v>
      </c>
      <c r="H313" s="4" t="s">
        <v>7307</v>
      </c>
      <c r="I313" s="97" t="s">
        <v>115</v>
      </c>
      <c r="J313" s="97" t="s">
        <v>115</v>
      </c>
      <c r="K313" s="4">
        <v>67000</v>
      </c>
      <c r="L313" s="97">
        <v>2032</v>
      </c>
      <c r="N313" s="97" t="s">
        <v>115</v>
      </c>
      <c r="O313" s="97" t="s">
        <v>115</v>
      </c>
      <c r="P313" s="97">
        <v>200111</v>
      </c>
      <c r="Q313" s="97">
        <v>12</v>
      </c>
      <c r="R313" s="96">
        <v>6230</v>
      </c>
    </row>
    <row r="314" spans="1:18" s="97" customFormat="1" x14ac:dyDescent="0.15">
      <c r="A314" s="97" t="s">
        <v>1</v>
      </c>
      <c r="B314" s="97">
        <v>2032</v>
      </c>
      <c r="C314" s="97" t="s">
        <v>115</v>
      </c>
      <c r="D314" s="97" t="s">
        <v>115</v>
      </c>
      <c r="E314" s="97">
        <v>1</v>
      </c>
      <c r="F314" s="97">
        <v>5</v>
      </c>
      <c r="G314" s="97" t="s">
        <v>115</v>
      </c>
      <c r="H314" s="4" t="s">
        <v>7307</v>
      </c>
      <c r="I314" s="97" t="s">
        <v>4800</v>
      </c>
      <c r="J314" s="97" t="s">
        <v>115</v>
      </c>
      <c r="K314" s="96">
        <v>67000</v>
      </c>
      <c r="L314" s="97">
        <v>2033</v>
      </c>
      <c r="N314" s="97" t="s">
        <v>115</v>
      </c>
      <c r="O314" s="97" t="s">
        <v>115</v>
      </c>
      <c r="P314" s="97">
        <v>200112</v>
      </c>
      <c r="Q314" s="97">
        <v>12</v>
      </c>
      <c r="R314" s="96">
        <v>6230</v>
      </c>
    </row>
    <row r="315" spans="1:18" s="97" customFormat="1" x14ac:dyDescent="0.15">
      <c r="A315" s="97" t="s">
        <v>1</v>
      </c>
      <c r="B315" s="97">
        <v>2033</v>
      </c>
      <c r="C315" s="97" t="s">
        <v>115</v>
      </c>
      <c r="D315" s="97" t="s">
        <v>115</v>
      </c>
      <c r="E315" s="97">
        <v>2</v>
      </c>
      <c r="F315" s="97">
        <v>5</v>
      </c>
      <c r="G315" s="97" t="s">
        <v>115</v>
      </c>
      <c r="H315" s="4" t="s">
        <v>7307</v>
      </c>
      <c r="I315" s="97" t="s">
        <v>115</v>
      </c>
      <c r="J315" s="97">
        <v>20</v>
      </c>
      <c r="K315" s="96">
        <v>67000</v>
      </c>
      <c r="L315" s="97">
        <v>0</v>
      </c>
      <c r="N315" s="97">
        <v>200115</v>
      </c>
      <c r="O315" s="97">
        <v>200116</v>
      </c>
      <c r="P315" s="97">
        <v>200113</v>
      </c>
      <c r="Q315" s="97">
        <v>12</v>
      </c>
      <c r="R315" s="96">
        <v>6230</v>
      </c>
    </row>
    <row r="316" spans="1:18" s="97" customFormat="1" x14ac:dyDescent="0.15">
      <c r="A316" s="97" t="s">
        <v>1</v>
      </c>
      <c r="B316" s="97" t="s">
        <v>4698</v>
      </c>
      <c r="C316" s="97" t="s">
        <v>115</v>
      </c>
      <c r="D316" s="97">
        <v>3</v>
      </c>
      <c r="E316" s="97" t="s">
        <v>115</v>
      </c>
      <c r="F316" s="97" t="s">
        <v>115</v>
      </c>
      <c r="G316" s="97" t="s">
        <v>115</v>
      </c>
      <c r="H316" s="4" t="s">
        <v>7307</v>
      </c>
      <c r="I316" s="97" t="s">
        <v>115</v>
      </c>
      <c r="J316" s="97" t="s">
        <v>115</v>
      </c>
      <c r="K316" s="4">
        <v>67500</v>
      </c>
      <c r="L316" s="97">
        <v>2042</v>
      </c>
      <c r="N316" s="97" t="s">
        <v>115</v>
      </c>
      <c r="O316" s="97" t="s">
        <v>115</v>
      </c>
      <c r="P316" s="97">
        <v>200111</v>
      </c>
      <c r="Q316" s="97">
        <v>197</v>
      </c>
      <c r="R316" s="96">
        <v>6230</v>
      </c>
    </row>
    <row r="317" spans="1:18" s="97" customFormat="1" x14ac:dyDescent="0.15">
      <c r="A317" s="97" t="s">
        <v>1</v>
      </c>
      <c r="B317" s="97">
        <v>2042</v>
      </c>
      <c r="C317" s="97" t="s">
        <v>115</v>
      </c>
      <c r="D317" s="97" t="s">
        <v>115</v>
      </c>
      <c r="E317" s="97">
        <v>1</v>
      </c>
      <c r="F317" s="97">
        <v>5</v>
      </c>
      <c r="G317" s="97" t="s">
        <v>115</v>
      </c>
      <c r="H317" s="4" t="s">
        <v>7307</v>
      </c>
      <c r="I317" s="97" t="s">
        <v>4800</v>
      </c>
      <c r="J317" s="97" t="s">
        <v>115</v>
      </c>
      <c r="K317" s="96">
        <v>67500</v>
      </c>
      <c r="L317" s="97">
        <v>2043</v>
      </c>
      <c r="N317" s="97" t="s">
        <v>115</v>
      </c>
      <c r="O317" s="97" t="s">
        <v>115</v>
      </c>
      <c r="P317" s="97">
        <v>200112</v>
      </c>
      <c r="Q317" s="97">
        <v>197</v>
      </c>
      <c r="R317" s="96">
        <v>6230</v>
      </c>
    </row>
    <row r="318" spans="1:18" s="97" customFormat="1" x14ac:dyDescent="0.15">
      <c r="A318" s="97" t="s">
        <v>1</v>
      </c>
      <c r="B318" s="97">
        <v>2043</v>
      </c>
      <c r="C318" s="97" t="s">
        <v>115</v>
      </c>
      <c r="D318" s="97" t="s">
        <v>115</v>
      </c>
      <c r="E318" s="97">
        <v>2</v>
      </c>
      <c r="F318" s="97">
        <v>5</v>
      </c>
      <c r="G318" s="97" t="s">
        <v>115</v>
      </c>
      <c r="H318" s="4" t="s">
        <v>7307</v>
      </c>
      <c r="I318" s="97" t="s">
        <v>115</v>
      </c>
      <c r="J318" s="97">
        <v>20</v>
      </c>
      <c r="K318" s="96">
        <v>67500</v>
      </c>
      <c r="L318" s="97">
        <v>0</v>
      </c>
      <c r="N318" s="97">
        <v>200115</v>
      </c>
      <c r="O318" s="97">
        <v>200116</v>
      </c>
      <c r="P318" s="97">
        <v>200113</v>
      </c>
      <c r="Q318" s="97">
        <v>197</v>
      </c>
      <c r="R318" s="96">
        <v>6230</v>
      </c>
    </row>
    <row r="319" spans="1:18" s="97" customFormat="1" x14ac:dyDescent="0.15">
      <c r="A319" s="97" t="s">
        <v>1</v>
      </c>
      <c r="B319" s="97" t="s">
        <v>4699</v>
      </c>
      <c r="C319" s="97" t="s">
        <v>115</v>
      </c>
      <c r="D319" s="97">
        <v>3</v>
      </c>
      <c r="E319" s="97" t="s">
        <v>115</v>
      </c>
      <c r="F319" s="97" t="s">
        <v>115</v>
      </c>
      <c r="G319" s="97" t="s">
        <v>115</v>
      </c>
      <c r="H319" s="4" t="s">
        <v>7307</v>
      </c>
      <c r="I319" s="97" t="s">
        <v>115</v>
      </c>
      <c r="J319" s="97" t="s">
        <v>115</v>
      </c>
      <c r="K319" s="4">
        <v>68000</v>
      </c>
      <c r="L319" s="97">
        <v>2052</v>
      </c>
      <c r="N319" s="97" t="s">
        <v>115</v>
      </c>
      <c r="O319" s="97" t="s">
        <v>115</v>
      </c>
      <c r="P319" s="97">
        <v>200111</v>
      </c>
      <c r="Q319" s="97">
        <v>198</v>
      </c>
      <c r="R319" s="96">
        <v>6230</v>
      </c>
    </row>
    <row r="320" spans="1:18" s="97" customFormat="1" x14ac:dyDescent="0.15">
      <c r="A320" s="97" t="s">
        <v>1</v>
      </c>
      <c r="B320" s="97">
        <v>2052</v>
      </c>
      <c r="C320" s="97" t="s">
        <v>115</v>
      </c>
      <c r="D320" s="97" t="s">
        <v>115</v>
      </c>
      <c r="E320" s="97">
        <v>1</v>
      </c>
      <c r="F320" s="97">
        <v>5</v>
      </c>
      <c r="G320" s="97" t="s">
        <v>115</v>
      </c>
      <c r="H320" s="4" t="s">
        <v>7307</v>
      </c>
      <c r="I320" s="97" t="s">
        <v>4800</v>
      </c>
      <c r="J320" s="97" t="s">
        <v>115</v>
      </c>
      <c r="K320" s="96">
        <v>68000</v>
      </c>
      <c r="L320" s="97">
        <v>2053</v>
      </c>
      <c r="N320" s="97" t="s">
        <v>115</v>
      </c>
      <c r="O320" s="97" t="s">
        <v>115</v>
      </c>
      <c r="P320" s="97">
        <v>200112</v>
      </c>
      <c r="Q320" s="97">
        <v>198</v>
      </c>
      <c r="R320" s="96">
        <v>6230</v>
      </c>
    </row>
    <row r="321" spans="1:18" s="97" customFormat="1" x14ac:dyDescent="0.15">
      <c r="A321" s="97" t="s">
        <v>1</v>
      </c>
      <c r="B321" s="97">
        <v>2053</v>
      </c>
      <c r="C321" s="97" t="s">
        <v>115</v>
      </c>
      <c r="D321" s="97" t="s">
        <v>115</v>
      </c>
      <c r="E321" s="97">
        <v>2</v>
      </c>
      <c r="F321" s="97">
        <v>5</v>
      </c>
      <c r="G321" s="97" t="s">
        <v>115</v>
      </c>
      <c r="H321" s="4" t="s">
        <v>7307</v>
      </c>
      <c r="I321" s="97" t="s">
        <v>115</v>
      </c>
      <c r="J321" s="97">
        <v>20</v>
      </c>
      <c r="K321" s="96">
        <v>68000</v>
      </c>
      <c r="L321" s="97">
        <v>0</v>
      </c>
      <c r="N321" s="97">
        <v>200115</v>
      </c>
      <c r="O321" s="97">
        <v>200116</v>
      </c>
      <c r="P321" s="97">
        <v>200113</v>
      </c>
      <c r="Q321" s="97">
        <v>198</v>
      </c>
      <c r="R321" s="96">
        <v>6230</v>
      </c>
    </row>
    <row r="322" spans="1:18" s="97" customFormat="1" x14ac:dyDescent="0.15">
      <c r="A322" s="97" t="s">
        <v>1</v>
      </c>
      <c r="B322" s="97" t="s">
        <v>4700</v>
      </c>
      <c r="C322" s="97" t="s">
        <v>115</v>
      </c>
      <c r="D322" s="97">
        <v>3</v>
      </c>
      <c r="E322" s="97" t="s">
        <v>115</v>
      </c>
      <c r="F322" s="97" t="s">
        <v>115</v>
      </c>
      <c r="G322" s="97" t="s">
        <v>115</v>
      </c>
      <c r="H322" s="4" t="s">
        <v>7307</v>
      </c>
      <c r="I322" s="97" t="s">
        <v>115</v>
      </c>
      <c r="J322" s="97" t="s">
        <v>115</v>
      </c>
      <c r="K322" s="4">
        <v>68500</v>
      </c>
      <c r="L322" s="97">
        <v>2062</v>
      </c>
      <c r="N322" s="97" t="s">
        <v>115</v>
      </c>
      <c r="O322" s="97" t="s">
        <v>115</v>
      </c>
      <c r="P322" s="97">
        <v>200111</v>
      </c>
      <c r="Q322" s="97">
        <v>198</v>
      </c>
      <c r="R322" s="96">
        <v>6230</v>
      </c>
    </row>
    <row r="323" spans="1:18" s="97" customFormat="1" x14ac:dyDescent="0.15">
      <c r="A323" s="97" t="s">
        <v>1</v>
      </c>
      <c r="B323" s="97">
        <v>2062</v>
      </c>
      <c r="C323" s="97" t="s">
        <v>115</v>
      </c>
      <c r="D323" s="97" t="s">
        <v>115</v>
      </c>
      <c r="E323" s="97">
        <v>1</v>
      </c>
      <c r="F323" s="97">
        <v>5</v>
      </c>
      <c r="G323" s="97" t="s">
        <v>115</v>
      </c>
      <c r="H323" s="4" t="s">
        <v>7307</v>
      </c>
      <c r="I323" s="97" t="s">
        <v>4800</v>
      </c>
      <c r="J323" s="97" t="s">
        <v>115</v>
      </c>
      <c r="K323" s="96">
        <v>68500</v>
      </c>
      <c r="L323" s="97">
        <v>2063</v>
      </c>
      <c r="N323" s="97" t="s">
        <v>115</v>
      </c>
      <c r="O323" s="97" t="s">
        <v>115</v>
      </c>
      <c r="P323" s="97">
        <v>200112</v>
      </c>
      <c r="Q323" s="97">
        <v>198</v>
      </c>
      <c r="R323" s="96">
        <v>6230</v>
      </c>
    </row>
    <row r="324" spans="1:18" s="97" customFormat="1" x14ac:dyDescent="0.15">
      <c r="A324" s="97" t="s">
        <v>1</v>
      </c>
      <c r="B324" s="97">
        <v>2063</v>
      </c>
      <c r="C324" s="97" t="s">
        <v>115</v>
      </c>
      <c r="D324" s="97" t="s">
        <v>115</v>
      </c>
      <c r="E324" s="97">
        <v>2</v>
      </c>
      <c r="F324" s="97">
        <v>5</v>
      </c>
      <c r="G324" s="97" t="s">
        <v>115</v>
      </c>
      <c r="H324" s="4" t="s">
        <v>7307</v>
      </c>
      <c r="I324" s="97" t="s">
        <v>115</v>
      </c>
      <c r="J324" s="97">
        <v>20</v>
      </c>
      <c r="K324" s="96">
        <v>68500</v>
      </c>
      <c r="L324" s="97">
        <v>0</v>
      </c>
      <c r="N324" s="97">
        <v>200115</v>
      </c>
      <c r="O324" s="97">
        <v>200116</v>
      </c>
      <c r="P324" s="97">
        <v>200113</v>
      </c>
      <c r="Q324" s="97">
        <v>198</v>
      </c>
      <c r="R324" s="96">
        <v>6230</v>
      </c>
    </row>
    <row r="325" spans="1:18" s="97" customFormat="1" x14ac:dyDescent="0.15">
      <c r="A325" s="97" t="s">
        <v>1</v>
      </c>
      <c r="B325" s="97" t="s">
        <v>4701</v>
      </c>
      <c r="C325" s="97" t="s">
        <v>115</v>
      </c>
      <c r="D325" s="97">
        <v>3</v>
      </c>
      <c r="E325" s="97" t="s">
        <v>115</v>
      </c>
      <c r="F325" s="97" t="s">
        <v>115</v>
      </c>
      <c r="G325" s="97" t="s">
        <v>115</v>
      </c>
      <c r="H325" s="4" t="s">
        <v>7307</v>
      </c>
      <c r="I325" s="97" t="s">
        <v>115</v>
      </c>
      <c r="J325" s="97" t="s">
        <v>115</v>
      </c>
      <c r="K325" s="4">
        <v>69000</v>
      </c>
      <c r="L325" s="97">
        <v>2072</v>
      </c>
      <c r="N325" s="97" t="s">
        <v>115</v>
      </c>
      <c r="O325" s="97" t="s">
        <v>115</v>
      </c>
      <c r="P325" s="97">
        <v>200111</v>
      </c>
      <c r="Q325" s="97">
        <v>12</v>
      </c>
      <c r="R325" s="96">
        <v>6230</v>
      </c>
    </row>
    <row r="326" spans="1:18" s="97" customFormat="1" x14ac:dyDescent="0.15">
      <c r="A326" s="97" t="s">
        <v>1</v>
      </c>
      <c r="B326" s="97">
        <v>2072</v>
      </c>
      <c r="C326" s="97" t="s">
        <v>115</v>
      </c>
      <c r="D326" s="97" t="s">
        <v>115</v>
      </c>
      <c r="E326" s="97">
        <v>1</v>
      </c>
      <c r="F326" s="97">
        <v>5</v>
      </c>
      <c r="G326" s="97" t="s">
        <v>115</v>
      </c>
      <c r="H326" s="4" t="s">
        <v>7307</v>
      </c>
      <c r="I326" s="97" t="s">
        <v>4800</v>
      </c>
      <c r="J326" s="97" t="s">
        <v>115</v>
      </c>
      <c r="K326" s="96">
        <v>69000</v>
      </c>
      <c r="L326" s="97">
        <v>2073</v>
      </c>
      <c r="N326" s="97" t="s">
        <v>115</v>
      </c>
      <c r="O326" s="97" t="s">
        <v>115</v>
      </c>
      <c r="P326" s="97">
        <v>200112</v>
      </c>
      <c r="Q326" s="97">
        <v>12</v>
      </c>
      <c r="R326" s="96">
        <v>6230</v>
      </c>
    </row>
    <row r="327" spans="1:18" s="97" customFormat="1" x14ac:dyDescent="0.15">
      <c r="A327" s="97" t="s">
        <v>1</v>
      </c>
      <c r="B327" s="97">
        <v>2073</v>
      </c>
      <c r="C327" s="97" t="s">
        <v>115</v>
      </c>
      <c r="D327" s="97" t="s">
        <v>115</v>
      </c>
      <c r="E327" s="97">
        <v>2</v>
      </c>
      <c r="F327" s="97">
        <v>5</v>
      </c>
      <c r="G327" s="97" t="s">
        <v>115</v>
      </c>
      <c r="H327" s="4" t="s">
        <v>7307</v>
      </c>
      <c r="I327" s="97" t="s">
        <v>115</v>
      </c>
      <c r="J327" s="97">
        <v>20</v>
      </c>
      <c r="K327" s="96">
        <v>69000</v>
      </c>
      <c r="L327" s="97">
        <v>0</v>
      </c>
      <c r="N327" s="97">
        <v>200115</v>
      </c>
      <c r="O327" s="97">
        <v>200116</v>
      </c>
      <c r="P327" s="97">
        <v>200113</v>
      </c>
      <c r="Q327" s="97">
        <v>12</v>
      </c>
      <c r="R327" s="96">
        <v>6230</v>
      </c>
    </row>
    <row r="328" spans="1:18" s="89" customFormat="1" x14ac:dyDescent="0.15">
      <c r="A328" s="89" t="s">
        <v>1</v>
      </c>
      <c r="B328" s="89" t="s">
        <v>6844</v>
      </c>
      <c r="C328" s="89" t="s">
        <v>115</v>
      </c>
      <c r="D328" s="89">
        <v>3</v>
      </c>
      <c r="E328" s="89" t="s">
        <v>115</v>
      </c>
      <c r="F328" s="89" t="s">
        <v>115</v>
      </c>
      <c r="G328" s="89" t="s">
        <v>115</v>
      </c>
      <c r="H328" s="4" t="s">
        <v>7307</v>
      </c>
      <c r="I328" s="4" t="s">
        <v>115</v>
      </c>
      <c r="J328" s="4" t="s">
        <v>115</v>
      </c>
      <c r="K328" s="4">
        <v>67000</v>
      </c>
      <c r="L328" s="89">
        <v>2112</v>
      </c>
      <c r="N328" s="97" t="s">
        <v>115</v>
      </c>
      <c r="O328" s="97" t="s">
        <v>115</v>
      </c>
      <c r="P328" s="97">
        <v>200111</v>
      </c>
      <c r="Q328" s="89">
        <v>135</v>
      </c>
      <c r="R328" s="88">
        <v>6230</v>
      </c>
    </row>
    <row r="329" spans="1:18" s="89" customFormat="1" x14ac:dyDescent="0.15">
      <c r="A329" s="89" t="s">
        <v>1</v>
      </c>
      <c r="B329" s="89">
        <v>2112</v>
      </c>
      <c r="C329" s="89" t="s">
        <v>115</v>
      </c>
      <c r="D329" s="89" t="s">
        <v>115</v>
      </c>
      <c r="E329" s="89">
        <v>1</v>
      </c>
      <c r="F329" s="89">
        <v>5</v>
      </c>
      <c r="G329" s="89" t="s">
        <v>115</v>
      </c>
      <c r="H329" s="4" t="s">
        <v>7307</v>
      </c>
      <c r="I329" s="4" t="s">
        <v>4800</v>
      </c>
      <c r="J329" s="4" t="s">
        <v>115</v>
      </c>
      <c r="K329" s="96">
        <v>67000</v>
      </c>
      <c r="L329" s="89">
        <v>2113</v>
      </c>
      <c r="N329" s="97" t="s">
        <v>115</v>
      </c>
      <c r="O329" s="97" t="s">
        <v>115</v>
      </c>
      <c r="P329" s="97">
        <v>200112</v>
      </c>
      <c r="Q329" s="89">
        <v>135</v>
      </c>
      <c r="R329" s="88">
        <v>6230</v>
      </c>
    </row>
    <row r="330" spans="1:18" s="89" customFormat="1" x14ac:dyDescent="0.15">
      <c r="A330" s="89" t="s">
        <v>1</v>
      </c>
      <c r="B330" s="89">
        <v>2113</v>
      </c>
      <c r="C330" s="89" t="s">
        <v>115</v>
      </c>
      <c r="D330" s="89" t="s">
        <v>115</v>
      </c>
      <c r="E330" s="89">
        <v>2</v>
      </c>
      <c r="F330" s="89">
        <v>5</v>
      </c>
      <c r="G330" s="89" t="s">
        <v>115</v>
      </c>
      <c r="H330" s="4" t="s">
        <v>7307</v>
      </c>
      <c r="I330" s="4" t="s">
        <v>115</v>
      </c>
      <c r="J330" s="4">
        <v>20</v>
      </c>
      <c r="K330" s="96">
        <v>67000</v>
      </c>
      <c r="L330" s="89">
        <v>0</v>
      </c>
      <c r="N330" s="97">
        <v>200115</v>
      </c>
      <c r="O330" s="97">
        <v>200116</v>
      </c>
      <c r="P330" s="97">
        <v>200113</v>
      </c>
      <c r="Q330" s="89">
        <v>135</v>
      </c>
      <c r="R330" s="88">
        <v>6230</v>
      </c>
    </row>
    <row r="331" spans="1:18" s="89" customFormat="1" x14ac:dyDescent="0.15">
      <c r="A331" s="89" t="s">
        <v>1</v>
      </c>
      <c r="B331" s="89" t="s">
        <v>6845</v>
      </c>
      <c r="C331" s="89" t="s">
        <v>115</v>
      </c>
      <c r="D331" s="89">
        <v>3</v>
      </c>
      <c r="E331" s="89" t="s">
        <v>115</v>
      </c>
      <c r="F331" s="89" t="s">
        <v>115</v>
      </c>
      <c r="G331" s="89" t="s">
        <v>115</v>
      </c>
      <c r="H331" s="4" t="s">
        <v>7307</v>
      </c>
      <c r="I331" s="96" t="s">
        <v>115</v>
      </c>
      <c r="J331" s="96" t="s">
        <v>115</v>
      </c>
      <c r="K331" s="4">
        <v>67500</v>
      </c>
      <c r="L331" s="89">
        <v>2122</v>
      </c>
      <c r="N331" s="97" t="s">
        <v>115</v>
      </c>
      <c r="O331" s="97" t="s">
        <v>115</v>
      </c>
      <c r="P331" s="97">
        <v>200111</v>
      </c>
      <c r="Q331" s="89">
        <v>205</v>
      </c>
      <c r="R331" s="88">
        <v>6230</v>
      </c>
    </row>
    <row r="332" spans="1:18" s="89" customFormat="1" x14ac:dyDescent="0.15">
      <c r="A332" s="89" t="s">
        <v>1</v>
      </c>
      <c r="B332" s="89">
        <v>2122</v>
      </c>
      <c r="C332" s="89" t="s">
        <v>115</v>
      </c>
      <c r="D332" s="89" t="s">
        <v>115</v>
      </c>
      <c r="E332" s="89">
        <v>1</v>
      </c>
      <c r="F332" s="89">
        <v>5</v>
      </c>
      <c r="G332" s="89" t="s">
        <v>115</v>
      </c>
      <c r="H332" s="4" t="s">
        <v>7307</v>
      </c>
      <c r="I332" s="4" t="s">
        <v>4800</v>
      </c>
      <c r="J332" s="96" t="s">
        <v>115</v>
      </c>
      <c r="K332" s="96">
        <v>67500</v>
      </c>
      <c r="L332" s="89">
        <v>2123</v>
      </c>
      <c r="N332" s="97" t="s">
        <v>115</v>
      </c>
      <c r="O332" s="97" t="s">
        <v>115</v>
      </c>
      <c r="P332" s="97">
        <v>200112</v>
      </c>
      <c r="Q332" s="89">
        <v>205</v>
      </c>
      <c r="R332" s="88">
        <v>6230</v>
      </c>
    </row>
    <row r="333" spans="1:18" s="89" customFormat="1" x14ac:dyDescent="0.15">
      <c r="A333" s="89" t="s">
        <v>1</v>
      </c>
      <c r="B333" s="89">
        <v>2123</v>
      </c>
      <c r="C333" s="89" t="s">
        <v>115</v>
      </c>
      <c r="D333" s="89" t="s">
        <v>115</v>
      </c>
      <c r="E333" s="89">
        <v>2</v>
      </c>
      <c r="F333" s="89">
        <v>5</v>
      </c>
      <c r="G333" s="89" t="s">
        <v>115</v>
      </c>
      <c r="H333" s="4" t="s">
        <v>7307</v>
      </c>
      <c r="I333" s="96" t="s">
        <v>115</v>
      </c>
      <c r="J333" s="96">
        <v>20</v>
      </c>
      <c r="K333" s="96">
        <v>67500</v>
      </c>
      <c r="L333" s="89">
        <v>0</v>
      </c>
      <c r="N333" s="97">
        <v>200115</v>
      </c>
      <c r="O333" s="97">
        <v>200116</v>
      </c>
      <c r="P333" s="97">
        <v>200113</v>
      </c>
      <c r="Q333" s="89">
        <v>205</v>
      </c>
      <c r="R333" s="88">
        <v>6230</v>
      </c>
    </row>
    <row r="334" spans="1:18" s="89" customFormat="1" x14ac:dyDescent="0.15">
      <c r="A334" s="89" t="s">
        <v>1</v>
      </c>
      <c r="B334" s="89" t="s">
        <v>6846</v>
      </c>
      <c r="C334" s="89" t="s">
        <v>115</v>
      </c>
      <c r="D334" s="89">
        <v>3</v>
      </c>
      <c r="E334" s="89" t="s">
        <v>115</v>
      </c>
      <c r="F334" s="89" t="s">
        <v>115</v>
      </c>
      <c r="G334" s="89" t="s">
        <v>115</v>
      </c>
      <c r="H334" s="4" t="s">
        <v>7307</v>
      </c>
      <c r="I334" s="97" t="s">
        <v>115</v>
      </c>
      <c r="J334" s="97" t="s">
        <v>115</v>
      </c>
      <c r="K334" s="4">
        <v>68000</v>
      </c>
      <c r="L334" s="89">
        <v>2132</v>
      </c>
      <c r="N334" s="97" t="s">
        <v>115</v>
      </c>
      <c r="O334" s="97" t="s">
        <v>115</v>
      </c>
      <c r="P334" s="97">
        <v>200111</v>
      </c>
      <c r="Q334" s="89">
        <v>198</v>
      </c>
      <c r="R334" s="88">
        <v>6230</v>
      </c>
    </row>
    <row r="335" spans="1:18" s="89" customFormat="1" x14ac:dyDescent="0.15">
      <c r="A335" s="89" t="s">
        <v>1</v>
      </c>
      <c r="B335" s="89">
        <v>2132</v>
      </c>
      <c r="C335" s="89" t="s">
        <v>115</v>
      </c>
      <c r="D335" s="89" t="s">
        <v>115</v>
      </c>
      <c r="E335" s="89">
        <v>1</v>
      </c>
      <c r="F335" s="89">
        <v>5</v>
      </c>
      <c r="G335" s="89" t="s">
        <v>115</v>
      </c>
      <c r="H335" s="4" t="s">
        <v>7307</v>
      </c>
      <c r="I335" s="4" t="s">
        <v>4800</v>
      </c>
      <c r="J335" s="97" t="s">
        <v>115</v>
      </c>
      <c r="K335" s="96">
        <v>68000</v>
      </c>
      <c r="L335" s="89">
        <v>2133</v>
      </c>
      <c r="N335" s="97" t="s">
        <v>115</v>
      </c>
      <c r="O335" s="97" t="s">
        <v>115</v>
      </c>
      <c r="P335" s="97">
        <v>200112</v>
      </c>
      <c r="Q335" s="89">
        <v>198</v>
      </c>
      <c r="R335" s="88">
        <v>6230</v>
      </c>
    </row>
    <row r="336" spans="1:18" s="89" customFormat="1" x14ac:dyDescent="0.15">
      <c r="A336" s="89" t="s">
        <v>1</v>
      </c>
      <c r="B336" s="89">
        <v>2133</v>
      </c>
      <c r="C336" s="89" t="s">
        <v>115</v>
      </c>
      <c r="D336" s="89" t="s">
        <v>115</v>
      </c>
      <c r="E336" s="89">
        <v>2</v>
      </c>
      <c r="F336" s="89">
        <v>5</v>
      </c>
      <c r="G336" s="89" t="s">
        <v>115</v>
      </c>
      <c r="H336" s="4" t="s">
        <v>7307</v>
      </c>
      <c r="I336" s="97" t="s">
        <v>115</v>
      </c>
      <c r="J336" s="97">
        <v>20</v>
      </c>
      <c r="K336" s="96">
        <v>68000</v>
      </c>
      <c r="L336" s="89">
        <v>0</v>
      </c>
      <c r="N336" s="97">
        <v>200115</v>
      </c>
      <c r="O336" s="97">
        <v>200116</v>
      </c>
      <c r="P336" s="97">
        <v>200113</v>
      </c>
      <c r="Q336" s="89">
        <v>198</v>
      </c>
      <c r="R336" s="88">
        <v>6230</v>
      </c>
    </row>
    <row r="337" spans="1:18" s="89" customFormat="1" x14ac:dyDescent="0.15">
      <c r="A337" s="89" t="s">
        <v>1</v>
      </c>
      <c r="B337" s="89" t="s">
        <v>6847</v>
      </c>
      <c r="C337" s="89" t="s">
        <v>115</v>
      </c>
      <c r="D337" s="89">
        <v>3</v>
      </c>
      <c r="E337" s="89" t="s">
        <v>115</v>
      </c>
      <c r="F337" s="89" t="s">
        <v>115</v>
      </c>
      <c r="G337" s="89" t="s">
        <v>115</v>
      </c>
      <c r="H337" s="4" t="s">
        <v>7307</v>
      </c>
      <c r="I337" s="97" t="s">
        <v>115</v>
      </c>
      <c r="J337" s="97" t="s">
        <v>115</v>
      </c>
      <c r="K337" s="4">
        <v>68500</v>
      </c>
      <c r="L337" s="89">
        <v>2142</v>
      </c>
      <c r="N337" s="97" t="s">
        <v>115</v>
      </c>
      <c r="O337" s="97" t="s">
        <v>115</v>
      </c>
      <c r="P337" s="97">
        <v>200111</v>
      </c>
      <c r="Q337" s="89">
        <v>31</v>
      </c>
      <c r="R337" s="88">
        <v>6230</v>
      </c>
    </row>
    <row r="338" spans="1:18" s="89" customFormat="1" x14ac:dyDescent="0.15">
      <c r="A338" s="89" t="s">
        <v>1</v>
      </c>
      <c r="B338" s="89">
        <v>2142</v>
      </c>
      <c r="C338" s="89" t="s">
        <v>115</v>
      </c>
      <c r="D338" s="89" t="s">
        <v>115</v>
      </c>
      <c r="E338" s="89">
        <v>1</v>
      </c>
      <c r="F338" s="89">
        <v>5</v>
      </c>
      <c r="G338" s="89" t="s">
        <v>115</v>
      </c>
      <c r="H338" s="4" t="s">
        <v>7307</v>
      </c>
      <c r="I338" s="4" t="s">
        <v>4800</v>
      </c>
      <c r="J338" s="97" t="s">
        <v>115</v>
      </c>
      <c r="K338" s="96">
        <v>68500</v>
      </c>
      <c r="L338" s="89">
        <v>2143</v>
      </c>
      <c r="N338" s="97" t="s">
        <v>115</v>
      </c>
      <c r="O338" s="97" t="s">
        <v>115</v>
      </c>
      <c r="P338" s="97">
        <v>200112</v>
      </c>
      <c r="Q338" s="89">
        <v>31</v>
      </c>
      <c r="R338" s="88">
        <v>6230</v>
      </c>
    </row>
    <row r="339" spans="1:18" s="89" customFormat="1" x14ac:dyDescent="0.15">
      <c r="A339" s="89" t="s">
        <v>1</v>
      </c>
      <c r="B339" s="89">
        <v>2143</v>
      </c>
      <c r="C339" s="89" t="s">
        <v>115</v>
      </c>
      <c r="D339" s="89" t="s">
        <v>115</v>
      </c>
      <c r="E339" s="89">
        <v>2</v>
      </c>
      <c r="F339" s="89">
        <v>5</v>
      </c>
      <c r="G339" s="89" t="s">
        <v>115</v>
      </c>
      <c r="H339" s="4" t="s">
        <v>7307</v>
      </c>
      <c r="I339" s="97" t="s">
        <v>115</v>
      </c>
      <c r="J339" s="97">
        <v>20</v>
      </c>
      <c r="K339" s="96">
        <v>68500</v>
      </c>
      <c r="L339" s="89">
        <v>0</v>
      </c>
      <c r="N339" s="97">
        <v>200115</v>
      </c>
      <c r="O339" s="97">
        <v>200116</v>
      </c>
      <c r="P339" s="97">
        <v>200113</v>
      </c>
      <c r="Q339" s="89">
        <v>31</v>
      </c>
      <c r="R339" s="88">
        <v>6230</v>
      </c>
    </row>
    <row r="340" spans="1:18" s="89" customFormat="1" x14ac:dyDescent="0.15">
      <c r="A340" s="89" t="s">
        <v>1</v>
      </c>
      <c r="B340" s="89" t="s">
        <v>6848</v>
      </c>
      <c r="C340" s="89" t="s">
        <v>115</v>
      </c>
      <c r="D340" s="89">
        <v>3</v>
      </c>
      <c r="E340" s="89" t="s">
        <v>115</v>
      </c>
      <c r="F340" s="89" t="s">
        <v>115</v>
      </c>
      <c r="G340" s="89" t="s">
        <v>115</v>
      </c>
      <c r="H340" s="4" t="s">
        <v>7307</v>
      </c>
      <c r="I340" s="97" t="s">
        <v>115</v>
      </c>
      <c r="J340" s="97" t="s">
        <v>115</v>
      </c>
      <c r="K340" s="4">
        <v>69000</v>
      </c>
      <c r="L340" s="89">
        <v>2152</v>
      </c>
      <c r="N340" s="97" t="s">
        <v>115</v>
      </c>
      <c r="O340" s="97" t="s">
        <v>115</v>
      </c>
      <c r="P340" s="97">
        <v>200111</v>
      </c>
      <c r="Q340" s="89">
        <v>146</v>
      </c>
      <c r="R340" s="88">
        <v>6230</v>
      </c>
    </row>
    <row r="341" spans="1:18" s="89" customFormat="1" x14ac:dyDescent="0.15">
      <c r="A341" s="89" t="s">
        <v>1</v>
      </c>
      <c r="B341" s="89">
        <v>2152</v>
      </c>
      <c r="C341" s="89" t="s">
        <v>115</v>
      </c>
      <c r="D341" s="89" t="s">
        <v>115</v>
      </c>
      <c r="E341" s="89">
        <v>1</v>
      </c>
      <c r="F341" s="89">
        <v>5</v>
      </c>
      <c r="G341" s="89" t="s">
        <v>115</v>
      </c>
      <c r="H341" s="4" t="s">
        <v>7307</v>
      </c>
      <c r="I341" s="4" t="s">
        <v>4800</v>
      </c>
      <c r="J341" s="97" t="s">
        <v>115</v>
      </c>
      <c r="K341" s="96">
        <v>69000</v>
      </c>
      <c r="L341" s="89">
        <v>2153</v>
      </c>
      <c r="N341" s="97" t="s">
        <v>115</v>
      </c>
      <c r="O341" s="97" t="s">
        <v>115</v>
      </c>
      <c r="P341" s="97">
        <v>200112</v>
      </c>
      <c r="Q341" s="89">
        <v>146</v>
      </c>
      <c r="R341" s="88">
        <v>6230</v>
      </c>
    </row>
    <row r="342" spans="1:18" s="89" customFormat="1" x14ac:dyDescent="0.15">
      <c r="A342" s="89" t="s">
        <v>1</v>
      </c>
      <c r="B342" s="89">
        <v>2153</v>
      </c>
      <c r="C342" s="89" t="s">
        <v>115</v>
      </c>
      <c r="D342" s="89" t="s">
        <v>115</v>
      </c>
      <c r="E342" s="89">
        <v>2</v>
      </c>
      <c r="F342" s="89">
        <v>5</v>
      </c>
      <c r="G342" s="89" t="s">
        <v>115</v>
      </c>
      <c r="H342" s="4" t="s">
        <v>7307</v>
      </c>
      <c r="I342" s="97" t="s">
        <v>115</v>
      </c>
      <c r="J342" s="97">
        <v>20</v>
      </c>
      <c r="K342" s="96">
        <v>69000</v>
      </c>
      <c r="L342" s="89">
        <v>0</v>
      </c>
      <c r="N342" s="97">
        <v>200115</v>
      </c>
      <c r="O342" s="97">
        <v>200116</v>
      </c>
      <c r="P342" s="97">
        <v>200113</v>
      </c>
      <c r="Q342" s="89">
        <v>146</v>
      </c>
      <c r="R342" s="88">
        <v>6230</v>
      </c>
    </row>
    <row r="343" spans="1:18" s="89" customFormat="1" x14ac:dyDescent="0.15">
      <c r="A343" s="89" t="s">
        <v>1</v>
      </c>
      <c r="B343" s="89" t="s">
        <v>6849</v>
      </c>
      <c r="C343" s="89" t="s">
        <v>115</v>
      </c>
      <c r="D343" s="89">
        <v>3</v>
      </c>
      <c r="E343" s="89" t="s">
        <v>115</v>
      </c>
      <c r="F343" s="89" t="s">
        <v>115</v>
      </c>
      <c r="G343" s="89" t="s">
        <v>115</v>
      </c>
      <c r="H343" s="4" t="s">
        <v>7307</v>
      </c>
      <c r="I343" s="97" t="s">
        <v>115</v>
      </c>
      <c r="J343" s="97" t="s">
        <v>115</v>
      </c>
      <c r="K343" s="4">
        <v>69500</v>
      </c>
      <c r="L343" s="89">
        <v>2162</v>
      </c>
      <c r="N343" s="97" t="s">
        <v>115</v>
      </c>
      <c r="O343" s="97" t="s">
        <v>115</v>
      </c>
      <c r="P343" s="97">
        <v>200111</v>
      </c>
      <c r="Q343" s="89">
        <v>146</v>
      </c>
      <c r="R343" s="88">
        <v>6230</v>
      </c>
    </row>
    <row r="344" spans="1:18" s="89" customFormat="1" x14ac:dyDescent="0.15">
      <c r="A344" s="89" t="s">
        <v>1</v>
      </c>
      <c r="B344" s="89">
        <v>2162</v>
      </c>
      <c r="C344" s="89" t="s">
        <v>115</v>
      </c>
      <c r="D344" s="89" t="s">
        <v>115</v>
      </c>
      <c r="E344" s="89">
        <v>1</v>
      </c>
      <c r="F344" s="89">
        <v>5</v>
      </c>
      <c r="G344" s="89" t="s">
        <v>115</v>
      </c>
      <c r="H344" s="4" t="s">
        <v>7307</v>
      </c>
      <c r="I344" s="4" t="s">
        <v>4800</v>
      </c>
      <c r="J344" s="97" t="s">
        <v>115</v>
      </c>
      <c r="K344" s="96">
        <v>69500</v>
      </c>
      <c r="L344" s="89">
        <v>2163</v>
      </c>
      <c r="N344" s="97" t="s">
        <v>115</v>
      </c>
      <c r="O344" s="97" t="s">
        <v>115</v>
      </c>
      <c r="P344" s="97">
        <v>200112</v>
      </c>
      <c r="Q344" s="89">
        <v>146</v>
      </c>
      <c r="R344" s="88">
        <v>6230</v>
      </c>
    </row>
    <row r="345" spans="1:18" s="89" customFormat="1" x14ac:dyDescent="0.15">
      <c r="A345" s="89" t="s">
        <v>1</v>
      </c>
      <c r="B345" s="89">
        <v>2163</v>
      </c>
      <c r="C345" s="89" t="s">
        <v>115</v>
      </c>
      <c r="D345" s="89" t="s">
        <v>115</v>
      </c>
      <c r="E345" s="89">
        <v>2</v>
      </c>
      <c r="F345" s="89">
        <v>5</v>
      </c>
      <c r="G345" s="89" t="s">
        <v>115</v>
      </c>
      <c r="H345" s="4" t="s">
        <v>7307</v>
      </c>
      <c r="I345" s="97" t="s">
        <v>115</v>
      </c>
      <c r="J345" s="97">
        <v>20</v>
      </c>
      <c r="K345" s="96">
        <v>69500</v>
      </c>
      <c r="L345" s="89">
        <v>0</v>
      </c>
      <c r="N345" s="97">
        <v>200115</v>
      </c>
      <c r="O345" s="97">
        <v>200116</v>
      </c>
      <c r="P345" s="97">
        <v>200113</v>
      </c>
      <c r="Q345" s="89">
        <v>146</v>
      </c>
      <c r="R345" s="88">
        <v>6230</v>
      </c>
    </row>
    <row r="346" spans="1:18" s="89" customFormat="1" x14ac:dyDescent="0.15">
      <c r="A346" s="89" t="s">
        <v>1</v>
      </c>
      <c r="B346" s="89" t="s">
        <v>6850</v>
      </c>
      <c r="C346" s="89" t="s">
        <v>115</v>
      </c>
      <c r="D346" s="89">
        <v>3</v>
      </c>
      <c r="E346" s="89" t="s">
        <v>115</v>
      </c>
      <c r="F346" s="89" t="s">
        <v>115</v>
      </c>
      <c r="G346" s="89" t="s">
        <v>115</v>
      </c>
      <c r="H346" s="4" t="s">
        <v>7307</v>
      </c>
      <c r="I346" s="97" t="s">
        <v>115</v>
      </c>
      <c r="J346" s="97" t="s">
        <v>115</v>
      </c>
      <c r="K346" s="4">
        <v>68000</v>
      </c>
      <c r="L346" s="89">
        <v>2212</v>
      </c>
      <c r="N346" s="97" t="s">
        <v>115</v>
      </c>
      <c r="O346" s="97" t="s">
        <v>115</v>
      </c>
      <c r="P346" s="97">
        <v>200111</v>
      </c>
      <c r="Q346" s="89">
        <v>192</v>
      </c>
      <c r="R346" s="88">
        <v>6230</v>
      </c>
    </row>
    <row r="347" spans="1:18" s="89" customFormat="1" x14ac:dyDescent="0.15">
      <c r="A347" s="89" t="s">
        <v>1</v>
      </c>
      <c r="B347" s="89">
        <v>2212</v>
      </c>
      <c r="C347" s="89" t="s">
        <v>115</v>
      </c>
      <c r="D347" s="89" t="s">
        <v>115</v>
      </c>
      <c r="E347" s="89">
        <v>1</v>
      </c>
      <c r="F347" s="89">
        <v>5</v>
      </c>
      <c r="G347" s="89" t="s">
        <v>115</v>
      </c>
      <c r="H347" s="4" t="s">
        <v>7307</v>
      </c>
      <c r="I347" s="4" t="s">
        <v>4800</v>
      </c>
      <c r="J347" s="97" t="s">
        <v>115</v>
      </c>
      <c r="K347" s="96">
        <v>68000</v>
      </c>
      <c r="L347" s="89">
        <v>2213</v>
      </c>
      <c r="N347" s="97" t="s">
        <v>115</v>
      </c>
      <c r="O347" s="97" t="s">
        <v>115</v>
      </c>
      <c r="P347" s="97">
        <v>200112</v>
      </c>
      <c r="Q347" s="89">
        <v>192</v>
      </c>
      <c r="R347" s="88">
        <v>6230</v>
      </c>
    </row>
    <row r="348" spans="1:18" s="89" customFormat="1" x14ac:dyDescent="0.15">
      <c r="A348" s="89" t="s">
        <v>1</v>
      </c>
      <c r="B348" s="89">
        <v>2213</v>
      </c>
      <c r="C348" s="89" t="s">
        <v>115</v>
      </c>
      <c r="D348" s="89" t="s">
        <v>115</v>
      </c>
      <c r="E348" s="89">
        <v>2</v>
      </c>
      <c r="F348" s="89">
        <v>5</v>
      </c>
      <c r="G348" s="89" t="s">
        <v>115</v>
      </c>
      <c r="H348" s="4" t="s">
        <v>7307</v>
      </c>
      <c r="I348" s="97" t="s">
        <v>115</v>
      </c>
      <c r="J348" s="97">
        <v>20</v>
      </c>
      <c r="K348" s="96">
        <v>68000</v>
      </c>
      <c r="L348" s="89">
        <v>0</v>
      </c>
      <c r="N348" s="97">
        <v>200115</v>
      </c>
      <c r="O348" s="97">
        <v>200116</v>
      </c>
      <c r="P348" s="97">
        <v>200113</v>
      </c>
      <c r="Q348" s="89">
        <v>192</v>
      </c>
      <c r="R348" s="88">
        <v>6230</v>
      </c>
    </row>
    <row r="349" spans="1:18" s="89" customFormat="1" x14ac:dyDescent="0.15">
      <c r="A349" s="89" t="s">
        <v>1</v>
      </c>
      <c r="B349" s="89" t="s">
        <v>6851</v>
      </c>
      <c r="C349" s="89" t="s">
        <v>115</v>
      </c>
      <c r="D349" s="89">
        <v>3</v>
      </c>
      <c r="E349" s="89" t="s">
        <v>115</v>
      </c>
      <c r="F349" s="89" t="s">
        <v>115</v>
      </c>
      <c r="G349" s="89" t="s">
        <v>115</v>
      </c>
      <c r="H349" s="4" t="s">
        <v>7307</v>
      </c>
      <c r="I349" s="97" t="s">
        <v>115</v>
      </c>
      <c r="J349" s="97" t="s">
        <v>115</v>
      </c>
      <c r="K349" s="4">
        <v>68500</v>
      </c>
      <c r="L349" s="89">
        <v>2222</v>
      </c>
      <c r="N349" s="97" t="s">
        <v>115</v>
      </c>
      <c r="O349" s="97" t="s">
        <v>115</v>
      </c>
      <c r="P349" s="97">
        <v>200111</v>
      </c>
      <c r="Q349" s="89">
        <v>112</v>
      </c>
      <c r="R349" s="88">
        <v>6230</v>
      </c>
    </row>
    <row r="350" spans="1:18" s="89" customFormat="1" x14ac:dyDescent="0.15">
      <c r="A350" s="89" t="s">
        <v>1</v>
      </c>
      <c r="B350" s="89">
        <v>2222</v>
      </c>
      <c r="C350" s="89" t="s">
        <v>115</v>
      </c>
      <c r="D350" s="89" t="s">
        <v>115</v>
      </c>
      <c r="E350" s="89">
        <v>1</v>
      </c>
      <c r="F350" s="89">
        <v>5</v>
      </c>
      <c r="G350" s="89" t="s">
        <v>115</v>
      </c>
      <c r="H350" s="4" t="s">
        <v>7307</v>
      </c>
      <c r="I350" s="4" t="s">
        <v>4800</v>
      </c>
      <c r="J350" s="97" t="s">
        <v>115</v>
      </c>
      <c r="K350" s="96">
        <v>68500</v>
      </c>
      <c r="L350" s="89">
        <v>2223</v>
      </c>
      <c r="N350" s="97" t="s">
        <v>115</v>
      </c>
      <c r="O350" s="97" t="s">
        <v>115</v>
      </c>
      <c r="P350" s="97">
        <v>200112</v>
      </c>
      <c r="Q350" s="89">
        <v>112</v>
      </c>
      <c r="R350" s="88">
        <v>6230</v>
      </c>
    </row>
    <row r="351" spans="1:18" s="89" customFormat="1" x14ac:dyDescent="0.15">
      <c r="A351" s="89" t="s">
        <v>1</v>
      </c>
      <c r="B351" s="89">
        <v>2223</v>
      </c>
      <c r="C351" s="89" t="s">
        <v>115</v>
      </c>
      <c r="D351" s="89" t="s">
        <v>115</v>
      </c>
      <c r="E351" s="89">
        <v>2</v>
      </c>
      <c r="F351" s="89">
        <v>5</v>
      </c>
      <c r="G351" s="89" t="s">
        <v>115</v>
      </c>
      <c r="H351" s="4" t="s">
        <v>7307</v>
      </c>
      <c r="I351" s="97" t="s">
        <v>115</v>
      </c>
      <c r="J351" s="97">
        <v>20</v>
      </c>
      <c r="K351" s="96">
        <v>68500</v>
      </c>
      <c r="L351" s="89">
        <v>0</v>
      </c>
      <c r="N351" s="97">
        <v>200115</v>
      </c>
      <c r="O351" s="97">
        <v>200116</v>
      </c>
      <c r="P351" s="97">
        <v>200113</v>
      </c>
      <c r="Q351" s="89">
        <v>112</v>
      </c>
      <c r="R351" s="88">
        <v>6230</v>
      </c>
    </row>
    <row r="352" spans="1:18" s="89" customFormat="1" x14ac:dyDescent="0.15">
      <c r="A352" s="89" t="s">
        <v>1</v>
      </c>
      <c r="B352" s="89" t="s">
        <v>6852</v>
      </c>
      <c r="C352" s="89" t="s">
        <v>115</v>
      </c>
      <c r="D352" s="89">
        <v>3</v>
      </c>
      <c r="E352" s="89" t="s">
        <v>115</v>
      </c>
      <c r="F352" s="89" t="s">
        <v>115</v>
      </c>
      <c r="G352" s="89" t="s">
        <v>115</v>
      </c>
      <c r="H352" s="4" t="s">
        <v>7307</v>
      </c>
      <c r="I352" s="97" t="s">
        <v>115</v>
      </c>
      <c r="J352" s="97" t="s">
        <v>115</v>
      </c>
      <c r="K352" s="4">
        <v>69000</v>
      </c>
      <c r="L352" s="89">
        <v>2232</v>
      </c>
      <c r="N352" s="97" t="s">
        <v>115</v>
      </c>
      <c r="O352" s="97" t="s">
        <v>115</v>
      </c>
      <c r="P352" s="97">
        <v>200111</v>
      </c>
      <c r="Q352" s="89">
        <v>105</v>
      </c>
      <c r="R352" s="88">
        <v>6230</v>
      </c>
    </row>
    <row r="353" spans="1:18" s="89" customFormat="1" x14ac:dyDescent="0.15">
      <c r="A353" s="89" t="s">
        <v>1</v>
      </c>
      <c r="B353" s="89">
        <v>2232</v>
      </c>
      <c r="C353" s="89" t="s">
        <v>115</v>
      </c>
      <c r="D353" s="89" t="s">
        <v>115</v>
      </c>
      <c r="E353" s="89">
        <v>1</v>
      </c>
      <c r="F353" s="89">
        <v>5</v>
      </c>
      <c r="G353" s="89" t="s">
        <v>115</v>
      </c>
      <c r="H353" s="4" t="s">
        <v>7307</v>
      </c>
      <c r="I353" s="4" t="s">
        <v>4800</v>
      </c>
      <c r="J353" s="97" t="s">
        <v>115</v>
      </c>
      <c r="K353" s="96">
        <v>69000</v>
      </c>
      <c r="L353" s="89">
        <v>2233</v>
      </c>
      <c r="N353" s="97" t="s">
        <v>115</v>
      </c>
      <c r="O353" s="97" t="s">
        <v>115</v>
      </c>
      <c r="P353" s="97">
        <v>200112</v>
      </c>
      <c r="Q353" s="89">
        <v>105</v>
      </c>
      <c r="R353" s="88">
        <v>6230</v>
      </c>
    </row>
    <row r="354" spans="1:18" s="89" customFormat="1" x14ac:dyDescent="0.15">
      <c r="A354" s="89" t="s">
        <v>1</v>
      </c>
      <c r="B354" s="89">
        <v>2233</v>
      </c>
      <c r="C354" s="89" t="s">
        <v>115</v>
      </c>
      <c r="D354" s="89" t="s">
        <v>115</v>
      </c>
      <c r="E354" s="89">
        <v>2</v>
      </c>
      <c r="F354" s="89">
        <v>5</v>
      </c>
      <c r="G354" s="89" t="s">
        <v>115</v>
      </c>
      <c r="H354" s="4" t="s">
        <v>7307</v>
      </c>
      <c r="I354" s="97" t="s">
        <v>115</v>
      </c>
      <c r="J354" s="97">
        <v>20</v>
      </c>
      <c r="K354" s="96">
        <v>69000</v>
      </c>
      <c r="L354" s="89">
        <v>0</v>
      </c>
      <c r="N354" s="97">
        <v>200115</v>
      </c>
      <c r="O354" s="97">
        <v>200116</v>
      </c>
      <c r="P354" s="97">
        <v>200113</v>
      </c>
      <c r="Q354" s="89">
        <v>105</v>
      </c>
      <c r="R354" s="88">
        <v>6230</v>
      </c>
    </row>
    <row r="355" spans="1:18" s="89" customFormat="1" x14ac:dyDescent="0.15">
      <c r="A355" s="89" t="s">
        <v>1</v>
      </c>
      <c r="B355" s="89" t="s">
        <v>6853</v>
      </c>
      <c r="C355" s="89" t="s">
        <v>115</v>
      </c>
      <c r="D355" s="89">
        <v>3</v>
      </c>
      <c r="E355" s="89" t="s">
        <v>115</v>
      </c>
      <c r="F355" s="89" t="s">
        <v>115</v>
      </c>
      <c r="G355" s="89" t="s">
        <v>115</v>
      </c>
      <c r="H355" s="4" t="s">
        <v>7307</v>
      </c>
      <c r="I355" s="97" t="s">
        <v>115</v>
      </c>
      <c r="J355" s="97" t="s">
        <v>115</v>
      </c>
      <c r="K355" s="4">
        <v>69500</v>
      </c>
      <c r="L355" s="89">
        <v>2242</v>
      </c>
      <c r="N355" s="97" t="s">
        <v>115</v>
      </c>
      <c r="O355" s="97" t="s">
        <v>115</v>
      </c>
      <c r="P355" s="97">
        <v>200111</v>
      </c>
      <c r="Q355" s="89">
        <v>351</v>
      </c>
      <c r="R355" s="88">
        <v>6230</v>
      </c>
    </row>
    <row r="356" spans="1:18" s="89" customFormat="1" x14ac:dyDescent="0.15">
      <c r="A356" s="89" t="s">
        <v>1</v>
      </c>
      <c r="B356" s="89">
        <v>2242</v>
      </c>
      <c r="C356" s="89" t="s">
        <v>115</v>
      </c>
      <c r="D356" s="89" t="s">
        <v>115</v>
      </c>
      <c r="E356" s="89">
        <v>1</v>
      </c>
      <c r="F356" s="89">
        <v>5</v>
      </c>
      <c r="G356" s="89" t="s">
        <v>115</v>
      </c>
      <c r="H356" s="4" t="s">
        <v>7307</v>
      </c>
      <c r="I356" s="4" t="s">
        <v>4800</v>
      </c>
      <c r="J356" s="97" t="s">
        <v>115</v>
      </c>
      <c r="K356" s="96">
        <v>69500</v>
      </c>
      <c r="L356" s="89">
        <v>2243</v>
      </c>
      <c r="N356" s="97" t="s">
        <v>115</v>
      </c>
      <c r="O356" s="97" t="s">
        <v>115</v>
      </c>
      <c r="P356" s="97">
        <v>200112</v>
      </c>
      <c r="Q356" s="89">
        <v>351</v>
      </c>
      <c r="R356" s="88">
        <v>6230</v>
      </c>
    </row>
    <row r="357" spans="1:18" s="89" customFormat="1" x14ac:dyDescent="0.15">
      <c r="A357" s="89" t="s">
        <v>1</v>
      </c>
      <c r="B357" s="89">
        <v>2243</v>
      </c>
      <c r="C357" s="89" t="s">
        <v>115</v>
      </c>
      <c r="D357" s="89" t="s">
        <v>115</v>
      </c>
      <c r="E357" s="89">
        <v>2</v>
      </c>
      <c r="F357" s="89">
        <v>5</v>
      </c>
      <c r="G357" s="89" t="s">
        <v>115</v>
      </c>
      <c r="H357" s="4" t="s">
        <v>7307</v>
      </c>
      <c r="I357" s="97" t="s">
        <v>115</v>
      </c>
      <c r="J357" s="97">
        <v>20</v>
      </c>
      <c r="K357" s="96">
        <v>69500</v>
      </c>
      <c r="L357" s="89">
        <v>0</v>
      </c>
      <c r="N357" s="97">
        <v>200115</v>
      </c>
      <c r="O357" s="97">
        <v>200116</v>
      </c>
      <c r="P357" s="97">
        <v>200113</v>
      </c>
      <c r="Q357" s="89">
        <v>351</v>
      </c>
      <c r="R357" s="88">
        <v>6230</v>
      </c>
    </row>
    <row r="358" spans="1:18" s="89" customFormat="1" x14ac:dyDescent="0.15">
      <c r="A358" s="89" t="s">
        <v>1</v>
      </c>
      <c r="B358" s="89" t="s">
        <v>6854</v>
      </c>
      <c r="C358" s="89" t="s">
        <v>115</v>
      </c>
      <c r="D358" s="89">
        <v>3</v>
      </c>
      <c r="E358" s="89" t="s">
        <v>115</v>
      </c>
      <c r="F358" s="89" t="s">
        <v>115</v>
      </c>
      <c r="G358" s="89" t="s">
        <v>115</v>
      </c>
      <c r="H358" s="4" t="s">
        <v>7307</v>
      </c>
      <c r="I358" s="97" t="s">
        <v>115</v>
      </c>
      <c r="J358" s="97" t="s">
        <v>115</v>
      </c>
      <c r="K358" s="4">
        <v>70000</v>
      </c>
      <c r="L358" s="89">
        <v>2252</v>
      </c>
      <c r="N358" s="97" t="s">
        <v>115</v>
      </c>
      <c r="O358" s="97" t="s">
        <v>115</v>
      </c>
      <c r="P358" s="97">
        <v>200111</v>
      </c>
      <c r="Q358" s="89">
        <v>201</v>
      </c>
      <c r="R358" s="88">
        <v>6230</v>
      </c>
    </row>
    <row r="359" spans="1:18" s="89" customFormat="1" x14ac:dyDescent="0.15">
      <c r="A359" s="89" t="s">
        <v>1</v>
      </c>
      <c r="B359" s="89">
        <v>2252</v>
      </c>
      <c r="C359" s="89" t="s">
        <v>115</v>
      </c>
      <c r="D359" s="89" t="s">
        <v>115</v>
      </c>
      <c r="E359" s="89">
        <v>1</v>
      </c>
      <c r="F359" s="89">
        <v>5</v>
      </c>
      <c r="G359" s="89" t="s">
        <v>115</v>
      </c>
      <c r="H359" s="4" t="s">
        <v>7307</v>
      </c>
      <c r="I359" s="4" t="s">
        <v>4800</v>
      </c>
      <c r="J359" s="97" t="s">
        <v>115</v>
      </c>
      <c r="K359" s="96">
        <v>70000</v>
      </c>
      <c r="L359" s="89">
        <v>2253</v>
      </c>
      <c r="N359" s="97" t="s">
        <v>115</v>
      </c>
      <c r="O359" s="97" t="s">
        <v>115</v>
      </c>
      <c r="P359" s="97">
        <v>200112</v>
      </c>
      <c r="Q359" s="89">
        <v>201</v>
      </c>
      <c r="R359" s="88">
        <v>6230</v>
      </c>
    </row>
    <row r="360" spans="1:18" s="89" customFormat="1" x14ac:dyDescent="0.15">
      <c r="A360" s="89" t="s">
        <v>1</v>
      </c>
      <c r="B360" s="89">
        <v>2253</v>
      </c>
      <c r="C360" s="89" t="s">
        <v>115</v>
      </c>
      <c r="D360" s="89" t="s">
        <v>115</v>
      </c>
      <c r="E360" s="89">
        <v>2</v>
      </c>
      <c r="F360" s="89">
        <v>5</v>
      </c>
      <c r="G360" s="89" t="s">
        <v>115</v>
      </c>
      <c r="H360" s="4" t="s">
        <v>7307</v>
      </c>
      <c r="I360" s="97" t="s">
        <v>115</v>
      </c>
      <c r="J360" s="97">
        <v>20</v>
      </c>
      <c r="K360" s="96">
        <v>70000</v>
      </c>
      <c r="L360" s="89">
        <v>0</v>
      </c>
      <c r="N360" s="97">
        <v>200115</v>
      </c>
      <c r="O360" s="97">
        <v>200116</v>
      </c>
      <c r="P360" s="97">
        <v>200113</v>
      </c>
      <c r="Q360" s="89">
        <v>201</v>
      </c>
      <c r="R360" s="88">
        <v>6230</v>
      </c>
    </row>
    <row r="361" spans="1:18" s="89" customFormat="1" x14ac:dyDescent="0.15">
      <c r="A361" s="89" t="s">
        <v>1</v>
      </c>
      <c r="B361" s="89" t="s">
        <v>6855</v>
      </c>
      <c r="C361" s="89" t="s">
        <v>115</v>
      </c>
      <c r="D361" s="89">
        <v>3</v>
      </c>
      <c r="E361" s="89" t="s">
        <v>115</v>
      </c>
      <c r="F361" s="89" t="s">
        <v>115</v>
      </c>
      <c r="G361" s="89" t="s">
        <v>115</v>
      </c>
      <c r="H361" s="4" t="s">
        <v>7307</v>
      </c>
      <c r="I361" s="97" t="s">
        <v>115</v>
      </c>
      <c r="J361" s="97" t="s">
        <v>115</v>
      </c>
      <c r="K361" s="4">
        <v>68500</v>
      </c>
      <c r="L361" s="89">
        <v>2312</v>
      </c>
      <c r="N361" s="97" t="s">
        <v>115</v>
      </c>
      <c r="O361" s="97" t="s">
        <v>115</v>
      </c>
      <c r="P361" s="97">
        <v>200111</v>
      </c>
      <c r="Q361" s="89">
        <v>12</v>
      </c>
      <c r="R361" s="88">
        <v>6230</v>
      </c>
    </row>
    <row r="362" spans="1:18" s="89" customFormat="1" x14ac:dyDescent="0.15">
      <c r="A362" s="89" t="s">
        <v>1</v>
      </c>
      <c r="B362" s="89">
        <v>2312</v>
      </c>
      <c r="C362" s="89" t="s">
        <v>115</v>
      </c>
      <c r="D362" s="89" t="s">
        <v>115</v>
      </c>
      <c r="E362" s="89">
        <v>1</v>
      </c>
      <c r="F362" s="89">
        <v>5</v>
      </c>
      <c r="G362" s="89" t="s">
        <v>115</v>
      </c>
      <c r="H362" s="4" t="s">
        <v>7307</v>
      </c>
      <c r="I362" s="4" t="s">
        <v>4800</v>
      </c>
      <c r="J362" s="97" t="s">
        <v>115</v>
      </c>
      <c r="K362" s="96">
        <v>68500</v>
      </c>
      <c r="L362" s="89">
        <v>2313</v>
      </c>
      <c r="N362" s="97" t="s">
        <v>115</v>
      </c>
      <c r="O362" s="97" t="s">
        <v>115</v>
      </c>
      <c r="P362" s="97">
        <v>200112</v>
      </c>
      <c r="Q362" s="89">
        <v>12</v>
      </c>
      <c r="R362" s="88">
        <v>6230</v>
      </c>
    </row>
    <row r="363" spans="1:18" s="89" customFormat="1" x14ac:dyDescent="0.15">
      <c r="A363" s="89" t="s">
        <v>1</v>
      </c>
      <c r="B363" s="89">
        <v>2313</v>
      </c>
      <c r="C363" s="89" t="s">
        <v>115</v>
      </c>
      <c r="D363" s="89" t="s">
        <v>115</v>
      </c>
      <c r="E363" s="89">
        <v>2</v>
      </c>
      <c r="F363" s="89">
        <v>5</v>
      </c>
      <c r="G363" s="89" t="s">
        <v>115</v>
      </c>
      <c r="H363" s="4" t="s">
        <v>7307</v>
      </c>
      <c r="I363" s="97" t="s">
        <v>115</v>
      </c>
      <c r="J363" s="97">
        <v>20</v>
      </c>
      <c r="K363" s="96">
        <v>68500</v>
      </c>
      <c r="L363" s="89">
        <v>0</v>
      </c>
      <c r="N363" s="97">
        <v>200115</v>
      </c>
      <c r="O363" s="97">
        <v>200116</v>
      </c>
      <c r="P363" s="97">
        <v>200113</v>
      </c>
      <c r="Q363" s="89">
        <v>12</v>
      </c>
      <c r="R363" s="88">
        <v>6230</v>
      </c>
    </row>
    <row r="364" spans="1:18" s="89" customFormat="1" x14ac:dyDescent="0.15">
      <c r="A364" s="89" t="s">
        <v>1</v>
      </c>
      <c r="B364" s="89" t="s">
        <v>6856</v>
      </c>
      <c r="C364" s="89" t="s">
        <v>115</v>
      </c>
      <c r="D364" s="89">
        <v>3</v>
      </c>
      <c r="E364" s="89" t="s">
        <v>115</v>
      </c>
      <c r="F364" s="89" t="s">
        <v>115</v>
      </c>
      <c r="G364" s="89" t="s">
        <v>115</v>
      </c>
      <c r="H364" s="4" t="s">
        <v>7307</v>
      </c>
      <c r="I364" s="97" t="s">
        <v>115</v>
      </c>
      <c r="J364" s="97" t="s">
        <v>115</v>
      </c>
      <c r="K364" s="4">
        <v>69000</v>
      </c>
      <c r="L364" s="89">
        <v>2322</v>
      </c>
      <c r="N364" s="97" t="s">
        <v>115</v>
      </c>
      <c r="O364" s="97" t="s">
        <v>115</v>
      </c>
      <c r="P364" s="97">
        <v>200111</v>
      </c>
      <c r="Q364" s="89">
        <v>116</v>
      </c>
      <c r="R364" s="88">
        <v>6230</v>
      </c>
    </row>
    <row r="365" spans="1:18" s="89" customFormat="1" x14ac:dyDescent="0.15">
      <c r="A365" s="89" t="s">
        <v>1</v>
      </c>
      <c r="B365" s="89">
        <v>2322</v>
      </c>
      <c r="C365" s="89" t="s">
        <v>115</v>
      </c>
      <c r="D365" s="89" t="s">
        <v>115</v>
      </c>
      <c r="E365" s="89">
        <v>1</v>
      </c>
      <c r="F365" s="89">
        <v>5</v>
      </c>
      <c r="G365" s="89" t="s">
        <v>115</v>
      </c>
      <c r="H365" s="4" t="s">
        <v>7307</v>
      </c>
      <c r="I365" s="4" t="s">
        <v>4800</v>
      </c>
      <c r="J365" s="97" t="s">
        <v>115</v>
      </c>
      <c r="K365" s="96">
        <v>69000</v>
      </c>
      <c r="L365" s="89">
        <v>2323</v>
      </c>
      <c r="N365" s="97" t="s">
        <v>115</v>
      </c>
      <c r="O365" s="97" t="s">
        <v>115</v>
      </c>
      <c r="P365" s="97">
        <v>200112</v>
      </c>
      <c r="Q365" s="89">
        <v>116</v>
      </c>
      <c r="R365" s="88">
        <v>6230</v>
      </c>
    </row>
    <row r="366" spans="1:18" s="89" customFormat="1" x14ac:dyDescent="0.15">
      <c r="A366" s="89" t="s">
        <v>1</v>
      </c>
      <c r="B366" s="89">
        <v>2323</v>
      </c>
      <c r="C366" s="89" t="s">
        <v>115</v>
      </c>
      <c r="D366" s="89" t="s">
        <v>115</v>
      </c>
      <c r="E366" s="89">
        <v>2</v>
      </c>
      <c r="F366" s="89">
        <v>5</v>
      </c>
      <c r="G366" s="89" t="s">
        <v>115</v>
      </c>
      <c r="H366" s="4" t="s">
        <v>7307</v>
      </c>
      <c r="I366" s="97" t="s">
        <v>115</v>
      </c>
      <c r="J366" s="97">
        <v>20</v>
      </c>
      <c r="K366" s="96">
        <v>69000</v>
      </c>
      <c r="L366" s="89">
        <v>0</v>
      </c>
      <c r="N366" s="97">
        <v>200115</v>
      </c>
      <c r="O366" s="97">
        <v>200116</v>
      </c>
      <c r="P366" s="97">
        <v>200113</v>
      </c>
      <c r="Q366" s="89">
        <v>116</v>
      </c>
      <c r="R366" s="88">
        <v>6230</v>
      </c>
    </row>
    <row r="367" spans="1:18" s="89" customFormat="1" x14ac:dyDescent="0.15">
      <c r="A367" s="89" t="s">
        <v>1</v>
      </c>
      <c r="B367" s="89" t="s">
        <v>6857</v>
      </c>
      <c r="C367" s="89" t="s">
        <v>115</v>
      </c>
      <c r="D367" s="89">
        <v>3</v>
      </c>
      <c r="E367" s="89" t="s">
        <v>115</v>
      </c>
      <c r="F367" s="89" t="s">
        <v>115</v>
      </c>
      <c r="G367" s="89" t="s">
        <v>115</v>
      </c>
      <c r="H367" s="4" t="s">
        <v>7307</v>
      </c>
      <c r="I367" s="97" t="s">
        <v>115</v>
      </c>
      <c r="J367" s="97" t="s">
        <v>115</v>
      </c>
      <c r="K367" s="4">
        <v>69500</v>
      </c>
      <c r="L367" s="89">
        <v>2332</v>
      </c>
      <c r="N367" s="97" t="s">
        <v>115</v>
      </c>
      <c r="O367" s="97" t="s">
        <v>115</v>
      </c>
      <c r="P367" s="97">
        <v>200111</v>
      </c>
      <c r="Q367" s="89">
        <v>118</v>
      </c>
      <c r="R367" s="88">
        <v>6230</v>
      </c>
    </row>
    <row r="368" spans="1:18" s="89" customFormat="1" x14ac:dyDescent="0.15">
      <c r="A368" s="89" t="s">
        <v>1</v>
      </c>
      <c r="B368" s="89">
        <v>2332</v>
      </c>
      <c r="C368" s="89" t="s">
        <v>115</v>
      </c>
      <c r="D368" s="89" t="s">
        <v>115</v>
      </c>
      <c r="E368" s="89">
        <v>1</v>
      </c>
      <c r="F368" s="89">
        <v>5</v>
      </c>
      <c r="G368" s="89" t="s">
        <v>115</v>
      </c>
      <c r="H368" s="4" t="s">
        <v>7307</v>
      </c>
      <c r="I368" s="4" t="s">
        <v>4800</v>
      </c>
      <c r="J368" s="97" t="s">
        <v>115</v>
      </c>
      <c r="K368" s="96">
        <v>69500</v>
      </c>
      <c r="L368" s="89">
        <v>2333</v>
      </c>
      <c r="N368" s="97" t="s">
        <v>115</v>
      </c>
      <c r="O368" s="97" t="s">
        <v>115</v>
      </c>
      <c r="P368" s="97">
        <v>200112</v>
      </c>
      <c r="Q368" s="89">
        <v>118</v>
      </c>
      <c r="R368" s="88">
        <v>6230</v>
      </c>
    </row>
    <row r="369" spans="1:18" s="89" customFormat="1" x14ac:dyDescent="0.15">
      <c r="A369" s="89" t="s">
        <v>1</v>
      </c>
      <c r="B369" s="89">
        <v>2333</v>
      </c>
      <c r="C369" s="89" t="s">
        <v>115</v>
      </c>
      <c r="D369" s="89" t="s">
        <v>115</v>
      </c>
      <c r="E369" s="89">
        <v>2</v>
      </c>
      <c r="F369" s="89">
        <v>5</v>
      </c>
      <c r="G369" s="89" t="s">
        <v>115</v>
      </c>
      <c r="H369" s="4" t="s">
        <v>7307</v>
      </c>
      <c r="I369" s="97" t="s">
        <v>115</v>
      </c>
      <c r="J369" s="97">
        <v>20</v>
      </c>
      <c r="K369" s="96">
        <v>69500</v>
      </c>
      <c r="L369" s="89">
        <v>0</v>
      </c>
      <c r="N369" s="97">
        <v>200115</v>
      </c>
      <c r="O369" s="97">
        <v>200116</v>
      </c>
      <c r="P369" s="97">
        <v>200113</v>
      </c>
      <c r="Q369" s="89">
        <v>118</v>
      </c>
      <c r="R369" s="88">
        <v>6230</v>
      </c>
    </row>
    <row r="370" spans="1:18" s="89" customFormat="1" x14ac:dyDescent="0.15">
      <c r="A370" s="89" t="s">
        <v>1</v>
      </c>
      <c r="B370" s="89" t="s">
        <v>6858</v>
      </c>
      <c r="C370" s="89" t="s">
        <v>115</v>
      </c>
      <c r="D370" s="89">
        <v>3</v>
      </c>
      <c r="E370" s="89" t="s">
        <v>115</v>
      </c>
      <c r="F370" s="89" t="s">
        <v>115</v>
      </c>
      <c r="G370" s="89" t="s">
        <v>115</v>
      </c>
      <c r="H370" s="4" t="s">
        <v>7307</v>
      </c>
      <c r="I370" s="97" t="s">
        <v>115</v>
      </c>
      <c r="J370" s="97" t="s">
        <v>115</v>
      </c>
      <c r="K370" s="4">
        <v>70000</v>
      </c>
      <c r="L370" s="89">
        <v>2342</v>
      </c>
      <c r="N370" s="97" t="s">
        <v>115</v>
      </c>
      <c r="O370" s="97" t="s">
        <v>115</v>
      </c>
      <c r="P370" s="97">
        <v>200111</v>
      </c>
      <c r="Q370" s="89">
        <v>172</v>
      </c>
      <c r="R370" s="88">
        <v>6230</v>
      </c>
    </row>
    <row r="371" spans="1:18" s="89" customFormat="1" x14ac:dyDescent="0.15">
      <c r="A371" s="89" t="s">
        <v>1</v>
      </c>
      <c r="B371" s="89">
        <v>2342</v>
      </c>
      <c r="C371" s="89" t="s">
        <v>115</v>
      </c>
      <c r="D371" s="89" t="s">
        <v>115</v>
      </c>
      <c r="E371" s="89">
        <v>1</v>
      </c>
      <c r="F371" s="89">
        <v>5</v>
      </c>
      <c r="G371" s="89" t="s">
        <v>115</v>
      </c>
      <c r="H371" s="4" t="s">
        <v>7307</v>
      </c>
      <c r="I371" s="4" t="s">
        <v>4800</v>
      </c>
      <c r="J371" s="97" t="s">
        <v>115</v>
      </c>
      <c r="K371" s="96">
        <v>70000</v>
      </c>
      <c r="L371" s="89">
        <v>2343</v>
      </c>
      <c r="N371" s="97" t="s">
        <v>115</v>
      </c>
      <c r="O371" s="97" t="s">
        <v>115</v>
      </c>
      <c r="P371" s="97">
        <v>200112</v>
      </c>
      <c r="Q371" s="89">
        <v>172</v>
      </c>
      <c r="R371" s="88">
        <v>6230</v>
      </c>
    </row>
    <row r="372" spans="1:18" s="89" customFormat="1" x14ac:dyDescent="0.15">
      <c r="A372" s="89" t="s">
        <v>1</v>
      </c>
      <c r="B372" s="89">
        <v>2343</v>
      </c>
      <c r="C372" s="89" t="s">
        <v>115</v>
      </c>
      <c r="D372" s="89" t="s">
        <v>115</v>
      </c>
      <c r="E372" s="89">
        <v>2</v>
      </c>
      <c r="F372" s="89">
        <v>5</v>
      </c>
      <c r="G372" s="89" t="s">
        <v>115</v>
      </c>
      <c r="H372" s="4" t="s">
        <v>7307</v>
      </c>
      <c r="I372" s="97" t="s">
        <v>115</v>
      </c>
      <c r="J372" s="97">
        <v>20</v>
      </c>
      <c r="K372" s="96">
        <v>70000</v>
      </c>
      <c r="L372" s="89">
        <v>0</v>
      </c>
      <c r="N372" s="97">
        <v>200115</v>
      </c>
      <c r="O372" s="97">
        <v>200116</v>
      </c>
      <c r="P372" s="97">
        <v>200113</v>
      </c>
      <c r="Q372" s="89">
        <v>172</v>
      </c>
      <c r="R372" s="88">
        <v>6230</v>
      </c>
    </row>
    <row r="373" spans="1:18" s="89" customFormat="1" x14ac:dyDescent="0.15">
      <c r="A373" s="89" t="s">
        <v>1</v>
      </c>
      <c r="B373" s="89" t="s">
        <v>6859</v>
      </c>
      <c r="C373" s="89" t="s">
        <v>115</v>
      </c>
      <c r="D373" s="89">
        <v>3</v>
      </c>
      <c r="E373" s="89" t="s">
        <v>115</v>
      </c>
      <c r="F373" s="89" t="s">
        <v>115</v>
      </c>
      <c r="G373" s="89" t="s">
        <v>115</v>
      </c>
      <c r="H373" s="4" t="s">
        <v>7307</v>
      </c>
      <c r="I373" s="97" t="s">
        <v>115</v>
      </c>
      <c r="J373" s="97" t="s">
        <v>115</v>
      </c>
      <c r="K373" s="4">
        <v>70500</v>
      </c>
      <c r="L373" s="89">
        <v>2352</v>
      </c>
      <c r="N373" s="97" t="s">
        <v>115</v>
      </c>
      <c r="O373" s="97" t="s">
        <v>115</v>
      </c>
      <c r="P373" s="97">
        <v>200111</v>
      </c>
      <c r="Q373" s="89">
        <v>192</v>
      </c>
      <c r="R373" s="88">
        <v>6230</v>
      </c>
    </row>
    <row r="374" spans="1:18" s="89" customFormat="1" x14ac:dyDescent="0.15">
      <c r="A374" s="89" t="s">
        <v>1</v>
      </c>
      <c r="B374" s="89">
        <v>2352</v>
      </c>
      <c r="C374" s="89" t="s">
        <v>115</v>
      </c>
      <c r="D374" s="89" t="s">
        <v>115</v>
      </c>
      <c r="E374" s="89">
        <v>1</v>
      </c>
      <c r="F374" s="89">
        <v>5</v>
      </c>
      <c r="G374" s="89" t="s">
        <v>115</v>
      </c>
      <c r="H374" s="4" t="s">
        <v>7307</v>
      </c>
      <c r="I374" s="4" t="s">
        <v>4800</v>
      </c>
      <c r="J374" s="97" t="s">
        <v>115</v>
      </c>
      <c r="K374" s="96">
        <v>70500</v>
      </c>
      <c r="L374" s="89">
        <v>2353</v>
      </c>
      <c r="N374" s="97" t="s">
        <v>115</v>
      </c>
      <c r="O374" s="97" t="s">
        <v>115</v>
      </c>
      <c r="P374" s="97">
        <v>200112</v>
      </c>
      <c r="Q374" s="89">
        <v>192</v>
      </c>
      <c r="R374" s="88">
        <v>6230</v>
      </c>
    </row>
    <row r="375" spans="1:18" s="89" customFormat="1" x14ac:dyDescent="0.15">
      <c r="A375" s="89" t="s">
        <v>1</v>
      </c>
      <c r="B375" s="89">
        <v>2353</v>
      </c>
      <c r="C375" s="89" t="s">
        <v>115</v>
      </c>
      <c r="D375" s="89" t="s">
        <v>115</v>
      </c>
      <c r="E375" s="89">
        <v>2</v>
      </c>
      <c r="F375" s="89">
        <v>5</v>
      </c>
      <c r="G375" s="89" t="s">
        <v>115</v>
      </c>
      <c r="H375" s="4" t="s">
        <v>7307</v>
      </c>
      <c r="I375" s="97" t="s">
        <v>115</v>
      </c>
      <c r="J375" s="97">
        <v>20</v>
      </c>
      <c r="K375" s="96">
        <v>70500</v>
      </c>
      <c r="L375" s="89">
        <v>0</v>
      </c>
      <c r="N375" s="97">
        <v>200115</v>
      </c>
      <c r="O375" s="97">
        <v>200116</v>
      </c>
      <c r="P375" s="97">
        <v>200113</v>
      </c>
      <c r="Q375" s="89">
        <v>192</v>
      </c>
      <c r="R375" s="88">
        <v>6230</v>
      </c>
    </row>
    <row r="376" spans="1:18" s="89" customFormat="1" x14ac:dyDescent="0.15">
      <c r="A376" s="89" t="s">
        <v>1</v>
      </c>
      <c r="B376" s="89" t="s">
        <v>6860</v>
      </c>
      <c r="C376" s="89" t="s">
        <v>115</v>
      </c>
      <c r="D376" s="89">
        <v>3</v>
      </c>
      <c r="E376" s="89" t="s">
        <v>115</v>
      </c>
      <c r="F376" s="89" t="s">
        <v>115</v>
      </c>
      <c r="G376" s="89" t="s">
        <v>115</v>
      </c>
      <c r="H376" s="4" t="s">
        <v>7307</v>
      </c>
      <c r="I376" s="97" t="s">
        <v>115</v>
      </c>
      <c r="J376" s="97" t="s">
        <v>115</v>
      </c>
      <c r="K376" s="4">
        <v>69500</v>
      </c>
      <c r="L376" s="89">
        <v>2412</v>
      </c>
      <c r="N376" s="97" t="s">
        <v>115</v>
      </c>
      <c r="O376" s="97" t="s">
        <v>115</v>
      </c>
      <c r="P376" s="97">
        <v>200111</v>
      </c>
      <c r="Q376" s="89">
        <v>177</v>
      </c>
      <c r="R376" s="88">
        <v>6230</v>
      </c>
    </row>
    <row r="377" spans="1:18" s="89" customFormat="1" x14ac:dyDescent="0.15">
      <c r="A377" s="89" t="s">
        <v>1</v>
      </c>
      <c r="B377" s="89">
        <v>2412</v>
      </c>
      <c r="C377" s="89" t="s">
        <v>115</v>
      </c>
      <c r="D377" s="89" t="s">
        <v>115</v>
      </c>
      <c r="E377" s="89">
        <v>1</v>
      </c>
      <c r="F377" s="89">
        <v>5</v>
      </c>
      <c r="G377" s="89" t="s">
        <v>115</v>
      </c>
      <c r="H377" s="4" t="s">
        <v>7307</v>
      </c>
      <c r="I377" s="4" t="s">
        <v>4800</v>
      </c>
      <c r="J377" s="97" t="s">
        <v>115</v>
      </c>
      <c r="K377" s="96">
        <v>69500</v>
      </c>
      <c r="L377" s="89">
        <v>2413</v>
      </c>
      <c r="N377" s="97" t="s">
        <v>115</v>
      </c>
      <c r="O377" s="97" t="s">
        <v>115</v>
      </c>
      <c r="P377" s="97">
        <v>200112</v>
      </c>
      <c r="Q377" s="89">
        <v>177</v>
      </c>
      <c r="R377" s="88">
        <v>6230</v>
      </c>
    </row>
    <row r="378" spans="1:18" s="89" customFormat="1" x14ac:dyDescent="0.15">
      <c r="A378" s="89" t="s">
        <v>1</v>
      </c>
      <c r="B378" s="89">
        <v>2413</v>
      </c>
      <c r="C378" s="89" t="s">
        <v>115</v>
      </c>
      <c r="D378" s="89" t="s">
        <v>115</v>
      </c>
      <c r="E378" s="89">
        <v>2</v>
      </c>
      <c r="F378" s="89">
        <v>5</v>
      </c>
      <c r="G378" s="89" t="s">
        <v>115</v>
      </c>
      <c r="H378" s="4" t="s">
        <v>7307</v>
      </c>
      <c r="I378" s="97" t="s">
        <v>115</v>
      </c>
      <c r="J378" s="97">
        <v>20</v>
      </c>
      <c r="K378" s="96">
        <v>69500</v>
      </c>
      <c r="L378" s="89">
        <v>0</v>
      </c>
      <c r="N378" s="97">
        <v>200115</v>
      </c>
      <c r="O378" s="97">
        <v>200116</v>
      </c>
      <c r="P378" s="97">
        <v>200113</v>
      </c>
      <c r="Q378" s="89">
        <v>177</v>
      </c>
      <c r="R378" s="88">
        <v>6230</v>
      </c>
    </row>
    <row r="379" spans="1:18" s="89" customFormat="1" x14ac:dyDescent="0.15">
      <c r="A379" s="89" t="s">
        <v>1</v>
      </c>
      <c r="B379" s="89" t="s">
        <v>6861</v>
      </c>
      <c r="C379" s="89" t="s">
        <v>115</v>
      </c>
      <c r="D379" s="89">
        <v>3</v>
      </c>
      <c r="E379" s="89" t="s">
        <v>115</v>
      </c>
      <c r="F379" s="89" t="s">
        <v>115</v>
      </c>
      <c r="G379" s="89" t="s">
        <v>115</v>
      </c>
      <c r="H379" s="4" t="s">
        <v>7307</v>
      </c>
      <c r="I379" s="97" t="s">
        <v>115</v>
      </c>
      <c r="J379" s="97" t="s">
        <v>115</v>
      </c>
      <c r="K379" s="4">
        <v>70000</v>
      </c>
      <c r="L379" s="89">
        <v>2422</v>
      </c>
      <c r="N379" s="97" t="s">
        <v>115</v>
      </c>
      <c r="O379" s="97" t="s">
        <v>115</v>
      </c>
      <c r="P379" s="97">
        <v>200111</v>
      </c>
      <c r="Q379" s="89">
        <v>201</v>
      </c>
      <c r="R379" s="88">
        <v>6230</v>
      </c>
    </row>
    <row r="380" spans="1:18" s="89" customFormat="1" x14ac:dyDescent="0.15">
      <c r="A380" s="89" t="s">
        <v>1</v>
      </c>
      <c r="B380" s="89">
        <v>2422</v>
      </c>
      <c r="C380" s="89" t="s">
        <v>115</v>
      </c>
      <c r="D380" s="89" t="s">
        <v>115</v>
      </c>
      <c r="E380" s="89">
        <v>1</v>
      </c>
      <c r="F380" s="89">
        <v>5</v>
      </c>
      <c r="G380" s="89" t="s">
        <v>115</v>
      </c>
      <c r="H380" s="4" t="s">
        <v>7307</v>
      </c>
      <c r="I380" s="4" t="s">
        <v>4800</v>
      </c>
      <c r="J380" s="97" t="s">
        <v>115</v>
      </c>
      <c r="K380" s="96">
        <v>70000</v>
      </c>
      <c r="L380" s="89">
        <v>2423</v>
      </c>
      <c r="N380" s="97" t="s">
        <v>115</v>
      </c>
      <c r="O380" s="97" t="s">
        <v>115</v>
      </c>
      <c r="P380" s="97">
        <v>200112</v>
      </c>
      <c r="Q380" s="89">
        <v>201</v>
      </c>
      <c r="R380" s="88">
        <v>6230</v>
      </c>
    </row>
    <row r="381" spans="1:18" s="89" customFormat="1" x14ac:dyDescent="0.15">
      <c r="A381" s="89" t="s">
        <v>1</v>
      </c>
      <c r="B381" s="89">
        <v>2423</v>
      </c>
      <c r="C381" s="89" t="s">
        <v>115</v>
      </c>
      <c r="D381" s="89" t="s">
        <v>115</v>
      </c>
      <c r="E381" s="89">
        <v>2</v>
      </c>
      <c r="F381" s="89">
        <v>5</v>
      </c>
      <c r="G381" s="89" t="s">
        <v>115</v>
      </c>
      <c r="H381" s="4" t="s">
        <v>7307</v>
      </c>
      <c r="I381" s="97" t="s">
        <v>115</v>
      </c>
      <c r="J381" s="97">
        <v>20</v>
      </c>
      <c r="K381" s="96">
        <v>70000</v>
      </c>
      <c r="L381" s="89">
        <v>0</v>
      </c>
      <c r="N381" s="97">
        <v>200115</v>
      </c>
      <c r="O381" s="97">
        <v>200116</v>
      </c>
      <c r="P381" s="97">
        <v>200113</v>
      </c>
      <c r="Q381" s="89">
        <v>201</v>
      </c>
      <c r="R381" s="88">
        <v>6230</v>
      </c>
    </row>
    <row r="382" spans="1:18" s="89" customFormat="1" x14ac:dyDescent="0.15">
      <c r="A382" s="89" t="s">
        <v>1</v>
      </c>
      <c r="B382" s="89" t="s">
        <v>6862</v>
      </c>
      <c r="C382" s="89" t="s">
        <v>115</v>
      </c>
      <c r="D382" s="89">
        <v>3</v>
      </c>
      <c r="E382" s="89" t="s">
        <v>115</v>
      </c>
      <c r="F382" s="89" t="s">
        <v>115</v>
      </c>
      <c r="G382" s="89" t="s">
        <v>115</v>
      </c>
      <c r="H382" s="4" t="s">
        <v>7307</v>
      </c>
      <c r="I382" s="97" t="s">
        <v>115</v>
      </c>
      <c r="J382" s="97" t="s">
        <v>115</v>
      </c>
      <c r="K382" s="4">
        <v>70500</v>
      </c>
      <c r="L382" s="89">
        <v>2432</v>
      </c>
      <c r="N382" s="97" t="s">
        <v>115</v>
      </c>
      <c r="O382" s="97" t="s">
        <v>115</v>
      </c>
      <c r="P382" s="97">
        <v>200111</v>
      </c>
      <c r="Q382" s="89">
        <v>143</v>
      </c>
      <c r="R382" s="88">
        <v>6230</v>
      </c>
    </row>
    <row r="383" spans="1:18" s="89" customFormat="1" x14ac:dyDescent="0.15">
      <c r="A383" s="89" t="s">
        <v>1</v>
      </c>
      <c r="B383" s="89">
        <v>2432</v>
      </c>
      <c r="C383" s="89" t="s">
        <v>115</v>
      </c>
      <c r="D383" s="89" t="s">
        <v>115</v>
      </c>
      <c r="E383" s="89">
        <v>1</v>
      </c>
      <c r="F383" s="89">
        <v>5</v>
      </c>
      <c r="G383" s="89" t="s">
        <v>115</v>
      </c>
      <c r="H383" s="4" t="s">
        <v>7307</v>
      </c>
      <c r="I383" s="4" t="s">
        <v>4800</v>
      </c>
      <c r="J383" s="97" t="s">
        <v>115</v>
      </c>
      <c r="K383" s="96">
        <v>70500</v>
      </c>
      <c r="L383" s="89">
        <v>2433</v>
      </c>
      <c r="N383" s="97" t="s">
        <v>115</v>
      </c>
      <c r="O383" s="97" t="s">
        <v>115</v>
      </c>
      <c r="P383" s="97">
        <v>200112</v>
      </c>
      <c r="Q383" s="89">
        <v>143</v>
      </c>
      <c r="R383" s="88">
        <v>6230</v>
      </c>
    </row>
    <row r="384" spans="1:18" s="89" customFormat="1" x14ac:dyDescent="0.15">
      <c r="A384" s="89" t="s">
        <v>1</v>
      </c>
      <c r="B384" s="89">
        <v>2433</v>
      </c>
      <c r="C384" s="89" t="s">
        <v>115</v>
      </c>
      <c r="D384" s="89" t="s">
        <v>115</v>
      </c>
      <c r="E384" s="89">
        <v>2</v>
      </c>
      <c r="F384" s="89">
        <v>5</v>
      </c>
      <c r="G384" s="89" t="s">
        <v>115</v>
      </c>
      <c r="H384" s="4" t="s">
        <v>7307</v>
      </c>
      <c r="I384" s="97" t="s">
        <v>115</v>
      </c>
      <c r="J384" s="97">
        <v>20</v>
      </c>
      <c r="K384" s="96">
        <v>70500</v>
      </c>
      <c r="L384" s="89">
        <v>0</v>
      </c>
      <c r="N384" s="97">
        <v>200115</v>
      </c>
      <c r="O384" s="97">
        <v>200116</v>
      </c>
      <c r="P384" s="97">
        <v>200113</v>
      </c>
      <c r="Q384" s="89">
        <v>143</v>
      </c>
      <c r="R384" s="88">
        <v>6230</v>
      </c>
    </row>
    <row r="385" spans="1:18" s="89" customFormat="1" x14ac:dyDescent="0.15">
      <c r="A385" s="89" t="s">
        <v>1</v>
      </c>
      <c r="B385" s="89" t="s">
        <v>6863</v>
      </c>
      <c r="C385" s="89" t="s">
        <v>115</v>
      </c>
      <c r="D385" s="89">
        <v>3</v>
      </c>
      <c r="E385" s="89" t="s">
        <v>115</v>
      </c>
      <c r="F385" s="89" t="s">
        <v>115</v>
      </c>
      <c r="G385" s="89" t="s">
        <v>115</v>
      </c>
      <c r="H385" s="4" t="s">
        <v>7307</v>
      </c>
      <c r="I385" s="97" t="s">
        <v>115</v>
      </c>
      <c r="J385" s="97" t="s">
        <v>115</v>
      </c>
      <c r="K385" s="4">
        <v>71000</v>
      </c>
      <c r="L385" s="89">
        <v>2442</v>
      </c>
      <c r="N385" s="97" t="s">
        <v>115</v>
      </c>
      <c r="O385" s="97" t="s">
        <v>115</v>
      </c>
      <c r="P385" s="97">
        <v>200111</v>
      </c>
      <c r="Q385" s="89">
        <v>344</v>
      </c>
      <c r="R385" s="88">
        <v>6230</v>
      </c>
    </row>
    <row r="386" spans="1:18" s="89" customFormat="1" x14ac:dyDescent="0.15">
      <c r="A386" s="89" t="s">
        <v>1</v>
      </c>
      <c r="B386" s="89">
        <v>2442</v>
      </c>
      <c r="C386" s="89" t="s">
        <v>115</v>
      </c>
      <c r="D386" s="89" t="s">
        <v>115</v>
      </c>
      <c r="E386" s="89">
        <v>1</v>
      </c>
      <c r="F386" s="89">
        <v>5</v>
      </c>
      <c r="G386" s="89" t="s">
        <v>115</v>
      </c>
      <c r="H386" s="4" t="s">
        <v>7307</v>
      </c>
      <c r="I386" s="97" t="s">
        <v>4800</v>
      </c>
      <c r="J386" s="97" t="s">
        <v>115</v>
      </c>
      <c r="K386" s="96">
        <v>71000</v>
      </c>
      <c r="L386" s="89">
        <v>2443</v>
      </c>
      <c r="N386" s="97" t="s">
        <v>115</v>
      </c>
      <c r="O386" s="97" t="s">
        <v>115</v>
      </c>
      <c r="P386" s="97">
        <v>200112</v>
      </c>
      <c r="Q386" s="89">
        <v>344</v>
      </c>
      <c r="R386" s="88">
        <v>6230</v>
      </c>
    </row>
    <row r="387" spans="1:18" s="89" customFormat="1" x14ac:dyDescent="0.15">
      <c r="A387" s="89" t="s">
        <v>1</v>
      </c>
      <c r="B387" s="89">
        <v>2443</v>
      </c>
      <c r="C387" s="89" t="s">
        <v>115</v>
      </c>
      <c r="D387" s="89" t="s">
        <v>115</v>
      </c>
      <c r="E387" s="89">
        <v>2</v>
      </c>
      <c r="F387" s="89">
        <v>5</v>
      </c>
      <c r="G387" s="89" t="s">
        <v>115</v>
      </c>
      <c r="H387" s="4" t="s">
        <v>7307</v>
      </c>
      <c r="I387" s="97" t="s">
        <v>115</v>
      </c>
      <c r="J387" s="97">
        <v>20</v>
      </c>
      <c r="K387" s="96">
        <v>71000</v>
      </c>
      <c r="L387" s="89">
        <v>0</v>
      </c>
      <c r="N387" s="97">
        <v>200115</v>
      </c>
      <c r="O387" s="97">
        <v>200116</v>
      </c>
      <c r="P387" s="97">
        <v>200113</v>
      </c>
      <c r="Q387" s="89">
        <v>344</v>
      </c>
      <c r="R387" s="88">
        <v>6230</v>
      </c>
    </row>
    <row r="388" spans="1:18" s="89" customFormat="1" x14ac:dyDescent="0.15">
      <c r="A388" s="89" t="s">
        <v>1</v>
      </c>
      <c r="B388" s="89" t="s">
        <v>6864</v>
      </c>
      <c r="C388" s="89" t="s">
        <v>115</v>
      </c>
      <c r="D388" s="89">
        <v>3</v>
      </c>
      <c r="E388" s="89" t="s">
        <v>115</v>
      </c>
      <c r="F388" s="89" t="s">
        <v>115</v>
      </c>
      <c r="G388" s="89" t="s">
        <v>115</v>
      </c>
      <c r="H388" s="4" t="s">
        <v>7307</v>
      </c>
      <c r="I388" s="97" t="s">
        <v>115</v>
      </c>
      <c r="J388" s="97" t="s">
        <v>115</v>
      </c>
      <c r="K388" s="4">
        <v>69500</v>
      </c>
      <c r="L388" s="89">
        <v>2512</v>
      </c>
      <c r="N388" s="97" t="s">
        <v>115</v>
      </c>
      <c r="O388" s="97" t="s">
        <v>115</v>
      </c>
      <c r="P388" s="97">
        <v>200111</v>
      </c>
      <c r="Q388" s="89">
        <v>163</v>
      </c>
      <c r="R388" s="88">
        <v>6230</v>
      </c>
    </row>
    <row r="389" spans="1:18" s="89" customFormat="1" x14ac:dyDescent="0.15">
      <c r="A389" s="89" t="s">
        <v>1</v>
      </c>
      <c r="B389" s="89">
        <v>2512</v>
      </c>
      <c r="C389" s="89" t="s">
        <v>115</v>
      </c>
      <c r="D389" s="89" t="s">
        <v>115</v>
      </c>
      <c r="E389" s="89">
        <v>1</v>
      </c>
      <c r="F389" s="89">
        <v>5</v>
      </c>
      <c r="G389" s="89" t="s">
        <v>115</v>
      </c>
      <c r="H389" s="4" t="s">
        <v>7307</v>
      </c>
      <c r="I389" s="97" t="s">
        <v>4800</v>
      </c>
      <c r="J389" s="97" t="s">
        <v>115</v>
      </c>
      <c r="K389" s="96">
        <v>69500</v>
      </c>
      <c r="L389" s="89">
        <v>2513</v>
      </c>
      <c r="N389" s="97" t="s">
        <v>115</v>
      </c>
      <c r="O389" s="97" t="s">
        <v>115</v>
      </c>
      <c r="P389" s="97">
        <v>200112</v>
      </c>
      <c r="Q389" s="89">
        <v>163</v>
      </c>
      <c r="R389" s="88">
        <v>6230</v>
      </c>
    </row>
    <row r="390" spans="1:18" s="89" customFormat="1" x14ac:dyDescent="0.15">
      <c r="A390" s="89" t="s">
        <v>1</v>
      </c>
      <c r="B390" s="89">
        <v>2513</v>
      </c>
      <c r="C390" s="89" t="s">
        <v>115</v>
      </c>
      <c r="D390" s="89" t="s">
        <v>115</v>
      </c>
      <c r="E390" s="89">
        <v>2</v>
      </c>
      <c r="F390" s="89">
        <v>5</v>
      </c>
      <c r="G390" s="89" t="s">
        <v>115</v>
      </c>
      <c r="H390" s="4" t="s">
        <v>7307</v>
      </c>
      <c r="I390" s="97" t="s">
        <v>115</v>
      </c>
      <c r="J390" s="97">
        <v>20</v>
      </c>
      <c r="K390" s="96">
        <v>69500</v>
      </c>
      <c r="L390" s="89">
        <v>0</v>
      </c>
      <c r="N390" s="97">
        <v>200115</v>
      </c>
      <c r="O390" s="97">
        <v>200116</v>
      </c>
      <c r="P390" s="97">
        <v>200113</v>
      </c>
      <c r="Q390" s="89">
        <v>163</v>
      </c>
      <c r="R390" s="88">
        <v>6230</v>
      </c>
    </row>
    <row r="391" spans="1:18" s="89" customFormat="1" x14ac:dyDescent="0.15">
      <c r="A391" s="89" t="s">
        <v>1</v>
      </c>
      <c r="B391" s="89" t="s">
        <v>6865</v>
      </c>
      <c r="C391" s="89" t="s">
        <v>115</v>
      </c>
      <c r="D391" s="89">
        <v>3</v>
      </c>
      <c r="E391" s="89" t="s">
        <v>115</v>
      </c>
      <c r="F391" s="89" t="s">
        <v>115</v>
      </c>
      <c r="G391" s="89" t="s">
        <v>115</v>
      </c>
      <c r="H391" s="4" t="s">
        <v>7307</v>
      </c>
      <c r="I391" s="97" t="s">
        <v>115</v>
      </c>
      <c r="J391" s="97" t="s">
        <v>115</v>
      </c>
      <c r="K391" s="4">
        <v>70000</v>
      </c>
      <c r="L391" s="89">
        <v>2522</v>
      </c>
      <c r="N391" s="97" t="s">
        <v>115</v>
      </c>
      <c r="O391" s="97" t="s">
        <v>115</v>
      </c>
      <c r="P391" s="97">
        <v>200111</v>
      </c>
      <c r="Q391" s="89">
        <v>205</v>
      </c>
      <c r="R391" s="88">
        <v>6230</v>
      </c>
    </row>
    <row r="392" spans="1:18" s="89" customFormat="1" x14ac:dyDescent="0.15">
      <c r="A392" s="89" t="s">
        <v>1</v>
      </c>
      <c r="B392" s="89">
        <v>2522</v>
      </c>
      <c r="C392" s="89" t="s">
        <v>115</v>
      </c>
      <c r="D392" s="89" t="s">
        <v>115</v>
      </c>
      <c r="E392" s="89">
        <v>1</v>
      </c>
      <c r="F392" s="89">
        <v>5</v>
      </c>
      <c r="G392" s="89" t="s">
        <v>115</v>
      </c>
      <c r="H392" s="4" t="s">
        <v>7307</v>
      </c>
      <c r="I392" s="97" t="s">
        <v>4800</v>
      </c>
      <c r="J392" s="97" t="s">
        <v>115</v>
      </c>
      <c r="K392" s="96">
        <v>70000</v>
      </c>
      <c r="L392" s="89">
        <v>2523</v>
      </c>
      <c r="N392" s="97" t="s">
        <v>115</v>
      </c>
      <c r="O392" s="97" t="s">
        <v>115</v>
      </c>
      <c r="P392" s="97">
        <v>200112</v>
      </c>
      <c r="Q392" s="89">
        <v>205</v>
      </c>
      <c r="R392" s="88">
        <v>6230</v>
      </c>
    </row>
    <row r="393" spans="1:18" s="89" customFormat="1" x14ac:dyDescent="0.15">
      <c r="A393" s="89" t="s">
        <v>1</v>
      </c>
      <c r="B393" s="89">
        <v>2523</v>
      </c>
      <c r="C393" s="89" t="s">
        <v>115</v>
      </c>
      <c r="D393" s="89" t="s">
        <v>115</v>
      </c>
      <c r="E393" s="89">
        <v>2</v>
      </c>
      <c r="F393" s="89">
        <v>5</v>
      </c>
      <c r="G393" s="89" t="s">
        <v>115</v>
      </c>
      <c r="H393" s="4" t="s">
        <v>7307</v>
      </c>
      <c r="I393" s="97" t="s">
        <v>115</v>
      </c>
      <c r="J393" s="97">
        <v>20</v>
      </c>
      <c r="K393" s="96">
        <v>70000</v>
      </c>
      <c r="L393" s="89">
        <v>0</v>
      </c>
      <c r="N393" s="97">
        <v>200115</v>
      </c>
      <c r="O393" s="97">
        <v>200116</v>
      </c>
      <c r="P393" s="97">
        <v>200113</v>
      </c>
      <c r="Q393" s="89">
        <v>205</v>
      </c>
      <c r="R393" s="88">
        <v>6230</v>
      </c>
    </row>
    <row r="394" spans="1:18" s="89" customFormat="1" x14ac:dyDescent="0.15">
      <c r="A394" s="89" t="s">
        <v>1</v>
      </c>
      <c r="B394" s="89" t="s">
        <v>6866</v>
      </c>
      <c r="C394" s="89" t="s">
        <v>115</v>
      </c>
      <c r="D394" s="89">
        <v>3</v>
      </c>
      <c r="E394" s="89" t="s">
        <v>115</v>
      </c>
      <c r="F394" s="89" t="s">
        <v>115</v>
      </c>
      <c r="G394" s="89" t="s">
        <v>115</v>
      </c>
      <c r="H394" s="4" t="s">
        <v>7307</v>
      </c>
      <c r="I394" s="97" t="s">
        <v>115</v>
      </c>
      <c r="J394" s="97" t="s">
        <v>115</v>
      </c>
      <c r="K394" s="4">
        <v>70500</v>
      </c>
      <c r="L394" s="89">
        <v>2532</v>
      </c>
      <c r="N394" s="97" t="s">
        <v>115</v>
      </c>
      <c r="O394" s="97" t="s">
        <v>115</v>
      </c>
      <c r="P394" s="97">
        <v>200111</v>
      </c>
      <c r="Q394" s="89">
        <v>192</v>
      </c>
      <c r="R394" s="88">
        <v>6230</v>
      </c>
    </row>
    <row r="395" spans="1:18" s="89" customFormat="1" x14ac:dyDescent="0.15">
      <c r="A395" s="89" t="s">
        <v>1</v>
      </c>
      <c r="B395" s="89">
        <v>2532</v>
      </c>
      <c r="C395" s="89" t="s">
        <v>115</v>
      </c>
      <c r="D395" s="89" t="s">
        <v>115</v>
      </c>
      <c r="E395" s="89">
        <v>1</v>
      </c>
      <c r="F395" s="89">
        <v>5</v>
      </c>
      <c r="G395" s="89" t="s">
        <v>115</v>
      </c>
      <c r="H395" s="4" t="s">
        <v>7307</v>
      </c>
      <c r="I395" s="97" t="s">
        <v>4800</v>
      </c>
      <c r="J395" s="97" t="s">
        <v>115</v>
      </c>
      <c r="K395" s="96">
        <v>70500</v>
      </c>
      <c r="L395" s="89">
        <v>2533</v>
      </c>
      <c r="N395" s="97" t="s">
        <v>115</v>
      </c>
      <c r="O395" s="97" t="s">
        <v>115</v>
      </c>
      <c r="P395" s="97">
        <v>200112</v>
      </c>
      <c r="Q395" s="89">
        <v>192</v>
      </c>
      <c r="R395" s="88">
        <v>6230</v>
      </c>
    </row>
    <row r="396" spans="1:18" s="89" customFormat="1" x14ac:dyDescent="0.15">
      <c r="A396" s="89" t="s">
        <v>1</v>
      </c>
      <c r="B396" s="89">
        <v>2533</v>
      </c>
      <c r="C396" s="89" t="s">
        <v>115</v>
      </c>
      <c r="D396" s="89" t="s">
        <v>115</v>
      </c>
      <c r="E396" s="89">
        <v>2</v>
      </c>
      <c r="F396" s="89">
        <v>5</v>
      </c>
      <c r="G396" s="89" t="s">
        <v>115</v>
      </c>
      <c r="H396" s="4" t="s">
        <v>7307</v>
      </c>
      <c r="I396" s="97" t="s">
        <v>115</v>
      </c>
      <c r="J396" s="97">
        <v>20</v>
      </c>
      <c r="K396" s="96">
        <v>70500</v>
      </c>
      <c r="L396" s="89">
        <v>0</v>
      </c>
      <c r="N396" s="97">
        <v>200115</v>
      </c>
      <c r="O396" s="97">
        <v>200116</v>
      </c>
      <c r="P396" s="97">
        <v>200113</v>
      </c>
      <c r="Q396" s="89">
        <v>192</v>
      </c>
      <c r="R396" s="88">
        <v>6230</v>
      </c>
    </row>
    <row r="397" spans="1:18" s="89" customFormat="1" x14ac:dyDescent="0.15">
      <c r="A397" s="89" t="s">
        <v>1</v>
      </c>
      <c r="B397" s="89" t="s">
        <v>6867</v>
      </c>
      <c r="C397" s="89" t="s">
        <v>115</v>
      </c>
      <c r="D397" s="89">
        <v>3</v>
      </c>
      <c r="E397" s="89" t="s">
        <v>115</v>
      </c>
      <c r="F397" s="89" t="s">
        <v>115</v>
      </c>
      <c r="G397" s="89" t="s">
        <v>115</v>
      </c>
      <c r="H397" s="4" t="s">
        <v>7307</v>
      </c>
      <c r="I397" s="97" t="s">
        <v>115</v>
      </c>
      <c r="J397" s="97" t="s">
        <v>115</v>
      </c>
      <c r="K397" s="4">
        <v>71000</v>
      </c>
      <c r="L397" s="89">
        <v>2542</v>
      </c>
      <c r="N397" s="97" t="s">
        <v>115</v>
      </c>
      <c r="O397" s="97" t="s">
        <v>115</v>
      </c>
      <c r="P397" s="97">
        <v>200111</v>
      </c>
      <c r="Q397" s="89">
        <v>118</v>
      </c>
      <c r="R397" s="88">
        <v>6230</v>
      </c>
    </row>
    <row r="398" spans="1:18" s="89" customFormat="1" x14ac:dyDescent="0.15">
      <c r="A398" s="89" t="s">
        <v>1</v>
      </c>
      <c r="B398" s="89">
        <v>2542</v>
      </c>
      <c r="C398" s="89" t="s">
        <v>115</v>
      </c>
      <c r="D398" s="89" t="s">
        <v>115</v>
      </c>
      <c r="E398" s="89">
        <v>1</v>
      </c>
      <c r="F398" s="89">
        <v>5</v>
      </c>
      <c r="G398" s="89" t="s">
        <v>115</v>
      </c>
      <c r="H398" s="4" t="s">
        <v>7307</v>
      </c>
      <c r="I398" s="97" t="s">
        <v>4800</v>
      </c>
      <c r="J398" s="97" t="s">
        <v>115</v>
      </c>
      <c r="K398" s="96">
        <v>71000</v>
      </c>
      <c r="L398" s="89">
        <v>2543</v>
      </c>
      <c r="N398" s="97" t="s">
        <v>115</v>
      </c>
      <c r="O398" s="97" t="s">
        <v>115</v>
      </c>
      <c r="P398" s="97">
        <v>200112</v>
      </c>
      <c r="Q398" s="89">
        <v>118</v>
      </c>
      <c r="R398" s="88">
        <v>6230</v>
      </c>
    </row>
    <row r="399" spans="1:18" s="89" customFormat="1" x14ac:dyDescent="0.15">
      <c r="A399" s="89" t="s">
        <v>1</v>
      </c>
      <c r="B399" s="89">
        <v>2543</v>
      </c>
      <c r="C399" s="89" t="s">
        <v>115</v>
      </c>
      <c r="D399" s="89" t="s">
        <v>115</v>
      </c>
      <c r="E399" s="89">
        <v>2</v>
      </c>
      <c r="F399" s="89">
        <v>5</v>
      </c>
      <c r="G399" s="89" t="s">
        <v>115</v>
      </c>
      <c r="H399" s="4" t="s">
        <v>7307</v>
      </c>
      <c r="I399" s="97" t="s">
        <v>115</v>
      </c>
      <c r="J399" s="97">
        <v>20</v>
      </c>
      <c r="K399" s="96">
        <v>71000</v>
      </c>
      <c r="L399" s="89">
        <v>0</v>
      </c>
      <c r="N399" s="97">
        <v>200115</v>
      </c>
      <c r="O399" s="97">
        <v>200116</v>
      </c>
      <c r="P399" s="97">
        <v>200113</v>
      </c>
      <c r="Q399" s="89">
        <v>118</v>
      </c>
      <c r="R399" s="88">
        <v>6230</v>
      </c>
    </row>
    <row r="400" spans="1:18" s="89" customFormat="1" x14ac:dyDescent="0.15">
      <c r="A400" s="89" t="s">
        <v>1</v>
      </c>
      <c r="B400" s="89" t="s">
        <v>6868</v>
      </c>
      <c r="C400" s="89" t="s">
        <v>115</v>
      </c>
      <c r="D400" s="89">
        <v>3</v>
      </c>
      <c r="E400" s="89" t="s">
        <v>115</v>
      </c>
      <c r="F400" s="89" t="s">
        <v>115</v>
      </c>
      <c r="G400" s="89" t="s">
        <v>115</v>
      </c>
      <c r="H400" s="4" t="s">
        <v>7307</v>
      </c>
      <c r="I400" s="97" t="s">
        <v>115</v>
      </c>
      <c r="J400" s="97" t="s">
        <v>115</v>
      </c>
      <c r="K400" s="4">
        <v>71500</v>
      </c>
      <c r="L400" s="89">
        <v>2552</v>
      </c>
      <c r="N400" s="97" t="s">
        <v>115</v>
      </c>
      <c r="O400" s="97" t="s">
        <v>115</v>
      </c>
      <c r="P400" s="97">
        <v>200111</v>
      </c>
      <c r="Q400" s="89">
        <v>355</v>
      </c>
      <c r="R400" s="88">
        <v>6230</v>
      </c>
    </row>
    <row r="401" spans="1:18" s="89" customFormat="1" x14ac:dyDescent="0.15">
      <c r="A401" s="89" t="s">
        <v>1</v>
      </c>
      <c r="B401" s="89">
        <v>2552</v>
      </c>
      <c r="C401" s="89" t="s">
        <v>115</v>
      </c>
      <c r="D401" s="89" t="s">
        <v>115</v>
      </c>
      <c r="E401" s="89">
        <v>1</v>
      </c>
      <c r="F401" s="89">
        <v>5</v>
      </c>
      <c r="G401" s="89" t="s">
        <v>115</v>
      </c>
      <c r="H401" s="4" t="s">
        <v>7307</v>
      </c>
      <c r="I401" s="97" t="s">
        <v>4800</v>
      </c>
      <c r="J401" s="97" t="s">
        <v>115</v>
      </c>
      <c r="K401" s="96">
        <v>71500</v>
      </c>
      <c r="L401" s="89">
        <v>2553</v>
      </c>
      <c r="N401" s="97" t="s">
        <v>115</v>
      </c>
      <c r="O401" s="97" t="s">
        <v>115</v>
      </c>
      <c r="P401" s="97">
        <v>200112</v>
      </c>
      <c r="Q401" s="89">
        <v>355</v>
      </c>
      <c r="R401" s="88">
        <v>6230</v>
      </c>
    </row>
    <row r="402" spans="1:18" s="89" customFormat="1" x14ac:dyDescent="0.15">
      <c r="A402" s="89" t="s">
        <v>1</v>
      </c>
      <c r="B402" s="89">
        <v>2553</v>
      </c>
      <c r="C402" s="89" t="s">
        <v>115</v>
      </c>
      <c r="D402" s="89" t="s">
        <v>115</v>
      </c>
      <c r="E402" s="89">
        <v>2</v>
      </c>
      <c r="F402" s="89">
        <v>5</v>
      </c>
      <c r="G402" s="89" t="s">
        <v>115</v>
      </c>
      <c r="H402" s="4" t="s">
        <v>7307</v>
      </c>
      <c r="I402" s="97" t="s">
        <v>115</v>
      </c>
      <c r="J402" s="97">
        <v>20</v>
      </c>
      <c r="K402" s="96">
        <v>71500</v>
      </c>
      <c r="L402" s="89">
        <v>0</v>
      </c>
      <c r="N402" s="97">
        <v>200115</v>
      </c>
      <c r="O402" s="97">
        <v>200116</v>
      </c>
      <c r="P402" s="97">
        <v>200113</v>
      </c>
      <c r="Q402" s="89">
        <v>355</v>
      </c>
      <c r="R402" s="88">
        <v>6230</v>
      </c>
    </row>
    <row r="403" spans="1:18" s="89" customFormat="1" x14ac:dyDescent="0.15">
      <c r="A403" s="89" t="s">
        <v>1</v>
      </c>
      <c r="B403" s="89" t="s">
        <v>6869</v>
      </c>
      <c r="C403" s="89" t="s">
        <v>115</v>
      </c>
      <c r="D403" s="89">
        <v>3</v>
      </c>
      <c r="E403" s="89" t="s">
        <v>115</v>
      </c>
      <c r="F403" s="89" t="s">
        <v>115</v>
      </c>
      <c r="G403" s="89" t="s">
        <v>115</v>
      </c>
      <c r="H403" s="4" t="s">
        <v>7307</v>
      </c>
      <c r="I403" s="97" t="s">
        <v>115</v>
      </c>
      <c r="J403" s="97" t="s">
        <v>115</v>
      </c>
      <c r="K403" s="4">
        <v>69000</v>
      </c>
      <c r="L403" s="89">
        <v>2612</v>
      </c>
      <c r="N403" s="97" t="s">
        <v>115</v>
      </c>
      <c r="O403" s="97" t="s">
        <v>115</v>
      </c>
      <c r="P403" s="97">
        <v>200111</v>
      </c>
      <c r="Q403" s="89">
        <v>145</v>
      </c>
      <c r="R403" s="88">
        <v>6230</v>
      </c>
    </row>
    <row r="404" spans="1:18" s="89" customFormat="1" x14ac:dyDescent="0.15">
      <c r="A404" s="89" t="s">
        <v>1</v>
      </c>
      <c r="B404" s="89">
        <v>2612</v>
      </c>
      <c r="C404" s="89" t="s">
        <v>115</v>
      </c>
      <c r="D404" s="89" t="s">
        <v>115</v>
      </c>
      <c r="E404" s="89">
        <v>1</v>
      </c>
      <c r="F404" s="89">
        <v>5</v>
      </c>
      <c r="G404" s="89" t="s">
        <v>115</v>
      </c>
      <c r="H404" s="4" t="s">
        <v>7307</v>
      </c>
      <c r="I404" s="97" t="s">
        <v>4800</v>
      </c>
      <c r="J404" s="97" t="s">
        <v>115</v>
      </c>
      <c r="K404" s="96">
        <v>69000</v>
      </c>
      <c r="L404" s="89">
        <v>2613</v>
      </c>
      <c r="N404" s="97" t="s">
        <v>115</v>
      </c>
      <c r="O404" s="97" t="s">
        <v>115</v>
      </c>
      <c r="P404" s="97">
        <v>200112</v>
      </c>
      <c r="Q404" s="89">
        <v>145</v>
      </c>
      <c r="R404" s="88">
        <v>6230</v>
      </c>
    </row>
    <row r="405" spans="1:18" s="89" customFormat="1" x14ac:dyDescent="0.15">
      <c r="A405" s="89" t="s">
        <v>1</v>
      </c>
      <c r="B405" s="89">
        <v>2613</v>
      </c>
      <c r="C405" s="89" t="s">
        <v>115</v>
      </c>
      <c r="D405" s="89" t="s">
        <v>115</v>
      </c>
      <c r="E405" s="89">
        <v>2</v>
      </c>
      <c r="F405" s="89">
        <v>5</v>
      </c>
      <c r="G405" s="89" t="s">
        <v>115</v>
      </c>
      <c r="H405" s="4" t="s">
        <v>7307</v>
      </c>
      <c r="I405" s="97" t="s">
        <v>115</v>
      </c>
      <c r="J405" s="97">
        <v>20</v>
      </c>
      <c r="K405" s="96">
        <v>69000</v>
      </c>
      <c r="L405" s="89">
        <v>0</v>
      </c>
      <c r="N405" s="97">
        <v>200115</v>
      </c>
      <c r="O405" s="97">
        <v>200116</v>
      </c>
      <c r="P405" s="97">
        <v>200113</v>
      </c>
      <c r="Q405" s="89">
        <v>145</v>
      </c>
      <c r="R405" s="88">
        <v>6230</v>
      </c>
    </row>
    <row r="406" spans="1:18" s="89" customFormat="1" x14ac:dyDescent="0.15">
      <c r="A406" s="89" t="s">
        <v>1</v>
      </c>
      <c r="B406" s="89" t="s">
        <v>6870</v>
      </c>
      <c r="C406" s="89" t="s">
        <v>115</v>
      </c>
      <c r="D406" s="89">
        <v>3</v>
      </c>
      <c r="E406" s="89" t="s">
        <v>115</v>
      </c>
      <c r="F406" s="89" t="s">
        <v>115</v>
      </c>
      <c r="G406" s="89" t="s">
        <v>115</v>
      </c>
      <c r="H406" s="4" t="s">
        <v>7307</v>
      </c>
      <c r="I406" s="97" t="s">
        <v>115</v>
      </c>
      <c r="J406" s="97" t="s">
        <v>115</v>
      </c>
      <c r="K406" s="4">
        <v>69500</v>
      </c>
      <c r="L406" s="89">
        <v>2622</v>
      </c>
      <c r="N406" s="97" t="s">
        <v>115</v>
      </c>
      <c r="O406" s="97" t="s">
        <v>115</v>
      </c>
      <c r="P406" s="97">
        <v>200111</v>
      </c>
      <c r="Q406" s="89">
        <v>171</v>
      </c>
      <c r="R406" s="88">
        <v>6230</v>
      </c>
    </row>
    <row r="407" spans="1:18" s="89" customFormat="1" x14ac:dyDescent="0.15">
      <c r="A407" s="89" t="s">
        <v>1</v>
      </c>
      <c r="B407" s="89">
        <v>2622</v>
      </c>
      <c r="C407" s="89" t="s">
        <v>115</v>
      </c>
      <c r="D407" s="89" t="s">
        <v>115</v>
      </c>
      <c r="E407" s="89">
        <v>1</v>
      </c>
      <c r="F407" s="89">
        <v>5</v>
      </c>
      <c r="G407" s="89" t="s">
        <v>115</v>
      </c>
      <c r="H407" s="4" t="s">
        <v>7307</v>
      </c>
      <c r="I407" s="97" t="s">
        <v>4800</v>
      </c>
      <c r="J407" s="97" t="s">
        <v>115</v>
      </c>
      <c r="K407" s="96">
        <v>69500</v>
      </c>
      <c r="L407" s="89">
        <v>2623</v>
      </c>
      <c r="N407" s="97" t="s">
        <v>115</v>
      </c>
      <c r="O407" s="97" t="s">
        <v>115</v>
      </c>
      <c r="P407" s="97">
        <v>200112</v>
      </c>
      <c r="Q407" s="89">
        <v>171</v>
      </c>
      <c r="R407" s="88">
        <v>6230</v>
      </c>
    </row>
    <row r="408" spans="1:18" s="89" customFormat="1" x14ac:dyDescent="0.15">
      <c r="A408" s="89" t="s">
        <v>1</v>
      </c>
      <c r="B408" s="89">
        <v>2623</v>
      </c>
      <c r="C408" s="89" t="s">
        <v>115</v>
      </c>
      <c r="D408" s="89" t="s">
        <v>115</v>
      </c>
      <c r="E408" s="89">
        <v>2</v>
      </c>
      <c r="F408" s="89">
        <v>5</v>
      </c>
      <c r="G408" s="89" t="s">
        <v>115</v>
      </c>
      <c r="H408" s="4" t="s">
        <v>7307</v>
      </c>
      <c r="I408" s="97" t="s">
        <v>115</v>
      </c>
      <c r="J408" s="97">
        <v>20</v>
      </c>
      <c r="K408" s="96">
        <v>69500</v>
      </c>
      <c r="L408" s="89">
        <v>0</v>
      </c>
      <c r="N408" s="97">
        <v>200115</v>
      </c>
      <c r="O408" s="97">
        <v>200116</v>
      </c>
      <c r="P408" s="97">
        <v>200113</v>
      </c>
      <c r="Q408" s="89">
        <v>171</v>
      </c>
      <c r="R408" s="88">
        <v>6230</v>
      </c>
    </row>
    <row r="409" spans="1:18" s="89" customFormat="1" x14ac:dyDescent="0.15">
      <c r="A409" s="89" t="s">
        <v>1</v>
      </c>
      <c r="B409" s="89" t="s">
        <v>6871</v>
      </c>
      <c r="C409" s="89" t="s">
        <v>115</v>
      </c>
      <c r="D409" s="89">
        <v>3</v>
      </c>
      <c r="E409" s="89" t="s">
        <v>115</v>
      </c>
      <c r="F409" s="89" t="s">
        <v>115</v>
      </c>
      <c r="G409" s="89" t="s">
        <v>115</v>
      </c>
      <c r="H409" s="4" t="s">
        <v>7307</v>
      </c>
      <c r="I409" s="97" t="s">
        <v>115</v>
      </c>
      <c r="J409" s="97" t="s">
        <v>115</v>
      </c>
      <c r="K409" s="4">
        <v>70000</v>
      </c>
      <c r="L409" s="89">
        <v>2632</v>
      </c>
      <c r="N409" s="97" t="s">
        <v>115</v>
      </c>
      <c r="O409" s="97" t="s">
        <v>115</v>
      </c>
      <c r="P409" s="97">
        <v>200111</v>
      </c>
      <c r="Q409" s="89">
        <v>115</v>
      </c>
      <c r="R409" s="88">
        <v>6230</v>
      </c>
    </row>
    <row r="410" spans="1:18" s="89" customFormat="1" x14ac:dyDescent="0.15">
      <c r="A410" s="89" t="s">
        <v>1</v>
      </c>
      <c r="B410" s="89">
        <v>2632</v>
      </c>
      <c r="C410" s="89" t="s">
        <v>115</v>
      </c>
      <c r="D410" s="89" t="s">
        <v>115</v>
      </c>
      <c r="E410" s="89">
        <v>1</v>
      </c>
      <c r="F410" s="89">
        <v>5</v>
      </c>
      <c r="G410" s="89" t="s">
        <v>115</v>
      </c>
      <c r="H410" s="4" t="s">
        <v>7307</v>
      </c>
      <c r="I410" s="97" t="s">
        <v>4800</v>
      </c>
      <c r="J410" s="97" t="s">
        <v>115</v>
      </c>
      <c r="K410" s="96">
        <v>70000</v>
      </c>
      <c r="L410" s="89">
        <v>2633</v>
      </c>
      <c r="N410" s="97" t="s">
        <v>115</v>
      </c>
      <c r="O410" s="97" t="s">
        <v>115</v>
      </c>
      <c r="P410" s="97">
        <v>200112</v>
      </c>
      <c r="Q410" s="89">
        <v>115</v>
      </c>
      <c r="R410" s="88">
        <v>6230</v>
      </c>
    </row>
    <row r="411" spans="1:18" s="89" customFormat="1" x14ac:dyDescent="0.15">
      <c r="A411" s="89" t="s">
        <v>1</v>
      </c>
      <c r="B411" s="89">
        <v>2633</v>
      </c>
      <c r="C411" s="89" t="s">
        <v>115</v>
      </c>
      <c r="D411" s="89" t="s">
        <v>115</v>
      </c>
      <c r="E411" s="89">
        <v>2</v>
      </c>
      <c r="F411" s="89">
        <v>5</v>
      </c>
      <c r="G411" s="89" t="s">
        <v>115</v>
      </c>
      <c r="H411" s="4" t="s">
        <v>7307</v>
      </c>
      <c r="I411" s="97" t="s">
        <v>115</v>
      </c>
      <c r="J411" s="97">
        <v>20</v>
      </c>
      <c r="K411" s="96">
        <v>70000</v>
      </c>
      <c r="L411" s="89">
        <v>0</v>
      </c>
      <c r="N411" s="97">
        <v>200115</v>
      </c>
      <c r="O411" s="97">
        <v>200116</v>
      </c>
      <c r="P411" s="97">
        <v>200113</v>
      </c>
      <c r="Q411" s="89">
        <v>115</v>
      </c>
      <c r="R411" s="88">
        <v>6230</v>
      </c>
    </row>
    <row r="412" spans="1:18" s="89" customFormat="1" x14ac:dyDescent="0.15">
      <c r="A412" s="89" t="s">
        <v>1</v>
      </c>
      <c r="B412" s="89" t="s">
        <v>6872</v>
      </c>
      <c r="C412" s="89" t="s">
        <v>115</v>
      </c>
      <c r="D412" s="89">
        <v>3</v>
      </c>
      <c r="E412" s="89" t="s">
        <v>115</v>
      </c>
      <c r="F412" s="89" t="s">
        <v>115</v>
      </c>
      <c r="G412" s="89" t="s">
        <v>115</v>
      </c>
      <c r="H412" s="4" t="s">
        <v>7307</v>
      </c>
      <c r="I412" s="97" t="s">
        <v>115</v>
      </c>
      <c r="J412" s="97" t="s">
        <v>115</v>
      </c>
      <c r="K412" s="4">
        <v>70500</v>
      </c>
      <c r="L412" s="89">
        <v>2642</v>
      </c>
      <c r="N412" s="97" t="s">
        <v>115</v>
      </c>
      <c r="O412" s="97" t="s">
        <v>115</v>
      </c>
      <c r="P412" s="97">
        <v>200111</v>
      </c>
      <c r="Q412" s="89">
        <v>197</v>
      </c>
      <c r="R412" s="88">
        <v>6230</v>
      </c>
    </row>
    <row r="413" spans="1:18" s="89" customFormat="1" x14ac:dyDescent="0.15">
      <c r="A413" s="89" t="s">
        <v>1</v>
      </c>
      <c r="B413" s="89">
        <v>2642</v>
      </c>
      <c r="C413" s="89" t="s">
        <v>115</v>
      </c>
      <c r="D413" s="89" t="s">
        <v>115</v>
      </c>
      <c r="E413" s="89">
        <v>1</v>
      </c>
      <c r="F413" s="89">
        <v>5</v>
      </c>
      <c r="G413" s="89" t="s">
        <v>115</v>
      </c>
      <c r="H413" s="4" t="s">
        <v>7307</v>
      </c>
      <c r="I413" s="97" t="s">
        <v>4800</v>
      </c>
      <c r="J413" s="97" t="s">
        <v>115</v>
      </c>
      <c r="K413" s="96">
        <v>70500</v>
      </c>
      <c r="L413" s="89">
        <v>2643</v>
      </c>
      <c r="N413" s="97" t="s">
        <v>115</v>
      </c>
      <c r="O413" s="97" t="s">
        <v>115</v>
      </c>
      <c r="P413" s="97">
        <v>200112</v>
      </c>
      <c r="Q413" s="89">
        <v>197</v>
      </c>
      <c r="R413" s="88">
        <v>6230</v>
      </c>
    </row>
    <row r="414" spans="1:18" s="89" customFormat="1" x14ac:dyDescent="0.15">
      <c r="A414" s="89" t="s">
        <v>1</v>
      </c>
      <c r="B414" s="89">
        <v>2643</v>
      </c>
      <c r="C414" s="89" t="s">
        <v>115</v>
      </c>
      <c r="D414" s="89" t="s">
        <v>115</v>
      </c>
      <c r="E414" s="89">
        <v>2</v>
      </c>
      <c r="F414" s="89">
        <v>5</v>
      </c>
      <c r="G414" s="89" t="s">
        <v>115</v>
      </c>
      <c r="H414" s="4" t="s">
        <v>7307</v>
      </c>
      <c r="I414" s="97" t="s">
        <v>115</v>
      </c>
      <c r="J414" s="97">
        <v>20</v>
      </c>
      <c r="K414" s="96">
        <v>70500</v>
      </c>
      <c r="L414" s="89">
        <v>0</v>
      </c>
      <c r="N414" s="97">
        <v>200115</v>
      </c>
      <c r="O414" s="97">
        <v>200116</v>
      </c>
      <c r="P414" s="97">
        <v>200113</v>
      </c>
      <c r="Q414" s="89">
        <v>197</v>
      </c>
      <c r="R414" s="88">
        <v>6230</v>
      </c>
    </row>
    <row r="415" spans="1:18" s="89" customFormat="1" x14ac:dyDescent="0.15">
      <c r="A415" s="89" t="s">
        <v>1</v>
      </c>
      <c r="B415" s="89" t="s">
        <v>6873</v>
      </c>
      <c r="C415" s="89" t="s">
        <v>115</v>
      </c>
      <c r="D415" s="89">
        <v>3</v>
      </c>
      <c r="E415" s="89" t="s">
        <v>115</v>
      </c>
      <c r="F415" s="89" t="s">
        <v>115</v>
      </c>
      <c r="G415" s="89" t="s">
        <v>115</v>
      </c>
      <c r="H415" s="4" t="s">
        <v>7307</v>
      </c>
      <c r="I415" s="97" t="s">
        <v>115</v>
      </c>
      <c r="J415" s="97" t="s">
        <v>115</v>
      </c>
      <c r="K415" s="4">
        <v>71000</v>
      </c>
      <c r="L415" s="89">
        <v>2652</v>
      </c>
      <c r="N415" s="97" t="s">
        <v>115</v>
      </c>
      <c r="O415" s="97" t="s">
        <v>115</v>
      </c>
      <c r="P415" s="97">
        <v>200111</v>
      </c>
      <c r="Q415" s="89">
        <v>197</v>
      </c>
      <c r="R415" s="88">
        <v>6230</v>
      </c>
    </row>
    <row r="416" spans="1:18" s="89" customFormat="1" x14ac:dyDescent="0.15">
      <c r="A416" s="89" t="s">
        <v>1</v>
      </c>
      <c r="B416" s="89">
        <v>2652</v>
      </c>
      <c r="C416" s="89" t="s">
        <v>115</v>
      </c>
      <c r="D416" s="89" t="s">
        <v>115</v>
      </c>
      <c r="E416" s="89">
        <v>1</v>
      </c>
      <c r="F416" s="89">
        <v>5</v>
      </c>
      <c r="G416" s="89" t="s">
        <v>115</v>
      </c>
      <c r="H416" s="4" t="s">
        <v>7307</v>
      </c>
      <c r="I416" s="97" t="s">
        <v>4800</v>
      </c>
      <c r="J416" s="97" t="s">
        <v>115</v>
      </c>
      <c r="K416" s="96">
        <v>71000</v>
      </c>
      <c r="L416" s="89">
        <v>2653</v>
      </c>
      <c r="N416" s="97" t="s">
        <v>115</v>
      </c>
      <c r="O416" s="97" t="s">
        <v>115</v>
      </c>
      <c r="P416" s="97">
        <v>200112</v>
      </c>
      <c r="Q416" s="89">
        <v>197</v>
      </c>
      <c r="R416" s="88">
        <v>6230</v>
      </c>
    </row>
    <row r="417" spans="1:18" s="89" customFormat="1" x14ac:dyDescent="0.15">
      <c r="A417" s="89" t="s">
        <v>1</v>
      </c>
      <c r="B417" s="89">
        <v>2653</v>
      </c>
      <c r="C417" s="89" t="s">
        <v>115</v>
      </c>
      <c r="D417" s="89" t="s">
        <v>115</v>
      </c>
      <c r="E417" s="89">
        <v>2</v>
      </c>
      <c r="F417" s="89">
        <v>5</v>
      </c>
      <c r="G417" s="89" t="s">
        <v>115</v>
      </c>
      <c r="H417" s="4" t="s">
        <v>7307</v>
      </c>
      <c r="I417" s="97" t="s">
        <v>115</v>
      </c>
      <c r="J417" s="97">
        <v>20</v>
      </c>
      <c r="K417" s="96">
        <v>71000</v>
      </c>
      <c r="L417" s="89">
        <v>0</v>
      </c>
      <c r="N417" s="97">
        <v>200115</v>
      </c>
      <c r="O417" s="97">
        <v>200116</v>
      </c>
      <c r="P417" s="97">
        <v>200113</v>
      </c>
      <c r="Q417" s="89">
        <v>197</v>
      </c>
      <c r="R417" s="88">
        <v>6230</v>
      </c>
    </row>
    <row r="418" spans="1:18" s="89" customFormat="1" x14ac:dyDescent="0.15">
      <c r="A418" s="89" t="s">
        <v>1</v>
      </c>
      <c r="B418" s="89" t="s">
        <v>6874</v>
      </c>
      <c r="C418" s="89" t="s">
        <v>115</v>
      </c>
      <c r="D418" s="89">
        <v>3</v>
      </c>
      <c r="E418" s="89" t="s">
        <v>115</v>
      </c>
      <c r="F418" s="89" t="s">
        <v>115</v>
      </c>
      <c r="G418" s="89" t="s">
        <v>115</v>
      </c>
      <c r="H418" s="4" t="s">
        <v>7307</v>
      </c>
      <c r="I418" s="97" t="s">
        <v>115</v>
      </c>
      <c r="J418" s="97" t="s">
        <v>115</v>
      </c>
      <c r="K418" s="4">
        <v>71500</v>
      </c>
      <c r="L418" s="89">
        <v>2662</v>
      </c>
      <c r="N418" s="97" t="s">
        <v>115</v>
      </c>
      <c r="O418" s="97" t="s">
        <v>115</v>
      </c>
      <c r="P418" s="97">
        <v>200111</v>
      </c>
      <c r="Q418" s="89">
        <v>18</v>
      </c>
      <c r="R418" s="88">
        <v>6230</v>
      </c>
    </row>
    <row r="419" spans="1:18" s="89" customFormat="1" x14ac:dyDescent="0.15">
      <c r="A419" s="89" t="s">
        <v>1</v>
      </c>
      <c r="B419" s="89">
        <v>2662</v>
      </c>
      <c r="C419" s="89" t="s">
        <v>115</v>
      </c>
      <c r="D419" s="89" t="s">
        <v>115</v>
      </c>
      <c r="E419" s="89">
        <v>1</v>
      </c>
      <c r="F419" s="89">
        <v>5</v>
      </c>
      <c r="G419" s="89" t="s">
        <v>115</v>
      </c>
      <c r="H419" s="4" t="s">
        <v>7307</v>
      </c>
      <c r="I419" s="97" t="s">
        <v>4800</v>
      </c>
      <c r="J419" s="97" t="s">
        <v>115</v>
      </c>
      <c r="K419" s="96">
        <v>71500</v>
      </c>
      <c r="L419" s="89">
        <v>2663</v>
      </c>
      <c r="N419" s="97" t="s">
        <v>115</v>
      </c>
      <c r="O419" s="97" t="s">
        <v>115</v>
      </c>
      <c r="P419" s="97">
        <v>200112</v>
      </c>
      <c r="Q419" s="89">
        <v>18</v>
      </c>
      <c r="R419" s="88">
        <v>6230</v>
      </c>
    </row>
    <row r="420" spans="1:18" s="89" customFormat="1" x14ac:dyDescent="0.15">
      <c r="A420" s="89" t="s">
        <v>1</v>
      </c>
      <c r="B420" s="89">
        <v>2663</v>
      </c>
      <c r="C420" s="89" t="s">
        <v>115</v>
      </c>
      <c r="D420" s="89" t="s">
        <v>115</v>
      </c>
      <c r="E420" s="89">
        <v>2</v>
      </c>
      <c r="F420" s="89">
        <v>5</v>
      </c>
      <c r="G420" s="89" t="s">
        <v>115</v>
      </c>
      <c r="H420" s="4" t="s">
        <v>7307</v>
      </c>
      <c r="I420" s="97" t="s">
        <v>115</v>
      </c>
      <c r="J420" s="97">
        <v>20</v>
      </c>
      <c r="K420" s="96">
        <v>71500</v>
      </c>
      <c r="L420" s="89">
        <v>0</v>
      </c>
      <c r="N420" s="97">
        <v>200115</v>
      </c>
      <c r="O420" s="97">
        <v>200116</v>
      </c>
      <c r="P420" s="97">
        <v>200113</v>
      </c>
      <c r="Q420" s="89">
        <v>18</v>
      </c>
      <c r="R420" s="88">
        <v>6230</v>
      </c>
    </row>
    <row r="421" spans="1:18" s="89" customFormat="1" x14ac:dyDescent="0.15">
      <c r="A421" s="89" t="s">
        <v>1</v>
      </c>
      <c r="B421" s="89" t="s">
        <v>6875</v>
      </c>
      <c r="C421" s="89" t="s">
        <v>115</v>
      </c>
      <c r="D421" s="89">
        <v>3</v>
      </c>
      <c r="E421" s="89" t="s">
        <v>115</v>
      </c>
      <c r="F421" s="89" t="s">
        <v>115</v>
      </c>
      <c r="G421" s="89" t="s">
        <v>115</v>
      </c>
      <c r="H421" s="4" t="s">
        <v>7307</v>
      </c>
      <c r="I421" s="97" t="s">
        <v>115</v>
      </c>
      <c r="J421" s="97" t="s">
        <v>115</v>
      </c>
      <c r="K421" s="4">
        <v>72000</v>
      </c>
      <c r="L421" s="89">
        <v>2672</v>
      </c>
      <c r="N421" s="97" t="s">
        <v>115</v>
      </c>
      <c r="O421" s="97" t="s">
        <v>115</v>
      </c>
      <c r="P421" s="97">
        <v>200111</v>
      </c>
      <c r="Q421" s="89">
        <v>140</v>
      </c>
      <c r="R421" s="88">
        <v>6230</v>
      </c>
    </row>
    <row r="422" spans="1:18" s="89" customFormat="1" x14ac:dyDescent="0.15">
      <c r="A422" s="89" t="s">
        <v>1</v>
      </c>
      <c r="B422" s="89">
        <v>2672</v>
      </c>
      <c r="C422" s="89" t="s">
        <v>115</v>
      </c>
      <c r="D422" s="89" t="s">
        <v>115</v>
      </c>
      <c r="E422" s="89">
        <v>1</v>
      </c>
      <c r="F422" s="89">
        <v>5</v>
      </c>
      <c r="G422" s="89" t="s">
        <v>115</v>
      </c>
      <c r="H422" s="4" t="s">
        <v>7307</v>
      </c>
      <c r="I422" s="97" t="s">
        <v>4800</v>
      </c>
      <c r="J422" s="97" t="s">
        <v>115</v>
      </c>
      <c r="K422" s="96">
        <v>72000</v>
      </c>
      <c r="L422" s="89">
        <v>2673</v>
      </c>
      <c r="N422" s="97" t="s">
        <v>115</v>
      </c>
      <c r="O422" s="97" t="s">
        <v>115</v>
      </c>
      <c r="P422" s="97">
        <v>200112</v>
      </c>
      <c r="Q422" s="89">
        <v>140</v>
      </c>
      <c r="R422" s="88">
        <v>6230</v>
      </c>
    </row>
    <row r="423" spans="1:18" s="89" customFormat="1" x14ac:dyDescent="0.15">
      <c r="A423" s="89" t="s">
        <v>1</v>
      </c>
      <c r="B423" s="89">
        <v>2673</v>
      </c>
      <c r="C423" s="89" t="s">
        <v>115</v>
      </c>
      <c r="D423" s="89" t="s">
        <v>115</v>
      </c>
      <c r="E423" s="89">
        <v>2</v>
      </c>
      <c r="F423" s="89">
        <v>5</v>
      </c>
      <c r="G423" s="89" t="s">
        <v>115</v>
      </c>
      <c r="H423" s="4" t="s">
        <v>7307</v>
      </c>
      <c r="I423" s="97" t="s">
        <v>115</v>
      </c>
      <c r="J423" s="97">
        <v>20</v>
      </c>
      <c r="K423" s="96">
        <v>72000</v>
      </c>
      <c r="L423" s="89">
        <v>0</v>
      </c>
      <c r="N423" s="97">
        <v>200115</v>
      </c>
      <c r="O423" s="97">
        <v>200116</v>
      </c>
      <c r="P423" s="97">
        <v>200113</v>
      </c>
      <c r="Q423" s="89">
        <v>140</v>
      </c>
      <c r="R423" s="88">
        <v>6230</v>
      </c>
    </row>
    <row r="424" spans="1:18" s="89" customFormat="1" x14ac:dyDescent="0.15">
      <c r="A424" s="89" t="s">
        <v>1</v>
      </c>
      <c r="B424" s="89" t="s">
        <v>6876</v>
      </c>
      <c r="C424" s="89" t="s">
        <v>115</v>
      </c>
      <c r="D424" s="89">
        <v>3</v>
      </c>
      <c r="E424" s="89" t="s">
        <v>115</v>
      </c>
      <c r="F424" s="89" t="s">
        <v>115</v>
      </c>
      <c r="G424" s="89" t="s">
        <v>115</v>
      </c>
      <c r="H424" s="4" t="s">
        <v>7307</v>
      </c>
      <c r="I424" s="97" t="s">
        <v>115</v>
      </c>
      <c r="J424" s="97" t="s">
        <v>115</v>
      </c>
      <c r="K424" s="4">
        <v>70500</v>
      </c>
      <c r="L424" s="89">
        <v>2712</v>
      </c>
      <c r="N424" s="97" t="s">
        <v>115</v>
      </c>
      <c r="O424" s="97" t="s">
        <v>115</v>
      </c>
      <c r="P424" s="97">
        <v>200111</v>
      </c>
      <c r="Q424" s="89">
        <v>144</v>
      </c>
      <c r="R424" s="88">
        <v>6230</v>
      </c>
    </row>
    <row r="425" spans="1:18" s="89" customFormat="1" x14ac:dyDescent="0.15">
      <c r="A425" s="89" t="s">
        <v>1</v>
      </c>
      <c r="B425" s="89">
        <v>2712</v>
      </c>
      <c r="C425" s="89" t="s">
        <v>115</v>
      </c>
      <c r="D425" s="89" t="s">
        <v>115</v>
      </c>
      <c r="E425" s="89">
        <v>1</v>
      </c>
      <c r="F425" s="89">
        <v>5</v>
      </c>
      <c r="G425" s="89" t="s">
        <v>115</v>
      </c>
      <c r="H425" s="4" t="s">
        <v>7307</v>
      </c>
      <c r="I425" s="97" t="s">
        <v>4800</v>
      </c>
      <c r="J425" s="97" t="s">
        <v>115</v>
      </c>
      <c r="K425" s="96">
        <v>70500</v>
      </c>
      <c r="L425" s="89">
        <v>2713</v>
      </c>
      <c r="N425" s="97" t="s">
        <v>115</v>
      </c>
      <c r="O425" s="97" t="s">
        <v>115</v>
      </c>
      <c r="P425" s="97">
        <v>200112</v>
      </c>
      <c r="Q425" s="89">
        <v>144</v>
      </c>
      <c r="R425" s="88">
        <v>6230</v>
      </c>
    </row>
    <row r="426" spans="1:18" s="89" customFormat="1" x14ac:dyDescent="0.15">
      <c r="A426" s="89" t="s">
        <v>1</v>
      </c>
      <c r="B426" s="89">
        <v>2713</v>
      </c>
      <c r="C426" s="89" t="s">
        <v>115</v>
      </c>
      <c r="D426" s="89" t="s">
        <v>115</v>
      </c>
      <c r="E426" s="89">
        <v>2</v>
      </c>
      <c r="F426" s="89">
        <v>5</v>
      </c>
      <c r="G426" s="89" t="s">
        <v>115</v>
      </c>
      <c r="H426" s="4" t="s">
        <v>7307</v>
      </c>
      <c r="I426" s="97" t="s">
        <v>115</v>
      </c>
      <c r="J426" s="97">
        <v>20</v>
      </c>
      <c r="K426" s="96">
        <v>70500</v>
      </c>
      <c r="L426" s="89">
        <v>0</v>
      </c>
      <c r="N426" s="97">
        <v>200115</v>
      </c>
      <c r="O426" s="97">
        <v>200116</v>
      </c>
      <c r="P426" s="97">
        <v>200113</v>
      </c>
      <c r="Q426" s="89">
        <v>144</v>
      </c>
      <c r="R426" s="88">
        <v>6230</v>
      </c>
    </row>
    <row r="427" spans="1:18" s="89" customFormat="1" x14ac:dyDescent="0.15">
      <c r="A427" s="89" t="s">
        <v>1</v>
      </c>
      <c r="B427" s="89" t="s">
        <v>6877</v>
      </c>
      <c r="C427" s="89" t="s">
        <v>115</v>
      </c>
      <c r="D427" s="89">
        <v>3</v>
      </c>
      <c r="E427" s="89" t="s">
        <v>115</v>
      </c>
      <c r="F427" s="89" t="s">
        <v>115</v>
      </c>
      <c r="G427" s="89" t="s">
        <v>115</v>
      </c>
      <c r="H427" s="4" t="s">
        <v>7307</v>
      </c>
      <c r="I427" s="97" t="s">
        <v>115</v>
      </c>
      <c r="J427" s="97" t="s">
        <v>115</v>
      </c>
      <c r="K427" s="4">
        <v>71000</v>
      </c>
      <c r="L427" s="89">
        <v>2722</v>
      </c>
      <c r="N427" s="97" t="s">
        <v>115</v>
      </c>
      <c r="O427" s="97" t="s">
        <v>115</v>
      </c>
      <c r="P427" s="97">
        <v>200111</v>
      </c>
      <c r="Q427" s="89">
        <v>205</v>
      </c>
      <c r="R427" s="88">
        <v>6230</v>
      </c>
    </row>
    <row r="428" spans="1:18" s="89" customFormat="1" x14ac:dyDescent="0.15">
      <c r="A428" s="89" t="s">
        <v>1</v>
      </c>
      <c r="B428" s="89">
        <v>2722</v>
      </c>
      <c r="C428" s="89" t="s">
        <v>115</v>
      </c>
      <c r="D428" s="89" t="s">
        <v>115</v>
      </c>
      <c r="E428" s="89">
        <v>2</v>
      </c>
      <c r="F428" s="89">
        <v>5</v>
      </c>
      <c r="G428" s="89" t="s">
        <v>115</v>
      </c>
      <c r="H428" s="4" t="s">
        <v>7307</v>
      </c>
      <c r="I428" s="97" t="s">
        <v>4800</v>
      </c>
      <c r="J428" s="97" t="s">
        <v>115</v>
      </c>
      <c r="K428" s="96">
        <v>71000</v>
      </c>
      <c r="L428" s="89">
        <v>2723</v>
      </c>
      <c r="N428" s="97" t="s">
        <v>115</v>
      </c>
      <c r="O428" s="97" t="s">
        <v>115</v>
      </c>
      <c r="P428" s="97">
        <v>200112</v>
      </c>
      <c r="Q428" s="89">
        <v>205</v>
      </c>
      <c r="R428" s="88">
        <v>6230</v>
      </c>
    </row>
    <row r="429" spans="1:18" s="89" customFormat="1" x14ac:dyDescent="0.15">
      <c r="A429" s="89" t="s">
        <v>1</v>
      </c>
      <c r="B429" s="89">
        <v>2723</v>
      </c>
      <c r="C429" s="89" t="s">
        <v>115</v>
      </c>
      <c r="D429" s="89" t="s">
        <v>115</v>
      </c>
      <c r="E429" s="89">
        <v>2</v>
      </c>
      <c r="F429" s="89">
        <v>5</v>
      </c>
      <c r="G429" s="89" t="s">
        <v>115</v>
      </c>
      <c r="H429" s="4" t="s">
        <v>7307</v>
      </c>
      <c r="I429" s="97" t="s">
        <v>115</v>
      </c>
      <c r="J429" s="97">
        <v>20</v>
      </c>
      <c r="K429" s="96">
        <v>71000</v>
      </c>
      <c r="L429" s="89">
        <v>0</v>
      </c>
      <c r="N429" s="97">
        <v>200115</v>
      </c>
      <c r="O429" s="97">
        <v>200116</v>
      </c>
      <c r="P429" s="97">
        <v>200113</v>
      </c>
      <c r="Q429" s="89">
        <v>104</v>
      </c>
      <c r="R429" s="88">
        <v>6230</v>
      </c>
    </row>
    <row r="430" spans="1:18" s="89" customFormat="1" x14ac:dyDescent="0.15">
      <c r="A430" s="89" t="s">
        <v>1</v>
      </c>
      <c r="B430" s="89" t="s">
        <v>6878</v>
      </c>
      <c r="C430" s="89" t="s">
        <v>115</v>
      </c>
      <c r="D430" s="89">
        <v>3</v>
      </c>
      <c r="E430" s="89" t="s">
        <v>115</v>
      </c>
      <c r="F430" s="89" t="s">
        <v>115</v>
      </c>
      <c r="G430" s="89" t="s">
        <v>115</v>
      </c>
      <c r="H430" s="4" t="s">
        <v>7307</v>
      </c>
      <c r="I430" s="97" t="s">
        <v>115</v>
      </c>
      <c r="J430" s="97" t="s">
        <v>115</v>
      </c>
      <c r="K430" s="4">
        <v>71500</v>
      </c>
      <c r="L430" s="89">
        <v>2732</v>
      </c>
      <c r="N430" s="97" t="s">
        <v>115</v>
      </c>
      <c r="O430" s="97" t="s">
        <v>115</v>
      </c>
      <c r="P430" s="97">
        <v>200111</v>
      </c>
      <c r="Q430" s="89">
        <v>104</v>
      </c>
      <c r="R430" s="88">
        <v>6230</v>
      </c>
    </row>
    <row r="431" spans="1:18" s="89" customFormat="1" x14ac:dyDescent="0.15">
      <c r="A431" s="89" t="s">
        <v>1</v>
      </c>
      <c r="B431" s="89">
        <v>2732</v>
      </c>
      <c r="C431" s="89" t="s">
        <v>115</v>
      </c>
      <c r="D431" s="89" t="s">
        <v>115</v>
      </c>
      <c r="E431" s="89">
        <v>1</v>
      </c>
      <c r="F431" s="89">
        <v>5</v>
      </c>
      <c r="G431" s="89" t="s">
        <v>115</v>
      </c>
      <c r="H431" s="4" t="s">
        <v>7307</v>
      </c>
      <c r="I431" s="97" t="s">
        <v>4800</v>
      </c>
      <c r="J431" s="97" t="s">
        <v>115</v>
      </c>
      <c r="K431" s="96">
        <v>71500</v>
      </c>
      <c r="L431" s="89">
        <v>2733</v>
      </c>
      <c r="N431" s="97" t="s">
        <v>115</v>
      </c>
      <c r="O431" s="97" t="s">
        <v>115</v>
      </c>
      <c r="P431" s="97">
        <v>200112</v>
      </c>
      <c r="Q431" s="89">
        <v>104</v>
      </c>
      <c r="R431" s="88">
        <v>6230</v>
      </c>
    </row>
    <row r="432" spans="1:18" s="89" customFormat="1" x14ac:dyDescent="0.15">
      <c r="A432" s="89" t="s">
        <v>1</v>
      </c>
      <c r="B432" s="89">
        <v>2733</v>
      </c>
      <c r="C432" s="89" t="s">
        <v>115</v>
      </c>
      <c r="D432" s="89" t="s">
        <v>115</v>
      </c>
      <c r="E432" s="89">
        <v>2</v>
      </c>
      <c r="F432" s="89">
        <v>5</v>
      </c>
      <c r="G432" s="89" t="s">
        <v>115</v>
      </c>
      <c r="H432" s="4" t="s">
        <v>7307</v>
      </c>
      <c r="I432" s="97" t="s">
        <v>115</v>
      </c>
      <c r="J432" s="97">
        <v>20</v>
      </c>
      <c r="K432" s="96">
        <v>71500</v>
      </c>
      <c r="L432" s="89">
        <v>0</v>
      </c>
      <c r="N432" s="97">
        <v>200115</v>
      </c>
      <c r="O432" s="97">
        <v>200116</v>
      </c>
      <c r="P432" s="97">
        <v>200113</v>
      </c>
      <c r="Q432" s="89">
        <v>104</v>
      </c>
      <c r="R432" s="88">
        <v>6230</v>
      </c>
    </row>
    <row r="433" spans="1:18" s="89" customFormat="1" x14ac:dyDescent="0.15">
      <c r="A433" s="89" t="s">
        <v>1</v>
      </c>
      <c r="B433" s="89" t="s">
        <v>6879</v>
      </c>
      <c r="C433" s="89" t="s">
        <v>115</v>
      </c>
      <c r="D433" s="89">
        <v>3</v>
      </c>
      <c r="E433" s="89" t="s">
        <v>115</v>
      </c>
      <c r="F433" s="89" t="s">
        <v>115</v>
      </c>
      <c r="G433" s="89" t="s">
        <v>115</v>
      </c>
      <c r="H433" s="4" t="s">
        <v>7307</v>
      </c>
      <c r="I433" s="97" t="s">
        <v>115</v>
      </c>
      <c r="J433" s="97" t="s">
        <v>115</v>
      </c>
      <c r="K433" s="4">
        <v>72000</v>
      </c>
      <c r="L433" s="89">
        <v>2742</v>
      </c>
      <c r="N433" s="97" t="s">
        <v>115</v>
      </c>
      <c r="O433" s="97" t="s">
        <v>115</v>
      </c>
      <c r="P433" s="97">
        <v>200111</v>
      </c>
      <c r="Q433" s="89">
        <v>104</v>
      </c>
      <c r="R433" s="88">
        <v>6230</v>
      </c>
    </row>
    <row r="434" spans="1:18" s="89" customFormat="1" x14ac:dyDescent="0.15">
      <c r="A434" s="89" t="s">
        <v>1</v>
      </c>
      <c r="B434" s="89">
        <v>2742</v>
      </c>
      <c r="C434" s="89" t="s">
        <v>115</v>
      </c>
      <c r="D434" s="89" t="s">
        <v>115</v>
      </c>
      <c r="E434" s="89">
        <v>1</v>
      </c>
      <c r="F434" s="89">
        <v>5</v>
      </c>
      <c r="G434" s="89" t="s">
        <v>115</v>
      </c>
      <c r="H434" s="4" t="s">
        <v>7307</v>
      </c>
      <c r="I434" s="97" t="s">
        <v>4800</v>
      </c>
      <c r="J434" s="97" t="s">
        <v>115</v>
      </c>
      <c r="K434" s="96">
        <v>72000</v>
      </c>
      <c r="L434" s="89">
        <v>2743</v>
      </c>
      <c r="N434" s="97" t="s">
        <v>115</v>
      </c>
      <c r="O434" s="97" t="s">
        <v>115</v>
      </c>
      <c r="P434" s="97">
        <v>200112</v>
      </c>
      <c r="Q434" s="89">
        <v>104</v>
      </c>
      <c r="R434" s="88">
        <v>6230</v>
      </c>
    </row>
    <row r="435" spans="1:18" s="89" customFormat="1" x14ac:dyDescent="0.15">
      <c r="A435" s="89" t="s">
        <v>1</v>
      </c>
      <c r="B435" s="89">
        <v>2743</v>
      </c>
      <c r="C435" s="89" t="s">
        <v>115</v>
      </c>
      <c r="D435" s="89" t="s">
        <v>115</v>
      </c>
      <c r="E435" s="89">
        <v>2</v>
      </c>
      <c r="F435" s="89">
        <v>5</v>
      </c>
      <c r="G435" s="89" t="s">
        <v>115</v>
      </c>
      <c r="H435" s="4" t="s">
        <v>7307</v>
      </c>
      <c r="I435" s="97" t="s">
        <v>115</v>
      </c>
      <c r="J435" s="97">
        <v>20</v>
      </c>
      <c r="K435" s="96">
        <v>72000</v>
      </c>
      <c r="L435" s="89">
        <v>0</v>
      </c>
      <c r="N435" s="97">
        <v>200115</v>
      </c>
      <c r="O435" s="97">
        <v>200116</v>
      </c>
      <c r="P435" s="97">
        <v>200113</v>
      </c>
      <c r="Q435" s="89">
        <v>104</v>
      </c>
      <c r="R435" s="88">
        <v>6230</v>
      </c>
    </row>
    <row r="436" spans="1:18" s="89" customFormat="1" x14ac:dyDescent="0.15">
      <c r="A436" s="89" t="s">
        <v>1</v>
      </c>
      <c r="B436" s="89" t="s">
        <v>6880</v>
      </c>
      <c r="C436" s="89" t="s">
        <v>115</v>
      </c>
      <c r="D436" s="89">
        <v>3</v>
      </c>
      <c r="E436" s="89" t="s">
        <v>115</v>
      </c>
      <c r="F436" s="89" t="s">
        <v>115</v>
      </c>
      <c r="G436" s="89" t="s">
        <v>115</v>
      </c>
      <c r="H436" s="4" t="s">
        <v>7307</v>
      </c>
      <c r="I436" s="97" t="s">
        <v>115</v>
      </c>
      <c r="J436" s="97" t="s">
        <v>115</v>
      </c>
      <c r="K436" s="4">
        <v>72500</v>
      </c>
      <c r="L436" s="89">
        <v>2752</v>
      </c>
      <c r="N436" s="97" t="s">
        <v>115</v>
      </c>
      <c r="O436" s="97" t="s">
        <v>115</v>
      </c>
      <c r="P436" s="97">
        <v>200111</v>
      </c>
      <c r="Q436" s="89">
        <v>143</v>
      </c>
      <c r="R436" s="88">
        <v>6230</v>
      </c>
    </row>
    <row r="437" spans="1:18" s="89" customFormat="1" x14ac:dyDescent="0.15">
      <c r="A437" s="89" t="s">
        <v>1</v>
      </c>
      <c r="B437" s="89">
        <v>2752</v>
      </c>
      <c r="C437" s="89" t="s">
        <v>115</v>
      </c>
      <c r="D437" s="89" t="s">
        <v>115</v>
      </c>
      <c r="E437" s="89">
        <v>1</v>
      </c>
      <c r="F437" s="89">
        <v>5</v>
      </c>
      <c r="G437" s="89" t="s">
        <v>115</v>
      </c>
      <c r="H437" s="4" t="s">
        <v>7307</v>
      </c>
      <c r="I437" s="97" t="s">
        <v>4800</v>
      </c>
      <c r="J437" s="97" t="s">
        <v>115</v>
      </c>
      <c r="K437" s="96">
        <v>72500</v>
      </c>
      <c r="L437" s="89">
        <v>2753</v>
      </c>
      <c r="N437" s="97" t="s">
        <v>115</v>
      </c>
      <c r="O437" s="97" t="s">
        <v>115</v>
      </c>
      <c r="P437" s="97">
        <v>200112</v>
      </c>
      <c r="Q437" s="89">
        <v>143</v>
      </c>
      <c r="R437" s="88">
        <v>6230</v>
      </c>
    </row>
    <row r="438" spans="1:18" s="89" customFormat="1" x14ac:dyDescent="0.15">
      <c r="A438" s="89" t="s">
        <v>1</v>
      </c>
      <c r="B438" s="89">
        <v>2753</v>
      </c>
      <c r="C438" s="89" t="s">
        <v>115</v>
      </c>
      <c r="D438" s="89" t="s">
        <v>115</v>
      </c>
      <c r="E438" s="89">
        <v>2</v>
      </c>
      <c r="F438" s="89">
        <v>5</v>
      </c>
      <c r="G438" s="89" t="s">
        <v>115</v>
      </c>
      <c r="H438" s="4" t="s">
        <v>7307</v>
      </c>
      <c r="I438" s="97" t="s">
        <v>115</v>
      </c>
      <c r="J438" s="97">
        <v>20</v>
      </c>
      <c r="K438" s="96">
        <v>72500</v>
      </c>
      <c r="L438" s="89">
        <v>0</v>
      </c>
      <c r="N438" s="97">
        <v>200115</v>
      </c>
      <c r="O438" s="97">
        <v>200116</v>
      </c>
      <c r="P438" s="97">
        <v>200113</v>
      </c>
      <c r="Q438" s="89">
        <v>143</v>
      </c>
      <c r="R438" s="88">
        <v>6230</v>
      </c>
    </row>
    <row r="439" spans="1:18" s="89" customFormat="1" x14ac:dyDescent="0.15">
      <c r="A439" s="89" t="s">
        <v>1</v>
      </c>
      <c r="B439" s="89" t="s">
        <v>6881</v>
      </c>
      <c r="C439" s="89" t="s">
        <v>115</v>
      </c>
      <c r="D439" s="89">
        <v>3</v>
      </c>
      <c r="E439" s="89" t="s">
        <v>115</v>
      </c>
      <c r="F439" s="89" t="s">
        <v>115</v>
      </c>
      <c r="G439" s="89" t="s">
        <v>115</v>
      </c>
      <c r="H439" s="4" t="s">
        <v>7307</v>
      </c>
      <c r="I439" s="97" t="s">
        <v>115</v>
      </c>
      <c r="J439" s="97" t="s">
        <v>115</v>
      </c>
      <c r="K439" s="4">
        <v>72500</v>
      </c>
      <c r="L439" s="89">
        <v>2812</v>
      </c>
      <c r="N439" s="97" t="s">
        <v>115</v>
      </c>
      <c r="O439" s="97" t="s">
        <v>115</v>
      </c>
      <c r="P439" s="97">
        <v>200111</v>
      </c>
      <c r="Q439" s="89">
        <v>192</v>
      </c>
      <c r="R439" s="88">
        <v>6230</v>
      </c>
    </row>
    <row r="440" spans="1:18" s="89" customFormat="1" x14ac:dyDescent="0.15">
      <c r="A440" s="89" t="s">
        <v>1</v>
      </c>
      <c r="B440" s="89">
        <v>2812</v>
      </c>
      <c r="C440" s="89" t="s">
        <v>115</v>
      </c>
      <c r="D440" s="89" t="s">
        <v>115</v>
      </c>
      <c r="E440" s="89">
        <v>1</v>
      </c>
      <c r="F440" s="89">
        <v>5</v>
      </c>
      <c r="G440" s="89" t="s">
        <v>115</v>
      </c>
      <c r="H440" s="4" t="s">
        <v>7307</v>
      </c>
      <c r="I440" s="97" t="s">
        <v>4800</v>
      </c>
      <c r="J440" s="97" t="s">
        <v>115</v>
      </c>
      <c r="K440" s="96">
        <v>72500</v>
      </c>
      <c r="L440" s="89">
        <v>2813</v>
      </c>
      <c r="N440" s="97" t="s">
        <v>115</v>
      </c>
      <c r="O440" s="97" t="s">
        <v>115</v>
      </c>
      <c r="P440" s="97">
        <v>200112</v>
      </c>
      <c r="Q440" s="89">
        <v>192</v>
      </c>
      <c r="R440" s="88">
        <v>6230</v>
      </c>
    </row>
    <row r="441" spans="1:18" s="89" customFormat="1" x14ac:dyDescent="0.15">
      <c r="A441" s="89" t="s">
        <v>1</v>
      </c>
      <c r="B441" s="89">
        <v>2813</v>
      </c>
      <c r="C441" s="89" t="s">
        <v>115</v>
      </c>
      <c r="D441" s="89" t="s">
        <v>115</v>
      </c>
      <c r="E441" s="89">
        <v>2</v>
      </c>
      <c r="F441" s="89">
        <v>5</v>
      </c>
      <c r="G441" s="89" t="s">
        <v>115</v>
      </c>
      <c r="H441" s="4" t="s">
        <v>7307</v>
      </c>
      <c r="I441" s="97" t="s">
        <v>115</v>
      </c>
      <c r="J441" s="97">
        <v>20</v>
      </c>
      <c r="K441" s="96">
        <v>72500</v>
      </c>
      <c r="L441" s="89">
        <v>0</v>
      </c>
      <c r="N441" s="97">
        <v>200115</v>
      </c>
      <c r="O441" s="97">
        <v>200116</v>
      </c>
      <c r="P441" s="97">
        <v>200113</v>
      </c>
      <c r="Q441" s="89">
        <v>192</v>
      </c>
      <c r="R441" s="88">
        <v>6230</v>
      </c>
    </row>
    <row r="442" spans="1:18" s="89" customFormat="1" x14ac:dyDescent="0.15">
      <c r="A442" s="89" t="s">
        <v>1</v>
      </c>
      <c r="B442" s="89" t="s">
        <v>6882</v>
      </c>
      <c r="C442" s="89" t="s">
        <v>115</v>
      </c>
      <c r="D442" s="89">
        <v>3</v>
      </c>
      <c r="E442" s="89" t="s">
        <v>115</v>
      </c>
      <c r="F442" s="89" t="s">
        <v>115</v>
      </c>
      <c r="G442" s="89" t="s">
        <v>115</v>
      </c>
      <c r="H442" s="4" t="s">
        <v>7307</v>
      </c>
      <c r="I442" s="97" t="s">
        <v>115</v>
      </c>
      <c r="J442" s="97" t="s">
        <v>115</v>
      </c>
      <c r="K442" s="4">
        <v>73000</v>
      </c>
      <c r="L442" s="89">
        <v>2822</v>
      </c>
      <c r="N442" s="97" t="s">
        <v>115</v>
      </c>
      <c r="O442" s="97" t="s">
        <v>115</v>
      </c>
      <c r="P442" s="97">
        <v>200111</v>
      </c>
      <c r="Q442" s="89">
        <v>185</v>
      </c>
      <c r="R442" s="88">
        <v>6230</v>
      </c>
    </row>
    <row r="443" spans="1:18" s="89" customFormat="1" x14ac:dyDescent="0.15">
      <c r="A443" s="89" t="s">
        <v>1</v>
      </c>
      <c r="B443" s="89">
        <v>2822</v>
      </c>
      <c r="C443" s="89" t="s">
        <v>115</v>
      </c>
      <c r="D443" s="89" t="s">
        <v>115</v>
      </c>
      <c r="E443" s="89">
        <v>1</v>
      </c>
      <c r="F443" s="89">
        <v>5</v>
      </c>
      <c r="G443" s="89" t="s">
        <v>115</v>
      </c>
      <c r="H443" s="4" t="s">
        <v>7307</v>
      </c>
      <c r="I443" s="97" t="s">
        <v>4800</v>
      </c>
      <c r="J443" s="97" t="s">
        <v>115</v>
      </c>
      <c r="K443" s="96">
        <v>73000</v>
      </c>
      <c r="L443" s="89">
        <v>2823</v>
      </c>
      <c r="N443" s="97" t="s">
        <v>115</v>
      </c>
      <c r="O443" s="97" t="s">
        <v>115</v>
      </c>
      <c r="P443" s="97">
        <v>200112</v>
      </c>
      <c r="Q443" s="89">
        <v>185</v>
      </c>
      <c r="R443" s="88">
        <v>6230</v>
      </c>
    </row>
    <row r="444" spans="1:18" s="89" customFormat="1" x14ac:dyDescent="0.15">
      <c r="A444" s="89" t="s">
        <v>1</v>
      </c>
      <c r="B444" s="89">
        <v>2823</v>
      </c>
      <c r="C444" s="89" t="s">
        <v>115</v>
      </c>
      <c r="D444" s="89" t="s">
        <v>115</v>
      </c>
      <c r="E444" s="89">
        <v>2</v>
      </c>
      <c r="F444" s="89">
        <v>5</v>
      </c>
      <c r="G444" s="89" t="s">
        <v>115</v>
      </c>
      <c r="H444" s="4" t="s">
        <v>7307</v>
      </c>
      <c r="I444" s="97" t="s">
        <v>115</v>
      </c>
      <c r="J444" s="97">
        <v>20</v>
      </c>
      <c r="K444" s="96">
        <v>73000</v>
      </c>
      <c r="L444" s="89">
        <v>0</v>
      </c>
      <c r="N444" s="97">
        <v>200115</v>
      </c>
      <c r="O444" s="97">
        <v>200116</v>
      </c>
      <c r="P444" s="97">
        <v>200113</v>
      </c>
      <c r="Q444" s="89">
        <v>185</v>
      </c>
      <c r="R444" s="88">
        <v>6230</v>
      </c>
    </row>
    <row r="445" spans="1:18" s="89" customFormat="1" x14ac:dyDescent="0.15">
      <c r="A445" s="89" t="s">
        <v>1</v>
      </c>
      <c r="B445" s="89" t="s">
        <v>6883</v>
      </c>
      <c r="C445" s="89" t="s">
        <v>115</v>
      </c>
      <c r="D445" s="89">
        <v>3</v>
      </c>
      <c r="E445" s="89" t="s">
        <v>115</v>
      </c>
      <c r="F445" s="89" t="s">
        <v>115</v>
      </c>
      <c r="G445" s="89" t="s">
        <v>115</v>
      </c>
      <c r="H445" s="4" t="s">
        <v>7307</v>
      </c>
      <c r="I445" s="97" t="s">
        <v>115</v>
      </c>
      <c r="J445" s="97" t="s">
        <v>115</v>
      </c>
      <c r="K445" s="4">
        <v>71000</v>
      </c>
      <c r="L445" s="89">
        <v>2912</v>
      </c>
      <c r="N445" s="97" t="s">
        <v>115</v>
      </c>
      <c r="O445" s="97" t="s">
        <v>115</v>
      </c>
      <c r="P445" s="97">
        <v>200111</v>
      </c>
      <c r="Q445" s="89">
        <v>34</v>
      </c>
      <c r="R445" s="88">
        <v>6230</v>
      </c>
    </row>
    <row r="446" spans="1:18" s="89" customFormat="1" x14ac:dyDescent="0.15">
      <c r="A446" s="89" t="s">
        <v>1</v>
      </c>
      <c r="B446" s="89">
        <v>2912</v>
      </c>
      <c r="C446" s="89" t="s">
        <v>115</v>
      </c>
      <c r="D446" s="89" t="s">
        <v>115</v>
      </c>
      <c r="E446" s="89">
        <v>1</v>
      </c>
      <c r="F446" s="89">
        <v>5</v>
      </c>
      <c r="G446" s="89" t="s">
        <v>115</v>
      </c>
      <c r="H446" s="4" t="s">
        <v>7307</v>
      </c>
      <c r="I446" s="97" t="s">
        <v>4800</v>
      </c>
      <c r="J446" s="97" t="s">
        <v>115</v>
      </c>
      <c r="K446" s="96">
        <v>71000</v>
      </c>
      <c r="L446" s="89">
        <v>2913</v>
      </c>
      <c r="N446" s="97" t="s">
        <v>115</v>
      </c>
      <c r="O446" s="97" t="s">
        <v>115</v>
      </c>
      <c r="P446" s="97">
        <v>200112</v>
      </c>
      <c r="Q446" s="89">
        <v>34</v>
      </c>
      <c r="R446" s="88">
        <v>6230</v>
      </c>
    </row>
    <row r="447" spans="1:18" s="89" customFormat="1" x14ac:dyDescent="0.15">
      <c r="A447" s="89" t="s">
        <v>1</v>
      </c>
      <c r="B447" s="89">
        <v>2913</v>
      </c>
      <c r="C447" s="89" t="s">
        <v>115</v>
      </c>
      <c r="D447" s="89" t="s">
        <v>115</v>
      </c>
      <c r="E447" s="89">
        <v>2</v>
      </c>
      <c r="F447" s="89">
        <v>5</v>
      </c>
      <c r="G447" s="89" t="s">
        <v>115</v>
      </c>
      <c r="H447" s="4" t="s">
        <v>7307</v>
      </c>
      <c r="I447" s="97" t="s">
        <v>115</v>
      </c>
      <c r="J447" s="97">
        <v>20</v>
      </c>
      <c r="K447" s="96">
        <v>71000</v>
      </c>
      <c r="L447" s="89">
        <v>0</v>
      </c>
      <c r="N447" s="97">
        <v>200115</v>
      </c>
      <c r="O447" s="97">
        <v>200116</v>
      </c>
      <c r="P447" s="97">
        <v>200113</v>
      </c>
      <c r="Q447" s="89">
        <v>34</v>
      </c>
      <c r="R447" s="88">
        <v>6230</v>
      </c>
    </row>
    <row r="448" spans="1:18" s="89" customFormat="1" x14ac:dyDescent="0.15">
      <c r="A448" s="89" t="s">
        <v>1</v>
      </c>
      <c r="B448" s="89" t="s">
        <v>6884</v>
      </c>
      <c r="C448" s="89" t="s">
        <v>115</v>
      </c>
      <c r="D448" s="89">
        <v>3</v>
      </c>
      <c r="E448" s="89" t="s">
        <v>115</v>
      </c>
      <c r="F448" s="89" t="s">
        <v>115</v>
      </c>
      <c r="G448" s="89" t="s">
        <v>115</v>
      </c>
      <c r="H448" s="4" t="s">
        <v>7307</v>
      </c>
      <c r="I448" s="97" t="s">
        <v>115</v>
      </c>
      <c r="J448" s="97" t="s">
        <v>115</v>
      </c>
      <c r="K448" s="4">
        <v>71500</v>
      </c>
      <c r="L448" s="89">
        <v>2922</v>
      </c>
      <c r="N448" s="97" t="s">
        <v>115</v>
      </c>
      <c r="O448" s="97" t="s">
        <v>115</v>
      </c>
      <c r="P448" s="97">
        <v>200111</v>
      </c>
      <c r="Q448" s="89">
        <v>137</v>
      </c>
      <c r="R448" s="88">
        <v>6230</v>
      </c>
    </row>
    <row r="449" spans="1:18" s="89" customFormat="1" x14ac:dyDescent="0.15">
      <c r="A449" s="89" t="s">
        <v>1</v>
      </c>
      <c r="B449" s="89">
        <v>2922</v>
      </c>
      <c r="C449" s="89" t="s">
        <v>115</v>
      </c>
      <c r="D449" s="89" t="s">
        <v>115</v>
      </c>
      <c r="E449" s="89">
        <v>1</v>
      </c>
      <c r="F449" s="89">
        <v>5</v>
      </c>
      <c r="G449" s="89" t="s">
        <v>115</v>
      </c>
      <c r="H449" s="4" t="s">
        <v>7307</v>
      </c>
      <c r="I449" s="97" t="s">
        <v>4800</v>
      </c>
      <c r="J449" s="97" t="s">
        <v>115</v>
      </c>
      <c r="K449" s="96">
        <v>71500</v>
      </c>
      <c r="L449" s="89">
        <v>2923</v>
      </c>
      <c r="N449" s="97" t="s">
        <v>115</v>
      </c>
      <c r="O449" s="97" t="s">
        <v>115</v>
      </c>
      <c r="P449" s="97">
        <v>200112</v>
      </c>
      <c r="Q449" s="89">
        <v>137</v>
      </c>
      <c r="R449" s="88">
        <v>6230</v>
      </c>
    </row>
    <row r="450" spans="1:18" s="89" customFormat="1" x14ac:dyDescent="0.15">
      <c r="A450" s="89" t="s">
        <v>1</v>
      </c>
      <c r="B450" s="89">
        <v>2923</v>
      </c>
      <c r="C450" s="89" t="s">
        <v>115</v>
      </c>
      <c r="D450" s="89" t="s">
        <v>115</v>
      </c>
      <c r="E450" s="89">
        <v>2</v>
      </c>
      <c r="F450" s="89">
        <v>5</v>
      </c>
      <c r="G450" s="89" t="s">
        <v>115</v>
      </c>
      <c r="H450" s="4" t="s">
        <v>7307</v>
      </c>
      <c r="I450" s="97" t="s">
        <v>115</v>
      </c>
      <c r="J450" s="97">
        <v>20</v>
      </c>
      <c r="K450" s="96">
        <v>71500</v>
      </c>
      <c r="L450" s="89">
        <v>0</v>
      </c>
      <c r="N450" s="97">
        <v>200115</v>
      </c>
      <c r="O450" s="97">
        <v>200116</v>
      </c>
      <c r="P450" s="97">
        <v>200113</v>
      </c>
      <c r="Q450" s="89">
        <v>137</v>
      </c>
      <c r="R450" s="88">
        <v>6230</v>
      </c>
    </row>
    <row r="451" spans="1:18" s="89" customFormat="1" x14ac:dyDescent="0.15">
      <c r="A451" s="89" t="s">
        <v>1</v>
      </c>
      <c r="B451" s="89" t="s">
        <v>6885</v>
      </c>
      <c r="C451" s="89" t="s">
        <v>115</v>
      </c>
      <c r="D451" s="89">
        <v>3</v>
      </c>
      <c r="E451" s="89" t="s">
        <v>115</v>
      </c>
      <c r="F451" s="89" t="s">
        <v>115</v>
      </c>
      <c r="G451" s="89" t="s">
        <v>115</v>
      </c>
      <c r="H451" s="4" t="s">
        <v>7307</v>
      </c>
      <c r="I451" s="97" t="s">
        <v>115</v>
      </c>
      <c r="J451" s="97" t="s">
        <v>115</v>
      </c>
      <c r="K451" s="4">
        <v>72000</v>
      </c>
      <c r="L451" s="89">
        <v>2932</v>
      </c>
      <c r="N451" s="97" t="s">
        <v>115</v>
      </c>
      <c r="O451" s="97" t="s">
        <v>115</v>
      </c>
      <c r="P451" s="97">
        <v>200111</v>
      </c>
      <c r="Q451" s="89">
        <v>163</v>
      </c>
      <c r="R451" s="88">
        <v>6230</v>
      </c>
    </row>
    <row r="452" spans="1:18" s="89" customFormat="1" x14ac:dyDescent="0.15">
      <c r="A452" s="89" t="s">
        <v>1</v>
      </c>
      <c r="B452" s="89">
        <v>2932</v>
      </c>
      <c r="C452" s="89" t="s">
        <v>115</v>
      </c>
      <c r="D452" s="89" t="s">
        <v>115</v>
      </c>
      <c r="E452" s="89">
        <v>1</v>
      </c>
      <c r="F452" s="89">
        <v>5</v>
      </c>
      <c r="G452" s="89" t="s">
        <v>115</v>
      </c>
      <c r="H452" s="4" t="s">
        <v>7307</v>
      </c>
      <c r="I452" s="97" t="s">
        <v>4800</v>
      </c>
      <c r="J452" s="97" t="s">
        <v>115</v>
      </c>
      <c r="K452" s="96">
        <v>72000</v>
      </c>
      <c r="L452" s="89">
        <v>2933</v>
      </c>
      <c r="N452" s="97" t="s">
        <v>115</v>
      </c>
      <c r="O452" s="97" t="s">
        <v>115</v>
      </c>
      <c r="P452" s="97">
        <v>200112</v>
      </c>
      <c r="Q452" s="89">
        <v>163</v>
      </c>
      <c r="R452" s="88">
        <v>6230</v>
      </c>
    </row>
    <row r="453" spans="1:18" s="89" customFormat="1" x14ac:dyDescent="0.15">
      <c r="A453" s="89" t="s">
        <v>1</v>
      </c>
      <c r="B453" s="89">
        <v>2933</v>
      </c>
      <c r="C453" s="89" t="s">
        <v>115</v>
      </c>
      <c r="D453" s="89" t="s">
        <v>115</v>
      </c>
      <c r="E453" s="89">
        <v>2</v>
      </c>
      <c r="F453" s="89">
        <v>5</v>
      </c>
      <c r="G453" s="89" t="s">
        <v>115</v>
      </c>
      <c r="H453" s="4" t="s">
        <v>7307</v>
      </c>
      <c r="I453" s="97" t="s">
        <v>115</v>
      </c>
      <c r="J453" s="97">
        <v>20</v>
      </c>
      <c r="K453" s="96">
        <v>72000</v>
      </c>
      <c r="L453" s="89">
        <v>0</v>
      </c>
      <c r="N453" s="97">
        <v>200115</v>
      </c>
      <c r="O453" s="97">
        <v>200116</v>
      </c>
      <c r="P453" s="97">
        <v>200113</v>
      </c>
      <c r="Q453" s="89">
        <v>163</v>
      </c>
      <c r="R453" s="88">
        <v>6230</v>
      </c>
    </row>
    <row r="454" spans="1:18" s="89" customFormat="1" x14ac:dyDescent="0.15">
      <c r="A454" s="89" t="s">
        <v>1</v>
      </c>
      <c r="B454" s="89" t="s">
        <v>6886</v>
      </c>
      <c r="C454" s="89" t="s">
        <v>115</v>
      </c>
      <c r="D454" s="89">
        <v>3</v>
      </c>
      <c r="E454" s="89" t="s">
        <v>115</v>
      </c>
      <c r="F454" s="89" t="s">
        <v>115</v>
      </c>
      <c r="G454" s="89" t="s">
        <v>115</v>
      </c>
      <c r="H454" s="4" t="s">
        <v>7307</v>
      </c>
      <c r="I454" s="97" t="s">
        <v>115</v>
      </c>
      <c r="J454" s="97" t="s">
        <v>115</v>
      </c>
      <c r="K454" s="4">
        <v>72500</v>
      </c>
      <c r="L454" s="89">
        <v>2942</v>
      </c>
      <c r="N454" s="97" t="s">
        <v>115</v>
      </c>
      <c r="O454" s="97" t="s">
        <v>115</v>
      </c>
      <c r="P454" s="97">
        <v>200111</v>
      </c>
      <c r="Q454" s="89">
        <v>143</v>
      </c>
      <c r="R454" s="88">
        <v>6230</v>
      </c>
    </row>
    <row r="455" spans="1:18" s="89" customFormat="1" x14ac:dyDescent="0.15">
      <c r="A455" s="89" t="s">
        <v>1</v>
      </c>
      <c r="B455" s="89">
        <v>2942</v>
      </c>
      <c r="C455" s="89" t="s">
        <v>115</v>
      </c>
      <c r="D455" s="89" t="s">
        <v>115</v>
      </c>
      <c r="E455" s="89">
        <v>1</v>
      </c>
      <c r="F455" s="89">
        <v>5</v>
      </c>
      <c r="G455" s="89" t="s">
        <v>115</v>
      </c>
      <c r="H455" s="4" t="s">
        <v>7307</v>
      </c>
      <c r="I455" s="97" t="s">
        <v>4800</v>
      </c>
      <c r="J455" s="97" t="s">
        <v>115</v>
      </c>
      <c r="K455" s="96">
        <v>72500</v>
      </c>
      <c r="L455" s="89">
        <v>2943</v>
      </c>
      <c r="N455" s="97" t="s">
        <v>115</v>
      </c>
      <c r="O455" s="97" t="s">
        <v>115</v>
      </c>
      <c r="P455" s="97">
        <v>200112</v>
      </c>
      <c r="Q455" s="89">
        <v>143</v>
      </c>
      <c r="R455" s="88">
        <v>6230</v>
      </c>
    </row>
    <row r="456" spans="1:18" s="89" customFormat="1" x14ac:dyDescent="0.15">
      <c r="A456" s="89" t="s">
        <v>1</v>
      </c>
      <c r="B456" s="89">
        <v>2943</v>
      </c>
      <c r="C456" s="89" t="s">
        <v>115</v>
      </c>
      <c r="D456" s="89" t="s">
        <v>115</v>
      </c>
      <c r="E456" s="89">
        <v>2</v>
      </c>
      <c r="F456" s="89">
        <v>5</v>
      </c>
      <c r="G456" s="89" t="s">
        <v>115</v>
      </c>
      <c r="H456" s="4" t="s">
        <v>7307</v>
      </c>
      <c r="I456" s="97" t="s">
        <v>115</v>
      </c>
      <c r="J456" s="97">
        <v>20</v>
      </c>
      <c r="K456" s="96">
        <v>72500</v>
      </c>
      <c r="L456" s="89">
        <v>0</v>
      </c>
      <c r="N456" s="97">
        <v>200115</v>
      </c>
      <c r="O456" s="97">
        <v>200116</v>
      </c>
      <c r="P456" s="97">
        <v>200113</v>
      </c>
      <c r="Q456" s="89">
        <v>143</v>
      </c>
      <c r="R456" s="88">
        <v>6230</v>
      </c>
    </row>
    <row r="457" spans="1:18" s="89" customFormat="1" x14ac:dyDescent="0.15">
      <c r="A457" s="89" t="s">
        <v>1</v>
      </c>
      <c r="B457" s="89" t="s">
        <v>6887</v>
      </c>
      <c r="C457" s="89" t="s">
        <v>115</v>
      </c>
      <c r="D457" s="89">
        <v>3</v>
      </c>
      <c r="E457" s="89" t="s">
        <v>115</v>
      </c>
      <c r="F457" s="89" t="s">
        <v>115</v>
      </c>
      <c r="G457" s="89" t="s">
        <v>115</v>
      </c>
      <c r="H457" s="4" t="s">
        <v>7307</v>
      </c>
      <c r="I457" s="97" t="s">
        <v>115</v>
      </c>
      <c r="J457" s="97" t="s">
        <v>115</v>
      </c>
      <c r="K457" s="4">
        <v>73000</v>
      </c>
      <c r="L457" s="89">
        <v>2952</v>
      </c>
      <c r="N457" s="97" t="s">
        <v>115</v>
      </c>
      <c r="O457" s="97" t="s">
        <v>115</v>
      </c>
      <c r="P457" s="97">
        <v>200111</v>
      </c>
      <c r="Q457" s="89">
        <v>189</v>
      </c>
      <c r="R457" s="88">
        <v>6230</v>
      </c>
    </row>
    <row r="458" spans="1:18" s="89" customFormat="1" x14ac:dyDescent="0.15">
      <c r="A458" s="89" t="s">
        <v>1</v>
      </c>
      <c r="B458" s="89">
        <v>2952</v>
      </c>
      <c r="C458" s="89" t="s">
        <v>115</v>
      </c>
      <c r="D458" s="89" t="s">
        <v>115</v>
      </c>
      <c r="E458" s="89">
        <v>1</v>
      </c>
      <c r="F458" s="89">
        <v>5</v>
      </c>
      <c r="G458" s="89" t="s">
        <v>115</v>
      </c>
      <c r="H458" s="4" t="s">
        <v>7307</v>
      </c>
      <c r="I458" s="97" t="s">
        <v>4800</v>
      </c>
      <c r="J458" s="97" t="s">
        <v>115</v>
      </c>
      <c r="K458" s="96">
        <v>73000</v>
      </c>
      <c r="L458" s="89">
        <v>2953</v>
      </c>
      <c r="N458" s="97" t="s">
        <v>115</v>
      </c>
      <c r="O458" s="97" t="s">
        <v>115</v>
      </c>
      <c r="P458" s="97">
        <v>200112</v>
      </c>
      <c r="Q458" s="89">
        <v>189</v>
      </c>
      <c r="R458" s="88">
        <v>6230</v>
      </c>
    </row>
    <row r="459" spans="1:18" s="89" customFormat="1" x14ac:dyDescent="0.15">
      <c r="A459" s="89" t="s">
        <v>1</v>
      </c>
      <c r="B459" s="89">
        <v>2953</v>
      </c>
      <c r="C459" s="89" t="s">
        <v>115</v>
      </c>
      <c r="D459" s="89" t="s">
        <v>115</v>
      </c>
      <c r="E459" s="89">
        <v>2</v>
      </c>
      <c r="F459" s="89">
        <v>5</v>
      </c>
      <c r="G459" s="89" t="s">
        <v>115</v>
      </c>
      <c r="H459" s="4" t="s">
        <v>7307</v>
      </c>
      <c r="I459" s="97" t="s">
        <v>115</v>
      </c>
      <c r="J459" s="97">
        <v>20</v>
      </c>
      <c r="K459" s="96">
        <v>73000</v>
      </c>
      <c r="L459" s="89">
        <v>0</v>
      </c>
      <c r="N459" s="97">
        <v>200115</v>
      </c>
      <c r="O459" s="97">
        <v>200116</v>
      </c>
      <c r="P459" s="97">
        <v>200113</v>
      </c>
      <c r="Q459" s="89">
        <v>189</v>
      </c>
      <c r="R459" s="88">
        <v>6230</v>
      </c>
    </row>
    <row r="460" spans="1:18" s="89" customFormat="1" x14ac:dyDescent="0.15">
      <c r="A460" s="89" t="s">
        <v>1</v>
      </c>
      <c r="B460" s="89" t="s">
        <v>6888</v>
      </c>
      <c r="C460" s="89" t="s">
        <v>115</v>
      </c>
      <c r="D460" s="89">
        <v>3</v>
      </c>
      <c r="E460" s="89" t="s">
        <v>115</v>
      </c>
      <c r="F460" s="89" t="s">
        <v>115</v>
      </c>
      <c r="G460" s="89" t="s">
        <v>115</v>
      </c>
      <c r="H460" s="4" t="s">
        <v>7307</v>
      </c>
      <c r="I460" s="97" t="s">
        <v>115</v>
      </c>
      <c r="J460" s="97" t="s">
        <v>115</v>
      </c>
      <c r="K460" s="4">
        <v>73500</v>
      </c>
      <c r="L460" s="89">
        <v>2962</v>
      </c>
      <c r="N460" s="97" t="s">
        <v>115</v>
      </c>
      <c r="O460" s="97" t="s">
        <v>115</v>
      </c>
      <c r="P460" s="97">
        <v>200111</v>
      </c>
      <c r="Q460" s="89">
        <v>137</v>
      </c>
      <c r="R460" s="88">
        <v>6230</v>
      </c>
    </row>
    <row r="461" spans="1:18" s="89" customFormat="1" x14ac:dyDescent="0.15">
      <c r="A461" s="89" t="s">
        <v>1</v>
      </c>
      <c r="B461" s="89">
        <v>2962</v>
      </c>
      <c r="C461" s="89" t="s">
        <v>115</v>
      </c>
      <c r="D461" s="89" t="s">
        <v>115</v>
      </c>
      <c r="E461" s="89">
        <v>1</v>
      </c>
      <c r="F461" s="89">
        <v>5</v>
      </c>
      <c r="G461" s="89" t="s">
        <v>115</v>
      </c>
      <c r="H461" s="4" t="s">
        <v>7307</v>
      </c>
      <c r="I461" s="97" t="s">
        <v>4800</v>
      </c>
      <c r="J461" s="97" t="s">
        <v>115</v>
      </c>
      <c r="K461" s="96">
        <v>73500</v>
      </c>
      <c r="L461" s="89">
        <v>2963</v>
      </c>
      <c r="N461" s="97" t="s">
        <v>115</v>
      </c>
      <c r="O461" s="97" t="s">
        <v>115</v>
      </c>
      <c r="P461" s="97">
        <v>200112</v>
      </c>
      <c r="Q461" s="89">
        <v>137</v>
      </c>
      <c r="R461" s="88">
        <v>6230</v>
      </c>
    </row>
    <row r="462" spans="1:18" s="89" customFormat="1" x14ac:dyDescent="0.15">
      <c r="A462" s="89" t="s">
        <v>1</v>
      </c>
      <c r="B462" s="89">
        <v>2963</v>
      </c>
      <c r="C462" s="89" t="s">
        <v>115</v>
      </c>
      <c r="D462" s="89" t="s">
        <v>115</v>
      </c>
      <c r="E462" s="89">
        <v>2</v>
      </c>
      <c r="F462" s="89">
        <v>5</v>
      </c>
      <c r="G462" s="89" t="s">
        <v>115</v>
      </c>
      <c r="H462" s="4" t="s">
        <v>7307</v>
      </c>
      <c r="I462" s="97" t="s">
        <v>115</v>
      </c>
      <c r="J462" s="97">
        <v>20</v>
      </c>
      <c r="K462" s="96">
        <v>73500</v>
      </c>
      <c r="L462" s="89">
        <v>0</v>
      </c>
      <c r="N462" s="97">
        <v>200115</v>
      </c>
      <c r="O462" s="97">
        <v>200116</v>
      </c>
      <c r="P462" s="97">
        <v>200113</v>
      </c>
      <c r="Q462" s="89">
        <v>137</v>
      </c>
      <c r="R462" s="88">
        <v>6230</v>
      </c>
    </row>
    <row r="463" spans="1:18" s="89" customFormat="1" x14ac:dyDescent="0.15">
      <c r="A463" s="89" t="s">
        <v>1</v>
      </c>
      <c r="B463" s="89" t="s">
        <v>6889</v>
      </c>
      <c r="C463" s="89" t="s">
        <v>115</v>
      </c>
      <c r="D463" s="89">
        <v>3</v>
      </c>
      <c r="E463" s="89" t="s">
        <v>115</v>
      </c>
      <c r="F463" s="89" t="s">
        <v>115</v>
      </c>
      <c r="G463" s="89" t="s">
        <v>115</v>
      </c>
      <c r="H463" s="4" t="s">
        <v>7307</v>
      </c>
      <c r="I463" s="97" t="s">
        <v>115</v>
      </c>
      <c r="J463" s="97" t="s">
        <v>115</v>
      </c>
      <c r="K463" s="4">
        <v>72500</v>
      </c>
      <c r="L463" s="89">
        <v>3012</v>
      </c>
      <c r="N463" s="97" t="s">
        <v>115</v>
      </c>
      <c r="O463" s="97" t="s">
        <v>115</v>
      </c>
      <c r="P463" s="97">
        <v>200111</v>
      </c>
      <c r="Q463" s="89">
        <v>351</v>
      </c>
      <c r="R463" s="88">
        <v>6230</v>
      </c>
    </row>
    <row r="464" spans="1:18" s="89" customFormat="1" x14ac:dyDescent="0.15">
      <c r="A464" s="89" t="s">
        <v>1</v>
      </c>
      <c r="B464" s="89">
        <v>3012</v>
      </c>
      <c r="C464" s="89" t="s">
        <v>115</v>
      </c>
      <c r="D464" s="89" t="s">
        <v>115</v>
      </c>
      <c r="E464" s="89">
        <v>1</v>
      </c>
      <c r="F464" s="89">
        <v>5</v>
      </c>
      <c r="G464" s="89" t="s">
        <v>115</v>
      </c>
      <c r="H464" s="4" t="s">
        <v>7307</v>
      </c>
      <c r="I464" s="97" t="s">
        <v>4800</v>
      </c>
      <c r="J464" s="97" t="s">
        <v>115</v>
      </c>
      <c r="K464" s="96">
        <v>72500</v>
      </c>
      <c r="L464" s="89">
        <v>3013</v>
      </c>
      <c r="N464" s="97" t="s">
        <v>115</v>
      </c>
      <c r="O464" s="97" t="s">
        <v>115</v>
      </c>
      <c r="P464" s="97">
        <v>200112</v>
      </c>
      <c r="Q464" s="89">
        <v>351</v>
      </c>
      <c r="R464" s="88">
        <v>6230</v>
      </c>
    </row>
    <row r="465" spans="1:18" s="89" customFormat="1" x14ac:dyDescent="0.15">
      <c r="A465" s="89" t="s">
        <v>1</v>
      </c>
      <c r="B465" s="89">
        <v>3013</v>
      </c>
      <c r="C465" s="89" t="s">
        <v>115</v>
      </c>
      <c r="D465" s="89" t="s">
        <v>115</v>
      </c>
      <c r="E465" s="89">
        <v>2</v>
      </c>
      <c r="F465" s="89">
        <v>5</v>
      </c>
      <c r="G465" s="89" t="s">
        <v>115</v>
      </c>
      <c r="H465" s="4" t="s">
        <v>7307</v>
      </c>
      <c r="I465" s="97" t="s">
        <v>115</v>
      </c>
      <c r="J465" s="97">
        <v>20</v>
      </c>
      <c r="K465" s="96">
        <v>72500</v>
      </c>
      <c r="L465" s="89">
        <v>0</v>
      </c>
      <c r="N465" s="97">
        <v>200115</v>
      </c>
      <c r="O465" s="97">
        <v>200116</v>
      </c>
      <c r="P465" s="97">
        <v>200113</v>
      </c>
      <c r="Q465" s="89">
        <v>351</v>
      </c>
      <c r="R465" s="88">
        <v>6230</v>
      </c>
    </row>
    <row r="466" spans="1:18" s="89" customFormat="1" x14ac:dyDescent="0.15">
      <c r="A466" s="89" t="s">
        <v>1</v>
      </c>
      <c r="B466" s="89" t="s">
        <v>6890</v>
      </c>
      <c r="C466" s="89" t="s">
        <v>115</v>
      </c>
      <c r="D466" s="89">
        <v>3</v>
      </c>
      <c r="E466" s="89" t="s">
        <v>115</v>
      </c>
      <c r="F466" s="89" t="s">
        <v>115</v>
      </c>
      <c r="G466" s="89" t="s">
        <v>115</v>
      </c>
      <c r="H466" s="4" t="s">
        <v>7307</v>
      </c>
      <c r="I466" s="97" t="s">
        <v>115</v>
      </c>
      <c r="J466" s="97" t="s">
        <v>115</v>
      </c>
      <c r="K466" s="4">
        <v>73000</v>
      </c>
      <c r="L466" s="89">
        <v>3022</v>
      </c>
      <c r="N466" s="97" t="s">
        <v>115</v>
      </c>
      <c r="O466" s="97" t="s">
        <v>115</v>
      </c>
      <c r="P466" s="97">
        <v>200111</v>
      </c>
      <c r="Q466" s="89">
        <v>31</v>
      </c>
      <c r="R466" s="88">
        <v>6230</v>
      </c>
    </row>
    <row r="467" spans="1:18" s="89" customFormat="1" x14ac:dyDescent="0.15">
      <c r="A467" s="89" t="s">
        <v>1</v>
      </c>
      <c r="B467" s="89">
        <v>3022</v>
      </c>
      <c r="C467" s="89" t="s">
        <v>115</v>
      </c>
      <c r="D467" s="89" t="s">
        <v>115</v>
      </c>
      <c r="E467" s="89">
        <v>1</v>
      </c>
      <c r="F467" s="89">
        <v>5</v>
      </c>
      <c r="G467" s="89" t="s">
        <v>115</v>
      </c>
      <c r="H467" s="4" t="s">
        <v>7307</v>
      </c>
      <c r="I467" s="97" t="s">
        <v>4800</v>
      </c>
      <c r="J467" s="97" t="s">
        <v>115</v>
      </c>
      <c r="K467" s="96">
        <v>73000</v>
      </c>
      <c r="L467" s="89">
        <v>3023</v>
      </c>
      <c r="N467" s="97" t="s">
        <v>115</v>
      </c>
      <c r="O467" s="97" t="s">
        <v>115</v>
      </c>
      <c r="P467" s="97">
        <v>200112</v>
      </c>
      <c r="Q467" s="89">
        <v>31</v>
      </c>
      <c r="R467" s="88">
        <v>6230</v>
      </c>
    </row>
    <row r="468" spans="1:18" s="89" customFormat="1" x14ac:dyDescent="0.15">
      <c r="A468" s="89" t="s">
        <v>1</v>
      </c>
      <c r="B468" s="89">
        <v>3023</v>
      </c>
      <c r="C468" s="89" t="s">
        <v>115</v>
      </c>
      <c r="D468" s="89" t="s">
        <v>115</v>
      </c>
      <c r="E468" s="89">
        <v>2</v>
      </c>
      <c r="F468" s="89">
        <v>5</v>
      </c>
      <c r="G468" s="89" t="s">
        <v>115</v>
      </c>
      <c r="H468" s="4" t="s">
        <v>7307</v>
      </c>
      <c r="I468" s="97" t="s">
        <v>115</v>
      </c>
      <c r="J468" s="97">
        <v>20</v>
      </c>
      <c r="K468" s="96">
        <v>73000</v>
      </c>
      <c r="L468" s="89">
        <v>0</v>
      </c>
      <c r="N468" s="97">
        <v>200115</v>
      </c>
      <c r="O468" s="97">
        <v>200116</v>
      </c>
      <c r="P468" s="97">
        <v>200113</v>
      </c>
      <c r="Q468" s="89">
        <v>31</v>
      </c>
      <c r="R468" s="88">
        <v>6230</v>
      </c>
    </row>
    <row r="469" spans="1:18" s="89" customFormat="1" x14ac:dyDescent="0.15">
      <c r="A469" s="89" t="s">
        <v>1</v>
      </c>
      <c r="B469" s="89" t="s">
        <v>6891</v>
      </c>
      <c r="C469" s="89" t="s">
        <v>115</v>
      </c>
      <c r="D469" s="89">
        <v>3</v>
      </c>
      <c r="E469" s="89" t="s">
        <v>115</v>
      </c>
      <c r="F469" s="89" t="s">
        <v>115</v>
      </c>
      <c r="G469" s="89" t="s">
        <v>115</v>
      </c>
      <c r="H469" s="4" t="s">
        <v>7307</v>
      </c>
      <c r="I469" s="97" t="s">
        <v>115</v>
      </c>
      <c r="J469" s="97" t="s">
        <v>115</v>
      </c>
      <c r="K469" s="4">
        <v>73500</v>
      </c>
      <c r="L469" s="89">
        <v>3032</v>
      </c>
      <c r="N469" s="97" t="s">
        <v>115</v>
      </c>
      <c r="O469" s="97" t="s">
        <v>115</v>
      </c>
      <c r="P469" s="97">
        <v>200111</v>
      </c>
      <c r="Q469" s="89">
        <v>172</v>
      </c>
      <c r="R469" s="88">
        <v>6230</v>
      </c>
    </row>
    <row r="470" spans="1:18" s="89" customFormat="1" x14ac:dyDescent="0.15">
      <c r="A470" s="89" t="s">
        <v>1</v>
      </c>
      <c r="B470" s="89">
        <v>3032</v>
      </c>
      <c r="C470" s="89" t="s">
        <v>115</v>
      </c>
      <c r="D470" s="89" t="s">
        <v>115</v>
      </c>
      <c r="E470" s="89">
        <v>1</v>
      </c>
      <c r="F470" s="89">
        <v>5</v>
      </c>
      <c r="G470" s="89" t="s">
        <v>115</v>
      </c>
      <c r="H470" s="4" t="s">
        <v>7307</v>
      </c>
      <c r="I470" s="97" t="s">
        <v>4800</v>
      </c>
      <c r="J470" s="97" t="s">
        <v>115</v>
      </c>
      <c r="K470" s="96">
        <v>73500</v>
      </c>
      <c r="L470" s="89">
        <v>3033</v>
      </c>
      <c r="N470" s="97" t="s">
        <v>115</v>
      </c>
      <c r="O470" s="97" t="s">
        <v>115</v>
      </c>
      <c r="P470" s="97">
        <v>200112</v>
      </c>
      <c r="Q470" s="89">
        <v>172</v>
      </c>
      <c r="R470" s="88">
        <v>6230</v>
      </c>
    </row>
    <row r="471" spans="1:18" s="89" customFormat="1" x14ac:dyDescent="0.15">
      <c r="A471" s="89" t="s">
        <v>1</v>
      </c>
      <c r="B471" s="89">
        <v>3033</v>
      </c>
      <c r="C471" s="89" t="s">
        <v>115</v>
      </c>
      <c r="D471" s="89" t="s">
        <v>115</v>
      </c>
      <c r="E471" s="89">
        <v>2</v>
      </c>
      <c r="F471" s="89">
        <v>5</v>
      </c>
      <c r="G471" s="89" t="s">
        <v>115</v>
      </c>
      <c r="H471" s="4" t="s">
        <v>7307</v>
      </c>
      <c r="I471" s="97" t="s">
        <v>115</v>
      </c>
      <c r="J471" s="97">
        <v>20</v>
      </c>
      <c r="K471" s="96">
        <v>73500</v>
      </c>
      <c r="L471" s="89">
        <v>0</v>
      </c>
      <c r="N471" s="97">
        <v>200115</v>
      </c>
      <c r="O471" s="97">
        <v>200116</v>
      </c>
      <c r="P471" s="97">
        <v>200113</v>
      </c>
      <c r="Q471" s="89">
        <v>172</v>
      </c>
      <c r="R471" s="88">
        <v>6230</v>
      </c>
    </row>
    <row r="472" spans="1:18" s="89" customFormat="1" x14ac:dyDescent="0.15">
      <c r="A472" s="89" t="s">
        <v>1</v>
      </c>
      <c r="B472" s="89" t="s">
        <v>6892</v>
      </c>
      <c r="C472" s="89" t="s">
        <v>115</v>
      </c>
      <c r="D472" s="89">
        <v>3</v>
      </c>
      <c r="E472" s="89" t="s">
        <v>115</v>
      </c>
      <c r="F472" s="89" t="s">
        <v>115</v>
      </c>
      <c r="G472" s="89" t="s">
        <v>115</v>
      </c>
      <c r="H472" s="4" t="s">
        <v>7307</v>
      </c>
      <c r="I472" s="97" t="s">
        <v>115</v>
      </c>
      <c r="J472" s="97" t="s">
        <v>115</v>
      </c>
      <c r="K472" s="4">
        <v>74000</v>
      </c>
      <c r="L472" s="89">
        <v>3042</v>
      </c>
      <c r="N472" s="97" t="s">
        <v>115</v>
      </c>
      <c r="O472" s="97" t="s">
        <v>115</v>
      </c>
      <c r="P472" s="97">
        <v>200111</v>
      </c>
      <c r="Q472" s="89">
        <v>143</v>
      </c>
      <c r="R472" s="88">
        <v>6230</v>
      </c>
    </row>
    <row r="473" spans="1:18" s="89" customFormat="1" x14ac:dyDescent="0.15">
      <c r="A473" s="89" t="s">
        <v>1</v>
      </c>
      <c r="B473" s="89">
        <v>3042</v>
      </c>
      <c r="C473" s="89" t="s">
        <v>115</v>
      </c>
      <c r="D473" s="89" t="s">
        <v>115</v>
      </c>
      <c r="E473" s="89">
        <v>1</v>
      </c>
      <c r="F473" s="89">
        <v>5</v>
      </c>
      <c r="G473" s="89" t="s">
        <v>115</v>
      </c>
      <c r="H473" s="4" t="s">
        <v>7307</v>
      </c>
      <c r="I473" s="97" t="s">
        <v>4800</v>
      </c>
      <c r="J473" s="97" t="s">
        <v>115</v>
      </c>
      <c r="K473" s="96">
        <v>74000</v>
      </c>
      <c r="L473" s="89">
        <v>3043</v>
      </c>
      <c r="N473" s="97" t="s">
        <v>115</v>
      </c>
      <c r="O473" s="97" t="s">
        <v>115</v>
      </c>
      <c r="P473" s="97">
        <v>200112</v>
      </c>
      <c r="Q473" s="89">
        <v>143</v>
      </c>
      <c r="R473" s="88">
        <v>6230</v>
      </c>
    </row>
    <row r="474" spans="1:18" s="89" customFormat="1" x14ac:dyDescent="0.15">
      <c r="A474" s="89" t="s">
        <v>1</v>
      </c>
      <c r="B474" s="89">
        <v>3043</v>
      </c>
      <c r="C474" s="89" t="s">
        <v>115</v>
      </c>
      <c r="D474" s="89" t="s">
        <v>115</v>
      </c>
      <c r="E474" s="89">
        <v>2</v>
      </c>
      <c r="F474" s="89">
        <v>5</v>
      </c>
      <c r="G474" s="89" t="s">
        <v>115</v>
      </c>
      <c r="H474" s="4" t="s">
        <v>7307</v>
      </c>
      <c r="I474" s="97" t="s">
        <v>115</v>
      </c>
      <c r="J474" s="97">
        <v>20</v>
      </c>
      <c r="K474" s="96">
        <v>74000</v>
      </c>
      <c r="L474" s="89">
        <v>0</v>
      </c>
      <c r="N474" s="97">
        <v>200115</v>
      </c>
      <c r="O474" s="97">
        <v>200116</v>
      </c>
      <c r="P474" s="97">
        <v>200113</v>
      </c>
      <c r="Q474" s="89">
        <v>143</v>
      </c>
      <c r="R474" s="88">
        <v>6230</v>
      </c>
    </row>
    <row r="475" spans="1:18" s="89" customFormat="1" x14ac:dyDescent="0.15">
      <c r="I475" s="97"/>
      <c r="J475" s="97"/>
      <c r="N475" s="97"/>
      <c r="O475" s="97"/>
      <c r="P475" s="97"/>
      <c r="R475" s="88"/>
    </row>
    <row r="476" spans="1:18" s="89" customFormat="1" x14ac:dyDescent="0.15">
      <c r="I476" s="97"/>
      <c r="J476" s="97"/>
      <c r="N476" s="97"/>
      <c r="O476" s="97"/>
      <c r="P476" s="97"/>
      <c r="R476" s="88"/>
    </row>
    <row r="477" spans="1:18" s="89" customFormat="1" x14ac:dyDescent="0.15">
      <c r="I477" s="97"/>
      <c r="J477" s="97"/>
      <c r="N477" s="97"/>
      <c r="O477" s="97"/>
      <c r="P477" s="97"/>
      <c r="R477" s="88"/>
    </row>
    <row r="478" spans="1:18" s="89" customFormat="1" x14ac:dyDescent="0.15">
      <c r="I478" s="97"/>
      <c r="J478" s="97"/>
      <c r="R478" s="88"/>
    </row>
    <row r="479" spans="1:18" s="89" customFormat="1" x14ac:dyDescent="0.15">
      <c r="I479" s="97"/>
      <c r="J479" s="97"/>
      <c r="R479" s="88"/>
    </row>
    <row r="480" spans="1:18" s="89" customFormat="1" x14ac:dyDescent="0.15">
      <c r="I480" s="97"/>
      <c r="J480" s="97"/>
      <c r="R480" s="88"/>
    </row>
    <row r="481" spans="2:18" x14ac:dyDescent="0.15">
      <c r="B481" s="4"/>
      <c r="I481" s="97"/>
      <c r="J481" s="97"/>
      <c r="R481" s="88"/>
    </row>
    <row r="482" spans="2:18" x14ac:dyDescent="0.15">
      <c r="B482" s="4"/>
      <c r="I482" s="97"/>
      <c r="J482" s="97"/>
      <c r="R482" s="88"/>
    </row>
    <row r="483" spans="2:18" x14ac:dyDescent="0.15">
      <c r="B483" s="4"/>
      <c r="I483" s="97"/>
      <c r="J483" s="97"/>
      <c r="R483" s="88"/>
    </row>
    <row r="484" spans="2:18" x14ac:dyDescent="0.15">
      <c r="B484" s="4"/>
      <c r="I484" s="97"/>
      <c r="J484" s="97"/>
      <c r="R484" s="88"/>
    </row>
    <row r="485" spans="2:18" x14ac:dyDescent="0.15">
      <c r="B485" s="4"/>
      <c r="I485" s="97"/>
      <c r="J485" s="97"/>
      <c r="R485" s="88"/>
    </row>
    <row r="486" spans="2:18" x14ac:dyDescent="0.15">
      <c r="B486" s="4"/>
      <c r="I486" s="97"/>
      <c r="J486" s="97"/>
      <c r="R486" s="88"/>
    </row>
    <row r="487" spans="2:18" x14ac:dyDescent="0.15">
      <c r="B487" s="4"/>
      <c r="I487" s="97"/>
      <c r="J487" s="97"/>
      <c r="R487" s="88"/>
    </row>
    <row r="488" spans="2:18" x14ac:dyDescent="0.15">
      <c r="B488" s="4"/>
      <c r="I488" s="97"/>
      <c r="J488" s="97"/>
      <c r="R488" s="88"/>
    </row>
    <row r="489" spans="2:18" x14ac:dyDescent="0.15">
      <c r="B489" s="4"/>
      <c r="I489" s="97"/>
      <c r="J489" s="97"/>
      <c r="R489" s="88"/>
    </row>
    <row r="490" spans="2:18" x14ac:dyDescent="0.15">
      <c r="B490" s="4"/>
      <c r="I490" s="97"/>
      <c r="J490" s="97"/>
      <c r="R490" s="88"/>
    </row>
    <row r="491" spans="2:18" x14ac:dyDescent="0.15">
      <c r="B491" s="4"/>
      <c r="I491" s="97"/>
      <c r="J491" s="97"/>
      <c r="R491" s="88"/>
    </row>
    <row r="492" spans="2:18" x14ac:dyDescent="0.15">
      <c r="B492" s="4"/>
      <c r="I492" s="97"/>
      <c r="J492" s="97"/>
      <c r="R492" s="88"/>
    </row>
    <row r="493" spans="2:18" x14ac:dyDescent="0.15">
      <c r="B493" s="4"/>
      <c r="I493" s="97"/>
      <c r="J493" s="97"/>
      <c r="R493" s="88"/>
    </row>
    <row r="494" spans="2:18" x14ac:dyDescent="0.15">
      <c r="B494" s="4"/>
      <c r="I494" s="97"/>
      <c r="J494" s="97"/>
      <c r="R494" s="88"/>
    </row>
    <row r="495" spans="2:18" x14ac:dyDescent="0.15">
      <c r="B495" s="4"/>
      <c r="I495" s="97"/>
      <c r="J495" s="97"/>
      <c r="R495" s="88"/>
    </row>
    <row r="496" spans="2:18" x14ac:dyDescent="0.15">
      <c r="B496" s="4"/>
      <c r="I496" s="97"/>
      <c r="J496" s="97"/>
      <c r="R496" s="88"/>
    </row>
    <row r="497" spans="1:21" x14ac:dyDescent="0.15">
      <c r="B497" s="4"/>
      <c r="I497" s="97"/>
      <c r="J497" s="97"/>
      <c r="R497" s="88"/>
    </row>
    <row r="498" spans="1:21" x14ac:dyDescent="0.15">
      <c r="B498" s="4"/>
      <c r="I498" s="97"/>
      <c r="J498" s="97"/>
      <c r="R498" s="88"/>
    </row>
    <row r="499" spans="1:21" x14ac:dyDescent="0.15">
      <c r="B499" s="4"/>
      <c r="R499" s="88"/>
    </row>
    <row r="500" spans="1:21" x14ac:dyDescent="0.15">
      <c r="B500" s="4"/>
      <c r="R500" s="88"/>
    </row>
    <row r="501" spans="1:21" x14ac:dyDescent="0.15">
      <c r="B501" s="4"/>
      <c r="R501" s="88"/>
      <c r="S501" s="96"/>
    </row>
    <row r="502" spans="1:21" x14ac:dyDescent="0.15">
      <c r="B502" s="4"/>
      <c r="R502" s="88"/>
      <c r="S502" s="96"/>
    </row>
    <row r="503" spans="1:21" x14ac:dyDescent="0.15">
      <c r="B503" s="4"/>
      <c r="S503" s="96"/>
    </row>
    <row r="504" spans="1:21" x14ac:dyDescent="0.15">
      <c r="B504" s="4"/>
      <c r="I504" s="4" t="s">
        <v>115</v>
      </c>
      <c r="S504" s="88"/>
    </row>
    <row r="505" spans="1:21" s="72" customFormat="1" x14ac:dyDescent="0.15">
      <c r="B505" s="72" t="s">
        <v>1929</v>
      </c>
      <c r="S505" s="4"/>
      <c r="T505" s="4"/>
      <c r="U505" s="4"/>
    </row>
    <row r="506" spans="1:21" x14ac:dyDescent="0.15">
      <c r="B506" s="4"/>
    </row>
    <row r="507" spans="1:21" s="96" customFormat="1" x14ac:dyDescent="0.15">
      <c r="A507" s="96" t="s">
        <v>1</v>
      </c>
      <c r="B507" s="96" t="s">
        <v>2648</v>
      </c>
      <c r="C507" s="96" t="s">
        <v>115</v>
      </c>
      <c r="D507" s="96">
        <v>3</v>
      </c>
      <c r="E507" s="96" t="s">
        <v>115</v>
      </c>
      <c r="F507" s="96" t="s">
        <v>115</v>
      </c>
      <c r="G507" s="96" t="s">
        <v>115</v>
      </c>
      <c r="H507" s="96" t="s">
        <v>7307</v>
      </c>
      <c r="I507" s="96" t="s">
        <v>115</v>
      </c>
      <c r="J507" s="96" t="s">
        <v>115</v>
      </c>
      <c r="K507" s="96">
        <v>15800</v>
      </c>
      <c r="L507" s="96">
        <v>50112</v>
      </c>
      <c r="N507" s="96" t="s">
        <v>115</v>
      </c>
      <c r="O507" s="96" t="s">
        <v>115</v>
      </c>
      <c r="P507" s="96" t="s">
        <v>2648</v>
      </c>
      <c r="Q507" s="96">
        <v>371</v>
      </c>
      <c r="R507" s="96">
        <v>4200</v>
      </c>
    </row>
    <row r="508" spans="1:21" s="96" customFormat="1" x14ac:dyDescent="0.15">
      <c r="A508" s="96" t="s">
        <v>1</v>
      </c>
      <c r="B508" s="96">
        <v>50112</v>
      </c>
      <c r="C508" s="96" t="s">
        <v>115</v>
      </c>
      <c r="D508" s="96" t="s">
        <v>115</v>
      </c>
      <c r="E508" s="96">
        <v>1</v>
      </c>
      <c r="F508" s="96">
        <v>5</v>
      </c>
      <c r="G508" s="96" t="s">
        <v>115</v>
      </c>
      <c r="H508" s="96" t="s">
        <v>7307</v>
      </c>
      <c r="I508" s="4" t="s">
        <v>4800</v>
      </c>
      <c r="J508" s="96" t="s">
        <v>115</v>
      </c>
      <c r="K508" s="96">
        <v>15800</v>
      </c>
      <c r="L508" s="96">
        <v>50113</v>
      </c>
      <c r="M508" s="96" t="s">
        <v>281</v>
      </c>
      <c r="N508" s="96" t="s">
        <v>115</v>
      </c>
      <c r="O508" s="96" t="s">
        <v>115</v>
      </c>
      <c r="P508" s="96">
        <v>50112</v>
      </c>
      <c r="Q508" s="96">
        <v>371</v>
      </c>
      <c r="R508" s="96">
        <v>5164</v>
      </c>
    </row>
    <row r="509" spans="1:21" s="96" customFormat="1" x14ac:dyDescent="0.15">
      <c r="A509" s="96" t="s">
        <v>1</v>
      </c>
      <c r="B509" s="96">
        <v>50113</v>
      </c>
      <c r="C509" s="96" t="s">
        <v>115</v>
      </c>
      <c r="D509" s="96" t="s">
        <v>115</v>
      </c>
      <c r="E509" s="96">
        <v>2</v>
      </c>
      <c r="F509" s="96">
        <v>5</v>
      </c>
      <c r="G509" s="96" t="s">
        <v>115</v>
      </c>
      <c r="H509" s="96" t="s">
        <v>7307</v>
      </c>
      <c r="I509" s="96" t="s">
        <v>115</v>
      </c>
      <c r="J509" s="96">
        <v>20</v>
      </c>
      <c r="K509" s="96">
        <v>15800</v>
      </c>
      <c r="L509" s="96">
        <v>0</v>
      </c>
      <c r="N509" s="96">
        <v>50114</v>
      </c>
      <c r="O509" s="96">
        <v>50115</v>
      </c>
      <c r="P509" s="96">
        <v>50113</v>
      </c>
      <c r="Q509" s="96">
        <v>371</v>
      </c>
      <c r="R509" s="96">
        <v>6587</v>
      </c>
    </row>
    <row r="510" spans="1:21" s="88" customFormat="1" x14ac:dyDescent="0.15"/>
    <row r="511" spans="1:21" s="96" customFormat="1" x14ac:dyDescent="0.15">
      <c r="A511" s="96" t="s">
        <v>1</v>
      </c>
      <c r="B511" s="96">
        <v>50211</v>
      </c>
      <c r="C511" s="96" t="s">
        <v>115</v>
      </c>
      <c r="D511" s="96">
        <v>3</v>
      </c>
      <c r="E511" s="96" t="s">
        <v>115</v>
      </c>
      <c r="F511" s="96" t="s">
        <v>115</v>
      </c>
      <c r="G511" s="96" t="s">
        <v>115</v>
      </c>
      <c r="H511" s="96" t="s">
        <v>7307</v>
      </c>
      <c r="I511" s="96" t="s">
        <v>115</v>
      </c>
      <c r="J511" s="96" t="s">
        <v>115</v>
      </c>
      <c r="K511" s="96">
        <v>15800</v>
      </c>
      <c r="L511" s="96">
        <v>50212</v>
      </c>
      <c r="N511" s="96" t="s">
        <v>115</v>
      </c>
      <c r="O511" s="96" t="s">
        <v>115</v>
      </c>
      <c r="P511" s="96" t="s">
        <v>2648</v>
      </c>
      <c r="Q511" s="96">
        <v>371</v>
      </c>
      <c r="R511" s="97">
        <v>6210</v>
      </c>
    </row>
    <row r="512" spans="1:21" s="96" customFormat="1" x14ac:dyDescent="0.15">
      <c r="A512" s="96" t="s">
        <v>1</v>
      </c>
      <c r="B512" s="96">
        <v>50212</v>
      </c>
      <c r="C512" s="96" t="s">
        <v>115</v>
      </c>
      <c r="D512" s="96" t="s">
        <v>115</v>
      </c>
      <c r="E512" s="96">
        <v>1</v>
      </c>
      <c r="F512" s="96">
        <v>5</v>
      </c>
      <c r="G512" s="96" t="s">
        <v>115</v>
      </c>
      <c r="H512" s="96" t="s">
        <v>7307</v>
      </c>
      <c r="I512" s="4" t="s">
        <v>4800</v>
      </c>
      <c r="J512" s="96" t="s">
        <v>115</v>
      </c>
      <c r="K512" s="96">
        <v>15800</v>
      </c>
      <c r="L512" s="96">
        <v>50213</v>
      </c>
      <c r="M512" s="96" t="s">
        <v>281</v>
      </c>
      <c r="N512" s="96" t="s">
        <v>115</v>
      </c>
      <c r="O512" s="96" t="s">
        <v>115</v>
      </c>
      <c r="P512" s="96">
        <v>50112</v>
      </c>
      <c r="Q512" s="96">
        <v>371</v>
      </c>
      <c r="R512" s="97">
        <v>7356</v>
      </c>
    </row>
    <row r="513" spans="1:18" s="96" customFormat="1" x14ac:dyDescent="0.15">
      <c r="A513" s="96" t="s">
        <v>1</v>
      </c>
      <c r="B513" s="96">
        <v>50213</v>
      </c>
      <c r="C513" s="96" t="s">
        <v>115</v>
      </c>
      <c r="D513" s="96" t="s">
        <v>115</v>
      </c>
      <c r="E513" s="96">
        <v>2</v>
      </c>
      <c r="F513" s="96">
        <v>5</v>
      </c>
      <c r="G513" s="96" t="s">
        <v>115</v>
      </c>
      <c r="H513" s="96" t="s">
        <v>7307</v>
      </c>
      <c r="I513" s="96" t="s">
        <v>115</v>
      </c>
      <c r="J513" s="96">
        <v>20</v>
      </c>
      <c r="K513" s="96">
        <v>15800</v>
      </c>
      <c r="L513" s="96">
        <v>0</v>
      </c>
      <c r="N513" s="96">
        <v>50114</v>
      </c>
      <c r="O513" s="96">
        <v>50115</v>
      </c>
      <c r="P513" s="96">
        <v>50113</v>
      </c>
      <c r="Q513" s="96">
        <v>371</v>
      </c>
      <c r="R513" s="97">
        <v>7700</v>
      </c>
    </row>
    <row r="514" spans="1:18" s="96" customFormat="1" x14ac:dyDescent="0.15">
      <c r="A514" s="96" t="s">
        <v>1</v>
      </c>
      <c r="B514" s="96">
        <v>50221</v>
      </c>
      <c r="C514" s="96" t="s">
        <v>115</v>
      </c>
      <c r="D514" s="96">
        <v>3</v>
      </c>
      <c r="E514" s="96" t="s">
        <v>115</v>
      </c>
      <c r="F514" s="96" t="s">
        <v>115</v>
      </c>
      <c r="G514" s="96" t="s">
        <v>115</v>
      </c>
      <c r="H514" s="96" t="s">
        <v>7307</v>
      </c>
      <c r="I514" s="96" t="s">
        <v>115</v>
      </c>
      <c r="J514" s="96" t="s">
        <v>115</v>
      </c>
      <c r="K514" s="96">
        <v>15800</v>
      </c>
      <c r="L514" s="96">
        <v>50222</v>
      </c>
      <c r="N514" s="96" t="s">
        <v>115</v>
      </c>
      <c r="O514" s="96" t="s">
        <v>115</v>
      </c>
      <c r="P514" s="96">
        <v>50211</v>
      </c>
      <c r="Q514" s="96">
        <v>371</v>
      </c>
      <c r="R514" s="97">
        <v>6210</v>
      </c>
    </row>
    <row r="515" spans="1:18" s="96" customFormat="1" x14ac:dyDescent="0.15">
      <c r="A515" s="96" t="s">
        <v>1</v>
      </c>
      <c r="B515" s="96">
        <v>50222</v>
      </c>
      <c r="C515" s="96" t="s">
        <v>115</v>
      </c>
      <c r="D515" s="96" t="s">
        <v>115</v>
      </c>
      <c r="E515" s="96">
        <v>1</v>
      </c>
      <c r="F515" s="96">
        <v>5</v>
      </c>
      <c r="G515" s="96" t="s">
        <v>115</v>
      </c>
      <c r="H515" s="96" t="s">
        <v>7307</v>
      </c>
      <c r="I515" s="4" t="s">
        <v>4800</v>
      </c>
      <c r="J515" s="96" t="s">
        <v>115</v>
      </c>
      <c r="K515" s="96">
        <v>15800</v>
      </c>
      <c r="L515" s="96">
        <v>50223</v>
      </c>
      <c r="M515" s="96" t="s">
        <v>281</v>
      </c>
      <c r="N515" s="96" t="s">
        <v>115</v>
      </c>
      <c r="O515" s="96" t="s">
        <v>115</v>
      </c>
      <c r="P515" s="96">
        <v>50212</v>
      </c>
      <c r="Q515" s="96">
        <v>371</v>
      </c>
      <c r="R515" s="97">
        <v>7356</v>
      </c>
    </row>
    <row r="516" spans="1:18" s="96" customFormat="1" x14ac:dyDescent="0.15">
      <c r="A516" s="96" t="s">
        <v>1</v>
      </c>
      <c r="B516" s="96">
        <v>50223</v>
      </c>
      <c r="C516" s="96" t="s">
        <v>115</v>
      </c>
      <c r="D516" s="96" t="s">
        <v>115</v>
      </c>
      <c r="E516" s="96">
        <v>2</v>
      </c>
      <c r="F516" s="96">
        <v>5</v>
      </c>
      <c r="G516" s="96" t="s">
        <v>115</v>
      </c>
      <c r="H516" s="96" t="s">
        <v>7307</v>
      </c>
      <c r="I516" s="96" t="s">
        <v>115</v>
      </c>
      <c r="J516" s="96">
        <v>20</v>
      </c>
      <c r="K516" s="96">
        <v>15800</v>
      </c>
      <c r="L516" s="96">
        <v>0</v>
      </c>
      <c r="N516" s="96">
        <v>50214</v>
      </c>
      <c r="O516" s="96">
        <v>50215</v>
      </c>
      <c r="P516" s="96">
        <v>50213</v>
      </c>
      <c r="Q516" s="96">
        <v>371</v>
      </c>
      <c r="R516" s="97">
        <v>7700</v>
      </c>
    </row>
    <row r="517" spans="1:18" s="88" customFormat="1" x14ac:dyDescent="0.15"/>
    <row r="518" spans="1:18" s="96" customFormat="1" x14ac:dyDescent="0.15">
      <c r="A518" s="96" t="s">
        <v>1</v>
      </c>
      <c r="B518" s="96">
        <f>B511+100</f>
        <v>50311</v>
      </c>
      <c r="C518" s="96" t="s">
        <v>115</v>
      </c>
      <c r="D518" s="96">
        <v>3</v>
      </c>
      <c r="E518" s="96" t="s">
        <v>115</v>
      </c>
      <c r="F518" s="96" t="s">
        <v>115</v>
      </c>
      <c r="G518" s="96" t="s">
        <v>115</v>
      </c>
      <c r="H518" s="96" t="s">
        <v>7307</v>
      </c>
      <c r="I518" s="96" t="s">
        <v>115</v>
      </c>
      <c r="J518" s="96" t="s">
        <v>115</v>
      </c>
      <c r="K518" s="88">
        <v>15800</v>
      </c>
      <c r="L518" s="96">
        <f>B519</f>
        <v>50312</v>
      </c>
      <c r="N518" s="96" t="s">
        <v>115</v>
      </c>
      <c r="O518" s="96" t="s">
        <v>115</v>
      </c>
      <c r="P518" s="96" t="s">
        <v>2648</v>
      </c>
      <c r="Q518" s="96">
        <v>371</v>
      </c>
      <c r="R518" s="88">
        <v>6210</v>
      </c>
    </row>
    <row r="519" spans="1:18" s="97" customFormat="1" x14ac:dyDescent="0.15">
      <c r="A519" s="97" t="s">
        <v>1</v>
      </c>
      <c r="B519" s="96">
        <f t="shared" ref="B519:B523" si="2">B512+100</f>
        <v>50312</v>
      </c>
      <c r="C519" s="97" t="s">
        <v>115</v>
      </c>
      <c r="D519" s="97" t="s">
        <v>115</v>
      </c>
      <c r="E519" s="97">
        <v>1</v>
      </c>
      <c r="F519" s="97">
        <v>5</v>
      </c>
      <c r="G519" s="97" t="s">
        <v>115</v>
      </c>
      <c r="H519" s="97" t="s">
        <v>7307</v>
      </c>
      <c r="I519" s="4" t="s">
        <v>4800</v>
      </c>
      <c r="J519" s="97" t="s">
        <v>115</v>
      </c>
      <c r="K519" s="88">
        <v>15800</v>
      </c>
      <c r="L519" s="97">
        <f>B520</f>
        <v>50313</v>
      </c>
      <c r="M519" s="97" t="s">
        <v>281</v>
      </c>
      <c r="N519" s="97" t="s">
        <v>115</v>
      </c>
      <c r="O519" s="97" t="s">
        <v>115</v>
      </c>
      <c r="P519" s="97">
        <v>50112</v>
      </c>
      <c r="Q519" s="97">
        <v>371</v>
      </c>
      <c r="R519" s="88">
        <v>7356</v>
      </c>
    </row>
    <row r="520" spans="1:18" s="97" customFormat="1" x14ac:dyDescent="0.15">
      <c r="A520" s="97" t="s">
        <v>1</v>
      </c>
      <c r="B520" s="96">
        <f t="shared" si="2"/>
        <v>50313</v>
      </c>
      <c r="C520" s="97" t="s">
        <v>115</v>
      </c>
      <c r="D520" s="97" t="s">
        <v>115</v>
      </c>
      <c r="E520" s="97">
        <v>2</v>
      </c>
      <c r="F520" s="97">
        <v>5</v>
      </c>
      <c r="G520" s="97" t="s">
        <v>115</v>
      </c>
      <c r="H520" s="97" t="s">
        <v>7307</v>
      </c>
      <c r="I520" s="97" t="s">
        <v>115</v>
      </c>
      <c r="J520" s="97">
        <v>20</v>
      </c>
      <c r="K520" s="88">
        <v>15800</v>
      </c>
      <c r="L520" s="97">
        <v>0</v>
      </c>
      <c r="N520" s="97">
        <v>50114</v>
      </c>
      <c r="O520" s="97">
        <v>50115</v>
      </c>
      <c r="P520" s="97">
        <v>50113</v>
      </c>
      <c r="Q520" s="97">
        <v>371</v>
      </c>
      <c r="R520" s="88">
        <v>7700</v>
      </c>
    </row>
    <row r="521" spans="1:18" s="97" customFormat="1" x14ac:dyDescent="0.15">
      <c r="A521" s="97" t="s">
        <v>1</v>
      </c>
      <c r="B521" s="96">
        <f t="shared" si="2"/>
        <v>50321</v>
      </c>
      <c r="C521" s="97" t="s">
        <v>115</v>
      </c>
      <c r="D521" s="97">
        <v>3</v>
      </c>
      <c r="E521" s="97" t="s">
        <v>115</v>
      </c>
      <c r="F521" s="97" t="s">
        <v>115</v>
      </c>
      <c r="G521" s="97" t="s">
        <v>115</v>
      </c>
      <c r="H521" s="97" t="s">
        <v>7307</v>
      </c>
      <c r="I521" s="97" t="s">
        <v>115</v>
      </c>
      <c r="J521" s="97" t="s">
        <v>115</v>
      </c>
      <c r="K521" s="88">
        <v>15800</v>
      </c>
      <c r="L521" s="97">
        <f>B522</f>
        <v>50322</v>
      </c>
      <c r="N521" s="97" t="s">
        <v>115</v>
      </c>
      <c r="O521" s="97" t="s">
        <v>115</v>
      </c>
      <c r="P521" s="97">
        <v>50211</v>
      </c>
      <c r="Q521" s="97">
        <v>371</v>
      </c>
      <c r="R521" s="88">
        <v>6210</v>
      </c>
    </row>
    <row r="522" spans="1:18" s="97" customFormat="1" x14ac:dyDescent="0.15">
      <c r="A522" s="97" t="s">
        <v>1</v>
      </c>
      <c r="B522" s="96">
        <f t="shared" si="2"/>
        <v>50322</v>
      </c>
      <c r="C522" s="97" t="s">
        <v>115</v>
      </c>
      <c r="D522" s="97" t="s">
        <v>115</v>
      </c>
      <c r="E522" s="97">
        <v>1</v>
      </c>
      <c r="F522" s="97">
        <v>5</v>
      </c>
      <c r="G522" s="97" t="s">
        <v>115</v>
      </c>
      <c r="H522" s="97" t="s">
        <v>7307</v>
      </c>
      <c r="I522" s="4" t="s">
        <v>4800</v>
      </c>
      <c r="J522" s="97" t="s">
        <v>115</v>
      </c>
      <c r="K522" s="88">
        <v>15800</v>
      </c>
      <c r="L522" s="97">
        <f>B523</f>
        <v>50323</v>
      </c>
      <c r="M522" s="97" t="s">
        <v>281</v>
      </c>
      <c r="N522" s="97" t="s">
        <v>115</v>
      </c>
      <c r="O522" s="97" t="s">
        <v>115</v>
      </c>
      <c r="P522" s="97">
        <v>50212</v>
      </c>
      <c r="Q522" s="97">
        <v>371</v>
      </c>
      <c r="R522" s="88">
        <v>7356</v>
      </c>
    </row>
    <row r="523" spans="1:18" s="97" customFormat="1" x14ac:dyDescent="0.15">
      <c r="A523" s="97" t="s">
        <v>1</v>
      </c>
      <c r="B523" s="96">
        <f t="shared" si="2"/>
        <v>50323</v>
      </c>
      <c r="C523" s="97" t="s">
        <v>115</v>
      </c>
      <c r="D523" s="97" t="s">
        <v>115</v>
      </c>
      <c r="E523" s="97">
        <v>2</v>
      </c>
      <c r="F523" s="97">
        <v>5</v>
      </c>
      <c r="G523" s="97" t="s">
        <v>115</v>
      </c>
      <c r="H523" s="97" t="s">
        <v>7307</v>
      </c>
      <c r="I523" s="97" t="s">
        <v>115</v>
      </c>
      <c r="J523" s="97">
        <v>20</v>
      </c>
      <c r="K523" s="88">
        <v>15800</v>
      </c>
      <c r="L523" s="97">
        <v>0</v>
      </c>
      <c r="N523" s="96">
        <v>50214</v>
      </c>
      <c r="O523" s="96">
        <v>50215</v>
      </c>
      <c r="P523" s="97">
        <v>50213</v>
      </c>
      <c r="Q523" s="97">
        <v>371</v>
      </c>
      <c r="R523" s="88">
        <v>7700</v>
      </c>
    </row>
    <row r="524" spans="1:18" x14ac:dyDescent="0.15">
      <c r="B524" s="4"/>
    </row>
    <row r="525" spans="1:18" s="96" customFormat="1" x14ac:dyDescent="0.15">
      <c r="A525" s="96" t="s">
        <v>1</v>
      </c>
      <c r="B525" s="96">
        <v>50411</v>
      </c>
      <c r="C525" s="96" t="s">
        <v>115</v>
      </c>
      <c r="D525" s="96">
        <v>3</v>
      </c>
      <c r="E525" s="96" t="s">
        <v>115</v>
      </c>
      <c r="F525" s="96" t="s">
        <v>115</v>
      </c>
      <c r="G525" s="96" t="s">
        <v>115</v>
      </c>
      <c r="H525" s="96" t="s">
        <v>7307</v>
      </c>
      <c r="I525" s="96" t="s">
        <v>115</v>
      </c>
      <c r="J525" s="96" t="s">
        <v>115</v>
      </c>
      <c r="K525" s="88">
        <v>15800</v>
      </c>
      <c r="L525" s="96">
        <v>50412</v>
      </c>
      <c r="N525" s="96" t="s">
        <v>115</v>
      </c>
      <c r="O525" s="96" t="s">
        <v>115</v>
      </c>
      <c r="P525" s="96" t="s">
        <v>2648</v>
      </c>
      <c r="Q525" s="96">
        <v>371</v>
      </c>
      <c r="R525" s="88">
        <v>6210</v>
      </c>
    </row>
    <row r="526" spans="1:18" s="97" customFormat="1" x14ac:dyDescent="0.15">
      <c r="A526" s="97" t="s">
        <v>1</v>
      </c>
      <c r="B526" s="96">
        <v>50412</v>
      </c>
      <c r="C526" s="97" t="s">
        <v>115</v>
      </c>
      <c r="D526" s="97" t="s">
        <v>115</v>
      </c>
      <c r="E526" s="97">
        <v>1</v>
      </c>
      <c r="F526" s="97">
        <v>5</v>
      </c>
      <c r="G526" s="97" t="s">
        <v>115</v>
      </c>
      <c r="H526" s="97" t="s">
        <v>7307</v>
      </c>
      <c r="I526" s="4" t="s">
        <v>4800</v>
      </c>
      <c r="J526" s="97" t="s">
        <v>115</v>
      </c>
      <c r="K526" s="88">
        <v>15800</v>
      </c>
      <c r="L526" s="97">
        <v>50413</v>
      </c>
      <c r="M526" s="97" t="s">
        <v>281</v>
      </c>
      <c r="N526" s="97" t="s">
        <v>115</v>
      </c>
      <c r="O526" s="97" t="s">
        <v>115</v>
      </c>
      <c r="P526" s="97">
        <v>50112</v>
      </c>
      <c r="Q526" s="97">
        <v>371</v>
      </c>
      <c r="R526" s="88">
        <v>7356</v>
      </c>
    </row>
    <row r="527" spans="1:18" s="97" customFormat="1" x14ac:dyDescent="0.15">
      <c r="A527" s="97" t="s">
        <v>1</v>
      </c>
      <c r="B527" s="96">
        <v>50413</v>
      </c>
      <c r="C527" s="97" t="s">
        <v>115</v>
      </c>
      <c r="D527" s="97" t="s">
        <v>115</v>
      </c>
      <c r="E527" s="97">
        <v>2</v>
      </c>
      <c r="F527" s="97">
        <v>5</v>
      </c>
      <c r="G527" s="97" t="s">
        <v>115</v>
      </c>
      <c r="H527" s="97" t="s">
        <v>7307</v>
      </c>
      <c r="I527" s="97" t="s">
        <v>115</v>
      </c>
      <c r="J527" s="97">
        <v>20</v>
      </c>
      <c r="K527" s="88">
        <v>15800</v>
      </c>
      <c r="L527" s="97">
        <v>0</v>
      </c>
      <c r="N527" s="97">
        <v>50114</v>
      </c>
      <c r="O527" s="97">
        <v>50115</v>
      </c>
      <c r="P527" s="97">
        <v>50113</v>
      </c>
      <c r="Q527" s="97">
        <v>371</v>
      </c>
      <c r="R527" s="88">
        <v>7700</v>
      </c>
    </row>
    <row r="528" spans="1:18" s="97" customFormat="1" x14ac:dyDescent="0.15">
      <c r="A528" s="97" t="s">
        <v>1</v>
      </c>
      <c r="B528" s="96">
        <v>50421</v>
      </c>
      <c r="C528" s="97" t="s">
        <v>115</v>
      </c>
      <c r="D528" s="97">
        <v>3</v>
      </c>
      <c r="E528" s="97" t="s">
        <v>115</v>
      </c>
      <c r="F528" s="97" t="s">
        <v>115</v>
      </c>
      <c r="G528" s="97" t="s">
        <v>115</v>
      </c>
      <c r="H528" s="97" t="s">
        <v>7307</v>
      </c>
      <c r="I528" s="97" t="s">
        <v>115</v>
      </c>
      <c r="J528" s="97" t="s">
        <v>115</v>
      </c>
      <c r="K528" s="88">
        <v>15800</v>
      </c>
      <c r="L528" s="97">
        <v>50422</v>
      </c>
      <c r="N528" s="97" t="s">
        <v>115</v>
      </c>
      <c r="O528" s="97" t="s">
        <v>115</v>
      </c>
      <c r="P528" s="97">
        <v>50211</v>
      </c>
      <c r="Q528" s="97">
        <v>371</v>
      </c>
      <c r="R528" s="88">
        <v>6210</v>
      </c>
    </row>
    <row r="529" spans="1:18" s="97" customFormat="1" x14ac:dyDescent="0.15">
      <c r="A529" s="97" t="s">
        <v>1</v>
      </c>
      <c r="B529" s="96">
        <v>50422</v>
      </c>
      <c r="C529" s="97" t="s">
        <v>115</v>
      </c>
      <c r="D529" s="97" t="s">
        <v>115</v>
      </c>
      <c r="E529" s="97">
        <v>1</v>
      </c>
      <c r="F529" s="97">
        <v>5</v>
      </c>
      <c r="G529" s="97" t="s">
        <v>115</v>
      </c>
      <c r="H529" s="97" t="s">
        <v>7307</v>
      </c>
      <c r="I529" s="4" t="s">
        <v>4800</v>
      </c>
      <c r="J529" s="97" t="s">
        <v>115</v>
      </c>
      <c r="K529" s="88">
        <v>15800</v>
      </c>
      <c r="L529" s="97">
        <v>50423</v>
      </c>
      <c r="M529" s="97" t="s">
        <v>281</v>
      </c>
      <c r="N529" s="97" t="s">
        <v>115</v>
      </c>
      <c r="O529" s="97" t="s">
        <v>115</v>
      </c>
      <c r="P529" s="97">
        <v>50212</v>
      </c>
      <c r="Q529" s="97">
        <v>371</v>
      </c>
      <c r="R529" s="88">
        <v>7356</v>
      </c>
    </row>
    <row r="530" spans="1:18" s="97" customFormat="1" x14ac:dyDescent="0.15">
      <c r="A530" s="97" t="s">
        <v>1</v>
      </c>
      <c r="B530" s="96">
        <v>50423</v>
      </c>
      <c r="C530" s="97" t="s">
        <v>115</v>
      </c>
      <c r="D530" s="97" t="s">
        <v>115</v>
      </c>
      <c r="E530" s="97">
        <v>2</v>
      </c>
      <c r="F530" s="97">
        <v>5</v>
      </c>
      <c r="G530" s="97" t="s">
        <v>115</v>
      </c>
      <c r="H530" s="97" t="s">
        <v>7307</v>
      </c>
      <c r="I530" s="97" t="s">
        <v>115</v>
      </c>
      <c r="J530" s="97">
        <v>20</v>
      </c>
      <c r="K530" s="88">
        <v>15800</v>
      </c>
      <c r="L530" s="97">
        <v>0</v>
      </c>
      <c r="N530" s="96">
        <v>50214</v>
      </c>
      <c r="O530" s="96">
        <v>50215</v>
      </c>
      <c r="P530" s="97">
        <v>50213</v>
      </c>
      <c r="Q530" s="97">
        <v>371</v>
      </c>
      <c r="R530" s="88">
        <v>7700</v>
      </c>
    </row>
    <row r="531" spans="1:18" x14ac:dyDescent="0.15">
      <c r="B531" s="4"/>
    </row>
    <row r="532" spans="1:18" s="96" customFormat="1" x14ac:dyDescent="0.15">
      <c r="A532" s="96" t="s">
        <v>1</v>
      </c>
      <c r="B532" s="96">
        <v>50511</v>
      </c>
      <c r="C532" s="96" t="s">
        <v>115</v>
      </c>
      <c r="D532" s="96">
        <v>3</v>
      </c>
      <c r="E532" s="96" t="s">
        <v>115</v>
      </c>
      <c r="F532" s="96" t="s">
        <v>115</v>
      </c>
      <c r="G532" s="96" t="s">
        <v>115</v>
      </c>
      <c r="H532" s="96" t="s">
        <v>7307</v>
      </c>
      <c r="I532" s="96" t="s">
        <v>115</v>
      </c>
      <c r="J532" s="96" t="s">
        <v>115</v>
      </c>
      <c r="K532" s="88">
        <v>15800</v>
      </c>
      <c r="L532" s="96">
        <v>50512</v>
      </c>
      <c r="N532" s="96" t="s">
        <v>115</v>
      </c>
      <c r="O532" s="96" t="s">
        <v>115</v>
      </c>
      <c r="P532" s="96" t="s">
        <v>2648</v>
      </c>
      <c r="Q532" s="96">
        <v>371</v>
      </c>
      <c r="R532" s="88">
        <v>6210</v>
      </c>
    </row>
    <row r="533" spans="1:18" s="97" customFormat="1" x14ac:dyDescent="0.15">
      <c r="A533" s="97" t="s">
        <v>1</v>
      </c>
      <c r="B533" s="96">
        <v>50512</v>
      </c>
      <c r="C533" s="97" t="s">
        <v>115</v>
      </c>
      <c r="D533" s="97" t="s">
        <v>115</v>
      </c>
      <c r="E533" s="97">
        <v>1</v>
      </c>
      <c r="F533" s="97">
        <v>5</v>
      </c>
      <c r="G533" s="97" t="s">
        <v>115</v>
      </c>
      <c r="H533" s="97" t="s">
        <v>7307</v>
      </c>
      <c r="I533" s="4" t="s">
        <v>4800</v>
      </c>
      <c r="J533" s="97" t="s">
        <v>115</v>
      </c>
      <c r="K533" s="88">
        <v>15800</v>
      </c>
      <c r="L533" s="97">
        <v>50513</v>
      </c>
      <c r="M533" s="97" t="s">
        <v>281</v>
      </c>
      <c r="N533" s="97" t="s">
        <v>115</v>
      </c>
      <c r="O533" s="97" t="s">
        <v>115</v>
      </c>
      <c r="P533" s="97">
        <v>50112</v>
      </c>
      <c r="Q533" s="97">
        <v>371</v>
      </c>
      <c r="R533" s="88">
        <v>7356</v>
      </c>
    </row>
    <row r="534" spans="1:18" s="97" customFormat="1" x14ac:dyDescent="0.15">
      <c r="A534" s="97" t="s">
        <v>1</v>
      </c>
      <c r="B534" s="96">
        <v>50513</v>
      </c>
      <c r="C534" s="97" t="s">
        <v>115</v>
      </c>
      <c r="D534" s="97" t="s">
        <v>115</v>
      </c>
      <c r="E534" s="97">
        <v>2</v>
      </c>
      <c r="F534" s="97">
        <v>5</v>
      </c>
      <c r="G534" s="97" t="s">
        <v>115</v>
      </c>
      <c r="H534" s="97" t="s">
        <v>7307</v>
      </c>
      <c r="I534" s="97" t="s">
        <v>115</v>
      </c>
      <c r="J534" s="97">
        <v>20</v>
      </c>
      <c r="K534" s="88">
        <v>15800</v>
      </c>
      <c r="L534" s="97">
        <v>0</v>
      </c>
      <c r="N534" s="97">
        <v>50114</v>
      </c>
      <c r="O534" s="97">
        <v>50115</v>
      </c>
      <c r="P534" s="97">
        <v>50113</v>
      </c>
      <c r="Q534" s="97">
        <v>371</v>
      </c>
      <c r="R534" s="88">
        <v>7700</v>
      </c>
    </row>
    <row r="535" spans="1:18" s="97" customFormat="1" x14ac:dyDescent="0.15">
      <c r="A535" s="97" t="s">
        <v>1</v>
      </c>
      <c r="B535" s="96">
        <v>50521</v>
      </c>
      <c r="C535" s="97" t="s">
        <v>115</v>
      </c>
      <c r="D535" s="97">
        <v>3</v>
      </c>
      <c r="E535" s="97" t="s">
        <v>115</v>
      </c>
      <c r="F535" s="97" t="s">
        <v>115</v>
      </c>
      <c r="G535" s="97" t="s">
        <v>115</v>
      </c>
      <c r="H535" s="97" t="s">
        <v>7307</v>
      </c>
      <c r="I535" s="97" t="s">
        <v>115</v>
      </c>
      <c r="J535" s="97" t="s">
        <v>115</v>
      </c>
      <c r="K535" s="88">
        <v>15800</v>
      </c>
      <c r="L535" s="97">
        <v>50522</v>
      </c>
      <c r="N535" s="97" t="s">
        <v>115</v>
      </c>
      <c r="O535" s="97" t="s">
        <v>115</v>
      </c>
      <c r="P535" s="97">
        <v>50211</v>
      </c>
      <c r="Q535" s="97">
        <v>371</v>
      </c>
      <c r="R535" s="88">
        <v>6210</v>
      </c>
    </row>
    <row r="536" spans="1:18" s="97" customFormat="1" x14ac:dyDescent="0.15">
      <c r="A536" s="97" t="s">
        <v>1</v>
      </c>
      <c r="B536" s="96">
        <v>50522</v>
      </c>
      <c r="C536" s="97" t="s">
        <v>115</v>
      </c>
      <c r="D536" s="97" t="s">
        <v>115</v>
      </c>
      <c r="E536" s="97">
        <v>1</v>
      </c>
      <c r="F536" s="97">
        <v>5</v>
      </c>
      <c r="G536" s="97" t="s">
        <v>115</v>
      </c>
      <c r="H536" s="97" t="s">
        <v>7307</v>
      </c>
      <c r="I536" s="4" t="s">
        <v>4800</v>
      </c>
      <c r="J536" s="97" t="s">
        <v>115</v>
      </c>
      <c r="K536" s="88">
        <v>15800</v>
      </c>
      <c r="L536" s="97">
        <v>50523</v>
      </c>
      <c r="M536" s="97" t="s">
        <v>281</v>
      </c>
      <c r="N536" s="97" t="s">
        <v>115</v>
      </c>
      <c r="O536" s="97" t="s">
        <v>115</v>
      </c>
      <c r="P536" s="97">
        <v>50212</v>
      </c>
      <c r="Q536" s="97">
        <v>371</v>
      </c>
      <c r="R536" s="88">
        <v>7356</v>
      </c>
    </row>
    <row r="537" spans="1:18" s="97" customFormat="1" x14ac:dyDescent="0.15">
      <c r="A537" s="97" t="s">
        <v>1</v>
      </c>
      <c r="B537" s="96">
        <v>50523</v>
      </c>
      <c r="C537" s="97" t="s">
        <v>115</v>
      </c>
      <c r="D537" s="97" t="s">
        <v>115</v>
      </c>
      <c r="E537" s="97">
        <v>2</v>
      </c>
      <c r="F537" s="97">
        <v>5</v>
      </c>
      <c r="G537" s="97" t="s">
        <v>115</v>
      </c>
      <c r="H537" s="97" t="s">
        <v>7307</v>
      </c>
      <c r="I537" s="97" t="s">
        <v>115</v>
      </c>
      <c r="J537" s="97">
        <v>20</v>
      </c>
      <c r="K537" s="88">
        <v>15800</v>
      </c>
      <c r="L537" s="97">
        <v>0</v>
      </c>
      <c r="N537" s="96">
        <v>50214</v>
      </c>
      <c r="O537" s="96">
        <v>50215</v>
      </c>
      <c r="P537" s="97">
        <v>50213</v>
      </c>
      <c r="Q537" s="97">
        <v>371</v>
      </c>
      <c r="R537" s="88">
        <v>7700</v>
      </c>
    </row>
    <row r="538" spans="1:18" x14ac:dyDescent="0.15">
      <c r="B538" s="4"/>
    </row>
    <row r="539" spans="1:18" s="96" customFormat="1" x14ac:dyDescent="0.15">
      <c r="A539" s="96" t="s">
        <v>1</v>
      </c>
      <c r="B539" s="96">
        <v>50611</v>
      </c>
      <c r="C539" s="96" t="s">
        <v>115</v>
      </c>
      <c r="D539" s="96">
        <v>3</v>
      </c>
      <c r="E539" s="96" t="s">
        <v>115</v>
      </c>
      <c r="F539" s="96" t="s">
        <v>115</v>
      </c>
      <c r="G539" s="96" t="s">
        <v>115</v>
      </c>
      <c r="H539" s="96" t="s">
        <v>7307</v>
      </c>
      <c r="I539" s="96" t="s">
        <v>115</v>
      </c>
      <c r="J539" s="96" t="s">
        <v>115</v>
      </c>
      <c r="K539" s="88">
        <v>15800</v>
      </c>
      <c r="L539" s="96">
        <v>50612</v>
      </c>
      <c r="N539" s="96" t="s">
        <v>115</v>
      </c>
      <c r="O539" s="96" t="s">
        <v>115</v>
      </c>
      <c r="P539" s="96" t="s">
        <v>2648</v>
      </c>
      <c r="Q539" s="96">
        <v>371</v>
      </c>
      <c r="R539" s="88">
        <v>6210</v>
      </c>
    </row>
    <row r="540" spans="1:18" s="97" customFormat="1" x14ac:dyDescent="0.15">
      <c r="A540" s="97" t="s">
        <v>1</v>
      </c>
      <c r="B540" s="96">
        <v>50612</v>
      </c>
      <c r="C540" s="97" t="s">
        <v>115</v>
      </c>
      <c r="D540" s="97" t="s">
        <v>115</v>
      </c>
      <c r="E540" s="97">
        <v>1</v>
      </c>
      <c r="F540" s="97">
        <v>5</v>
      </c>
      <c r="G540" s="97" t="s">
        <v>115</v>
      </c>
      <c r="H540" s="97" t="s">
        <v>7307</v>
      </c>
      <c r="I540" s="4" t="s">
        <v>4800</v>
      </c>
      <c r="J540" s="97" t="s">
        <v>115</v>
      </c>
      <c r="K540" s="88">
        <v>15800</v>
      </c>
      <c r="L540" s="97">
        <v>50613</v>
      </c>
      <c r="M540" s="97" t="s">
        <v>281</v>
      </c>
      <c r="N540" s="97" t="s">
        <v>115</v>
      </c>
      <c r="O540" s="97" t="s">
        <v>115</v>
      </c>
      <c r="P540" s="97">
        <v>50112</v>
      </c>
      <c r="Q540" s="97">
        <v>371</v>
      </c>
      <c r="R540" s="88">
        <v>7356</v>
      </c>
    </row>
    <row r="541" spans="1:18" s="97" customFormat="1" x14ac:dyDescent="0.15">
      <c r="A541" s="97" t="s">
        <v>1</v>
      </c>
      <c r="B541" s="96">
        <v>50613</v>
      </c>
      <c r="C541" s="97" t="s">
        <v>115</v>
      </c>
      <c r="D541" s="97" t="s">
        <v>115</v>
      </c>
      <c r="E541" s="97">
        <v>2</v>
      </c>
      <c r="F541" s="97">
        <v>5</v>
      </c>
      <c r="G541" s="97" t="s">
        <v>115</v>
      </c>
      <c r="H541" s="97" t="s">
        <v>7307</v>
      </c>
      <c r="I541" s="97" t="s">
        <v>115</v>
      </c>
      <c r="J541" s="97">
        <v>20</v>
      </c>
      <c r="K541" s="88">
        <v>15800</v>
      </c>
      <c r="L541" s="97">
        <v>0</v>
      </c>
      <c r="N541" s="97">
        <v>50114</v>
      </c>
      <c r="O541" s="97">
        <v>50115</v>
      </c>
      <c r="P541" s="97">
        <v>50113</v>
      </c>
      <c r="Q541" s="97">
        <v>371</v>
      </c>
      <c r="R541" s="88">
        <v>7700</v>
      </c>
    </row>
    <row r="542" spans="1:18" s="97" customFormat="1" x14ac:dyDescent="0.15">
      <c r="A542" s="97" t="s">
        <v>1</v>
      </c>
      <c r="B542" s="96">
        <v>50621</v>
      </c>
      <c r="C542" s="97" t="s">
        <v>115</v>
      </c>
      <c r="D542" s="97">
        <v>3</v>
      </c>
      <c r="E542" s="97" t="s">
        <v>115</v>
      </c>
      <c r="F542" s="97" t="s">
        <v>115</v>
      </c>
      <c r="G542" s="97" t="s">
        <v>115</v>
      </c>
      <c r="H542" s="97" t="s">
        <v>7307</v>
      </c>
      <c r="I542" s="97" t="s">
        <v>115</v>
      </c>
      <c r="J542" s="97" t="s">
        <v>115</v>
      </c>
      <c r="K542" s="88">
        <v>15800</v>
      </c>
      <c r="L542" s="97">
        <v>50622</v>
      </c>
      <c r="N542" s="97" t="s">
        <v>115</v>
      </c>
      <c r="O542" s="97" t="s">
        <v>115</v>
      </c>
      <c r="P542" s="97">
        <v>50211</v>
      </c>
      <c r="Q542" s="97">
        <v>371</v>
      </c>
      <c r="R542" s="88">
        <v>6210</v>
      </c>
    </row>
    <row r="543" spans="1:18" s="97" customFormat="1" x14ac:dyDescent="0.15">
      <c r="A543" s="97" t="s">
        <v>1</v>
      </c>
      <c r="B543" s="96">
        <v>50622</v>
      </c>
      <c r="C543" s="97" t="s">
        <v>115</v>
      </c>
      <c r="D543" s="97" t="s">
        <v>115</v>
      </c>
      <c r="E543" s="97">
        <v>1</v>
      </c>
      <c r="F543" s="97">
        <v>5</v>
      </c>
      <c r="G543" s="97" t="s">
        <v>115</v>
      </c>
      <c r="H543" s="97" t="s">
        <v>7307</v>
      </c>
      <c r="I543" s="4" t="s">
        <v>4800</v>
      </c>
      <c r="J543" s="97" t="s">
        <v>115</v>
      </c>
      <c r="K543" s="88">
        <v>15800</v>
      </c>
      <c r="L543" s="97">
        <v>50623</v>
      </c>
      <c r="M543" s="97" t="s">
        <v>281</v>
      </c>
      <c r="N543" s="97" t="s">
        <v>115</v>
      </c>
      <c r="O543" s="97" t="s">
        <v>115</v>
      </c>
      <c r="P543" s="97">
        <v>50212</v>
      </c>
      <c r="Q543" s="97">
        <v>371</v>
      </c>
      <c r="R543" s="88">
        <v>7356</v>
      </c>
    </row>
    <row r="544" spans="1:18" s="97" customFormat="1" x14ac:dyDescent="0.15">
      <c r="A544" s="97" t="s">
        <v>1</v>
      </c>
      <c r="B544" s="96">
        <v>50623</v>
      </c>
      <c r="C544" s="97" t="s">
        <v>115</v>
      </c>
      <c r="D544" s="97" t="s">
        <v>115</v>
      </c>
      <c r="E544" s="97">
        <v>2</v>
      </c>
      <c r="F544" s="97">
        <v>5</v>
      </c>
      <c r="G544" s="97" t="s">
        <v>115</v>
      </c>
      <c r="H544" s="97" t="s">
        <v>7307</v>
      </c>
      <c r="I544" s="97" t="s">
        <v>115</v>
      </c>
      <c r="J544" s="97">
        <v>20</v>
      </c>
      <c r="K544" s="88">
        <v>15800</v>
      </c>
      <c r="L544" s="97">
        <v>0</v>
      </c>
      <c r="N544" s="96">
        <v>50214</v>
      </c>
      <c r="O544" s="96">
        <v>50215</v>
      </c>
      <c r="P544" s="97">
        <v>50213</v>
      </c>
      <c r="Q544" s="97">
        <v>371</v>
      </c>
      <c r="R544" s="88">
        <v>7700</v>
      </c>
    </row>
    <row r="545" spans="1:21" x14ac:dyDescent="0.15">
      <c r="B545" s="4"/>
    </row>
    <row r="546" spans="1:21" s="72" customFormat="1" x14ac:dyDescent="0.15">
      <c r="A546" s="87"/>
      <c r="B546" s="87" t="s">
        <v>2597</v>
      </c>
      <c r="C546" s="87"/>
      <c r="D546" s="87"/>
      <c r="E546" s="87"/>
      <c r="F546" s="87"/>
      <c r="G546" s="87"/>
      <c r="H546" s="87"/>
      <c r="I546" s="87"/>
      <c r="J546" s="87"/>
      <c r="K546" s="87"/>
      <c r="L546" s="87"/>
      <c r="M546" s="87"/>
      <c r="N546" s="87"/>
      <c r="O546" s="87"/>
      <c r="P546" s="87"/>
      <c r="Q546" s="87"/>
      <c r="R546" s="87"/>
      <c r="S546" s="86"/>
      <c r="T546" s="86"/>
      <c r="U546" s="86"/>
    </row>
    <row r="547" spans="1:21" x14ac:dyDescent="0.15">
      <c r="A547" s="83"/>
      <c r="B547" s="86"/>
      <c r="C547" s="83"/>
      <c r="D547" s="83"/>
      <c r="E547" s="83"/>
      <c r="F547" s="83"/>
      <c r="G547" s="83"/>
      <c r="H547" s="83"/>
      <c r="I547" s="83"/>
      <c r="J547" s="83"/>
      <c r="K547" s="83"/>
      <c r="L547" s="83"/>
      <c r="M547" s="83"/>
      <c r="N547" s="83"/>
      <c r="O547" s="83"/>
      <c r="P547" s="83"/>
      <c r="Q547" s="83"/>
      <c r="R547" s="83"/>
      <c r="S547" s="83"/>
      <c r="T547" s="83"/>
      <c r="U547" s="83"/>
    </row>
    <row r="548" spans="1:21" x14ac:dyDescent="0.15">
      <c r="A548" s="86" t="s">
        <v>1</v>
      </c>
      <c r="B548" s="85">
        <v>201011</v>
      </c>
      <c r="C548" s="83"/>
      <c r="D548" s="86">
        <v>3</v>
      </c>
      <c r="E548" s="86" t="s">
        <v>115</v>
      </c>
      <c r="F548" s="86" t="s">
        <v>115</v>
      </c>
      <c r="G548" s="86" t="s">
        <v>115</v>
      </c>
      <c r="H548" s="86" t="s">
        <v>7307</v>
      </c>
      <c r="I548" s="86" t="s">
        <v>115</v>
      </c>
      <c r="J548" s="86" t="s">
        <v>115</v>
      </c>
      <c r="K548" s="86">
        <v>9000</v>
      </c>
      <c r="L548" s="86">
        <v>201012</v>
      </c>
      <c r="M548" s="83"/>
      <c r="N548" s="86" t="s">
        <v>115</v>
      </c>
      <c r="O548" s="86" t="s">
        <v>115</v>
      </c>
      <c r="P548" s="86">
        <v>200111</v>
      </c>
      <c r="Q548" s="85">
        <v>371</v>
      </c>
      <c r="R548" s="86">
        <v>3210</v>
      </c>
      <c r="S548" s="83"/>
      <c r="T548" s="83"/>
      <c r="U548" s="83"/>
    </row>
    <row r="549" spans="1:21" x14ac:dyDescent="0.15">
      <c r="A549" s="86" t="s">
        <v>1</v>
      </c>
      <c r="B549" s="85">
        <v>201012</v>
      </c>
      <c r="C549" s="83"/>
      <c r="D549" s="86" t="s">
        <v>115</v>
      </c>
      <c r="E549" s="86">
        <v>1</v>
      </c>
      <c r="F549" s="86">
        <v>5</v>
      </c>
      <c r="G549" s="86" t="s">
        <v>115</v>
      </c>
      <c r="H549" s="86" t="s">
        <v>7307</v>
      </c>
      <c r="I549" s="4" t="s">
        <v>4800</v>
      </c>
      <c r="J549" s="83"/>
      <c r="K549" s="86">
        <v>9000</v>
      </c>
      <c r="L549" s="86">
        <v>201013</v>
      </c>
      <c r="M549" s="83"/>
      <c r="N549" s="86" t="s">
        <v>115</v>
      </c>
      <c r="O549" s="86" t="s">
        <v>115</v>
      </c>
      <c r="P549" s="86">
        <v>200112</v>
      </c>
      <c r="Q549" s="85">
        <v>371</v>
      </c>
      <c r="R549" s="86">
        <v>3270</v>
      </c>
      <c r="S549" s="83"/>
      <c r="T549" s="83"/>
      <c r="U549" s="83"/>
    </row>
    <row r="550" spans="1:21" x14ac:dyDescent="0.15">
      <c r="A550" s="86" t="s">
        <v>1</v>
      </c>
      <c r="B550" s="85">
        <v>201013</v>
      </c>
      <c r="C550" s="83"/>
      <c r="D550" s="86" t="s">
        <v>115</v>
      </c>
      <c r="E550" s="86">
        <v>2</v>
      </c>
      <c r="F550" s="86">
        <v>5</v>
      </c>
      <c r="G550" s="86" t="s">
        <v>115</v>
      </c>
      <c r="H550" s="86" t="s">
        <v>7307</v>
      </c>
      <c r="I550" s="86" t="s">
        <v>115</v>
      </c>
      <c r="J550" s="83"/>
      <c r="K550" s="86">
        <v>9000</v>
      </c>
      <c r="L550" s="86">
        <v>0</v>
      </c>
      <c r="M550" s="83"/>
      <c r="N550" s="86">
        <v>200115</v>
      </c>
      <c r="O550" s="86">
        <v>200116</v>
      </c>
      <c r="P550" s="86">
        <v>200113</v>
      </c>
      <c r="Q550" s="85">
        <v>371</v>
      </c>
      <c r="R550" s="86">
        <v>2805</v>
      </c>
      <c r="S550" s="83"/>
      <c r="T550" s="83"/>
      <c r="U550" s="83"/>
    </row>
    <row r="551" spans="1:21" x14ac:dyDescent="0.15">
      <c r="A551" s="86" t="s">
        <v>1</v>
      </c>
      <c r="B551" s="85">
        <v>201021</v>
      </c>
      <c r="C551" s="83"/>
      <c r="D551" s="86">
        <v>3</v>
      </c>
      <c r="E551" s="86" t="s">
        <v>115</v>
      </c>
      <c r="F551" s="86" t="s">
        <v>115</v>
      </c>
      <c r="G551" s="86" t="s">
        <v>115</v>
      </c>
      <c r="H551" s="86" t="s">
        <v>7307</v>
      </c>
      <c r="I551" s="86" t="s">
        <v>115</v>
      </c>
      <c r="J551" s="83"/>
      <c r="K551" s="86">
        <v>20000</v>
      </c>
      <c r="L551" s="86">
        <v>201022</v>
      </c>
      <c r="M551" s="83"/>
      <c r="N551" s="86" t="s">
        <v>115</v>
      </c>
      <c r="O551" s="86" t="s">
        <v>115</v>
      </c>
      <c r="P551" s="86">
        <v>200111</v>
      </c>
      <c r="Q551" s="85">
        <v>371</v>
      </c>
      <c r="R551" s="86">
        <v>3870</v>
      </c>
      <c r="S551" s="83"/>
      <c r="T551" s="83"/>
      <c r="U551" s="83"/>
    </row>
    <row r="552" spans="1:21" x14ac:dyDescent="0.15">
      <c r="A552" s="86" t="s">
        <v>1</v>
      </c>
      <c r="B552" s="86">
        <v>201022</v>
      </c>
      <c r="C552" s="83"/>
      <c r="D552" s="86" t="s">
        <v>115</v>
      </c>
      <c r="E552" s="86">
        <v>1</v>
      </c>
      <c r="F552" s="86">
        <v>5</v>
      </c>
      <c r="G552" s="86" t="s">
        <v>115</v>
      </c>
      <c r="H552" s="86" t="s">
        <v>7307</v>
      </c>
      <c r="I552" s="4" t="s">
        <v>4800</v>
      </c>
      <c r="J552" s="83"/>
      <c r="K552" s="86">
        <v>20000</v>
      </c>
      <c r="L552" s="86">
        <v>201023</v>
      </c>
      <c r="M552" s="83"/>
      <c r="N552" s="86" t="s">
        <v>115</v>
      </c>
      <c r="O552" s="86" t="s">
        <v>115</v>
      </c>
      <c r="P552" s="86">
        <v>200112</v>
      </c>
      <c r="Q552" s="85">
        <v>371</v>
      </c>
      <c r="R552" s="86">
        <v>12169</v>
      </c>
      <c r="S552" s="83"/>
      <c r="T552" s="83"/>
      <c r="U552" s="83"/>
    </row>
    <row r="553" spans="1:21" x14ac:dyDescent="0.15">
      <c r="A553" s="86" t="s">
        <v>1</v>
      </c>
      <c r="B553" s="86">
        <v>201023</v>
      </c>
      <c r="C553" s="83"/>
      <c r="D553" s="86" t="s">
        <v>115</v>
      </c>
      <c r="E553" s="86">
        <v>2</v>
      </c>
      <c r="F553" s="86">
        <v>5</v>
      </c>
      <c r="G553" s="86" t="s">
        <v>115</v>
      </c>
      <c r="H553" s="86" t="s">
        <v>7307</v>
      </c>
      <c r="I553" s="86" t="s">
        <v>115</v>
      </c>
      <c r="J553" s="83"/>
      <c r="K553" s="86">
        <v>20000</v>
      </c>
      <c r="L553" s="86">
        <v>0</v>
      </c>
      <c r="M553" s="83"/>
      <c r="N553" s="86">
        <v>200115</v>
      </c>
      <c r="O553" s="86">
        <v>200116</v>
      </c>
      <c r="P553" s="86">
        <v>200113</v>
      </c>
      <c r="Q553" s="85">
        <v>371</v>
      </c>
      <c r="R553" s="86">
        <v>11806</v>
      </c>
      <c r="S553" s="83"/>
      <c r="T553" s="83"/>
      <c r="U553" s="83"/>
    </row>
    <row r="554" spans="1:21" x14ac:dyDescent="0.15">
      <c r="A554" s="86" t="s">
        <v>1</v>
      </c>
      <c r="B554" s="85">
        <v>201031</v>
      </c>
      <c r="C554" s="83"/>
      <c r="D554" s="86">
        <v>3</v>
      </c>
      <c r="E554" s="86" t="s">
        <v>115</v>
      </c>
      <c r="F554" s="86" t="s">
        <v>115</v>
      </c>
      <c r="G554" s="86" t="s">
        <v>115</v>
      </c>
      <c r="H554" s="86" t="s">
        <v>7307</v>
      </c>
      <c r="I554" s="86" t="s">
        <v>115</v>
      </c>
      <c r="J554" s="83"/>
      <c r="K554" s="86">
        <v>30000</v>
      </c>
      <c r="L554" s="86">
        <v>201032</v>
      </c>
      <c r="M554" s="83"/>
      <c r="N554" s="86" t="s">
        <v>115</v>
      </c>
      <c r="O554" s="86" t="s">
        <v>115</v>
      </c>
      <c r="P554" s="86">
        <v>200111</v>
      </c>
      <c r="Q554" s="85">
        <v>371</v>
      </c>
      <c r="R554" s="86">
        <v>3870</v>
      </c>
      <c r="S554" s="83"/>
      <c r="T554" s="83"/>
      <c r="U554" s="83"/>
    </row>
    <row r="555" spans="1:21" x14ac:dyDescent="0.15">
      <c r="A555" s="86" t="s">
        <v>1</v>
      </c>
      <c r="B555" s="85">
        <v>201032</v>
      </c>
      <c r="C555" s="83"/>
      <c r="D555" s="86" t="s">
        <v>115</v>
      </c>
      <c r="E555" s="86">
        <v>1</v>
      </c>
      <c r="F555" s="86">
        <v>5</v>
      </c>
      <c r="G555" s="86" t="s">
        <v>115</v>
      </c>
      <c r="H555" s="86" t="s">
        <v>7307</v>
      </c>
      <c r="I555" s="4" t="s">
        <v>4800</v>
      </c>
      <c r="J555" s="83"/>
      <c r="K555" s="86">
        <v>30000</v>
      </c>
      <c r="L555" s="86">
        <v>201033</v>
      </c>
      <c r="M555" s="83"/>
      <c r="N555" s="86" t="s">
        <v>115</v>
      </c>
      <c r="O555" s="86" t="s">
        <v>115</v>
      </c>
      <c r="P555" s="86">
        <v>200112</v>
      </c>
      <c r="Q555" s="85">
        <v>371</v>
      </c>
      <c r="R555" s="86">
        <v>12169</v>
      </c>
      <c r="S555" s="83"/>
      <c r="T555" s="83"/>
      <c r="U555" s="83"/>
    </row>
    <row r="556" spans="1:21" x14ac:dyDescent="0.15">
      <c r="A556" s="86" t="s">
        <v>1</v>
      </c>
      <c r="B556" s="85">
        <v>201033</v>
      </c>
      <c r="C556" s="83"/>
      <c r="D556" s="86" t="s">
        <v>115</v>
      </c>
      <c r="E556" s="86">
        <v>2</v>
      </c>
      <c r="F556" s="86">
        <v>5</v>
      </c>
      <c r="G556" s="86" t="s">
        <v>115</v>
      </c>
      <c r="H556" s="86" t="s">
        <v>7307</v>
      </c>
      <c r="I556" s="86" t="s">
        <v>115</v>
      </c>
      <c r="J556" s="83"/>
      <c r="K556" s="86">
        <v>30000</v>
      </c>
      <c r="L556" s="86">
        <v>0</v>
      </c>
      <c r="M556" s="83"/>
      <c r="N556" s="86">
        <v>200115</v>
      </c>
      <c r="O556" s="86">
        <v>200116</v>
      </c>
      <c r="P556" s="86">
        <v>200113</v>
      </c>
      <c r="Q556" s="85">
        <v>371</v>
      </c>
      <c r="R556" s="86">
        <v>11806</v>
      </c>
      <c r="S556" s="83"/>
      <c r="T556" s="83"/>
      <c r="U556" s="83"/>
    </row>
    <row r="557" spans="1:21" x14ac:dyDescent="0.15">
      <c r="A557" s="86" t="s">
        <v>1</v>
      </c>
      <c r="B557" s="85">
        <v>201041</v>
      </c>
      <c r="C557" s="83"/>
      <c r="D557" s="86">
        <v>3</v>
      </c>
      <c r="E557" s="86" t="s">
        <v>115</v>
      </c>
      <c r="F557" s="86" t="s">
        <v>115</v>
      </c>
      <c r="G557" s="86" t="s">
        <v>115</v>
      </c>
      <c r="H557" s="86" t="s">
        <v>7307</v>
      </c>
      <c r="I557" s="86" t="s">
        <v>115</v>
      </c>
      <c r="J557" s="83"/>
      <c r="K557" s="86">
        <v>40000</v>
      </c>
      <c r="L557" s="86">
        <v>201042</v>
      </c>
      <c r="M557" s="83"/>
      <c r="N557" s="86" t="s">
        <v>115</v>
      </c>
      <c r="O557" s="86" t="s">
        <v>115</v>
      </c>
      <c r="P557" s="86">
        <v>200111</v>
      </c>
      <c r="Q557" s="85">
        <v>371</v>
      </c>
      <c r="R557" s="86">
        <v>3870</v>
      </c>
      <c r="S557" s="83"/>
      <c r="T557" s="83"/>
      <c r="U557" s="83"/>
    </row>
    <row r="558" spans="1:21" x14ac:dyDescent="0.15">
      <c r="A558" s="86" t="s">
        <v>1</v>
      </c>
      <c r="B558" s="86">
        <v>201042</v>
      </c>
      <c r="C558" s="83"/>
      <c r="D558" s="86" t="s">
        <v>115</v>
      </c>
      <c r="E558" s="86">
        <v>1</v>
      </c>
      <c r="F558" s="86">
        <v>5</v>
      </c>
      <c r="G558" s="86" t="s">
        <v>115</v>
      </c>
      <c r="H558" s="86" t="s">
        <v>7307</v>
      </c>
      <c r="I558" s="4" t="s">
        <v>4800</v>
      </c>
      <c r="J558" s="83"/>
      <c r="K558" s="86">
        <v>40000</v>
      </c>
      <c r="L558" s="86">
        <v>201043</v>
      </c>
      <c r="M558" s="83"/>
      <c r="N558" s="86" t="s">
        <v>115</v>
      </c>
      <c r="O558" s="86" t="s">
        <v>115</v>
      </c>
      <c r="P558" s="86">
        <v>200112</v>
      </c>
      <c r="Q558" s="85">
        <v>371</v>
      </c>
      <c r="R558" s="86">
        <v>12169</v>
      </c>
      <c r="S558" s="83"/>
      <c r="T558" s="83"/>
      <c r="U558" s="83"/>
    </row>
    <row r="559" spans="1:21" x14ac:dyDescent="0.15">
      <c r="A559" s="86" t="s">
        <v>1</v>
      </c>
      <c r="B559" s="86">
        <v>201043</v>
      </c>
      <c r="C559" s="83"/>
      <c r="D559" s="86" t="s">
        <v>115</v>
      </c>
      <c r="E559" s="86">
        <v>2</v>
      </c>
      <c r="F559" s="86">
        <v>5</v>
      </c>
      <c r="G559" s="86" t="s">
        <v>115</v>
      </c>
      <c r="H559" s="86" t="s">
        <v>7307</v>
      </c>
      <c r="I559" s="86" t="s">
        <v>115</v>
      </c>
      <c r="J559" s="83"/>
      <c r="K559" s="86">
        <v>40000</v>
      </c>
      <c r="L559" s="86">
        <v>0</v>
      </c>
      <c r="M559" s="83"/>
      <c r="N559" s="86">
        <v>200115</v>
      </c>
      <c r="O559" s="86">
        <v>200116</v>
      </c>
      <c r="P559" s="86">
        <v>200113</v>
      </c>
      <c r="Q559" s="85">
        <v>371</v>
      </c>
      <c r="R559" s="86">
        <v>11806</v>
      </c>
    </row>
    <row r="560" spans="1:21" x14ac:dyDescent="0.15">
      <c r="A560" s="86" t="s">
        <v>1</v>
      </c>
      <c r="B560" s="85">
        <v>201051</v>
      </c>
      <c r="C560" s="83"/>
      <c r="D560" s="86">
        <v>3</v>
      </c>
      <c r="E560" s="86" t="s">
        <v>115</v>
      </c>
      <c r="F560" s="86" t="s">
        <v>115</v>
      </c>
      <c r="G560" s="86" t="s">
        <v>115</v>
      </c>
      <c r="H560" s="86" t="s">
        <v>7307</v>
      </c>
      <c r="I560" s="86" t="s">
        <v>115</v>
      </c>
      <c r="J560" s="83"/>
      <c r="K560" s="86">
        <v>50000</v>
      </c>
      <c r="L560" s="86">
        <v>201052</v>
      </c>
      <c r="M560" s="83"/>
      <c r="N560" s="86" t="s">
        <v>115</v>
      </c>
      <c r="O560" s="86" t="s">
        <v>115</v>
      </c>
      <c r="P560" s="86">
        <v>200111</v>
      </c>
      <c r="Q560" s="85">
        <v>371</v>
      </c>
      <c r="R560" s="86">
        <v>3870</v>
      </c>
    </row>
    <row r="561" spans="1:21" x14ac:dyDescent="0.15">
      <c r="A561" s="86" t="s">
        <v>1</v>
      </c>
      <c r="B561" s="85">
        <v>201052</v>
      </c>
      <c r="C561" s="83"/>
      <c r="D561" s="86" t="s">
        <v>115</v>
      </c>
      <c r="E561" s="86">
        <v>1</v>
      </c>
      <c r="F561" s="86">
        <v>5</v>
      </c>
      <c r="G561" s="86" t="s">
        <v>115</v>
      </c>
      <c r="H561" s="86" t="s">
        <v>7307</v>
      </c>
      <c r="I561" s="4" t="s">
        <v>4800</v>
      </c>
      <c r="J561" s="83"/>
      <c r="K561" s="86">
        <v>50000</v>
      </c>
      <c r="L561" s="86">
        <v>201053</v>
      </c>
      <c r="M561" s="83"/>
      <c r="N561" s="86" t="s">
        <v>115</v>
      </c>
      <c r="O561" s="86" t="s">
        <v>115</v>
      </c>
      <c r="P561" s="86">
        <v>200112</v>
      </c>
      <c r="Q561" s="85">
        <v>371</v>
      </c>
      <c r="R561" s="86">
        <v>12169</v>
      </c>
    </row>
    <row r="562" spans="1:21" x14ac:dyDescent="0.15">
      <c r="A562" s="86" t="s">
        <v>1</v>
      </c>
      <c r="B562" s="85">
        <v>201053</v>
      </c>
      <c r="C562" s="83"/>
      <c r="D562" s="86" t="s">
        <v>115</v>
      </c>
      <c r="E562" s="86">
        <v>2</v>
      </c>
      <c r="F562" s="86">
        <v>5</v>
      </c>
      <c r="G562" s="86" t="s">
        <v>115</v>
      </c>
      <c r="H562" s="86" t="s">
        <v>7307</v>
      </c>
      <c r="I562" s="86" t="s">
        <v>115</v>
      </c>
      <c r="J562" s="83"/>
      <c r="K562" s="86">
        <v>50000</v>
      </c>
      <c r="L562" s="86">
        <v>0</v>
      </c>
      <c r="M562" s="83"/>
      <c r="N562" s="86">
        <v>200115</v>
      </c>
      <c r="O562" s="86">
        <v>200116</v>
      </c>
      <c r="P562" s="86">
        <v>200113</v>
      </c>
      <c r="Q562" s="85">
        <v>371</v>
      </c>
      <c r="R562" s="86">
        <v>11806</v>
      </c>
    </row>
    <row r="563" spans="1:21" x14ac:dyDescent="0.15">
      <c r="A563" s="86" t="s">
        <v>1</v>
      </c>
      <c r="B563" s="85">
        <v>201061</v>
      </c>
      <c r="C563" s="83"/>
      <c r="D563" s="86">
        <v>3</v>
      </c>
      <c r="E563" s="86" t="s">
        <v>115</v>
      </c>
      <c r="F563" s="86" t="s">
        <v>115</v>
      </c>
      <c r="G563" s="86" t="s">
        <v>115</v>
      </c>
      <c r="H563" s="86" t="s">
        <v>7307</v>
      </c>
      <c r="I563" s="86" t="s">
        <v>115</v>
      </c>
      <c r="J563" s="83"/>
      <c r="K563" s="86">
        <v>60000</v>
      </c>
      <c r="L563" s="86">
        <v>201062</v>
      </c>
      <c r="M563" s="83"/>
      <c r="N563" s="86" t="s">
        <v>115</v>
      </c>
      <c r="O563" s="86" t="s">
        <v>115</v>
      </c>
      <c r="P563" s="86">
        <v>200111</v>
      </c>
      <c r="Q563" s="85">
        <v>371</v>
      </c>
      <c r="R563" s="86">
        <v>3870</v>
      </c>
    </row>
    <row r="564" spans="1:21" x14ac:dyDescent="0.15">
      <c r="A564" s="86" t="s">
        <v>1</v>
      </c>
      <c r="B564" s="86">
        <v>201062</v>
      </c>
      <c r="C564" s="83"/>
      <c r="D564" s="86" t="s">
        <v>115</v>
      </c>
      <c r="E564" s="86">
        <v>1</v>
      </c>
      <c r="F564" s="86">
        <v>5</v>
      </c>
      <c r="G564" s="86" t="s">
        <v>115</v>
      </c>
      <c r="H564" s="86" t="s">
        <v>7307</v>
      </c>
      <c r="I564" s="4" t="s">
        <v>4800</v>
      </c>
      <c r="J564" s="83"/>
      <c r="K564" s="86">
        <v>60000</v>
      </c>
      <c r="L564" s="86">
        <v>201063</v>
      </c>
      <c r="M564" s="83"/>
      <c r="N564" s="86" t="s">
        <v>115</v>
      </c>
      <c r="O564" s="86" t="s">
        <v>115</v>
      </c>
      <c r="P564" s="86">
        <v>200112</v>
      </c>
      <c r="Q564" s="85">
        <v>371</v>
      </c>
      <c r="R564" s="86">
        <v>12169</v>
      </c>
    </row>
    <row r="565" spans="1:21" x14ac:dyDescent="0.15">
      <c r="A565" s="86" t="s">
        <v>1</v>
      </c>
      <c r="B565" s="86">
        <v>201063</v>
      </c>
      <c r="C565" s="83"/>
      <c r="D565" s="86" t="s">
        <v>115</v>
      </c>
      <c r="E565" s="86">
        <v>2</v>
      </c>
      <c r="F565" s="86">
        <v>5</v>
      </c>
      <c r="G565" s="86" t="s">
        <v>115</v>
      </c>
      <c r="H565" s="86" t="s">
        <v>7307</v>
      </c>
      <c r="I565" s="86" t="s">
        <v>115</v>
      </c>
      <c r="J565" s="83"/>
      <c r="K565" s="86">
        <v>60000</v>
      </c>
      <c r="L565" s="86">
        <v>0</v>
      </c>
      <c r="M565" s="83"/>
      <c r="N565" s="86">
        <v>200115</v>
      </c>
      <c r="O565" s="86">
        <v>200116</v>
      </c>
      <c r="P565" s="86">
        <v>200113</v>
      </c>
      <c r="Q565" s="85">
        <v>371</v>
      </c>
      <c r="R565" s="86">
        <v>11806</v>
      </c>
    </row>
    <row r="566" spans="1:21" x14ac:dyDescent="0.15">
      <c r="A566" s="86" t="s">
        <v>1</v>
      </c>
      <c r="B566" s="85">
        <v>201071</v>
      </c>
      <c r="C566" s="83"/>
      <c r="D566" s="86">
        <v>3</v>
      </c>
      <c r="E566" s="86" t="s">
        <v>115</v>
      </c>
      <c r="F566" s="86" t="s">
        <v>115</v>
      </c>
      <c r="G566" s="86" t="s">
        <v>115</v>
      </c>
      <c r="H566" s="86" t="s">
        <v>7307</v>
      </c>
      <c r="I566" s="86" t="s">
        <v>115</v>
      </c>
      <c r="J566" s="83"/>
      <c r="K566" s="86">
        <v>70000</v>
      </c>
      <c r="L566" s="86">
        <v>201072</v>
      </c>
      <c r="M566" s="83"/>
      <c r="N566" s="86" t="s">
        <v>115</v>
      </c>
      <c r="O566" s="86" t="s">
        <v>115</v>
      </c>
      <c r="P566" s="86">
        <v>200111</v>
      </c>
      <c r="Q566" s="85">
        <v>371</v>
      </c>
      <c r="R566" s="86">
        <v>3870</v>
      </c>
    </row>
    <row r="567" spans="1:21" x14ac:dyDescent="0.15">
      <c r="A567" s="86" t="s">
        <v>1</v>
      </c>
      <c r="B567" s="85">
        <v>201072</v>
      </c>
      <c r="C567" s="83"/>
      <c r="D567" s="86" t="s">
        <v>115</v>
      </c>
      <c r="E567" s="86">
        <v>1</v>
      </c>
      <c r="F567" s="86">
        <v>5</v>
      </c>
      <c r="G567" s="86" t="s">
        <v>115</v>
      </c>
      <c r="H567" s="86" t="s">
        <v>7307</v>
      </c>
      <c r="I567" s="4" t="s">
        <v>4800</v>
      </c>
      <c r="J567" s="83"/>
      <c r="K567" s="86">
        <v>70000</v>
      </c>
      <c r="L567" s="86">
        <v>201073</v>
      </c>
      <c r="M567" s="83"/>
      <c r="N567" s="86" t="s">
        <v>115</v>
      </c>
      <c r="O567" s="86" t="s">
        <v>115</v>
      </c>
      <c r="P567" s="86">
        <v>200112</v>
      </c>
      <c r="Q567" s="85">
        <v>371</v>
      </c>
      <c r="R567" s="86">
        <v>12169</v>
      </c>
    </row>
    <row r="568" spans="1:21" x14ac:dyDescent="0.15">
      <c r="A568" s="86" t="s">
        <v>1</v>
      </c>
      <c r="B568" s="85">
        <v>201073</v>
      </c>
      <c r="C568" s="83"/>
      <c r="D568" s="86" t="s">
        <v>115</v>
      </c>
      <c r="E568" s="86">
        <v>2</v>
      </c>
      <c r="F568" s="86">
        <v>5</v>
      </c>
      <c r="G568" s="86" t="s">
        <v>115</v>
      </c>
      <c r="H568" s="86" t="s">
        <v>7307</v>
      </c>
      <c r="I568" s="86" t="s">
        <v>115</v>
      </c>
      <c r="J568" s="83"/>
      <c r="K568" s="86">
        <v>70000</v>
      </c>
      <c r="L568" s="86">
        <v>0</v>
      </c>
      <c r="M568" s="83"/>
      <c r="N568" s="86">
        <v>200115</v>
      </c>
      <c r="O568" s="86">
        <v>200116</v>
      </c>
      <c r="P568" s="86">
        <v>200113</v>
      </c>
      <c r="Q568" s="85">
        <v>371</v>
      </c>
      <c r="R568" s="86">
        <v>11806</v>
      </c>
    </row>
    <row r="569" spans="1:21" x14ac:dyDescent="0.15">
      <c r="A569" s="86" t="s">
        <v>1</v>
      </c>
      <c r="B569" s="85">
        <v>201081</v>
      </c>
      <c r="C569" s="83"/>
      <c r="D569" s="86">
        <v>3</v>
      </c>
      <c r="E569" s="86" t="s">
        <v>115</v>
      </c>
      <c r="F569" s="86" t="s">
        <v>115</v>
      </c>
      <c r="G569" s="86" t="s">
        <v>115</v>
      </c>
      <c r="H569" s="86" t="s">
        <v>7307</v>
      </c>
      <c r="I569" s="86" t="s">
        <v>115</v>
      </c>
      <c r="J569" s="83"/>
      <c r="K569" s="86">
        <v>80000</v>
      </c>
      <c r="L569" s="86">
        <v>201082</v>
      </c>
      <c r="M569" s="83"/>
      <c r="N569" s="86" t="s">
        <v>115</v>
      </c>
      <c r="O569" s="86" t="s">
        <v>115</v>
      </c>
      <c r="P569" s="86">
        <v>200111</v>
      </c>
      <c r="Q569" s="85">
        <v>371</v>
      </c>
      <c r="R569" s="86">
        <v>3870</v>
      </c>
    </row>
    <row r="570" spans="1:21" x14ac:dyDescent="0.15">
      <c r="A570" s="86" t="s">
        <v>1</v>
      </c>
      <c r="B570" s="86">
        <v>201082</v>
      </c>
      <c r="C570" s="83"/>
      <c r="D570" s="86" t="s">
        <v>115</v>
      </c>
      <c r="E570" s="86">
        <v>1</v>
      </c>
      <c r="F570" s="86">
        <v>5</v>
      </c>
      <c r="G570" s="86" t="s">
        <v>115</v>
      </c>
      <c r="H570" s="86" t="s">
        <v>7307</v>
      </c>
      <c r="I570" s="4" t="s">
        <v>4800</v>
      </c>
      <c r="J570" s="83"/>
      <c r="K570" s="86">
        <v>80000</v>
      </c>
      <c r="L570" s="86">
        <v>201083</v>
      </c>
      <c r="M570" s="83"/>
      <c r="N570" s="86" t="s">
        <v>115</v>
      </c>
      <c r="O570" s="86" t="s">
        <v>115</v>
      </c>
      <c r="P570" s="86">
        <v>200112</v>
      </c>
      <c r="Q570" s="85">
        <v>371</v>
      </c>
      <c r="R570" s="86">
        <v>12169</v>
      </c>
    </row>
    <row r="571" spans="1:21" x14ac:dyDescent="0.15">
      <c r="A571" s="86" t="s">
        <v>1</v>
      </c>
      <c r="B571" s="86">
        <v>201083</v>
      </c>
      <c r="C571" s="83"/>
      <c r="D571" s="86" t="s">
        <v>115</v>
      </c>
      <c r="E571" s="86">
        <v>2</v>
      </c>
      <c r="F571" s="86">
        <v>5</v>
      </c>
      <c r="G571" s="86" t="s">
        <v>115</v>
      </c>
      <c r="H571" s="86" t="s">
        <v>7307</v>
      </c>
      <c r="I571" s="86" t="s">
        <v>115</v>
      </c>
      <c r="J571" s="83"/>
      <c r="K571" s="86">
        <v>80000</v>
      </c>
      <c r="L571" s="86">
        <v>0</v>
      </c>
      <c r="M571" s="83"/>
      <c r="N571" s="86">
        <v>200115</v>
      </c>
      <c r="O571" s="86">
        <v>200116</v>
      </c>
      <c r="P571" s="86">
        <v>200113</v>
      </c>
      <c r="Q571" s="85">
        <v>371</v>
      </c>
      <c r="R571" s="86">
        <v>11806</v>
      </c>
    </row>
    <row r="572" spans="1:21" x14ac:dyDescent="0.15">
      <c r="A572" s="86" t="s">
        <v>1</v>
      </c>
      <c r="B572" s="85">
        <v>201091</v>
      </c>
      <c r="C572" s="83"/>
      <c r="D572" s="86">
        <v>3</v>
      </c>
      <c r="E572" s="86" t="s">
        <v>115</v>
      </c>
      <c r="F572" s="86" t="s">
        <v>115</v>
      </c>
      <c r="G572" s="86" t="s">
        <v>115</v>
      </c>
      <c r="H572" s="86" t="s">
        <v>7307</v>
      </c>
      <c r="I572" s="86" t="s">
        <v>115</v>
      </c>
      <c r="J572" s="83"/>
      <c r="K572" s="86">
        <v>90000</v>
      </c>
      <c r="L572" s="86">
        <v>201092</v>
      </c>
      <c r="M572" s="83"/>
      <c r="N572" s="86" t="s">
        <v>115</v>
      </c>
      <c r="O572" s="86" t="s">
        <v>115</v>
      </c>
      <c r="P572" s="86">
        <v>200111</v>
      </c>
      <c r="Q572" s="85">
        <v>371</v>
      </c>
      <c r="R572" s="86">
        <v>3870</v>
      </c>
    </row>
    <row r="573" spans="1:21" x14ac:dyDescent="0.15">
      <c r="A573" s="86" t="s">
        <v>1</v>
      </c>
      <c r="B573" s="85">
        <v>201092</v>
      </c>
      <c r="C573" s="83"/>
      <c r="D573" s="86" t="s">
        <v>115</v>
      </c>
      <c r="E573" s="86">
        <v>1</v>
      </c>
      <c r="F573" s="86">
        <v>5</v>
      </c>
      <c r="G573" s="86" t="s">
        <v>115</v>
      </c>
      <c r="H573" s="86" t="s">
        <v>7307</v>
      </c>
      <c r="I573" s="4" t="s">
        <v>4800</v>
      </c>
      <c r="J573" s="83"/>
      <c r="K573" s="86">
        <v>90000</v>
      </c>
      <c r="L573" s="86">
        <v>201093</v>
      </c>
      <c r="M573" s="83"/>
      <c r="N573" s="86" t="s">
        <v>115</v>
      </c>
      <c r="O573" s="86" t="s">
        <v>115</v>
      </c>
      <c r="P573" s="86">
        <v>200112</v>
      </c>
      <c r="Q573" s="85">
        <v>371</v>
      </c>
      <c r="R573" s="86">
        <v>12169</v>
      </c>
    </row>
    <row r="574" spans="1:21" x14ac:dyDescent="0.15">
      <c r="A574" s="86" t="s">
        <v>1</v>
      </c>
      <c r="B574" s="85">
        <v>201093</v>
      </c>
      <c r="C574" s="83"/>
      <c r="D574" s="86" t="s">
        <v>115</v>
      </c>
      <c r="E574" s="86">
        <v>2</v>
      </c>
      <c r="F574" s="86">
        <v>5</v>
      </c>
      <c r="G574" s="86" t="s">
        <v>115</v>
      </c>
      <c r="H574" s="86" t="s">
        <v>7307</v>
      </c>
      <c r="I574" s="86" t="s">
        <v>115</v>
      </c>
      <c r="J574" s="83"/>
      <c r="K574" s="86">
        <v>90000</v>
      </c>
      <c r="L574" s="86">
        <v>0</v>
      </c>
      <c r="M574" s="83"/>
      <c r="N574" s="86">
        <v>200115</v>
      </c>
      <c r="O574" s="86">
        <v>200116</v>
      </c>
      <c r="P574" s="86">
        <v>200113</v>
      </c>
      <c r="Q574" s="85">
        <v>371</v>
      </c>
      <c r="R574" s="86">
        <v>11806</v>
      </c>
    </row>
    <row r="575" spans="1:21" x14ac:dyDescent="0.15">
      <c r="A575" s="86" t="s">
        <v>1</v>
      </c>
      <c r="B575" s="85">
        <v>201101</v>
      </c>
      <c r="C575" s="83"/>
      <c r="D575" s="86">
        <v>3</v>
      </c>
      <c r="E575" s="86" t="s">
        <v>115</v>
      </c>
      <c r="F575" s="86" t="s">
        <v>115</v>
      </c>
      <c r="G575" s="86" t="s">
        <v>115</v>
      </c>
      <c r="H575" s="86" t="s">
        <v>7307</v>
      </c>
      <c r="I575" s="86" t="s">
        <v>115</v>
      </c>
      <c r="J575" s="83"/>
      <c r="K575" s="86">
        <v>100000</v>
      </c>
      <c r="L575" s="86">
        <v>201102</v>
      </c>
      <c r="M575" s="83"/>
      <c r="N575" s="86" t="s">
        <v>115</v>
      </c>
      <c r="O575" s="86" t="s">
        <v>115</v>
      </c>
      <c r="P575" s="86">
        <v>200111</v>
      </c>
      <c r="Q575" s="85">
        <v>371</v>
      </c>
      <c r="R575" s="86">
        <v>3870</v>
      </c>
      <c r="S575" s="83"/>
      <c r="T575" s="83"/>
      <c r="U575" s="83"/>
    </row>
    <row r="576" spans="1:21" x14ac:dyDescent="0.15">
      <c r="A576" s="86" t="s">
        <v>1</v>
      </c>
      <c r="B576" s="86">
        <v>201102</v>
      </c>
      <c r="C576" s="83"/>
      <c r="D576" s="86" t="s">
        <v>115</v>
      </c>
      <c r="E576" s="86">
        <v>1</v>
      </c>
      <c r="F576" s="86">
        <v>5</v>
      </c>
      <c r="G576" s="86" t="s">
        <v>115</v>
      </c>
      <c r="H576" s="86" t="s">
        <v>7307</v>
      </c>
      <c r="I576" s="4" t="s">
        <v>4800</v>
      </c>
      <c r="J576" s="83"/>
      <c r="K576" s="86">
        <v>100000</v>
      </c>
      <c r="L576" s="86">
        <v>201103</v>
      </c>
      <c r="M576" s="83"/>
      <c r="N576" s="86" t="s">
        <v>115</v>
      </c>
      <c r="O576" s="86" t="s">
        <v>115</v>
      </c>
      <c r="P576" s="86">
        <v>200112</v>
      </c>
      <c r="Q576" s="85">
        <v>371</v>
      </c>
      <c r="R576" s="86">
        <v>12169</v>
      </c>
      <c r="S576" s="83"/>
      <c r="T576" s="83"/>
      <c r="U576" s="83"/>
    </row>
    <row r="577" spans="1:21" x14ac:dyDescent="0.15">
      <c r="A577" s="86" t="s">
        <v>1</v>
      </c>
      <c r="B577" s="86">
        <v>201103</v>
      </c>
      <c r="C577" s="83"/>
      <c r="D577" s="86" t="s">
        <v>115</v>
      </c>
      <c r="E577" s="86">
        <v>2</v>
      </c>
      <c r="F577" s="86">
        <v>5</v>
      </c>
      <c r="G577" s="86" t="s">
        <v>115</v>
      </c>
      <c r="H577" s="86" t="s">
        <v>7307</v>
      </c>
      <c r="I577" s="86" t="s">
        <v>115</v>
      </c>
      <c r="J577" s="83"/>
      <c r="K577" s="86">
        <v>100000</v>
      </c>
      <c r="L577" s="86">
        <v>0</v>
      </c>
      <c r="M577" s="83"/>
      <c r="N577" s="86">
        <v>200115</v>
      </c>
      <c r="O577" s="86">
        <v>200116</v>
      </c>
      <c r="P577" s="86">
        <v>200113</v>
      </c>
      <c r="Q577" s="85">
        <v>371</v>
      </c>
      <c r="R577" s="86">
        <v>11806</v>
      </c>
      <c r="S577" s="83"/>
      <c r="T577" s="83"/>
      <c r="U577" s="83"/>
    </row>
    <row r="578" spans="1:21" x14ac:dyDescent="0.15">
      <c r="A578" s="86" t="s">
        <v>1</v>
      </c>
      <c r="B578" s="85">
        <v>201111</v>
      </c>
      <c r="C578" s="83"/>
      <c r="D578" s="86">
        <v>3</v>
      </c>
      <c r="E578" s="86" t="s">
        <v>115</v>
      </c>
      <c r="F578" s="86" t="s">
        <v>115</v>
      </c>
      <c r="G578" s="86" t="s">
        <v>115</v>
      </c>
      <c r="H578" s="86" t="s">
        <v>7307</v>
      </c>
      <c r="I578" s="86" t="s">
        <v>115</v>
      </c>
      <c r="J578" s="83"/>
      <c r="K578" s="86">
        <v>110000</v>
      </c>
      <c r="L578" s="86">
        <v>201112</v>
      </c>
      <c r="M578" s="83"/>
      <c r="N578" s="86" t="s">
        <v>115</v>
      </c>
      <c r="O578" s="86" t="s">
        <v>115</v>
      </c>
      <c r="P578" s="86">
        <v>200111</v>
      </c>
      <c r="Q578" s="85">
        <v>371</v>
      </c>
      <c r="R578" s="86">
        <v>3870</v>
      </c>
      <c r="S578" s="83"/>
      <c r="T578" s="83"/>
      <c r="U578" s="83"/>
    </row>
    <row r="579" spans="1:21" x14ac:dyDescent="0.15">
      <c r="A579" s="86" t="s">
        <v>1</v>
      </c>
      <c r="B579" s="85">
        <v>201112</v>
      </c>
      <c r="C579" s="83"/>
      <c r="D579" s="86" t="s">
        <v>115</v>
      </c>
      <c r="E579" s="86">
        <v>1</v>
      </c>
      <c r="F579" s="86">
        <v>5</v>
      </c>
      <c r="G579" s="86" t="s">
        <v>115</v>
      </c>
      <c r="H579" s="86" t="s">
        <v>7307</v>
      </c>
      <c r="I579" s="4" t="s">
        <v>4800</v>
      </c>
      <c r="J579" s="83"/>
      <c r="K579" s="86">
        <v>110000</v>
      </c>
      <c r="L579" s="86">
        <v>201113</v>
      </c>
      <c r="M579" s="83"/>
      <c r="N579" s="86" t="s">
        <v>115</v>
      </c>
      <c r="O579" s="86" t="s">
        <v>115</v>
      </c>
      <c r="P579" s="86">
        <v>200112</v>
      </c>
      <c r="Q579" s="85">
        <v>371</v>
      </c>
      <c r="R579" s="86">
        <v>12169</v>
      </c>
      <c r="S579" s="83"/>
      <c r="T579" s="83"/>
      <c r="U579" s="83"/>
    </row>
    <row r="580" spans="1:21" x14ac:dyDescent="0.15">
      <c r="A580" s="86" t="s">
        <v>1</v>
      </c>
      <c r="B580" s="85">
        <v>201113</v>
      </c>
      <c r="C580" s="83"/>
      <c r="D580" s="86" t="s">
        <v>115</v>
      </c>
      <c r="E580" s="86">
        <v>2</v>
      </c>
      <c r="F580" s="86">
        <v>5</v>
      </c>
      <c r="G580" s="86" t="s">
        <v>115</v>
      </c>
      <c r="H580" s="86" t="s">
        <v>7307</v>
      </c>
      <c r="I580" s="86" t="s">
        <v>115</v>
      </c>
      <c r="J580" s="83"/>
      <c r="K580" s="86">
        <v>110000</v>
      </c>
      <c r="L580" s="86">
        <v>0</v>
      </c>
      <c r="M580" s="83"/>
      <c r="N580" s="86">
        <v>200115</v>
      </c>
      <c r="O580" s="86">
        <v>200116</v>
      </c>
      <c r="P580" s="86">
        <v>200113</v>
      </c>
      <c r="Q580" s="85">
        <v>371</v>
      </c>
      <c r="R580" s="86">
        <v>11806</v>
      </c>
      <c r="S580" s="83"/>
      <c r="T580" s="83"/>
      <c r="U580" s="83"/>
    </row>
    <row r="581" spans="1:21" x14ac:dyDescent="0.15">
      <c r="A581" s="86" t="s">
        <v>1</v>
      </c>
      <c r="B581" s="85">
        <v>201121</v>
      </c>
      <c r="C581" s="83"/>
      <c r="D581" s="86">
        <v>3</v>
      </c>
      <c r="E581" s="86" t="s">
        <v>115</v>
      </c>
      <c r="F581" s="86" t="s">
        <v>115</v>
      </c>
      <c r="G581" s="86" t="s">
        <v>115</v>
      </c>
      <c r="H581" s="86" t="s">
        <v>7307</v>
      </c>
      <c r="I581" s="86" t="s">
        <v>115</v>
      </c>
      <c r="J581" s="83"/>
      <c r="K581" s="86">
        <v>120000</v>
      </c>
      <c r="L581" s="86">
        <v>201122</v>
      </c>
      <c r="M581" s="83"/>
      <c r="N581" s="86" t="s">
        <v>115</v>
      </c>
      <c r="O581" s="86" t="s">
        <v>115</v>
      </c>
      <c r="P581" s="86">
        <v>200111</v>
      </c>
      <c r="Q581" s="85">
        <v>371</v>
      </c>
      <c r="R581" s="86">
        <v>3870</v>
      </c>
      <c r="S581" s="83"/>
      <c r="T581" s="83"/>
      <c r="U581" s="83"/>
    </row>
    <row r="582" spans="1:21" x14ac:dyDescent="0.15">
      <c r="A582" s="86" t="s">
        <v>1</v>
      </c>
      <c r="B582" s="86">
        <v>201122</v>
      </c>
      <c r="C582" s="83"/>
      <c r="D582" s="86" t="s">
        <v>115</v>
      </c>
      <c r="E582" s="86">
        <v>1</v>
      </c>
      <c r="F582" s="86">
        <v>5</v>
      </c>
      <c r="G582" s="86" t="s">
        <v>115</v>
      </c>
      <c r="H582" s="86" t="s">
        <v>7307</v>
      </c>
      <c r="I582" s="4" t="s">
        <v>4800</v>
      </c>
      <c r="J582" s="83"/>
      <c r="K582" s="86">
        <v>120000</v>
      </c>
      <c r="L582" s="86">
        <v>201123</v>
      </c>
      <c r="M582" s="83"/>
      <c r="N582" s="86" t="s">
        <v>115</v>
      </c>
      <c r="O582" s="86" t="s">
        <v>115</v>
      </c>
      <c r="P582" s="86">
        <v>200112</v>
      </c>
      <c r="Q582" s="85">
        <v>371</v>
      </c>
      <c r="R582" s="86">
        <v>12169</v>
      </c>
      <c r="S582" s="87"/>
      <c r="T582" s="87"/>
      <c r="U582" s="87"/>
    </row>
    <row r="583" spans="1:21" x14ac:dyDescent="0.15">
      <c r="A583" s="86" t="s">
        <v>1</v>
      </c>
      <c r="B583" s="86">
        <v>201123</v>
      </c>
      <c r="C583" s="83"/>
      <c r="D583" s="86" t="s">
        <v>115</v>
      </c>
      <c r="E583" s="86">
        <v>2</v>
      </c>
      <c r="F583" s="86">
        <v>5</v>
      </c>
      <c r="G583" s="86" t="s">
        <v>115</v>
      </c>
      <c r="H583" s="86" t="s">
        <v>7307</v>
      </c>
      <c r="I583" s="86" t="s">
        <v>115</v>
      </c>
      <c r="J583" s="83"/>
      <c r="K583" s="86">
        <v>120000</v>
      </c>
      <c r="L583" s="86">
        <v>0</v>
      </c>
      <c r="M583" s="83"/>
      <c r="N583" s="86">
        <v>200115</v>
      </c>
      <c r="O583" s="86">
        <v>200116</v>
      </c>
      <c r="P583" s="86">
        <v>200113</v>
      </c>
      <c r="Q583" s="85">
        <v>371</v>
      </c>
      <c r="R583" s="86">
        <v>11806</v>
      </c>
      <c r="S583" s="83"/>
      <c r="T583" s="83"/>
      <c r="U583" s="83"/>
    </row>
    <row r="584" spans="1:21" x14ac:dyDescent="0.15">
      <c r="A584" s="86" t="s">
        <v>1</v>
      </c>
      <c r="B584" s="85">
        <v>202011</v>
      </c>
      <c r="C584" s="83"/>
      <c r="D584" s="86">
        <v>3</v>
      </c>
      <c r="E584" s="86" t="s">
        <v>115</v>
      </c>
      <c r="F584" s="86" t="s">
        <v>115</v>
      </c>
      <c r="G584" s="86" t="s">
        <v>115</v>
      </c>
      <c r="H584" s="86" t="s">
        <v>7307</v>
      </c>
      <c r="I584" s="86" t="s">
        <v>115</v>
      </c>
      <c r="J584" s="83"/>
      <c r="K584" s="86">
        <v>9000</v>
      </c>
      <c r="L584" s="86">
        <v>202012</v>
      </c>
      <c r="M584" s="83"/>
      <c r="N584" s="86" t="s">
        <v>115</v>
      </c>
      <c r="O584" s="86" t="s">
        <v>115</v>
      </c>
      <c r="P584" s="86">
        <v>200111</v>
      </c>
      <c r="Q584" s="85">
        <v>371</v>
      </c>
      <c r="R584" s="86">
        <v>3210</v>
      </c>
    </row>
    <row r="585" spans="1:21" x14ac:dyDescent="0.15">
      <c r="A585" s="86" t="s">
        <v>1</v>
      </c>
      <c r="B585" s="86">
        <v>202012</v>
      </c>
      <c r="C585" s="83"/>
      <c r="D585" s="86" t="s">
        <v>115</v>
      </c>
      <c r="E585" s="86">
        <v>1</v>
      </c>
      <c r="F585" s="86">
        <v>5</v>
      </c>
      <c r="G585" s="86" t="s">
        <v>115</v>
      </c>
      <c r="H585" s="86" t="s">
        <v>7307</v>
      </c>
      <c r="I585" s="4" t="s">
        <v>4800</v>
      </c>
      <c r="J585" s="83"/>
      <c r="K585" s="86">
        <v>9000</v>
      </c>
      <c r="L585" s="86">
        <v>202013</v>
      </c>
      <c r="M585" s="83"/>
      <c r="N585" s="86" t="s">
        <v>115</v>
      </c>
      <c r="O585" s="86" t="s">
        <v>115</v>
      </c>
      <c r="P585" s="86">
        <v>200112</v>
      </c>
      <c r="Q585" s="85">
        <v>371</v>
      </c>
      <c r="R585" s="86">
        <v>3270</v>
      </c>
    </row>
    <row r="586" spans="1:21" x14ac:dyDescent="0.15">
      <c r="A586" s="86" t="s">
        <v>1</v>
      </c>
      <c r="B586" s="86">
        <v>202013</v>
      </c>
      <c r="C586" s="83"/>
      <c r="D586" s="86" t="s">
        <v>115</v>
      </c>
      <c r="E586" s="86">
        <v>2</v>
      </c>
      <c r="F586" s="86">
        <v>5</v>
      </c>
      <c r="G586" s="86" t="s">
        <v>115</v>
      </c>
      <c r="H586" s="86" t="s">
        <v>7307</v>
      </c>
      <c r="I586" s="86" t="s">
        <v>115</v>
      </c>
      <c r="J586" s="83"/>
      <c r="K586" s="86">
        <v>9000</v>
      </c>
      <c r="L586" s="86">
        <v>0</v>
      </c>
      <c r="M586" s="83"/>
      <c r="N586" s="86">
        <v>200115</v>
      </c>
      <c r="O586" s="86">
        <v>200116</v>
      </c>
      <c r="P586" s="86">
        <v>200113</v>
      </c>
      <c r="Q586" s="85">
        <v>371</v>
      </c>
      <c r="R586" s="86">
        <v>2805</v>
      </c>
    </row>
    <row r="587" spans="1:21" x14ac:dyDescent="0.15">
      <c r="A587" s="86" t="s">
        <v>1</v>
      </c>
      <c r="B587" s="85">
        <v>202021</v>
      </c>
      <c r="C587" s="83"/>
      <c r="D587" s="86">
        <v>3</v>
      </c>
      <c r="E587" s="86" t="s">
        <v>115</v>
      </c>
      <c r="F587" s="86" t="s">
        <v>115</v>
      </c>
      <c r="G587" s="86" t="s">
        <v>115</v>
      </c>
      <c r="H587" s="86" t="s">
        <v>7307</v>
      </c>
      <c r="I587" s="86" t="s">
        <v>115</v>
      </c>
      <c r="J587" s="83"/>
      <c r="K587" s="86">
        <v>20000</v>
      </c>
      <c r="L587" s="86">
        <v>202022</v>
      </c>
      <c r="M587" s="83"/>
      <c r="N587" s="86" t="s">
        <v>115</v>
      </c>
      <c r="O587" s="86" t="s">
        <v>115</v>
      </c>
      <c r="P587" s="86">
        <v>200111</v>
      </c>
      <c r="Q587" s="85">
        <v>371</v>
      </c>
      <c r="R587" s="86">
        <v>3870</v>
      </c>
    </row>
    <row r="588" spans="1:21" x14ac:dyDescent="0.15">
      <c r="A588" s="86" t="s">
        <v>1</v>
      </c>
      <c r="B588" s="86">
        <v>202022</v>
      </c>
      <c r="C588" s="83"/>
      <c r="D588" s="86" t="s">
        <v>115</v>
      </c>
      <c r="E588" s="86">
        <v>1</v>
      </c>
      <c r="F588" s="86">
        <v>5</v>
      </c>
      <c r="G588" s="86" t="s">
        <v>115</v>
      </c>
      <c r="H588" s="86" t="s">
        <v>7307</v>
      </c>
      <c r="I588" s="4" t="s">
        <v>4800</v>
      </c>
      <c r="J588" s="83"/>
      <c r="K588" s="86">
        <v>20000</v>
      </c>
      <c r="L588" s="86">
        <v>202023</v>
      </c>
      <c r="M588" s="83"/>
      <c r="N588" s="86" t="s">
        <v>115</v>
      </c>
      <c r="O588" s="86" t="s">
        <v>115</v>
      </c>
      <c r="P588" s="86">
        <v>200112</v>
      </c>
      <c r="Q588" s="85">
        <v>371</v>
      </c>
      <c r="R588" s="86">
        <v>12169</v>
      </c>
    </row>
    <row r="589" spans="1:21" x14ac:dyDescent="0.15">
      <c r="A589" s="86" t="s">
        <v>1</v>
      </c>
      <c r="B589" s="86">
        <v>202023</v>
      </c>
      <c r="C589" s="83"/>
      <c r="D589" s="86" t="s">
        <v>115</v>
      </c>
      <c r="E589" s="86">
        <v>2</v>
      </c>
      <c r="F589" s="86">
        <v>5</v>
      </c>
      <c r="G589" s="86" t="s">
        <v>115</v>
      </c>
      <c r="H589" s="86" t="s">
        <v>7307</v>
      </c>
      <c r="I589" s="86" t="s">
        <v>115</v>
      </c>
      <c r="J589" s="83"/>
      <c r="K589" s="86">
        <v>20000</v>
      </c>
      <c r="L589" s="86">
        <v>0</v>
      </c>
      <c r="M589" s="83"/>
      <c r="N589" s="86">
        <v>200115</v>
      </c>
      <c r="O589" s="86">
        <v>200116</v>
      </c>
      <c r="P589" s="86">
        <v>200113</v>
      </c>
      <c r="Q589" s="85">
        <v>371</v>
      </c>
      <c r="R589" s="86">
        <v>11806</v>
      </c>
    </row>
    <row r="590" spans="1:21" x14ac:dyDescent="0.15">
      <c r="A590" s="86" t="s">
        <v>1</v>
      </c>
      <c r="B590" s="85">
        <v>202031</v>
      </c>
      <c r="C590" s="83"/>
      <c r="D590" s="86">
        <v>3</v>
      </c>
      <c r="E590" s="86" t="s">
        <v>115</v>
      </c>
      <c r="F590" s="86" t="s">
        <v>115</v>
      </c>
      <c r="G590" s="86" t="s">
        <v>115</v>
      </c>
      <c r="H590" s="86" t="s">
        <v>7307</v>
      </c>
      <c r="I590" s="86" t="s">
        <v>115</v>
      </c>
      <c r="J590" s="83"/>
      <c r="K590" s="86">
        <v>30000</v>
      </c>
      <c r="L590" s="86">
        <v>202032</v>
      </c>
      <c r="M590" s="83"/>
      <c r="N590" s="86" t="s">
        <v>115</v>
      </c>
      <c r="O590" s="86" t="s">
        <v>115</v>
      </c>
      <c r="P590" s="86">
        <v>200111</v>
      </c>
      <c r="Q590" s="85">
        <v>371</v>
      </c>
      <c r="R590" s="86">
        <v>3870</v>
      </c>
    </row>
    <row r="591" spans="1:21" x14ac:dyDescent="0.15">
      <c r="A591" s="86" t="s">
        <v>1</v>
      </c>
      <c r="B591" s="86">
        <v>202032</v>
      </c>
      <c r="C591" s="83"/>
      <c r="D591" s="86" t="s">
        <v>115</v>
      </c>
      <c r="E591" s="86">
        <v>1</v>
      </c>
      <c r="F591" s="86">
        <v>5</v>
      </c>
      <c r="G591" s="86" t="s">
        <v>115</v>
      </c>
      <c r="H591" s="86" t="s">
        <v>7307</v>
      </c>
      <c r="I591" s="4" t="s">
        <v>4800</v>
      </c>
      <c r="J591" s="83"/>
      <c r="K591" s="86">
        <v>30000</v>
      </c>
      <c r="L591" s="86">
        <v>202033</v>
      </c>
      <c r="M591" s="83"/>
      <c r="N591" s="86" t="s">
        <v>115</v>
      </c>
      <c r="O591" s="86" t="s">
        <v>115</v>
      </c>
      <c r="P591" s="86">
        <v>200112</v>
      </c>
      <c r="Q591" s="85">
        <v>371</v>
      </c>
      <c r="R591" s="86">
        <v>12169</v>
      </c>
    </row>
    <row r="592" spans="1:21" x14ac:dyDescent="0.15">
      <c r="A592" s="86" t="s">
        <v>1</v>
      </c>
      <c r="B592" s="86">
        <v>202033</v>
      </c>
      <c r="C592" s="83"/>
      <c r="D592" s="86" t="s">
        <v>115</v>
      </c>
      <c r="E592" s="86">
        <v>2</v>
      </c>
      <c r="F592" s="86">
        <v>5</v>
      </c>
      <c r="G592" s="86" t="s">
        <v>115</v>
      </c>
      <c r="H592" s="86" t="s">
        <v>7307</v>
      </c>
      <c r="I592" s="86" t="s">
        <v>115</v>
      </c>
      <c r="J592" s="83"/>
      <c r="K592" s="86">
        <v>30000</v>
      </c>
      <c r="L592" s="86">
        <v>0</v>
      </c>
      <c r="M592" s="83"/>
      <c r="N592" s="86">
        <v>200115</v>
      </c>
      <c r="O592" s="86">
        <v>200116</v>
      </c>
      <c r="P592" s="86">
        <v>200113</v>
      </c>
      <c r="Q592" s="85">
        <v>371</v>
      </c>
      <c r="R592" s="86">
        <v>11806</v>
      </c>
    </row>
    <row r="593" spans="1:18" x14ac:dyDescent="0.15">
      <c r="A593" s="86" t="s">
        <v>1</v>
      </c>
      <c r="B593" s="85">
        <v>202041</v>
      </c>
      <c r="C593" s="83"/>
      <c r="D593" s="86">
        <v>3</v>
      </c>
      <c r="E593" s="86" t="s">
        <v>115</v>
      </c>
      <c r="F593" s="86" t="s">
        <v>115</v>
      </c>
      <c r="G593" s="86" t="s">
        <v>115</v>
      </c>
      <c r="H593" s="86" t="s">
        <v>7307</v>
      </c>
      <c r="I593" s="86" t="s">
        <v>115</v>
      </c>
      <c r="J593" s="83"/>
      <c r="K593" s="86">
        <v>40000</v>
      </c>
      <c r="L593" s="86">
        <v>202042</v>
      </c>
      <c r="M593" s="83"/>
      <c r="N593" s="86" t="s">
        <v>115</v>
      </c>
      <c r="O593" s="86" t="s">
        <v>115</v>
      </c>
      <c r="P593" s="86">
        <v>200111</v>
      </c>
      <c r="Q593" s="85">
        <v>371</v>
      </c>
      <c r="R593" s="86">
        <v>3870</v>
      </c>
    </row>
    <row r="594" spans="1:18" x14ac:dyDescent="0.15">
      <c r="A594" s="86" t="s">
        <v>1</v>
      </c>
      <c r="B594" s="86">
        <v>202042</v>
      </c>
      <c r="C594" s="83"/>
      <c r="D594" s="86" t="s">
        <v>115</v>
      </c>
      <c r="E594" s="86">
        <v>1</v>
      </c>
      <c r="F594" s="86">
        <v>5</v>
      </c>
      <c r="G594" s="86" t="s">
        <v>115</v>
      </c>
      <c r="H594" s="86" t="s">
        <v>7307</v>
      </c>
      <c r="I594" s="4" t="s">
        <v>4800</v>
      </c>
      <c r="J594" s="83"/>
      <c r="K594" s="86">
        <v>40000</v>
      </c>
      <c r="L594" s="86">
        <v>202043</v>
      </c>
      <c r="M594" s="83"/>
      <c r="N594" s="86" t="s">
        <v>115</v>
      </c>
      <c r="O594" s="86" t="s">
        <v>115</v>
      </c>
      <c r="P594" s="86">
        <v>200112</v>
      </c>
      <c r="Q594" s="85">
        <v>371</v>
      </c>
      <c r="R594" s="86">
        <v>12169</v>
      </c>
    </row>
    <row r="595" spans="1:18" x14ac:dyDescent="0.15">
      <c r="A595" s="86" t="s">
        <v>1</v>
      </c>
      <c r="B595" s="86">
        <v>202043</v>
      </c>
      <c r="C595" s="83"/>
      <c r="D595" s="86" t="s">
        <v>115</v>
      </c>
      <c r="E595" s="86">
        <v>2</v>
      </c>
      <c r="F595" s="86">
        <v>5</v>
      </c>
      <c r="G595" s="86" t="s">
        <v>115</v>
      </c>
      <c r="H595" s="86" t="s">
        <v>7307</v>
      </c>
      <c r="I595" s="86" t="s">
        <v>115</v>
      </c>
      <c r="J595" s="83"/>
      <c r="K595" s="86">
        <v>40000</v>
      </c>
      <c r="L595" s="86">
        <v>0</v>
      </c>
      <c r="M595" s="83"/>
      <c r="N595" s="86">
        <v>200115</v>
      </c>
      <c r="O595" s="86">
        <v>200116</v>
      </c>
      <c r="P595" s="86">
        <v>200113</v>
      </c>
      <c r="Q595" s="85">
        <v>371</v>
      </c>
      <c r="R595" s="86">
        <v>11806</v>
      </c>
    </row>
    <row r="596" spans="1:18" x14ac:dyDescent="0.15">
      <c r="A596" s="86" t="s">
        <v>1</v>
      </c>
      <c r="B596" s="85">
        <v>202051</v>
      </c>
      <c r="C596" s="83"/>
      <c r="D596" s="86">
        <v>3</v>
      </c>
      <c r="E596" s="86" t="s">
        <v>115</v>
      </c>
      <c r="F596" s="86" t="s">
        <v>115</v>
      </c>
      <c r="G596" s="86" t="s">
        <v>115</v>
      </c>
      <c r="H596" s="86" t="s">
        <v>7307</v>
      </c>
      <c r="I596" s="86" t="s">
        <v>115</v>
      </c>
      <c r="J596" s="83"/>
      <c r="K596" s="86">
        <v>50000</v>
      </c>
      <c r="L596" s="86">
        <v>202052</v>
      </c>
      <c r="M596" s="83"/>
      <c r="N596" s="86" t="s">
        <v>115</v>
      </c>
      <c r="O596" s="86" t="s">
        <v>115</v>
      </c>
      <c r="P596" s="86">
        <v>200111</v>
      </c>
      <c r="Q596" s="85">
        <v>371</v>
      </c>
      <c r="R596" s="86">
        <v>3870</v>
      </c>
    </row>
    <row r="597" spans="1:18" x14ac:dyDescent="0.15">
      <c r="A597" s="86" t="s">
        <v>1</v>
      </c>
      <c r="B597" s="86">
        <v>202052</v>
      </c>
      <c r="C597" s="83"/>
      <c r="D597" s="86" t="s">
        <v>115</v>
      </c>
      <c r="E597" s="86">
        <v>1</v>
      </c>
      <c r="F597" s="86">
        <v>5</v>
      </c>
      <c r="G597" s="86" t="s">
        <v>115</v>
      </c>
      <c r="H597" s="86" t="s">
        <v>7307</v>
      </c>
      <c r="I597" s="4" t="s">
        <v>4800</v>
      </c>
      <c r="J597" s="83"/>
      <c r="K597" s="86">
        <v>50000</v>
      </c>
      <c r="L597" s="86">
        <v>202053</v>
      </c>
      <c r="M597" s="83"/>
      <c r="N597" s="86" t="s">
        <v>115</v>
      </c>
      <c r="O597" s="86" t="s">
        <v>115</v>
      </c>
      <c r="P597" s="86">
        <v>200112</v>
      </c>
      <c r="Q597" s="85">
        <v>371</v>
      </c>
      <c r="R597" s="86">
        <v>12169</v>
      </c>
    </row>
    <row r="598" spans="1:18" x14ac:dyDescent="0.15">
      <c r="A598" s="86" t="s">
        <v>1</v>
      </c>
      <c r="B598" s="86">
        <v>202053</v>
      </c>
      <c r="C598" s="83"/>
      <c r="D598" s="86" t="s">
        <v>115</v>
      </c>
      <c r="E598" s="86">
        <v>2</v>
      </c>
      <c r="F598" s="86">
        <v>5</v>
      </c>
      <c r="G598" s="86" t="s">
        <v>115</v>
      </c>
      <c r="H598" s="86" t="s">
        <v>7307</v>
      </c>
      <c r="I598" s="86" t="s">
        <v>115</v>
      </c>
      <c r="J598" s="83"/>
      <c r="K598" s="86">
        <v>50000</v>
      </c>
      <c r="L598" s="86">
        <v>0</v>
      </c>
      <c r="M598" s="83"/>
      <c r="N598" s="86">
        <v>200115</v>
      </c>
      <c r="O598" s="86">
        <v>200116</v>
      </c>
      <c r="P598" s="86">
        <v>200113</v>
      </c>
      <c r="Q598" s="85">
        <v>371</v>
      </c>
      <c r="R598" s="86">
        <v>11806</v>
      </c>
    </row>
    <row r="599" spans="1:18" x14ac:dyDescent="0.15">
      <c r="A599" s="86" t="s">
        <v>1</v>
      </c>
      <c r="B599" s="85">
        <v>202061</v>
      </c>
      <c r="C599" s="83"/>
      <c r="D599" s="86">
        <v>3</v>
      </c>
      <c r="E599" s="86" t="s">
        <v>115</v>
      </c>
      <c r="F599" s="86" t="s">
        <v>115</v>
      </c>
      <c r="G599" s="86" t="s">
        <v>115</v>
      </c>
      <c r="H599" s="86" t="s">
        <v>7307</v>
      </c>
      <c r="I599" s="86" t="s">
        <v>115</v>
      </c>
      <c r="J599" s="83"/>
      <c r="K599" s="86">
        <v>60000</v>
      </c>
      <c r="L599" s="86">
        <v>202062</v>
      </c>
      <c r="M599" s="83"/>
      <c r="N599" s="86" t="s">
        <v>115</v>
      </c>
      <c r="O599" s="86" t="s">
        <v>115</v>
      </c>
      <c r="P599" s="86">
        <v>200111</v>
      </c>
      <c r="Q599" s="85">
        <v>371</v>
      </c>
      <c r="R599" s="86">
        <v>3870</v>
      </c>
    </row>
    <row r="600" spans="1:18" x14ac:dyDescent="0.15">
      <c r="A600" s="86" t="s">
        <v>1</v>
      </c>
      <c r="B600" s="86">
        <v>202062</v>
      </c>
      <c r="C600" s="83"/>
      <c r="D600" s="86" t="s">
        <v>115</v>
      </c>
      <c r="E600" s="86">
        <v>1</v>
      </c>
      <c r="F600" s="86">
        <v>5</v>
      </c>
      <c r="G600" s="86" t="s">
        <v>115</v>
      </c>
      <c r="H600" s="86" t="s">
        <v>7307</v>
      </c>
      <c r="I600" s="4" t="s">
        <v>4800</v>
      </c>
      <c r="J600" s="83"/>
      <c r="K600" s="86">
        <v>60000</v>
      </c>
      <c r="L600" s="86">
        <v>202063</v>
      </c>
      <c r="M600" s="83"/>
      <c r="N600" s="86" t="s">
        <v>115</v>
      </c>
      <c r="O600" s="86" t="s">
        <v>115</v>
      </c>
      <c r="P600" s="86">
        <v>200112</v>
      </c>
      <c r="Q600" s="85">
        <v>371</v>
      </c>
      <c r="R600" s="86">
        <v>12169</v>
      </c>
    </row>
    <row r="601" spans="1:18" x14ac:dyDescent="0.15">
      <c r="A601" s="86" t="s">
        <v>1</v>
      </c>
      <c r="B601" s="86">
        <v>202063</v>
      </c>
      <c r="C601" s="83"/>
      <c r="D601" s="86" t="s">
        <v>115</v>
      </c>
      <c r="E601" s="86">
        <v>2</v>
      </c>
      <c r="F601" s="86">
        <v>5</v>
      </c>
      <c r="G601" s="86" t="s">
        <v>115</v>
      </c>
      <c r="H601" s="86" t="s">
        <v>7307</v>
      </c>
      <c r="I601" s="86" t="s">
        <v>115</v>
      </c>
      <c r="J601" s="83"/>
      <c r="K601" s="86">
        <v>60000</v>
      </c>
      <c r="L601" s="86">
        <v>0</v>
      </c>
      <c r="M601" s="83"/>
      <c r="N601" s="86">
        <v>200115</v>
      </c>
      <c r="O601" s="86">
        <v>200116</v>
      </c>
      <c r="P601" s="86">
        <v>200113</v>
      </c>
      <c r="Q601" s="85">
        <v>371</v>
      </c>
      <c r="R601" s="86">
        <v>11806</v>
      </c>
    </row>
    <row r="602" spans="1:18" x14ac:dyDescent="0.15">
      <c r="A602" s="86" t="s">
        <v>1</v>
      </c>
      <c r="B602" s="85">
        <v>202071</v>
      </c>
      <c r="C602" s="83"/>
      <c r="D602" s="86">
        <v>3</v>
      </c>
      <c r="E602" s="86" t="s">
        <v>115</v>
      </c>
      <c r="F602" s="86" t="s">
        <v>115</v>
      </c>
      <c r="G602" s="86" t="s">
        <v>115</v>
      </c>
      <c r="H602" s="86" t="s">
        <v>7307</v>
      </c>
      <c r="I602" s="86" t="s">
        <v>115</v>
      </c>
      <c r="J602" s="86" t="s">
        <v>115</v>
      </c>
      <c r="K602" s="86">
        <v>70000</v>
      </c>
      <c r="L602" s="86">
        <v>202072</v>
      </c>
      <c r="M602" s="83"/>
      <c r="N602" s="86" t="s">
        <v>115</v>
      </c>
      <c r="O602" s="86" t="s">
        <v>115</v>
      </c>
      <c r="P602" s="86">
        <v>200111</v>
      </c>
      <c r="Q602" s="85">
        <v>371</v>
      </c>
      <c r="R602" s="86">
        <v>3870</v>
      </c>
    </row>
    <row r="603" spans="1:18" x14ac:dyDescent="0.15">
      <c r="A603" s="86" t="s">
        <v>1</v>
      </c>
      <c r="B603" s="86">
        <v>202072</v>
      </c>
      <c r="C603" s="83"/>
      <c r="D603" s="86" t="s">
        <v>115</v>
      </c>
      <c r="E603" s="86">
        <v>1</v>
      </c>
      <c r="F603" s="86">
        <v>5</v>
      </c>
      <c r="G603" s="86" t="s">
        <v>115</v>
      </c>
      <c r="H603" s="86" t="s">
        <v>7307</v>
      </c>
      <c r="I603" s="4" t="s">
        <v>4800</v>
      </c>
      <c r="J603" s="83"/>
      <c r="K603" s="86">
        <v>70000</v>
      </c>
      <c r="L603" s="86">
        <v>202073</v>
      </c>
      <c r="M603" s="83"/>
      <c r="N603" s="86" t="s">
        <v>115</v>
      </c>
      <c r="O603" s="86" t="s">
        <v>115</v>
      </c>
      <c r="P603" s="86">
        <v>200112</v>
      </c>
      <c r="Q603" s="85">
        <v>371</v>
      </c>
      <c r="R603" s="86">
        <v>12169</v>
      </c>
    </row>
    <row r="604" spans="1:18" x14ac:dyDescent="0.15">
      <c r="A604" s="86" t="s">
        <v>1</v>
      </c>
      <c r="B604" s="86">
        <v>202073</v>
      </c>
      <c r="C604" s="83"/>
      <c r="D604" s="86" t="s">
        <v>115</v>
      </c>
      <c r="E604" s="86">
        <v>2</v>
      </c>
      <c r="F604" s="86">
        <v>5</v>
      </c>
      <c r="G604" s="86" t="s">
        <v>115</v>
      </c>
      <c r="H604" s="86" t="s">
        <v>7307</v>
      </c>
      <c r="I604" s="86" t="s">
        <v>115</v>
      </c>
      <c r="J604" s="83"/>
      <c r="K604" s="86">
        <v>70000</v>
      </c>
      <c r="L604" s="86">
        <v>0</v>
      </c>
      <c r="M604" s="83"/>
      <c r="N604" s="86">
        <v>200115</v>
      </c>
      <c r="O604" s="86">
        <v>200116</v>
      </c>
      <c r="P604" s="86">
        <v>200113</v>
      </c>
      <c r="Q604" s="85">
        <v>371</v>
      </c>
      <c r="R604" s="86">
        <v>11806</v>
      </c>
    </row>
    <row r="605" spans="1:18" x14ac:dyDescent="0.15">
      <c r="A605" s="86" t="s">
        <v>1</v>
      </c>
      <c r="B605" s="85">
        <v>202081</v>
      </c>
      <c r="C605" s="83"/>
      <c r="D605" s="86">
        <v>3</v>
      </c>
      <c r="E605" s="86" t="s">
        <v>115</v>
      </c>
      <c r="F605" s="86" t="s">
        <v>115</v>
      </c>
      <c r="G605" s="86" t="s">
        <v>115</v>
      </c>
      <c r="H605" s="86" t="s">
        <v>7307</v>
      </c>
      <c r="I605" s="86" t="s">
        <v>115</v>
      </c>
      <c r="J605" s="83"/>
      <c r="K605" s="86">
        <v>80000</v>
      </c>
      <c r="L605" s="86">
        <v>202082</v>
      </c>
      <c r="M605" s="83"/>
      <c r="N605" s="86" t="s">
        <v>115</v>
      </c>
      <c r="O605" s="86" t="s">
        <v>115</v>
      </c>
      <c r="P605" s="86">
        <v>200111</v>
      </c>
      <c r="Q605" s="85">
        <v>371</v>
      </c>
      <c r="R605" s="86">
        <v>3870</v>
      </c>
    </row>
    <row r="606" spans="1:18" x14ac:dyDescent="0.15">
      <c r="A606" s="86" t="s">
        <v>1</v>
      </c>
      <c r="B606" s="86">
        <v>202082</v>
      </c>
      <c r="C606" s="83"/>
      <c r="D606" s="86" t="s">
        <v>115</v>
      </c>
      <c r="E606" s="86">
        <v>1</v>
      </c>
      <c r="F606" s="86">
        <v>5</v>
      </c>
      <c r="G606" s="86" t="s">
        <v>115</v>
      </c>
      <c r="H606" s="86" t="s">
        <v>7307</v>
      </c>
      <c r="I606" s="4" t="s">
        <v>4800</v>
      </c>
      <c r="J606" s="83"/>
      <c r="K606" s="86">
        <v>80000</v>
      </c>
      <c r="L606" s="86">
        <v>202083</v>
      </c>
      <c r="M606" s="83"/>
      <c r="N606" s="86" t="s">
        <v>115</v>
      </c>
      <c r="O606" s="86" t="s">
        <v>115</v>
      </c>
      <c r="P606" s="86">
        <v>200112</v>
      </c>
      <c r="Q606" s="85">
        <v>371</v>
      </c>
      <c r="R606" s="86">
        <v>12169</v>
      </c>
    </row>
    <row r="607" spans="1:18" x14ac:dyDescent="0.15">
      <c r="A607" s="86" t="s">
        <v>1</v>
      </c>
      <c r="B607" s="86">
        <v>202083</v>
      </c>
      <c r="C607" s="83"/>
      <c r="D607" s="86" t="s">
        <v>115</v>
      </c>
      <c r="E607" s="86">
        <v>2</v>
      </c>
      <c r="F607" s="86">
        <v>5</v>
      </c>
      <c r="G607" s="86" t="s">
        <v>115</v>
      </c>
      <c r="H607" s="86" t="s">
        <v>7307</v>
      </c>
      <c r="I607" s="86" t="s">
        <v>115</v>
      </c>
      <c r="J607" s="83"/>
      <c r="K607" s="86">
        <v>80000</v>
      </c>
      <c r="L607" s="86">
        <v>0</v>
      </c>
      <c r="M607" s="83"/>
      <c r="N607" s="86">
        <v>200115</v>
      </c>
      <c r="O607" s="86">
        <v>200116</v>
      </c>
      <c r="P607" s="86">
        <v>200113</v>
      </c>
      <c r="Q607" s="85">
        <v>371</v>
      </c>
      <c r="R607" s="86">
        <v>11806</v>
      </c>
    </row>
    <row r="608" spans="1:18" x14ac:dyDescent="0.15">
      <c r="A608" s="86" t="s">
        <v>1</v>
      </c>
      <c r="B608" s="85">
        <v>202091</v>
      </c>
      <c r="C608" s="83"/>
      <c r="D608" s="86">
        <v>3</v>
      </c>
      <c r="E608" s="86" t="s">
        <v>115</v>
      </c>
      <c r="F608" s="86" t="s">
        <v>115</v>
      </c>
      <c r="G608" s="86" t="s">
        <v>115</v>
      </c>
      <c r="H608" s="86" t="s">
        <v>7307</v>
      </c>
      <c r="I608" s="86" t="s">
        <v>115</v>
      </c>
      <c r="J608" s="83"/>
      <c r="K608" s="86">
        <v>90000</v>
      </c>
      <c r="L608" s="86">
        <v>202092</v>
      </c>
      <c r="M608" s="83"/>
      <c r="N608" s="86" t="s">
        <v>115</v>
      </c>
      <c r="O608" s="86" t="s">
        <v>115</v>
      </c>
      <c r="P608" s="86">
        <v>200111</v>
      </c>
      <c r="Q608" s="85">
        <v>371</v>
      </c>
      <c r="R608" s="86">
        <v>3870</v>
      </c>
    </row>
    <row r="609" spans="1:18" x14ac:dyDescent="0.15">
      <c r="A609" s="86" t="s">
        <v>1</v>
      </c>
      <c r="B609" s="86">
        <v>202092</v>
      </c>
      <c r="C609" s="83"/>
      <c r="D609" s="86" t="s">
        <v>115</v>
      </c>
      <c r="E609" s="86">
        <v>1</v>
      </c>
      <c r="F609" s="86">
        <v>5</v>
      </c>
      <c r="G609" s="86" t="s">
        <v>115</v>
      </c>
      <c r="H609" s="86" t="s">
        <v>7307</v>
      </c>
      <c r="I609" s="4" t="s">
        <v>4800</v>
      </c>
      <c r="J609" s="83"/>
      <c r="K609" s="86">
        <v>90000</v>
      </c>
      <c r="L609" s="86">
        <v>202093</v>
      </c>
      <c r="M609" s="83"/>
      <c r="N609" s="86" t="s">
        <v>115</v>
      </c>
      <c r="O609" s="86" t="s">
        <v>115</v>
      </c>
      <c r="P609" s="86">
        <v>200112</v>
      </c>
      <c r="Q609" s="85">
        <v>371</v>
      </c>
      <c r="R609" s="86">
        <v>12169</v>
      </c>
    </row>
    <row r="610" spans="1:18" x14ac:dyDescent="0.15">
      <c r="A610" s="86" t="s">
        <v>1</v>
      </c>
      <c r="B610" s="86">
        <v>202093</v>
      </c>
      <c r="C610" s="83"/>
      <c r="D610" s="86" t="s">
        <v>115</v>
      </c>
      <c r="E610" s="86">
        <v>2</v>
      </c>
      <c r="F610" s="86">
        <v>5</v>
      </c>
      <c r="G610" s="86" t="s">
        <v>115</v>
      </c>
      <c r="H610" s="86" t="s">
        <v>7307</v>
      </c>
      <c r="I610" s="86" t="s">
        <v>115</v>
      </c>
      <c r="J610" s="83"/>
      <c r="K610" s="86">
        <v>90000</v>
      </c>
      <c r="L610" s="86">
        <v>0</v>
      </c>
      <c r="M610" s="83"/>
      <c r="N610" s="86">
        <v>200115</v>
      </c>
      <c r="O610" s="86">
        <v>200116</v>
      </c>
      <c r="P610" s="86">
        <v>200113</v>
      </c>
      <c r="Q610" s="85">
        <v>371</v>
      </c>
      <c r="R610" s="86">
        <v>11806</v>
      </c>
    </row>
    <row r="611" spans="1:18" x14ac:dyDescent="0.15">
      <c r="A611" s="86" t="s">
        <v>1</v>
      </c>
      <c r="B611" s="85">
        <v>202101</v>
      </c>
      <c r="C611" s="83"/>
      <c r="D611" s="86">
        <v>3</v>
      </c>
      <c r="E611" s="86" t="s">
        <v>115</v>
      </c>
      <c r="F611" s="86" t="s">
        <v>115</v>
      </c>
      <c r="G611" s="86" t="s">
        <v>115</v>
      </c>
      <c r="H611" s="86" t="s">
        <v>7307</v>
      </c>
      <c r="I611" s="86" t="s">
        <v>115</v>
      </c>
      <c r="J611" s="83"/>
      <c r="K611" s="86">
        <v>100000</v>
      </c>
      <c r="L611" s="86">
        <v>202102</v>
      </c>
      <c r="M611" s="83"/>
      <c r="N611" s="86" t="s">
        <v>115</v>
      </c>
      <c r="O611" s="86" t="s">
        <v>115</v>
      </c>
      <c r="P611" s="86">
        <v>200111</v>
      </c>
      <c r="Q611" s="85">
        <v>371</v>
      </c>
      <c r="R611" s="86">
        <v>3870</v>
      </c>
    </row>
    <row r="612" spans="1:18" x14ac:dyDescent="0.15">
      <c r="A612" s="86" t="s">
        <v>1</v>
      </c>
      <c r="B612" s="86">
        <v>202102</v>
      </c>
      <c r="C612" s="83"/>
      <c r="D612" s="86" t="s">
        <v>115</v>
      </c>
      <c r="E612" s="86">
        <v>1</v>
      </c>
      <c r="F612" s="86">
        <v>5</v>
      </c>
      <c r="G612" s="86" t="s">
        <v>115</v>
      </c>
      <c r="H612" s="86" t="s">
        <v>7307</v>
      </c>
      <c r="I612" s="4" t="s">
        <v>4800</v>
      </c>
      <c r="J612" s="83"/>
      <c r="K612" s="86">
        <v>100000</v>
      </c>
      <c r="L612" s="86">
        <v>202103</v>
      </c>
      <c r="M612" s="83"/>
      <c r="N612" s="86" t="s">
        <v>115</v>
      </c>
      <c r="O612" s="86" t="s">
        <v>115</v>
      </c>
      <c r="P612" s="86">
        <v>200112</v>
      </c>
      <c r="Q612" s="85">
        <v>371</v>
      </c>
      <c r="R612" s="86">
        <v>12169</v>
      </c>
    </row>
    <row r="613" spans="1:18" x14ac:dyDescent="0.15">
      <c r="A613" s="86" t="s">
        <v>1</v>
      </c>
      <c r="B613" s="86">
        <v>202103</v>
      </c>
      <c r="C613" s="83"/>
      <c r="D613" s="86" t="s">
        <v>115</v>
      </c>
      <c r="E613" s="86">
        <v>2</v>
      </c>
      <c r="F613" s="86">
        <v>5</v>
      </c>
      <c r="G613" s="86" t="s">
        <v>115</v>
      </c>
      <c r="H613" s="86" t="s">
        <v>7307</v>
      </c>
      <c r="I613" s="86" t="s">
        <v>115</v>
      </c>
      <c r="J613" s="83"/>
      <c r="K613" s="86">
        <v>100000</v>
      </c>
      <c r="L613" s="86">
        <v>0</v>
      </c>
      <c r="M613" s="83"/>
      <c r="N613" s="86">
        <v>200115</v>
      </c>
      <c r="O613" s="86">
        <v>200116</v>
      </c>
      <c r="P613" s="86">
        <v>200113</v>
      </c>
      <c r="Q613" s="85">
        <v>371</v>
      </c>
      <c r="R613" s="86">
        <v>11806</v>
      </c>
    </row>
    <row r="614" spans="1:18" x14ac:dyDescent="0.15">
      <c r="A614" s="86" t="s">
        <v>1</v>
      </c>
      <c r="B614" s="85">
        <v>202111</v>
      </c>
      <c r="C614" s="83"/>
      <c r="D614" s="86">
        <v>3</v>
      </c>
      <c r="E614" s="86" t="s">
        <v>115</v>
      </c>
      <c r="F614" s="86" t="s">
        <v>115</v>
      </c>
      <c r="G614" s="86" t="s">
        <v>115</v>
      </c>
      <c r="H614" s="86" t="s">
        <v>7307</v>
      </c>
      <c r="I614" s="86" t="s">
        <v>115</v>
      </c>
      <c r="J614" s="83"/>
      <c r="K614" s="86">
        <v>110000</v>
      </c>
      <c r="L614" s="86">
        <v>202112</v>
      </c>
      <c r="M614" s="83"/>
      <c r="N614" s="86" t="s">
        <v>115</v>
      </c>
      <c r="O614" s="86" t="s">
        <v>115</v>
      </c>
      <c r="P614" s="86">
        <v>200111</v>
      </c>
      <c r="Q614" s="85">
        <v>371</v>
      </c>
      <c r="R614" s="86">
        <v>3870</v>
      </c>
    </row>
    <row r="615" spans="1:18" x14ac:dyDescent="0.15">
      <c r="A615" s="86" t="s">
        <v>1</v>
      </c>
      <c r="B615" s="86">
        <v>202112</v>
      </c>
      <c r="C615" s="83"/>
      <c r="D615" s="86" t="s">
        <v>115</v>
      </c>
      <c r="E615" s="86">
        <v>1</v>
      </c>
      <c r="F615" s="86">
        <v>5</v>
      </c>
      <c r="G615" s="86" t="s">
        <v>115</v>
      </c>
      <c r="H615" s="86" t="s">
        <v>7307</v>
      </c>
      <c r="I615" s="4" t="s">
        <v>4800</v>
      </c>
      <c r="J615" s="83"/>
      <c r="K615" s="86">
        <v>110000</v>
      </c>
      <c r="L615" s="86">
        <v>202113</v>
      </c>
      <c r="M615" s="83"/>
      <c r="N615" s="86" t="s">
        <v>115</v>
      </c>
      <c r="O615" s="86" t="s">
        <v>115</v>
      </c>
      <c r="P615" s="86">
        <v>200112</v>
      </c>
      <c r="Q615" s="85">
        <v>371</v>
      </c>
      <c r="R615" s="86">
        <v>12169</v>
      </c>
    </row>
    <row r="616" spans="1:18" x14ac:dyDescent="0.15">
      <c r="A616" s="86" t="s">
        <v>1</v>
      </c>
      <c r="B616" s="86">
        <v>202113</v>
      </c>
      <c r="C616" s="83"/>
      <c r="D616" s="86" t="s">
        <v>115</v>
      </c>
      <c r="E616" s="86">
        <v>2</v>
      </c>
      <c r="F616" s="86">
        <v>5</v>
      </c>
      <c r="G616" s="86" t="s">
        <v>115</v>
      </c>
      <c r="H616" s="86" t="s">
        <v>7307</v>
      </c>
      <c r="I616" s="86" t="s">
        <v>115</v>
      </c>
      <c r="J616" s="83"/>
      <c r="K616" s="86">
        <v>110000</v>
      </c>
      <c r="L616" s="86">
        <v>0</v>
      </c>
      <c r="M616" s="83"/>
      <c r="N616" s="86">
        <v>200115</v>
      </c>
      <c r="O616" s="86">
        <v>200116</v>
      </c>
      <c r="P616" s="86">
        <v>200113</v>
      </c>
      <c r="Q616" s="85">
        <v>371</v>
      </c>
      <c r="R616" s="86">
        <v>11806</v>
      </c>
    </row>
    <row r="617" spans="1:18" x14ac:dyDescent="0.15">
      <c r="A617" s="86" t="s">
        <v>1</v>
      </c>
      <c r="B617" s="85">
        <v>202121</v>
      </c>
      <c r="C617" s="83"/>
      <c r="D617" s="86">
        <v>3</v>
      </c>
      <c r="E617" s="86" t="s">
        <v>115</v>
      </c>
      <c r="F617" s="86" t="s">
        <v>115</v>
      </c>
      <c r="G617" s="86" t="s">
        <v>115</v>
      </c>
      <c r="H617" s="86" t="s">
        <v>7307</v>
      </c>
      <c r="I617" s="86" t="s">
        <v>115</v>
      </c>
      <c r="J617" s="83"/>
      <c r="K617" s="86">
        <v>120000</v>
      </c>
      <c r="L617" s="86">
        <v>202122</v>
      </c>
      <c r="M617" s="83"/>
      <c r="N617" s="86" t="s">
        <v>115</v>
      </c>
      <c r="O617" s="86" t="s">
        <v>115</v>
      </c>
      <c r="P617" s="86">
        <v>200111</v>
      </c>
      <c r="Q617" s="85">
        <v>371</v>
      </c>
      <c r="R617" s="86">
        <v>3870</v>
      </c>
    </row>
    <row r="618" spans="1:18" x14ac:dyDescent="0.15">
      <c r="A618" s="86" t="s">
        <v>1</v>
      </c>
      <c r="B618" s="86">
        <v>202122</v>
      </c>
      <c r="C618" s="83"/>
      <c r="D618" s="86" t="s">
        <v>115</v>
      </c>
      <c r="E618" s="86">
        <v>1</v>
      </c>
      <c r="F618" s="86">
        <v>5</v>
      </c>
      <c r="G618" s="86" t="s">
        <v>115</v>
      </c>
      <c r="H618" s="86" t="s">
        <v>7307</v>
      </c>
      <c r="I618" s="4" t="s">
        <v>4800</v>
      </c>
      <c r="J618" s="83"/>
      <c r="K618" s="86">
        <v>120000</v>
      </c>
      <c r="L618" s="86">
        <v>202123</v>
      </c>
      <c r="M618" s="83"/>
      <c r="N618" s="86" t="s">
        <v>115</v>
      </c>
      <c r="O618" s="86" t="s">
        <v>115</v>
      </c>
      <c r="P618" s="86">
        <v>200112</v>
      </c>
      <c r="Q618" s="85">
        <v>371</v>
      </c>
      <c r="R618" s="86">
        <v>12169</v>
      </c>
    </row>
    <row r="619" spans="1:18" x14ac:dyDescent="0.15">
      <c r="A619" s="86" t="s">
        <v>1</v>
      </c>
      <c r="B619" s="86">
        <v>202123</v>
      </c>
      <c r="C619" s="83"/>
      <c r="D619" s="86" t="s">
        <v>115</v>
      </c>
      <c r="E619" s="86">
        <v>2</v>
      </c>
      <c r="F619" s="86">
        <v>5</v>
      </c>
      <c r="G619" s="86" t="s">
        <v>115</v>
      </c>
      <c r="H619" s="86" t="s">
        <v>7307</v>
      </c>
      <c r="I619" s="86" t="s">
        <v>115</v>
      </c>
      <c r="J619" s="83"/>
      <c r="K619" s="86">
        <v>120000</v>
      </c>
      <c r="L619" s="86">
        <v>0</v>
      </c>
      <c r="M619" s="83"/>
      <c r="N619" s="86">
        <v>200115</v>
      </c>
      <c r="O619" s="86">
        <v>200116</v>
      </c>
      <c r="P619" s="86">
        <v>200113</v>
      </c>
      <c r="Q619" s="85">
        <v>371</v>
      </c>
      <c r="R619" s="86">
        <v>11806</v>
      </c>
    </row>
    <row r="620" spans="1:18" x14ac:dyDescent="0.15">
      <c r="A620" s="86" t="s">
        <v>1</v>
      </c>
      <c r="B620" s="85">
        <v>203011</v>
      </c>
      <c r="C620" s="83"/>
      <c r="D620" s="86">
        <v>3</v>
      </c>
      <c r="E620" s="86" t="s">
        <v>115</v>
      </c>
      <c r="F620" s="86" t="s">
        <v>115</v>
      </c>
      <c r="G620" s="86" t="s">
        <v>115</v>
      </c>
      <c r="H620" s="86" t="s">
        <v>7307</v>
      </c>
      <c r="I620" s="86" t="s">
        <v>115</v>
      </c>
      <c r="J620" s="86" t="s">
        <v>115</v>
      </c>
      <c r="K620" s="86">
        <v>9000</v>
      </c>
      <c r="L620" s="86">
        <v>203012</v>
      </c>
      <c r="M620" s="83"/>
      <c r="N620" s="86" t="s">
        <v>115</v>
      </c>
      <c r="O620" s="86" t="s">
        <v>115</v>
      </c>
      <c r="P620" s="86">
        <v>200111</v>
      </c>
      <c r="Q620" s="85">
        <v>371</v>
      </c>
      <c r="R620" s="86">
        <v>3210</v>
      </c>
    </row>
    <row r="621" spans="1:18" x14ac:dyDescent="0.15">
      <c r="A621" s="86" t="s">
        <v>1</v>
      </c>
      <c r="B621" s="85">
        <v>203012</v>
      </c>
      <c r="C621" s="83"/>
      <c r="D621" s="86" t="s">
        <v>115</v>
      </c>
      <c r="E621" s="86">
        <v>1</v>
      </c>
      <c r="F621" s="86">
        <v>5</v>
      </c>
      <c r="G621" s="86" t="s">
        <v>115</v>
      </c>
      <c r="H621" s="86" t="s">
        <v>7307</v>
      </c>
      <c r="I621" s="4" t="s">
        <v>4800</v>
      </c>
      <c r="J621" s="83"/>
      <c r="K621" s="86">
        <v>9000</v>
      </c>
      <c r="L621" s="86">
        <v>203013</v>
      </c>
      <c r="M621" s="83"/>
      <c r="N621" s="86" t="s">
        <v>115</v>
      </c>
      <c r="O621" s="86" t="s">
        <v>115</v>
      </c>
      <c r="P621" s="86">
        <v>200112</v>
      </c>
      <c r="Q621" s="85">
        <v>371</v>
      </c>
      <c r="R621" s="86">
        <v>3270</v>
      </c>
    </row>
    <row r="622" spans="1:18" x14ac:dyDescent="0.15">
      <c r="A622" s="86" t="s">
        <v>1</v>
      </c>
      <c r="B622" s="86">
        <v>203013</v>
      </c>
      <c r="C622" s="83"/>
      <c r="D622" s="86" t="s">
        <v>115</v>
      </c>
      <c r="E622" s="86">
        <v>2</v>
      </c>
      <c r="F622" s="86">
        <v>5</v>
      </c>
      <c r="G622" s="86" t="s">
        <v>115</v>
      </c>
      <c r="H622" s="86" t="s">
        <v>7307</v>
      </c>
      <c r="I622" s="86" t="s">
        <v>115</v>
      </c>
      <c r="J622" s="83"/>
      <c r="K622" s="86">
        <v>9000</v>
      </c>
      <c r="L622" s="86">
        <v>0</v>
      </c>
      <c r="M622" s="83"/>
      <c r="N622" s="86">
        <v>200115</v>
      </c>
      <c r="O622" s="86">
        <v>200116</v>
      </c>
      <c r="P622" s="86">
        <v>200113</v>
      </c>
      <c r="Q622" s="85">
        <v>371</v>
      </c>
      <c r="R622" s="86">
        <v>2805</v>
      </c>
    </row>
    <row r="623" spans="1:18" x14ac:dyDescent="0.15">
      <c r="A623" s="86" t="s">
        <v>1</v>
      </c>
      <c r="B623" s="85">
        <v>203021</v>
      </c>
      <c r="C623" s="83"/>
      <c r="D623" s="86">
        <v>3</v>
      </c>
      <c r="E623" s="86" t="s">
        <v>115</v>
      </c>
      <c r="F623" s="86" t="s">
        <v>115</v>
      </c>
      <c r="G623" s="86" t="s">
        <v>115</v>
      </c>
      <c r="H623" s="86" t="s">
        <v>7307</v>
      </c>
      <c r="I623" s="86" t="s">
        <v>115</v>
      </c>
      <c r="J623" s="83"/>
      <c r="K623" s="86">
        <v>20000</v>
      </c>
      <c r="L623" s="86">
        <v>203022</v>
      </c>
      <c r="M623" s="83"/>
      <c r="N623" s="86" t="s">
        <v>115</v>
      </c>
      <c r="O623" s="86" t="s">
        <v>115</v>
      </c>
      <c r="P623" s="86">
        <v>200111</v>
      </c>
      <c r="Q623" s="85">
        <v>371</v>
      </c>
      <c r="R623" s="86">
        <v>3870</v>
      </c>
    </row>
    <row r="624" spans="1:18" x14ac:dyDescent="0.15">
      <c r="A624" s="86" t="s">
        <v>1</v>
      </c>
      <c r="B624" s="86">
        <v>203022</v>
      </c>
      <c r="C624" s="83"/>
      <c r="D624" s="86" t="s">
        <v>115</v>
      </c>
      <c r="E624" s="86">
        <v>1</v>
      </c>
      <c r="F624" s="86">
        <v>5</v>
      </c>
      <c r="G624" s="86" t="s">
        <v>115</v>
      </c>
      <c r="H624" s="86" t="s">
        <v>7307</v>
      </c>
      <c r="I624" s="4" t="s">
        <v>4800</v>
      </c>
      <c r="J624" s="83"/>
      <c r="K624" s="86">
        <v>20000</v>
      </c>
      <c r="L624" s="86">
        <v>203023</v>
      </c>
      <c r="M624" s="83"/>
      <c r="N624" s="86" t="s">
        <v>115</v>
      </c>
      <c r="O624" s="86" t="s">
        <v>115</v>
      </c>
      <c r="P624" s="86">
        <v>200112</v>
      </c>
      <c r="Q624" s="85">
        <v>371</v>
      </c>
      <c r="R624" s="86">
        <v>12169</v>
      </c>
    </row>
    <row r="625" spans="1:18" x14ac:dyDescent="0.15">
      <c r="A625" s="86" t="s">
        <v>1</v>
      </c>
      <c r="B625" s="86">
        <v>203023</v>
      </c>
      <c r="C625" s="83"/>
      <c r="D625" s="86" t="s">
        <v>115</v>
      </c>
      <c r="E625" s="86">
        <v>2</v>
      </c>
      <c r="F625" s="86">
        <v>5</v>
      </c>
      <c r="G625" s="86" t="s">
        <v>115</v>
      </c>
      <c r="H625" s="86" t="s">
        <v>7307</v>
      </c>
      <c r="I625" s="86" t="s">
        <v>115</v>
      </c>
      <c r="J625" s="83"/>
      <c r="K625" s="86">
        <v>20000</v>
      </c>
      <c r="L625" s="86">
        <v>0</v>
      </c>
      <c r="M625" s="83"/>
      <c r="N625" s="86">
        <v>200115</v>
      </c>
      <c r="O625" s="86">
        <v>200116</v>
      </c>
      <c r="P625" s="86">
        <v>200113</v>
      </c>
      <c r="Q625" s="85">
        <v>371</v>
      </c>
      <c r="R625" s="86">
        <v>11806</v>
      </c>
    </row>
    <row r="626" spans="1:18" x14ac:dyDescent="0.15">
      <c r="A626" s="86" t="s">
        <v>1</v>
      </c>
      <c r="B626" s="85">
        <v>203031</v>
      </c>
      <c r="C626" s="83"/>
      <c r="D626" s="86">
        <v>3</v>
      </c>
      <c r="E626" s="86" t="s">
        <v>115</v>
      </c>
      <c r="F626" s="86" t="s">
        <v>115</v>
      </c>
      <c r="G626" s="86" t="s">
        <v>115</v>
      </c>
      <c r="H626" s="86" t="s">
        <v>7307</v>
      </c>
      <c r="I626" s="86" t="s">
        <v>115</v>
      </c>
      <c r="J626" s="83"/>
      <c r="K626" s="86">
        <v>30000</v>
      </c>
      <c r="L626" s="86">
        <v>203032</v>
      </c>
      <c r="M626" s="83"/>
      <c r="N626" s="86" t="s">
        <v>115</v>
      </c>
      <c r="O626" s="86" t="s">
        <v>115</v>
      </c>
      <c r="P626" s="86">
        <v>200111</v>
      </c>
      <c r="Q626" s="85">
        <v>371</v>
      </c>
      <c r="R626" s="86">
        <v>3870</v>
      </c>
    </row>
    <row r="627" spans="1:18" x14ac:dyDescent="0.15">
      <c r="A627" s="86" t="s">
        <v>1</v>
      </c>
      <c r="B627" s="85">
        <v>203032</v>
      </c>
      <c r="C627" s="83"/>
      <c r="D627" s="86" t="s">
        <v>115</v>
      </c>
      <c r="E627" s="86">
        <v>1</v>
      </c>
      <c r="F627" s="86">
        <v>5</v>
      </c>
      <c r="G627" s="86" t="s">
        <v>115</v>
      </c>
      <c r="H627" s="86" t="s">
        <v>7307</v>
      </c>
      <c r="I627" s="4" t="s">
        <v>4800</v>
      </c>
      <c r="J627" s="83"/>
      <c r="K627" s="86">
        <v>30000</v>
      </c>
      <c r="L627" s="86">
        <v>203033</v>
      </c>
      <c r="M627" s="83"/>
      <c r="N627" s="86" t="s">
        <v>115</v>
      </c>
      <c r="O627" s="86" t="s">
        <v>115</v>
      </c>
      <c r="P627" s="86">
        <v>200112</v>
      </c>
      <c r="Q627" s="85">
        <v>371</v>
      </c>
      <c r="R627" s="86">
        <v>12169</v>
      </c>
    </row>
    <row r="628" spans="1:18" x14ac:dyDescent="0.15">
      <c r="A628" s="86" t="s">
        <v>1</v>
      </c>
      <c r="B628" s="86">
        <v>203033</v>
      </c>
      <c r="C628" s="83"/>
      <c r="D628" s="86" t="s">
        <v>115</v>
      </c>
      <c r="E628" s="86">
        <v>2</v>
      </c>
      <c r="F628" s="86">
        <v>5</v>
      </c>
      <c r="G628" s="86" t="s">
        <v>115</v>
      </c>
      <c r="H628" s="86" t="s">
        <v>7307</v>
      </c>
      <c r="I628" s="86" t="s">
        <v>115</v>
      </c>
      <c r="J628" s="83"/>
      <c r="K628" s="86">
        <v>30000</v>
      </c>
      <c r="L628" s="86">
        <v>0</v>
      </c>
      <c r="M628" s="83"/>
      <c r="N628" s="86">
        <v>200115</v>
      </c>
      <c r="O628" s="86">
        <v>200116</v>
      </c>
      <c r="P628" s="86">
        <v>200113</v>
      </c>
      <c r="Q628" s="85">
        <v>371</v>
      </c>
      <c r="R628" s="86">
        <v>11806</v>
      </c>
    </row>
    <row r="629" spans="1:18" x14ac:dyDescent="0.15">
      <c r="A629" s="86" t="s">
        <v>1</v>
      </c>
      <c r="B629" s="85">
        <v>203041</v>
      </c>
      <c r="C629" s="83"/>
      <c r="D629" s="86">
        <v>3</v>
      </c>
      <c r="E629" s="86" t="s">
        <v>115</v>
      </c>
      <c r="F629" s="86" t="s">
        <v>115</v>
      </c>
      <c r="G629" s="86" t="s">
        <v>115</v>
      </c>
      <c r="H629" s="86" t="s">
        <v>7307</v>
      </c>
      <c r="I629" s="86" t="s">
        <v>115</v>
      </c>
      <c r="J629" s="83"/>
      <c r="K629" s="86">
        <v>40000</v>
      </c>
      <c r="L629" s="86">
        <v>203042</v>
      </c>
      <c r="M629" s="83"/>
      <c r="N629" s="86" t="s">
        <v>115</v>
      </c>
      <c r="O629" s="86" t="s">
        <v>115</v>
      </c>
      <c r="P629" s="86">
        <v>200111</v>
      </c>
      <c r="Q629" s="85">
        <v>371</v>
      </c>
      <c r="R629" s="86">
        <v>3870</v>
      </c>
    </row>
    <row r="630" spans="1:18" x14ac:dyDescent="0.15">
      <c r="A630" s="86" t="s">
        <v>1</v>
      </c>
      <c r="B630" s="86">
        <v>203042</v>
      </c>
      <c r="C630" s="83"/>
      <c r="D630" s="86" t="s">
        <v>115</v>
      </c>
      <c r="E630" s="86">
        <v>1</v>
      </c>
      <c r="F630" s="86">
        <v>5</v>
      </c>
      <c r="G630" s="86" t="s">
        <v>115</v>
      </c>
      <c r="H630" s="86" t="s">
        <v>7307</v>
      </c>
      <c r="I630" s="4" t="s">
        <v>4800</v>
      </c>
      <c r="J630" s="83"/>
      <c r="K630" s="86">
        <v>40000</v>
      </c>
      <c r="L630" s="86">
        <v>203043</v>
      </c>
      <c r="M630" s="83"/>
      <c r="N630" s="86" t="s">
        <v>115</v>
      </c>
      <c r="O630" s="86" t="s">
        <v>115</v>
      </c>
      <c r="P630" s="86">
        <v>200112</v>
      </c>
      <c r="Q630" s="85">
        <v>371</v>
      </c>
      <c r="R630" s="86">
        <v>12169</v>
      </c>
    </row>
    <row r="631" spans="1:18" x14ac:dyDescent="0.15">
      <c r="A631" s="86" t="s">
        <v>1</v>
      </c>
      <c r="B631" s="86">
        <v>203043</v>
      </c>
      <c r="C631" s="83"/>
      <c r="D631" s="86" t="s">
        <v>115</v>
      </c>
      <c r="E631" s="86">
        <v>2</v>
      </c>
      <c r="F631" s="86">
        <v>5</v>
      </c>
      <c r="G631" s="86" t="s">
        <v>115</v>
      </c>
      <c r="H631" s="86" t="s">
        <v>7307</v>
      </c>
      <c r="I631" s="86" t="s">
        <v>115</v>
      </c>
      <c r="J631" s="83"/>
      <c r="K631" s="86">
        <v>40000</v>
      </c>
      <c r="L631" s="86">
        <v>0</v>
      </c>
      <c r="M631" s="83"/>
      <c r="N631" s="86">
        <v>200115</v>
      </c>
      <c r="O631" s="86">
        <v>200116</v>
      </c>
      <c r="P631" s="86">
        <v>200113</v>
      </c>
      <c r="Q631" s="85">
        <v>371</v>
      </c>
      <c r="R631" s="86">
        <v>11806</v>
      </c>
    </row>
    <row r="632" spans="1:18" x14ac:dyDescent="0.15">
      <c r="A632" s="86" t="s">
        <v>1</v>
      </c>
      <c r="B632" s="85">
        <v>203051</v>
      </c>
      <c r="C632" s="83"/>
      <c r="D632" s="86">
        <v>3</v>
      </c>
      <c r="E632" s="86" t="s">
        <v>115</v>
      </c>
      <c r="F632" s="86" t="s">
        <v>115</v>
      </c>
      <c r="G632" s="86" t="s">
        <v>115</v>
      </c>
      <c r="H632" s="86" t="s">
        <v>7307</v>
      </c>
      <c r="I632" s="86" t="s">
        <v>115</v>
      </c>
      <c r="J632" s="83"/>
      <c r="K632" s="86">
        <v>50000</v>
      </c>
      <c r="L632" s="86">
        <v>203052</v>
      </c>
      <c r="M632" s="83"/>
      <c r="N632" s="86" t="s">
        <v>115</v>
      </c>
      <c r="O632" s="86" t="s">
        <v>115</v>
      </c>
      <c r="P632" s="86">
        <v>200111</v>
      </c>
      <c r="Q632" s="85">
        <v>371</v>
      </c>
      <c r="R632" s="86">
        <v>3870</v>
      </c>
    </row>
    <row r="633" spans="1:18" x14ac:dyDescent="0.15">
      <c r="A633" s="86" t="s">
        <v>1</v>
      </c>
      <c r="B633" s="85">
        <v>203052</v>
      </c>
      <c r="C633" s="83"/>
      <c r="D633" s="86" t="s">
        <v>115</v>
      </c>
      <c r="E633" s="86">
        <v>1</v>
      </c>
      <c r="F633" s="86">
        <v>5</v>
      </c>
      <c r="G633" s="86" t="s">
        <v>115</v>
      </c>
      <c r="H633" s="86" t="s">
        <v>7307</v>
      </c>
      <c r="I633" s="4" t="s">
        <v>4800</v>
      </c>
      <c r="J633" s="83"/>
      <c r="K633" s="86">
        <v>50000</v>
      </c>
      <c r="L633" s="86">
        <v>203053</v>
      </c>
      <c r="M633" s="83"/>
      <c r="N633" s="86" t="s">
        <v>115</v>
      </c>
      <c r="O633" s="86" t="s">
        <v>115</v>
      </c>
      <c r="P633" s="86">
        <v>200112</v>
      </c>
      <c r="Q633" s="85">
        <v>371</v>
      </c>
      <c r="R633" s="86">
        <v>12169</v>
      </c>
    </row>
    <row r="634" spans="1:18" x14ac:dyDescent="0.15">
      <c r="A634" s="86" t="s">
        <v>1</v>
      </c>
      <c r="B634" s="86">
        <v>203053</v>
      </c>
      <c r="C634" s="83"/>
      <c r="D634" s="86" t="s">
        <v>115</v>
      </c>
      <c r="E634" s="86">
        <v>2</v>
      </c>
      <c r="F634" s="86">
        <v>5</v>
      </c>
      <c r="G634" s="86" t="s">
        <v>115</v>
      </c>
      <c r="H634" s="86" t="s">
        <v>7307</v>
      </c>
      <c r="I634" s="86" t="s">
        <v>115</v>
      </c>
      <c r="J634" s="83"/>
      <c r="K634" s="86">
        <v>50000</v>
      </c>
      <c r="L634" s="86">
        <v>0</v>
      </c>
      <c r="M634" s="83"/>
      <c r="N634" s="86">
        <v>200115</v>
      </c>
      <c r="O634" s="86">
        <v>200116</v>
      </c>
      <c r="P634" s="86">
        <v>200113</v>
      </c>
      <c r="Q634" s="85">
        <v>371</v>
      </c>
      <c r="R634" s="86">
        <v>11806</v>
      </c>
    </row>
    <row r="635" spans="1:18" x14ac:dyDescent="0.15">
      <c r="A635" s="86" t="s">
        <v>1</v>
      </c>
      <c r="B635" s="85">
        <v>203061</v>
      </c>
      <c r="C635" s="83"/>
      <c r="D635" s="86">
        <v>3</v>
      </c>
      <c r="E635" s="86" t="s">
        <v>115</v>
      </c>
      <c r="F635" s="86" t="s">
        <v>115</v>
      </c>
      <c r="G635" s="86" t="s">
        <v>115</v>
      </c>
      <c r="H635" s="86" t="s">
        <v>7307</v>
      </c>
      <c r="I635" s="86" t="s">
        <v>115</v>
      </c>
      <c r="J635" s="83"/>
      <c r="K635" s="86">
        <v>60000</v>
      </c>
      <c r="L635" s="86">
        <v>203062</v>
      </c>
      <c r="M635" s="83"/>
      <c r="N635" s="86" t="s">
        <v>115</v>
      </c>
      <c r="O635" s="86" t="s">
        <v>115</v>
      </c>
      <c r="P635" s="86">
        <v>200111</v>
      </c>
      <c r="Q635" s="85">
        <v>371</v>
      </c>
      <c r="R635" s="86">
        <v>3870</v>
      </c>
    </row>
    <row r="636" spans="1:18" x14ac:dyDescent="0.15">
      <c r="A636" s="86" t="s">
        <v>1</v>
      </c>
      <c r="B636" s="86">
        <v>203062</v>
      </c>
      <c r="C636" s="83"/>
      <c r="D636" s="86" t="s">
        <v>115</v>
      </c>
      <c r="E636" s="86">
        <v>1</v>
      </c>
      <c r="F636" s="86">
        <v>5</v>
      </c>
      <c r="G636" s="86" t="s">
        <v>115</v>
      </c>
      <c r="H636" s="86" t="s">
        <v>7307</v>
      </c>
      <c r="I636" s="4" t="s">
        <v>4800</v>
      </c>
      <c r="J636" s="83"/>
      <c r="K636" s="86">
        <v>60000</v>
      </c>
      <c r="L636" s="86">
        <v>203063</v>
      </c>
      <c r="M636" s="83"/>
      <c r="N636" s="86" t="s">
        <v>115</v>
      </c>
      <c r="O636" s="86" t="s">
        <v>115</v>
      </c>
      <c r="P636" s="86">
        <v>200112</v>
      </c>
      <c r="Q636" s="85">
        <v>371</v>
      </c>
      <c r="R636" s="86">
        <v>12169</v>
      </c>
    </row>
    <row r="637" spans="1:18" x14ac:dyDescent="0.15">
      <c r="A637" s="86" t="s">
        <v>1</v>
      </c>
      <c r="B637" s="86">
        <v>203063</v>
      </c>
      <c r="C637" s="83"/>
      <c r="D637" s="86" t="s">
        <v>115</v>
      </c>
      <c r="E637" s="86">
        <v>2</v>
      </c>
      <c r="F637" s="86">
        <v>5</v>
      </c>
      <c r="G637" s="86" t="s">
        <v>115</v>
      </c>
      <c r="H637" s="86" t="s">
        <v>7307</v>
      </c>
      <c r="I637" s="86" t="s">
        <v>115</v>
      </c>
      <c r="J637" s="83"/>
      <c r="K637" s="86">
        <v>60000</v>
      </c>
      <c r="L637" s="86">
        <v>0</v>
      </c>
      <c r="M637" s="83"/>
      <c r="N637" s="86">
        <v>200115</v>
      </c>
      <c r="O637" s="86">
        <v>200116</v>
      </c>
      <c r="P637" s="86">
        <v>200113</v>
      </c>
      <c r="Q637" s="85">
        <v>371</v>
      </c>
      <c r="R637" s="86">
        <v>11806</v>
      </c>
    </row>
    <row r="638" spans="1:18" x14ac:dyDescent="0.15">
      <c r="A638" s="86" t="s">
        <v>1</v>
      </c>
      <c r="B638" s="85">
        <v>203071</v>
      </c>
      <c r="C638" s="83"/>
      <c r="D638" s="86">
        <v>3</v>
      </c>
      <c r="E638" s="86" t="s">
        <v>115</v>
      </c>
      <c r="F638" s="86" t="s">
        <v>115</v>
      </c>
      <c r="G638" s="86" t="s">
        <v>115</v>
      </c>
      <c r="H638" s="86" t="s">
        <v>7307</v>
      </c>
      <c r="I638" s="86" t="s">
        <v>115</v>
      </c>
      <c r="J638" s="83"/>
      <c r="K638" s="86">
        <v>70000</v>
      </c>
      <c r="L638" s="86">
        <v>203072</v>
      </c>
      <c r="M638" s="83"/>
      <c r="N638" s="86" t="s">
        <v>115</v>
      </c>
      <c r="O638" s="86" t="s">
        <v>115</v>
      </c>
      <c r="P638" s="86">
        <v>200111</v>
      </c>
      <c r="Q638" s="85">
        <v>371</v>
      </c>
      <c r="R638" s="86">
        <v>3870</v>
      </c>
    </row>
    <row r="639" spans="1:18" x14ac:dyDescent="0.15">
      <c r="A639" s="86" t="s">
        <v>1</v>
      </c>
      <c r="B639" s="85">
        <v>203072</v>
      </c>
      <c r="C639" s="83"/>
      <c r="D639" s="86" t="s">
        <v>115</v>
      </c>
      <c r="E639" s="86">
        <v>1</v>
      </c>
      <c r="F639" s="86">
        <v>5</v>
      </c>
      <c r="G639" s="86" t="s">
        <v>115</v>
      </c>
      <c r="H639" s="86" t="s">
        <v>7307</v>
      </c>
      <c r="I639" s="4" t="s">
        <v>4800</v>
      </c>
      <c r="J639" s="83"/>
      <c r="K639" s="86">
        <v>70000</v>
      </c>
      <c r="L639" s="86">
        <v>203073</v>
      </c>
      <c r="M639" s="83"/>
      <c r="N639" s="86" t="s">
        <v>115</v>
      </c>
      <c r="O639" s="86" t="s">
        <v>115</v>
      </c>
      <c r="P639" s="86">
        <v>200112</v>
      </c>
      <c r="Q639" s="85">
        <v>371</v>
      </c>
      <c r="R639" s="86">
        <v>12169</v>
      </c>
    </row>
    <row r="640" spans="1:18" x14ac:dyDescent="0.15">
      <c r="A640" s="86" t="s">
        <v>1</v>
      </c>
      <c r="B640" s="86">
        <v>203073</v>
      </c>
      <c r="C640" s="83"/>
      <c r="D640" s="86" t="s">
        <v>115</v>
      </c>
      <c r="E640" s="86">
        <v>2</v>
      </c>
      <c r="F640" s="86">
        <v>5</v>
      </c>
      <c r="G640" s="86" t="s">
        <v>115</v>
      </c>
      <c r="H640" s="86" t="s">
        <v>7307</v>
      </c>
      <c r="I640" s="86" t="s">
        <v>115</v>
      </c>
      <c r="J640" s="83"/>
      <c r="K640" s="86">
        <v>70000</v>
      </c>
      <c r="L640" s="86">
        <v>0</v>
      </c>
      <c r="M640" s="83"/>
      <c r="N640" s="86">
        <v>200115</v>
      </c>
      <c r="O640" s="86">
        <v>200116</v>
      </c>
      <c r="P640" s="86">
        <v>200113</v>
      </c>
      <c r="Q640" s="85">
        <v>371</v>
      </c>
      <c r="R640" s="86">
        <v>11806</v>
      </c>
    </row>
    <row r="641" spans="1:18" x14ac:dyDescent="0.15">
      <c r="A641" s="86" t="s">
        <v>1</v>
      </c>
      <c r="B641" s="85">
        <v>203081</v>
      </c>
      <c r="C641" s="83"/>
      <c r="D641" s="86">
        <v>3</v>
      </c>
      <c r="E641" s="86" t="s">
        <v>115</v>
      </c>
      <c r="F641" s="86" t="s">
        <v>115</v>
      </c>
      <c r="G641" s="86" t="s">
        <v>115</v>
      </c>
      <c r="H641" s="86" t="s">
        <v>7307</v>
      </c>
      <c r="I641" s="86" t="s">
        <v>115</v>
      </c>
      <c r="J641" s="83"/>
      <c r="K641" s="86">
        <v>80000</v>
      </c>
      <c r="L641" s="86">
        <v>203082</v>
      </c>
      <c r="M641" s="83"/>
      <c r="N641" s="86" t="s">
        <v>115</v>
      </c>
      <c r="O641" s="86" t="s">
        <v>115</v>
      </c>
      <c r="P641" s="86">
        <v>200111</v>
      </c>
      <c r="Q641" s="85">
        <v>371</v>
      </c>
      <c r="R641" s="86">
        <v>3870</v>
      </c>
    </row>
    <row r="642" spans="1:18" x14ac:dyDescent="0.15">
      <c r="A642" s="86" t="s">
        <v>1</v>
      </c>
      <c r="B642" s="86">
        <v>203082</v>
      </c>
      <c r="C642" s="83"/>
      <c r="D642" s="86" t="s">
        <v>115</v>
      </c>
      <c r="E642" s="86">
        <v>1</v>
      </c>
      <c r="F642" s="86">
        <v>5</v>
      </c>
      <c r="G642" s="86" t="s">
        <v>115</v>
      </c>
      <c r="H642" s="86" t="s">
        <v>7307</v>
      </c>
      <c r="I642" s="4" t="s">
        <v>4800</v>
      </c>
      <c r="J642" s="83"/>
      <c r="K642" s="86">
        <v>80000</v>
      </c>
      <c r="L642" s="86">
        <v>203083</v>
      </c>
      <c r="M642" s="83"/>
      <c r="N642" s="86" t="s">
        <v>115</v>
      </c>
      <c r="O642" s="86" t="s">
        <v>115</v>
      </c>
      <c r="P642" s="86">
        <v>200112</v>
      </c>
      <c r="Q642" s="85">
        <v>371</v>
      </c>
      <c r="R642" s="86">
        <v>12169</v>
      </c>
    </row>
    <row r="643" spans="1:18" x14ac:dyDescent="0.15">
      <c r="A643" s="86" t="s">
        <v>1</v>
      </c>
      <c r="B643" s="86">
        <v>203083</v>
      </c>
      <c r="C643" s="83"/>
      <c r="D643" s="86" t="s">
        <v>115</v>
      </c>
      <c r="E643" s="86">
        <v>2</v>
      </c>
      <c r="F643" s="86">
        <v>5</v>
      </c>
      <c r="G643" s="86" t="s">
        <v>115</v>
      </c>
      <c r="H643" s="86" t="s">
        <v>7307</v>
      </c>
      <c r="I643" s="86" t="s">
        <v>115</v>
      </c>
      <c r="J643" s="83"/>
      <c r="K643" s="86">
        <v>80000</v>
      </c>
      <c r="L643" s="86">
        <v>0</v>
      </c>
      <c r="M643" s="83"/>
      <c r="N643" s="86">
        <v>200115</v>
      </c>
      <c r="O643" s="86">
        <v>200116</v>
      </c>
      <c r="P643" s="86">
        <v>200113</v>
      </c>
      <c r="Q643" s="85">
        <v>371</v>
      </c>
      <c r="R643" s="86">
        <v>11806</v>
      </c>
    </row>
    <row r="644" spans="1:18" x14ac:dyDescent="0.15">
      <c r="A644" s="86" t="s">
        <v>1</v>
      </c>
      <c r="B644" s="85">
        <v>203091</v>
      </c>
      <c r="C644" s="83"/>
      <c r="D644" s="86">
        <v>3</v>
      </c>
      <c r="E644" s="86" t="s">
        <v>115</v>
      </c>
      <c r="F644" s="86" t="s">
        <v>115</v>
      </c>
      <c r="G644" s="86" t="s">
        <v>115</v>
      </c>
      <c r="H644" s="86" t="s">
        <v>7307</v>
      </c>
      <c r="I644" s="86" t="s">
        <v>115</v>
      </c>
      <c r="J644" s="83"/>
      <c r="K644" s="86">
        <v>90000</v>
      </c>
      <c r="L644" s="86">
        <v>203092</v>
      </c>
      <c r="M644" s="83"/>
      <c r="N644" s="86" t="s">
        <v>115</v>
      </c>
      <c r="O644" s="86" t="s">
        <v>115</v>
      </c>
      <c r="P644" s="86">
        <v>200111</v>
      </c>
      <c r="Q644" s="85">
        <v>371</v>
      </c>
      <c r="R644" s="86">
        <v>3870</v>
      </c>
    </row>
    <row r="645" spans="1:18" x14ac:dyDescent="0.15">
      <c r="A645" s="86" t="s">
        <v>1</v>
      </c>
      <c r="B645" s="85">
        <v>203092</v>
      </c>
      <c r="C645" s="83"/>
      <c r="D645" s="86" t="s">
        <v>115</v>
      </c>
      <c r="E645" s="86">
        <v>1</v>
      </c>
      <c r="F645" s="86">
        <v>5</v>
      </c>
      <c r="G645" s="86" t="s">
        <v>115</v>
      </c>
      <c r="H645" s="86" t="s">
        <v>7307</v>
      </c>
      <c r="I645" s="4" t="s">
        <v>4800</v>
      </c>
      <c r="J645" s="83"/>
      <c r="K645" s="86">
        <v>90000</v>
      </c>
      <c r="L645" s="86">
        <v>203093</v>
      </c>
      <c r="M645" s="83"/>
      <c r="N645" s="86" t="s">
        <v>115</v>
      </c>
      <c r="O645" s="86" t="s">
        <v>115</v>
      </c>
      <c r="P645" s="86">
        <v>200112</v>
      </c>
      <c r="Q645" s="85">
        <v>371</v>
      </c>
      <c r="R645" s="86">
        <v>12169</v>
      </c>
    </row>
    <row r="646" spans="1:18" x14ac:dyDescent="0.15">
      <c r="A646" s="86" t="s">
        <v>1</v>
      </c>
      <c r="B646" s="86">
        <v>203093</v>
      </c>
      <c r="C646" s="83"/>
      <c r="D646" s="86" t="s">
        <v>115</v>
      </c>
      <c r="E646" s="86">
        <v>2</v>
      </c>
      <c r="F646" s="86">
        <v>5</v>
      </c>
      <c r="G646" s="86" t="s">
        <v>115</v>
      </c>
      <c r="H646" s="86" t="s">
        <v>7307</v>
      </c>
      <c r="I646" s="86" t="s">
        <v>115</v>
      </c>
      <c r="J646" s="83"/>
      <c r="K646" s="86">
        <v>90000</v>
      </c>
      <c r="L646" s="86">
        <v>0</v>
      </c>
      <c r="M646" s="83"/>
      <c r="N646" s="86">
        <v>200115</v>
      </c>
      <c r="O646" s="86">
        <v>200116</v>
      </c>
      <c r="P646" s="86">
        <v>200113</v>
      </c>
      <c r="Q646" s="85">
        <v>371</v>
      </c>
      <c r="R646" s="86">
        <v>11806</v>
      </c>
    </row>
    <row r="647" spans="1:18" x14ac:dyDescent="0.15">
      <c r="A647" s="86" t="s">
        <v>1</v>
      </c>
      <c r="B647" s="85">
        <v>203101</v>
      </c>
      <c r="C647" s="83"/>
      <c r="D647" s="86">
        <v>3</v>
      </c>
      <c r="E647" s="86" t="s">
        <v>115</v>
      </c>
      <c r="F647" s="86" t="s">
        <v>115</v>
      </c>
      <c r="G647" s="86" t="s">
        <v>115</v>
      </c>
      <c r="H647" s="86" t="s">
        <v>7307</v>
      </c>
      <c r="I647" s="86" t="s">
        <v>115</v>
      </c>
      <c r="J647" s="83"/>
      <c r="K647" s="86">
        <v>100000</v>
      </c>
      <c r="L647" s="86">
        <v>203102</v>
      </c>
      <c r="M647" s="83"/>
      <c r="N647" s="86" t="s">
        <v>115</v>
      </c>
      <c r="O647" s="86" t="s">
        <v>115</v>
      </c>
      <c r="P647" s="86">
        <v>200111</v>
      </c>
      <c r="Q647" s="85">
        <v>371</v>
      </c>
      <c r="R647" s="86">
        <v>3870</v>
      </c>
    </row>
    <row r="648" spans="1:18" x14ac:dyDescent="0.15">
      <c r="A648" s="86" t="s">
        <v>1</v>
      </c>
      <c r="B648" s="86">
        <v>203102</v>
      </c>
      <c r="C648" s="83"/>
      <c r="D648" s="86" t="s">
        <v>115</v>
      </c>
      <c r="E648" s="86">
        <v>1</v>
      </c>
      <c r="F648" s="86">
        <v>5</v>
      </c>
      <c r="G648" s="86" t="s">
        <v>115</v>
      </c>
      <c r="H648" s="86" t="s">
        <v>7307</v>
      </c>
      <c r="I648" s="4" t="s">
        <v>4800</v>
      </c>
      <c r="J648" s="83"/>
      <c r="K648" s="86">
        <v>100000</v>
      </c>
      <c r="L648" s="86">
        <v>203103</v>
      </c>
      <c r="M648" s="83"/>
      <c r="N648" s="86" t="s">
        <v>115</v>
      </c>
      <c r="O648" s="86" t="s">
        <v>115</v>
      </c>
      <c r="P648" s="86">
        <v>200112</v>
      </c>
      <c r="Q648" s="85">
        <v>371</v>
      </c>
      <c r="R648" s="86">
        <v>12169</v>
      </c>
    </row>
    <row r="649" spans="1:18" x14ac:dyDescent="0.15">
      <c r="A649" s="86" t="s">
        <v>1</v>
      </c>
      <c r="B649" s="86">
        <v>203103</v>
      </c>
      <c r="C649" s="83"/>
      <c r="D649" s="86" t="s">
        <v>115</v>
      </c>
      <c r="E649" s="86">
        <v>2</v>
      </c>
      <c r="F649" s="86">
        <v>5</v>
      </c>
      <c r="G649" s="86" t="s">
        <v>115</v>
      </c>
      <c r="H649" s="86" t="s">
        <v>7307</v>
      </c>
      <c r="I649" s="86" t="s">
        <v>115</v>
      </c>
      <c r="J649" s="83"/>
      <c r="K649" s="86">
        <v>100000</v>
      </c>
      <c r="L649" s="86">
        <v>0</v>
      </c>
      <c r="M649" s="83"/>
      <c r="N649" s="86">
        <v>200115</v>
      </c>
      <c r="O649" s="86">
        <v>200116</v>
      </c>
      <c r="P649" s="86">
        <v>200113</v>
      </c>
      <c r="Q649" s="85">
        <v>371</v>
      </c>
      <c r="R649" s="86">
        <v>11806</v>
      </c>
    </row>
    <row r="650" spans="1:18" x14ac:dyDescent="0.15">
      <c r="A650" s="86" t="s">
        <v>1</v>
      </c>
      <c r="B650" s="85">
        <v>203111</v>
      </c>
      <c r="C650" s="83"/>
      <c r="D650" s="86">
        <v>3</v>
      </c>
      <c r="E650" s="86" t="s">
        <v>115</v>
      </c>
      <c r="F650" s="86" t="s">
        <v>115</v>
      </c>
      <c r="G650" s="86" t="s">
        <v>115</v>
      </c>
      <c r="H650" s="86" t="s">
        <v>7307</v>
      </c>
      <c r="I650" s="86" t="s">
        <v>115</v>
      </c>
      <c r="J650" s="83"/>
      <c r="K650" s="86">
        <v>110000</v>
      </c>
      <c r="L650" s="86">
        <v>203112</v>
      </c>
      <c r="M650" s="83"/>
      <c r="N650" s="86" t="s">
        <v>115</v>
      </c>
      <c r="O650" s="86" t="s">
        <v>115</v>
      </c>
      <c r="P650" s="86">
        <v>200111</v>
      </c>
      <c r="Q650" s="85">
        <v>371</v>
      </c>
      <c r="R650" s="86">
        <v>3870</v>
      </c>
    </row>
    <row r="651" spans="1:18" x14ac:dyDescent="0.15">
      <c r="A651" s="86" t="s">
        <v>1</v>
      </c>
      <c r="B651" s="85">
        <v>203112</v>
      </c>
      <c r="C651" s="83"/>
      <c r="D651" s="86" t="s">
        <v>115</v>
      </c>
      <c r="E651" s="86">
        <v>1</v>
      </c>
      <c r="F651" s="86">
        <v>5</v>
      </c>
      <c r="G651" s="86" t="s">
        <v>115</v>
      </c>
      <c r="H651" s="86" t="s">
        <v>7307</v>
      </c>
      <c r="I651" s="4" t="s">
        <v>4800</v>
      </c>
      <c r="J651" s="83"/>
      <c r="K651" s="86">
        <v>110000</v>
      </c>
      <c r="L651" s="86">
        <v>203113</v>
      </c>
      <c r="M651" s="83"/>
      <c r="N651" s="86" t="s">
        <v>115</v>
      </c>
      <c r="O651" s="86" t="s">
        <v>115</v>
      </c>
      <c r="P651" s="86">
        <v>200112</v>
      </c>
      <c r="Q651" s="85">
        <v>371</v>
      </c>
      <c r="R651" s="86">
        <v>12169</v>
      </c>
    </row>
    <row r="652" spans="1:18" x14ac:dyDescent="0.15">
      <c r="A652" s="86" t="s">
        <v>1</v>
      </c>
      <c r="B652" s="86">
        <v>203113</v>
      </c>
      <c r="C652" s="83"/>
      <c r="D652" s="86" t="s">
        <v>115</v>
      </c>
      <c r="E652" s="86">
        <v>2</v>
      </c>
      <c r="F652" s="86">
        <v>5</v>
      </c>
      <c r="G652" s="86" t="s">
        <v>115</v>
      </c>
      <c r="H652" s="86" t="s">
        <v>7307</v>
      </c>
      <c r="I652" s="86" t="s">
        <v>115</v>
      </c>
      <c r="J652" s="83"/>
      <c r="K652" s="86">
        <v>110000</v>
      </c>
      <c r="L652" s="86">
        <v>0</v>
      </c>
      <c r="M652" s="83"/>
      <c r="N652" s="86">
        <v>200115</v>
      </c>
      <c r="O652" s="86">
        <v>200116</v>
      </c>
      <c r="P652" s="86">
        <v>200113</v>
      </c>
      <c r="Q652" s="85">
        <v>371</v>
      </c>
      <c r="R652" s="86">
        <v>11806</v>
      </c>
    </row>
    <row r="653" spans="1:18" x14ac:dyDescent="0.15">
      <c r="A653" s="86" t="s">
        <v>1</v>
      </c>
      <c r="B653" s="85">
        <v>203121</v>
      </c>
      <c r="C653" s="83"/>
      <c r="D653" s="86">
        <v>3</v>
      </c>
      <c r="E653" s="86" t="s">
        <v>115</v>
      </c>
      <c r="F653" s="86" t="s">
        <v>115</v>
      </c>
      <c r="G653" s="86" t="s">
        <v>115</v>
      </c>
      <c r="H653" s="86" t="s">
        <v>7307</v>
      </c>
      <c r="I653" s="86" t="s">
        <v>115</v>
      </c>
      <c r="J653" s="83"/>
      <c r="K653" s="86">
        <v>120000</v>
      </c>
      <c r="L653" s="86">
        <v>203122</v>
      </c>
      <c r="M653" s="83"/>
      <c r="N653" s="86" t="s">
        <v>115</v>
      </c>
      <c r="O653" s="86" t="s">
        <v>115</v>
      </c>
      <c r="P653" s="86">
        <v>200111</v>
      </c>
      <c r="Q653" s="85">
        <v>371</v>
      </c>
      <c r="R653" s="86">
        <v>3870</v>
      </c>
    </row>
    <row r="654" spans="1:18" x14ac:dyDescent="0.15">
      <c r="A654" s="86" t="s">
        <v>1</v>
      </c>
      <c r="B654" s="86">
        <v>203122</v>
      </c>
      <c r="C654" s="83"/>
      <c r="D654" s="86" t="s">
        <v>115</v>
      </c>
      <c r="E654" s="86">
        <v>1</v>
      </c>
      <c r="F654" s="86">
        <v>5</v>
      </c>
      <c r="G654" s="86" t="s">
        <v>115</v>
      </c>
      <c r="H654" s="86" t="s">
        <v>7307</v>
      </c>
      <c r="I654" s="4" t="s">
        <v>4800</v>
      </c>
      <c r="J654" s="83"/>
      <c r="K654" s="86">
        <v>120000</v>
      </c>
      <c r="L654" s="86">
        <v>203123</v>
      </c>
      <c r="M654" s="83"/>
      <c r="N654" s="86" t="s">
        <v>115</v>
      </c>
      <c r="O654" s="86" t="s">
        <v>115</v>
      </c>
      <c r="P654" s="86">
        <v>200112</v>
      </c>
      <c r="Q654" s="85">
        <v>371</v>
      </c>
      <c r="R654" s="86">
        <v>12169</v>
      </c>
    </row>
    <row r="655" spans="1:18" x14ac:dyDescent="0.15">
      <c r="A655" s="86" t="s">
        <v>1</v>
      </c>
      <c r="B655" s="86">
        <v>203123</v>
      </c>
      <c r="C655" s="83"/>
      <c r="D655" s="86" t="s">
        <v>115</v>
      </c>
      <c r="E655" s="86">
        <v>2</v>
      </c>
      <c r="F655" s="86">
        <v>5</v>
      </c>
      <c r="G655" s="86" t="s">
        <v>115</v>
      </c>
      <c r="H655" s="86" t="s">
        <v>7307</v>
      </c>
      <c r="I655" s="86" t="s">
        <v>115</v>
      </c>
      <c r="J655" s="83"/>
      <c r="K655" s="86">
        <v>120000</v>
      </c>
      <c r="L655" s="86">
        <v>0</v>
      </c>
      <c r="M655" s="83"/>
      <c r="N655" s="86">
        <v>200115</v>
      </c>
      <c r="O655" s="86">
        <v>200116</v>
      </c>
      <c r="P655" s="86">
        <v>200113</v>
      </c>
      <c r="Q655" s="85">
        <v>371</v>
      </c>
      <c r="R655" s="86">
        <v>11806</v>
      </c>
    </row>
    <row r="656" spans="1:18" x14ac:dyDescent="0.15">
      <c r="A656" s="86" t="s">
        <v>1</v>
      </c>
      <c r="B656" s="85">
        <v>204011</v>
      </c>
      <c r="C656" s="83"/>
      <c r="D656" s="86">
        <v>3</v>
      </c>
      <c r="E656" s="86" t="s">
        <v>115</v>
      </c>
      <c r="F656" s="86" t="s">
        <v>115</v>
      </c>
      <c r="G656" s="86" t="s">
        <v>115</v>
      </c>
      <c r="H656" s="86" t="s">
        <v>7307</v>
      </c>
      <c r="I656" s="86" t="s">
        <v>115</v>
      </c>
      <c r="J656" s="83"/>
      <c r="K656" s="86">
        <v>9000</v>
      </c>
      <c r="L656" s="86">
        <v>204012</v>
      </c>
      <c r="M656" s="83"/>
      <c r="N656" s="86" t="s">
        <v>115</v>
      </c>
      <c r="O656" s="86" t="s">
        <v>115</v>
      </c>
      <c r="P656" s="86">
        <v>200111</v>
      </c>
      <c r="Q656" s="85">
        <v>371</v>
      </c>
      <c r="R656" s="86">
        <v>3210</v>
      </c>
    </row>
    <row r="657" spans="1:18" x14ac:dyDescent="0.15">
      <c r="A657" s="86" t="s">
        <v>1</v>
      </c>
      <c r="B657" s="85">
        <v>204012</v>
      </c>
      <c r="C657" s="83"/>
      <c r="D657" s="86" t="s">
        <v>115</v>
      </c>
      <c r="E657" s="86">
        <v>1</v>
      </c>
      <c r="F657" s="86">
        <v>5</v>
      </c>
      <c r="G657" s="86" t="s">
        <v>115</v>
      </c>
      <c r="H657" s="86" t="s">
        <v>7307</v>
      </c>
      <c r="I657" s="4" t="s">
        <v>4800</v>
      </c>
      <c r="J657" s="83"/>
      <c r="K657" s="86">
        <v>9000</v>
      </c>
      <c r="L657" s="86">
        <v>204013</v>
      </c>
      <c r="M657" s="83"/>
      <c r="N657" s="86" t="s">
        <v>115</v>
      </c>
      <c r="O657" s="86" t="s">
        <v>115</v>
      </c>
      <c r="P657" s="86">
        <v>200112</v>
      </c>
      <c r="Q657" s="85">
        <v>371</v>
      </c>
      <c r="R657" s="86">
        <v>3270</v>
      </c>
    </row>
    <row r="658" spans="1:18" x14ac:dyDescent="0.15">
      <c r="A658" s="86" t="s">
        <v>1</v>
      </c>
      <c r="B658" s="85">
        <v>204013</v>
      </c>
      <c r="C658" s="83"/>
      <c r="D658" s="86" t="s">
        <v>115</v>
      </c>
      <c r="E658" s="86">
        <v>2</v>
      </c>
      <c r="F658" s="86">
        <v>5</v>
      </c>
      <c r="G658" s="86" t="s">
        <v>115</v>
      </c>
      <c r="H658" s="86" t="s">
        <v>7307</v>
      </c>
      <c r="I658" s="86" t="s">
        <v>115</v>
      </c>
      <c r="J658" s="83"/>
      <c r="K658" s="86">
        <v>9000</v>
      </c>
      <c r="L658" s="86">
        <v>0</v>
      </c>
      <c r="M658" s="83"/>
      <c r="N658" s="86">
        <v>200115</v>
      </c>
      <c r="O658" s="86">
        <v>200116</v>
      </c>
      <c r="P658" s="86">
        <v>200113</v>
      </c>
      <c r="Q658" s="85">
        <v>371</v>
      </c>
      <c r="R658" s="86">
        <v>2805</v>
      </c>
    </row>
    <row r="659" spans="1:18" x14ac:dyDescent="0.15">
      <c r="A659" s="86" t="s">
        <v>1</v>
      </c>
      <c r="B659" s="85">
        <v>204021</v>
      </c>
      <c r="C659" s="83"/>
      <c r="D659" s="86">
        <v>3</v>
      </c>
      <c r="E659" s="86" t="s">
        <v>115</v>
      </c>
      <c r="F659" s="86" t="s">
        <v>115</v>
      </c>
      <c r="G659" s="86" t="s">
        <v>115</v>
      </c>
      <c r="H659" s="86" t="s">
        <v>7307</v>
      </c>
      <c r="I659" s="86" t="s">
        <v>115</v>
      </c>
      <c r="J659" s="83"/>
      <c r="K659" s="86">
        <v>20000</v>
      </c>
      <c r="L659" s="86">
        <v>204022</v>
      </c>
      <c r="M659" s="83"/>
      <c r="N659" s="86" t="s">
        <v>115</v>
      </c>
      <c r="O659" s="86" t="s">
        <v>115</v>
      </c>
      <c r="P659" s="86">
        <v>200111</v>
      </c>
      <c r="Q659" s="85">
        <v>371</v>
      </c>
      <c r="R659" s="86">
        <v>3870</v>
      </c>
    </row>
    <row r="660" spans="1:18" x14ac:dyDescent="0.15">
      <c r="A660" s="86" t="s">
        <v>1</v>
      </c>
      <c r="B660" s="85">
        <v>204022</v>
      </c>
      <c r="C660" s="83"/>
      <c r="D660" s="86" t="s">
        <v>115</v>
      </c>
      <c r="E660" s="86">
        <v>1</v>
      </c>
      <c r="F660" s="86">
        <v>5</v>
      </c>
      <c r="G660" s="86" t="s">
        <v>115</v>
      </c>
      <c r="H660" s="86" t="s">
        <v>7307</v>
      </c>
      <c r="I660" s="4" t="s">
        <v>4800</v>
      </c>
      <c r="J660" s="83"/>
      <c r="K660" s="86">
        <v>20000</v>
      </c>
      <c r="L660" s="86">
        <v>204023</v>
      </c>
      <c r="M660" s="83"/>
      <c r="N660" s="86" t="s">
        <v>115</v>
      </c>
      <c r="O660" s="86" t="s">
        <v>115</v>
      </c>
      <c r="P660" s="86">
        <v>200112</v>
      </c>
      <c r="Q660" s="85">
        <v>371</v>
      </c>
      <c r="R660" s="86">
        <v>12169</v>
      </c>
    </row>
    <row r="661" spans="1:18" x14ac:dyDescent="0.15">
      <c r="A661" s="86" t="s">
        <v>1</v>
      </c>
      <c r="B661" s="85">
        <v>204023</v>
      </c>
      <c r="C661" s="83"/>
      <c r="D661" s="86" t="s">
        <v>115</v>
      </c>
      <c r="E661" s="86">
        <v>2</v>
      </c>
      <c r="F661" s="86">
        <v>5</v>
      </c>
      <c r="G661" s="86" t="s">
        <v>115</v>
      </c>
      <c r="H661" s="86" t="s">
        <v>7307</v>
      </c>
      <c r="I661" s="86" t="s">
        <v>115</v>
      </c>
      <c r="J661" s="83"/>
      <c r="K661" s="86">
        <v>20000</v>
      </c>
      <c r="L661" s="86">
        <v>0</v>
      </c>
      <c r="M661" s="83"/>
      <c r="N661" s="86">
        <v>200115</v>
      </c>
      <c r="O661" s="86">
        <v>200116</v>
      </c>
      <c r="P661" s="86">
        <v>200113</v>
      </c>
      <c r="Q661" s="85">
        <v>371</v>
      </c>
      <c r="R661" s="86">
        <v>11806</v>
      </c>
    </row>
    <row r="662" spans="1:18" x14ac:dyDescent="0.15">
      <c r="A662" s="86" t="s">
        <v>1</v>
      </c>
      <c r="B662" s="85">
        <v>204031</v>
      </c>
      <c r="C662" s="83"/>
      <c r="D662" s="86">
        <v>3</v>
      </c>
      <c r="E662" s="86" t="s">
        <v>115</v>
      </c>
      <c r="F662" s="86" t="s">
        <v>115</v>
      </c>
      <c r="G662" s="86" t="s">
        <v>115</v>
      </c>
      <c r="H662" s="86" t="s">
        <v>7307</v>
      </c>
      <c r="I662" s="86" t="s">
        <v>115</v>
      </c>
      <c r="J662" s="83"/>
      <c r="K662" s="86">
        <v>30000</v>
      </c>
      <c r="L662" s="86">
        <v>204032</v>
      </c>
      <c r="M662" s="83"/>
      <c r="N662" s="86" t="s">
        <v>115</v>
      </c>
      <c r="O662" s="86" t="s">
        <v>115</v>
      </c>
      <c r="P662" s="86">
        <v>200111</v>
      </c>
      <c r="Q662" s="85">
        <v>371</v>
      </c>
      <c r="R662" s="86">
        <v>3870</v>
      </c>
    </row>
    <row r="663" spans="1:18" x14ac:dyDescent="0.15">
      <c r="A663" s="86" t="s">
        <v>1</v>
      </c>
      <c r="B663" s="85">
        <v>204032</v>
      </c>
      <c r="C663" s="83"/>
      <c r="D663" s="86" t="s">
        <v>115</v>
      </c>
      <c r="E663" s="86">
        <v>1</v>
      </c>
      <c r="F663" s="86">
        <v>5</v>
      </c>
      <c r="G663" s="86" t="s">
        <v>115</v>
      </c>
      <c r="H663" s="86" t="s">
        <v>7307</v>
      </c>
      <c r="I663" s="4" t="s">
        <v>4800</v>
      </c>
      <c r="J663" s="83"/>
      <c r="K663" s="86">
        <v>30000</v>
      </c>
      <c r="L663" s="86">
        <v>204033</v>
      </c>
      <c r="M663" s="83"/>
      <c r="N663" s="86" t="s">
        <v>115</v>
      </c>
      <c r="O663" s="86" t="s">
        <v>115</v>
      </c>
      <c r="P663" s="86">
        <v>200112</v>
      </c>
      <c r="Q663" s="85">
        <v>371</v>
      </c>
      <c r="R663" s="86">
        <v>12169</v>
      </c>
    </row>
    <row r="664" spans="1:18" x14ac:dyDescent="0.15">
      <c r="A664" s="86" t="s">
        <v>1</v>
      </c>
      <c r="B664" s="85">
        <v>204033</v>
      </c>
      <c r="C664" s="83"/>
      <c r="D664" s="86" t="s">
        <v>115</v>
      </c>
      <c r="E664" s="86">
        <v>2</v>
      </c>
      <c r="F664" s="86">
        <v>5</v>
      </c>
      <c r="G664" s="86" t="s">
        <v>115</v>
      </c>
      <c r="H664" s="86" t="s">
        <v>7307</v>
      </c>
      <c r="I664" s="86" t="s">
        <v>115</v>
      </c>
      <c r="J664" s="83"/>
      <c r="K664" s="86">
        <v>30000</v>
      </c>
      <c r="L664" s="86">
        <v>0</v>
      </c>
      <c r="M664" s="83"/>
      <c r="N664" s="86">
        <v>200115</v>
      </c>
      <c r="O664" s="86">
        <v>200116</v>
      </c>
      <c r="P664" s="86">
        <v>200113</v>
      </c>
      <c r="Q664" s="85">
        <v>371</v>
      </c>
      <c r="R664" s="86">
        <v>11806</v>
      </c>
    </row>
    <row r="665" spans="1:18" x14ac:dyDescent="0.15">
      <c r="A665" s="86" t="s">
        <v>1</v>
      </c>
      <c r="B665" s="85">
        <v>204041</v>
      </c>
      <c r="C665" s="83"/>
      <c r="D665" s="86">
        <v>3</v>
      </c>
      <c r="E665" s="86" t="s">
        <v>115</v>
      </c>
      <c r="F665" s="86" t="s">
        <v>115</v>
      </c>
      <c r="G665" s="86" t="s">
        <v>115</v>
      </c>
      <c r="H665" s="86" t="s">
        <v>7307</v>
      </c>
      <c r="I665" s="86" t="s">
        <v>115</v>
      </c>
      <c r="J665" s="83"/>
      <c r="K665" s="86">
        <v>40000</v>
      </c>
      <c r="L665" s="86">
        <v>204042</v>
      </c>
      <c r="M665" s="83"/>
      <c r="N665" s="86" t="s">
        <v>115</v>
      </c>
      <c r="O665" s="86" t="s">
        <v>115</v>
      </c>
      <c r="P665" s="86">
        <v>200111</v>
      </c>
      <c r="Q665" s="85">
        <v>371</v>
      </c>
      <c r="R665" s="86">
        <v>3870</v>
      </c>
    </row>
    <row r="666" spans="1:18" x14ac:dyDescent="0.15">
      <c r="A666" s="86" t="s">
        <v>1</v>
      </c>
      <c r="B666" s="85">
        <v>204042</v>
      </c>
      <c r="C666" s="83"/>
      <c r="D666" s="86" t="s">
        <v>115</v>
      </c>
      <c r="E666" s="86">
        <v>1</v>
      </c>
      <c r="F666" s="86">
        <v>5</v>
      </c>
      <c r="G666" s="86" t="s">
        <v>115</v>
      </c>
      <c r="H666" s="86" t="s">
        <v>7307</v>
      </c>
      <c r="I666" s="4" t="s">
        <v>4800</v>
      </c>
      <c r="J666" s="83"/>
      <c r="K666" s="86">
        <v>40000</v>
      </c>
      <c r="L666" s="86">
        <v>204043</v>
      </c>
      <c r="M666" s="83"/>
      <c r="N666" s="86" t="s">
        <v>115</v>
      </c>
      <c r="O666" s="86" t="s">
        <v>115</v>
      </c>
      <c r="P666" s="86">
        <v>200112</v>
      </c>
      <c r="Q666" s="85">
        <v>371</v>
      </c>
      <c r="R666" s="86">
        <v>12169</v>
      </c>
    </row>
    <row r="667" spans="1:18" x14ac:dyDescent="0.15">
      <c r="A667" s="86" t="s">
        <v>1</v>
      </c>
      <c r="B667" s="85">
        <v>204043</v>
      </c>
      <c r="C667" s="83"/>
      <c r="D667" s="86" t="s">
        <v>115</v>
      </c>
      <c r="E667" s="86">
        <v>2</v>
      </c>
      <c r="F667" s="86">
        <v>5</v>
      </c>
      <c r="G667" s="86" t="s">
        <v>115</v>
      </c>
      <c r="H667" s="86" t="s">
        <v>7307</v>
      </c>
      <c r="I667" s="86" t="s">
        <v>115</v>
      </c>
      <c r="J667" s="83"/>
      <c r="K667" s="86">
        <v>40000</v>
      </c>
      <c r="L667" s="86">
        <v>0</v>
      </c>
      <c r="M667" s="83"/>
      <c r="N667" s="86">
        <v>200115</v>
      </c>
      <c r="O667" s="86">
        <v>200116</v>
      </c>
      <c r="P667" s="86">
        <v>200113</v>
      </c>
      <c r="Q667" s="85">
        <v>371</v>
      </c>
      <c r="R667" s="86">
        <v>11806</v>
      </c>
    </row>
    <row r="668" spans="1:18" x14ac:dyDescent="0.15">
      <c r="A668" s="86" t="s">
        <v>1</v>
      </c>
      <c r="B668" s="85">
        <v>204051</v>
      </c>
      <c r="C668" s="83"/>
      <c r="D668" s="86">
        <v>3</v>
      </c>
      <c r="E668" s="86" t="s">
        <v>115</v>
      </c>
      <c r="F668" s="86" t="s">
        <v>115</v>
      </c>
      <c r="G668" s="86" t="s">
        <v>115</v>
      </c>
      <c r="H668" s="86" t="s">
        <v>7307</v>
      </c>
      <c r="I668" s="86" t="s">
        <v>115</v>
      </c>
      <c r="J668" s="83"/>
      <c r="K668" s="86">
        <v>50000</v>
      </c>
      <c r="L668" s="86">
        <v>204052</v>
      </c>
      <c r="M668" s="83"/>
      <c r="N668" s="86" t="s">
        <v>115</v>
      </c>
      <c r="O668" s="86" t="s">
        <v>115</v>
      </c>
      <c r="P668" s="86">
        <v>200111</v>
      </c>
      <c r="Q668" s="85">
        <v>371</v>
      </c>
      <c r="R668" s="86">
        <v>3870</v>
      </c>
    </row>
    <row r="669" spans="1:18" x14ac:dyDescent="0.15">
      <c r="A669" s="86" t="s">
        <v>1</v>
      </c>
      <c r="B669" s="85">
        <v>204052</v>
      </c>
      <c r="C669" s="83"/>
      <c r="D669" s="86" t="s">
        <v>115</v>
      </c>
      <c r="E669" s="86">
        <v>1</v>
      </c>
      <c r="F669" s="86">
        <v>5</v>
      </c>
      <c r="G669" s="86" t="s">
        <v>115</v>
      </c>
      <c r="H669" s="86" t="s">
        <v>7307</v>
      </c>
      <c r="I669" s="4" t="s">
        <v>4800</v>
      </c>
      <c r="J669" s="83"/>
      <c r="K669" s="86">
        <v>50000</v>
      </c>
      <c r="L669" s="86">
        <v>204053</v>
      </c>
      <c r="M669" s="83"/>
      <c r="N669" s="86" t="s">
        <v>115</v>
      </c>
      <c r="O669" s="86" t="s">
        <v>115</v>
      </c>
      <c r="P669" s="86">
        <v>200112</v>
      </c>
      <c r="Q669" s="85">
        <v>371</v>
      </c>
      <c r="R669" s="86">
        <v>12169</v>
      </c>
    </row>
    <row r="670" spans="1:18" x14ac:dyDescent="0.15">
      <c r="A670" s="86" t="s">
        <v>1</v>
      </c>
      <c r="B670" s="85">
        <v>204053</v>
      </c>
      <c r="C670" s="83"/>
      <c r="D670" s="86" t="s">
        <v>115</v>
      </c>
      <c r="E670" s="86">
        <v>2</v>
      </c>
      <c r="F670" s="86">
        <v>5</v>
      </c>
      <c r="G670" s="86" t="s">
        <v>115</v>
      </c>
      <c r="H670" s="86" t="s">
        <v>7307</v>
      </c>
      <c r="I670" s="86" t="s">
        <v>115</v>
      </c>
      <c r="J670" s="83"/>
      <c r="K670" s="86">
        <v>50000</v>
      </c>
      <c r="L670" s="86">
        <v>0</v>
      </c>
      <c r="M670" s="83"/>
      <c r="N670" s="86">
        <v>200115</v>
      </c>
      <c r="O670" s="86">
        <v>200116</v>
      </c>
      <c r="P670" s="86">
        <v>200113</v>
      </c>
      <c r="Q670" s="85">
        <v>371</v>
      </c>
      <c r="R670" s="86">
        <v>11806</v>
      </c>
    </row>
    <row r="671" spans="1:18" x14ac:dyDescent="0.15">
      <c r="A671" s="86" t="s">
        <v>1</v>
      </c>
      <c r="B671" s="85">
        <v>204061</v>
      </c>
      <c r="C671" s="83"/>
      <c r="D671" s="86">
        <v>3</v>
      </c>
      <c r="E671" s="86" t="s">
        <v>115</v>
      </c>
      <c r="F671" s="86" t="s">
        <v>115</v>
      </c>
      <c r="G671" s="86" t="s">
        <v>115</v>
      </c>
      <c r="H671" s="86" t="s">
        <v>7307</v>
      </c>
      <c r="I671" s="86" t="s">
        <v>115</v>
      </c>
      <c r="J671" s="83"/>
      <c r="K671" s="86">
        <v>60000</v>
      </c>
      <c r="L671" s="86">
        <v>204062</v>
      </c>
      <c r="M671" s="83"/>
      <c r="N671" s="86" t="s">
        <v>115</v>
      </c>
      <c r="O671" s="86" t="s">
        <v>115</v>
      </c>
      <c r="P671" s="86">
        <v>200111</v>
      </c>
      <c r="Q671" s="85">
        <v>371</v>
      </c>
      <c r="R671" s="86">
        <v>3870</v>
      </c>
    </row>
    <row r="672" spans="1:18" x14ac:dyDescent="0.15">
      <c r="A672" s="86" t="s">
        <v>1</v>
      </c>
      <c r="B672" s="85">
        <v>204062</v>
      </c>
      <c r="C672" s="83"/>
      <c r="D672" s="86" t="s">
        <v>115</v>
      </c>
      <c r="E672" s="86">
        <v>1</v>
      </c>
      <c r="F672" s="86">
        <v>5</v>
      </c>
      <c r="G672" s="86" t="s">
        <v>115</v>
      </c>
      <c r="H672" s="86" t="s">
        <v>7307</v>
      </c>
      <c r="I672" s="4" t="s">
        <v>4800</v>
      </c>
      <c r="J672" s="83"/>
      <c r="K672" s="86">
        <v>60000</v>
      </c>
      <c r="L672" s="86">
        <v>204063</v>
      </c>
      <c r="M672" s="83"/>
      <c r="N672" s="86" t="s">
        <v>115</v>
      </c>
      <c r="O672" s="86" t="s">
        <v>115</v>
      </c>
      <c r="P672" s="86">
        <v>200112</v>
      </c>
      <c r="Q672" s="85">
        <v>371</v>
      </c>
      <c r="R672" s="86">
        <v>12169</v>
      </c>
    </row>
    <row r="673" spans="1:18" x14ac:dyDescent="0.15">
      <c r="A673" s="86" t="s">
        <v>1</v>
      </c>
      <c r="B673" s="85">
        <v>204063</v>
      </c>
      <c r="C673" s="83"/>
      <c r="D673" s="86" t="s">
        <v>115</v>
      </c>
      <c r="E673" s="86">
        <v>2</v>
      </c>
      <c r="F673" s="86">
        <v>5</v>
      </c>
      <c r="G673" s="86" t="s">
        <v>115</v>
      </c>
      <c r="H673" s="86" t="s">
        <v>7307</v>
      </c>
      <c r="I673" s="86" t="s">
        <v>115</v>
      </c>
      <c r="J673" s="83"/>
      <c r="K673" s="86">
        <v>60000</v>
      </c>
      <c r="L673" s="86">
        <v>0</v>
      </c>
      <c r="M673" s="83"/>
      <c r="N673" s="86">
        <v>200115</v>
      </c>
      <c r="O673" s="86">
        <v>200116</v>
      </c>
      <c r="P673" s="86">
        <v>200113</v>
      </c>
      <c r="Q673" s="85">
        <v>371</v>
      </c>
      <c r="R673" s="86">
        <v>11806</v>
      </c>
    </row>
    <row r="674" spans="1:18" x14ac:dyDescent="0.15">
      <c r="A674" s="86" t="s">
        <v>1</v>
      </c>
      <c r="B674" s="85">
        <v>204071</v>
      </c>
      <c r="C674" s="83"/>
      <c r="D674" s="86">
        <v>3</v>
      </c>
      <c r="E674" s="86" t="s">
        <v>115</v>
      </c>
      <c r="F674" s="86" t="s">
        <v>115</v>
      </c>
      <c r="G674" s="86" t="s">
        <v>115</v>
      </c>
      <c r="H674" s="86" t="s">
        <v>7307</v>
      </c>
      <c r="I674" s="86" t="s">
        <v>115</v>
      </c>
      <c r="J674" s="86" t="s">
        <v>115</v>
      </c>
      <c r="K674" s="86">
        <v>70000</v>
      </c>
      <c r="L674" s="86">
        <v>204072</v>
      </c>
      <c r="M674" s="83"/>
      <c r="N674" s="86" t="s">
        <v>115</v>
      </c>
      <c r="O674" s="86" t="s">
        <v>115</v>
      </c>
      <c r="P674" s="86">
        <v>200111</v>
      </c>
      <c r="Q674" s="85">
        <v>371</v>
      </c>
      <c r="R674" s="86">
        <v>3870</v>
      </c>
    </row>
    <row r="675" spans="1:18" x14ac:dyDescent="0.15">
      <c r="A675" s="86" t="s">
        <v>1</v>
      </c>
      <c r="B675" s="85">
        <v>204072</v>
      </c>
      <c r="C675" s="83"/>
      <c r="D675" s="86" t="s">
        <v>115</v>
      </c>
      <c r="E675" s="86">
        <v>1</v>
      </c>
      <c r="F675" s="86">
        <v>5</v>
      </c>
      <c r="G675" s="86" t="s">
        <v>115</v>
      </c>
      <c r="H675" s="86" t="s">
        <v>7307</v>
      </c>
      <c r="I675" s="4" t="s">
        <v>4800</v>
      </c>
      <c r="J675" s="83"/>
      <c r="K675" s="86">
        <v>70000</v>
      </c>
      <c r="L675" s="86">
        <v>204073</v>
      </c>
      <c r="M675" s="83"/>
      <c r="N675" s="86" t="s">
        <v>115</v>
      </c>
      <c r="O675" s="86" t="s">
        <v>115</v>
      </c>
      <c r="P675" s="86">
        <v>200112</v>
      </c>
      <c r="Q675" s="85">
        <v>371</v>
      </c>
      <c r="R675" s="86">
        <v>12169</v>
      </c>
    </row>
    <row r="676" spans="1:18" x14ac:dyDescent="0.15">
      <c r="A676" s="86" t="s">
        <v>1</v>
      </c>
      <c r="B676" s="85">
        <v>204073</v>
      </c>
      <c r="C676" s="83"/>
      <c r="D676" s="86" t="s">
        <v>115</v>
      </c>
      <c r="E676" s="86">
        <v>2</v>
      </c>
      <c r="F676" s="86">
        <v>5</v>
      </c>
      <c r="G676" s="86" t="s">
        <v>115</v>
      </c>
      <c r="H676" s="86" t="s">
        <v>7307</v>
      </c>
      <c r="I676" s="86" t="s">
        <v>115</v>
      </c>
      <c r="J676" s="83"/>
      <c r="K676" s="86">
        <v>70000</v>
      </c>
      <c r="L676" s="86">
        <v>0</v>
      </c>
      <c r="M676" s="83"/>
      <c r="N676" s="86">
        <v>200115</v>
      </c>
      <c r="O676" s="86">
        <v>200116</v>
      </c>
      <c r="P676" s="86">
        <v>200113</v>
      </c>
      <c r="Q676" s="85">
        <v>371</v>
      </c>
      <c r="R676" s="86">
        <v>11806</v>
      </c>
    </row>
    <row r="677" spans="1:18" x14ac:dyDescent="0.15">
      <c r="A677" s="86" t="s">
        <v>1</v>
      </c>
      <c r="B677" s="85">
        <v>204081</v>
      </c>
      <c r="C677" s="83"/>
      <c r="D677" s="86">
        <v>3</v>
      </c>
      <c r="E677" s="86" t="s">
        <v>115</v>
      </c>
      <c r="F677" s="86" t="s">
        <v>115</v>
      </c>
      <c r="G677" s="86" t="s">
        <v>115</v>
      </c>
      <c r="H677" s="86" t="s">
        <v>7307</v>
      </c>
      <c r="I677" s="86" t="s">
        <v>115</v>
      </c>
      <c r="J677" s="83"/>
      <c r="K677" s="86">
        <v>80000</v>
      </c>
      <c r="L677" s="86">
        <v>204082</v>
      </c>
      <c r="M677" s="83"/>
      <c r="N677" s="86" t="s">
        <v>115</v>
      </c>
      <c r="O677" s="86" t="s">
        <v>115</v>
      </c>
      <c r="P677" s="86">
        <v>200111</v>
      </c>
      <c r="Q677" s="85">
        <v>371</v>
      </c>
      <c r="R677" s="86">
        <v>3870</v>
      </c>
    </row>
    <row r="678" spans="1:18" x14ac:dyDescent="0.15">
      <c r="A678" s="86" t="s">
        <v>1</v>
      </c>
      <c r="B678" s="85">
        <v>204082</v>
      </c>
      <c r="C678" s="83"/>
      <c r="D678" s="86" t="s">
        <v>115</v>
      </c>
      <c r="E678" s="86">
        <v>1</v>
      </c>
      <c r="F678" s="86">
        <v>5</v>
      </c>
      <c r="G678" s="86" t="s">
        <v>115</v>
      </c>
      <c r="H678" s="86" t="s">
        <v>7307</v>
      </c>
      <c r="I678" s="4" t="s">
        <v>4800</v>
      </c>
      <c r="J678" s="83"/>
      <c r="K678" s="86">
        <v>80000</v>
      </c>
      <c r="L678" s="86">
        <v>204083</v>
      </c>
      <c r="M678" s="83"/>
      <c r="N678" s="86" t="s">
        <v>115</v>
      </c>
      <c r="O678" s="86" t="s">
        <v>115</v>
      </c>
      <c r="P678" s="86">
        <v>200112</v>
      </c>
      <c r="Q678" s="85">
        <v>371</v>
      </c>
      <c r="R678" s="86">
        <v>12169</v>
      </c>
    </row>
    <row r="679" spans="1:18" x14ac:dyDescent="0.15">
      <c r="A679" s="86" t="s">
        <v>1</v>
      </c>
      <c r="B679" s="85">
        <v>204083</v>
      </c>
      <c r="C679" s="83"/>
      <c r="D679" s="86" t="s">
        <v>115</v>
      </c>
      <c r="E679" s="86">
        <v>2</v>
      </c>
      <c r="F679" s="86">
        <v>5</v>
      </c>
      <c r="G679" s="86" t="s">
        <v>115</v>
      </c>
      <c r="H679" s="86" t="s">
        <v>7307</v>
      </c>
      <c r="I679" s="86" t="s">
        <v>115</v>
      </c>
      <c r="J679" s="83"/>
      <c r="K679" s="86">
        <v>80000</v>
      </c>
      <c r="L679" s="86">
        <v>0</v>
      </c>
      <c r="M679" s="83"/>
      <c r="N679" s="86">
        <v>200115</v>
      </c>
      <c r="O679" s="86">
        <v>200116</v>
      </c>
      <c r="P679" s="86">
        <v>200113</v>
      </c>
      <c r="Q679" s="85">
        <v>371</v>
      </c>
      <c r="R679" s="86">
        <v>11806</v>
      </c>
    </row>
    <row r="680" spans="1:18" x14ac:dyDescent="0.15">
      <c r="A680" s="86" t="s">
        <v>1</v>
      </c>
      <c r="B680" s="85">
        <v>204091</v>
      </c>
      <c r="C680" s="83"/>
      <c r="D680" s="86">
        <v>3</v>
      </c>
      <c r="E680" s="86" t="s">
        <v>115</v>
      </c>
      <c r="F680" s="86" t="s">
        <v>115</v>
      </c>
      <c r="G680" s="86" t="s">
        <v>115</v>
      </c>
      <c r="H680" s="86" t="s">
        <v>7307</v>
      </c>
      <c r="I680" s="86" t="s">
        <v>115</v>
      </c>
      <c r="J680" s="83"/>
      <c r="K680" s="86">
        <v>90000</v>
      </c>
      <c r="L680" s="86">
        <v>204092</v>
      </c>
      <c r="M680" s="83"/>
      <c r="N680" s="86" t="s">
        <v>115</v>
      </c>
      <c r="O680" s="86" t="s">
        <v>115</v>
      </c>
      <c r="P680" s="86">
        <v>200111</v>
      </c>
      <c r="Q680" s="85">
        <v>371</v>
      </c>
      <c r="R680" s="86">
        <v>3870</v>
      </c>
    </row>
    <row r="681" spans="1:18" x14ac:dyDescent="0.15">
      <c r="A681" s="86" t="s">
        <v>1</v>
      </c>
      <c r="B681" s="85">
        <v>204092</v>
      </c>
      <c r="C681" s="83"/>
      <c r="D681" s="86" t="s">
        <v>115</v>
      </c>
      <c r="E681" s="86">
        <v>1</v>
      </c>
      <c r="F681" s="86">
        <v>5</v>
      </c>
      <c r="G681" s="86" t="s">
        <v>115</v>
      </c>
      <c r="H681" s="86" t="s">
        <v>7307</v>
      </c>
      <c r="I681" s="4" t="s">
        <v>4800</v>
      </c>
      <c r="J681" s="83"/>
      <c r="K681" s="86">
        <v>90000</v>
      </c>
      <c r="L681" s="86">
        <v>204093</v>
      </c>
      <c r="M681" s="83"/>
      <c r="N681" s="86" t="s">
        <v>115</v>
      </c>
      <c r="O681" s="86" t="s">
        <v>115</v>
      </c>
      <c r="P681" s="86">
        <v>200112</v>
      </c>
      <c r="Q681" s="85">
        <v>371</v>
      </c>
      <c r="R681" s="86">
        <v>12169</v>
      </c>
    </row>
    <row r="682" spans="1:18" x14ac:dyDescent="0.15">
      <c r="A682" s="86" t="s">
        <v>1</v>
      </c>
      <c r="B682" s="85">
        <v>204093</v>
      </c>
      <c r="C682" s="83"/>
      <c r="D682" s="86" t="s">
        <v>115</v>
      </c>
      <c r="E682" s="86">
        <v>2</v>
      </c>
      <c r="F682" s="86">
        <v>5</v>
      </c>
      <c r="G682" s="86" t="s">
        <v>115</v>
      </c>
      <c r="H682" s="86" t="s">
        <v>7307</v>
      </c>
      <c r="I682" s="86" t="s">
        <v>115</v>
      </c>
      <c r="J682" s="83"/>
      <c r="K682" s="86">
        <v>90000</v>
      </c>
      <c r="L682" s="86">
        <v>0</v>
      </c>
      <c r="M682" s="83"/>
      <c r="N682" s="86">
        <v>200115</v>
      </c>
      <c r="O682" s="86">
        <v>200116</v>
      </c>
      <c r="P682" s="86">
        <v>200113</v>
      </c>
      <c r="Q682" s="85">
        <v>371</v>
      </c>
      <c r="R682" s="86">
        <v>11806</v>
      </c>
    </row>
    <row r="683" spans="1:18" x14ac:dyDescent="0.15">
      <c r="A683" s="86" t="s">
        <v>1</v>
      </c>
      <c r="B683" s="85">
        <v>204101</v>
      </c>
      <c r="C683" s="83"/>
      <c r="D683" s="86">
        <v>3</v>
      </c>
      <c r="E683" s="86" t="s">
        <v>115</v>
      </c>
      <c r="F683" s="86" t="s">
        <v>115</v>
      </c>
      <c r="G683" s="86" t="s">
        <v>115</v>
      </c>
      <c r="H683" s="86" t="s">
        <v>7307</v>
      </c>
      <c r="I683" s="86" t="s">
        <v>115</v>
      </c>
      <c r="J683" s="83"/>
      <c r="K683" s="86">
        <v>100000</v>
      </c>
      <c r="L683" s="86">
        <v>204102</v>
      </c>
      <c r="M683" s="83"/>
      <c r="N683" s="86" t="s">
        <v>115</v>
      </c>
      <c r="O683" s="86" t="s">
        <v>115</v>
      </c>
      <c r="P683" s="86">
        <v>200111</v>
      </c>
      <c r="Q683" s="85">
        <v>371</v>
      </c>
      <c r="R683" s="86">
        <v>3870</v>
      </c>
    </row>
    <row r="684" spans="1:18" x14ac:dyDescent="0.15">
      <c r="A684" s="86" t="s">
        <v>1</v>
      </c>
      <c r="B684" s="85">
        <v>204102</v>
      </c>
      <c r="C684" s="83"/>
      <c r="D684" s="86" t="s">
        <v>115</v>
      </c>
      <c r="E684" s="86">
        <v>1</v>
      </c>
      <c r="F684" s="86">
        <v>5</v>
      </c>
      <c r="G684" s="86" t="s">
        <v>115</v>
      </c>
      <c r="H684" s="86" t="s">
        <v>7307</v>
      </c>
      <c r="I684" s="4" t="s">
        <v>4800</v>
      </c>
      <c r="J684" s="83"/>
      <c r="K684" s="86">
        <v>100000</v>
      </c>
      <c r="L684" s="86">
        <v>204103</v>
      </c>
      <c r="M684" s="83"/>
      <c r="N684" s="86" t="s">
        <v>115</v>
      </c>
      <c r="O684" s="86" t="s">
        <v>115</v>
      </c>
      <c r="P684" s="86">
        <v>200112</v>
      </c>
      <c r="Q684" s="85">
        <v>371</v>
      </c>
      <c r="R684" s="86">
        <v>12169</v>
      </c>
    </row>
    <row r="685" spans="1:18" x14ac:dyDescent="0.15">
      <c r="A685" s="86" t="s">
        <v>1</v>
      </c>
      <c r="B685" s="85">
        <v>204103</v>
      </c>
      <c r="C685" s="83"/>
      <c r="D685" s="86" t="s">
        <v>115</v>
      </c>
      <c r="E685" s="86">
        <v>2</v>
      </c>
      <c r="F685" s="86">
        <v>5</v>
      </c>
      <c r="G685" s="86" t="s">
        <v>115</v>
      </c>
      <c r="H685" s="86" t="s">
        <v>7307</v>
      </c>
      <c r="I685" s="86" t="s">
        <v>115</v>
      </c>
      <c r="J685" s="83"/>
      <c r="K685" s="86">
        <v>100000</v>
      </c>
      <c r="L685" s="86">
        <v>0</v>
      </c>
      <c r="M685" s="83"/>
      <c r="N685" s="86">
        <v>200115</v>
      </c>
      <c r="O685" s="86">
        <v>200116</v>
      </c>
      <c r="P685" s="86">
        <v>200113</v>
      </c>
      <c r="Q685" s="85">
        <v>371</v>
      </c>
      <c r="R685" s="86">
        <v>11806</v>
      </c>
    </row>
    <row r="686" spans="1:18" x14ac:dyDescent="0.15">
      <c r="A686" s="86" t="s">
        <v>1</v>
      </c>
      <c r="B686" s="85">
        <v>204111</v>
      </c>
      <c r="C686" s="83"/>
      <c r="D686" s="86">
        <v>3</v>
      </c>
      <c r="E686" s="86" t="s">
        <v>115</v>
      </c>
      <c r="F686" s="86" t="s">
        <v>115</v>
      </c>
      <c r="G686" s="86" t="s">
        <v>115</v>
      </c>
      <c r="H686" s="86" t="s">
        <v>7307</v>
      </c>
      <c r="I686" s="86" t="s">
        <v>115</v>
      </c>
      <c r="J686" s="83"/>
      <c r="K686" s="86">
        <v>110000</v>
      </c>
      <c r="L686" s="86">
        <v>204112</v>
      </c>
      <c r="M686" s="83"/>
      <c r="N686" s="86" t="s">
        <v>115</v>
      </c>
      <c r="O686" s="86" t="s">
        <v>115</v>
      </c>
      <c r="P686" s="86">
        <v>200111</v>
      </c>
      <c r="Q686" s="85">
        <v>371</v>
      </c>
      <c r="R686" s="86">
        <v>3870</v>
      </c>
    </row>
    <row r="687" spans="1:18" x14ac:dyDescent="0.15">
      <c r="A687" s="86" t="s">
        <v>1</v>
      </c>
      <c r="B687" s="85">
        <v>204112</v>
      </c>
      <c r="C687" s="83"/>
      <c r="D687" s="86" t="s">
        <v>115</v>
      </c>
      <c r="E687" s="86">
        <v>1</v>
      </c>
      <c r="F687" s="86">
        <v>5</v>
      </c>
      <c r="G687" s="86" t="s">
        <v>115</v>
      </c>
      <c r="H687" s="86" t="s">
        <v>7307</v>
      </c>
      <c r="I687" s="4" t="s">
        <v>4800</v>
      </c>
      <c r="J687" s="83"/>
      <c r="K687" s="86">
        <v>110000</v>
      </c>
      <c r="L687" s="86">
        <v>204113</v>
      </c>
      <c r="M687" s="83"/>
      <c r="N687" s="86" t="s">
        <v>115</v>
      </c>
      <c r="O687" s="86" t="s">
        <v>115</v>
      </c>
      <c r="P687" s="86">
        <v>200112</v>
      </c>
      <c r="Q687" s="85">
        <v>371</v>
      </c>
      <c r="R687" s="86">
        <v>12169</v>
      </c>
    </row>
    <row r="688" spans="1:18" x14ac:dyDescent="0.15">
      <c r="A688" s="86" t="s">
        <v>1</v>
      </c>
      <c r="B688" s="85">
        <v>204113</v>
      </c>
      <c r="C688" s="83"/>
      <c r="D688" s="86" t="s">
        <v>115</v>
      </c>
      <c r="E688" s="86">
        <v>2</v>
      </c>
      <c r="F688" s="86">
        <v>5</v>
      </c>
      <c r="G688" s="86" t="s">
        <v>115</v>
      </c>
      <c r="H688" s="86" t="s">
        <v>7307</v>
      </c>
      <c r="I688" s="86" t="s">
        <v>115</v>
      </c>
      <c r="J688" s="83"/>
      <c r="K688" s="86">
        <v>110000</v>
      </c>
      <c r="L688" s="86">
        <v>0</v>
      </c>
      <c r="M688" s="83"/>
      <c r="N688" s="86">
        <v>200115</v>
      </c>
      <c r="O688" s="86">
        <v>200116</v>
      </c>
      <c r="P688" s="86">
        <v>200113</v>
      </c>
      <c r="Q688" s="85">
        <v>371</v>
      </c>
      <c r="R688" s="86">
        <v>11806</v>
      </c>
    </row>
    <row r="689" spans="1:18" x14ac:dyDescent="0.15">
      <c r="A689" s="86" t="s">
        <v>1</v>
      </c>
      <c r="B689" s="85">
        <v>204121</v>
      </c>
      <c r="C689" s="83"/>
      <c r="D689" s="86">
        <v>3</v>
      </c>
      <c r="E689" s="86" t="s">
        <v>115</v>
      </c>
      <c r="F689" s="86" t="s">
        <v>115</v>
      </c>
      <c r="G689" s="86" t="s">
        <v>115</v>
      </c>
      <c r="H689" s="86" t="s">
        <v>7307</v>
      </c>
      <c r="I689" s="86" t="s">
        <v>115</v>
      </c>
      <c r="J689" s="83"/>
      <c r="K689" s="86">
        <v>120000</v>
      </c>
      <c r="L689" s="86">
        <v>204122</v>
      </c>
      <c r="M689" s="83"/>
      <c r="N689" s="86" t="s">
        <v>115</v>
      </c>
      <c r="O689" s="86" t="s">
        <v>115</v>
      </c>
      <c r="P689" s="86">
        <v>200111</v>
      </c>
      <c r="Q689" s="85">
        <v>371</v>
      </c>
      <c r="R689" s="86">
        <v>3870</v>
      </c>
    </row>
    <row r="690" spans="1:18" x14ac:dyDescent="0.15">
      <c r="A690" s="86" t="s">
        <v>1</v>
      </c>
      <c r="B690" s="85">
        <v>204122</v>
      </c>
      <c r="C690" s="83"/>
      <c r="D690" s="86" t="s">
        <v>115</v>
      </c>
      <c r="E690" s="86">
        <v>1</v>
      </c>
      <c r="F690" s="86">
        <v>5</v>
      </c>
      <c r="G690" s="86" t="s">
        <v>115</v>
      </c>
      <c r="H690" s="86" t="s">
        <v>7307</v>
      </c>
      <c r="I690" s="4" t="s">
        <v>4800</v>
      </c>
      <c r="J690" s="83"/>
      <c r="K690" s="86">
        <v>120000</v>
      </c>
      <c r="L690" s="86">
        <v>204123</v>
      </c>
      <c r="M690" s="83"/>
      <c r="N690" s="86" t="s">
        <v>115</v>
      </c>
      <c r="O690" s="86" t="s">
        <v>115</v>
      </c>
      <c r="P690" s="86">
        <v>200112</v>
      </c>
      <c r="Q690" s="85">
        <v>371</v>
      </c>
      <c r="R690" s="86">
        <v>12169</v>
      </c>
    </row>
    <row r="691" spans="1:18" x14ac:dyDescent="0.15">
      <c r="A691" s="86" t="s">
        <v>1</v>
      </c>
      <c r="B691" s="85">
        <v>204123</v>
      </c>
      <c r="C691" s="83"/>
      <c r="D691" s="86" t="s">
        <v>115</v>
      </c>
      <c r="E691" s="86">
        <v>2</v>
      </c>
      <c r="F691" s="86">
        <v>5</v>
      </c>
      <c r="G691" s="86" t="s">
        <v>115</v>
      </c>
      <c r="H691" s="86" t="s">
        <v>7307</v>
      </c>
      <c r="I691" s="86" t="s">
        <v>115</v>
      </c>
      <c r="J691" s="83"/>
      <c r="K691" s="86">
        <v>120000</v>
      </c>
      <c r="L691" s="86">
        <v>0</v>
      </c>
      <c r="M691" s="83"/>
      <c r="N691" s="86">
        <v>200115</v>
      </c>
      <c r="O691" s="86">
        <v>200116</v>
      </c>
      <c r="P691" s="86">
        <v>200113</v>
      </c>
      <c r="Q691" s="85">
        <v>371</v>
      </c>
      <c r="R691" s="86">
        <v>11806</v>
      </c>
    </row>
    <row r="692" spans="1:18" x14ac:dyDescent="0.15">
      <c r="A692" s="86" t="s">
        <v>1</v>
      </c>
      <c r="B692" s="85">
        <v>205011</v>
      </c>
      <c r="C692" s="83"/>
      <c r="D692" s="86">
        <v>3</v>
      </c>
      <c r="E692" s="86" t="s">
        <v>115</v>
      </c>
      <c r="F692" s="86" t="s">
        <v>115</v>
      </c>
      <c r="G692" s="86" t="s">
        <v>115</v>
      </c>
      <c r="H692" s="86" t="s">
        <v>7307</v>
      </c>
      <c r="I692" s="86" t="s">
        <v>115</v>
      </c>
      <c r="J692" s="86" t="s">
        <v>115</v>
      </c>
      <c r="K692" s="86">
        <v>9000</v>
      </c>
      <c r="L692" s="86">
        <v>205012</v>
      </c>
      <c r="M692" s="83"/>
      <c r="N692" s="86" t="s">
        <v>115</v>
      </c>
      <c r="O692" s="86" t="s">
        <v>115</v>
      </c>
      <c r="P692" s="86">
        <v>200111</v>
      </c>
      <c r="Q692" s="85">
        <v>371</v>
      </c>
      <c r="R692" s="86">
        <v>3210</v>
      </c>
    </row>
    <row r="693" spans="1:18" x14ac:dyDescent="0.15">
      <c r="A693" s="86" t="s">
        <v>1</v>
      </c>
      <c r="B693" s="85">
        <v>205012</v>
      </c>
      <c r="C693" s="83"/>
      <c r="D693" s="86" t="s">
        <v>115</v>
      </c>
      <c r="E693" s="86">
        <v>1</v>
      </c>
      <c r="F693" s="86">
        <v>5</v>
      </c>
      <c r="G693" s="86" t="s">
        <v>115</v>
      </c>
      <c r="H693" s="86" t="s">
        <v>7307</v>
      </c>
      <c r="I693" s="4" t="s">
        <v>4800</v>
      </c>
      <c r="J693" s="83"/>
      <c r="K693" s="86">
        <v>9000</v>
      </c>
      <c r="L693" s="86">
        <v>205013</v>
      </c>
      <c r="M693" s="83"/>
      <c r="N693" s="86" t="s">
        <v>115</v>
      </c>
      <c r="O693" s="86" t="s">
        <v>115</v>
      </c>
      <c r="P693" s="86">
        <v>200112</v>
      </c>
      <c r="Q693" s="85">
        <v>371</v>
      </c>
      <c r="R693" s="86">
        <v>3270</v>
      </c>
    </row>
    <row r="694" spans="1:18" x14ac:dyDescent="0.15">
      <c r="A694" s="86" t="s">
        <v>1</v>
      </c>
      <c r="B694" s="85">
        <v>205013</v>
      </c>
      <c r="C694" s="83"/>
      <c r="D694" s="86" t="s">
        <v>115</v>
      </c>
      <c r="E694" s="86">
        <v>2</v>
      </c>
      <c r="F694" s="86">
        <v>5</v>
      </c>
      <c r="G694" s="86" t="s">
        <v>115</v>
      </c>
      <c r="H694" s="86" t="s">
        <v>7307</v>
      </c>
      <c r="I694" s="86" t="s">
        <v>115</v>
      </c>
      <c r="J694" s="83"/>
      <c r="K694" s="86">
        <v>9000</v>
      </c>
      <c r="L694" s="86">
        <v>0</v>
      </c>
      <c r="M694" s="83"/>
      <c r="N694" s="86">
        <v>200115</v>
      </c>
      <c r="O694" s="86">
        <v>200116</v>
      </c>
      <c r="P694" s="86">
        <v>200113</v>
      </c>
      <c r="Q694" s="85">
        <v>371</v>
      </c>
      <c r="R694" s="86">
        <v>2805</v>
      </c>
    </row>
    <row r="695" spans="1:18" x14ac:dyDescent="0.15">
      <c r="A695" s="86" t="s">
        <v>1</v>
      </c>
      <c r="B695" s="85">
        <v>205021</v>
      </c>
      <c r="C695" s="83"/>
      <c r="D695" s="86">
        <v>3</v>
      </c>
      <c r="E695" s="86" t="s">
        <v>115</v>
      </c>
      <c r="F695" s="86" t="s">
        <v>115</v>
      </c>
      <c r="G695" s="86" t="s">
        <v>115</v>
      </c>
      <c r="H695" s="86" t="s">
        <v>7307</v>
      </c>
      <c r="I695" s="86" t="s">
        <v>115</v>
      </c>
      <c r="J695" s="83"/>
      <c r="K695" s="86">
        <v>20000</v>
      </c>
      <c r="L695" s="86">
        <v>205022</v>
      </c>
      <c r="M695" s="83"/>
      <c r="N695" s="86" t="s">
        <v>115</v>
      </c>
      <c r="O695" s="86" t="s">
        <v>115</v>
      </c>
      <c r="P695" s="86">
        <v>200111</v>
      </c>
      <c r="Q695" s="85">
        <v>371</v>
      </c>
      <c r="R695" s="86">
        <v>3870</v>
      </c>
    </row>
    <row r="696" spans="1:18" x14ac:dyDescent="0.15">
      <c r="A696" s="86" t="s">
        <v>1</v>
      </c>
      <c r="B696" s="85">
        <v>205022</v>
      </c>
      <c r="C696" s="83"/>
      <c r="D696" s="86" t="s">
        <v>115</v>
      </c>
      <c r="E696" s="86">
        <v>1</v>
      </c>
      <c r="F696" s="86">
        <v>5</v>
      </c>
      <c r="G696" s="86" t="s">
        <v>115</v>
      </c>
      <c r="H696" s="86" t="s">
        <v>7307</v>
      </c>
      <c r="I696" s="4" t="s">
        <v>4800</v>
      </c>
      <c r="J696" s="83"/>
      <c r="K696" s="86">
        <v>20000</v>
      </c>
      <c r="L696" s="86">
        <v>205023</v>
      </c>
      <c r="M696" s="83"/>
      <c r="N696" s="86" t="s">
        <v>115</v>
      </c>
      <c r="O696" s="86" t="s">
        <v>115</v>
      </c>
      <c r="P696" s="86">
        <v>200112</v>
      </c>
      <c r="Q696" s="85">
        <v>371</v>
      </c>
      <c r="R696" s="86">
        <v>12169</v>
      </c>
    </row>
    <row r="697" spans="1:18" x14ac:dyDescent="0.15">
      <c r="A697" s="86" t="s">
        <v>1</v>
      </c>
      <c r="B697" s="85">
        <v>205023</v>
      </c>
      <c r="C697" s="83"/>
      <c r="D697" s="86" t="s">
        <v>115</v>
      </c>
      <c r="E697" s="86">
        <v>2</v>
      </c>
      <c r="F697" s="86">
        <v>5</v>
      </c>
      <c r="G697" s="86" t="s">
        <v>115</v>
      </c>
      <c r="H697" s="86" t="s">
        <v>7307</v>
      </c>
      <c r="I697" s="86" t="s">
        <v>115</v>
      </c>
      <c r="J697" s="83"/>
      <c r="K697" s="86">
        <v>20000</v>
      </c>
      <c r="L697" s="86">
        <v>0</v>
      </c>
      <c r="M697" s="83"/>
      <c r="N697" s="86">
        <v>200115</v>
      </c>
      <c r="O697" s="86">
        <v>200116</v>
      </c>
      <c r="P697" s="86">
        <v>200113</v>
      </c>
      <c r="Q697" s="85">
        <v>371</v>
      </c>
      <c r="R697" s="86">
        <v>11806</v>
      </c>
    </row>
    <row r="698" spans="1:18" x14ac:dyDescent="0.15">
      <c r="A698" s="86" t="s">
        <v>1</v>
      </c>
      <c r="B698" s="85">
        <v>205031</v>
      </c>
      <c r="C698" s="83"/>
      <c r="D698" s="86">
        <v>3</v>
      </c>
      <c r="E698" s="86" t="s">
        <v>115</v>
      </c>
      <c r="F698" s="86" t="s">
        <v>115</v>
      </c>
      <c r="G698" s="86" t="s">
        <v>115</v>
      </c>
      <c r="H698" s="86" t="s">
        <v>7307</v>
      </c>
      <c r="I698" s="86" t="s">
        <v>115</v>
      </c>
      <c r="J698" s="83"/>
      <c r="K698" s="86">
        <v>30000</v>
      </c>
      <c r="L698" s="86">
        <v>205032</v>
      </c>
      <c r="M698" s="83"/>
      <c r="N698" s="86" t="s">
        <v>115</v>
      </c>
      <c r="O698" s="86" t="s">
        <v>115</v>
      </c>
      <c r="P698" s="86">
        <v>200111</v>
      </c>
      <c r="Q698" s="85">
        <v>371</v>
      </c>
      <c r="R698" s="86">
        <v>3870</v>
      </c>
    </row>
    <row r="699" spans="1:18" x14ac:dyDescent="0.15">
      <c r="A699" s="86" t="s">
        <v>1</v>
      </c>
      <c r="B699" s="85">
        <v>205032</v>
      </c>
      <c r="C699" s="83"/>
      <c r="D699" s="86" t="s">
        <v>115</v>
      </c>
      <c r="E699" s="86">
        <v>1</v>
      </c>
      <c r="F699" s="86">
        <v>5</v>
      </c>
      <c r="G699" s="86" t="s">
        <v>115</v>
      </c>
      <c r="H699" s="86" t="s">
        <v>7307</v>
      </c>
      <c r="I699" s="4" t="s">
        <v>4800</v>
      </c>
      <c r="J699" s="83"/>
      <c r="K699" s="86">
        <v>30000</v>
      </c>
      <c r="L699" s="86">
        <v>205033</v>
      </c>
      <c r="M699" s="83"/>
      <c r="N699" s="86" t="s">
        <v>115</v>
      </c>
      <c r="O699" s="86" t="s">
        <v>115</v>
      </c>
      <c r="P699" s="86">
        <v>200112</v>
      </c>
      <c r="Q699" s="85">
        <v>371</v>
      </c>
      <c r="R699" s="86">
        <v>12169</v>
      </c>
    </row>
    <row r="700" spans="1:18" x14ac:dyDescent="0.15">
      <c r="A700" s="86" t="s">
        <v>1</v>
      </c>
      <c r="B700" s="85">
        <v>205033</v>
      </c>
      <c r="C700" s="83"/>
      <c r="D700" s="86" t="s">
        <v>115</v>
      </c>
      <c r="E700" s="86">
        <v>2</v>
      </c>
      <c r="F700" s="86">
        <v>5</v>
      </c>
      <c r="G700" s="86" t="s">
        <v>115</v>
      </c>
      <c r="H700" s="86" t="s">
        <v>7307</v>
      </c>
      <c r="I700" s="86" t="s">
        <v>115</v>
      </c>
      <c r="J700" s="83"/>
      <c r="K700" s="86">
        <v>30000</v>
      </c>
      <c r="L700" s="86">
        <v>0</v>
      </c>
      <c r="M700" s="83"/>
      <c r="N700" s="86">
        <v>200115</v>
      </c>
      <c r="O700" s="86">
        <v>200116</v>
      </c>
      <c r="P700" s="86">
        <v>200113</v>
      </c>
      <c r="Q700" s="85">
        <v>371</v>
      </c>
      <c r="R700" s="86">
        <v>11806</v>
      </c>
    </row>
    <row r="701" spans="1:18" x14ac:dyDescent="0.15">
      <c r="A701" s="86" t="s">
        <v>1</v>
      </c>
      <c r="B701" s="85">
        <v>205041</v>
      </c>
      <c r="C701" s="83"/>
      <c r="D701" s="86">
        <v>3</v>
      </c>
      <c r="E701" s="86" t="s">
        <v>115</v>
      </c>
      <c r="F701" s="86" t="s">
        <v>115</v>
      </c>
      <c r="G701" s="86" t="s">
        <v>115</v>
      </c>
      <c r="H701" s="86" t="s">
        <v>7307</v>
      </c>
      <c r="I701" s="86" t="s">
        <v>115</v>
      </c>
      <c r="J701" s="83"/>
      <c r="K701" s="86">
        <v>40000</v>
      </c>
      <c r="L701" s="86">
        <v>205042</v>
      </c>
      <c r="M701" s="83"/>
      <c r="N701" s="86" t="s">
        <v>115</v>
      </c>
      <c r="O701" s="86" t="s">
        <v>115</v>
      </c>
      <c r="P701" s="86">
        <v>200111</v>
      </c>
      <c r="Q701" s="85">
        <v>371</v>
      </c>
      <c r="R701" s="86">
        <v>3870</v>
      </c>
    </row>
    <row r="702" spans="1:18" x14ac:dyDescent="0.15">
      <c r="A702" s="86" t="s">
        <v>1</v>
      </c>
      <c r="B702" s="85">
        <v>205042</v>
      </c>
      <c r="C702" s="83"/>
      <c r="D702" s="86" t="s">
        <v>115</v>
      </c>
      <c r="E702" s="86">
        <v>1</v>
      </c>
      <c r="F702" s="86">
        <v>5</v>
      </c>
      <c r="G702" s="86" t="s">
        <v>115</v>
      </c>
      <c r="H702" s="86" t="s">
        <v>7307</v>
      </c>
      <c r="I702" s="4" t="s">
        <v>4800</v>
      </c>
      <c r="J702" s="83"/>
      <c r="K702" s="86">
        <v>40000</v>
      </c>
      <c r="L702" s="86">
        <v>205043</v>
      </c>
      <c r="M702" s="83"/>
      <c r="N702" s="86" t="s">
        <v>115</v>
      </c>
      <c r="O702" s="86" t="s">
        <v>115</v>
      </c>
      <c r="P702" s="86">
        <v>200112</v>
      </c>
      <c r="Q702" s="85">
        <v>371</v>
      </c>
      <c r="R702" s="86">
        <v>12169</v>
      </c>
    </row>
    <row r="703" spans="1:18" x14ac:dyDescent="0.15">
      <c r="A703" s="86" t="s">
        <v>1</v>
      </c>
      <c r="B703" s="85">
        <v>205043</v>
      </c>
      <c r="C703" s="83"/>
      <c r="D703" s="86" t="s">
        <v>115</v>
      </c>
      <c r="E703" s="86">
        <v>2</v>
      </c>
      <c r="F703" s="86">
        <v>5</v>
      </c>
      <c r="G703" s="86" t="s">
        <v>115</v>
      </c>
      <c r="H703" s="86" t="s">
        <v>7307</v>
      </c>
      <c r="I703" s="86" t="s">
        <v>115</v>
      </c>
      <c r="J703" s="83"/>
      <c r="K703" s="86">
        <v>40000</v>
      </c>
      <c r="L703" s="86">
        <v>0</v>
      </c>
      <c r="M703" s="83"/>
      <c r="N703" s="86">
        <v>200115</v>
      </c>
      <c r="O703" s="86">
        <v>200116</v>
      </c>
      <c r="P703" s="86">
        <v>200113</v>
      </c>
      <c r="Q703" s="85">
        <v>371</v>
      </c>
      <c r="R703" s="86">
        <v>11806</v>
      </c>
    </row>
    <row r="704" spans="1:18" x14ac:dyDescent="0.15">
      <c r="A704" s="86" t="s">
        <v>1</v>
      </c>
      <c r="B704" s="85">
        <v>205051</v>
      </c>
      <c r="C704" s="83"/>
      <c r="D704" s="86">
        <v>3</v>
      </c>
      <c r="E704" s="86" t="s">
        <v>115</v>
      </c>
      <c r="F704" s="86" t="s">
        <v>115</v>
      </c>
      <c r="G704" s="86" t="s">
        <v>115</v>
      </c>
      <c r="H704" s="86" t="s">
        <v>7307</v>
      </c>
      <c r="I704" s="86" t="s">
        <v>115</v>
      </c>
      <c r="J704" s="83"/>
      <c r="K704" s="86">
        <v>50000</v>
      </c>
      <c r="L704" s="86">
        <v>205052</v>
      </c>
      <c r="M704" s="83"/>
      <c r="N704" s="86" t="s">
        <v>115</v>
      </c>
      <c r="O704" s="86" t="s">
        <v>115</v>
      </c>
      <c r="P704" s="86">
        <v>200111</v>
      </c>
      <c r="Q704" s="85">
        <v>371</v>
      </c>
      <c r="R704" s="86">
        <v>3870</v>
      </c>
    </row>
    <row r="705" spans="1:18" x14ac:dyDescent="0.15">
      <c r="A705" s="86" t="s">
        <v>1</v>
      </c>
      <c r="B705" s="85">
        <v>205052</v>
      </c>
      <c r="C705" s="83"/>
      <c r="D705" s="86" t="s">
        <v>115</v>
      </c>
      <c r="E705" s="86">
        <v>1</v>
      </c>
      <c r="F705" s="86">
        <v>5</v>
      </c>
      <c r="G705" s="86" t="s">
        <v>115</v>
      </c>
      <c r="H705" s="86" t="s">
        <v>7307</v>
      </c>
      <c r="I705" s="4" t="s">
        <v>4800</v>
      </c>
      <c r="J705" s="83"/>
      <c r="K705" s="86">
        <v>50000</v>
      </c>
      <c r="L705" s="86">
        <v>205053</v>
      </c>
      <c r="M705" s="83"/>
      <c r="N705" s="86" t="s">
        <v>115</v>
      </c>
      <c r="O705" s="86" t="s">
        <v>115</v>
      </c>
      <c r="P705" s="86">
        <v>200112</v>
      </c>
      <c r="Q705" s="85">
        <v>371</v>
      </c>
      <c r="R705" s="86">
        <v>12169</v>
      </c>
    </row>
    <row r="706" spans="1:18" x14ac:dyDescent="0.15">
      <c r="A706" s="86" t="s">
        <v>1</v>
      </c>
      <c r="B706" s="85">
        <v>205053</v>
      </c>
      <c r="C706" s="83"/>
      <c r="D706" s="86" t="s">
        <v>115</v>
      </c>
      <c r="E706" s="86">
        <v>2</v>
      </c>
      <c r="F706" s="86">
        <v>5</v>
      </c>
      <c r="G706" s="86" t="s">
        <v>115</v>
      </c>
      <c r="H706" s="86" t="s">
        <v>7307</v>
      </c>
      <c r="I706" s="86" t="s">
        <v>115</v>
      </c>
      <c r="J706" s="83"/>
      <c r="K706" s="86">
        <v>50000</v>
      </c>
      <c r="L706" s="86">
        <v>0</v>
      </c>
      <c r="M706" s="83"/>
      <c r="N706" s="86">
        <v>200115</v>
      </c>
      <c r="O706" s="86">
        <v>200116</v>
      </c>
      <c r="P706" s="86">
        <v>200113</v>
      </c>
      <c r="Q706" s="85">
        <v>371</v>
      </c>
      <c r="R706" s="86">
        <v>11806</v>
      </c>
    </row>
    <row r="707" spans="1:18" x14ac:dyDescent="0.15">
      <c r="A707" s="86" t="s">
        <v>1</v>
      </c>
      <c r="B707" s="85">
        <v>205061</v>
      </c>
      <c r="C707" s="83"/>
      <c r="D707" s="86">
        <v>3</v>
      </c>
      <c r="E707" s="86" t="s">
        <v>115</v>
      </c>
      <c r="F707" s="86" t="s">
        <v>115</v>
      </c>
      <c r="G707" s="86" t="s">
        <v>115</v>
      </c>
      <c r="H707" s="86" t="s">
        <v>7307</v>
      </c>
      <c r="I707" s="86" t="s">
        <v>115</v>
      </c>
      <c r="J707" s="83"/>
      <c r="K707" s="86">
        <v>60000</v>
      </c>
      <c r="L707" s="86">
        <v>205062</v>
      </c>
      <c r="M707" s="83"/>
      <c r="N707" s="86" t="s">
        <v>115</v>
      </c>
      <c r="O707" s="86" t="s">
        <v>115</v>
      </c>
      <c r="P707" s="86">
        <v>200111</v>
      </c>
      <c r="Q707" s="85">
        <v>371</v>
      </c>
      <c r="R707" s="86">
        <v>3870</v>
      </c>
    </row>
    <row r="708" spans="1:18" x14ac:dyDescent="0.15">
      <c r="A708" s="86" t="s">
        <v>1</v>
      </c>
      <c r="B708" s="85">
        <v>205062</v>
      </c>
      <c r="C708" s="83"/>
      <c r="D708" s="86" t="s">
        <v>115</v>
      </c>
      <c r="E708" s="86">
        <v>1</v>
      </c>
      <c r="F708" s="86">
        <v>5</v>
      </c>
      <c r="G708" s="86" t="s">
        <v>115</v>
      </c>
      <c r="H708" s="86" t="s">
        <v>7307</v>
      </c>
      <c r="I708" s="4" t="s">
        <v>4800</v>
      </c>
      <c r="J708" s="83"/>
      <c r="K708" s="86">
        <v>60000</v>
      </c>
      <c r="L708" s="86">
        <v>205063</v>
      </c>
      <c r="M708" s="83"/>
      <c r="N708" s="86" t="s">
        <v>115</v>
      </c>
      <c r="O708" s="86" t="s">
        <v>115</v>
      </c>
      <c r="P708" s="86">
        <v>200112</v>
      </c>
      <c r="Q708" s="85">
        <v>371</v>
      </c>
      <c r="R708" s="86">
        <v>12169</v>
      </c>
    </row>
    <row r="709" spans="1:18" x14ac:dyDescent="0.15">
      <c r="A709" s="86" t="s">
        <v>1</v>
      </c>
      <c r="B709" s="85">
        <v>205063</v>
      </c>
      <c r="C709" s="83"/>
      <c r="D709" s="86" t="s">
        <v>115</v>
      </c>
      <c r="E709" s="86">
        <v>2</v>
      </c>
      <c r="F709" s="86">
        <v>5</v>
      </c>
      <c r="G709" s="86" t="s">
        <v>115</v>
      </c>
      <c r="H709" s="86" t="s">
        <v>7307</v>
      </c>
      <c r="I709" s="86" t="s">
        <v>115</v>
      </c>
      <c r="J709" s="83"/>
      <c r="K709" s="86">
        <v>60000</v>
      </c>
      <c r="L709" s="86">
        <v>0</v>
      </c>
      <c r="M709" s="83"/>
      <c r="N709" s="86">
        <v>200115</v>
      </c>
      <c r="O709" s="86">
        <v>200116</v>
      </c>
      <c r="P709" s="86">
        <v>200113</v>
      </c>
      <c r="Q709" s="85">
        <v>371</v>
      </c>
      <c r="R709" s="86">
        <v>11806</v>
      </c>
    </row>
    <row r="710" spans="1:18" x14ac:dyDescent="0.15">
      <c r="A710" s="86" t="s">
        <v>1</v>
      </c>
      <c r="B710" s="85">
        <v>205071</v>
      </c>
      <c r="C710" s="83"/>
      <c r="D710" s="86">
        <v>3</v>
      </c>
      <c r="E710" s="86" t="s">
        <v>115</v>
      </c>
      <c r="F710" s="86" t="s">
        <v>115</v>
      </c>
      <c r="G710" s="86" t="s">
        <v>115</v>
      </c>
      <c r="H710" s="86" t="s">
        <v>7307</v>
      </c>
      <c r="I710" s="86" t="s">
        <v>115</v>
      </c>
      <c r="J710" s="83"/>
      <c r="K710" s="86">
        <v>70000</v>
      </c>
      <c r="L710" s="86">
        <v>205072</v>
      </c>
      <c r="M710" s="83"/>
      <c r="N710" s="86" t="s">
        <v>115</v>
      </c>
      <c r="O710" s="86" t="s">
        <v>115</v>
      </c>
      <c r="P710" s="86">
        <v>200111</v>
      </c>
      <c r="Q710" s="85">
        <v>371</v>
      </c>
      <c r="R710" s="86">
        <v>3870</v>
      </c>
    </row>
    <row r="711" spans="1:18" x14ac:dyDescent="0.15">
      <c r="A711" s="86" t="s">
        <v>1</v>
      </c>
      <c r="B711" s="85">
        <v>205072</v>
      </c>
      <c r="C711" s="83"/>
      <c r="D711" s="86" t="s">
        <v>115</v>
      </c>
      <c r="E711" s="86">
        <v>1</v>
      </c>
      <c r="F711" s="86">
        <v>5</v>
      </c>
      <c r="G711" s="86" t="s">
        <v>115</v>
      </c>
      <c r="H711" s="86" t="s">
        <v>7307</v>
      </c>
      <c r="I711" s="4" t="s">
        <v>4800</v>
      </c>
      <c r="J711" s="83"/>
      <c r="K711" s="86">
        <v>70000</v>
      </c>
      <c r="L711" s="86">
        <v>205073</v>
      </c>
      <c r="M711" s="83"/>
      <c r="N711" s="86" t="s">
        <v>115</v>
      </c>
      <c r="O711" s="86" t="s">
        <v>115</v>
      </c>
      <c r="P711" s="86">
        <v>200112</v>
      </c>
      <c r="Q711" s="85">
        <v>371</v>
      </c>
      <c r="R711" s="86">
        <v>12169</v>
      </c>
    </row>
    <row r="712" spans="1:18" x14ac:dyDescent="0.15">
      <c r="A712" s="86" t="s">
        <v>1</v>
      </c>
      <c r="B712" s="85">
        <v>205073</v>
      </c>
      <c r="C712" s="83"/>
      <c r="D712" s="86" t="s">
        <v>115</v>
      </c>
      <c r="E712" s="86">
        <v>2</v>
      </c>
      <c r="F712" s="86">
        <v>5</v>
      </c>
      <c r="G712" s="86" t="s">
        <v>115</v>
      </c>
      <c r="H712" s="86" t="s">
        <v>7307</v>
      </c>
      <c r="I712" s="86" t="s">
        <v>115</v>
      </c>
      <c r="J712" s="83"/>
      <c r="K712" s="86">
        <v>70000</v>
      </c>
      <c r="L712" s="86">
        <v>0</v>
      </c>
      <c r="M712" s="83"/>
      <c r="N712" s="86">
        <v>200115</v>
      </c>
      <c r="O712" s="86">
        <v>200116</v>
      </c>
      <c r="P712" s="86">
        <v>200113</v>
      </c>
      <c r="Q712" s="85">
        <v>371</v>
      </c>
      <c r="R712" s="86">
        <v>11806</v>
      </c>
    </row>
    <row r="713" spans="1:18" x14ac:dyDescent="0.15">
      <c r="A713" s="86" t="s">
        <v>1</v>
      </c>
      <c r="B713" s="85">
        <v>205081</v>
      </c>
      <c r="C713" s="83"/>
      <c r="D713" s="86">
        <v>3</v>
      </c>
      <c r="E713" s="86" t="s">
        <v>115</v>
      </c>
      <c r="F713" s="86" t="s">
        <v>115</v>
      </c>
      <c r="G713" s="86" t="s">
        <v>115</v>
      </c>
      <c r="H713" s="86" t="s">
        <v>7307</v>
      </c>
      <c r="I713" s="86" t="s">
        <v>115</v>
      </c>
      <c r="J713" s="83"/>
      <c r="K713" s="86">
        <v>80000</v>
      </c>
      <c r="L713" s="86">
        <v>205082</v>
      </c>
      <c r="M713" s="83"/>
      <c r="N713" s="86" t="s">
        <v>115</v>
      </c>
      <c r="O713" s="86" t="s">
        <v>115</v>
      </c>
      <c r="P713" s="86">
        <v>200111</v>
      </c>
      <c r="Q713" s="85">
        <v>371</v>
      </c>
      <c r="R713" s="86">
        <v>3870</v>
      </c>
    </row>
    <row r="714" spans="1:18" x14ac:dyDescent="0.15">
      <c r="A714" s="86" t="s">
        <v>1</v>
      </c>
      <c r="B714" s="85">
        <v>205082</v>
      </c>
      <c r="C714" s="83"/>
      <c r="D714" s="86" t="s">
        <v>115</v>
      </c>
      <c r="E714" s="86">
        <v>1</v>
      </c>
      <c r="F714" s="86">
        <v>5</v>
      </c>
      <c r="G714" s="86" t="s">
        <v>115</v>
      </c>
      <c r="H714" s="86" t="s">
        <v>7307</v>
      </c>
      <c r="I714" s="4" t="s">
        <v>4800</v>
      </c>
      <c r="J714" s="83"/>
      <c r="K714" s="86">
        <v>80000</v>
      </c>
      <c r="L714" s="86">
        <v>205083</v>
      </c>
      <c r="M714" s="83"/>
      <c r="N714" s="86" t="s">
        <v>115</v>
      </c>
      <c r="O714" s="86" t="s">
        <v>115</v>
      </c>
      <c r="P714" s="86">
        <v>200112</v>
      </c>
      <c r="Q714" s="85">
        <v>371</v>
      </c>
      <c r="R714" s="86">
        <v>12169</v>
      </c>
    </row>
    <row r="715" spans="1:18" x14ac:dyDescent="0.15">
      <c r="A715" s="86" t="s">
        <v>1</v>
      </c>
      <c r="B715" s="85">
        <v>205083</v>
      </c>
      <c r="C715" s="83"/>
      <c r="D715" s="86" t="s">
        <v>115</v>
      </c>
      <c r="E715" s="86">
        <v>2</v>
      </c>
      <c r="F715" s="86">
        <v>5</v>
      </c>
      <c r="G715" s="86" t="s">
        <v>115</v>
      </c>
      <c r="H715" s="86" t="s">
        <v>7307</v>
      </c>
      <c r="I715" s="86" t="s">
        <v>115</v>
      </c>
      <c r="J715" s="83"/>
      <c r="K715" s="86">
        <v>80000</v>
      </c>
      <c r="L715" s="86">
        <v>0</v>
      </c>
      <c r="M715" s="83"/>
      <c r="N715" s="86">
        <v>200115</v>
      </c>
      <c r="O715" s="86">
        <v>200116</v>
      </c>
      <c r="P715" s="86">
        <v>200113</v>
      </c>
      <c r="Q715" s="85">
        <v>371</v>
      </c>
      <c r="R715" s="86">
        <v>11806</v>
      </c>
    </row>
    <row r="716" spans="1:18" x14ac:dyDescent="0.15">
      <c r="A716" s="86" t="s">
        <v>1</v>
      </c>
      <c r="B716" s="85">
        <v>205091</v>
      </c>
      <c r="C716" s="83"/>
      <c r="D716" s="86">
        <v>3</v>
      </c>
      <c r="E716" s="86" t="s">
        <v>115</v>
      </c>
      <c r="F716" s="86" t="s">
        <v>115</v>
      </c>
      <c r="G716" s="86" t="s">
        <v>115</v>
      </c>
      <c r="H716" s="86" t="s">
        <v>7307</v>
      </c>
      <c r="I716" s="86" t="s">
        <v>115</v>
      </c>
      <c r="J716" s="83"/>
      <c r="K716" s="86">
        <v>90000</v>
      </c>
      <c r="L716" s="86">
        <v>205092</v>
      </c>
      <c r="M716" s="83"/>
      <c r="N716" s="86" t="s">
        <v>115</v>
      </c>
      <c r="O716" s="86" t="s">
        <v>115</v>
      </c>
      <c r="P716" s="86">
        <v>200111</v>
      </c>
      <c r="Q716" s="85">
        <v>371</v>
      </c>
      <c r="R716" s="86">
        <v>3870</v>
      </c>
    </row>
    <row r="717" spans="1:18" x14ac:dyDescent="0.15">
      <c r="A717" s="86" t="s">
        <v>1</v>
      </c>
      <c r="B717" s="85">
        <v>205092</v>
      </c>
      <c r="C717" s="83"/>
      <c r="D717" s="86" t="s">
        <v>115</v>
      </c>
      <c r="E717" s="86">
        <v>1</v>
      </c>
      <c r="F717" s="86">
        <v>5</v>
      </c>
      <c r="G717" s="86" t="s">
        <v>115</v>
      </c>
      <c r="H717" s="86" t="s">
        <v>7307</v>
      </c>
      <c r="I717" s="4" t="s">
        <v>4800</v>
      </c>
      <c r="J717" s="83"/>
      <c r="K717" s="86">
        <v>90000</v>
      </c>
      <c r="L717" s="86">
        <v>205093</v>
      </c>
      <c r="M717" s="83"/>
      <c r="N717" s="86" t="s">
        <v>115</v>
      </c>
      <c r="O717" s="86" t="s">
        <v>115</v>
      </c>
      <c r="P717" s="86">
        <v>200112</v>
      </c>
      <c r="Q717" s="85">
        <v>371</v>
      </c>
      <c r="R717" s="86">
        <v>12169</v>
      </c>
    </row>
    <row r="718" spans="1:18" x14ac:dyDescent="0.15">
      <c r="A718" s="86" t="s">
        <v>1</v>
      </c>
      <c r="B718" s="85">
        <v>205093</v>
      </c>
      <c r="C718" s="83"/>
      <c r="D718" s="86" t="s">
        <v>115</v>
      </c>
      <c r="E718" s="86">
        <v>2</v>
      </c>
      <c r="F718" s="86">
        <v>5</v>
      </c>
      <c r="G718" s="86" t="s">
        <v>115</v>
      </c>
      <c r="H718" s="86" t="s">
        <v>7307</v>
      </c>
      <c r="I718" s="86" t="s">
        <v>115</v>
      </c>
      <c r="J718" s="83"/>
      <c r="K718" s="86">
        <v>90000</v>
      </c>
      <c r="L718" s="86">
        <v>0</v>
      </c>
      <c r="M718" s="83"/>
      <c r="N718" s="86">
        <v>200115</v>
      </c>
      <c r="O718" s="86">
        <v>200116</v>
      </c>
      <c r="P718" s="86">
        <v>200113</v>
      </c>
      <c r="Q718" s="85">
        <v>371</v>
      </c>
      <c r="R718" s="86">
        <v>11806</v>
      </c>
    </row>
    <row r="719" spans="1:18" x14ac:dyDescent="0.15">
      <c r="A719" s="86" t="s">
        <v>1</v>
      </c>
      <c r="B719" s="85">
        <v>205101</v>
      </c>
      <c r="C719" s="83"/>
      <c r="D719" s="86">
        <v>3</v>
      </c>
      <c r="E719" s="86" t="s">
        <v>115</v>
      </c>
      <c r="F719" s="86" t="s">
        <v>115</v>
      </c>
      <c r="G719" s="86" t="s">
        <v>115</v>
      </c>
      <c r="H719" s="86" t="s">
        <v>7307</v>
      </c>
      <c r="I719" s="86" t="s">
        <v>115</v>
      </c>
      <c r="J719" s="83"/>
      <c r="K719" s="86">
        <v>100000</v>
      </c>
      <c r="L719" s="86">
        <v>205102</v>
      </c>
      <c r="M719" s="83"/>
      <c r="N719" s="86" t="s">
        <v>115</v>
      </c>
      <c r="O719" s="86" t="s">
        <v>115</v>
      </c>
      <c r="P719" s="86">
        <v>200111</v>
      </c>
      <c r="Q719" s="85">
        <v>371</v>
      </c>
      <c r="R719" s="86">
        <v>3870</v>
      </c>
    </row>
    <row r="720" spans="1:18" x14ac:dyDescent="0.15">
      <c r="A720" s="86" t="s">
        <v>1</v>
      </c>
      <c r="B720" s="85">
        <v>205102</v>
      </c>
      <c r="C720" s="83"/>
      <c r="D720" s="86" t="s">
        <v>115</v>
      </c>
      <c r="E720" s="86">
        <v>1</v>
      </c>
      <c r="F720" s="86">
        <v>5</v>
      </c>
      <c r="G720" s="86" t="s">
        <v>115</v>
      </c>
      <c r="H720" s="86" t="s">
        <v>7307</v>
      </c>
      <c r="I720" s="4" t="s">
        <v>4800</v>
      </c>
      <c r="J720" s="83"/>
      <c r="K720" s="86">
        <v>100000</v>
      </c>
      <c r="L720" s="86">
        <v>205103</v>
      </c>
      <c r="M720" s="83"/>
      <c r="N720" s="86" t="s">
        <v>115</v>
      </c>
      <c r="O720" s="86" t="s">
        <v>115</v>
      </c>
      <c r="P720" s="86">
        <v>200112</v>
      </c>
      <c r="Q720" s="85">
        <v>371</v>
      </c>
      <c r="R720" s="86">
        <v>12169</v>
      </c>
    </row>
    <row r="721" spans="1:21" x14ac:dyDescent="0.15">
      <c r="A721" s="86" t="s">
        <v>1</v>
      </c>
      <c r="B721" s="85">
        <v>205103</v>
      </c>
      <c r="C721" s="83"/>
      <c r="D721" s="86" t="s">
        <v>115</v>
      </c>
      <c r="E721" s="86">
        <v>2</v>
      </c>
      <c r="F721" s="86">
        <v>5</v>
      </c>
      <c r="G721" s="86" t="s">
        <v>115</v>
      </c>
      <c r="H721" s="86" t="s">
        <v>7307</v>
      </c>
      <c r="I721" s="86" t="s">
        <v>115</v>
      </c>
      <c r="J721" s="83"/>
      <c r="K721" s="86">
        <v>100000</v>
      </c>
      <c r="L721" s="86">
        <v>0</v>
      </c>
      <c r="M721" s="83"/>
      <c r="N721" s="86">
        <v>200115</v>
      </c>
      <c r="O721" s="86">
        <v>200116</v>
      </c>
      <c r="P721" s="86">
        <v>200113</v>
      </c>
      <c r="Q721" s="85">
        <v>371</v>
      </c>
      <c r="R721" s="86">
        <v>11806</v>
      </c>
    </row>
    <row r="722" spans="1:21" x14ac:dyDescent="0.15">
      <c r="A722" s="86" t="s">
        <v>1</v>
      </c>
      <c r="B722" s="85">
        <v>205111</v>
      </c>
      <c r="C722" s="83"/>
      <c r="D722" s="86">
        <v>3</v>
      </c>
      <c r="E722" s="86" t="s">
        <v>115</v>
      </c>
      <c r="F722" s="86" t="s">
        <v>115</v>
      </c>
      <c r="G722" s="86" t="s">
        <v>115</v>
      </c>
      <c r="H722" s="86" t="s">
        <v>7307</v>
      </c>
      <c r="I722" s="86" t="s">
        <v>115</v>
      </c>
      <c r="J722" s="83"/>
      <c r="K722" s="86">
        <v>110000</v>
      </c>
      <c r="L722" s="86">
        <v>205112</v>
      </c>
      <c r="M722" s="83"/>
      <c r="N722" s="86" t="s">
        <v>115</v>
      </c>
      <c r="O722" s="86" t="s">
        <v>115</v>
      </c>
      <c r="P722" s="86">
        <v>200111</v>
      </c>
      <c r="Q722" s="85">
        <v>371</v>
      </c>
      <c r="R722" s="86">
        <v>3870</v>
      </c>
    </row>
    <row r="723" spans="1:21" x14ac:dyDescent="0.15">
      <c r="A723" s="86" t="s">
        <v>1</v>
      </c>
      <c r="B723" s="85">
        <v>205112</v>
      </c>
      <c r="C723" s="83"/>
      <c r="D723" s="86" t="s">
        <v>115</v>
      </c>
      <c r="E723" s="86">
        <v>1</v>
      </c>
      <c r="F723" s="86">
        <v>5</v>
      </c>
      <c r="G723" s="86" t="s">
        <v>115</v>
      </c>
      <c r="H723" s="86" t="s">
        <v>7307</v>
      </c>
      <c r="I723" s="4" t="s">
        <v>4800</v>
      </c>
      <c r="J723" s="83"/>
      <c r="K723" s="86">
        <v>110000</v>
      </c>
      <c r="L723" s="86">
        <v>205113</v>
      </c>
      <c r="M723" s="83"/>
      <c r="N723" s="86" t="s">
        <v>115</v>
      </c>
      <c r="O723" s="86" t="s">
        <v>115</v>
      </c>
      <c r="P723" s="86">
        <v>200112</v>
      </c>
      <c r="Q723" s="85">
        <v>371</v>
      </c>
      <c r="R723" s="86">
        <v>12169</v>
      </c>
    </row>
    <row r="724" spans="1:21" x14ac:dyDescent="0.15">
      <c r="A724" s="86" t="s">
        <v>1</v>
      </c>
      <c r="B724" s="85">
        <v>205113</v>
      </c>
      <c r="C724" s="83"/>
      <c r="D724" s="86" t="s">
        <v>115</v>
      </c>
      <c r="E724" s="86">
        <v>2</v>
      </c>
      <c r="F724" s="86">
        <v>5</v>
      </c>
      <c r="G724" s="86" t="s">
        <v>115</v>
      </c>
      <c r="H724" s="86" t="s">
        <v>7307</v>
      </c>
      <c r="I724" s="86" t="s">
        <v>115</v>
      </c>
      <c r="J724" s="83"/>
      <c r="K724" s="86">
        <v>110000</v>
      </c>
      <c r="L724" s="86">
        <v>0</v>
      </c>
      <c r="M724" s="83"/>
      <c r="N724" s="86">
        <v>200115</v>
      </c>
      <c r="O724" s="86">
        <v>200116</v>
      </c>
      <c r="P724" s="86">
        <v>200113</v>
      </c>
      <c r="Q724" s="85">
        <v>371</v>
      </c>
      <c r="R724" s="86">
        <v>11806</v>
      </c>
    </row>
    <row r="725" spans="1:21" x14ac:dyDescent="0.15">
      <c r="A725" s="86" t="s">
        <v>1</v>
      </c>
      <c r="B725" s="85">
        <v>205121</v>
      </c>
      <c r="C725" s="83"/>
      <c r="D725" s="86">
        <v>3</v>
      </c>
      <c r="E725" s="86" t="s">
        <v>115</v>
      </c>
      <c r="F725" s="86" t="s">
        <v>115</v>
      </c>
      <c r="G725" s="86" t="s">
        <v>115</v>
      </c>
      <c r="H725" s="86" t="s">
        <v>7307</v>
      </c>
      <c r="I725" s="86" t="s">
        <v>115</v>
      </c>
      <c r="J725" s="83"/>
      <c r="K725" s="86">
        <v>120000</v>
      </c>
      <c r="L725" s="86">
        <v>205122</v>
      </c>
      <c r="M725" s="83"/>
      <c r="N725" s="86" t="s">
        <v>115</v>
      </c>
      <c r="O725" s="86" t="s">
        <v>115</v>
      </c>
      <c r="P725" s="86">
        <v>200111</v>
      </c>
      <c r="Q725" s="85">
        <v>371</v>
      </c>
      <c r="R725" s="86">
        <v>3870</v>
      </c>
    </row>
    <row r="726" spans="1:21" x14ac:dyDescent="0.15">
      <c r="A726" s="86" t="s">
        <v>1</v>
      </c>
      <c r="B726" s="85">
        <v>205122</v>
      </c>
      <c r="C726" s="83"/>
      <c r="D726" s="86" t="s">
        <v>115</v>
      </c>
      <c r="E726" s="86">
        <v>1</v>
      </c>
      <c r="F726" s="86">
        <v>5</v>
      </c>
      <c r="G726" s="86" t="s">
        <v>115</v>
      </c>
      <c r="H726" s="86" t="s">
        <v>7307</v>
      </c>
      <c r="I726" s="4" t="s">
        <v>4800</v>
      </c>
      <c r="J726" s="83"/>
      <c r="K726" s="86">
        <v>120000</v>
      </c>
      <c r="L726" s="86">
        <v>205123</v>
      </c>
      <c r="M726" s="83"/>
      <c r="N726" s="86" t="s">
        <v>115</v>
      </c>
      <c r="O726" s="86" t="s">
        <v>115</v>
      </c>
      <c r="P726" s="86">
        <v>200112</v>
      </c>
      <c r="Q726" s="85">
        <v>371</v>
      </c>
      <c r="R726" s="86">
        <v>12169</v>
      </c>
    </row>
    <row r="727" spans="1:21" x14ac:dyDescent="0.15">
      <c r="A727" s="86" t="s">
        <v>1</v>
      </c>
      <c r="B727" s="85">
        <v>205123</v>
      </c>
      <c r="C727" s="83"/>
      <c r="D727" s="86" t="s">
        <v>115</v>
      </c>
      <c r="E727" s="86">
        <v>2</v>
      </c>
      <c r="F727" s="86">
        <v>5</v>
      </c>
      <c r="G727" s="86" t="s">
        <v>115</v>
      </c>
      <c r="H727" s="86" t="s">
        <v>7307</v>
      </c>
      <c r="I727" s="86" t="s">
        <v>115</v>
      </c>
      <c r="J727" s="83"/>
      <c r="K727" s="86">
        <v>120000</v>
      </c>
      <c r="L727" s="86">
        <v>0</v>
      </c>
      <c r="M727" s="83"/>
      <c r="N727" s="86">
        <v>200115</v>
      </c>
      <c r="O727" s="86">
        <v>200116</v>
      </c>
      <c r="P727" s="86">
        <v>200113</v>
      </c>
      <c r="Q727" s="85">
        <v>371</v>
      </c>
      <c r="R727" s="86">
        <v>11806</v>
      </c>
    </row>
    <row r="728" spans="1:21" x14ac:dyDescent="0.15">
      <c r="A728" s="113"/>
      <c r="B728" s="85"/>
      <c r="C728" s="83"/>
      <c r="D728" s="113"/>
      <c r="E728" s="113"/>
      <c r="F728" s="113"/>
      <c r="G728" s="113"/>
      <c r="H728" s="113"/>
      <c r="I728" s="113"/>
      <c r="J728" s="83"/>
      <c r="K728" s="113"/>
      <c r="L728" s="113"/>
      <c r="M728" s="83"/>
      <c r="N728" s="113"/>
      <c r="O728" s="113"/>
      <c r="P728" s="113"/>
      <c r="Q728" s="85"/>
      <c r="R728" s="83"/>
      <c r="S728" s="87"/>
      <c r="T728" s="87"/>
      <c r="U728" s="87"/>
    </row>
    <row r="729" spans="1:21" x14ac:dyDescent="0.15">
      <c r="A729" s="83"/>
      <c r="B729" s="85"/>
      <c r="C729" s="83"/>
      <c r="D729" s="83"/>
      <c r="E729" s="83"/>
      <c r="F729" s="83"/>
      <c r="G729" s="83"/>
      <c r="H729" s="83"/>
      <c r="I729" s="83"/>
      <c r="J729" s="83"/>
      <c r="K729" s="83"/>
      <c r="L729" s="83"/>
      <c r="M729" s="83"/>
      <c r="N729" s="83"/>
      <c r="O729" s="83"/>
      <c r="P729" s="83"/>
      <c r="Q729" s="85"/>
      <c r="S729" s="87"/>
      <c r="T729" s="87"/>
      <c r="U729" s="87"/>
    </row>
    <row r="730" spans="1:21" s="72" customFormat="1" x14ac:dyDescent="0.15">
      <c r="A730" s="87"/>
      <c r="B730" s="87" t="s">
        <v>4793</v>
      </c>
      <c r="C730" s="87"/>
      <c r="D730" s="87"/>
      <c r="E730" s="87"/>
      <c r="F730" s="87"/>
      <c r="G730" s="87"/>
      <c r="H730" s="87"/>
      <c r="I730" s="87"/>
      <c r="J730" s="87"/>
      <c r="K730" s="87"/>
      <c r="L730" s="87"/>
      <c r="M730" s="87"/>
      <c r="N730" s="87"/>
      <c r="O730" s="87"/>
      <c r="P730" s="87"/>
      <c r="Q730" s="87"/>
      <c r="S730" s="86"/>
      <c r="T730" s="86"/>
      <c r="U730" s="86"/>
    </row>
    <row r="731" spans="1:21" x14ac:dyDescent="0.15">
      <c r="A731" s="83"/>
      <c r="B731" s="85"/>
      <c r="C731" s="83"/>
      <c r="D731" s="83"/>
      <c r="E731" s="83"/>
      <c r="F731" s="83"/>
      <c r="G731" s="83"/>
      <c r="H731" s="83"/>
      <c r="I731" s="83"/>
      <c r="J731" s="83"/>
      <c r="K731" s="83"/>
      <c r="L731" s="83"/>
      <c r="M731" s="83"/>
      <c r="N731" s="83"/>
      <c r="O731" s="83"/>
      <c r="P731" s="83"/>
      <c r="Q731" s="85"/>
      <c r="R731" s="87"/>
      <c r="S731" s="87"/>
      <c r="T731" s="87"/>
      <c r="U731" s="87"/>
    </row>
    <row r="732" spans="1:21" x14ac:dyDescent="0.15">
      <c r="A732" s="113"/>
      <c r="B732" s="85"/>
      <c r="C732" s="83"/>
      <c r="D732" s="113"/>
      <c r="E732" s="113"/>
      <c r="F732" s="113"/>
      <c r="G732" s="113"/>
      <c r="H732" s="113"/>
      <c r="I732" s="113"/>
      <c r="J732" s="83"/>
      <c r="K732" s="113"/>
      <c r="L732" s="113"/>
      <c r="M732" s="83"/>
      <c r="N732" s="113"/>
      <c r="O732" s="113"/>
      <c r="P732" s="113"/>
      <c r="Q732" s="85"/>
      <c r="R732" s="83"/>
      <c r="S732" s="114"/>
      <c r="T732" s="114"/>
      <c r="U732" s="114"/>
    </row>
    <row r="733" spans="1:21" x14ac:dyDescent="0.15">
      <c r="A733" s="86" t="s">
        <v>1</v>
      </c>
      <c r="B733" s="85">
        <v>300011</v>
      </c>
      <c r="C733" s="83"/>
      <c r="D733" s="86">
        <v>3</v>
      </c>
      <c r="E733" s="86" t="s">
        <v>115</v>
      </c>
      <c r="F733" s="86" t="s">
        <v>115</v>
      </c>
      <c r="G733" s="86" t="s">
        <v>115</v>
      </c>
      <c r="H733" s="86" t="s">
        <v>7307</v>
      </c>
      <c r="I733" s="86" t="s">
        <v>115</v>
      </c>
      <c r="J733" s="83"/>
      <c r="K733" s="86">
        <v>8000</v>
      </c>
      <c r="L733" s="86">
        <v>300012</v>
      </c>
      <c r="M733" s="83"/>
      <c r="N733" s="86" t="s">
        <v>115</v>
      </c>
      <c r="O733" s="86" t="s">
        <v>115</v>
      </c>
      <c r="P733" s="86">
        <v>200111</v>
      </c>
      <c r="Q733" s="85">
        <v>371</v>
      </c>
      <c r="R733" s="86">
        <v>270</v>
      </c>
      <c r="S733" s="83"/>
      <c r="T733" s="83"/>
      <c r="U733" s="83"/>
    </row>
    <row r="734" spans="1:21" x14ac:dyDescent="0.15">
      <c r="A734" s="86" t="s">
        <v>1</v>
      </c>
      <c r="B734" s="85">
        <v>300012</v>
      </c>
      <c r="C734" s="83"/>
      <c r="D734" s="86" t="s">
        <v>115</v>
      </c>
      <c r="E734" s="86">
        <v>1</v>
      </c>
      <c r="F734" s="86">
        <v>5</v>
      </c>
      <c r="G734" s="86" t="s">
        <v>115</v>
      </c>
      <c r="H734" s="86" t="s">
        <v>7307</v>
      </c>
      <c r="I734" s="4" t="s">
        <v>4800</v>
      </c>
      <c r="J734" s="83"/>
      <c r="K734" s="86">
        <v>8000</v>
      </c>
      <c r="L734" s="86">
        <v>300013</v>
      </c>
      <c r="M734" s="83"/>
      <c r="N734" s="86" t="s">
        <v>115</v>
      </c>
      <c r="O734" s="86" t="s">
        <v>115</v>
      </c>
      <c r="P734" s="86">
        <v>200112</v>
      </c>
      <c r="Q734" s="85">
        <v>371</v>
      </c>
      <c r="R734" s="86">
        <v>270</v>
      </c>
      <c r="S734" s="83"/>
      <c r="T734" s="83"/>
      <c r="U734" s="83"/>
    </row>
    <row r="735" spans="1:21" x14ac:dyDescent="0.15">
      <c r="A735" s="86" t="s">
        <v>1</v>
      </c>
      <c r="B735" s="85">
        <v>300013</v>
      </c>
      <c r="C735" s="83"/>
      <c r="D735" s="86" t="s">
        <v>115</v>
      </c>
      <c r="E735" s="86">
        <v>2</v>
      </c>
      <c r="F735" s="86">
        <v>5</v>
      </c>
      <c r="G735" s="86" t="s">
        <v>7348</v>
      </c>
      <c r="H735" s="86"/>
      <c r="I735" s="86" t="s">
        <v>115</v>
      </c>
      <c r="J735" s="83"/>
      <c r="K735" s="86">
        <v>8000</v>
      </c>
      <c r="L735" s="86">
        <v>0</v>
      </c>
      <c r="M735" s="83"/>
      <c r="N735" s="86">
        <v>200115</v>
      </c>
      <c r="O735" s="86">
        <v>200116</v>
      </c>
      <c r="P735" s="86">
        <v>200113</v>
      </c>
      <c r="Q735" s="85">
        <v>371</v>
      </c>
      <c r="R735" s="86">
        <v>270</v>
      </c>
      <c r="S735" s="87"/>
      <c r="T735" s="87"/>
      <c r="U735" s="87"/>
    </row>
    <row r="736" spans="1:21" x14ac:dyDescent="0.15">
      <c r="A736" s="86" t="s">
        <v>1</v>
      </c>
      <c r="B736" s="85">
        <v>300021</v>
      </c>
      <c r="C736" s="83"/>
      <c r="D736" s="86">
        <v>3</v>
      </c>
      <c r="E736" s="86" t="s">
        <v>115</v>
      </c>
      <c r="F736" s="86" t="s">
        <v>115</v>
      </c>
      <c r="G736" s="86" t="s">
        <v>115</v>
      </c>
      <c r="H736" s="86" t="s">
        <v>7307</v>
      </c>
      <c r="I736" s="86" t="s">
        <v>115</v>
      </c>
      <c r="J736" s="83"/>
      <c r="K736" s="86">
        <v>8000</v>
      </c>
      <c r="L736" s="85">
        <v>300022</v>
      </c>
      <c r="M736" s="83"/>
      <c r="N736" s="86" t="s">
        <v>115</v>
      </c>
      <c r="O736" s="86" t="s">
        <v>115</v>
      </c>
      <c r="P736" s="86">
        <v>200111</v>
      </c>
      <c r="Q736" s="85">
        <v>371</v>
      </c>
      <c r="R736" s="86">
        <v>270</v>
      </c>
      <c r="S736" s="83"/>
      <c r="T736" s="83"/>
      <c r="U736" s="83"/>
    </row>
    <row r="737" spans="1:21" x14ac:dyDescent="0.15">
      <c r="A737" s="86" t="s">
        <v>1</v>
      </c>
      <c r="B737" s="85">
        <v>300022</v>
      </c>
      <c r="C737" s="83"/>
      <c r="D737" s="86" t="s">
        <v>115</v>
      </c>
      <c r="E737" s="86">
        <v>1</v>
      </c>
      <c r="F737" s="86">
        <v>5</v>
      </c>
      <c r="G737" s="86" t="s">
        <v>115</v>
      </c>
      <c r="H737" s="86" t="s">
        <v>7307</v>
      </c>
      <c r="I737" s="4" t="s">
        <v>4800</v>
      </c>
      <c r="J737" s="83"/>
      <c r="K737" s="86">
        <v>8000</v>
      </c>
      <c r="L737" s="85">
        <v>300023</v>
      </c>
      <c r="M737" s="83"/>
      <c r="N737" s="86" t="s">
        <v>115</v>
      </c>
      <c r="O737" s="86" t="s">
        <v>115</v>
      </c>
      <c r="P737" s="86">
        <v>200112</v>
      </c>
      <c r="Q737" s="85">
        <v>371</v>
      </c>
      <c r="R737" s="86">
        <v>270</v>
      </c>
      <c r="S737" s="83"/>
      <c r="T737" s="83"/>
      <c r="U737" s="83"/>
    </row>
    <row r="738" spans="1:21" x14ac:dyDescent="0.15">
      <c r="A738" s="86" t="s">
        <v>1</v>
      </c>
      <c r="B738" s="85">
        <v>300023</v>
      </c>
      <c r="C738" s="83"/>
      <c r="D738" s="86" t="s">
        <v>115</v>
      </c>
      <c r="E738" s="86">
        <v>2</v>
      </c>
      <c r="F738" s="86">
        <v>5</v>
      </c>
      <c r="G738" s="86" t="s">
        <v>7350</v>
      </c>
      <c r="H738" s="86"/>
      <c r="I738" s="86" t="s">
        <v>115</v>
      </c>
      <c r="J738" s="83"/>
      <c r="K738" s="86">
        <v>8000</v>
      </c>
      <c r="L738" s="86">
        <v>0</v>
      </c>
      <c r="M738" s="83"/>
      <c r="N738" s="86">
        <v>200115</v>
      </c>
      <c r="O738" s="86">
        <v>200116</v>
      </c>
      <c r="P738" s="86">
        <v>200113</v>
      </c>
      <c r="Q738" s="85">
        <v>371</v>
      </c>
      <c r="R738" s="86">
        <v>270</v>
      </c>
      <c r="S738" s="87"/>
      <c r="T738" s="87"/>
      <c r="U738" s="87"/>
    </row>
    <row r="739" spans="1:21" x14ac:dyDescent="0.15">
      <c r="A739" s="86" t="s">
        <v>1</v>
      </c>
      <c r="B739" s="85">
        <v>300031</v>
      </c>
      <c r="C739" s="83"/>
      <c r="D739" s="86">
        <v>3</v>
      </c>
      <c r="E739" s="86" t="s">
        <v>115</v>
      </c>
      <c r="F739" s="86" t="s">
        <v>115</v>
      </c>
      <c r="G739" s="86" t="s">
        <v>115</v>
      </c>
      <c r="H739" s="86" t="s">
        <v>7307</v>
      </c>
      <c r="I739" s="86" t="s">
        <v>115</v>
      </c>
      <c r="J739" s="83"/>
      <c r="K739" s="86">
        <v>8000</v>
      </c>
      <c r="L739" s="86">
        <v>300032</v>
      </c>
      <c r="M739" s="83"/>
      <c r="N739" s="86" t="s">
        <v>115</v>
      </c>
      <c r="O739" s="86" t="s">
        <v>115</v>
      </c>
      <c r="P739" s="86">
        <v>200111</v>
      </c>
      <c r="Q739" s="85">
        <v>371</v>
      </c>
      <c r="R739" s="86">
        <v>270</v>
      </c>
      <c r="S739" s="83"/>
      <c r="T739" s="83"/>
      <c r="U739" s="83"/>
    </row>
    <row r="740" spans="1:21" x14ac:dyDescent="0.15">
      <c r="A740" s="86" t="s">
        <v>1</v>
      </c>
      <c r="B740" s="85">
        <v>300032</v>
      </c>
      <c r="C740" s="83"/>
      <c r="D740" s="86" t="s">
        <v>115</v>
      </c>
      <c r="E740" s="86">
        <v>1</v>
      </c>
      <c r="F740" s="86">
        <v>5</v>
      </c>
      <c r="G740" s="86" t="s">
        <v>115</v>
      </c>
      <c r="H740" s="86" t="s">
        <v>7307</v>
      </c>
      <c r="I740" s="4" t="s">
        <v>4800</v>
      </c>
      <c r="J740" s="83"/>
      <c r="K740" s="86">
        <v>8000</v>
      </c>
      <c r="L740" s="86">
        <v>300033</v>
      </c>
      <c r="M740" s="83"/>
      <c r="N740" s="86" t="s">
        <v>115</v>
      </c>
      <c r="O740" s="86" t="s">
        <v>115</v>
      </c>
      <c r="P740" s="86">
        <v>200112</v>
      </c>
      <c r="Q740" s="85">
        <v>371</v>
      </c>
      <c r="R740" s="86">
        <v>270</v>
      </c>
      <c r="S740" s="83"/>
      <c r="T740" s="83"/>
      <c r="U740" s="83"/>
    </row>
    <row r="741" spans="1:21" x14ac:dyDescent="0.15">
      <c r="A741" s="86" t="s">
        <v>1</v>
      </c>
      <c r="B741" s="85">
        <v>300033</v>
      </c>
      <c r="C741" s="83"/>
      <c r="D741" s="86" t="s">
        <v>115</v>
      </c>
      <c r="E741" s="86">
        <v>2</v>
      </c>
      <c r="F741" s="86">
        <v>5</v>
      </c>
      <c r="G741" s="86" t="s">
        <v>7349</v>
      </c>
      <c r="H741" s="86"/>
      <c r="I741" s="86" t="s">
        <v>115</v>
      </c>
      <c r="J741" s="83"/>
      <c r="K741" s="86">
        <v>8000</v>
      </c>
      <c r="L741" s="86">
        <v>0</v>
      </c>
      <c r="M741" s="83"/>
      <c r="N741" s="86">
        <v>200115</v>
      </c>
      <c r="O741" s="86">
        <v>200116</v>
      </c>
      <c r="P741" s="86">
        <v>200113</v>
      </c>
      <c r="Q741" s="85">
        <v>371</v>
      </c>
      <c r="R741" s="86">
        <v>270</v>
      </c>
      <c r="S741" s="87"/>
      <c r="T741" s="87"/>
      <c r="U741" s="87"/>
    </row>
    <row r="742" spans="1:21" x14ac:dyDescent="0.15">
      <c r="A742" s="86" t="s">
        <v>1</v>
      </c>
      <c r="B742" s="85">
        <v>300041</v>
      </c>
      <c r="C742" s="83"/>
      <c r="D742" s="86">
        <v>3</v>
      </c>
      <c r="E742" s="86" t="s">
        <v>115</v>
      </c>
      <c r="F742" s="86" t="s">
        <v>115</v>
      </c>
      <c r="G742" s="86" t="s">
        <v>115</v>
      </c>
      <c r="H742" s="86" t="s">
        <v>7307</v>
      </c>
      <c r="I742" s="86" t="s">
        <v>115</v>
      </c>
      <c r="J742" s="83"/>
      <c r="K742" s="86">
        <v>8000</v>
      </c>
      <c r="L742" s="86">
        <v>300042</v>
      </c>
      <c r="M742" s="83"/>
      <c r="N742" s="86" t="s">
        <v>115</v>
      </c>
      <c r="O742" s="86" t="s">
        <v>115</v>
      </c>
      <c r="P742" s="86">
        <v>200111</v>
      </c>
      <c r="Q742" s="85">
        <v>371</v>
      </c>
      <c r="R742" s="86">
        <v>270</v>
      </c>
      <c r="S742" s="83"/>
      <c r="T742" s="83"/>
      <c r="U742" s="83"/>
    </row>
    <row r="743" spans="1:21" x14ac:dyDescent="0.15">
      <c r="A743" s="86" t="s">
        <v>1</v>
      </c>
      <c r="B743" s="85">
        <v>300042</v>
      </c>
      <c r="C743" s="83"/>
      <c r="D743" s="86" t="s">
        <v>115</v>
      </c>
      <c r="E743" s="86">
        <v>1</v>
      </c>
      <c r="F743" s="86">
        <v>5</v>
      </c>
      <c r="G743" s="86" t="s">
        <v>115</v>
      </c>
      <c r="H743" s="86" t="s">
        <v>7307</v>
      </c>
      <c r="I743" s="4" t="s">
        <v>4800</v>
      </c>
      <c r="J743" s="83"/>
      <c r="K743" s="86">
        <v>8000</v>
      </c>
      <c r="L743" s="86">
        <v>300043</v>
      </c>
      <c r="M743" s="83"/>
      <c r="N743" s="86" t="s">
        <v>115</v>
      </c>
      <c r="O743" s="86" t="s">
        <v>115</v>
      </c>
      <c r="P743" s="86">
        <v>200112</v>
      </c>
      <c r="Q743" s="85">
        <v>371</v>
      </c>
      <c r="R743" s="86">
        <v>270</v>
      </c>
      <c r="S743" s="83"/>
      <c r="T743" s="83"/>
      <c r="U743" s="83"/>
    </row>
    <row r="744" spans="1:21" x14ac:dyDescent="0.15">
      <c r="A744" s="86" t="s">
        <v>1</v>
      </c>
      <c r="B744" s="85">
        <v>300043</v>
      </c>
      <c r="C744" s="83"/>
      <c r="D744" s="86" t="s">
        <v>115</v>
      </c>
      <c r="E744" s="86">
        <v>2</v>
      </c>
      <c r="F744" s="86">
        <v>5</v>
      </c>
      <c r="G744" s="86" t="s">
        <v>7351</v>
      </c>
      <c r="H744" s="86"/>
      <c r="I744" s="86" t="s">
        <v>115</v>
      </c>
      <c r="J744" s="83"/>
      <c r="K744" s="86">
        <v>8000</v>
      </c>
      <c r="L744" s="86">
        <v>0</v>
      </c>
      <c r="M744" s="83"/>
      <c r="N744" s="86">
        <v>200115</v>
      </c>
      <c r="O744" s="86">
        <v>200116</v>
      </c>
      <c r="P744" s="86">
        <v>200113</v>
      </c>
      <c r="Q744" s="85">
        <v>371</v>
      </c>
      <c r="R744" s="86">
        <v>270</v>
      </c>
      <c r="S744" s="87"/>
      <c r="T744" s="87"/>
      <c r="U744" s="87"/>
    </row>
    <row r="745" spans="1:21" x14ac:dyDescent="0.15">
      <c r="A745" s="86" t="s">
        <v>1</v>
      </c>
      <c r="B745" s="85">
        <v>300051</v>
      </c>
      <c r="C745" s="83"/>
      <c r="D745" s="86">
        <v>3</v>
      </c>
      <c r="E745" s="86" t="s">
        <v>115</v>
      </c>
      <c r="F745" s="86" t="s">
        <v>115</v>
      </c>
      <c r="G745" s="86" t="s">
        <v>115</v>
      </c>
      <c r="H745" s="86" t="s">
        <v>7307</v>
      </c>
      <c r="I745" s="86" t="s">
        <v>115</v>
      </c>
      <c r="J745" s="83"/>
      <c r="K745" s="86">
        <v>8000</v>
      </c>
      <c r="L745" s="86">
        <v>300052</v>
      </c>
      <c r="M745" s="83"/>
      <c r="N745" s="86" t="s">
        <v>115</v>
      </c>
      <c r="O745" s="86" t="s">
        <v>115</v>
      </c>
      <c r="P745" s="86">
        <v>200111</v>
      </c>
      <c r="Q745" s="85">
        <v>371</v>
      </c>
      <c r="R745" s="86">
        <v>270</v>
      </c>
      <c r="S745" s="83"/>
      <c r="T745" s="83"/>
      <c r="U745" s="83"/>
    </row>
    <row r="746" spans="1:21" x14ac:dyDescent="0.15">
      <c r="A746" s="86" t="s">
        <v>1</v>
      </c>
      <c r="B746" s="85">
        <v>300052</v>
      </c>
      <c r="C746" s="83"/>
      <c r="D746" s="86" t="s">
        <v>115</v>
      </c>
      <c r="E746" s="86">
        <v>1</v>
      </c>
      <c r="F746" s="86">
        <v>5</v>
      </c>
      <c r="G746" s="86" t="s">
        <v>115</v>
      </c>
      <c r="H746" s="86" t="s">
        <v>7307</v>
      </c>
      <c r="I746" s="4" t="s">
        <v>4800</v>
      </c>
      <c r="J746" s="83"/>
      <c r="K746" s="86">
        <v>8000</v>
      </c>
      <c r="L746" s="86">
        <v>300053</v>
      </c>
      <c r="M746" s="83"/>
      <c r="N746" s="86" t="s">
        <v>115</v>
      </c>
      <c r="O746" s="86" t="s">
        <v>115</v>
      </c>
      <c r="P746" s="86">
        <v>200112</v>
      </c>
      <c r="Q746" s="85">
        <v>371</v>
      </c>
      <c r="R746" s="86">
        <v>270</v>
      </c>
      <c r="S746" s="83"/>
      <c r="T746" s="83"/>
      <c r="U746" s="83"/>
    </row>
    <row r="747" spans="1:21" x14ac:dyDescent="0.15">
      <c r="A747" s="86" t="s">
        <v>1</v>
      </c>
      <c r="B747" s="85">
        <v>300053</v>
      </c>
      <c r="C747" s="83"/>
      <c r="D747" s="86" t="s">
        <v>115</v>
      </c>
      <c r="E747" s="86">
        <v>2</v>
      </c>
      <c r="F747" s="86">
        <v>5</v>
      </c>
      <c r="G747" s="86" t="s">
        <v>7352</v>
      </c>
      <c r="H747" s="86"/>
      <c r="I747" s="86" t="s">
        <v>115</v>
      </c>
      <c r="J747" s="83"/>
      <c r="K747" s="86">
        <v>8000</v>
      </c>
      <c r="L747" s="86">
        <v>0</v>
      </c>
      <c r="M747" s="83"/>
      <c r="N747" s="86">
        <v>200115</v>
      </c>
      <c r="O747" s="86">
        <v>200116</v>
      </c>
      <c r="P747" s="86">
        <v>200113</v>
      </c>
      <c r="Q747" s="85">
        <v>371</v>
      </c>
      <c r="R747" s="86">
        <v>270</v>
      </c>
      <c r="S747" s="87"/>
      <c r="T747" s="87"/>
      <c r="U747" s="87"/>
    </row>
    <row r="748" spans="1:21" x14ac:dyDescent="0.15">
      <c r="A748" s="86" t="s">
        <v>1</v>
      </c>
      <c r="B748" s="85">
        <v>300061</v>
      </c>
      <c r="C748" s="83"/>
      <c r="D748" s="86">
        <v>3</v>
      </c>
      <c r="E748" s="86" t="s">
        <v>115</v>
      </c>
      <c r="F748" s="86" t="s">
        <v>115</v>
      </c>
      <c r="G748" s="86" t="s">
        <v>115</v>
      </c>
      <c r="H748" s="86" t="s">
        <v>7307</v>
      </c>
      <c r="I748" s="86" t="s">
        <v>115</v>
      </c>
      <c r="J748" s="83"/>
      <c r="K748" s="86">
        <v>8000</v>
      </c>
      <c r="L748" s="86">
        <v>300062</v>
      </c>
      <c r="M748" s="83"/>
      <c r="N748" s="86" t="s">
        <v>115</v>
      </c>
      <c r="O748" s="86" t="s">
        <v>115</v>
      </c>
      <c r="P748" s="86">
        <v>200111</v>
      </c>
      <c r="Q748" s="85">
        <v>371</v>
      </c>
      <c r="R748" s="86">
        <v>270</v>
      </c>
      <c r="S748" s="83"/>
      <c r="T748" s="83"/>
      <c r="U748" s="83"/>
    </row>
    <row r="749" spans="1:21" x14ac:dyDescent="0.15">
      <c r="A749" s="86" t="s">
        <v>1</v>
      </c>
      <c r="B749" s="85">
        <v>300062</v>
      </c>
      <c r="C749" s="83"/>
      <c r="D749" s="86" t="s">
        <v>115</v>
      </c>
      <c r="E749" s="86">
        <v>1</v>
      </c>
      <c r="F749" s="86">
        <v>5</v>
      </c>
      <c r="G749" s="86" t="s">
        <v>115</v>
      </c>
      <c r="H749" s="86" t="s">
        <v>7307</v>
      </c>
      <c r="I749" s="4" t="s">
        <v>4800</v>
      </c>
      <c r="J749" s="83"/>
      <c r="K749" s="86">
        <v>8000</v>
      </c>
      <c r="L749" s="86">
        <v>300063</v>
      </c>
      <c r="M749" s="83"/>
      <c r="N749" s="86" t="s">
        <v>115</v>
      </c>
      <c r="O749" s="86" t="s">
        <v>115</v>
      </c>
      <c r="P749" s="86">
        <v>200112</v>
      </c>
      <c r="Q749" s="85">
        <v>371</v>
      </c>
      <c r="R749" s="86">
        <v>270</v>
      </c>
      <c r="S749" s="83"/>
      <c r="T749" s="83"/>
      <c r="U749" s="83"/>
    </row>
    <row r="750" spans="1:21" x14ac:dyDescent="0.15">
      <c r="A750" s="86" t="s">
        <v>1</v>
      </c>
      <c r="B750" s="85">
        <v>300063</v>
      </c>
      <c r="C750" s="83"/>
      <c r="D750" s="86" t="s">
        <v>115</v>
      </c>
      <c r="E750" s="86">
        <v>2</v>
      </c>
      <c r="F750" s="86">
        <v>5</v>
      </c>
      <c r="G750" s="86" t="s">
        <v>7353</v>
      </c>
      <c r="H750" s="86"/>
      <c r="I750" s="86" t="s">
        <v>115</v>
      </c>
      <c r="J750" s="83"/>
      <c r="K750" s="86">
        <v>8000</v>
      </c>
      <c r="L750" s="86">
        <v>0</v>
      </c>
      <c r="M750" s="83"/>
      <c r="N750" s="86">
        <v>200115</v>
      </c>
      <c r="O750" s="86">
        <v>200116</v>
      </c>
      <c r="P750" s="86">
        <v>200113</v>
      </c>
      <c r="Q750" s="85">
        <v>371</v>
      </c>
      <c r="R750" s="86">
        <v>270</v>
      </c>
      <c r="S750" s="87"/>
      <c r="T750" s="87"/>
      <c r="U750" s="87"/>
    </row>
    <row r="751" spans="1:21" x14ac:dyDescent="0.15">
      <c r="A751" s="86" t="s">
        <v>1</v>
      </c>
      <c r="B751" s="85">
        <v>300071</v>
      </c>
      <c r="C751" s="83"/>
      <c r="D751" s="86">
        <v>3</v>
      </c>
      <c r="E751" s="86" t="s">
        <v>115</v>
      </c>
      <c r="F751" s="86" t="s">
        <v>115</v>
      </c>
      <c r="G751" s="86" t="s">
        <v>115</v>
      </c>
      <c r="H751" s="86" t="s">
        <v>7307</v>
      </c>
      <c r="I751" s="86" t="s">
        <v>115</v>
      </c>
      <c r="J751" s="83"/>
      <c r="K751" s="86">
        <v>8000</v>
      </c>
      <c r="L751" s="86">
        <v>300072</v>
      </c>
      <c r="M751" s="83"/>
      <c r="N751" s="86" t="s">
        <v>115</v>
      </c>
      <c r="O751" s="86" t="s">
        <v>115</v>
      </c>
      <c r="P751" s="86">
        <v>200111</v>
      </c>
      <c r="Q751" s="85">
        <v>371</v>
      </c>
      <c r="R751" s="86">
        <v>270</v>
      </c>
      <c r="S751" s="83"/>
      <c r="T751" s="83"/>
      <c r="U751" s="83"/>
    </row>
    <row r="752" spans="1:21" x14ac:dyDescent="0.15">
      <c r="A752" s="86" t="s">
        <v>1</v>
      </c>
      <c r="B752" s="85">
        <v>300072</v>
      </c>
      <c r="C752" s="83"/>
      <c r="D752" s="86" t="s">
        <v>115</v>
      </c>
      <c r="E752" s="86">
        <v>1</v>
      </c>
      <c r="F752" s="86">
        <v>5</v>
      </c>
      <c r="G752" s="86" t="s">
        <v>115</v>
      </c>
      <c r="H752" s="86" t="s">
        <v>7307</v>
      </c>
      <c r="I752" s="4" t="s">
        <v>4800</v>
      </c>
      <c r="J752" s="83"/>
      <c r="K752" s="86">
        <v>8000</v>
      </c>
      <c r="L752" s="86">
        <v>300073</v>
      </c>
      <c r="M752" s="83"/>
      <c r="N752" s="86" t="s">
        <v>115</v>
      </c>
      <c r="O752" s="86" t="s">
        <v>115</v>
      </c>
      <c r="P752" s="86">
        <v>200112</v>
      </c>
      <c r="Q752" s="85">
        <v>371</v>
      </c>
      <c r="R752" s="86">
        <v>270</v>
      </c>
      <c r="S752" s="83"/>
      <c r="T752" s="83"/>
      <c r="U752" s="83"/>
    </row>
    <row r="753" spans="1:21" x14ac:dyDescent="0.15">
      <c r="A753" s="86" t="s">
        <v>1</v>
      </c>
      <c r="B753" s="85">
        <v>300073</v>
      </c>
      <c r="C753" s="83"/>
      <c r="D753" s="86" t="s">
        <v>115</v>
      </c>
      <c r="E753" s="86">
        <v>2</v>
      </c>
      <c r="F753" s="86">
        <v>5</v>
      </c>
      <c r="G753" s="86" t="s">
        <v>7354</v>
      </c>
      <c r="H753" s="86"/>
      <c r="I753" s="86" t="s">
        <v>115</v>
      </c>
      <c r="J753" s="83"/>
      <c r="K753" s="86">
        <v>8000</v>
      </c>
      <c r="L753" s="86">
        <v>0</v>
      </c>
      <c r="M753" s="83"/>
      <c r="N753" s="86">
        <v>200115</v>
      </c>
      <c r="O753" s="86">
        <v>200116</v>
      </c>
      <c r="P753" s="86">
        <v>200113</v>
      </c>
      <c r="Q753" s="85">
        <v>371</v>
      </c>
      <c r="R753" s="86">
        <v>270</v>
      </c>
      <c r="S753" s="87"/>
      <c r="T753" s="87"/>
      <c r="U753" s="87"/>
    </row>
    <row r="754" spans="1:21" x14ac:dyDescent="0.15">
      <c r="A754" s="86" t="s">
        <v>1</v>
      </c>
      <c r="B754" s="85">
        <v>300081</v>
      </c>
      <c r="C754" s="83"/>
      <c r="D754" s="86">
        <v>3</v>
      </c>
      <c r="E754" s="86" t="s">
        <v>115</v>
      </c>
      <c r="F754" s="86" t="s">
        <v>115</v>
      </c>
      <c r="G754" s="86" t="s">
        <v>115</v>
      </c>
      <c r="H754" s="86" t="s">
        <v>7307</v>
      </c>
      <c r="I754" s="86" t="s">
        <v>115</v>
      </c>
      <c r="J754" s="83"/>
      <c r="K754" s="86">
        <v>8000</v>
      </c>
      <c r="L754" s="86">
        <v>300082</v>
      </c>
      <c r="M754" s="83"/>
      <c r="N754" s="86" t="s">
        <v>115</v>
      </c>
      <c r="O754" s="86" t="s">
        <v>115</v>
      </c>
      <c r="P754" s="86">
        <v>200111</v>
      </c>
      <c r="Q754" s="85">
        <v>371</v>
      </c>
      <c r="R754" s="86">
        <v>270</v>
      </c>
      <c r="S754" s="83"/>
      <c r="T754" s="83"/>
      <c r="U754" s="83"/>
    </row>
    <row r="755" spans="1:21" x14ac:dyDescent="0.15">
      <c r="A755" s="86" t="s">
        <v>1</v>
      </c>
      <c r="B755" s="85">
        <v>300082</v>
      </c>
      <c r="C755" s="83"/>
      <c r="D755" s="86" t="s">
        <v>115</v>
      </c>
      <c r="E755" s="86">
        <v>1</v>
      </c>
      <c r="F755" s="86">
        <v>5</v>
      </c>
      <c r="G755" s="86" t="s">
        <v>115</v>
      </c>
      <c r="H755" s="86" t="s">
        <v>7307</v>
      </c>
      <c r="I755" s="4" t="s">
        <v>4800</v>
      </c>
      <c r="J755" s="83"/>
      <c r="K755" s="86">
        <v>8000</v>
      </c>
      <c r="L755" s="86">
        <v>300083</v>
      </c>
      <c r="M755" s="83"/>
      <c r="N755" s="86" t="s">
        <v>115</v>
      </c>
      <c r="O755" s="86" t="s">
        <v>115</v>
      </c>
      <c r="P755" s="86">
        <v>200112</v>
      </c>
      <c r="Q755" s="85">
        <v>371</v>
      </c>
      <c r="R755" s="86">
        <v>270</v>
      </c>
      <c r="S755" s="83"/>
      <c r="T755" s="83"/>
      <c r="U755" s="83"/>
    </row>
    <row r="756" spans="1:21" x14ac:dyDescent="0.15">
      <c r="A756" s="86" t="s">
        <v>1</v>
      </c>
      <c r="B756" s="85">
        <v>300083</v>
      </c>
      <c r="C756" s="83"/>
      <c r="D756" s="86" t="s">
        <v>115</v>
      </c>
      <c r="E756" s="86">
        <v>2</v>
      </c>
      <c r="F756" s="86">
        <v>5</v>
      </c>
      <c r="G756" s="86" t="s">
        <v>7355</v>
      </c>
      <c r="H756" s="86"/>
      <c r="I756" s="86" t="s">
        <v>115</v>
      </c>
      <c r="J756" s="83"/>
      <c r="K756" s="86">
        <v>8000</v>
      </c>
      <c r="L756" s="86">
        <v>0</v>
      </c>
      <c r="M756" s="83"/>
      <c r="N756" s="86">
        <v>200115</v>
      </c>
      <c r="O756" s="86">
        <v>200116</v>
      </c>
      <c r="P756" s="86">
        <v>200113</v>
      </c>
      <c r="Q756" s="85">
        <v>371</v>
      </c>
      <c r="R756" s="86">
        <v>270</v>
      </c>
      <c r="S756" s="87"/>
      <c r="T756" s="87"/>
      <c r="U756" s="87"/>
    </row>
    <row r="757" spans="1:21" x14ac:dyDescent="0.15">
      <c r="A757" s="86" t="s">
        <v>1</v>
      </c>
      <c r="B757" s="85">
        <v>300091</v>
      </c>
      <c r="C757" s="83"/>
      <c r="D757" s="86">
        <v>3</v>
      </c>
      <c r="E757" s="86" t="s">
        <v>115</v>
      </c>
      <c r="F757" s="86" t="s">
        <v>115</v>
      </c>
      <c r="G757" s="86" t="s">
        <v>115</v>
      </c>
      <c r="H757" s="86" t="s">
        <v>7307</v>
      </c>
      <c r="I757" s="86" t="s">
        <v>115</v>
      </c>
      <c r="J757" s="83"/>
      <c r="K757" s="86">
        <v>8000</v>
      </c>
      <c r="L757" s="86">
        <v>300092</v>
      </c>
      <c r="M757" s="83"/>
      <c r="N757" s="86" t="s">
        <v>115</v>
      </c>
      <c r="O757" s="86" t="s">
        <v>115</v>
      </c>
      <c r="P757" s="86">
        <v>200111</v>
      </c>
      <c r="Q757" s="85">
        <v>371</v>
      </c>
      <c r="R757" s="86">
        <v>270</v>
      </c>
      <c r="S757" s="83"/>
      <c r="T757" s="83"/>
      <c r="U757" s="83"/>
    </row>
    <row r="758" spans="1:21" x14ac:dyDescent="0.15">
      <c r="A758" s="86" t="s">
        <v>1</v>
      </c>
      <c r="B758" s="85">
        <v>300092</v>
      </c>
      <c r="C758" s="83"/>
      <c r="D758" s="86" t="s">
        <v>115</v>
      </c>
      <c r="E758" s="86">
        <v>1</v>
      </c>
      <c r="F758" s="86">
        <v>5</v>
      </c>
      <c r="G758" s="86" t="s">
        <v>115</v>
      </c>
      <c r="H758" s="86" t="s">
        <v>7307</v>
      </c>
      <c r="I758" s="4" t="s">
        <v>4800</v>
      </c>
      <c r="J758" s="83"/>
      <c r="K758" s="86">
        <v>8000</v>
      </c>
      <c r="L758" s="86">
        <v>300093</v>
      </c>
      <c r="M758" s="83"/>
      <c r="N758" s="86" t="s">
        <v>115</v>
      </c>
      <c r="O758" s="86" t="s">
        <v>115</v>
      </c>
      <c r="P758" s="86">
        <v>200112</v>
      </c>
      <c r="Q758" s="85">
        <v>371</v>
      </c>
      <c r="R758" s="86">
        <v>270</v>
      </c>
      <c r="S758" s="83"/>
      <c r="T758" s="83"/>
      <c r="U758" s="83"/>
    </row>
    <row r="759" spans="1:21" x14ac:dyDescent="0.15">
      <c r="A759" s="86" t="s">
        <v>1</v>
      </c>
      <c r="B759" s="85">
        <v>300093</v>
      </c>
      <c r="C759" s="83"/>
      <c r="D759" s="86" t="s">
        <v>115</v>
      </c>
      <c r="E759" s="86">
        <v>2</v>
      </c>
      <c r="F759" s="86">
        <v>5</v>
      </c>
      <c r="G759" s="86" t="s">
        <v>7356</v>
      </c>
      <c r="H759" s="86"/>
      <c r="I759" s="86" t="s">
        <v>115</v>
      </c>
      <c r="J759" s="83"/>
      <c r="K759" s="86">
        <v>8000</v>
      </c>
      <c r="L759" s="86">
        <v>0</v>
      </c>
      <c r="M759" s="83"/>
      <c r="N759" s="86">
        <v>200115</v>
      </c>
      <c r="O759" s="86">
        <v>200116</v>
      </c>
      <c r="P759" s="86">
        <v>200113</v>
      </c>
      <c r="Q759" s="85">
        <v>371</v>
      </c>
      <c r="R759" s="86">
        <v>270</v>
      </c>
      <c r="S759" s="87"/>
      <c r="T759" s="87"/>
      <c r="U759" s="87"/>
    </row>
    <row r="760" spans="1:21" x14ac:dyDescent="0.15">
      <c r="A760" s="86" t="s">
        <v>1</v>
      </c>
      <c r="B760" s="85">
        <v>300101</v>
      </c>
      <c r="C760" s="83"/>
      <c r="D760" s="86">
        <v>3</v>
      </c>
      <c r="E760" s="86" t="s">
        <v>115</v>
      </c>
      <c r="F760" s="86" t="s">
        <v>115</v>
      </c>
      <c r="G760" s="86" t="s">
        <v>115</v>
      </c>
      <c r="H760" s="86" t="s">
        <v>7307</v>
      </c>
      <c r="I760" s="86" t="s">
        <v>115</v>
      </c>
      <c r="J760" s="83"/>
      <c r="K760" s="86">
        <v>8000</v>
      </c>
      <c r="L760" s="86">
        <v>300102</v>
      </c>
      <c r="M760" s="83"/>
      <c r="N760" s="86" t="s">
        <v>115</v>
      </c>
      <c r="O760" s="86" t="s">
        <v>115</v>
      </c>
      <c r="P760" s="86">
        <v>200111</v>
      </c>
      <c r="Q760" s="85">
        <v>371</v>
      </c>
      <c r="R760" s="86">
        <v>270</v>
      </c>
      <c r="S760" s="83"/>
      <c r="T760" s="83"/>
      <c r="U760" s="83"/>
    </row>
    <row r="761" spans="1:21" x14ac:dyDescent="0.15">
      <c r="A761" s="86" t="s">
        <v>1</v>
      </c>
      <c r="B761" s="85">
        <v>300102</v>
      </c>
      <c r="C761" s="83"/>
      <c r="D761" s="86" t="s">
        <v>115</v>
      </c>
      <c r="E761" s="86">
        <v>1</v>
      </c>
      <c r="F761" s="86">
        <v>5</v>
      </c>
      <c r="G761" s="86" t="s">
        <v>115</v>
      </c>
      <c r="H761" s="86" t="s">
        <v>7307</v>
      </c>
      <c r="I761" s="4" t="s">
        <v>4800</v>
      </c>
      <c r="J761" s="83"/>
      <c r="K761" s="86">
        <v>8000</v>
      </c>
      <c r="L761" s="86">
        <v>300103</v>
      </c>
      <c r="M761" s="83"/>
      <c r="N761" s="86" t="s">
        <v>115</v>
      </c>
      <c r="O761" s="86" t="s">
        <v>115</v>
      </c>
      <c r="P761" s="86">
        <v>200112</v>
      </c>
      <c r="Q761" s="85">
        <v>371</v>
      </c>
      <c r="R761" s="86">
        <v>270</v>
      </c>
      <c r="S761" s="83"/>
      <c r="T761" s="83"/>
      <c r="U761" s="83"/>
    </row>
    <row r="762" spans="1:21" x14ac:dyDescent="0.15">
      <c r="A762" s="86" t="s">
        <v>1</v>
      </c>
      <c r="B762" s="85">
        <v>300103</v>
      </c>
      <c r="C762" s="83"/>
      <c r="D762" s="86" t="s">
        <v>115</v>
      </c>
      <c r="E762" s="86">
        <v>2</v>
      </c>
      <c r="F762" s="86">
        <v>5</v>
      </c>
      <c r="G762" s="86" t="s">
        <v>7357</v>
      </c>
      <c r="H762" s="86"/>
      <c r="I762" s="86" t="s">
        <v>115</v>
      </c>
      <c r="J762" s="83"/>
      <c r="K762" s="86">
        <v>8000</v>
      </c>
      <c r="L762" s="86">
        <v>0</v>
      </c>
      <c r="M762" s="83"/>
      <c r="N762" s="86">
        <v>200115</v>
      </c>
      <c r="O762" s="86">
        <v>200116</v>
      </c>
      <c r="P762" s="86">
        <v>200113</v>
      </c>
      <c r="Q762" s="85">
        <v>371</v>
      </c>
      <c r="R762" s="86">
        <v>270</v>
      </c>
      <c r="S762" s="87"/>
      <c r="T762" s="87"/>
      <c r="U762" s="87"/>
    </row>
    <row r="763" spans="1:21" x14ac:dyDescent="0.15">
      <c r="A763" s="86" t="s">
        <v>1</v>
      </c>
      <c r="B763" s="85">
        <v>300111</v>
      </c>
      <c r="C763" s="83"/>
      <c r="D763" s="86">
        <v>3</v>
      </c>
      <c r="E763" s="86" t="s">
        <v>115</v>
      </c>
      <c r="F763" s="86" t="s">
        <v>115</v>
      </c>
      <c r="G763" s="86" t="s">
        <v>115</v>
      </c>
      <c r="H763" s="86" t="s">
        <v>7307</v>
      </c>
      <c r="I763" s="86" t="s">
        <v>115</v>
      </c>
      <c r="J763" s="83"/>
      <c r="K763" s="86">
        <v>8000</v>
      </c>
      <c r="L763" s="86">
        <v>300112</v>
      </c>
      <c r="M763" s="83"/>
      <c r="N763" s="86" t="s">
        <v>115</v>
      </c>
      <c r="O763" s="86" t="s">
        <v>115</v>
      </c>
      <c r="P763" s="86">
        <v>200111</v>
      </c>
      <c r="Q763" s="85">
        <v>371</v>
      </c>
      <c r="R763" s="86">
        <v>270</v>
      </c>
      <c r="S763" s="83"/>
      <c r="T763" s="83"/>
      <c r="U763" s="83"/>
    </row>
    <row r="764" spans="1:21" x14ac:dyDescent="0.15">
      <c r="A764" s="86" t="s">
        <v>1</v>
      </c>
      <c r="B764" s="85">
        <v>300112</v>
      </c>
      <c r="C764" s="83"/>
      <c r="D764" s="86" t="s">
        <v>115</v>
      </c>
      <c r="E764" s="86">
        <v>1</v>
      </c>
      <c r="F764" s="86">
        <v>5</v>
      </c>
      <c r="G764" s="86" t="s">
        <v>115</v>
      </c>
      <c r="H764" s="86" t="s">
        <v>7307</v>
      </c>
      <c r="I764" s="4" t="s">
        <v>4800</v>
      </c>
      <c r="J764" s="83"/>
      <c r="K764" s="86">
        <v>8000</v>
      </c>
      <c r="L764" s="86">
        <v>300113</v>
      </c>
      <c r="M764" s="83"/>
      <c r="N764" s="86" t="s">
        <v>115</v>
      </c>
      <c r="O764" s="86" t="s">
        <v>115</v>
      </c>
      <c r="P764" s="86">
        <v>200112</v>
      </c>
      <c r="Q764" s="85">
        <v>371</v>
      </c>
      <c r="R764" s="86">
        <v>270</v>
      </c>
      <c r="S764" s="83"/>
      <c r="T764" s="83"/>
      <c r="U764" s="83"/>
    </row>
    <row r="765" spans="1:21" x14ac:dyDescent="0.15">
      <c r="A765" s="86" t="s">
        <v>1</v>
      </c>
      <c r="B765" s="85">
        <v>300113</v>
      </c>
      <c r="C765" s="83"/>
      <c r="D765" s="86" t="s">
        <v>115</v>
      </c>
      <c r="E765" s="86">
        <v>2</v>
      </c>
      <c r="F765" s="86">
        <v>5</v>
      </c>
      <c r="G765" s="86" t="s">
        <v>7358</v>
      </c>
      <c r="H765" s="86"/>
      <c r="I765" s="86" t="s">
        <v>115</v>
      </c>
      <c r="J765" s="83"/>
      <c r="K765" s="86">
        <v>8000</v>
      </c>
      <c r="L765" s="86">
        <v>0</v>
      </c>
      <c r="M765" s="83"/>
      <c r="N765" s="86">
        <v>200115</v>
      </c>
      <c r="O765" s="86">
        <v>200116</v>
      </c>
      <c r="P765" s="86">
        <v>200113</v>
      </c>
      <c r="Q765" s="85">
        <v>371</v>
      </c>
      <c r="R765" s="86">
        <v>270</v>
      </c>
      <c r="S765" s="87"/>
      <c r="T765" s="87"/>
      <c r="U765" s="87"/>
    </row>
    <row r="766" spans="1:21" x14ac:dyDescent="0.15">
      <c r="A766" s="86" t="s">
        <v>1</v>
      </c>
      <c r="B766" s="85">
        <v>300121</v>
      </c>
      <c r="C766" s="83"/>
      <c r="D766" s="86">
        <v>3</v>
      </c>
      <c r="E766" s="86" t="s">
        <v>115</v>
      </c>
      <c r="F766" s="86" t="s">
        <v>115</v>
      </c>
      <c r="G766" s="86" t="s">
        <v>115</v>
      </c>
      <c r="H766" s="86" t="s">
        <v>7307</v>
      </c>
      <c r="I766" s="86" t="s">
        <v>115</v>
      </c>
      <c r="J766" s="83"/>
      <c r="K766" s="86">
        <v>8000</v>
      </c>
      <c r="L766" s="86">
        <v>300122</v>
      </c>
      <c r="M766" s="83"/>
      <c r="N766" s="86" t="s">
        <v>115</v>
      </c>
      <c r="O766" s="86" t="s">
        <v>115</v>
      </c>
      <c r="P766" s="86">
        <v>200111</v>
      </c>
      <c r="Q766" s="85">
        <v>371</v>
      </c>
      <c r="R766" s="86">
        <v>270</v>
      </c>
      <c r="S766" s="83"/>
      <c r="T766" s="83"/>
      <c r="U766" s="83"/>
    </row>
    <row r="767" spans="1:21" x14ac:dyDescent="0.15">
      <c r="A767" s="86" t="s">
        <v>1</v>
      </c>
      <c r="B767" s="85">
        <v>300122</v>
      </c>
      <c r="C767" s="83"/>
      <c r="D767" s="86" t="s">
        <v>115</v>
      </c>
      <c r="E767" s="86">
        <v>1</v>
      </c>
      <c r="F767" s="86">
        <v>5</v>
      </c>
      <c r="G767" s="86" t="s">
        <v>115</v>
      </c>
      <c r="H767" s="86" t="s">
        <v>7307</v>
      </c>
      <c r="I767" s="4" t="s">
        <v>4800</v>
      </c>
      <c r="J767" s="83"/>
      <c r="K767" s="86">
        <v>8000</v>
      </c>
      <c r="L767" s="86">
        <v>300123</v>
      </c>
      <c r="M767" s="83"/>
      <c r="N767" s="86" t="s">
        <v>115</v>
      </c>
      <c r="O767" s="86" t="s">
        <v>115</v>
      </c>
      <c r="P767" s="86">
        <v>200112</v>
      </c>
      <c r="Q767" s="85">
        <v>371</v>
      </c>
      <c r="R767" s="86">
        <v>270</v>
      </c>
      <c r="S767" s="83"/>
      <c r="T767" s="83"/>
      <c r="U767" s="83"/>
    </row>
    <row r="768" spans="1:21" x14ac:dyDescent="0.15">
      <c r="A768" s="86" t="s">
        <v>1</v>
      </c>
      <c r="B768" s="85">
        <v>300123</v>
      </c>
      <c r="C768" s="83"/>
      <c r="D768" s="86" t="s">
        <v>115</v>
      </c>
      <c r="E768" s="86">
        <v>2</v>
      </c>
      <c r="F768" s="86">
        <v>5</v>
      </c>
      <c r="G768" s="86" t="s">
        <v>7358</v>
      </c>
      <c r="H768" s="86"/>
      <c r="I768" s="86" t="s">
        <v>115</v>
      </c>
      <c r="J768" s="83"/>
      <c r="K768" s="86">
        <v>8000</v>
      </c>
      <c r="L768" s="86">
        <v>0</v>
      </c>
      <c r="M768" s="83"/>
      <c r="N768" s="86">
        <v>200115</v>
      </c>
      <c r="O768" s="86">
        <v>200116</v>
      </c>
      <c r="P768" s="86">
        <v>200113</v>
      </c>
      <c r="Q768" s="85">
        <v>371</v>
      </c>
      <c r="R768" s="86">
        <v>270</v>
      </c>
      <c r="S768" s="87"/>
      <c r="T768" s="87"/>
      <c r="U768" s="87"/>
    </row>
    <row r="769" spans="1:21" x14ac:dyDescent="0.15">
      <c r="A769" s="86" t="s">
        <v>1</v>
      </c>
      <c r="B769" s="85">
        <v>300131</v>
      </c>
      <c r="C769" s="83"/>
      <c r="D769" s="86">
        <v>3</v>
      </c>
      <c r="E769" s="86" t="s">
        <v>115</v>
      </c>
      <c r="F769" s="86" t="s">
        <v>115</v>
      </c>
      <c r="G769" s="86" t="s">
        <v>115</v>
      </c>
      <c r="H769" s="86" t="s">
        <v>7307</v>
      </c>
      <c r="I769" s="86" t="s">
        <v>115</v>
      </c>
      <c r="J769" s="83"/>
      <c r="K769" s="86">
        <v>8000</v>
      </c>
      <c r="L769" s="86">
        <v>300132</v>
      </c>
      <c r="M769" s="83"/>
      <c r="N769" s="86" t="s">
        <v>115</v>
      </c>
      <c r="O769" s="86" t="s">
        <v>115</v>
      </c>
      <c r="P769" s="86">
        <v>200111</v>
      </c>
      <c r="Q769" s="85">
        <v>371</v>
      </c>
      <c r="R769" s="86">
        <v>270</v>
      </c>
      <c r="S769" s="83"/>
      <c r="T769" s="83"/>
      <c r="U769" s="83"/>
    </row>
    <row r="770" spans="1:21" x14ac:dyDescent="0.15">
      <c r="A770" s="86" t="s">
        <v>1</v>
      </c>
      <c r="B770" s="85">
        <v>300132</v>
      </c>
      <c r="C770" s="83"/>
      <c r="D770" s="86" t="s">
        <v>115</v>
      </c>
      <c r="E770" s="86">
        <v>1</v>
      </c>
      <c r="F770" s="86">
        <v>5</v>
      </c>
      <c r="G770" s="86" t="s">
        <v>115</v>
      </c>
      <c r="H770" s="86" t="s">
        <v>7307</v>
      </c>
      <c r="I770" s="4" t="s">
        <v>4800</v>
      </c>
      <c r="J770" s="83"/>
      <c r="K770" s="86">
        <v>8000</v>
      </c>
      <c r="L770" s="86">
        <v>300133</v>
      </c>
      <c r="M770" s="83"/>
      <c r="N770" s="86" t="s">
        <v>115</v>
      </c>
      <c r="O770" s="86" t="s">
        <v>115</v>
      </c>
      <c r="P770" s="86">
        <v>200112</v>
      </c>
      <c r="Q770" s="85">
        <v>371</v>
      </c>
      <c r="R770" s="86">
        <v>270</v>
      </c>
      <c r="S770" s="83"/>
      <c r="T770" s="83"/>
      <c r="U770" s="83"/>
    </row>
    <row r="771" spans="1:21" x14ac:dyDescent="0.15">
      <c r="A771" s="86" t="s">
        <v>1</v>
      </c>
      <c r="B771" s="85">
        <v>300133</v>
      </c>
      <c r="C771" s="83"/>
      <c r="D771" s="86" t="s">
        <v>115</v>
      </c>
      <c r="E771" s="86">
        <v>2</v>
      </c>
      <c r="F771" s="86">
        <v>5</v>
      </c>
      <c r="G771" s="86" t="s">
        <v>7359</v>
      </c>
      <c r="H771" s="86"/>
      <c r="I771" s="86" t="s">
        <v>115</v>
      </c>
      <c r="J771" s="83"/>
      <c r="K771" s="86">
        <v>8000</v>
      </c>
      <c r="L771" s="86">
        <v>0</v>
      </c>
      <c r="M771" s="83"/>
      <c r="N771" s="86">
        <v>200115</v>
      </c>
      <c r="O771" s="86">
        <v>200116</v>
      </c>
      <c r="P771" s="86">
        <v>200113</v>
      </c>
      <c r="Q771" s="85">
        <v>371</v>
      </c>
      <c r="R771" s="86">
        <v>270</v>
      </c>
      <c r="S771" s="87"/>
      <c r="T771" s="87"/>
      <c r="U771" s="87"/>
    </row>
    <row r="772" spans="1:21" x14ac:dyDescent="0.15">
      <c r="A772" s="86" t="s">
        <v>1</v>
      </c>
      <c r="B772" s="85">
        <v>300141</v>
      </c>
      <c r="C772" s="83"/>
      <c r="D772" s="86">
        <v>3</v>
      </c>
      <c r="E772" s="86" t="s">
        <v>115</v>
      </c>
      <c r="F772" s="86" t="s">
        <v>115</v>
      </c>
      <c r="G772" s="86" t="s">
        <v>115</v>
      </c>
      <c r="H772" s="86" t="s">
        <v>7307</v>
      </c>
      <c r="I772" s="86" t="s">
        <v>115</v>
      </c>
      <c r="J772" s="83"/>
      <c r="K772" s="86">
        <v>8000</v>
      </c>
      <c r="L772" s="86">
        <v>300142</v>
      </c>
      <c r="M772" s="83"/>
      <c r="N772" s="86" t="s">
        <v>115</v>
      </c>
      <c r="O772" s="86" t="s">
        <v>115</v>
      </c>
      <c r="P772" s="86">
        <v>200111</v>
      </c>
      <c r="Q772" s="85">
        <v>371</v>
      </c>
      <c r="R772" s="86">
        <v>270</v>
      </c>
      <c r="S772" s="83"/>
      <c r="T772" s="83"/>
      <c r="U772" s="83"/>
    </row>
    <row r="773" spans="1:21" x14ac:dyDescent="0.15">
      <c r="A773" s="86" t="s">
        <v>1</v>
      </c>
      <c r="B773" s="85">
        <v>300142</v>
      </c>
      <c r="C773" s="83"/>
      <c r="D773" s="86" t="s">
        <v>115</v>
      </c>
      <c r="E773" s="86">
        <v>1</v>
      </c>
      <c r="F773" s="86">
        <v>5</v>
      </c>
      <c r="G773" s="86" t="s">
        <v>115</v>
      </c>
      <c r="H773" s="86" t="s">
        <v>7307</v>
      </c>
      <c r="I773" s="4" t="s">
        <v>4800</v>
      </c>
      <c r="J773" s="83"/>
      <c r="K773" s="86">
        <v>8000</v>
      </c>
      <c r="L773" s="86">
        <v>300143</v>
      </c>
      <c r="M773" s="83"/>
      <c r="N773" s="86" t="s">
        <v>115</v>
      </c>
      <c r="O773" s="86" t="s">
        <v>115</v>
      </c>
      <c r="P773" s="86">
        <v>200112</v>
      </c>
      <c r="Q773" s="85">
        <v>371</v>
      </c>
      <c r="R773" s="86">
        <v>270</v>
      </c>
      <c r="S773" s="83"/>
      <c r="T773" s="83"/>
      <c r="U773" s="83"/>
    </row>
    <row r="774" spans="1:21" x14ac:dyDescent="0.15">
      <c r="A774" s="86" t="s">
        <v>1</v>
      </c>
      <c r="B774" s="85">
        <v>300143</v>
      </c>
      <c r="C774" s="83"/>
      <c r="D774" s="86" t="s">
        <v>115</v>
      </c>
      <c r="E774" s="86">
        <v>2</v>
      </c>
      <c r="F774" s="86">
        <v>5</v>
      </c>
      <c r="G774" s="86" t="s">
        <v>7360</v>
      </c>
      <c r="H774" s="86"/>
      <c r="I774" s="86" t="s">
        <v>115</v>
      </c>
      <c r="J774" s="83"/>
      <c r="K774" s="86">
        <v>8000</v>
      </c>
      <c r="L774" s="86">
        <v>0</v>
      </c>
      <c r="M774" s="83"/>
      <c r="N774" s="86">
        <v>200115</v>
      </c>
      <c r="O774" s="86">
        <v>200116</v>
      </c>
      <c r="P774" s="86">
        <v>200113</v>
      </c>
      <c r="Q774" s="85">
        <v>371</v>
      </c>
      <c r="R774" s="86">
        <v>270</v>
      </c>
      <c r="S774" s="87"/>
      <c r="T774" s="87"/>
      <c r="U774" s="87"/>
    </row>
    <row r="775" spans="1:21" x14ac:dyDescent="0.15">
      <c r="A775" s="86" t="s">
        <v>1</v>
      </c>
      <c r="B775" s="85">
        <v>300151</v>
      </c>
      <c r="C775" s="83"/>
      <c r="D775" s="86">
        <v>3</v>
      </c>
      <c r="E775" s="86" t="s">
        <v>115</v>
      </c>
      <c r="F775" s="86" t="s">
        <v>115</v>
      </c>
      <c r="G775" s="86" t="s">
        <v>115</v>
      </c>
      <c r="H775" s="86" t="s">
        <v>7307</v>
      </c>
      <c r="I775" s="86" t="s">
        <v>115</v>
      </c>
      <c r="J775" s="83"/>
      <c r="K775" s="86">
        <v>8000</v>
      </c>
      <c r="L775" s="86">
        <v>300152</v>
      </c>
      <c r="M775" s="83"/>
      <c r="N775" s="86" t="s">
        <v>115</v>
      </c>
      <c r="O775" s="86" t="s">
        <v>115</v>
      </c>
      <c r="P775" s="86">
        <v>200111</v>
      </c>
      <c r="Q775" s="85">
        <v>371</v>
      </c>
      <c r="R775" s="86">
        <v>270</v>
      </c>
      <c r="S775" s="83"/>
      <c r="T775" s="83"/>
      <c r="U775" s="83"/>
    </row>
    <row r="776" spans="1:21" x14ac:dyDescent="0.15">
      <c r="A776" s="86" t="s">
        <v>1</v>
      </c>
      <c r="B776" s="85">
        <v>300152</v>
      </c>
      <c r="C776" s="83"/>
      <c r="D776" s="86" t="s">
        <v>115</v>
      </c>
      <c r="E776" s="86">
        <v>1</v>
      </c>
      <c r="F776" s="86">
        <v>5</v>
      </c>
      <c r="G776" s="86" t="s">
        <v>115</v>
      </c>
      <c r="H776" s="86" t="s">
        <v>7307</v>
      </c>
      <c r="I776" s="4" t="s">
        <v>4800</v>
      </c>
      <c r="J776" s="83"/>
      <c r="K776" s="86">
        <v>8000</v>
      </c>
      <c r="L776" s="86">
        <v>300153</v>
      </c>
      <c r="M776" s="83"/>
      <c r="N776" s="86" t="s">
        <v>115</v>
      </c>
      <c r="O776" s="86" t="s">
        <v>115</v>
      </c>
      <c r="P776" s="86">
        <v>200112</v>
      </c>
      <c r="Q776" s="85">
        <v>371</v>
      </c>
      <c r="R776" s="86">
        <v>270</v>
      </c>
      <c r="S776" s="83"/>
      <c r="T776" s="83"/>
      <c r="U776" s="83"/>
    </row>
    <row r="777" spans="1:21" x14ac:dyDescent="0.15">
      <c r="A777" s="86" t="s">
        <v>1</v>
      </c>
      <c r="B777" s="85">
        <v>300153</v>
      </c>
      <c r="C777" s="83"/>
      <c r="D777" s="86" t="s">
        <v>115</v>
      </c>
      <c r="E777" s="86">
        <v>2</v>
      </c>
      <c r="F777" s="86">
        <v>5</v>
      </c>
      <c r="G777" s="86" t="s">
        <v>7361</v>
      </c>
      <c r="H777" s="86"/>
      <c r="I777" s="86" t="s">
        <v>115</v>
      </c>
      <c r="J777" s="83"/>
      <c r="K777" s="86">
        <v>8000</v>
      </c>
      <c r="L777" s="86">
        <v>0</v>
      </c>
      <c r="M777" s="83"/>
      <c r="N777" s="86">
        <v>200115</v>
      </c>
      <c r="O777" s="86">
        <v>200116</v>
      </c>
      <c r="P777" s="86">
        <v>200113</v>
      </c>
      <c r="Q777" s="85">
        <v>371</v>
      </c>
      <c r="R777" s="86">
        <v>270</v>
      </c>
      <c r="S777" s="87"/>
      <c r="T777" s="87"/>
      <c r="U777" s="87"/>
    </row>
    <row r="778" spans="1:21" x14ac:dyDescent="0.15">
      <c r="A778" s="113"/>
      <c r="B778" s="85"/>
      <c r="C778" s="83"/>
      <c r="D778" s="113"/>
      <c r="E778" s="113"/>
      <c r="F778" s="113"/>
      <c r="G778" s="113"/>
      <c r="H778" s="113"/>
      <c r="I778" s="86" t="s">
        <v>115</v>
      </c>
      <c r="J778" s="83"/>
      <c r="K778" s="113"/>
      <c r="L778" s="113"/>
      <c r="M778" s="83"/>
      <c r="N778" s="113"/>
      <c r="O778" s="113"/>
      <c r="P778" s="113"/>
      <c r="Q778" s="85"/>
      <c r="R778" s="86"/>
      <c r="S778" s="87"/>
      <c r="T778" s="87"/>
      <c r="U778" s="87"/>
    </row>
    <row r="779" spans="1:21" x14ac:dyDescent="0.15">
      <c r="A779" s="113"/>
      <c r="B779" s="85"/>
      <c r="C779" s="83"/>
      <c r="D779" s="113"/>
      <c r="E779" s="113"/>
      <c r="F779" s="113"/>
      <c r="G779" s="113"/>
      <c r="H779" s="113"/>
      <c r="J779" s="83"/>
      <c r="K779" s="113"/>
      <c r="L779" s="113"/>
      <c r="M779" s="83"/>
      <c r="N779" s="113"/>
      <c r="O779" s="113"/>
      <c r="P779" s="113"/>
      <c r="Q779" s="85"/>
      <c r="R779" s="86"/>
      <c r="S779" s="87"/>
      <c r="T779" s="87"/>
      <c r="U779" s="87"/>
    </row>
    <row r="780" spans="1:21" x14ac:dyDescent="0.15">
      <c r="A780" s="83"/>
      <c r="B780" s="85"/>
      <c r="C780" s="83"/>
      <c r="D780" s="83"/>
      <c r="E780" s="83"/>
      <c r="F780" s="83"/>
      <c r="G780" s="83"/>
      <c r="H780" s="83"/>
      <c r="I780" s="83"/>
      <c r="J780" s="83"/>
      <c r="K780" s="83"/>
      <c r="L780" s="83"/>
      <c r="M780" s="83"/>
      <c r="N780" s="83"/>
      <c r="O780" s="83"/>
      <c r="P780" s="83"/>
      <c r="Q780" s="85"/>
      <c r="R780" s="86"/>
      <c r="S780" s="87"/>
      <c r="T780" s="87"/>
      <c r="U780" s="87"/>
    </row>
    <row r="781" spans="1:21" s="72" customFormat="1" x14ac:dyDescent="0.15">
      <c r="A781" s="87"/>
      <c r="B781" s="87" t="s">
        <v>2598</v>
      </c>
      <c r="C781" s="87"/>
      <c r="D781" s="87"/>
      <c r="E781" s="87"/>
      <c r="F781" s="87"/>
      <c r="G781" s="87"/>
      <c r="H781" s="87"/>
      <c r="I781" s="87"/>
      <c r="J781" s="87"/>
      <c r="K781" s="87"/>
      <c r="L781" s="87"/>
      <c r="M781" s="87"/>
      <c r="N781" s="87"/>
      <c r="O781" s="87"/>
      <c r="P781" s="87"/>
      <c r="Q781" s="87"/>
      <c r="R781" s="87"/>
      <c r="S781" s="86"/>
      <c r="T781" s="86"/>
      <c r="U781" s="86"/>
    </row>
    <row r="782" spans="1:21" x14ac:dyDescent="0.15">
      <c r="A782" s="83"/>
      <c r="B782" s="85"/>
      <c r="C782" s="83"/>
      <c r="D782" s="83"/>
      <c r="E782" s="83"/>
      <c r="F782" s="83"/>
      <c r="G782" s="83"/>
      <c r="H782" s="83"/>
      <c r="I782" s="83"/>
      <c r="J782" s="83"/>
      <c r="K782" s="83"/>
      <c r="L782" s="83"/>
      <c r="M782" s="83"/>
      <c r="N782" s="83"/>
      <c r="O782" s="83"/>
      <c r="P782" s="83"/>
      <c r="Q782" s="85"/>
      <c r="R782" s="83"/>
      <c r="S782" s="87"/>
      <c r="T782" s="87"/>
      <c r="U782" s="87"/>
    </row>
    <row r="783" spans="1:21" x14ac:dyDescent="0.15">
      <c r="A783" s="86" t="s">
        <v>1</v>
      </c>
      <c r="B783" s="85">
        <v>8010111</v>
      </c>
      <c r="C783" s="86" t="s">
        <v>115</v>
      </c>
      <c r="D783" s="86">
        <v>3</v>
      </c>
      <c r="E783" s="86" t="s">
        <v>115</v>
      </c>
      <c r="F783" s="86" t="s">
        <v>115</v>
      </c>
      <c r="G783" s="86" t="s">
        <v>115</v>
      </c>
      <c r="H783" s="86" t="s">
        <v>7307</v>
      </c>
      <c r="I783" s="86" t="s">
        <v>115</v>
      </c>
      <c r="J783" s="86" t="s">
        <v>115</v>
      </c>
      <c r="K783" s="86">
        <v>5000</v>
      </c>
      <c r="L783" s="86">
        <v>8010112</v>
      </c>
      <c r="M783" s="83"/>
      <c r="N783" s="86" t="s">
        <v>115</v>
      </c>
      <c r="O783" s="86" t="s">
        <v>115</v>
      </c>
      <c r="P783" s="86">
        <v>200111</v>
      </c>
      <c r="Q783" s="85">
        <v>371</v>
      </c>
      <c r="R783" s="86">
        <v>2670</v>
      </c>
      <c r="S783" s="83"/>
      <c r="T783" s="83"/>
      <c r="U783" s="83"/>
    </row>
    <row r="784" spans="1:21" x14ac:dyDescent="0.15">
      <c r="A784" s="86" t="s">
        <v>1</v>
      </c>
      <c r="B784" s="86">
        <v>8010112</v>
      </c>
      <c r="C784" s="86" t="s">
        <v>115</v>
      </c>
      <c r="D784" s="86" t="s">
        <v>115</v>
      </c>
      <c r="E784" s="86">
        <v>1</v>
      </c>
      <c r="F784" s="86">
        <v>5</v>
      </c>
      <c r="G784" s="86" t="s">
        <v>115</v>
      </c>
      <c r="H784" s="86" t="s">
        <v>7307</v>
      </c>
      <c r="I784" s="86" t="s">
        <v>115</v>
      </c>
      <c r="J784" s="86">
        <v>20</v>
      </c>
      <c r="K784" s="86">
        <v>5000</v>
      </c>
      <c r="L784" s="86">
        <v>8010113</v>
      </c>
      <c r="M784" s="83"/>
      <c r="N784" s="83"/>
      <c r="O784" s="83"/>
      <c r="P784" s="86">
        <v>200112</v>
      </c>
      <c r="Q784" s="85">
        <v>371</v>
      </c>
      <c r="R784" s="86">
        <v>1026</v>
      </c>
      <c r="S784" s="83"/>
      <c r="T784" s="83"/>
      <c r="U784" s="83"/>
    </row>
    <row r="785" spans="1:21" x14ac:dyDescent="0.15">
      <c r="A785" s="86" t="s">
        <v>1</v>
      </c>
      <c r="B785" s="85">
        <v>8010113</v>
      </c>
      <c r="C785" s="86" t="s">
        <v>115</v>
      </c>
      <c r="D785" s="83"/>
      <c r="E785" s="86">
        <v>2</v>
      </c>
      <c r="F785" s="86">
        <v>5</v>
      </c>
      <c r="G785" s="83"/>
      <c r="H785" s="86" t="s">
        <v>7307</v>
      </c>
      <c r="I785" s="83"/>
      <c r="J785" s="83"/>
      <c r="K785" s="86">
        <v>5000</v>
      </c>
      <c r="L785" s="86">
        <v>0</v>
      </c>
      <c r="M785" s="83"/>
      <c r="N785" s="86">
        <v>200115</v>
      </c>
      <c r="O785" s="86">
        <v>200116</v>
      </c>
      <c r="P785" s="86">
        <v>200113</v>
      </c>
      <c r="Q785" s="85">
        <v>371</v>
      </c>
      <c r="R785" s="86">
        <v>1433</v>
      </c>
      <c r="S785" s="83"/>
      <c r="T785" s="83"/>
      <c r="U785" s="83"/>
    </row>
    <row r="786" spans="1:21" x14ac:dyDescent="0.15">
      <c r="A786" s="86" t="s">
        <v>1</v>
      </c>
      <c r="B786" s="86">
        <v>8010211</v>
      </c>
      <c r="C786" s="86" t="s">
        <v>115</v>
      </c>
      <c r="D786" s="86">
        <v>3</v>
      </c>
      <c r="E786" s="86" t="s">
        <v>115</v>
      </c>
      <c r="F786" s="86" t="s">
        <v>115</v>
      </c>
      <c r="G786" s="86" t="s">
        <v>115</v>
      </c>
      <c r="H786" s="86" t="s">
        <v>7307</v>
      </c>
      <c r="I786" s="86" t="s">
        <v>115</v>
      </c>
      <c r="J786" s="86" t="s">
        <v>115</v>
      </c>
      <c r="K786" s="86">
        <v>5300</v>
      </c>
      <c r="L786" s="86">
        <v>8010212</v>
      </c>
      <c r="M786" s="83"/>
      <c r="N786" s="86" t="s">
        <v>115</v>
      </c>
      <c r="O786" s="86" t="s">
        <v>115</v>
      </c>
      <c r="P786" s="86">
        <v>200111</v>
      </c>
      <c r="Q786" s="85">
        <v>371</v>
      </c>
      <c r="R786" s="86">
        <v>2670</v>
      </c>
      <c r="S786" s="83"/>
      <c r="T786" s="83"/>
      <c r="U786" s="83"/>
    </row>
    <row r="787" spans="1:21" x14ac:dyDescent="0.15">
      <c r="A787" s="86" t="s">
        <v>1</v>
      </c>
      <c r="B787" s="85">
        <v>8010212</v>
      </c>
      <c r="C787" s="86" t="s">
        <v>115</v>
      </c>
      <c r="D787" s="86" t="s">
        <v>115</v>
      </c>
      <c r="E787" s="86">
        <v>1</v>
      </c>
      <c r="F787" s="86">
        <v>5</v>
      </c>
      <c r="G787" s="86" t="s">
        <v>115</v>
      </c>
      <c r="H787" s="86" t="s">
        <v>7307</v>
      </c>
      <c r="I787" s="86" t="s">
        <v>115</v>
      </c>
      <c r="J787" s="86">
        <v>20</v>
      </c>
      <c r="K787" s="86">
        <v>5300</v>
      </c>
      <c r="L787" s="86">
        <v>8010213</v>
      </c>
      <c r="M787" s="83"/>
      <c r="N787" s="83"/>
      <c r="O787" s="83"/>
      <c r="P787" s="86">
        <v>200112</v>
      </c>
      <c r="Q787" s="85">
        <v>371</v>
      </c>
      <c r="R787" s="86">
        <v>1264</v>
      </c>
      <c r="S787" s="83"/>
      <c r="T787" s="83"/>
      <c r="U787" s="83"/>
    </row>
    <row r="788" spans="1:21" x14ac:dyDescent="0.15">
      <c r="A788" s="86" t="s">
        <v>1</v>
      </c>
      <c r="B788" s="86">
        <v>8010213</v>
      </c>
      <c r="C788" s="86" t="s">
        <v>115</v>
      </c>
      <c r="D788" s="83"/>
      <c r="E788" s="86">
        <v>2</v>
      </c>
      <c r="F788" s="86">
        <v>5</v>
      </c>
      <c r="G788" s="83"/>
      <c r="H788" s="86" t="s">
        <v>7307</v>
      </c>
      <c r="I788" s="83"/>
      <c r="J788" s="83"/>
      <c r="K788" s="86">
        <v>5300</v>
      </c>
      <c r="L788" s="86">
        <v>0</v>
      </c>
      <c r="M788" s="83"/>
      <c r="N788" s="86">
        <v>200115</v>
      </c>
      <c r="O788" s="86">
        <v>200116</v>
      </c>
      <c r="P788" s="86">
        <v>200113</v>
      </c>
      <c r="Q788" s="85">
        <v>371</v>
      </c>
      <c r="R788" s="86">
        <v>1433</v>
      </c>
      <c r="S788" s="83"/>
      <c r="T788" s="83"/>
      <c r="U788" s="83"/>
    </row>
    <row r="789" spans="1:21" x14ac:dyDescent="0.15">
      <c r="A789" s="86" t="s">
        <v>1</v>
      </c>
      <c r="B789" s="86">
        <v>8010311</v>
      </c>
      <c r="C789" s="86" t="s">
        <v>115</v>
      </c>
      <c r="D789" s="86">
        <v>3</v>
      </c>
      <c r="E789" s="86" t="s">
        <v>115</v>
      </c>
      <c r="F789" s="86" t="s">
        <v>115</v>
      </c>
      <c r="G789" s="86" t="s">
        <v>115</v>
      </c>
      <c r="H789" s="86" t="s">
        <v>7307</v>
      </c>
      <c r="I789" s="86" t="s">
        <v>115</v>
      </c>
      <c r="J789" s="86" t="s">
        <v>115</v>
      </c>
      <c r="K789" s="86">
        <v>5800</v>
      </c>
      <c r="L789" s="86">
        <v>8010312</v>
      </c>
      <c r="M789" s="83"/>
      <c r="N789" s="86" t="s">
        <v>115</v>
      </c>
      <c r="O789" s="86" t="s">
        <v>115</v>
      </c>
      <c r="P789" s="86">
        <v>200111</v>
      </c>
      <c r="Q789" s="85">
        <v>371</v>
      </c>
      <c r="R789" s="86">
        <v>2820</v>
      </c>
    </row>
    <row r="790" spans="1:21" x14ac:dyDescent="0.15">
      <c r="A790" s="86" t="s">
        <v>1</v>
      </c>
      <c r="B790" s="85">
        <v>8010312</v>
      </c>
      <c r="C790" s="86" t="s">
        <v>115</v>
      </c>
      <c r="D790" s="86" t="s">
        <v>115</v>
      </c>
      <c r="E790" s="86">
        <v>1</v>
      </c>
      <c r="F790" s="86">
        <v>5</v>
      </c>
      <c r="G790" s="86" t="s">
        <v>115</v>
      </c>
      <c r="H790" s="86" t="s">
        <v>7307</v>
      </c>
      <c r="I790" s="86" t="s">
        <v>115</v>
      </c>
      <c r="J790" s="86">
        <v>20</v>
      </c>
      <c r="K790" s="86">
        <v>5800</v>
      </c>
      <c r="L790" s="86">
        <v>8010313</v>
      </c>
      <c r="M790" s="83"/>
      <c r="N790" s="83"/>
      <c r="O790" s="83"/>
      <c r="P790" s="86">
        <v>200112</v>
      </c>
      <c r="Q790" s="85">
        <v>371</v>
      </c>
      <c r="R790" s="86">
        <v>1264</v>
      </c>
    </row>
    <row r="791" spans="1:21" x14ac:dyDescent="0.15">
      <c r="A791" s="86" t="s">
        <v>1</v>
      </c>
      <c r="B791" s="86">
        <v>8010313</v>
      </c>
      <c r="C791" s="86" t="s">
        <v>115</v>
      </c>
      <c r="D791" s="83"/>
      <c r="E791" s="86">
        <v>2</v>
      </c>
      <c r="F791" s="86">
        <v>5</v>
      </c>
      <c r="G791" s="83"/>
      <c r="H791" s="86" t="s">
        <v>7307</v>
      </c>
      <c r="I791" s="83"/>
      <c r="J791" s="83"/>
      <c r="K791" s="86">
        <v>5800</v>
      </c>
      <c r="L791" s="86">
        <v>0</v>
      </c>
      <c r="M791" s="83"/>
      <c r="N791" s="86">
        <v>200115</v>
      </c>
      <c r="O791" s="86">
        <v>200116</v>
      </c>
      <c r="P791" s="86">
        <v>200113</v>
      </c>
      <c r="Q791" s="85">
        <v>371</v>
      </c>
      <c r="R791" s="86">
        <v>1894</v>
      </c>
    </row>
    <row r="792" spans="1:21" x14ac:dyDescent="0.15">
      <c r="A792" s="86" t="s">
        <v>1</v>
      </c>
      <c r="B792" s="86">
        <v>8010411</v>
      </c>
      <c r="C792" s="86" t="s">
        <v>115</v>
      </c>
      <c r="D792" s="86">
        <v>3</v>
      </c>
      <c r="E792" s="86" t="s">
        <v>115</v>
      </c>
      <c r="F792" s="86" t="s">
        <v>115</v>
      </c>
      <c r="G792" s="86" t="s">
        <v>115</v>
      </c>
      <c r="H792" s="86" t="s">
        <v>7307</v>
      </c>
      <c r="I792" s="86" t="s">
        <v>115</v>
      </c>
      <c r="J792" s="86" t="s">
        <v>115</v>
      </c>
      <c r="K792" s="86">
        <v>7000</v>
      </c>
      <c r="L792" s="86">
        <v>8010412</v>
      </c>
      <c r="M792" s="83"/>
      <c r="N792" s="86" t="s">
        <v>115</v>
      </c>
      <c r="O792" s="86" t="s">
        <v>115</v>
      </c>
      <c r="P792" s="86">
        <v>200111</v>
      </c>
      <c r="Q792" s="85">
        <v>371</v>
      </c>
      <c r="R792" s="86">
        <v>3090</v>
      </c>
    </row>
    <row r="793" spans="1:21" x14ac:dyDescent="0.15">
      <c r="A793" s="86" t="s">
        <v>1</v>
      </c>
      <c r="B793" s="85">
        <v>8010412</v>
      </c>
      <c r="C793" s="86" t="s">
        <v>115</v>
      </c>
      <c r="D793" s="86" t="s">
        <v>115</v>
      </c>
      <c r="E793" s="86">
        <v>1</v>
      </c>
      <c r="F793" s="86">
        <v>5</v>
      </c>
      <c r="G793" s="86" t="s">
        <v>115</v>
      </c>
      <c r="H793" s="86" t="s">
        <v>7307</v>
      </c>
      <c r="I793" s="86" t="s">
        <v>115</v>
      </c>
      <c r="J793" s="86">
        <v>20</v>
      </c>
      <c r="K793" s="86">
        <v>7000</v>
      </c>
      <c r="L793" s="86">
        <v>8010413</v>
      </c>
      <c r="M793" s="83"/>
      <c r="N793" s="83"/>
      <c r="O793" s="83"/>
      <c r="P793" s="86">
        <v>200112</v>
      </c>
      <c r="Q793" s="85">
        <v>371</v>
      </c>
      <c r="R793" s="86">
        <v>1576</v>
      </c>
    </row>
    <row r="794" spans="1:21" x14ac:dyDescent="0.15">
      <c r="A794" s="86" t="s">
        <v>1</v>
      </c>
      <c r="B794" s="86">
        <v>8010413</v>
      </c>
      <c r="C794" s="86" t="s">
        <v>115</v>
      </c>
      <c r="D794" s="83"/>
      <c r="E794" s="86">
        <v>2</v>
      </c>
      <c r="F794" s="86">
        <v>5</v>
      </c>
      <c r="G794" s="83"/>
      <c r="H794" s="86" t="s">
        <v>7307</v>
      </c>
      <c r="I794" s="83"/>
      <c r="J794" s="83"/>
      <c r="K794" s="86">
        <v>7000</v>
      </c>
      <c r="L794" s="86">
        <v>0</v>
      </c>
      <c r="M794" s="83"/>
      <c r="N794" s="86">
        <v>200115</v>
      </c>
      <c r="O794" s="86">
        <v>200116</v>
      </c>
      <c r="P794" s="86">
        <v>200113</v>
      </c>
      <c r="Q794" s="85">
        <v>371</v>
      </c>
      <c r="R794" s="86">
        <v>2352</v>
      </c>
    </row>
    <row r="795" spans="1:21" x14ac:dyDescent="0.15">
      <c r="A795" s="86" t="s">
        <v>1</v>
      </c>
      <c r="B795" s="85">
        <v>8010511</v>
      </c>
      <c r="C795" s="83"/>
      <c r="D795" s="86">
        <v>3</v>
      </c>
      <c r="E795" s="86" t="s">
        <v>115</v>
      </c>
      <c r="F795" s="86" t="s">
        <v>115</v>
      </c>
      <c r="G795" s="86" t="s">
        <v>115</v>
      </c>
      <c r="H795" s="86" t="s">
        <v>7307</v>
      </c>
      <c r="I795" s="86" t="s">
        <v>115</v>
      </c>
      <c r="J795" s="86" t="s">
        <v>115</v>
      </c>
      <c r="K795" s="86">
        <v>8000</v>
      </c>
      <c r="L795" s="86">
        <v>8010512</v>
      </c>
      <c r="M795" s="83"/>
      <c r="N795" s="86" t="s">
        <v>115</v>
      </c>
      <c r="O795" s="86" t="s">
        <v>115</v>
      </c>
      <c r="P795" s="86">
        <v>200111</v>
      </c>
      <c r="Q795" s="85">
        <v>371</v>
      </c>
      <c r="R795" s="86">
        <v>3090</v>
      </c>
    </row>
    <row r="796" spans="1:21" x14ac:dyDescent="0.15">
      <c r="A796" s="86" t="s">
        <v>1</v>
      </c>
      <c r="B796" s="85">
        <v>8010512</v>
      </c>
      <c r="C796" s="86" t="s">
        <v>115</v>
      </c>
      <c r="D796" s="86" t="s">
        <v>115</v>
      </c>
      <c r="E796" s="86">
        <v>1</v>
      </c>
      <c r="F796" s="86">
        <v>5</v>
      </c>
      <c r="G796" s="86" t="s">
        <v>115</v>
      </c>
      <c r="H796" s="86" t="s">
        <v>7307</v>
      </c>
      <c r="I796" s="86" t="s">
        <v>115</v>
      </c>
      <c r="J796" s="86">
        <v>20</v>
      </c>
      <c r="K796" s="86">
        <v>8000</v>
      </c>
      <c r="L796" s="86">
        <v>8010513</v>
      </c>
      <c r="M796" s="83"/>
      <c r="N796" s="83"/>
      <c r="O796" s="83"/>
      <c r="P796" s="86">
        <v>200112</v>
      </c>
      <c r="Q796" s="85">
        <v>371</v>
      </c>
      <c r="R796" s="86">
        <v>2760</v>
      </c>
    </row>
    <row r="797" spans="1:21" x14ac:dyDescent="0.15">
      <c r="A797" s="86" t="s">
        <v>1</v>
      </c>
      <c r="B797" s="85">
        <v>8010513</v>
      </c>
      <c r="C797" s="86" t="s">
        <v>115</v>
      </c>
      <c r="D797" s="83"/>
      <c r="E797" s="86">
        <v>2</v>
      </c>
      <c r="F797" s="86">
        <v>5</v>
      </c>
      <c r="G797" s="83"/>
      <c r="H797" s="86" t="s">
        <v>7307</v>
      </c>
      <c r="I797" s="83"/>
      <c r="J797" s="83"/>
      <c r="K797" s="86">
        <v>8000</v>
      </c>
      <c r="L797" s="86">
        <v>0</v>
      </c>
      <c r="M797" s="83"/>
      <c r="N797" s="86">
        <v>200115</v>
      </c>
      <c r="O797" s="86">
        <v>200116</v>
      </c>
      <c r="P797" s="86">
        <v>200113</v>
      </c>
      <c r="Q797" s="85">
        <v>371</v>
      </c>
      <c r="R797" s="86">
        <v>2352</v>
      </c>
    </row>
    <row r="798" spans="1:21" x14ac:dyDescent="0.15">
      <c r="A798" s="86" t="s">
        <v>1</v>
      </c>
      <c r="B798" s="86">
        <v>8010611</v>
      </c>
      <c r="C798" s="86" t="s">
        <v>115</v>
      </c>
      <c r="D798" s="86">
        <v>3</v>
      </c>
      <c r="E798" s="86" t="s">
        <v>115</v>
      </c>
      <c r="F798" s="86" t="s">
        <v>115</v>
      </c>
      <c r="G798" s="86" t="s">
        <v>115</v>
      </c>
      <c r="H798" s="86" t="s">
        <v>7307</v>
      </c>
      <c r="I798" s="86" t="s">
        <v>115</v>
      </c>
      <c r="J798" s="86" t="s">
        <v>115</v>
      </c>
      <c r="K798" s="86">
        <v>8500</v>
      </c>
      <c r="L798" s="86">
        <v>8010612</v>
      </c>
      <c r="M798" s="83"/>
      <c r="N798" s="86" t="s">
        <v>115</v>
      </c>
      <c r="O798" s="86" t="s">
        <v>115</v>
      </c>
      <c r="P798" s="86">
        <v>200111</v>
      </c>
      <c r="Q798" s="85">
        <v>371</v>
      </c>
      <c r="R798" s="86">
        <v>3090</v>
      </c>
    </row>
    <row r="799" spans="1:21" x14ac:dyDescent="0.15">
      <c r="A799" s="86" t="s">
        <v>1</v>
      </c>
      <c r="B799" s="85">
        <v>8010612</v>
      </c>
      <c r="C799" s="83"/>
      <c r="D799" s="86" t="s">
        <v>115</v>
      </c>
      <c r="E799" s="86">
        <v>1</v>
      </c>
      <c r="F799" s="86">
        <v>5</v>
      </c>
      <c r="G799" s="86" t="s">
        <v>115</v>
      </c>
      <c r="H799" s="86" t="s">
        <v>7307</v>
      </c>
      <c r="I799" s="86" t="s">
        <v>115</v>
      </c>
      <c r="J799" s="86">
        <v>20</v>
      </c>
      <c r="K799" s="86">
        <v>8500</v>
      </c>
      <c r="L799" s="86">
        <v>8010613</v>
      </c>
      <c r="M799" s="83"/>
      <c r="N799" s="83"/>
      <c r="O799" s="83"/>
      <c r="P799" s="86">
        <v>200112</v>
      </c>
      <c r="Q799" s="85">
        <v>371</v>
      </c>
      <c r="R799" s="86">
        <v>3016</v>
      </c>
    </row>
    <row r="800" spans="1:21" x14ac:dyDescent="0.15">
      <c r="A800" s="86" t="s">
        <v>1</v>
      </c>
      <c r="B800" s="86">
        <v>8010613</v>
      </c>
      <c r="C800" s="86" t="s">
        <v>115</v>
      </c>
      <c r="D800" s="83"/>
      <c r="E800" s="86">
        <v>2</v>
      </c>
      <c r="F800" s="86">
        <v>5</v>
      </c>
      <c r="G800" s="83"/>
      <c r="H800" s="86" t="s">
        <v>7307</v>
      </c>
      <c r="I800" s="83"/>
      <c r="J800" s="83"/>
      <c r="K800" s="86">
        <v>8500</v>
      </c>
      <c r="L800" s="86">
        <v>0</v>
      </c>
      <c r="M800" s="83"/>
      <c r="N800" s="86">
        <v>200115</v>
      </c>
      <c r="O800" s="86">
        <v>200116</v>
      </c>
      <c r="P800" s="86">
        <v>200113</v>
      </c>
      <c r="Q800" s="85">
        <v>371</v>
      </c>
      <c r="R800" s="86">
        <v>2581</v>
      </c>
    </row>
    <row r="801" spans="1:18" x14ac:dyDescent="0.15">
      <c r="A801" s="86" t="s">
        <v>1</v>
      </c>
      <c r="B801" s="85">
        <v>8010711</v>
      </c>
      <c r="C801" s="86" t="s">
        <v>115</v>
      </c>
      <c r="D801" s="86">
        <v>3</v>
      </c>
      <c r="E801" s="86" t="s">
        <v>115</v>
      </c>
      <c r="F801" s="86" t="s">
        <v>115</v>
      </c>
      <c r="G801" s="86" t="s">
        <v>115</v>
      </c>
      <c r="H801" s="86" t="s">
        <v>7307</v>
      </c>
      <c r="I801" s="86" t="s">
        <v>115</v>
      </c>
      <c r="J801" s="86" t="s">
        <v>115</v>
      </c>
      <c r="K801" s="86">
        <v>9500</v>
      </c>
      <c r="L801" s="86">
        <v>8010712</v>
      </c>
      <c r="M801" s="83"/>
      <c r="N801" s="86" t="s">
        <v>115</v>
      </c>
      <c r="O801" s="86" t="s">
        <v>115</v>
      </c>
      <c r="P801" s="86">
        <v>200111</v>
      </c>
      <c r="Q801" s="85">
        <v>371</v>
      </c>
      <c r="R801" s="86">
        <v>3330</v>
      </c>
    </row>
    <row r="802" spans="1:18" x14ac:dyDescent="0.15">
      <c r="A802" s="86" t="s">
        <v>1</v>
      </c>
      <c r="B802" s="86">
        <v>8010712</v>
      </c>
      <c r="C802" s="86" t="s">
        <v>115</v>
      </c>
      <c r="D802" s="86" t="s">
        <v>115</v>
      </c>
      <c r="E802" s="86">
        <v>1</v>
      </c>
      <c r="F802" s="86">
        <v>5</v>
      </c>
      <c r="G802" s="86" t="s">
        <v>115</v>
      </c>
      <c r="H802" s="86" t="s">
        <v>7307</v>
      </c>
      <c r="I802" s="86" t="s">
        <v>115</v>
      </c>
      <c r="J802" s="86">
        <v>20</v>
      </c>
      <c r="K802" s="86">
        <v>9500</v>
      </c>
      <c r="L802" s="86">
        <v>8010713</v>
      </c>
      <c r="M802" s="83"/>
      <c r="N802" s="83"/>
      <c r="O802" s="83"/>
      <c r="P802" s="86">
        <v>200112</v>
      </c>
      <c r="Q802" s="85">
        <v>371</v>
      </c>
      <c r="R802" s="86">
        <v>3525</v>
      </c>
    </row>
    <row r="803" spans="1:18" x14ac:dyDescent="0.15">
      <c r="A803" s="86" t="s">
        <v>1</v>
      </c>
      <c r="B803" s="85">
        <v>8010713</v>
      </c>
      <c r="C803" s="83"/>
      <c r="D803" s="83"/>
      <c r="E803" s="86">
        <v>2</v>
      </c>
      <c r="F803" s="86">
        <v>5</v>
      </c>
      <c r="G803" s="83"/>
      <c r="H803" s="86" t="s">
        <v>7307</v>
      </c>
      <c r="I803" s="83"/>
      <c r="J803" s="83"/>
      <c r="K803" s="86">
        <v>9500</v>
      </c>
      <c r="L803" s="86">
        <v>0</v>
      </c>
      <c r="M803" s="83"/>
      <c r="N803" s="86">
        <v>200115</v>
      </c>
      <c r="O803" s="86">
        <v>200116</v>
      </c>
      <c r="P803" s="86">
        <v>200113</v>
      </c>
      <c r="Q803" s="85">
        <v>371</v>
      </c>
      <c r="R803" s="86">
        <v>3035</v>
      </c>
    </row>
    <row r="804" spans="1:18" x14ac:dyDescent="0.15">
      <c r="A804" s="86" t="s">
        <v>1</v>
      </c>
      <c r="B804" s="86">
        <v>8010811</v>
      </c>
      <c r="C804" s="86" t="s">
        <v>115</v>
      </c>
      <c r="D804" s="86">
        <v>3</v>
      </c>
      <c r="E804" s="86" t="s">
        <v>115</v>
      </c>
      <c r="F804" s="86" t="s">
        <v>115</v>
      </c>
      <c r="G804" s="86" t="s">
        <v>115</v>
      </c>
      <c r="H804" s="86" t="s">
        <v>7307</v>
      </c>
      <c r="I804" s="86" t="s">
        <v>115</v>
      </c>
      <c r="J804" s="86" t="s">
        <v>115</v>
      </c>
      <c r="K804" s="86">
        <v>10500</v>
      </c>
      <c r="L804" s="86">
        <v>8010812</v>
      </c>
      <c r="M804" s="83"/>
      <c r="N804" s="86" t="s">
        <v>115</v>
      </c>
      <c r="O804" s="86" t="s">
        <v>115</v>
      </c>
      <c r="P804" s="86">
        <v>200111</v>
      </c>
      <c r="Q804" s="85">
        <v>371</v>
      </c>
      <c r="R804" s="86">
        <v>3480</v>
      </c>
    </row>
    <row r="805" spans="1:18" x14ac:dyDescent="0.15">
      <c r="A805" s="86" t="s">
        <v>1</v>
      </c>
      <c r="B805" s="85">
        <v>8010812</v>
      </c>
      <c r="C805" s="86" t="s">
        <v>115</v>
      </c>
      <c r="D805" s="86" t="s">
        <v>115</v>
      </c>
      <c r="E805" s="86">
        <v>1</v>
      </c>
      <c r="F805" s="86">
        <v>5</v>
      </c>
      <c r="G805" s="86" t="s">
        <v>115</v>
      </c>
      <c r="H805" s="86" t="s">
        <v>7307</v>
      </c>
      <c r="I805" s="86" t="s">
        <v>115</v>
      </c>
      <c r="J805" s="86">
        <v>20</v>
      </c>
      <c r="K805" s="86">
        <v>10500</v>
      </c>
      <c r="L805" s="86">
        <v>8010813</v>
      </c>
      <c r="M805" s="83"/>
      <c r="N805" s="83"/>
      <c r="O805" s="83"/>
      <c r="P805" s="86">
        <v>200112</v>
      </c>
      <c r="Q805" s="85">
        <v>371</v>
      </c>
      <c r="R805" s="86">
        <v>4206</v>
      </c>
    </row>
    <row r="806" spans="1:18" x14ac:dyDescent="0.15">
      <c r="A806" s="86" t="s">
        <v>1</v>
      </c>
      <c r="B806" s="86">
        <v>8010813</v>
      </c>
      <c r="C806" s="86" t="s">
        <v>115</v>
      </c>
      <c r="D806" s="83"/>
      <c r="E806" s="86">
        <v>2</v>
      </c>
      <c r="F806" s="86">
        <v>5</v>
      </c>
      <c r="G806" s="83"/>
      <c r="H806" s="86" t="s">
        <v>7307</v>
      </c>
      <c r="I806" s="83"/>
      <c r="J806" s="83"/>
      <c r="K806" s="86">
        <v>10500</v>
      </c>
      <c r="L806" s="86">
        <v>0</v>
      </c>
      <c r="M806" s="83"/>
      <c r="N806" s="86">
        <v>200115</v>
      </c>
      <c r="O806" s="86">
        <v>200116</v>
      </c>
      <c r="P806" s="86">
        <v>200113</v>
      </c>
      <c r="Q806" s="85">
        <v>371</v>
      </c>
      <c r="R806" s="86">
        <v>3259</v>
      </c>
    </row>
    <row r="807" spans="1:18" x14ac:dyDescent="0.15">
      <c r="A807" s="86" t="s">
        <v>1</v>
      </c>
      <c r="B807" s="85">
        <v>8020111</v>
      </c>
      <c r="C807" s="83"/>
      <c r="D807" s="86">
        <v>3</v>
      </c>
      <c r="E807" s="86" t="s">
        <v>115</v>
      </c>
      <c r="F807" s="86" t="s">
        <v>115</v>
      </c>
      <c r="G807" s="86" t="s">
        <v>115</v>
      </c>
      <c r="H807" s="86" t="s">
        <v>7307</v>
      </c>
      <c r="I807" s="86" t="s">
        <v>115</v>
      </c>
      <c r="J807" s="86" t="s">
        <v>115</v>
      </c>
      <c r="K807" s="86">
        <v>13500</v>
      </c>
      <c r="L807" s="86">
        <v>8020112</v>
      </c>
      <c r="M807" s="83"/>
      <c r="N807" s="86" t="s">
        <v>115</v>
      </c>
      <c r="O807" s="86" t="s">
        <v>115</v>
      </c>
      <c r="P807" s="86">
        <v>200111</v>
      </c>
      <c r="Q807" s="85">
        <v>371</v>
      </c>
      <c r="R807" s="86">
        <v>3600</v>
      </c>
    </row>
    <row r="808" spans="1:18" x14ac:dyDescent="0.15">
      <c r="A808" s="86" t="s">
        <v>1</v>
      </c>
      <c r="B808" s="86">
        <v>8020112</v>
      </c>
      <c r="C808" s="86" t="s">
        <v>115</v>
      </c>
      <c r="D808" s="86" t="s">
        <v>115</v>
      </c>
      <c r="E808" s="86">
        <v>1</v>
      </c>
      <c r="F808" s="86">
        <v>5</v>
      </c>
      <c r="G808" s="86" t="s">
        <v>115</v>
      </c>
      <c r="H808" s="86" t="s">
        <v>7307</v>
      </c>
      <c r="I808" s="86" t="s">
        <v>115</v>
      </c>
      <c r="J808" s="86">
        <v>20</v>
      </c>
      <c r="K808" s="86">
        <v>13500</v>
      </c>
      <c r="L808" s="86">
        <v>8020113</v>
      </c>
      <c r="M808" s="83"/>
      <c r="N808" s="83"/>
      <c r="O808" s="83"/>
      <c r="P808" s="86">
        <v>200112</v>
      </c>
      <c r="Q808" s="85">
        <v>371</v>
      </c>
      <c r="R808" s="86">
        <v>6981</v>
      </c>
    </row>
    <row r="809" spans="1:18" x14ac:dyDescent="0.15">
      <c r="A809" s="86" t="s">
        <v>1</v>
      </c>
      <c r="B809" s="85">
        <v>8020113</v>
      </c>
      <c r="C809" s="86" t="s">
        <v>115</v>
      </c>
      <c r="D809" s="83"/>
      <c r="E809" s="86">
        <v>2</v>
      </c>
      <c r="F809" s="86">
        <v>5</v>
      </c>
      <c r="G809" s="83"/>
      <c r="H809" s="86" t="s">
        <v>7307</v>
      </c>
      <c r="I809" s="83"/>
      <c r="J809" s="83"/>
      <c r="K809" s="86">
        <v>13500</v>
      </c>
      <c r="L809" s="86">
        <v>0</v>
      </c>
      <c r="M809" s="83"/>
      <c r="N809" s="86">
        <v>200115</v>
      </c>
      <c r="O809" s="86">
        <v>200116</v>
      </c>
      <c r="P809" s="86">
        <v>200113</v>
      </c>
      <c r="Q809" s="85">
        <v>371</v>
      </c>
      <c r="R809" s="86">
        <v>3259</v>
      </c>
    </row>
    <row r="810" spans="1:18" x14ac:dyDescent="0.15">
      <c r="A810" s="86" t="s">
        <v>1</v>
      </c>
      <c r="B810" s="86">
        <v>8020211</v>
      </c>
      <c r="C810" s="86" t="s">
        <v>115</v>
      </c>
      <c r="D810" s="86">
        <v>3</v>
      </c>
      <c r="E810" s="86" t="s">
        <v>115</v>
      </c>
      <c r="F810" s="86" t="s">
        <v>115</v>
      </c>
      <c r="G810" s="86" t="s">
        <v>115</v>
      </c>
      <c r="H810" s="86" t="s">
        <v>7307</v>
      </c>
      <c r="I810" s="86" t="s">
        <v>115</v>
      </c>
      <c r="J810" s="86" t="s">
        <v>115</v>
      </c>
      <c r="K810" s="86">
        <v>17000</v>
      </c>
      <c r="L810" s="86">
        <v>8020212</v>
      </c>
      <c r="M810" s="83"/>
      <c r="N810" s="86" t="s">
        <v>115</v>
      </c>
      <c r="O810" s="86" t="s">
        <v>115</v>
      </c>
      <c r="P810" s="86">
        <v>200111</v>
      </c>
      <c r="Q810" s="85">
        <v>371</v>
      </c>
      <c r="R810" s="86">
        <v>3720</v>
      </c>
    </row>
    <row r="811" spans="1:18" x14ac:dyDescent="0.15">
      <c r="A811" s="86" t="s">
        <v>1</v>
      </c>
      <c r="B811" s="85">
        <v>8020212</v>
      </c>
      <c r="C811" s="83"/>
      <c r="D811" s="86" t="s">
        <v>115</v>
      </c>
      <c r="E811" s="86">
        <v>1</v>
      </c>
      <c r="F811" s="86">
        <v>5</v>
      </c>
      <c r="G811" s="86" t="s">
        <v>115</v>
      </c>
      <c r="H811" s="86" t="s">
        <v>7307</v>
      </c>
      <c r="I811" s="86" t="s">
        <v>115</v>
      </c>
      <c r="J811" s="86">
        <v>20</v>
      </c>
      <c r="K811" s="86">
        <v>17000</v>
      </c>
      <c r="L811" s="86">
        <v>8020213</v>
      </c>
      <c r="M811" s="83"/>
      <c r="N811" s="83"/>
      <c r="O811" s="83"/>
      <c r="P811" s="86">
        <v>200112</v>
      </c>
      <c r="Q811" s="85">
        <v>371</v>
      </c>
      <c r="R811" s="86">
        <v>8184</v>
      </c>
    </row>
    <row r="812" spans="1:18" x14ac:dyDescent="0.15">
      <c r="A812" s="86" t="s">
        <v>1</v>
      </c>
      <c r="B812" s="86">
        <v>8020213</v>
      </c>
      <c r="C812" s="86" t="s">
        <v>115</v>
      </c>
      <c r="D812" s="83"/>
      <c r="E812" s="86">
        <v>2</v>
      </c>
      <c r="F812" s="86">
        <v>5</v>
      </c>
      <c r="G812" s="83"/>
      <c r="H812" s="86" t="s">
        <v>7307</v>
      </c>
      <c r="I812" s="83"/>
      <c r="J812" s="83"/>
      <c r="K812" s="86">
        <v>17000</v>
      </c>
      <c r="L812" s="86">
        <v>0</v>
      </c>
      <c r="M812" s="83"/>
      <c r="N812" s="86">
        <v>200115</v>
      </c>
      <c r="O812" s="86">
        <v>200116</v>
      </c>
      <c r="P812" s="86">
        <v>200113</v>
      </c>
      <c r="Q812" s="85">
        <v>371</v>
      </c>
      <c r="R812" s="86">
        <v>5856</v>
      </c>
    </row>
    <row r="813" spans="1:18" x14ac:dyDescent="0.15">
      <c r="A813" s="86" t="s">
        <v>1</v>
      </c>
      <c r="B813" s="85">
        <v>8020311</v>
      </c>
      <c r="C813" s="86" t="s">
        <v>115</v>
      </c>
      <c r="D813" s="86">
        <v>3</v>
      </c>
      <c r="E813" s="86" t="s">
        <v>115</v>
      </c>
      <c r="F813" s="86" t="s">
        <v>115</v>
      </c>
      <c r="G813" s="86" t="s">
        <v>115</v>
      </c>
      <c r="H813" s="86" t="s">
        <v>7307</v>
      </c>
      <c r="I813" s="86" t="s">
        <v>115</v>
      </c>
      <c r="J813" s="86" t="s">
        <v>115</v>
      </c>
      <c r="K813" s="86">
        <v>20000</v>
      </c>
      <c r="L813" s="86">
        <v>8020312</v>
      </c>
      <c r="M813" s="83"/>
      <c r="N813" s="86" t="s">
        <v>115</v>
      </c>
      <c r="O813" s="86" t="s">
        <v>115</v>
      </c>
      <c r="P813" s="86">
        <v>200111</v>
      </c>
      <c r="Q813" s="85">
        <v>371</v>
      </c>
      <c r="R813" s="86">
        <v>3720</v>
      </c>
    </row>
    <row r="814" spans="1:18" x14ac:dyDescent="0.15">
      <c r="A814" s="86" t="s">
        <v>1</v>
      </c>
      <c r="B814" s="86">
        <v>8020312</v>
      </c>
      <c r="C814" s="86" t="s">
        <v>115</v>
      </c>
      <c r="D814" s="86" t="s">
        <v>115</v>
      </c>
      <c r="E814" s="86">
        <v>1</v>
      </c>
      <c r="F814" s="86">
        <v>5</v>
      </c>
      <c r="G814" s="86" t="s">
        <v>115</v>
      </c>
      <c r="H814" s="86" t="s">
        <v>7307</v>
      </c>
      <c r="I814" s="86" t="s">
        <v>115</v>
      </c>
      <c r="J814" s="86">
        <v>20</v>
      </c>
      <c r="K814" s="86">
        <v>20000</v>
      </c>
      <c r="L814" s="86">
        <v>8020313</v>
      </c>
      <c r="M814" s="83"/>
      <c r="N814" s="83"/>
      <c r="O814" s="83"/>
      <c r="P814" s="86">
        <v>200112</v>
      </c>
      <c r="Q814" s="85">
        <v>371</v>
      </c>
      <c r="R814" s="86">
        <v>8966</v>
      </c>
    </row>
    <row r="815" spans="1:18" x14ac:dyDescent="0.15">
      <c r="A815" s="86" t="s">
        <v>1</v>
      </c>
      <c r="B815" s="85">
        <v>8020313</v>
      </c>
      <c r="C815" s="83"/>
      <c r="D815" s="83"/>
      <c r="E815" s="86">
        <v>2</v>
      </c>
      <c r="F815" s="86">
        <v>5</v>
      </c>
      <c r="G815" s="83"/>
      <c r="H815" s="86" t="s">
        <v>7307</v>
      </c>
      <c r="I815" s="83"/>
      <c r="J815" s="83"/>
      <c r="K815" s="86">
        <v>20000</v>
      </c>
      <c r="L815" s="86">
        <v>0</v>
      </c>
      <c r="M815" s="83"/>
      <c r="N815" s="86">
        <v>200115</v>
      </c>
      <c r="O815" s="86">
        <v>200116</v>
      </c>
      <c r="P815" s="86">
        <v>200113</v>
      </c>
      <c r="Q815" s="85">
        <v>371</v>
      </c>
      <c r="R815" s="86">
        <v>7514</v>
      </c>
    </row>
    <row r="816" spans="1:18" x14ac:dyDescent="0.15">
      <c r="A816" s="86" t="s">
        <v>1</v>
      </c>
      <c r="B816" s="86">
        <v>8020411</v>
      </c>
      <c r="C816" s="86" t="s">
        <v>115</v>
      </c>
      <c r="D816" s="86">
        <v>3</v>
      </c>
      <c r="E816" s="86" t="s">
        <v>115</v>
      </c>
      <c r="F816" s="86" t="s">
        <v>115</v>
      </c>
      <c r="G816" s="86" t="s">
        <v>115</v>
      </c>
      <c r="H816" s="86" t="s">
        <v>7307</v>
      </c>
      <c r="I816" s="86" t="s">
        <v>115</v>
      </c>
      <c r="J816" s="86" t="s">
        <v>115</v>
      </c>
      <c r="K816" s="86">
        <v>22000</v>
      </c>
      <c r="L816" s="86">
        <v>8020412</v>
      </c>
      <c r="M816" s="83"/>
      <c r="N816" s="86" t="s">
        <v>115</v>
      </c>
      <c r="O816" s="86" t="s">
        <v>115</v>
      </c>
      <c r="P816" s="86">
        <v>200111</v>
      </c>
      <c r="Q816" s="85">
        <v>371</v>
      </c>
      <c r="R816" s="86">
        <v>3720</v>
      </c>
    </row>
    <row r="817" spans="1:21" x14ac:dyDescent="0.15">
      <c r="A817" s="86" t="s">
        <v>1</v>
      </c>
      <c r="B817" s="85">
        <v>8020412</v>
      </c>
      <c r="C817" s="86" t="s">
        <v>115</v>
      </c>
      <c r="D817" s="86" t="s">
        <v>115</v>
      </c>
      <c r="E817" s="86">
        <v>1</v>
      </c>
      <c r="F817" s="86">
        <v>5</v>
      </c>
      <c r="G817" s="86" t="s">
        <v>115</v>
      </c>
      <c r="H817" s="86" t="s">
        <v>7307</v>
      </c>
      <c r="I817" s="86" t="s">
        <v>115</v>
      </c>
      <c r="J817" s="86">
        <v>20</v>
      </c>
      <c r="K817" s="86">
        <v>22000</v>
      </c>
      <c r="L817" s="86">
        <v>8020413</v>
      </c>
      <c r="M817" s="83"/>
      <c r="N817" s="83"/>
      <c r="O817" s="83"/>
      <c r="P817" s="86">
        <v>200112</v>
      </c>
      <c r="Q817" s="85">
        <v>371</v>
      </c>
      <c r="R817" s="86">
        <v>9607</v>
      </c>
    </row>
    <row r="818" spans="1:21" x14ac:dyDescent="0.15">
      <c r="A818" s="86" t="s">
        <v>1</v>
      </c>
      <c r="B818" s="86">
        <v>8020413</v>
      </c>
      <c r="C818" s="86" t="s">
        <v>115</v>
      </c>
      <c r="D818" s="83"/>
      <c r="E818" s="86">
        <v>2</v>
      </c>
      <c r="F818" s="86">
        <v>5</v>
      </c>
      <c r="G818" s="83"/>
      <c r="H818" s="86" t="s">
        <v>7307</v>
      </c>
      <c r="I818" s="83"/>
      <c r="J818" s="83"/>
      <c r="K818" s="86">
        <v>22000</v>
      </c>
      <c r="L818" s="86">
        <v>0</v>
      </c>
      <c r="M818" s="83"/>
      <c r="N818" s="86">
        <v>200115</v>
      </c>
      <c r="O818" s="86">
        <v>200116</v>
      </c>
      <c r="P818" s="86">
        <v>200113</v>
      </c>
      <c r="Q818" s="85">
        <v>371</v>
      </c>
      <c r="R818" s="86">
        <v>8798</v>
      </c>
    </row>
    <row r="819" spans="1:21" x14ac:dyDescent="0.15">
      <c r="A819" s="86" t="s">
        <v>1</v>
      </c>
      <c r="B819" s="85">
        <v>8020511</v>
      </c>
      <c r="C819" s="83"/>
      <c r="D819" s="86">
        <v>3</v>
      </c>
      <c r="E819" s="86" t="s">
        <v>115</v>
      </c>
      <c r="F819" s="86" t="s">
        <v>115</v>
      </c>
      <c r="G819" s="86" t="s">
        <v>115</v>
      </c>
      <c r="H819" s="86" t="s">
        <v>7307</v>
      </c>
      <c r="I819" s="86" t="s">
        <v>115</v>
      </c>
      <c r="J819" s="86" t="s">
        <v>115</v>
      </c>
      <c r="K819" s="86">
        <v>23000</v>
      </c>
      <c r="L819" s="86">
        <v>8020512</v>
      </c>
      <c r="M819" s="83"/>
      <c r="N819" s="86" t="s">
        <v>115</v>
      </c>
      <c r="O819" s="86" t="s">
        <v>115</v>
      </c>
      <c r="P819" s="86">
        <v>200111</v>
      </c>
      <c r="Q819" s="85">
        <v>371</v>
      </c>
      <c r="R819" s="86">
        <v>3870</v>
      </c>
    </row>
    <row r="820" spans="1:21" x14ac:dyDescent="0.15">
      <c r="A820" s="86" t="s">
        <v>1</v>
      </c>
      <c r="B820" s="86">
        <v>8020512</v>
      </c>
      <c r="C820" s="86" t="s">
        <v>115</v>
      </c>
      <c r="D820" s="86" t="s">
        <v>115</v>
      </c>
      <c r="E820" s="86">
        <v>1</v>
      </c>
      <c r="F820" s="86">
        <v>5</v>
      </c>
      <c r="G820" s="86" t="s">
        <v>115</v>
      </c>
      <c r="H820" s="86" t="s">
        <v>7307</v>
      </c>
      <c r="I820" s="86" t="s">
        <v>115</v>
      </c>
      <c r="J820" s="86">
        <v>20</v>
      </c>
      <c r="K820" s="86">
        <v>23000</v>
      </c>
      <c r="L820" s="86">
        <v>8020513</v>
      </c>
      <c r="M820" s="83"/>
      <c r="N820" s="83"/>
      <c r="O820" s="83"/>
      <c r="P820" s="86">
        <v>200112</v>
      </c>
      <c r="Q820" s="85">
        <v>371</v>
      </c>
      <c r="R820" s="86">
        <v>9922</v>
      </c>
    </row>
    <row r="821" spans="1:21" x14ac:dyDescent="0.15">
      <c r="A821" s="86" t="s">
        <v>1</v>
      </c>
      <c r="B821" s="85">
        <v>8020513</v>
      </c>
      <c r="C821" s="86" t="s">
        <v>115</v>
      </c>
      <c r="D821" s="83"/>
      <c r="E821" s="86">
        <v>2</v>
      </c>
      <c r="F821" s="86">
        <v>5</v>
      </c>
      <c r="G821" s="83"/>
      <c r="H821" s="86" t="s">
        <v>7307</v>
      </c>
      <c r="I821" s="83"/>
      <c r="J821" s="83"/>
      <c r="K821" s="86">
        <v>23000</v>
      </c>
      <c r="L821" s="86">
        <v>0</v>
      </c>
      <c r="M821" s="83"/>
      <c r="N821" s="86">
        <v>200115</v>
      </c>
      <c r="O821" s="86">
        <v>200116</v>
      </c>
      <c r="P821" s="86">
        <v>200113</v>
      </c>
      <c r="Q821" s="85">
        <v>371</v>
      </c>
      <c r="R821" s="86">
        <v>9565</v>
      </c>
      <c r="S821" s="83"/>
      <c r="T821" s="83"/>
      <c r="U821" s="83"/>
    </row>
    <row r="822" spans="1:21" x14ac:dyDescent="0.15">
      <c r="A822" s="86" t="s">
        <v>1</v>
      </c>
      <c r="B822" s="86">
        <v>8020611</v>
      </c>
      <c r="C822" s="86" t="s">
        <v>115</v>
      </c>
      <c r="D822" s="86">
        <v>3</v>
      </c>
      <c r="E822" s="86" t="s">
        <v>115</v>
      </c>
      <c r="F822" s="86" t="s">
        <v>115</v>
      </c>
      <c r="G822" s="86" t="s">
        <v>115</v>
      </c>
      <c r="H822" s="86" t="s">
        <v>7307</v>
      </c>
      <c r="I822" s="86" t="s">
        <v>115</v>
      </c>
      <c r="J822" s="86" t="s">
        <v>115</v>
      </c>
      <c r="K822" s="86">
        <v>27000</v>
      </c>
      <c r="L822" s="86">
        <v>8020612</v>
      </c>
      <c r="M822" s="83"/>
      <c r="N822" s="86" t="s">
        <v>115</v>
      </c>
      <c r="O822" s="86" t="s">
        <v>115</v>
      </c>
      <c r="P822" s="86">
        <v>200111</v>
      </c>
      <c r="Q822" s="85">
        <v>371</v>
      </c>
      <c r="R822" s="86">
        <v>3990</v>
      </c>
      <c r="S822" s="83"/>
      <c r="T822" s="83"/>
      <c r="U822" s="83"/>
    </row>
    <row r="823" spans="1:21" x14ac:dyDescent="0.15">
      <c r="A823" s="86" t="s">
        <v>1</v>
      </c>
      <c r="B823" s="85">
        <v>8020612</v>
      </c>
      <c r="C823" s="83"/>
      <c r="D823" s="86" t="s">
        <v>115</v>
      </c>
      <c r="E823" s="86">
        <v>1</v>
      </c>
      <c r="F823" s="86">
        <v>5</v>
      </c>
      <c r="G823" s="86" t="s">
        <v>115</v>
      </c>
      <c r="H823" s="86" t="s">
        <v>7307</v>
      </c>
      <c r="I823" s="86" t="s">
        <v>115</v>
      </c>
      <c r="J823" s="86">
        <v>20</v>
      </c>
      <c r="K823" s="86">
        <v>27000</v>
      </c>
      <c r="L823" s="86">
        <v>8020613</v>
      </c>
      <c r="M823" s="83"/>
      <c r="N823" s="83"/>
      <c r="O823" s="83"/>
      <c r="P823" s="86">
        <v>200112</v>
      </c>
      <c r="Q823" s="85">
        <v>371</v>
      </c>
      <c r="R823" s="86">
        <v>12485</v>
      </c>
      <c r="S823" s="83"/>
      <c r="T823" s="83"/>
      <c r="U823" s="83"/>
    </row>
    <row r="824" spans="1:21" x14ac:dyDescent="0.15">
      <c r="A824" s="86" t="s">
        <v>1</v>
      </c>
      <c r="B824" s="86">
        <v>8020613</v>
      </c>
      <c r="C824" s="86" t="s">
        <v>115</v>
      </c>
      <c r="D824" s="83"/>
      <c r="E824" s="86">
        <v>2</v>
      </c>
      <c r="F824" s="86">
        <v>5</v>
      </c>
      <c r="G824" s="83"/>
      <c r="H824" s="86" t="s">
        <v>7307</v>
      </c>
      <c r="I824" s="83"/>
      <c r="J824" s="83"/>
      <c r="K824" s="86">
        <v>27000</v>
      </c>
      <c r="L824" s="86">
        <v>0</v>
      </c>
      <c r="M824" s="83"/>
      <c r="N824" s="86">
        <v>200115</v>
      </c>
      <c r="O824" s="86">
        <v>200116</v>
      </c>
      <c r="P824" s="86">
        <v>200113</v>
      </c>
      <c r="Q824" s="85">
        <v>371</v>
      </c>
      <c r="R824" s="86">
        <v>11806</v>
      </c>
      <c r="S824" s="83"/>
      <c r="T824" s="83"/>
      <c r="U824" s="83"/>
    </row>
    <row r="825" spans="1:21" x14ac:dyDescent="0.15">
      <c r="A825" s="86" t="s">
        <v>1</v>
      </c>
      <c r="B825" s="85">
        <v>8020711</v>
      </c>
      <c r="C825" s="86" t="s">
        <v>115</v>
      </c>
      <c r="D825" s="86">
        <v>3</v>
      </c>
      <c r="E825" s="86" t="s">
        <v>115</v>
      </c>
      <c r="F825" s="86" t="s">
        <v>115</v>
      </c>
      <c r="G825" s="86" t="s">
        <v>115</v>
      </c>
      <c r="H825" s="86" t="s">
        <v>7307</v>
      </c>
      <c r="I825" s="86" t="s">
        <v>115</v>
      </c>
      <c r="J825" s="86" t="s">
        <v>115</v>
      </c>
      <c r="K825" s="86">
        <v>28000</v>
      </c>
      <c r="L825" s="86">
        <v>8020712</v>
      </c>
      <c r="M825" s="83"/>
      <c r="N825" s="86" t="s">
        <v>115</v>
      </c>
      <c r="O825" s="86" t="s">
        <v>115</v>
      </c>
      <c r="P825" s="86">
        <v>200111</v>
      </c>
      <c r="Q825" s="85">
        <v>371</v>
      </c>
      <c r="R825" s="86">
        <v>3990</v>
      </c>
      <c r="S825" s="83"/>
      <c r="T825" s="83"/>
      <c r="U825" s="83"/>
    </row>
    <row r="826" spans="1:21" x14ac:dyDescent="0.15">
      <c r="A826" s="86" t="s">
        <v>1</v>
      </c>
      <c r="B826" s="86">
        <v>8020712</v>
      </c>
      <c r="C826" s="86" t="s">
        <v>115</v>
      </c>
      <c r="D826" s="86" t="s">
        <v>115</v>
      </c>
      <c r="E826" s="86">
        <v>1</v>
      </c>
      <c r="F826" s="86">
        <v>5</v>
      </c>
      <c r="G826" s="86" t="s">
        <v>115</v>
      </c>
      <c r="H826" s="86" t="s">
        <v>7307</v>
      </c>
      <c r="I826" s="86" t="s">
        <v>115</v>
      </c>
      <c r="J826" s="86">
        <v>20</v>
      </c>
      <c r="K826" s="86">
        <v>28000</v>
      </c>
      <c r="L826" s="86">
        <v>8020713</v>
      </c>
      <c r="M826" s="83"/>
      <c r="N826" s="83"/>
      <c r="O826" s="83"/>
      <c r="P826" s="86">
        <v>200112</v>
      </c>
      <c r="Q826" s="85">
        <v>371</v>
      </c>
      <c r="R826" s="86">
        <v>12801</v>
      </c>
      <c r="S826" s="83"/>
      <c r="T826" s="83"/>
      <c r="U826" s="83"/>
    </row>
    <row r="827" spans="1:21" x14ac:dyDescent="0.15">
      <c r="A827" s="86" t="s">
        <v>1</v>
      </c>
      <c r="B827" s="85">
        <v>8020713</v>
      </c>
      <c r="C827" s="83"/>
      <c r="D827" s="83"/>
      <c r="E827" s="86">
        <v>2</v>
      </c>
      <c r="F827" s="86">
        <v>5</v>
      </c>
      <c r="G827" s="83"/>
      <c r="H827" s="86" t="s">
        <v>7307</v>
      </c>
      <c r="I827" s="83"/>
      <c r="J827" s="83"/>
      <c r="K827" s="86">
        <v>28000</v>
      </c>
      <c r="L827" s="86">
        <v>0</v>
      </c>
      <c r="M827" s="83"/>
      <c r="N827" s="86">
        <v>200115</v>
      </c>
      <c r="O827" s="86">
        <v>200116</v>
      </c>
      <c r="P827" s="86">
        <v>200113</v>
      </c>
      <c r="Q827" s="85">
        <v>371</v>
      </c>
      <c r="R827" s="86">
        <v>12113</v>
      </c>
      <c r="S827" s="83"/>
      <c r="T827" s="83"/>
      <c r="U827" s="83"/>
    </row>
    <row r="828" spans="1:21" x14ac:dyDescent="0.15">
      <c r="A828" s="86" t="s">
        <v>1</v>
      </c>
      <c r="B828" s="86">
        <v>8020811</v>
      </c>
      <c r="C828" s="86" t="s">
        <v>115</v>
      </c>
      <c r="D828" s="86">
        <v>3</v>
      </c>
      <c r="E828" s="86" t="s">
        <v>115</v>
      </c>
      <c r="F828" s="86" t="s">
        <v>115</v>
      </c>
      <c r="G828" s="86" t="s">
        <v>115</v>
      </c>
      <c r="H828" s="86" t="s">
        <v>7307</v>
      </c>
      <c r="I828" s="86" t="s">
        <v>115</v>
      </c>
      <c r="J828" s="86" t="s">
        <v>115</v>
      </c>
      <c r="K828" s="86">
        <v>29000</v>
      </c>
      <c r="L828" s="86">
        <v>8020812</v>
      </c>
      <c r="M828" s="83"/>
      <c r="N828" s="86" t="s">
        <v>115</v>
      </c>
      <c r="O828" s="86" t="s">
        <v>115</v>
      </c>
      <c r="P828" s="86">
        <v>200111</v>
      </c>
      <c r="Q828" s="85">
        <v>371</v>
      </c>
      <c r="R828" s="86">
        <v>3990</v>
      </c>
      <c r="S828" s="83"/>
      <c r="T828" s="83"/>
      <c r="U828" s="83"/>
    </row>
    <row r="829" spans="1:21" x14ac:dyDescent="0.15">
      <c r="A829" s="86" t="s">
        <v>1</v>
      </c>
      <c r="B829" s="85">
        <v>8020812</v>
      </c>
      <c r="C829" s="86" t="s">
        <v>115</v>
      </c>
      <c r="D829" s="86" t="s">
        <v>115</v>
      </c>
      <c r="E829" s="86">
        <v>1</v>
      </c>
      <c r="F829" s="86">
        <v>5</v>
      </c>
      <c r="G829" s="86" t="s">
        <v>115</v>
      </c>
      <c r="H829" s="86" t="s">
        <v>7307</v>
      </c>
      <c r="I829" s="86" t="s">
        <v>115</v>
      </c>
      <c r="J829" s="86">
        <v>20</v>
      </c>
      <c r="K829" s="86">
        <v>29000</v>
      </c>
      <c r="L829" s="86">
        <v>8020813</v>
      </c>
      <c r="M829" s="83"/>
      <c r="N829" s="83"/>
      <c r="O829" s="83"/>
      <c r="P829" s="86">
        <v>200112</v>
      </c>
      <c r="Q829" s="85">
        <v>371</v>
      </c>
      <c r="R829" s="86">
        <v>14473</v>
      </c>
      <c r="S829" s="83"/>
      <c r="T829" s="83"/>
      <c r="U829" s="83"/>
    </row>
    <row r="830" spans="1:21" x14ac:dyDescent="0.15">
      <c r="A830" s="86" t="s">
        <v>1</v>
      </c>
      <c r="B830" s="86">
        <v>8020813</v>
      </c>
      <c r="C830" s="86" t="s">
        <v>115</v>
      </c>
      <c r="D830" s="83"/>
      <c r="E830" s="86">
        <v>2</v>
      </c>
      <c r="F830" s="86">
        <v>5</v>
      </c>
      <c r="G830" s="83"/>
      <c r="H830" s="86" t="s">
        <v>7307</v>
      </c>
      <c r="I830" s="83"/>
      <c r="J830" s="83"/>
      <c r="K830" s="86">
        <v>29000</v>
      </c>
      <c r="L830" s="86">
        <v>0</v>
      </c>
      <c r="M830" s="83"/>
      <c r="N830" s="86">
        <v>200115</v>
      </c>
      <c r="O830" s="86">
        <v>200116</v>
      </c>
      <c r="P830" s="86">
        <v>200113</v>
      </c>
      <c r="Q830" s="85">
        <v>371</v>
      </c>
      <c r="R830" s="86">
        <v>12414</v>
      </c>
      <c r="S830" s="83"/>
      <c r="T830" s="83"/>
      <c r="U830" s="83"/>
    </row>
    <row r="831" spans="1:21" x14ac:dyDescent="0.15">
      <c r="A831" s="86" t="s">
        <v>1</v>
      </c>
      <c r="B831" s="85">
        <v>8020911</v>
      </c>
      <c r="C831" s="83"/>
      <c r="D831" s="86">
        <v>3</v>
      </c>
      <c r="E831" s="86" t="s">
        <v>115</v>
      </c>
      <c r="F831" s="86" t="s">
        <v>115</v>
      </c>
      <c r="G831" s="86" t="s">
        <v>115</v>
      </c>
      <c r="H831" s="86" t="s">
        <v>7307</v>
      </c>
      <c r="I831" s="86" t="s">
        <v>115</v>
      </c>
      <c r="J831" s="86" t="s">
        <v>115</v>
      </c>
      <c r="K831" s="86">
        <v>31500</v>
      </c>
      <c r="L831" s="86">
        <v>8020912</v>
      </c>
      <c r="M831" s="83"/>
      <c r="N831" s="86" t="s">
        <v>115</v>
      </c>
      <c r="O831" s="86" t="s">
        <v>115</v>
      </c>
      <c r="P831" s="86">
        <v>200111</v>
      </c>
      <c r="Q831" s="85">
        <v>371</v>
      </c>
      <c r="R831" s="86">
        <v>4230</v>
      </c>
      <c r="S831" s="83"/>
      <c r="T831" s="83"/>
      <c r="U831" s="83"/>
    </row>
    <row r="832" spans="1:21" x14ac:dyDescent="0.15">
      <c r="A832" s="86" t="s">
        <v>1</v>
      </c>
      <c r="B832" s="86">
        <v>8020912</v>
      </c>
      <c r="C832" s="86" t="s">
        <v>115</v>
      </c>
      <c r="D832" s="86" t="s">
        <v>115</v>
      </c>
      <c r="E832" s="86">
        <v>1</v>
      </c>
      <c r="F832" s="86">
        <v>5</v>
      </c>
      <c r="G832" s="86" t="s">
        <v>115</v>
      </c>
      <c r="H832" s="86" t="s">
        <v>7307</v>
      </c>
      <c r="I832" s="86" t="s">
        <v>115</v>
      </c>
      <c r="J832" s="86">
        <v>20</v>
      </c>
      <c r="K832" s="86">
        <v>31500</v>
      </c>
      <c r="L832" s="86">
        <v>8020913</v>
      </c>
      <c r="M832" s="83"/>
      <c r="N832" s="83"/>
      <c r="O832" s="83"/>
      <c r="P832" s="86">
        <v>200112</v>
      </c>
      <c r="Q832" s="85">
        <v>371</v>
      </c>
      <c r="R832" s="86">
        <v>15541</v>
      </c>
      <c r="S832" s="83"/>
      <c r="T832" s="83"/>
      <c r="U832" s="83"/>
    </row>
    <row r="833" spans="1:21" x14ac:dyDescent="0.15">
      <c r="A833" s="86" t="s">
        <v>1</v>
      </c>
      <c r="B833" s="85">
        <v>8020913</v>
      </c>
      <c r="C833" s="86" t="s">
        <v>115</v>
      </c>
      <c r="D833" s="83"/>
      <c r="E833" s="86">
        <v>2</v>
      </c>
      <c r="F833" s="86">
        <v>5</v>
      </c>
      <c r="G833" s="83"/>
      <c r="H833" s="86" t="s">
        <v>7307</v>
      </c>
      <c r="I833" s="83"/>
      <c r="J833" s="83"/>
      <c r="K833" s="86">
        <v>31500</v>
      </c>
      <c r="L833" s="86">
        <v>0</v>
      </c>
      <c r="M833" s="83"/>
      <c r="N833" s="86">
        <v>200115</v>
      </c>
      <c r="O833" s="86">
        <v>200116</v>
      </c>
      <c r="P833" s="86">
        <v>200113</v>
      </c>
      <c r="Q833" s="85">
        <v>371</v>
      </c>
      <c r="R833" s="86">
        <v>12721</v>
      </c>
      <c r="S833" s="83"/>
      <c r="T833" s="83"/>
      <c r="U833" s="83"/>
    </row>
    <row r="834" spans="1:21" x14ac:dyDescent="0.15">
      <c r="A834" s="86" t="s">
        <v>1</v>
      </c>
      <c r="B834" s="86">
        <v>8021011</v>
      </c>
      <c r="C834" s="86" t="s">
        <v>115</v>
      </c>
      <c r="D834" s="86">
        <v>3</v>
      </c>
      <c r="E834" s="86" t="s">
        <v>115</v>
      </c>
      <c r="F834" s="86" t="s">
        <v>115</v>
      </c>
      <c r="G834" s="86" t="s">
        <v>115</v>
      </c>
      <c r="H834" s="86" t="s">
        <v>7307</v>
      </c>
      <c r="I834" s="86" t="s">
        <v>115</v>
      </c>
      <c r="J834" s="86" t="s">
        <v>115</v>
      </c>
      <c r="K834" s="86">
        <v>32000</v>
      </c>
      <c r="L834" s="86">
        <v>8021012</v>
      </c>
      <c r="M834" s="83"/>
      <c r="N834" s="86" t="s">
        <v>115</v>
      </c>
      <c r="O834" s="86" t="s">
        <v>115</v>
      </c>
      <c r="P834" s="86">
        <v>200111</v>
      </c>
      <c r="Q834" s="85">
        <v>371</v>
      </c>
      <c r="R834" s="86">
        <v>4230</v>
      </c>
      <c r="S834" s="83"/>
      <c r="T834" s="83"/>
      <c r="U834" s="83"/>
    </row>
    <row r="835" spans="1:21" x14ac:dyDescent="0.15">
      <c r="A835" s="86" t="s">
        <v>1</v>
      </c>
      <c r="B835" s="85">
        <v>8021012</v>
      </c>
      <c r="C835" s="83"/>
      <c r="D835" s="86" t="s">
        <v>115</v>
      </c>
      <c r="E835" s="86">
        <v>1</v>
      </c>
      <c r="F835" s="86">
        <v>5</v>
      </c>
      <c r="G835" s="86" t="s">
        <v>115</v>
      </c>
      <c r="H835" s="86" t="s">
        <v>7307</v>
      </c>
      <c r="I835" s="86" t="s">
        <v>115</v>
      </c>
      <c r="J835" s="86">
        <v>20</v>
      </c>
      <c r="K835" s="86">
        <v>32000</v>
      </c>
      <c r="L835" s="86">
        <v>8021013</v>
      </c>
      <c r="M835" s="83"/>
      <c r="N835" s="83"/>
      <c r="O835" s="83"/>
      <c r="P835" s="86">
        <v>200112</v>
      </c>
      <c r="Q835" s="85">
        <v>371</v>
      </c>
      <c r="R835" s="86">
        <v>15994</v>
      </c>
      <c r="S835" s="83"/>
      <c r="T835" s="83"/>
      <c r="U835" s="83"/>
    </row>
    <row r="836" spans="1:21" x14ac:dyDescent="0.15">
      <c r="A836" s="86" t="s">
        <v>1</v>
      </c>
      <c r="B836" s="86">
        <v>8021013</v>
      </c>
      <c r="C836" s="86" t="s">
        <v>115</v>
      </c>
      <c r="D836" s="83"/>
      <c r="E836" s="86">
        <v>2</v>
      </c>
      <c r="F836" s="86">
        <v>5</v>
      </c>
      <c r="G836" s="83"/>
      <c r="H836" s="86" t="s">
        <v>7307</v>
      </c>
      <c r="I836" s="83"/>
      <c r="J836" s="83"/>
      <c r="K836" s="86">
        <v>32000</v>
      </c>
      <c r="L836" s="86">
        <v>0</v>
      </c>
      <c r="M836" s="83"/>
      <c r="N836" s="86">
        <v>200115</v>
      </c>
      <c r="O836" s="86">
        <v>200116</v>
      </c>
      <c r="P836" s="86">
        <v>200113</v>
      </c>
      <c r="Q836" s="85">
        <v>371</v>
      </c>
      <c r="R836" s="86">
        <v>12721</v>
      </c>
      <c r="S836" s="87"/>
      <c r="T836" s="87"/>
      <c r="U836" s="87"/>
    </row>
    <row r="837" spans="1:21" x14ac:dyDescent="0.15">
      <c r="A837" s="86" t="s">
        <v>1</v>
      </c>
      <c r="B837" s="85">
        <v>8021111</v>
      </c>
      <c r="C837" s="86" t="s">
        <v>115</v>
      </c>
      <c r="D837" s="86">
        <v>3</v>
      </c>
      <c r="E837" s="86" t="s">
        <v>115</v>
      </c>
      <c r="F837" s="86" t="s">
        <v>115</v>
      </c>
      <c r="G837" s="86" t="s">
        <v>115</v>
      </c>
      <c r="H837" s="86" t="s">
        <v>7307</v>
      </c>
      <c r="I837" s="86" t="s">
        <v>115</v>
      </c>
      <c r="J837" s="86" t="s">
        <v>115</v>
      </c>
      <c r="K837" s="86">
        <v>33000</v>
      </c>
      <c r="L837" s="86">
        <v>8021112</v>
      </c>
      <c r="M837" s="83"/>
      <c r="N837" s="86" t="s">
        <v>115</v>
      </c>
      <c r="O837" s="86" t="s">
        <v>115</v>
      </c>
      <c r="P837" s="86">
        <v>200111</v>
      </c>
      <c r="Q837" s="85">
        <v>371</v>
      </c>
      <c r="R837" s="86">
        <v>4380</v>
      </c>
      <c r="S837" s="87"/>
      <c r="T837" s="87"/>
      <c r="U837" s="87"/>
    </row>
    <row r="838" spans="1:21" x14ac:dyDescent="0.15">
      <c r="A838" s="86" t="s">
        <v>1</v>
      </c>
      <c r="B838" s="86">
        <v>8021112</v>
      </c>
      <c r="C838" s="86" t="s">
        <v>115</v>
      </c>
      <c r="D838" s="86" t="s">
        <v>115</v>
      </c>
      <c r="E838" s="86">
        <v>1</v>
      </c>
      <c r="F838" s="86">
        <v>5</v>
      </c>
      <c r="G838" s="86" t="s">
        <v>115</v>
      </c>
      <c r="H838" s="86" t="s">
        <v>7307</v>
      </c>
      <c r="I838" s="86" t="s">
        <v>115</v>
      </c>
      <c r="J838" s="86">
        <v>20</v>
      </c>
      <c r="K838" s="86">
        <v>33000</v>
      </c>
      <c r="L838" s="86">
        <v>8021113</v>
      </c>
      <c r="M838" s="83"/>
      <c r="N838" s="83"/>
      <c r="O838" s="83"/>
      <c r="P838" s="86">
        <v>200112</v>
      </c>
      <c r="Q838" s="85">
        <v>371</v>
      </c>
      <c r="R838" s="86">
        <v>16756</v>
      </c>
      <c r="S838" s="87"/>
      <c r="T838" s="87"/>
      <c r="U838" s="87"/>
    </row>
    <row r="839" spans="1:21" x14ac:dyDescent="0.15">
      <c r="A839" s="86" t="s">
        <v>1</v>
      </c>
      <c r="B839" s="85">
        <v>8021113</v>
      </c>
      <c r="C839" s="83"/>
      <c r="D839" s="83"/>
      <c r="E839" s="86">
        <v>2</v>
      </c>
      <c r="F839" s="86">
        <v>5</v>
      </c>
      <c r="G839" s="83"/>
      <c r="H839" s="86" t="s">
        <v>7307</v>
      </c>
      <c r="I839" s="83"/>
      <c r="J839" s="83"/>
      <c r="K839" s="86">
        <v>33000</v>
      </c>
      <c r="L839" s="86">
        <v>0</v>
      </c>
      <c r="M839" s="83"/>
      <c r="N839" s="86">
        <v>200115</v>
      </c>
      <c r="O839" s="86">
        <v>200116</v>
      </c>
      <c r="P839" s="86">
        <v>200113</v>
      </c>
      <c r="Q839" s="85">
        <v>371</v>
      </c>
      <c r="R839" s="86">
        <v>13022</v>
      </c>
      <c r="S839" s="87"/>
      <c r="T839" s="87"/>
      <c r="U839" s="87"/>
    </row>
    <row r="840" spans="1:21" x14ac:dyDescent="0.15">
      <c r="A840" s="86" t="s">
        <v>1</v>
      </c>
      <c r="B840" s="86">
        <v>8021211</v>
      </c>
      <c r="C840" s="86" t="s">
        <v>115</v>
      </c>
      <c r="D840" s="86">
        <v>3</v>
      </c>
      <c r="E840" s="86" t="s">
        <v>115</v>
      </c>
      <c r="F840" s="86" t="s">
        <v>115</v>
      </c>
      <c r="G840" s="86" t="s">
        <v>115</v>
      </c>
      <c r="H840" s="86" t="s">
        <v>7307</v>
      </c>
      <c r="I840" s="86" t="s">
        <v>115</v>
      </c>
      <c r="J840" s="86" t="s">
        <v>115</v>
      </c>
      <c r="K840" s="86">
        <v>35000</v>
      </c>
      <c r="L840" s="86">
        <v>8021212</v>
      </c>
      <c r="M840" s="83"/>
      <c r="N840" s="86" t="s">
        <v>115</v>
      </c>
      <c r="O840" s="86" t="s">
        <v>115</v>
      </c>
      <c r="P840" s="86">
        <v>200111</v>
      </c>
      <c r="Q840" s="85">
        <v>371</v>
      </c>
      <c r="R840" s="86">
        <v>4380</v>
      </c>
      <c r="S840" s="87"/>
      <c r="T840" s="87"/>
      <c r="U840" s="87"/>
    </row>
    <row r="841" spans="1:21" x14ac:dyDescent="0.15">
      <c r="A841" s="86" t="s">
        <v>1</v>
      </c>
      <c r="B841" s="85">
        <v>8021212</v>
      </c>
      <c r="C841" s="86" t="s">
        <v>115</v>
      </c>
      <c r="D841" s="86" t="s">
        <v>115</v>
      </c>
      <c r="E841" s="86">
        <v>1</v>
      </c>
      <c r="F841" s="86">
        <v>5</v>
      </c>
      <c r="G841" s="86" t="s">
        <v>115</v>
      </c>
      <c r="H841" s="86" t="s">
        <v>7307</v>
      </c>
      <c r="I841" s="86" t="s">
        <v>115</v>
      </c>
      <c r="J841" s="86">
        <v>20</v>
      </c>
      <c r="K841" s="86">
        <v>35000</v>
      </c>
      <c r="L841" s="86">
        <v>8021213</v>
      </c>
      <c r="M841" s="83"/>
      <c r="N841" s="83"/>
      <c r="O841" s="83"/>
      <c r="P841" s="86">
        <v>200112</v>
      </c>
      <c r="Q841" s="85">
        <v>371</v>
      </c>
      <c r="R841" s="86">
        <v>16756</v>
      </c>
      <c r="S841" s="87"/>
      <c r="T841" s="87"/>
      <c r="U841" s="87"/>
    </row>
    <row r="842" spans="1:21" x14ac:dyDescent="0.15">
      <c r="A842" s="86" t="s">
        <v>1</v>
      </c>
      <c r="B842" s="86">
        <v>8021213</v>
      </c>
      <c r="C842" s="86" t="s">
        <v>115</v>
      </c>
      <c r="D842" s="83"/>
      <c r="E842" s="86">
        <v>2</v>
      </c>
      <c r="F842" s="86">
        <v>5</v>
      </c>
      <c r="G842" s="83"/>
      <c r="H842" s="86" t="s">
        <v>7307</v>
      </c>
      <c r="I842" s="83"/>
      <c r="J842" s="83"/>
      <c r="K842" s="86">
        <v>35000</v>
      </c>
      <c r="L842" s="86">
        <v>0</v>
      </c>
      <c r="M842" s="83"/>
      <c r="N842" s="86">
        <v>200115</v>
      </c>
      <c r="O842" s="86">
        <v>200116</v>
      </c>
      <c r="P842" s="86">
        <v>200113</v>
      </c>
      <c r="Q842" s="85">
        <v>371</v>
      </c>
      <c r="R842" s="86">
        <v>16069</v>
      </c>
      <c r="S842" s="87"/>
      <c r="T842" s="87"/>
      <c r="U842" s="87"/>
    </row>
    <row r="843" spans="1:21" x14ac:dyDescent="0.15">
      <c r="A843" s="86" t="s">
        <v>1</v>
      </c>
      <c r="B843" s="85">
        <v>8021311</v>
      </c>
      <c r="C843" s="83"/>
      <c r="D843" s="86">
        <v>3</v>
      </c>
      <c r="E843" s="86" t="s">
        <v>115</v>
      </c>
      <c r="F843" s="86" t="s">
        <v>115</v>
      </c>
      <c r="G843" s="86" t="s">
        <v>115</v>
      </c>
      <c r="H843" s="86" t="s">
        <v>7307</v>
      </c>
      <c r="I843" s="86" t="s">
        <v>115</v>
      </c>
      <c r="J843" s="86" t="s">
        <v>115</v>
      </c>
      <c r="K843" s="86">
        <v>36000</v>
      </c>
      <c r="L843" s="86">
        <v>8021312</v>
      </c>
      <c r="M843" s="83"/>
      <c r="N843" s="86" t="s">
        <v>115</v>
      </c>
      <c r="O843" s="86" t="s">
        <v>115</v>
      </c>
      <c r="P843" s="86">
        <v>200111</v>
      </c>
      <c r="Q843" s="85">
        <v>371</v>
      </c>
      <c r="R843" s="86">
        <v>4380</v>
      </c>
      <c r="S843" s="87"/>
      <c r="T843" s="87"/>
      <c r="U843" s="87"/>
    </row>
    <row r="844" spans="1:21" x14ac:dyDescent="0.15">
      <c r="A844" s="86" t="s">
        <v>1</v>
      </c>
      <c r="B844" s="86">
        <v>8021312</v>
      </c>
      <c r="C844" s="86" t="s">
        <v>115</v>
      </c>
      <c r="D844" s="86" t="s">
        <v>115</v>
      </c>
      <c r="E844" s="86">
        <v>1</v>
      </c>
      <c r="F844" s="86">
        <v>5</v>
      </c>
      <c r="G844" s="86" t="s">
        <v>115</v>
      </c>
      <c r="H844" s="86" t="s">
        <v>7307</v>
      </c>
      <c r="I844" s="86" t="s">
        <v>115</v>
      </c>
      <c r="J844" s="86">
        <v>20</v>
      </c>
      <c r="K844" s="86">
        <v>36000</v>
      </c>
      <c r="L844" s="86">
        <v>8021313</v>
      </c>
      <c r="M844" s="83"/>
      <c r="N844" s="83"/>
      <c r="O844" s="83"/>
      <c r="P844" s="86">
        <v>200112</v>
      </c>
      <c r="Q844" s="85">
        <v>371</v>
      </c>
      <c r="R844" s="86">
        <v>16756</v>
      </c>
      <c r="S844" s="87"/>
      <c r="T844" s="87"/>
      <c r="U844" s="87"/>
    </row>
    <row r="845" spans="1:21" x14ac:dyDescent="0.15">
      <c r="A845" s="86" t="s">
        <v>1</v>
      </c>
      <c r="B845" s="85">
        <v>8021313</v>
      </c>
      <c r="C845" s="86" t="s">
        <v>115</v>
      </c>
      <c r="D845" s="83"/>
      <c r="E845" s="86">
        <v>2</v>
      </c>
      <c r="F845" s="86">
        <v>5</v>
      </c>
      <c r="G845" s="83"/>
      <c r="H845" s="86" t="s">
        <v>7307</v>
      </c>
      <c r="I845" s="83"/>
      <c r="J845" s="83"/>
      <c r="K845" s="86">
        <v>36000</v>
      </c>
      <c r="L845" s="86">
        <v>0</v>
      </c>
      <c r="M845" s="83"/>
      <c r="N845" s="86">
        <v>200115</v>
      </c>
      <c r="O845" s="86">
        <v>200116</v>
      </c>
      <c r="P845" s="86">
        <v>200113</v>
      </c>
      <c r="Q845" s="85">
        <v>371</v>
      </c>
      <c r="R845" s="86">
        <v>16479</v>
      </c>
      <c r="S845" s="87"/>
      <c r="T845" s="87"/>
      <c r="U845" s="87"/>
    </row>
    <row r="846" spans="1:21" x14ac:dyDescent="0.15">
      <c r="A846" s="86" t="s">
        <v>1</v>
      </c>
      <c r="B846" s="86">
        <v>8021411</v>
      </c>
      <c r="C846" s="86" t="s">
        <v>115</v>
      </c>
      <c r="D846" s="86">
        <v>3</v>
      </c>
      <c r="E846" s="86" t="s">
        <v>115</v>
      </c>
      <c r="F846" s="86" t="s">
        <v>115</v>
      </c>
      <c r="G846" s="86" t="s">
        <v>115</v>
      </c>
      <c r="H846" s="86" t="s">
        <v>7307</v>
      </c>
      <c r="I846" s="86" t="s">
        <v>115</v>
      </c>
      <c r="J846" s="86" t="s">
        <v>115</v>
      </c>
      <c r="K846" s="86">
        <v>37000</v>
      </c>
      <c r="L846" s="86">
        <v>8021412</v>
      </c>
      <c r="M846" s="83"/>
      <c r="N846" s="86" t="s">
        <v>115</v>
      </c>
      <c r="O846" s="86" t="s">
        <v>115</v>
      </c>
      <c r="P846" s="86">
        <v>200111</v>
      </c>
      <c r="Q846" s="85">
        <v>371</v>
      </c>
      <c r="R846" s="86">
        <v>4380</v>
      </c>
      <c r="S846" s="87"/>
      <c r="T846" s="87"/>
      <c r="U846" s="87"/>
    </row>
    <row r="847" spans="1:21" x14ac:dyDescent="0.15">
      <c r="A847" s="86" t="s">
        <v>1</v>
      </c>
      <c r="B847" s="85">
        <v>8021412</v>
      </c>
      <c r="C847" s="83"/>
      <c r="D847" s="86" t="s">
        <v>115</v>
      </c>
      <c r="E847" s="86">
        <v>1</v>
      </c>
      <c r="F847" s="86">
        <v>5</v>
      </c>
      <c r="G847" s="86" t="s">
        <v>115</v>
      </c>
      <c r="H847" s="86" t="s">
        <v>7307</v>
      </c>
      <c r="I847" s="86" t="s">
        <v>115</v>
      </c>
      <c r="J847" s="86">
        <v>20</v>
      </c>
      <c r="K847" s="86">
        <v>37000</v>
      </c>
      <c r="L847" s="86">
        <v>8021413</v>
      </c>
      <c r="M847" s="83"/>
      <c r="N847" s="83"/>
      <c r="O847" s="83"/>
      <c r="P847" s="86">
        <v>200112</v>
      </c>
      <c r="Q847" s="85">
        <v>371</v>
      </c>
      <c r="R847" s="86">
        <v>16756</v>
      </c>
      <c r="S847" s="87"/>
      <c r="T847" s="87"/>
      <c r="U847" s="87"/>
    </row>
    <row r="848" spans="1:21" x14ac:dyDescent="0.15">
      <c r="A848" s="86" t="s">
        <v>1</v>
      </c>
      <c r="B848" s="86">
        <v>8021413</v>
      </c>
      <c r="C848" s="86" t="s">
        <v>115</v>
      </c>
      <c r="D848" s="83"/>
      <c r="E848" s="86">
        <v>2</v>
      </c>
      <c r="F848" s="86">
        <v>5</v>
      </c>
      <c r="G848" s="83"/>
      <c r="H848" s="86" t="s">
        <v>7307</v>
      </c>
      <c r="I848" s="83"/>
      <c r="J848" s="83"/>
      <c r="K848" s="86">
        <v>37000</v>
      </c>
      <c r="L848" s="86">
        <v>0</v>
      </c>
      <c r="M848" s="83"/>
      <c r="N848" s="86">
        <v>200115</v>
      </c>
      <c r="O848" s="86">
        <v>200116</v>
      </c>
      <c r="P848" s="86">
        <v>200113</v>
      </c>
      <c r="Q848" s="85">
        <v>371</v>
      </c>
      <c r="R848" s="86">
        <v>17734</v>
      </c>
      <c r="S848" s="87"/>
      <c r="T848" s="87"/>
      <c r="U848" s="87"/>
    </row>
    <row r="849" spans="1:21" x14ac:dyDescent="0.15">
      <c r="A849" s="86" t="s">
        <v>1</v>
      </c>
      <c r="B849" s="85">
        <v>8021511</v>
      </c>
      <c r="C849" s="86" t="s">
        <v>115</v>
      </c>
      <c r="D849" s="86">
        <v>3</v>
      </c>
      <c r="E849" s="86" t="s">
        <v>115</v>
      </c>
      <c r="F849" s="86" t="s">
        <v>115</v>
      </c>
      <c r="G849" s="86" t="s">
        <v>115</v>
      </c>
      <c r="H849" s="86" t="s">
        <v>7307</v>
      </c>
      <c r="I849" s="86" t="s">
        <v>115</v>
      </c>
      <c r="J849" s="86" t="s">
        <v>115</v>
      </c>
      <c r="K849" s="86">
        <v>39000</v>
      </c>
      <c r="L849" s="86">
        <v>8021512</v>
      </c>
      <c r="M849" s="83"/>
      <c r="N849" s="86" t="s">
        <v>115</v>
      </c>
      <c r="O849" s="86" t="s">
        <v>115</v>
      </c>
      <c r="P849" s="86">
        <v>200111</v>
      </c>
      <c r="Q849" s="85">
        <v>371</v>
      </c>
      <c r="R849" s="86">
        <v>4620</v>
      </c>
      <c r="S849" s="87"/>
      <c r="T849" s="87"/>
      <c r="U849" s="87"/>
    </row>
    <row r="850" spans="1:21" x14ac:dyDescent="0.15">
      <c r="A850" s="86" t="s">
        <v>1</v>
      </c>
      <c r="B850" s="86">
        <v>8021512</v>
      </c>
      <c r="C850" s="86" t="s">
        <v>115</v>
      </c>
      <c r="D850" s="86" t="s">
        <v>115</v>
      </c>
      <c r="E850" s="86">
        <v>1</v>
      </c>
      <c r="F850" s="86">
        <v>5</v>
      </c>
      <c r="G850" s="86" t="s">
        <v>115</v>
      </c>
      <c r="H850" s="86" t="s">
        <v>7307</v>
      </c>
      <c r="I850" s="86" t="s">
        <v>115</v>
      </c>
      <c r="J850" s="86">
        <v>20</v>
      </c>
      <c r="K850" s="86">
        <v>39000</v>
      </c>
      <c r="L850" s="86">
        <v>8021513</v>
      </c>
      <c r="M850" s="83"/>
      <c r="N850" s="83"/>
      <c r="O850" s="83"/>
      <c r="P850" s="86">
        <v>200112</v>
      </c>
      <c r="Q850" s="85">
        <v>371</v>
      </c>
      <c r="R850" s="86">
        <v>17140</v>
      </c>
      <c r="S850" s="87"/>
      <c r="T850" s="87"/>
      <c r="U850" s="87"/>
    </row>
    <row r="851" spans="1:21" x14ac:dyDescent="0.15">
      <c r="A851" s="86" t="s">
        <v>1</v>
      </c>
      <c r="B851" s="85">
        <v>8021513</v>
      </c>
      <c r="C851" s="83"/>
      <c r="D851" s="83"/>
      <c r="E851" s="86">
        <v>2</v>
      </c>
      <c r="F851" s="86">
        <v>5</v>
      </c>
      <c r="G851" s="83"/>
      <c r="H851" s="86" t="s">
        <v>7307</v>
      </c>
      <c r="I851" s="83"/>
      <c r="J851" s="83"/>
      <c r="K851" s="86">
        <v>39000</v>
      </c>
      <c r="L851" s="86">
        <v>0</v>
      </c>
      <c r="M851" s="83"/>
      <c r="N851" s="86">
        <v>200115</v>
      </c>
      <c r="O851" s="86">
        <v>200116</v>
      </c>
      <c r="P851" s="86">
        <v>200113</v>
      </c>
      <c r="Q851" s="85">
        <v>371</v>
      </c>
      <c r="R851" s="86">
        <v>18322</v>
      </c>
      <c r="S851" s="87"/>
      <c r="T851" s="87"/>
      <c r="U851" s="87"/>
    </row>
    <row r="852" spans="1:21" x14ac:dyDescent="0.15">
      <c r="A852" s="86" t="s">
        <v>1</v>
      </c>
      <c r="B852" s="86">
        <v>8021611</v>
      </c>
      <c r="C852" s="86" t="s">
        <v>115</v>
      </c>
      <c r="D852" s="86">
        <v>3</v>
      </c>
      <c r="E852" s="86" t="s">
        <v>115</v>
      </c>
      <c r="F852" s="86" t="s">
        <v>115</v>
      </c>
      <c r="G852" s="86" t="s">
        <v>115</v>
      </c>
      <c r="H852" s="86" t="s">
        <v>7307</v>
      </c>
      <c r="I852" s="86" t="s">
        <v>115</v>
      </c>
      <c r="J852" s="86" t="s">
        <v>115</v>
      </c>
      <c r="K852" s="86">
        <v>40000</v>
      </c>
      <c r="L852" s="86">
        <v>8021612</v>
      </c>
      <c r="M852" s="83"/>
      <c r="N852" s="86" t="s">
        <v>115</v>
      </c>
      <c r="O852" s="86" t="s">
        <v>115</v>
      </c>
      <c r="P852" s="86">
        <v>200111</v>
      </c>
      <c r="Q852" s="85">
        <v>371</v>
      </c>
      <c r="R852" s="86">
        <v>4620</v>
      </c>
      <c r="S852" s="87"/>
      <c r="T852" s="87"/>
      <c r="U852" s="87"/>
    </row>
    <row r="853" spans="1:21" x14ac:dyDescent="0.15">
      <c r="A853" s="86" t="s">
        <v>1</v>
      </c>
      <c r="B853" s="85">
        <v>8021612</v>
      </c>
      <c r="C853" s="86" t="s">
        <v>115</v>
      </c>
      <c r="D853" s="86" t="s">
        <v>115</v>
      </c>
      <c r="E853" s="86">
        <v>1</v>
      </c>
      <c r="F853" s="86">
        <v>5</v>
      </c>
      <c r="G853" s="86" t="s">
        <v>115</v>
      </c>
      <c r="H853" s="86" t="s">
        <v>7307</v>
      </c>
      <c r="I853" s="86" t="s">
        <v>115</v>
      </c>
      <c r="J853" s="86">
        <v>20</v>
      </c>
      <c r="K853" s="86">
        <v>40000</v>
      </c>
      <c r="L853" s="86">
        <v>8021613</v>
      </c>
      <c r="M853" s="83"/>
      <c r="N853" s="83"/>
      <c r="O853" s="83"/>
      <c r="P853" s="86">
        <v>200112</v>
      </c>
      <c r="Q853" s="85">
        <v>371</v>
      </c>
      <c r="R853" s="86">
        <v>17519</v>
      </c>
      <c r="S853" s="87"/>
      <c r="T853" s="87"/>
      <c r="U853" s="87"/>
    </row>
    <row r="854" spans="1:21" x14ac:dyDescent="0.15">
      <c r="A854" s="86" t="s">
        <v>1</v>
      </c>
      <c r="B854" s="86">
        <v>8021613</v>
      </c>
      <c r="C854" s="86" t="s">
        <v>115</v>
      </c>
      <c r="D854" s="83"/>
      <c r="E854" s="86">
        <v>2</v>
      </c>
      <c r="F854" s="86">
        <v>5</v>
      </c>
      <c r="G854" s="83"/>
      <c r="H854" s="86" t="s">
        <v>7307</v>
      </c>
      <c r="I854" s="83"/>
      <c r="J854" s="83"/>
      <c r="K854" s="86">
        <v>40000</v>
      </c>
      <c r="L854" s="86">
        <v>0</v>
      </c>
      <c r="M854" s="83"/>
      <c r="N854" s="86">
        <v>200115</v>
      </c>
      <c r="O854" s="86">
        <v>200116</v>
      </c>
      <c r="P854" s="86">
        <v>200113</v>
      </c>
      <c r="Q854" s="85">
        <v>371</v>
      </c>
      <c r="R854" s="86">
        <v>18904</v>
      </c>
      <c r="S854" s="87"/>
      <c r="T854" s="87"/>
      <c r="U854" s="87"/>
    </row>
    <row r="855" spans="1:21" x14ac:dyDescent="0.15">
      <c r="A855" s="86" t="s">
        <v>1</v>
      </c>
      <c r="B855" s="85">
        <v>8021711</v>
      </c>
      <c r="C855" s="83"/>
      <c r="D855" s="86">
        <v>3</v>
      </c>
      <c r="E855" s="86" t="s">
        <v>115</v>
      </c>
      <c r="F855" s="86" t="s">
        <v>115</v>
      </c>
      <c r="G855" s="86" t="s">
        <v>115</v>
      </c>
      <c r="H855" s="86" t="s">
        <v>7307</v>
      </c>
      <c r="I855" s="86" t="s">
        <v>115</v>
      </c>
      <c r="J855" s="86" t="s">
        <v>115</v>
      </c>
      <c r="K855" s="86">
        <v>41000</v>
      </c>
      <c r="L855" s="86">
        <v>8021712</v>
      </c>
      <c r="M855" s="83"/>
      <c r="N855" s="86" t="s">
        <v>115</v>
      </c>
      <c r="O855" s="86" t="s">
        <v>115</v>
      </c>
      <c r="P855" s="86">
        <v>200111</v>
      </c>
      <c r="Q855" s="85">
        <v>371</v>
      </c>
      <c r="R855" s="86">
        <v>4770</v>
      </c>
      <c r="S855" s="87"/>
      <c r="T855" s="87"/>
      <c r="U855" s="87"/>
    </row>
    <row r="856" spans="1:21" x14ac:dyDescent="0.15">
      <c r="A856" s="86" t="s">
        <v>1</v>
      </c>
      <c r="B856" s="86">
        <v>8021712</v>
      </c>
      <c r="C856" s="86" t="s">
        <v>115</v>
      </c>
      <c r="D856" s="86" t="s">
        <v>115</v>
      </c>
      <c r="E856" s="86">
        <v>1</v>
      </c>
      <c r="F856" s="86">
        <v>5</v>
      </c>
      <c r="G856" s="86" t="s">
        <v>115</v>
      </c>
      <c r="H856" s="86" t="s">
        <v>7307</v>
      </c>
      <c r="I856" s="86" t="s">
        <v>115</v>
      </c>
      <c r="J856" s="86">
        <v>20</v>
      </c>
      <c r="K856" s="86">
        <v>41000</v>
      </c>
      <c r="L856" s="86">
        <v>8021713</v>
      </c>
      <c r="M856" s="83"/>
      <c r="N856" s="83"/>
      <c r="O856" s="83"/>
      <c r="P856" s="86">
        <v>200112</v>
      </c>
      <c r="Q856" s="85">
        <v>371</v>
      </c>
      <c r="R856" s="86">
        <v>19573</v>
      </c>
      <c r="S856" s="87"/>
      <c r="T856" s="87"/>
      <c r="U856" s="87"/>
    </row>
    <row r="857" spans="1:21" x14ac:dyDescent="0.15">
      <c r="A857" s="86" t="s">
        <v>1</v>
      </c>
      <c r="B857" s="85">
        <v>8021713</v>
      </c>
      <c r="C857" s="86" t="s">
        <v>115</v>
      </c>
      <c r="D857" s="83"/>
      <c r="E857" s="86">
        <v>2</v>
      </c>
      <c r="F857" s="86">
        <v>5</v>
      </c>
      <c r="G857" s="83"/>
      <c r="H857" s="86" t="s">
        <v>7307</v>
      </c>
      <c r="I857" s="83"/>
      <c r="J857" s="83"/>
      <c r="K857" s="86">
        <v>41000</v>
      </c>
      <c r="L857" s="86">
        <v>0</v>
      </c>
      <c r="M857" s="83"/>
      <c r="N857" s="86">
        <v>200115</v>
      </c>
      <c r="O857" s="86">
        <v>200116</v>
      </c>
      <c r="P857" s="86">
        <v>200113</v>
      </c>
      <c r="Q857" s="85">
        <v>371</v>
      </c>
      <c r="R857" s="86">
        <v>19312</v>
      </c>
      <c r="S857" s="87"/>
      <c r="T857" s="87"/>
      <c r="U857" s="87"/>
    </row>
    <row r="858" spans="1:21" x14ac:dyDescent="0.15">
      <c r="A858" s="86" t="s">
        <v>1</v>
      </c>
      <c r="B858" s="86">
        <v>8021811</v>
      </c>
      <c r="C858" s="86" t="s">
        <v>115</v>
      </c>
      <c r="D858" s="86">
        <v>3</v>
      </c>
      <c r="E858" s="86" t="s">
        <v>115</v>
      </c>
      <c r="F858" s="86" t="s">
        <v>115</v>
      </c>
      <c r="G858" s="86" t="s">
        <v>115</v>
      </c>
      <c r="H858" s="86" t="s">
        <v>7307</v>
      </c>
      <c r="I858" s="86" t="s">
        <v>115</v>
      </c>
      <c r="J858" s="86" t="s">
        <v>115</v>
      </c>
      <c r="K858" s="86">
        <v>42000</v>
      </c>
      <c r="L858" s="86">
        <v>8021812</v>
      </c>
      <c r="M858" s="83"/>
      <c r="N858" s="86" t="s">
        <v>115</v>
      </c>
      <c r="O858" s="86" t="s">
        <v>115</v>
      </c>
      <c r="P858" s="86">
        <v>200111</v>
      </c>
      <c r="Q858" s="85">
        <v>371</v>
      </c>
      <c r="R858" s="86">
        <v>4770</v>
      </c>
      <c r="S858" s="87"/>
      <c r="T858" s="87"/>
      <c r="U858" s="87"/>
    </row>
    <row r="859" spans="1:21" x14ac:dyDescent="0.15">
      <c r="A859" s="86" t="s">
        <v>1</v>
      </c>
      <c r="B859" s="85">
        <v>8021812</v>
      </c>
      <c r="C859" s="83"/>
      <c r="D859" s="86" t="s">
        <v>115</v>
      </c>
      <c r="E859" s="86">
        <v>1</v>
      </c>
      <c r="F859" s="86">
        <v>5</v>
      </c>
      <c r="G859" s="86" t="s">
        <v>115</v>
      </c>
      <c r="H859" s="86" t="s">
        <v>7307</v>
      </c>
      <c r="I859" s="86" t="s">
        <v>115</v>
      </c>
      <c r="J859" s="86">
        <v>20</v>
      </c>
      <c r="K859" s="86">
        <v>42000</v>
      </c>
      <c r="L859" s="86">
        <v>8021813</v>
      </c>
      <c r="M859" s="83"/>
      <c r="N859" s="83"/>
      <c r="O859" s="83"/>
      <c r="P859" s="86">
        <v>200112</v>
      </c>
      <c r="Q859" s="85">
        <v>371</v>
      </c>
      <c r="R859" s="86">
        <v>20571</v>
      </c>
      <c r="S859" s="87"/>
      <c r="T859" s="87"/>
      <c r="U859" s="87"/>
    </row>
    <row r="860" spans="1:21" x14ac:dyDescent="0.15">
      <c r="A860" s="86" t="s">
        <v>1</v>
      </c>
      <c r="B860" s="86">
        <v>8021813</v>
      </c>
      <c r="C860" s="86" t="s">
        <v>115</v>
      </c>
      <c r="D860" s="83"/>
      <c r="E860" s="86">
        <v>2</v>
      </c>
      <c r="F860" s="86">
        <v>5</v>
      </c>
      <c r="G860" s="83"/>
      <c r="H860" s="86" t="s">
        <v>7307</v>
      </c>
      <c r="I860" s="83"/>
      <c r="J860" s="83"/>
      <c r="K860" s="86">
        <v>42000</v>
      </c>
      <c r="L860" s="86">
        <v>0</v>
      </c>
      <c r="M860" s="83"/>
      <c r="N860" s="86">
        <v>200115</v>
      </c>
      <c r="O860" s="86">
        <v>200116</v>
      </c>
      <c r="P860" s="86">
        <v>200113</v>
      </c>
      <c r="Q860" s="85">
        <v>371</v>
      </c>
      <c r="R860" s="86">
        <v>19312</v>
      </c>
      <c r="S860" s="87"/>
      <c r="T860" s="87"/>
      <c r="U860" s="87"/>
    </row>
    <row r="861" spans="1:21" x14ac:dyDescent="0.15">
      <c r="A861" s="86" t="s">
        <v>1</v>
      </c>
      <c r="B861" s="85">
        <v>8021911</v>
      </c>
      <c r="C861" s="86" t="s">
        <v>115</v>
      </c>
      <c r="D861" s="86">
        <v>3</v>
      </c>
      <c r="E861" s="86" t="s">
        <v>115</v>
      </c>
      <c r="F861" s="86" t="s">
        <v>115</v>
      </c>
      <c r="G861" s="86" t="s">
        <v>115</v>
      </c>
      <c r="H861" s="86" t="s">
        <v>7307</v>
      </c>
      <c r="I861" s="86" t="s">
        <v>115</v>
      </c>
      <c r="J861" s="86" t="s">
        <v>115</v>
      </c>
      <c r="K861" s="86">
        <v>43000</v>
      </c>
      <c r="L861" s="86">
        <v>8021912</v>
      </c>
      <c r="M861" s="83"/>
      <c r="N861" s="86" t="s">
        <v>115</v>
      </c>
      <c r="O861" s="86" t="s">
        <v>115</v>
      </c>
      <c r="P861" s="86">
        <v>200111</v>
      </c>
      <c r="Q861" s="85">
        <v>371</v>
      </c>
      <c r="R861" s="86">
        <v>4890</v>
      </c>
      <c r="S861" s="87"/>
      <c r="T861" s="87"/>
      <c r="U861" s="87"/>
    </row>
    <row r="862" spans="1:21" x14ac:dyDescent="0.15">
      <c r="A862" s="86" t="s">
        <v>1</v>
      </c>
      <c r="B862" s="86">
        <v>8021912</v>
      </c>
      <c r="C862" s="86" t="s">
        <v>115</v>
      </c>
      <c r="D862" s="86" t="s">
        <v>115</v>
      </c>
      <c r="E862" s="86">
        <v>1</v>
      </c>
      <c r="F862" s="86">
        <v>5</v>
      </c>
      <c r="G862" s="86" t="s">
        <v>115</v>
      </c>
      <c r="H862" s="86" t="s">
        <v>7307</v>
      </c>
      <c r="I862" s="86" t="s">
        <v>115</v>
      </c>
      <c r="J862" s="86">
        <v>20</v>
      </c>
      <c r="K862" s="86">
        <v>43000</v>
      </c>
      <c r="L862" s="86">
        <v>8021913</v>
      </c>
      <c r="M862" s="83"/>
      <c r="N862" s="83"/>
      <c r="O862" s="83"/>
      <c r="P862" s="86">
        <v>200112</v>
      </c>
      <c r="Q862" s="85">
        <v>371</v>
      </c>
      <c r="R862" s="86">
        <v>20916</v>
      </c>
      <c r="S862" s="87"/>
      <c r="T862" s="87"/>
      <c r="U862" s="87"/>
    </row>
    <row r="863" spans="1:21" x14ac:dyDescent="0.15">
      <c r="A863" s="86" t="s">
        <v>1</v>
      </c>
      <c r="B863" s="85">
        <v>8021913</v>
      </c>
      <c r="C863" s="83"/>
      <c r="D863" s="83"/>
      <c r="E863" s="86">
        <v>2</v>
      </c>
      <c r="F863" s="86">
        <v>5</v>
      </c>
      <c r="G863" s="83"/>
      <c r="H863" s="86" t="s">
        <v>7307</v>
      </c>
      <c r="I863" s="83"/>
      <c r="J863" s="83"/>
      <c r="K863" s="86">
        <v>43000</v>
      </c>
      <c r="L863" s="86">
        <v>0</v>
      </c>
      <c r="M863" s="83"/>
      <c r="N863" s="86">
        <v>200115</v>
      </c>
      <c r="O863" s="86">
        <v>200116</v>
      </c>
      <c r="P863" s="86">
        <v>200113</v>
      </c>
      <c r="Q863" s="85">
        <v>371</v>
      </c>
      <c r="R863" s="86">
        <v>19312</v>
      </c>
      <c r="S863" s="87"/>
      <c r="T863" s="87"/>
      <c r="U863" s="87"/>
    </row>
    <row r="864" spans="1:21" x14ac:dyDescent="0.15">
      <c r="A864" s="86" t="s">
        <v>1</v>
      </c>
      <c r="B864" s="86">
        <v>8030111</v>
      </c>
      <c r="C864" s="86" t="s">
        <v>115</v>
      </c>
      <c r="D864" s="86">
        <v>3</v>
      </c>
      <c r="E864" s="86" t="s">
        <v>115</v>
      </c>
      <c r="F864" s="86" t="s">
        <v>115</v>
      </c>
      <c r="G864" s="86" t="s">
        <v>115</v>
      </c>
      <c r="H864" s="86" t="s">
        <v>7307</v>
      </c>
      <c r="I864" s="86" t="s">
        <v>115</v>
      </c>
      <c r="J864" s="86" t="s">
        <v>115</v>
      </c>
      <c r="K864" s="86">
        <v>43000</v>
      </c>
      <c r="L864" s="86">
        <v>8030112</v>
      </c>
      <c r="M864" s="83"/>
      <c r="N864" s="86" t="s">
        <v>115</v>
      </c>
      <c r="O864" s="86" t="s">
        <v>115</v>
      </c>
      <c r="P864" s="86">
        <v>200111</v>
      </c>
      <c r="Q864" s="85">
        <v>371</v>
      </c>
      <c r="R864" s="86">
        <v>4890</v>
      </c>
      <c r="S864" s="87"/>
      <c r="T864" s="87"/>
      <c r="U864" s="87"/>
    </row>
    <row r="865" spans="1:21" x14ac:dyDescent="0.15">
      <c r="A865" s="86" t="s">
        <v>1</v>
      </c>
      <c r="B865" s="86">
        <v>8030112</v>
      </c>
      <c r="C865" s="84" t="s">
        <v>115</v>
      </c>
      <c r="D865" s="86" t="s">
        <v>115</v>
      </c>
      <c r="E865" s="86">
        <v>1</v>
      </c>
      <c r="F865" s="86">
        <v>5</v>
      </c>
      <c r="G865" s="86" t="s">
        <v>115</v>
      </c>
      <c r="H865" s="86" t="s">
        <v>7307</v>
      </c>
      <c r="I865" s="86" t="s">
        <v>115</v>
      </c>
      <c r="J865" s="86">
        <v>20</v>
      </c>
      <c r="K865" s="86">
        <v>43000</v>
      </c>
      <c r="L865" s="86">
        <v>8030113</v>
      </c>
      <c r="M865" s="83"/>
      <c r="N865" s="83"/>
      <c r="O865" s="83"/>
      <c r="P865" s="86">
        <v>200112</v>
      </c>
      <c r="Q865" s="85">
        <v>371</v>
      </c>
      <c r="R865" s="86">
        <v>20916</v>
      </c>
      <c r="S865" s="87"/>
      <c r="T865" s="87"/>
      <c r="U865" s="87"/>
    </row>
    <row r="866" spans="1:21" x14ac:dyDescent="0.15">
      <c r="A866" s="86" t="s">
        <v>1</v>
      </c>
      <c r="B866" s="86">
        <v>8030113</v>
      </c>
      <c r="C866" s="84" t="s">
        <v>115</v>
      </c>
      <c r="D866" s="83"/>
      <c r="E866" s="86">
        <v>2</v>
      </c>
      <c r="F866" s="86">
        <v>5</v>
      </c>
      <c r="G866" s="83"/>
      <c r="H866" s="86" t="s">
        <v>7307</v>
      </c>
      <c r="I866" s="83"/>
      <c r="J866" s="83"/>
      <c r="K866" s="86">
        <v>43000</v>
      </c>
      <c r="L866" s="86">
        <v>0</v>
      </c>
      <c r="M866" s="83"/>
      <c r="N866" s="86">
        <v>200115</v>
      </c>
      <c r="O866" s="86">
        <v>200116</v>
      </c>
      <c r="P866" s="86">
        <v>200113</v>
      </c>
      <c r="Q866" s="85">
        <v>371</v>
      </c>
      <c r="R866" s="86">
        <v>19312</v>
      </c>
      <c r="S866" s="87"/>
      <c r="T866" s="87"/>
      <c r="U866" s="87"/>
    </row>
    <row r="867" spans="1:21" x14ac:dyDescent="0.15">
      <c r="A867" s="86" t="s">
        <v>1</v>
      </c>
      <c r="B867" s="86">
        <v>8030211</v>
      </c>
      <c r="C867" s="84"/>
      <c r="D867" s="86">
        <v>3</v>
      </c>
      <c r="E867" s="86" t="s">
        <v>115</v>
      </c>
      <c r="F867" s="86" t="s">
        <v>115</v>
      </c>
      <c r="G867" s="86" t="s">
        <v>115</v>
      </c>
      <c r="H867" s="86" t="s">
        <v>7307</v>
      </c>
      <c r="I867" s="86" t="s">
        <v>115</v>
      </c>
      <c r="J867" s="86" t="s">
        <v>115</v>
      </c>
      <c r="K867" s="86">
        <v>45000</v>
      </c>
      <c r="L867" s="86">
        <v>8030212</v>
      </c>
      <c r="M867" s="83"/>
      <c r="N867" s="86" t="s">
        <v>115</v>
      </c>
      <c r="O867" s="86" t="s">
        <v>115</v>
      </c>
      <c r="P867" s="86">
        <v>200111</v>
      </c>
      <c r="Q867" s="85">
        <v>371</v>
      </c>
      <c r="R867" s="86">
        <v>4890</v>
      </c>
      <c r="S867" s="87"/>
      <c r="T867" s="87"/>
      <c r="U867" s="87"/>
    </row>
    <row r="868" spans="1:21" x14ac:dyDescent="0.15">
      <c r="A868" s="86" t="s">
        <v>1</v>
      </c>
      <c r="B868" s="86">
        <v>8030212</v>
      </c>
      <c r="C868" s="84" t="s">
        <v>115</v>
      </c>
      <c r="D868" s="86" t="s">
        <v>115</v>
      </c>
      <c r="E868" s="86">
        <v>1</v>
      </c>
      <c r="F868" s="86">
        <v>5</v>
      </c>
      <c r="G868" s="86" t="s">
        <v>115</v>
      </c>
      <c r="H868" s="86" t="s">
        <v>7307</v>
      </c>
      <c r="I868" s="86" t="s">
        <v>115</v>
      </c>
      <c r="J868" s="86">
        <v>20</v>
      </c>
      <c r="K868" s="86">
        <v>45000</v>
      </c>
      <c r="L868" s="86">
        <v>8030213</v>
      </c>
      <c r="M868" s="83"/>
      <c r="N868" s="83"/>
      <c r="O868" s="83"/>
      <c r="P868" s="86">
        <v>200112</v>
      </c>
      <c r="Q868" s="85">
        <v>371</v>
      </c>
      <c r="R868" s="86">
        <v>21568</v>
      </c>
      <c r="S868" s="87"/>
      <c r="T868" s="87"/>
      <c r="U868" s="87"/>
    </row>
    <row r="869" spans="1:21" x14ac:dyDescent="0.15">
      <c r="A869" s="86" t="s">
        <v>1</v>
      </c>
      <c r="B869" s="85">
        <v>8030213</v>
      </c>
      <c r="C869" s="86" t="s">
        <v>115</v>
      </c>
      <c r="D869" s="83"/>
      <c r="E869" s="86">
        <v>2</v>
      </c>
      <c r="F869" s="86">
        <v>5</v>
      </c>
      <c r="G869" s="83"/>
      <c r="H869" s="86" t="s">
        <v>7307</v>
      </c>
      <c r="I869" s="83"/>
      <c r="J869" s="83"/>
      <c r="K869" s="86">
        <v>45000</v>
      </c>
      <c r="L869" s="86">
        <v>0</v>
      </c>
      <c r="M869" s="83"/>
      <c r="N869" s="86">
        <v>200115</v>
      </c>
      <c r="O869" s="86">
        <v>200116</v>
      </c>
      <c r="P869" s="86">
        <v>200113</v>
      </c>
      <c r="Q869" s="85">
        <v>371</v>
      </c>
      <c r="R869" s="86">
        <v>19312</v>
      </c>
      <c r="S869" s="87"/>
      <c r="T869" s="87"/>
      <c r="U869" s="87"/>
    </row>
    <row r="870" spans="1:21" x14ac:dyDescent="0.15">
      <c r="A870" s="86" t="s">
        <v>1</v>
      </c>
      <c r="B870" s="86">
        <v>8030311</v>
      </c>
      <c r="C870" s="86" t="s">
        <v>115</v>
      </c>
      <c r="D870" s="86">
        <v>3</v>
      </c>
      <c r="E870" s="86" t="s">
        <v>115</v>
      </c>
      <c r="F870" s="86" t="s">
        <v>115</v>
      </c>
      <c r="G870" s="86" t="s">
        <v>115</v>
      </c>
      <c r="H870" s="86" t="s">
        <v>7307</v>
      </c>
      <c r="I870" s="86" t="s">
        <v>115</v>
      </c>
      <c r="J870" s="86" t="s">
        <v>115</v>
      </c>
      <c r="K870" s="86">
        <v>46000</v>
      </c>
      <c r="L870" s="86">
        <v>8030312</v>
      </c>
      <c r="M870" s="83"/>
      <c r="N870" s="86" t="s">
        <v>115</v>
      </c>
      <c r="O870" s="86" t="s">
        <v>115</v>
      </c>
      <c r="P870" s="86">
        <v>200111</v>
      </c>
      <c r="Q870" s="85">
        <v>371</v>
      </c>
      <c r="R870" s="86">
        <v>4960</v>
      </c>
      <c r="S870" s="87"/>
      <c r="T870" s="87"/>
      <c r="U870" s="87"/>
    </row>
    <row r="871" spans="1:21" x14ac:dyDescent="0.15">
      <c r="A871" s="86" t="s">
        <v>1</v>
      </c>
      <c r="B871" s="85">
        <v>8030312</v>
      </c>
      <c r="C871" s="83"/>
      <c r="D871" s="86" t="s">
        <v>115</v>
      </c>
      <c r="E871" s="86">
        <v>1</v>
      </c>
      <c r="F871" s="86">
        <v>5</v>
      </c>
      <c r="G871" s="86" t="s">
        <v>115</v>
      </c>
      <c r="H871" s="86" t="s">
        <v>7307</v>
      </c>
      <c r="I871" s="86" t="s">
        <v>115</v>
      </c>
      <c r="J871" s="86">
        <v>20</v>
      </c>
      <c r="K871" s="86">
        <v>46000</v>
      </c>
      <c r="L871" s="86">
        <v>8030313</v>
      </c>
      <c r="M871" s="83"/>
      <c r="N871" s="83"/>
      <c r="O871" s="83"/>
      <c r="P871" s="86">
        <v>200112</v>
      </c>
      <c r="Q871" s="85">
        <v>371</v>
      </c>
      <c r="R871" s="86">
        <v>22568</v>
      </c>
      <c r="S871" s="87"/>
      <c r="T871" s="87"/>
      <c r="U871" s="87"/>
    </row>
    <row r="872" spans="1:21" x14ac:dyDescent="0.15">
      <c r="A872" s="86" t="s">
        <v>1</v>
      </c>
      <c r="B872" s="86">
        <v>8030313</v>
      </c>
      <c r="C872" s="86" t="s">
        <v>115</v>
      </c>
      <c r="D872" s="83"/>
      <c r="E872" s="86">
        <v>2</v>
      </c>
      <c r="F872" s="86">
        <v>5</v>
      </c>
      <c r="G872" s="83"/>
      <c r="H872" s="86" t="s">
        <v>7307</v>
      </c>
      <c r="I872" s="83"/>
      <c r="J872" s="83"/>
      <c r="K872" s="86">
        <v>46000</v>
      </c>
      <c r="L872" s="86">
        <v>0</v>
      </c>
      <c r="M872" s="83"/>
      <c r="N872" s="86">
        <v>200115</v>
      </c>
      <c r="O872" s="86">
        <v>200116</v>
      </c>
      <c r="P872" s="86">
        <v>200113</v>
      </c>
      <c r="Q872" s="85">
        <v>371</v>
      </c>
      <c r="R872" s="86">
        <v>19312</v>
      </c>
      <c r="S872" s="87"/>
      <c r="T872" s="87"/>
      <c r="U872" s="87"/>
    </row>
    <row r="873" spans="1:21" x14ac:dyDescent="0.15">
      <c r="A873" s="86" t="s">
        <v>1</v>
      </c>
      <c r="B873" s="85">
        <v>8030411</v>
      </c>
      <c r="C873" s="86" t="s">
        <v>115</v>
      </c>
      <c r="D873" s="86">
        <v>3</v>
      </c>
      <c r="E873" s="86" t="s">
        <v>115</v>
      </c>
      <c r="F873" s="86" t="s">
        <v>115</v>
      </c>
      <c r="G873" s="86" t="s">
        <v>115</v>
      </c>
      <c r="H873" s="86" t="s">
        <v>7307</v>
      </c>
      <c r="I873" s="86" t="s">
        <v>115</v>
      </c>
      <c r="J873" s="86" t="s">
        <v>115</v>
      </c>
      <c r="K873" s="86">
        <v>47000</v>
      </c>
      <c r="L873" s="86">
        <v>8030412</v>
      </c>
      <c r="M873" s="83"/>
      <c r="N873" s="86" t="s">
        <v>115</v>
      </c>
      <c r="O873" s="86" t="s">
        <v>115</v>
      </c>
      <c r="P873" s="86">
        <v>200111</v>
      </c>
      <c r="Q873" s="85">
        <v>371</v>
      </c>
      <c r="R873" s="86">
        <v>5010</v>
      </c>
      <c r="S873" s="87"/>
      <c r="T873" s="87"/>
      <c r="U873" s="87"/>
    </row>
    <row r="874" spans="1:21" x14ac:dyDescent="0.15">
      <c r="A874" s="86" t="s">
        <v>1</v>
      </c>
      <c r="B874" s="86">
        <v>8030412</v>
      </c>
      <c r="C874" s="86" t="s">
        <v>115</v>
      </c>
      <c r="D874" s="86" t="s">
        <v>115</v>
      </c>
      <c r="E874" s="86">
        <v>1</v>
      </c>
      <c r="F874" s="86">
        <v>5</v>
      </c>
      <c r="G874" s="86" t="s">
        <v>115</v>
      </c>
      <c r="H874" s="86" t="s">
        <v>7307</v>
      </c>
      <c r="I874" s="86" t="s">
        <v>115</v>
      </c>
      <c r="J874" s="86">
        <v>20</v>
      </c>
      <c r="K874" s="86">
        <v>47000</v>
      </c>
      <c r="L874" s="86">
        <v>8030413</v>
      </c>
      <c r="M874" s="83"/>
      <c r="N874" s="83"/>
      <c r="O874" s="83"/>
      <c r="P874" s="86">
        <v>200112</v>
      </c>
      <c r="Q874" s="85">
        <v>371</v>
      </c>
      <c r="R874" s="86">
        <v>23905</v>
      </c>
      <c r="S874" s="87"/>
      <c r="T874" s="87"/>
      <c r="U874" s="87"/>
    </row>
    <row r="875" spans="1:21" x14ac:dyDescent="0.15">
      <c r="A875" s="86" t="s">
        <v>1</v>
      </c>
      <c r="B875" s="85">
        <v>8030413</v>
      </c>
      <c r="C875" s="83"/>
      <c r="D875" s="83"/>
      <c r="E875" s="86">
        <v>2</v>
      </c>
      <c r="F875" s="86">
        <v>5</v>
      </c>
      <c r="G875" s="83"/>
      <c r="H875" s="86" t="s">
        <v>7307</v>
      </c>
      <c r="I875" s="83"/>
      <c r="J875" s="83"/>
      <c r="K875" s="86">
        <v>47000</v>
      </c>
      <c r="L875" s="86">
        <v>0</v>
      </c>
      <c r="M875" s="83"/>
      <c r="N875" s="86">
        <v>200115</v>
      </c>
      <c r="O875" s="86">
        <v>200116</v>
      </c>
      <c r="P875" s="86">
        <v>200113</v>
      </c>
      <c r="Q875" s="85">
        <v>371</v>
      </c>
      <c r="R875" s="86">
        <v>19718</v>
      </c>
      <c r="S875" s="87"/>
      <c r="T875" s="87"/>
      <c r="U875" s="87"/>
    </row>
    <row r="876" spans="1:21" x14ac:dyDescent="0.15">
      <c r="A876" s="86" t="s">
        <v>1</v>
      </c>
      <c r="B876" s="86">
        <v>8030511</v>
      </c>
      <c r="C876" s="86" t="s">
        <v>115</v>
      </c>
      <c r="D876" s="86">
        <v>3</v>
      </c>
      <c r="E876" s="86" t="s">
        <v>115</v>
      </c>
      <c r="F876" s="86" t="s">
        <v>115</v>
      </c>
      <c r="G876" s="86" t="s">
        <v>115</v>
      </c>
      <c r="H876" s="86" t="s">
        <v>7307</v>
      </c>
      <c r="I876" s="86" t="s">
        <v>115</v>
      </c>
      <c r="J876" s="86" t="s">
        <v>115</v>
      </c>
      <c r="K876" s="86">
        <v>48000</v>
      </c>
      <c r="L876" s="86">
        <v>8030512</v>
      </c>
      <c r="M876" s="83"/>
      <c r="N876" s="86" t="s">
        <v>115</v>
      </c>
      <c r="O876" s="86" t="s">
        <v>115</v>
      </c>
      <c r="P876" s="86">
        <v>200111</v>
      </c>
      <c r="Q876" s="85">
        <v>371</v>
      </c>
      <c r="R876" s="86">
        <v>5010</v>
      </c>
      <c r="S876" s="87"/>
      <c r="T876" s="87"/>
      <c r="U876" s="87"/>
    </row>
    <row r="877" spans="1:21" x14ac:dyDescent="0.15">
      <c r="A877" s="86" t="s">
        <v>1</v>
      </c>
      <c r="B877" s="85">
        <v>8030512</v>
      </c>
      <c r="C877" s="86" t="s">
        <v>115</v>
      </c>
      <c r="D877" s="86" t="s">
        <v>115</v>
      </c>
      <c r="E877" s="86">
        <v>1</v>
      </c>
      <c r="F877" s="86">
        <v>5</v>
      </c>
      <c r="G877" s="86" t="s">
        <v>115</v>
      </c>
      <c r="H877" s="86" t="s">
        <v>7307</v>
      </c>
      <c r="I877" s="86" t="s">
        <v>115</v>
      </c>
      <c r="J877" s="86">
        <v>20</v>
      </c>
      <c r="K877" s="86">
        <v>48000</v>
      </c>
      <c r="L877" s="86">
        <v>8030513</v>
      </c>
      <c r="M877" s="83"/>
      <c r="N877" s="83"/>
      <c r="O877" s="83"/>
      <c r="P877" s="86">
        <v>200112</v>
      </c>
      <c r="Q877" s="85">
        <v>371</v>
      </c>
      <c r="R877" s="86">
        <v>23905</v>
      </c>
      <c r="S877" s="87"/>
      <c r="T877" s="87"/>
      <c r="U877" s="87"/>
    </row>
    <row r="878" spans="1:21" x14ac:dyDescent="0.15">
      <c r="A878" s="86" t="s">
        <v>1</v>
      </c>
      <c r="B878" s="86">
        <v>8030513</v>
      </c>
      <c r="C878" s="86" t="s">
        <v>115</v>
      </c>
      <c r="D878" s="83"/>
      <c r="E878" s="86">
        <v>2</v>
      </c>
      <c r="F878" s="86">
        <v>5</v>
      </c>
      <c r="G878" s="83"/>
      <c r="H878" s="86" t="s">
        <v>7307</v>
      </c>
      <c r="I878" s="83"/>
      <c r="J878" s="83"/>
      <c r="K878" s="86">
        <v>48000</v>
      </c>
      <c r="L878" s="86">
        <v>0</v>
      </c>
      <c r="M878" s="83"/>
      <c r="N878" s="86">
        <v>200115</v>
      </c>
      <c r="O878" s="86">
        <v>200116</v>
      </c>
      <c r="P878" s="86">
        <v>200113</v>
      </c>
      <c r="Q878" s="85">
        <v>371</v>
      </c>
      <c r="R878" s="86">
        <v>19718</v>
      </c>
      <c r="S878" s="87"/>
      <c r="T878" s="87"/>
      <c r="U878" s="87"/>
    </row>
    <row r="879" spans="1:21" x14ac:dyDescent="0.15">
      <c r="A879" s="86" t="s">
        <v>1</v>
      </c>
      <c r="B879" s="85">
        <v>8030611</v>
      </c>
      <c r="C879" s="83"/>
      <c r="D879" s="86">
        <v>3</v>
      </c>
      <c r="E879" s="86" t="s">
        <v>115</v>
      </c>
      <c r="F879" s="86" t="s">
        <v>115</v>
      </c>
      <c r="G879" s="86" t="s">
        <v>115</v>
      </c>
      <c r="H879" s="86" t="s">
        <v>7307</v>
      </c>
      <c r="I879" s="86" t="s">
        <v>115</v>
      </c>
      <c r="J879" s="86" t="s">
        <v>115</v>
      </c>
      <c r="K879" s="86">
        <v>50000</v>
      </c>
      <c r="L879" s="86">
        <v>8030612</v>
      </c>
      <c r="M879" s="83"/>
      <c r="N879" s="86" t="s">
        <v>115</v>
      </c>
      <c r="O879" s="86" t="s">
        <v>115</v>
      </c>
      <c r="P879" s="86">
        <v>200111</v>
      </c>
      <c r="Q879" s="85">
        <v>371</v>
      </c>
      <c r="R879" s="86">
        <v>5130</v>
      </c>
      <c r="S879" s="87"/>
      <c r="T879" s="87"/>
      <c r="U879" s="87"/>
    </row>
    <row r="880" spans="1:21" x14ac:dyDescent="0.15">
      <c r="A880" s="86" t="s">
        <v>1</v>
      </c>
      <c r="B880" s="86">
        <v>8030612</v>
      </c>
      <c r="C880" s="86" t="s">
        <v>115</v>
      </c>
      <c r="D880" s="86" t="s">
        <v>115</v>
      </c>
      <c r="E880" s="86">
        <v>1</v>
      </c>
      <c r="F880" s="86">
        <v>5</v>
      </c>
      <c r="G880" s="86" t="s">
        <v>115</v>
      </c>
      <c r="H880" s="86" t="s">
        <v>7307</v>
      </c>
      <c r="I880" s="86" t="s">
        <v>115</v>
      </c>
      <c r="J880" s="86">
        <v>20</v>
      </c>
      <c r="K880" s="86">
        <v>50000</v>
      </c>
      <c r="L880" s="86">
        <v>8030613</v>
      </c>
      <c r="M880" s="83"/>
      <c r="N880" s="83"/>
      <c r="O880" s="83"/>
      <c r="P880" s="86">
        <v>200112</v>
      </c>
      <c r="Q880" s="85">
        <v>371</v>
      </c>
      <c r="R880" s="86">
        <v>23980</v>
      </c>
      <c r="S880" s="87"/>
      <c r="T880" s="87"/>
      <c r="U880" s="87"/>
    </row>
    <row r="881" spans="1:21" x14ac:dyDescent="0.15">
      <c r="A881" s="86" t="s">
        <v>1</v>
      </c>
      <c r="B881" s="85">
        <v>8030613</v>
      </c>
      <c r="C881" s="86" t="s">
        <v>115</v>
      </c>
      <c r="D881" s="83"/>
      <c r="E881" s="86">
        <v>2</v>
      </c>
      <c r="F881" s="86">
        <v>5</v>
      </c>
      <c r="G881" s="83"/>
      <c r="H881" s="86" t="s">
        <v>7307</v>
      </c>
      <c r="I881" s="83"/>
      <c r="J881" s="83"/>
      <c r="K881" s="86">
        <v>50000</v>
      </c>
      <c r="L881" s="86">
        <v>0</v>
      </c>
      <c r="M881" s="83"/>
      <c r="N881" s="86">
        <v>200115</v>
      </c>
      <c r="O881" s="86">
        <v>200116</v>
      </c>
      <c r="P881" s="86">
        <v>200113</v>
      </c>
      <c r="Q881" s="85">
        <v>371</v>
      </c>
      <c r="R881" s="86">
        <v>21914</v>
      </c>
      <c r="S881" s="87"/>
      <c r="T881" s="87"/>
      <c r="U881" s="87"/>
    </row>
    <row r="882" spans="1:21" x14ac:dyDescent="0.15">
      <c r="A882" s="86" t="s">
        <v>1</v>
      </c>
      <c r="B882" s="86">
        <v>8030711</v>
      </c>
      <c r="C882" s="86" t="s">
        <v>115</v>
      </c>
      <c r="D882" s="86">
        <v>3</v>
      </c>
      <c r="E882" s="86" t="s">
        <v>115</v>
      </c>
      <c r="F882" s="86" t="s">
        <v>115</v>
      </c>
      <c r="G882" s="86" t="s">
        <v>115</v>
      </c>
      <c r="H882" s="86" t="s">
        <v>7307</v>
      </c>
      <c r="I882" s="86" t="s">
        <v>115</v>
      </c>
      <c r="J882" s="86" t="s">
        <v>115</v>
      </c>
      <c r="K882" s="86">
        <v>50500</v>
      </c>
      <c r="L882" s="86">
        <v>8030712</v>
      </c>
      <c r="M882" s="83"/>
      <c r="N882" s="86" t="s">
        <v>115</v>
      </c>
      <c r="O882" s="86" t="s">
        <v>115</v>
      </c>
      <c r="P882" s="86">
        <v>200111</v>
      </c>
      <c r="Q882" s="85">
        <v>371</v>
      </c>
      <c r="R882" s="86">
        <v>5130</v>
      </c>
      <c r="S882" s="87"/>
      <c r="T882" s="87"/>
      <c r="U882" s="87"/>
    </row>
    <row r="883" spans="1:21" x14ac:dyDescent="0.15">
      <c r="A883" s="86" t="s">
        <v>1</v>
      </c>
      <c r="B883" s="85">
        <v>8030712</v>
      </c>
      <c r="C883" s="83"/>
      <c r="D883" s="86" t="s">
        <v>115</v>
      </c>
      <c r="E883" s="86">
        <v>1</v>
      </c>
      <c r="F883" s="86">
        <v>5</v>
      </c>
      <c r="G883" s="86" t="s">
        <v>115</v>
      </c>
      <c r="H883" s="86" t="s">
        <v>7307</v>
      </c>
      <c r="I883" s="86" t="s">
        <v>115</v>
      </c>
      <c r="J883" s="86">
        <v>20</v>
      </c>
      <c r="K883" s="86">
        <v>50500</v>
      </c>
      <c r="L883" s="86">
        <v>8030713</v>
      </c>
      <c r="M883" s="83"/>
      <c r="N883" s="83"/>
      <c r="O883" s="83"/>
      <c r="P883" s="86">
        <v>200112</v>
      </c>
      <c r="Q883" s="85">
        <v>371</v>
      </c>
      <c r="R883" s="86">
        <v>24055</v>
      </c>
      <c r="S883" s="87"/>
      <c r="T883" s="87"/>
      <c r="U883" s="87"/>
    </row>
    <row r="884" spans="1:21" x14ac:dyDescent="0.15">
      <c r="A884" s="86" t="s">
        <v>1</v>
      </c>
      <c r="B884" s="86">
        <v>8030713</v>
      </c>
      <c r="C884" s="86" t="s">
        <v>115</v>
      </c>
      <c r="D884" s="83"/>
      <c r="E884" s="86">
        <v>2</v>
      </c>
      <c r="F884" s="86">
        <v>5</v>
      </c>
      <c r="G884" s="83"/>
      <c r="H884" s="86" t="s">
        <v>7307</v>
      </c>
      <c r="I884" s="83"/>
      <c r="J884" s="83"/>
      <c r="K884" s="86">
        <v>50500</v>
      </c>
      <c r="L884" s="86">
        <v>0</v>
      </c>
      <c r="M884" s="83"/>
      <c r="N884" s="86">
        <v>200115</v>
      </c>
      <c r="O884" s="86">
        <v>200116</v>
      </c>
      <c r="P884" s="86">
        <v>200113</v>
      </c>
      <c r="Q884" s="85">
        <v>371</v>
      </c>
      <c r="R884" s="86">
        <v>21914</v>
      </c>
      <c r="S884" s="87"/>
      <c r="T884" s="87"/>
      <c r="U884" s="87"/>
    </row>
    <row r="885" spans="1:21" x14ac:dyDescent="0.15">
      <c r="A885" s="86" t="s">
        <v>1</v>
      </c>
      <c r="B885" s="85">
        <v>8030811</v>
      </c>
      <c r="C885" s="86" t="s">
        <v>115</v>
      </c>
      <c r="D885" s="86">
        <v>3</v>
      </c>
      <c r="E885" s="86" t="s">
        <v>115</v>
      </c>
      <c r="F885" s="86" t="s">
        <v>115</v>
      </c>
      <c r="G885" s="86" t="s">
        <v>115</v>
      </c>
      <c r="H885" s="86" t="s">
        <v>7307</v>
      </c>
      <c r="I885" s="86" t="s">
        <v>115</v>
      </c>
      <c r="J885" s="86" t="s">
        <v>115</v>
      </c>
      <c r="K885" s="86">
        <v>51000</v>
      </c>
      <c r="L885" s="86">
        <v>8030812</v>
      </c>
      <c r="M885" s="83"/>
      <c r="N885" s="86" t="s">
        <v>115</v>
      </c>
      <c r="O885" s="86" t="s">
        <v>115</v>
      </c>
      <c r="P885" s="86">
        <v>200111</v>
      </c>
      <c r="Q885" s="85">
        <v>371</v>
      </c>
      <c r="R885" s="86">
        <v>5130</v>
      </c>
      <c r="S885" s="87"/>
      <c r="T885" s="87"/>
      <c r="U885" s="87"/>
    </row>
    <row r="886" spans="1:21" x14ac:dyDescent="0.15">
      <c r="A886" s="86" t="s">
        <v>1</v>
      </c>
      <c r="B886" s="86">
        <v>8030812</v>
      </c>
      <c r="C886" s="86" t="s">
        <v>115</v>
      </c>
      <c r="D886" s="86" t="s">
        <v>115</v>
      </c>
      <c r="E886" s="86">
        <v>1</v>
      </c>
      <c r="F886" s="86">
        <v>5</v>
      </c>
      <c r="G886" s="86" t="s">
        <v>115</v>
      </c>
      <c r="H886" s="86" t="s">
        <v>7307</v>
      </c>
      <c r="I886" s="86" t="s">
        <v>115</v>
      </c>
      <c r="J886" s="86">
        <v>20</v>
      </c>
      <c r="K886" s="86">
        <v>51000</v>
      </c>
      <c r="L886" s="86">
        <v>8030813</v>
      </c>
      <c r="M886" s="83"/>
      <c r="N886" s="83"/>
      <c r="O886" s="83"/>
      <c r="P886" s="86">
        <v>200112</v>
      </c>
      <c r="Q886" s="85">
        <v>371</v>
      </c>
      <c r="R886" s="86">
        <v>24147</v>
      </c>
      <c r="S886" s="87"/>
      <c r="T886" s="87"/>
      <c r="U886" s="87"/>
    </row>
    <row r="887" spans="1:21" x14ac:dyDescent="0.15">
      <c r="A887" s="86" t="s">
        <v>1</v>
      </c>
      <c r="B887" s="85">
        <v>8030813</v>
      </c>
      <c r="C887" s="83"/>
      <c r="D887" s="83"/>
      <c r="E887" s="86">
        <v>2</v>
      </c>
      <c r="F887" s="86">
        <v>5</v>
      </c>
      <c r="G887" s="83"/>
      <c r="H887" s="86" t="s">
        <v>7307</v>
      </c>
      <c r="I887" s="83"/>
      <c r="J887" s="83"/>
      <c r="K887" s="86">
        <v>51000</v>
      </c>
      <c r="L887" s="86">
        <v>0</v>
      </c>
      <c r="M887" s="83"/>
      <c r="N887" s="86">
        <v>200115</v>
      </c>
      <c r="O887" s="86">
        <v>200116</v>
      </c>
      <c r="P887" s="86">
        <v>200113</v>
      </c>
      <c r="Q887" s="85">
        <v>371</v>
      </c>
      <c r="R887" s="86">
        <v>21914</v>
      </c>
      <c r="S887" s="87"/>
      <c r="T887" s="87"/>
      <c r="U887" s="87"/>
    </row>
    <row r="888" spans="1:21" x14ac:dyDescent="0.15">
      <c r="A888" s="86" t="s">
        <v>1</v>
      </c>
      <c r="B888" s="86">
        <v>8030911</v>
      </c>
      <c r="C888" s="86" t="s">
        <v>115</v>
      </c>
      <c r="D888" s="86">
        <v>3</v>
      </c>
      <c r="E888" s="86" t="s">
        <v>115</v>
      </c>
      <c r="F888" s="86" t="s">
        <v>115</v>
      </c>
      <c r="G888" s="86" t="s">
        <v>115</v>
      </c>
      <c r="H888" s="86" t="s">
        <v>7307</v>
      </c>
      <c r="I888" s="86" t="s">
        <v>115</v>
      </c>
      <c r="J888" s="86" t="s">
        <v>115</v>
      </c>
      <c r="K888" s="86">
        <v>51200</v>
      </c>
      <c r="L888" s="86">
        <v>8030912</v>
      </c>
      <c r="M888" s="83"/>
      <c r="N888" s="86" t="s">
        <v>115</v>
      </c>
      <c r="O888" s="86" t="s">
        <v>115</v>
      </c>
      <c r="P888" s="86">
        <v>200111</v>
      </c>
      <c r="Q888" s="85">
        <v>371</v>
      </c>
      <c r="R888" s="86">
        <v>5130</v>
      </c>
      <c r="S888" s="87"/>
      <c r="T888" s="87"/>
      <c r="U888" s="87"/>
    </row>
    <row r="889" spans="1:21" x14ac:dyDescent="0.15">
      <c r="A889" s="86" t="s">
        <v>1</v>
      </c>
      <c r="B889" s="85">
        <v>8030912</v>
      </c>
      <c r="C889" s="86" t="s">
        <v>115</v>
      </c>
      <c r="D889" s="86" t="s">
        <v>115</v>
      </c>
      <c r="E889" s="86">
        <v>1</v>
      </c>
      <c r="F889" s="86">
        <v>5</v>
      </c>
      <c r="G889" s="86" t="s">
        <v>115</v>
      </c>
      <c r="H889" s="86" t="s">
        <v>7307</v>
      </c>
      <c r="I889" s="86" t="s">
        <v>115</v>
      </c>
      <c r="J889" s="86">
        <v>20</v>
      </c>
      <c r="K889" s="86">
        <v>51200</v>
      </c>
      <c r="L889" s="86">
        <v>8030913</v>
      </c>
      <c r="M889" s="83"/>
      <c r="N889" s="83"/>
      <c r="O889" s="83"/>
      <c r="P889" s="86">
        <v>200112</v>
      </c>
      <c r="Q889" s="85">
        <v>371</v>
      </c>
      <c r="R889" s="86">
        <v>24282</v>
      </c>
      <c r="S889" s="87"/>
      <c r="T889" s="87"/>
      <c r="U889" s="87"/>
    </row>
    <row r="890" spans="1:21" x14ac:dyDescent="0.15">
      <c r="A890" s="86" t="s">
        <v>1</v>
      </c>
      <c r="B890" s="86">
        <v>8030913</v>
      </c>
      <c r="C890" s="86" t="s">
        <v>115</v>
      </c>
      <c r="D890" s="83"/>
      <c r="E890" s="86">
        <v>2</v>
      </c>
      <c r="F890" s="86">
        <v>5</v>
      </c>
      <c r="G890" s="83"/>
      <c r="H890" s="86" t="s">
        <v>7307</v>
      </c>
      <c r="I890" s="83"/>
      <c r="J890" s="83"/>
      <c r="K890" s="86">
        <v>51200</v>
      </c>
      <c r="L890" s="86">
        <v>0</v>
      </c>
      <c r="M890" s="83"/>
      <c r="N890" s="86">
        <v>200115</v>
      </c>
      <c r="O890" s="86">
        <v>200116</v>
      </c>
      <c r="P890" s="86">
        <v>200113</v>
      </c>
      <c r="Q890" s="85">
        <v>371</v>
      </c>
      <c r="R890" s="86">
        <v>21914</v>
      </c>
      <c r="S890" s="87"/>
      <c r="T890" s="87"/>
      <c r="U890" s="87"/>
    </row>
    <row r="891" spans="1:21" x14ac:dyDescent="0.15">
      <c r="A891" s="86" t="s">
        <v>1</v>
      </c>
      <c r="B891" s="85">
        <v>8031011</v>
      </c>
      <c r="C891" s="83"/>
      <c r="D891" s="86">
        <v>3</v>
      </c>
      <c r="E891" s="86" t="s">
        <v>115</v>
      </c>
      <c r="F891" s="86" t="s">
        <v>115</v>
      </c>
      <c r="G891" s="86" t="s">
        <v>115</v>
      </c>
      <c r="H891" s="86" t="s">
        <v>7307</v>
      </c>
      <c r="I891" s="86" t="s">
        <v>115</v>
      </c>
      <c r="J891" s="86" t="s">
        <v>115</v>
      </c>
      <c r="K891" s="86">
        <v>51500</v>
      </c>
      <c r="L891" s="86">
        <v>8031012</v>
      </c>
      <c r="M891" s="83"/>
      <c r="N891" s="86" t="s">
        <v>115</v>
      </c>
      <c r="O891" s="86" t="s">
        <v>115</v>
      </c>
      <c r="P891" s="86">
        <v>200111</v>
      </c>
      <c r="Q891" s="85">
        <v>371</v>
      </c>
      <c r="R891" s="86">
        <v>5130</v>
      </c>
      <c r="S891" s="87"/>
      <c r="T891" s="87"/>
      <c r="U891" s="87"/>
    </row>
    <row r="892" spans="1:21" x14ac:dyDescent="0.15">
      <c r="A892" s="86" t="s">
        <v>1</v>
      </c>
      <c r="B892" s="86">
        <v>8031012</v>
      </c>
      <c r="C892" s="86" t="s">
        <v>115</v>
      </c>
      <c r="D892" s="86" t="s">
        <v>115</v>
      </c>
      <c r="E892" s="86">
        <v>1</v>
      </c>
      <c r="F892" s="86">
        <v>5</v>
      </c>
      <c r="G892" s="86" t="s">
        <v>115</v>
      </c>
      <c r="H892" s="86" t="s">
        <v>7307</v>
      </c>
      <c r="I892" s="86" t="s">
        <v>115</v>
      </c>
      <c r="J892" s="86">
        <v>20</v>
      </c>
      <c r="K892" s="86">
        <v>51500</v>
      </c>
      <c r="L892" s="86">
        <v>8031013</v>
      </c>
      <c r="M892" s="83"/>
      <c r="N892" s="83"/>
      <c r="O892" s="83"/>
      <c r="P892" s="86">
        <v>200112</v>
      </c>
      <c r="Q892" s="85">
        <v>371</v>
      </c>
      <c r="R892" s="86">
        <v>24350</v>
      </c>
      <c r="S892" s="87"/>
      <c r="T892" s="87"/>
      <c r="U892" s="87"/>
    </row>
    <row r="893" spans="1:21" x14ac:dyDescent="0.15">
      <c r="A893" s="86" t="s">
        <v>1</v>
      </c>
      <c r="B893" s="85">
        <v>8031013</v>
      </c>
      <c r="C893" s="86" t="s">
        <v>115</v>
      </c>
      <c r="D893" s="83"/>
      <c r="E893" s="86">
        <v>2</v>
      </c>
      <c r="F893" s="86">
        <v>5</v>
      </c>
      <c r="G893" s="83"/>
      <c r="H893" s="86" t="s">
        <v>7307</v>
      </c>
      <c r="I893" s="83"/>
      <c r="J893" s="83"/>
      <c r="K893" s="86">
        <v>51500</v>
      </c>
      <c r="L893" s="86">
        <v>0</v>
      </c>
      <c r="M893" s="83"/>
      <c r="N893" s="86">
        <v>200115</v>
      </c>
      <c r="O893" s="86">
        <v>200116</v>
      </c>
      <c r="P893" s="86">
        <v>200113</v>
      </c>
      <c r="Q893" s="85">
        <v>371</v>
      </c>
      <c r="R893" s="86">
        <v>22328</v>
      </c>
      <c r="S893" s="87"/>
      <c r="T893" s="87"/>
      <c r="U893" s="87"/>
    </row>
    <row r="894" spans="1:21" x14ac:dyDescent="0.15">
      <c r="A894" s="86" t="s">
        <v>1</v>
      </c>
      <c r="B894" s="86">
        <v>8031111</v>
      </c>
      <c r="C894" s="86" t="s">
        <v>115</v>
      </c>
      <c r="D894" s="86">
        <v>3</v>
      </c>
      <c r="E894" s="86" t="s">
        <v>115</v>
      </c>
      <c r="F894" s="86" t="s">
        <v>115</v>
      </c>
      <c r="G894" s="86" t="s">
        <v>115</v>
      </c>
      <c r="H894" s="86" t="s">
        <v>7307</v>
      </c>
      <c r="I894" s="86" t="s">
        <v>115</v>
      </c>
      <c r="J894" s="86" t="s">
        <v>115</v>
      </c>
      <c r="K894" s="86">
        <v>52000</v>
      </c>
      <c r="L894" s="86">
        <v>8031112</v>
      </c>
      <c r="M894" s="83"/>
      <c r="N894" s="86" t="s">
        <v>115</v>
      </c>
      <c r="O894" s="86" t="s">
        <v>115</v>
      </c>
      <c r="P894" s="86">
        <v>200111</v>
      </c>
      <c r="Q894" s="85">
        <v>371</v>
      </c>
      <c r="R894" s="86">
        <v>5280</v>
      </c>
      <c r="S894" s="87"/>
      <c r="T894" s="87"/>
      <c r="U894" s="87"/>
    </row>
    <row r="895" spans="1:21" x14ac:dyDescent="0.15">
      <c r="A895" s="86" t="s">
        <v>1</v>
      </c>
      <c r="B895" s="85">
        <v>8031112</v>
      </c>
      <c r="C895" s="83"/>
      <c r="D895" s="86" t="s">
        <v>115</v>
      </c>
      <c r="E895" s="86">
        <v>1</v>
      </c>
      <c r="F895" s="86">
        <v>5</v>
      </c>
      <c r="G895" s="86" t="s">
        <v>115</v>
      </c>
      <c r="H895" s="86" t="s">
        <v>7307</v>
      </c>
      <c r="I895" s="86" t="s">
        <v>115</v>
      </c>
      <c r="J895" s="86">
        <v>20</v>
      </c>
      <c r="K895" s="86">
        <v>52000</v>
      </c>
      <c r="L895" s="86">
        <v>8031113</v>
      </c>
      <c r="M895" s="83"/>
      <c r="N895" s="83"/>
      <c r="O895" s="83"/>
      <c r="P895" s="86">
        <v>200112</v>
      </c>
      <c r="Q895" s="85">
        <v>371</v>
      </c>
      <c r="R895" s="86">
        <v>26470</v>
      </c>
      <c r="S895" s="87"/>
      <c r="T895" s="87"/>
      <c r="U895" s="87"/>
    </row>
    <row r="896" spans="1:21" x14ac:dyDescent="0.15">
      <c r="A896" s="86" t="s">
        <v>1</v>
      </c>
      <c r="B896" s="86">
        <v>8031113</v>
      </c>
      <c r="C896" s="86" t="s">
        <v>115</v>
      </c>
      <c r="D896" s="83"/>
      <c r="E896" s="86">
        <v>2</v>
      </c>
      <c r="F896" s="86">
        <v>5</v>
      </c>
      <c r="G896" s="83"/>
      <c r="H896" s="86" t="s">
        <v>7307</v>
      </c>
      <c r="I896" s="83"/>
      <c r="J896" s="83"/>
      <c r="K896" s="86">
        <v>52000</v>
      </c>
      <c r="L896" s="86">
        <v>0</v>
      </c>
      <c r="M896" s="83"/>
      <c r="N896" s="86">
        <v>200115</v>
      </c>
      <c r="O896" s="86">
        <v>200116</v>
      </c>
      <c r="P896" s="86">
        <v>200113</v>
      </c>
      <c r="Q896" s="85">
        <v>371</v>
      </c>
      <c r="R896" s="86">
        <v>22328</v>
      </c>
      <c r="S896" s="87"/>
      <c r="T896" s="87"/>
      <c r="U896" s="87"/>
    </row>
    <row r="897" spans="1:21" x14ac:dyDescent="0.15">
      <c r="A897" s="86" t="s">
        <v>1</v>
      </c>
      <c r="B897" s="85">
        <v>8031211</v>
      </c>
      <c r="C897" s="86" t="s">
        <v>115</v>
      </c>
      <c r="D897" s="86">
        <v>3</v>
      </c>
      <c r="E897" s="86" t="s">
        <v>115</v>
      </c>
      <c r="F897" s="86" t="s">
        <v>115</v>
      </c>
      <c r="G897" s="86" t="s">
        <v>115</v>
      </c>
      <c r="H897" s="86" t="s">
        <v>7307</v>
      </c>
      <c r="I897" s="86" t="s">
        <v>115</v>
      </c>
      <c r="J897" s="86" t="s">
        <v>115</v>
      </c>
      <c r="K897" s="86">
        <v>53000</v>
      </c>
      <c r="L897" s="86">
        <v>8031212</v>
      </c>
      <c r="M897" s="83"/>
      <c r="N897" s="86" t="s">
        <v>115</v>
      </c>
      <c r="O897" s="86" t="s">
        <v>115</v>
      </c>
      <c r="P897" s="86">
        <v>200111</v>
      </c>
      <c r="Q897" s="85">
        <v>371</v>
      </c>
      <c r="R897" s="86">
        <v>5280</v>
      </c>
      <c r="S897" s="87"/>
      <c r="T897" s="87"/>
      <c r="U897" s="87"/>
    </row>
    <row r="898" spans="1:21" x14ac:dyDescent="0.15">
      <c r="A898" s="86" t="s">
        <v>1</v>
      </c>
      <c r="B898" s="86">
        <v>8031212</v>
      </c>
      <c r="C898" s="86" t="s">
        <v>115</v>
      </c>
      <c r="D898" s="86" t="s">
        <v>115</v>
      </c>
      <c r="E898" s="86">
        <v>1</v>
      </c>
      <c r="F898" s="86">
        <v>5</v>
      </c>
      <c r="G898" s="86" t="s">
        <v>115</v>
      </c>
      <c r="H898" s="86" t="s">
        <v>7307</v>
      </c>
      <c r="I898" s="86" t="s">
        <v>115</v>
      </c>
      <c r="J898" s="86">
        <v>20</v>
      </c>
      <c r="K898" s="86">
        <v>53000</v>
      </c>
      <c r="L898" s="86">
        <v>8031213</v>
      </c>
      <c r="M898" s="83"/>
      <c r="N898" s="83"/>
      <c r="O898" s="83"/>
      <c r="P898" s="86">
        <v>200112</v>
      </c>
      <c r="Q898" s="85">
        <v>371</v>
      </c>
      <c r="R898" s="86">
        <v>27643</v>
      </c>
      <c r="S898" s="87"/>
      <c r="T898" s="87"/>
      <c r="U898" s="87"/>
    </row>
    <row r="899" spans="1:21" x14ac:dyDescent="0.15">
      <c r="A899" s="86" t="s">
        <v>1</v>
      </c>
      <c r="B899" s="85">
        <v>8031213</v>
      </c>
      <c r="C899" s="83"/>
      <c r="D899" s="83"/>
      <c r="E899" s="86">
        <v>2</v>
      </c>
      <c r="F899" s="86">
        <v>5</v>
      </c>
      <c r="G899" s="83"/>
      <c r="H899" s="86" t="s">
        <v>7307</v>
      </c>
      <c r="I899" s="83"/>
      <c r="J899" s="83"/>
      <c r="K899" s="86">
        <v>53000</v>
      </c>
      <c r="L899" s="86">
        <v>0</v>
      </c>
      <c r="M899" s="83"/>
      <c r="N899" s="86">
        <v>200115</v>
      </c>
      <c r="O899" s="86">
        <v>200116</v>
      </c>
      <c r="P899" s="86">
        <v>200113</v>
      </c>
      <c r="Q899" s="85">
        <v>371</v>
      </c>
      <c r="R899" s="86">
        <v>22328</v>
      </c>
      <c r="S899" s="87"/>
      <c r="T899" s="87"/>
      <c r="U899" s="87"/>
    </row>
    <row r="900" spans="1:21" x14ac:dyDescent="0.15">
      <c r="A900" s="86" t="s">
        <v>1</v>
      </c>
      <c r="B900" s="86">
        <v>8031311</v>
      </c>
      <c r="C900" s="86" t="s">
        <v>115</v>
      </c>
      <c r="D900" s="86">
        <v>3</v>
      </c>
      <c r="E900" s="86" t="s">
        <v>115</v>
      </c>
      <c r="F900" s="86" t="s">
        <v>115</v>
      </c>
      <c r="G900" s="86" t="s">
        <v>115</v>
      </c>
      <c r="H900" s="86" t="s">
        <v>7307</v>
      </c>
      <c r="I900" s="86" t="s">
        <v>115</v>
      </c>
      <c r="J900" s="86" t="s">
        <v>115</v>
      </c>
      <c r="K900" s="86">
        <v>54000</v>
      </c>
      <c r="L900" s="86">
        <v>8031312</v>
      </c>
      <c r="M900" s="83"/>
      <c r="N900" s="86" t="s">
        <v>115</v>
      </c>
      <c r="O900" s="86" t="s">
        <v>115</v>
      </c>
      <c r="P900" s="86">
        <v>200111</v>
      </c>
      <c r="Q900" s="85">
        <v>371</v>
      </c>
      <c r="R900" s="86">
        <v>5280</v>
      </c>
      <c r="S900" s="87"/>
      <c r="T900" s="87"/>
      <c r="U900" s="87"/>
    </row>
    <row r="901" spans="1:21" x14ac:dyDescent="0.15">
      <c r="A901" s="86" t="s">
        <v>1</v>
      </c>
      <c r="B901" s="85">
        <v>8031312</v>
      </c>
      <c r="C901" s="86" t="s">
        <v>115</v>
      </c>
      <c r="D901" s="86" t="s">
        <v>115</v>
      </c>
      <c r="E901" s="86">
        <v>1</v>
      </c>
      <c r="F901" s="86">
        <v>5</v>
      </c>
      <c r="G901" s="86" t="s">
        <v>115</v>
      </c>
      <c r="H901" s="86" t="s">
        <v>7307</v>
      </c>
      <c r="I901" s="86" t="s">
        <v>115</v>
      </c>
      <c r="J901" s="86">
        <v>20</v>
      </c>
      <c r="K901" s="86">
        <v>54000</v>
      </c>
      <c r="L901" s="86">
        <v>8031313</v>
      </c>
      <c r="M901" s="83"/>
      <c r="N901" s="83"/>
      <c r="O901" s="83"/>
      <c r="P901" s="86">
        <v>200112</v>
      </c>
      <c r="Q901" s="85">
        <v>371</v>
      </c>
      <c r="R901" s="86">
        <v>28800</v>
      </c>
      <c r="S901" s="87"/>
      <c r="T901" s="87"/>
      <c r="U901" s="87"/>
    </row>
    <row r="902" spans="1:21" x14ac:dyDescent="0.15">
      <c r="A902" s="86" t="s">
        <v>1</v>
      </c>
      <c r="B902" s="86">
        <v>8031313</v>
      </c>
      <c r="C902" s="86" t="s">
        <v>115</v>
      </c>
      <c r="D902" s="83"/>
      <c r="E902" s="86">
        <v>2</v>
      </c>
      <c r="F902" s="86">
        <v>5</v>
      </c>
      <c r="G902" s="83"/>
      <c r="H902" s="86" t="s">
        <v>7307</v>
      </c>
      <c r="I902" s="83"/>
      <c r="J902" s="83"/>
      <c r="K902" s="86">
        <v>54000</v>
      </c>
      <c r="L902" s="86">
        <v>0</v>
      </c>
      <c r="M902" s="83"/>
      <c r="N902" s="86">
        <v>200115</v>
      </c>
      <c r="O902" s="86">
        <v>200116</v>
      </c>
      <c r="P902" s="86">
        <v>200113</v>
      </c>
      <c r="Q902" s="85">
        <v>371</v>
      </c>
      <c r="R902" s="86">
        <v>22328</v>
      </c>
      <c r="S902" s="87"/>
      <c r="T902" s="87"/>
      <c r="U902" s="87"/>
    </row>
    <row r="903" spans="1:21" x14ac:dyDescent="0.15">
      <c r="A903" s="86" t="s">
        <v>1</v>
      </c>
      <c r="B903" s="85">
        <v>8031411</v>
      </c>
      <c r="C903" s="83"/>
      <c r="D903" s="86">
        <v>3</v>
      </c>
      <c r="E903" s="86" t="s">
        <v>115</v>
      </c>
      <c r="F903" s="86" t="s">
        <v>115</v>
      </c>
      <c r="G903" s="86" t="s">
        <v>115</v>
      </c>
      <c r="H903" s="86" t="s">
        <v>7307</v>
      </c>
      <c r="I903" s="86" t="s">
        <v>115</v>
      </c>
      <c r="J903" s="86" t="s">
        <v>115</v>
      </c>
      <c r="K903" s="86">
        <v>55000</v>
      </c>
      <c r="L903" s="86">
        <v>8031412</v>
      </c>
      <c r="M903" s="83"/>
      <c r="N903" s="86" t="s">
        <v>115</v>
      </c>
      <c r="O903" s="86" t="s">
        <v>115</v>
      </c>
      <c r="P903" s="86">
        <v>200111</v>
      </c>
      <c r="Q903" s="85">
        <v>371</v>
      </c>
      <c r="R903" s="86">
        <v>5280</v>
      </c>
      <c r="S903" s="87"/>
      <c r="T903" s="87"/>
      <c r="U903" s="87"/>
    </row>
    <row r="904" spans="1:21" x14ac:dyDescent="0.15">
      <c r="A904" s="86" t="s">
        <v>1</v>
      </c>
      <c r="B904" s="86">
        <v>8031412</v>
      </c>
      <c r="C904" s="86" t="s">
        <v>115</v>
      </c>
      <c r="D904" s="86" t="s">
        <v>115</v>
      </c>
      <c r="E904" s="86">
        <v>1</v>
      </c>
      <c r="F904" s="86">
        <v>5</v>
      </c>
      <c r="G904" s="86" t="s">
        <v>115</v>
      </c>
      <c r="H904" s="86" t="s">
        <v>7307</v>
      </c>
      <c r="I904" s="86" t="s">
        <v>115</v>
      </c>
      <c r="J904" s="86">
        <v>20</v>
      </c>
      <c r="K904" s="86">
        <v>55000</v>
      </c>
      <c r="L904" s="86">
        <v>8031413</v>
      </c>
      <c r="M904" s="83"/>
      <c r="N904" s="83"/>
      <c r="O904" s="83"/>
      <c r="P904" s="86">
        <v>200112</v>
      </c>
      <c r="Q904" s="85">
        <v>371</v>
      </c>
      <c r="R904" s="86">
        <v>28885</v>
      </c>
      <c r="S904" s="87"/>
      <c r="T904" s="87"/>
      <c r="U904" s="87"/>
    </row>
    <row r="905" spans="1:21" x14ac:dyDescent="0.15">
      <c r="A905" s="86" t="s">
        <v>1</v>
      </c>
      <c r="B905" s="85">
        <v>8031413</v>
      </c>
      <c r="C905" s="86" t="s">
        <v>115</v>
      </c>
      <c r="D905" s="83"/>
      <c r="E905" s="86">
        <v>2</v>
      </c>
      <c r="F905" s="86">
        <v>5</v>
      </c>
      <c r="G905" s="83"/>
      <c r="H905" s="86" t="s">
        <v>7307</v>
      </c>
      <c r="I905" s="83"/>
      <c r="J905" s="83"/>
      <c r="K905" s="86">
        <v>55000</v>
      </c>
      <c r="L905" s="86">
        <v>0</v>
      </c>
      <c r="M905" s="83"/>
      <c r="N905" s="86">
        <v>200115</v>
      </c>
      <c r="O905" s="86">
        <v>200116</v>
      </c>
      <c r="P905" s="86">
        <v>200113</v>
      </c>
      <c r="Q905" s="85">
        <v>371</v>
      </c>
      <c r="R905" s="86">
        <v>22328</v>
      </c>
      <c r="S905" s="87"/>
      <c r="T905" s="87"/>
      <c r="U905" s="87"/>
    </row>
    <row r="906" spans="1:21" x14ac:dyDescent="0.15">
      <c r="A906" s="86" t="s">
        <v>1</v>
      </c>
      <c r="B906" s="86">
        <v>8031511</v>
      </c>
      <c r="C906" s="86" t="s">
        <v>115</v>
      </c>
      <c r="D906" s="86">
        <v>3</v>
      </c>
      <c r="E906" s="86" t="s">
        <v>115</v>
      </c>
      <c r="F906" s="86" t="s">
        <v>115</v>
      </c>
      <c r="G906" s="86" t="s">
        <v>115</v>
      </c>
      <c r="H906" s="86" t="s">
        <v>7307</v>
      </c>
      <c r="I906" s="86" t="s">
        <v>115</v>
      </c>
      <c r="J906" s="86" t="s">
        <v>115</v>
      </c>
      <c r="K906" s="86">
        <v>56000</v>
      </c>
      <c r="L906" s="86">
        <v>8031512</v>
      </c>
      <c r="M906" s="83"/>
      <c r="N906" s="86" t="s">
        <v>115</v>
      </c>
      <c r="O906" s="86" t="s">
        <v>115</v>
      </c>
      <c r="P906" s="86">
        <v>200111</v>
      </c>
      <c r="Q906" s="85">
        <v>371</v>
      </c>
      <c r="R906" s="86">
        <v>5280</v>
      </c>
      <c r="S906" s="87"/>
      <c r="T906" s="87"/>
      <c r="U906" s="87"/>
    </row>
    <row r="907" spans="1:21" x14ac:dyDescent="0.15">
      <c r="A907" s="86" t="s">
        <v>1</v>
      </c>
      <c r="B907" s="85">
        <v>8031512</v>
      </c>
      <c r="C907" s="83"/>
      <c r="D907" s="86" t="s">
        <v>115</v>
      </c>
      <c r="E907" s="86">
        <v>1</v>
      </c>
      <c r="F907" s="86">
        <v>5</v>
      </c>
      <c r="G907" s="86" t="s">
        <v>115</v>
      </c>
      <c r="H907" s="86" t="s">
        <v>7307</v>
      </c>
      <c r="I907" s="86" t="s">
        <v>115</v>
      </c>
      <c r="J907" s="86">
        <v>20</v>
      </c>
      <c r="K907" s="86">
        <v>56000</v>
      </c>
      <c r="L907" s="86">
        <v>8031513</v>
      </c>
      <c r="M907" s="83"/>
      <c r="N907" s="83"/>
      <c r="O907" s="83"/>
      <c r="P907" s="86">
        <v>200112</v>
      </c>
      <c r="Q907" s="85">
        <v>371</v>
      </c>
      <c r="R907" s="86">
        <v>29417</v>
      </c>
      <c r="S907" s="87"/>
      <c r="T907" s="87"/>
      <c r="U907" s="87"/>
    </row>
    <row r="908" spans="1:21" x14ac:dyDescent="0.15">
      <c r="A908" s="86" t="s">
        <v>1</v>
      </c>
      <c r="B908" s="86">
        <v>8031513</v>
      </c>
      <c r="C908" s="86" t="s">
        <v>115</v>
      </c>
      <c r="D908" s="83"/>
      <c r="E908" s="86">
        <v>2</v>
      </c>
      <c r="F908" s="86">
        <v>5</v>
      </c>
      <c r="G908" s="83"/>
      <c r="H908" s="86" t="s">
        <v>7307</v>
      </c>
      <c r="I908" s="83"/>
      <c r="J908" s="83"/>
      <c r="K908" s="86">
        <v>56000</v>
      </c>
      <c r="L908" s="86">
        <v>0</v>
      </c>
      <c r="M908" s="83"/>
      <c r="N908" s="86">
        <v>200115</v>
      </c>
      <c r="O908" s="86">
        <v>200116</v>
      </c>
      <c r="P908" s="86">
        <v>200113</v>
      </c>
      <c r="Q908" s="85">
        <v>371</v>
      </c>
      <c r="R908" s="86">
        <v>22328</v>
      </c>
      <c r="S908" s="87"/>
      <c r="T908" s="87"/>
      <c r="U908" s="87"/>
    </row>
    <row r="909" spans="1:21" x14ac:dyDescent="0.15">
      <c r="A909" s="86" t="s">
        <v>1</v>
      </c>
      <c r="B909" s="85">
        <v>8031611</v>
      </c>
      <c r="C909" s="86" t="s">
        <v>115</v>
      </c>
      <c r="D909" s="86">
        <v>3</v>
      </c>
      <c r="E909" s="86" t="s">
        <v>115</v>
      </c>
      <c r="F909" s="86" t="s">
        <v>115</v>
      </c>
      <c r="G909" s="86" t="s">
        <v>115</v>
      </c>
      <c r="H909" s="86" t="s">
        <v>7307</v>
      </c>
      <c r="I909" s="86" t="s">
        <v>115</v>
      </c>
      <c r="J909" s="86" t="s">
        <v>115</v>
      </c>
      <c r="K909" s="86">
        <v>57000</v>
      </c>
      <c r="L909" s="86">
        <v>8031612</v>
      </c>
      <c r="M909" s="83"/>
      <c r="N909" s="86" t="s">
        <v>115</v>
      </c>
      <c r="O909" s="86" t="s">
        <v>115</v>
      </c>
      <c r="P909" s="86">
        <v>200111</v>
      </c>
      <c r="Q909" s="85">
        <v>371</v>
      </c>
      <c r="R909" s="86">
        <v>5280</v>
      </c>
      <c r="S909" s="87"/>
      <c r="T909" s="87"/>
      <c r="U909" s="87"/>
    </row>
    <row r="910" spans="1:21" x14ac:dyDescent="0.15">
      <c r="A910" s="86" t="s">
        <v>1</v>
      </c>
      <c r="B910" s="86">
        <v>8031612</v>
      </c>
      <c r="C910" s="86" t="s">
        <v>115</v>
      </c>
      <c r="D910" s="86" t="s">
        <v>115</v>
      </c>
      <c r="E910" s="86">
        <v>1</v>
      </c>
      <c r="F910" s="86">
        <v>5</v>
      </c>
      <c r="G910" s="86" t="s">
        <v>115</v>
      </c>
      <c r="H910" s="86" t="s">
        <v>7307</v>
      </c>
      <c r="I910" s="86" t="s">
        <v>115</v>
      </c>
      <c r="J910" s="86">
        <v>20</v>
      </c>
      <c r="K910" s="86">
        <v>57000</v>
      </c>
      <c r="L910" s="86">
        <v>8031613</v>
      </c>
      <c r="M910" s="83"/>
      <c r="N910" s="83"/>
      <c r="O910" s="83"/>
      <c r="P910" s="86">
        <v>200112</v>
      </c>
      <c r="Q910" s="85">
        <v>371</v>
      </c>
      <c r="R910" s="86">
        <v>29417</v>
      </c>
      <c r="S910" s="87"/>
      <c r="T910" s="87"/>
      <c r="U910" s="87"/>
    </row>
    <row r="911" spans="1:21" x14ac:dyDescent="0.15">
      <c r="A911" s="86" t="s">
        <v>1</v>
      </c>
      <c r="B911" s="85">
        <v>8031613</v>
      </c>
      <c r="C911" s="83"/>
      <c r="D911" s="83"/>
      <c r="E911" s="86">
        <v>2</v>
      </c>
      <c r="F911" s="86">
        <v>5</v>
      </c>
      <c r="G911" s="83"/>
      <c r="H911" s="86" t="s">
        <v>7307</v>
      </c>
      <c r="I911" s="83"/>
      <c r="J911" s="83"/>
      <c r="K911" s="86">
        <v>57000</v>
      </c>
      <c r="L911" s="86">
        <v>0</v>
      </c>
      <c r="M911" s="83"/>
      <c r="N911" s="86">
        <v>200115</v>
      </c>
      <c r="O911" s="86">
        <v>200116</v>
      </c>
      <c r="P911" s="86">
        <v>200113</v>
      </c>
      <c r="Q911" s="85">
        <v>371</v>
      </c>
      <c r="R911" s="86">
        <v>22724</v>
      </c>
      <c r="S911" s="87"/>
      <c r="T911" s="87"/>
      <c r="U911" s="87"/>
    </row>
    <row r="912" spans="1:21" x14ac:dyDescent="0.15">
      <c r="A912" s="86" t="s">
        <v>1</v>
      </c>
      <c r="B912" s="86">
        <v>8031711</v>
      </c>
      <c r="C912" s="86" t="s">
        <v>115</v>
      </c>
      <c r="D912" s="86">
        <v>3</v>
      </c>
      <c r="E912" s="86" t="s">
        <v>115</v>
      </c>
      <c r="F912" s="86" t="s">
        <v>115</v>
      </c>
      <c r="G912" s="86" t="s">
        <v>115</v>
      </c>
      <c r="H912" s="86" t="s">
        <v>7307</v>
      </c>
      <c r="I912" s="86" t="s">
        <v>115</v>
      </c>
      <c r="J912" s="86" t="s">
        <v>115</v>
      </c>
      <c r="K912" s="86">
        <v>57500</v>
      </c>
      <c r="L912" s="86">
        <v>8031712</v>
      </c>
      <c r="M912" s="83"/>
      <c r="N912" s="86" t="s">
        <v>115</v>
      </c>
      <c r="O912" s="86" t="s">
        <v>115</v>
      </c>
      <c r="P912" s="86">
        <v>200111</v>
      </c>
      <c r="Q912" s="85">
        <v>371</v>
      </c>
      <c r="R912" s="86">
        <v>5400</v>
      </c>
      <c r="S912" s="87"/>
      <c r="T912" s="87"/>
      <c r="U912" s="87"/>
    </row>
    <row r="913" spans="1:21" x14ac:dyDescent="0.15">
      <c r="A913" s="86" t="s">
        <v>1</v>
      </c>
      <c r="B913" s="85">
        <v>8031712</v>
      </c>
      <c r="C913" s="86" t="s">
        <v>115</v>
      </c>
      <c r="D913" s="86" t="s">
        <v>115</v>
      </c>
      <c r="E913" s="86">
        <v>1</v>
      </c>
      <c r="F913" s="86">
        <v>5</v>
      </c>
      <c r="G913" s="86" t="s">
        <v>115</v>
      </c>
      <c r="H913" s="86" t="s">
        <v>7307</v>
      </c>
      <c r="I913" s="86" t="s">
        <v>115</v>
      </c>
      <c r="J913" s="86">
        <v>20</v>
      </c>
      <c r="K913" s="86">
        <v>57500</v>
      </c>
      <c r="L913" s="86">
        <v>8031713</v>
      </c>
      <c r="M913" s="83"/>
      <c r="N913" s="83"/>
      <c r="O913" s="83"/>
      <c r="P913" s="86">
        <v>200112</v>
      </c>
      <c r="Q913" s="85">
        <v>371</v>
      </c>
      <c r="R913" s="86">
        <v>29417</v>
      </c>
      <c r="S913" s="87"/>
      <c r="T913" s="87"/>
      <c r="U913" s="87"/>
    </row>
    <row r="914" spans="1:21" x14ac:dyDescent="0.15">
      <c r="A914" s="86" t="s">
        <v>1</v>
      </c>
      <c r="B914" s="86">
        <v>8031713</v>
      </c>
      <c r="C914" s="86" t="s">
        <v>115</v>
      </c>
      <c r="D914" s="83"/>
      <c r="E914" s="86">
        <v>2</v>
      </c>
      <c r="F914" s="86">
        <v>5</v>
      </c>
      <c r="G914" s="83"/>
      <c r="H914" s="86" t="s">
        <v>7307</v>
      </c>
      <c r="I914" s="83"/>
      <c r="J914" s="83"/>
      <c r="K914" s="86">
        <v>57500</v>
      </c>
      <c r="L914" s="86">
        <v>0</v>
      </c>
      <c r="M914" s="83"/>
      <c r="N914" s="86">
        <v>200115</v>
      </c>
      <c r="O914" s="86">
        <v>200116</v>
      </c>
      <c r="P914" s="86">
        <v>200113</v>
      </c>
      <c r="Q914" s="85">
        <v>371</v>
      </c>
      <c r="R914" s="86">
        <v>22724</v>
      </c>
      <c r="S914" s="87"/>
      <c r="T914" s="87"/>
      <c r="U914" s="87"/>
    </row>
    <row r="915" spans="1:21" x14ac:dyDescent="0.15">
      <c r="A915" s="86" t="s">
        <v>1</v>
      </c>
      <c r="B915" s="85">
        <v>8031811</v>
      </c>
      <c r="C915" s="83"/>
      <c r="D915" s="86">
        <v>3</v>
      </c>
      <c r="E915" s="86" t="s">
        <v>115</v>
      </c>
      <c r="F915" s="86" t="s">
        <v>115</v>
      </c>
      <c r="G915" s="86" t="s">
        <v>115</v>
      </c>
      <c r="H915" s="86" t="s">
        <v>7307</v>
      </c>
      <c r="I915" s="86" t="s">
        <v>115</v>
      </c>
      <c r="J915" s="86" t="s">
        <v>115</v>
      </c>
      <c r="K915" s="86">
        <v>58000</v>
      </c>
      <c r="L915" s="86">
        <v>8031812</v>
      </c>
      <c r="M915" s="83"/>
      <c r="N915" s="86" t="s">
        <v>115</v>
      </c>
      <c r="O915" s="86" t="s">
        <v>115</v>
      </c>
      <c r="P915" s="86">
        <v>200111</v>
      </c>
      <c r="Q915" s="85">
        <v>371</v>
      </c>
      <c r="R915" s="86">
        <v>5400</v>
      </c>
      <c r="S915" s="87"/>
      <c r="T915" s="87"/>
      <c r="U915" s="87"/>
    </row>
    <row r="916" spans="1:21" x14ac:dyDescent="0.15">
      <c r="A916" s="86" t="s">
        <v>1</v>
      </c>
      <c r="B916" s="86">
        <v>8031812</v>
      </c>
      <c r="C916" s="86" t="s">
        <v>115</v>
      </c>
      <c r="D916" s="86" t="s">
        <v>115</v>
      </c>
      <c r="E916" s="86">
        <v>1</v>
      </c>
      <c r="F916" s="86">
        <v>5</v>
      </c>
      <c r="G916" s="86" t="s">
        <v>115</v>
      </c>
      <c r="H916" s="86" t="s">
        <v>7307</v>
      </c>
      <c r="I916" s="86" t="s">
        <v>115</v>
      </c>
      <c r="J916" s="86">
        <v>20</v>
      </c>
      <c r="K916" s="86">
        <v>58000</v>
      </c>
      <c r="L916" s="86">
        <v>8031813</v>
      </c>
      <c r="M916" s="83"/>
      <c r="N916" s="83"/>
      <c r="O916" s="83"/>
      <c r="P916" s="86">
        <v>200112</v>
      </c>
      <c r="Q916" s="85">
        <v>371</v>
      </c>
      <c r="R916" s="86">
        <v>29943</v>
      </c>
      <c r="S916" s="87"/>
      <c r="T916" s="87"/>
      <c r="U916" s="87"/>
    </row>
    <row r="917" spans="1:21" x14ac:dyDescent="0.15">
      <c r="A917" s="86" t="s">
        <v>1</v>
      </c>
      <c r="B917" s="85">
        <v>8031813</v>
      </c>
      <c r="C917" s="86" t="s">
        <v>115</v>
      </c>
      <c r="D917" s="83"/>
      <c r="E917" s="86">
        <v>2</v>
      </c>
      <c r="F917" s="86">
        <v>5</v>
      </c>
      <c r="G917" s="83"/>
      <c r="H917" s="86" t="s">
        <v>7307</v>
      </c>
      <c r="I917" s="83"/>
      <c r="J917" s="83"/>
      <c r="K917" s="86">
        <v>58000</v>
      </c>
      <c r="L917" s="86">
        <v>0</v>
      </c>
      <c r="M917" s="83"/>
      <c r="N917" s="86">
        <v>200115</v>
      </c>
      <c r="O917" s="86">
        <v>200116</v>
      </c>
      <c r="P917" s="86">
        <v>200113</v>
      </c>
      <c r="Q917" s="85">
        <v>371</v>
      </c>
      <c r="R917" s="86">
        <v>22724</v>
      </c>
      <c r="S917" s="87"/>
      <c r="T917" s="87"/>
      <c r="U917" s="87"/>
    </row>
    <row r="918" spans="1:21" x14ac:dyDescent="0.15">
      <c r="A918" s="86" t="s">
        <v>1</v>
      </c>
      <c r="B918" s="86">
        <v>8031911</v>
      </c>
      <c r="C918" s="86" t="s">
        <v>115</v>
      </c>
      <c r="D918" s="86">
        <v>3</v>
      </c>
      <c r="E918" s="86" t="s">
        <v>115</v>
      </c>
      <c r="F918" s="86" t="s">
        <v>115</v>
      </c>
      <c r="G918" s="86" t="s">
        <v>115</v>
      </c>
      <c r="H918" s="86" t="s">
        <v>7307</v>
      </c>
      <c r="I918" s="86" t="s">
        <v>115</v>
      </c>
      <c r="J918" s="86" t="s">
        <v>115</v>
      </c>
      <c r="K918" s="86">
        <v>59000</v>
      </c>
      <c r="L918" s="86">
        <v>8031912</v>
      </c>
      <c r="M918" s="83"/>
      <c r="N918" s="86" t="s">
        <v>115</v>
      </c>
      <c r="O918" s="86" t="s">
        <v>115</v>
      </c>
      <c r="P918" s="86">
        <v>200111</v>
      </c>
      <c r="Q918" s="85">
        <v>371</v>
      </c>
      <c r="R918" s="86">
        <v>5400</v>
      </c>
      <c r="S918" s="87"/>
      <c r="T918" s="87"/>
      <c r="U918" s="87"/>
    </row>
    <row r="919" spans="1:21" x14ac:dyDescent="0.15">
      <c r="A919" s="86" t="s">
        <v>1</v>
      </c>
      <c r="B919" s="85">
        <v>8031912</v>
      </c>
      <c r="C919" s="83"/>
      <c r="D919" s="86" t="s">
        <v>115</v>
      </c>
      <c r="E919" s="86">
        <v>1</v>
      </c>
      <c r="F919" s="86">
        <v>5</v>
      </c>
      <c r="G919" s="86" t="s">
        <v>115</v>
      </c>
      <c r="H919" s="86" t="s">
        <v>7307</v>
      </c>
      <c r="I919" s="86" t="s">
        <v>115</v>
      </c>
      <c r="J919" s="86">
        <v>20</v>
      </c>
      <c r="K919" s="86">
        <v>59000</v>
      </c>
      <c r="L919" s="86">
        <v>8031913</v>
      </c>
      <c r="M919" s="83"/>
      <c r="N919" s="83"/>
      <c r="O919" s="83"/>
      <c r="P919" s="86">
        <v>200112</v>
      </c>
      <c r="Q919" s="85">
        <v>371</v>
      </c>
      <c r="R919" s="86">
        <v>30873</v>
      </c>
      <c r="S919" s="87"/>
      <c r="T919" s="87"/>
      <c r="U919" s="87"/>
    </row>
    <row r="920" spans="1:21" x14ac:dyDescent="0.15">
      <c r="A920" s="86" t="s">
        <v>1</v>
      </c>
      <c r="B920" s="86">
        <v>8031913</v>
      </c>
      <c r="C920" s="86" t="s">
        <v>115</v>
      </c>
      <c r="D920" s="83"/>
      <c r="E920" s="86">
        <v>2</v>
      </c>
      <c r="F920" s="86">
        <v>5</v>
      </c>
      <c r="G920" s="83"/>
      <c r="H920" s="86" t="s">
        <v>7307</v>
      </c>
      <c r="I920" s="83"/>
      <c r="J920" s="83"/>
      <c r="K920" s="86">
        <v>59000</v>
      </c>
      <c r="L920" s="86">
        <v>0</v>
      </c>
      <c r="M920" s="83"/>
      <c r="N920" s="86">
        <v>200115</v>
      </c>
      <c r="O920" s="86">
        <v>200116</v>
      </c>
      <c r="P920" s="86">
        <v>200113</v>
      </c>
      <c r="Q920" s="85">
        <v>371</v>
      </c>
      <c r="R920" s="86">
        <v>23130</v>
      </c>
      <c r="S920" s="87"/>
      <c r="T920" s="87"/>
      <c r="U920" s="87"/>
    </row>
    <row r="921" spans="1:21" x14ac:dyDescent="0.15">
      <c r="A921" s="86" t="s">
        <v>1</v>
      </c>
      <c r="B921" s="85">
        <v>8032011</v>
      </c>
      <c r="C921" s="86" t="s">
        <v>115</v>
      </c>
      <c r="D921" s="86">
        <v>3</v>
      </c>
      <c r="E921" s="86" t="s">
        <v>115</v>
      </c>
      <c r="F921" s="86" t="s">
        <v>115</v>
      </c>
      <c r="G921" s="86" t="s">
        <v>115</v>
      </c>
      <c r="H921" s="86" t="s">
        <v>7307</v>
      </c>
      <c r="I921" s="86" t="s">
        <v>115</v>
      </c>
      <c r="J921" s="86" t="s">
        <v>115</v>
      </c>
      <c r="K921" s="86">
        <v>60000</v>
      </c>
      <c r="L921" s="86">
        <v>8032012</v>
      </c>
      <c r="M921" s="83"/>
      <c r="N921" s="86" t="s">
        <v>115</v>
      </c>
      <c r="O921" s="86" t="s">
        <v>115</v>
      </c>
      <c r="P921" s="86">
        <v>200111</v>
      </c>
      <c r="Q921" s="85">
        <v>371</v>
      </c>
      <c r="R921" s="86">
        <v>5520</v>
      </c>
      <c r="S921" s="87"/>
      <c r="T921" s="87"/>
      <c r="U921" s="87"/>
    </row>
    <row r="922" spans="1:21" x14ac:dyDescent="0.15">
      <c r="A922" s="86" t="s">
        <v>1</v>
      </c>
      <c r="B922" s="86">
        <v>8032012</v>
      </c>
      <c r="C922" s="86" t="s">
        <v>115</v>
      </c>
      <c r="D922" s="86" t="s">
        <v>115</v>
      </c>
      <c r="E922" s="86">
        <v>1</v>
      </c>
      <c r="F922" s="86">
        <v>5</v>
      </c>
      <c r="G922" s="86" t="s">
        <v>115</v>
      </c>
      <c r="H922" s="86" t="s">
        <v>7307</v>
      </c>
      <c r="I922" s="86" t="s">
        <v>115</v>
      </c>
      <c r="J922" s="86">
        <v>20</v>
      </c>
      <c r="K922" s="86">
        <v>60000</v>
      </c>
      <c r="L922" s="86">
        <v>8032013</v>
      </c>
      <c r="M922" s="83"/>
      <c r="N922" s="83"/>
      <c r="O922" s="83"/>
      <c r="P922" s="86">
        <v>200112</v>
      </c>
      <c r="Q922" s="85">
        <v>371</v>
      </c>
      <c r="R922" s="86">
        <v>31416</v>
      </c>
      <c r="S922" s="87"/>
      <c r="T922" s="87"/>
      <c r="U922" s="87"/>
    </row>
    <row r="923" spans="1:21" x14ac:dyDescent="0.15">
      <c r="A923" s="86" t="s">
        <v>1</v>
      </c>
      <c r="B923" s="85">
        <v>8032013</v>
      </c>
      <c r="C923" s="83"/>
      <c r="D923" s="83"/>
      <c r="E923" s="86">
        <v>2</v>
      </c>
      <c r="F923" s="86">
        <v>5</v>
      </c>
      <c r="G923" s="83"/>
      <c r="H923" s="86" t="s">
        <v>7307</v>
      </c>
      <c r="I923" s="83"/>
      <c r="J923" s="83"/>
      <c r="K923" s="86">
        <v>60000</v>
      </c>
      <c r="L923" s="86">
        <v>0</v>
      </c>
      <c r="M923" s="83"/>
      <c r="N923" s="86">
        <v>200115</v>
      </c>
      <c r="O923" s="86">
        <v>200116</v>
      </c>
      <c r="P923" s="86">
        <v>200113</v>
      </c>
      <c r="Q923" s="85">
        <v>371</v>
      </c>
      <c r="R923" s="86">
        <v>23130</v>
      </c>
      <c r="S923" s="87"/>
      <c r="T923" s="87"/>
      <c r="U923" s="87"/>
    </row>
    <row r="924" spans="1:21" x14ac:dyDescent="0.15">
      <c r="A924" s="86" t="s">
        <v>1</v>
      </c>
      <c r="B924" s="86">
        <v>8032111</v>
      </c>
      <c r="C924" s="86" t="s">
        <v>115</v>
      </c>
      <c r="D924" s="86">
        <v>3</v>
      </c>
      <c r="E924" s="86" t="s">
        <v>115</v>
      </c>
      <c r="F924" s="86" t="s">
        <v>115</v>
      </c>
      <c r="G924" s="86" t="s">
        <v>115</v>
      </c>
      <c r="H924" s="86" t="s">
        <v>7307</v>
      </c>
      <c r="I924" s="86" t="s">
        <v>115</v>
      </c>
      <c r="J924" s="86" t="s">
        <v>115</v>
      </c>
      <c r="K924" s="86">
        <v>60500</v>
      </c>
      <c r="L924" s="86">
        <v>8032112</v>
      </c>
      <c r="M924" s="83"/>
      <c r="N924" s="86" t="s">
        <v>115</v>
      </c>
      <c r="O924" s="86" t="s">
        <v>115</v>
      </c>
      <c r="P924" s="86">
        <v>200111</v>
      </c>
      <c r="Q924" s="85">
        <v>371</v>
      </c>
      <c r="R924" s="86">
        <v>5520</v>
      </c>
      <c r="S924" s="87"/>
      <c r="T924" s="87"/>
      <c r="U924" s="87"/>
    </row>
    <row r="925" spans="1:21" x14ac:dyDescent="0.15">
      <c r="A925" s="86" t="s">
        <v>1</v>
      </c>
      <c r="B925" s="85">
        <v>8032112</v>
      </c>
      <c r="C925" s="86" t="s">
        <v>115</v>
      </c>
      <c r="D925" s="86" t="s">
        <v>115</v>
      </c>
      <c r="E925" s="86">
        <v>1</v>
      </c>
      <c r="F925" s="86">
        <v>5</v>
      </c>
      <c r="G925" s="86" t="s">
        <v>115</v>
      </c>
      <c r="H925" s="86" t="s">
        <v>7307</v>
      </c>
      <c r="I925" s="86" t="s">
        <v>115</v>
      </c>
      <c r="J925" s="86">
        <v>20</v>
      </c>
      <c r="K925" s="86">
        <v>60500</v>
      </c>
      <c r="L925" s="86">
        <v>8032113</v>
      </c>
      <c r="M925" s="83"/>
      <c r="N925" s="83"/>
      <c r="O925" s="83"/>
      <c r="P925" s="86">
        <v>200112</v>
      </c>
      <c r="Q925" s="85">
        <v>371</v>
      </c>
      <c r="R925" s="86">
        <v>32016</v>
      </c>
      <c r="S925" s="87"/>
      <c r="T925" s="87"/>
      <c r="U925" s="87"/>
    </row>
    <row r="926" spans="1:21" x14ac:dyDescent="0.15">
      <c r="A926" s="86" t="s">
        <v>1</v>
      </c>
      <c r="B926" s="86">
        <v>8032113</v>
      </c>
      <c r="C926" s="86" t="s">
        <v>115</v>
      </c>
      <c r="D926" s="83"/>
      <c r="E926" s="86">
        <v>2</v>
      </c>
      <c r="F926" s="86">
        <v>5</v>
      </c>
      <c r="G926" s="83"/>
      <c r="H926" s="86" t="s">
        <v>7307</v>
      </c>
      <c r="I926" s="83"/>
      <c r="J926" s="83"/>
      <c r="K926" s="86">
        <v>60500</v>
      </c>
      <c r="L926" s="86">
        <v>0</v>
      </c>
      <c r="M926" s="83"/>
      <c r="N926" s="86">
        <v>200115</v>
      </c>
      <c r="O926" s="86">
        <v>200116</v>
      </c>
      <c r="P926" s="86">
        <v>200113</v>
      </c>
      <c r="Q926" s="85">
        <v>371</v>
      </c>
      <c r="R926" s="86">
        <v>23538</v>
      </c>
      <c r="S926" s="87"/>
      <c r="T926" s="87"/>
      <c r="U926" s="87"/>
    </row>
    <row r="927" spans="1:21" x14ac:dyDescent="0.15">
      <c r="A927" s="86" t="s">
        <v>1</v>
      </c>
      <c r="B927" s="85">
        <v>8032211</v>
      </c>
      <c r="C927" s="83"/>
      <c r="D927" s="86">
        <v>3</v>
      </c>
      <c r="E927" s="86" t="s">
        <v>115</v>
      </c>
      <c r="F927" s="86" t="s">
        <v>115</v>
      </c>
      <c r="G927" s="86" t="s">
        <v>115</v>
      </c>
      <c r="H927" s="86" t="s">
        <v>7307</v>
      </c>
      <c r="I927" s="86" t="s">
        <v>115</v>
      </c>
      <c r="J927" s="86" t="s">
        <v>115</v>
      </c>
      <c r="K927" s="86">
        <v>61000</v>
      </c>
      <c r="L927" s="86">
        <v>8032212</v>
      </c>
      <c r="M927" s="83"/>
      <c r="N927" s="86" t="s">
        <v>115</v>
      </c>
      <c r="O927" s="86" t="s">
        <v>115</v>
      </c>
      <c r="P927" s="86">
        <v>200111</v>
      </c>
      <c r="Q927" s="85">
        <v>371</v>
      </c>
      <c r="R927" s="86">
        <v>5640</v>
      </c>
      <c r="S927" s="87"/>
      <c r="T927" s="87"/>
      <c r="U927" s="87"/>
    </row>
    <row r="928" spans="1:21" x14ac:dyDescent="0.15">
      <c r="A928" s="86" t="s">
        <v>1</v>
      </c>
      <c r="B928" s="86">
        <v>8032212</v>
      </c>
      <c r="C928" s="86" t="s">
        <v>115</v>
      </c>
      <c r="D928" s="86" t="s">
        <v>115</v>
      </c>
      <c r="E928" s="86">
        <v>1</v>
      </c>
      <c r="F928" s="86">
        <v>5</v>
      </c>
      <c r="G928" s="86" t="s">
        <v>115</v>
      </c>
      <c r="H928" s="86" t="s">
        <v>7307</v>
      </c>
      <c r="I928" s="86" t="s">
        <v>115</v>
      </c>
      <c r="J928" s="86">
        <v>20</v>
      </c>
      <c r="K928" s="86">
        <v>61000</v>
      </c>
      <c r="L928" s="86">
        <v>8032213</v>
      </c>
      <c r="M928" s="83"/>
      <c r="N928" s="83"/>
      <c r="O928" s="83"/>
      <c r="P928" s="86">
        <v>200112</v>
      </c>
      <c r="Q928" s="85">
        <v>371</v>
      </c>
      <c r="R928" s="86">
        <v>31965</v>
      </c>
      <c r="S928" s="87"/>
      <c r="T928" s="87"/>
      <c r="U928" s="87"/>
    </row>
    <row r="929" spans="1:21" x14ac:dyDescent="0.15">
      <c r="A929" s="86" t="s">
        <v>1</v>
      </c>
      <c r="B929" s="85">
        <v>8032213</v>
      </c>
      <c r="C929" s="86" t="s">
        <v>115</v>
      </c>
      <c r="D929" s="83"/>
      <c r="E929" s="86">
        <v>2</v>
      </c>
      <c r="F929" s="86">
        <v>5</v>
      </c>
      <c r="G929" s="83"/>
      <c r="H929" s="86" t="s">
        <v>7307</v>
      </c>
      <c r="I929" s="83"/>
      <c r="J929" s="83"/>
      <c r="K929" s="86">
        <v>61000</v>
      </c>
      <c r="L929" s="86">
        <v>0</v>
      </c>
      <c r="M929" s="83"/>
      <c r="N929" s="86">
        <v>200115</v>
      </c>
      <c r="O929" s="86">
        <v>200116</v>
      </c>
      <c r="P929" s="86">
        <v>200113</v>
      </c>
      <c r="Q929" s="85">
        <v>371</v>
      </c>
      <c r="R929" s="86">
        <v>23538</v>
      </c>
      <c r="S929" s="87"/>
      <c r="T929" s="87"/>
      <c r="U929" s="87"/>
    </row>
    <row r="930" spans="1:21" x14ac:dyDescent="0.15">
      <c r="A930" s="86" t="s">
        <v>1</v>
      </c>
      <c r="B930" s="86">
        <v>8032311</v>
      </c>
      <c r="C930" s="86" t="s">
        <v>115</v>
      </c>
      <c r="D930" s="86">
        <v>3</v>
      </c>
      <c r="E930" s="86" t="s">
        <v>115</v>
      </c>
      <c r="F930" s="86" t="s">
        <v>115</v>
      </c>
      <c r="G930" s="86" t="s">
        <v>115</v>
      </c>
      <c r="H930" s="86" t="s">
        <v>7307</v>
      </c>
      <c r="I930" s="86" t="s">
        <v>115</v>
      </c>
      <c r="J930" s="86" t="s">
        <v>115</v>
      </c>
      <c r="K930" s="86">
        <v>61500</v>
      </c>
      <c r="L930" s="86">
        <v>8032312</v>
      </c>
      <c r="M930" s="83"/>
      <c r="N930" s="86" t="s">
        <v>115</v>
      </c>
      <c r="O930" s="86" t="s">
        <v>115</v>
      </c>
      <c r="P930" s="86">
        <v>200111</v>
      </c>
      <c r="Q930" s="85">
        <v>371</v>
      </c>
      <c r="R930" s="86">
        <v>5760</v>
      </c>
      <c r="S930" s="87"/>
      <c r="T930" s="87"/>
      <c r="U930" s="87"/>
    </row>
    <row r="931" spans="1:21" x14ac:dyDescent="0.15">
      <c r="A931" s="86" t="s">
        <v>1</v>
      </c>
      <c r="B931" s="85">
        <v>8032312</v>
      </c>
      <c r="C931" s="83"/>
      <c r="D931" s="86" t="s">
        <v>115</v>
      </c>
      <c r="E931" s="86">
        <v>1</v>
      </c>
      <c r="F931" s="86">
        <v>5</v>
      </c>
      <c r="G931" s="86" t="s">
        <v>115</v>
      </c>
      <c r="H931" s="86" t="s">
        <v>7307</v>
      </c>
      <c r="I931" s="86" t="s">
        <v>115</v>
      </c>
      <c r="J931" s="86">
        <v>20</v>
      </c>
      <c r="K931" s="86">
        <v>61500</v>
      </c>
      <c r="L931" s="86">
        <v>8032313</v>
      </c>
      <c r="M931" s="83"/>
      <c r="N931" s="83"/>
      <c r="O931" s="83"/>
      <c r="P931" s="86">
        <v>200112</v>
      </c>
      <c r="Q931" s="85">
        <v>371</v>
      </c>
      <c r="R931" s="86">
        <v>31965</v>
      </c>
      <c r="S931" s="87"/>
      <c r="T931" s="87"/>
      <c r="U931" s="87"/>
    </row>
    <row r="932" spans="1:21" x14ac:dyDescent="0.15">
      <c r="A932" s="86" t="s">
        <v>1</v>
      </c>
      <c r="B932" s="86">
        <v>8032313</v>
      </c>
      <c r="C932" s="86" t="s">
        <v>115</v>
      </c>
      <c r="D932" s="83"/>
      <c r="E932" s="86">
        <v>2</v>
      </c>
      <c r="F932" s="86">
        <v>5</v>
      </c>
      <c r="G932" s="83"/>
      <c r="H932" s="86" t="s">
        <v>7307</v>
      </c>
      <c r="I932" s="83"/>
      <c r="J932" s="83"/>
      <c r="K932" s="86">
        <v>61500</v>
      </c>
      <c r="L932" s="86">
        <v>0</v>
      </c>
      <c r="M932" s="83"/>
      <c r="N932" s="86">
        <v>200115</v>
      </c>
      <c r="O932" s="86">
        <v>200116</v>
      </c>
      <c r="P932" s="86">
        <v>200113</v>
      </c>
      <c r="Q932" s="85">
        <v>371</v>
      </c>
      <c r="R932" s="86">
        <v>23938</v>
      </c>
      <c r="S932" s="87"/>
      <c r="T932" s="87"/>
      <c r="U932" s="87"/>
    </row>
    <row r="933" spans="1:21" x14ac:dyDescent="0.15">
      <c r="A933" s="86" t="s">
        <v>1</v>
      </c>
      <c r="B933" s="85">
        <v>8040111</v>
      </c>
      <c r="C933" s="86" t="s">
        <v>115</v>
      </c>
      <c r="D933" s="86">
        <v>3</v>
      </c>
      <c r="E933" s="86" t="s">
        <v>115</v>
      </c>
      <c r="F933" s="86" t="s">
        <v>115</v>
      </c>
      <c r="G933" s="86" t="s">
        <v>115</v>
      </c>
      <c r="H933" s="86" t="s">
        <v>7307</v>
      </c>
      <c r="I933" s="86" t="s">
        <v>115</v>
      </c>
      <c r="J933" s="86" t="s">
        <v>115</v>
      </c>
      <c r="K933" s="86">
        <v>55000</v>
      </c>
      <c r="L933" s="86">
        <v>8040112</v>
      </c>
      <c r="M933" s="83"/>
      <c r="N933" s="86" t="s">
        <v>115</v>
      </c>
      <c r="O933" s="86" t="s">
        <v>115</v>
      </c>
      <c r="P933" s="86">
        <v>200111</v>
      </c>
      <c r="Q933" s="85">
        <v>371</v>
      </c>
      <c r="R933" s="86">
        <v>270</v>
      </c>
      <c r="S933" s="87"/>
      <c r="T933" s="87"/>
      <c r="U933" s="87"/>
    </row>
    <row r="934" spans="1:21" x14ac:dyDescent="0.15">
      <c r="A934" s="86" t="s">
        <v>1</v>
      </c>
      <c r="B934" s="86">
        <v>8040112</v>
      </c>
      <c r="C934" s="86" t="s">
        <v>115</v>
      </c>
      <c r="D934" s="86" t="s">
        <v>115</v>
      </c>
      <c r="E934" s="86">
        <v>1</v>
      </c>
      <c r="F934" s="86">
        <v>5</v>
      </c>
      <c r="G934" s="86" t="s">
        <v>115</v>
      </c>
      <c r="H934" s="86" t="s">
        <v>7307</v>
      </c>
      <c r="I934" s="86" t="s">
        <v>115</v>
      </c>
      <c r="J934" s="86">
        <v>20</v>
      </c>
      <c r="K934" s="86">
        <v>55000</v>
      </c>
      <c r="L934" s="86">
        <v>8040113</v>
      </c>
      <c r="M934" s="83"/>
      <c r="N934" s="83"/>
      <c r="O934" s="83"/>
      <c r="P934" s="86">
        <v>200112</v>
      </c>
      <c r="Q934" s="85">
        <v>371</v>
      </c>
      <c r="R934" s="86">
        <v>270</v>
      </c>
      <c r="S934" s="87"/>
      <c r="T934" s="87"/>
      <c r="U934" s="87"/>
    </row>
    <row r="935" spans="1:21" x14ac:dyDescent="0.15">
      <c r="A935" s="86" t="s">
        <v>1</v>
      </c>
      <c r="B935" s="85">
        <v>8040113</v>
      </c>
      <c r="C935" s="83"/>
      <c r="D935" s="83"/>
      <c r="E935" s="86">
        <v>2</v>
      </c>
      <c r="F935" s="86">
        <v>5</v>
      </c>
      <c r="G935" s="83"/>
      <c r="H935" s="86" t="s">
        <v>7307</v>
      </c>
      <c r="I935" s="83"/>
      <c r="J935" s="83"/>
      <c r="K935" s="86">
        <v>55000</v>
      </c>
      <c r="L935" s="86">
        <v>0</v>
      </c>
      <c r="M935" s="83"/>
      <c r="N935" s="86">
        <v>200115</v>
      </c>
      <c r="O935" s="86">
        <v>200116</v>
      </c>
      <c r="P935" s="86">
        <v>200113</v>
      </c>
      <c r="Q935" s="85">
        <v>371</v>
      </c>
      <c r="R935" s="86">
        <v>270</v>
      </c>
      <c r="S935" s="87"/>
      <c r="T935" s="87"/>
      <c r="U935" s="87"/>
    </row>
    <row r="936" spans="1:21" x14ac:dyDescent="0.15">
      <c r="A936" s="86" t="s">
        <v>1</v>
      </c>
      <c r="B936" s="86">
        <v>8040211</v>
      </c>
      <c r="C936" s="86" t="s">
        <v>115</v>
      </c>
      <c r="D936" s="86">
        <v>3</v>
      </c>
      <c r="E936" s="86" t="s">
        <v>115</v>
      </c>
      <c r="F936" s="86" t="s">
        <v>115</v>
      </c>
      <c r="G936" s="86" t="s">
        <v>115</v>
      </c>
      <c r="H936" s="86" t="s">
        <v>7307</v>
      </c>
      <c r="I936" s="86" t="s">
        <v>115</v>
      </c>
      <c r="J936" s="86" t="s">
        <v>115</v>
      </c>
      <c r="K936" s="86">
        <v>56000</v>
      </c>
      <c r="L936" s="86">
        <v>8040212</v>
      </c>
      <c r="M936" s="83"/>
      <c r="N936" s="86" t="s">
        <v>115</v>
      </c>
      <c r="O936" s="86" t="s">
        <v>115</v>
      </c>
      <c r="P936" s="86">
        <v>200111</v>
      </c>
      <c r="Q936" s="85">
        <v>371</v>
      </c>
      <c r="R936" s="86">
        <v>270</v>
      </c>
      <c r="S936" s="87"/>
      <c r="T936" s="87"/>
      <c r="U936" s="87"/>
    </row>
    <row r="937" spans="1:21" x14ac:dyDescent="0.15">
      <c r="A937" s="86" t="s">
        <v>1</v>
      </c>
      <c r="B937" s="85">
        <v>8040212</v>
      </c>
      <c r="C937" s="86" t="s">
        <v>115</v>
      </c>
      <c r="D937" s="86" t="s">
        <v>115</v>
      </c>
      <c r="E937" s="86">
        <v>1</v>
      </c>
      <c r="F937" s="86">
        <v>5</v>
      </c>
      <c r="G937" s="86" t="s">
        <v>115</v>
      </c>
      <c r="H937" s="86" t="s">
        <v>7307</v>
      </c>
      <c r="I937" s="86" t="s">
        <v>115</v>
      </c>
      <c r="J937" s="86">
        <v>20</v>
      </c>
      <c r="K937" s="86">
        <v>56000</v>
      </c>
      <c r="L937" s="86">
        <v>8040213</v>
      </c>
      <c r="M937" s="83"/>
      <c r="N937" s="83"/>
      <c r="O937" s="83"/>
      <c r="P937" s="86">
        <v>200112</v>
      </c>
      <c r="Q937" s="85">
        <v>371</v>
      </c>
      <c r="R937" s="86">
        <v>270</v>
      </c>
      <c r="S937" s="87"/>
      <c r="T937" s="87"/>
      <c r="U937" s="87"/>
    </row>
    <row r="938" spans="1:21" x14ac:dyDescent="0.15">
      <c r="A938" s="86" t="s">
        <v>1</v>
      </c>
      <c r="B938" s="86">
        <v>8040213</v>
      </c>
      <c r="C938" s="86" t="s">
        <v>115</v>
      </c>
      <c r="D938" s="83"/>
      <c r="E938" s="86">
        <v>2</v>
      </c>
      <c r="F938" s="86">
        <v>5</v>
      </c>
      <c r="G938" s="83"/>
      <c r="H938" s="86" t="s">
        <v>7307</v>
      </c>
      <c r="I938" s="83"/>
      <c r="J938" s="83"/>
      <c r="K938" s="86">
        <v>56000</v>
      </c>
      <c r="L938" s="86">
        <v>0</v>
      </c>
      <c r="M938" s="83"/>
      <c r="N938" s="86">
        <v>200115</v>
      </c>
      <c r="O938" s="86">
        <v>200116</v>
      </c>
      <c r="P938" s="86">
        <v>200113</v>
      </c>
      <c r="Q938" s="85">
        <v>371</v>
      </c>
      <c r="R938" s="86">
        <v>270</v>
      </c>
      <c r="S938" s="87"/>
      <c r="T938" s="87"/>
      <c r="U938" s="87"/>
    </row>
    <row r="939" spans="1:21" x14ac:dyDescent="0.15">
      <c r="A939" s="86" t="s">
        <v>1</v>
      </c>
      <c r="B939" s="85">
        <v>8040311</v>
      </c>
      <c r="C939" s="83"/>
      <c r="D939" s="86">
        <v>3</v>
      </c>
      <c r="E939" s="86" t="s">
        <v>115</v>
      </c>
      <c r="F939" s="86" t="s">
        <v>115</v>
      </c>
      <c r="G939" s="86" t="s">
        <v>115</v>
      </c>
      <c r="H939" s="86" t="s">
        <v>7307</v>
      </c>
      <c r="I939" s="86" t="s">
        <v>115</v>
      </c>
      <c r="J939" s="86" t="s">
        <v>115</v>
      </c>
      <c r="K939" s="86">
        <v>57000</v>
      </c>
      <c r="L939" s="86">
        <v>8040312</v>
      </c>
      <c r="M939" s="83"/>
      <c r="N939" s="86" t="s">
        <v>115</v>
      </c>
      <c r="O939" s="86" t="s">
        <v>115</v>
      </c>
      <c r="P939" s="86">
        <v>200111</v>
      </c>
      <c r="Q939" s="85">
        <v>371</v>
      </c>
      <c r="R939" s="86">
        <v>270</v>
      </c>
      <c r="S939" s="87"/>
      <c r="T939" s="87"/>
      <c r="U939" s="87"/>
    </row>
    <row r="940" spans="1:21" x14ac:dyDescent="0.15">
      <c r="A940" s="86" t="s">
        <v>1</v>
      </c>
      <c r="B940" s="86">
        <v>8040312</v>
      </c>
      <c r="C940" s="86" t="s">
        <v>115</v>
      </c>
      <c r="D940" s="86" t="s">
        <v>115</v>
      </c>
      <c r="E940" s="86">
        <v>1</v>
      </c>
      <c r="F940" s="86">
        <v>5</v>
      </c>
      <c r="G940" s="86" t="s">
        <v>115</v>
      </c>
      <c r="H940" s="86" t="s">
        <v>7307</v>
      </c>
      <c r="I940" s="86" t="s">
        <v>115</v>
      </c>
      <c r="J940" s="86">
        <v>20</v>
      </c>
      <c r="K940" s="86">
        <v>57000</v>
      </c>
      <c r="L940" s="86">
        <v>8040313</v>
      </c>
      <c r="M940" s="83"/>
      <c r="N940" s="83"/>
      <c r="O940" s="83"/>
      <c r="P940" s="86">
        <v>200112</v>
      </c>
      <c r="Q940" s="85">
        <v>371</v>
      </c>
      <c r="R940" s="86">
        <v>270</v>
      </c>
      <c r="S940" s="87"/>
      <c r="T940" s="87"/>
      <c r="U940" s="87"/>
    </row>
    <row r="941" spans="1:21" x14ac:dyDescent="0.15">
      <c r="A941" s="86" t="s">
        <v>1</v>
      </c>
      <c r="B941" s="85">
        <v>8040313</v>
      </c>
      <c r="C941" s="86" t="s">
        <v>115</v>
      </c>
      <c r="D941" s="83"/>
      <c r="E941" s="86">
        <v>2</v>
      </c>
      <c r="F941" s="86">
        <v>5</v>
      </c>
      <c r="G941" s="83"/>
      <c r="H941" s="86" t="s">
        <v>7307</v>
      </c>
      <c r="I941" s="83"/>
      <c r="J941" s="83"/>
      <c r="K941" s="86">
        <v>57000</v>
      </c>
      <c r="L941" s="86">
        <v>0</v>
      </c>
      <c r="M941" s="83"/>
      <c r="N941" s="86">
        <v>200115</v>
      </c>
      <c r="O941" s="86">
        <v>200116</v>
      </c>
      <c r="P941" s="86">
        <v>200113</v>
      </c>
      <c r="Q941" s="85">
        <v>371</v>
      </c>
      <c r="R941" s="86">
        <v>270</v>
      </c>
      <c r="S941" s="87"/>
      <c r="T941" s="87"/>
      <c r="U941" s="87"/>
    </row>
    <row r="942" spans="1:21" x14ac:dyDescent="0.15">
      <c r="A942" s="86" t="s">
        <v>1</v>
      </c>
      <c r="B942" s="86">
        <v>8040411</v>
      </c>
      <c r="C942" s="86" t="s">
        <v>115</v>
      </c>
      <c r="D942" s="86">
        <v>3</v>
      </c>
      <c r="E942" s="86" t="s">
        <v>115</v>
      </c>
      <c r="F942" s="86" t="s">
        <v>115</v>
      </c>
      <c r="G942" s="86" t="s">
        <v>115</v>
      </c>
      <c r="H942" s="86" t="s">
        <v>7307</v>
      </c>
      <c r="I942" s="86" t="s">
        <v>115</v>
      </c>
      <c r="J942" s="86" t="s">
        <v>115</v>
      </c>
      <c r="K942" s="86">
        <v>58000</v>
      </c>
      <c r="L942" s="86">
        <v>8040412</v>
      </c>
      <c r="M942" s="83"/>
      <c r="N942" s="86" t="s">
        <v>115</v>
      </c>
      <c r="O942" s="86" t="s">
        <v>115</v>
      </c>
      <c r="P942" s="86">
        <v>200111</v>
      </c>
      <c r="Q942" s="85">
        <v>371</v>
      </c>
      <c r="R942" s="86">
        <v>270</v>
      </c>
      <c r="S942" s="87"/>
      <c r="T942" s="87"/>
      <c r="U942" s="87"/>
    </row>
    <row r="943" spans="1:21" x14ac:dyDescent="0.15">
      <c r="A943" s="86" t="s">
        <v>1</v>
      </c>
      <c r="B943" s="85">
        <v>8040412</v>
      </c>
      <c r="C943" s="83"/>
      <c r="D943" s="86" t="s">
        <v>115</v>
      </c>
      <c r="E943" s="86">
        <v>1</v>
      </c>
      <c r="F943" s="86">
        <v>5</v>
      </c>
      <c r="G943" s="86" t="s">
        <v>115</v>
      </c>
      <c r="H943" s="86" t="s">
        <v>7307</v>
      </c>
      <c r="I943" s="86" t="s">
        <v>115</v>
      </c>
      <c r="J943" s="86">
        <v>20</v>
      </c>
      <c r="K943" s="86">
        <v>58000</v>
      </c>
      <c r="L943" s="86">
        <v>8040413</v>
      </c>
      <c r="M943" s="83"/>
      <c r="N943" s="83"/>
      <c r="O943" s="83"/>
      <c r="P943" s="86">
        <v>200112</v>
      </c>
      <c r="Q943" s="85">
        <v>371</v>
      </c>
      <c r="R943" s="86">
        <v>270</v>
      </c>
      <c r="S943" s="87"/>
      <c r="T943" s="87"/>
      <c r="U943" s="87"/>
    </row>
    <row r="944" spans="1:21" x14ac:dyDescent="0.15">
      <c r="A944" s="86" t="s">
        <v>1</v>
      </c>
      <c r="B944" s="86">
        <v>8040413</v>
      </c>
      <c r="C944" s="86" t="s">
        <v>115</v>
      </c>
      <c r="D944" s="83"/>
      <c r="E944" s="86">
        <v>2</v>
      </c>
      <c r="F944" s="86">
        <v>5</v>
      </c>
      <c r="G944" s="83"/>
      <c r="H944" s="86" t="s">
        <v>7307</v>
      </c>
      <c r="I944" s="83"/>
      <c r="J944" s="83"/>
      <c r="K944" s="86">
        <v>58000</v>
      </c>
      <c r="L944" s="86">
        <v>0</v>
      </c>
      <c r="M944" s="83"/>
      <c r="N944" s="86">
        <v>200115</v>
      </c>
      <c r="O944" s="86">
        <v>200116</v>
      </c>
      <c r="P944" s="86">
        <v>200113</v>
      </c>
      <c r="Q944" s="85">
        <v>371</v>
      </c>
      <c r="R944" s="86">
        <v>270</v>
      </c>
      <c r="S944" s="87"/>
      <c r="T944" s="87"/>
      <c r="U944" s="87"/>
    </row>
    <row r="945" spans="1:21" x14ac:dyDescent="0.15">
      <c r="A945" s="86" t="s">
        <v>1</v>
      </c>
      <c r="B945" s="85">
        <v>8040511</v>
      </c>
      <c r="C945" s="86" t="s">
        <v>115</v>
      </c>
      <c r="D945" s="86">
        <v>3</v>
      </c>
      <c r="E945" s="86" t="s">
        <v>115</v>
      </c>
      <c r="F945" s="86" t="s">
        <v>115</v>
      </c>
      <c r="G945" s="86" t="s">
        <v>115</v>
      </c>
      <c r="H945" s="86" t="s">
        <v>7307</v>
      </c>
      <c r="I945" s="86" t="s">
        <v>115</v>
      </c>
      <c r="J945" s="86" t="s">
        <v>115</v>
      </c>
      <c r="K945" s="86">
        <v>59000</v>
      </c>
      <c r="L945" s="86">
        <v>8040512</v>
      </c>
      <c r="M945" s="83"/>
      <c r="N945" s="86" t="s">
        <v>115</v>
      </c>
      <c r="O945" s="86" t="s">
        <v>115</v>
      </c>
      <c r="P945" s="86">
        <v>200111</v>
      </c>
      <c r="Q945" s="85">
        <v>371</v>
      </c>
      <c r="R945" s="86">
        <v>270</v>
      </c>
      <c r="S945" s="87"/>
      <c r="T945" s="87"/>
      <c r="U945" s="87"/>
    </row>
    <row r="946" spans="1:21" x14ac:dyDescent="0.15">
      <c r="A946" s="86" t="s">
        <v>1</v>
      </c>
      <c r="B946" s="86">
        <v>8040512</v>
      </c>
      <c r="C946" s="86" t="s">
        <v>115</v>
      </c>
      <c r="D946" s="86" t="s">
        <v>115</v>
      </c>
      <c r="E946" s="86">
        <v>1</v>
      </c>
      <c r="F946" s="86">
        <v>5</v>
      </c>
      <c r="G946" s="86" t="s">
        <v>115</v>
      </c>
      <c r="H946" s="86" t="s">
        <v>7307</v>
      </c>
      <c r="I946" s="86" t="s">
        <v>115</v>
      </c>
      <c r="J946" s="86">
        <v>20</v>
      </c>
      <c r="K946" s="86">
        <v>59000</v>
      </c>
      <c r="L946" s="86">
        <v>8040513</v>
      </c>
      <c r="M946" s="83"/>
      <c r="N946" s="83"/>
      <c r="O946" s="83"/>
      <c r="P946" s="86">
        <v>200112</v>
      </c>
      <c r="Q946" s="85">
        <v>371</v>
      </c>
      <c r="R946" s="86">
        <v>270</v>
      </c>
      <c r="S946" s="87"/>
      <c r="T946" s="87"/>
      <c r="U946" s="87"/>
    </row>
    <row r="947" spans="1:21" x14ac:dyDescent="0.15">
      <c r="A947" s="86" t="s">
        <v>1</v>
      </c>
      <c r="B947" s="85">
        <v>8040513</v>
      </c>
      <c r="C947" s="83"/>
      <c r="D947" s="83"/>
      <c r="E947" s="86">
        <v>2</v>
      </c>
      <c r="F947" s="86">
        <v>5</v>
      </c>
      <c r="G947" s="83"/>
      <c r="H947" s="86" t="s">
        <v>7307</v>
      </c>
      <c r="I947" s="83"/>
      <c r="J947" s="83"/>
      <c r="K947" s="86">
        <v>59000</v>
      </c>
      <c r="L947" s="86">
        <v>0</v>
      </c>
      <c r="M947" s="83"/>
      <c r="N947" s="86">
        <v>200115</v>
      </c>
      <c r="O947" s="86">
        <v>200116</v>
      </c>
      <c r="P947" s="86">
        <v>200113</v>
      </c>
      <c r="Q947" s="85">
        <v>371</v>
      </c>
      <c r="R947" s="86">
        <v>270</v>
      </c>
      <c r="S947" s="87"/>
      <c r="T947" s="87"/>
      <c r="U947" s="87"/>
    </row>
    <row r="948" spans="1:21" x14ac:dyDescent="0.15">
      <c r="A948" s="86" t="s">
        <v>1</v>
      </c>
      <c r="B948" s="86">
        <v>8040611</v>
      </c>
      <c r="C948" s="86" t="s">
        <v>115</v>
      </c>
      <c r="D948" s="86">
        <v>3</v>
      </c>
      <c r="E948" s="86" t="s">
        <v>115</v>
      </c>
      <c r="F948" s="86" t="s">
        <v>115</v>
      </c>
      <c r="G948" s="86" t="s">
        <v>115</v>
      </c>
      <c r="H948" s="86" t="s">
        <v>7307</v>
      </c>
      <c r="I948" s="86" t="s">
        <v>115</v>
      </c>
      <c r="J948" s="86" t="s">
        <v>115</v>
      </c>
      <c r="K948" s="86">
        <v>60000</v>
      </c>
      <c r="L948" s="86">
        <v>8040612</v>
      </c>
      <c r="M948" s="83"/>
      <c r="N948" s="86" t="s">
        <v>115</v>
      </c>
      <c r="O948" s="86" t="s">
        <v>115</v>
      </c>
      <c r="P948" s="86">
        <v>200111</v>
      </c>
      <c r="Q948" s="85">
        <v>371</v>
      </c>
      <c r="R948" s="86">
        <v>270</v>
      </c>
      <c r="S948" s="87"/>
      <c r="T948" s="87"/>
      <c r="U948" s="87"/>
    </row>
    <row r="949" spans="1:21" x14ac:dyDescent="0.15">
      <c r="A949" s="86" t="s">
        <v>1</v>
      </c>
      <c r="B949" s="85">
        <v>8040612</v>
      </c>
      <c r="C949" s="86" t="s">
        <v>115</v>
      </c>
      <c r="D949" s="86" t="s">
        <v>115</v>
      </c>
      <c r="E949" s="86">
        <v>1</v>
      </c>
      <c r="F949" s="86">
        <v>5</v>
      </c>
      <c r="G949" s="86" t="s">
        <v>115</v>
      </c>
      <c r="H949" s="86" t="s">
        <v>7307</v>
      </c>
      <c r="I949" s="86" t="s">
        <v>115</v>
      </c>
      <c r="J949" s="86">
        <v>20</v>
      </c>
      <c r="K949" s="86">
        <v>60000</v>
      </c>
      <c r="L949" s="86">
        <v>8040613</v>
      </c>
      <c r="M949" s="83"/>
      <c r="N949" s="83"/>
      <c r="O949" s="83"/>
      <c r="P949" s="86">
        <v>200112</v>
      </c>
      <c r="Q949" s="85">
        <v>371</v>
      </c>
      <c r="R949" s="86">
        <v>270</v>
      </c>
      <c r="S949" s="87"/>
      <c r="T949" s="87"/>
      <c r="U949" s="87"/>
    </row>
    <row r="950" spans="1:21" x14ac:dyDescent="0.15">
      <c r="A950" s="86" t="s">
        <v>1</v>
      </c>
      <c r="B950" s="86">
        <v>8040613</v>
      </c>
      <c r="C950" s="86" t="s">
        <v>115</v>
      </c>
      <c r="D950" s="83"/>
      <c r="E950" s="86">
        <v>2</v>
      </c>
      <c r="F950" s="86">
        <v>5</v>
      </c>
      <c r="G950" s="83"/>
      <c r="H950" s="86" t="s">
        <v>7307</v>
      </c>
      <c r="I950" s="83"/>
      <c r="J950" s="83"/>
      <c r="K950" s="86">
        <v>60000</v>
      </c>
      <c r="L950" s="86">
        <v>0</v>
      </c>
      <c r="M950" s="83"/>
      <c r="N950" s="86">
        <v>200115</v>
      </c>
      <c r="O950" s="86">
        <v>200116</v>
      </c>
      <c r="P950" s="86">
        <v>200113</v>
      </c>
      <c r="Q950" s="85">
        <v>371</v>
      </c>
      <c r="R950" s="86">
        <v>270</v>
      </c>
      <c r="S950" s="87"/>
      <c r="T950" s="87"/>
      <c r="U950" s="87"/>
    </row>
    <row r="951" spans="1:21" x14ac:dyDescent="0.15">
      <c r="A951" s="86" t="s">
        <v>1</v>
      </c>
      <c r="B951" s="85">
        <v>8040711</v>
      </c>
      <c r="C951" s="83"/>
      <c r="D951" s="86">
        <v>3</v>
      </c>
      <c r="E951" s="86" t="s">
        <v>115</v>
      </c>
      <c r="F951" s="86" t="s">
        <v>115</v>
      </c>
      <c r="G951" s="86" t="s">
        <v>115</v>
      </c>
      <c r="H951" s="86" t="s">
        <v>7307</v>
      </c>
      <c r="I951" s="86" t="s">
        <v>115</v>
      </c>
      <c r="J951" s="86" t="s">
        <v>115</v>
      </c>
      <c r="K951" s="86">
        <v>61000</v>
      </c>
      <c r="L951" s="86">
        <v>8040712</v>
      </c>
      <c r="M951" s="83"/>
      <c r="N951" s="86" t="s">
        <v>115</v>
      </c>
      <c r="O951" s="86" t="s">
        <v>115</v>
      </c>
      <c r="P951" s="86">
        <v>200111</v>
      </c>
      <c r="Q951" s="85">
        <v>371</v>
      </c>
      <c r="R951" s="86">
        <v>270</v>
      </c>
      <c r="S951" s="87"/>
      <c r="T951" s="87"/>
      <c r="U951" s="87"/>
    </row>
    <row r="952" spans="1:21" x14ac:dyDescent="0.15">
      <c r="A952" s="86" t="s">
        <v>1</v>
      </c>
      <c r="B952" s="86">
        <v>8040712</v>
      </c>
      <c r="C952" s="86" t="s">
        <v>115</v>
      </c>
      <c r="D952" s="86" t="s">
        <v>115</v>
      </c>
      <c r="E952" s="86">
        <v>1</v>
      </c>
      <c r="F952" s="86">
        <v>5</v>
      </c>
      <c r="G952" s="86" t="s">
        <v>115</v>
      </c>
      <c r="H952" s="86" t="s">
        <v>7307</v>
      </c>
      <c r="I952" s="86" t="s">
        <v>115</v>
      </c>
      <c r="J952" s="86">
        <v>20</v>
      </c>
      <c r="K952" s="86">
        <v>61000</v>
      </c>
      <c r="L952" s="86">
        <v>8040713</v>
      </c>
      <c r="M952" s="83"/>
      <c r="N952" s="83"/>
      <c r="O952" s="83"/>
      <c r="P952" s="86">
        <v>200112</v>
      </c>
      <c r="Q952" s="85">
        <v>371</v>
      </c>
      <c r="R952" s="86">
        <v>270</v>
      </c>
      <c r="S952" s="87"/>
      <c r="T952" s="87"/>
      <c r="U952" s="87"/>
    </row>
    <row r="953" spans="1:21" x14ac:dyDescent="0.15">
      <c r="A953" s="86" t="s">
        <v>1</v>
      </c>
      <c r="B953" s="85">
        <v>8040713</v>
      </c>
      <c r="C953" s="86" t="s">
        <v>115</v>
      </c>
      <c r="D953" s="83"/>
      <c r="E953" s="86">
        <v>2</v>
      </c>
      <c r="F953" s="86">
        <v>5</v>
      </c>
      <c r="G953" s="83"/>
      <c r="H953" s="86" t="s">
        <v>7307</v>
      </c>
      <c r="I953" s="83"/>
      <c r="J953" s="83"/>
      <c r="K953" s="86">
        <v>61000</v>
      </c>
      <c r="L953" s="86">
        <v>0</v>
      </c>
      <c r="M953" s="83"/>
      <c r="N953" s="86">
        <v>200115</v>
      </c>
      <c r="O953" s="86">
        <v>200116</v>
      </c>
      <c r="P953" s="86">
        <v>200113</v>
      </c>
      <c r="Q953" s="85">
        <v>371</v>
      </c>
      <c r="R953" s="86">
        <v>270</v>
      </c>
      <c r="S953" s="87"/>
      <c r="T953" s="87"/>
      <c r="U953" s="87"/>
    </row>
    <row r="954" spans="1:21" x14ac:dyDescent="0.15">
      <c r="A954" s="86" t="s">
        <v>1</v>
      </c>
      <c r="B954" s="86">
        <v>8040811</v>
      </c>
      <c r="C954" s="86" t="s">
        <v>115</v>
      </c>
      <c r="D954" s="86">
        <v>3</v>
      </c>
      <c r="E954" s="86" t="s">
        <v>115</v>
      </c>
      <c r="F954" s="86" t="s">
        <v>115</v>
      </c>
      <c r="G954" s="86" t="s">
        <v>115</v>
      </c>
      <c r="H954" s="86" t="s">
        <v>7307</v>
      </c>
      <c r="I954" s="86" t="s">
        <v>115</v>
      </c>
      <c r="J954" s="86" t="s">
        <v>115</v>
      </c>
      <c r="K954" s="86">
        <v>62000</v>
      </c>
      <c r="L954" s="86">
        <v>8040812</v>
      </c>
      <c r="M954" s="83"/>
      <c r="N954" s="86" t="s">
        <v>115</v>
      </c>
      <c r="O954" s="86" t="s">
        <v>115</v>
      </c>
      <c r="P954" s="86">
        <v>200111</v>
      </c>
      <c r="Q954" s="85">
        <v>371</v>
      </c>
      <c r="R954" s="86">
        <v>270</v>
      </c>
      <c r="S954" s="87"/>
      <c r="T954" s="87"/>
      <c r="U954" s="87"/>
    </row>
    <row r="955" spans="1:21" x14ac:dyDescent="0.15">
      <c r="A955" s="86" t="s">
        <v>1</v>
      </c>
      <c r="B955" s="85">
        <v>8040812</v>
      </c>
      <c r="C955" s="83"/>
      <c r="D955" s="86" t="s">
        <v>115</v>
      </c>
      <c r="E955" s="86">
        <v>1</v>
      </c>
      <c r="F955" s="86">
        <v>5</v>
      </c>
      <c r="G955" s="86" t="s">
        <v>115</v>
      </c>
      <c r="H955" s="86" t="s">
        <v>7307</v>
      </c>
      <c r="I955" s="86" t="s">
        <v>115</v>
      </c>
      <c r="J955" s="86">
        <v>20</v>
      </c>
      <c r="K955" s="86">
        <v>62000</v>
      </c>
      <c r="L955" s="86">
        <v>8040813</v>
      </c>
      <c r="M955" s="83"/>
      <c r="N955" s="83"/>
      <c r="O955" s="83"/>
      <c r="P955" s="86">
        <v>200112</v>
      </c>
      <c r="Q955" s="85">
        <v>371</v>
      </c>
      <c r="R955" s="86">
        <v>270</v>
      </c>
      <c r="S955" s="87"/>
      <c r="T955" s="87"/>
      <c r="U955" s="87"/>
    </row>
    <row r="956" spans="1:21" x14ac:dyDescent="0.15">
      <c r="A956" s="86" t="s">
        <v>1</v>
      </c>
      <c r="B956" s="86">
        <v>8040813</v>
      </c>
      <c r="C956" s="86" t="s">
        <v>115</v>
      </c>
      <c r="D956" s="83"/>
      <c r="E956" s="86">
        <v>2</v>
      </c>
      <c r="F956" s="86">
        <v>5</v>
      </c>
      <c r="G956" s="83"/>
      <c r="H956" s="86" t="s">
        <v>7307</v>
      </c>
      <c r="I956" s="83"/>
      <c r="J956" s="83"/>
      <c r="K956" s="86">
        <v>62000</v>
      </c>
      <c r="L956" s="86">
        <v>0</v>
      </c>
      <c r="M956" s="83"/>
      <c r="N956" s="86">
        <v>200115</v>
      </c>
      <c r="O956" s="86">
        <v>200116</v>
      </c>
      <c r="P956" s="86">
        <v>200113</v>
      </c>
      <c r="Q956" s="85">
        <v>371</v>
      </c>
      <c r="R956" s="86">
        <v>270</v>
      </c>
      <c r="S956" s="87"/>
      <c r="T956" s="87"/>
      <c r="U956" s="87"/>
    </row>
    <row r="957" spans="1:21" x14ac:dyDescent="0.15">
      <c r="A957" s="86" t="s">
        <v>1</v>
      </c>
      <c r="B957" s="85">
        <v>8040911</v>
      </c>
      <c r="C957" s="86" t="s">
        <v>115</v>
      </c>
      <c r="D957" s="86">
        <v>3</v>
      </c>
      <c r="E957" s="86" t="s">
        <v>115</v>
      </c>
      <c r="F957" s="86" t="s">
        <v>115</v>
      </c>
      <c r="G957" s="86" t="s">
        <v>115</v>
      </c>
      <c r="H957" s="86" t="s">
        <v>7307</v>
      </c>
      <c r="I957" s="86" t="s">
        <v>115</v>
      </c>
      <c r="J957" s="86" t="s">
        <v>115</v>
      </c>
      <c r="K957" s="86">
        <v>63000</v>
      </c>
      <c r="L957" s="86">
        <v>8040912</v>
      </c>
      <c r="M957" s="83"/>
      <c r="N957" s="86" t="s">
        <v>115</v>
      </c>
      <c r="O957" s="86" t="s">
        <v>115</v>
      </c>
      <c r="P957" s="86">
        <v>200111</v>
      </c>
      <c r="Q957" s="85">
        <v>371</v>
      </c>
      <c r="R957" s="86">
        <v>270</v>
      </c>
      <c r="S957" s="87"/>
      <c r="T957" s="87"/>
      <c r="U957" s="87"/>
    </row>
    <row r="958" spans="1:21" x14ac:dyDescent="0.15">
      <c r="A958" s="86" t="s">
        <v>1</v>
      </c>
      <c r="B958" s="86">
        <v>8040912</v>
      </c>
      <c r="C958" s="86" t="s">
        <v>115</v>
      </c>
      <c r="D958" s="86" t="s">
        <v>115</v>
      </c>
      <c r="E958" s="86">
        <v>1</v>
      </c>
      <c r="F958" s="86">
        <v>5</v>
      </c>
      <c r="G958" s="86" t="s">
        <v>115</v>
      </c>
      <c r="H958" s="86" t="s">
        <v>7307</v>
      </c>
      <c r="I958" s="86" t="s">
        <v>115</v>
      </c>
      <c r="J958" s="86">
        <v>20</v>
      </c>
      <c r="K958" s="86">
        <v>63000</v>
      </c>
      <c r="L958" s="86">
        <v>8040913</v>
      </c>
      <c r="M958" s="83"/>
      <c r="N958" s="83"/>
      <c r="O958" s="83"/>
      <c r="P958" s="86">
        <v>200112</v>
      </c>
      <c r="Q958" s="85">
        <v>371</v>
      </c>
      <c r="R958" s="86">
        <v>270</v>
      </c>
      <c r="S958" s="87"/>
      <c r="T958" s="87"/>
      <c r="U958" s="87"/>
    </row>
    <row r="959" spans="1:21" x14ac:dyDescent="0.15">
      <c r="A959" s="86" t="s">
        <v>1</v>
      </c>
      <c r="B959" s="85">
        <v>8040913</v>
      </c>
      <c r="C959" s="83"/>
      <c r="D959" s="83"/>
      <c r="E959" s="86">
        <v>2</v>
      </c>
      <c r="F959" s="86">
        <v>5</v>
      </c>
      <c r="G959" s="83"/>
      <c r="H959" s="86" t="s">
        <v>7307</v>
      </c>
      <c r="I959" s="83"/>
      <c r="J959" s="83"/>
      <c r="K959" s="86">
        <v>63000</v>
      </c>
      <c r="L959" s="86">
        <v>0</v>
      </c>
      <c r="M959" s="83"/>
      <c r="N959" s="86">
        <v>200115</v>
      </c>
      <c r="O959" s="86">
        <v>200116</v>
      </c>
      <c r="P959" s="86">
        <v>200113</v>
      </c>
      <c r="Q959" s="85">
        <v>371</v>
      </c>
      <c r="R959" s="86">
        <v>270</v>
      </c>
      <c r="S959" s="87"/>
      <c r="T959" s="87"/>
      <c r="U959" s="87"/>
    </row>
    <row r="960" spans="1:21" x14ac:dyDescent="0.15">
      <c r="A960" s="86" t="s">
        <v>1</v>
      </c>
      <c r="B960" s="86">
        <v>8041011</v>
      </c>
      <c r="C960" s="86" t="s">
        <v>115</v>
      </c>
      <c r="D960" s="86">
        <v>3</v>
      </c>
      <c r="E960" s="86" t="s">
        <v>115</v>
      </c>
      <c r="F960" s="86" t="s">
        <v>115</v>
      </c>
      <c r="G960" s="86" t="s">
        <v>115</v>
      </c>
      <c r="H960" s="86" t="s">
        <v>7307</v>
      </c>
      <c r="I960" s="86" t="s">
        <v>115</v>
      </c>
      <c r="J960" s="86" t="s">
        <v>115</v>
      </c>
      <c r="K960" s="86">
        <v>64000</v>
      </c>
      <c r="L960" s="86">
        <v>8041012</v>
      </c>
      <c r="M960" s="83"/>
      <c r="N960" s="86" t="s">
        <v>115</v>
      </c>
      <c r="O960" s="86" t="s">
        <v>115</v>
      </c>
      <c r="P960" s="86">
        <v>200111</v>
      </c>
      <c r="Q960" s="85">
        <v>371</v>
      </c>
      <c r="R960" s="86">
        <v>270</v>
      </c>
      <c r="S960" s="87"/>
      <c r="T960" s="87"/>
      <c r="U960" s="87"/>
    </row>
    <row r="961" spans="1:21" x14ac:dyDescent="0.15">
      <c r="A961" s="86" t="s">
        <v>1</v>
      </c>
      <c r="B961" s="85">
        <v>8041012</v>
      </c>
      <c r="C961" s="83"/>
      <c r="D961" s="86" t="s">
        <v>115</v>
      </c>
      <c r="E961" s="86">
        <v>1</v>
      </c>
      <c r="F961" s="86">
        <v>5</v>
      </c>
      <c r="G961" s="86" t="s">
        <v>115</v>
      </c>
      <c r="H961" s="86" t="s">
        <v>7307</v>
      </c>
      <c r="I961" s="86" t="s">
        <v>115</v>
      </c>
      <c r="J961" s="86">
        <v>20</v>
      </c>
      <c r="K961" s="86">
        <v>64000</v>
      </c>
      <c r="L961" s="86">
        <v>8041013</v>
      </c>
      <c r="M961" s="83"/>
      <c r="N961" s="83"/>
      <c r="O961" s="83"/>
      <c r="P961" s="86">
        <v>200112</v>
      </c>
      <c r="Q961" s="85">
        <v>371</v>
      </c>
      <c r="R961" s="86">
        <v>270</v>
      </c>
      <c r="S961" s="87"/>
      <c r="T961" s="87"/>
      <c r="U961" s="87"/>
    </row>
    <row r="962" spans="1:21" x14ac:dyDescent="0.15">
      <c r="A962" s="86" t="s">
        <v>1</v>
      </c>
      <c r="B962" s="85">
        <v>8041013</v>
      </c>
      <c r="C962" s="83"/>
      <c r="D962" s="83"/>
      <c r="E962" s="86">
        <v>2</v>
      </c>
      <c r="F962" s="86">
        <v>5</v>
      </c>
      <c r="G962" s="83"/>
      <c r="H962" s="86" t="s">
        <v>7307</v>
      </c>
      <c r="I962" s="83"/>
      <c r="J962" s="83"/>
      <c r="K962" s="86">
        <v>64000</v>
      </c>
      <c r="L962" s="86">
        <v>0</v>
      </c>
      <c r="M962" s="83"/>
      <c r="N962" s="86">
        <v>200115</v>
      </c>
      <c r="O962" s="86">
        <v>200116</v>
      </c>
      <c r="P962" s="86">
        <v>200113</v>
      </c>
      <c r="Q962" s="85">
        <v>371</v>
      </c>
      <c r="R962" s="86">
        <v>270</v>
      </c>
      <c r="S962" s="87"/>
      <c r="T962" s="87"/>
      <c r="U962" s="87"/>
    </row>
    <row r="963" spans="1:21" x14ac:dyDescent="0.15">
      <c r="A963" s="86" t="s">
        <v>1</v>
      </c>
      <c r="B963" s="85">
        <v>8041111</v>
      </c>
      <c r="C963" s="83"/>
      <c r="D963" s="86">
        <v>3</v>
      </c>
      <c r="E963" s="86" t="s">
        <v>115</v>
      </c>
      <c r="F963" s="86" t="s">
        <v>115</v>
      </c>
      <c r="G963" s="86" t="s">
        <v>115</v>
      </c>
      <c r="H963" s="86" t="s">
        <v>7307</v>
      </c>
      <c r="I963" s="86" t="s">
        <v>115</v>
      </c>
      <c r="J963" s="86" t="s">
        <v>115</v>
      </c>
      <c r="K963" s="86">
        <v>65000</v>
      </c>
      <c r="L963" s="86">
        <v>8041112</v>
      </c>
      <c r="M963" s="83"/>
      <c r="N963" s="86" t="s">
        <v>115</v>
      </c>
      <c r="O963" s="86" t="s">
        <v>115</v>
      </c>
      <c r="P963" s="86">
        <v>200111</v>
      </c>
      <c r="Q963" s="85">
        <v>371</v>
      </c>
      <c r="R963" s="86">
        <v>270</v>
      </c>
      <c r="S963" s="87"/>
      <c r="T963" s="87"/>
      <c r="U963" s="87"/>
    </row>
    <row r="964" spans="1:21" x14ac:dyDescent="0.15">
      <c r="A964" s="86" t="s">
        <v>1</v>
      </c>
      <c r="B964" s="85">
        <v>8041112</v>
      </c>
      <c r="C964" s="83"/>
      <c r="D964" s="86" t="s">
        <v>115</v>
      </c>
      <c r="E964" s="86">
        <v>1</v>
      </c>
      <c r="F964" s="86">
        <v>5</v>
      </c>
      <c r="G964" s="86" t="s">
        <v>115</v>
      </c>
      <c r="H964" s="86" t="s">
        <v>7307</v>
      </c>
      <c r="I964" s="86" t="s">
        <v>115</v>
      </c>
      <c r="J964" s="86">
        <v>20</v>
      </c>
      <c r="K964" s="86">
        <v>65000</v>
      </c>
      <c r="L964" s="86">
        <v>8041113</v>
      </c>
      <c r="M964" s="83"/>
      <c r="N964" s="83"/>
      <c r="O964" s="83"/>
      <c r="P964" s="86">
        <v>200112</v>
      </c>
      <c r="Q964" s="85">
        <v>371</v>
      </c>
      <c r="R964" s="86">
        <v>270</v>
      </c>
      <c r="S964" s="87"/>
      <c r="T964" s="87"/>
      <c r="U964" s="87"/>
    </row>
    <row r="965" spans="1:21" x14ac:dyDescent="0.15">
      <c r="A965" s="86" t="s">
        <v>1</v>
      </c>
      <c r="B965" s="85">
        <v>8041113</v>
      </c>
      <c r="C965" s="83"/>
      <c r="D965" s="83"/>
      <c r="E965" s="86">
        <v>2</v>
      </c>
      <c r="F965" s="86">
        <v>5</v>
      </c>
      <c r="G965" s="83"/>
      <c r="H965" s="86" t="s">
        <v>7307</v>
      </c>
      <c r="I965" s="83"/>
      <c r="J965" s="83"/>
      <c r="K965" s="86">
        <v>65000</v>
      </c>
      <c r="L965" s="86">
        <v>0</v>
      </c>
      <c r="M965" s="83"/>
      <c r="N965" s="86">
        <v>200115</v>
      </c>
      <c r="O965" s="86">
        <v>200116</v>
      </c>
      <c r="P965" s="86">
        <v>200113</v>
      </c>
      <c r="Q965" s="85">
        <v>371</v>
      </c>
      <c r="R965" s="86">
        <v>270</v>
      </c>
      <c r="S965" s="87"/>
      <c r="T965" s="87"/>
      <c r="U965" s="87"/>
    </row>
    <row r="966" spans="1:21" x14ac:dyDescent="0.15">
      <c r="A966" s="86" t="s">
        <v>1</v>
      </c>
      <c r="B966" s="85">
        <v>8041211</v>
      </c>
      <c r="C966" s="83"/>
      <c r="D966" s="86">
        <v>3</v>
      </c>
      <c r="E966" s="86" t="s">
        <v>115</v>
      </c>
      <c r="F966" s="86" t="s">
        <v>115</v>
      </c>
      <c r="G966" s="86" t="s">
        <v>115</v>
      </c>
      <c r="H966" s="86" t="s">
        <v>7307</v>
      </c>
      <c r="I966" s="86" t="s">
        <v>115</v>
      </c>
      <c r="J966" s="86" t="s">
        <v>115</v>
      </c>
      <c r="K966" s="86">
        <v>66000</v>
      </c>
      <c r="L966" s="86">
        <v>8041212</v>
      </c>
      <c r="M966" s="83"/>
      <c r="N966" s="86" t="s">
        <v>115</v>
      </c>
      <c r="O966" s="86" t="s">
        <v>115</v>
      </c>
      <c r="P966" s="86">
        <v>200111</v>
      </c>
      <c r="Q966" s="85">
        <v>371</v>
      </c>
      <c r="R966" s="86">
        <v>270</v>
      </c>
      <c r="S966" s="87"/>
      <c r="T966" s="87"/>
      <c r="U966" s="87"/>
    </row>
    <row r="967" spans="1:21" x14ac:dyDescent="0.15">
      <c r="A967" s="86" t="s">
        <v>1</v>
      </c>
      <c r="B967" s="85">
        <v>8041212</v>
      </c>
      <c r="C967" s="83"/>
      <c r="D967" s="86" t="s">
        <v>115</v>
      </c>
      <c r="E967" s="86">
        <v>1</v>
      </c>
      <c r="F967" s="86">
        <v>5</v>
      </c>
      <c r="G967" s="86" t="s">
        <v>115</v>
      </c>
      <c r="H967" s="86" t="s">
        <v>7307</v>
      </c>
      <c r="I967" s="86" t="s">
        <v>115</v>
      </c>
      <c r="J967" s="86">
        <v>20</v>
      </c>
      <c r="K967" s="86">
        <v>66000</v>
      </c>
      <c r="L967" s="86">
        <v>8041213</v>
      </c>
      <c r="M967" s="83"/>
      <c r="N967" s="83"/>
      <c r="O967" s="83"/>
      <c r="P967" s="86">
        <v>200112</v>
      </c>
      <c r="Q967" s="85">
        <v>371</v>
      </c>
      <c r="R967" s="86">
        <v>270</v>
      </c>
      <c r="S967" s="87"/>
      <c r="T967" s="87"/>
      <c r="U967" s="87"/>
    </row>
    <row r="968" spans="1:21" x14ac:dyDescent="0.15">
      <c r="A968" s="86" t="s">
        <v>1</v>
      </c>
      <c r="B968" s="85">
        <v>8041213</v>
      </c>
      <c r="C968" s="83"/>
      <c r="D968" s="83"/>
      <c r="E968" s="86">
        <v>2</v>
      </c>
      <c r="F968" s="86">
        <v>5</v>
      </c>
      <c r="G968" s="83"/>
      <c r="H968" s="86" t="s">
        <v>7307</v>
      </c>
      <c r="I968" s="83"/>
      <c r="J968" s="83"/>
      <c r="K968" s="86">
        <v>66000</v>
      </c>
      <c r="L968" s="86">
        <v>0</v>
      </c>
      <c r="M968" s="83"/>
      <c r="N968" s="86">
        <v>200115</v>
      </c>
      <c r="O968" s="86">
        <v>200116</v>
      </c>
      <c r="P968" s="86">
        <v>200113</v>
      </c>
      <c r="Q968" s="85">
        <v>371</v>
      </c>
      <c r="R968" s="86">
        <v>270</v>
      </c>
      <c r="S968" s="87"/>
      <c r="T968" s="87"/>
      <c r="U968" s="87"/>
    </row>
    <row r="969" spans="1:21" x14ac:dyDescent="0.15">
      <c r="A969" s="86" t="s">
        <v>1</v>
      </c>
      <c r="B969" s="85">
        <v>8041311</v>
      </c>
      <c r="C969" s="83"/>
      <c r="D969" s="86">
        <v>3</v>
      </c>
      <c r="E969" s="86" t="s">
        <v>115</v>
      </c>
      <c r="F969" s="86" t="s">
        <v>115</v>
      </c>
      <c r="G969" s="86" t="s">
        <v>115</v>
      </c>
      <c r="H969" s="86" t="s">
        <v>7307</v>
      </c>
      <c r="I969" s="86" t="s">
        <v>115</v>
      </c>
      <c r="J969" s="86" t="s">
        <v>115</v>
      </c>
      <c r="K969" s="86">
        <v>67000</v>
      </c>
      <c r="L969" s="86">
        <v>8041312</v>
      </c>
      <c r="M969" s="83"/>
      <c r="N969" s="86" t="s">
        <v>115</v>
      </c>
      <c r="O969" s="86" t="s">
        <v>115</v>
      </c>
      <c r="P969" s="86">
        <v>200111</v>
      </c>
      <c r="Q969" s="85">
        <v>371</v>
      </c>
      <c r="R969" s="86">
        <v>270</v>
      </c>
      <c r="S969" s="87"/>
      <c r="T969" s="87"/>
      <c r="U969" s="87"/>
    </row>
    <row r="970" spans="1:21" x14ac:dyDescent="0.15">
      <c r="A970" s="86" t="s">
        <v>1</v>
      </c>
      <c r="B970" s="85">
        <v>8041312</v>
      </c>
      <c r="C970" s="83"/>
      <c r="D970" s="86" t="s">
        <v>115</v>
      </c>
      <c r="E970" s="86">
        <v>1</v>
      </c>
      <c r="F970" s="86">
        <v>5</v>
      </c>
      <c r="G970" s="86" t="s">
        <v>115</v>
      </c>
      <c r="H970" s="86" t="s">
        <v>7307</v>
      </c>
      <c r="I970" s="86" t="s">
        <v>115</v>
      </c>
      <c r="J970" s="86">
        <v>20</v>
      </c>
      <c r="K970" s="86">
        <v>67000</v>
      </c>
      <c r="L970" s="86">
        <v>8041313</v>
      </c>
      <c r="M970" s="83"/>
      <c r="N970" s="83"/>
      <c r="O970" s="83"/>
      <c r="P970" s="86">
        <v>200112</v>
      </c>
      <c r="Q970" s="85">
        <v>371</v>
      </c>
      <c r="R970" s="86">
        <v>270</v>
      </c>
      <c r="S970" s="87"/>
      <c r="T970" s="87"/>
      <c r="U970" s="87"/>
    </row>
    <row r="971" spans="1:21" x14ac:dyDescent="0.15">
      <c r="A971" s="86" t="s">
        <v>1</v>
      </c>
      <c r="B971" s="85">
        <v>8041313</v>
      </c>
      <c r="C971" s="83"/>
      <c r="D971" s="83"/>
      <c r="E971" s="86">
        <v>2</v>
      </c>
      <c r="F971" s="86">
        <v>5</v>
      </c>
      <c r="G971" s="83"/>
      <c r="H971" s="86" t="s">
        <v>7307</v>
      </c>
      <c r="I971" s="83"/>
      <c r="J971" s="83"/>
      <c r="K971" s="86">
        <v>67000</v>
      </c>
      <c r="L971" s="86">
        <v>0</v>
      </c>
      <c r="M971" s="83"/>
      <c r="N971" s="86">
        <v>200115</v>
      </c>
      <c r="O971" s="86">
        <v>200116</v>
      </c>
      <c r="P971" s="86">
        <v>200113</v>
      </c>
      <c r="Q971" s="85">
        <v>371</v>
      </c>
      <c r="R971" s="86">
        <v>270</v>
      </c>
      <c r="S971" s="87"/>
      <c r="T971" s="87"/>
      <c r="U971" s="87"/>
    </row>
    <row r="972" spans="1:21" x14ac:dyDescent="0.15">
      <c r="A972" s="86" t="s">
        <v>1</v>
      </c>
      <c r="B972" s="85">
        <v>8041411</v>
      </c>
      <c r="C972" s="83"/>
      <c r="D972" s="86">
        <v>3</v>
      </c>
      <c r="E972" s="86" t="s">
        <v>115</v>
      </c>
      <c r="F972" s="86" t="s">
        <v>115</v>
      </c>
      <c r="G972" s="86" t="s">
        <v>115</v>
      </c>
      <c r="H972" s="86" t="s">
        <v>7307</v>
      </c>
      <c r="I972" s="86" t="s">
        <v>115</v>
      </c>
      <c r="J972" s="86" t="s">
        <v>115</v>
      </c>
      <c r="K972" s="86">
        <v>68000</v>
      </c>
      <c r="L972" s="86">
        <v>8041412</v>
      </c>
      <c r="M972" s="83"/>
      <c r="N972" s="86" t="s">
        <v>115</v>
      </c>
      <c r="O972" s="86" t="s">
        <v>115</v>
      </c>
      <c r="P972" s="86">
        <v>200111</v>
      </c>
      <c r="Q972" s="85">
        <v>371</v>
      </c>
      <c r="R972" s="86">
        <v>270</v>
      </c>
      <c r="S972" s="87"/>
      <c r="T972" s="87"/>
      <c r="U972" s="87"/>
    </row>
    <row r="973" spans="1:21" x14ac:dyDescent="0.15">
      <c r="A973" s="86" t="s">
        <v>1</v>
      </c>
      <c r="B973" s="85">
        <v>8041412</v>
      </c>
      <c r="C973" s="83"/>
      <c r="D973" s="86" t="s">
        <v>115</v>
      </c>
      <c r="E973" s="86">
        <v>1</v>
      </c>
      <c r="F973" s="86">
        <v>5</v>
      </c>
      <c r="G973" s="86" t="s">
        <v>115</v>
      </c>
      <c r="H973" s="86" t="s">
        <v>7307</v>
      </c>
      <c r="I973" s="86" t="s">
        <v>115</v>
      </c>
      <c r="J973" s="86">
        <v>20</v>
      </c>
      <c r="K973" s="86">
        <v>68000</v>
      </c>
      <c r="L973" s="86">
        <v>8041413</v>
      </c>
      <c r="M973" s="83"/>
      <c r="N973" s="83"/>
      <c r="O973" s="83"/>
      <c r="P973" s="86">
        <v>200112</v>
      </c>
      <c r="Q973" s="85">
        <v>371</v>
      </c>
      <c r="R973" s="86">
        <v>270</v>
      </c>
      <c r="S973" s="87"/>
      <c r="T973" s="87"/>
      <c r="U973" s="87"/>
    </row>
    <row r="974" spans="1:21" x14ac:dyDescent="0.15">
      <c r="A974" s="86" t="s">
        <v>1</v>
      </c>
      <c r="B974" s="85">
        <v>8041413</v>
      </c>
      <c r="C974" s="83"/>
      <c r="D974" s="83"/>
      <c r="E974" s="86">
        <v>2</v>
      </c>
      <c r="F974" s="86">
        <v>5</v>
      </c>
      <c r="G974" s="83"/>
      <c r="H974" s="86" t="s">
        <v>7307</v>
      </c>
      <c r="I974" s="83"/>
      <c r="J974" s="83"/>
      <c r="K974" s="86">
        <v>68000</v>
      </c>
      <c r="L974" s="86">
        <v>0</v>
      </c>
      <c r="M974" s="83"/>
      <c r="N974" s="86">
        <v>200115</v>
      </c>
      <c r="O974" s="86">
        <v>200116</v>
      </c>
      <c r="P974" s="86">
        <v>200113</v>
      </c>
      <c r="Q974" s="85">
        <v>371</v>
      </c>
      <c r="R974" s="86">
        <v>270</v>
      </c>
      <c r="S974" s="87"/>
      <c r="T974" s="87"/>
      <c r="U974" s="87"/>
    </row>
    <row r="975" spans="1:21" x14ac:dyDescent="0.15">
      <c r="A975" s="86" t="s">
        <v>1</v>
      </c>
      <c r="B975" s="85">
        <v>8041511</v>
      </c>
      <c r="C975" s="83"/>
      <c r="D975" s="86">
        <v>3</v>
      </c>
      <c r="E975" s="86" t="s">
        <v>115</v>
      </c>
      <c r="F975" s="86" t="s">
        <v>115</v>
      </c>
      <c r="G975" s="86" t="s">
        <v>115</v>
      </c>
      <c r="H975" s="86" t="s">
        <v>7307</v>
      </c>
      <c r="I975" s="86" t="s">
        <v>115</v>
      </c>
      <c r="J975" s="86" t="s">
        <v>115</v>
      </c>
      <c r="K975" s="86">
        <v>69000</v>
      </c>
      <c r="L975" s="86">
        <v>8041512</v>
      </c>
      <c r="M975" s="83"/>
      <c r="N975" s="86" t="s">
        <v>115</v>
      </c>
      <c r="O975" s="86" t="s">
        <v>115</v>
      </c>
      <c r="P975" s="86">
        <v>200111</v>
      </c>
      <c r="Q975" s="85">
        <v>371</v>
      </c>
      <c r="R975" s="86">
        <v>270</v>
      </c>
      <c r="S975" s="87"/>
      <c r="T975" s="87"/>
      <c r="U975" s="87"/>
    </row>
    <row r="976" spans="1:21" x14ac:dyDescent="0.15">
      <c r="A976" s="86" t="s">
        <v>1</v>
      </c>
      <c r="B976" s="85">
        <v>8041512</v>
      </c>
      <c r="C976" s="83"/>
      <c r="D976" s="86" t="s">
        <v>115</v>
      </c>
      <c r="E976" s="86">
        <v>1</v>
      </c>
      <c r="F976" s="86">
        <v>5</v>
      </c>
      <c r="G976" s="86" t="s">
        <v>115</v>
      </c>
      <c r="H976" s="86" t="s">
        <v>7307</v>
      </c>
      <c r="I976" s="86" t="s">
        <v>115</v>
      </c>
      <c r="J976" s="86">
        <v>20</v>
      </c>
      <c r="K976" s="86">
        <v>69000</v>
      </c>
      <c r="L976" s="86">
        <v>8041513</v>
      </c>
      <c r="M976" s="83"/>
      <c r="N976" s="83"/>
      <c r="O976" s="83"/>
      <c r="P976" s="86">
        <v>200112</v>
      </c>
      <c r="Q976" s="85">
        <v>371</v>
      </c>
      <c r="R976" s="86">
        <v>270</v>
      </c>
      <c r="S976" s="87"/>
      <c r="T976" s="87"/>
      <c r="U976" s="87"/>
    </row>
    <row r="977" spans="1:21" x14ac:dyDescent="0.15">
      <c r="A977" s="86" t="s">
        <v>1</v>
      </c>
      <c r="B977" s="85">
        <v>8041513</v>
      </c>
      <c r="C977" s="83"/>
      <c r="D977" s="83"/>
      <c r="E977" s="86">
        <v>2</v>
      </c>
      <c r="F977" s="86">
        <v>5</v>
      </c>
      <c r="G977" s="83"/>
      <c r="H977" s="86" t="s">
        <v>7307</v>
      </c>
      <c r="I977" s="83"/>
      <c r="J977" s="83"/>
      <c r="K977" s="86">
        <v>69000</v>
      </c>
      <c r="L977" s="86">
        <v>0</v>
      </c>
      <c r="M977" s="83"/>
      <c r="N977" s="86">
        <v>200115</v>
      </c>
      <c r="O977" s="86">
        <v>200116</v>
      </c>
      <c r="P977" s="86">
        <v>200113</v>
      </c>
      <c r="Q977" s="85">
        <v>371</v>
      </c>
      <c r="R977" s="86">
        <v>270</v>
      </c>
      <c r="S977" s="87"/>
      <c r="T977" s="87"/>
      <c r="U977" s="87"/>
    </row>
    <row r="978" spans="1:21" x14ac:dyDescent="0.15">
      <c r="A978" s="86" t="s">
        <v>1</v>
      </c>
      <c r="B978" s="85">
        <v>8041611</v>
      </c>
      <c r="C978" s="83"/>
      <c r="D978" s="86">
        <v>3</v>
      </c>
      <c r="E978" s="86" t="s">
        <v>115</v>
      </c>
      <c r="F978" s="86" t="s">
        <v>115</v>
      </c>
      <c r="G978" s="86" t="s">
        <v>115</v>
      </c>
      <c r="H978" s="86" t="s">
        <v>7307</v>
      </c>
      <c r="I978" s="86" t="s">
        <v>115</v>
      </c>
      <c r="J978" s="86" t="s">
        <v>115</v>
      </c>
      <c r="K978" s="86">
        <v>70000</v>
      </c>
      <c r="L978" s="86">
        <v>8041612</v>
      </c>
      <c r="M978" s="83"/>
      <c r="N978" s="86" t="s">
        <v>115</v>
      </c>
      <c r="O978" s="86" t="s">
        <v>115</v>
      </c>
      <c r="P978" s="86">
        <v>200111</v>
      </c>
      <c r="Q978" s="85">
        <v>371</v>
      </c>
      <c r="R978" s="86">
        <v>270</v>
      </c>
      <c r="S978" s="87"/>
      <c r="T978" s="87"/>
      <c r="U978" s="87"/>
    </row>
    <row r="979" spans="1:21" x14ac:dyDescent="0.15">
      <c r="A979" s="86" t="s">
        <v>1</v>
      </c>
      <c r="B979" s="85">
        <v>8041612</v>
      </c>
      <c r="C979" s="83"/>
      <c r="D979" s="86" t="s">
        <v>115</v>
      </c>
      <c r="E979" s="86">
        <v>1</v>
      </c>
      <c r="F979" s="86">
        <v>5</v>
      </c>
      <c r="G979" s="86" t="s">
        <v>115</v>
      </c>
      <c r="H979" s="86" t="s">
        <v>7307</v>
      </c>
      <c r="I979" s="86" t="s">
        <v>115</v>
      </c>
      <c r="J979" s="86">
        <v>20</v>
      </c>
      <c r="K979" s="86">
        <v>70000</v>
      </c>
      <c r="L979" s="86">
        <v>8041613</v>
      </c>
      <c r="M979" s="83"/>
      <c r="N979" s="83"/>
      <c r="O979" s="83"/>
      <c r="P979" s="86">
        <v>200112</v>
      </c>
      <c r="Q979" s="85">
        <v>371</v>
      </c>
      <c r="R979" s="86">
        <v>270</v>
      </c>
      <c r="S979" s="87"/>
      <c r="T979" s="87"/>
      <c r="U979" s="87"/>
    </row>
    <row r="980" spans="1:21" x14ac:dyDescent="0.15">
      <c r="A980" s="86" t="s">
        <v>1</v>
      </c>
      <c r="B980" s="85">
        <v>8041613</v>
      </c>
      <c r="C980" s="83"/>
      <c r="D980" s="83"/>
      <c r="E980" s="86">
        <v>2</v>
      </c>
      <c r="F980" s="86">
        <v>5</v>
      </c>
      <c r="G980" s="83"/>
      <c r="H980" s="86" t="s">
        <v>7307</v>
      </c>
      <c r="I980" s="83"/>
      <c r="J980" s="83"/>
      <c r="K980" s="86">
        <v>70000</v>
      </c>
      <c r="L980" s="86">
        <v>0</v>
      </c>
      <c r="M980" s="83"/>
      <c r="N980" s="86">
        <v>200115</v>
      </c>
      <c r="O980" s="86">
        <v>200116</v>
      </c>
      <c r="P980" s="86">
        <v>200113</v>
      </c>
      <c r="Q980" s="85">
        <v>371</v>
      </c>
      <c r="R980" s="86">
        <v>270</v>
      </c>
      <c r="S980" s="87"/>
      <c r="T980" s="87"/>
      <c r="U980" s="87"/>
    </row>
    <row r="981" spans="1:21" x14ac:dyDescent="0.15">
      <c r="A981" s="86" t="s">
        <v>1</v>
      </c>
      <c r="B981" s="85">
        <v>8041711</v>
      </c>
      <c r="C981" s="83"/>
      <c r="D981" s="86">
        <v>3</v>
      </c>
      <c r="E981" s="86" t="s">
        <v>115</v>
      </c>
      <c r="F981" s="86" t="s">
        <v>115</v>
      </c>
      <c r="G981" s="86" t="s">
        <v>115</v>
      </c>
      <c r="H981" s="86" t="s">
        <v>7307</v>
      </c>
      <c r="I981" s="86" t="s">
        <v>115</v>
      </c>
      <c r="J981" s="86" t="s">
        <v>115</v>
      </c>
      <c r="K981" s="86">
        <v>71000</v>
      </c>
      <c r="L981" s="86">
        <v>8041712</v>
      </c>
      <c r="M981" s="83"/>
      <c r="N981" s="86" t="s">
        <v>115</v>
      </c>
      <c r="O981" s="86" t="s">
        <v>115</v>
      </c>
      <c r="P981" s="86">
        <v>200111</v>
      </c>
      <c r="Q981" s="85">
        <v>371</v>
      </c>
      <c r="R981" s="86">
        <v>270</v>
      </c>
      <c r="S981" s="87"/>
      <c r="T981" s="87"/>
      <c r="U981" s="87"/>
    </row>
    <row r="982" spans="1:21" x14ac:dyDescent="0.15">
      <c r="A982" s="86" t="s">
        <v>1</v>
      </c>
      <c r="B982" s="85">
        <v>8041712</v>
      </c>
      <c r="C982" s="83"/>
      <c r="D982" s="86" t="s">
        <v>115</v>
      </c>
      <c r="E982" s="86">
        <v>1</v>
      </c>
      <c r="F982" s="86">
        <v>5</v>
      </c>
      <c r="G982" s="86" t="s">
        <v>115</v>
      </c>
      <c r="H982" s="86" t="s">
        <v>7307</v>
      </c>
      <c r="I982" s="86" t="s">
        <v>115</v>
      </c>
      <c r="J982" s="86">
        <v>20</v>
      </c>
      <c r="K982" s="86">
        <v>71000</v>
      </c>
      <c r="L982" s="86">
        <v>8041713</v>
      </c>
      <c r="M982" s="83"/>
      <c r="N982" s="83"/>
      <c r="O982" s="83"/>
      <c r="P982" s="86">
        <v>200112</v>
      </c>
      <c r="Q982" s="85">
        <v>371</v>
      </c>
      <c r="R982" s="86">
        <v>270</v>
      </c>
      <c r="S982" s="87"/>
      <c r="T982" s="87"/>
      <c r="U982" s="87"/>
    </row>
    <row r="983" spans="1:21" x14ac:dyDescent="0.15">
      <c r="A983" s="86" t="s">
        <v>1</v>
      </c>
      <c r="B983" s="85">
        <v>8041713</v>
      </c>
      <c r="C983" s="83"/>
      <c r="D983" s="83"/>
      <c r="E983" s="86">
        <v>2</v>
      </c>
      <c r="F983" s="86">
        <v>5</v>
      </c>
      <c r="G983" s="83"/>
      <c r="H983" s="86" t="s">
        <v>7307</v>
      </c>
      <c r="I983" s="83"/>
      <c r="J983" s="83"/>
      <c r="K983" s="86">
        <v>71000</v>
      </c>
      <c r="L983" s="86">
        <v>0</v>
      </c>
      <c r="M983" s="83"/>
      <c r="N983" s="86">
        <v>200115</v>
      </c>
      <c r="O983" s="86">
        <v>200116</v>
      </c>
      <c r="P983" s="86">
        <v>200113</v>
      </c>
      <c r="Q983" s="85">
        <v>371</v>
      </c>
      <c r="R983" s="86">
        <v>270</v>
      </c>
      <c r="S983" s="87"/>
      <c r="T983" s="87"/>
      <c r="U983" s="87"/>
    </row>
    <row r="984" spans="1:21" x14ac:dyDescent="0.15">
      <c r="B984" s="40"/>
      <c r="Q984" s="40"/>
      <c r="S984" s="72"/>
      <c r="T984" s="72"/>
      <c r="U984" s="72"/>
    </row>
    <row r="985" spans="1:21" x14ac:dyDescent="0.15">
      <c r="B985" s="40"/>
    </row>
    <row r="986" spans="1:21" s="72" customFormat="1" x14ac:dyDescent="0.15">
      <c r="B986" s="72" t="s">
        <v>1930</v>
      </c>
      <c r="S986" s="4"/>
      <c r="T986" s="4"/>
      <c r="U986" s="4"/>
    </row>
    <row r="987" spans="1:21" x14ac:dyDescent="0.15">
      <c r="B987" s="4"/>
    </row>
    <row r="988" spans="1:21" x14ac:dyDescent="0.15">
      <c r="A988" s="86" t="s">
        <v>1</v>
      </c>
      <c r="B988" s="85">
        <v>9010311</v>
      </c>
      <c r="C988" s="86" t="s">
        <v>115</v>
      </c>
      <c r="D988" s="86">
        <v>3</v>
      </c>
      <c r="E988" s="86" t="s">
        <v>115</v>
      </c>
      <c r="F988" s="86" t="s">
        <v>115</v>
      </c>
      <c r="G988" s="86" t="s">
        <v>115</v>
      </c>
      <c r="H988" s="86" t="s">
        <v>7307</v>
      </c>
      <c r="I988" s="86" t="s">
        <v>115</v>
      </c>
      <c r="J988" s="86" t="s">
        <v>115</v>
      </c>
      <c r="K988" s="86">
        <v>1300</v>
      </c>
      <c r="L988" s="86">
        <v>9010312</v>
      </c>
      <c r="M988" s="83"/>
      <c r="N988" s="86" t="s">
        <v>115</v>
      </c>
      <c r="O988" s="86" t="s">
        <v>115</v>
      </c>
      <c r="P988" s="86">
        <v>200111</v>
      </c>
      <c r="Q988" s="85">
        <v>371</v>
      </c>
      <c r="R988" s="86">
        <v>1350</v>
      </c>
      <c r="S988" s="83"/>
      <c r="T988" s="83"/>
      <c r="U988" s="83"/>
    </row>
    <row r="989" spans="1:21" x14ac:dyDescent="0.15">
      <c r="A989" s="86" t="s">
        <v>1</v>
      </c>
      <c r="B989" s="86">
        <v>9010312</v>
      </c>
      <c r="C989" s="86" t="s">
        <v>115</v>
      </c>
      <c r="D989" s="86" t="s">
        <v>115</v>
      </c>
      <c r="E989" s="86">
        <v>3</v>
      </c>
      <c r="F989" s="86" t="s">
        <v>115</v>
      </c>
      <c r="G989" s="86" t="s">
        <v>115</v>
      </c>
      <c r="H989" s="86" t="s">
        <v>115</v>
      </c>
      <c r="I989" s="86" t="s">
        <v>2595</v>
      </c>
      <c r="J989" s="86" t="s">
        <v>115</v>
      </c>
      <c r="K989" s="86">
        <v>1300</v>
      </c>
      <c r="L989" s="86">
        <v>0</v>
      </c>
      <c r="M989" s="83"/>
      <c r="N989" s="86">
        <v>200115</v>
      </c>
      <c r="O989" s="86">
        <v>200116</v>
      </c>
      <c r="P989" s="86">
        <v>200114</v>
      </c>
      <c r="Q989" s="85">
        <v>371</v>
      </c>
      <c r="R989" s="83"/>
      <c r="S989" s="83"/>
      <c r="T989" s="83"/>
      <c r="U989" s="83"/>
    </row>
    <row r="990" spans="1:21" x14ac:dyDescent="0.15">
      <c r="A990" s="86" t="s">
        <v>1</v>
      </c>
      <c r="B990" s="85">
        <v>9010611</v>
      </c>
      <c r="C990" s="86" t="s">
        <v>115</v>
      </c>
      <c r="D990" s="86">
        <v>3</v>
      </c>
      <c r="E990" s="86" t="s">
        <v>115</v>
      </c>
      <c r="F990" s="86" t="s">
        <v>115</v>
      </c>
      <c r="G990" s="86" t="s">
        <v>115</v>
      </c>
      <c r="H990" s="86" t="s">
        <v>7307</v>
      </c>
      <c r="I990" s="86" t="s">
        <v>115</v>
      </c>
      <c r="J990" s="86" t="s">
        <v>115</v>
      </c>
      <c r="K990" s="86">
        <v>2300</v>
      </c>
      <c r="L990" s="86">
        <v>9010612</v>
      </c>
      <c r="M990" s="86"/>
      <c r="N990" s="86" t="s">
        <v>115</v>
      </c>
      <c r="O990" s="86" t="s">
        <v>115</v>
      </c>
      <c r="P990" s="86">
        <v>200111</v>
      </c>
      <c r="Q990" s="85">
        <v>371</v>
      </c>
      <c r="R990" s="84">
        <v>1890</v>
      </c>
      <c r="S990" s="86"/>
      <c r="T990" s="84"/>
      <c r="U990" s="86"/>
    </row>
    <row r="991" spans="1:21" x14ac:dyDescent="0.15">
      <c r="A991" s="86" t="s">
        <v>1</v>
      </c>
      <c r="B991" s="86">
        <v>9010612</v>
      </c>
      <c r="C991" s="86" t="s">
        <v>115</v>
      </c>
      <c r="D991" s="86" t="s">
        <v>115</v>
      </c>
      <c r="E991" s="86">
        <v>1</v>
      </c>
      <c r="F991" s="86">
        <v>5</v>
      </c>
      <c r="G991" s="86" t="s">
        <v>115</v>
      </c>
      <c r="H991" s="86" t="s">
        <v>7307</v>
      </c>
      <c r="I991" s="86"/>
      <c r="J991" s="86" t="s">
        <v>115</v>
      </c>
      <c r="K991" s="86">
        <v>2300</v>
      </c>
      <c r="L991" s="86">
        <v>9010613</v>
      </c>
      <c r="M991" s="86"/>
      <c r="N991" s="86" t="s">
        <v>115</v>
      </c>
      <c r="O991" s="86" t="s">
        <v>115</v>
      </c>
      <c r="P991" s="86">
        <v>200112</v>
      </c>
      <c r="Q991" s="85">
        <v>371</v>
      </c>
      <c r="R991" s="84">
        <v>429</v>
      </c>
      <c r="S991" s="86"/>
      <c r="T991" s="84"/>
      <c r="U991" s="86"/>
    </row>
    <row r="992" spans="1:21" s="20" customFormat="1" x14ac:dyDescent="0.15">
      <c r="A992" s="86" t="s">
        <v>1</v>
      </c>
      <c r="B992" s="86">
        <v>9010613</v>
      </c>
      <c r="C992" s="86" t="s">
        <v>115</v>
      </c>
      <c r="D992" s="86" t="s">
        <v>115</v>
      </c>
      <c r="E992" s="86">
        <v>3</v>
      </c>
      <c r="F992" s="86" t="s">
        <v>115</v>
      </c>
      <c r="G992" s="86" t="s">
        <v>115</v>
      </c>
      <c r="H992" s="86" t="s">
        <v>115</v>
      </c>
      <c r="I992" s="86" t="s">
        <v>1319</v>
      </c>
      <c r="J992" s="86" t="s">
        <v>115</v>
      </c>
      <c r="K992" s="86">
        <v>2300</v>
      </c>
      <c r="L992" s="86">
        <v>0</v>
      </c>
      <c r="M992" s="86"/>
      <c r="N992" s="86">
        <v>200115</v>
      </c>
      <c r="O992" s="86">
        <v>200116</v>
      </c>
      <c r="P992" s="86">
        <v>200114</v>
      </c>
      <c r="Q992" s="85">
        <v>371</v>
      </c>
      <c r="R992" s="84"/>
      <c r="S992" s="86"/>
      <c r="T992" s="84"/>
      <c r="U992" s="86"/>
    </row>
    <row r="993" spans="1:21" s="20" customFormat="1" x14ac:dyDescent="0.15">
      <c r="A993" s="86" t="s">
        <v>1</v>
      </c>
      <c r="B993" s="85">
        <v>9010711</v>
      </c>
      <c r="C993" s="86" t="s">
        <v>115</v>
      </c>
      <c r="D993" s="86">
        <v>3</v>
      </c>
      <c r="E993" s="86" t="s">
        <v>115</v>
      </c>
      <c r="F993" s="86" t="s">
        <v>115</v>
      </c>
      <c r="G993" s="86" t="s">
        <v>115</v>
      </c>
      <c r="H993" s="86" t="s">
        <v>7307</v>
      </c>
      <c r="I993" s="86" t="s">
        <v>115</v>
      </c>
      <c r="J993" s="86" t="s">
        <v>115</v>
      </c>
      <c r="K993" s="86">
        <v>2550</v>
      </c>
      <c r="L993" s="86">
        <v>9010712</v>
      </c>
      <c r="M993" s="86"/>
      <c r="N993" s="86" t="s">
        <v>115</v>
      </c>
      <c r="O993" s="86" t="s">
        <v>115</v>
      </c>
      <c r="P993" s="86">
        <v>200111</v>
      </c>
      <c r="Q993" s="85">
        <v>371</v>
      </c>
      <c r="R993" s="84">
        <v>2010</v>
      </c>
      <c r="S993" s="86"/>
      <c r="T993" s="84"/>
      <c r="U993" s="86"/>
    </row>
    <row r="994" spans="1:21" s="20" customFormat="1" x14ac:dyDescent="0.15">
      <c r="A994" s="86" t="s">
        <v>1</v>
      </c>
      <c r="B994" s="86">
        <v>9010712</v>
      </c>
      <c r="C994" s="86" t="s">
        <v>115</v>
      </c>
      <c r="D994" s="86" t="s">
        <v>115</v>
      </c>
      <c r="E994" s="86">
        <v>1</v>
      </c>
      <c r="F994" s="86">
        <v>5</v>
      </c>
      <c r="G994" s="86" t="s">
        <v>115</v>
      </c>
      <c r="H994" s="86" t="s">
        <v>7307</v>
      </c>
      <c r="I994" s="86"/>
      <c r="J994" s="86" t="s">
        <v>115</v>
      </c>
      <c r="K994" s="86">
        <v>2550</v>
      </c>
      <c r="L994" s="86">
        <v>9010713</v>
      </c>
      <c r="M994" s="86"/>
      <c r="N994" s="86" t="s">
        <v>115</v>
      </c>
      <c r="O994" s="86" t="s">
        <v>115</v>
      </c>
      <c r="P994" s="86">
        <v>200112</v>
      </c>
      <c r="Q994" s="85">
        <v>371</v>
      </c>
      <c r="R994" s="84">
        <v>501</v>
      </c>
      <c r="S994" s="86"/>
      <c r="T994" s="84"/>
      <c r="U994" s="86"/>
    </row>
    <row r="995" spans="1:21" s="20" customFormat="1" x14ac:dyDescent="0.15">
      <c r="A995" s="86" t="s">
        <v>1</v>
      </c>
      <c r="B995" s="86">
        <v>9010713</v>
      </c>
      <c r="C995" s="86" t="s">
        <v>115</v>
      </c>
      <c r="D995" s="86" t="s">
        <v>115</v>
      </c>
      <c r="E995" s="86">
        <v>3</v>
      </c>
      <c r="F995" s="86" t="s">
        <v>115</v>
      </c>
      <c r="G995" s="86" t="s">
        <v>115</v>
      </c>
      <c r="H995" s="86" t="s">
        <v>115</v>
      </c>
      <c r="I995" s="86" t="s">
        <v>1319</v>
      </c>
      <c r="J995" s="86" t="s">
        <v>115</v>
      </c>
      <c r="K995" s="86">
        <v>2550</v>
      </c>
      <c r="L995" s="86">
        <v>0</v>
      </c>
      <c r="M995" s="86"/>
      <c r="N995" s="86">
        <v>200115</v>
      </c>
      <c r="O995" s="86">
        <v>200116</v>
      </c>
      <c r="P995" s="86">
        <v>200114</v>
      </c>
      <c r="Q995" s="85">
        <v>371</v>
      </c>
      <c r="R995" s="84"/>
      <c r="S995" s="86"/>
      <c r="T995" s="84"/>
      <c r="U995" s="86"/>
    </row>
    <row r="996" spans="1:21" s="20" customFormat="1" x14ac:dyDescent="0.15">
      <c r="A996" s="86" t="s">
        <v>1</v>
      </c>
      <c r="B996" s="85">
        <v>9020211</v>
      </c>
      <c r="C996" s="86" t="s">
        <v>115</v>
      </c>
      <c r="D996" s="86">
        <v>3</v>
      </c>
      <c r="E996" s="86" t="s">
        <v>115</v>
      </c>
      <c r="F996" s="86" t="s">
        <v>115</v>
      </c>
      <c r="G996" s="86" t="s">
        <v>115</v>
      </c>
      <c r="H996" s="86" t="s">
        <v>7307</v>
      </c>
      <c r="I996" s="86" t="s">
        <v>115</v>
      </c>
      <c r="J996" s="86" t="s">
        <v>115</v>
      </c>
      <c r="K996" s="86">
        <v>5300</v>
      </c>
      <c r="L996" s="86">
        <v>9020212</v>
      </c>
      <c r="M996" s="86"/>
      <c r="N996" s="86" t="s">
        <v>115</v>
      </c>
      <c r="O996" s="86" t="s">
        <v>115</v>
      </c>
      <c r="P996" s="86">
        <v>200111</v>
      </c>
      <c r="Q996" s="85">
        <v>371</v>
      </c>
      <c r="R996" s="84">
        <v>2670</v>
      </c>
      <c r="S996" s="86"/>
      <c r="T996" s="84"/>
      <c r="U996" s="86"/>
    </row>
    <row r="997" spans="1:21" s="20" customFormat="1" x14ac:dyDescent="0.15">
      <c r="A997" s="86" t="s">
        <v>1</v>
      </c>
      <c r="B997" s="86">
        <v>9020212</v>
      </c>
      <c r="C997" s="86" t="s">
        <v>115</v>
      </c>
      <c r="D997" s="86" t="s">
        <v>115</v>
      </c>
      <c r="E997" s="86">
        <v>1</v>
      </c>
      <c r="F997" s="86">
        <v>5</v>
      </c>
      <c r="G997" s="86" t="s">
        <v>115</v>
      </c>
      <c r="H997" s="86" t="s">
        <v>7307</v>
      </c>
      <c r="I997" s="86" t="s">
        <v>115</v>
      </c>
      <c r="J997" s="86">
        <v>20</v>
      </c>
      <c r="K997" s="86">
        <v>5300</v>
      </c>
      <c r="L997" s="86">
        <v>9020213</v>
      </c>
      <c r="M997" s="86"/>
      <c r="N997" s="86" t="s">
        <v>115</v>
      </c>
      <c r="O997" s="86" t="s">
        <v>115</v>
      </c>
      <c r="P997" s="86">
        <v>200112</v>
      </c>
      <c r="Q997" s="85">
        <v>371</v>
      </c>
      <c r="R997" s="84">
        <v>1264</v>
      </c>
      <c r="S997" s="86"/>
      <c r="T997" s="84"/>
      <c r="U997" s="86"/>
    </row>
    <row r="998" spans="1:21" s="20" customFormat="1" x14ac:dyDescent="0.15">
      <c r="A998" s="86" t="s">
        <v>1</v>
      </c>
      <c r="B998" s="85">
        <v>9020213</v>
      </c>
      <c r="C998" s="86"/>
      <c r="D998" s="86"/>
      <c r="E998" s="86">
        <v>2</v>
      </c>
      <c r="F998" s="86">
        <v>5</v>
      </c>
      <c r="G998" s="86"/>
      <c r="H998" s="86" t="s">
        <v>7307</v>
      </c>
      <c r="I998" s="86"/>
      <c r="J998" s="86"/>
      <c r="K998" s="86">
        <v>5300</v>
      </c>
      <c r="L998" s="86">
        <v>9020214</v>
      </c>
      <c r="M998" s="86"/>
      <c r="N998" s="86"/>
      <c r="O998" s="86"/>
      <c r="P998" s="86">
        <v>200113</v>
      </c>
      <c r="Q998" s="85">
        <v>371</v>
      </c>
      <c r="R998" s="84">
        <v>1433</v>
      </c>
      <c r="S998" s="86"/>
      <c r="T998" s="84"/>
      <c r="U998" s="86"/>
    </row>
    <row r="999" spans="1:21" s="20" customFormat="1" x14ac:dyDescent="0.15">
      <c r="A999" s="86" t="s">
        <v>1</v>
      </c>
      <c r="B999" s="85">
        <v>9020214</v>
      </c>
      <c r="C999" s="86" t="s">
        <v>115</v>
      </c>
      <c r="D999" s="86" t="s">
        <v>115</v>
      </c>
      <c r="E999" s="86">
        <v>3</v>
      </c>
      <c r="F999" s="86" t="s">
        <v>115</v>
      </c>
      <c r="G999" s="86" t="s">
        <v>115</v>
      </c>
      <c r="H999" s="86" t="s">
        <v>115</v>
      </c>
      <c r="I999" s="86" t="s">
        <v>1319</v>
      </c>
      <c r="J999" s="86" t="s">
        <v>115</v>
      </c>
      <c r="K999" s="86">
        <v>5300</v>
      </c>
      <c r="L999" s="86">
        <v>0</v>
      </c>
      <c r="M999" s="86"/>
      <c r="N999" s="86">
        <v>200115</v>
      </c>
      <c r="O999" s="86">
        <v>200116</v>
      </c>
      <c r="P999" s="86">
        <v>200114</v>
      </c>
      <c r="Q999" s="85">
        <v>371</v>
      </c>
      <c r="R999" s="84"/>
      <c r="S999" s="86"/>
      <c r="T999" s="84"/>
      <c r="U999" s="86"/>
    </row>
    <row r="1000" spans="1:21" s="20" customFormat="1" x14ac:dyDescent="0.15">
      <c r="A1000" s="86" t="s">
        <v>1</v>
      </c>
      <c r="B1000" s="85">
        <v>9020311</v>
      </c>
      <c r="C1000" s="86" t="s">
        <v>115</v>
      </c>
      <c r="D1000" s="86">
        <v>3</v>
      </c>
      <c r="E1000" s="86" t="s">
        <v>115</v>
      </c>
      <c r="F1000" s="86" t="s">
        <v>115</v>
      </c>
      <c r="G1000" s="86" t="s">
        <v>115</v>
      </c>
      <c r="H1000" s="86" t="s">
        <v>7307</v>
      </c>
      <c r="I1000" s="86" t="s">
        <v>115</v>
      </c>
      <c r="J1000" s="86" t="s">
        <v>115</v>
      </c>
      <c r="K1000" s="86">
        <v>6000</v>
      </c>
      <c r="L1000" s="86">
        <v>9020312</v>
      </c>
      <c r="M1000" s="86"/>
      <c r="N1000" s="86" t="s">
        <v>115</v>
      </c>
      <c r="O1000" s="86" t="s">
        <v>115</v>
      </c>
      <c r="P1000" s="86">
        <v>200111</v>
      </c>
      <c r="Q1000" s="85">
        <v>371</v>
      </c>
      <c r="R1000" s="84">
        <v>2820</v>
      </c>
      <c r="S1000" s="86"/>
      <c r="T1000" s="84"/>
      <c r="U1000" s="86"/>
    </row>
    <row r="1001" spans="1:21" s="20" customFormat="1" x14ac:dyDescent="0.15">
      <c r="A1001" s="86" t="s">
        <v>1</v>
      </c>
      <c r="B1001" s="86">
        <v>9020312</v>
      </c>
      <c r="C1001" s="86" t="s">
        <v>115</v>
      </c>
      <c r="D1001" s="86" t="s">
        <v>115</v>
      </c>
      <c r="E1001" s="86">
        <v>1</v>
      </c>
      <c r="F1001" s="86">
        <v>5</v>
      </c>
      <c r="G1001" s="86" t="s">
        <v>115</v>
      </c>
      <c r="H1001" s="86" t="s">
        <v>7307</v>
      </c>
      <c r="I1001" s="86" t="s">
        <v>115</v>
      </c>
      <c r="J1001" s="86">
        <v>20</v>
      </c>
      <c r="K1001" s="86">
        <v>6000</v>
      </c>
      <c r="L1001" s="86">
        <v>9020313</v>
      </c>
      <c r="M1001" s="86"/>
      <c r="N1001" s="86" t="s">
        <v>115</v>
      </c>
      <c r="O1001" s="86" t="s">
        <v>115</v>
      </c>
      <c r="P1001" s="86">
        <v>200112</v>
      </c>
      <c r="Q1001" s="85">
        <v>371</v>
      </c>
      <c r="R1001" s="84">
        <v>1264</v>
      </c>
      <c r="S1001" s="86"/>
      <c r="T1001" s="84"/>
      <c r="U1001" s="86"/>
    </row>
    <row r="1002" spans="1:21" s="20" customFormat="1" x14ac:dyDescent="0.15">
      <c r="A1002" s="86" t="s">
        <v>1</v>
      </c>
      <c r="B1002" s="85">
        <v>9020313</v>
      </c>
      <c r="C1002" s="86"/>
      <c r="D1002" s="86"/>
      <c r="E1002" s="86">
        <v>2</v>
      </c>
      <c r="F1002" s="86">
        <v>5</v>
      </c>
      <c r="G1002" s="86"/>
      <c r="H1002" s="86" t="s">
        <v>7307</v>
      </c>
      <c r="I1002" s="86"/>
      <c r="J1002" s="86"/>
      <c r="K1002" s="86">
        <v>6000</v>
      </c>
      <c r="L1002" s="86">
        <v>9020314</v>
      </c>
      <c r="M1002" s="86"/>
      <c r="N1002" s="86"/>
      <c r="O1002" s="86"/>
      <c r="P1002" s="86">
        <v>200113</v>
      </c>
      <c r="Q1002" s="85">
        <v>371</v>
      </c>
      <c r="R1002" s="84">
        <v>1894</v>
      </c>
      <c r="S1002" s="86"/>
      <c r="T1002" s="84"/>
      <c r="U1002" s="86"/>
    </row>
    <row r="1003" spans="1:21" s="20" customFormat="1" x14ac:dyDescent="0.15">
      <c r="A1003" s="86" t="s">
        <v>1</v>
      </c>
      <c r="B1003" s="86">
        <v>9020314</v>
      </c>
      <c r="C1003" s="86" t="s">
        <v>115</v>
      </c>
      <c r="D1003" s="86" t="s">
        <v>115</v>
      </c>
      <c r="E1003" s="86">
        <v>3</v>
      </c>
      <c r="F1003" s="86" t="s">
        <v>115</v>
      </c>
      <c r="G1003" s="86" t="s">
        <v>115</v>
      </c>
      <c r="H1003" s="86" t="s">
        <v>115</v>
      </c>
      <c r="I1003" s="86" t="s">
        <v>1319</v>
      </c>
      <c r="J1003" s="86" t="s">
        <v>115</v>
      </c>
      <c r="K1003" s="86">
        <v>6000</v>
      </c>
      <c r="L1003" s="86">
        <v>0</v>
      </c>
      <c r="M1003" s="86"/>
      <c r="N1003" s="86">
        <v>200115</v>
      </c>
      <c r="O1003" s="86">
        <v>200116</v>
      </c>
      <c r="P1003" s="86">
        <v>200114</v>
      </c>
      <c r="Q1003" s="85">
        <v>371</v>
      </c>
      <c r="R1003" s="84"/>
      <c r="S1003" s="86"/>
      <c r="T1003" s="84"/>
      <c r="U1003" s="86"/>
    </row>
    <row r="1004" spans="1:21" s="20" customFormat="1" x14ac:dyDescent="0.15">
      <c r="A1004" s="86" t="s">
        <v>1</v>
      </c>
      <c r="B1004" s="85">
        <v>9020411</v>
      </c>
      <c r="C1004" s="86" t="s">
        <v>115</v>
      </c>
      <c r="D1004" s="86">
        <v>3</v>
      </c>
      <c r="E1004" s="86" t="s">
        <v>115</v>
      </c>
      <c r="F1004" s="86" t="s">
        <v>115</v>
      </c>
      <c r="G1004" s="86" t="s">
        <v>115</v>
      </c>
      <c r="H1004" s="86" t="s">
        <v>7307</v>
      </c>
      <c r="I1004" s="86" t="s">
        <v>115</v>
      </c>
      <c r="J1004" s="86" t="s">
        <v>115</v>
      </c>
      <c r="K1004" s="86">
        <v>6800</v>
      </c>
      <c r="L1004" s="86">
        <v>9020412</v>
      </c>
      <c r="M1004" s="86"/>
      <c r="N1004" s="86" t="s">
        <v>115</v>
      </c>
      <c r="O1004" s="86" t="s">
        <v>115</v>
      </c>
      <c r="P1004" s="86">
        <v>200111</v>
      </c>
      <c r="Q1004" s="85">
        <v>371</v>
      </c>
      <c r="R1004" s="84">
        <v>3090</v>
      </c>
      <c r="S1004" s="86"/>
      <c r="T1004" s="84"/>
      <c r="U1004" s="86"/>
    </row>
    <row r="1005" spans="1:21" s="20" customFormat="1" x14ac:dyDescent="0.15">
      <c r="A1005" s="86" t="s">
        <v>1</v>
      </c>
      <c r="B1005" s="86">
        <v>9020412</v>
      </c>
      <c r="C1005" s="86" t="s">
        <v>115</v>
      </c>
      <c r="D1005" s="86" t="s">
        <v>115</v>
      </c>
      <c r="E1005" s="86">
        <v>1</v>
      </c>
      <c r="F1005" s="86">
        <v>5</v>
      </c>
      <c r="G1005" s="86" t="s">
        <v>115</v>
      </c>
      <c r="H1005" s="86" t="s">
        <v>7307</v>
      </c>
      <c r="I1005" s="86" t="s">
        <v>115</v>
      </c>
      <c r="J1005" s="86">
        <v>20</v>
      </c>
      <c r="K1005" s="86">
        <v>6800</v>
      </c>
      <c r="L1005" s="86">
        <v>9020413</v>
      </c>
      <c r="M1005" s="86"/>
      <c r="N1005" s="86" t="s">
        <v>115</v>
      </c>
      <c r="O1005" s="86" t="s">
        <v>115</v>
      </c>
      <c r="P1005" s="86">
        <v>200112</v>
      </c>
      <c r="Q1005" s="85">
        <v>371</v>
      </c>
      <c r="R1005" s="84">
        <v>1418</v>
      </c>
      <c r="S1005" s="86"/>
      <c r="T1005" s="84"/>
      <c r="U1005" s="86"/>
    </row>
    <row r="1006" spans="1:21" s="20" customFormat="1" x14ac:dyDescent="0.15">
      <c r="A1006" s="86" t="s">
        <v>1</v>
      </c>
      <c r="B1006" s="85">
        <v>9020413</v>
      </c>
      <c r="C1006" s="86"/>
      <c r="D1006" s="86"/>
      <c r="E1006" s="86">
        <v>2</v>
      </c>
      <c r="F1006" s="86">
        <v>5</v>
      </c>
      <c r="G1006" s="86"/>
      <c r="H1006" s="86" t="s">
        <v>7307</v>
      </c>
      <c r="I1006" s="86"/>
      <c r="J1006" s="86"/>
      <c r="K1006" s="86">
        <v>6800</v>
      </c>
      <c r="L1006" s="86">
        <v>9020414</v>
      </c>
      <c r="M1006" s="86"/>
      <c r="N1006" s="86"/>
      <c r="O1006" s="86"/>
      <c r="P1006" s="86">
        <v>200113</v>
      </c>
      <c r="Q1006" s="85">
        <v>371</v>
      </c>
      <c r="R1006" s="84">
        <v>2120</v>
      </c>
      <c r="S1006" s="86"/>
      <c r="T1006" s="84"/>
      <c r="U1006" s="86"/>
    </row>
    <row r="1007" spans="1:21" s="20" customFormat="1" x14ac:dyDescent="0.15">
      <c r="A1007" s="86" t="s">
        <v>1</v>
      </c>
      <c r="B1007" s="86">
        <v>9020414</v>
      </c>
      <c r="C1007" s="86" t="s">
        <v>115</v>
      </c>
      <c r="D1007" s="86" t="s">
        <v>115</v>
      </c>
      <c r="E1007" s="86">
        <v>3</v>
      </c>
      <c r="F1007" s="86" t="s">
        <v>115</v>
      </c>
      <c r="G1007" s="86" t="s">
        <v>115</v>
      </c>
      <c r="H1007" s="86" t="s">
        <v>115</v>
      </c>
      <c r="I1007" s="86" t="s">
        <v>1319</v>
      </c>
      <c r="J1007" s="86" t="s">
        <v>115</v>
      </c>
      <c r="K1007" s="86">
        <v>6800</v>
      </c>
      <c r="L1007" s="86">
        <v>0</v>
      </c>
      <c r="M1007" s="86"/>
      <c r="N1007" s="86">
        <v>200115</v>
      </c>
      <c r="O1007" s="86">
        <v>200116</v>
      </c>
      <c r="P1007" s="86">
        <v>200114</v>
      </c>
      <c r="Q1007" s="85">
        <v>371</v>
      </c>
      <c r="R1007" s="84"/>
      <c r="S1007" s="86"/>
      <c r="T1007" s="84"/>
      <c r="U1007" s="86"/>
    </row>
    <row r="1008" spans="1:21" s="20" customFormat="1" x14ac:dyDescent="0.15">
      <c r="A1008" s="86" t="s">
        <v>1</v>
      </c>
      <c r="B1008" s="85">
        <v>9020611</v>
      </c>
      <c r="C1008" s="86" t="s">
        <v>115</v>
      </c>
      <c r="D1008" s="86">
        <v>3</v>
      </c>
      <c r="E1008" s="86" t="s">
        <v>115</v>
      </c>
      <c r="F1008" s="86" t="s">
        <v>115</v>
      </c>
      <c r="G1008" s="86" t="s">
        <v>115</v>
      </c>
      <c r="H1008" s="86" t="s">
        <v>7307</v>
      </c>
      <c r="I1008" s="86" t="s">
        <v>115</v>
      </c>
      <c r="J1008" s="86" t="s">
        <v>115</v>
      </c>
      <c r="K1008" s="86">
        <v>9000</v>
      </c>
      <c r="L1008" s="86">
        <v>9020612</v>
      </c>
      <c r="M1008" s="86"/>
      <c r="N1008" s="86" t="s">
        <v>115</v>
      </c>
      <c r="O1008" s="86" t="s">
        <v>115</v>
      </c>
      <c r="P1008" s="86">
        <v>200111</v>
      </c>
      <c r="Q1008" s="85">
        <v>371</v>
      </c>
      <c r="R1008" s="84">
        <v>3210</v>
      </c>
      <c r="S1008" s="86"/>
      <c r="T1008" s="84"/>
      <c r="U1008" s="86"/>
    </row>
    <row r="1009" spans="1:21" s="20" customFormat="1" x14ac:dyDescent="0.15">
      <c r="A1009" s="86" t="s">
        <v>1</v>
      </c>
      <c r="B1009" s="86">
        <v>9020612</v>
      </c>
      <c r="C1009" s="86" t="s">
        <v>115</v>
      </c>
      <c r="D1009" s="86" t="s">
        <v>115</v>
      </c>
      <c r="E1009" s="86">
        <v>1</v>
      </c>
      <c r="F1009" s="86">
        <v>5</v>
      </c>
      <c r="G1009" s="86" t="s">
        <v>115</v>
      </c>
      <c r="H1009" s="86" t="s">
        <v>7307</v>
      </c>
      <c r="I1009" s="86" t="s">
        <v>115</v>
      </c>
      <c r="J1009" s="86">
        <v>20</v>
      </c>
      <c r="K1009" s="86">
        <v>9000</v>
      </c>
      <c r="L1009" s="86">
        <v>9020613</v>
      </c>
      <c r="M1009" s="86"/>
      <c r="N1009" s="86" t="s">
        <v>115</v>
      </c>
      <c r="O1009" s="86" t="s">
        <v>115</v>
      </c>
      <c r="P1009" s="86">
        <v>200112</v>
      </c>
      <c r="Q1009" s="85">
        <v>371</v>
      </c>
      <c r="R1009" s="84">
        <v>3270</v>
      </c>
      <c r="S1009" s="86"/>
      <c r="T1009" s="84"/>
      <c r="U1009" s="86"/>
    </row>
    <row r="1010" spans="1:21" s="20" customFormat="1" x14ac:dyDescent="0.15">
      <c r="A1010" s="86" t="s">
        <v>1</v>
      </c>
      <c r="B1010" s="85">
        <v>9020613</v>
      </c>
      <c r="C1010" s="86"/>
      <c r="D1010" s="86"/>
      <c r="E1010" s="86">
        <v>2</v>
      </c>
      <c r="F1010" s="86">
        <v>5</v>
      </c>
      <c r="G1010" s="86"/>
      <c r="H1010" s="86" t="s">
        <v>7307</v>
      </c>
      <c r="I1010" s="86"/>
      <c r="J1010" s="86"/>
      <c r="K1010" s="86">
        <v>9000</v>
      </c>
      <c r="L1010" s="86">
        <v>9020614</v>
      </c>
      <c r="M1010" s="86"/>
      <c r="N1010" s="86"/>
      <c r="O1010" s="86"/>
      <c r="P1010" s="86">
        <v>200113</v>
      </c>
      <c r="Q1010" s="85">
        <v>371</v>
      </c>
      <c r="R1010" s="84">
        <v>2805</v>
      </c>
      <c r="S1010" s="86"/>
      <c r="T1010" s="84"/>
      <c r="U1010" s="86"/>
    </row>
    <row r="1011" spans="1:21" s="20" customFormat="1" x14ac:dyDescent="0.15">
      <c r="A1011" s="86" t="s">
        <v>1</v>
      </c>
      <c r="B1011" s="86">
        <v>9020614</v>
      </c>
      <c r="C1011" s="86" t="s">
        <v>115</v>
      </c>
      <c r="D1011" s="86" t="s">
        <v>115</v>
      </c>
      <c r="E1011" s="86">
        <v>3</v>
      </c>
      <c r="F1011" s="86" t="s">
        <v>115</v>
      </c>
      <c r="G1011" s="86" t="s">
        <v>115</v>
      </c>
      <c r="H1011" s="86" t="s">
        <v>115</v>
      </c>
      <c r="I1011" s="86" t="s">
        <v>1319</v>
      </c>
      <c r="J1011" s="86" t="s">
        <v>115</v>
      </c>
      <c r="K1011" s="86">
        <v>9000</v>
      </c>
      <c r="L1011" s="86">
        <v>0</v>
      </c>
      <c r="M1011" s="86"/>
      <c r="N1011" s="86">
        <v>200115</v>
      </c>
      <c r="O1011" s="86">
        <v>200116</v>
      </c>
      <c r="P1011" s="86">
        <v>200114</v>
      </c>
      <c r="Q1011" s="85">
        <v>371</v>
      </c>
      <c r="R1011" s="84"/>
      <c r="S1011" s="86"/>
      <c r="T1011" s="84"/>
      <c r="U1011" s="86"/>
    </row>
    <row r="1012" spans="1:21" s="20" customFormat="1" x14ac:dyDescent="0.15">
      <c r="A1012" s="86" t="s">
        <v>1</v>
      </c>
      <c r="B1012" s="85">
        <v>9020711</v>
      </c>
      <c r="C1012" s="86" t="s">
        <v>115</v>
      </c>
      <c r="D1012" s="86">
        <v>3</v>
      </c>
      <c r="E1012" s="86" t="s">
        <v>115</v>
      </c>
      <c r="F1012" s="86" t="s">
        <v>115</v>
      </c>
      <c r="G1012" s="86" t="s">
        <v>115</v>
      </c>
      <c r="H1012" s="86" t="s">
        <v>7307</v>
      </c>
      <c r="I1012" s="86" t="s">
        <v>115</v>
      </c>
      <c r="J1012" s="86" t="s">
        <v>115</v>
      </c>
      <c r="K1012" s="86">
        <v>11500</v>
      </c>
      <c r="L1012" s="86">
        <v>9020712</v>
      </c>
      <c r="M1012" s="86"/>
      <c r="N1012" s="86" t="s">
        <v>115</v>
      </c>
      <c r="O1012" s="86" t="s">
        <v>115</v>
      </c>
      <c r="P1012" s="86">
        <v>200111</v>
      </c>
      <c r="Q1012" s="85">
        <v>371</v>
      </c>
      <c r="R1012" s="84">
        <v>3480</v>
      </c>
      <c r="S1012" s="86"/>
      <c r="T1012" s="84"/>
      <c r="U1012" s="86"/>
    </row>
    <row r="1013" spans="1:21" s="20" customFormat="1" x14ac:dyDescent="0.15">
      <c r="A1013" s="86" t="s">
        <v>1</v>
      </c>
      <c r="B1013" s="86">
        <v>9020712</v>
      </c>
      <c r="C1013" s="86" t="s">
        <v>115</v>
      </c>
      <c r="D1013" s="86" t="s">
        <v>115</v>
      </c>
      <c r="E1013" s="86">
        <v>1</v>
      </c>
      <c r="F1013" s="86">
        <v>5</v>
      </c>
      <c r="G1013" s="86" t="s">
        <v>115</v>
      </c>
      <c r="H1013" s="86" t="s">
        <v>7307</v>
      </c>
      <c r="I1013" s="86" t="s">
        <v>115</v>
      </c>
      <c r="J1013" s="86">
        <v>20</v>
      </c>
      <c r="K1013" s="86">
        <v>11500</v>
      </c>
      <c r="L1013" s="86">
        <v>9020713</v>
      </c>
      <c r="M1013" s="86"/>
      <c r="N1013" s="86" t="s">
        <v>115</v>
      </c>
      <c r="O1013" s="86" t="s">
        <v>115</v>
      </c>
      <c r="P1013" s="86">
        <v>200112</v>
      </c>
      <c r="Q1013" s="85">
        <v>371</v>
      </c>
      <c r="R1013" s="84">
        <v>4206</v>
      </c>
      <c r="S1013" s="86"/>
      <c r="T1013" s="84"/>
      <c r="U1013" s="86"/>
    </row>
    <row r="1014" spans="1:21" s="20" customFormat="1" x14ac:dyDescent="0.15">
      <c r="A1014" s="86" t="s">
        <v>1</v>
      </c>
      <c r="B1014" s="85">
        <v>9020713</v>
      </c>
      <c r="C1014" s="86"/>
      <c r="D1014" s="86"/>
      <c r="E1014" s="86">
        <v>2</v>
      </c>
      <c r="F1014" s="86">
        <v>5</v>
      </c>
      <c r="G1014" s="86"/>
      <c r="H1014" s="86" t="s">
        <v>7307</v>
      </c>
      <c r="I1014" s="86"/>
      <c r="J1014" s="86"/>
      <c r="K1014" s="86">
        <v>11500</v>
      </c>
      <c r="L1014" s="86">
        <v>9020714</v>
      </c>
      <c r="M1014" s="86"/>
      <c r="N1014" s="86"/>
      <c r="O1014" s="86"/>
      <c r="P1014" s="86">
        <v>200113</v>
      </c>
      <c r="Q1014" s="85">
        <v>371</v>
      </c>
      <c r="R1014" s="84">
        <v>3259</v>
      </c>
      <c r="S1014" s="86"/>
      <c r="T1014" s="84"/>
      <c r="U1014" s="86"/>
    </row>
    <row r="1015" spans="1:21" s="20" customFormat="1" x14ac:dyDescent="0.15">
      <c r="A1015" s="86" t="s">
        <v>1</v>
      </c>
      <c r="B1015" s="86">
        <v>9020714</v>
      </c>
      <c r="C1015" s="86" t="s">
        <v>115</v>
      </c>
      <c r="D1015" s="86" t="s">
        <v>115</v>
      </c>
      <c r="E1015" s="86">
        <v>3</v>
      </c>
      <c r="F1015" s="86" t="s">
        <v>115</v>
      </c>
      <c r="G1015" s="86" t="s">
        <v>115</v>
      </c>
      <c r="H1015" s="86" t="s">
        <v>115</v>
      </c>
      <c r="I1015" s="86" t="s">
        <v>1319</v>
      </c>
      <c r="J1015" s="86" t="s">
        <v>115</v>
      </c>
      <c r="K1015" s="86">
        <v>11500</v>
      </c>
      <c r="L1015" s="86">
        <v>0</v>
      </c>
      <c r="M1015" s="86"/>
      <c r="N1015" s="86">
        <v>200115</v>
      </c>
      <c r="O1015" s="86">
        <v>200116</v>
      </c>
      <c r="P1015" s="86">
        <v>200114</v>
      </c>
      <c r="Q1015" s="85">
        <v>371</v>
      </c>
      <c r="R1015" s="84"/>
      <c r="S1015" s="86"/>
      <c r="T1015" s="84"/>
      <c r="U1015" s="86"/>
    </row>
    <row r="1016" spans="1:21" s="20" customFormat="1" x14ac:dyDescent="0.15">
      <c r="A1016" s="86" t="s">
        <v>1</v>
      </c>
      <c r="B1016" s="85">
        <v>9020911</v>
      </c>
      <c r="C1016" s="86" t="s">
        <v>115</v>
      </c>
      <c r="D1016" s="86">
        <v>3</v>
      </c>
      <c r="E1016" s="86" t="s">
        <v>115</v>
      </c>
      <c r="F1016" s="86" t="s">
        <v>115</v>
      </c>
      <c r="G1016" s="86" t="s">
        <v>115</v>
      </c>
      <c r="H1016" s="86" t="s">
        <v>7307</v>
      </c>
      <c r="I1016" s="86" t="s">
        <v>115</v>
      </c>
      <c r="J1016" s="86" t="s">
        <v>115</v>
      </c>
      <c r="K1016" s="86">
        <v>19000</v>
      </c>
      <c r="L1016" s="86">
        <v>9020912</v>
      </c>
      <c r="M1016" s="86"/>
      <c r="N1016" s="86" t="s">
        <v>115</v>
      </c>
      <c r="O1016" s="86" t="s">
        <v>115</v>
      </c>
      <c r="P1016" s="86">
        <v>200111</v>
      </c>
      <c r="Q1016" s="85">
        <v>371</v>
      </c>
      <c r="R1016" s="84">
        <v>3720</v>
      </c>
      <c r="S1016" s="86"/>
      <c r="T1016" s="84"/>
      <c r="U1016" s="86"/>
    </row>
    <row r="1017" spans="1:21" s="20" customFormat="1" x14ac:dyDescent="0.15">
      <c r="A1017" s="86" t="s">
        <v>1</v>
      </c>
      <c r="B1017" s="86">
        <v>9020912</v>
      </c>
      <c r="C1017" s="86" t="s">
        <v>115</v>
      </c>
      <c r="D1017" s="86" t="s">
        <v>115</v>
      </c>
      <c r="E1017" s="86">
        <v>1</v>
      </c>
      <c r="F1017" s="86">
        <v>5</v>
      </c>
      <c r="G1017" s="86" t="s">
        <v>115</v>
      </c>
      <c r="H1017" s="86" t="s">
        <v>7307</v>
      </c>
      <c r="I1017" s="86" t="s">
        <v>115</v>
      </c>
      <c r="J1017" s="86">
        <v>20</v>
      </c>
      <c r="K1017" s="86">
        <v>19000</v>
      </c>
      <c r="L1017" s="86">
        <v>9020913</v>
      </c>
      <c r="M1017" s="86"/>
      <c r="N1017" s="86" t="s">
        <v>115</v>
      </c>
      <c r="O1017" s="86" t="s">
        <v>115</v>
      </c>
      <c r="P1017" s="86">
        <v>200112</v>
      </c>
      <c r="Q1017" s="85">
        <v>371</v>
      </c>
      <c r="R1017" s="84">
        <v>8646</v>
      </c>
      <c r="S1017" s="86"/>
      <c r="T1017" s="84"/>
      <c r="U1017" s="86"/>
    </row>
    <row r="1018" spans="1:21" s="20" customFormat="1" x14ac:dyDescent="0.15">
      <c r="A1018" s="86" t="s">
        <v>1</v>
      </c>
      <c r="B1018" s="85">
        <v>9020913</v>
      </c>
      <c r="C1018" s="86"/>
      <c r="D1018" s="86"/>
      <c r="E1018" s="86">
        <v>2</v>
      </c>
      <c r="F1018" s="86">
        <v>5</v>
      </c>
      <c r="G1018" s="86"/>
      <c r="H1018" s="86" t="s">
        <v>7307</v>
      </c>
      <c r="I1018" s="86"/>
      <c r="J1018" s="86"/>
      <c r="K1018" s="86">
        <v>19000</v>
      </c>
      <c r="L1018" s="86">
        <v>9020914</v>
      </c>
      <c r="M1018" s="86"/>
      <c r="N1018" s="86"/>
      <c r="O1018" s="86"/>
      <c r="P1018" s="86">
        <v>200113</v>
      </c>
      <c r="Q1018" s="85">
        <v>371</v>
      </c>
      <c r="R1018" s="84">
        <v>6433</v>
      </c>
      <c r="S1018" s="86"/>
      <c r="T1018" s="84"/>
      <c r="U1018" s="86"/>
    </row>
    <row r="1019" spans="1:21" s="20" customFormat="1" x14ac:dyDescent="0.15">
      <c r="A1019" s="86" t="s">
        <v>1</v>
      </c>
      <c r="B1019" s="86">
        <v>9020914</v>
      </c>
      <c r="C1019" s="86" t="s">
        <v>115</v>
      </c>
      <c r="D1019" s="86" t="s">
        <v>115</v>
      </c>
      <c r="E1019" s="86">
        <v>3</v>
      </c>
      <c r="F1019" s="86" t="s">
        <v>115</v>
      </c>
      <c r="G1019" s="86" t="s">
        <v>115</v>
      </c>
      <c r="H1019" s="86" t="s">
        <v>115</v>
      </c>
      <c r="I1019" s="86" t="s">
        <v>1319</v>
      </c>
      <c r="J1019" s="86" t="s">
        <v>115</v>
      </c>
      <c r="K1019" s="86">
        <v>19000</v>
      </c>
      <c r="L1019" s="86">
        <v>0</v>
      </c>
      <c r="M1019" s="86"/>
      <c r="N1019" s="86">
        <v>200115</v>
      </c>
      <c r="O1019" s="86">
        <v>200116</v>
      </c>
      <c r="P1019" s="86">
        <v>200114</v>
      </c>
      <c r="Q1019" s="85">
        <v>371</v>
      </c>
      <c r="R1019" s="84"/>
      <c r="S1019" s="86"/>
      <c r="T1019" s="84"/>
      <c r="U1019" s="86"/>
    </row>
    <row r="1020" spans="1:21" s="20" customFormat="1" x14ac:dyDescent="0.15">
      <c r="A1020" s="86" t="s">
        <v>1</v>
      </c>
      <c r="B1020" s="85">
        <v>9021011</v>
      </c>
      <c r="C1020" s="86" t="s">
        <v>115</v>
      </c>
      <c r="D1020" s="86">
        <v>3</v>
      </c>
      <c r="E1020" s="86" t="s">
        <v>115</v>
      </c>
      <c r="F1020" s="86" t="s">
        <v>115</v>
      </c>
      <c r="G1020" s="86" t="s">
        <v>115</v>
      </c>
      <c r="H1020" s="86" t="s">
        <v>7307</v>
      </c>
      <c r="I1020" s="86" t="s">
        <v>115</v>
      </c>
      <c r="J1020" s="86" t="s">
        <v>115</v>
      </c>
      <c r="K1020" s="86">
        <v>21000</v>
      </c>
      <c r="L1020" s="86">
        <v>9021012</v>
      </c>
      <c r="M1020" s="86"/>
      <c r="N1020" s="86" t="s">
        <v>115</v>
      </c>
      <c r="O1020" s="86" t="s">
        <v>115</v>
      </c>
      <c r="P1020" s="86">
        <v>200111</v>
      </c>
      <c r="Q1020" s="85">
        <v>371</v>
      </c>
      <c r="R1020" s="84">
        <v>3720</v>
      </c>
      <c r="S1020" s="86"/>
      <c r="T1020" s="84"/>
      <c r="U1020" s="86"/>
    </row>
    <row r="1021" spans="1:21" s="20" customFormat="1" x14ac:dyDescent="0.15">
      <c r="A1021" s="86" t="s">
        <v>1</v>
      </c>
      <c r="B1021" s="86">
        <v>9021012</v>
      </c>
      <c r="C1021" s="86" t="s">
        <v>115</v>
      </c>
      <c r="D1021" s="86" t="s">
        <v>115</v>
      </c>
      <c r="E1021" s="86">
        <v>1</v>
      </c>
      <c r="F1021" s="86">
        <v>5</v>
      </c>
      <c r="G1021" s="86" t="s">
        <v>115</v>
      </c>
      <c r="H1021" s="86" t="s">
        <v>7307</v>
      </c>
      <c r="I1021" s="86" t="s">
        <v>115</v>
      </c>
      <c r="J1021" s="86">
        <v>20</v>
      </c>
      <c r="K1021" s="86">
        <v>21000</v>
      </c>
      <c r="L1021" s="86">
        <v>9021013</v>
      </c>
      <c r="M1021" s="86"/>
      <c r="N1021" s="86" t="s">
        <v>115</v>
      </c>
      <c r="O1021" s="86" t="s">
        <v>115</v>
      </c>
      <c r="P1021" s="86">
        <v>200112</v>
      </c>
      <c r="Q1021" s="85">
        <v>371</v>
      </c>
      <c r="R1021" s="84">
        <v>9120</v>
      </c>
      <c r="S1021" s="86"/>
      <c r="T1021" s="84"/>
      <c r="U1021" s="86"/>
    </row>
    <row r="1022" spans="1:21" s="20" customFormat="1" x14ac:dyDescent="0.15">
      <c r="A1022" s="86" t="s">
        <v>1</v>
      </c>
      <c r="B1022" s="85">
        <v>9021013</v>
      </c>
      <c r="C1022" s="86"/>
      <c r="D1022" s="86"/>
      <c r="E1022" s="86">
        <v>2</v>
      </c>
      <c r="F1022" s="86">
        <v>5</v>
      </c>
      <c r="G1022" s="86"/>
      <c r="H1022" s="86" t="s">
        <v>7307</v>
      </c>
      <c r="I1022" s="86"/>
      <c r="J1022" s="86"/>
      <c r="K1022" s="86">
        <v>21000</v>
      </c>
      <c r="L1022" s="86">
        <v>9021014</v>
      </c>
      <c r="M1022" s="86"/>
      <c r="N1022" s="86"/>
      <c r="O1022" s="86"/>
      <c r="P1022" s="86">
        <v>200113</v>
      </c>
      <c r="Q1022" s="85">
        <v>371</v>
      </c>
      <c r="R1022" s="84">
        <v>8721</v>
      </c>
      <c r="S1022" s="86"/>
      <c r="T1022" s="84"/>
      <c r="U1022" s="86"/>
    </row>
    <row r="1023" spans="1:21" s="20" customFormat="1" x14ac:dyDescent="0.15">
      <c r="A1023" s="86" t="s">
        <v>1</v>
      </c>
      <c r="B1023" s="86">
        <v>9021014</v>
      </c>
      <c r="C1023" s="86" t="s">
        <v>115</v>
      </c>
      <c r="D1023" s="86" t="s">
        <v>115</v>
      </c>
      <c r="E1023" s="86">
        <v>3</v>
      </c>
      <c r="F1023" s="86" t="s">
        <v>115</v>
      </c>
      <c r="G1023" s="86" t="s">
        <v>115</v>
      </c>
      <c r="H1023" s="86" t="s">
        <v>115</v>
      </c>
      <c r="I1023" s="86" t="s">
        <v>1319</v>
      </c>
      <c r="J1023" s="86" t="s">
        <v>115</v>
      </c>
      <c r="K1023" s="86">
        <v>21000</v>
      </c>
      <c r="L1023" s="86">
        <v>0</v>
      </c>
      <c r="M1023" s="86"/>
      <c r="N1023" s="86">
        <v>200115</v>
      </c>
      <c r="O1023" s="86">
        <v>200116</v>
      </c>
      <c r="P1023" s="86">
        <v>200114</v>
      </c>
      <c r="Q1023" s="85">
        <v>371</v>
      </c>
      <c r="R1023" s="84"/>
      <c r="S1023" s="86"/>
      <c r="T1023" s="84"/>
      <c r="U1023" s="86"/>
    </row>
    <row r="1024" spans="1:21" s="20" customFormat="1" x14ac:dyDescent="0.15">
      <c r="A1024" s="86" t="s">
        <v>1</v>
      </c>
      <c r="B1024" s="85">
        <v>9021111</v>
      </c>
      <c r="C1024" s="86" t="s">
        <v>115</v>
      </c>
      <c r="D1024" s="86">
        <v>3</v>
      </c>
      <c r="E1024" s="86" t="s">
        <v>115</v>
      </c>
      <c r="F1024" s="86" t="s">
        <v>115</v>
      </c>
      <c r="G1024" s="86" t="s">
        <v>115</v>
      </c>
      <c r="H1024" s="86" t="s">
        <v>7307</v>
      </c>
      <c r="I1024" s="86" t="s">
        <v>115</v>
      </c>
      <c r="J1024" s="86" t="s">
        <v>115</v>
      </c>
      <c r="K1024" s="86">
        <v>23000</v>
      </c>
      <c r="L1024" s="86">
        <v>9021112</v>
      </c>
      <c r="M1024" s="86"/>
      <c r="N1024" s="86" t="s">
        <v>115</v>
      </c>
      <c r="O1024" s="86" t="s">
        <v>115</v>
      </c>
      <c r="P1024" s="86">
        <v>200111</v>
      </c>
      <c r="Q1024" s="85">
        <v>371</v>
      </c>
      <c r="R1024" s="84">
        <v>3870</v>
      </c>
      <c r="S1024" s="86"/>
      <c r="T1024" s="84"/>
      <c r="U1024" s="86"/>
    </row>
    <row r="1025" spans="1:21" s="20" customFormat="1" x14ac:dyDescent="0.15">
      <c r="A1025" s="86" t="s">
        <v>1</v>
      </c>
      <c r="B1025" s="86">
        <v>9021112</v>
      </c>
      <c r="C1025" s="86" t="s">
        <v>115</v>
      </c>
      <c r="D1025" s="86" t="s">
        <v>115</v>
      </c>
      <c r="E1025" s="86">
        <v>1</v>
      </c>
      <c r="F1025" s="86">
        <v>5</v>
      </c>
      <c r="G1025" s="86" t="s">
        <v>115</v>
      </c>
      <c r="H1025" s="86" t="s">
        <v>7307</v>
      </c>
      <c r="I1025" s="86" t="s">
        <v>115</v>
      </c>
      <c r="J1025" s="86">
        <v>20</v>
      </c>
      <c r="K1025" s="86">
        <v>23000</v>
      </c>
      <c r="L1025" s="86">
        <v>9021113</v>
      </c>
      <c r="M1025" s="86"/>
      <c r="N1025" s="86" t="s">
        <v>115</v>
      </c>
      <c r="O1025" s="86" t="s">
        <v>115</v>
      </c>
      <c r="P1025" s="86">
        <v>200112</v>
      </c>
      <c r="Q1025" s="85">
        <v>371</v>
      </c>
      <c r="R1025" s="84">
        <v>9757</v>
      </c>
      <c r="S1025" s="86"/>
      <c r="T1025" s="84"/>
      <c r="U1025" s="86"/>
    </row>
    <row r="1026" spans="1:21" s="20" customFormat="1" x14ac:dyDescent="0.15">
      <c r="A1026" s="86" t="s">
        <v>1</v>
      </c>
      <c r="B1026" s="85">
        <v>9021113</v>
      </c>
      <c r="C1026" s="86"/>
      <c r="D1026" s="86"/>
      <c r="E1026" s="86">
        <v>2</v>
      </c>
      <c r="F1026" s="86">
        <v>5</v>
      </c>
      <c r="G1026" s="86"/>
      <c r="H1026" s="86" t="s">
        <v>7307</v>
      </c>
      <c r="I1026" s="86"/>
      <c r="J1026" s="86"/>
      <c r="K1026" s="86">
        <v>23000</v>
      </c>
      <c r="L1026" s="86">
        <v>9021114</v>
      </c>
      <c r="M1026" s="86"/>
      <c r="N1026" s="86"/>
      <c r="O1026" s="86"/>
      <c r="P1026" s="86">
        <v>200113</v>
      </c>
      <c r="Q1026" s="85">
        <v>371</v>
      </c>
      <c r="R1026" s="84">
        <v>9368</v>
      </c>
      <c r="S1026" s="86"/>
      <c r="T1026" s="84"/>
      <c r="U1026" s="86"/>
    </row>
    <row r="1027" spans="1:21" s="20" customFormat="1" x14ac:dyDescent="0.15">
      <c r="A1027" s="86" t="s">
        <v>1</v>
      </c>
      <c r="B1027" s="86">
        <v>9021114</v>
      </c>
      <c r="C1027" s="86" t="s">
        <v>115</v>
      </c>
      <c r="D1027" s="86" t="s">
        <v>115</v>
      </c>
      <c r="E1027" s="86">
        <v>3</v>
      </c>
      <c r="F1027" s="86" t="s">
        <v>115</v>
      </c>
      <c r="G1027" s="86" t="s">
        <v>115</v>
      </c>
      <c r="H1027" s="86" t="s">
        <v>115</v>
      </c>
      <c r="I1027" s="86" t="s">
        <v>1319</v>
      </c>
      <c r="J1027" s="86" t="s">
        <v>115</v>
      </c>
      <c r="K1027" s="86">
        <v>23000</v>
      </c>
      <c r="L1027" s="86">
        <v>0</v>
      </c>
      <c r="M1027" s="86"/>
      <c r="N1027" s="86">
        <v>200115</v>
      </c>
      <c r="O1027" s="86">
        <v>200116</v>
      </c>
      <c r="P1027" s="86">
        <v>200114</v>
      </c>
      <c r="Q1027" s="85">
        <v>371</v>
      </c>
      <c r="R1027" s="84"/>
      <c r="S1027" s="86"/>
      <c r="T1027" s="84"/>
      <c r="U1027" s="86"/>
    </row>
    <row r="1028" spans="1:21" s="20" customFormat="1" x14ac:dyDescent="0.15">
      <c r="A1028" s="86" t="s">
        <v>1</v>
      </c>
      <c r="B1028" s="85">
        <v>9021211</v>
      </c>
      <c r="C1028" s="86" t="s">
        <v>115</v>
      </c>
      <c r="D1028" s="86">
        <v>3</v>
      </c>
      <c r="E1028" s="86" t="s">
        <v>115</v>
      </c>
      <c r="F1028" s="86" t="s">
        <v>115</v>
      </c>
      <c r="G1028" s="86" t="s">
        <v>115</v>
      </c>
      <c r="H1028" s="86" t="s">
        <v>7307</v>
      </c>
      <c r="I1028" s="86" t="s">
        <v>115</v>
      </c>
      <c r="J1028" s="86" t="s">
        <v>115</v>
      </c>
      <c r="K1028" s="86">
        <v>28500</v>
      </c>
      <c r="L1028" s="86">
        <v>9021212</v>
      </c>
      <c r="M1028" s="86"/>
      <c r="N1028" s="86" t="s">
        <v>115</v>
      </c>
      <c r="O1028" s="86" t="s">
        <v>115</v>
      </c>
      <c r="P1028" s="86">
        <v>200111</v>
      </c>
      <c r="Q1028" s="85">
        <v>371</v>
      </c>
      <c r="R1028" s="84">
        <v>3990</v>
      </c>
      <c r="S1028" s="86"/>
      <c r="T1028" s="84"/>
      <c r="U1028" s="86"/>
    </row>
    <row r="1029" spans="1:21" s="20" customFormat="1" x14ac:dyDescent="0.15">
      <c r="A1029" s="86" t="s">
        <v>1</v>
      </c>
      <c r="B1029" s="86">
        <v>9021212</v>
      </c>
      <c r="C1029" s="86" t="s">
        <v>115</v>
      </c>
      <c r="D1029" s="86" t="s">
        <v>115</v>
      </c>
      <c r="E1029" s="86">
        <v>1</v>
      </c>
      <c r="F1029" s="86">
        <v>5</v>
      </c>
      <c r="G1029" s="86" t="s">
        <v>115</v>
      </c>
      <c r="H1029" s="86" t="s">
        <v>7307</v>
      </c>
      <c r="I1029" s="86" t="s">
        <v>115</v>
      </c>
      <c r="J1029" s="86">
        <v>20</v>
      </c>
      <c r="K1029" s="86">
        <v>28500</v>
      </c>
      <c r="L1029" s="86">
        <v>9021213</v>
      </c>
      <c r="M1029" s="86"/>
      <c r="N1029" s="86" t="s">
        <v>115</v>
      </c>
      <c r="O1029" s="86" t="s">
        <v>115</v>
      </c>
      <c r="P1029" s="86">
        <v>200112</v>
      </c>
      <c r="Q1029" s="85">
        <v>371</v>
      </c>
      <c r="R1029" s="84">
        <v>12485</v>
      </c>
      <c r="S1029" s="86"/>
      <c r="T1029" s="84"/>
      <c r="U1029" s="86"/>
    </row>
    <row r="1030" spans="1:21" s="20" customFormat="1" x14ac:dyDescent="0.15">
      <c r="A1030" s="86" t="s">
        <v>1</v>
      </c>
      <c r="B1030" s="85">
        <v>9021213</v>
      </c>
      <c r="C1030" s="86"/>
      <c r="D1030" s="86"/>
      <c r="E1030" s="86">
        <v>2</v>
      </c>
      <c r="F1030" s="86">
        <v>5</v>
      </c>
      <c r="G1030" s="86"/>
      <c r="H1030" s="86" t="s">
        <v>7307</v>
      </c>
      <c r="I1030" s="86"/>
      <c r="J1030" s="86"/>
      <c r="K1030" s="86">
        <v>28500</v>
      </c>
      <c r="L1030" s="86">
        <v>9021214</v>
      </c>
      <c r="M1030" s="86"/>
      <c r="N1030" s="86"/>
      <c r="O1030" s="86"/>
      <c r="P1030" s="86">
        <v>200113</v>
      </c>
      <c r="Q1030" s="85">
        <v>371</v>
      </c>
      <c r="R1030" s="84">
        <v>11806</v>
      </c>
      <c r="S1030" s="86"/>
      <c r="T1030" s="84"/>
      <c r="U1030" s="86"/>
    </row>
    <row r="1031" spans="1:21" s="20" customFormat="1" x14ac:dyDescent="0.15">
      <c r="A1031" s="86" t="s">
        <v>1</v>
      </c>
      <c r="B1031" s="86">
        <v>9021214</v>
      </c>
      <c r="C1031" s="86" t="s">
        <v>115</v>
      </c>
      <c r="D1031" s="86" t="s">
        <v>115</v>
      </c>
      <c r="E1031" s="86">
        <v>3</v>
      </c>
      <c r="F1031" s="86" t="s">
        <v>115</v>
      </c>
      <c r="G1031" s="86" t="s">
        <v>115</v>
      </c>
      <c r="H1031" s="86" t="s">
        <v>115</v>
      </c>
      <c r="I1031" s="86" t="s">
        <v>1319</v>
      </c>
      <c r="J1031" s="86" t="s">
        <v>115</v>
      </c>
      <c r="K1031" s="86">
        <v>28500</v>
      </c>
      <c r="L1031" s="86">
        <v>0</v>
      </c>
      <c r="M1031" s="86"/>
      <c r="N1031" s="86">
        <v>200115</v>
      </c>
      <c r="O1031" s="86">
        <v>200116</v>
      </c>
      <c r="P1031" s="86">
        <v>200114</v>
      </c>
      <c r="Q1031" s="85">
        <v>371</v>
      </c>
      <c r="R1031" s="84"/>
      <c r="S1031" s="86"/>
      <c r="T1031" s="84"/>
      <c r="U1031" s="86"/>
    </row>
    <row r="1032" spans="1:21" s="20" customFormat="1" x14ac:dyDescent="0.15">
      <c r="A1032" s="86" t="s">
        <v>1</v>
      </c>
      <c r="B1032" s="85">
        <v>9021311</v>
      </c>
      <c r="C1032" s="86" t="s">
        <v>115</v>
      </c>
      <c r="D1032" s="86">
        <v>3</v>
      </c>
      <c r="E1032" s="86" t="s">
        <v>115</v>
      </c>
      <c r="F1032" s="86" t="s">
        <v>115</v>
      </c>
      <c r="G1032" s="86" t="s">
        <v>115</v>
      </c>
      <c r="H1032" s="86" t="s">
        <v>7307</v>
      </c>
      <c r="I1032" s="86" t="s">
        <v>115</v>
      </c>
      <c r="J1032" s="86" t="s">
        <v>115</v>
      </c>
      <c r="K1032" s="86">
        <v>29200</v>
      </c>
      <c r="L1032" s="86">
        <v>9021312</v>
      </c>
      <c r="M1032" s="86"/>
      <c r="N1032" s="86" t="s">
        <v>115</v>
      </c>
      <c r="O1032" s="86" t="s">
        <v>115</v>
      </c>
      <c r="P1032" s="86">
        <v>200111</v>
      </c>
      <c r="Q1032" s="85">
        <v>371</v>
      </c>
      <c r="R1032" s="84">
        <v>3990</v>
      </c>
      <c r="S1032" s="86"/>
      <c r="T1032" s="84"/>
      <c r="U1032" s="86"/>
    </row>
    <row r="1033" spans="1:21" s="20" customFormat="1" x14ac:dyDescent="0.15">
      <c r="A1033" s="86" t="s">
        <v>1</v>
      </c>
      <c r="B1033" s="86">
        <v>9021312</v>
      </c>
      <c r="C1033" s="86" t="s">
        <v>115</v>
      </c>
      <c r="D1033" s="86" t="s">
        <v>115</v>
      </c>
      <c r="E1033" s="86">
        <v>1</v>
      </c>
      <c r="F1033" s="86">
        <v>5</v>
      </c>
      <c r="G1033" s="86" t="s">
        <v>115</v>
      </c>
      <c r="H1033" s="86" t="s">
        <v>7307</v>
      </c>
      <c r="I1033" s="86" t="s">
        <v>115</v>
      </c>
      <c r="J1033" s="86">
        <v>20</v>
      </c>
      <c r="K1033" s="86">
        <v>29200</v>
      </c>
      <c r="L1033" s="86">
        <v>9021313</v>
      </c>
      <c r="M1033" s="86"/>
      <c r="N1033" s="86" t="s">
        <v>115</v>
      </c>
      <c r="O1033" s="86" t="s">
        <v>115</v>
      </c>
      <c r="P1033" s="86">
        <v>200112</v>
      </c>
      <c r="Q1033" s="85">
        <v>371</v>
      </c>
      <c r="R1033" s="84">
        <v>12485</v>
      </c>
      <c r="S1033" s="86"/>
      <c r="T1033" s="84"/>
      <c r="U1033" s="86"/>
    </row>
    <row r="1034" spans="1:21" s="20" customFormat="1" x14ac:dyDescent="0.15">
      <c r="A1034" s="86" t="s">
        <v>1</v>
      </c>
      <c r="B1034" s="85">
        <v>9021313</v>
      </c>
      <c r="C1034" s="86"/>
      <c r="D1034" s="86"/>
      <c r="E1034" s="86">
        <v>2</v>
      </c>
      <c r="F1034" s="86">
        <v>5</v>
      </c>
      <c r="G1034" s="86"/>
      <c r="H1034" s="86" t="s">
        <v>7307</v>
      </c>
      <c r="I1034" s="86"/>
      <c r="J1034" s="86"/>
      <c r="K1034" s="86">
        <v>29200</v>
      </c>
      <c r="L1034" s="86">
        <v>9021314</v>
      </c>
      <c r="M1034" s="86"/>
      <c r="N1034" s="86"/>
      <c r="O1034" s="86"/>
      <c r="P1034" s="86">
        <v>200113</v>
      </c>
      <c r="Q1034" s="85">
        <v>371</v>
      </c>
      <c r="R1034" s="84">
        <v>12113</v>
      </c>
      <c r="S1034" s="86"/>
      <c r="T1034" s="84"/>
      <c r="U1034" s="86"/>
    </row>
    <row r="1035" spans="1:21" s="20" customFormat="1" x14ac:dyDescent="0.15">
      <c r="A1035" s="86" t="s">
        <v>1</v>
      </c>
      <c r="B1035" s="86">
        <v>9021314</v>
      </c>
      <c r="C1035" s="86" t="s">
        <v>115</v>
      </c>
      <c r="D1035" s="86" t="s">
        <v>115</v>
      </c>
      <c r="E1035" s="86">
        <v>3</v>
      </c>
      <c r="F1035" s="86" t="s">
        <v>115</v>
      </c>
      <c r="G1035" s="86" t="s">
        <v>115</v>
      </c>
      <c r="H1035" s="86" t="s">
        <v>115</v>
      </c>
      <c r="I1035" s="86" t="s">
        <v>1319</v>
      </c>
      <c r="J1035" s="86" t="s">
        <v>115</v>
      </c>
      <c r="K1035" s="86">
        <v>29200</v>
      </c>
      <c r="L1035" s="86">
        <v>0</v>
      </c>
      <c r="M1035" s="86"/>
      <c r="N1035" s="86">
        <v>200115</v>
      </c>
      <c r="O1035" s="86">
        <v>200116</v>
      </c>
      <c r="P1035" s="86">
        <v>200114</v>
      </c>
      <c r="Q1035" s="85">
        <v>371</v>
      </c>
      <c r="R1035" s="84"/>
      <c r="S1035" s="86"/>
      <c r="T1035" s="84"/>
      <c r="U1035" s="86"/>
    </row>
    <row r="1036" spans="1:21" s="20" customFormat="1" x14ac:dyDescent="0.15">
      <c r="A1036" s="86" t="s">
        <v>1</v>
      </c>
      <c r="B1036" s="85">
        <v>9021411</v>
      </c>
      <c r="C1036" s="86" t="s">
        <v>115</v>
      </c>
      <c r="D1036" s="86">
        <v>3</v>
      </c>
      <c r="E1036" s="86" t="s">
        <v>115</v>
      </c>
      <c r="F1036" s="86" t="s">
        <v>115</v>
      </c>
      <c r="G1036" s="86" t="s">
        <v>115</v>
      </c>
      <c r="H1036" s="86" t="s">
        <v>7307</v>
      </c>
      <c r="I1036" s="86" t="s">
        <v>115</v>
      </c>
      <c r="J1036" s="86" t="s">
        <v>115</v>
      </c>
      <c r="K1036" s="86">
        <v>30000</v>
      </c>
      <c r="L1036" s="86">
        <v>9021412</v>
      </c>
      <c r="M1036" s="86"/>
      <c r="N1036" s="86" t="s">
        <v>115</v>
      </c>
      <c r="O1036" s="86" t="s">
        <v>115</v>
      </c>
      <c r="P1036" s="86">
        <v>200111</v>
      </c>
      <c r="Q1036" s="85">
        <v>371</v>
      </c>
      <c r="R1036" s="84">
        <v>3990</v>
      </c>
      <c r="S1036" s="86"/>
      <c r="T1036" s="84"/>
      <c r="U1036" s="86"/>
    </row>
    <row r="1037" spans="1:21" s="20" customFormat="1" x14ac:dyDescent="0.15">
      <c r="A1037" s="86" t="s">
        <v>1</v>
      </c>
      <c r="B1037" s="86">
        <v>9021412</v>
      </c>
      <c r="C1037" s="86" t="s">
        <v>115</v>
      </c>
      <c r="D1037" s="86" t="s">
        <v>115</v>
      </c>
      <c r="E1037" s="86">
        <v>1</v>
      </c>
      <c r="F1037" s="86">
        <v>5</v>
      </c>
      <c r="G1037" s="86" t="s">
        <v>115</v>
      </c>
      <c r="H1037" s="86" t="s">
        <v>7307</v>
      </c>
      <c r="I1037" s="86" t="s">
        <v>115</v>
      </c>
      <c r="J1037" s="86">
        <v>20</v>
      </c>
      <c r="K1037" s="86">
        <v>30000</v>
      </c>
      <c r="L1037" s="86">
        <v>9021413</v>
      </c>
      <c r="M1037" s="86"/>
      <c r="N1037" s="86" t="s">
        <v>115</v>
      </c>
      <c r="O1037" s="86" t="s">
        <v>115</v>
      </c>
      <c r="P1037" s="86">
        <v>200112</v>
      </c>
      <c r="Q1037" s="85">
        <v>371</v>
      </c>
      <c r="R1037" s="84">
        <v>12801</v>
      </c>
      <c r="S1037" s="86"/>
      <c r="T1037" s="84"/>
      <c r="U1037" s="86"/>
    </row>
    <row r="1038" spans="1:21" s="20" customFormat="1" x14ac:dyDescent="0.15">
      <c r="A1038" s="86" t="s">
        <v>1</v>
      </c>
      <c r="B1038" s="85">
        <v>9021413</v>
      </c>
      <c r="C1038" s="86"/>
      <c r="D1038" s="86"/>
      <c r="E1038" s="86">
        <v>2</v>
      </c>
      <c r="F1038" s="86">
        <v>5</v>
      </c>
      <c r="G1038" s="86"/>
      <c r="H1038" s="86" t="s">
        <v>7307</v>
      </c>
      <c r="I1038" s="86"/>
      <c r="J1038" s="86"/>
      <c r="K1038" s="86">
        <v>30000</v>
      </c>
      <c r="L1038" s="86">
        <v>9021414</v>
      </c>
      <c r="M1038" s="86"/>
      <c r="N1038" s="86"/>
      <c r="O1038" s="86"/>
      <c r="P1038" s="86">
        <v>200113</v>
      </c>
      <c r="Q1038" s="85">
        <v>371</v>
      </c>
      <c r="R1038" s="84">
        <v>12113</v>
      </c>
      <c r="S1038" s="86"/>
      <c r="T1038" s="84"/>
      <c r="U1038" s="86"/>
    </row>
    <row r="1039" spans="1:21" s="20" customFormat="1" x14ac:dyDescent="0.15">
      <c r="A1039" s="86" t="s">
        <v>1</v>
      </c>
      <c r="B1039" s="86">
        <v>9021414</v>
      </c>
      <c r="C1039" s="86" t="s">
        <v>115</v>
      </c>
      <c r="D1039" s="86" t="s">
        <v>115</v>
      </c>
      <c r="E1039" s="86">
        <v>3</v>
      </c>
      <c r="F1039" s="86" t="s">
        <v>115</v>
      </c>
      <c r="G1039" s="86" t="s">
        <v>115</v>
      </c>
      <c r="H1039" s="86" t="s">
        <v>115</v>
      </c>
      <c r="I1039" s="86" t="s">
        <v>1319</v>
      </c>
      <c r="J1039" s="86" t="s">
        <v>115</v>
      </c>
      <c r="K1039" s="86">
        <v>30000</v>
      </c>
      <c r="L1039" s="86">
        <v>0</v>
      </c>
      <c r="M1039" s="86"/>
      <c r="N1039" s="86">
        <v>200115</v>
      </c>
      <c r="O1039" s="86">
        <v>200116</v>
      </c>
      <c r="P1039" s="86">
        <v>200114</v>
      </c>
      <c r="Q1039" s="85">
        <v>371</v>
      </c>
      <c r="R1039" s="84"/>
      <c r="S1039" s="86"/>
      <c r="T1039" s="84"/>
      <c r="U1039" s="86"/>
    </row>
    <row r="1040" spans="1:21" s="20" customFormat="1" x14ac:dyDescent="0.15">
      <c r="A1040" s="86" t="s">
        <v>1</v>
      </c>
      <c r="B1040" s="85">
        <v>9021511</v>
      </c>
      <c r="C1040" s="86" t="s">
        <v>115</v>
      </c>
      <c r="D1040" s="86">
        <v>3</v>
      </c>
      <c r="E1040" s="86" t="s">
        <v>115</v>
      </c>
      <c r="F1040" s="86" t="s">
        <v>115</v>
      </c>
      <c r="G1040" s="86" t="s">
        <v>115</v>
      </c>
      <c r="H1040" s="86" t="s">
        <v>7307</v>
      </c>
      <c r="I1040" s="86" t="s">
        <v>115</v>
      </c>
      <c r="J1040" s="86" t="s">
        <v>115</v>
      </c>
      <c r="K1040" s="86">
        <v>32000</v>
      </c>
      <c r="L1040" s="86">
        <v>9021412</v>
      </c>
      <c r="M1040" s="86"/>
      <c r="N1040" s="86" t="s">
        <v>115</v>
      </c>
      <c r="O1040" s="86" t="s">
        <v>115</v>
      </c>
      <c r="P1040" s="86">
        <v>200111</v>
      </c>
      <c r="Q1040" s="85">
        <v>371</v>
      </c>
      <c r="R1040" s="84">
        <v>4110</v>
      </c>
      <c r="S1040" s="86"/>
      <c r="T1040" s="84"/>
      <c r="U1040" s="86"/>
    </row>
    <row r="1041" spans="1:21" s="20" customFormat="1" x14ac:dyDescent="0.15">
      <c r="A1041" s="86" t="s">
        <v>1</v>
      </c>
      <c r="B1041" s="86">
        <v>9021512</v>
      </c>
      <c r="C1041" s="86" t="s">
        <v>115</v>
      </c>
      <c r="D1041" s="86" t="s">
        <v>115</v>
      </c>
      <c r="E1041" s="86">
        <v>1</v>
      </c>
      <c r="F1041" s="86">
        <v>5</v>
      </c>
      <c r="G1041" s="86" t="s">
        <v>115</v>
      </c>
      <c r="H1041" s="86" t="s">
        <v>7307</v>
      </c>
      <c r="I1041" s="86" t="s">
        <v>115</v>
      </c>
      <c r="J1041" s="86">
        <v>20</v>
      </c>
      <c r="K1041" s="86">
        <v>32000</v>
      </c>
      <c r="L1041" s="86">
        <v>9021413</v>
      </c>
      <c r="M1041" s="86"/>
      <c r="N1041" s="86" t="s">
        <v>115</v>
      </c>
      <c r="O1041" s="86" t="s">
        <v>115</v>
      </c>
      <c r="P1041" s="86">
        <v>200112</v>
      </c>
      <c r="Q1041" s="85">
        <v>371</v>
      </c>
      <c r="R1041" s="84">
        <v>14825</v>
      </c>
      <c r="S1041" s="86"/>
      <c r="T1041" s="84"/>
      <c r="U1041" s="86"/>
    </row>
    <row r="1042" spans="1:21" s="20" customFormat="1" x14ac:dyDescent="0.15">
      <c r="A1042" s="86" t="s">
        <v>1</v>
      </c>
      <c r="B1042" s="85">
        <v>9021513</v>
      </c>
      <c r="C1042" s="86"/>
      <c r="D1042" s="86"/>
      <c r="E1042" s="86">
        <v>2</v>
      </c>
      <c r="F1042" s="86">
        <v>5</v>
      </c>
      <c r="G1042" s="86"/>
      <c r="H1042" s="86" t="s">
        <v>7307</v>
      </c>
      <c r="I1042" s="86"/>
      <c r="J1042" s="86"/>
      <c r="K1042" s="86">
        <v>32000</v>
      </c>
      <c r="L1042" s="86">
        <v>9021414</v>
      </c>
      <c r="M1042" s="86"/>
      <c r="N1042" s="86"/>
      <c r="O1042" s="86"/>
      <c r="P1042" s="86">
        <v>200113</v>
      </c>
      <c r="Q1042" s="85">
        <v>371</v>
      </c>
      <c r="R1042" s="84">
        <v>12721</v>
      </c>
      <c r="S1042" s="86"/>
      <c r="T1042" s="84"/>
      <c r="U1042" s="86"/>
    </row>
    <row r="1043" spans="1:21" s="20" customFormat="1" x14ac:dyDescent="0.15">
      <c r="A1043" s="86" t="s">
        <v>1</v>
      </c>
      <c r="B1043" s="86">
        <v>9021514</v>
      </c>
      <c r="C1043" s="86" t="s">
        <v>115</v>
      </c>
      <c r="D1043" s="86" t="s">
        <v>115</v>
      </c>
      <c r="E1043" s="86">
        <v>3</v>
      </c>
      <c r="F1043" s="86" t="s">
        <v>115</v>
      </c>
      <c r="G1043" s="86" t="s">
        <v>115</v>
      </c>
      <c r="H1043" s="86" t="s">
        <v>115</v>
      </c>
      <c r="I1043" s="86" t="s">
        <v>1319</v>
      </c>
      <c r="J1043" s="86" t="s">
        <v>115</v>
      </c>
      <c r="K1043" s="86">
        <v>32000</v>
      </c>
      <c r="L1043" s="86">
        <v>0</v>
      </c>
      <c r="M1043" s="86"/>
      <c r="N1043" s="86">
        <v>200115</v>
      </c>
      <c r="O1043" s="86">
        <v>200116</v>
      </c>
      <c r="P1043" s="86">
        <v>200114</v>
      </c>
      <c r="Q1043" s="85">
        <v>371</v>
      </c>
      <c r="R1043" s="84"/>
      <c r="S1043" s="86"/>
      <c r="T1043" s="84"/>
      <c r="U1043" s="86"/>
    </row>
    <row r="1044" spans="1:21" s="20" customFormat="1" x14ac:dyDescent="0.15">
      <c r="A1044" s="86" t="s">
        <v>1</v>
      </c>
      <c r="B1044" s="85">
        <v>9021611</v>
      </c>
      <c r="C1044" s="86" t="s">
        <v>115</v>
      </c>
      <c r="D1044" s="86">
        <v>3</v>
      </c>
      <c r="E1044" s="86" t="s">
        <v>115</v>
      </c>
      <c r="F1044" s="86" t="s">
        <v>115</v>
      </c>
      <c r="G1044" s="86" t="s">
        <v>115</v>
      </c>
      <c r="H1044" s="86" t="s">
        <v>7307</v>
      </c>
      <c r="I1044" s="86" t="s">
        <v>115</v>
      </c>
      <c r="J1044" s="86" t="s">
        <v>115</v>
      </c>
      <c r="K1044" s="86">
        <v>34000</v>
      </c>
      <c r="L1044" s="86">
        <v>9021612</v>
      </c>
      <c r="M1044" s="86"/>
      <c r="N1044" s="86" t="s">
        <v>115</v>
      </c>
      <c r="O1044" s="86" t="s">
        <v>115</v>
      </c>
      <c r="P1044" s="86">
        <v>200111</v>
      </c>
      <c r="Q1044" s="85">
        <v>371</v>
      </c>
      <c r="R1044" s="84">
        <v>4230</v>
      </c>
      <c r="S1044" s="86"/>
      <c r="T1044" s="84"/>
      <c r="U1044" s="86"/>
    </row>
    <row r="1045" spans="1:21" s="20" customFormat="1" x14ac:dyDescent="0.15">
      <c r="A1045" s="86" t="s">
        <v>1</v>
      </c>
      <c r="B1045" s="86">
        <v>9021612</v>
      </c>
      <c r="C1045" s="86" t="s">
        <v>115</v>
      </c>
      <c r="D1045" s="86" t="s">
        <v>115</v>
      </c>
      <c r="E1045" s="86">
        <v>1</v>
      </c>
      <c r="F1045" s="86">
        <v>5</v>
      </c>
      <c r="G1045" s="86" t="s">
        <v>115</v>
      </c>
      <c r="H1045" s="86" t="s">
        <v>7307</v>
      </c>
      <c r="I1045" s="86" t="s">
        <v>115</v>
      </c>
      <c r="J1045" s="86">
        <v>20</v>
      </c>
      <c r="K1045" s="86">
        <v>34000</v>
      </c>
      <c r="L1045" s="86">
        <v>9021613</v>
      </c>
      <c r="M1045" s="86"/>
      <c r="N1045" s="86" t="s">
        <v>115</v>
      </c>
      <c r="O1045" s="86" t="s">
        <v>115</v>
      </c>
      <c r="P1045" s="86">
        <v>200112</v>
      </c>
      <c r="Q1045" s="85">
        <v>371</v>
      </c>
      <c r="R1045" s="84">
        <v>15541</v>
      </c>
      <c r="S1045" s="86"/>
      <c r="T1045" s="84"/>
      <c r="U1045" s="86"/>
    </row>
    <row r="1046" spans="1:21" s="20" customFormat="1" x14ac:dyDescent="0.15">
      <c r="A1046" s="86" t="s">
        <v>1</v>
      </c>
      <c r="B1046" s="85">
        <v>9021613</v>
      </c>
      <c r="C1046" s="86"/>
      <c r="D1046" s="86"/>
      <c r="E1046" s="86">
        <v>2</v>
      </c>
      <c r="F1046" s="86">
        <v>5</v>
      </c>
      <c r="G1046" s="86"/>
      <c r="H1046" s="86" t="s">
        <v>7307</v>
      </c>
      <c r="I1046" s="86"/>
      <c r="J1046" s="86"/>
      <c r="K1046" s="86">
        <v>34000</v>
      </c>
      <c r="L1046" s="86">
        <v>9021614</v>
      </c>
      <c r="M1046" s="86"/>
      <c r="N1046" s="86"/>
      <c r="O1046" s="86"/>
      <c r="P1046" s="86">
        <v>200113</v>
      </c>
      <c r="Q1046" s="85">
        <v>371</v>
      </c>
      <c r="R1046" s="84">
        <v>12721</v>
      </c>
      <c r="S1046" s="86"/>
      <c r="T1046" s="84"/>
      <c r="U1046" s="86"/>
    </row>
    <row r="1047" spans="1:21" s="20" customFormat="1" x14ac:dyDescent="0.15">
      <c r="A1047" s="86" t="s">
        <v>1</v>
      </c>
      <c r="B1047" s="86">
        <v>9021614</v>
      </c>
      <c r="C1047" s="86" t="s">
        <v>115</v>
      </c>
      <c r="D1047" s="86" t="s">
        <v>115</v>
      </c>
      <c r="E1047" s="86">
        <v>3</v>
      </c>
      <c r="F1047" s="86" t="s">
        <v>115</v>
      </c>
      <c r="G1047" s="86" t="s">
        <v>115</v>
      </c>
      <c r="H1047" s="86" t="s">
        <v>115</v>
      </c>
      <c r="I1047" s="86" t="s">
        <v>1319</v>
      </c>
      <c r="J1047" s="86" t="s">
        <v>115</v>
      </c>
      <c r="K1047" s="86">
        <v>34000</v>
      </c>
      <c r="L1047" s="86">
        <v>0</v>
      </c>
      <c r="M1047" s="86"/>
      <c r="N1047" s="86">
        <v>200115</v>
      </c>
      <c r="O1047" s="86">
        <v>200116</v>
      </c>
      <c r="P1047" s="86">
        <v>200114</v>
      </c>
      <c r="Q1047" s="85">
        <v>371</v>
      </c>
      <c r="R1047" s="84"/>
      <c r="S1047" s="86"/>
      <c r="T1047" s="84"/>
      <c r="U1047" s="86"/>
    </row>
    <row r="1048" spans="1:21" s="20" customFormat="1" x14ac:dyDescent="0.15">
      <c r="A1048" s="86" t="s">
        <v>1</v>
      </c>
      <c r="B1048" s="85">
        <v>9021711</v>
      </c>
      <c r="C1048" s="86" t="s">
        <v>115</v>
      </c>
      <c r="D1048" s="86">
        <v>3</v>
      </c>
      <c r="E1048" s="86" t="s">
        <v>115</v>
      </c>
      <c r="F1048" s="86" t="s">
        <v>115</v>
      </c>
      <c r="G1048" s="86" t="s">
        <v>115</v>
      </c>
      <c r="H1048" s="86" t="s">
        <v>7307</v>
      </c>
      <c r="I1048" s="86" t="s">
        <v>115</v>
      </c>
      <c r="J1048" s="86" t="s">
        <v>115</v>
      </c>
      <c r="K1048" s="86">
        <v>35500</v>
      </c>
      <c r="L1048" s="86">
        <v>9021712</v>
      </c>
      <c r="M1048" s="86"/>
      <c r="N1048" s="86" t="s">
        <v>115</v>
      </c>
      <c r="O1048" s="86" t="s">
        <v>115</v>
      </c>
      <c r="P1048" s="86">
        <v>200111</v>
      </c>
      <c r="Q1048" s="85">
        <v>371</v>
      </c>
      <c r="R1048" s="84">
        <v>4380</v>
      </c>
      <c r="S1048" s="86"/>
      <c r="T1048" s="84"/>
      <c r="U1048" s="86"/>
    </row>
    <row r="1049" spans="1:21" s="20" customFormat="1" x14ac:dyDescent="0.15">
      <c r="A1049" s="86" t="s">
        <v>1</v>
      </c>
      <c r="B1049" s="86">
        <v>9021712</v>
      </c>
      <c r="C1049" s="86" t="s">
        <v>115</v>
      </c>
      <c r="D1049" s="86" t="s">
        <v>115</v>
      </c>
      <c r="E1049" s="86">
        <v>1</v>
      </c>
      <c r="F1049" s="86">
        <v>5</v>
      </c>
      <c r="G1049" s="86" t="s">
        <v>115</v>
      </c>
      <c r="H1049" s="86" t="s">
        <v>7307</v>
      </c>
      <c r="I1049" s="86" t="s">
        <v>115</v>
      </c>
      <c r="J1049" s="86">
        <v>20</v>
      </c>
      <c r="K1049" s="86">
        <v>35500</v>
      </c>
      <c r="L1049" s="86">
        <v>9021713</v>
      </c>
      <c r="M1049" s="86"/>
      <c r="N1049" s="86" t="s">
        <v>115</v>
      </c>
      <c r="O1049" s="86" t="s">
        <v>115</v>
      </c>
      <c r="P1049" s="86">
        <v>200112</v>
      </c>
      <c r="Q1049" s="85">
        <v>371</v>
      </c>
      <c r="R1049" s="84">
        <v>16373</v>
      </c>
      <c r="S1049" s="86"/>
      <c r="T1049" s="84"/>
      <c r="U1049" s="86"/>
    </row>
    <row r="1050" spans="1:21" s="20" customFormat="1" x14ac:dyDescent="0.15">
      <c r="A1050" s="86" t="s">
        <v>1</v>
      </c>
      <c r="B1050" s="85">
        <v>9021713</v>
      </c>
      <c r="C1050" s="86"/>
      <c r="D1050" s="86"/>
      <c r="E1050" s="86">
        <v>2</v>
      </c>
      <c r="F1050" s="86">
        <v>5</v>
      </c>
      <c r="G1050" s="86"/>
      <c r="H1050" s="86" t="s">
        <v>7307</v>
      </c>
      <c r="I1050" s="86"/>
      <c r="J1050" s="86"/>
      <c r="K1050" s="86">
        <v>35500</v>
      </c>
      <c r="L1050" s="86">
        <v>9021714</v>
      </c>
      <c r="M1050" s="86"/>
      <c r="N1050" s="86"/>
      <c r="O1050" s="86"/>
      <c r="P1050" s="86">
        <v>200113</v>
      </c>
      <c r="Q1050" s="85">
        <v>371</v>
      </c>
      <c r="R1050" s="84">
        <v>13022</v>
      </c>
      <c r="S1050" s="86"/>
      <c r="T1050" s="84"/>
      <c r="U1050" s="86"/>
    </row>
    <row r="1051" spans="1:21" s="20" customFormat="1" x14ac:dyDescent="0.15">
      <c r="A1051" s="86" t="s">
        <v>1</v>
      </c>
      <c r="B1051" s="86">
        <v>9021714</v>
      </c>
      <c r="C1051" s="86" t="s">
        <v>115</v>
      </c>
      <c r="D1051" s="86" t="s">
        <v>115</v>
      </c>
      <c r="E1051" s="86">
        <v>3</v>
      </c>
      <c r="F1051" s="86" t="s">
        <v>115</v>
      </c>
      <c r="G1051" s="86" t="s">
        <v>115</v>
      </c>
      <c r="H1051" s="86" t="s">
        <v>115</v>
      </c>
      <c r="I1051" s="86" t="s">
        <v>1319</v>
      </c>
      <c r="J1051" s="86" t="s">
        <v>115</v>
      </c>
      <c r="K1051" s="86">
        <v>35500</v>
      </c>
      <c r="L1051" s="86">
        <v>0</v>
      </c>
      <c r="M1051" s="86"/>
      <c r="N1051" s="86">
        <v>200115</v>
      </c>
      <c r="O1051" s="86">
        <v>200116</v>
      </c>
      <c r="P1051" s="86">
        <v>200114</v>
      </c>
      <c r="Q1051" s="85">
        <v>371</v>
      </c>
      <c r="R1051" s="84"/>
      <c r="S1051" s="86"/>
      <c r="T1051" s="84"/>
      <c r="U1051" s="86"/>
    </row>
    <row r="1052" spans="1:21" s="20" customFormat="1" x14ac:dyDescent="0.15">
      <c r="A1052" s="86" t="s">
        <v>1</v>
      </c>
      <c r="B1052" s="85">
        <v>9021811</v>
      </c>
      <c r="C1052" s="86" t="s">
        <v>115</v>
      </c>
      <c r="D1052" s="86">
        <v>3</v>
      </c>
      <c r="E1052" s="86" t="s">
        <v>115</v>
      </c>
      <c r="F1052" s="86" t="s">
        <v>115</v>
      </c>
      <c r="G1052" s="86" t="s">
        <v>115</v>
      </c>
      <c r="H1052" s="86" t="s">
        <v>7307</v>
      </c>
      <c r="I1052" s="86" t="s">
        <v>115</v>
      </c>
      <c r="J1052" s="86" t="s">
        <v>115</v>
      </c>
      <c r="K1052" s="86">
        <v>36000</v>
      </c>
      <c r="L1052" s="86">
        <v>9021812</v>
      </c>
      <c r="M1052" s="86"/>
      <c r="N1052" s="86" t="s">
        <v>115</v>
      </c>
      <c r="O1052" s="86" t="s">
        <v>115</v>
      </c>
      <c r="P1052" s="86">
        <v>200111</v>
      </c>
      <c r="Q1052" s="85">
        <v>371</v>
      </c>
      <c r="R1052" s="84">
        <v>4380</v>
      </c>
      <c r="S1052" s="86"/>
      <c r="T1052" s="84"/>
      <c r="U1052" s="86"/>
    </row>
    <row r="1053" spans="1:21" s="20" customFormat="1" x14ac:dyDescent="0.15">
      <c r="A1053" s="86" t="s">
        <v>1</v>
      </c>
      <c r="B1053" s="86">
        <v>9021812</v>
      </c>
      <c r="C1053" s="86" t="s">
        <v>115</v>
      </c>
      <c r="D1053" s="86" t="s">
        <v>115</v>
      </c>
      <c r="E1053" s="86">
        <v>1</v>
      </c>
      <c r="F1053" s="86">
        <v>5</v>
      </c>
      <c r="G1053" s="86" t="s">
        <v>115</v>
      </c>
      <c r="H1053" s="86" t="s">
        <v>7307</v>
      </c>
      <c r="I1053" s="86" t="s">
        <v>115</v>
      </c>
      <c r="J1053" s="86">
        <v>20</v>
      </c>
      <c r="K1053" s="86">
        <v>36000</v>
      </c>
      <c r="L1053" s="86">
        <v>9021813</v>
      </c>
      <c r="M1053" s="86"/>
      <c r="N1053" s="86" t="s">
        <v>115</v>
      </c>
      <c r="O1053" s="86" t="s">
        <v>115</v>
      </c>
      <c r="P1053" s="86">
        <v>200112</v>
      </c>
      <c r="Q1053" s="85">
        <v>371</v>
      </c>
      <c r="R1053" s="84">
        <v>16756</v>
      </c>
      <c r="S1053" s="86"/>
      <c r="T1053" s="84"/>
      <c r="U1053" s="86"/>
    </row>
    <row r="1054" spans="1:21" s="20" customFormat="1" x14ac:dyDescent="0.15">
      <c r="A1054" s="86" t="s">
        <v>1</v>
      </c>
      <c r="B1054" s="85">
        <v>9021813</v>
      </c>
      <c r="C1054" s="86"/>
      <c r="D1054" s="86"/>
      <c r="E1054" s="86">
        <v>2</v>
      </c>
      <c r="F1054" s="86">
        <v>5</v>
      </c>
      <c r="G1054" s="86"/>
      <c r="H1054" s="86" t="s">
        <v>7307</v>
      </c>
      <c r="I1054" s="86"/>
      <c r="J1054" s="86"/>
      <c r="K1054" s="86">
        <v>36000</v>
      </c>
      <c r="L1054" s="86">
        <v>9021814</v>
      </c>
      <c r="M1054" s="86"/>
      <c r="N1054" s="86"/>
      <c r="O1054" s="86"/>
      <c r="P1054" s="86">
        <v>200113</v>
      </c>
      <c r="Q1054" s="85">
        <v>371</v>
      </c>
      <c r="R1054" s="84">
        <v>13022</v>
      </c>
      <c r="S1054" s="86"/>
      <c r="T1054" s="84"/>
      <c r="U1054" s="86"/>
    </row>
    <row r="1055" spans="1:21" s="20" customFormat="1" x14ac:dyDescent="0.15">
      <c r="A1055" s="86" t="s">
        <v>1</v>
      </c>
      <c r="B1055" s="86">
        <v>9021814</v>
      </c>
      <c r="C1055" s="86" t="s">
        <v>115</v>
      </c>
      <c r="D1055" s="86" t="s">
        <v>115</v>
      </c>
      <c r="E1055" s="86">
        <v>3</v>
      </c>
      <c r="F1055" s="86" t="s">
        <v>115</v>
      </c>
      <c r="G1055" s="86" t="s">
        <v>115</v>
      </c>
      <c r="H1055" s="86" t="s">
        <v>115</v>
      </c>
      <c r="I1055" s="86" t="s">
        <v>1319</v>
      </c>
      <c r="J1055" s="86" t="s">
        <v>115</v>
      </c>
      <c r="K1055" s="86">
        <v>36000</v>
      </c>
      <c r="L1055" s="86">
        <v>0</v>
      </c>
      <c r="M1055" s="86"/>
      <c r="N1055" s="86">
        <v>200115</v>
      </c>
      <c r="O1055" s="86">
        <v>200116</v>
      </c>
      <c r="P1055" s="86">
        <v>200114</v>
      </c>
      <c r="Q1055" s="85">
        <v>371</v>
      </c>
      <c r="R1055" s="84"/>
      <c r="S1055" s="86"/>
      <c r="T1055" s="84"/>
      <c r="U1055" s="86"/>
    </row>
    <row r="1056" spans="1:21" s="20" customFormat="1" x14ac:dyDescent="0.15">
      <c r="A1056" s="86" t="s">
        <v>1</v>
      </c>
      <c r="B1056" s="85">
        <v>9030211</v>
      </c>
      <c r="C1056" s="86" t="s">
        <v>115</v>
      </c>
      <c r="D1056" s="86">
        <v>3</v>
      </c>
      <c r="E1056" s="86" t="s">
        <v>115</v>
      </c>
      <c r="F1056" s="86" t="s">
        <v>115</v>
      </c>
      <c r="G1056" s="86" t="s">
        <v>115</v>
      </c>
      <c r="H1056" s="86" t="s">
        <v>7307</v>
      </c>
      <c r="I1056" s="86" t="s">
        <v>115</v>
      </c>
      <c r="J1056" s="86" t="s">
        <v>115</v>
      </c>
      <c r="K1056" s="86">
        <v>39000</v>
      </c>
      <c r="L1056" s="86">
        <v>9030212</v>
      </c>
      <c r="M1056" s="86"/>
      <c r="N1056" s="86" t="s">
        <v>115</v>
      </c>
      <c r="O1056" s="86" t="s">
        <v>115</v>
      </c>
      <c r="P1056" s="86">
        <v>200111</v>
      </c>
      <c r="Q1056" s="85">
        <v>371</v>
      </c>
      <c r="R1056" s="84">
        <v>4620</v>
      </c>
      <c r="S1056" s="86"/>
      <c r="T1056" s="84"/>
      <c r="U1056" s="86"/>
    </row>
    <row r="1057" spans="1:21" s="20" customFormat="1" x14ac:dyDescent="0.15">
      <c r="A1057" s="86" t="s">
        <v>1</v>
      </c>
      <c r="B1057" s="86">
        <v>9030212</v>
      </c>
      <c r="C1057" s="86" t="s">
        <v>115</v>
      </c>
      <c r="D1057" s="86" t="s">
        <v>115</v>
      </c>
      <c r="E1057" s="86">
        <v>1</v>
      </c>
      <c r="F1057" s="86">
        <v>5</v>
      </c>
      <c r="G1057" s="86" t="s">
        <v>115</v>
      </c>
      <c r="H1057" s="86" t="s">
        <v>7307</v>
      </c>
      <c r="I1057" s="86" t="s">
        <v>115</v>
      </c>
      <c r="J1057" s="86">
        <v>20</v>
      </c>
      <c r="K1057" s="86">
        <v>39000</v>
      </c>
      <c r="L1057" s="86">
        <v>9030213</v>
      </c>
      <c r="M1057" s="86"/>
      <c r="N1057" s="86" t="s">
        <v>115</v>
      </c>
      <c r="O1057" s="86" t="s">
        <v>115</v>
      </c>
      <c r="P1057" s="86">
        <v>200112</v>
      </c>
      <c r="Q1057" s="85">
        <v>371</v>
      </c>
      <c r="R1057" s="84">
        <v>17140</v>
      </c>
      <c r="S1057" s="86"/>
      <c r="T1057" s="84"/>
      <c r="U1057" s="86"/>
    </row>
    <row r="1058" spans="1:21" s="20" customFormat="1" x14ac:dyDescent="0.15">
      <c r="A1058" s="86" t="s">
        <v>1</v>
      </c>
      <c r="B1058" s="85">
        <v>9030213</v>
      </c>
      <c r="C1058" s="86"/>
      <c r="D1058" s="86"/>
      <c r="E1058" s="86">
        <v>2</v>
      </c>
      <c r="F1058" s="86">
        <v>5</v>
      </c>
      <c r="G1058" s="86"/>
      <c r="H1058" s="86" t="s">
        <v>7307</v>
      </c>
      <c r="I1058" s="86"/>
      <c r="J1058" s="86"/>
      <c r="K1058" s="86">
        <v>39000</v>
      </c>
      <c r="L1058" s="86">
        <v>9030214</v>
      </c>
      <c r="M1058" s="86"/>
      <c r="N1058" s="86"/>
      <c r="O1058" s="86"/>
      <c r="P1058" s="86">
        <v>200113</v>
      </c>
      <c r="Q1058" s="85">
        <v>371</v>
      </c>
      <c r="R1058" s="84">
        <v>17734</v>
      </c>
      <c r="S1058" s="86"/>
      <c r="T1058" s="84"/>
      <c r="U1058" s="86"/>
    </row>
    <row r="1059" spans="1:21" s="20" customFormat="1" x14ac:dyDescent="0.15">
      <c r="A1059" s="86" t="s">
        <v>1</v>
      </c>
      <c r="B1059" s="86">
        <v>9030214</v>
      </c>
      <c r="C1059" s="86" t="s">
        <v>115</v>
      </c>
      <c r="D1059" s="86" t="s">
        <v>115</v>
      </c>
      <c r="E1059" s="86">
        <v>3</v>
      </c>
      <c r="F1059" s="86" t="s">
        <v>115</v>
      </c>
      <c r="G1059" s="86" t="s">
        <v>115</v>
      </c>
      <c r="H1059" s="86" t="s">
        <v>115</v>
      </c>
      <c r="I1059" s="86" t="s">
        <v>1319</v>
      </c>
      <c r="J1059" s="86" t="s">
        <v>115</v>
      </c>
      <c r="K1059" s="86">
        <v>39000</v>
      </c>
      <c r="L1059" s="86">
        <v>0</v>
      </c>
      <c r="M1059" s="86"/>
      <c r="N1059" s="86">
        <v>200115</v>
      </c>
      <c r="O1059" s="86">
        <v>200116</v>
      </c>
      <c r="P1059" s="86">
        <v>200114</v>
      </c>
      <c r="Q1059" s="85">
        <v>371</v>
      </c>
      <c r="R1059" s="84"/>
      <c r="S1059" s="86"/>
      <c r="T1059" s="84"/>
      <c r="U1059" s="86"/>
    </row>
    <row r="1060" spans="1:21" s="20" customFormat="1" x14ac:dyDescent="0.15">
      <c r="A1060" s="86" t="s">
        <v>1</v>
      </c>
      <c r="B1060" s="85">
        <v>9030311</v>
      </c>
      <c r="C1060" s="86" t="s">
        <v>115</v>
      </c>
      <c r="D1060" s="86">
        <v>3</v>
      </c>
      <c r="E1060" s="86" t="s">
        <v>115</v>
      </c>
      <c r="F1060" s="86" t="s">
        <v>115</v>
      </c>
      <c r="G1060" s="86" t="s">
        <v>115</v>
      </c>
      <c r="H1060" s="86" t="s">
        <v>7307</v>
      </c>
      <c r="I1060" s="86" t="s">
        <v>115</v>
      </c>
      <c r="J1060" s="86" t="s">
        <v>115</v>
      </c>
      <c r="K1060" s="86">
        <v>42000</v>
      </c>
      <c r="L1060" s="86">
        <v>9030312</v>
      </c>
      <c r="M1060" s="86"/>
      <c r="N1060" s="86" t="s">
        <v>115</v>
      </c>
      <c r="O1060" s="86" t="s">
        <v>115</v>
      </c>
      <c r="P1060" s="86">
        <v>200111</v>
      </c>
      <c r="Q1060" s="85">
        <v>371</v>
      </c>
      <c r="R1060" s="84">
        <v>4620</v>
      </c>
      <c r="S1060" s="86"/>
      <c r="T1060" s="84"/>
      <c r="U1060" s="86"/>
    </row>
    <row r="1061" spans="1:21" s="20" customFormat="1" x14ac:dyDescent="0.15">
      <c r="A1061" s="86" t="s">
        <v>1</v>
      </c>
      <c r="B1061" s="86">
        <v>9030312</v>
      </c>
      <c r="C1061" s="86" t="s">
        <v>115</v>
      </c>
      <c r="D1061" s="86" t="s">
        <v>115</v>
      </c>
      <c r="E1061" s="86">
        <v>1</v>
      </c>
      <c r="F1061" s="86">
        <v>5</v>
      </c>
      <c r="G1061" s="86" t="s">
        <v>115</v>
      </c>
      <c r="H1061" s="86" t="s">
        <v>7307</v>
      </c>
      <c r="I1061" s="86" t="s">
        <v>115</v>
      </c>
      <c r="J1061" s="86">
        <v>20</v>
      </c>
      <c r="K1061" s="86">
        <v>42000</v>
      </c>
      <c r="L1061" s="86">
        <v>9030313</v>
      </c>
      <c r="M1061" s="86"/>
      <c r="N1061" s="86" t="s">
        <v>115</v>
      </c>
      <c r="O1061" s="86" t="s">
        <v>115</v>
      </c>
      <c r="P1061" s="86">
        <v>200112</v>
      </c>
      <c r="Q1061" s="85">
        <v>371</v>
      </c>
      <c r="R1061" s="84">
        <v>17140</v>
      </c>
      <c r="S1061" s="86"/>
      <c r="T1061" s="84"/>
      <c r="U1061" s="86"/>
    </row>
    <row r="1062" spans="1:21" s="20" customFormat="1" x14ac:dyDescent="0.15">
      <c r="A1062" s="86" t="s">
        <v>1</v>
      </c>
      <c r="B1062" s="85">
        <v>9030313</v>
      </c>
      <c r="C1062" s="86"/>
      <c r="D1062" s="86"/>
      <c r="E1062" s="86">
        <v>2</v>
      </c>
      <c r="F1062" s="86">
        <v>5</v>
      </c>
      <c r="G1062" s="86"/>
      <c r="H1062" s="86" t="s">
        <v>7307</v>
      </c>
      <c r="I1062" s="86"/>
      <c r="J1062" s="86"/>
      <c r="K1062" s="86">
        <v>42000</v>
      </c>
      <c r="L1062" s="86">
        <v>9030314</v>
      </c>
      <c r="M1062" s="86"/>
      <c r="N1062" s="86"/>
      <c r="O1062" s="86"/>
      <c r="P1062" s="86">
        <v>200113</v>
      </c>
      <c r="Q1062" s="85">
        <v>371</v>
      </c>
      <c r="R1062" s="84">
        <v>18322</v>
      </c>
      <c r="S1062" s="86"/>
      <c r="T1062" s="84"/>
      <c r="U1062" s="86"/>
    </row>
    <row r="1063" spans="1:21" s="20" customFormat="1" x14ac:dyDescent="0.15">
      <c r="A1063" s="86" t="s">
        <v>1</v>
      </c>
      <c r="B1063" s="86">
        <v>9030314</v>
      </c>
      <c r="C1063" s="86" t="s">
        <v>115</v>
      </c>
      <c r="D1063" s="86" t="s">
        <v>115</v>
      </c>
      <c r="E1063" s="86">
        <v>3</v>
      </c>
      <c r="F1063" s="86" t="s">
        <v>115</v>
      </c>
      <c r="G1063" s="86" t="s">
        <v>115</v>
      </c>
      <c r="H1063" s="86" t="s">
        <v>115</v>
      </c>
      <c r="I1063" s="86" t="s">
        <v>1319</v>
      </c>
      <c r="J1063" s="86" t="s">
        <v>115</v>
      </c>
      <c r="K1063" s="86">
        <v>42000</v>
      </c>
      <c r="L1063" s="86">
        <v>0</v>
      </c>
      <c r="M1063" s="86"/>
      <c r="N1063" s="86">
        <v>200115</v>
      </c>
      <c r="O1063" s="86">
        <v>200116</v>
      </c>
      <c r="P1063" s="86">
        <v>200114</v>
      </c>
      <c r="Q1063" s="85">
        <v>371</v>
      </c>
      <c r="R1063" s="84"/>
      <c r="S1063" s="86"/>
      <c r="T1063" s="84"/>
      <c r="U1063" s="86"/>
    </row>
    <row r="1064" spans="1:21" s="20" customFormat="1" x14ac:dyDescent="0.15">
      <c r="A1064" s="86" t="s">
        <v>1</v>
      </c>
      <c r="B1064" s="85">
        <v>9030411</v>
      </c>
      <c r="C1064" s="86" t="s">
        <v>115</v>
      </c>
      <c r="D1064" s="86">
        <v>3</v>
      </c>
      <c r="E1064" s="86" t="s">
        <v>115</v>
      </c>
      <c r="F1064" s="86" t="s">
        <v>115</v>
      </c>
      <c r="G1064" s="86" t="s">
        <v>115</v>
      </c>
      <c r="H1064" s="86" t="s">
        <v>7307</v>
      </c>
      <c r="I1064" s="86" t="s">
        <v>115</v>
      </c>
      <c r="J1064" s="86" t="s">
        <v>115</v>
      </c>
      <c r="K1064" s="86">
        <v>43000</v>
      </c>
      <c r="L1064" s="86">
        <v>9030412</v>
      </c>
      <c r="M1064" s="86"/>
      <c r="N1064" s="86" t="s">
        <v>115</v>
      </c>
      <c r="O1064" s="86" t="s">
        <v>115</v>
      </c>
      <c r="P1064" s="86">
        <v>200111</v>
      </c>
      <c r="Q1064" s="85">
        <v>371</v>
      </c>
      <c r="R1064" s="84">
        <v>4620</v>
      </c>
      <c r="S1064" s="86"/>
      <c r="T1064" s="84"/>
      <c r="U1064" s="86"/>
    </row>
    <row r="1065" spans="1:21" s="20" customFormat="1" x14ac:dyDescent="0.15">
      <c r="A1065" s="86" t="s">
        <v>1</v>
      </c>
      <c r="B1065" s="86">
        <v>9030412</v>
      </c>
      <c r="C1065" s="86" t="s">
        <v>115</v>
      </c>
      <c r="D1065" s="86" t="s">
        <v>115</v>
      </c>
      <c r="E1065" s="86">
        <v>1</v>
      </c>
      <c r="F1065" s="86">
        <v>5</v>
      </c>
      <c r="G1065" s="86" t="s">
        <v>115</v>
      </c>
      <c r="H1065" s="86" t="s">
        <v>7307</v>
      </c>
      <c r="I1065" s="86" t="s">
        <v>115</v>
      </c>
      <c r="J1065" s="86">
        <v>20</v>
      </c>
      <c r="K1065" s="86">
        <v>43000</v>
      </c>
      <c r="L1065" s="86">
        <v>9030413</v>
      </c>
      <c r="M1065" s="86"/>
      <c r="N1065" s="86" t="s">
        <v>115</v>
      </c>
      <c r="O1065" s="86" t="s">
        <v>115</v>
      </c>
      <c r="P1065" s="86">
        <v>200112</v>
      </c>
      <c r="Q1065" s="85">
        <v>371</v>
      </c>
      <c r="R1065" s="84">
        <v>17519</v>
      </c>
      <c r="S1065" s="86"/>
      <c r="T1065" s="84"/>
      <c r="U1065" s="86"/>
    </row>
    <row r="1066" spans="1:21" s="20" customFormat="1" x14ac:dyDescent="0.15">
      <c r="A1066" s="86" t="s">
        <v>1</v>
      </c>
      <c r="B1066" s="85">
        <v>9030413</v>
      </c>
      <c r="C1066" s="86"/>
      <c r="D1066" s="86"/>
      <c r="E1066" s="86">
        <v>2</v>
      </c>
      <c r="F1066" s="86">
        <v>5</v>
      </c>
      <c r="G1066" s="86"/>
      <c r="H1066" s="86" t="s">
        <v>7307</v>
      </c>
      <c r="I1066" s="86"/>
      <c r="J1066" s="86"/>
      <c r="K1066" s="86">
        <v>43000</v>
      </c>
      <c r="L1066" s="86">
        <v>9030414</v>
      </c>
      <c r="M1066" s="86"/>
      <c r="N1066" s="86"/>
      <c r="O1066" s="86"/>
      <c r="P1066" s="86">
        <v>200113</v>
      </c>
      <c r="Q1066" s="85">
        <v>371</v>
      </c>
      <c r="R1066" s="84">
        <v>18498</v>
      </c>
      <c r="S1066" s="86"/>
      <c r="T1066" s="84"/>
      <c r="U1066" s="86"/>
    </row>
    <row r="1067" spans="1:21" s="20" customFormat="1" x14ac:dyDescent="0.15">
      <c r="A1067" s="86" t="s">
        <v>1</v>
      </c>
      <c r="B1067" s="86">
        <v>9030414</v>
      </c>
      <c r="C1067" s="86" t="s">
        <v>115</v>
      </c>
      <c r="D1067" s="86" t="s">
        <v>115</v>
      </c>
      <c r="E1067" s="86">
        <v>3</v>
      </c>
      <c r="F1067" s="86" t="s">
        <v>115</v>
      </c>
      <c r="G1067" s="86" t="s">
        <v>115</v>
      </c>
      <c r="H1067" s="86" t="s">
        <v>115</v>
      </c>
      <c r="I1067" s="86" t="s">
        <v>1319</v>
      </c>
      <c r="J1067" s="86" t="s">
        <v>115</v>
      </c>
      <c r="K1067" s="86">
        <v>43000</v>
      </c>
      <c r="L1067" s="86">
        <v>0</v>
      </c>
      <c r="M1067" s="86"/>
      <c r="N1067" s="86">
        <v>200115</v>
      </c>
      <c r="O1067" s="86">
        <v>200116</v>
      </c>
      <c r="P1067" s="86">
        <v>200114</v>
      </c>
      <c r="Q1067" s="85">
        <v>371</v>
      </c>
      <c r="R1067" s="84"/>
      <c r="S1067" s="86"/>
      <c r="T1067" s="84"/>
      <c r="U1067" s="86"/>
    </row>
    <row r="1068" spans="1:21" s="20" customFormat="1" x14ac:dyDescent="0.15">
      <c r="A1068" s="86" t="s">
        <v>1</v>
      </c>
      <c r="B1068" s="85">
        <v>9030611</v>
      </c>
      <c r="C1068" s="86" t="s">
        <v>115</v>
      </c>
      <c r="D1068" s="86">
        <v>3</v>
      </c>
      <c r="E1068" s="86" t="s">
        <v>115</v>
      </c>
      <c r="F1068" s="86" t="s">
        <v>115</v>
      </c>
      <c r="G1068" s="86" t="s">
        <v>115</v>
      </c>
      <c r="H1068" s="86" t="s">
        <v>7307</v>
      </c>
      <c r="I1068" s="86" t="s">
        <v>115</v>
      </c>
      <c r="J1068" s="86" t="s">
        <v>115</v>
      </c>
      <c r="K1068" s="86">
        <v>44000</v>
      </c>
      <c r="L1068" s="86">
        <v>9030612</v>
      </c>
      <c r="M1068" s="86"/>
      <c r="N1068" s="86" t="s">
        <v>115</v>
      </c>
      <c r="O1068" s="86" t="s">
        <v>115</v>
      </c>
      <c r="P1068" s="86">
        <v>200111</v>
      </c>
      <c r="Q1068" s="85">
        <v>371</v>
      </c>
      <c r="R1068" s="84">
        <v>4620</v>
      </c>
      <c r="S1068" s="86"/>
      <c r="T1068" s="84"/>
      <c r="U1068" s="86"/>
    </row>
    <row r="1069" spans="1:21" s="20" customFormat="1" x14ac:dyDescent="0.15">
      <c r="A1069" s="86" t="s">
        <v>1</v>
      </c>
      <c r="B1069" s="86">
        <v>9030612</v>
      </c>
      <c r="C1069" s="86" t="s">
        <v>115</v>
      </c>
      <c r="D1069" s="86" t="s">
        <v>115</v>
      </c>
      <c r="E1069" s="86">
        <v>1</v>
      </c>
      <c r="F1069" s="86">
        <v>5</v>
      </c>
      <c r="G1069" s="86" t="s">
        <v>115</v>
      </c>
      <c r="H1069" s="86" t="s">
        <v>7307</v>
      </c>
      <c r="I1069" s="86" t="s">
        <v>115</v>
      </c>
      <c r="J1069" s="86">
        <v>20</v>
      </c>
      <c r="K1069" s="86">
        <v>44000</v>
      </c>
      <c r="L1069" s="86">
        <v>9030613</v>
      </c>
      <c r="M1069" s="86"/>
      <c r="N1069" s="86" t="s">
        <v>115</v>
      </c>
      <c r="O1069" s="86" t="s">
        <v>115</v>
      </c>
      <c r="P1069" s="86">
        <v>200112</v>
      </c>
      <c r="Q1069" s="85">
        <v>371</v>
      </c>
      <c r="R1069" s="84">
        <v>17519</v>
      </c>
      <c r="S1069" s="86"/>
      <c r="T1069" s="84"/>
      <c r="U1069" s="86"/>
    </row>
    <row r="1070" spans="1:21" s="20" customFormat="1" x14ac:dyDescent="0.15">
      <c r="A1070" s="86" t="s">
        <v>1</v>
      </c>
      <c r="B1070" s="85">
        <v>9030613</v>
      </c>
      <c r="C1070" s="86"/>
      <c r="D1070" s="86"/>
      <c r="E1070" s="86">
        <v>2</v>
      </c>
      <c r="F1070" s="86">
        <v>5</v>
      </c>
      <c r="G1070" s="86"/>
      <c r="H1070" s="86" t="s">
        <v>7307</v>
      </c>
      <c r="I1070" s="86"/>
      <c r="J1070" s="86"/>
      <c r="K1070" s="86">
        <v>44000</v>
      </c>
      <c r="L1070" s="86">
        <v>9030614</v>
      </c>
      <c r="M1070" s="86"/>
      <c r="N1070" s="86"/>
      <c r="O1070" s="86"/>
      <c r="P1070" s="86">
        <v>200113</v>
      </c>
      <c r="Q1070" s="85">
        <v>371</v>
      </c>
      <c r="R1070" s="84">
        <v>18904</v>
      </c>
      <c r="S1070" s="86"/>
      <c r="T1070" s="84"/>
      <c r="U1070" s="86"/>
    </row>
    <row r="1071" spans="1:21" s="20" customFormat="1" x14ac:dyDescent="0.15">
      <c r="A1071" s="86" t="s">
        <v>1</v>
      </c>
      <c r="B1071" s="86">
        <v>9030614</v>
      </c>
      <c r="C1071" s="86" t="s">
        <v>115</v>
      </c>
      <c r="D1071" s="86" t="s">
        <v>115</v>
      </c>
      <c r="E1071" s="86">
        <v>3</v>
      </c>
      <c r="F1071" s="86" t="s">
        <v>115</v>
      </c>
      <c r="G1071" s="86" t="s">
        <v>115</v>
      </c>
      <c r="H1071" s="86" t="s">
        <v>115</v>
      </c>
      <c r="I1071" s="86" t="s">
        <v>1319</v>
      </c>
      <c r="J1071" s="86" t="s">
        <v>115</v>
      </c>
      <c r="K1071" s="86">
        <v>44000</v>
      </c>
      <c r="L1071" s="86">
        <v>0</v>
      </c>
      <c r="M1071" s="86"/>
      <c r="N1071" s="86">
        <v>200115</v>
      </c>
      <c r="O1071" s="86">
        <v>200116</v>
      </c>
      <c r="P1071" s="86">
        <v>200114</v>
      </c>
      <c r="Q1071" s="85">
        <v>371</v>
      </c>
      <c r="R1071" s="84"/>
      <c r="S1071" s="86"/>
      <c r="T1071" s="84"/>
      <c r="U1071" s="86"/>
    </row>
    <row r="1072" spans="1:21" s="20" customFormat="1" x14ac:dyDescent="0.15">
      <c r="A1072" s="86" t="s">
        <v>1</v>
      </c>
      <c r="B1072" s="86">
        <v>9030811</v>
      </c>
      <c r="C1072" s="84" t="s">
        <v>115</v>
      </c>
      <c r="D1072" s="84">
        <v>3</v>
      </c>
      <c r="E1072" s="84" t="s">
        <v>115</v>
      </c>
      <c r="F1072" s="84" t="s">
        <v>115</v>
      </c>
      <c r="G1072" s="84" t="s">
        <v>115</v>
      </c>
      <c r="H1072" s="84" t="s">
        <v>7307</v>
      </c>
      <c r="I1072" s="86" t="s">
        <v>115</v>
      </c>
      <c r="J1072" s="84" t="s">
        <v>115</v>
      </c>
      <c r="K1072" s="86">
        <v>44500</v>
      </c>
      <c r="L1072" s="84">
        <v>9030812</v>
      </c>
      <c r="M1072" s="84"/>
      <c r="N1072" s="86" t="s">
        <v>115</v>
      </c>
      <c r="O1072" s="86" t="s">
        <v>115</v>
      </c>
      <c r="P1072" s="86">
        <v>200111</v>
      </c>
      <c r="Q1072" s="85">
        <v>371</v>
      </c>
      <c r="R1072" s="84">
        <v>4770</v>
      </c>
      <c r="S1072" s="86"/>
      <c r="T1072" s="84"/>
      <c r="U1072" s="86"/>
    </row>
    <row r="1073" spans="1:21" s="20" customFormat="1" x14ac:dyDescent="0.15">
      <c r="A1073" s="86" t="s">
        <v>1</v>
      </c>
      <c r="B1073" s="86">
        <v>9030812</v>
      </c>
      <c r="C1073" s="84" t="s">
        <v>115</v>
      </c>
      <c r="D1073" s="84" t="s">
        <v>115</v>
      </c>
      <c r="E1073" s="84">
        <v>1</v>
      </c>
      <c r="F1073" s="84">
        <v>5</v>
      </c>
      <c r="G1073" s="84" t="s">
        <v>115</v>
      </c>
      <c r="H1073" s="84" t="s">
        <v>7307</v>
      </c>
      <c r="I1073" s="84" t="s">
        <v>115</v>
      </c>
      <c r="J1073" s="84">
        <v>20</v>
      </c>
      <c r="K1073" s="86">
        <v>44500</v>
      </c>
      <c r="L1073" s="84">
        <v>9030813</v>
      </c>
      <c r="M1073" s="84"/>
      <c r="N1073" s="86" t="s">
        <v>115</v>
      </c>
      <c r="O1073" s="86" t="s">
        <v>115</v>
      </c>
      <c r="P1073" s="86">
        <v>200112</v>
      </c>
      <c r="Q1073" s="85">
        <v>371</v>
      </c>
      <c r="R1073" s="84">
        <v>17901</v>
      </c>
      <c r="S1073" s="86"/>
      <c r="T1073" s="84"/>
      <c r="U1073" s="86"/>
    </row>
    <row r="1074" spans="1:21" s="20" customFormat="1" x14ac:dyDescent="0.15">
      <c r="A1074" s="86" t="s">
        <v>1</v>
      </c>
      <c r="B1074" s="86">
        <v>9030813</v>
      </c>
      <c r="C1074" s="84"/>
      <c r="D1074" s="84"/>
      <c r="E1074" s="84">
        <v>2</v>
      </c>
      <c r="F1074" s="86">
        <v>5</v>
      </c>
      <c r="G1074" s="84"/>
      <c r="H1074" s="84" t="s">
        <v>7307</v>
      </c>
      <c r="I1074" s="84"/>
      <c r="J1074" s="84"/>
      <c r="K1074" s="86">
        <v>44500</v>
      </c>
      <c r="L1074" s="84">
        <v>9030814</v>
      </c>
      <c r="M1074" s="84"/>
      <c r="N1074" s="86"/>
      <c r="O1074" s="86"/>
      <c r="P1074" s="86">
        <v>200113</v>
      </c>
      <c r="Q1074" s="85">
        <v>371</v>
      </c>
      <c r="R1074" s="84">
        <v>18904</v>
      </c>
      <c r="S1074" s="86"/>
      <c r="T1074" s="84"/>
      <c r="U1074" s="86"/>
    </row>
    <row r="1075" spans="1:21" s="20" customFormat="1" x14ac:dyDescent="0.15">
      <c r="A1075" s="86" t="s">
        <v>1</v>
      </c>
      <c r="B1075" s="86">
        <v>9030814</v>
      </c>
      <c r="C1075" s="84" t="s">
        <v>115</v>
      </c>
      <c r="D1075" s="84" t="s">
        <v>115</v>
      </c>
      <c r="E1075" s="84">
        <v>3</v>
      </c>
      <c r="F1075" s="84" t="s">
        <v>115</v>
      </c>
      <c r="G1075" s="84" t="s">
        <v>115</v>
      </c>
      <c r="H1075" s="84" t="s">
        <v>115</v>
      </c>
      <c r="I1075" s="86" t="s">
        <v>1319</v>
      </c>
      <c r="J1075" s="84" t="s">
        <v>115</v>
      </c>
      <c r="K1075" s="86">
        <v>44500</v>
      </c>
      <c r="L1075" s="84">
        <v>0</v>
      </c>
      <c r="M1075" s="84"/>
      <c r="N1075" s="86">
        <v>200115</v>
      </c>
      <c r="O1075" s="86">
        <v>200116</v>
      </c>
      <c r="P1075" s="86">
        <v>200114</v>
      </c>
      <c r="Q1075" s="85">
        <v>371</v>
      </c>
      <c r="R1075" s="84"/>
      <c r="S1075" s="86"/>
      <c r="T1075" s="84"/>
      <c r="U1075" s="86"/>
    </row>
    <row r="1076" spans="1:21" s="20" customFormat="1" x14ac:dyDescent="0.15">
      <c r="A1076" s="86" t="s">
        <v>1</v>
      </c>
      <c r="B1076" s="86">
        <v>9030911</v>
      </c>
      <c r="C1076" s="84" t="s">
        <v>115</v>
      </c>
      <c r="D1076" s="84">
        <v>3</v>
      </c>
      <c r="E1076" s="84" t="s">
        <v>115</v>
      </c>
      <c r="F1076" s="84" t="s">
        <v>115</v>
      </c>
      <c r="G1076" s="84" t="s">
        <v>115</v>
      </c>
      <c r="H1076" s="84" t="s">
        <v>7307</v>
      </c>
      <c r="I1076" s="86" t="s">
        <v>115</v>
      </c>
      <c r="J1076" s="84" t="s">
        <v>115</v>
      </c>
      <c r="K1076" s="86">
        <v>45000</v>
      </c>
      <c r="L1076" s="84">
        <v>9030912</v>
      </c>
      <c r="M1076" s="84"/>
      <c r="N1076" s="86" t="s">
        <v>115</v>
      </c>
      <c r="O1076" s="86" t="s">
        <v>115</v>
      </c>
      <c r="P1076" s="86">
        <v>200111</v>
      </c>
      <c r="Q1076" s="85">
        <v>371</v>
      </c>
      <c r="R1076" s="84">
        <v>4770</v>
      </c>
      <c r="S1076" s="86"/>
      <c r="T1076" s="84"/>
      <c r="U1076" s="86"/>
    </row>
    <row r="1077" spans="1:21" s="20" customFormat="1" x14ac:dyDescent="0.15">
      <c r="A1077" s="86" t="s">
        <v>1</v>
      </c>
      <c r="B1077" s="86">
        <v>9030912</v>
      </c>
      <c r="C1077" s="84" t="s">
        <v>115</v>
      </c>
      <c r="D1077" s="84" t="s">
        <v>115</v>
      </c>
      <c r="E1077" s="84">
        <v>1</v>
      </c>
      <c r="F1077" s="84">
        <v>5</v>
      </c>
      <c r="G1077" s="84" t="s">
        <v>115</v>
      </c>
      <c r="H1077" s="84" t="s">
        <v>7307</v>
      </c>
      <c r="I1077" s="84" t="s">
        <v>115</v>
      </c>
      <c r="J1077" s="84">
        <v>20</v>
      </c>
      <c r="K1077" s="86">
        <v>45000</v>
      </c>
      <c r="L1077" s="84">
        <v>9030913</v>
      </c>
      <c r="M1077" s="84"/>
      <c r="N1077" s="86" t="s">
        <v>115</v>
      </c>
      <c r="O1077" s="86" t="s">
        <v>115</v>
      </c>
      <c r="P1077" s="86">
        <v>200112</v>
      </c>
      <c r="Q1077" s="85">
        <v>371</v>
      </c>
      <c r="R1077" s="84">
        <v>20571</v>
      </c>
      <c r="S1077" s="86"/>
      <c r="T1077" s="84"/>
      <c r="U1077" s="86"/>
    </row>
    <row r="1078" spans="1:21" s="20" customFormat="1" x14ac:dyDescent="0.15">
      <c r="A1078" s="86" t="s">
        <v>1</v>
      </c>
      <c r="B1078" s="86">
        <v>9030913</v>
      </c>
      <c r="C1078" s="84"/>
      <c r="D1078" s="84"/>
      <c r="E1078" s="84">
        <v>2</v>
      </c>
      <c r="F1078" s="86">
        <v>5</v>
      </c>
      <c r="G1078" s="84"/>
      <c r="H1078" s="84" t="s">
        <v>7307</v>
      </c>
      <c r="I1078" s="84"/>
      <c r="J1078" s="84"/>
      <c r="K1078" s="86">
        <v>45000</v>
      </c>
      <c r="L1078" s="84">
        <v>9030914</v>
      </c>
      <c r="M1078" s="84"/>
      <c r="N1078" s="86"/>
      <c r="O1078" s="86"/>
      <c r="P1078" s="86">
        <v>200113</v>
      </c>
      <c r="Q1078" s="85">
        <v>371</v>
      </c>
      <c r="R1078" s="84">
        <v>19312</v>
      </c>
      <c r="S1078" s="86"/>
      <c r="T1078" s="84"/>
      <c r="U1078" s="86"/>
    </row>
    <row r="1079" spans="1:21" s="20" customFormat="1" x14ac:dyDescent="0.15">
      <c r="A1079" s="86" t="s">
        <v>1</v>
      </c>
      <c r="B1079" s="86">
        <v>9030914</v>
      </c>
      <c r="C1079" s="84" t="s">
        <v>115</v>
      </c>
      <c r="D1079" s="84" t="s">
        <v>115</v>
      </c>
      <c r="E1079" s="84">
        <v>3</v>
      </c>
      <c r="F1079" s="84" t="s">
        <v>115</v>
      </c>
      <c r="G1079" s="84" t="s">
        <v>115</v>
      </c>
      <c r="H1079" s="84" t="s">
        <v>115</v>
      </c>
      <c r="I1079" s="86" t="s">
        <v>1319</v>
      </c>
      <c r="J1079" s="84" t="s">
        <v>115</v>
      </c>
      <c r="K1079" s="86">
        <v>45000</v>
      </c>
      <c r="L1079" s="84">
        <v>0</v>
      </c>
      <c r="M1079" s="84"/>
      <c r="N1079" s="86">
        <v>200115</v>
      </c>
      <c r="O1079" s="86">
        <v>200116</v>
      </c>
      <c r="P1079" s="86">
        <v>200114</v>
      </c>
      <c r="Q1079" s="85">
        <v>371</v>
      </c>
      <c r="R1079" s="84"/>
      <c r="S1079" s="86"/>
      <c r="T1079" s="84"/>
      <c r="U1079" s="86"/>
    </row>
    <row r="1080" spans="1:21" s="20" customFormat="1" x14ac:dyDescent="0.15">
      <c r="A1080" s="86" t="s">
        <v>1</v>
      </c>
      <c r="B1080" s="85">
        <v>9031011</v>
      </c>
      <c r="C1080" s="86" t="s">
        <v>115</v>
      </c>
      <c r="D1080" s="86">
        <v>3</v>
      </c>
      <c r="E1080" s="86" t="s">
        <v>115</v>
      </c>
      <c r="F1080" s="86" t="s">
        <v>115</v>
      </c>
      <c r="G1080" s="86" t="s">
        <v>115</v>
      </c>
      <c r="H1080" s="86" t="s">
        <v>7307</v>
      </c>
      <c r="I1080" s="86" t="s">
        <v>115</v>
      </c>
      <c r="J1080" s="86" t="s">
        <v>115</v>
      </c>
      <c r="K1080" s="86">
        <v>47000</v>
      </c>
      <c r="L1080" s="86">
        <v>9031012</v>
      </c>
      <c r="M1080" s="86"/>
      <c r="N1080" s="86" t="s">
        <v>115</v>
      </c>
      <c r="O1080" s="86" t="s">
        <v>115</v>
      </c>
      <c r="P1080" s="86">
        <v>200111</v>
      </c>
      <c r="Q1080" s="85">
        <v>371</v>
      </c>
      <c r="R1080" s="84">
        <v>4890</v>
      </c>
      <c r="S1080" s="86"/>
      <c r="T1080" s="84"/>
      <c r="U1080" s="86"/>
    </row>
    <row r="1081" spans="1:21" s="20" customFormat="1" x14ac:dyDescent="0.15">
      <c r="A1081" s="86" t="s">
        <v>1</v>
      </c>
      <c r="B1081" s="86">
        <v>9031012</v>
      </c>
      <c r="C1081" s="86" t="s">
        <v>115</v>
      </c>
      <c r="D1081" s="86" t="s">
        <v>115</v>
      </c>
      <c r="E1081" s="86">
        <v>1</v>
      </c>
      <c r="F1081" s="86">
        <v>5</v>
      </c>
      <c r="G1081" s="86" t="s">
        <v>115</v>
      </c>
      <c r="H1081" s="86" t="s">
        <v>7307</v>
      </c>
      <c r="I1081" s="86" t="s">
        <v>115</v>
      </c>
      <c r="J1081" s="86">
        <v>20</v>
      </c>
      <c r="K1081" s="86">
        <v>47000</v>
      </c>
      <c r="L1081" s="86">
        <v>9031013</v>
      </c>
      <c r="M1081" s="86"/>
      <c r="N1081" s="86" t="s">
        <v>115</v>
      </c>
      <c r="O1081" s="86" t="s">
        <v>115</v>
      </c>
      <c r="P1081" s="86">
        <v>200112</v>
      </c>
      <c r="Q1081" s="85">
        <v>371</v>
      </c>
      <c r="R1081" s="84">
        <v>21568</v>
      </c>
      <c r="S1081" s="86"/>
      <c r="T1081" s="84"/>
      <c r="U1081" s="86"/>
    </row>
    <row r="1082" spans="1:21" s="20" customFormat="1" x14ac:dyDescent="0.15">
      <c r="A1082" s="86" t="s">
        <v>1</v>
      </c>
      <c r="B1082" s="85">
        <v>9031013</v>
      </c>
      <c r="C1082" s="86"/>
      <c r="D1082" s="86"/>
      <c r="E1082" s="86">
        <v>2</v>
      </c>
      <c r="F1082" s="86">
        <v>5</v>
      </c>
      <c r="G1082" s="86"/>
      <c r="H1082" s="86" t="s">
        <v>7307</v>
      </c>
      <c r="I1082" s="86"/>
      <c r="J1082" s="86"/>
      <c r="K1082" s="86">
        <v>47000</v>
      </c>
      <c r="L1082" s="86">
        <v>9031014</v>
      </c>
      <c r="M1082" s="86"/>
      <c r="N1082" s="86"/>
      <c r="O1082" s="86"/>
      <c r="P1082" s="86">
        <v>200113</v>
      </c>
      <c r="Q1082" s="85">
        <v>371</v>
      </c>
      <c r="R1082" s="84">
        <v>19312</v>
      </c>
      <c r="S1082" s="86"/>
      <c r="T1082" s="84"/>
      <c r="U1082" s="86"/>
    </row>
    <row r="1083" spans="1:21" s="20" customFormat="1" x14ac:dyDescent="0.15">
      <c r="A1083" s="86" t="s">
        <v>1</v>
      </c>
      <c r="B1083" s="86">
        <v>9031014</v>
      </c>
      <c r="C1083" s="86" t="s">
        <v>115</v>
      </c>
      <c r="D1083" s="86" t="s">
        <v>115</v>
      </c>
      <c r="E1083" s="86">
        <v>3</v>
      </c>
      <c r="F1083" s="86" t="s">
        <v>115</v>
      </c>
      <c r="G1083" s="86" t="s">
        <v>115</v>
      </c>
      <c r="H1083" s="86" t="s">
        <v>115</v>
      </c>
      <c r="I1083" s="86" t="s">
        <v>1319</v>
      </c>
      <c r="J1083" s="86" t="s">
        <v>115</v>
      </c>
      <c r="K1083" s="86">
        <v>47000</v>
      </c>
      <c r="L1083" s="86">
        <v>0</v>
      </c>
      <c r="M1083" s="86"/>
      <c r="N1083" s="86">
        <v>200115</v>
      </c>
      <c r="O1083" s="86">
        <v>200116</v>
      </c>
      <c r="P1083" s="86">
        <v>200114</v>
      </c>
      <c r="Q1083" s="85">
        <v>371</v>
      </c>
      <c r="R1083" s="84"/>
      <c r="S1083" s="86"/>
      <c r="T1083" s="84"/>
      <c r="U1083" s="86"/>
    </row>
    <row r="1084" spans="1:21" s="20" customFormat="1" x14ac:dyDescent="0.15">
      <c r="A1084" s="86" t="s">
        <v>1</v>
      </c>
      <c r="B1084" s="85">
        <v>9031111</v>
      </c>
      <c r="C1084" s="86" t="s">
        <v>115</v>
      </c>
      <c r="D1084" s="86">
        <v>3</v>
      </c>
      <c r="E1084" s="86" t="s">
        <v>115</v>
      </c>
      <c r="F1084" s="86" t="s">
        <v>115</v>
      </c>
      <c r="G1084" s="86" t="s">
        <v>115</v>
      </c>
      <c r="H1084" s="86" t="s">
        <v>7307</v>
      </c>
      <c r="I1084" s="86" t="s">
        <v>115</v>
      </c>
      <c r="J1084" s="86" t="s">
        <v>115</v>
      </c>
      <c r="K1084" s="86">
        <v>48000</v>
      </c>
      <c r="L1084" s="86">
        <v>9031112</v>
      </c>
      <c r="M1084" s="86"/>
      <c r="N1084" s="86" t="s">
        <v>115</v>
      </c>
      <c r="O1084" s="86" t="s">
        <v>115</v>
      </c>
      <c r="P1084" s="86">
        <v>200111</v>
      </c>
      <c r="Q1084" s="85">
        <v>371</v>
      </c>
      <c r="R1084" s="84">
        <v>4890</v>
      </c>
      <c r="S1084" s="86"/>
      <c r="T1084" s="84"/>
      <c r="U1084" s="86"/>
    </row>
    <row r="1085" spans="1:21" s="20" customFormat="1" x14ac:dyDescent="0.15">
      <c r="A1085" s="86" t="s">
        <v>1</v>
      </c>
      <c r="B1085" s="86">
        <v>9031112</v>
      </c>
      <c r="C1085" s="86" t="s">
        <v>115</v>
      </c>
      <c r="D1085" s="86" t="s">
        <v>115</v>
      </c>
      <c r="E1085" s="86">
        <v>1</v>
      </c>
      <c r="F1085" s="86">
        <v>5</v>
      </c>
      <c r="G1085" s="86" t="s">
        <v>115</v>
      </c>
      <c r="H1085" s="86" t="s">
        <v>7307</v>
      </c>
      <c r="I1085" s="86" t="s">
        <v>115</v>
      </c>
      <c r="J1085" s="86">
        <v>20</v>
      </c>
      <c r="K1085" s="86">
        <v>48000</v>
      </c>
      <c r="L1085" s="86">
        <v>9031113</v>
      </c>
      <c r="M1085" s="86"/>
      <c r="N1085" s="86" t="s">
        <v>115</v>
      </c>
      <c r="O1085" s="86" t="s">
        <v>115</v>
      </c>
      <c r="P1085" s="86">
        <v>200112</v>
      </c>
      <c r="Q1085" s="85">
        <v>371</v>
      </c>
      <c r="R1085" s="84">
        <v>21568</v>
      </c>
      <c r="S1085" s="86"/>
      <c r="T1085" s="84"/>
      <c r="U1085" s="86"/>
    </row>
    <row r="1086" spans="1:21" s="20" customFormat="1" x14ac:dyDescent="0.15">
      <c r="A1086" s="86" t="s">
        <v>1</v>
      </c>
      <c r="B1086" s="85">
        <v>9031113</v>
      </c>
      <c r="C1086" s="86"/>
      <c r="D1086" s="86"/>
      <c r="E1086" s="86">
        <v>2</v>
      </c>
      <c r="F1086" s="86">
        <v>5</v>
      </c>
      <c r="G1086" s="86"/>
      <c r="H1086" s="86" t="s">
        <v>7307</v>
      </c>
      <c r="I1086" s="86"/>
      <c r="J1086" s="86"/>
      <c r="K1086" s="86">
        <v>48000</v>
      </c>
      <c r="L1086" s="86">
        <v>9031114</v>
      </c>
      <c r="M1086" s="86"/>
      <c r="N1086" s="86"/>
      <c r="O1086" s="86"/>
      <c r="P1086" s="86">
        <v>200113</v>
      </c>
      <c r="Q1086" s="85">
        <v>371</v>
      </c>
      <c r="R1086" s="84">
        <v>19718</v>
      </c>
      <c r="S1086" s="86"/>
      <c r="T1086" s="84"/>
      <c r="U1086" s="86"/>
    </row>
    <row r="1087" spans="1:21" s="20" customFormat="1" x14ac:dyDescent="0.15">
      <c r="A1087" s="86" t="s">
        <v>1</v>
      </c>
      <c r="B1087" s="86">
        <v>9031114</v>
      </c>
      <c r="C1087" s="86" t="s">
        <v>115</v>
      </c>
      <c r="D1087" s="86" t="s">
        <v>115</v>
      </c>
      <c r="E1087" s="86">
        <v>3</v>
      </c>
      <c r="F1087" s="86" t="s">
        <v>115</v>
      </c>
      <c r="G1087" s="86" t="s">
        <v>115</v>
      </c>
      <c r="H1087" s="86" t="s">
        <v>115</v>
      </c>
      <c r="I1087" s="86" t="s">
        <v>1319</v>
      </c>
      <c r="J1087" s="86" t="s">
        <v>115</v>
      </c>
      <c r="K1087" s="86">
        <v>48000</v>
      </c>
      <c r="L1087" s="86">
        <v>0</v>
      </c>
      <c r="M1087" s="86"/>
      <c r="N1087" s="86">
        <v>200115</v>
      </c>
      <c r="O1087" s="86">
        <v>200116</v>
      </c>
      <c r="P1087" s="86">
        <v>200114</v>
      </c>
      <c r="Q1087" s="85">
        <v>371</v>
      </c>
      <c r="R1087" s="84"/>
      <c r="S1087" s="86"/>
      <c r="T1087" s="84"/>
      <c r="U1087" s="86"/>
    </row>
    <row r="1088" spans="1:21" s="20" customFormat="1" x14ac:dyDescent="0.15">
      <c r="A1088" s="86" t="s">
        <v>1</v>
      </c>
      <c r="B1088" s="85">
        <v>9031311</v>
      </c>
      <c r="C1088" s="86" t="s">
        <v>115</v>
      </c>
      <c r="D1088" s="86">
        <v>3</v>
      </c>
      <c r="E1088" s="86" t="s">
        <v>115</v>
      </c>
      <c r="F1088" s="86" t="s">
        <v>115</v>
      </c>
      <c r="G1088" s="86" t="s">
        <v>115</v>
      </c>
      <c r="H1088" s="86" t="s">
        <v>7307</v>
      </c>
      <c r="I1088" s="86" t="s">
        <v>115</v>
      </c>
      <c r="J1088" s="86" t="s">
        <v>115</v>
      </c>
      <c r="K1088" s="86">
        <v>49000</v>
      </c>
      <c r="L1088" s="86">
        <v>9031312</v>
      </c>
      <c r="M1088" s="86"/>
      <c r="N1088" s="86" t="s">
        <v>115</v>
      </c>
      <c r="O1088" s="86" t="s">
        <v>115</v>
      </c>
      <c r="P1088" s="86">
        <v>200111</v>
      </c>
      <c r="Q1088" s="85">
        <v>371</v>
      </c>
      <c r="R1088" s="84">
        <v>4890</v>
      </c>
      <c r="S1088" s="86"/>
      <c r="T1088" s="84"/>
      <c r="U1088" s="86"/>
    </row>
    <row r="1089" spans="1:21" s="20" customFormat="1" x14ac:dyDescent="0.15">
      <c r="A1089" s="86" t="s">
        <v>1</v>
      </c>
      <c r="B1089" s="86">
        <v>9031312</v>
      </c>
      <c r="C1089" s="86" t="s">
        <v>115</v>
      </c>
      <c r="D1089" s="86" t="s">
        <v>115</v>
      </c>
      <c r="E1089" s="86">
        <v>1</v>
      </c>
      <c r="F1089" s="86">
        <v>5</v>
      </c>
      <c r="G1089" s="86" t="s">
        <v>115</v>
      </c>
      <c r="H1089" s="86" t="s">
        <v>7307</v>
      </c>
      <c r="I1089" s="86" t="s">
        <v>115</v>
      </c>
      <c r="J1089" s="86">
        <v>20</v>
      </c>
      <c r="K1089" s="86">
        <v>49000</v>
      </c>
      <c r="L1089" s="86">
        <v>9031313</v>
      </c>
      <c r="M1089" s="86"/>
      <c r="N1089" s="86" t="s">
        <v>115</v>
      </c>
      <c r="O1089" s="86" t="s">
        <v>115</v>
      </c>
      <c r="P1089" s="86">
        <v>200112</v>
      </c>
      <c r="Q1089" s="85">
        <v>371</v>
      </c>
      <c r="R1089" s="84">
        <v>21568</v>
      </c>
      <c r="S1089" s="86"/>
      <c r="T1089" s="84"/>
      <c r="U1089" s="86"/>
    </row>
    <row r="1090" spans="1:21" s="20" customFormat="1" x14ac:dyDescent="0.15">
      <c r="A1090" s="86" t="s">
        <v>1</v>
      </c>
      <c r="B1090" s="85">
        <v>9031313</v>
      </c>
      <c r="C1090" s="86"/>
      <c r="D1090" s="86"/>
      <c r="E1090" s="86">
        <v>2</v>
      </c>
      <c r="F1090" s="86">
        <v>5</v>
      </c>
      <c r="G1090" s="86"/>
      <c r="H1090" s="86" t="s">
        <v>7307</v>
      </c>
      <c r="I1090" s="86"/>
      <c r="J1090" s="86"/>
      <c r="K1090" s="86">
        <v>49000</v>
      </c>
      <c r="L1090" s="86">
        <v>9031314</v>
      </c>
      <c r="M1090" s="86"/>
      <c r="N1090" s="86"/>
      <c r="O1090" s="86"/>
      <c r="P1090" s="86">
        <v>200113</v>
      </c>
      <c r="Q1090" s="85">
        <v>371</v>
      </c>
      <c r="R1090" s="84">
        <v>19718</v>
      </c>
      <c r="S1090" s="86"/>
      <c r="T1090" s="84"/>
      <c r="U1090" s="86"/>
    </row>
    <row r="1091" spans="1:21" s="20" customFormat="1" x14ac:dyDescent="0.15">
      <c r="A1091" s="86" t="s">
        <v>1</v>
      </c>
      <c r="B1091" s="86">
        <v>9031314</v>
      </c>
      <c r="C1091" s="86" t="s">
        <v>115</v>
      </c>
      <c r="D1091" s="86" t="s">
        <v>115</v>
      </c>
      <c r="E1091" s="86">
        <v>3</v>
      </c>
      <c r="F1091" s="86" t="s">
        <v>115</v>
      </c>
      <c r="G1091" s="86" t="s">
        <v>115</v>
      </c>
      <c r="H1091" s="86" t="s">
        <v>115</v>
      </c>
      <c r="I1091" s="86" t="s">
        <v>1319</v>
      </c>
      <c r="J1091" s="86" t="s">
        <v>115</v>
      </c>
      <c r="K1091" s="86">
        <v>49000</v>
      </c>
      <c r="L1091" s="86">
        <v>0</v>
      </c>
      <c r="M1091" s="86"/>
      <c r="N1091" s="86">
        <v>200115</v>
      </c>
      <c r="O1091" s="86">
        <v>200116</v>
      </c>
      <c r="P1091" s="86">
        <v>200114</v>
      </c>
      <c r="Q1091" s="85">
        <v>371</v>
      </c>
      <c r="R1091" s="84"/>
      <c r="S1091" s="86"/>
      <c r="T1091" s="84"/>
      <c r="U1091" s="86"/>
    </row>
    <row r="1092" spans="1:21" s="20" customFormat="1" x14ac:dyDescent="0.15">
      <c r="A1092" s="86" t="s">
        <v>1</v>
      </c>
      <c r="B1092" s="85">
        <v>9031411</v>
      </c>
      <c r="C1092" s="86" t="s">
        <v>115</v>
      </c>
      <c r="D1092" s="86">
        <v>3</v>
      </c>
      <c r="E1092" s="86" t="s">
        <v>115</v>
      </c>
      <c r="F1092" s="86" t="s">
        <v>115</v>
      </c>
      <c r="G1092" s="86" t="s">
        <v>115</v>
      </c>
      <c r="H1092" s="86" t="s">
        <v>7307</v>
      </c>
      <c r="I1092" s="86" t="s">
        <v>115</v>
      </c>
      <c r="J1092" s="86" t="s">
        <v>115</v>
      </c>
      <c r="K1092" s="86">
        <v>50000</v>
      </c>
      <c r="L1092" s="86">
        <v>9031412</v>
      </c>
      <c r="M1092" s="86"/>
      <c r="N1092" s="86" t="s">
        <v>115</v>
      </c>
      <c r="O1092" s="86" t="s">
        <v>115</v>
      </c>
      <c r="P1092" s="86">
        <v>200111</v>
      </c>
      <c r="Q1092" s="85">
        <v>371</v>
      </c>
      <c r="R1092" s="84">
        <v>5010</v>
      </c>
      <c r="S1092" s="86"/>
      <c r="T1092" s="84"/>
      <c r="U1092" s="86"/>
    </row>
    <row r="1093" spans="1:21" s="20" customFormat="1" x14ac:dyDescent="0.15">
      <c r="A1093" s="86" t="s">
        <v>1</v>
      </c>
      <c r="B1093" s="86">
        <v>9031412</v>
      </c>
      <c r="C1093" s="86" t="s">
        <v>115</v>
      </c>
      <c r="D1093" s="86" t="s">
        <v>115</v>
      </c>
      <c r="E1093" s="86">
        <v>1</v>
      </c>
      <c r="F1093" s="86">
        <v>5</v>
      </c>
      <c r="G1093" s="86" t="s">
        <v>115</v>
      </c>
      <c r="H1093" s="86" t="s">
        <v>7307</v>
      </c>
      <c r="I1093" s="86" t="s">
        <v>115</v>
      </c>
      <c r="J1093" s="86">
        <v>20</v>
      </c>
      <c r="K1093" s="86">
        <v>50000</v>
      </c>
      <c r="L1093" s="86">
        <v>9031413</v>
      </c>
      <c r="M1093" s="86"/>
      <c r="N1093" s="86" t="s">
        <v>115</v>
      </c>
      <c r="O1093" s="86" t="s">
        <v>115</v>
      </c>
      <c r="P1093" s="86">
        <v>200112</v>
      </c>
      <c r="Q1093" s="85">
        <v>371</v>
      </c>
      <c r="R1093" s="84">
        <v>23905</v>
      </c>
      <c r="S1093" s="86"/>
      <c r="T1093" s="84"/>
      <c r="U1093" s="86"/>
    </row>
    <row r="1094" spans="1:21" s="20" customFormat="1" x14ac:dyDescent="0.15">
      <c r="A1094" s="86" t="s">
        <v>1</v>
      </c>
      <c r="B1094" s="85">
        <v>9031413</v>
      </c>
      <c r="C1094" s="86"/>
      <c r="D1094" s="86"/>
      <c r="E1094" s="86">
        <v>2</v>
      </c>
      <c r="F1094" s="86">
        <v>5</v>
      </c>
      <c r="G1094" s="86"/>
      <c r="H1094" s="86" t="s">
        <v>7307</v>
      </c>
      <c r="I1094" s="86"/>
      <c r="J1094" s="86"/>
      <c r="K1094" s="86">
        <v>50000</v>
      </c>
      <c r="L1094" s="86">
        <v>9031414</v>
      </c>
      <c r="M1094" s="86"/>
      <c r="N1094" s="86"/>
      <c r="O1094" s="86"/>
      <c r="P1094" s="86">
        <v>200113</v>
      </c>
      <c r="Q1094" s="85">
        <v>371</v>
      </c>
      <c r="R1094" s="84">
        <v>19718</v>
      </c>
      <c r="S1094" s="86"/>
      <c r="T1094" s="84"/>
      <c r="U1094" s="86"/>
    </row>
    <row r="1095" spans="1:21" s="20" customFormat="1" x14ac:dyDescent="0.15">
      <c r="A1095" s="86" t="s">
        <v>1</v>
      </c>
      <c r="B1095" s="86">
        <v>9031414</v>
      </c>
      <c r="C1095" s="86" t="s">
        <v>115</v>
      </c>
      <c r="D1095" s="86" t="s">
        <v>115</v>
      </c>
      <c r="E1095" s="86">
        <v>3</v>
      </c>
      <c r="F1095" s="86" t="s">
        <v>115</v>
      </c>
      <c r="G1095" s="86" t="s">
        <v>115</v>
      </c>
      <c r="H1095" s="86" t="s">
        <v>115</v>
      </c>
      <c r="I1095" s="86" t="s">
        <v>1319</v>
      </c>
      <c r="J1095" s="86" t="s">
        <v>115</v>
      </c>
      <c r="K1095" s="86">
        <v>50000</v>
      </c>
      <c r="L1095" s="86">
        <v>0</v>
      </c>
      <c r="M1095" s="86"/>
      <c r="N1095" s="86">
        <v>200115</v>
      </c>
      <c r="O1095" s="86">
        <v>200116</v>
      </c>
      <c r="P1095" s="86">
        <v>200114</v>
      </c>
      <c r="Q1095" s="85">
        <v>371</v>
      </c>
      <c r="R1095" s="84"/>
      <c r="S1095" s="86"/>
      <c r="T1095" s="84"/>
      <c r="U1095" s="86"/>
    </row>
    <row r="1096" spans="1:21" s="20" customFormat="1" x14ac:dyDescent="0.15">
      <c r="A1096" s="86" t="s">
        <v>1</v>
      </c>
      <c r="B1096" s="85">
        <v>9031611</v>
      </c>
      <c r="C1096" s="86" t="s">
        <v>115</v>
      </c>
      <c r="D1096" s="86">
        <v>3</v>
      </c>
      <c r="E1096" s="86" t="s">
        <v>115</v>
      </c>
      <c r="F1096" s="86" t="s">
        <v>115</v>
      </c>
      <c r="G1096" s="86" t="s">
        <v>115</v>
      </c>
      <c r="H1096" s="86" t="s">
        <v>7307</v>
      </c>
      <c r="I1096" s="86" t="s">
        <v>115</v>
      </c>
      <c r="J1096" s="86" t="s">
        <v>115</v>
      </c>
      <c r="K1096" s="86">
        <v>52000</v>
      </c>
      <c r="L1096" s="86">
        <v>9031612</v>
      </c>
      <c r="M1096" s="86"/>
      <c r="N1096" s="86" t="s">
        <v>115</v>
      </c>
      <c r="O1096" s="86" t="s">
        <v>115</v>
      </c>
      <c r="P1096" s="86">
        <v>200111</v>
      </c>
      <c r="Q1096" s="85">
        <v>371</v>
      </c>
      <c r="R1096" s="84">
        <v>5130</v>
      </c>
      <c r="S1096" s="86"/>
      <c r="T1096" s="84"/>
      <c r="U1096" s="86"/>
    </row>
    <row r="1097" spans="1:21" s="20" customFormat="1" x14ac:dyDescent="0.15">
      <c r="A1097" s="86" t="s">
        <v>1</v>
      </c>
      <c r="B1097" s="86">
        <v>9031612</v>
      </c>
      <c r="C1097" s="86" t="s">
        <v>115</v>
      </c>
      <c r="D1097" s="86" t="s">
        <v>115</v>
      </c>
      <c r="E1097" s="86">
        <v>1</v>
      </c>
      <c r="F1097" s="86">
        <v>5</v>
      </c>
      <c r="G1097" s="86" t="s">
        <v>115</v>
      </c>
      <c r="H1097" s="86" t="s">
        <v>7307</v>
      </c>
      <c r="I1097" s="86" t="s">
        <v>115</v>
      </c>
      <c r="J1097" s="86">
        <v>20</v>
      </c>
      <c r="K1097" s="86">
        <v>52000</v>
      </c>
      <c r="L1097" s="86">
        <v>9031613</v>
      </c>
      <c r="M1097" s="86"/>
      <c r="N1097" s="86" t="s">
        <v>115</v>
      </c>
      <c r="O1097" s="86" t="s">
        <v>115</v>
      </c>
      <c r="P1097" s="86">
        <v>200112</v>
      </c>
      <c r="Q1097" s="85">
        <v>371</v>
      </c>
      <c r="R1097" s="84">
        <v>23980</v>
      </c>
      <c r="S1097" s="86"/>
      <c r="T1097" s="84"/>
      <c r="U1097" s="86"/>
    </row>
    <row r="1098" spans="1:21" s="20" customFormat="1" x14ac:dyDescent="0.15">
      <c r="A1098" s="86" t="s">
        <v>1</v>
      </c>
      <c r="B1098" s="85">
        <v>9031613</v>
      </c>
      <c r="C1098" s="86"/>
      <c r="D1098" s="86"/>
      <c r="E1098" s="86">
        <v>2</v>
      </c>
      <c r="F1098" s="86">
        <v>5</v>
      </c>
      <c r="G1098" s="86"/>
      <c r="H1098" s="86" t="s">
        <v>7307</v>
      </c>
      <c r="I1098" s="86"/>
      <c r="J1098" s="86"/>
      <c r="K1098" s="86">
        <v>52000</v>
      </c>
      <c r="L1098" s="86">
        <v>9031614</v>
      </c>
      <c r="M1098" s="86"/>
      <c r="N1098" s="86"/>
      <c r="O1098" s="86"/>
      <c r="P1098" s="86">
        <v>200113</v>
      </c>
      <c r="Q1098" s="85">
        <v>371</v>
      </c>
      <c r="R1098" s="84">
        <v>21914</v>
      </c>
      <c r="S1098" s="86"/>
      <c r="T1098" s="84"/>
      <c r="U1098" s="86"/>
    </row>
    <row r="1099" spans="1:21" s="20" customFormat="1" x14ac:dyDescent="0.15">
      <c r="A1099" s="86" t="s">
        <v>1</v>
      </c>
      <c r="B1099" s="86">
        <v>9031614</v>
      </c>
      <c r="C1099" s="86" t="s">
        <v>115</v>
      </c>
      <c r="D1099" s="86" t="s">
        <v>115</v>
      </c>
      <c r="E1099" s="86">
        <v>3</v>
      </c>
      <c r="F1099" s="86" t="s">
        <v>115</v>
      </c>
      <c r="G1099" s="86" t="s">
        <v>115</v>
      </c>
      <c r="H1099" s="86" t="s">
        <v>115</v>
      </c>
      <c r="I1099" s="86" t="s">
        <v>1319</v>
      </c>
      <c r="J1099" s="86" t="s">
        <v>115</v>
      </c>
      <c r="K1099" s="86">
        <v>52000</v>
      </c>
      <c r="L1099" s="86">
        <v>0</v>
      </c>
      <c r="M1099" s="86"/>
      <c r="N1099" s="86">
        <v>200115</v>
      </c>
      <c r="O1099" s="86">
        <v>200116</v>
      </c>
      <c r="P1099" s="86">
        <v>200114</v>
      </c>
      <c r="Q1099" s="85">
        <v>371</v>
      </c>
      <c r="R1099" s="84"/>
      <c r="S1099" s="86"/>
      <c r="T1099" s="84"/>
      <c r="U1099" s="86"/>
    </row>
    <row r="1100" spans="1:21" s="20" customFormat="1" x14ac:dyDescent="0.15">
      <c r="A1100" s="86" t="s">
        <v>1</v>
      </c>
      <c r="B1100" s="85">
        <v>9031711</v>
      </c>
      <c r="C1100" s="86" t="s">
        <v>115</v>
      </c>
      <c r="D1100" s="86">
        <v>3</v>
      </c>
      <c r="E1100" s="86" t="s">
        <v>115</v>
      </c>
      <c r="F1100" s="86" t="s">
        <v>115</v>
      </c>
      <c r="G1100" s="86" t="s">
        <v>115</v>
      </c>
      <c r="H1100" s="86" t="s">
        <v>7307</v>
      </c>
      <c r="I1100" s="86" t="s">
        <v>115</v>
      </c>
      <c r="J1100" s="86" t="s">
        <v>115</v>
      </c>
      <c r="K1100" s="86">
        <v>54000</v>
      </c>
      <c r="L1100" s="86">
        <v>9031712</v>
      </c>
      <c r="M1100" s="86"/>
      <c r="N1100" s="86" t="s">
        <v>115</v>
      </c>
      <c r="O1100" s="86" t="s">
        <v>115</v>
      </c>
      <c r="P1100" s="86">
        <v>200111</v>
      </c>
      <c r="Q1100" s="85">
        <v>371</v>
      </c>
      <c r="R1100" s="84">
        <v>5130</v>
      </c>
      <c r="S1100" s="86"/>
      <c r="T1100" s="84"/>
      <c r="U1100" s="86"/>
    </row>
    <row r="1101" spans="1:21" s="20" customFormat="1" x14ac:dyDescent="0.15">
      <c r="A1101" s="86" t="s">
        <v>1</v>
      </c>
      <c r="B1101" s="86">
        <v>9031712</v>
      </c>
      <c r="C1101" s="86" t="s">
        <v>115</v>
      </c>
      <c r="D1101" s="86" t="s">
        <v>115</v>
      </c>
      <c r="E1101" s="86">
        <v>1</v>
      </c>
      <c r="F1101" s="86">
        <v>5</v>
      </c>
      <c r="G1101" s="86" t="s">
        <v>115</v>
      </c>
      <c r="H1101" s="86" t="s">
        <v>7307</v>
      </c>
      <c r="I1101" s="86" t="s">
        <v>115</v>
      </c>
      <c r="J1101" s="86">
        <v>20</v>
      </c>
      <c r="K1101" s="86">
        <v>54000</v>
      </c>
      <c r="L1101" s="86">
        <v>9031713</v>
      </c>
      <c r="M1101" s="86"/>
      <c r="N1101" s="86" t="s">
        <v>115</v>
      </c>
      <c r="O1101" s="86" t="s">
        <v>115</v>
      </c>
      <c r="P1101" s="86">
        <v>200112</v>
      </c>
      <c r="Q1101" s="85">
        <v>371</v>
      </c>
      <c r="R1101" s="84">
        <v>24055</v>
      </c>
      <c r="S1101" s="86"/>
      <c r="T1101" s="84"/>
      <c r="U1101" s="86"/>
    </row>
    <row r="1102" spans="1:21" s="20" customFormat="1" x14ac:dyDescent="0.15">
      <c r="A1102" s="86" t="s">
        <v>1</v>
      </c>
      <c r="B1102" s="85">
        <v>9031713</v>
      </c>
      <c r="C1102" s="86"/>
      <c r="D1102" s="86"/>
      <c r="E1102" s="86">
        <v>2</v>
      </c>
      <c r="F1102" s="86">
        <v>5</v>
      </c>
      <c r="G1102" s="86"/>
      <c r="H1102" s="86" t="s">
        <v>7307</v>
      </c>
      <c r="I1102" s="86"/>
      <c r="J1102" s="86"/>
      <c r="K1102" s="86">
        <v>54000</v>
      </c>
      <c r="L1102" s="86">
        <v>9031714</v>
      </c>
      <c r="M1102" s="86"/>
      <c r="N1102" s="86"/>
      <c r="O1102" s="86"/>
      <c r="P1102" s="86">
        <v>200113</v>
      </c>
      <c r="Q1102" s="85">
        <v>371</v>
      </c>
      <c r="R1102" s="84">
        <v>21914</v>
      </c>
      <c r="S1102" s="86"/>
      <c r="T1102" s="84"/>
      <c r="U1102" s="86"/>
    </row>
    <row r="1103" spans="1:21" s="20" customFormat="1" x14ac:dyDescent="0.15">
      <c r="A1103" s="86" t="s">
        <v>1</v>
      </c>
      <c r="B1103" s="86">
        <v>9031714</v>
      </c>
      <c r="C1103" s="86" t="s">
        <v>115</v>
      </c>
      <c r="D1103" s="86" t="s">
        <v>115</v>
      </c>
      <c r="E1103" s="86">
        <v>3</v>
      </c>
      <c r="F1103" s="86" t="s">
        <v>115</v>
      </c>
      <c r="G1103" s="86" t="s">
        <v>115</v>
      </c>
      <c r="H1103" s="86" t="s">
        <v>115</v>
      </c>
      <c r="I1103" s="86" t="s">
        <v>1319</v>
      </c>
      <c r="J1103" s="86" t="s">
        <v>115</v>
      </c>
      <c r="K1103" s="86">
        <v>54000</v>
      </c>
      <c r="L1103" s="86">
        <v>0</v>
      </c>
      <c r="M1103" s="86"/>
      <c r="N1103" s="86">
        <v>200115</v>
      </c>
      <c r="O1103" s="86">
        <v>200116</v>
      </c>
      <c r="P1103" s="86">
        <v>200114</v>
      </c>
      <c r="Q1103" s="85">
        <v>371</v>
      </c>
      <c r="R1103" s="84"/>
      <c r="S1103" s="86"/>
      <c r="T1103" s="84"/>
      <c r="U1103" s="86"/>
    </row>
    <row r="1104" spans="1:21" s="20" customFormat="1" x14ac:dyDescent="0.15">
      <c r="A1104" s="86" t="s">
        <v>1</v>
      </c>
      <c r="B1104" s="85">
        <v>9031811</v>
      </c>
      <c r="C1104" s="86" t="s">
        <v>115</v>
      </c>
      <c r="D1104" s="86">
        <v>3</v>
      </c>
      <c r="E1104" s="86" t="s">
        <v>115</v>
      </c>
      <c r="F1104" s="86" t="s">
        <v>115</v>
      </c>
      <c r="G1104" s="86" t="s">
        <v>115</v>
      </c>
      <c r="H1104" s="86" t="s">
        <v>7307</v>
      </c>
      <c r="I1104" s="86" t="s">
        <v>115</v>
      </c>
      <c r="J1104" s="86" t="s">
        <v>115</v>
      </c>
      <c r="K1104" s="86">
        <v>55000</v>
      </c>
      <c r="L1104" s="86">
        <v>9031812</v>
      </c>
      <c r="M1104" s="86"/>
      <c r="N1104" s="86" t="s">
        <v>115</v>
      </c>
      <c r="O1104" s="86" t="s">
        <v>115</v>
      </c>
      <c r="P1104" s="86">
        <v>200111</v>
      </c>
      <c r="Q1104" s="85">
        <v>371</v>
      </c>
      <c r="R1104" s="84">
        <v>5130</v>
      </c>
      <c r="S1104" s="86"/>
      <c r="T1104" s="84"/>
      <c r="U1104" s="86"/>
    </row>
    <row r="1105" spans="1:21" s="20" customFormat="1" x14ac:dyDescent="0.15">
      <c r="A1105" s="86" t="s">
        <v>1</v>
      </c>
      <c r="B1105" s="86">
        <v>9031812</v>
      </c>
      <c r="C1105" s="86" t="s">
        <v>115</v>
      </c>
      <c r="D1105" s="86" t="s">
        <v>115</v>
      </c>
      <c r="E1105" s="86">
        <v>1</v>
      </c>
      <c r="F1105" s="86">
        <v>5</v>
      </c>
      <c r="G1105" s="86" t="s">
        <v>115</v>
      </c>
      <c r="H1105" s="86" t="s">
        <v>7307</v>
      </c>
      <c r="I1105" s="86" t="s">
        <v>115</v>
      </c>
      <c r="J1105" s="86">
        <v>20</v>
      </c>
      <c r="K1105" s="86">
        <v>55000</v>
      </c>
      <c r="L1105" s="86">
        <v>9031813</v>
      </c>
      <c r="M1105" s="86"/>
      <c r="N1105" s="86" t="s">
        <v>115</v>
      </c>
      <c r="O1105" s="86" t="s">
        <v>115</v>
      </c>
      <c r="P1105" s="86">
        <v>200112</v>
      </c>
      <c r="Q1105" s="85">
        <v>371</v>
      </c>
      <c r="R1105" s="84">
        <v>24350</v>
      </c>
      <c r="S1105" s="86"/>
      <c r="T1105" s="84"/>
      <c r="U1105" s="86"/>
    </row>
    <row r="1106" spans="1:21" s="20" customFormat="1" x14ac:dyDescent="0.15">
      <c r="A1106" s="86" t="s">
        <v>1</v>
      </c>
      <c r="B1106" s="85">
        <v>9031813</v>
      </c>
      <c r="C1106" s="86"/>
      <c r="D1106" s="86"/>
      <c r="E1106" s="86">
        <v>2</v>
      </c>
      <c r="F1106" s="86">
        <v>5</v>
      </c>
      <c r="G1106" s="86"/>
      <c r="H1106" s="86" t="s">
        <v>7307</v>
      </c>
      <c r="I1106" s="86"/>
      <c r="J1106" s="86"/>
      <c r="K1106" s="86">
        <v>55000</v>
      </c>
      <c r="L1106" s="86">
        <v>9031814</v>
      </c>
      <c r="M1106" s="86"/>
      <c r="N1106" s="86"/>
      <c r="O1106" s="86"/>
      <c r="P1106" s="86">
        <v>200113</v>
      </c>
      <c r="Q1106" s="85">
        <v>371</v>
      </c>
      <c r="R1106" s="84">
        <v>22328</v>
      </c>
      <c r="S1106" s="86"/>
      <c r="T1106" s="84"/>
      <c r="U1106" s="86"/>
    </row>
    <row r="1107" spans="1:21" s="20" customFormat="1" x14ac:dyDescent="0.15">
      <c r="A1107" s="86" t="s">
        <v>1</v>
      </c>
      <c r="B1107" s="86">
        <v>9031814</v>
      </c>
      <c r="C1107" s="86" t="s">
        <v>115</v>
      </c>
      <c r="D1107" s="86" t="s">
        <v>115</v>
      </c>
      <c r="E1107" s="86">
        <v>3</v>
      </c>
      <c r="F1107" s="86" t="s">
        <v>115</v>
      </c>
      <c r="G1107" s="86" t="s">
        <v>115</v>
      </c>
      <c r="H1107" s="86" t="s">
        <v>115</v>
      </c>
      <c r="I1107" s="86" t="s">
        <v>1319</v>
      </c>
      <c r="J1107" s="86" t="s">
        <v>115</v>
      </c>
      <c r="K1107" s="86">
        <v>55000</v>
      </c>
      <c r="L1107" s="86">
        <v>0</v>
      </c>
      <c r="M1107" s="86"/>
      <c r="N1107" s="86">
        <v>200115</v>
      </c>
      <c r="O1107" s="86">
        <v>200116</v>
      </c>
      <c r="P1107" s="86">
        <v>200114</v>
      </c>
      <c r="Q1107" s="85">
        <v>371</v>
      </c>
      <c r="R1107" s="84"/>
      <c r="S1107" s="86"/>
      <c r="T1107" s="84"/>
      <c r="U1107" s="86"/>
    </row>
    <row r="1108" spans="1:21" s="20" customFormat="1" x14ac:dyDescent="0.15">
      <c r="A1108" s="86" t="s">
        <v>1</v>
      </c>
      <c r="B1108" s="85">
        <v>9032111</v>
      </c>
      <c r="C1108" s="86" t="s">
        <v>115</v>
      </c>
      <c r="D1108" s="86">
        <v>3</v>
      </c>
      <c r="E1108" s="86" t="s">
        <v>115</v>
      </c>
      <c r="F1108" s="86" t="s">
        <v>115</v>
      </c>
      <c r="G1108" s="86" t="s">
        <v>115</v>
      </c>
      <c r="H1108" s="86" t="s">
        <v>7307</v>
      </c>
      <c r="I1108" s="86" t="s">
        <v>115</v>
      </c>
      <c r="J1108" s="86" t="s">
        <v>115</v>
      </c>
      <c r="K1108" s="86">
        <v>56000</v>
      </c>
      <c r="L1108" s="86">
        <v>9032112</v>
      </c>
      <c r="M1108" s="86"/>
      <c r="N1108" s="86" t="s">
        <v>115</v>
      </c>
      <c r="O1108" s="86" t="s">
        <v>115</v>
      </c>
      <c r="P1108" s="86">
        <v>200111</v>
      </c>
      <c r="Q1108" s="85">
        <v>371</v>
      </c>
      <c r="R1108" s="84">
        <v>5280</v>
      </c>
      <c r="S1108" s="86"/>
      <c r="T1108" s="84"/>
      <c r="U1108" s="86"/>
    </row>
    <row r="1109" spans="1:21" s="20" customFormat="1" x14ac:dyDescent="0.15">
      <c r="A1109" s="86" t="s">
        <v>1</v>
      </c>
      <c r="B1109" s="86">
        <v>9032112</v>
      </c>
      <c r="C1109" s="86" t="s">
        <v>115</v>
      </c>
      <c r="D1109" s="86" t="s">
        <v>115</v>
      </c>
      <c r="E1109" s="86">
        <v>1</v>
      </c>
      <c r="F1109" s="86">
        <v>5</v>
      </c>
      <c r="G1109" s="86" t="s">
        <v>115</v>
      </c>
      <c r="H1109" s="86" t="s">
        <v>7307</v>
      </c>
      <c r="I1109" s="86" t="s">
        <v>115</v>
      </c>
      <c r="J1109" s="86">
        <v>20</v>
      </c>
      <c r="K1109" s="86">
        <v>56000</v>
      </c>
      <c r="L1109" s="86">
        <v>9032113</v>
      </c>
      <c r="M1109" s="86"/>
      <c r="N1109" s="86" t="s">
        <v>115</v>
      </c>
      <c r="O1109" s="86" t="s">
        <v>115</v>
      </c>
      <c r="P1109" s="86">
        <v>200112</v>
      </c>
      <c r="Q1109" s="85">
        <v>371</v>
      </c>
      <c r="R1109" s="84">
        <v>26470</v>
      </c>
      <c r="S1109" s="86"/>
      <c r="T1109" s="84"/>
      <c r="U1109" s="86"/>
    </row>
    <row r="1110" spans="1:21" s="20" customFormat="1" x14ac:dyDescent="0.15">
      <c r="A1110" s="86" t="s">
        <v>1</v>
      </c>
      <c r="B1110" s="85">
        <v>9032113</v>
      </c>
      <c r="C1110" s="86"/>
      <c r="D1110" s="86"/>
      <c r="E1110" s="86">
        <v>2</v>
      </c>
      <c r="F1110" s="86">
        <v>5</v>
      </c>
      <c r="G1110" s="86"/>
      <c r="H1110" s="86" t="s">
        <v>7307</v>
      </c>
      <c r="I1110" s="86"/>
      <c r="J1110" s="86"/>
      <c r="K1110" s="86">
        <v>56000</v>
      </c>
      <c r="L1110" s="86">
        <v>9032114</v>
      </c>
      <c r="M1110" s="86"/>
      <c r="N1110" s="86"/>
      <c r="O1110" s="86"/>
      <c r="P1110" s="86">
        <v>200113</v>
      </c>
      <c r="Q1110" s="85">
        <v>371</v>
      </c>
      <c r="R1110" s="84">
        <v>22328</v>
      </c>
      <c r="S1110" s="86"/>
      <c r="T1110" s="84"/>
      <c r="U1110" s="86"/>
    </row>
    <row r="1111" spans="1:21" s="20" customFormat="1" x14ac:dyDescent="0.15">
      <c r="A1111" s="86" t="s">
        <v>1</v>
      </c>
      <c r="B1111" s="86">
        <v>9032114</v>
      </c>
      <c r="C1111" s="86" t="s">
        <v>115</v>
      </c>
      <c r="D1111" s="86" t="s">
        <v>115</v>
      </c>
      <c r="E1111" s="86">
        <v>3</v>
      </c>
      <c r="F1111" s="86" t="s">
        <v>115</v>
      </c>
      <c r="G1111" s="86" t="s">
        <v>115</v>
      </c>
      <c r="H1111" s="86" t="s">
        <v>115</v>
      </c>
      <c r="I1111" s="86" t="s">
        <v>1319</v>
      </c>
      <c r="J1111" s="86" t="s">
        <v>115</v>
      </c>
      <c r="K1111" s="86">
        <v>56000</v>
      </c>
      <c r="L1111" s="86">
        <v>0</v>
      </c>
      <c r="M1111" s="86"/>
      <c r="N1111" s="86">
        <v>200115</v>
      </c>
      <c r="O1111" s="86">
        <v>200116</v>
      </c>
      <c r="P1111" s="86">
        <v>200114</v>
      </c>
      <c r="Q1111" s="85">
        <v>371</v>
      </c>
      <c r="R1111" s="84"/>
      <c r="S1111" s="86"/>
      <c r="T1111" s="84"/>
      <c r="U1111" s="86"/>
    </row>
    <row r="1112" spans="1:21" s="20" customFormat="1" x14ac:dyDescent="0.15">
      <c r="A1112" s="86" t="s">
        <v>1</v>
      </c>
      <c r="B1112" s="85">
        <v>9032211</v>
      </c>
      <c r="C1112" s="86" t="s">
        <v>115</v>
      </c>
      <c r="D1112" s="86">
        <v>3</v>
      </c>
      <c r="E1112" s="86" t="s">
        <v>115</v>
      </c>
      <c r="F1112" s="86" t="s">
        <v>115</v>
      </c>
      <c r="G1112" s="86" t="s">
        <v>115</v>
      </c>
      <c r="H1112" s="86" t="s">
        <v>7307</v>
      </c>
      <c r="I1112" s="86" t="s">
        <v>115</v>
      </c>
      <c r="J1112" s="86" t="s">
        <v>115</v>
      </c>
      <c r="K1112" s="86">
        <v>58000</v>
      </c>
      <c r="L1112" s="86">
        <v>9032212</v>
      </c>
      <c r="M1112" s="86"/>
      <c r="N1112" s="86" t="s">
        <v>115</v>
      </c>
      <c r="O1112" s="86" t="s">
        <v>115</v>
      </c>
      <c r="P1112" s="86">
        <v>200111</v>
      </c>
      <c r="Q1112" s="85">
        <v>371</v>
      </c>
      <c r="R1112" s="84">
        <v>5280</v>
      </c>
      <c r="S1112" s="86"/>
      <c r="T1112" s="84"/>
      <c r="U1112" s="86"/>
    </row>
    <row r="1113" spans="1:21" s="20" customFormat="1" x14ac:dyDescent="0.15">
      <c r="A1113" s="86" t="s">
        <v>1</v>
      </c>
      <c r="B1113" s="86">
        <v>9032212</v>
      </c>
      <c r="C1113" s="86" t="s">
        <v>115</v>
      </c>
      <c r="D1113" s="86" t="s">
        <v>115</v>
      </c>
      <c r="E1113" s="86">
        <v>1</v>
      </c>
      <c r="F1113" s="86">
        <v>5</v>
      </c>
      <c r="G1113" s="86" t="s">
        <v>115</v>
      </c>
      <c r="H1113" s="86" t="s">
        <v>7307</v>
      </c>
      <c r="I1113" s="86" t="s">
        <v>115</v>
      </c>
      <c r="J1113" s="86">
        <v>20</v>
      </c>
      <c r="K1113" s="86">
        <v>58000</v>
      </c>
      <c r="L1113" s="86">
        <v>9032213</v>
      </c>
      <c r="M1113" s="86"/>
      <c r="N1113" s="86" t="s">
        <v>115</v>
      </c>
      <c r="O1113" s="86" t="s">
        <v>115</v>
      </c>
      <c r="P1113" s="86">
        <v>200112</v>
      </c>
      <c r="Q1113" s="85">
        <v>371</v>
      </c>
      <c r="R1113" s="84">
        <v>27643</v>
      </c>
      <c r="S1113" s="86"/>
      <c r="T1113" s="84"/>
      <c r="U1113" s="86"/>
    </row>
    <row r="1114" spans="1:21" s="20" customFormat="1" x14ac:dyDescent="0.15">
      <c r="A1114" s="86" t="s">
        <v>1</v>
      </c>
      <c r="B1114" s="85">
        <v>9032213</v>
      </c>
      <c r="C1114" s="86"/>
      <c r="D1114" s="86"/>
      <c r="E1114" s="86">
        <v>2</v>
      </c>
      <c r="F1114" s="86">
        <v>5</v>
      </c>
      <c r="G1114" s="86"/>
      <c r="H1114" s="86" t="s">
        <v>7307</v>
      </c>
      <c r="I1114" s="86"/>
      <c r="J1114" s="86"/>
      <c r="K1114" s="86">
        <v>58000</v>
      </c>
      <c r="L1114" s="86">
        <v>9032214</v>
      </c>
      <c r="M1114" s="86"/>
      <c r="N1114" s="86"/>
      <c r="O1114" s="86"/>
      <c r="P1114" s="86">
        <v>200113</v>
      </c>
      <c r="Q1114" s="85">
        <v>371</v>
      </c>
      <c r="R1114" s="84">
        <v>22328</v>
      </c>
      <c r="S1114" s="86"/>
      <c r="T1114" s="84"/>
      <c r="U1114" s="86"/>
    </row>
    <row r="1115" spans="1:21" s="20" customFormat="1" x14ac:dyDescent="0.15">
      <c r="A1115" s="86" t="s">
        <v>1</v>
      </c>
      <c r="B1115" s="86">
        <v>9032214</v>
      </c>
      <c r="C1115" s="86" t="s">
        <v>115</v>
      </c>
      <c r="D1115" s="86" t="s">
        <v>115</v>
      </c>
      <c r="E1115" s="86">
        <v>3</v>
      </c>
      <c r="F1115" s="86" t="s">
        <v>115</v>
      </c>
      <c r="G1115" s="86" t="s">
        <v>115</v>
      </c>
      <c r="H1115" s="86" t="s">
        <v>115</v>
      </c>
      <c r="I1115" s="86" t="s">
        <v>1319</v>
      </c>
      <c r="J1115" s="86" t="s">
        <v>115</v>
      </c>
      <c r="K1115" s="86">
        <v>58000</v>
      </c>
      <c r="L1115" s="86">
        <v>0</v>
      </c>
      <c r="M1115" s="86"/>
      <c r="N1115" s="86">
        <v>200115</v>
      </c>
      <c r="O1115" s="86">
        <v>200116</v>
      </c>
      <c r="P1115" s="86">
        <v>200114</v>
      </c>
      <c r="Q1115" s="85">
        <v>371</v>
      </c>
      <c r="R1115" s="84"/>
      <c r="S1115" s="86"/>
      <c r="T1115" s="84"/>
      <c r="U1115" s="86"/>
    </row>
    <row r="1116" spans="1:21" s="20" customFormat="1" x14ac:dyDescent="0.15">
      <c r="A1116" s="86" t="s">
        <v>1</v>
      </c>
      <c r="B1116" s="85">
        <v>9032311</v>
      </c>
      <c r="C1116" s="86" t="s">
        <v>115</v>
      </c>
      <c r="D1116" s="86">
        <v>3</v>
      </c>
      <c r="E1116" s="86" t="s">
        <v>115</v>
      </c>
      <c r="F1116" s="86" t="s">
        <v>115</v>
      </c>
      <c r="G1116" s="86" t="s">
        <v>115</v>
      </c>
      <c r="H1116" s="86" t="s">
        <v>7307</v>
      </c>
      <c r="I1116" s="86" t="s">
        <v>115</v>
      </c>
      <c r="J1116" s="86" t="s">
        <v>115</v>
      </c>
      <c r="K1116" s="86">
        <v>60000</v>
      </c>
      <c r="L1116" s="86">
        <v>9032312</v>
      </c>
      <c r="M1116" s="86"/>
      <c r="N1116" s="86" t="s">
        <v>115</v>
      </c>
      <c r="O1116" s="86" t="s">
        <v>115</v>
      </c>
      <c r="P1116" s="86">
        <v>200111</v>
      </c>
      <c r="Q1116" s="85">
        <v>371</v>
      </c>
      <c r="R1116" s="84">
        <v>5280</v>
      </c>
      <c r="S1116" s="86"/>
      <c r="T1116" s="84"/>
      <c r="U1116" s="86"/>
    </row>
    <row r="1117" spans="1:21" s="20" customFormat="1" x14ac:dyDescent="0.15">
      <c r="A1117" s="86" t="s">
        <v>1</v>
      </c>
      <c r="B1117" s="86">
        <v>9032312</v>
      </c>
      <c r="C1117" s="86" t="s">
        <v>115</v>
      </c>
      <c r="D1117" s="86" t="s">
        <v>115</v>
      </c>
      <c r="E1117" s="86">
        <v>1</v>
      </c>
      <c r="F1117" s="86">
        <v>5</v>
      </c>
      <c r="G1117" s="86" t="s">
        <v>115</v>
      </c>
      <c r="H1117" s="86" t="s">
        <v>7307</v>
      </c>
      <c r="I1117" s="86" t="s">
        <v>115</v>
      </c>
      <c r="J1117" s="86">
        <v>20</v>
      </c>
      <c r="K1117" s="86">
        <v>60000</v>
      </c>
      <c r="L1117" s="86">
        <v>9032313</v>
      </c>
      <c r="M1117" s="86"/>
      <c r="N1117" s="86" t="s">
        <v>115</v>
      </c>
      <c r="O1117" s="86" t="s">
        <v>115</v>
      </c>
      <c r="P1117" s="86">
        <v>200112</v>
      </c>
      <c r="Q1117" s="85">
        <v>371</v>
      </c>
      <c r="R1117" s="84">
        <v>28885</v>
      </c>
      <c r="S1117" s="86"/>
      <c r="T1117" s="84"/>
      <c r="U1117" s="86"/>
    </row>
    <row r="1118" spans="1:21" s="20" customFormat="1" x14ac:dyDescent="0.15">
      <c r="A1118" s="86" t="s">
        <v>1</v>
      </c>
      <c r="B1118" s="85">
        <v>9032313</v>
      </c>
      <c r="C1118" s="86"/>
      <c r="D1118" s="86"/>
      <c r="E1118" s="86">
        <v>2</v>
      </c>
      <c r="F1118" s="86">
        <v>5</v>
      </c>
      <c r="G1118" s="86"/>
      <c r="H1118" s="86" t="s">
        <v>7307</v>
      </c>
      <c r="I1118" s="86"/>
      <c r="J1118" s="86"/>
      <c r="K1118" s="86">
        <v>60000</v>
      </c>
      <c r="L1118" s="86">
        <v>9032314</v>
      </c>
      <c r="M1118" s="86"/>
      <c r="N1118" s="86"/>
      <c r="O1118" s="86"/>
      <c r="P1118" s="86">
        <v>200113</v>
      </c>
      <c r="Q1118" s="85">
        <v>371</v>
      </c>
      <c r="R1118" s="84">
        <v>22328</v>
      </c>
      <c r="S1118" s="86"/>
      <c r="T1118" s="84"/>
      <c r="U1118" s="86"/>
    </row>
    <row r="1119" spans="1:21" s="20" customFormat="1" x14ac:dyDescent="0.15">
      <c r="A1119" s="86" t="s">
        <v>1</v>
      </c>
      <c r="B1119" s="86">
        <v>9032314</v>
      </c>
      <c r="C1119" s="86" t="s">
        <v>115</v>
      </c>
      <c r="D1119" s="86" t="s">
        <v>115</v>
      </c>
      <c r="E1119" s="86">
        <v>3</v>
      </c>
      <c r="F1119" s="86" t="s">
        <v>115</v>
      </c>
      <c r="G1119" s="86" t="s">
        <v>115</v>
      </c>
      <c r="H1119" s="86" t="s">
        <v>115</v>
      </c>
      <c r="I1119" s="86" t="s">
        <v>1319</v>
      </c>
      <c r="J1119" s="86" t="s">
        <v>115</v>
      </c>
      <c r="K1119" s="86">
        <v>60000</v>
      </c>
      <c r="L1119" s="86">
        <v>0</v>
      </c>
      <c r="M1119" s="86"/>
      <c r="N1119" s="86">
        <v>200115</v>
      </c>
      <c r="O1119" s="86">
        <v>200116</v>
      </c>
      <c r="P1119" s="86">
        <v>200114</v>
      </c>
      <c r="Q1119" s="85">
        <v>371</v>
      </c>
      <c r="R1119" s="84"/>
      <c r="S1119" s="86"/>
      <c r="T1119" s="84"/>
      <c r="U1119" s="86"/>
    </row>
    <row r="1120" spans="1:21" s="20" customFormat="1" x14ac:dyDescent="0.15">
      <c r="A1120" s="86" t="s">
        <v>1</v>
      </c>
      <c r="B1120" s="85">
        <v>9040111</v>
      </c>
      <c r="C1120" s="86" t="s">
        <v>115</v>
      </c>
      <c r="D1120" s="86">
        <v>3</v>
      </c>
      <c r="E1120" s="86" t="s">
        <v>115</v>
      </c>
      <c r="F1120" s="86" t="s">
        <v>115</v>
      </c>
      <c r="G1120" s="86" t="s">
        <v>115</v>
      </c>
      <c r="H1120" s="86" t="s">
        <v>7307</v>
      </c>
      <c r="I1120" s="86" t="s">
        <v>115</v>
      </c>
      <c r="J1120" s="86" t="s">
        <v>115</v>
      </c>
      <c r="K1120" s="86">
        <v>61000</v>
      </c>
      <c r="L1120" s="86">
        <v>9040112</v>
      </c>
      <c r="M1120" s="86"/>
      <c r="N1120" s="86" t="s">
        <v>115</v>
      </c>
      <c r="O1120" s="86" t="s">
        <v>115</v>
      </c>
      <c r="P1120" s="86">
        <v>200111</v>
      </c>
      <c r="Q1120" s="85">
        <v>371</v>
      </c>
      <c r="R1120" s="84">
        <v>5280</v>
      </c>
      <c r="S1120" s="86"/>
      <c r="T1120" s="84"/>
      <c r="U1120" s="86"/>
    </row>
    <row r="1121" spans="1:21" s="20" customFormat="1" x14ac:dyDescent="0.15">
      <c r="A1121" s="86" t="s">
        <v>1</v>
      </c>
      <c r="B1121" s="86">
        <v>9040112</v>
      </c>
      <c r="C1121" s="86" t="s">
        <v>115</v>
      </c>
      <c r="D1121" s="86" t="s">
        <v>115</v>
      </c>
      <c r="E1121" s="86">
        <v>1</v>
      </c>
      <c r="F1121" s="86">
        <v>5</v>
      </c>
      <c r="G1121" s="86" t="s">
        <v>115</v>
      </c>
      <c r="H1121" s="86" t="s">
        <v>7307</v>
      </c>
      <c r="I1121" s="86" t="s">
        <v>115</v>
      </c>
      <c r="J1121" s="86">
        <v>20</v>
      </c>
      <c r="K1121" s="86">
        <v>61000</v>
      </c>
      <c r="L1121" s="86">
        <v>9040113</v>
      </c>
      <c r="M1121" s="86"/>
      <c r="N1121" s="86" t="s">
        <v>115</v>
      </c>
      <c r="O1121" s="86" t="s">
        <v>115</v>
      </c>
      <c r="P1121" s="86">
        <v>200112</v>
      </c>
      <c r="Q1121" s="85">
        <v>371</v>
      </c>
      <c r="R1121" s="84">
        <v>29417</v>
      </c>
      <c r="S1121" s="86"/>
      <c r="T1121" s="84"/>
      <c r="U1121" s="86"/>
    </row>
    <row r="1122" spans="1:21" s="20" customFormat="1" x14ac:dyDescent="0.15">
      <c r="A1122" s="86" t="s">
        <v>1</v>
      </c>
      <c r="B1122" s="85">
        <v>9040113</v>
      </c>
      <c r="C1122" s="86"/>
      <c r="D1122" s="86"/>
      <c r="E1122" s="86">
        <v>2</v>
      </c>
      <c r="F1122" s="86">
        <v>5</v>
      </c>
      <c r="G1122" s="86"/>
      <c r="H1122" s="86" t="s">
        <v>7307</v>
      </c>
      <c r="I1122" s="86"/>
      <c r="J1122" s="86"/>
      <c r="K1122" s="86">
        <v>61000</v>
      </c>
      <c r="L1122" s="86">
        <v>9040114</v>
      </c>
      <c r="M1122" s="86"/>
      <c r="N1122" s="86"/>
      <c r="O1122" s="86"/>
      <c r="P1122" s="86">
        <v>200113</v>
      </c>
      <c r="Q1122" s="85">
        <v>371</v>
      </c>
      <c r="R1122" s="84">
        <v>22328</v>
      </c>
      <c r="S1122" s="86"/>
      <c r="T1122" s="84"/>
      <c r="U1122" s="86"/>
    </row>
    <row r="1123" spans="1:21" s="20" customFormat="1" x14ac:dyDescent="0.15">
      <c r="A1123" s="86" t="s">
        <v>1</v>
      </c>
      <c r="B1123" s="86">
        <v>9040114</v>
      </c>
      <c r="C1123" s="86" t="s">
        <v>115</v>
      </c>
      <c r="D1123" s="86" t="s">
        <v>115</v>
      </c>
      <c r="E1123" s="86">
        <v>3</v>
      </c>
      <c r="F1123" s="86" t="s">
        <v>115</v>
      </c>
      <c r="G1123" s="86" t="s">
        <v>115</v>
      </c>
      <c r="H1123" s="86" t="s">
        <v>115</v>
      </c>
      <c r="I1123" s="86" t="s">
        <v>1319</v>
      </c>
      <c r="J1123" s="86" t="s">
        <v>115</v>
      </c>
      <c r="K1123" s="86">
        <v>61000</v>
      </c>
      <c r="L1123" s="86">
        <v>0</v>
      </c>
      <c r="M1123" s="86"/>
      <c r="N1123" s="86">
        <v>200115</v>
      </c>
      <c r="O1123" s="86">
        <v>200116</v>
      </c>
      <c r="P1123" s="86">
        <v>200114</v>
      </c>
      <c r="Q1123" s="85">
        <v>371</v>
      </c>
      <c r="R1123" s="84"/>
      <c r="S1123" s="86"/>
      <c r="T1123" s="84"/>
      <c r="U1123" s="86"/>
    </row>
    <row r="1124" spans="1:21" s="20" customFormat="1" x14ac:dyDescent="0.15">
      <c r="A1124" s="86" t="s">
        <v>1</v>
      </c>
      <c r="B1124" s="85">
        <v>9040211</v>
      </c>
      <c r="C1124" s="86" t="s">
        <v>115</v>
      </c>
      <c r="D1124" s="86">
        <v>3</v>
      </c>
      <c r="E1124" s="86" t="s">
        <v>115</v>
      </c>
      <c r="F1124" s="86" t="s">
        <v>115</v>
      </c>
      <c r="G1124" s="86" t="s">
        <v>115</v>
      </c>
      <c r="H1124" s="86" t="s">
        <v>7307</v>
      </c>
      <c r="I1124" s="86" t="s">
        <v>115</v>
      </c>
      <c r="J1124" s="86" t="s">
        <v>115</v>
      </c>
      <c r="K1124" s="86">
        <v>62000</v>
      </c>
      <c r="L1124" s="86">
        <v>9040212</v>
      </c>
      <c r="M1124" s="86"/>
      <c r="N1124" s="86" t="s">
        <v>115</v>
      </c>
      <c r="O1124" s="86" t="s">
        <v>115</v>
      </c>
      <c r="P1124" s="86">
        <v>200111</v>
      </c>
      <c r="Q1124" s="85">
        <v>371</v>
      </c>
      <c r="R1124" s="84">
        <v>5280</v>
      </c>
      <c r="S1124" s="86"/>
      <c r="T1124" s="84"/>
      <c r="U1124" s="86"/>
    </row>
    <row r="1125" spans="1:21" s="20" customFormat="1" x14ac:dyDescent="0.15">
      <c r="A1125" s="86" t="s">
        <v>1</v>
      </c>
      <c r="B1125" s="86">
        <v>9040212</v>
      </c>
      <c r="C1125" s="86" t="s">
        <v>115</v>
      </c>
      <c r="D1125" s="86" t="s">
        <v>115</v>
      </c>
      <c r="E1125" s="86">
        <v>1</v>
      </c>
      <c r="F1125" s="86">
        <v>5</v>
      </c>
      <c r="G1125" s="86" t="s">
        <v>115</v>
      </c>
      <c r="H1125" s="86" t="s">
        <v>7307</v>
      </c>
      <c r="I1125" s="86" t="s">
        <v>115</v>
      </c>
      <c r="J1125" s="86">
        <v>20</v>
      </c>
      <c r="K1125" s="86">
        <v>62000</v>
      </c>
      <c r="L1125" s="86">
        <v>9040213</v>
      </c>
      <c r="M1125" s="86"/>
      <c r="N1125" s="86" t="s">
        <v>115</v>
      </c>
      <c r="O1125" s="86" t="s">
        <v>115</v>
      </c>
      <c r="P1125" s="86">
        <v>200112</v>
      </c>
      <c r="Q1125" s="85">
        <v>371</v>
      </c>
      <c r="R1125" s="84">
        <v>29417</v>
      </c>
      <c r="S1125" s="86"/>
      <c r="T1125" s="84"/>
      <c r="U1125" s="86"/>
    </row>
    <row r="1126" spans="1:21" s="20" customFormat="1" x14ac:dyDescent="0.15">
      <c r="A1126" s="86" t="s">
        <v>1</v>
      </c>
      <c r="B1126" s="85">
        <v>9040213</v>
      </c>
      <c r="C1126" s="86"/>
      <c r="D1126" s="86"/>
      <c r="E1126" s="86">
        <v>2</v>
      </c>
      <c r="F1126" s="86">
        <v>5</v>
      </c>
      <c r="G1126" s="86"/>
      <c r="H1126" s="86" t="s">
        <v>7307</v>
      </c>
      <c r="I1126" s="86"/>
      <c r="J1126" s="86"/>
      <c r="K1126" s="86">
        <v>62000</v>
      </c>
      <c r="L1126" s="86">
        <v>9040214</v>
      </c>
      <c r="M1126" s="86"/>
      <c r="N1126" s="86"/>
      <c r="O1126" s="86"/>
      <c r="P1126" s="86">
        <v>200113</v>
      </c>
      <c r="Q1126" s="85">
        <v>371</v>
      </c>
      <c r="R1126" s="84">
        <v>22724</v>
      </c>
      <c r="S1126" s="86"/>
      <c r="T1126" s="84"/>
      <c r="U1126" s="86"/>
    </row>
    <row r="1127" spans="1:21" s="20" customFormat="1" x14ac:dyDescent="0.15">
      <c r="A1127" s="86" t="s">
        <v>1</v>
      </c>
      <c r="B1127" s="86">
        <v>9040214</v>
      </c>
      <c r="C1127" s="86" t="s">
        <v>115</v>
      </c>
      <c r="D1127" s="86" t="s">
        <v>115</v>
      </c>
      <c r="E1127" s="86">
        <v>3</v>
      </c>
      <c r="F1127" s="86" t="s">
        <v>115</v>
      </c>
      <c r="G1127" s="86" t="s">
        <v>115</v>
      </c>
      <c r="H1127" s="86" t="s">
        <v>115</v>
      </c>
      <c r="I1127" s="86" t="s">
        <v>1319</v>
      </c>
      <c r="J1127" s="86" t="s">
        <v>115</v>
      </c>
      <c r="K1127" s="86">
        <v>62000</v>
      </c>
      <c r="L1127" s="86">
        <v>0</v>
      </c>
      <c r="M1127" s="86"/>
      <c r="N1127" s="86">
        <v>200115</v>
      </c>
      <c r="O1127" s="86">
        <v>200116</v>
      </c>
      <c r="P1127" s="86">
        <v>200114</v>
      </c>
      <c r="Q1127" s="85">
        <v>371</v>
      </c>
      <c r="R1127" s="84"/>
      <c r="S1127" s="86"/>
      <c r="T1127" s="84"/>
      <c r="U1127" s="86"/>
    </row>
    <row r="1128" spans="1:21" s="20" customFormat="1" x14ac:dyDescent="0.15">
      <c r="A1128" s="86" t="s">
        <v>1</v>
      </c>
      <c r="B1128" s="85">
        <v>9040511</v>
      </c>
      <c r="C1128" s="86" t="s">
        <v>115</v>
      </c>
      <c r="D1128" s="86">
        <v>3</v>
      </c>
      <c r="E1128" s="86" t="s">
        <v>115</v>
      </c>
      <c r="F1128" s="86" t="s">
        <v>115</v>
      </c>
      <c r="G1128" s="86" t="s">
        <v>115</v>
      </c>
      <c r="H1128" s="86" t="s">
        <v>7307</v>
      </c>
      <c r="I1128" s="86" t="s">
        <v>115</v>
      </c>
      <c r="J1128" s="86" t="s">
        <v>115</v>
      </c>
      <c r="K1128" s="86">
        <v>62500</v>
      </c>
      <c r="L1128" s="86">
        <v>9040512</v>
      </c>
      <c r="M1128" s="86"/>
      <c r="N1128" s="86" t="s">
        <v>115</v>
      </c>
      <c r="O1128" s="86" t="s">
        <v>115</v>
      </c>
      <c r="P1128" s="86">
        <v>200111</v>
      </c>
      <c r="Q1128" s="85">
        <v>371</v>
      </c>
      <c r="R1128" s="84">
        <v>5400</v>
      </c>
      <c r="S1128" s="86"/>
      <c r="T1128" s="84"/>
      <c r="U1128" s="86"/>
    </row>
    <row r="1129" spans="1:21" s="20" customFormat="1" x14ac:dyDescent="0.15">
      <c r="A1129" s="86" t="s">
        <v>1</v>
      </c>
      <c r="B1129" s="86">
        <v>9040512</v>
      </c>
      <c r="C1129" s="86" t="s">
        <v>115</v>
      </c>
      <c r="D1129" s="86" t="s">
        <v>115</v>
      </c>
      <c r="E1129" s="86">
        <v>1</v>
      </c>
      <c r="F1129" s="86">
        <v>5</v>
      </c>
      <c r="G1129" s="86" t="s">
        <v>115</v>
      </c>
      <c r="H1129" s="86" t="s">
        <v>7307</v>
      </c>
      <c r="I1129" s="86" t="s">
        <v>115</v>
      </c>
      <c r="J1129" s="86">
        <v>20</v>
      </c>
      <c r="K1129" s="86">
        <v>62500</v>
      </c>
      <c r="L1129" s="86">
        <v>9040513</v>
      </c>
      <c r="M1129" s="86"/>
      <c r="N1129" s="86" t="s">
        <v>115</v>
      </c>
      <c r="O1129" s="86" t="s">
        <v>115</v>
      </c>
      <c r="P1129" s="86">
        <v>200112</v>
      </c>
      <c r="Q1129" s="85">
        <v>371</v>
      </c>
      <c r="R1129" s="84">
        <v>30873</v>
      </c>
      <c r="S1129" s="86"/>
      <c r="T1129" s="84"/>
      <c r="U1129" s="86"/>
    </row>
    <row r="1130" spans="1:21" s="20" customFormat="1" x14ac:dyDescent="0.15">
      <c r="A1130" s="86" t="s">
        <v>1</v>
      </c>
      <c r="B1130" s="85">
        <v>9040513</v>
      </c>
      <c r="C1130" s="86"/>
      <c r="D1130" s="86"/>
      <c r="E1130" s="86">
        <v>2</v>
      </c>
      <c r="F1130" s="86">
        <v>5</v>
      </c>
      <c r="G1130" s="86"/>
      <c r="H1130" s="86" t="s">
        <v>7307</v>
      </c>
      <c r="I1130" s="86"/>
      <c r="J1130" s="86"/>
      <c r="K1130" s="86">
        <v>62500</v>
      </c>
      <c r="L1130" s="86">
        <v>9040514</v>
      </c>
      <c r="M1130" s="86"/>
      <c r="N1130" s="86"/>
      <c r="O1130" s="86"/>
      <c r="P1130" s="86">
        <v>200113</v>
      </c>
      <c r="Q1130" s="85">
        <v>371</v>
      </c>
      <c r="R1130" s="84">
        <v>23130</v>
      </c>
      <c r="S1130" s="86"/>
      <c r="T1130" s="84"/>
      <c r="U1130" s="86"/>
    </row>
    <row r="1131" spans="1:21" s="20" customFormat="1" x14ac:dyDescent="0.15">
      <c r="A1131" s="86" t="s">
        <v>1</v>
      </c>
      <c r="B1131" s="86">
        <v>9040514</v>
      </c>
      <c r="C1131" s="86" t="s">
        <v>115</v>
      </c>
      <c r="D1131" s="86" t="s">
        <v>115</v>
      </c>
      <c r="E1131" s="86">
        <v>3</v>
      </c>
      <c r="F1131" s="86" t="s">
        <v>115</v>
      </c>
      <c r="G1131" s="86" t="s">
        <v>115</v>
      </c>
      <c r="H1131" s="86" t="s">
        <v>115</v>
      </c>
      <c r="I1131" s="86" t="s">
        <v>1319</v>
      </c>
      <c r="J1131" s="86" t="s">
        <v>115</v>
      </c>
      <c r="K1131" s="86">
        <v>62500</v>
      </c>
      <c r="L1131" s="86">
        <v>0</v>
      </c>
      <c r="M1131" s="86"/>
      <c r="N1131" s="86">
        <v>200115</v>
      </c>
      <c r="O1131" s="86">
        <v>200116</v>
      </c>
      <c r="P1131" s="86">
        <v>200114</v>
      </c>
      <c r="Q1131" s="85">
        <v>371</v>
      </c>
      <c r="R1131" s="84"/>
      <c r="S1131" s="86"/>
      <c r="T1131" s="84"/>
      <c r="U1131" s="86"/>
    </row>
    <row r="1132" spans="1:21" s="20" customFormat="1" x14ac:dyDescent="0.15">
      <c r="A1132" s="86" t="s">
        <v>1</v>
      </c>
      <c r="B1132" s="85">
        <v>9040611</v>
      </c>
      <c r="C1132" s="86" t="s">
        <v>115</v>
      </c>
      <c r="D1132" s="86">
        <v>3</v>
      </c>
      <c r="E1132" s="86" t="s">
        <v>115</v>
      </c>
      <c r="F1132" s="86" t="s">
        <v>115</v>
      </c>
      <c r="G1132" s="86" t="s">
        <v>115</v>
      </c>
      <c r="H1132" s="86" t="s">
        <v>7307</v>
      </c>
      <c r="I1132" s="86" t="s">
        <v>115</v>
      </c>
      <c r="J1132" s="86" t="s">
        <v>115</v>
      </c>
      <c r="K1132" s="86">
        <v>63000</v>
      </c>
      <c r="L1132" s="86">
        <v>9040612</v>
      </c>
      <c r="M1132" s="86"/>
      <c r="N1132" s="86" t="s">
        <v>115</v>
      </c>
      <c r="O1132" s="86" t="s">
        <v>115</v>
      </c>
      <c r="P1132" s="86">
        <v>200111</v>
      </c>
      <c r="Q1132" s="85">
        <v>371</v>
      </c>
      <c r="R1132" s="84">
        <v>5400</v>
      </c>
      <c r="S1132" s="86"/>
      <c r="T1132" s="84"/>
      <c r="U1132" s="86"/>
    </row>
    <row r="1133" spans="1:21" s="20" customFormat="1" x14ac:dyDescent="0.15">
      <c r="A1133" s="86" t="s">
        <v>1</v>
      </c>
      <c r="B1133" s="86">
        <v>9040612</v>
      </c>
      <c r="C1133" s="86" t="s">
        <v>115</v>
      </c>
      <c r="D1133" s="86" t="s">
        <v>115</v>
      </c>
      <c r="E1133" s="86">
        <v>1</v>
      </c>
      <c r="F1133" s="86">
        <v>5</v>
      </c>
      <c r="G1133" s="86" t="s">
        <v>115</v>
      </c>
      <c r="H1133" s="86" t="s">
        <v>7307</v>
      </c>
      <c r="I1133" s="86" t="s">
        <v>115</v>
      </c>
      <c r="J1133" s="86">
        <v>20</v>
      </c>
      <c r="K1133" s="86">
        <v>63000</v>
      </c>
      <c r="L1133" s="86">
        <v>9040613</v>
      </c>
      <c r="M1133" s="86"/>
      <c r="N1133" s="86" t="s">
        <v>115</v>
      </c>
      <c r="O1133" s="86" t="s">
        <v>115</v>
      </c>
      <c r="P1133" s="86">
        <v>200112</v>
      </c>
      <c r="Q1133" s="85">
        <v>371</v>
      </c>
      <c r="R1133" s="84">
        <v>30873</v>
      </c>
      <c r="S1133" s="86"/>
      <c r="T1133" s="84"/>
      <c r="U1133" s="86"/>
    </row>
    <row r="1134" spans="1:21" s="20" customFormat="1" x14ac:dyDescent="0.15">
      <c r="A1134" s="86" t="s">
        <v>1</v>
      </c>
      <c r="B1134" s="85">
        <v>9040613</v>
      </c>
      <c r="C1134" s="86"/>
      <c r="D1134" s="86"/>
      <c r="E1134" s="86">
        <v>2</v>
      </c>
      <c r="F1134" s="86">
        <v>5</v>
      </c>
      <c r="G1134" s="86"/>
      <c r="H1134" s="86" t="s">
        <v>7307</v>
      </c>
      <c r="I1134" s="86"/>
      <c r="J1134" s="86"/>
      <c r="K1134" s="86">
        <v>63000</v>
      </c>
      <c r="L1134" s="86">
        <v>9040614</v>
      </c>
      <c r="M1134" s="86"/>
      <c r="N1134" s="86"/>
      <c r="O1134" s="86"/>
      <c r="P1134" s="86">
        <v>200113</v>
      </c>
      <c r="Q1134" s="85">
        <v>371</v>
      </c>
      <c r="R1134" s="84">
        <v>23130</v>
      </c>
      <c r="S1134" s="86"/>
      <c r="T1134" s="84"/>
      <c r="U1134" s="86"/>
    </row>
    <row r="1135" spans="1:21" s="20" customFormat="1" x14ac:dyDescent="0.15">
      <c r="A1135" s="86" t="s">
        <v>1</v>
      </c>
      <c r="B1135" s="86">
        <v>9040614</v>
      </c>
      <c r="C1135" s="86" t="s">
        <v>115</v>
      </c>
      <c r="D1135" s="86" t="s">
        <v>115</v>
      </c>
      <c r="E1135" s="86">
        <v>3</v>
      </c>
      <c r="F1135" s="86" t="s">
        <v>115</v>
      </c>
      <c r="G1135" s="86" t="s">
        <v>115</v>
      </c>
      <c r="H1135" s="86" t="s">
        <v>115</v>
      </c>
      <c r="I1135" s="86" t="s">
        <v>1319</v>
      </c>
      <c r="J1135" s="86" t="s">
        <v>115</v>
      </c>
      <c r="K1135" s="86">
        <v>63000</v>
      </c>
      <c r="L1135" s="86">
        <v>0</v>
      </c>
      <c r="M1135" s="86"/>
      <c r="N1135" s="86">
        <v>200115</v>
      </c>
      <c r="O1135" s="86">
        <v>200116</v>
      </c>
      <c r="P1135" s="86">
        <v>200114</v>
      </c>
      <c r="Q1135" s="85">
        <v>371</v>
      </c>
      <c r="R1135" s="84"/>
      <c r="S1135" s="86"/>
      <c r="T1135" s="84"/>
      <c r="U1135" s="86"/>
    </row>
    <row r="1136" spans="1:21" s="20" customFormat="1" x14ac:dyDescent="0.15">
      <c r="A1136" s="86" t="s">
        <v>1</v>
      </c>
      <c r="B1136" s="85">
        <v>9040811</v>
      </c>
      <c r="C1136" s="86" t="s">
        <v>115</v>
      </c>
      <c r="D1136" s="86">
        <v>3</v>
      </c>
      <c r="E1136" s="86" t="s">
        <v>115</v>
      </c>
      <c r="F1136" s="86" t="s">
        <v>115</v>
      </c>
      <c r="G1136" s="86" t="s">
        <v>115</v>
      </c>
      <c r="H1136" s="86" t="s">
        <v>7307</v>
      </c>
      <c r="I1136" s="86" t="s">
        <v>115</v>
      </c>
      <c r="J1136" s="86" t="s">
        <v>115</v>
      </c>
      <c r="K1136" s="86">
        <v>64000</v>
      </c>
      <c r="L1136" s="86">
        <v>9040812</v>
      </c>
      <c r="M1136" s="86"/>
      <c r="N1136" s="86" t="s">
        <v>115</v>
      </c>
      <c r="O1136" s="86" t="s">
        <v>115</v>
      </c>
      <c r="P1136" s="86">
        <v>200111</v>
      </c>
      <c r="Q1136" s="85">
        <v>371</v>
      </c>
      <c r="R1136" s="84">
        <v>5640</v>
      </c>
      <c r="S1136" s="86"/>
      <c r="T1136" s="84"/>
      <c r="U1136" s="86"/>
    </row>
    <row r="1137" spans="1:21" s="20" customFormat="1" x14ac:dyDescent="0.15">
      <c r="A1137" s="86" t="s">
        <v>1</v>
      </c>
      <c r="B1137" s="86">
        <v>9040812</v>
      </c>
      <c r="C1137" s="86" t="s">
        <v>115</v>
      </c>
      <c r="D1137" s="86" t="s">
        <v>115</v>
      </c>
      <c r="E1137" s="86">
        <v>1</v>
      </c>
      <c r="F1137" s="86">
        <v>5</v>
      </c>
      <c r="G1137" s="86" t="s">
        <v>115</v>
      </c>
      <c r="H1137" s="86" t="s">
        <v>7307</v>
      </c>
      <c r="I1137" s="86" t="s">
        <v>115</v>
      </c>
      <c r="J1137" s="86">
        <v>20</v>
      </c>
      <c r="K1137" s="86">
        <v>64000</v>
      </c>
      <c r="L1137" s="86">
        <v>9040813</v>
      </c>
      <c r="M1137" s="86"/>
      <c r="N1137" s="86" t="s">
        <v>115</v>
      </c>
      <c r="O1137" s="86" t="s">
        <v>115</v>
      </c>
      <c r="P1137" s="86">
        <v>200112</v>
      </c>
      <c r="Q1137" s="85">
        <v>371</v>
      </c>
      <c r="R1137" s="84">
        <v>31965</v>
      </c>
      <c r="S1137" s="86"/>
      <c r="T1137" s="84"/>
      <c r="U1137" s="86"/>
    </row>
    <row r="1138" spans="1:21" s="20" customFormat="1" x14ac:dyDescent="0.15">
      <c r="A1138" s="86" t="s">
        <v>1</v>
      </c>
      <c r="B1138" s="85">
        <v>9040813</v>
      </c>
      <c r="C1138" s="86"/>
      <c r="D1138" s="86"/>
      <c r="E1138" s="86">
        <v>2</v>
      </c>
      <c r="F1138" s="86">
        <v>5</v>
      </c>
      <c r="G1138" s="86"/>
      <c r="H1138" s="86" t="s">
        <v>7307</v>
      </c>
      <c r="I1138" s="86"/>
      <c r="J1138" s="86"/>
      <c r="K1138" s="86">
        <v>64000</v>
      </c>
      <c r="L1138" s="86">
        <v>9040814</v>
      </c>
      <c r="M1138" s="86"/>
      <c r="N1138" s="86"/>
      <c r="O1138" s="86"/>
      <c r="P1138" s="86">
        <v>200113</v>
      </c>
      <c r="Q1138" s="85">
        <v>371</v>
      </c>
      <c r="R1138" s="84">
        <v>23538</v>
      </c>
      <c r="S1138" s="86"/>
      <c r="T1138" s="84"/>
      <c r="U1138" s="86"/>
    </row>
    <row r="1139" spans="1:21" s="20" customFormat="1" x14ac:dyDescent="0.15">
      <c r="A1139" s="86" t="s">
        <v>1</v>
      </c>
      <c r="B1139" s="86">
        <v>9040814</v>
      </c>
      <c r="C1139" s="86" t="s">
        <v>115</v>
      </c>
      <c r="D1139" s="86" t="s">
        <v>115</v>
      </c>
      <c r="E1139" s="86">
        <v>3</v>
      </c>
      <c r="F1139" s="86" t="s">
        <v>115</v>
      </c>
      <c r="G1139" s="86" t="s">
        <v>115</v>
      </c>
      <c r="H1139" s="86" t="s">
        <v>115</v>
      </c>
      <c r="I1139" s="86" t="s">
        <v>1319</v>
      </c>
      <c r="J1139" s="86" t="s">
        <v>115</v>
      </c>
      <c r="K1139" s="86">
        <v>64000</v>
      </c>
      <c r="L1139" s="86">
        <v>0</v>
      </c>
      <c r="M1139" s="86"/>
      <c r="N1139" s="86">
        <v>200115</v>
      </c>
      <c r="O1139" s="86">
        <v>200116</v>
      </c>
      <c r="P1139" s="86">
        <v>200114</v>
      </c>
      <c r="Q1139" s="85">
        <v>371</v>
      </c>
      <c r="R1139" s="84"/>
      <c r="S1139" s="86"/>
      <c r="T1139" s="84"/>
      <c r="U1139" s="86"/>
    </row>
    <row r="1140" spans="1:21" s="20" customFormat="1" x14ac:dyDescent="0.15">
      <c r="A1140" s="86" t="s">
        <v>1</v>
      </c>
      <c r="B1140" s="85">
        <v>9041111</v>
      </c>
      <c r="C1140" s="86" t="s">
        <v>115</v>
      </c>
      <c r="D1140" s="86">
        <v>3</v>
      </c>
      <c r="E1140" s="86" t="s">
        <v>115</v>
      </c>
      <c r="F1140" s="86" t="s">
        <v>115</v>
      </c>
      <c r="G1140" s="86" t="s">
        <v>115</v>
      </c>
      <c r="H1140" s="86" t="s">
        <v>7307</v>
      </c>
      <c r="I1140" s="86" t="s">
        <v>115</v>
      </c>
      <c r="J1140" s="86" t="s">
        <v>115</v>
      </c>
      <c r="K1140" s="86">
        <v>65000</v>
      </c>
      <c r="L1140" s="86">
        <v>9041112</v>
      </c>
      <c r="M1140" s="86"/>
      <c r="N1140" s="86" t="s">
        <v>115</v>
      </c>
      <c r="O1140" s="86" t="s">
        <v>115</v>
      </c>
      <c r="P1140" s="86">
        <v>200111</v>
      </c>
      <c r="Q1140" s="85">
        <v>371</v>
      </c>
      <c r="R1140" s="84">
        <v>5610</v>
      </c>
      <c r="S1140" s="86"/>
      <c r="T1140" s="84"/>
      <c r="U1140" s="86"/>
    </row>
    <row r="1141" spans="1:21" s="20" customFormat="1" x14ac:dyDescent="0.15">
      <c r="A1141" s="86" t="s">
        <v>1</v>
      </c>
      <c r="B1141" s="86">
        <v>9041112</v>
      </c>
      <c r="C1141" s="86" t="s">
        <v>115</v>
      </c>
      <c r="D1141" s="86" t="s">
        <v>115</v>
      </c>
      <c r="E1141" s="86">
        <v>1</v>
      </c>
      <c r="F1141" s="86">
        <v>5</v>
      </c>
      <c r="G1141" s="86" t="s">
        <v>115</v>
      </c>
      <c r="H1141" s="86" t="s">
        <v>7307</v>
      </c>
      <c r="I1141" s="86" t="s">
        <v>115</v>
      </c>
      <c r="J1141" s="86">
        <v>20</v>
      </c>
      <c r="K1141" s="86">
        <v>65000</v>
      </c>
      <c r="L1141" s="86">
        <v>9041113</v>
      </c>
      <c r="M1141" s="86"/>
      <c r="N1141" s="86" t="s">
        <v>115</v>
      </c>
      <c r="O1141" s="86" t="s">
        <v>115</v>
      </c>
      <c r="P1141" s="86">
        <v>200112</v>
      </c>
      <c r="Q1141" s="85">
        <v>371</v>
      </c>
      <c r="R1141" s="84">
        <v>7200</v>
      </c>
      <c r="S1141" s="86"/>
      <c r="T1141" s="84"/>
      <c r="U1141" s="86"/>
    </row>
    <row r="1142" spans="1:21" s="20" customFormat="1" x14ac:dyDescent="0.15">
      <c r="A1142" s="86" t="s">
        <v>1</v>
      </c>
      <c r="B1142" s="85">
        <v>9041113</v>
      </c>
      <c r="C1142" s="86"/>
      <c r="D1142" s="86"/>
      <c r="E1142" s="86">
        <v>2</v>
      </c>
      <c r="F1142" s="86">
        <v>5</v>
      </c>
      <c r="G1142" s="86"/>
      <c r="H1142" s="86" t="s">
        <v>7307</v>
      </c>
      <c r="I1142" s="86"/>
      <c r="J1142" s="86"/>
      <c r="K1142" s="86">
        <v>65000</v>
      </c>
      <c r="L1142" s="86">
        <v>9041114</v>
      </c>
      <c r="M1142" s="86"/>
      <c r="N1142" s="86"/>
      <c r="O1142" s="86"/>
      <c r="P1142" s="86">
        <v>200113</v>
      </c>
      <c r="Q1142" s="85">
        <v>371</v>
      </c>
      <c r="R1142" s="84">
        <v>7670</v>
      </c>
      <c r="S1142" s="86"/>
      <c r="T1142" s="84"/>
      <c r="U1142" s="86"/>
    </row>
    <row r="1143" spans="1:21" s="20" customFormat="1" x14ac:dyDescent="0.15">
      <c r="A1143" s="86" t="s">
        <v>1</v>
      </c>
      <c r="B1143" s="86">
        <v>9041114</v>
      </c>
      <c r="C1143" s="86" t="s">
        <v>115</v>
      </c>
      <c r="D1143" s="86" t="s">
        <v>115</v>
      </c>
      <c r="E1143" s="86">
        <v>3</v>
      </c>
      <c r="F1143" s="86" t="s">
        <v>115</v>
      </c>
      <c r="G1143" s="86" t="s">
        <v>115</v>
      </c>
      <c r="H1143" s="86" t="s">
        <v>115</v>
      </c>
      <c r="I1143" s="86" t="s">
        <v>1319</v>
      </c>
      <c r="J1143" s="86" t="s">
        <v>115</v>
      </c>
      <c r="K1143" s="86">
        <v>65000</v>
      </c>
      <c r="L1143" s="86">
        <v>0</v>
      </c>
      <c r="M1143" s="86"/>
      <c r="N1143" s="86">
        <v>200115</v>
      </c>
      <c r="O1143" s="86">
        <v>200116</v>
      </c>
      <c r="P1143" s="86">
        <v>200114</v>
      </c>
      <c r="Q1143" s="85">
        <v>371</v>
      </c>
      <c r="R1143" s="84"/>
      <c r="S1143" s="86"/>
      <c r="T1143" s="84"/>
      <c r="U1143" s="86"/>
    </row>
    <row r="1144" spans="1:21" s="20" customFormat="1" x14ac:dyDescent="0.15">
      <c r="A1144" s="86" t="s">
        <v>1</v>
      </c>
      <c r="B1144" s="85">
        <v>9041211</v>
      </c>
      <c r="C1144" s="86" t="s">
        <v>115</v>
      </c>
      <c r="D1144" s="86">
        <v>3</v>
      </c>
      <c r="E1144" s="86" t="s">
        <v>115</v>
      </c>
      <c r="F1144" s="86" t="s">
        <v>115</v>
      </c>
      <c r="G1144" s="86" t="s">
        <v>115</v>
      </c>
      <c r="H1144" s="86" t="s">
        <v>7307</v>
      </c>
      <c r="I1144" s="86" t="s">
        <v>115</v>
      </c>
      <c r="J1144" s="86" t="s">
        <v>115</v>
      </c>
      <c r="K1144" s="86">
        <v>66000</v>
      </c>
      <c r="L1144" s="86">
        <v>9041212</v>
      </c>
      <c r="M1144" s="86"/>
      <c r="N1144" s="86" t="s">
        <v>115</v>
      </c>
      <c r="O1144" s="86" t="s">
        <v>115</v>
      </c>
      <c r="P1144" s="86">
        <v>200111</v>
      </c>
      <c r="Q1144" s="85">
        <v>371</v>
      </c>
      <c r="R1144" s="84">
        <v>5610</v>
      </c>
      <c r="S1144" s="86"/>
      <c r="T1144" s="84"/>
      <c r="U1144" s="86"/>
    </row>
    <row r="1145" spans="1:21" s="20" customFormat="1" x14ac:dyDescent="0.15">
      <c r="A1145" s="86" t="s">
        <v>1</v>
      </c>
      <c r="B1145" s="86">
        <v>9041212</v>
      </c>
      <c r="C1145" s="86" t="s">
        <v>115</v>
      </c>
      <c r="D1145" s="86" t="s">
        <v>115</v>
      </c>
      <c r="E1145" s="86">
        <v>1</v>
      </c>
      <c r="F1145" s="86">
        <v>5</v>
      </c>
      <c r="G1145" s="86" t="s">
        <v>115</v>
      </c>
      <c r="H1145" s="86" t="s">
        <v>7307</v>
      </c>
      <c r="I1145" s="86" t="s">
        <v>115</v>
      </c>
      <c r="J1145" s="86">
        <v>20</v>
      </c>
      <c r="K1145" s="86">
        <v>66000</v>
      </c>
      <c r="L1145" s="86">
        <v>9041213</v>
      </c>
      <c r="M1145" s="86"/>
      <c r="N1145" s="86" t="s">
        <v>115</v>
      </c>
      <c r="O1145" s="86" t="s">
        <v>115</v>
      </c>
      <c r="P1145" s="86">
        <v>200112</v>
      </c>
      <c r="Q1145" s="85">
        <v>371</v>
      </c>
      <c r="R1145" s="84">
        <v>7500</v>
      </c>
      <c r="S1145" s="86"/>
      <c r="T1145" s="84"/>
      <c r="U1145" s="86"/>
    </row>
    <row r="1146" spans="1:21" s="20" customFormat="1" x14ac:dyDescent="0.15">
      <c r="A1146" s="86" t="s">
        <v>1</v>
      </c>
      <c r="B1146" s="85">
        <v>9041213</v>
      </c>
      <c r="C1146" s="86"/>
      <c r="D1146" s="86"/>
      <c r="E1146" s="86">
        <v>2</v>
      </c>
      <c r="F1146" s="86">
        <v>5</v>
      </c>
      <c r="G1146" s="86"/>
      <c r="H1146" s="86" t="s">
        <v>7307</v>
      </c>
      <c r="I1146" s="86"/>
      <c r="J1146" s="86"/>
      <c r="K1146" s="86">
        <v>66000</v>
      </c>
      <c r="L1146" s="86">
        <v>9041214</v>
      </c>
      <c r="M1146" s="86"/>
      <c r="N1146" s="86"/>
      <c r="O1146" s="86"/>
      <c r="P1146" s="86">
        <v>200113</v>
      </c>
      <c r="Q1146" s="85">
        <v>371</v>
      </c>
      <c r="R1146" s="84">
        <v>7850</v>
      </c>
      <c r="S1146" s="86"/>
      <c r="T1146" s="84"/>
      <c r="U1146" s="86"/>
    </row>
    <row r="1147" spans="1:21" s="20" customFormat="1" x14ac:dyDescent="0.15">
      <c r="A1147" s="86" t="s">
        <v>1</v>
      </c>
      <c r="B1147" s="86">
        <v>9041214</v>
      </c>
      <c r="C1147" s="86" t="s">
        <v>115</v>
      </c>
      <c r="D1147" s="86" t="s">
        <v>115</v>
      </c>
      <c r="E1147" s="86">
        <v>3</v>
      </c>
      <c r="F1147" s="86" t="s">
        <v>115</v>
      </c>
      <c r="G1147" s="86" t="s">
        <v>115</v>
      </c>
      <c r="H1147" s="86" t="s">
        <v>115</v>
      </c>
      <c r="I1147" s="86" t="s">
        <v>1319</v>
      </c>
      <c r="J1147" s="86" t="s">
        <v>115</v>
      </c>
      <c r="K1147" s="86">
        <v>66000</v>
      </c>
      <c r="L1147" s="86">
        <v>0</v>
      </c>
      <c r="M1147" s="86"/>
      <c r="N1147" s="86">
        <v>200115</v>
      </c>
      <c r="O1147" s="86">
        <v>200116</v>
      </c>
      <c r="P1147" s="86">
        <v>200114</v>
      </c>
      <c r="Q1147" s="85">
        <v>371</v>
      </c>
      <c r="R1147" s="84"/>
      <c r="S1147" s="86"/>
      <c r="T1147" s="84"/>
      <c r="U1147" s="86"/>
    </row>
    <row r="1148" spans="1:21" s="20" customFormat="1" x14ac:dyDescent="0.15">
      <c r="A1148" s="86" t="s">
        <v>1</v>
      </c>
      <c r="B1148" s="85">
        <v>9041311</v>
      </c>
      <c r="C1148" s="86" t="s">
        <v>115</v>
      </c>
      <c r="D1148" s="86">
        <v>3</v>
      </c>
      <c r="E1148" s="86" t="s">
        <v>115</v>
      </c>
      <c r="F1148" s="86" t="s">
        <v>115</v>
      </c>
      <c r="G1148" s="86" t="s">
        <v>115</v>
      </c>
      <c r="H1148" s="86" t="s">
        <v>7307</v>
      </c>
      <c r="I1148" s="86" t="s">
        <v>115</v>
      </c>
      <c r="J1148" s="86" t="s">
        <v>115</v>
      </c>
      <c r="K1148" s="86">
        <v>67000</v>
      </c>
      <c r="L1148" s="86">
        <v>9041312</v>
      </c>
      <c r="M1148" s="86"/>
      <c r="N1148" s="86" t="s">
        <v>115</v>
      </c>
      <c r="O1148" s="86" t="s">
        <v>115</v>
      </c>
      <c r="P1148" s="86">
        <v>200111</v>
      </c>
      <c r="Q1148" s="85">
        <v>371</v>
      </c>
      <c r="R1148" s="84">
        <v>5610</v>
      </c>
      <c r="S1148" s="86"/>
      <c r="T1148" s="84"/>
      <c r="U1148" s="86"/>
    </row>
    <row r="1149" spans="1:21" s="20" customFormat="1" x14ac:dyDescent="0.15">
      <c r="A1149" s="86" t="s">
        <v>1</v>
      </c>
      <c r="B1149" s="86">
        <v>9041312</v>
      </c>
      <c r="C1149" s="86" t="s">
        <v>115</v>
      </c>
      <c r="D1149" s="86" t="s">
        <v>115</v>
      </c>
      <c r="E1149" s="86">
        <v>1</v>
      </c>
      <c r="F1149" s="86">
        <v>5</v>
      </c>
      <c r="G1149" s="86" t="s">
        <v>115</v>
      </c>
      <c r="H1149" s="86" t="s">
        <v>7307</v>
      </c>
      <c r="I1149" s="86" t="s">
        <v>115</v>
      </c>
      <c r="J1149" s="86">
        <v>20</v>
      </c>
      <c r="K1149" s="86">
        <v>67000</v>
      </c>
      <c r="L1149" s="86">
        <v>9041313</v>
      </c>
      <c r="M1149" s="86"/>
      <c r="N1149" s="86" t="s">
        <v>115</v>
      </c>
      <c r="O1149" s="86" t="s">
        <v>115</v>
      </c>
      <c r="P1149" s="86">
        <v>200112</v>
      </c>
      <c r="Q1149" s="85">
        <v>371</v>
      </c>
      <c r="R1149" s="84">
        <v>7500</v>
      </c>
      <c r="S1149" s="86"/>
      <c r="T1149" s="84"/>
      <c r="U1149" s="86"/>
    </row>
    <row r="1150" spans="1:21" s="20" customFormat="1" x14ac:dyDescent="0.15">
      <c r="A1150" s="86" t="s">
        <v>1</v>
      </c>
      <c r="B1150" s="85">
        <v>9041313</v>
      </c>
      <c r="C1150" s="86"/>
      <c r="D1150" s="86"/>
      <c r="E1150" s="86">
        <v>2</v>
      </c>
      <c r="F1150" s="86">
        <v>5</v>
      </c>
      <c r="G1150" s="86"/>
      <c r="H1150" s="86" t="s">
        <v>7307</v>
      </c>
      <c r="I1150" s="86"/>
      <c r="J1150" s="86"/>
      <c r="K1150" s="86">
        <v>67000</v>
      </c>
      <c r="L1150" s="86">
        <v>9041314</v>
      </c>
      <c r="M1150" s="86"/>
      <c r="N1150" s="86"/>
      <c r="O1150" s="86"/>
      <c r="P1150" s="86">
        <v>200113</v>
      </c>
      <c r="Q1150" s="85">
        <v>371</v>
      </c>
      <c r="R1150" s="84">
        <v>7850</v>
      </c>
      <c r="S1150" s="86"/>
      <c r="T1150" s="84"/>
      <c r="U1150" s="86"/>
    </row>
    <row r="1151" spans="1:21" s="20" customFormat="1" x14ac:dyDescent="0.15">
      <c r="A1151" s="86" t="s">
        <v>1</v>
      </c>
      <c r="B1151" s="86">
        <v>9041314</v>
      </c>
      <c r="C1151" s="86" t="s">
        <v>115</v>
      </c>
      <c r="D1151" s="86" t="s">
        <v>115</v>
      </c>
      <c r="E1151" s="86">
        <v>3</v>
      </c>
      <c r="F1151" s="86" t="s">
        <v>115</v>
      </c>
      <c r="G1151" s="86" t="s">
        <v>115</v>
      </c>
      <c r="H1151" s="86" t="s">
        <v>115</v>
      </c>
      <c r="I1151" s="86" t="s">
        <v>1319</v>
      </c>
      <c r="J1151" s="86" t="s">
        <v>115</v>
      </c>
      <c r="K1151" s="86">
        <v>67000</v>
      </c>
      <c r="L1151" s="86">
        <v>0</v>
      </c>
      <c r="M1151" s="86"/>
      <c r="N1151" s="86">
        <v>200115</v>
      </c>
      <c r="O1151" s="86">
        <v>200116</v>
      </c>
      <c r="P1151" s="86">
        <v>200114</v>
      </c>
      <c r="Q1151" s="85">
        <v>371</v>
      </c>
      <c r="R1151" s="84"/>
      <c r="S1151" s="86"/>
      <c r="T1151" s="84"/>
      <c r="U1151" s="86"/>
    </row>
    <row r="1152" spans="1:21" s="20" customFormat="1" x14ac:dyDescent="0.15">
      <c r="A1152" s="86" t="s">
        <v>1</v>
      </c>
      <c r="B1152" s="85">
        <v>9041411</v>
      </c>
      <c r="C1152" s="86" t="s">
        <v>115</v>
      </c>
      <c r="D1152" s="86">
        <v>3</v>
      </c>
      <c r="E1152" s="86" t="s">
        <v>115</v>
      </c>
      <c r="F1152" s="86" t="s">
        <v>115</v>
      </c>
      <c r="G1152" s="86" t="s">
        <v>115</v>
      </c>
      <c r="H1152" s="86" t="s">
        <v>7307</v>
      </c>
      <c r="I1152" s="86" t="s">
        <v>115</v>
      </c>
      <c r="J1152" s="86" t="s">
        <v>115</v>
      </c>
      <c r="K1152" s="86">
        <v>68000</v>
      </c>
      <c r="L1152" s="86">
        <v>9041412</v>
      </c>
      <c r="M1152" s="86"/>
      <c r="N1152" s="86" t="s">
        <v>115</v>
      </c>
      <c r="O1152" s="86" t="s">
        <v>115</v>
      </c>
      <c r="P1152" s="86">
        <v>200111</v>
      </c>
      <c r="Q1152" s="85">
        <v>371</v>
      </c>
      <c r="R1152" s="84">
        <v>6210</v>
      </c>
      <c r="S1152" s="86"/>
      <c r="T1152" s="84"/>
      <c r="U1152" s="86"/>
    </row>
    <row r="1153" spans="1:21" s="20" customFormat="1" x14ac:dyDescent="0.15">
      <c r="A1153" s="86" t="s">
        <v>1</v>
      </c>
      <c r="B1153" s="86">
        <v>9041412</v>
      </c>
      <c r="C1153" s="86" t="s">
        <v>115</v>
      </c>
      <c r="D1153" s="86" t="s">
        <v>115</v>
      </c>
      <c r="E1153" s="86">
        <v>1</v>
      </c>
      <c r="F1153" s="86">
        <v>5</v>
      </c>
      <c r="G1153" s="86" t="s">
        <v>115</v>
      </c>
      <c r="H1153" s="86" t="s">
        <v>7307</v>
      </c>
      <c r="I1153" s="86" t="s">
        <v>115</v>
      </c>
      <c r="J1153" s="86">
        <v>20</v>
      </c>
      <c r="K1153" s="86">
        <v>68000</v>
      </c>
      <c r="L1153" s="86">
        <v>9041413</v>
      </c>
      <c r="M1153" s="86"/>
      <c r="N1153" s="86" t="s">
        <v>115</v>
      </c>
      <c r="O1153" s="86" t="s">
        <v>115</v>
      </c>
      <c r="P1153" s="86">
        <v>200112</v>
      </c>
      <c r="Q1153" s="85">
        <v>371</v>
      </c>
      <c r="R1153" s="84">
        <v>7500</v>
      </c>
      <c r="S1153" s="86"/>
      <c r="T1153" s="84"/>
      <c r="U1153" s="86"/>
    </row>
    <row r="1154" spans="1:21" s="20" customFormat="1" x14ac:dyDescent="0.15">
      <c r="A1154" s="86" t="s">
        <v>1</v>
      </c>
      <c r="B1154" s="85">
        <v>9041413</v>
      </c>
      <c r="C1154" s="86"/>
      <c r="D1154" s="86"/>
      <c r="E1154" s="86">
        <v>2</v>
      </c>
      <c r="F1154" s="86">
        <v>5</v>
      </c>
      <c r="G1154" s="86"/>
      <c r="H1154" s="86" t="s">
        <v>7307</v>
      </c>
      <c r="I1154" s="86"/>
      <c r="J1154" s="86"/>
      <c r="K1154" s="86">
        <v>68000</v>
      </c>
      <c r="L1154" s="86">
        <v>9041414</v>
      </c>
      <c r="M1154" s="86"/>
      <c r="N1154" s="86"/>
      <c r="O1154" s="86"/>
      <c r="P1154" s="86">
        <v>200113</v>
      </c>
      <c r="Q1154" s="85">
        <v>371</v>
      </c>
      <c r="R1154" s="84">
        <v>7850</v>
      </c>
      <c r="S1154" s="86"/>
      <c r="T1154" s="84"/>
      <c r="U1154" s="86"/>
    </row>
    <row r="1155" spans="1:21" s="20" customFormat="1" x14ac:dyDescent="0.15">
      <c r="A1155" s="86" t="s">
        <v>1</v>
      </c>
      <c r="B1155" s="86">
        <v>9041414</v>
      </c>
      <c r="C1155" s="86" t="s">
        <v>115</v>
      </c>
      <c r="D1155" s="86" t="s">
        <v>115</v>
      </c>
      <c r="E1155" s="86">
        <v>3</v>
      </c>
      <c r="F1155" s="86" t="s">
        <v>115</v>
      </c>
      <c r="G1155" s="86" t="s">
        <v>115</v>
      </c>
      <c r="H1155" s="86" t="s">
        <v>115</v>
      </c>
      <c r="I1155" s="86" t="s">
        <v>1319</v>
      </c>
      <c r="J1155" s="86" t="s">
        <v>115</v>
      </c>
      <c r="K1155" s="86">
        <v>68000</v>
      </c>
      <c r="L1155" s="86">
        <v>0</v>
      </c>
      <c r="M1155" s="86"/>
      <c r="N1155" s="86">
        <v>200115</v>
      </c>
      <c r="O1155" s="86">
        <v>200116</v>
      </c>
      <c r="P1155" s="86">
        <v>200114</v>
      </c>
      <c r="Q1155" s="85">
        <v>371</v>
      </c>
      <c r="R1155" s="84"/>
      <c r="S1155" s="86"/>
      <c r="T1155" s="84"/>
      <c r="U1155" s="86"/>
    </row>
    <row r="1156" spans="1:21" s="20" customFormat="1" x14ac:dyDescent="0.15">
      <c r="A1156" s="86" t="s">
        <v>1</v>
      </c>
      <c r="B1156" s="85">
        <v>9041511</v>
      </c>
      <c r="C1156" s="86" t="s">
        <v>115</v>
      </c>
      <c r="D1156" s="86">
        <v>3</v>
      </c>
      <c r="E1156" s="86" t="s">
        <v>115</v>
      </c>
      <c r="F1156" s="86" t="s">
        <v>115</v>
      </c>
      <c r="G1156" s="86" t="s">
        <v>115</v>
      </c>
      <c r="H1156" s="86" t="s">
        <v>7307</v>
      </c>
      <c r="I1156" s="86" t="s">
        <v>115</v>
      </c>
      <c r="J1156" s="86" t="s">
        <v>115</v>
      </c>
      <c r="K1156" s="86">
        <v>69000</v>
      </c>
      <c r="L1156" s="86">
        <v>9041512</v>
      </c>
      <c r="M1156" s="86"/>
      <c r="N1156" s="86" t="s">
        <v>115</v>
      </c>
      <c r="O1156" s="86" t="s">
        <v>115</v>
      </c>
      <c r="P1156" s="86">
        <v>200111</v>
      </c>
      <c r="Q1156" s="85">
        <v>371</v>
      </c>
      <c r="R1156" s="84">
        <v>6210</v>
      </c>
      <c r="S1156" s="86"/>
      <c r="T1156" s="84"/>
      <c r="U1156" s="86"/>
    </row>
    <row r="1157" spans="1:21" s="20" customFormat="1" x14ac:dyDescent="0.15">
      <c r="A1157" s="86" t="s">
        <v>1</v>
      </c>
      <c r="B1157" s="86">
        <v>9041512</v>
      </c>
      <c r="C1157" s="86" t="s">
        <v>115</v>
      </c>
      <c r="D1157" s="86" t="s">
        <v>115</v>
      </c>
      <c r="E1157" s="86">
        <v>1</v>
      </c>
      <c r="F1157" s="86">
        <v>5</v>
      </c>
      <c r="G1157" s="86" t="s">
        <v>115</v>
      </c>
      <c r="H1157" s="86" t="s">
        <v>7307</v>
      </c>
      <c r="I1157" s="86" t="s">
        <v>115</v>
      </c>
      <c r="J1157" s="86">
        <v>20</v>
      </c>
      <c r="K1157" s="86">
        <v>69000</v>
      </c>
      <c r="L1157" s="86">
        <v>9041513</v>
      </c>
      <c r="M1157" s="86"/>
      <c r="N1157" s="86" t="s">
        <v>115</v>
      </c>
      <c r="O1157" s="86" t="s">
        <v>115</v>
      </c>
      <c r="P1157" s="86">
        <v>200112</v>
      </c>
      <c r="Q1157" s="85">
        <v>371</v>
      </c>
      <c r="R1157" s="84">
        <v>7605</v>
      </c>
      <c r="S1157" s="86"/>
      <c r="T1157" s="84"/>
      <c r="U1157" s="86"/>
    </row>
    <row r="1158" spans="1:21" s="20" customFormat="1" x14ac:dyDescent="0.15">
      <c r="A1158" s="86" t="s">
        <v>1</v>
      </c>
      <c r="B1158" s="85">
        <v>9041513</v>
      </c>
      <c r="C1158" s="86"/>
      <c r="D1158" s="86"/>
      <c r="E1158" s="86">
        <v>2</v>
      </c>
      <c r="F1158" s="86">
        <v>5</v>
      </c>
      <c r="G1158" s="86"/>
      <c r="H1158" s="86" t="s">
        <v>7307</v>
      </c>
      <c r="I1158" s="86"/>
      <c r="J1158" s="86"/>
      <c r="K1158" s="86">
        <v>69000</v>
      </c>
      <c r="L1158" s="86">
        <v>9041514</v>
      </c>
      <c r="M1158" s="86"/>
      <c r="N1158" s="86"/>
      <c r="O1158" s="86"/>
      <c r="P1158" s="86">
        <v>200113</v>
      </c>
      <c r="Q1158" s="85">
        <v>371</v>
      </c>
      <c r="R1158" s="84">
        <v>7900</v>
      </c>
      <c r="S1158" s="86"/>
      <c r="T1158" s="84"/>
      <c r="U1158" s="86"/>
    </row>
    <row r="1159" spans="1:21" s="20" customFormat="1" x14ac:dyDescent="0.15">
      <c r="A1159" s="86" t="s">
        <v>1</v>
      </c>
      <c r="B1159" s="86">
        <v>9041514</v>
      </c>
      <c r="C1159" s="86" t="s">
        <v>115</v>
      </c>
      <c r="D1159" s="86" t="s">
        <v>115</v>
      </c>
      <c r="E1159" s="86">
        <v>3</v>
      </c>
      <c r="F1159" s="86" t="s">
        <v>115</v>
      </c>
      <c r="G1159" s="86" t="s">
        <v>115</v>
      </c>
      <c r="H1159" s="86" t="s">
        <v>115</v>
      </c>
      <c r="I1159" s="86" t="s">
        <v>1319</v>
      </c>
      <c r="J1159" s="86" t="s">
        <v>115</v>
      </c>
      <c r="K1159" s="86">
        <v>69000</v>
      </c>
      <c r="L1159" s="86">
        <v>0</v>
      </c>
      <c r="M1159" s="86"/>
      <c r="N1159" s="86">
        <v>200115</v>
      </c>
      <c r="O1159" s="86">
        <v>200116</v>
      </c>
      <c r="P1159" s="86">
        <v>200114</v>
      </c>
      <c r="Q1159" s="85">
        <v>371</v>
      </c>
      <c r="R1159" s="84"/>
      <c r="S1159" s="86"/>
      <c r="T1159" s="84"/>
      <c r="U1159" s="86"/>
    </row>
    <row r="1160" spans="1:21" s="20" customFormat="1" x14ac:dyDescent="0.15">
      <c r="A1160" s="86" t="s">
        <v>1</v>
      </c>
      <c r="B1160" s="85">
        <v>9041711</v>
      </c>
      <c r="C1160" s="86" t="s">
        <v>115</v>
      </c>
      <c r="D1160" s="86">
        <v>3</v>
      </c>
      <c r="E1160" s="86" t="s">
        <v>115</v>
      </c>
      <c r="F1160" s="86" t="s">
        <v>115</v>
      </c>
      <c r="G1160" s="86" t="s">
        <v>115</v>
      </c>
      <c r="H1160" s="86" t="s">
        <v>7307</v>
      </c>
      <c r="I1160" s="86" t="s">
        <v>115</v>
      </c>
      <c r="J1160" s="86" t="s">
        <v>115</v>
      </c>
      <c r="K1160" s="86">
        <v>70000</v>
      </c>
      <c r="L1160" s="86">
        <v>9041712</v>
      </c>
      <c r="M1160" s="86"/>
      <c r="N1160" s="86" t="s">
        <v>115</v>
      </c>
      <c r="O1160" s="86" t="s">
        <v>115</v>
      </c>
      <c r="P1160" s="86">
        <v>200111</v>
      </c>
      <c r="Q1160" s="85">
        <v>371</v>
      </c>
      <c r="R1160" s="84">
        <v>6210</v>
      </c>
      <c r="S1160" s="86"/>
      <c r="T1160" s="84"/>
      <c r="U1160" s="86"/>
    </row>
    <row r="1161" spans="1:21" s="20" customFormat="1" x14ac:dyDescent="0.15">
      <c r="A1161" s="86" t="s">
        <v>1</v>
      </c>
      <c r="B1161" s="86">
        <v>9041712</v>
      </c>
      <c r="C1161" s="86" t="s">
        <v>115</v>
      </c>
      <c r="D1161" s="86" t="s">
        <v>115</v>
      </c>
      <c r="E1161" s="86">
        <v>1</v>
      </c>
      <c r="F1161" s="86">
        <v>5</v>
      </c>
      <c r="G1161" s="86" t="s">
        <v>115</v>
      </c>
      <c r="H1161" s="86" t="s">
        <v>7307</v>
      </c>
      <c r="I1161" s="86" t="s">
        <v>115</v>
      </c>
      <c r="J1161" s="86">
        <v>20</v>
      </c>
      <c r="K1161" s="86">
        <v>70000</v>
      </c>
      <c r="L1161" s="86">
        <v>9041713</v>
      </c>
      <c r="M1161" s="86"/>
      <c r="N1161" s="86" t="s">
        <v>115</v>
      </c>
      <c r="O1161" s="86" t="s">
        <v>115</v>
      </c>
      <c r="P1161" s="86">
        <v>200112</v>
      </c>
      <c r="Q1161" s="85">
        <v>371</v>
      </c>
      <c r="R1161" s="84">
        <v>7800</v>
      </c>
      <c r="S1161" s="86"/>
      <c r="T1161" s="84"/>
      <c r="U1161" s="86"/>
    </row>
    <row r="1162" spans="1:21" s="20" customFormat="1" x14ac:dyDescent="0.15">
      <c r="A1162" s="86" t="s">
        <v>1</v>
      </c>
      <c r="B1162" s="85">
        <v>9041713</v>
      </c>
      <c r="C1162" s="86"/>
      <c r="D1162" s="86"/>
      <c r="E1162" s="86">
        <v>2</v>
      </c>
      <c r="F1162" s="86">
        <v>5</v>
      </c>
      <c r="G1162" s="86"/>
      <c r="H1162" s="86" t="s">
        <v>7307</v>
      </c>
      <c r="I1162" s="86"/>
      <c r="J1162" s="86"/>
      <c r="K1162" s="86">
        <v>70000</v>
      </c>
      <c r="L1162" s="86">
        <v>9041714</v>
      </c>
      <c r="M1162" s="86"/>
      <c r="N1162" s="86"/>
      <c r="O1162" s="86"/>
      <c r="P1162" s="86">
        <v>200113</v>
      </c>
      <c r="Q1162" s="85">
        <v>371</v>
      </c>
      <c r="R1162" s="84">
        <v>8100</v>
      </c>
      <c r="S1162" s="86"/>
      <c r="T1162" s="84"/>
      <c r="U1162" s="86"/>
    </row>
    <row r="1163" spans="1:21" s="20" customFormat="1" x14ac:dyDescent="0.15">
      <c r="A1163" s="86" t="s">
        <v>1</v>
      </c>
      <c r="B1163" s="86">
        <v>9041714</v>
      </c>
      <c r="C1163" s="86" t="s">
        <v>115</v>
      </c>
      <c r="D1163" s="86" t="s">
        <v>115</v>
      </c>
      <c r="E1163" s="86">
        <v>3</v>
      </c>
      <c r="F1163" s="86" t="s">
        <v>115</v>
      </c>
      <c r="G1163" s="86" t="s">
        <v>115</v>
      </c>
      <c r="H1163" s="86" t="s">
        <v>115</v>
      </c>
      <c r="I1163" s="86" t="s">
        <v>1319</v>
      </c>
      <c r="J1163" s="86" t="s">
        <v>115</v>
      </c>
      <c r="K1163" s="86">
        <v>70000</v>
      </c>
      <c r="L1163" s="86">
        <v>0</v>
      </c>
      <c r="M1163" s="86"/>
      <c r="N1163" s="86">
        <v>200115</v>
      </c>
      <c r="O1163" s="86">
        <v>200116</v>
      </c>
      <c r="P1163" s="86">
        <v>200114</v>
      </c>
      <c r="Q1163" s="85">
        <v>371</v>
      </c>
      <c r="R1163" s="84"/>
      <c r="S1163" s="86"/>
      <c r="T1163" s="84"/>
      <c r="U1163" s="86"/>
    </row>
    <row r="1164" spans="1:21" s="20" customFormat="1" x14ac:dyDescent="0.15">
      <c r="A1164" s="86" t="s">
        <v>1</v>
      </c>
      <c r="B1164" s="85">
        <v>9041811</v>
      </c>
      <c r="C1164" s="86" t="s">
        <v>115</v>
      </c>
      <c r="D1164" s="86">
        <v>3</v>
      </c>
      <c r="E1164" s="86" t="s">
        <v>115</v>
      </c>
      <c r="F1164" s="86" t="s">
        <v>115</v>
      </c>
      <c r="G1164" s="86" t="s">
        <v>115</v>
      </c>
      <c r="H1164" s="86" t="s">
        <v>7307</v>
      </c>
      <c r="I1164" s="86" t="s">
        <v>115</v>
      </c>
      <c r="J1164" s="86" t="s">
        <v>115</v>
      </c>
      <c r="K1164" s="86">
        <v>71000</v>
      </c>
      <c r="L1164" s="86">
        <v>9041812</v>
      </c>
      <c r="M1164" s="86"/>
      <c r="N1164" s="86" t="s">
        <v>115</v>
      </c>
      <c r="O1164" s="86" t="s">
        <v>115</v>
      </c>
      <c r="P1164" s="86">
        <v>200111</v>
      </c>
      <c r="Q1164" s="85">
        <v>371</v>
      </c>
      <c r="R1164" s="84">
        <v>6555</v>
      </c>
      <c r="S1164" s="86"/>
      <c r="T1164" s="84"/>
      <c r="U1164" s="86"/>
    </row>
    <row r="1165" spans="1:21" s="20" customFormat="1" x14ac:dyDescent="0.15">
      <c r="A1165" s="86" t="s">
        <v>1</v>
      </c>
      <c r="B1165" s="86">
        <v>9041812</v>
      </c>
      <c r="C1165" s="86" t="s">
        <v>115</v>
      </c>
      <c r="D1165" s="86" t="s">
        <v>115</v>
      </c>
      <c r="E1165" s="86">
        <v>1</v>
      </c>
      <c r="F1165" s="86">
        <v>5</v>
      </c>
      <c r="G1165" s="86" t="s">
        <v>115</v>
      </c>
      <c r="H1165" s="86" t="s">
        <v>7307</v>
      </c>
      <c r="I1165" s="86" t="s">
        <v>115</v>
      </c>
      <c r="J1165" s="86">
        <v>20</v>
      </c>
      <c r="K1165" s="86">
        <v>71000</v>
      </c>
      <c r="L1165" s="86">
        <v>9041813</v>
      </c>
      <c r="M1165" s="86"/>
      <c r="N1165" s="86" t="s">
        <v>115</v>
      </c>
      <c r="O1165" s="86" t="s">
        <v>115</v>
      </c>
      <c r="P1165" s="86">
        <v>200112</v>
      </c>
      <c r="Q1165" s="85">
        <v>371</v>
      </c>
      <c r="R1165" s="84">
        <v>7800</v>
      </c>
      <c r="S1165" s="86"/>
      <c r="T1165" s="84"/>
      <c r="U1165" s="86"/>
    </row>
    <row r="1166" spans="1:21" s="20" customFormat="1" x14ac:dyDescent="0.15">
      <c r="A1166" s="86" t="s">
        <v>1</v>
      </c>
      <c r="B1166" s="85">
        <v>9041813</v>
      </c>
      <c r="C1166" s="86"/>
      <c r="D1166" s="86"/>
      <c r="E1166" s="86">
        <v>2</v>
      </c>
      <c r="F1166" s="86">
        <v>5</v>
      </c>
      <c r="G1166" s="86"/>
      <c r="H1166" s="86" t="s">
        <v>7307</v>
      </c>
      <c r="I1166" s="86"/>
      <c r="J1166" s="86"/>
      <c r="K1166" s="86">
        <v>71000</v>
      </c>
      <c r="L1166" s="86">
        <v>9041814</v>
      </c>
      <c r="M1166" s="86"/>
      <c r="N1166" s="86"/>
      <c r="O1166" s="86"/>
      <c r="P1166" s="86">
        <v>200113</v>
      </c>
      <c r="Q1166" s="85">
        <v>371</v>
      </c>
      <c r="R1166" s="84">
        <v>8100</v>
      </c>
      <c r="S1166" s="86"/>
      <c r="T1166" s="86"/>
      <c r="U1166" s="86"/>
    </row>
    <row r="1167" spans="1:21" s="20" customFormat="1" x14ac:dyDescent="0.15">
      <c r="A1167" s="86" t="s">
        <v>1</v>
      </c>
      <c r="B1167" s="86">
        <v>9041814</v>
      </c>
      <c r="C1167" s="86" t="s">
        <v>115</v>
      </c>
      <c r="D1167" s="86" t="s">
        <v>115</v>
      </c>
      <c r="E1167" s="86">
        <v>3</v>
      </c>
      <c r="F1167" s="86" t="s">
        <v>115</v>
      </c>
      <c r="G1167" s="86" t="s">
        <v>115</v>
      </c>
      <c r="H1167" s="86" t="s">
        <v>115</v>
      </c>
      <c r="I1167" s="86" t="s">
        <v>1319</v>
      </c>
      <c r="J1167" s="86" t="s">
        <v>115</v>
      </c>
      <c r="K1167" s="86">
        <v>71000</v>
      </c>
      <c r="L1167" s="86">
        <v>0</v>
      </c>
      <c r="M1167" s="86"/>
      <c r="N1167" s="86">
        <v>200115</v>
      </c>
      <c r="O1167" s="86">
        <v>200116</v>
      </c>
      <c r="P1167" s="86">
        <v>200114</v>
      </c>
      <c r="Q1167" s="85">
        <v>371</v>
      </c>
      <c r="R1167" s="84"/>
      <c r="S1167" s="86"/>
      <c r="T1167" s="86"/>
      <c r="U1167" s="86"/>
    </row>
    <row r="1168" spans="1:21" s="20" customFormat="1" x14ac:dyDescent="0.15">
      <c r="A1168" s="86" t="s">
        <v>1</v>
      </c>
      <c r="B1168" s="85">
        <v>9041911</v>
      </c>
      <c r="C1168" s="86" t="s">
        <v>115</v>
      </c>
      <c r="D1168" s="86">
        <v>3</v>
      </c>
      <c r="E1168" s="86" t="s">
        <v>115</v>
      </c>
      <c r="F1168" s="86" t="s">
        <v>115</v>
      </c>
      <c r="G1168" s="86" t="s">
        <v>115</v>
      </c>
      <c r="H1168" s="86" t="s">
        <v>7307</v>
      </c>
      <c r="I1168" s="86" t="s">
        <v>115</v>
      </c>
      <c r="J1168" s="86" t="s">
        <v>115</v>
      </c>
      <c r="K1168" s="86">
        <v>72000</v>
      </c>
      <c r="L1168" s="86">
        <v>9041912</v>
      </c>
      <c r="M1168" s="86"/>
      <c r="N1168" s="86" t="s">
        <v>115</v>
      </c>
      <c r="O1168" s="86" t="s">
        <v>115</v>
      </c>
      <c r="P1168" s="86">
        <v>200111</v>
      </c>
      <c r="Q1168" s="85">
        <v>371</v>
      </c>
      <c r="R1168" s="84">
        <v>6555</v>
      </c>
      <c r="S1168" s="86"/>
      <c r="T1168" s="84"/>
      <c r="U1168" s="86"/>
    </row>
    <row r="1169" spans="1:21" s="20" customFormat="1" x14ac:dyDescent="0.15">
      <c r="A1169" s="86" t="s">
        <v>1</v>
      </c>
      <c r="B1169" s="86">
        <v>9041912</v>
      </c>
      <c r="C1169" s="86" t="s">
        <v>115</v>
      </c>
      <c r="D1169" s="86" t="s">
        <v>115</v>
      </c>
      <c r="E1169" s="86">
        <v>1</v>
      </c>
      <c r="F1169" s="86">
        <v>5</v>
      </c>
      <c r="G1169" s="86" t="s">
        <v>115</v>
      </c>
      <c r="H1169" s="86" t="s">
        <v>7307</v>
      </c>
      <c r="I1169" s="86" t="s">
        <v>115</v>
      </c>
      <c r="J1169" s="86">
        <v>20</v>
      </c>
      <c r="K1169" s="86">
        <v>72000</v>
      </c>
      <c r="L1169" s="86">
        <v>9041913</v>
      </c>
      <c r="M1169" s="86"/>
      <c r="N1169" s="86" t="s">
        <v>115</v>
      </c>
      <c r="O1169" s="86" t="s">
        <v>115</v>
      </c>
      <c r="P1169" s="86">
        <v>200112</v>
      </c>
      <c r="Q1169" s="85">
        <v>371</v>
      </c>
      <c r="R1169" s="84">
        <v>7800</v>
      </c>
      <c r="S1169" s="86"/>
      <c r="T1169" s="84"/>
      <c r="U1169" s="86"/>
    </row>
    <row r="1170" spans="1:21" s="20" customFormat="1" x14ac:dyDescent="0.15">
      <c r="A1170" s="86" t="s">
        <v>1</v>
      </c>
      <c r="B1170" s="85">
        <v>9041913</v>
      </c>
      <c r="C1170" s="86"/>
      <c r="D1170" s="86"/>
      <c r="E1170" s="86">
        <v>2</v>
      </c>
      <c r="F1170" s="86">
        <v>5</v>
      </c>
      <c r="G1170" s="86"/>
      <c r="H1170" s="86" t="s">
        <v>7307</v>
      </c>
      <c r="I1170" s="86"/>
      <c r="J1170" s="86"/>
      <c r="K1170" s="86">
        <v>72000</v>
      </c>
      <c r="L1170" s="86">
        <v>9041914</v>
      </c>
      <c r="M1170" s="86"/>
      <c r="N1170" s="86"/>
      <c r="O1170" s="86"/>
      <c r="P1170" s="86">
        <v>200113</v>
      </c>
      <c r="Q1170" s="85">
        <v>371</v>
      </c>
      <c r="R1170" s="84">
        <v>8100</v>
      </c>
      <c r="S1170" s="86"/>
      <c r="T1170" s="86"/>
      <c r="U1170" s="86"/>
    </row>
    <row r="1171" spans="1:21" s="20" customFormat="1" x14ac:dyDescent="0.15">
      <c r="A1171" s="86" t="s">
        <v>1</v>
      </c>
      <c r="B1171" s="86">
        <v>9041914</v>
      </c>
      <c r="C1171" s="86" t="s">
        <v>115</v>
      </c>
      <c r="D1171" s="86" t="s">
        <v>115</v>
      </c>
      <c r="E1171" s="86">
        <v>3</v>
      </c>
      <c r="F1171" s="86" t="s">
        <v>115</v>
      </c>
      <c r="G1171" s="86" t="s">
        <v>115</v>
      </c>
      <c r="H1171" s="86" t="s">
        <v>115</v>
      </c>
      <c r="I1171" s="86" t="s">
        <v>1319</v>
      </c>
      <c r="J1171" s="86" t="s">
        <v>115</v>
      </c>
      <c r="K1171" s="86">
        <v>72000</v>
      </c>
      <c r="L1171" s="86">
        <v>0</v>
      </c>
      <c r="M1171" s="86"/>
      <c r="N1171" s="86">
        <v>200115</v>
      </c>
      <c r="O1171" s="86">
        <v>200116</v>
      </c>
      <c r="P1171" s="86">
        <v>200114</v>
      </c>
      <c r="Q1171" s="85">
        <v>371</v>
      </c>
      <c r="R1171" s="84"/>
      <c r="S1171" s="86"/>
      <c r="T1171" s="86"/>
      <c r="U1171" s="86"/>
    </row>
    <row r="1172" spans="1:21" s="20" customFormat="1" x14ac:dyDescent="0.15">
      <c r="A1172" s="86"/>
      <c r="B1172" s="86"/>
      <c r="C1172" s="86"/>
      <c r="D1172" s="86"/>
      <c r="E1172" s="86"/>
      <c r="F1172" s="86"/>
      <c r="G1172" s="86"/>
      <c r="H1172" s="86"/>
      <c r="I1172" s="86"/>
      <c r="J1172" s="86"/>
      <c r="K1172" s="86"/>
      <c r="L1172" s="86"/>
      <c r="M1172" s="86"/>
      <c r="N1172" s="86"/>
      <c r="O1172" s="86"/>
      <c r="P1172" s="86"/>
      <c r="Q1172" s="85"/>
      <c r="R1172" s="84"/>
      <c r="S1172" s="86"/>
      <c r="T1172" s="86"/>
      <c r="U1172" s="86"/>
    </row>
    <row r="1173" spans="1:21" x14ac:dyDescent="0.15">
      <c r="B1173" s="4"/>
    </row>
    <row r="1174" spans="1:21" x14ac:dyDescent="0.15">
      <c r="A1174" s="87"/>
      <c r="B1174" s="87" t="s">
        <v>2596</v>
      </c>
      <c r="C1174" s="87"/>
      <c r="D1174" s="87"/>
      <c r="E1174" s="87"/>
      <c r="F1174" s="87"/>
      <c r="G1174" s="87"/>
      <c r="H1174" s="87"/>
      <c r="I1174" s="87"/>
      <c r="J1174" s="87"/>
      <c r="K1174" s="87"/>
      <c r="L1174" s="87"/>
      <c r="M1174" s="87"/>
      <c r="N1174" s="87"/>
      <c r="O1174" s="87"/>
      <c r="P1174" s="87"/>
      <c r="Q1174" s="87"/>
      <c r="R1174" s="87"/>
      <c r="S1174" s="86"/>
      <c r="T1174" s="86"/>
      <c r="U1174" s="86"/>
    </row>
    <row r="1175" spans="1:21" x14ac:dyDescent="0.15">
      <c r="A1175" s="83"/>
      <c r="B1175" s="86"/>
      <c r="C1175" s="83"/>
      <c r="D1175" s="83"/>
      <c r="E1175" s="83"/>
      <c r="F1175" s="83"/>
      <c r="G1175" s="83"/>
      <c r="H1175" s="83"/>
      <c r="I1175" s="83"/>
      <c r="J1175" s="83"/>
      <c r="K1175" s="83"/>
      <c r="L1175" s="83"/>
      <c r="M1175" s="83"/>
      <c r="N1175" s="84"/>
      <c r="O1175" s="84"/>
      <c r="P1175" s="84"/>
      <c r="Q1175" s="82"/>
      <c r="R1175" s="84"/>
      <c r="S1175" s="83"/>
      <c r="T1175" s="83"/>
      <c r="U1175" s="83"/>
    </row>
    <row r="1176" spans="1:21" x14ac:dyDescent="0.15">
      <c r="A1176" s="86" t="s">
        <v>1</v>
      </c>
      <c r="B1176" s="86">
        <v>10000011</v>
      </c>
      <c r="C1176" s="86" t="s">
        <v>115</v>
      </c>
      <c r="D1176" s="86">
        <v>3</v>
      </c>
      <c r="E1176" s="86" t="s">
        <v>115</v>
      </c>
      <c r="F1176" s="86" t="s">
        <v>115</v>
      </c>
      <c r="G1176" s="86" t="s">
        <v>115</v>
      </c>
      <c r="H1176" s="86" t="s">
        <v>7307</v>
      </c>
      <c r="I1176" s="86" t="s">
        <v>115</v>
      </c>
      <c r="J1176" s="86" t="s">
        <v>115</v>
      </c>
      <c r="K1176" s="86">
        <v>15000</v>
      </c>
      <c r="L1176" s="86">
        <v>10000012</v>
      </c>
      <c r="M1176" s="86"/>
      <c r="N1176" s="86" t="s">
        <v>115</v>
      </c>
      <c r="O1176" s="86" t="s">
        <v>115</v>
      </c>
      <c r="P1176" s="86">
        <v>200111</v>
      </c>
      <c r="Q1176" s="85">
        <v>371</v>
      </c>
      <c r="R1176" s="84">
        <v>3720</v>
      </c>
      <c r="S1176" s="86"/>
      <c r="T1176" s="84"/>
      <c r="U1176" s="86"/>
    </row>
    <row r="1177" spans="1:21" x14ac:dyDescent="0.15">
      <c r="A1177" s="86" t="s">
        <v>1</v>
      </c>
      <c r="B1177" s="86">
        <v>10000012</v>
      </c>
      <c r="C1177" s="86" t="s">
        <v>115</v>
      </c>
      <c r="D1177" s="86" t="s">
        <v>115</v>
      </c>
      <c r="E1177" s="86">
        <v>1</v>
      </c>
      <c r="F1177" s="86">
        <v>10</v>
      </c>
      <c r="G1177" s="86" t="s">
        <v>115</v>
      </c>
      <c r="H1177" s="86" t="s">
        <v>7307</v>
      </c>
      <c r="I1177" s="86" t="s">
        <v>115</v>
      </c>
      <c r="J1177" s="86">
        <v>20</v>
      </c>
      <c r="K1177" s="86">
        <v>15000</v>
      </c>
      <c r="L1177" s="86">
        <v>10000013</v>
      </c>
      <c r="M1177" s="86"/>
      <c r="N1177" s="86" t="s">
        <v>115</v>
      </c>
      <c r="O1177" s="86" t="s">
        <v>115</v>
      </c>
      <c r="P1177" s="86">
        <v>200112</v>
      </c>
      <c r="Q1177" s="85">
        <v>371</v>
      </c>
      <c r="R1177" s="84">
        <v>8646</v>
      </c>
      <c r="S1177" s="86"/>
      <c r="T1177" s="84"/>
      <c r="U1177" s="86"/>
    </row>
    <row r="1178" spans="1:21" x14ac:dyDescent="0.15">
      <c r="A1178" s="86" t="s">
        <v>1</v>
      </c>
      <c r="B1178" s="86">
        <v>10000013</v>
      </c>
      <c r="C1178" s="86"/>
      <c r="D1178" s="86"/>
      <c r="E1178" s="86">
        <v>2</v>
      </c>
      <c r="F1178" s="86">
        <v>5</v>
      </c>
      <c r="G1178" s="86" t="s">
        <v>7339</v>
      </c>
      <c r="H1178" s="86"/>
      <c r="I1178" s="86"/>
      <c r="J1178" s="86"/>
      <c r="K1178" s="86">
        <v>15000</v>
      </c>
      <c r="L1178" s="86"/>
      <c r="M1178" s="86"/>
      <c r="N1178" s="86"/>
      <c r="O1178" s="86"/>
      <c r="P1178" s="86">
        <v>200113</v>
      </c>
      <c r="Q1178" s="85">
        <v>371</v>
      </c>
      <c r="R1178" s="84">
        <v>6433</v>
      </c>
      <c r="S1178" s="86"/>
      <c r="T1178" s="86"/>
      <c r="U1178" s="86"/>
    </row>
    <row r="1179" spans="1:21" x14ac:dyDescent="0.15">
      <c r="A1179" s="86" t="s">
        <v>1</v>
      </c>
      <c r="B1179" s="86">
        <v>10000021</v>
      </c>
      <c r="C1179" s="86" t="s">
        <v>115</v>
      </c>
      <c r="D1179" s="86">
        <v>3</v>
      </c>
      <c r="E1179" s="86" t="s">
        <v>115</v>
      </c>
      <c r="F1179" s="86" t="s">
        <v>115</v>
      </c>
      <c r="G1179" s="86" t="s">
        <v>115</v>
      </c>
      <c r="H1179" s="86" t="s">
        <v>7307</v>
      </c>
      <c r="I1179" s="86" t="s">
        <v>115</v>
      </c>
      <c r="J1179" s="86" t="s">
        <v>115</v>
      </c>
      <c r="K1179" s="86">
        <v>25000</v>
      </c>
      <c r="L1179" s="86">
        <v>10000022</v>
      </c>
      <c r="M1179" s="86"/>
      <c r="N1179" s="86" t="s">
        <v>115</v>
      </c>
      <c r="O1179" s="86" t="s">
        <v>115</v>
      </c>
      <c r="P1179" s="86">
        <v>200111</v>
      </c>
      <c r="Q1179" s="85">
        <v>371</v>
      </c>
      <c r="R1179" s="84">
        <v>3990</v>
      </c>
      <c r="S1179" s="86"/>
      <c r="T1179" s="84"/>
      <c r="U1179" s="86"/>
    </row>
    <row r="1180" spans="1:21" x14ac:dyDescent="0.15">
      <c r="A1180" s="86" t="s">
        <v>1</v>
      </c>
      <c r="B1180" s="86">
        <v>10000022</v>
      </c>
      <c r="C1180" s="86" t="s">
        <v>115</v>
      </c>
      <c r="D1180" s="86" t="s">
        <v>115</v>
      </c>
      <c r="E1180" s="86">
        <v>1</v>
      </c>
      <c r="F1180" s="86">
        <v>10</v>
      </c>
      <c r="G1180" s="86" t="s">
        <v>115</v>
      </c>
      <c r="H1180" s="86" t="s">
        <v>7307</v>
      </c>
      <c r="I1180" s="86" t="s">
        <v>115</v>
      </c>
      <c r="J1180" s="86">
        <v>20</v>
      </c>
      <c r="K1180" s="86">
        <v>25000</v>
      </c>
      <c r="L1180" s="86">
        <v>10000023</v>
      </c>
      <c r="M1180" s="86"/>
      <c r="N1180" s="86" t="s">
        <v>115</v>
      </c>
      <c r="O1180" s="86" t="s">
        <v>115</v>
      </c>
      <c r="P1180" s="86">
        <v>200112</v>
      </c>
      <c r="Q1180" s="85">
        <v>371</v>
      </c>
      <c r="R1180" s="84">
        <v>12485</v>
      </c>
      <c r="S1180" s="86"/>
      <c r="T1180" s="84"/>
      <c r="U1180" s="86"/>
    </row>
    <row r="1181" spans="1:21" x14ac:dyDescent="0.15">
      <c r="A1181" s="86" t="s">
        <v>1</v>
      </c>
      <c r="B1181" s="86">
        <v>10000023</v>
      </c>
      <c r="C1181" s="86"/>
      <c r="D1181" s="86"/>
      <c r="E1181" s="86">
        <v>2</v>
      </c>
      <c r="F1181" s="86">
        <v>5</v>
      </c>
      <c r="G1181" s="86" t="s">
        <v>7340</v>
      </c>
      <c r="H1181" s="86"/>
      <c r="I1181" s="86"/>
      <c r="J1181" s="86"/>
      <c r="K1181" s="86">
        <v>25000</v>
      </c>
      <c r="L1181" s="86"/>
      <c r="M1181" s="86"/>
      <c r="N1181" s="86"/>
      <c r="O1181" s="86"/>
      <c r="P1181" s="86">
        <v>200113</v>
      </c>
      <c r="Q1181" s="85">
        <v>371</v>
      </c>
      <c r="R1181" s="84">
        <v>12113</v>
      </c>
      <c r="S1181" s="86"/>
      <c r="T1181" s="86"/>
      <c r="U1181" s="86"/>
    </row>
    <row r="1182" spans="1:21" x14ac:dyDescent="0.15">
      <c r="A1182" s="86" t="s">
        <v>1</v>
      </c>
      <c r="B1182" s="86">
        <v>10000031</v>
      </c>
      <c r="C1182" s="86" t="s">
        <v>115</v>
      </c>
      <c r="D1182" s="86">
        <v>3</v>
      </c>
      <c r="E1182" s="86" t="s">
        <v>115</v>
      </c>
      <c r="F1182" s="86" t="s">
        <v>115</v>
      </c>
      <c r="G1182" s="86" t="s">
        <v>115</v>
      </c>
      <c r="H1182" s="86" t="s">
        <v>7307</v>
      </c>
      <c r="I1182" s="86" t="s">
        <v>115</v>
      </c>
      <c r="J1182" s="86" t="s">
        <v>115</v>
      </c>
      <c r="K1182" s="86">
        <v>40000</v>
      </c>
      <c r="L1182" s="86">
        <v>10000032</v>
      </c>
      <c r="M1182" s="86"/>
      <c r="N1182" s="86" t="s">
        <v>115</v>
      </c>
      <c r="O1182" s="86" t="s">
        <v>115</v>
      </c>
      <c r="P1182" s="86">
        <v>200111</v>
      </c>
      <c r="Q1182" s="85">
        <v>371</v>
      </c>
      <c r="R1182" s="84">
        <v>4890</v>
      </c>
      <c r="S1182" s="86"/>
      <c r="T1182" s="84"/>
      <c r="U1182" s="86"/>
    </row>
    <row r="1183" spans="1:21" x14ac:dyDescent="0.15">
      <c r="A1183" s="86" t="s">
        <v>1</v>
      </c>
      <c r="B1183" s="86">
        <v>10000032</v>
      </c>
      <c r="C1183" s="86" t="s">
        <v>115</v>
      </c>
      <c r="D1183" s="86" t="s">
        <v>115</v>
      </c>
      <c r="E1183" s="86">
        <v>1</v>
      </c>
      <c r="F1183" s="86">
        <v>10</v>
      </c>
      <c r="G1183" s="86" t="s">
        <v>115</v>
      </c>
      <c r="H1183" s="86" t="s">
        <v>7307</v>
      </c>
      <c r="I1183" s="86" t="s">
        <v>115</v>
      </c>
      <c r="J1183" s="86">
        <v>20</v>
      </c>
      <c r="K1183" s="86">
        <v>40000</v>
      </c>
      <c r="L1183" s="86">
        <v>10000033</v>
      </c>
      <c r="M1183" s="86"/>
      <c r="N1183" s="86" t="s">
        <v>115</v>
      </c>
      <c r="O1183" s="86" t="s">
        <v>115</v>
      </c>
      <c r="P1183" s="86">
        <v>200112</v>
      </c>
      <c r="Q1183" s="85">
        <v>371</v>
      </c>
      <c r="R1183" s="84">
        <v>20916</v>
      </c>
      <c r="S1183" s="86"/>
      <c r="T1183" s="84"/>
      <c r="U1183" s="86"/>
    </row>
    <row r="1184" spans="1:21" x14ac:dyDescent="0.15">
      <c r="A1184" s="86" t="s">
        <v>1</v>
      </c>
      <c r="B1184" s="86">
        <v>10000033</v>
      </c>
      <c r="C1184" s="86"/>
      <c r="D1184" s="86"/>
      <c r="E1184" s="86">
        <v>2</v>
      </c>
      <c r="F1184" s="86">
        <v>5</v>
      </c>
      <c r="G1184" s="86" t="s">
        <v>7341</v>
      </c>
      <c r="H1184" s="86"/>
      <c r="I1184" s="86"/>
      <c r="J1184" s="86"/>
      <c r="K1184" s="86">
        <v>40000</v>
      </c>
      <c r="L1184" s="86"/>
      <c r="M1184" s="86"/>
      <c r="N1184" s="86"/>
      <c r="O1184" s="86"/>
      <c r="P1184" s="86">
        <v>200113</v>
      </c>
      <c r="Q1184" s="85">
        <v>371</v>
      </c>
      <c r="R1184" s="84">
        <v>19312</v>
      </c>
      <c r="S1184" s="86"/>
      <c r="T1184" s="86"/>
      <c r="U1184" s="86"/>
    </row>
    <row r="1185" spans="1:21" x14ac:dyDescent="0.15">
      <c r="A1185" s="86" t="s">
        <v>1</v>
      </c>
      <c r="B1185" s="86">
        <v>10000041</v>
      </c>
      <c r="C1185" s="86" t="s">
        <v>115</v>
      </c>
      <c r="D1185" s="86">
        <v>3</v>
      </c>
      <c r="E1185" s="86" t="s">
        <v>115</v>
      </c>
      <c r="F1185" s="86" t="s">
        <v>115</v>
      </c>
      <c r="G1185" s="86" t="s">
        <v>115</v>
      </c>
      <c r="H1185" s="86" t="s">
        <v>7307</v>
      </c>
      <c r="I1185" s="86" t="s">
        <v>115</v>
      </c>
      <c r="J1185" s="86" t="s">
        <v>115</v>
      </c>
      <c r="K1185" s="86">
        <v>60000</v>
      </c>
      <c r="L1185" s="86">
        <v>10000042</v>
      </c>
      <c r="M1185" s="86"/>
      <c r="N1185" s="86" t="s">
        <v>115</v>
      </c>
      <c r="O1185" s="86" t="s">
        <v>115</v>
      </c>
      <c r="P1185" s="86">
        <v>200111</v>
      </c>
      <c r="Q1185" s="85">
        <v>371</v>
      </c>
      <c r="R1185" s="84">
        <v>6555</v>
      </c>
      <c r="S1185" s="86"/>
      <c r="T1185" s="84"/>
      <c r="U1185" s="86"/>
    </row>
    <row r="1186" spans="1:21" x14ac:dyDescent="0.15">
      <c r="A1186" s="86" t="s">
        <v>1</v>
      </c>
      <c r="B1186" s="86">
        <v>10000042</v>
      </c>
      <c r="C1186" s="86" t="s">
        <v>115</v>
      </c>
      <c r="D1186" s="86" t="s">
        <v>115</v>
      </c>
      <c r="E1186" s="86">
        <v>1</v>
      </c>
      <c r="F1186" s="86">
        <v>10</v>
      </c>
      <c r="G1186" s="86" t="s">
        <v>115</v>
      </c>
      <c r="H1186" s="86" t="s">
        <v>7307</v>
      </c>
      <c r="I1186" s="86" t="s">
        <v>115</v>
      </c>
      <c r="J1186" s="86">
        <v>20</v>
      </c>
      <c r="K1186" s="86">
        <v>60000</v>
      </c>
      <c r="L1186" s="86">
        <v>10000043</v>
      </c>
      <c r="M1186" s="86"/>
      <c r="N1186" s="86" t="s">
        <v>115</v>
      </c>
      <c r="O1186" s="86" t="s">
        <v>115</v>
      </c>
      <c r="P1186" s="86">
        <v>200112</v>
      </c>
      <c r="Q1186" s="85">
        <v>371</v>
      </c>
      <c r="R1186" s="84">
        <v>7800</v>
      </c>
      <c r="S1186" s="86"/>
      <c r="T1186" s="84"/>
      <c r="U1186" s="86"/>
    </row>
    <row r="1187" spans="1:21" x14ac:dyDescent="0.15">
      <c r="A1187" s="86" t="s">
        <v>1</v>
      </c>
      <c r="B1187" s="86">
        <v>10000043</v>
      </c>
      <c r="C1187" s="86"/>
      <c r="D1187" s="86"/>
      <c r="E1187" s="86">
        <v>2</v>
      </c>
      <c r="F1187" s="86">
        <v>5</v>
      </c>
      <c r="G1187" s="86" t="s">
        <v>7342</v>
      </c>
      <c r="H1187" s="86"/>
      <c r="I1187" s="86"/>
      <c r="J1187" s="86"/>
      <c r="K1187" s="86">
        <v>60000</v>
      </c>
      <c r="L1187" s="86"/>
      <c r="M1187" s="86"/>
      <c r="N1187" s="86"/>
      <c r="O1187" s="86"/>
      <c r="P1187" s="86">
        <v>200113</v>
      </c>
      <c r="Q1187" s="85">
        <v>371</v>
      </c>
      <c r="R1187" s="84">
        <v>8100</v>
      </c>
      <c r="S1187" s="86"/>
      <c r="T1187" s="86"/>
      <c r="U1187" s="86"/>
    </row>
    <row r="1188" spans="1:21" x14ac:dyDescent="0.15">
      <c r="A1188" s="86" t="s">
        <v>1</v>
      </c>
      <c r="B1188" s="86">
        <v>10000051</v>
      </c>
      <c r="C1188" s="86" t="s">
        <v>115</v>
      </c>
      <c r="D1188" s="86">
        <v>3</v>
      </c>
      <c r="E1188" s="86" t="s">
        <v>115</v>
      </c>
      <c r="F1188" s="86" t="s">
        <v>115</v>
      </c>
      <c r="G1188" s="86" t="s">
        <v>115</v>
      </c>
      <c r="H1188" s="86" t="s">
        <v>7307</v>
      </c>
      <c r="I1188" s="86" t="s">
        <v>115</v>
      </c>
      <c r="J1188" s="86" t="s">
        <v>115</v>
      </c>
      <c r="K1188" s="86">
        <v>100000</v>
      </c>
      <c r="L1188" s="86">
        <v>10000052</v>
      </c>
      <c r="M1188" s="86"/>
      <c r="N1188" s="86" t="s">
        <v>115</v>
      </c>
      <c r="O1188" s="86" t="s">
        <v>115</v>
      </c>
      <c r="P1188" s="86">
        <v>200111</v>
      </c>
      <c r="Q1188" s="85">
        <v>371</v>
      </c>
      <c r="R1188" s="84">
        <v>6555</v>
      </c>
      <c r="S1188" s="86"/>
      <c r="T1188" s="84"/>
      <c r="U1188" s="86"/>
    </row>
    <row r="1189" spans="1:21" x14ac:dyDescent="0.15">
      <c r="A1189" s="86" t="s">
        <v>1</v>
      </c>
      <c r="B1189" s="86">
        <v>10000052</v>
      </c>
      <c r="C1189" s="86" t="s">
        <v>115</v>
      </c>
      <c r="D1189" s="86" t="s">
        <v>115</v>
      </c>
      <c r="E1189" s="86">
        <v>1</v>
      </c>
      <c r="F1189" s="86">
        <v>10</v>
      </c>
      <c r="G1189" s="86" t="s">
        <v>115</v>
      </c>
      <c r="H1189" s="86" t="s">
        <v>7307</v>
      </c>
      <c r="I1189" s="86" t="s">
        <v>115</v>
      </c>
      <c r="J1189" s="86">
        <v>20</v>
      </c>
      <c r="K1189" s="86">
        <v>100000</v>
      </c>
      <c r="L1189" s="86">
        <v>10000053</v>
      </c>
      <c r="M1189" s="86"/>
      <c r="N1189" s="86" t="s">
        <v>115</v>
      </c>
      <c r="O1189" s="86" t="s">
        <v>115</v>
      </c>
      <c r="P1189" s="86">
        <v>200112</v>
      </c>
      <c r="Q1189" s="85">
        <v>371</v>
      </c>
      <c r="R1189" s="84">
        <v>7800</v>
      </c>
      <c r="S1189" s="86"/>
      <c r="T1189" s="84"/>
      <c r="U1189" s="86"/>
    </row>
    <row r="1190" spans="1:21" x14ac:dyDescent="0.15">
      <c r="A1190" s="86" t="s">
        <v>1</v>
      </c>
      <c r="B1190" s="86">
        <v>10000053</v>
      </c>
      <c r="C1190" s="86"/>
      <c r="D1190" s="86"/>
      <c r="E1190" s="86">
        <v>2</v>
      </c>
      <c r="F1190" s="86">
        <v>5</v>
      </c>
      <c r="G1190" s="86" t="s">
        <v>7343</v>
      </c>
      <c r="H1190" s="86"/>
      <c r="I1190" s="86"/>
      <c r="J1190" s="86"/>
      <c r="K1190" s="86">
        <v>100000</v>
      </c>
      <c r="L1190" s="86"/>
      <c r="M1190" s="86"/>
      <c r="N1190" s="86"/>
      <c r="O1190" s="86"/>
      <c r="P1190" s="86">
        <v>200113</v>
      </c>
      <c r="Q1190" s="85">
        <v>371</v>
      </c>
      <c r="R1190" s="84">
        <v>8100</v>
      </c>
      <c r="S1190" s="86"/>
      <c r="T1190" s="86"/>
      <c r="U1190" s="86"/>
    </row>
    <row r="1191" spans="1:21" x14ac:dyDescent="0.15">
      <c r="B1191" s="4"/>
    </row>
    <row r="1192" spans="1:21" x14ac:dyDescent="0.15">
      <c r="A1192" s="87"/>
      <c r="B1192" s="87"/>
      <c r="C1192" s="87"/>
      <c r="D1192" s="87"/>
      <c r="E1192" s="87"/>
      <c r="F1192" s="87"/>
      <c r="G1192" s="87"/>
      <c r="H1192" s="87"/>
      <c r="I1192" s="87"/>
      <c r="J1192" s="87"/>
      <c r="K1192" s="87"/>
      <c r="L1192" s="87"/>
      <c r="M1192" s="87"/>
      <c r="N1192" s="87"/>
      <c r="O1192" s="87"/>
      <c r="P1192" s="87"/>
      <c r="Q1192" s="87"/>
      <c r="R1192" s="84"/>
      <c r="S1192" s="86"/>
      <c r="T1192" s="86"/>
      <c r="U1192" s="86"/>
    </row>
    <row r="1193" spans="1:21" x14ac:dyDescent="0.15">
      <c r="A1193" s="83"/>
      <c r="B1193" s="86"/>
      <c r="C1193" s="83"/>
      <c r="D1193" s="83"/>
      <c r="E1193" s="83"/>
      <c r="F1193" s="83"/>
      <c r="G1193" s="83"/>
      <c r="H1193" s="83"/>
      <c r="I1193" s="83"/>
      <c r="J1193" s="83"/>
      <c r="K1193" s="83"/>
      <c r="L1193" s="83"/>
      <c r="M1193" s="83"/>
      <c r="N1193" s="84"/>
      <c r="O1193" s="84"/>
      <c r="P1193" s="84"/>
      <c r="Q1193" s="82"/>
      <c r="R1193" s="84"/>
      <c r="S1193" s="83"/>
      <c r="T1193" s="83"/>
      <c r="U1193" s="83"/>
    </row>
    <row r="1194" spans="1:21" x14ac:dyDescent="0.15">
      <c r="A1194" s="86"/>
      <c r="B1194" s="86"/>
      <c r="C1194" s="86"/>
      <c r="D1194" s="86"/>
      <c r="E1194" s="86"/>
      <c r="F1194" s="86"/>
      <c r="G1194" s="86"/>
      <c r="H1194" s="86"/>
      <c r="I1194" s="86"/>
      <c r="J1194" s="86"/>
      <c r="K1194" s="86"/>
      <c r="L1194" s="86"/>
      <c r="M1194" s="86"/>
      <c r="N1194" s="86"/>
      <c r="O1194" s="86"/>
      <c r="P1194" s="86"/>
      <c r="Q1194" s="85"/>
      <c r="R1194" s="84"/>
      <c r="S1194" s="86"/>
      <c r="T1194" s="84"/>
      <c r="U1194" s="86"/>
    </row>
    <row r="1195" spans="1:21" x14ac:dyDescent="0.15">
      <c r="A1195" s="86"/>
      <c r="B1195" s="86"/>
      <c r="C1195" s="86"/>
      <c r="D1195" s="86"/>
      <c r="E1195" s="86"/>
      <c r="F1195" s="86"/>
      <c r="G1195" s="86"/>
      <c r="H1195" s="86"/>
      <c r="I1195" s="86"/>
      <c r="J1195" s="86"/>
      <c r="K1195" s="86"/>
      <c r="L1195" s="86"/>
      <c r="M1195" s="86"/>
      <c r="N1195" s="86"/>
      <c r="O1195" s="86"/>
      <c r="P1195" s="86"/>
      <c r="Q1195" s="85"/>
      <c r="R1195" s="84"/>
      <c r="S1195" s="86"/>
      <c r="T1195" s="84"/>
      <c r="U1195" s="86"/>
    </row>
    <row r="1196" spans="1:21" x14ac:dyDescent="0.15">
      <c r="A1196" s="86"/>
      <c r="B1196" s="86"/>
      <c r="C1196" s="86"/>
      <c r="D1196" s="86"/>
      <c r="E1196" s="86"/>
      <c r="F1196" s="86"/>
      <c r="G1196" s="86"/>
      <c r="H1196" s="86"/>
      <c r="I1196" s="86"/>
      <c r="J1196" s="86"/>
      <c r="K1196" s="86"/>
      <c r="L1196" s="86"/>
      <c r="M1196" s="86"/>
      <c r="N1196" s="86"/>
      <c r="O1196" s="86"/>
      <c r="P1196" s="86"/>
      <c r="Q1196" s="85"/>
      <c r="R1196" s="84"/>
      <c r="S1196" s="86"/>
      <c r="T1196" s="86"/>
      <c r="U1196" s="86"/>
    </row>
    <row r="1197" spans="1:21" x14ac:dyDescent="0.15">
      <c r="A1197" s="86"/>
      <c r="B1197" s="86"/>
      <c r="C1197" s="86"/>
      <c r="D1197" s="86"/>
      <c r="E1197" s="86"/>
      <c r="F1197" s="86"/>
      <c r="G1197" s="86"/>
      <c r="H1197" s="86"/>
      <c r="I1197" s="86"/>
      <c r="J1197" s="86"/>
      <c r="K1197" s="86"/>
      <c r="L1197" s="86"/>
      <c r="M1197" s="86"/>
      <c r="N1197" s="86"/>
      <c r="O1197" s="86"/>
      <c r="P1197" s="86"/>
      <c r="Q1197" s="85"/>
      <c r="R1197" s="84"/>
      <c r="S1197" s="86"/>
      <c r="T1197" s="84"/>
      <c r="U1197" s="86"/>
    </row>
    <row r="1198" spans="1:21" x14ac:dyDescent="0.15">
      <c r="A1198" s="86"/>
      <c r="B1198" s="86"/>
      <c r="C1198" s="86"/>
      <c r="D1198" s="86"/>
      <c r="E1198" s="86"/>
      <c r="F1198" s="86"/>
      <c r="G1198" s="86"/>
      <c r="H1198" s="86"/>
      <c r="I1198" s="86"/>
      <c r="J1198" s="86"/>
      <c r="K1198" s="86"/>
      <c r="L1198" s="86"/>
      <c r="M1198" s="86"/>
      <c r="N1198" s="86"/>
      <c r="O1198" s="86"/>
      <c r="P1198" s="86"/>
      <c r="Q1198" s="85"/>
      <c r="R1198" s="84"/>
      <c r="S1198" s="86"/>
      <c r="T1198" s="84"/>
      <c r="U1198" s="86"/>
    </row>
    <row r="1199" spans="1:21" x14ac:dyDescent="0.15">
      <c r="A1199" s="86"/>
      <c r="B1199" s="86"/>
      <c r="C1199" s="86"/>
      <c r="D1199" s="86"/>
      <c r="E1199" s="86"/>
      <c r="F1199" s="86"/>
      <c r="G1199" s="86"/>
      <c r="H1199" s="86"/>
      <c r="I1199" s="86"/>
      <c r="J1199" s="86"/>
      <c r="K1199" s="86"/>
      <c r="L1199" s="86"/>
      <c r="M1199" s="86"/>
      <c r="N1199" s="86"/>
      <c r="O1199" s="86"/>
      <c r="P1199" s="86"/>
      <c r="Q1199" s="85"/>
      <c r="R1199" s="84"/>
      <c r="S1199" s="86"/>
      <c r="T1199" s="86"/>
      <c r="U1199" s="86"/>
    </row>
    <row r="1200" spans="1:21" x14ac:dyDescent="0.15">
      <c r="A1200" s="86"/>
      <c r="B1200" s="86"/>
      <c r="C1200" s="86"/>
      <c r="D1200" s="86"/>
      <c r="E1200" s="86"/>
      <c r="F1200" s="86"/>
      <c r="G1200" s="86"/>
      <c r="H1200" s="86"/>
      <c r="I1200" s="86"/>
      <c r="J1200" s="86"/>
      <c r="K1200" s="86"/>
      <c r="L1200" s="86"/>
      <c r="M1200" s="86"/>
      <c r="N1200" s="86"/>
      <c r="O1200" s="86"/>
      <c r="P1200" s="86"/>
      <c r="Q1200" s="85"/>
      <c r="R1200" s="84"/>
      <c r="S1200" s="86"/>
      <c r="T1200" s="84"/>
      <c r="U1200" s="86"/>
    </row>
    <row r="1201" spans="1:21" x14ac:dyDescent="0.15">
      <c r="A1201" s="86"/>
      <c r="B1201" s="86"/>
      <c r="C1201" s="86"/>
      <c r="D1201" s="86"/>
      <c r="E1201" s="86"/>
      <c r="F1201" s="86"/>
      <c r="G1201" s="86"/>
      <c r="H1201" s="86"/>
      <c r="I1201" s="86"/>
      <c r="J1201" s="86"/>
      <c r="K1201" s="86"/>
      <c r="L1201" s="86"/>
      <c r="M1201" s="86"/>
      <c r="N1201" s="86"/>
      <c r="O1201" s="86"/>
      <c r="P1201" s="86"/>
      <c r="Q1201" s="85"/>
      <c r="R1201" s="84"/>
      <c r="S1201" s="86"/>
      <c r="T1201" s="84"/>
      <c r="U1201" s="86"/>
    </row>
    <row r="1202" spans="1:21" x14ac:dyDescent="0.15">
      <c r="A1202" s="86"/>
      <c r="B1202" s="86"/>
      <c r="C1202" s="86"/>
      <c r="D1202" s="86"/>
      <c r="E1202" s="86"/>
      <c r="F1202" s="86"/>
      <c r="G1202" s="86"/>
      <c r="H1202" s="86"/>
      <c r="I1202" s="86"/>
      <c r="J1202" s="86"/>
      <c r="K1202" s="86"/>
      <c r="L1202" s="86"/>
      <c r="M1202" s="86"/>
      <c r="N1202" s="86"/>
      <c r="O1202" s="86"/>
      <c r="P1202" s="86"/>
      <c r="Q1202" s="85"/>
      <c r="R1202" s="84"/>
      <c r="S1202" s="86"/>
      <c r="T1202" s="86"/>
      <c r="U1202" s="86"/>
    </row>
    <row r="1203" spans="1:21" x14ac:dyDescent="0.15">
      <c r="A1203" s="86"/>
      <c r="B1203" s="86"/>
      <c r="C1203" s="86"/>
      <c r="D1203" s="86"/>
      <c r="E1203" s="86"/>
      <c r="F1203" s="86"/>
      <c r="G1203" s="86"/>
      <c r="H1203" s="86"/>
      <c r="I1203" s="86"/>
      <c r="J1203" s="86"/>
      <c r="K1203" s="86"/>
      <c r="L1203" s="86"/>
      <c r="M1203" s="86"/>
      <c r="N1203" s="86"/>
      <c r="O1203" s="86"/>
      <c r="P1203" s="86"/>
      <c r="Q1203" s="85"/>
      <c r="R1203" s="84"/>
      <c r="S1203" s="86"/>
      <c r="T1203" s="84"/>
      <c r="U1203" s="86"/>
    </row>
    <row r="1204" spans="1:21" x14ac:dyDescent="0.15">
      <c r="A1204" s="86"/>
      <c r="B1204" s="86"/>
      <c r="C1204" s="86"/>
      <c r="D1204" s="86"/>
      <c r="E1204" s="86"/>
      <c r="F1204" s="86"/>
      <c r="G1204" s="86"/>
      <c r="H1204" s="86"/>
      <c r="I1204" s="86"/>
      <c r="J1204" s="86"/>
      <c r="K1204" s="86"/>
      <c r="L1204" s="86"/>
      <c r="M1204" s="86"/>
      <c r="N1204" s="86"/>
      <c r="O1204" s="86"/>
      <c r="P1204" s="86"/>
      <c r="Q1204" s="85"/>
      <c r="R1204" s="84"/>
      <c r="S1204" s="86"/>
      <c r="T1204" s="84"/>
      <c r="U1204" s="86"/>
    </row>
    <row r="1205" spans="1:21" x14ac:dyDescent="0.15">
      <c r="A1205" s="86"/>
      <c r="B1205" s="86"/>
      <c r="C1205" s="86"/>
      <c r="D1205" s="86"/>
      <c r="E1205" s="86"/>
      <c r="F1205" s="86"/>
      <c r="G1205" s="86"/>
      <c r="H1205" s="86"/>
      <c r="I1205" s="86"/>
      <c r="J1205" s="86"/>
      <c r="K1205" s="86"/>
      <c r="L1205" s="86"/>
      <c r="M1205" s="86"/>
      <c r="N1205" s="86"/>
      <c r="O1205" s="86"/>
      <c r="P1205" s="86"/>
      <c r="Q1205" s="85"/>
      <c r="S1205" s="86"/>
      <c r="T1205" s="86"/>
      <c r="U1205" s="86"/>
    </row>
    <row r="1206" spans="1:21" x14ac:dyDescent="0.15">
      <c r="A1206" s="86"/>
      <c r="B1206" s="86"/>
      <c r="C1206" s="86"/>
      <c r="D1206" s="86"/>
      <c r="E1206" s="86"/>
      <c r="F1206" s="86"/>
      <c r="G1206" s="86"/>
      <c r="H1206" s="86"/>
      <c r="I1206" s="86"/>
      <c r="J1206" s="86"/>
      <c r="K1206" s="86"/>
      <c r="L1206" s="86"/>
      <c r="M1206" s="86"/>
      <c r="N1206" s="86"/>
      <c r="O1206" s="86"/>
      <c r="P1206" s="86"/>
      <c r="Q1206" s="85"/>
      <c r="S1206" s="86"/>
      <c r="T1206" s="84"/>
      <c r="U1206" s="86"/>
    </row>
    <row r="1207" spans="1:21" x14ac:dyDescent="0.15">
      <c r="A1207" s="86"/>
      <c r="B1207" s="86"/>
      <c r="C1207" s="86"/>
      <c r="D1207" s="86"/>
      <c r="E1207" s="86"/>
      <c r="F1207" s="86"/>
      <c r="G1207" s="86"/>
      <c r="H1207" s="86"/>
      <c r="I1207" s="86"/>
      <c r="J1207" s="86"/>
      <c r="K1207" s="86"/>
      <c r="L1207" s="86"/>
      <c r="M1207" s="86"/>
      <c r="N1207" s="86"/>
      <c r="O1207" s="86"/>
      <c r="P1207" s="86"/>
      <c r="Q1207" s="85"/>
      <c r="S1207" s="86"/>
      <c r="T1207" s="84"/>
      <c r="U1207" s="86"/>
    </row>
    <row r="1208" spans="1:21" x14ac:dyDescent="0.15">
      <c r="A1208" s="86"/>
      <c r="B1208" s="86"/>
      <c r="C1208" s="86"/>
      <c r="D1208" s="86"/>
      <c r="E1208" s="86"/>
      <c r="F1208" s="86"/>
      <c r="G1208" s="86"/>
      <c r="H1208" s="86"/>
      <c r="I1208" s="86"/>
      <c r="J1208" s="86"/>
      <c r="K1208" s="86"/>
      <c r="L1208" s="86"/>
      <c r="M1208" s="86"/>
      <c r="N1208" s="86"/>
      <c r="O1208" s="86"/>
      <c r="P1208" s="86"/>
      <c r="Q1208" s="85"/>
      <c r="S1208" s="86"/>
      <c r="T1208" s="86"/>
      <c r="U1208" s="86"/>
    </row>
    <row r="1209" spans="1:21" x14ac:dyDescent="0.15">
      <c r="B1209" s="4"/>
    </row>
    <row r="1210" spans="1:21" x14ac:dyDescent="0.15">
      <c r="B1210" s="4"/>
    </row>
    <row r="1211" spans="1:21" x14ac:dyDescent="0.15">
      <c r="B1211" s="4"/>
    </row>
    <row r="1212" spans="1:21" x14ac:dyDescent="0.15">
      <c r="B1212" s="4"/>
    </row>
    <row r="1213" spans="1:21" x14ac:dyDescent="0.15">
      <c r="B1213" s="4"/>
    </row>
    <row r="1214" spans="1:21" x14ac:dyDescent="0.15">
      <c r="B1214" s="4"/>
    </row>
    <row r="1215" spans="1:21" x14ac:dyDescent="0.15">
      <c r="B1215" s="4"/>
    </row>
    <row r="1216" spans="1:21" x14ac:dyDescent="0.15">
      <c r="B1216" s="4"/>
    </row>
    <row r="1217" spans="2:2" x14ac:dyDescent="0.15">
      <c r="B1217" s="4"/>
    </row>
  </sheetData>
  <autoFilter ref="A9:U505"/>
  <phoneticPr fontId="32" type="noConversion"/>
  <conditionalFormatting sqref="A9:Q9">
    <cfRule type="containsErrors" dxfId="19" priority="1">
      <formula>ISERROR(A9)</formula>
    </cfRule>
  </conditionalFormatting>
  <pageMargins left="0.69930555555555596" right="0.69930555555555596" top="0.75" bottom="0.75" header="0.3" footer="0.3"/>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177"/>
  <sheetViews>
    <sheetView workbookViewId="0">
      <pane ySplit="8" topLeftCell="A15" activePane="bottomLeft" state="frozen"/>
      <selection pane="bottomLeft" activeCell="E31" sqref="E31"/>
    </sheetView>
  </sheetViews>
  <sheetFormatPr defaultColWidth="9" defaultRowHeight="13.5" x14ac:dyDescent="0.15"/>
  <cols>
    <col min="1" max="1" width="9" style="4" customWidth="1"/>
    <col min="2" max="2" width="10.625" style="6" customWidth="1"/>
    <col min="3" max="3" width="28.875" style="6" customWidth="1"/>
    <col min="4" max="16384" width="9" style="4"/>
  </cols>
  <sheetData>
    <row r="1" spans="1:3" s="1" customFormat="1" x14ac:dyDescent="0.15">
      <c r="A1" s="5" t="s">
        <v>18</v>
      </c>
      <c r="B1" s="1" t="s">
        <v>1</v>
      </c>
    </row>
    <row r="2" spans="1:3" s="1" customFormat="1" x14ac:dyDescent="0.15">
      <c r="A2" s="5" t="s">
        <v>2</v>
      </c>
      <c r="B2" s="1" t="s">
        <v>1</v>
      </c>
      <c r="C2" s="1" t="s">
        <v>1</v>
      </c>
    </row>
    <row r="3" spans="1:3" s="2" customFormat="1" ht="14.25" x14ac:dyDescent="0.15">
      <c r="A3" s="14" t="s">
        <v>1</v>
      </c>
      <c r="B3" s="14" t="s">
        <v>3</v>
      </c>
      <c r="C3" s="14" t="s">
        <v>19</v>
      </c>
    </row>
    <row r="4" spans="1:3" s="2" customFormat="1" ht="14.25" x14ac:dyDescent="0.15">
      <c r="A4" s="14"/>
      <c r="B4" s="14" t="s">
        <v>4</v>
      </c>
      <c r="C4" s="14" t="s">
        <v>22</v>
      </c>
    </row>
    <row r="5" spans="1:3" s="2" customFormat="1" ht="14.25" x14ac:dyDescent="0.15">
      <c r="A5" s="14"/>
      <c r="B5" s="14" t="str">
        <f>IF(B3="","",IF(B3="INT","i",IF(B3="FLOAT","f",IF(B3="STRING","s"))))</f>
        <v>i</v>
      </c>
      <c r="C5" s="14" t="str">
        <f>IF(C3="","",IF(C3="INT","i",IF(C3="FLOAT","f",IF(C3="STRING","s"))))</f>
        <v>s</v>
      </c>
    </row>
    <row r="6" spans="1:3" s="2" customFormat="1" ht="14.25" x14ac:dyDescent="0.15">
      <c r="A6" s="14" t="s">
        <v>1</v>
      </c>
      <c r="B6" s="14" t="str">
        <f>B5&amp;B4</f>
        <v>iID</v>
      </c>
      <c r="C6" s="14" t="str">
        <f>C5&amp;C4</f>
        <v>sDialog</v>
      </c>
    </row>
    <row r="7" spans="1:3" s="3" customFormat="1" ht="14.25" x14ac:dyDescent="0.15">
      <c r="A7" s="14"/>
      <c r="B7" s="14" t="s">
        <v>252</v>
      </c>
      <c r="C7" s="14" t="s">
        <v>23</v>
      </c>
    </row>
    <row r="8" spans="1:3" s="3" customFormat="1" ht="14.25" x14ac:dyDescent="0.15">
      <c r="A8" s="14" t="s">
        <v>6</v>
      </c>
      <c r="B8" s="14" t="e">
        <f>MODE(B11:B884)</f>
        <v>#N/A</v>
      </c>
      <c r="C8" s="14"/>
    </row>
    <row r="9" spans="1:3" s="19" customFormat="1" ht="15.75" customHeight="1" x14ac:dyDescent="0.15">
      <c r="A9" s="18"/>
      <c r="B9" s="18"/>
      <c r="C9" s="18"/>
    </row>
    <row r="10" spans="1:3" x14ac:dyDescent="0.15">
      <c r="A10" s="4" t="s">
        <v>1</v>
      </c>
      <c r="B10" s="4">
        <v>221</v>
      </c>
      <c r="C10" s="23" t="s">
        <v>3876</v>
      </c>
    </row>
    <row r="11" spans="1:3" x14ac:dyDescent="0.15">
      <c r="B11" s="4"/>
      <c r="C11" s="20"/>
    </row>
    <row r="12" spans="1:3" s="72" customFormat="1" x14ac:dyDescent="0.15">
      <c r="B12" s="72" t="s">
        <v>2680</v>
      </c>
    </row>
    <row r="13" spans="1:3" x14ac:dyDescent="0.15">
      <c r="B13" s="4"/>
      <c r="C13" s="20"/>
    </row>
    <row r="14" spans="1:3" x14ac:dyDescent="0.15">
      <c r="A14" s="88" t="s">
        <v>1</v>
      </c>
      <c r="B14" s="89" t="s">
        <v>2648</v>
      </c>
      <c r="C14" s="92" t="s">
        <v>2649</v>
      </c>
    </row>
    <row r="15" spans="1:3" x14ac:dyDescent="0.15">
      <c r="A15" s="89" t="s">
        <v>1</v>
      </c>
      <c r="B15" s="89">
        <v>50112</v>
      </c>
      <c r="C15" s="92" t="s">
        <v>2650</v>
      </c>
    </row>
    <row r="16" spans="1:3" x14ac:dyDescent="0.15">
      <c r="A16" s="89" t="s">
        <v>1</v>
      </c>
      <c r="B16" s="89">
        <v>50113</v>
      </c>
      <c r="C16" s="92" t="s">
        <v>2651</v>
      </c>
    </row>
    <row r="17" spans="1:3" x14ac:dyDescent="0.15">
      <c r="A17" s="89" t="s">
        <v>1</v>
      </c>
      <c r="B17" s="89">
        <v>50114</v>
      </c>
      <c r="C17" s="92" t="s">
        <v>2652</v>
      </c>
    </row>
    <row r="18" spans="1:3" x14ac:dyDescent="0.15">
      <c r="A18" s="89" t="s">
        <v>1</v>
      </c>
      <c r="B18" s="89">
        <v>50115</v>
      </c>
      <c r="C18" s="92" t="s">
        <v>2653</v>
      </c>
    </row>
    <row r="19" spans="1:3" x14ac:dyDescent="0.15">
      <c r="A19" s="4" t="s">
        <v>1</v>
      </c>
      <c r="B19" s="4" t="s">
        <v>1388</v>
      </c>
      <c r="C19" s="20" t="s">
        <v>2674</v>
      </c>
    </row>
    <row r="20" spans="1:3" x14ac:dyDescent="0.15">
      <c r="A20" s="4" t="s">
        <v>1</v>
      </c>
      <c r="B20" s="4">
        <v>50212</v>
      </c>
      <c r="C20" s="20" t="s">
        <v>2675</v>
      </c>
    </row>
    <row r="21" spans="1:3" x14ac:dyDescent="0.15">
      <c r="A21" s="4" t="s">
        <v>1</v>
      </c>
      <c r="B21" s="4">
        <v>50213</v>
      </c>
      <c r="C21" s="20" t="s">
        <v>2676</v>
      </c>
    </row>
    <row r="22" spans="1:3" x14ac:dyDescent="0.15">
      <c r="A22" s="4" t="s">
        <v>1</v>
      </c>
      <c r="B22" s="4">
        <v>50214</v>
      </c>
      <c r="C22" s="20" t="s">
        <v>2677</v>
      </c>
    </row>
    <row r="23" spans="1:3" x14ac:dyDescent="0.15">
      <c r="A23" s="4" t="s">
        <v>1</v>
      </c>
      <c r="B23" s="4">
        <v>50215</v>
      </c>
      <c r="C23" s="20" t="s">
        <v>2678</v>
      </c>
    </row>
    <row r="24" spans="1:3" x14ac:dyDescent="0.15">
      <c r="B24" s="4"/>
      <c r="C24" s="20"/>
    </row>
    <row r="25" spans="1:3" x14ac:dyDescent="0.15">
      <c r="B25" s="4"/>
      <c r="C25" s="20"/>
    </row>
    <row r="26" spans="1:3" x14ac:dyDescent="0.15">
      <c r="B26" s="4"/>
      <c r="C26" s="20"/>
    </row>
    <row r="27" spans="1:3" s="72" customFormat="1" x14ac:dyDescent="0.15">
      <c r="B27" s="72" t="s">
        <v>2679</v>
      </c>
    </row>
    <row r="28" spans="1:3" x14ac:dyDescent="0.15">
      <c r="A28" s="4" t="s">
        <v>1</v>
      </c>
      <c r="B28" s="4">
        <v>200111</v>
      </c>
      <c r="C28" s="20" t="s">
        <v>1367</v>
      </c>
    </row>
    <row r="29" spans="1:3" x14ac:dyDescent="0.15">
      <c r="A29" s="4" t="s">
        <v>1</v>
      </c>
      <c r="B29" s="4">
        <v>200112</v>
      </c>
      <c r="C29" s="20" t="s">
        <v>7543</v>
      </c>
    </row>
    <row r="30" spans="1:3" x14ac:dyDescent="0.15">
      <c r="A30" s="4" t="s">
        <v>1</v>
      </c>
      <c r="B30" s="4">
        <v>200113</v>
      </c>
      <c r="C30" s="20" t="s">
        <v>1368</v>
      </c>
    </row>
    <row r="31" spans="1:3" x14ac:dyDescent="0.15">
      <c r="A31" s="4" t="s">
        <v>1</v>
      </c>
      <c r="B31" s="4">
        <v>200114</v>
      </c>
      <c r="C31" s="20" t="s">
        <v>1884</v>
      </c>
    </row>
    <row r="32" spans="1:3" x14ac:dyDescent="0.15">
      <c r="A32" s="4" t="s">
        <v>1</v>
      </c>
      <c r="B32" s="4">
        <v>200115</v>
      </c>
      <c r="C32" s="20" t="s">
        <v>1369</v>
      </c>
    </row>
    <row r="33" spans="1:3" x14ac:dyDescent="0.15">
      <c r="A33" s="4" t="s">
        <v>1</v>
      </c>
      <c r="B33" s="4">
        <v>200116</v>
      </c>
      <c r="C33" s="20" t="s">
        <v>1370</v>
      </c>
    </row>
    <row r="34" spans="1:3" x14ac:dyDescent="0.15">
      <c r="B34" s="4"/>
      <c r="C34" s="20"/>
    </row>
    <row r="35" spans="1:3" x14ac:dyDescent="0.15">
      <c r="B35" s="4" t="s">
        <v>1091</v>
      </c>
      <c r="C35" s="20" t="s">
        <v>1106</v>
      </c>
    </row>
    <row r="36" spans="1:3" x14ac:dyDescent="0.15">
      <c r="B36" s="4">
        <v>9010312</v>
      </c>
      <c r="C36" s="20" t="s">
        <v>1163</v>
      </c>
    </row>
    <row r="37" spans="1:3" x14ac:dyDescent="0.15">
      <c r="B37" s="4">
        <v>9010313</v>
      </c>
      <c r="C37" s="20" t="s">
        <v>1107</v>
      </c>
    </row>
    <row r="38" spans="1:3" x14ac:dyDescent="0.15">
      <c r="B38" s="4">
        <v>9010314</v>
      </c>
      <c r="C38" s="20" t="s">
        <v>1108</v>
      </c>
    </row>
    <row r="39" spans="1:3" x14ac:dyDescent="0.15">
      <c r="B39" s="4" t="s">
        <v>1092</v>
      </c>
      <c r="C39" s="20" t="s">
        <v>1109</v>
      </c>
    </row>
    <row r="40" spans="1:3" x14ac:dyDescent="0.15">
      <c r="B40" s="4">
        <v>9010322</v>
      </c>
      <c r="C40" s="20" t="s">
        <v>1164</v>
      </c>
    </row>
    <row r="41" spans="1:3" x14ac:dyDescent="0.15">
      <c r="B41" s="4">
        <v>9010323</v>
      </c>
      <c r="C41" s="20" t="s">
        <v>1110</v>
      </c>
    </row>
    <row r="42" spans="1:3" x14ac:dyDescent="0.15">
      <c r="B42" s="4">
        <v>9010324</v>
      </c>
      <c r="C42" s="20" t="s">
        <v>1111</v>
      </c>
    </row>
    <row r="43" spans="1:3" x14ac:dyDescent="0.15">
      <c r="B43" s="4" t="s">
        <v>1093</v>
      </c>
      <c r="C43" s="20" t="s">
        <v>1112</v>
      </c>
    </row>
    <row r="44" spans="1:3" x14ac:dyDescent="0.15">
      <c r="B44" s="4">
        <v>9010612</v>
      </c>
      <c r="C44" s="20" t="s">
        <v>1113</v>
      </c>
    </row>
    <row r="45" spans="1:3" x14ac:dyDescent="0.15">
      <c r="B45" s="4">
        <v>9010613</v>
      </c>
      <c r="C45" s="20" t="s">
        <v>1165</v>
      </c>
    </row>
    <row r="46" spans="1:3" x14ac:dyDescent="0.15">
      <c r="B46" s="4">
        <v>9010614</v>
      </c>
      <c r="C46" s="20" t="s">
        <v>1114</v>
      </c>
    </row>
    <row r="47" spans="1:3" x14ac:dyDescent="0.15">
      <c r="B47" s="4">
        <v>9010615</v>
      </c>
      <c r="C47" s="20" t="s">
        <v>1115</v>
      </c>
    </row>
    <row r="48" spans="1:3" x14ac:dyDescent="0.15">
      <c r="B48" s="4" t="s">
        <v>1094</v>
      </c>
      <c r="C48" s="20" t="s">
        <v>1116</v>
      </c>
    </row>
    <row r="49" spans="2:3" x14ac:dyDescent="0.15">
      <c r="B49" s="4">
        <v>9010622</v>
      </c>
      <c r="C49" s="20" t="s">
        <v>1117</v>
      </c>
    </row>
    <row r="50" spans="2:3" x14ac:dyDescent="0.15">
      <c r="B50" s="4">
        <v>9010623</v>
      </c>
      <c r="C50" s="20" t="s">
        <v>1166</v>
      </c>
    </row>
    <row r="51" spans="2:3" x14ac:dyDescent="0.15">
      <c r="B51" s="4">
        <v>9010624</v>
      </c>
      <c r="C51" s="20" t="s">
        <v>1118</v>
      </c>
    </row>
    <row r="52" spans="2:3" x14ac:dyDescent="0.15">
      <c r="B52" s="4">
        <v>9010625</v>
      </c>
      <c r="C52" s="20" t="s">
        <v>1119</v>
      </c>
    </row>
    <row r="53" spans="2:3" x14ac:dyDescent="0.15">
      <c r="B53" s="4" t="s">
        <v>1095</v>
      </c>
      <c r="C53" s="20" t="s">
        <v>1120</v>
      </c>
    </row>
    <row r="54" spans="2:3" x14ac:dyDescent="0.15">
      <c r="B54" s="4">
        <v>9020112</v>
      </c>
      <c r="C54" s="20" t="s">
        <v>1121</v>
      </c>
    </row>
    <row r="55" spans="2:3" x14ac:dyDescent="0.15">
      <c r="B55" s="4">
        <v>9020113</v>
      </c>
      <c r="C55" s="20" t="s">
        <v>1167</v>
      </c>
    </row>
    <row r="56" spans="2:3" x14ac:dyDescent="0.15">
      <c r="B56" s="4">
        <v>9020114</v>
      </c>
      <c r="C56" s="20" t="s">
        <v>1122</v>
      </c>
    </row>
    <row r="57" spans="2:3" x14ac:dyDescent="0.15">
      <c r="B57" s="4">
        <v>9020115</v>
      </c>
      <c r="C57" s="20" t="s">
        <v>1123</v>
      </c>
    </row>
    <row r="58" spans="2:3" x14ac:dyDescent="0.15">
      <c r="B58" s="4" t="s">
        <v>1096</v>
      </c>
      <c r="C58" s="20" t="s">
        <v>1124</v>
      </c>
    </row>
    <row r="59" spans="2:3" x14ac:dyDescent="0.15">
      <c r="B59" s="4">
        <v>9020122</v>
      </c>
      <c r="C59" s="20" t="s">
        <v>1125</v>
      </c>
    </row>
    <row r="60" spans="2:3" x14ac:dyDescent="0.15">
      <c r="B60" s="4">
        <v>9020123</v>
      </c>
      <c r="C60" s="20" t="s">
        <v>1167</v>
      </c>
    </row>
    <row r="61" spans="2:3" x14ac:dyDescent="0.15">
      <c r="B61" s="4">
        <v>9020124</v>
      </c>
      <c r="C61" s="20" t="s">
        <v>1126</v>
      </c>
    </row>
    <row r="62" spans="2:3" x14ac:dyDescent="0.15">
      <c r="B62" s="4">
        <v>9020125</v>
      </c>
      <c r="C62" s="20" t="s">
        <v>1127</v>
      </c>
    </row>
    <row r="63" spans="2:3" x14ac:dyDescent="0.15">
      <c r="B63" s="6" t="s">
        <v>1097</v>
      </c>
      <c r="C63" s="20" t="s">
        <v>1128</v>
      </c>
    </row>
    <row r="64" spans="2:3" x14ac:dyDescent="0.15">
      <c r="B64" s="6">
        <v>9020212</v>
      </c>
      <c r="C64" s="20" t="s">
        <v>1129</v>
      </c>
    </row>
    <row r="65" spans="2:3" x14ac:dyDescent="0.15">
      <c r="B65" s="6">
        <v>9020213</v>
      </c>
      <c r="C65" s="20" t="s">
        <v>1168</v>
      </c>
    </row>
    <row r="66" spans="2:3" x14ac:dyDescent="0.15">
      <c r="B66" s="6">
        <v>9020214</v>
      </c>
      <c r="C66" s="20" t="s">
        <v>1130</v>
      </c>
    </row>
    <row r="67" spans="2:3" x14ac:dyDescent="0.15">
      <c r="B67" s="6">
        <v>9020215</v>
      </c>
      <c r="C67" s="20" t="s">
        <v>1131</v>
      </c>
    </row>
    <row r="68" spans="2:3" x14ac:dyDescent="0.15">
      <c r="B68" s="6" t="s">
        <v>1098</v>
      </c>
      <c r="C68" s="20" t="s">
        <v>1132</v>
      </c>
    </row>
    <row r="69" spans="2:3" x14ac:dyDescent="0.15">
      <c r="B69" s="6">
        <v>9020312</v>
      </c>
      <c r="C69" s="20" t="s">
        <v>1133</v>
      </c>
    </row>
    <row r="70" spans="2:3" x14ac:dyDescent="0.15">
      <c r="B70" s="6">
        <v>9020313</v>
      </c>
      <c r="C70" s="20" t="s">
        <v>1169</v>
      </c>
    </row>
    <row r="71" spans="2:3" x14ac:dyDescent="0.15">
      <c r="B71" s="6">
        <v>9020314</v>
      </c>
      <c r="C71" s="20" t="s">
        <v>1134</v>
      </c>
    </row>
    <row r="72" spans="2:3" x14ac:dyDescent="0.15">
      <c r="B72" s="6">
        <v>9020315</v>
      </c>
      <c r="C72" s="20" t="s">
        <v>1135</v>
      </c>
    </row>
    <row r="73" spans="2:3" x14ac:dyDescent="0.15">
      <c r="B73" s="6" t="s">
        <v>1099</v>
      </c>
      <c r="C73" s="20" t="s">
        <v>1136</v>
      </c>
    </row>
    <row r="74" spans="2:3" x14ac:dyDescent="0.15">
      <c r="B74" s="6">
        <v>9020322</v>
      </c>
      <c r="C74" s="20" t="s">
        <v>1137</v>
      </c>
    </row>
    <row r="75" spans="2:3" x14ac:dyDescent="0.15">
      <c r="B75" s="6">
        <v>9020323</v>
      </c>
      <c r="C75" s="20" t="s">
        <v>1170</v>
      </c>
    </row>
    <row r="76" spans="2:3" x14ac:dyDescent="0.15">
      <c r="B76" s="6">
        <v>9020324</v>
      </c>
      <c r="C76" s="20" t="s">
        <v>1138</v>
      </c>
    </row>
    <row r="77" spans="2:3" x14ac:dyDescent="0.15">
      <c r="B77" s="6">
        <v>9020325</v>
      </c>
      <c r="C77" s="20" t="s">
        <v>1139</v>
      </c>
    </row>
    <row r="78" spans="2:3" x14ac:dyDescent="0.15">
      <c r="B78" s="6" t="s">
        <v>1100</v>
      </c>
      <c r="C78" s="20" t="s">
        <v>1140</v>
      </c>
    </row>
    <row r="79" spans="2:3" x14ac:dyDescent="0.15">
      <c r="B79" s="6">
        <v>9020612</v>
      </c>
      <c r="C79" s="20" t="s">
        <v>1141</v>
      </c>
    </row>
    <row r="80" spans="2:3" x14ac:dyDescent="0.15">
      <c r="B80" s="6">
        <v>9020613</v>
      </c>
      <c r="C80" s="20" t="s">
        <v>1171</v>
      </c>
    </row>
    <row r="81" spans="2:3" x14ac:dyDescent="0.15">
      <c r="B81" s="6">
        <v>9020614</v>
      </c>
      <c r="C81" s="20" t="s">
        <v>1142</v>
      </c>
    </row>
    <row r="82" spans="2:3" x14ac:dyDescent="0.15">
      <c r="B82" s="6">
        <v>9020615</v>
      </c>
      <c r="C82" s="20" t="s">
        <v>1143</v>
      </c>
    </row>
    <row r="83" spans="2:3" x14ac:dyDescent="0.15">
      <c r="B83" s="6" t="s">
        <v>1101</v>
      </c>
      <c r="C83" s="20" t="s">
        <v>1144</v>
      </c>
    </row>
    <row r="84" spans="2:3" x14ac:dyDescent="0.15">
      <c r="B84" s="6">
        <v>9020712</v>
      </c>
      <c r="C84" s="20" t="s">
        <v>1145</v>
      </c>
    </row>
    <row r="85" spans="2:3" x14ac:dyDescent="0.15">
      <c r="B85" s="6">
        <v>9020713</v>
      </c>
      <c r="C85" s="20" t="s">
        <v>1172</v>
      </c>
    </row>
    <row r="86" spans="2:3" x14ac:dyDescent="0.15">
      <c r="B86" s="6">
        <v>9020714</v>
      </c>
      <c r="C86" s="20" t="s">
        <v>1146</v>
      </c>
    </row>
    <row r="87" spans="2:3" x14ac:dyDescent="0.15">
      <c r="B87" s="6">
        <v>9020715</v>
      </c>
      <c r="C87" s="20" t="s">
        <v>1147</v>
      </c>
    </row>
    <row r="88" spans="2:3" x14ac:dyDescent="0.15">
      <c r="B88" s="6" t="s">
        <v>1102</v>
      </c>
      <c r="C88" s="20" t="s">
        <v>1148</v>
      </c>
    </row>
    <row r="89" spans="2:3" x14ac:dyDescent="0.15">
      <c r="B89" s="6">
        <v>9020722</v>
      </c>
      <c r="C89" s="20" t="s">
        <v>1181</v>
      </c>
    </row>
    <row r="90" spans="2:3" x14ac:dyDescent="0.15">
      <c r="B90" s="6">
        <v>9020723</v>
      </c>
      <c r="C90" s="20" t="s">
        <v>1173</v>
      </c>
    </row>
    <row r="91" spans="2:3" x14ac:dyDescent="0.15">
      <c r="B91" s="6">
        <v>9020724</v>
      </c>
      <c r="C91" s="20" t="s">
        <v>1149</v>
      </c>
    </row>
    <row r="92" spans="2:3" x14ac:dyDescent="0.15">
      <c r="B92" s="6">
        <v>9020725</v>
      </c>
      <c r="C92" s="20" t="s">
        <v>1150</v>
      </c>
    </row>
    <row r="93" spans="2:3" x14ac:dyDescent="0.15">
      <c r="B93" s="6" t="s">
        <v>1103</v>
      </c>
      <c r="C93" s="20" t="s">
        <v>1151</v>
      </c>
    </row>
    <row r="94" spans="2:3" x14ac:dyDescent="0.15">
      <c r="B94" s="6">
        <v>9020912</v>
      </c>
      <c r="C94" s="20" t="s">
        <v>1152</v>
      </c>
    </row>
    <row r="95" spans="2:3" x14ac:dyDescent="0.15">
      <c r="B95" s="6">
        <v>9020913</v>
      </c>
      <c r="C95" s="20" t="s">
        <v>1174</v>
      </c>
    </row>
    <row r="96" spans="2:3" x14ac:dyDescent="0.15">
      <c r="B96" s="6">
        <v>9020914</v>
      </c>
      <c r="C96" s="20" t="s">
        <v>1153</v>
      </c>
    </row>
    <row r="97" spans="2:3" x14ac:dyDescent="0.15">
      <c r="B97" s="6">
        <v>9020915</v>
      </c>
      <c r="C97" s="20" t="s">
        <v>1154</v>
      </c>
    </row>
    <row r="98" spans="2:3" x14ac:dyDescent="0.15">
      <c r="B98" s="6" t="s">
        <v>1104</v>
      </c>
      <c r="C98" s="20" t="s">
        <v>1155</v>
      </c>
    </row>
    <row r="99" spans="2:3" x14ac:dyDescent="0.15">
      <c r="B99" s="6">
        <v>9021212</v>
      </c>
      <c r="C99" s="20" t="s">
        <v>1156</v>
      </c>
    </row>
    <row r="100" spans="2:3" x14ac:dyDescent="0.15">
      <c r="B100" s="6">
        <v>9021213</v>
      </c>
      <c r="C100" s="20" t="s">
        <v>1168</v>
      </c>
    </row>
    <row r="101" spans="2:3" x14ac:dyDescent="0.15">
      <c r="B101" s="6">
        <v>9021214</v>
      </c>
      <c r="C101" s="20" t="s">
        <v>1157</v>
      </c>
    </row>
    <row r="102" spans="2:3" x14ac:dyDescent="0.15">
      <c r="B102" s="6">
        <v>9021215</v>
      </c>
      <c r="C102" s="20" t="s">
        <v>1158</v>
      </c>
    </row>
    <row r="103" spans="2:3" x14ac:dyDescent="0.15">
      <c r="B103" s="6" t="s">
        <v>1105</v>
      </c>
      <c r="C103" s="20" t="s">
        <v>1159</v>
      </c>
    </row>
    <row r="104" spans="2:3" x14ac:dyDescent="0.15">
      <c r="B104" s="6">
        <v>9021312</v>
      </c>
      <c r="C104" s="20" t="s">
        <v>1160</v>
      </c>
    </row>
    <row r="105" spans="2:3" x14ac:dyDescent="0.15">
      <c r="B105" s="6">
        <v>9021313</v>
      </c>
      <c r="C105" s="20" t="s">
        <v>1175</v>
      </c>
    </row>
    <row r="106" spans="2:3" x14ac:dyDescent="0.15">
      <c r="B106" s="6">
        <v>9021314</v>
      </c>
      <c r="C106" s="20" t="s">
        <v>1161</v>
      </c>
    </row>
    <row r="107" spans="2:3" x14ac:dyDescent="0.15">
      <c r="B107" s="6">
        <v>9021315</v>
      </c>
      <c r="C107" s="20" t="s">
        <v>1162</v>
      </c>
    </row>
    <row r="108" spans="2:3" x14ac:dyDescent="0.15">
      <c r="B108" s="6">
        <v>9030111</v>
      </c>
      <c r="C108" s="20" t="s">
        <v>1185</v>
      </c>
    </row>
    <row r="109" spans="2:3" x14ac:dyDescent="0.15">
      <c r="B109" s="6">
        <v>9030112</v>
      </c>
      <c r="C109" s="20" t="s">
        <v>1186</v>
      </c>
    </row>
    <row r="110" spans="2:3" x14ac:dyDescent="0.15">
      <c r="B110" s="6">
        <v>9030113</v>
      </c>
      <c r="C110" s="20" t="s">
        <v>1187</v>
      </c>
    </row>
    <row r="111" spans="2:3" x14ac:dyDescent="0.15">
      <c r="B111" s="6">
        <v>9030114</v>
      </c>
      <c r="C111" s="20" t="s">
        <v>1188</v>
      </c>
    </row>
    <row r="112" spans="2:3" x14ac:dyDescent="0.15">
      <c r="B112" s="6">
        <v>9030115</v>
      </c>
      <c r="C112" s="20" t="s">
        <v>1189</v>
      </c>
    </row>
    <row r="113" spans="2:3" x14ac:dyDescent="0.15">
      <c r="B113" s="6">
        <v>9030121</v>
      </c>
      <c r="C113" s="20" t="s">
        <v>1185</v>
      </c>
    </row>
    <row r="114" spans="2:3" x14ac:dyDescent="0.15">
      <c r="B114" s="6">
        <v>9030122</v>
      </c>
      <c r="C114" s="20" t="s">
        <v>1186</v>
      </c>
    </row>
    <row r="115" spans="2:3" x14ac:dyDescent="0.15">
      <c r="B115" s="6">
        <v>9030123</v>
      </c>
      <c r="C115" s="20" t="s">
        <v>1187</v>
      </c>
    </row>
    <row r="116" spans="2:3" x14ac:dyDescent="0.15">
      <c r="B116" s="6">
        <v>9030124</v>
      </c>
      <c r="C116" s="20" t="s">
        <v>1188</v>
      </c>
    </row>
    <row r="117" spans="2:3" x14ac:dyDescent="0.15">
      <c r="B117" s="6">
        <v>9030125</v>
      </c>
      <c r="C117" s="20" t="s">
        <v>1189</v>
      </c>
    </row>
    <row r="118" spans="2:3" x14ac:dyDescent="0.15">
      <c r="B118" s="6">
        <v>9030211</v>
      </c>
      <c r="C118" s="20" t="s">
        <v>1190</v>
      </c>
    </row>
    <row r="119" spans="2:3" x14ac:dyDescent="0.15">
      <c r="B119" s="6">
        <v>9030212</v>
      </c>
      <c r="C119" s="20" t="s">
        <v>1191</v>
      </c>
    </row>
    <row r="120" spans="2:3" x14ac:dyDescent="0.15">
      <c r="B120" s="6">
        <v>9030213</v>
      </c>
      <c r="C120" s="20" t="s">
        <v>1192</v>
      </c>
    </row>
    <row r="121" spans="2:3" x14ac:dyDescent="0.15">
      <c r="B121" s="6">
        <v>9030214</v>
      </c>
      <c r="C121" s="20" t="s">
        <v>1193</v>
      </c>
    </row>
    <row r="122" spans="2:3" x14ac:dyDescent="0.15">
      <c r="B122" s="6">
        <v>9030215</v>
      </c>
      <c r="C122" s="20" t="s">
        <v>1194</v>
      </c>
    </row>
    <row r="123" spans="2:3" x14ac:dyDescent="0.15">
      <c r="B123" s="6">
        <v>9030221</v>
      </c>
      <c r="C123" s="20" t="s">
        <v>1195</v>
      </c>
    </row>
    <row r="124" spans="2:3" x14ac:dyDescent="0.15">
      <c r="B124" s="6">
        <v>9030222</v>
      </c>
      <c r="C124" s="20" t="s">
        <v>1196</v>
      </c>
    </row>
    <row r="125" spans="2:3" x14ac:dyDescent="0.15">
      <c r="B125" s="6">
        <v>9030223</v>
      </c>
      <c r="C125" s="20" t="s">
        <v>1192</v>
      </c>
    </row>
    <row r="126" spans="2:3" x14ac:dyDescent="0.15">
      <c r="B126" s="6">
        <v>9030224</v>
      </c>
      <c r="C126" s="20" t="s">
        <v>1197</v>
      </c>
    </row>
    <row r="127" spans="2:3" x14ac:dyDescent="0.15">
      <c r="B127" s="6">
        <v>9030225</v>
      </c>
      <c r="C127" s="20" t="s">
        <v>1198</v>
      </c>
    </row>
    <row r="128" spans="2:3" x14ac:dyDescent="0.15">
      <c r="B128" s="6">
        <v>9030411</v>
      </c>
      <c r="C128" s="20" t="s">
        <v>1199</v>
      </c>
    </row>
    <row r="129" spans="2:3" x14ac:dyDescent="0.15">
      <c r="B129" s="6">
        <v>9030412</v>
      </c>
      <c r="C129" s="20" t="s">
        <v>1200</v>
      </c>
    </row>
    <row r="130" spans="2:3" x14ac:dyDescent="0.15">
      <c r="B130" s="6">
        <v>9030413</v>
      </c>
      <c r="C130" s="20" t="s">
        <v>1201</v>
      </c>
    </row>
    <row r="131" spans="2:3" x14ac:dyDescent="0.15">
      <c r="B131" s="6">
        <v>9030414</v>
      </c>
      <c r="C131" s="20" t="s">
        <v>1202</v>
      </c>
    </row>
    <row r="132" spans="2:3" x14ac:dyDescent="0.15">
      <c r="B132" s="6">
        <v>9030415</v>
      </c>
      <c r="C132" s="20" t="s">
        <v>1203</v>
      </c>
    </row>
    <row r="133" spans="2:3" x14ac:dyDescent="0.15">
      <c r="B133" s="6">
        <v>9030421</v>
      </c>
      <c r="C133" s="20" t="s">
        <v>1199</v>
      </c>
    </row>
    <row r="134" spans="2:3" x14ac:dyDescent="0.15">
      <c r="B134" s="6">
        <v>9030422</v>
      </c>
      <c r="C134" s="20" t="s">
        <v>1200</v>
      </c>
    </row>
    <row r="135" spans="2:3" x14ac:dyDescent="0.15">
      <c r="B135" s="6">
        <v>9030423</v>
      </c>
      <c r="C135" s="20" t="s">
        <v>1201</v>
      </c>
    </row>
    <row r="136" spans="2:3" x14ac:dyDescent="0.15">
      <c r="B136" s="6">
        <v>9030424</v>
      </c>
      <c r="C136" s="20" t="s">
        <v>1202</v>
      </c>
    </row>
    <row r="137" spans="2:3" x14ac:dyDescent="0.15">
      <c r="B137" s="6">
        <v>9030425</v>
      </c>
      <c r="C137" s="20" t="s">
        <v>1203</v>
      </c>
    </row>
    <row r="138" spans="2:3" x14ac:dyDescent="0.15">
      <c r="B138" s="6">
        <v>9030511</v>
      </c>
      <c r="C138" s="20" t="s">
        <v>1204</v>
      </c>
    </row>
    <row r="139" spans="2:3" x14ac:dyDescent="0.15">
      <c r="B139" s="6">
        <v>9030512</v>
      </c>
      <c r="C139" s="20" t="s">
        <v>1205</v>
      </c>
    </row>
    <row r="140" spans="2:3" x14ac:dyDescent="0.15">
      <c r="B140" s="6">
        <v>9030513</v>
      </c>
      <c r="C140" s="20" t="s">
        <v>1206</v>
      </c>
    </row>
    <row r="141" spans="2:3" x14ac:dyDescent="0.15">
      <c r="B141" s="6">
        <v>9030514</v>
      </c>
      <c r="C141" s="20" t="s">
        <v>1207</v>
      </c>
    </row>
    <row r="142" spans="2:3" x14ac:dyDescent="0.15">
      <c r="B142" s="6">
        <v>9030515</v>
      </c>
      <c r="C142" s="20" t="s">
        <v>1208</v>
      </c>
    </row>
    <row r="143" spans="2:3" x14ac:dyDescent="0.15">
      <c r="B143" s="6">
        <v>9030521</v>
      </c>
      <c r="C143" s="20" t="s">
        <v>1204</v>
      </c>
    </row>
    <row r="144" spans="2:3" x14ac:dyDescent="0.15">
      <c r="B144" s="6">
        <v>9030522</v>
      </c>
      <c r="C144" s="20" t="s">
        <v>1205</v>
      </c>
    </row>
    <row r="145" spans="2:3" x14ac:dyDescent="0.15">
      <c r="B145" s="6">
        <v>9030523</v>
      </c>
      <c r="C145" s="20" t="s">
        <v>1206</v>
      </c>
    </row>
    <row r="146" spans="2:3" x14ac:dyDescent="0.15">
      <c r="B146" s="6">
        <v>9030524</v>
      </c>
      <c r="C146" s="20" t="s">
        <v>1207</v>
      </c>
    </row>
    <row r="147" spans="2:3" x14ac:dyDescent="0.15">
      <c r="B147" s="6">
        <v>9030525</v>
      </c>
      <c r="C147" s="20" t="s">
        <v>1208</v>
      </c>
    </row>
    <row r="148" spans="2:3" x14ac:dyDescent="0.15">
      <c r="B148" s="6">
        <v>9030711</v>
      </c>
      <c r="C148" s="6" t="s">
        <v>1209</v>
      </c>
    </row>
    <row r="149" spans="2:3" x14ac:dyDescent="0.15">
      <c r="B149" s="6">
        <v>9030712</v>
      </c>
      <c r="C149" s="6" t="s">
        <v>1210</v>
      </c>
    </row>
    <row r="150" spans="2:3" x14ac:dyDescent="0.15">
      <c r="B150" s="6">
        <v>9030713</v>
      </c>
      <c r="C150" s="6" t="s">
        <v>1211</v>
      </c>
    </row>
    <row r="151" spans="2:3" x14ac:dyDescent="0.15">
      <c r="B151" s="6">
        <v>9030714</v>
      </c>
      <c r="C151" s="6" t="s">
        <v>1212</v>
      </c>
    </row>
    <row r="152" spans="2:3" x14ac:dyDescent="0.15">
      <c r="B152" s="6">
        <v>9030715</v>
      </c>
      <c r="C152" s="6" t="s">
        <v>1213</v>
      </c>
    </row>
    <row r="153" spans="2:3" x14ac:dyDescent="0.15">
      <c r="B153" s="6">
        <v>9030721</v>
      </c>
      <c r="C153" s="6" t="s">
        <v>1209</v>
      </c>
    </row>
    <row r="154" spans="2:3" x14ac:dyDescent="0.15">
      <c r="B154" s="6">
        <v>9030722</v>
      </c>
      <c r="C154" s="6" t="s">
        <v>1210</v>
      </c>
    </row>
    <row r="155" spans="2:3" x14ac:dyDescent="0.15">
      <c r="B155" s="6">
        <v>9030723</v>
      </c>
      <c r="C155" s="6" t="s">
        <v>1211</v>
      </c>
    </row>
    <row r="156" spans="2:3" x14ac:dyDescent="0.15">
      <c r="B156" s="6">
        <v>9030724</v>
      </c>
      <c r="C156" s="6" t="s">
        <v>1212</v>
      </c>
    </row>
    <row r="157" spans="2:3" x14ac:dyDescent="0.15">
      <c r="B157" s="6">
        <v>9030725</v>
      </c>
      <c r="C157" s="6" t="s">
        <v>1213</v>
      </c>
    </row>
    <row r="158" spans="2:3" x14ac:dyDescent="0.15">
      <c r="B158" s="6">
        <v>9030811</v>
      </c>
      <c r="C158" s="6" t="s">
        <v>1214</v>
      </c>
    </row>
    <row r="159" spans="2:3" x14ac:dyDescent="0.15">
      <c r="B159" s="6">
        <v>9030812</v>
      </c>
      <c r="C159" s="6" t="s">
        <v>1215</v>
      </c>
    </row>
    <row r="160" spans="2:3" x14ac:dyDescent="0.15">
      <c r="B160" s="6">
        <v>9030813</v>
      </c>
      <c r="C160" s="6" t="s">
        <v>1216</v>
      </c>
    </row>
    <row r="161" spans="2:3" x14ac:dyDescent="0.15">
      <c r="B161" s="6">
        <v>9030814</v>
      </c>
      <c r="C161" s="6" t="s">
        <v>1217</v>
      </c>
    </row>
    <row r="162" spans="2:3" x14ac:dyDescent="0.15">
      <c r="B162" s="6">
        <v>9030815</v>
      </c>
      <c r="C162" s="6" t="s">
        <v>1218</v>
      </c>
    </row>
    <row r="163" spans="2:3" x14ac:dyDescent="0.15">
      <c r="B163" s="6">
        <v>9030821</v>
      </c>
      <c r="C163" s="6" t="s">
        <v>1214</v>
      </c>
    </row>
    <row r="164" spans="2:3" x14ac:dyDescent="0.15">
      <c r="B164" s="6">
        <v>9030822</v>
      </c>
      <c r="C164" s="6" t="s">
        <v>1215</v>
      </c>
    </row>
    <row r="165" spans="2:3" x14ac:dyDescent="0.15">
      <c r="B165" s="6">
        <v>9030823</v>
      </c>
      <c r="C165" s="6" t="s">
        <v>1216</v>
      </c>
    </row>
    <row r="166" spans="2:3" x14ac:dyDescent="0.15">
      <c r="B166" s="6">
        <v>9030824</v>
      </c>
      <c r="C166" s="6" t="s">
        <v>1217</v>
      </c>
    </row>
    <row r="167" spans="2:3" x14ac:dyDescent="0.15">
      <c r="B167" s="6">
        <v>9030825</v>
      </c>
      <c r="C167" s="6" t="s">
        <v>1218</v>
      </c>
    </row>
    <row r="168" spans="2:3" x14ac:dyDescent="0.15">
      <c r="B168" s="6">
        <v>9030911</v>
      </c>
      <c r="C168" s="6" t="s">
        <v>1219</v>
      </c>
    </row>
    <row r="169" spans="2:3" x14ac:dyDescent="0.15">
      <c r="B169" s="6">
        <v>9030912</v>
      </c>
      <c r="C169" s="6" t="s">
        <v>1220</v>
      </c>
    </row>
    <row r="170" spans="2:3" x14ac:dyDescent="0.15">
      <c r="B170" s="6">
        <v>9030913</v>
      </c>
      <c r="C170" s="6" t="s">
        <v>1221</v>
      </c>
    </row>
    <row r="171" spans="2:3" x14ac:dyDescent="0.15">
      <c r="B171" s="6">
        <v>9030914</v>
      </c>
      <c r="C171" s="6" t="s">
        <v>1222</v>
      </c>
    </row>
    <row r="172" spans="2:3" x14ac:dyDescent="0.15">
      <c r="B172" s="6">
        <v>9030915</v>
      </c>
      <c r="C172" s="6" t="s">
        <v>1223</v>
      </c>
    </row>
    <row r="173" spans="2:3" x14ac:dyDescent="0.15">
      <c r="B173" s="6">
        <v>9030921</v>
      </c>
      <c r="C173" s="6" t="s">
        <v>1219</v>
      </c>
    </row>
    <row r="174" spans="2:3" x14ac:dyDescent="0.15">
      <c r="B174" s="6">
        <v>9030922</v>
      </c>
      <c r="C174" s="6" t="s">
        <v>1224</v>
      </c>
    </row>
    <row r="175" spans="2:3" x14ac:dyDescent="0.15">
      <c r="B175" s="6">
        <v>9030923</v>
      </c>
      <c r="C175" s="6" t="s">
        <v>1225</v>
      </c>
    </row>
    <row r="176" spans="2:3" x14ac:dyDescent="0.15">
      <c r="B176" s="6">
        <v>9030924</v>
      </c>
      <c r="C176" s="6" t="s">
        <v>1226</v>
      </c>
    </row>
    <row r="177" spans="2:3" x14ac:dyDescent="0.15">
      <c r="B177" s="6">
        <v>9030925</v>
      </c>
      <c r="C177" s="6" t="s">
        <v>1223</v>
      </c>
    </row>
  </sheetData>
  <phoneticPr fontId="32" type="noConversion"/>
  <pageMargins left="0.69930555555555596" right="0.69930555555555596" top="0.75" bottom="0.75" header="0.3" footer="0.3"/>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16"/>
  <sheetViews>
    <sheetView topLeftCell="A67" workbookViewId="0">
      <selection activeCell="C91" sqref="C91"/>
    </sheetView>
  </sheetViews>
  <sheetFormatPr defaultColWidth="9" defaultRowHeight="13.5" x14ac:dyDescent="0.15"/>
  <cols>
    <col min="1" max="1" width="9" style="50" customWidth="1"/>
    <col min="2" max="2" width="10.625" style="52" customWidth="1"/>
    <col min="3" max="3" width="14.25" style="52" bestFit="1" customWidth="1"/>
    <col min="4" max="4" width="28.875" style="52" customWidth="1"/>
    <col min="5" max="5" width="16.75" style="50" customWidth="1"/>
    <col min="6" max="16384" width="9" style="50"/>
  </cols>
  <sheetData>
    <row r="1" spans="1:5" s="46" customFormat="1" x14ac:dyDescent="0.15">
      <c r="A1" s="45" t="s">
        <v>136</v>
      </c>
      <c r="B1" s="46" t="s">
        <v>1</v>
      </c>
    </row>
    <row r="2" spans="1:5" s="46" customFormat="1" x14ac:dyDescent="0.15">
      <c r="A2" s="45" t="s">
        <v>2</v>
      </c>
      <c r="B2" s="46" t="s">
        <v>1</v>
      </c>
      <c r="C2" s="46" t="s">
        <v>1</v>
      </c>
      <c r="D2" s="46" t="s">
        <v>1</v>
      </c>
      <c r="E2" s="46" t="s">
        <v>1</v>
      </c>
    </row>
    <row r="3" spans="1:5" s="47" customFormat="1" ht="14.25" x14ac:dyDescent="0.15">
      <c r="A3" s="14" t="s">
        <v>1</v>
      </c>
      <c r="B3" s="14" t="s">
        <v>3</v>
      </c>
      <c r="C3" s="14" t="s">
        <v>137</v>
      </c>
      <c r="D3" s="14" t="s">
        <v>137</v>
      </c>
      <c r="E3" s="14" t="s">
        <v>137</v>
      </c>
    </row>
    <row r="4" spans="1:5" s="47" customFormat="1" ht="14.25" x14ac:dyDescent="0.15">
      <c r="A4" s="14"/>
      <c r="B4" s="14" t="s">
        <v>4</v>
      </c>
      <c r="C4" s="14" t="s">
        <v>138</v>
      </c>
      <c r="D4" s="14" t="s">
        <v>139</v>
      </c>
      <c r="E4" s="14" t="s">
        <v>1083</v>
      </c>
    </row>
    <row r="5" spans="1:5" s="47" customFormat="1" ht="14.25" x14ac:dyDescent="0.15">
      <c r="A5" s="14"/>
      <c r="B5" s="14" t="str">
        <f>IF(B3="","",IF(B3="INT","i",IF(B3="FLOAT","f",IF(B3="STRING","s"))))</f>
        <v>i</v>
      </c>
      <c r="C5" s="14" t="str">
        <f>IF(C3="","",IF(C3="INT","i",IF(C3="FLOAT","f",IF(C3="STRING","s"))))</f>
        <v>s</v>
      </c>
      <c r="D5" s="14" t="str">
        <f>IF(D3="","",IF(D3="INT","i",IF(D3="FLOAT","f",IF(D3="STRING","s"))))</f>
        <v>s</v>
      </c>
      <c r="E5" s="14" t="str">
        <f>IF(E3="","",IF(E3="INT","i",IF(E3="FLOAT","f",IF(E3="STRING","s"))))</f>
        <v>s</v>
      </c>
    </row>
    <row r="6" spans="1:5" s="47" customFormat="1" ht="14.25" x14ac:dyDescent="0.15">
      <c r="A6" s="14" t="s">
        <v>1</v>
      </c>
      <c r="B6" s="14" t="str">
        <f>B5&amp;B4</f>
        <v>iID</v>
      </c>
      <c r="C6" s="14" t="str">
        <f>C5&amp;C4</f>
        <v>sName</v>
      </c>
      <c r="D6" s="14" t="str">
        <f>D5&amp;D4</f>
        <v>sDesc</v>
      </c>
      <c r="E6" s="14" t="str">
        <f>E5&amp;E4</f>
        <v>sItemIcon</v>
      </c>
    </row>
    <row r="7" spans="1:5" s="48" customFormat="1" ht="14.25" x14ac:dyDescent="0.15">
      <c r="A7" s="14"/>
      <c r="B7" s="14" t="s">
        <v>142</v>
      </c>
      <c r="C7" s="14" t="s">
        <v>140</v>
      </c>
      <c r="D7" s="14" t="s">
        <v>141</v>
      </c>
      <c r="E7" s="14" t="s">
        <v>1082</v>
      </c>
    </row>
    <row r="8" spans="1:5" s="48" customFormat="1" ht="14.25" x14ac:dyDescent="0.15">
      <c r="A8" s="14" t="s">
        <v>6</v>
      </c>
      <c r="B8" s="14" t="e">
        <f>MODE(B13:B1046)</f>
        <v>#N/A</v>
      </c>
      <c r="C8" s="14"/>
      <c r="D8" s="14"/>
      <c r="E8" s="48" t="s">
        <v>1081</v>
      </c>
    </row>
    <row r="9" spans="1:5" s="49" customFormat="1" ht="15.75" customHeight="1" x14ac:dyDescent="0.15">
      <c r="A9" s="18"/>
      <c r="B9" s="18"/>
      <c r="C9" s="18"/>
      <c r="D9" s="18"/>
    </row>
    <row r="10" spans="1:5" x14ac:dyDescent="0.15">
      <c r="A10" s="86" t="s">
        <v>1</v>
      </c>
      <c r="B10" s="86">
        <v>105001</v>
      </c>
      <c r="C10" s="86" t="s">
        <v>651</v>
      </c>
      <c r="D10" s="86" t="s">
        <v>652</v>
      </c>
      <c r="E10" s="86" t="s">
        <v>2562</v>
      </c>
    </row>
    <row r="11" spans="1:5" x14ac:dyDescent="0.15">
      <c r="A11" s="86" t="s">
        <v>1</v>
      </c>
      <c r="B11" s="86">
        <v>105002</v>
      </c>
      <c r="C11" s="86" t="s">
        <v>653</v>
      </c>
      <c r="D11" s="86" t="s">
        <v>654</v>
      </c>
      <c r="E11" s="86" t="s">
        <v>2562</v>
      </c>
    </row>
    <row r="12" spans="1:5" x14ac:dyDescent="0.15">
      <c r="A12" s="86" t="s">
        <v>1</v>
      </c>
      <c r="B12" s="86">
        <v>105003</v>
      </c>
      <c r="C12" s="86" t="s">
        <v>655</v>
      </c>
      <c r="D12" s="86" t="s">
        <v>656</v>
      </c>
      <c r="E12" s="86" t="s">
        <v>2562</v>
      </c>
    </row>
    <row r="13" spans="1:5" ht="15.75" customHeight="1" x14ac:dyDescent="0.15">
      <c r="A13" s="86" t="s">
        <v>1</v>
      </c>
      <c r="B13" s="86">
        <v>105004</v>
      </c>
      <c r="C13" s="86" t="s">
        <v>657</v>
      </c>
      <c r="D13" s="86" t="s">
        <v>658</v>
      </c>
      <c r="E13" s="86" t="s">
        <v>2562</v>
      </c>
    </row>
    <row r="14" spans="1:5" x14ac:dyDescent="0.15">
      <c r="A14" s="86" t="s">
        <v>1</v>
      </c>
      <c r="B14" s="86">
        <v>105005</v>
      </c>
      <c r="C14" s="86" t="s">
        <v>659</v>
      </c>
      <c r="D14" s="86" t="s">
        <v>660</v>
      </c>
      <c r="E14" s="86" t="s">
        <v>2562</v>
      </c>
    </row>
    <row r="15" spans="1:5" x14ac:dyDescent="0.15">
      <c r="A15" s="86" t="s">
        <v>1</v>
      </c>
      <c r="B15" s="86">
        <v>105006</v>
      </c>
      <c r="C15" s="86" t="s">
        <v>467</v>
      </c>
      <c r="D15" s="86" t="s">
        <v>468</v>
      </c>
      <c r="E15" s="86" t="s">
        <v>2562</v>
      </c>
    </row>
    <row r="16" spans="1:5" x14ac:dyDescent="0.15">
      <c r="A16" s="86" t="s">
        <v>1</v>
      </c>
      <c r="B16" s="86">
        <v>105007</v>
      </c>
      <c r="C16" s="86" t="s">
        <v>469</v>
      </c>
      <c r="D16" s="86" t="s">
        <v>470</v>
      </c>
      <c r="E16" s="86" t="s">
        <v>2562</v>
      </c>
    </row>
    <row r="17" spans="1:5" x14ac:dyDescent="0.15">
      <c r="A17" s="86" t="s">
        <v>1</v>
      </c>
      <c r="B17" s="86">
        <v>105008</v>
      </c>
      <c r="C17" s="86" t="s">
        <v>1263</v>
      </c>
      <c r="D17" s="86" t="s">
        <v>1264</v>
      </c>
      <c r="E17" s="86" t="s">
        <v>2562</v>
      </c>
    </row>
    <row r="18" spans="1:5" x14ac:dyDescent="0.15">
      <c r="A18" s="86" t="s">
        <v>1</v>
      </c>
      <c r="B18" s="86">
        <v>105009</v>
      </c>
      <c r="C18" s="86" t="s">
        <v>471</v>
      </c>
      <c r="D18" s="86" t="s">
        <v>472</v>
      </c>
      <c r="E18" s="86" t="s">
        <v>2562</v>
      </c>
    </row>
    <row r="19" spans="1:5" x14ac:dyDescent="0.15">
      <c r="A19" s="86" t="s">
        <v>1</v>
      </c>
      <c r="B19" s="86">
        <v>105010</v>
      </c>
      <c r="C19" s="86" t="s">
        <v>473</v>
      </c>
      <c r="D19" s="86" t="s">
        <v>474</v>
      </c>
      <c r="E19" s="86" t="s">
        <v>2562</v>
      </c>
    </row>
    <row r="20" spans="1:5" x14ac:dyDescent="0.15">
      <c r="A20" s="86" t="s">
        <v>1</v>
      </c>
      <c r="B20" s="86">
        <v>105011</v>
      </c>
      <c r="C20" s="86" t="s">
        <v>475</v>
      </c>
      <c r="D20" s="86" t="s">
        <v>476</v>
      </c>
      <c r="E20" s="86" t="s">
        <v>2562</v>
      </c>
    </row>
    <row r="21" spans="1:5" x14ac:dyDescent="0.15">
      <c r="A21" s="86" t="s">
        <v>1</v>
      </c>
      <c r="B21" s="86">
        <v>105012</v>
      </c>
      <c r="C21" s="86" t="s">
        <v>2475</v>
      </c>
      <c r="D21" s="86" t="s">
        <v>2476</v>
      </c>
      <c r="E21" s="86" t="s">
        <v>2562</v>
      </c>
    </row>
    <row r="22" spans="1:5" x14ac:dyDescent="0.15">
      <c r="A22" s="86" t="s">
        <v>1</v>
      </c>
      <c r="B22" s="86">
        <v>105013</v>
      </c>
      <c r="C22" s="86" t="s">
        <v>2477</v>
      </c>
      <c r="D22" s="86" t="s">
        <v>2478</v>
      </c>
      <c r="E22" s="86" t="s">
        <v>2562</v>
      </c>
    </row>
    <row r="23" spans="1:5" x14ac:dyDescent="0.15">
      <c r="A23" s="86" t="s">
        <v>1</v>
      </c>
      <c r="B23" s="86">
        <v>105014</v>
      </c>
      <c r="C23" s="86" t="s">
        <v>2479</v>
      </c>
      <c r="D23" s="86" t="s">
        <v>2480</v>
      </c>
      <c r="E23" s="86" t="s">
        <v>2562</v>
      </c>
    </row>
    <row r="24" spans="1:5" x14ac:dyDescent="0.15">
      <c r="A24" s="86" t="s">
        <v>1</v>
      </c>
      <c r="B24" s="86">
        <v>105015</v>
      </c>
      <c r="C24" s="86" t="s">
        <v>282</v>
      </c>
      <c r="D24" s="86" t="s">
        <v>283</v>
      </c>
      <c r="E24" s="86" t="s">
        <v>2562</v>
      </c>
    </row>
    <row r="25" spans="1:5" x14ac:dyDescent="0.15">
      <c r="A25" s="86" t="s">
        <v>1</v>
      </c>
      <c r="B25" s="86">
        <v>105016</v>
      </c>
      <c r="C25" s="86" t="s">
        <v>2481</v>
      </c>
      <c r="D25" s="86" t="s">
        <v>2482</v>
      </c>
      <c r="E25" s="86" t="s">
        <v>2562</v>
      </c>
    </row>
    <row r="26" spans="1:5" x14ac:dyDescent="0.15">
      <c r="A26" s="86" t="s">
        <v>1</v>
      </c>
      <c r="B26" s="86">
        <v>105017</v>
      </c>
      <c r="C26" s="86" t="s">
        <v>837</v>
      </c>
      <c r="D26" s="86" t="s">
        <v>838</v>
      </c>
      <c r="E26" s="86" t="s">
        <v>2562</v>
      </c>
    </row>
    <row r="27" spans="1:5" x14ac:dyDescent="0.15">
      <c r="A27" s="86" t="s">
        <v>1</v>
      </c>
      <c r="B27" s="86">
        <v>105018</v>
      </c>
      <c r="C27" s="86" t="s">
        <v>839</v>
      </c>
      <c r="D27" s="86" t="s">
        <v>840</v>
      </c>
      <c r="E27" s="86" t="s">
        <v>2562</v>
      </c>
    </row>
    <row r="28" spans="1:5" x14ac:dyDescent="0.15">
      <c r="A28" s="86" t="s">
        <v>1</v>
      </c>
      <c r="B28" s="86">
        <v>105019</v>
      </c>
      <c r="C28" s="86" t="s">
        <v>739</v>
      </c>
      <c r="D28" s="86" t="s">
        <v>740</v>
      </c>
      <c r="E28" s="86" t="s">
        <v>2562</v>
      </c>
    </row>
    <row r="29" spans="1:5" x14ac:dyDescent="0.15">
      <c r="A29" s="86" t="s">
        <v>1</v>
      </c>
      <c r="B29" s="86">
        <v>105020</v>
      </c>
      <c r="C29" s="86" t="s">
        <v>460</v>
      </c>
      <c r="D29" s="86" t="s">
        <v>461</v>
      </c>
      <c r="E29" s="86" t="s">
        <v>2562</v>
      </c>
    </row>
    <row r="30" spans="1:5" x14ac:dyDescent="0.15">
      <c r="A30" s="86" t="s">
        <v>1</v>
      </c>
      <c r="B30" s="86">
        <v>105021</v>
      </c>
      <c r="C30" s="86" t="s">
        <v>462</v>
      </c>
      <c r="D30" s="86" t="s">
        <v>463</v>
      </c>
      <c r="E30" s="86" t="s">
        <v>2562</v>
      </c>
    </row>
    <row r="31" spans="1:5" x14ac:dyDescent="0.15">
      <c r="A31" s="86" t="s">
        <v>1</v>
      </c>
      <c r="B31" s="86">
        <v>105022</v>
      </c>
      <c r="C31" s="86" t="s">
        <v>464</v>
      </c>
      <c r="D31" s="86" t="s">
        <v>7141</v>
      </c>
      <c r="E31" s="86" t="s">
        <v>2562</v>
      </c>
    </row>
    <row r="32" spans="1:5" x14ac:dyDescent="0.15">
      <c r="A32" s="86" t="s">
        <v>1</v>
      </c>
      <c r="B32" s="86">
        <v>105023</v>
      </c>
      <c r="C32" s="86" t="s">
        <v>465</v>
      </c>
      <c r="D32" s="86" t="s">
        <v>466</v>
      </c>
      <c r="E32" s="86" t="s">
        <v>2562</v>
      </c>
    </row>
    <row r="33" spans="1:5" x14ac:dyDescent="0.15">
      <c r="A33" s="86" t="s">
        <v>1</v>
      </c>
      <c r="B33" s="86">
        <v>105024</v>
      </c>
      <c r="C33" s="86" t="s">
        <v>2483</v>
      </c>
      <c r="D33" s="86" t="s">
        <v>2484</v>
      </c>
      <c r="E33" s="86" t="s">
        <v>2562</v>
      </c>
    </row>
    <row r="34" spans="1:5" x14ac:dyDescent="0.15">
      <c r="A34" s="86" t="s">
        <v>1</v>
      </c>
      <c r="B34" s="86">
        <v>105025</v>
      </c>
      <c r="C34" s="86" t="s">
        <v>2485</v>
      </c>
      <c r="D34" s="86" t="s">
        <v>2486</v>
      </c>
      <c r="E34" s="86" t="s">
        <v>2562</v>
      </c>
    </row>
    <row r="35" spans="1:5" x14ac:dyDescent="0.15">
      <c r="A35" s="86" t="s">
        <v>1</v>
      </c>
      <c r="B35" s="86">
        <v>105026</v>
      </c>
      <c r="C35" s="86" t="s">
        <v>2487</v>
      </c>
      <c r="D35" s="85" t="s">
        <v>2488</v>
      </c>
      <c r="E35" s="86" t="s">
        <v>2562</v>
      </c>
    </row>
    <row r="36" spans="1:5" x14ac:dyDescent="0.15">
      <c r="A36" s="86" t="s">
        <v>1</v>
      </c>
      <c r="B36" s="86">
        <v>105027</v>
      </c>
      <c r="C36" s="86" t="s">
        <v>2489</v>
      </c>
      <c r="D36" s="85" t="s">
        <v>2490</v>
      </c>
      <c r="E36" s="86" t="s">
        <v>2562</v>
      </c>
    </row>
    <row r="37" spans="1:5" x14ac:dyDescent="0.15">
      <c r="A37" s="86" t="s">
        <v>1</v>
      </c>
      <c r="B37" s="86">
        <v>105028</v>
      </c>
      <c r="C37" s="86" t="s">
        <v>661</v>
      </c>
      <c r="D37" s="85" t="s">
        <v>662</v>
      </c>
      <c r="E37" s="86" t="s">
        <v>2562</v>
      </c>
    </row>
    <row r="38" spans="1:5" x14ac:dyDescent="0.15">
      <c r="A38" s="86" t="s">
        <v>1</v>
      </c>
      <c r="B38" s="86">
        <v>105029</v>
      </c>
      <c r="C38" s="86" t="s">
        <v>663</v>
      </c>
      <c r="D38" s="85" t="s">
        <v>664</v>
      </c>
      <c r="E38" s="86" t="s">
        <v>2562</v>
      </c>
    </row>
    <row r="39" spans="1:5" x14ac:dyDescent="0.15">
      <c r="A39" s="86" t="s">
        <v>1</v>
      </c>
      <c r="B39" s="86">
        <v>105030</v>
      </c>
      <c r="C39" s="86" t="s">
        <v>665</v>
      </c>
      <c r="D39" s="85" t="s">
        <v>666</v>
      </c>
      <c r="E39" s="86" t="s">
        <v>2562</v>
      </c>
    </row>
    <row r="40" spans="1:5" x14ac:dyDescent="0.15">
      <c r="A40" s="86" t="s">
        <v>1</v>
      </c>
      <c r="B40" s="86">
        <v>105031</v>
      </c>
      <c r="C40" s="86" t="s">
        <v>2557</v>
      </c>
      <c r="D40" s="85" t="s">
        <v>2558</v>
      </c>
      <c r="E40" s="86" t="s">
        <v>2562</v>
      </c>
    </row>
    <row r="41" spans="1:5" x14ac:dyDescent="0.15">
      <c r="A41" s="86" t="s">
        <v>1</v>
      </c>
      <c r="B41" s="86">
        <v>105032</v>
      </c>
      <c r="C41" s="86" t="s">
        <v>2559</v>
      </c>
      <c r="D41" s="85" t="s">
        <v>2560</v>
      </c>
      <c r="E41" s="86" t="s">
        <v>2562</v>
      </c>
    </row>
    <row r="42" spans="1:5" x14ac:dyDescent="0.15">
      <c r="A42" s="86" t="s">
        <v>1</v>
      </c>
      <c r="B42" s="86">
        <v>105033</v>
      </c>
      <c r="C42" s="86" t="s">
        <v>2781</v>
      </c>
      <c r="D42" s="85" t="s">
        <v>2782</v>
      </c>
      <c r="E42" s="86" t="s">
        <v>2562</v>
      </c>
    </row>
    <row r="43" spans="1:5" x14ac:dyDescent="0.15">
      <c r="A43" s="86" t="s">
        <v>1</v>
      </c>
      <c r="B43" s="86">
        <v>105034</v>
      </c>
      <c r="C43" s="86" t="s">
        <v>2783</v>
      </c>
      <c r="D43" s="85" t="s">
        <v>2784</v>
      </c>
      <c r="E43" s="86" t="s">
        <v>2562</v>
      </c>
    </row>
    <row r="44" spans="1:5" x14ac:dyDescent="0.15">
      <c r="A44" s="86" t="s">
        <v>1</v>
      </c>
      <c r="B44" s="86">
        <v>105035</v>
      </c>
      <c r="C44" s="86" t="s">
        <v>2785</v>
      </c>
      <c r="D44" s="86" t="s">
        <v>2786</v>
      </c>
      <c r="E44" s="86" t="s">
        <v>2562</v>
      </c>
    </row>
    <row r="45" spans="1:5" x14ac:dyDescent="0.15">
      <c r="A45" s="86" t="s">
        <v>1</v>
      </c>
      <c r="B45" s="86">
        <v>105036</v>
      </c>
      <c r="C45" s="86" t="s">
        <v>2787</v>
      </c>
      <c r="D45" s="86" t="s">
        <v>2788</v>
      </c>
      <c r="E45" s="86" t="s">
        <v>2562</v>
      </c>
    </row>
    <row r="46" spans="1:5" x14ac:dyDescent="0.15">
      <c r="A46" s="86" t="s">
        <v>1</v>
      </c>
      <c r="B46" s="86">
        <v>105037</v>
      </c>
      <c r="C46" s="86" t="s">
        <v>2789</v>
      </c>
      <c r="D46" s="85" t="s">
        <v>2789</v>
      </c>
      <c r="E46" s="86" t="s">
        <v>2562</v>
      </c>
    </row>
    <row r="47" spans="1:5" x14ac:dyDescent="0.15">
      <c r="A47" s="86" t="s">
        <v>1</v>
      </c>
      <c r="B47" s="86">
        <v>105038</v>
      </c>
      <c r="C47" s="86" t="s">
        <v>3401</v>
      </c>
      <c r="D47" s="85" t="s">
        <v>3402</v>
      </c>
      <c r="E47" s="86" t="s">
        <v>2562</v>
      </c>
    </row>
    <row r="48" spans="1:5" x14ac:dyDescent="0.15">
      <c r="A48" s="86" t="s">
        <v>1</v>
      </c>
      <c r="B48" s="87">
        <v>105039</v>
      </c>
      <c r="C48" s="87" t="s">
        <v>3271</v>
      </c>
      <c r="D48" s="87" t="s">
        <v>3403</v>
      </c>
      <c r="E48" s="87" t="s">
        <v>3404</v>
      </c>
    </row>
    <row r="49" spans="1:5" x14ac:dyDescent="0.15">
      <c r="A49" s="86" t="s">
        <v>1</v>
      </c>
      <c r="B49" s="86">
        <v>105040</v>
      </c>
      <c r="C49" s="86" t="s">
        <v>2790</v>
      </c>
      <c r="D49" s="86" t="s">
        <v>2791</v>
      </c>
      <c r="E49" s="86" t="s">
        <v>2562</v>
      </c>
    </row>
    <row r="50" spans="1:5" x14ac:dyDescent="0.15">
      <c r="A50" s="86" t="s">
        <v>1</v>
      </c>
      <c r="B50" s="86">
        <v>105041</v>
      </c>
      <c r="C50" s="86" t="s">
        <v>2792</v>
      </c>
      <c r="D50" s="86" t="s">
        <v>2793</v>
      </c>
      <c r="E50" s="86" t="s">
        <v>2562</v>
      </c>
    </row>
    <row r="51" spans="1:5" x14ac:dyDescent="0.15">
      <c r="A51" s="86" t="s">
        <v>1</v>
      </c>
      <c r="B51" s="86">
        <v>105042</v>
      </c>
      <c r="C51" s="86" t="s">
        <v>2794</v>
      </c>
      <c r="D51" s="86" t="s">
        <v>2795</v>
      </c>
      <c r="E51" s="86" t="s">
        <v>2562</v>
      </c>
    </row>
    <row r="52" spans="1:5" x14ac:dyDescent="0.15">
      <c r="A52" s="86" t="s">
        <v>1</v>
      </c>
      <c r="B52" s="86">
        <v>105043</v>
      </c>
      <c r="C52" s="86" t="s">
        <v>2796</v>
      </c>
      <c r="D52" s="86" t="s">
        <v>2797</v>
      </c>
      <c r="E52" s="86" t="s">
        <v>2562</v>
      </c>
    </row>
    <row r="53" spans="1:5" x14ac:dyDescent="0.15">
      <c r="A53" s="86" t="s">
        <v>1</v>
      </c>
      <c r="B53" s="86">
        <v>105044</v>
      </c>
      <c r="C53" s="86" t="s">
        <v>2798</v>
      </c>
      <c r="D53" s="85" t="s">
        <v>2799</v>
      </c>
      <c r="E53" s="86" t="s">
        <v>2562</v>
      </c>
    </row>
    <row r="54" spans="1:5" x14ac:dyDescent="0.15">
      <c r="A54" s="86" t="s">
        <v>1</v>
      </c>
      <c r="B54" s="86">
        <v>105045</v>
      </c>
      <c r="C54" s="86" t="s">
        <v>2800</v>
      </c>
      <c r="D54" s="85" t="s">
        <v>2801</v>
      </c>
      <c r="E54" s="86" t="s">
        <v>2562</v>
      </c>
    </row>
    <row r="55" spans="1:5" x14ac:dyDescent="0.15">
      <c r="A55" s="86" t="s">
        <v>1</v>
      </c>
      <c r="B55" s="86">
        <v>105046</v>
      </c>
      <c r="C55" s="86" t="s">
        <v>2802</v>
      </c>
      <c r="D55" s="85" t="s">
        <v>2803</v>
      </c>
      <c r="E55" s="86" t="s">
        <v>2562</v>
      </c>
    </row>
    <row r="56" spans="1:5" x14ac:dyDescent="0.15">
      <c r="A56" s="86" t="s">
        <v>1</v>
      </c>
      <c r="B56" s="86">
        <v>105047</v>
      </c>
      <c r="C56" s="86" t="s">
        <v>3877</v>
      </c>
      <c r="D56" s="85" t="s">
        <v>3878</v>
      </c>
      <c r="E56" s="86" t="s">
        <v>2562</v>
      </c>
    </row>
    <row r="57" spans="1:5" x14ac:dyDescent="0.15">
      <c r="A57" s="86" t="s">
        <v>1</v>
      </c>
      <c r="B57" s="86">
        <v>105048</v>
      </c>
      <c r="C57" s="86" t="s">
        <v>3879</v>
      </c>
      <c r="D57" s="85" t="s">
        <v>3880</v>
      </c>
      <c r="E57" s="86" t="s">
        <v>2562</v>
      </c>
    </row>
    <row r="58" spans="1:5" x14ac:dyDescent="0.15">
      <c r="A58" s="86" t="s">
        <v>1</v>
      </c>
      <c r="B58" s="86">
        <v>105049</v>
      </c>
      <c r="C58" s="86" t="s">
        <v>3881</v>
      </c>
      <c r="D58" s="85" t="s">
        <v>3882</v>
      </c>
      <c r="E58" s="86" t="s">
        <v>2562</v>
      </c>
    </row>
    <row r="59" spans="1:5" x14ac:dyDescent="0.15">
      <c r="A59" s="86" t="s">
        <v>1</v>
      </c>
      <c r="B59" s="86">
        <v>105050</v>
      </c>
      <c r="C59" s="86" t="s">
        <v>3883</v>
      </c>
      <c r="D59" s="86" t="s">
        <v>3884</v>
      </c>
      <c r="E59" s="86" t="s">
        <v>2562</v>
      </c>
    </row>
    <row r="60" spans="1:5" x14ac:dyDescent="0.15">
      <c r="A60" s="86" t="s">
        <v>1</v>
      </c>
      <c r="B60" s="86">
        <v>105051</v>
      </c>
      <c r="C60" s="86" t="s">
        <v>3885</v>
      </c>
      <c r="D60" s="86" t="s">
        <v>3886</v>
      </c>
      <c r="E60" s="86" t="s">
        <v>2562</v>
      </c>
    </row>
    <row r="61" spans="1:5" x14ac:dyDescent="0.15">
      <c r="A61" s="86" t="s">
        <v>1</v>
      </c>
      <c r="B61" s="86">
        <v>105052</v>
      </c>
      <c r="C61" s="86" t="s">
        <v>3887</v>
      </c>
      <c r="D61" s="85" t="s">
        <v>3888</v>
      </c>
      <c r="E61" s="86" t="s">
        <v>2562</v>
      </c>
    </row>
    <row r="62" spans="1:5" x14ac:dyDescent="0.15">
      <c r="A62" s="86" t="s">
        <v>1</v>
      </c>
      <c r="B62" s="86">
        <v>105053</v>
      </c>
      <c r="C62" s="86" t="s">
        <v>3889</v>
      </c>
      <c r="D62" s="85" t="s">
        <v>3890</v>
      </c>
      <c r="E62" s="86" t="s">
        <v>2562</v>
      </c>
    </row>
    <row r="63" spans="1:5" x14ac:dyDescent="0.15">
      <c r="A63" s="86" t="s">
        <v>1</v>
      </c>
      <c r="B63" s="86">
        <v>105054</v>
      </c>
      <c r="C63" s="86" t="s">
        <v>3891</v>
      </c>
      <c r="D63" s="85" t="s">
        <v>3892</v>
      </c>
      <c r="E63" s="86" t="s">
        <v>2562</v>
      </c>
    </row>
    <row r="64" spans="1:5" x14ac:dyDescent="0.15">
      <c r="A64" s="86" t="s">
        <v>1</v>
      </c>
      <c r="B64" s="86">
        <v>105055</v>
      </c>
      <c r="C64" s="86" t="s">
        <v>3893</v>
      </c>
      <c r="D64" s="85" t="s">
        <v>3894</v>
      </c>
      <c r="E64" s="86" t="s">
        <v>2562</v>
      </c>
    </row>
    <row r="65" spans="1:5" x14ac:dyDescent="0.15">
      <c r="A65" s="86" t="s">
        <v>1</v>
      </c>
      <c r="B65" s="86">
        <v>105056</v>
      </c>
      <c r="C65" s="86" t="s">
        <v>4702</v>
      </c>
      <c r="D65" s="85" t="s">
        <v>4703</v>
      </c>
      <c r="E65" s="86" t="s">
        <v>2562</v>
      </c>
    </row>
    <row r="66" spans="1:5" x14ac:dyDescent="0.15">
      <c r="A66" s="50" t="s">
        <v>1</v>
      </c>
      <c r="B66" s="86">
        <v>105057</v>
      </c>
      <c r="C66" s="86" t="s">
        <v>4109</v>
      </c>
      <c r="D66" s="85" t="s">
        <v>4704</v>
      </c>
      <c r="E66" s="86" t="s">
        <v>2562</v>
      </c>
    </row>
    <row r="67" spans="1:5" x14ac:dyDescent="0.15">
      <c r="A67" s="50" t="s">
        <v>1</v>
      </c>
      <c r="B67" s="86">
        <v>105058</v>
      </c>
      <c r="C67" s="86" t="s">
        <v>4705</v>
      </c>
      <c r="D67" s="85" t="s">
        <v>4706</v>
      </c>
      <c r="E67" s="86" t="s">
        <v>2562</v>
      </c>
    </row>
    <row r="68" spans="1:5" x14ac:dyDescent="0.15">
      <c r="A68" s="50" t="s">
        <v>1</v>
      </c>
      <c r="B68" s="86">
        <v>105059</v>
      </c>
      <c r="C68" s="86" t="s">
        <v>4707</v>
      </c>
      <c r="D68" s="85" t="s">
        <v>4708</v>
      </c>
      <c r="E68" s="86" t="s">
        <v>2562</v>
      </c>
    </row>
    <row r="69" spans="1:5" x14ac:dyDescent="0.15">
      <c r="A69" s="50" t="s">
        <v>1</v>
      </c>
      <c r="B69" s="86">
        <v>105060</v>
      </c>
      <c r="C69" s="86" t="s">
        <v>4709</v>
      </c>
      <c r="D69" s="85" t="s">
        <v>4710</v>
      </c>
      <c r="E69" s="86" t="s">
        <v>2562</v>
      </c>
    </row>
    <row r="70" spans="1:5" x14ac:dyDescent="0.15">
      <c r="A70" s="50" t="s">
        <v>1</v>
      </c>
      <c r="B70" s="86">
        <v>105061</v>
      </c>
      <c r="C70" s="86" t="s">
        <v>4711</v>
      </c>
      <c r="D70" s="85" t="s">
        <v>4712</v>
      </c>
      <c r="E70" s="86" t="s">
        <v>2562</v>
      </c>
    </row>
    <row r="71" spans="1:5" x14ac:dyDescent="0.15">
      <c r="A71" s="50" t="s">
        <v>1</v>
      </c>
      <c r="B71" s="86">
        <v>105062</v>
      </c>
      <c r="C71" s="86" t="s">
        <v>4713</v>
      </c>
      <c r="D71" s="85" t="s">
        <v>4714</v>
      </c>
      <c r="E71" s="86" t="s">
        <v>2562</v>
      </c>
    </row>
    <row r="72" spans="1:5" x14ac:dyDescent="0.15">
      <c r="A72" s="50" t="s">
        <v>1</v>
      </c>
      <c r="B72" s="86">
        <v>105063</v>
      </c>
      <c r="C72" s="86" t="s">
        <v>4715</v>
      </c>
      <c r="D72" s="85" t="s">
        <v>4716</v>
      </c>
      <c r="E72" s="86" t="s">
        <v>2562</v>
      </c>
    </row>
    <row r="73" spans="1:5" x14ac:dyDescent="0.15">
      <c r="A73" s="50" t="s">
        <v>1</v>
      </c>
      <c r="B73" s="86">
        <v>105064</v>
      </c>
      <c r="C73" s="86" t="s">
        <v>4717</v>
      </c>
      <c r="D73" s="85" t="s">
        <v>4718</v>
      </c>
      <c r="E73" s="86" t="s">
        <v>2562</v>
      </c>
    </row>
    <row r="74" spans="1:5" x14ac:dyDescent="0.15">
      <c r="A74" s="50" t="s">
        <v>1</v>
      </c>
      <c r="B74" s="86">
        <v>105065</v>
      </c>
      <c r="C74" s="86" t="s">
        <v>4719</v>
      </c>
      <c r="D74" s="85" t="s">
        <v>4720</v>
      </c>
      <c r="E74" s="86" t="s">
        <v>2562</v>
      </c>
    </row>
    <row r="75" spans="1:5" x14ac:dyDescent="0.15">
      <c r="A75" s="50" t="s">
        <v>1</v>
      </c>
      <c r="B75" s="86">
        <v>105066</v>
      </c>
      <c r="C75" s="86" t="s">
        <v>4721</v>
      </c>
      <c r="D75" s="85" t="s">
        <v>4722</v>
      </c>
      <c r="E75" s="86" t="s">
        <v>2562</v>
      </c>
    </row>
    <row r="76" spans="1:5" x14ac:dyDescent="0.15">
      <c r="A76" s="50" t="s">
        <v>1</v>
      </c>
      <c r="B76" s="86">
        <v>105067</v>
      </c>
      <c r="C76" s="86" t="s">
        <v>4723</v>
      </c>
      <c r="D76" s="85" t="s">
        <v>4724</v>
      </c>
      <c r="E76" s="86" t="s">
        <v>2562</v>
      </c>
    </row>
    <row r="77" spans="1:5" x14ac:dyDescent="0.15">
      <c r="A77" s="50" t="s">
        <v>1</v>
      </c>
      <c r="B77" s="86">
        <v>105068</v>
      </c>
      <c r="C77" s="86" t="s">
        <v>4725</v>
      </c>
      <c r="D77" s="85" t="s">
        <v>4726</v>
      </c>
      <c r="E77" s="86" t="s">
        <v>2562</v>
      </c>
    </row>
    <row r="78" spans="1:5" x14ac:dyDescent="0.15">
      <c r="A78" s="50" t="s">
        <v>1</v>
      </c>
      <c r="B78" s="50">
        <v>105069</v>
      </c>
      <c r="C78" s="50" t="s">
        <v>4727</v>
      </c>
      <c r="D78" s="85" t="s">
        <v>4728</v>
      </c>
      <c r="E78" s="86" t="s">
        <v>2562</v>
      </c>
    </row>
    <row r="79" spans="1:5" x14ac:dyDescent="0.15">
      <c r="A79" s="50" t="s">
        <v>1</v>
      </c>
      <c r="B79" s="50">
        <v>105070</v>
      </c>
      <c r="C79" s="50" t="s">
        <v>4729</v>
      </c>
      <c r="D79" s="85" t="s">
        <v>4730</v>
      </c>
      <c r="E79" s="86" t="s">
        <v>2562</v>
      </c>
    </row>
    <row r="80" spans="1:5" x14ac:dyDescent="0.15">
      <c r="A80" s="50" t="s">
        <v>1</v>
      </c>
      <c r="B80" s="86">
        <v>105071</v>
      </c>
      <c r="C80" s="52" t="s">
        <v>6893</v>
      </c>
      <c r="D80" s="52" t="s">
        <v>6894</v>
      </c>
      <c r="E80" s="86" t="s">
        <v>2562</v>
      </c>
    </row>
    <row r="81" spans="1:5" x14ac:dyDescent="0.15">
      <c r="A81" s="86" t="s">
        <v>1</v>
      </c>
      <c r="B81" s="86">
        <v>105072</v>
      </c>
      <c r="C81" s="52" t="s">
        <v>6895</v>
      </c>
      <c r="D81" s="52" t="s">
        <v>6896</v>
      </c>
      <c r="E81" s="86" t="s">
        <v>2562</v>
      </c>
    </row>
    <row r="82" spans="1:5" x14ac:dyDescent="0.15">
      <c r="A82" s="86" t="s">
        <v>1</v>
      </c>
      <c r="B82" s="86">
        <v>105073</v>
      </c>
      <c r="C82" s="86" t="s">
        <v>7293</v>
      </c>
      <c r="D82" s="86" t="s">
        <v>7294</v>
      </c>
      <c r="E82" s="86" t="s">
        <v>2562</v>
      </c>
    </row>
    <row r="83" spans="1:5" x14ac:dyDescent="0.15">
      <c r="A83" s="86" t="s">
        <v>1</v>
      </c>
      <c r="B83" s="86">
        <v>105074</v>
      </c>
      <c r="C83" s="86" t="s">
        <v>6897</v>
      </c>
      <c r="D83" s="86" t="s">
        <v>6898</v>
      </c>
      <c r="E83" s="86" t="s">
        <v>2562</v>
      </c>
    </row>
    <row r="84" spans="1:5" x14ac:dyDescent="0.15">
      <c r="A84" s="86" t="s">
        <v>1</v>
      </c>
      <c r="B84" s="86">
        <v>105075</v>
      </c>
      <c r="C84" s="86" t="s">
        <v>6899</v>
      </c>
      <c r="D84" s="86" t="s">
        <v>6900</v>
      </c>
      <c r="E84" s="86" t="s">
        <v>2562</v>
      </c>
    </row>
    <row r="85" spans="1:5" x14ac:dyDescent="0.15">
      <c r="A85" s="86" t="s">
        <v>1</v>
      </c>
      <c r="B85" s="86">
        <v>105076</v>
      </c>
      <c r="C85" s="86" t="s">
        <v>6901</v>
      </c>
      <c r="D85" s="51" t="s">
        <v>6902</v>
      </c>
      <c r="E85" s="86" t="s">
        <v>2562</v>
      </c>
    </row>
    <row r="86" spans="1:5" x14ac:dyDescent="0.15">
      <c r="A86" s="86" t="s">
        <v>1</v>
      </c>
      <c r="B86" s="86">
        <v>105077</v>
      </c>
      <c r="C86" s="86" t="s">
        <v>6903</v>
      </c>
      <c r="D86" s="51" t="s">
        <v>6904</v>
      </c>
      <c r="E86" s="86" t="s">
        <v>2562</v>
      </c>
    </row>
    <row r="87" spans="1:5" x14ac:dyDescent="0.15">
      <c r="A87" s="86" t="s">
        <v>1</v>
      </c>
      <c r="B87" s="86">
        <v>105078</v>
      </c>
      <c r="C87" s="86" t="s">
        <v>6905</v>
      </c>
      <c r="D87" s="51" t="s">
        <v>6906</v>
      </c>
      <c r="E87" s="86" t="s">
        <v>2562</v>
      </c>
    </row>
    <row r="88" spans="1:5" x14ac:dyDescent="0.15">
      <c r="A88" s="86" t="s">
        <v>1</v>
      </c>
      <c r="B88" s="86">
        <v>105079</v>
      </c>
      <c r="C88" s="86" t="s">
        <v>7476</v>
      </c>
      <c r="D88" s="51" t="s">
        <v>6907</v>
      </c>
      <c r="E88" s="86" t="s">
        <v>2562</v>
      </c>
    </row>
    <row r="89" spans="1:5" x14ac:dyDescent="0.15">
      <c r="A89" s="86" t="s">
        <v>1</v>
      </c>
      <c r="B89" s="86">
        <v>105080</v>
      </c>
      <c r="C89" s="86" t="s">
        <v>7477</v>
      </c>
      <c r="D89" s="51" t="s">
        <v>6908</v>
      </c>
      <c r="E89" s="86" t="s">
        <v>2562</v>
      </c>
    </row>
    <row r="90" spans="1:5" x14ac:dyDescent="0.15">
      <c r="A90" s="86" t="s">
        <v>1</v>
      </c>
      <c r="B90" s="86">
        <v>105081</v>
      </c>
      <c r="C90" s="86" t="s">
        <v>7478</v>
      </c>
      <c r="D90" s="51" t="s">
        <v>6909</v>
      </c>
      <c r="E90" s="86" t="s">
        <v>2562</v>
      </c>
    </row>
    <row r="91" spans="1:5" x14ac:dyDescent="0.15">
      <c r="A91" s="86" t="s">
        <v>1</v>
      </c>
      <c r="B91" s="86">
        <v>105082</v>
      </c>
      <c r="C91" s="86" t="s">
        <v>6910</v>
      </c>
      <c r="D91" s="52" t="s">
        <v>6911</v>
      </c>
      <c r="E91" s="86" t="s">
        <v>2562</v>
      </c>
    </row>
    <row r="92" spans="1:5" x14ac:dyDescent="0.15">
      <c r="A92" s="86" t="s">
        <v>1</v>
      </c>
      <c r="B92" s="86">
        <v>105083</v>
      </c>
      <c r="C92" s="86" t="s">
        <v>6912</v>
      </c>
      <c r="D92" s="52" t="s">
        <v>6913</v>
      </c>
      <c r="E92" s="86" t="s">
        <v>2562</v>
      </c>
    </row>
    <row r="93" spans="1:5" x14ac:dyDescent="0.15">
      <c r="A93" s="86" t="s">
        <v>1</v>
      </c>
      <c r="B93" s="86">
        <v>105084</v>
      </c>
      <c r="C93" s="86" t="s">
        <v>6914</v>
      </c>
      <c r="D93" s="52" t="s">
        <v>6915</v>
      </c>
      <c r="E93" s="86" t="s">
        <v>2562</v>
      </c>
    </row>
    <row r="94" spans="1:5" x14ac:dyDescent="0.15">
      <c r="A94" s="86" t="s">
        <v>1</v>
      </c>
      <c r="B94" s="86">
        <v>105085</v>
      </c>
      <c r="C94" s="86" t="s">
        <v>6916</v>
      </c>
      <c r="D94" s="52" t="s">
        <v>6917</v>
      </c>
      <c r="E94" s="86" t="s">
        <v>2562</v>
      </c>
    </row>
    <row r="95" spans="1:5" x14ac:dyDescent="0.15">
      <c r="A95" s="86" t="s">
        <v>1</v>
      </c>
      <c r="B95" s="86">
        <v>105086</v>
      </c>
      <c r="C95" s="86" t="s">
        <v>6918</v>
      </c>
      <c r="D95" s="52" t="s">
        <v>6919</v>
      </c>
      <c r="E95" s="86" t="s">
        <v>2562</v>
      </c>
    </row>
    <row r="96" spans="1:5" x14ac:dyDescent="0.15">
      <c r="A96" s="86" t="s">
        <v>1</v>
      </c>
      <c r="B96" s="86">
        <v>105087</v>
      </c>
      <c r="C96" s="86" t="s">
        <v>5721</v>
      </c>
      <c r="D96" s="52" t="s">
        <v>6920</v>
      </c>
      <c r="E96" s="86" t="s">
        <v>2562</v>
      </c>
    </row>
    <row r="97" spans="1:5" x14ac:dyDescent="0.15">
      <c r="A97" s="86" t="s">
        <v>1</v>
      </c>
      <c r="B97" s="86">
        <v>105088</v>
      </c>
      <c r="C97" s="86" t="s">
        <v>6921</v>
      </c>
      <c r="D97" s="86" t="s">
        <v>6922</v>
      </c>
      <c r="E97" s="86" t="s">
        <v>2562</v>
      </c>
    </row>
    <row r="98" spans="1:5" x14ac:dyDescent="0.15">
      <c r="A98" s="86" t="s">
        <v>1</v>
      </c>
      <c r="B98" s="86">
        <v>105089</v>
      </c>
      <c r="C98" s="86" t="s">
        <v>5723</v>
      </c>
      <c r="D98" s="86" t="s">
        <v>6923</v>
      </c>
      <c r="E98" s="86" t="s">
        <v>2562</v>
      </c>
    </row>
    <row r="99" spans="1:5" x14ac:dyDescent="0.15">
      <c r="A99" s="86" t="s">
        <v>1</v>
      </c>
      <c r="B99" s="86">
        <v>105090</v>
      </c>
      <c r="C99" s="86" t="s">
        <v>6924</v>
      </c>
      <c r="D99" s="86" t="s">
        <v>6925</v>
      </c>
      <c r="E99" s="86" t="s">
        <v>2562</v>
      </c>
    </row>
    <row r="100" spans="1:5" x14ac:dyDescent="0.15">
      <c r="A100" s="86" t="s">
        <v>1</v>
      </c>
      <c r="B100" s="86">
        <v>105091</v>
      </c>
      <c r="C100" s="52" t="s">
        <v>6926</v>
      </c>
      <c r="D100" s="52" t="s">
        <v>6927</v>
      </c>
      <c r="E100" s="86" t="s">
        <v>2562</v>
      </c>
    </row>
    <row r="101" spans="1:5" x14ac:dyDescent="0.15">
      <c r="A101" s="86" t="s">
        <v>1</v>
      </c>
      <c r="B101" s="86">
        <v>105092</v>
      </c>
      <c r="C101" s="86" t="s">
        <v>6928</v>
      </c>
      <c r="D101" s="86" t="s">
        <v>6929</v>
      </c>
      <c r="E101" s="86" t="s">
        <v>2562</v>
      </c>
    </row>
    <row r="102" spans="1:5" x14ac:dyDescent="0.15">
      <c r="A102" s="86" t="s">
        <v>1</v>
      </c>
      <c r="B102" s="86">
        <v>105093</v>
      </c>
      <c r="C102" s="86" t="s">
        <v>6930</v>
      </c>
      <c r="D102" s="86" t="s">
        <v>6931</v>
      </c>
      <c r="E102" s="86" t="s">
        <v>2562</v>
      </c>
    </row>
    <row r="103" spans="1:5" x14ac:dyDescent="0.15">
      <c r="A103" s="86" t="s">
        <v>1</v>
      </c>
      <c r="B103" s="86">
        <v>105094</v>
      </c>
      <c r="C103" s="86" t="s">
        <v>6932</v>
      </c>
      <c r="D103" s="86" t="s">
        <v>6933</v>
      </c>
      <c r="E103" s="86" t="s">
        <v>2562</v>
      </c>
    </row>
    <row r="104" spans="1:5" x14ac:dyDescent="0.15">
      <c r="A104" s="86" t="s">
        <v>1</v>
      </c>
      <c r="B104" s="86">
        <v>105095</v>
      </c>
      <c r="C104" s="86" t="s">
        <v>6934</v>
      </c>
      <c r="D104" s="86" t="s">
        <v>6935</v>
      </c>
      <c r="E104" s="86" t="s">
        <v>2562</v>
      </c>
    </row>
    <row r="105" spans="1:5" x14ac:dyDescent="0.15">
      <c r="A105" s="86" t="s">
        <v>1</v>
      </c>
      <c r="B105" s="86">
        <v>105096</v>
      </c>
      <c r="C105" s="86" t="s">
        <v>6936</v>
      </c>
      <c r="D105" s="86" t="s">
        <v>6937</v>
      </c>
      <c r="E105" s="86" t="s">
        <v>2562</v>
      </c>
    </row>
    <row r="106" spans="1:5" x14ac:dyDescent="0.15">
      <c r="A106" s="86" t="s">
        <v>1</v>
      </c>
      <c r="B106" s="86">
        <v>105097</v>
      </c>
      <c r="C106" s="86" t="s">
        <v>6938</v>
      </c>
      <c r="D106" s="86" t="s">
        <v>6939</v>
      </c>
      <c r="E106" s="86" t="s">
        <v>2562</v>
      </c>
    </row>
    <row r="107" spans="1:5" x14ac:dyDescent="0.15">
      <c r="A107" s="86" t="s">
        <v>1</v>
      </c>
      <c r="B107" s="86">
        <v>105098</v>
      </c>
      <c r="C107" s="86" t="s">
        <v>6940</v>
      </c>
      <c r="D107" s="86" t="s">
        <v>6941</v>
      </c>
      <c r="E107" s="86" t="s">
        <v>2562</v>
      </c>
    </row>
    <row r="108" spans="1:5" x14ac:dyDescent="0.15">
      <c r="A108" s="86" t="s">
        <v>1</v>
      </c>
      <c r="B108" s="86">
        <v>105099</v>
      </c>
      <c r="C108" s="86" t="s">
        <v>6942</v>
      </c>
      <c r="D108" s="86" t="s">
        <v>6943</v>
      </c>
      <c r="E108" s="86" t="s">
        <v>2562</v>
      </c>
    </row>
    <row r="109" spans="1:5" x14ac:dyDescent="0.15">
      <c r="A109" s="86" t="s">
        <v>1</v>
      </c>
      <c r="B109" s="86">
        <v>105100</v>
      </c>
      <c r="C109" s="86" t="s">
        <v>6944</v>
      </c>
      <c r="D109" s="86" t="s">
        <v>6945</v>
      </c>
      <c r="E109" s="86" t="s">
        <v>2562</v>
      </c>
    </row>
    <row r="110" spans="1:5" x14ac:dyDescent="0.15">
      <c r="A110" s="86" t="s">
        <v>1</v>
      </c>
      <c r="B110" s="86">
        <v>105101</v>
      </c>
      <c r="C110" s="86" t="s">
        <v>6946</v>
      </c>
      <c r="D110" s="86" t="s">
        <v>6947</v>
      </c>
      <c r="E110" s="86" t="s">
        <v>2562</v>
      </c>
    </row>
    <row r="111" spans="1:5" x14ac:dyDescent="0.15">
      <c r="A111" s="86" t="s">
        <v>1</v>
      </c>
      <c r="B111" s="86">
        <v>105102</v>
      </c>
      <c r="C111" s="86" t="s">
        <v>6948</v>
      </c>
      <c r="D111" s="86" t="s">
        <v>6949</v>
      </c>
      <c r="E111" s="86" t="s">
        <v>2562</v>
      </c>
    </row>
    <row r="112" spans="1:5" x14ac:dyDescent="0.15">
      <c r="A112" s="86" t="s">
        <v>1</v>
      </c>
      <c r="B112" s="86">
        <v>105103</v>
      </c>
      <c r="C112" s="86" t="s">
        <v>6950</v>
      </c>
      <c r="D112" s="86" t="s">
        <v>6951</v>
      </c>
      <c r="E112" s="86" t="s">
        <v>2562</v>
      </c>
    </row>
    <row r="113" spans="1:5" x14ac:dyDescent="0.15">
      <c r="A113" s="86" t="s">
        <v>1</v>
      </c>
      <c r="B113" s="86">
        <v>105104</v>
      </c>
      <c r="C113" s="86" t="s">
        <v>6952</v>
      </c>
      <c r="D113" s="86" t="s">
        <v>6953</v>
      </c>
      <c r="E113" s="86" t="s">
        <v>2562</v>
      </c>
    </row>
    <row r="114" spans="1:5" x14ac:dyDescent="0.15">
      <c r="A114" s="86" t="s">
        <v>1</v>
      </c>
      <c r="B114" s="86">
        <v>105105</v>
      </c>
      <c r="C114" s="86" t="s">
        <v>6954</v>
      </c>
      <c r="D114" s="86" t="s">
        <v>6955</v>
      </c>
      <c r="E114" s="86" t="s">
        <v>2562</v>
      </c>
    </row>
    <row r="115" spans="1:5" x14ac:dyDescent="0.15">
      <c r="A115" s="86" t="s">
        <v>1</v>
      </c>
      <c r="B115" s="86">
        <v>105106</v>
      </c>
      <c r="C115" s="86" t="s">
        <v>6956</v>
      </c>
      <c r="D115" s="86" t="s">
        <v>6957</v>
      </c>
      <c r="E115" s="86" t="s">
        <v>2562</v>
      </c>
    </row>
    <row r="116" spans="1:5" x14ac:dyDescent="0.15">
      <c r="A116" s="86" t="s">
        <v>1</v>
      </c>
      <c r="B116" s="86">
        <v>105107</v>
      </c>
      <c r="C116" s="86" t="s">
        <v>6958</v>
      </c>
      <c r="D116" s="86" t="s">
        <v>6959</v>
      </c>
      <c r="E116" s="86" t="s">
        <v>2562</v>
      </c>
    </row>
    <row r="117" spans="1:5" x14ac:dyDescent="0.15">
      <c r="A117" s="86" t="s">
        <v>1</v>
      </c>
      <c r="B117" s="86">
        <v>105108</v>
      </c>
      <c r="C117" s="86" t="s">
        <v>6960</v>
      </c>
      <c r="D117" s="86" t="s">
        <v>6961</v>
      </c>
      <c r="E117" s="86" t="s">
        <v>2562</v>
      </c>
    </row>
    <row r="118" spans="1:5" x14ac:dyDescent="0.15">
      <c r="A118" s="86" t="s">
        <v>1</v>
      </c>
      <c r="B118" s="86">
        <v>105109</v>
      </c>
      <c r="C118" s="86" t="s">
        <v>6962</v>
      </c>
      <c r="D118" s="86" t="s">
        <v>6963</v>
      </c>
      <c r="E118" s="86" t="s">
        <v>2562</v>
      </c>
    </row>
    <row r="119" spans="1:5" s="53" customFormat="1" x14ac:dyDescent="0.15">
      <c r="A119" s="86" t="s">
        <v>1</v>
      </c>
      <c r="B119" s="86">
        <v>105110</v>
      </c>
      <c r="C119" s="86" t="s">
        <v>6964</v>
      </c>
      <c r="D119" s="86" t="s">
        <v>6965</v>
      </c>
      <c r="E119" s="86" t="s">
        <v>2562</v>
      </c>
    </row>
    <row r="120" spans="1:5" s="53" customFormat="1" x14ac:dyDescent="0.15">
      <c r="A120" s="86" t="s">
        <v>1</v>
      </c>
      <c r="B120" s="86">
        <v>105111</v>
      </c>
      <c r="C120" s="86" t="s">
        <v>6966</v>
      </c>
      <c r="D120" s="86" t="s">
        <v>6967</v>
      </c>
      <c r="E120" s="86" t="s">
        <v>2562</v>
      </c>
    </row>
    <row r="121" spans="1:5" s="53" customFormat="1" x14ac:dyDescent="0.15">
      <c r="A121" s="86" t="s">
        <v>1</v>
      </c>
      <c r="B121" s="86">
        <v>105112</v>
      </c>
      <c r="C121" s="86" t="s">
        <v>6659</v>
      </c>
      <c r="D121" s="86" t="s">
        <v>6968</v>
      </c>
      <c r="E121" s="86" t="s">
        <v>2562</v>
      </c>
    </row>
    <row r="122" spans="1:5" s="53" customFormat="1" x14ac:dyDescent="0.15">
      <c r="A122" s="86" t="s">
        <v>1</v>
      </c>
      <c r="B122" s="86">
        <v>105113</v>
      </c>
      <c r="C122" s="86" t="s">
        <v>6969</v>
      </c>
      <c r="D122" s="86" t="s">
        <v>6970</v>
      </c>
      <c r="E122" s="86" t="s">
        <v>2562</v>
      </c>
    </row>
    <row r="123" spans="1:5" s="53" customFormat="1" x14ac:dyDescent="0.15">
      <c r="A123" s="86" t="s">
        <v>1</v>
      </c>
      <c r="B123" s="86">
        <v>105114</v>
      </c>
      <c r="C123" s="86" t="s">
        <v>6971</v>
      </c>
      <c r="D123" s="86" t="s">
        <v>6972</v>
      </c>
      <c r="E123" s="86" t="s">
        <v>2562</v>
      </c>
    </row>
    <row r="124" spans="1:5" s="53" customFormat="1" x14ac:dyDescent="0.15">
      <c r="A124" s="86" t="s">
        <v>1</v>
      </c>
      <c r="B124" s="86">
        <v>105115</v>
      </c>
      <c r="C124" s="86" t="s">
        <v>6973</v>
      </c>
      <c r="D124" s="86" t="s">
        <v>6974</v>
      </c>
      <c r="E124" s="86" t="s">
        <v>2562</v>
      </c>
    </row>
    <row r="125" spans="1:5" s="53" customFormat="1" x14ac:dyDescent="0.15">
      <c r="A125" s="86" t="s">
        <v>1</v>
      </c>
      <c r="B125" s="86">
        <v>105116</v>
      </c>
      <c r="C125" s="86" t="s">
        <v>6975</v>
      </c>
      <c r="D125" s="86" t="s">
        <v>6976</v>
      </c>
      <c r="E125" s="86" t="s">
        <v>2562</v>
      </c>
    </row>
    <row r="126" spans="1:5" s="53" customFormat="1" x14ac:dyDescent="0.15">
      <c r="A126" s="86" t="s">
        <v>1</v>
      </c>
      <c r="B126" s="87">
        <v>105998</v>
      </c>
      <c r="C126" s="87" t="s">
        <v>4787</v>
      </c>
      <c r="D126" s="87" t="s">
        <v>4788</v>
      </c>
      <c r="E126" s="86" t="s">
        <v>2562</v>
      </c>
    </row>
    <row r="127" spans="1:5" s="53" customFormat="1" x14ac:dyDescent="0.15">
      <c r="A127" s="86" t="s">
        <v>1</v>
      </c>
      <c r="B127" s="87">
        <v>105999</v>
      </c>
      <c r="C127" s="87" t="s">
        <v>2654</v>
      </c>
      <c r="D127" s="87" t="s">
        <v>2655</v>
      </c>
      <c r="E127" s="86" t="s">
        <v>2562</v>
      </c>
    </row>
    <row r="128" spans="1:5" s="53" customFormat="1" x14ac:dyDescent="0.15">
      <c r="A128" s="50"/>
      <c r="B128" s="50"/>
      <c r="C128" s="50"/>
      <c r="D128" s="50"/>
    </row>
    <row r="129" spans="1:4" s="53" customFormat="1" x14ac:dyDescent="0.15">
      <c r="A129" s="50"/>
      <c r="B129" s="50"/>
      <c r="C129" s="50"/>
      <c r="D129" s="50"/>
    </row>
    <row r="130" spans="1:4" s="53" customFormat="1" x14ac:dyDescent="0.15">
      <c r="A130" s="50"/>
      <c r="B130" s="50"/>
      <c r="C130" s="50"/>
      <c r="D130" s="50"/>
    </row>
    <row r="131" spans="1:4" s="53" customFormat="1" x14ac:dyDescent="0.15">
      <c r="A131" s="50"/>
      <c r="B131" s="50"/>
      <c r="C131" s="50"/>
      <c r="D131" s="50"/>
    </row>
    <row r="132" spans="1:4" s="53" customFormat="1" x14ac:dyDescent="0.15">
      <c r="A132" s="50"/>
      <c r="B132" s="50"/>
      <c r="C132" s="50"/>
      <c r="D132" s="50"/>
    </row>
    <row r="133" spans="1:4" s="53" customFormat="1" x14ac:dyDescent="0.15">
      <c r="A133" s="50"/>
      <c r="B133" s="50"/>
      <c r="C133" s="50"/>
      <c r="D133" s="50"/>
    </row>
    <row r="134" spans="1:4" s="53" customFormat="1" x14ac:dyDescent="0.15">
      <c r="A134" s="50"/>
      <c r="B134" s="50"/>
      <c r="C134" s="50"/>
      <c r="D134" s="50"/>
    </row>
    <row r="135" spans="1:4" s="53" customFormat="1" x14ac:dyDescent="0.15">
      <c r="A135" s="50"/>
      <c r="B135" s="50"/>
      <c r="C135" s="50"/>
      <c r="D135" s="50"/>
    </row>
    <row r="136" spans="1:4" s="53" customFormat="1" x14ac:dyDescent="0.15">
      <c r="A136" s="50"/>
      <c r="B136" s="50"/>
      <c r="C136" s="50"/>
    </row>
    <row r="137" spans="1:4" s="53" customFormat="1" x14ac:dyDescent="0.15">
      <c r="A137" s="50"/>
      <c r="B137" s="50"/>
      <c r="C137" s="50"/>
    </row>
    <row r="138" spans="1:4" s="53" customFormat="1" x14ac:dyDescent="0.15">
      <c r="A138" s="50"/>
      <c r="B138" s="50"/>
      <c r="C138" s="50"/>
    </row>
    <row r="139" spans="1:4" s="53" customFormat="1" x14ac:dyDescent="0.15">
      <c r="A139" s="50"/>
      <c r="B139" s="50"/>
      <c r="C139" s="50"/>
    </row>
    <row r="140" spans="1:4" s="53" customFormat="1" x14ac:dyDescent="0.15">
      <c r="A140" s="50"/>
      <c r="B140" s="50"/>
      <c r="C140" s="50"/>
    </row>
    <row r="141" spans="1:4" s="53" customFormat="1" x14ac:dyDescent="0.15">
      <c r="A141" s="50"/>
      <c r="B141" s="50"/>
      <c r="C141" s="50"/>
    </row>
    <row r="142" spans="1:4" s="53" customFormat="1" x14ac:dyDescent="0.15">
      <c r="A142" s="50"/>
      <c r="B142" s="50"/>
      <c r="C142" s="50"/>
    </row>
    <row r="143" spans="1:4" s="53" customFormat="1" x14ac:dyDescent="0.15">
      <c r="A143" s="50"/>
      <c r="B143" s="50"/>
      <c r="C143" s="50"/>
    </row>
    <row r="144" spans="1:4" s="53" customFormat="1" x14ac:dyDescent="0.15">
      <c r="A144" s="50"/>
      <c r="B144" s="50"/>
      <c r="C144" s="50"/>
    </row>
    <row r="145" spans="1:3" s="53" customFormat="1" x14ac:dyDescent="0.15">
      <c r="A145" s="50"/>
      <c r="B145" s="50"/>
      <c r="C145" s="50"/>
    </row>
    <row r="146" spans="1:3" s="53" customFormat="1" x14ac:dyDescent="0.15">
      <c r="A146" s="50"/>
      <c r="B146" s="50"/>
      <c r="C146" s="50"/>
    </row>
    <row r="147" spans="1:3" s="53" customFormat="1" x14ac:dyDescent="0.15">
      <c r="A147" s="50"/>
      <c r="B147" s="50"/>
      <c r="C147" s="50"/>
    </row>
    <row r="148" spans="1:3" s="53" customFormat="1" x14ac:dyDescent="0.15">
      <c r="A148" s="50"/>
      <c r="B148" s="50"/>
      <c r="C148" s="50"/>
    </row>
    <row r="149" spans="1:3" s="53" customFormat="1" x14ac:dyDescent="0.15">
      <c r="A149" s="50"/>
      <c r="B149" s="50"/>
      <c r="C149" s="50"/>
    </row>
    <row r="150" spans="1:3" s="53" customFormat="1" x14ac:dyDescent="0.15">
      <c r="A150" s="50"/>
      <c r="B150" s="50"/>
      <c r="C150" s="50"/>
    </row>
    <row r="151" spans="1:3" s="53" customFormat="1" x14ac:dyDescent="0.15">
      <c r="A151" s="50"/>
      <c r="B151" s="50"/>
      <c r="C151" s="50"/>
    </row>
    <row r="152" spans="1:3" s="53" customFormat="1" x14ac:dyDescent="0.15">
      <c r="A152" s="50"/>
      <c r="B152" s="50"/>
      <c r="C152" s="50"/>
    </row>
    <row r="153" spans="1:3" s="53" customFormat="1" x14ac:dyDescent="0.15">
      <c r="A153" s="50"/>
      <c r="B153" s="50"/>
      <c r="C153" s="50"/>
    </row>
    <row r="154" spans="1:3" s="53" customFormat="1" x14ac:dyDescent="0.15">
      <c r="A154" s="50"/>
      <c r="B154" s="50"/>
      <c r="C154" s="50"/>
    </row>
    <row r="155" spans="1:3" s="53" customFormat="1" x14ac:dyDescent="0.15">
      <c r="A155" s="50"/>
      <c r="B155" s="50"/>
      <c r="C155" s="50"/>
    </row>
    <row r="156" spans="1:3" s="53" customFormat="1" x14ac:dyDescent="0.15">
      <c r="A156" s="50"/>
      <c r="B156" s="50"/>
      <c r="C156" s="50"/>
    </row>
    <row r="157" spans="1:3" s="53" customFormat="1" x14ac:dyDescent="0.15">
      <c r="A157" s="50"/>
      <c r="B157" s="50"/>
      <c r="C157" s="50"/>
    </row>
    <row r="158" spans="1:3" s="53" customFormat="1" x14ac:dyDescent="0.15">
      <c r="A158" s="50"/>
      <c r="B158" s="50"/>
      <c r="C158" s="50"/>
    </row>
    <row r="159" spans="1:3" s="53" customFormat="1" x14ac:dyDescent="0.15">
      <c r="A159" s="50"/>
      <c r="B159" s="50"/>
      <c r="C159" s="50"/>
    </row>
    <row r="160" spans="1:3" s="53" customFormat="1" x14ac:dyDescent="0.15">
      <c r="A160" s="50"/>
      <c r="B160" s="50"/>
      <c r="C160" s="50"/>
    </row>
    <row r="161" spans="1:4" s="53" customFormat="1" x14ac:dyDescent="0.15">
      <c r="A161" s="50"/>
      <c r="B161" s="50"/>
      <c r="C161" s="50"/>
    </row>
    <row r="162" spans="1:4" s="53" customFormat="1" x14ac:dyDescent="0.15">
      <c r="A162" s="50"/>
      <c r="B162" s="50"/>
      <c r="C162" s="50"/>
    </row>
    <row r="163" spans="1:4" s="53" customFormat="1" x14ac:dyDescent="0.15">
      <c r="A163" s="50"/>
      <c r="B163" s="50"/>
      <c r="C163" s="50"/>
    </row>
    <row r="164" spans="1:4" s="53" customFormat="1" x14ac:dyDescent="0.15">
      <c r="A164" s="50"/>
      <c r="B164" s="50"/>
      <c r="C164" s="50"/>
    </row>
    <row r="165" spans="1:4" s="53" customFormat="1" x14ac:dyDescent="0.15">
      <c r="A165" s="50"/>
      <c r="B165" s="50"/>
      <c r="C165" s="50"/>
    </row>
    <row r="166" spans="1:4" s="53" customFormat="1" x14ac:dyDescent="0.15">
      <c r="A166" s="50"/>
      <c r="B166" s="50"/>
      <c r="C166" s="50"/>
    </row>
    <row r="167" spans="1:4" x14ac:dyDescent="0.15">
      <c r="B167" s="50"/>
      <c r="C167" s="50"/>
      <c r="D167" s="53"/>
    </row>
    <row r="168" spans="1:4" x14ac:dyDescent="0.15">
      <c r="B168" s="50"/>
      <c r="C168" s="50"/>
      <c r="D168" s="53"/>
    </row>
    <row r="169" spans="1:4" x14ac:dyDescent="0.15">
      <c r="B169" s="50"/>
      <c r="C169" s="50"/>
      <c r="D169" s="53"/>
    </row>
    <row r="170" spans="1:4" x14ac:dyDescent="0.15">
      <c r="B170" s="50"/>
      <c r="C170" s="50"/>
      <c r="D170" s="53"/>
    </row>
    <row r="171" spans="1:4" x14ac:dyDescent="0.15">
      <c r="B171" s="50"/>
      <c r="C171" s="50"/>
      <c r="D171" s="53"/>
    </row>
    <row r="172" spans="1:4" x14ac:dyDescent="0.15">
      <c r="B172" s="50"/>
      <c r="C172" s="50"/>
      <c r="D172" s="53"/>
    </row>
    <row r="173" spans="1:4" x14ac:dyDescent="0.15">
      <c r="B173" s="50"/>
      <c r="C173" s="50"/>
      <c r="D173" s="53"/>
    </row>
    <row r="174" spans="1:4" x14ac:dyDescent="0.15">
      <c r="B174" s="50"/>
      <c r="C174" s="50"/>
      <c r="D174" s="53"/>
    </row>
    <row r="175" spans="1:4" x14ac:dyDescent="0.15">
      <c r="B175" s="50"/>
      <c r="C175" s="50"/>
      <c r="D175" s="53"/>
    </row>
    <row r="176" spans="1:4" x14ac:dyDescent="0.15">
      <c r="B176" s="50"/>
      <c r="C176" s="50"/>
      <c r="D176" s="53"/>
    </row>
    <row r="177" spans="2:4" x14ac:dyDescent="0.15">
      <c r="B177" s="50"/>
      <c r="C177" s="50"/>
      <c r="D177" s="53"/>
    </row>
    <row r="178" spans="2:4" x14ac:dyDescent="0.15">
      <c r="B178" s="50"/>
      <c r="C178" s="50"/>
      <c r="D178" s="53"/>
    </row>
    <row r="179" spans="2:4" x14ac:dyDescent="0.15">
      <c r="B179" s="50"/>
      <c r="C179" s="50"/>
      <c r="D179" s="53"/>
    </row>
    <row r="180" spans="2:4" x14ac:dyDescent="0.15">
      <c r="B180" s="50"/>
      <c r="C180" s="50"/>
      <c r="D180" s="53"/>
    </row>
    <row r="181" spans="2:4" x14ac:dyDescent="0.15">
      <c r="B181" s="50"/>
      <c r="C181" s="50"/>
      <c r="D181" s="53"/>
    </row>
    <row r="182" spans="2:4" x14ac:dyDescent="0.15">
      <c r="B182" s="50"/>
      <c r="C182" s="50"/>
      <c r="D182" s="53"/>
    </row>
    <row r="183" spans="2:4" x14ac:dyDescent="0.15">
      <c r="B183" s="50"/>
      <c r="C183" s="50"/>
      <c r="D183" s="53"/>
    </row>
    <row r="184" spans="2:4" x14ac:dyDescent="0.15">
      <c r="B184" s="50"/>
      <c r="C184" s="50"/>
      <c r="D184" s="53"/>
    </row>
    <row r="185" spans="2:4" x14ac:dyDescent="0.15">
      <c r="B185" s="50"/>
      <c r="C185" s="50"/>
      <c r="D185" s="53"/>
    </row>
    <row r="186" spans="2:4" x14ac:dyDescent="0.15">
      <c r="B186" s="50"/>
      <c r="C186" s="50"/>
      <c r="D186" s="53"/>
    </row>
    <row r="187" spans="2:4" x14ac:dyDescent="0.15">
      <c r="B187" s="50"/>
      <c r="C187" s="50"/>
      <c r="D187" s="53"/>
    </row>
    <row r="188" spans="2:4" x14ac:dyDescent="0.15">
      <c r="B188" s="50"/>
      <c r="C188" s="50"/>
      <c r="D188" s="53"/>
    </row>
    <row r="189" spans="2:4" x14ac:dyDescent="0.15">
      <c r="B189" s="50"/>
      <c r="C189" s="50"/>
      <c r="D189" s="53"/>
    </row>
    <row r="190" spans="2:4" x14ac:dyDescent="0.15">
      <c r="B190" s="50"/>
      <c r="C190" s="50"/>
      <c r="D190" s="53"/>
    </row>
    <row r="191" spans="2:4" x14ac:dyDescent="0.15">
      <c r="B191" s="50"/>
      <c r="C191" s="50"/>
      <c r="D191" s="53"/>
    </row>
    <row r="192" spans="2:4" x14ac:dyDescent="0.15">
      <c r="B192" s="50"/>
      <c r="C192" s="50"/>
      <c r="D192" s="53"/>
    </row>
    <row r="193" spans="2:4" x14ac:dyDescent="0.15">
      <c r="B193" s="50"/>
      <c r="C193" s="50"/>
      <c r="D193" s="53"/>
    </row>
    <row r="194" spans="2:4" x14ac:dyDescent="0.15">
      <c r="B194" s="50"/>
      <c r="C194" s="50"/>
      <c r="D194" s="53"/>
    </row>
    <row r="195" spans="2:4" x14ac:dyDescent="0.15">
      <c r="B195" s="50"/>
      <c r="C195" s="50"/>
      <c r="D195" s="53"/>
    </row>
    <row r="196" spans="2:4" x14ac:dyDescent="0.15">
      <c r="B196" s="50"/>
      <c r="C196" s="50"/>
      <c r="D196" s="53"/>
    </row>
    <row r="197" spans="2:4" x14ac:dyDescent="0.15">
      <c r="B197" s="50"/>
      <c r="C197" s="50"/>
      <c r="D197" s="53"/>
    </row>
    <row r="198" spans="2:4" x14ac:dyDescent="0.15">
      <c r="B198" s="50"/>
      <c r="C198" s="50"/>
      <c r="D198" s="53"/>
    </row>
    <row r="199" spans="2:4" x14ac:dyDescent="0.15">
      <c r="B199" s="50"/>
      <c r="C199" s="50"/>
      <c r="D199" s="53"/>
    </row>
    <row r="200" spans="2:4" x14ac:dyDescent="0.15">
      <c r="B200" s="50"/>
      <c r="C200" s="50"/>
      <c r="D200" s="53"/>
    </row>
    <row r="201" spans="2:4" x14ac:dyDescent="0.15">
      <c r="B201" s="50"/>
      <c r="C201" s="50"/>
      <c r="D201" s="53"/>
    </row>
    <row r="202" spans="2:4" x14ac:dyDescent="0.15">
      <c r="B202" s="50"/>
      <c r="C202" s="50"/>
      <c r="D202" s="53"/>
    </row>
    <row r="203" spans="2:4" x14ac:dyDescent="0.15">
      <c r="B203" s="50"/>
      <c r="C203" s="50"/>
      <c r="D203" s="53"/>
    </row>
    <row r="204" spans="2:4" x14ac:dyDescent="0.15">
      <c r="B204" s="50"/>
      <c r="C204" s="50"/>
      <c r="D204" s="53"/>
    </row>
    <row r="205" spans="2:4" x14ac:dyDescent="0.15">
      <c r="B205" s="50"/>
      <c r="C205" s="50"/>
      <c r="D205" s="53"/>
    </row>
    <row r="206" spans="2:4" x14ac:dyDescent="0.15">
      <c r="B206" s="50"/>
      <c r="C206" s="50"/>
      <c r="D206" s="53"/>
    </row>
    <row r="207" spans="2:4" x14ac:dyDescent="0.15">
      <c r="B207" s="50"/>
      <c r="C207" s="50"/>
      <c r="D207" s="53"/>
    </row>
    <row r="208" spans="2:4" x14ac:dyDescent="0.15">
      <c r="B208" s="50"/>
      <c r="C208" s="50"/>
      <c r="D208" s="53"/>
    </row>
    <row r="209" spans="2:4" x14ac:dyDescent="0.15">
      <c r="B209" s="50"/>
      <c r="C209" s="50"/>
      <c r="D209" s="53"/>
    </row>
    <row r="210" spans="2:4" x14ac:dyDescent="0.15">
      <c r="B210" s="50"/>
      <c r="C210" s="50"/>
      <c r="D210" s="53"/>
    </row>
    <row r="211" spans="2:4" x14ac:dyDescent="0.15">
      <c r="B211" s="50"/>
      <c r="C211" s="50"/>
      <c r="D211" s="53"/>
    </row>
    <row r="212" spans="2:4" x14ac:dyDescent="0.15">
      <c r="B212" s="50"/>
      <c r="C212" s="50"/>
      <c r="D212" s="53"/>
    </row>
    <row r="213" spans="2:4" x14ac:dyDescent="0.15">
      <c r="B213" s="50"/>
      <c r="C213" s="50"/>
      <c r="D213" s="53"/>
    </row>
    <row r="214" spans="2:4" x14ac:dyDescent="0.15">
      <c r="B214" s="50"/>
      <c r="C214" s="50"/>
      <c r="D214" s="53"/>
    </row>
    <row r="215" spans="2:4" x14ac:dyDescent="0.15">
      <c r="B215" s="50"/>
      <c r="C215" s="50"/>
      <c r="D215" s="53"/>
    </row>
    <row r="216" spans="2:4" x14ac:dyDescent="0.15">
      <c r="B216" s="50"/>
      <c r="C216" s="50"/>
      <c r="D216" s="53"/>
    </row>
    <row r="217" spans="2:4" x14ac:dyDescent="0.15">
      <c r="B217" s="50"/>
      <c r="C217" s="50"/>
      <c r="D217" s="53"/>
    </row>
    <row r="218" spans="2:4" x14ac:dyDescent="0.15">
      <c r="B218" s="50"/>
      <c r="C218" s="50"/>
      <c r="D218" s="53"/>
    </row>
    <row r="219" spans="2:4" x14ac:dyDescent="0.15">
      <c r="B219" s="50"/>
      <c r="C219" s="50"/>
      <c r="D219" s="53"/>
    </row>
    <row r="220" spans="2:4" x14ac:dyDescent="0.15">
      <c r="B220" s="50"/>
      <c r="C220" s="50"/>
      <c r="D220" s="53"/>
    </row>
    <row r="221" spans="2:4" x14ac:dyDescent="0.15">
      <c r="B221" s="50"/>
      <c r="C221" s="50"/>
      <c r="D221" s="53"/>
    </row>
    <row r="222" spans="2:4" x14ac:dyDescent="0.15">
      <c r="B222" s="50"/>
      <c r="C222" s="50"/>
      <c r="D222" s="53"/>
    </row>
    <row r="223" spans="2:4" x14ac:dyDescent="0.15">
      <c r="B223" s="50"/>
      <c r="C223" s="50"/>
      <c r="D223" s="53"/>
    </row>
    <row r="224" spans="2:4" x14ac:dyDescent="0.15">
      <c r="B224" s="50"/>
      <c r="C224" s="50"/>
      <c r="D224" s="53"/>
    </row>
    <row r="225" spans="2:4" x14ac:dyDescent="0.15">
      <c r="B225" s="50"/>
      <c r="C225" s="50"/>
      <c r="D225" s="53"/>
    </row>
    <row r="226" spans="2:4" x14ac:dyDescent="0.15">
      <c r="B226" s="50"/>
      <c r="C226" s="50"/>
      <c r="D226" s="53"/>
    </row>
    <row r="227" spans="2:4" x14ac:dyDescent="0.15">
      <c r="B227" s="50"/>
      <c r="C227" s="50"/>
      <c r="D227" s="53"/>
    </row>
    <row r="228" spans="2:4" x14ac:dyDescent="0.15">
      <c r="B228" s="50"/>
      <c r="C228" s="50"/>
      <c r="D228" s="53"/>
    </row>
    <row r="229" spans="2:4" x14ac:dyDescent="0.15">
      <c r="B229" s="50"/>
      <c r="C229" s="50"/>
      <c r="D229" s="53"/>
    </row>
    <row r="230" spans="2:4" x14ac:dyDescent="0.15">
      <c r="B230" s="50"/>
      <c r="C230" s="50"/>
      <c r="D230" s="53"/>
    </row>
    <row r="231" spans="2:4" x14ac:dyDescent="0.15">
      <c r="B231" s="50"/>
      <c r="C231" s="50"/>
      <c r="D231" s="53"/>
    </row>
    <row r="232" spans="2:4" x14ac:dyDescent="0.15">
      <c r="B232" s="50"/>
      <c r="C232" s="50"/>
      <c r="D232" s="53"/>
    </row>
    <row r="233" spans="2:4" x14ac:dyDescent="0.15">
      <c r="B233" s="50"/>
      <c r="C233" s="50"/>
      <c r="D233" s="53"/>
    </row>
    <row r="234" spans="2:4" x14ac:dyDescent="0.15">
      <c r="B234" s="50"/>
      <c r="C234" s="50"/>
      <c r="D234" s="53"/>
    </row>
    <row r="235" spans="2:4" x14ac:dyDescent="0.15">
      <c r="B235" s="50"/>
      <c r="C235" s="50"/>
      <c r="D235" s="53"/>
    </row>
    <row r="236" spans="2:4" x14ac:dyDescent="0.15">
      <c r="B236" s="50"/>
      <c r="C236" s="50"/>
      <c r="D236" s="53"/>
    </row>
    <row r="237" spans="2:4" x14ac:dyDescent="0.15">
      <c r="B237" s="50"/>
      <c r="C237" s="50"/>
      <c r="D237" s="53"/>
    </row>
    <row r="238" spans="2:4" x14ac:dyDescent="0.15">
      <c r="B238" s="50"/>
      <c r="C238" s="50"/>
      <c r="D238" s="53"/>
    </row>
    <row r="239" spans="2:4" x14ac:dyDescent="0.15">
      <c r="B239" s="50"/>
      <c r="C239" s="50"/>
      <c r="D239" s="53"/>
    </row>
    <row r="240" spans="2:4" x14ac:dyDescent="0.15">
      <c r="B240" s="50"/>
      <c r="C240" s="50"/>
      <c r="D240" s="53"/>
    </row>
    <row r="241" spans="2:4" x14ac:dyDescent="0.15">
      <c r="B241" s="50"/>
      <c r="C241" s="50"/>
      <c r="D241" s="53"/>
    </row>
    <row r="242" spans="2:4" x14ac:dyDescent="0.15">
      <c r="B242" s="50"/>
      <c r="C242" s="50"/>
      <c r="D242" s="53"/>
    </row>
    <row r="243" spans="2:4" x14ac:dyDescent="0.15">
      <c r="B243" s="50"/>
      <c r="C243" s="50"/>
      <c r="D243" s="53"/>
    </row>
    <row r="244" spans="2:4" x14ac:dyDescent="0.15">
      <c r="B244" s="50"/>
      <c r="C244" s="50"/>
      <c r="D244" s="53"/>
    </row>
    <row r="245" spans="2:4" x14ac:dyDescent="0.15">
      <c r="B245" s="50"/>
      <c r="C245" s="50"/>
      <c r="D245" s="53"/>
    </row>
    <row r="246" spans="2:4" x14ac:dyDescent="0.15">
      <c r="B246" s="50"/>
      <c r="C246" s="50"/>
      <c r="D246" s="53"/>
    </row>
    <row r="247" spans="2:4" x14ac:dyDescent="0.15">
      <c r="B247" s="50"/>
      <c r="C247" s="50"/>
      <c r="D247" s="53"/>
    </row>
    <row r="248" spans="2:4" x14ac:dyDescent="0.15">
      <c r="B248" s="50"/>
      <c r="C248" s="50"/>
      <c r="D248" s="53"/>
    </row>
    <row r="249" spans="2:4" x14ac:dyDescent="0.15">
      <c r="B249" s="50"/>
      <c r="C249" s="50"/>
      <c r="D249" s="53"/>
    </row>
    <row r="250" spans="2:4" x14ac:dyDescent="0.15">
      <c r="B250" s="50"/>
      <c r="C250" s="50"/>
      <c r="D250" s="53"/>
    </row>
    <row r="251" spans="2:4" x14ac:dyDescent="0.15">
      <c r="D251" s="53"/>
    </row>
    <row r="252" spans="2:4" x14ac:dyDescent="0.15">
      <c r="D252" s="53"/>
    </row>
    <row r="253" spans="2:4" x14ac:dyDescent="0.15">
      <c r="D253" s="53"/>
    </row>
    <row r="254" spans="2:4" x14ac:dyDescent="0.15">
      <c r="D254" s="53"/>
    </row>
    <row r="255" spans="2:4" x14ac:dyDescent="0.15">
      <c r="D255" s="53"/>
    </row>
    <row r="256" spans="2:4" x14ac:dyDescent="0.15">
      <c r="D256" s="53"/>
    </row>
    <row r="257" spans="4:4" x14ac:dyDescent="0.15">
      <c r="D257" s="53"/>
    </row>
    <row r="258" spans="4:4" x14ac:dyDescent="0.15">
      <c r="D258" s="53"/>
    </row>
    <row r="259" spans="4:4" x14ac:dyDescent="0.15">
      <c r="D259" s="53"/>
    </row>
    <row r="260" spans="4:4" x14ac:dyDescent="0.15">
      <c r="D260" s="53"/>
    </row>
    <row r="261" spans="4:4" x14ac:dyDescent="0.15">
      <c r="D261" s="53"/>
    </row>
    <row r="262" spans="4:4" x14ac:dyDescent="0.15">
      <c r="D262" s="53"/>
    </row>
    <row r="263" spans="4:4" x14ac:dyDescent="0.15">
      <c r="D263" s="53"/>
    </row>
    <row r="264" spans="4:4" x14ac:dyDescent="0.15">
      <c r="D264" s="53"/>
    </row>
    <row r="265" spans="4:4" x14ac:dyDescent="0.15">
      <c r="D265" s="53"/>
    </row>
    <row r="266" spans="4:4" x14ac:dyDescent="0.15">
      <c r="D266" s="53"/>
    </row>
    <row r="267" spans="4:4" x14ac:dyDescent="0.15">
      <c r="D267" s="53"/>
    </row>
    <row r="268" spans="4:4" x14ac:dyDescent="0.15">
      <c r="D268" s="53"/>
    </row>
    <row r="269" spans="4:4" x14ac:dyDescent="0.15">
      <c r="D269" s="53"/>
    </row>
    <row r="270" spans="4:4" x14ac:dyDescent="0.15">
      <c r="D270" s="53"/>
    </row>
    <row r="271" spans="4:4" x14ac:dyDescent="0.15">
      <c r="D271" s="53"/>
    </row>
    <row r="272" spans="4:4" x14ac:dyDescent="0.15">
      <c r="D272" s="53"/>
    </row>
    <row r="273" spans="4:4" x14ac:dyDescent="0.15">
      <c r="D273" s="53"/>
    </row>
    <row r="274" spans="4:4" x14ac:dyDescent="0.15">
      <c r="D274" s="53"/>
    </row>
    <row r="275" spans="4:4" x14ac:dyDescent="0.15">
      <c r="D275" s="53"/>
    </row>
    <row r="276" spans="4:4" x14ac:dyDescent="0.15">
      <c r="D276" s="53"/>
    </row>
    <row r="277" spans="4:4" x14ac:dyDescent="0.15">
      <c r="D277" s="53"/>
    </row>
    <row r="278" spans="4:4" x14ac:dyDescent="0.15">
      <c r="D278" s="53"/>
    </row>
    <row r="279" spans="4:4" x14ac:dyDescent="0.15">
      <c r="D279" s="53"/>
    </row>
    <row r="280" spans="4:4" x14ac:dyDescent="0.15">
      <c r="D280" s="53"/>
    </row>
    <row r="281" spans="4:4" x14ac:dyDescent="0.15">
      <c r="D281" s="53"/>
    </row>
    <row r="282" spans="4:4" x14ac:dyDescent="0.15">
      <c r="D282" s="53"/>
    </row>
    <row r="283" spans="4:4" x14ac:dyDescent="0.15">
      <c r="D283" s="53"/>
    </row>
    <row r="284" spans="4:4" x14ac:dyDescent="0.15">
      <c r="D284" s="53"/>
    </row>
    <row r="285" spans="4:4" x14ac:dyDescent="0.15">
      <c r="D285" s="53"/>
    </row>
    <row r="286" spans="4:4" x14ac:dyDescent="0.15">
      <c r="D286" s="53"/>
    </row>
    <row r="287" spans="4:4" x14ac:dyDescent="0.15">
      <c r="D287" s="53"/>
    </row>
    <row r="288" spans="4:4" x14ac:dyDescent="0.15">
      <c r="D288" s="53"/>
    </row>
    <row r="289" spans="4:4" x14ac:dyDescent="0.15">
      <c r="D289" s="53"/>
    </row>
    <row r="290" spans="4:4" x14ac:dyDescent="0.15">
      <c r="D290" s="53"/>
    </row>
    <row r="291" spans="4:4" x14ac:dyDescent="0.15">
      <c r="D291" s="53"/>
    </row>
    <row r="292" spans="4:4" x14ac:dyDescent="0.15">
      <c r="D292" s="53"/>
    </row>
    <row r="293" spans="4:4" x14ac:dyDescent="0.15">
      <c r="D293" s="53"/>
    </row>
    <row r="294" spans="4:4" x14ac:dyDescent="0.15">
      <c r="D294" s="53"/>
    </row>
    <row r="295" spans="4:4" x14ac:dyDescent="0.15">
      <c r="D295" s="53"/>
    </row>
    <row r="296" spans="4:4" x14ac:dyDescent="0.15">
      <c r="D296" s="53"/>
    </row>
    <row r="297" spans="4:4" x14ac:dyDescent="0.15">
      <c r="D297" s="53"/>
    </row>
    <row r="298" spans="4:4" x14ac:dyDescent="0.15">
      <c r="D298" s="53"/>
    </row>
    <row r="299" spans="4:4" x14ac:dyDescent="0.15">
      <c r="D299" s="53"/>
    </row>
    <row r="300" spans="4:4" x14ac:dyDescent="0.15">
      <c r="D300" s="53"/>
    </row>
    <row r="301" spans="4:4" x14ac:dyDescent="0.15">
      <c r="D301" s="53"/>
    </row>
    <row r="302" spans="4:4" x14ac:dyDescent="0.15">
      <c r="D302" s="53"/>
    </row>
    <row r="303" spans="4:4" x14ac:dyDescent="0.15">
      <c r="D303" s="53"/>
    </row>
    <row r="304" spans="4:4" x14ac:dyDescent="0.15">
      <c r="D304" s="53"/>
    </row>
    <row r="305" spans="4:4" x14ac:dyDescent="0.15">
      <c r="D305" s="53"/>
    </row>
    <row r="306" spans="4:4" x14ac:dyDescent="0.15">
      <c r="D306" s="53"/>
    </row>
    <row r="307" spans="4:4" x14ac:dyDescent="0.15">
      <c r="D307" s="53"/>
    </row>
    <row r="308" spans="4:4" x14ac:dyDescent="0.15">
      <c r="D308" s="53"/>
    </row>
    <row r="309" spans="4:4" x14ac:dyDescent="0.15">
      <c r="D309" s="53"/>
    </row>
    <row r="310" spans="4:4" x14ac:dyDescent="0.15">
      <c r="D310" s="53"/>
    </row>
    <row r="311" spans="4:4" x14ac:dyDescent="0.15">
      <c r="D311" s="53"/>
    </row>
    <row r="312" spans="4:4" x14ac:dyDescent="0.15">
      <c r="D312" s="53"/>
    </row>
    <row r="313" spans="4:4" x14ac:dyDescent="0.15">
      <c r="D313" s="53"/>
    </row>
    <row r="314" spans="4:4" x14ac:dyDescent="0.15">
      <c r="D314" s="53"/>
    </row>
    <row r="315" spans="4:4" x14ac:dyDescent="0.15">
      <c r="D315" s="53"/>
    </row>
    <row r="316" spans="4:4" x14ac:dyDescent="0.15">
      <c r="D316" s="53"/>
    </row>
  </sheetData>
  <phoneticPr fontId="32" type="noConversion"/>
  <conditionalFormatting sqref="C53:C55 C10:C43 C46:C47">
    <cfRule type="duplicateValues" dxfId="18" priority="12"/>
  </conditionalFormatting>
  <conditionalFormatting sqref="C57">
    <cfRule type="duplicateValues" dxfId="17" priority="11"/>
  </conditionalFormatting>
  <conditionalFormatting sqref="C60 C58">
    <cfRule type="duplicateValues" dxfId="16" priority="10"/>
  </conditionalFormatting>
  <conditionalFormatting sqref="C61:C64">
    <cfRule type="duplicateValues" dxfId="15" priority="9"/>
  </conditionalFormatting>
  <conditionalFormatting sqref="C60:C64 C57:C58 C10:C55">
    <cfRule type="duplicateValues" dxfId="14" priority="8"/>
  </conditionalFormatting>
  <conditionalFormatting sqref="C56">
    <cfRule type="duplicateValues" dxfId="13" priority="7"/>
  </conditionalFormatting>
  <conditionalFormatting sqref="C10:C58 C60:C64">
    <cfRule type="duplicateValues" dxfId="12" priority="13"/>
    <cfRule type="duplicateValues" dxfId="11" priority="14"/>
    <cfRule type="duplicateValues" dxfId="10" priority="15"/>
  </conditionalFormatting>
  <conditionalFormatting sqref="C10:C58 C60:C64">
    <cfRule type="duplicateValues" dxfId="9" priority="16"/>
  </conditionalFormatting>
  <conditionalFormatting sqref="C65">
    <cfRule type="duplicateValues" dxfId="8" priority="2"/>
  </conditionalFormatting>
  <conditionalFormatting sqref="C65">
    <cfRule type="duplicateValues" dxfId="7" priority="3"/>
    <cfRule type="duplicateValues" dxfId="6" priority="4"/>
    <cfRule type="duplicateValues" dxfId="5" priority="5"/>
  </conditionalFormatting>
  <conditionalFormatting sqref="C65">
    <cfRule type="duplicateValues" dxfId="4" priority="6"/>
  </conditionalFormatting>
  <conditionalFormatting sqref="C82:C127">
    <cfRule type="duplicateValues" dxfId="3" priority="1"/>
  </conditionalFormatting>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16"/>
  <sheetViews>
    <sheetView topLeftCell="A40" workbookViewId="0">
      <selection activeCell="B73" sqref="B73:C73"/>
    </sheetView>
  </sheetViews>
  <sheetFormatPr defaultColWidth="9" defaultRowHeight="13.5" x14ac:dyDescent="0.15"/>
  <cols>
    <col min="1" max="1" width="9" style="50" customWidth="1"/>
    <col min="2" max="3" width="10.625" style="52" customWidth="1"/>
    <col min="4" max="4" width="28.875" style="52" customWidth="1"/>
    <col min="5" max="16384" width="9" style="50"/>
  </cols>
  <sheetData>
    <row r="1" spans="1:4" s="46" customFormat="1" x14ac:dyDescent="0.15">
      <c r="A1" s="45" t="s">
        <v>224</v>
      </c>
      <c r="B1" s="46" t="s">
        <v>1</v>
      </c>
      <c r="C1" s="46" t="s">
        <v>1</v>
      </c>
      <c r="D1" s="46" t="s">
        <v>1</v>
      </c>
    </row>
    <row r="2" spans="1:4" s="46" customFormat="1" x14ac:dyDescent="0.15">
      <c r="A2" s="45" t="s">
        <v>2</v>
      </c>
      <c r="B2" s="46" t="s">
        <v>1</v>
      </c>
      <c r="C2" s="46" t="s">
        <v>1</v>
      </c>
      <c r="D2" s="46" t="s">
        <v>1</v>
      </c>
    </row>
    <row r="3" spans="1:4" s="47" customFormat="1" ht="14.25" x14ac:dyDescent="0.15">
      <c r="A3" s="14" t="s">
        <v>1</v>
      </c>
      <c r="B3" s="14" t="s">
        <v>3</v>
      </c>
      <c r="C3" s="14" t="s">
        <v>225</v>
      </c>
      <c r="D3" s="14" t="s">
        <v>225</v>
      </c>
    </row>
    <row r="4" spans="1:4" s="47" customFormat="1" ht="14.25" x14ac:dyDescent="0.15">
      <c r="A4" s="14"/>
      <c r="B4" s="14" t="s">
        <v>4</v>
      </c>
      <c r="C4" s="14" t="s">
        <v>226</v>
      </c>
      <c r="D4" s="14" t="s">
        <v>227</v>
      </c>
    </row>
    <row r="5" spans="1:4" s="47" customFormat="1" ht="14.25" x14ac:dyDescent="0.15">
      <c r="A5" s="14"/>
      <c r="B5" s="14" t="str">
        <f>IF(B3="","",IF(B3="INT","i",IF(B3="FLOAT","f",IF(B3="STRING","s"))))</f>
        <v>i</v>
      </c>
      <c r="C5" s="14" t="str">
        <f>IF(C3="","",IF(C3="INT","i",IF(C3="FLOAT","f",IF(C3="STRING","s"))))</f>
        <v>s</v>
      </c>
      <c r="D5" s="14" t="str">
        <f>IF(D3="","",IF(D3="INT","i",IF(D3="FLOAT","f",IF(D3="STRING","s"))))</f>
        <v>s</v>
      </c>
    </row>
    <row r="6" spans="1:4" s="47" customFormat="1" ht="14.25" x14ac:dyDescent="0.15">
      <c r="A6" s="14" t="s">
        <v>1</v>
      </c>
      <c r="B6" s="14" t="str">
        <f>B5&amp;B4</f>
        <v>iID</v>
      </c>
      <c r="C6" s="14" t="str">
        <f>C5&amp;C4</f>
        <v>sName</v>
      </c>
      <c r="D6" s="14" t="str">
        <f>D5&amp;D4</f>
        <v>sDesc</v>
      </c>
    </row>
    <row r="7" spans="1:4" s="48" customFormat="1" ht="14.25" x14ac:dyDescent="0.15">
      <c r="A7" s="14"/>
      <c r="B7" s="14" t="s">
        <v>228</v>
      </c>
      <c r="C7" s="14" t="s">
        <v>229</v>
      </c>
      <c r="D7" s="14" t="s">
        <v>230</v>
      </c>
    </row>
    <row r="8" spans="1:4" s="48" customFormat="1" ht="14.25" x14ac:dyDescent="0.15">
      <c r="A8" s="14" t="s">
        <v>6</v>
      </c>
      <c r="B8" s="14" t="e">
        <f>MODE(B13:B1046)</f>
        <v>#N/A</v>
      </c>
      <c r="C8" s="14"/>
      <c r="D8" s="14"/>
    </row>
    <row r="9" spans="1:4" s="49" customFormat="1" ht="15.75" customHeight="1" x14ac:dyDescent="0.15">
      <c r="A9" s="18"/>
      <c r="B9" s="18"/>
      <c r="C9" s="18"/>
      <c r="D9" s="18"/>
    </row>
    <row r="10" spans="1:4" x14ac:dyDescent="0.15">
      <c r="A10" s="103" t="s">
        <v>1</v>
      </c>
      <c r="B10" s="103">
        <v>101</v>
      </c>
      <c r="C10" s="104" t="s">
        <v>668</v>
      </c>
      <c r="D10" s="50"/>
    </row>
    <row r="11" spans="1:4" x14ac:dyDescent="0.15">
      <c r="A11" s="103" t="s">
        <v>1</v>
      </c>
      <c r="B11" s="103">
        <v>102</v>
      </c>
      <c r="C11" s="103" t="s">
        <v>669</v>
      </c>
      <c r="D11" s="50"/>
    </row>
    <row r="12" spans="1:4" x14ac:dyDescent="0.15">
      <c r="A12" s="103" t="s">
        <v>1</v>
      </c>
      <c r="B12" s="103">
        <v>103</v>
      </c>
      <c r="C12" s="103" t="s">
        <v>670</v>
      </c>
      <c r="D12" s="50"/>
    </row>
    <row r="13" spans="1:4" ht="15.75" customHeight="1" x14ac:dyDescent="0.15">
      <c r="A13" s="103" t="s">
        <v>1</v>
      </c>
      <c r="B13" s="103">
        <v>104</v>
      </c>
      <c r="C13" s="103" t="s">
        <v>671</v>
      </c>
      <c r="D13" s="50"/>
    </row>
    <row r="14" spans="1:4" x14ac:dyDescent="0.15">
      <c r="A14" s="103" t="s">
        <v>1</v>
      </c>
      <c r="B14" s="103">
        <v>105</v>
      </c>
      <c r="C14" s="103" t="s">
        <v>2491</v>
      </c>
      <c r="D14" s="51"/>
    </row>
    <row r="15" spans="1:4" x14ac:dyDescent="0.15">
      <c r="A15" s="103" t="s">
        <v>1</v>
      </c>
      <c r="B15" s="103">
        <v>106</v>
      </c>
      <c r="C15" s="103" t="s">
        <v>1040</v>
      </c>
      <c r="D15" s="51"/>
    </row>
    <row r="16" spans="1:4" x14ac:dyDescent="0.15">
      <c r="A16" s="103" t="s">
        <v>1</v>
      </c>
      <c r="B16" s="103">
        <v>107</v>
      </c>
      <c r="C16" s="103" t="s">
        <v>2023</v>
      </c>
      <c r="D16" s="51"/>
    </row>
    <row r="17" spans="1:4" x14ac:dyDescent="0.15">
      <c r="A17" s="103" t="s">
        <v>1</v>
      </c>
      <c r="B17" s="103">
        <v>108</v>
      </c>
      <c r="C17" s="103" t="s">
        <v>959</v>
      </c>
      <c r="D17" s="51"/>
    </row>
    <row r="18" spans="1:4" x14ac:dyDescent="0.15">
      <c r="A18" s="103" t="s">
        <v>1</v>
      </c>
      <c r="B18" s="103">
        <v>109</v>
      </c>
      <c r="C18" s="103" t="s">
        <v>2492</v>
      </c>
      <c r="D18" s="51"/>
    </row>
    <row r="19" spans="1:4" x14ac:dyDescent="0.15">
      <c r="A19" s="103" t="s">
        <v>1</v>
      </c>
      <c r="B19" s="103">
        <v>110</v>
      </c>
      <c r="C19" s="103" t="s">
        <v>251</v>
      </c>
      <c r="D19" s="51"/>
    </row>
    <row r="20" spans="1:4" x14ac:dyDescent="0.15">
      <c r="A20" s="103" t="s">
        <v>1</v>
      </c>
      <c r="B20" s="103">
        <v>111</v>
      </c>
      <c r="C20" s="103" t="s">
        <v>477</v>
      </c>
      <c r="D20" s="51"/>
    </row>
    <row r="21" spans="1:4" x14ac:dyDescent="0.15">
      <c r="A21" s="103" t="s">
        <v>1</v>
      </c>
      <c r="B21" s="103">
        <v>112</v>
      </c>
      <c r="C21" s="103" t="s">
        <v>478</v>
      </c>
      <c r="D21" s="51"/>
    </row>
    <row r="22" spans="1:4" x14ac:dyDescent="0.15">
      <c r="A22" s="103" t="s">
        <v>1</v>
      </c>
      <c r="B22" s="103">
        <v>113</v>
      </c>
      <c r="C22" s="103" t="s">
        <v>1038</v>
      </c>
      <c r="D22" s="51"/>
    </row>
    <row r="23" spans="1:4" x14ac:dyDescent="0.15">
      <c r="A23" s="103" t="s">
        <v>1</v>
      </c>
      <c r="B23" s="103">
        <v>114</v>
      </c>
      <c r="C23" s="103" t="s">
        <v>1039</v>
      </c>
      <c r="D23" s="51"/>
    </row>
    <row r="24" spans="1:4" x14ac:dyDescent="0.15">
      <c r="A24" s="103" t="s">
        <v>1</v>
      </c>
      <c r="B24" s="103">
        <v>115</v>
      </c>
      <c r="C24" s="103" t="s">
        <v>2114</v>
      </c>
      <c r="D24" s="51"/>
    </row>
    <row r="25" spans="1:4" x14ac:dyDescent="0.15">
      <c r="A25" s="103" t="s">
        <v>1</v>
      </c>
      <c r="B25" s="103">
        <v>116</v>
      </c>
      <c r="C25" s="103" t="s">
        <v>2493</v>
      </c>
      <c r="D25" s="51"/>
    </row>
    <row r="26" spans="1:4" x14ac:dyDescent="0.15">
      <c r="A26" s="103" t="s">
        <v>1</v>
      </c>
      <c r="B26" s="103">
        <v>117</v>
      </c>
      <c r="C26" s="103" t="s">
        <v>2168</v>
      </c>
      <c r="D26" s="51"/>
    </row>
    <row r="27" spans="1:4" x14ac:dyDescent="0.15">
      <c r="A27" s="103" t="s">
        <v>1</v>
      </c>
      <c r="B27" s="103">
        <v>118</v>
      </c>
      <c r="C27" s="103" t="s">
        <v>271</v>
      </c>
      <c r="D27" s="51"/>
    </row>
    <row r="28" spans="1:4" x14ac:dyDescent="0.15">
      <c r="A28" s="103" t="s">
        <v>1</v>
      </c>
      <c r="B28" s="103">
        <v>119</v>
      </c>
      <c r="C28" s="103" t="s">
        <v>285</v>
      </c>
      <c r="D28" s="51"/>
    </row>
    <row r="29" spans="1:4" x14ac:dyDescent="0.15">
      <c r="A29" s="103" t="s">
        <v>1</v>
      </c>
      <c r="B29" s="103">
        <v>120</v>
      </c>
      <c r="C29" s="103" t="s">
        <v>286</v>
      </c>
      <c r="D29" s="51"/>
    </row>
    <row r="30" spans="1:4" x14ac:dyDescent="0.15">
      <c r="A30" s="103" t="s">
        <v>1</v>
      </c>
      <c r="B30" s="103">
        <v>121</v>
      </c>
      <c r="C30" s="103" t="s">
        <v>841</v>
      </c>
      <c r="D30" s="51"/>
    </row>
    <row r="31" spans="1:4" x14ac:dyDescent="0.15">
      <c r="A31" s="103" t="s">
        <v>1</v>
      </c>
      <c r="B31" s="103">
        <v>122</v>
      </c>
      <c r="C31" s="103" t="s">
        <v>842</v>
      </c>
      <c r="D31" s="51"/>
    </row>
    <row r="32" spans="1:4" x14ac:dyDescent="0.15">
      <c r="A32" s="103" t="s">
        <v>1</v>
      </c>
      <c r="B32" s="103">
        <v>123</v>
      </c>
      <c r="C32" s="103" t="s">
        <v>843</v>
      </c>
      <c r="D32" s="51"/>
    </row>
    <row r="33" spans="1:4" x14ac:dyDescent="0.15">
      <c r="A33" s="103" t="s">
        <v>1</v>
      </c>
      <c r="B33" s="103">
        <v>124</v>
      </c>
      <c r="C33" s="103" t="s">
        <v>844</v>
      </c>
      <c r="D33" s="51"/>
    </row>
    <row r="34" spans="1:4" x14ac:dyDescent="0.15">
      <c r="A34" s="103" t="s">
        <v>1</v>
      </c>
      <c r="B34" s="103">
        <v>125</v>
      </c>
      <c r="C34" s="103" t="s">
        <v>952</v>
      </c>
      <c r="D34" s="51"/>
    </row>
    <row r="35" spans="1:4" x14ac:dyDescent="0.15">
      <c r="A35" s="103" t="s">
        <v>1</v>
      </c>
      <c r="B35" s="103">
        <v>126</v>
      </c>
      <c r="C35" s="103" t="s">
        <v>953</v>
      </c>
      <c r="D35" s="51"/>
    </row>
    <row r="36" spans="1:4" x14ac:dyDescent="0.15">
      <c r="A36" s="103" t="s">
        <v>1</v>
      </c>
      <c r="B36" s="103">
        <v>127</v>
      </c>
      <c r="C36" s="103" t="s">
        <v>667</v>
      </c>
      <c r="D36" s="51"/>
    </row>
    <row r="37" spans="1:4" x14ac:dyDescent="0.15">
      <c r="A37" s="103" t="s">
        <v>1</v>
      </c>
      <c r="B37" s="103">
        <v>128</v>
      </c>
      <c r="C37" s="103" t="s">
        <v>2494</v>
      </c>
      <c r="D37" s="51"/>
    </row>
    <row r="38" spans="1:4" x14ac:dyDescent="0.15">
      <c r="A38" s="103" t="s">
        <v>1</v>
      </c>
      <c r="B38" s="103">
        <v>129</v>
      </c>
      <c r="C38" s="103" t="s">
        <v>1366</v>
      </c>
      <c r="D38" s="51"/>
    </row>
    <row r="39" spans="1:4" x14ac:dyDescent="0.15">
      <c r="A39" s="103" t="s">
        <v>1</v>
      </c>
      <c r="B39" s="103">
        <v>130</v>
      </c>
      <c r="C39" s="103" t="s">
        <v>672</v>
      </c>
      <c r="D39" s="51"/>
    </row>
    <row r="40" spans="1:4" x14ac:dyDescent="0.15">
      <c r="A40" s="103" t="s">
        <v>1</v>
      </c>
      <c r="B40" s="103">
        <v>131</v>
      </c>
      <c r="C40" s="103" t="s">
        <v>673</v>
      </c>
      <c r="D40" s="51"/>
    </row>
    <row r="41" spans="1:4" x14ac:dyDescent="0.15">
      <c r="A41" s="103" t="s">
        <v>1</v>
      </c>
      <c r="B41" s="103">
        <v>132</v>
      </c>
      <c r="C41" s="103" t="s">
        <v>674</v>
      </c>
      <c r="D41" s="51"/>
    </row>
    <row r="42" spans="1:4" x14ac:dyDescent="0.15">
      <c r="A42" s="103" t="s">
        <v>1</v>
      </c>
      <c r="B42" s="103">
        <v>133</v>
      </c>
      <c r="C42" s="103" t="s">
        <v>629</v>
      </c>
      <c r="D42" s="51"/>
    </row>
    <row r="43" spans="1:4" x14ac:dyDescent="0.15">
      <c r="A43" s="105" t="s">
        <v>1</v>
      </c>
      <c r="B43" s="105">
        <v>134</v>
      </c>
      <c r="C43" s="105" t="s">
        <v>2657</v>
      </c>
      <c r="D43" s="51"/>
    </row>
    <row r="44" spans="1:4" x14ac:dyDescent="0.15">
      <c r="A44" s="105" t="s">
        <v>1</v>
      </c>
      <c r="B44" s="105">
        <v>135</v>
      </c>
      <c r="C44" s="105" t="s">
        <v>3266</v>
      </c>
      <c r="D44" s="51"/>
    </row>
    <row r="45" spans="1:4" x14ac:dyDescent="0.15">
      <c r="A45" s="105" t="s">
        <v>1</v>
      </c>
      <c r="B45" s="105">
        <v>136</v>
      </c>
      <c r="C45" s="105" t="s">
        <v>3267</v>
      </c>
      <c r="D45" s="51"/>
    </row>
    <row r="46" spans="1:4" x14ac:dyDescent="0.15">
      <c r="A46" s="105" t="s">
        <v>1</v>
      </c>
      <c r="B46" s="105">
        <v>137</v>
      </c>
      <c r="C46" s="105" t="s">
        <v>3268</v>
      </c>
      <c r="D46" s="51"/>
    </row>
    <row r="47" spans="1:4" x14ac:dyDescent="0.15">
      <c r="A47" s="105" t="s">
        <v>1</v>
      </c>
      <c r="B47" s="105">
        <v>138</v>
      </c>
      <c r="C47" s="105" t="s">
        <v>3269</v>
      </c>
      <c r="D47" s="51"/>
    </row>
    <row r="48" spans="1:4" x14ac:dyDescent="0.15">
      <c r="A48" s="105" t="s">
        <v>1</v>
      </c>
      <c r="B48" s="105">
        <v>139</v>
      </c>
      <c r="C48" s="105" t="s">
        <v>859</v>
      </c>
      <c r="D48" s="51"/>
    </row>
    <row r="49" spans="1:4" x14ac:dyDescent="0.15">
      <c r="A49" s="105" t="s">
        <v>1</v>
      </c>
      <c r="B49" s="105">
        <v>140</v>
      </c>
      <c r="C49" s="105" t="s">
        <v>1071</v>
      </c>
      <c r="D49" s="51"/>
    </row>
    <row r="50" spans="1:4" x14ac:dyDescent="0.15">
      <c r="A50" s="105" t="s">
        <v>1</v>
      </c>
      <c r="B50" s="105">
        <v>141</v>
      </c>
      <c r="C50" s="105" t="s">
        <v>3270</v>
      </c>
      <c r="D50" s="51"/>
    </row>
    <row r="51" spans="1:4" x14ac:dyDescent="0.15">
      <c r="A51" s="105" t="s">
        <v>1</v>
      </c>
      <c r="B51" s="105">
        <v>142</v>
      </c>
      <c r="C51" s="105" t="s">
        <v>3271</v>
      </c>
      <c r="D51" s="51"/>
    </row>
    <row r="52" spans="1:4" x14ac:dyDescent="0.15">
      <c r="A52" s="105" t="s">
        <v>1</v>
      </c>
      <c r="B52" s="105">
        <v>143</v>
      </c>
      <c r="C52" s="105" t="s">
        <v>335</v>
      </c>
      <c r="D52" s="51"/>
    </row>
    <row r="53" spans="1:4" x14ac:dyDescent="0.15">
      <c r="A53" s="105" t="s">
        <v>1</v>
      </c>
      <c r="B53" s="105">
        <v>144</v>
      </c>
      <c r="C53" s="105" t="s">
        <v>3235</v>
      </c>
      <c r="D53" s="51"/>
    </row>
    <row r="54" spans="1:4" x14ac:dyDescent="0.15">
      <c r="A54" s="105" t="s">
        <v>1</v>
      </c>
      <c r="B54" s="105">
        <v>145</v>
      </c>
      <c r="C54" s="105" t="s">
        <v>3272</v>
      </c>
      <c r="D54" s="51"/>
    </row>
    <row r="55" spans="1:4" x14ac:dyDescent="0.15">
      <c r="A55" s="105" t="s">
        <v>1</v>
      </c>
      <c r="B55" s="105">
        <v>146</v>
      </c>
      <c r="C55" s="105" t="s">
        <v>3273</v>
      </c>
      <c r="D55" s="51"/>
    </row>
    <row r="56" spans="1:4" x14ac:dyDescent="0.15">
      <c r="A56" s="105" t="s">
        <v>1</v>
      </c>
      <c r="B56" s="105">
        <v>147</v>
      </c>
      <c r="C56" s="105" t="s">
        <v>3274</v>
      </c>
      <c r="D56" s="51"/>
    </row>
    <row r="57" spans="1:4" x14ac:dyDescent="0.15">
      <c r="A57" s="105" t="s">
        <v>1</v>
      </c>
      <c r="B57" s="105">
        <v>148</v>
      </c>
      <c r="C57" s="105" t="s">
        <v>3275</v>
      </c>
      <c r="D57" s="51"/>
    </row>
    <row r="58" spans="1:4" x14ac:dyDescent="0.15">
      <c r="A58" s="105" t="s">
        <v>1</v>
      </c>
      <c r="B58" s="105">
        <v>149</v>
      </c>
      <c r="C58" s="105" t="s">
        <v>3276</v>
      </c>
      <c r="D58" s="51"/>
    </row>
    <row r="59" spans="1:4" x14ac:dyDescent="0.15">
      <c r="A59" s="105" t="s">
        <v>1</v>
      </c>
      <c r="B59" s="105">
        <v>150</v>
      </c>
      <c r="C59" s="105" t="s">
        <v>3225</v>
      </c>
      <c r="D59" s="51"/>
    </row>
    <row r="60" spans="1:4" x14ac:dyDescent="0.15">
      <c r="A60" s="50" t="s">
        <v>1</v>
      </c>
      <c r="B60" s="50">
        <v>151</v>
      </c>
      <c r="C60" s="50" t="s">
        <v>1061</v>
      </c>
      <c r="D60" s="51"/>
    </row>
    <row r="61" spans="1:4" x14ac:dyDescent="0.15">
      <c r="A61" s="50" t="s">
        <v>1</v>
      </c>
      <c r="B61" s="50">
        <v>152</v>
      </c>
      <c r="C61" s="50" t="s">
        <v>3523</v>
      </c>
      <c r="D61" s="51"/>
    </row>
    <row r="62" spans="1:4" x14ac:dyDescent="0.15">
      <c r="A62" s="50" t="s">
        <v>1</v>
      </c>
      <c r="B62" s="50">
        <v>153</v>
      </c>
      <c r="C62" s="50" t="s">
        <v>3550</v>
      </c>
      <c r="D62" s="51"/>
    </row>
    <row r="63" spans="1:4" x14ac:dyDescent="0.15">
      <c r="A63" s="50" t="s">
        <v>1</v>
      </c>
      <c r="B63" s="50">
        <v>154</v>
      </c>
      <c r="C63" s="50" t="s">
        <v>3895</v>
      </c>
      <c r="D63" s="51"/>
    </row>
    <row r="64" spans="1:4" x14ac:dyDescent="0.15">
      <c r="A64" s="50" t="s">
        <v>1</v>
      </c>
      <c r="B64" s="50">
        <v>155</v>
      </c>
      <c r="C64" s="50" t="s">
        <v>3621</v>
      </c>
      <c r="D64" s="51"/>
    </row>
    <row r="65" spans="1:4" x14ac:dyDescent="0.15">
      <c r="A65" s="50" t="s">
        <v>1</v>
      </c>
      <c r="B65" s="50">
        <v>156</v>
      </c>
      <c r="C65" s="50" t="s">
        <v>3896</v>
      </c>
      <c r="D65" s="51"/>
    </row>
    <row r="66" spans="1:4" x14ac:dyDescent="0.15">
      <c r="A66" s="50" t="s">
        <v>1</v>
      </c>
      <c r="B66" s="50">
        <v>157</v>
      </c>
      <c r="C66" s="50" t="s">
        <v>3897</v>
      </c>
      <c r="D66" s="51"/>
    </row>
    <row r="67" spans="1:4" x14ac:dyDescent="0.15">
      <c r="A67" s="50" t="s">
        <v>1</v>
      </c>
      <c r="B67" s="50">
        <v>158</v>
      </c>
      <c r="C67" s="50" t="s">
        <v>3679</v>
      </c>
      <c r="D67" s="51"/>
    </row>
    <row r="68" spans="1:4" x14ac:dyDescent="0.15">
      <c r="A68" s="50" t="s">
        <v>1</v>
      </c>
      <c r="B68" s="50">
        <v>159</v>
      </c>
      <c r="C68" s="50" t="s">
        <v>3898</v>
      </c>
      <c r="D68" s="51"/>
    </row>
    <row r="69" spans="1:4" x14ac:dyDescent="0.15">
      <c r="A69" s="50" t="s">
        <v>1</v>
      </c>
      <c r="B69" s="50">
        <v>160</v>
      </c>
      <c r="C69" s="50" t="s">
        <v>3899</v>
      </c>
      <c r="D69" s="51"/>
    </row>
    <row r="70" spans="1:4" x14ac:dyDescent="0.15">
      <c r="A70" s="50" t="s">
        <v>1</v>
      </c>
      <c r="B70" s="50">
        <v>161</v>
      </c>
      <c r="C70" s="50" t="s">
        <v>3900</v>
      </c>
      <c r="D70" s="51"/>
    </row>
    <row r="71" spans="1:4" x14ac:dyDescent="0.15">
      <c r="A71" s="50" t="s">
        <v>1</v>
      </c>
      <c r="B71" s="50">
        <v>162</v>
      </c>
      <c r="C71" s="50" t="s">
        <v>3901</v>
      </c>
      <c r="D71" s="51"/>
    </row>
    <row r="72" spans="1:4" ht="18" customHeight="1" x14ac:dyDescent="0.15">
      <c r="A72" s="86" t="s">
        <v>1</v>
      </c>
      <c r="B72" s="50">
        <v>163</v>
      </c>
      <c r="C72" s="50" t="s">
        <v>3902</v>
      </c>
      <c r="D72" s="51"/>
    </row>
    <row r="73" spans="1:4" x14ac:dyDescent="0.15">
      <c r="A73" s="86" t="s">
        <v>1</v>
      </c>
      <c r="B73" s="115">
        <v>164</v>
      </c>
      <c r="C73" s="115" t="s">
        <v>7475</v>
      </c>
      <c r="D73" s="51"/>
    </row>
    <row r="74" spans="1:4" x14ac:dyDescent="0.15">
      <c r="A74" s="86" t="s">
        <v>1</v>
      </c>
      <c r="B74" s="50">
        <v>165</v>
      </c>
      <c r="C74" s="50" t="s">
        <v>4731</v>
      </c>
      <c r="D74" s="51"/>
    </row>
    <row r="75" spans="1:4" x14ac:dyDescent="0.15">
      <c r="A75" s="86" t="s">
        <v>1</v>
      </c>
      <c r="B75" s="50">
        <v>166</v>
      </c>
      <c r="C75" s="50" t="s">
        <v>4732</v>
      </c>
      <c r="D75" s="51"/>
    </row>
    <row r="76" spans="1:4" x14ac:dyDescent="0.15">
      <c r="A76" s="86" t="s">
        <v>1</v>
      </c>
      <c r="B76" s="50">
        <v>167</v>
      </c>
      <c r="C76" s="50" t="s">
        <v>4733</v>
      </c>
      <c r="D76" s="51"/>
    </row>
    <row r="77" spans="1:4" x14ac:dyDescent="0.15">
      <c r="A77" s="86" t="s">
        <v>1</v>
      </c>
      <c r="B77" s="50">
        <v>168</v>
      </c>
      <c r="C77" s="50" t="s">
        <v>4734</v>
      </c>
      <c r="D77" s="51"/>
    </row>
    <row r="78" spans="1:4" x14ac:dyDescent="0.15">
      <c r="A78" s="86" t="s">
        <v>1</v>
      </c>
      <c r="B78" s="50">
        <v>169</v>
      </c>
      <c r="C78" s="50" t="s">
        <v>428</v>
      </c>
      <c r="D78" s="51"/>
    </row>
    <row r="79" spans="1:4" x14ac:dyDescent="0.15">
      <c r="A79" s="86" t="s">
        <v>1</v>
      </c>
      <c r="B79" s="50">
        <v>170</v>
      </c>
      <c r="C79" s="50" t="s">
        <v>4735</v>
      </c>
      <c r="D79" s="51"/>
    </row>
    <row r="80" spans="1:4" x14ac:dyDescent="0.15">
      <c r="A80" s="86" t="s">
        <v>1</v>
      </c>
      <c r="B80" s="50">
        <v>171</v>
      </c>
      <c r="C80" s="50" t="s">
        <v>4736</v>
      </c>
      <c r="D80" s="51"/>
    </row>
    <row r="81" spans="1:4" x14ac:dyDescent="0.15">
      <c r="A81" s="86" t="s">
        <v>1</v>
      </c>
      <c r="B81" s="50">
        <v>172</v>
      </c>
      <c r="C81" s="50" t="s">
        <v>4737</v>
      </c>
      <c r="D81" s="51"/>
    </row>
    <row r="82" spans="1:4" x14ac:dyDescent="0.15">
      <c r="A82" s="86" t="s">
        <v>1</v>
      </c>
      <c r="B82" s="50">
        <v>173</v>
      </c>
      <c r="C82" s="50" t="s">
        <v>4738</v>
      </c>
      <c r="D82" s="51"/>
    </row>
    <row r="83" spans="1:4" x14ac:dyDescent="0.15">
      <c r="A83" s="86" t="s">
        <v>1</v>
      </c>
      <c r="B83" s="50">
        <v>174</v>
      </c>
      <c r="C83" s="50" t="s">
        <v>4739</v>
      </c>
      <c r="D83" s="51"/>
    </row>
    <row r="84" spans="1:4" x14ac:dyDescent="0.15">
      <c r="A84" s="86" t="s">
        <v>1</v>
      </c>
      <c r="B84" s="50">
        <v>175</v>
      </c>
      <c r="C84" s="50" t="s">
        <v>4550</v>
      </c>
      <c r="D84" s="51"/>
    </row>
    <row r="85" spans="1:4" x14ac:dyDescent="0.15">
      <c r="A85" s="86" t="s">
        <v>1</v>
      </c>
      <c r="B85" s="50">
        <v>176</v>
      </c>
      <c r="C85" s="50" t="s">
        <v>4740</v>
      </c>
      <c r="D85" s="51"/>
    </row>
    <row r="86" spans="1:4" x14ac:dyDescent="0.15">
      <c r="A86" s="86" t="s">
        <v>1</v>
      </c>
      <c r="B86" s="50">
        <v>177</v>
      </c>
      <c r="C86" s="50" t="s">
        <v>4741</v>
      </c>
      <c r="D86" s="51"/>
    </row>
    <row r="87" spans="1:4" x14ac:dyDescent="0.15">
      <c r="A87" s="86" t="s">
        <v>1</v>
      </c>
      <c r="B87" s="50">
        <v>178</v>
      </c>
      <c r="C87" s="50" t="s">
        <v>6977</v>
      </c>
      <c r="D87" s="51"/>
    </row>
    <row r="88" spans="1:4" x14ac:dyDescent="0.15">
      <c r="A88" s="86" t="s">
        <v>1</v>
      </c>
      <c r="B88" s="50">
        <v>179</v>
      </c>
      <c r="C88" s="50" t="s">
        <v>6978</v>
      </c>
      <c r="D88" s="51"/>
    </row>
    <row r="89" spans="1:4" x14ac:dyDescent="0.15">
      <c r="A89" s="86" t="s">
        <v>1</v>
      </c>
      <c r="B89" s="50">
        <v>180</v>
      </c>
      <c r="C89" s="50" t="s">
        <v>6979</v>
      </c>
      <c r="D89" s="51"/>
    </row>
    <row r="90" spans="1:4" x14ac:dyDescent="0.15">
      <c r="A90" s="86" t="s">
        <v>1</v>
      </c>
      <c r="B90" s="50">
        <v>181</v>
      </c>
      <c r="C90" s="50" t="s">
        <v>6980</v>
      </c>
      <c r="D90" s="51"/>
    </row>
    <row r="91" spans="1:4" x14ac:dyDescent="0.15">
      <c r="A91" s="86" t="s">
        <v>1</v>
      </c>
      <c r="B91" s="50">
        <v>182</v>
      </c>
      <c r="C91" s="50" t="s">
        <v>6981</v>
      </c>
    </row>
    <row r="92" spans="1:4" x14ac:dyDescent="0.15">
      <c r="A92" s="86" t="s">
        <v>1</v>
      </c>
      <c r="B92" s="50">
        <v>183</v>
      </c>
      <c r="C92" s="50" t="s">
        <v>5121</v>
      </c>
    </row>
    <row r="93" spans="1:4" x14ac:dyDescent="0.15">
      <c r="A93" s="86" t="s">
        <v>1</v>
      </c>
      <c r="B93" s="50">
        <v>184</v>
      </c>
      <c r="C93" s="50" t="s">
        <v>6982</v>
      </c>
    </row>
    <row r="94" spans="1:4" x14ac:dyDescent="0.15">
      <c r="A94" s="86" t="s">
        <v>1</v>
      </c>
      <c r="B94" s="50">
        <v>185</v>
      </c>
      <c r="C94" s="50" t="s">
        <v>7474</v>
      </c>
    </row>
    <row r="95" spans="1:4" x14ac:dyDescent="0.15">
      <c r="A95" s="86" t="s">
        <v>1</v>
      </c>
      <c r="B95" s="50">
        <v>186</v>
      </c>
      <c r="C95" s="50" t="s">
        <v>672</v>
      </c>
    </row>
    <row r="96" spans="1:4" x14ac:dyDescent="0.15">
      <c r="A96" s="86" t="s">
        <v>1</v>
      </c>
      <c r="B96" s="50">
        <v>187</v>
      </c>
      <c r="C96" s="50" t="s">
        <v>932</v>
      </c>
    </row>
    <row r="97" spans="1:4" x14ac:dyDescent="0.15">
      <c r="A97" s="86" t="s">
        <v>1</v>
      </c>
      <c r="B97" s="50">
        <v>188</v>
      </c>
      <c r="C97" s="50" t="s">
        <v>6983</v>
      </c>
    </row>
    <row r="98" spans="1:4" x14ac:dyDescent="0.15">
      <c r="A98" s="86" t="s">
        <v>1</v>
      </c>
      <c r="B98" s="50">
        <v>189</v>
      </c>
      <c r="C98" s="50" t="s">
        <v>6984</v>
      </c>
    </row>
    <row r="99" spans="1:4" x14ac:dyDescent="0.15">
      <c r="A99" s="86" t="s">
        <v>1</v>
      </c>
      <c r="B99" s="50">
        <v>190</v>
      </c>
      <c r="C99" s="50" t="s">
        <v>2980</v>
      </c>
      <c r="D99" s="50"/>
    </row>
    <row r="100" spans="1:4" x14ac:dyDescent="0.15">
      <c r="A100" s="86" t="s">
        <v>1</v>
      </c>
      <c r="B100" s="50">
        <v>191</v>
      </c>
      <c r="C100" s="50" t="s">
        <v>6985</v>
      </c>
      <c r="D100" s="50"/>
    </row>
    <row r="101" spans="1:4" x14ac:dyDescent="0.15">
      <c r="A101" s="86" t="s">
        <v>1</v>
      </c>
      <c r="B101" s="52">
        <v>192</v>
      </c>
      <c r="C101" s="52" t="s">
        <v>6986</v>
      </c>
    </row>
    <row r="102" spans="1:4" x14ac:dyDescent="0.15">
      <c r="A102" s="86" t="s">
        <v>1</v>
      </c>
      <c r="B102" s="50">
        <v>193</v>
      </c>
      <c r="C102" s="50" t="s">
        <v>5493</v>
      </c>
      <c r="D102" s="50"/>
    </row>
    <row r="103" spans="1:4" x14ac:dyDescent="0.15">
      <c r="A103" s="86" t="s">
        <v>1</v>
      </c>
      <c r="B103" s="50">
        <v>194</v>
      </c>
      <c r="C103" s="50" t="s">
        <v>5415</v>
      </c>
      <c r="D103" s="50"/>
    </row>
    <row r="104" spans="1:4" x14ac:dyDescent="0.15">
      <c r="A104" s="86" t="s">
        <v>1</v>
      </c>
      <c r="B104" s="50">
        <v>195</v>
      </c>
      <c r="C104" s="50" t="s">
        <v>6987</v>
      </c>
      <c r="D104" s="50"/>
    </row>
    <row r="105" spans="1:4" x14ac:dyDescent="0.15">
      <c r="A105" s="86" t="s">
        <v>1</v>
      </c>
      <c r="B105" s="50">
        <v>196</v>
      </c>
      <c r="C105" s="50" t="s">
        <v>6988</v>
      </c>
      <c r="D105" s="50"/>
    </row>
    <row r="106" spans="1:4" x14ac:dyDescent="0.15">
      <c r="A106" s="86" t="s">
        <v>1</v>
      </c>
      <c r="B106" s="50">
        <v>197</v>
      </c>
      <c r="C106" s="50" t="s">
        <v>256</v>
      </c>
      <c r="D106" s="50"/>
    </row>
    <row r="107" spans="1:4" x14ac:dyDescent="0.15">
      <c r="A107" s="86" t="s">
        <v>1</v>
      </c>
      <c r="B107" s="50">
        <v>198</v>
      </c>
      <c r="C107" s="50" t="s">
        <v>7302</v>
      </c>
      <c r="D107" s="50"/>
    </row>
    <row r="108" spans="1:4" x14ac:dyDescent="0.15">
      <c r="A108" s="86" t="s">
        <v>1</v>
      </c>
      <c r="B108" s="50">
        <v>199</v>
      </c>
      <c r="C108" s="50" t="s">
        <v>6989</v>
      </c>
      <c r="D108" s="50"/>
    </row>
    <row r="109" spans="1:4" x14ac:dyDescent="0.15">
      <c r="A109" s="86" t="s">
        <v>1</v>
      </c>
      <c r="B109" s="50">
        <v>200</v>
      </c>
      <c r="C109" s="50" t="s">
        <v>7473</v>
      </c>
      <c r="D109" s="50"/>
    </row>
    <row r="110" spans="1:4" x14ac:dyDescent="0.15">
      <c r="A110" s="86" t="s">
        <v>1</v>
      </c>
      <c r="B110" s="50">
        <v>201</v>
      </c>
      <c r="C110" s="50" t="s">
        <v>7303</v>
      </c>
      <c r="D110" s="50"/>
    </row>
    <row r="111" spans="1:4" x14ac:dyDescent="0.15">
      <c r="A111" s="86" t="s">
        <v>1</v>
      </c>
      <c r="B111" s="50">
        <v>202</v>
      </c>
      <c r="C111" s="50" t="s">
        <v>7304</v>
      </c>
      <c r="D111" s="50"/>
    </row>
    <row r="112" spans="1:4" x14ac:dyDescent="0.15">
      <c r="A112" s="86" t="s">
        <v>1</v>
      </c>
      <c r="B112" s="50">
        <v>203</v>
      </c>
      <c r="C112" s="50" t="s">
        <v>6990</v>
      </c>
      <c r="D112" s="50"/>
    </row>
    <row r="113" spans="1:4" x14ac:dyDescent="0.15">
      <c r="A113" s="86" t="s">
        <v>1</v>
      </c>
      <c r="B113" s="50">
        <v>204</v>
      </c>
      <c r="C113" s="50" t="s">
        <v>6991</v>
      </c>
      <c r="D113" s="50"/>
    </row>
    <row r="114" spans="1:4" x14ac:dyDescent="0.15">
      <c r="A114" s="86" t="s">
        <v>1</v>
      </c>
      <c r="B114" s="50">
        <v>205</v>
      </c>
      <c r="C114" s="50" t="s">
        <v>6992</v>
      </c>
      <c r="D114" s="50"/>
    </row>
    <row r="115" spans="1:4" x14ac:dyDescent="0.15">
      <c r="A115" s="86" t="s">
        <v>1</v>
      </c>
      <c r="B115" s="50">
        <v>206</v>
      </c>
      <c r="C115" s="50" t="s">
        <v>6993</v>
      </c>
      <c r="D115" s="50"/>
    </row>
    <row r="116" spans="1:4" x14ac:dyDescent="0.15">
      <c r="A116" s="86" t="s">
        <v>1</v>
      </c>
      <c r="B116" s="50">
        <v>207</v>
      </c>
      <c r="C116" s="50" t="s">
        <v>6994</v>
      </c>
      <c r="D116" s="50"/>
    </row>
    <row r="117" spans="1:4" x14ac:dyDescent="0.15">
      <c r="A117" s="86" t="s">
        <v>1</v>
      </c>
      <c r="B117" s="50">
        <v>208</v>
      </c>
      <c r="C117" s="50" t="s">
        <v>6995</v>
      </c>
      <c r="D117" s="50"/>
    </row>
    <row r="118" spans="1:4" x14ac:dyDescent="0.15">
      <c r="A118" s="86" t="s">
        <v>1</v>
      </c>
      <c r="B118" s="50">
        <v>209</v>
      </c>
      <c r="C118" s="50" t="s">
        <v>6996</v>
      </c>
      <c r="D118" s="50"/>
    </row>
    <row r="119" spans="1:4" s="53" customFormat="1" x14ac:dyDescent="0.15">
      <c r="A119" s="86" t="s">
        <v>1</v>
      </c>
      <c r="B119" s="50">
        <v>210</v>
      </c>
      <c r="C119" s="50" t="s">
        <v>6997</v>
      </c>
      <c r="D119" s="50"/>
    </row>
    <row r="120" spans="1:4" s="53" customFormat="1" x14ac:dyDescent="0.15">
      <c r="A120" s="86" t="s">
        <v>1</v>
      </c>
      <c r="B120" s="50">
        <v>211</v>
      </c>
      <c r="C120" s="50" t="s">
        <v>6249</v>
      </c>
      <c r="D120" s="50"/>
    </row>
    <row r="121" spans="1:4" s="53" customFormat="1" x14ac:dyDescent="0.15">
      <c r="A121" s="86" t="s">
        <v>1</v>
      </c>
      <c r="B121" s="50">
        <v>212</v>
      </c>
      <c r="C121" s="50" t="s">
        <v>3267</v>
      </c>
      <c r="D121" s="50"/>
    </row>
    <row r="122" spans="1:4" s="53" customFormat="1" x14ac:dyDescent="0.15">
      <c r="A122" s="86" t="s">
        <v>1</v>
      </c>
      <c r="B122" s="50">
        <v>213</v>
      </c>
      <c r="C122" s="50" t="s">
        <v>6994</v>
      </c>
      <c r="D122" s="50"/>
    </row>
    <row r="123" spans="1:4" s="53" customFormat="1" x14ac:dyDescent="0.15">
      <c r="A123" s="86" t="s">
        <v>1</v>
      </c>
      <c r="B123" s="50">
        <v>214</v>
      </c>
      <c r="C123" s="50" t="s">
        <v>335</v>
      </c>
      <c r="D123" s="50"/>
    </row>
    <row r="124" spans="1:4" s="53" customFormat="1" x14ac:dyDescent="0.15">
      <c r="A124" s="86" t="s">
        <v>1</v>
      </c>
      <c r="B124" s="50">
        <v>215</v>
      </c>
      <c r="C124" s="50" t="s">
        <v>6998</v>
      </c>
      <c r="D124" s="50"/>
    </row>
    <row r="125" spans="1:4" s="53" customFormat="1" x14ac:dyDescent="0.15">
      <c r="A125" s="86" t="s">
        <v>1</v>
      </c>
      <c r="B125" s="50">
        <v>216</v>
      </c>
      <c r="C125" s="50" t="s">
        <v>819</v>
      </c>
      <c r="D125" s="50"/>
    </row>
    <row r="126" spans="1:4" s="53" customFormat="1" x14ac:dyDescent="0.15">
      <c r="A126" s="86" t="s">
        <v>1</v>
      </c>
      <c r="B126" s="50">
        <v>217</v>
      </c>
      <c r="C126" s="50" t="s">
        <v>6380</v>
      </c>
      <c r="D126" s="50"/>
    </row>
    <row r="127" spans="1:4" s="53" customFormat="1" x14ac:dyDescent="0.15">
      <c r="A127" s="86" t="s">
        <v>1</v>
      </c>
      <c r="B127" s="50">
        <v>218</v>
      </c>
      <c r="C127" s="50" t="s">
        <v>6999</v>
      </c>
      <c r="D127" s="50"/>
    </row>
    <row r="128" spans="1:4" s="53" customFormat="1" x14ac:dyDescent="0.15">
      <c r="A128" s="86" t="s">
        <v>1</v>
      </c>
      <c r="B128" s="50">
        <v>219</v>
      </c>
      <c r="C128" s="50" t="s">
        <v>7000</v>
      </c>
      <c r="D128" s="50"/>
    </row>
    <row r="129" spans="1:4" s="53" customFormat="1" x14ac:dyDescent="0.15">
      <c r="A129" s="86" t="s">
        <v>1</v>
      </c>
      <c r="B129" s="50">
        <v>220</v>
      </c>
      <c r="C129" s="50" t="s">
        <v>7001</v>
      </c>
      <c r="D129" s="50"/>
    </row>
    <row r="130" spans="1:4" s="53" customFormat="1" x14ac:dyDescent="0.15">
      <c r="A130" s="86" t="s">
        <v>1</v>
      </c>
      <c r="B130" s="50">
        <v>221</v>
      </c>
      <c r="C130" s="50" t="s">
        <v>7002</v>
      </c>
      <c r="D130" s="50"/>
    </row>
    <row r="131" spans="1:4" s="53" customFormat="1" x14ac:dyDescent="0.15">
      <c r="A131" s="86" t="s">
        <v>1</v>
      </c>
      <c r="B131" s="50">
        <v>222</v>
      </c>
      <c r="C131" s="50" t="s">
        <v>7003</v>
      </c>
      <c r="D131" s="50"/>
    </row>
    <row r="132" spans="1:4" s="53" customFormat="1" x14ac:dyDescent="0.15">
      <c r="A132" s="86" t="s">
        <v>1</v>
      </c>
      <c r="B132" s="50">
        <v>223</v>
      </c>
      <c r="C132" s="50" t="s">
        <v>6701</v>
      </c>
      <c r="D132" s="50"/>
    </row>
    <row r="133" spans="1:4" s="53" customFormat="1" x14ac:dyDescent="0.15">
      <c r="A133" s="86" t="s">
        <v>1</v>
      </c>
      <c r="B133" s="50">
        <v>224</v>
      </c>
      <c r="C133" s="50" t="s">
        <v>7004</v>
      </c>
      <c r="D133" s="50"/>
    </row>
    <row r="134" spans="1:4" s="53" customFormat="1" x14ac:dyDescent="0.15">
      <c r="A134" s="86" t="s">
        <v>1</v>
      </c>
      <c r="B134" s="50">
        <v>225</v>
      </c>
      <c r="C134" s="50" t="s">
        <v>7005</v>
      </c>
      <c r="D134" s="50"/>
    </row>
    <row r="135" spans="1:4" s="53" customFormat="1" x14ac:dyDescent="0.15">
      <c r="A135" s="86" t="s">
        <v>1</v>
      </c>
      <c r="B135" s="50">
        <v>226</v>
      </c>
      <c r="C135" s="50" t="s">
        <v>6726</v>
      </c>
      <c r="D135" s="50"/>
    </row>
    <row r="136" spans="1:4" s="53" customFormat="1" x14ac:dyDescent="0.15">
      <c r="A136" s="86" t="s">
        <v>1</v>
      </c>
      <c r="B136" s="50">
        <v>227</v>
      </c>
      <c r="C136" s="50" t="s">
        <v>7006</v>
      </c>
    </row>
    <row r="137" spans="1:4" s="53" customFormat="1" x14ac:dyDescent="0.15">
      <c r="A137" s="50"/>
      <c r="B137" s="50"/>
      <c r="C137" s="50"/>
    </row>
    <row r="138" spans="1:4" s="53" customFormat="1" x14ac:dyDescent="0.15">
      <c r="A138" s="50"/>
      <c r="B138" s="50"/>
      <c r="C138" s="50"/>
    </row>
    <row r="139" spans="1:4" s="53" customFormat="1" x14ac:dyDescent="0.15">
      <c r="A139" s="50"/>
      <c r="B139" s="50"/>
      <c r="C139" s="50"/>
    </row>
    <row r="140" spans="1:4" s="53" customFormat="1" x14ac:dyDescent="0.15">
      <c r="A140" s="50"/>
      <c r="B140" s="50"/>
      <c r="C140" s="50"/>
    </row>
    <row r="141" spans="1:4" s="53" customFormat="1" x14ac:dyDescent="0.15">
      <c r="A141" s="50"/>
      <c r="B141" s="50"/>
      <c r="C141" s="50"/>
    </row>
    <row r="142" spans="1:4" s="53" customFormat="1" x14ac:dyDescent="0.15">
      <c r="A142" s="50"/>
      <c r="B142" s="50"/>
      <c r="C142" s="50"/>
    </row>
    <row r="143" spans="1:4" s="53" customFormat="1" x14ac:dyDescent="0.15">
      <c r="A143" s="50"/>
      <c r="B143" s="50"/>
      <c r="C143" s="50"/>
    </row>
    <row r="144" spans="1:4" s="53" customFormat="1" x14ac:dyDescent="0.15">
      <c r="A144" s="50"/>
      <c r="B144" s="50"/>
      <c r="C144" s="50"/>
    </row>
    <row r="145" spans="1:3" s="53" customFormat="1" x14ac:dyDescent="0.15">
      <c r="A145" s="50"/>
      <c r="B145" s="50"/>
      <c r="C145" s="50"/>
    </row>
    <row r="146" spans="1:3" s="53" customFormat="1" x14ac:dyDescent="0.15">
      <c r="A146" s="50"/>
      <c r="B146" s="50"/>
      <c r="C146" s="50"/>
    </row>
    <row r="147" spans="1:3" s="53" customFormat="1" x14ac:dyDescent="0.15">
      <c r="A147" s="50"/>
      <c r="B147" s="50"/>
      <c r="C147" s="50"/>
    </row>
    <row r="148" spans="1:3" s="53" customFormat="1" x14ac:dyDescent="0.15">
      <c r="A148" s="50"/>
      <c r="B148" s="50"/>
      <c r="C148" s="50"/>
    </row>
    <row r="149" spans="1:3" s="53" customFormat="1" x14ac:dyDescent="0.15">
      <c r="A149" s="50"/>
      <c r="B149" s="50"/>
      <c r="C149" s="50"/>
    </row>
    <row r="150" spans="1:3" s="53" customFormat="1" x14ac:dyDescent="0.15">
      <c r="A150" s="50"/>
      <c r="B150" s="50"/>
      <c r="C150" s="50"/>
    </row>
    <row r="151" spans="1:3" s="53" customFormat="1" x14ac:dyDescent="0.15">
      <c r="A151" s="50"/>
      <c r="B151" s="50"/>
      <c r="C151" s="50"/>
    </row>
    <row r="152" spans="1:3" s="53" customFormat="1" x14ac:dyDescent="0.15">
      <c r="A152" s="50"/>
      <c r="B152" s="50"/>
      <c r="C152" s="50"/>
    </row>
    <row r="153" spans="1:3" s="53" customFormat="1" x14ac:dyDescent="0.15">
      <c r="A153" s="50"/>
      <c r="B153" s="50"/>
      <c r="C153" s="50"/>
    </row>
    <row r="154" spans="1:3" s="53" customFormat="1" x14ac:dyDescent="0.15">
      <c r="A154" s="50"/>
      <c r="B154" s="50"/>
      <c r="C154" s="50"/>
    </row>
    <row r="155" spans="1:3" s="53" customFormat="1" x14ac:dyDescent="0.15">
      <c r="A155" s="50"/>
      <c r="B155" s="50"/>
      <c r="C155" s="50"/>
    </row>
    <row r="156" spans="1:3" s="53" customFormat="1" x14ac:dyDescent="0.15">
      <c r="A156" s="50"/>
      <c r="B156" s="50"/>
      <c r="C156" s="50"/>
    </row>
    <row r="157" spans="1:3" s="53" customFormat="1" x14ac:dyDescent="0.15">
      <c r="A157" s="50"/>
      <c r="B157" s="50"/>
      <c r="C157" s="50"/>
    </row>
    <row r="158" spans="1:3" s="53" customFormat="1" x14ac:dyDescent="0.15">
      <c r="A158" s="50"/>
      <c r="B158" s="50"/>
      <c r="C158" s="50"/>
    </row>
    <row r="159" spans="1:3" s="53" customFormat="1" x14ac:dyDescent="0.15">
      <c r="A159" s="50"/>
      <c r="B159" s="50"/>
      <c r="C159" s="50"/>
    </row>
    <row r="160" spans="1:3" s="53" customFormat="1" x14ac:dyDescent="0.15">
      <c r="A160" s="50"/>
      <c r="B160" s="50"/>
      <c r="C160" s="50"/>
    </row>
    <row r="161" spans="1:4" s="53" customFormat="1" x14ac:dyDescent="0.15">
      <c r="A161" s="50"/>
      <c r="B161" s="50"/>
      <c r="C161" s="50"/>
    </row>
    <row r="162" spans="1:4" s="53" customFormat="1" x14ac:dyDescent="0.15">
      <c r="A162" s="50"/>
      <c r="B162" s="50"/>
      <c r="C162" s="50"/>
    </row>
    <row r="163" spans="1:4" s="53" customFormat="1" x14ac:dyDescent="0.15">
      <c r="A163" s="50"/>
      <c r="B163" s="50"/>
      <c r="C163" s="50"/>
    </row>
    <row r="164" spans="1:4" s="53" customFormat="1" x14ac:dyDescent="0.15">
      <c r="A164" s="50"/>
      <c r="B164" s="50"/>
      <c r="C164" s="50"/>
    </row>
    <row r="165" spans="1:4" s="53" customFormat="1" x14ac:dyDescent="0.15">
      <c r="A165" s="50"/>
      <c r="B165" s="50"/>
      <c r="C165" s="50"/>
    </row>
    <row r="166" spans="1:4" s="53" customFormat="1" x14ac:dyDescent="0.15">
      <c r="A166" s="50"/>
      <c r="B166" s="50"/>
      <c r="C166" s="50"/>
    </row>
    <row r="167" spans="1:4" x14ac:dyDescent="0.15">
      <c r="B167" s="50"/>
      <c r="C167" s="50"/>
      <c r="D167" s="53"/>
    </row>
    <row r="168" spans="1:4" x14ac:dyDescent="0.15">
      <c r="B168" s="50"/>
      <c r="C168" s="50"/>
      <c r="D168" s="53"/>
    </row>
    <row r="169" spans="1:4" x14ac:dyDescent="0.15">
      <c r="B169" s="50"/>
      <c r="C169" s="50"/>
      <c r="D169" s="53"/>
    </row>
    <row r="170" spans="1:4" x14ac:dyDescent="0.15">
      <c r="B170" s="50"/>
      <c r="C170" s="50"/>
      <c r="D170" s="53"/>
    </row>
    <row r="171" spans="1:4" x14ac:dyDescent="0.15">
      <c r="B171" s="50"/>
      <c r="C171" s="50"/>
      <c r="D171" s="53"/>
    </row>
    <row r="172" spans="1:4" x14ac:dyDescent="0.15">
      <c r="B172" s="50"/>
      <c r="C172" s="50"/>
      <c r="D172" s="53"/>
    </row>
    <row r="173" spans="1:4" x14ac:dyDescent="0.15">
      <c r="B173" s="50"/>
      <c r="C173" s="50"/>
      <c r="D173" s="53"/>
    </row>
    <row r="174" spans="1:4" x14ac:dyDescent="0.15">
      <c r="B174" s="50"/>
      <c r="C174" s="50"/>
      <c r="D174" s="53"/>
    </row>
    <row r="175" spans="1:4" x14ac:dyDescent="0.15">
      <c r="B175" s="50"/>
      <c r="C175" s="50"/>
      <c r="D175" s="53"/>
    </row>
    <row r="176" spans="1:4" x14ac:dyDescent="0.15">
      <c r="B176" s="50"/>
      <c r="C176" s="50"/>
      <c r="D176" s="53"/>
    </row>
    <row r="177" spans="2:4" x14ac:dyDescent="0.15">
      <c r="B177" s="50"/>
      <c r="C177" s="50"/>
      <c r="D177" s="53"/>
    </row>
    <row r="178" spans="2:4" x14ac:dyDescent="0.15">
      <c r="B178" s="50"/>
      <c r="C178" s="50"/>
      <c r="D178" s="53"/>
    </row>
    <row r="179" spans="2:4" x14ac:dyDescent="0.15">
      <c r="B179" s="50"/>
      <c r="C179" s="50"/>
      <c r="D179" s="53"/>
    </row>
    <row r="180" spans="2:4" x14ac:dyDescent="0.15">
      <c r="B180" s="50"/>
      <c r="C180" s="50"/>
      <c r="D180" s="53"/>
    </row>
    <row r="181" spans="2:4" x14ac:dyDescent="0.15">
      <c r="B181" s="50"/>
      <c r="C181" s="50"/>
      <c r="D181" s="53"/>
    </row>
    <row r="182" spans="2:4" x14ac:dyDescent="0.15">
      <c r="B182" s="50"/>
      <c r="C182" s="50"/>
      <c r="D182" s="53"/>
    </row>
    <row r="183" spans="2:4" x14ac:dyDescent="0.15">
      <c r="B183" s="50"/>
      <c r="C183" s="50"/>
      <c r="D183" s="53"/>
    </row>
    <row r="184" spans="2:4" x14ac:dyDescent="0.15">
      <c r="B184" s="50"/>
      <c r="C184" s="50"/>
      <c r="D184" s="53"/>
    </row>
    <row r="185" spans="2:4" x14ac:dyDescent="0.15">
      <c r="B185" s="50"/>
      <c r="C185" s="50"/>
      <c r="D185" s="53"/>
    </row>
    <row r="186" spans="2:4" x14ac:dyDescent="0.15">
      <c r="B186" s="50"/>
      <c r="C186" s="50"/>
      <c r="D186" s="53"/>
    </row>
    <row r="187" spans="2:4" x14ac:dyDescent="0.15">
      <c r="B187" s="50"/>
      <c r="C187" s="50"/>
      <c r="D187" s="53"/>
    </row>
    <row r="188" spans="2:4" x14ac:dyDescent="0.15">
      <c r="B188" s="50"/>
      <c r="C188" s="50"/>
      <c r="D188" s="53"/>
    </row>
    <row r="189" spans="2:4" x14ac:dyDescent="0.15">
      <c r="B189" s="50"/>
      <c r="C189" s="50"/>
      <c r="D189" s="53"/>
    </row>
    <row r="190" spans="2:4" x14ac:dyDescent="0.15">
      <c r="B190" s="50"/>
      <c r="C190" s="50"/>
      <c r="D190" s="53"/>
    </row>
    <row r="191" spans="2:4" x14ac:dyDescent="0.15">
      <c r="B191" s="50"/>
      <c r="C191" s="50"/>
      <c r="D191" s="53"/>
    </row>
    <row r="192" spans="2:4" x14ac:dyDescent="0.15">
      <c r="B192" s="50"/>
      <c r="C192" s="50"/>
      <c r="D192" s="53"/>
    </row>
    <row r="193" spans="2:4" x14ac:dyDescent="0.15">
      <c r="B193" s="50"/>
      <c r="C193" s="50"/>
      <c r="D193" s="53"/>
    </row>
    <row r="194" spans="2:4" x14ac:dyDescent="0.15">
      <c r="B194" s="50"/>
      <c r="C194" s="50"/>
      <c r="D194" s="53"/>
    </row>
    <row r="195" spans="2:4" x14ac:dyDescent="0.15">
      <c r="B195" s="50"/>
      <c r="C195" s="50"/>
      <c r="D195" s="53"/>
    </row>
    <row r="196" spans="2:4" x14ac:dyDescent="0.15">
      <c r="B196" s="50"/>
      <c r="C196" s="50"/>
      <c r="D196" s="53"/>
    </row>
    <row r="197" spans="2:4" x14ac:dyDescent="0.15">
      <c r="B197" s="50"/>
      <c r="C197" s="50"/>
      <c r="D197" s="53"/>
    </row>
    <row r="198" spans="2:4" x14ac:dyDescent="0.15">
      <c r="B198" s="50"/>
      <c r="C198" s="50"/>
      <c r="D198" s="53"/>
    </row>
    <row r="199" spans="2:4" x14ac:dyDescent="0.15">
      <c r="B199" s="50"/>
      <c r="C199" s="50"/>
      <c r="D199" s="53"/>
    </row>
    <row r="200" spans="2:4" x14ac:dyDescent="0.15">
      <c r="B200" s="50"/>
      <c r="C200" s="50"/>
      <c r="D200" s="53"/>
    </row>
    <row r="201" spans="2:4" x14ac:dyDescent="0.15">
      <c r="B201" s="50"/>
      <c r="C201" s="50"/>
      <c r="D201" s="53"/>
    </row>
    <row r="202" spans="2:4" x14ac:dyDescent="0.15">
      <c r="B202" s="50"/>
      <c r="C202" s="50"/>
      <c r="D202" s="53"/>
    </row>
    <row r="203" spans="2:4" x14ac:dyDescent="0.15">
      <c r="B203" s="50"/>
      <c r="C203" s="50"/>
      <c r="D203" s="53"/>
    </row>
    <row r="204" spans="2:4" x14ac:dyDescent="0.15">
      <c r="B204" s="50"/>
      <c r="C204" s="50"/>
      <c r="D204" s="53"/>
    </row>
    <row r="205" spans="2:4" x14ac:dyDescent="0.15">
      <c r="B205" s="50"/>
      <c r="C205" s="50"/>
      <c r="D205" s="53"/>
    </row>
    <row r="206" spans="2:4" x14ac:dyDescent="0.15">
      <c r="B206" s="50"/>
      <c r="C206" s="50"/>
      <c r="D206" s="53"/>
    </row>
    <row r="207" spans="2:4" x14ac:dyDescent="0.15">
      <c r="B207" s="50"/>
      <c r="C207" s="50"/>
      <c r="D207" s="53"/>
    </row>
    <row r="208" spans="2:4" x14ac:dyDescent="0.15">
      <c r="B208" s="50"/>
      <c r="C208" s="50"/>
      <c r="D208" s="53"/>
    </row>
    <row r="209" spans="2:4" x14ac:dyDescent="0.15">
      <c r="B209" s="50"/>
      <c r="C209" s="50"/>
      <c r="D209" s="53"/>
    </row>
    <row r="210" spans="2:4" x14ac:dyDescent="0.15">
      <c r="B210" s="50"/>
      <c r="C210" s="50"/>
      <c r="D210" s="53"/>
    </row>
    <row r="211" spans="2:4" x14ac:dyDescent="0.15">
      <c r="B211" s="50"/>
      <c r="C211" s="50"/>
      <c r="D211" s="53"/>
    </row>
    <row r="212" spans="2:4" x14ac:dyDescent="0.15">
      <c r="B212" s="50"/>
      <c r="C212" s="50"/>
      <c r="D212" s="53"/>
    </row>
    <row r="213" spans="2:4" x14ac:dyDescent="0.15">
      <c r="B213" s="50"/>
      <c r="C213" s="50"/>
      <c r="D213" s="53"/>
    </row>
    <row r="214" spans="2:4" x14ac:dyDescent="0.15">
      <c r="B214" s="50"/>
      <c r="C214" s="50"/>
      <c r="D214" s="53"/>
    </row>
    <row r="215" spans="2:4" x14ac:dyDescent="0.15">
      <c r="B215" s="50"/>
      <c r="C215" s="50"/>
      <c r="D215" s="53"/>
    </row>
    <row r="216" spans="2:4" x14ac:dyDescent="0.15">
      <c r="B216" s="50"/>
      <c r="C216" s="50"/>
      <c r="D216" s="53"/>
    </row>
    <row r="217" spans="2:4" x14ac:dyDescent="0.15">
      <c r="B217" s="50"/>
      <c r="C217" s="50"/>
      <c r="D217" s="53"/>
    </row>
    <row r="218" spans="2:4" x14ac:dyDescent="0.15">
      <c r="B218" s="50"/>
      <c r="C218" s="50"/>
      <c r="D218" s="53"/>
    </row>
    <row r="219" spans="2:4" x14ac:dyDescent="0.15">
      <c r="B219" s="50"/>
      <c r="C219" s="50"/>
      <c r="D219" s="53"/>
    </row>
    <row r="220" spans="2:4" x14ac:dyDescent="0.15">
      <c r="B220" s="50"/>
      <c r="C220" s="50"/>
      <c r="D220" s="53"/>
    </row>
    <row r="221" spans="2:4" x14ac:dyDescent="0.15">
      <c r="B221" s="50"/>
      <c r="C221" s="50"/>
      <c r="D221" s="53"/>
    </row>
    <row r="222" spans="2:4" x14ac:dyDescent="0.15">
      <c r="B222" s="50"/>
      <c r="C222" s="50"/>
      <c r="D222" s="53"/>
    </row>
    <row r="223" spans="2:4" x14ac:dyDescent="0.15">
      <c r="B223" s="50"/>
      <c r="C223" s="50"/>
      <c r="D223" s="53"/>
    </row>
    <row r="224" spans="2:4" x14ac:dyDescent="0.15">
      <c r="B224" s="50"/>
      <c r="C224" s="50"/>
      <c r="D224" s="53"/>
    </row>
    <row r="225" spans="2:4" x14ac:dyDescent="0.15">
      <c r="B225" s="50"/>
      <c r="C225" s="50"/>
      <c r="D225" s="53"/>
    </row>
    <row r="226" spans="2:4" x14ac:dyDescent="0.15">
      <c r="B226" s="50"/>
      <c r="C226" s="50"/>
      <c r="D226" s="53"/>
    </row>
    <row r="227" spans="2:4" x14ac:dyDescent="0.15">
      <c r="B227" s="50"/>
      <c r="C227" s="50"/>
      <c r="D227" s="53"/>
    </row>
    <row r="228" spans="2:4" x14ac:dyDescent="0.15">
      <c r="B228" s="50"/>
      <c r="C228" s="50"/>
      <c r="D228" s="53"/>
    </row>
    <row r="229" spans="2:4" x14ac:dyDescent="0.15">
      <c r="B229" s="50"/>
      <c r="C229" s="50"/>
      <c r="D229" s="53"/>
    </row>
    <row r="230" spans="2:4" x14ac:dyDescent="0.15">
      <c r="B230" s="50"/>
      <c r="C230" s="50"/>
      <c r="D230" s="53"/>
    </row>
    <row r="231" spans="2:4" x14ac:dyDescent="0.15">
      <c r="B231" s="50"/>
      <c r="C231" s="50"/>
      <c r="D231" s="53"/>
    </row>
    <row r="232" spans="2:4" x14ac:dyDescent="0.15">
      <c r="B232" s="50"/>
      <c r="C232" s="50"/>
      <c r="D232" s="53"/>
    </row>
    <row r="233" spans="2:4" x14ac:dyDescent="0.15">
      <c r="B233" s="50"/>
      <c r="C233" s="50"/>
      <c r="D233" s="53"/>
    </row>
    <row r="234" spans="2:4" x14ac:dyDescent="0.15">
      <c r="B234" s="50"/>
      <c r="C234" s="50"/>
      <c r="D234" s="53"/>
    </row>
    <row r="235" spans="2:4" x14ac:dyDescent="0.15">
      <c r="B235" s="50"/>
      <c r="C235" s="50"/>
      <c r="D235" s="53"/>
    </row>
    <row r="236" spans="2:4" x14ac:dyDescent="0.15">
      <c r="B236" s="50"/>
      <c r="C236" s="50"/>
      <c r="D236" s="53"/>
    </row>
    <row r="237" spans="2:4" x14ac:dyDescent="0.15">
      <c r="B237" s="50"/>
      <c r="C237" s="50"/>
      <c r="D237" s="53"/>
    </row>
    <row r="238" spans="2:4" x14ac:dyDescent="0.15">
      <c r="B238" s="50"/>
      <c r="C238" s="50"/>
      <c r="D238" s="53"/>
    </row>
    <row r="239" spans="2:4" x14ac:dyDescent="0.15">
      <c r="B239" s="50"/>
      <c r="C239" s="50"/>
      <c r="D239" s="53"/>
    </row>
    <row r="240" spans="2:4" x14ac:dyDescent="0.15">
      <c r="B240" s="50"/>
      <c r="C240" s="50"/>
      <c r="D240" s="53"/>
    </row>
    <row r="241" spans="2:4" x14ac:dyDescent="0.15">
      <c r="B241" s="50"/>
      <c r="C241" s="50"/>
      <c r="D241" s="53"/>
    </row>
    <row r="242" spans="2:4" x14ac:dyDescent="0.15">
      <c r="B242" s="50"/>
      <c r="C242" s="50"/>
      <c r="D242" s="53"/>
    </row>
    <row r="243" spans="2:4" x14ac:dyDescent="0.15">
      <c r="B243" s="50"/>
      <c r="C243" s="50"/>
      <c r="D243" s="53"/>
    </row>
    <row r="244" spans="2:4" x14ac:dyDescent="0.15">
      <c r="B244" s="50"/>
      <c r="C244" s="50"/>
      <c r="D244" s="53"/>
    </row>
    <row r="245" spans="2:4" x14ac:dyDescent="0.15">
      <c r="B245" s="50"/>
      <c r="C245" s="50"/>
      <c r="D245" s="53"/>
    </row>
    <row r="246" spans="2:4" x14ac:dyDescent="0.15">
      <c r="B246" s="50"/>
      <c r="C246" s="50"/>
      <c r="D246" s="53"/>
    </row>
    <row r="247" spans="2:4" x14ac:dyDescent="0.15">
      <c r="B247" s="50"/>
      <c r="C247" s="50"/>
      <c r="D247" s="53"/>
    </row>
    <row r="248" spans="2:4" x14ac:dyDescent="0.15">
      <c r="B248" s="50"/>
      <c r="C248" s="50"/>
      <c r="D248" s="53"/>
    </row>
    <row r="249" spans="2:4" x14ac:dyDescent="0.15">
      <c r="B249" s="50"/>
      <c r="C249" s="50"/>
      <c r="D249" s="53"/>
    </row>
    <row r="250" spans="2:4" x14ac:dyDescent="0.15">
      <c r="B250" s="50"/>
      <c r="C250" s="50"/>
      <c r="D250" s="53"/>
    </row>
    <row r="251" spans="2:4" x14ac:dyDescent="0.15">
      <c r="D251" s="53"/>
    </row>
    <row r="252" spans="2:4" x14ac:dyDescent="0.15">
      <c r="D252" s="53"/>
    </row>
    <row r="253" spans="2:4" x14ac:dyDescent="0.15">
      <c r="D253" s="53"/>
    </row>
    <row r="254" spans="2:4" x14ac:dyDescent="0.15">
      <c r="D254" s="53"/>
    </row>
    <row r="255" spans="2:4" x14ac:dyDescent="0.15">
      <c r="D255" s="53"/>
    </row>
    <row r="256" spans="2:4" x14ac:dyDescent="0.15">
      <c r="D256" s="53"/>
    </row>
    <row r="257" spans="4:4" x14ac:dyDescent="0.15">
      <c r="D257" s="53"/>
    </row>
    <row r="258" spans="4:4" x14ac:dyDescent="0.15">
      <c r="D258" s="53"/>
    </row>
    <row r="259" spans="4:4" x14ac:dyDescent="0.15">
      <c r="D259" s="53"/>
    </row>
    <row r="260" spans="4:4" x14ac:dyDescent="0.15">
      <c r="D260" s="53"/>
    </row>
    <row r="261" spans="4:4" x14ac:dyDescent="0.15">
      <c r="D261" s="53"/>
    </row>
    <row r="262" spans="4:4" x14ac:dyDescent="0.15">
      <c r="D262" s="53"/>
    </row>
    <row r="263" spans="4:4" x14ac:dyDescent="0.15">
      <c r="D263" s="53"/>
    </row>
    <row r="264" spans="4:4" x14ac:dyDescent="0.15">
      <c r="D264" s="53"/>
    </row>
    <row r="265" spans="4:4" x14ac:dyDescent="0.15">
      <c r="D265" s="53"/>
    </row>
    <row r="266" spans="4:4" x14ac:dyDescent="0.15">
      <c r="D266" s="53"/>
    </row>
    <row r="267" spans="4:4" x14ac:dyDescent="0.15">
      <c r="D267" s="53"/>
    </row>
    <row r="268" spans="4:4" x14ac:dyDescent="0.15">
      <c r="D268" s="53"/>
    </row>
    <row r="269" spans="4:4" x14ac:dyDescent="0.15">
      <c r="D269" s="53"/>
    </row>
    <row r="270" spans="4:4" x14ac:dyDescent="0.15">
      <c r="D270" s="53"/>
    </row>
    <row r="271" spans="4:4" x14ac:dyDescent="0.15">
      <c r="D271" s="53"/>
    </row>
    <row r="272" spans="4:4" x14ac:dyDescent="0.15">
      <c r="D272" s="53"/>
    </row>
    <row r="273" spans="4:4" x14ac:dyDescent="0.15">
      <c r="D273" s="53"/>
    </row>
    <row r="274" spans="4:4" x14ac:dyDescent="0.15">
      <c r="D274" s="53"/>
    </row>
    <row r="275" spans="4:4" x14ac:dyDescent="0.15">
      <c r="D275" s="53"/>
    </row>
    <row r="276" spans="4:4" x14ac:dyDescent="0.15">
      <c r="D276" s="53"/>
    </row>
    <row r="277" spans="4:4" x14ac:dyDescent="0.15">
      <c r="D277" s="53"/>
    </row>
    <row r="278" spans="4:4" x14ac:dyDescent="0.15">
      <c r="D278" s="53"/>
    </row>
    <row r="279" spans="4:4" x14ac:dyDescent="0.15">
      <c r="D279" s="53"/>
    </row>
    <row r="280" spans="4:4" x14ac:dyDescent="0.15">
      <c r="D280" s="53"/>
    </row>
    <row r="281" spans="4:4" x14ac:dyDescent="0.15">
      <c r="D281" s="53"/>
    </row>
    <row r="282" spans="4:4" x14ac:dyDescent="0.15">
      <c r="D282" s="53"/>
    </row>
    <row r="283" spans="4:4" x14ac:dyDescent="0.15">
      <c r="D283" s="53"/>
    </row>
    <row r="284" spans="4:4" x14ac:dyDescent="0.15">
      <c r="D284" s="53"/>
    </row>
    <row r="285" spans="4:4" x14ac:dyDescent="0.15">
      <c r="D285" s="53"/>
    </row>
    <row r="286" spans="4:4" x14ac:dyDescent="0.15">
      <c r="D286" s="53"/>
    </row>
    <row r="287" spans="4:4" x14ac:dyDescent="0.15">
      <c r="D287" s="53"/>
    </row>
    <row r="288" spans="4:4" x14ac:dyDescent="0.15">
      <c r="D288" s="53"/>
    </row>
    <row r="289" spans="4:4" x14ac:dyDescent="0.15">
      <c r="D289" s="53"/>
    </row>
    <row r="290" spans="4:4" x14ac:dyDescent="0.15">
      <c r="D290" s="53"/>
    </row>
    <row r="291" spans="4:4" x14ac:dyDescent="0.15">
      <c r="D291" s="53"/>
    </row>
    <row r="292" spans="4:4" x14ac:dyDescent="0.15">
      <c r="D292" s="53"/>
    </row>
    <row r="293" spans="4:4" x14ac:dyDescent="0.15">
      <c r="D293" s="53"/>
    </row>
    <row r="294" spans="4:4" x14ac:dyDescent="0.15">
      <c r="D294" s="53"/>
    </row>
    <row r="295" spans="4:4" x14ac:dyDescent="0.15">
      <c r="D295" s="53"/>
    </row>
    <row r="296" spans="4:4" x14ac:dyDescent="0.15">
      <c r="D296" s="53"/>
    </row>
    <row r="297" spans="4:4" x14ac:dyDescent="0.15">
      <c r="D297" s="53"/>
    </row>
    <row r="298" spans="4:4" x14ac:dyDescent="0.15">
      <c r="D298" s="53"/>
    </row>
    <row r="299" spans="4:4" x14ac:dyDescent="0.15">
      <c r="D299" s="53"/>
    </row>
    <row r="300" spans="4:4" x14ac:dyDescent="0.15">
      <c r="D300" s="53"/>
    </row>
    <row r="301" spans="4:4" x14ac:dyDescent="0.15">
      <c r="D301" s="53"/>
    </row>
    <row r="302" spans="4:4" x14ac:dyDescent="0.15">
      <c r="D302" s="53"/>
    </row>
    <row r="303" spans="4:4" x14ac:dyDescent="0.15">
      <c r="D303" s="53"/>
    </row>
    <row r="304" spans="4:4" x14ac:dyDescent="0.15">
      <c r="D304" s="53"/>
    </row>
    <row r="305" spans="4:4" x14ac:dyDescent="0.15">
      <c r="D305" s="53"/>
    </row>
    <row r="306" spans="4:4" x14ac:dyDescent="0.15">
      <c r="D306" s="53"/>
    </row>
    <row r="307" spans="4:4" x14ac:dyDescent="0.15">
      <c r="D307" s="53"/>
    </row>
    <row r="308" spans="4:4" x14ac:dyDescent="0.15">
      <c r="D308" s="53"/>
    </row>
    <row r="309" spans="4:4" x14ac:dyDescent="0.15">
      <c r="D309" s="53"/>
    </row>
    <row r="310" spans="4:4" x14ac:dyDescent="0.15">
      <c r="D310" s="53"/>
    </row>
    <row r="311" spans="4:4" x14ac:dyDescent="0.15">
      <c r="D311" s="53"/>
    </row>
    <row r="312" spans="4:4" x14ac:dyDescent="0.15">
      <c r="D312" s="53"/>
    </row>
    <row r="313" spans="4:4" x14ac:dyDescent="0.15">
      <c r="D313" s="53"/>
    </row>
    <row r="314" spans="4:4" x14ac:dyDescent="0.15">
      <c r="D314" s="53"/>
    </row>
    <row r="315" spans="4:4" x14ac:dyDescent="0.15">
      <c r="D315" s="53"/>
    </row>
    <row r="316" spans="4:4" x14ac:dyDescent="0.15">
      <c r="D316" s="53"/>
    </row>
  </sheetData>
  <phoneticPr fontId="32" type="noConversion"/>
  <conditionalFormatting sqref="C44:C59">
    <cfRule type="duplicateValues" dxfId="2" priority="1"/>
    <cfRule type="duplicateValues" dxfId="1" priority="2"/>
    <cfRule type="duplicateValues" dxfId="0" priority="3"/>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73"/>
  <sheetViews>
    <sheetView workbookViewId="0"/>
  </sheetViews>
  <sheetFormatPr defaultColWidth="9" defaultRowHeight="13.5" x14ac:dyDescent="0.15"/>
  <cols>
    <col min="1" max="1" width="9" style="50" customWidth="1"/>
    <col min="2" max="5" width="10.625" style="52" customWidth="1"/>
    <col min="6" max="6" width="28.875" style="52" customWidth="1"/>
    <col min="7" max="16384" width="9" style="50"/>
  </cols>
  <sheetData>
    <row r="1" spans="1:7" s="46" customFormat="1" x14ac:dyDescent="0.15">
      <c r="A1" s="45" t="s">
        <v>224</v>
      </c>
      <c r="B1" s="46" t="s">
        <v>1</v>
      </c>
      <c r="C1" s="46" t="s">
        <v>247</v>
      </c>
      <c r="D1" s="46" t="s">
        <v>247</v>
      </c>
      <c r="G1" s="33" t="s">
        <v>1</v>
      </c>
    </row>
    <row r="2" spans="1:7" s="46" customFormat="1" x14ac:dyDescent="0.15">
      <c r="A2" s="45" t="s">
        <v>2</v>
      </c>
      <c r="B2" s="46" t="s">
        <v>1</v>
      </c>
      <c r="C2" s="46" t="s">
        <v>1</v>
      </c>
      <c r="D2" s="46" t="s">
        <v>1</v>
      </c>
      <c r="E2" s="46" t="s">
        <v>1</v>
      </c>
      <c r="F2" s="46" t="s">
        <v>1</v>
      </c>
      <c r="G2" s="33" t="s">
        <v>1</v>
      </c>
    </row>
    <row r="3" spans="1:7" s="47" customFormat="1" ht="14.25" x14ac:dyDescent="0.15">
      <c r="A3" s="14" t="s">
        <v>1</v>
      </c>
      <c r="B3" s="14" t="s">
        <v>3</v>
      </c>
      <c r="C3" s="14" t="s">
        <v>3</v>
      </c>
      <c r="D3" s="14" t="s">
        <v>3</v>
      </c>
      <c r="E3" s="14" t="s">
        <v>137</v>
      </c>
      <c r="F3" s="14" t="s">
        <v>137</v>
      </c>
      <c r="G3" s="14" t="s">
        <v>7</v>
      </c>
    </row>
    <row r="4" spans="1:7" s="47" customFormat="1" ht="14.25" x14ac:dyDescent="0.15">
      <c r="A4" s="14"/>
      <c r="B4" s="14" t="s">
        <v>4</v>
      </c>
      <c r="C4" s="14" t="s">
        <v>242</v>
      </c>
      <c r="D4" s="14" t="s">
        <v>243</v>
      </c>
      <c r="E4" s="14" t="s">
        <v>245</v>
      </c>
      <c r="F4" s="14" t="s">
        <v>244</v>
      </c>
      <c r="G4" s="14" t="s">
        <v>39</v>
      </c>
    </row>
    <row r="5" spans="1:7" s="47" customFormat="1" ht="14.25" x14ac:dyDescent="0.15">
      <c r="A5" s="14"/>
      <c r="B5" s="14" t="str">
        <f t="shared" ref="B5:G5" si="0">IF(B3="","",IF(B3="INT","i",IF(B3="FLOAT","f",IF(B3="STRING","s"))))</f>
        <v>i</v>
      </c>
      <c r="C5" s="14" t="str">
        <f t="shared" si="0"/>
        <v>i</v>
      </c>
      <c r="D5" s="14" t="str">
        <f t="shared" si="0"/>
        <v>i</v>
      </c>
      <c r="E5" s="14" t="str">
        <f t="shared" si="0"/>
        <v>s</v>
      </c>
      <c r="F5" s="14" t="str">
        <f t="shared" si="0"/>
        <v>s</v>
      </c>
      <c r="G5" s="14" t="str">
        <f t="shared" si="0"/>
        <v>s</v>
      </c>
    </row>
    <row r="6" spans="1:7" s="47" customFormat="1" ht="14.25" x14ac:dyDescent="0.15">
      <c r="A6" s="14" t="s">
        <v>1</v>
      </c>
      <c r="B6" s="14" t="str">
        <f t="shared" ref="B6:G6" si="1">B5&amp;B4</f>
        <v>iID</v>
      </c>
      <c r="C6" s="14" t="str">
        <f t="shared" si="1"/>
        <v>iInforTrustID</v>
      </c>
      <c r="D6" s="14" t="str">
        <f t="shared" si="1"/>
        <v>iInforLevelID</v>
      </c>
      <c r="E6" s="14" t="str">
        <f t="shared" si="1"/>
        <v>sQuestion</v>
      </c>
      <c r="F6" s="14" t="str">
        <f t="shared" si="1"/>
        <v>sAnswer</v>
      </c>
      <c r="G6" s="14" t="str">
        <f t="shared" si="1"/>
        <v>sCostItem</v>
      </c>
    </row>
    <row r="7" spans="1:7" s="48" customFormat="1" ht="14.25" x14ac:dyDescent="0.15">
      <c r="A7" s="14"/>
      <c r="B7" s="14" t="s">
        <v>239</v>
      </c>
      <c r="C7" s="14" t="s">
        <v>217</v>
      </c>
      <c r="D7" s="14" t="s">
        <v>216</v>
      </c>
      <c r="E7" s="14" t="s">
        <v>240</v>
      </c>
      <c r="F7" s="14" t="s">
        <v>241</v>
      </c>
      <c r="G7" s="14" t="s">
        <v>90</v>
      </c>
    </row>
    <row r="8" spans="1:7" s="48" customFormat="1" ht="14.25" x14ac:dyDescent="0.15">
      <c r="A8" s="14" t="s">
        <v>6</v>
      </c>
      <c r="B8" s="14" t="e">
        <f>MODE(B53:B1203)</f>
        <v>#N/A</v>
      </c>
      <c r="C8" s="14"/>
      <c r="D8" s="14"/>
      <c r="E8" s="14"/>
      <c r="F8" s="14"/>
    </row>
    <row r="9" spans="1:7" s="49" customFormat="1" ht="15.75" customHeight="1" x14ac:dyDescent="0.15">
      <c r="A9" s="18"/>
      <c r="B9" s="18"/>
      <c r="C9" s="18"/>
      <c r="D9" s="18"/>
      <c r="E9" s="18"/>
      <c r="F9" s="18"/>
    </row>
    <row r="10" spans="1:7" x14ac:dyDescent="0.15">
      <c r="A10" s="50" t="s">
        <v>1</v>
      </c>
      <c r="B10" s="50">
        <v>101</v>
      </c>
      <c r="C10" s="50" t="s">
        <v>485</v>
      </c>
      <c r="D10" s="50">
        <v>101</v>
      </c>
      <c r="E10" s="50" t="s">
        <v>969</v>
      </c>
      <c r="F10" s="51" t="s">
        <v>1002</v>
      </c>
    </row>
    <row r="11" spans="1:7" x14ac:dyDescent="0.15">
      <c r="A11" s="50" t="s">
        <v>1</v>
      </c>
      <c r="B11" s="50">
        <v>102</v>
      </c>
      <c r="C11" s="50" t="s">
        <v>485</v>
      </c>
      <c r="D11" s="50">
        <v>102</v>
      </c>
      <c r="E11" s="50" t="s">
        <v>969</v>
      </c>
      <c r="F11" s="51" t="s">
        <v>1003</v>
      </c>
    </row>
    <row r="12" spans="1:7" x14ac:dyDescent="0.15">
      <c r="A12" s="50" t="s">
        <v>1</v>
      </c>
      <c r="B12" s="50">
        <v>103</v>
      </c>
      <c r="C12" s="50" t="s">
        <v>485</v>
      </c>
      <c r="D12" s="50">
        <v>103</v>
      </c>
      <c r="E12" s="50" t="s">
        <v>969</v>
      </c>
      <c r="F12" s="51" t="s">
        <v>1004</v>
      </c>
    </row>
    <row r="13" spans="1:7" x14ac:dyDescent="0.15">
      <c r="A13" s="50" t="s">
        <v>1</v>
      </c>
      <c r="B13" s="50">
        <v>104</v>
      </c>
      <c r="C13" s="50" t="s">
        <v>485</v>
      </c>
      <c r="D13" s="50">
        <v>104</v>
      </c>
      <c r="E13" s="50" t="s">
        <v>969</v>
      </c>
      <c r="F13" s="51" t="s">
        <v>2563</v>
      </c>
    </row>
    <row r="14" spans="1:7" x14ac:dyDescent="0.15">
      <c r="A14" s="50" t="s">
        <v>1</v>
      </c>
      <c r="B14" s="50">
        <v>105</v>
      </c>
      <c r="C14" s="50" t="s">
        <v>485</v>
      </c>
      <c r="D14" s="50">
        <v>105</v>
      </c>
      <c r="E14" s="50" t="s">
        <v>969</v>
      </c>
      <c r="F14" s="51" t="s">
        <v>2564</v>
      </c>
    </row>
    <row r="15" spans="1:7" x14ac:dyDescent="0.15">
      <c r="A15" s="50" t="s">
        <v>1</v>
      </c>
      <c r="B15" s="50">
        <v>201</v>
      </c>
      <c r="C15" s="50" t="s">
        <v>303</v>
      </c>
      <c r="D15" s="50">
        <v>201</v>
      </c>
      <c r="E15" s="50" t="s">
        <v>969</v>
      </c>
      <c r="F15" s="51" t="s">
        <v>2565</v>
      </c>
    </row>
    <row r="16" spans="1:7" x14ac:dyDescent="0.15">
      <c r="A16" s="50" t="s">
        <v>1</v>
      </c>
      <c r="B16" s="50">
        <v>202</v>
      </c>
      <c r="C16" s="50" t="s">
        <v>303</v>
      </c>
      <c r="D16" s="50">
        <v>202</v>
      </c>
      <c r="E16" s="50" t="s">
        <v>969</v>
      </c>
      <c r="F16" s="51" t="s">
        <v>2566</v>
      </c>
    </row>
    <row r="17" spans="1:6" x14ac:dyDescent="0.15">
      <c r="A17" s="50" t="s">
        <v>1</v>
      </c>
      <c r="B17" s="50">
        <v>203</v>
      </c>
      <c r="C17" s="50" t="s">
        <v>303</v>
      </c>
      <c r="D17" s="50">
        <v>203</v>
      </c>
      <c r="E17" s="50" t="s">
        <v>969</v>
      </c>
      <c r="F17" s="51" t="s">
        <v>2567</v>
      </c>
    </row>
    <row r="18" spans="1:6" x14ac:dyDescent="0.15">
      <c r="A18" s="50" t="s">
        <v>1</v>
      </c>
      <c r="B18" s="50">
        <v>204</v>
      </c>
      <c r="C18" s="50" t="s">
        <v>303</v>
      </c>
      <c r="D18" s="50">
        <v>204</v>
      </c>
      <c r="E18" s="50" t="s">
        <v>969</v>
      </c>
      <c r="F18" s="51" t="s">
        <v>2568</v>
      </c>
    </row>
    <row r="19" spans="1:6" x14ac:dyDescent="0.15">
      <c r="A19" s="50" t="s">
        <v>1</v>
      </c>
      <c r="B19" s="50">
        <v>205</v>
      </c>
      <c r="C19" s="50" t="s">
        <v>303</v>
      </c>
      <c r="D19" s="50">
        <v>205</v>
      </c>
      <c r="E19" s="50" t="s">
        <v>969</v>
      </c>
      <c r="F19" s="51" t="s">
        <v>2495</v>
      </c>
    </row>
    <row r="20" spans="1:6" x14ac:dyDescent="0.15">
      <c r="A20" s="50" t="s">
        <v>1</v>
      </c>
      <c r="B20" s="50">
        <v>301</v>
      </c>
      <c r="C20" s="50" t="s">
        <v>309</v>
      </c>
      <c r="D20" s="50">
        <v>301</v>
      </c>
      <c r="E20" s="50" t="s">
        <v>969</v>
      </c>
      <c r="F20" s="51" t="s">
        <v>1049</v>
      </c>
    </row>
    <row r="21" spans="1:6" x14ac:dyDescent="0.15">
      <c r="A21" s="50" t="s">
        <v>1</v>
      </c>
      <c r="B21" s="50">
        <v>302</v>
      </c>
      <c r="C21" s="50" t="s">
        <v>309</v>
      </c>
      <c r="D21" s="50">
        <v>302</v>
      </c>
      <c r="E21" s="50" t="s">
        <v>969</v>
      </c>
      <c r="F21" s="51" t="s">
        <v>1050</v>
      </c>
    </row>
    <row r="22" spans="1:6" x14ac:dyDescent="0.15">
      <c r="A22" s="50" t="s">
        <v>1</v>
      </c>
      <c r="B22" s="50">
        <v>303</v>
      </c>
      <c r="C22" s="50" t="s">
        <v>309</v>
      </c>
      <c r="D22" s="50">
        <v>303</v>
      </c>
      <c r="E22" s="50" t="s">
        <v>969</v>
      </c>
      <c r="F22" s="51" t="s">
        <v>1051</v>
      </c>
    </row>
    <row r="23" spans="1:6" x14ac:dyDescent="0.15">
      <c r="A23" s="50" t="s">
        <v>1</v>
      </c>
      <c r="B23" s="50">
        <v>304</v>
      </c>
      <c r="C23" s="50" t="s">
        <v>309</v>
      </c>
      <c r="D23" s="50">
        <v>304</v>
      </c>
      <c r="E23" s="50" t="s">
        <v>969</v>
      </c>
      <c r="F23" s="51" t="s">
        <v>1052</v>
      </c>
    </row>
    <row r="24" spans="1:6" x14ac:dyDescent="0.15">
      <c r="A24" s="50" t="s">
        <v>1</v>
      </c>
      <c r="B24" s="50">
        <v>305</v>
      </c>
      <c r="C24" s="50" t="s">
        <v>309</v>
      </c>
      <c r="D24" s="50">
        <v>305</v>
      </c>
      <c r="E24" s="50" t="s">
        <v>969</v>
      </c>
      <c r="F24" s="51" t="s">
        <v>1053</v>
      </c>
    </row>
    <row r="25" spans="1:6" x14ac:dyDescent="0.15">
      <c r="A25" s="50" t="s">
        <v>1</v>
      </c>
      <c r="B25" s="50">
        <v>306</v>
      </c>
      <c r="C25" s="50" t="s">
        <v>309</v>
      </c>
      <c r="D25" s="50">
        <v>306</v>
      </c>
      <c r="E25" s="50" t="s">
        <v>969</v>
      </c>
      <c r="F25" s="51" t="s">
        <v>1054</v>
      </c>
    </row>
    <row r="26" spans="1:6" x14ac:dyDescent="0.15">
      <c r="A26" s="50" t="s">
        <v>1</v>
      </c>
      <c r="B26" s="50">
        <v>401</v>
      </c>
      <c r="C26" s="50" t="s">
        <v>316</v>
      </c>
      <c r="D26" s="50">
        <v>401</v>
      </c>
      <c r="E26" s="50" t="s">
        <v>969</v>
      </c>
      <c r="F26" s="51" t="s">
        <v>2496</v>
      </c>
    </row>
    <row r="27" spans="1:6" x14ac:dyDescent="0.15">
      <c r="A27" s="50" t="s">
        <v>1</v>
      </c>
      <c r="B27" s="50">
        <v>402</v>
      </c>
      <c r="C27" s="50" t="s">
        <v>316</v>
      </c>
      <c r="D27" s="50">
        <v>402</v>
      </c>
      <c r="E27" s="50" t="s">
        <v>969</v>
      </c>
      <c r="F27" s="51" t="s">
        <v>2497</v>
      </c>
    </row>
    <row r="28" spans="1:6" x14ac:dyDescent="0.15">
      <c r="A28" s="50" t="s">
        <v>1</v>
      </c>
      <c r="B28" s="50">
        <v>403</v>
      </c>
      <c r="C28" s="50" t="s">
        <v>316</v>
      </c>
      <c r="D28" s="50">
        <v>403</v>
      </c>
      <c r="E28" s="50" t="s">
        <v>969</v>
      </c>
      <c r="F28" s="51" t="s">
        <v>2498</v>
      </c>
    </row>
    <row r="29" spans="1:6" x14ac:dyDescent="0.15">
      <c r="A29" s="50" t="s">
        <v>1</v>
      </c>
      <c r="B29" s="50">
        <v>404</v>
      </c>
      <c r="C29" s="50" t="s">
        <v>316</v>
      </c>
      <c r="D29" s="50">
        <v>404</v>
      </c>
      <c r="E29" s="50" t="s">
        <v>969</v>
      </c>
      <c r="F29" s="51" t="s">
        <v>2499</v>
      </c>
    </row>
    <row r="30" spans="1:6" x14ac:dyDescent="0.15">
      <c r="A30" s="50" t="s">
        <v>1</v>
      </c>
      <c r="B30" s="50">
        <v>405</v>
      </c>
      <c r="C30" s="50" t="s">
        <v>316</v>
      </c>
      <c r="D30" s="50">
        <v>405</v>
      </c>
      <c r="E30" s="50" t="s">
        <v>969</v>
      </c>
      <c r="F30" s="51" t="s">
        <v>2500</v>
      </c>
    </row>
    <row r="31" spans="1:6" x14ac:dyDescent="0.15">
      <c r="A31" s="50" t="s">
        <v>1</v>
      </c>
      <c r="B31" s="50">
        <v>501</v>
      </c>
      <c r="C31" s="50" t="s">
        <v>748</v>
      </c>
      <c r="D31" s="50">
        <v>501</v>
      </c>
      <c r="E31" s="50" t="s">
        <v>969</v>
      </c>
      <c r="F31" s="51" t="s">
        <v>970</v>
      </c>
    </row>
    <row r="32" spans="1:6" x14ac:dyDescent="0.15">
      <c r="A32" s="50" t="s">
        <v>1</v>
      </c>
      <c r="B32" s="50">
        <v>502</v>
      </c>
      <c r="C32" s="50" t="s">
        <v>748</v>
      </c>
      <c r="D32" s="50">
        <v>502</v>
      </c>
      <c r="E32" s="50" t="s">
        <v>969</v>
      </c>
      <c r="F32" s="51" t="s">
        <v>971</v>
      </c>
    </row>
    <row r="33" spans="1:6" x14ac:dyDescent="0.15">
      <c r="A33" s="50" t="s">
        <v>1</v>
      </c>
      <c r="B33" s="50">
        <v>503</v>
      </c>
      <c r="C33" s="50" t="s">
        <v>748</v>
      </c>
      <c r="D33" s="50">
        <v>503</v>
      </c>
      <c r="E33" s="50" t="s">
        <v>969</v>
      </c>
      <c r="F33" s="51" t="s">
        <v>2569</v>
      </c>
    </row>
    <row r="34" spans="1:6" x14ac:dyDescent="0.15">
      <c r="A34" s="50" t="s">
        <v>1</v>
      </c>
      <c r="B34" s="50">
        <v>504</v>
      </c>
      <c r="C34" s="50" t="s">
        <v>748</v>
      </c>
      <c r="D34" s="50">
        <v>504</v>
      </c>
      <c r="E34" s="50" t="s">
        <v>969</v>
      </c>
      <c r="F34" s="51" t="s">
        <v>972</v>
      </c>
    </row>
    <row r="35" spans="1:6" x14ac:dyDescent="0.15">
      <c r="A35" s="50" t="s">
        <v>1</v>
      </c>
      <c r="B35" s="50">
        <v>601</v>
      </c>
      <c r="C35" s="50" t="s">
        <v>937</v>
      </c>
      <c r="D35" s="50">
        <v>601</v>
      </c>
      <c r="E35" s="50" t="s">
        <v>969</v>
      </c>
      <c r="F35" s="51" t="s">
        <v>1005</v>
      </c>
    </row>
    <row r="36" spans="1:6" x14ac:dyDescent="0.15">
      <c r="A36" s="50" t="s">
        <v>1</v>
      </c>
      <c r="B36" s="50">
        <v>602</v>
      </c>
      <c r="C36" s="50" t="s">
        <v>937</v>
      </c>
      <c r="D36" s="50">
        <v>602</v>
      </c>
      <c r="E36" s="50" t="s">
        <v>969</v>
      </c>
      <c r="F36" s="51" t="s">
        <v>2570</v>
      </c>
    </row>
    <row r="37" spans="1:6" x14ac:dyDescent="0.15">
      <c r="A37" s="50" t="s">
        <v>1</v>
      </c>
      <c r="B37" s="50">
        <v>603</v>
      </c>
      <c r="C37" s="50" t="s">
        <v>937</v>
      </c>
      <c r="D37" s="50">
        <v>603</v>
      </c>
      <c r="E37" s="50" t="s">
        <v>969</v>
      </c>
      <c r="F37" s="51" t="s">
        <v>1006</v>
      </c>
    </row>
    <row r="38" spans="1:6" x14ac:dyDescent="0.15">
      <c r="A38" s="50" t="s">
        <v>1</v>
      </c>
      <c r="B38" s="50">
        <v>604</v>
      </c>
      <c r="C38" s="50" t="s">
        <v>937</v>
      </c>
      <c r="D38" s="50">
        <v>604</v>
      </c>
      <c r="E38" s="50" t="s">
        <v>969</v>
      </c>
      <c r="F38" s="51" t="s">
        <v>1007</v>
      </c>
    </row>
    <row r="39" spans="1:6" x14ac:dyDescent="0.15">
      <c r="A39" s="50" t="s">
        <v>1</v>
      </c>
      <c r="B39" s="50">
        <v>605</v>
      </c>
      <c r="C39" s="50" t="s">
        <v>937</v>
      </c>
      <c r="D39" s="50">
        <v>605</v>
      </c>
      <c r="E39" s="50" t="s">
        <v>969</v>
      </c>
      <c r="F39" s="51" t="s">
        <v>1008</v>
      </c>
    </row>
    <row r="40" spans="1:6" x14ac:dyDescent="0.15">
      <c r="A40" s="50" t="s">
        <v>1</v>
      </c>
      <c r="B40" s="50">
        <v>606</v>
      </c>
      <c r="C40" s="50" t="s">
        <v>937</v>
      </c>
      <c r="D40" s="50">
        <v>606</v>
      </c>
      <c r="E40" s="50" t="s">
        <v>969</v>
      </c>
      <c r="F40" s="51" t="s">
        <v>1009</v>
      </c>
    </row>
    <row r="41" spans="1:6" x14ac:dyDescent="0.15">
      <c r="A41" s="50" t="s">
        <v>1</v>
      </c>
      <c r="B41" s="50">
        <v>607</v>
      </c>
      <c r="C41" s="50" t="s">
        <v>937</v>
      </c>
      <c r="D41" s="50">
        <v>607</v>
      </c>
      <c r="E41" s="50" t="s">
        <v>969</v>
      </c>
      <c r="F41" s="51" t="s">
        <v>1010</v>
      </c>
    </row>
    <row r="42" spans="1:6" x14ac:dyDescent="0.15">
      <c r="A42" s="50" t="s">
        <v>1</v>
      </c>
      <c r="B42" s="50">
        <v>701</v>
      </c>
      <c r="C42" s="50" t="s">
        <v>267</v>
      </c>
      <c r="D42" s="50">
        <v>701</v>
      </c>
      <c r="E42" s="50" t="s">
        <v>969</v>
      </c>
      <c r="F42" s="51" t="s">
        <v>1041</v>
      </c>
    </row>
    <row r="43" spans="1:6" x14ac:dyDescent="0.15">
      <c r="A43" s="50" t="s">
        <v>1</v>
      </c>
      <c r="B43" s="50">
        <v>702</v>
      </c>
      <c r="C43" s="50" t="s">
        <v>267</v>
      </c>
      <c r="D43" s="50">
        <v>702</v>
      </c>
      <c r="E43" s="50" t="s">
        <v>969</v>
      </c>
      <c r="F43" s="51" t="s">
        <v>1042</v>
      </c>
    </row>
    <row r="44" spans="1:6" x14ac:dyDescent="0.15">
      <c r="A44" s="50" t="s">
        <v>1</v>
      </c>
      <c r="B44" s="50">
        <v>703</v>
      </c>
      <c r="C44" s="50" t="s">
        <v>267</v>
      </c>
      <c r="D44" s="50">
        <v>703</v>
      </c>
      <c r="E44" s="50" t="s">
        <v>969</v>
      </c>
      <c r="F44" s="51" t="s">
        <v>1043</v>
      </c>
    </row>
    <row r="45" spans="1:6" x14ac:dyDescent="0.15">
      <c r="A45" s="50" t="s">
        <v>1</v>
      </c>
      <c r="B45" s="50">
        <v>704</v>
      </c>
      <c r="C45" s="50" t="s">
        <v>267</v>
      </c>
      <c r="D45" s="50">
        <v>704</v>
      </c>
      <c r="E45" s="50" t="s">
        <v>969</v>
      </c>
      <c r="F45" s="51" t="s">
        <v>1044</v>
      </c>
    </row>
    <row r="46" spans="1:6" x14ac:dyDescent="0.15">
      <c r="A46" s="50" t="s">
        <v>1</v>
      </c>
      <c r="B46" s="50">
        <v>705</v>
      </c>
      <c r="C46" s="50" t="s">
        <v>267</v>
      </c>
      <c r="D46" s="50">
        <v>705</v>
      </c>
      <c r="E46" s="50" t="s">
        <v>969</v>
      </c>
      <c r="F46" s="51" t="s">
        <v>1045</v>
      </c>
    </row>
    <row r="47" spans="1:6" x14ac:dyDescent="0.15">
      <c r="A47" s="50" t="s">
        <v>1</v>
      </c>
      <c r="B47" s="50">
        <v>706</v>
      </c>
      <c r="C47" s="50" t="s">
        <v>267</v>
      </c>
      <c r="D47" s="50">
        <v>706</v>
      </c>
      <c r="E47" s="50" t="s">
        <v>969</v>
      </c>
      <c r="F47" s="51" t="s">
        <v>1046</v>
      </c>
    </row>
    <row r="48" spans="1:6" x14ac:dyDescent="0.15">
      <c r="A48" s="50" t="s">
        <v>1</v>
      </c>
      <c r="B48" s="50">
        <v>707</v>
      </c>
      <c r="C48" s="50" t="s">
        <v>267</v>
      </c>
      <c r="D48" s="50">
        <v>707</v>
      </c>
      <c r="E48" s="50" t="s">
        <v>969</v>
      </c>
      <c r="F48" s="51" t="s">
        <v>1047</v>
      </c>
    </row>
    <row r="49" spans="1:6" x14ac:dyDescent="0.15">
      <c r="A49" s="50" t="s">
        <v>1</v>
      </c>
      <c r="B49" s="50">
        <v>708</v>
      </c>
      <c r="C49" s="50" t="s">
        <v>267</v>
      </c>
      <c r="D49" s="50">
        <v>708</v>
      </c>
      <c r="E49" s="50" t="s">
        <v>969</v>
      </c>
      <c r="F49" s="51" t="s">
        <v>1048</v>
      </c>
    </row>
    <row r="50" spans="1:6" x14ac:dyDescent="0.15">
      <c r="A50" s="50" t="s">
        <v>1</v>
      </c>
      <c r="B50" s="50">
        <v>801</v>
      </c>
      <c r="C50" s="50" t="s">
        <v>851</v>
      </c>
      <c r="D50" s="52">
        <v>801</v>
      </c>
      <c r="E50" s="50" t="s">
        <v>969</v>
      </c>
      <c r="F50" s="52" t="s">
        <v>2501</v>
      </c>
    </row>
    <row r="51" spans="1:6" x14ac:dyDescent="0.15">
      <c r="A51" s="50" t="s">
        <v>1</v>
      </c>
      <c r="B51" s="50">
        <v>802</v>
      </c>
      <c r="C51" s="50" t="s">
        <v>851</v>
      </c>
      <c r="D51" s="50">
        <v>802</v>
      </c>
      <c r="E51" s="50" t="s">
        <v>969</v>
      </c>
      <c r="F51" s="52" t="s">
        <v>2502</v>
      </c>
    </row>
    <row r="52" spans="1:6" x14ac:dyDescent="0.15">
      <c r="A52" s="50" t="s">
        <v>1</v>
      </c>
      <c r="B52" s="50">
        <v>803</v>
      </c>
      <c r="C52" s="50" t="s">
        <v>851</v>
      </c>
      <c r="D52" s="50">
        <v>803</v>
      </c>
      <c r="E52" s="50" t="s">
        <v>969</v>
      </c>
      <c r="F52" s="52" t="s">
        <v>2502</v>
      </c>
    </row>
    <row r="53" spans="1:6" ht="15.75" customHeight="1" x14ac:dyDescent="0.15">
      <c r="A53" s="50" t="s">
        <v>1</v>
      </c>
      <c r="B53" s="50">
        <v>804</v>
      </c>
      <c r="C53" s="50" t="s">
        <v>851</v>
      </c>
      <c r="D53" s="50">
        <v>804</v>
      </c>
      <c r="E53" s="50" t="s">
        <v>969</v>
      </c>
      <c r="F53" s="52" t="s">
        <v>2503</v>
      </c>
    </row>
    <row r="54" spans="1:6" x14ac:dyDescent="0.15">
      <c r="A54" s="50" t="s">
        <v>1</v>
      </c>
      <c r="B54" s="50">
        <v>805</v>
      </c>
      <c r="C54" s="50" t="s">
        <v>851</v>
      </c>
      <c r="D54" s="50">
        <v>805</v>
      </c>
      <c r="E54" s="51" t="s">
        <v>969</v>
      </c>
      <c r="F54" s="52" t="s">
        <v>2504</v>
      </c>
    </row>
    <row r="55" spans="1:6" x14ac:dyDescent="0.15">
      <c r="A55" s="50" t="s">
        <v>1</v>
      </c>
      <c r="B55" s="50">
        <v>901</v>
      </c>
      <c r="C55" s="50" t="s">
        <v>1019</v>
      </c>
      <c r="D55" s="50">
        <v>901</v>
      </c>
      <c r="E55" s="51" t="s">
        <v>969</v>
      </c>
      <c r="F55" s="52" t="s">
        <v>973</v>
      </c>
    </row>
    <row r="56" spans="1:6" x14ac:dyDescent="0.15">
      <c r="A56" s="50" t="s">
        <v>1</v>
      </c>
      <c r="B56" s="50">
        <v>902</v>
      </c>
      <c r="C56" s="50" t="s">
        <v>1019</v>
      </c>
      <c r="D56" s="50">
        <v>902</v>
      </c>
      <c r="E56" s="50" t="s">
        <v>969</v>
      </c>
      <c r="F56" s="51" t="s">
        <v>974</v>
      </c>
    </row>
    <row r="57" spans="1:6" x14ac:dyDescent="0.15">
      <c r="A57" s="50" t="s">
        <v>1</v>
      </c>
      <c r="B57" s="50">
        <v>903</v>
      </c>
      <c r="C57" s="50" t="s">
        <v>1019</v>
      </c>
      <c r="D57" s="50">
        <v>903</v>
      </c>
      <c r="E57" s="50" t="s">
        <v>969</v>
      </c>
      <c r="F57" s="51" t="s">
        <v>975</v>
      </c>
    </row>
    <row r="58" spans="1:6" x14ac:dyDescent="0.15">
      <c r="A58" s="50" t="s">
        <v>1</v>
      </c>
      <c r="B58" s="50">
        <v>904</v>
      </c>
      <c r="C58" s="50" t="s">
        <v>1019</v>
      </c>
      <c r="D58" s="50">
        <v>904</v>
      </c>
      <c r="E58" s="50" t="s">
        <v>969</v>
      </c>
      <c r="F58" s="51" t="s">
        <v>976</v>
      </c>
    </row>
    <row r="59" spans="1:6" x14ac:dyDescent="0.15">
      <c r="A59" s="50" t="s">
        <v>1</v>
      </c>
      <c r="B59" s="50">
        <v>905</v>
      </c>
      <c r="C59" s="50" t="s">
        <v>1019</v>
      </c>
      <c r="D59" s="50">
        <v>905</v>
      </c>
      <c r="E59" s="50" t="s">
        <v>969</v>
      </c>
      <c r="F59" s="51" t="s">
        <v>977</v>
      </c>
    </row>
    <row r="60" spans="1:6" x14ac:dyDescent="0.15">
      <c r="A60" s="50" t="s">
        <v>1</v>
      </c>
      <c r="B60" s="50">
        <v>1001</v>
      </c>
      <c r="C60" s="50" t="s">
        <v>492</v>
      </c>
      <c r="D60" s="50">
        <v>1001</v>
      </c>
      <c r="E60" s="50" t="s">
        <v>969</v>
      </c>
      <c r="F60" s="51" t="s">
        <v>1011</v>
      </c>
    </row>
    <row r="61" spans="1:6" x14ac:dyDescent="0.15">
      <c r="A61" s="50" t="s">
        <v>1</v>
      </c>
      <c r="B61" s="50">
        <v>1002</v>
      </c>
      <c r="C61" s="50" t="s">
        <v>492</v>
      </c>
      <c r="D61" s="50">
        <v>1002</v>
      </c>
      <c r="E61" s="50" t="s">
        <v>969</v>
      </c>
      <c r="F61" s="51" t="s">
        <v>1012</v>
      </c>
    </row>
    <row r="62" spans="1:6" x14ac:dyDescent="0.15">
      <c r="A62" s="50" t="s">
        <v>1</v>
      </c>
      <c r="B62" s="50">
        <v>1003</v>
      </c>
      <c r="C62" s="50" t="s">
        <v>492</v>
      </c>
      <c r="D62" s="50">
        <v>1003</v>
      </c>
      <c r="E62" s="50" t="s">
        <v>969</v>
      </c>
      <c r="F62" s="51" t="s">
        <v>1013</v>
      </c>
    </row>
    <row r="63" spans="1:6" x14ac:dyDescent="0.15">
      <c r="A63" s="50" t="s">
        <v>1</v>
      </c>
      <c r="B63" s="50">
        <v>1004</v>
      </c>
      <c r="C63" s="50" t="s">
        <v>492</v>
      </c>
      <c r="D63" s="50">
        <v>1004</v>
      </c>
      <c r="E63" s="50" t="s">
        <v>969</v>
      </c>
      <c r="F63" s="51" t="s">
        <v>1014</v>
      </c>
    </row>
    <row r="64" spans="1:6" x14ac:dyDescent="0.15">
      <c r="A64" s="50" t="s">
        <v>1</v>
      </c>
      <c r="B64" s="50">
        <v>1005</v>
      </c>
      <c r="C64" s="50" t="s">
        <v>492</v>
      </c>
      <c r="D64" s="50">
        <v>1005</v>
      </c>
      <c r="E64" s="50" t="s">
        <v>969</v>
      </c>
      <c r="F64" s="51" t="s">
        <v>1015</v>
      </c>
    </row>
    <row r="65" spans="1:6" x14ac:dyDescent="0.15">
      <c r="A65" s="50" t="s">
        <v>1</v>
      </c>
      <c r="B65" s="50">
        <v>1006</v>
      </c>
      <c r="C65" s="50" t="s">
        <v>492</v>
      </c>
      <c r="D65" s="50">
        <v>1006</v>
      </c>
      <c r="E65" s="50" t="s">
        <v>969</v>
      </c>
      <c r="F65" s="51" t="s">
        <v>1016</v>
      </c>
    </row>
    <row r="66" spans="1:6" s="86" customFormat="1" x14ac:dyDescent="0.15">
      <c r="A66" s="86" t="s">
        <v>1</v>
      </c>
      <c r="B66" s="86">
        <v>1101</v>
      </c>
      <c r="C66" s="86" t="s">
        <v>2806</v>
      </c>
      <c r="D66" s="86">
        <v>1101</v>
      </c>
      <c r="E66" s="86" t="s">
        <v>969</v>
      </c>
      <c r="F66" s="51" t="s">
        <v>3277</v>
      </c>
    </row>
    <row r="67" spans="1:6" s="86" customFormat="1" x14ac:dyDescent="0.15">
      <c r="A67" s="86" t="s">
        <v>1</v>
      </c>
      <c r="B67" s="86">
        <v>1102</v>
      </c>
      <c r="C67" s="86" t="s">
        <v>2806</v>
      </c>
      <c r="D67" s="86">
        <v>1102</v>
      </c>
      <c r="E67" s="86" t="s">
        <v>969</v>
      </c>
      <c r="F67" s="51" t="s">
        <v>3278</v>
      </c>
    </row>
    <row r="68" spans="1:6" s="86" customFormat="1" x14ac:dyDescent="0.15">
      <c r="A68" s="86" t="s">
        <v>1</v>
      </c>
      <c r="B68" s="86">
        <v>1103</v>
      </c>
      <c r="C68" s="86" t="s">
        <v>2806</v>
      </c>
      <c r="D68" s="86">
        <v>1103</v>
      </c>
      <c r="E68" s="86" t="s">
        <v>969</v>
      </c>
      <c r="F68" s="51" t="s">
        <v>3279</v>
      </c>
    </row>
    <row r="69" spans="1:6" s="86" customFormat="1" x14ac:dyDescent="0.15">
      <c r="A69" s="86" t="s">
        <v>1</v>
      </c>
      <c r="B69" s="86">
        <v>1104</v>
      </c>
      <c r="C69" s="86" t="s">
        <v>2806</v>
      </c>
      <c r="D69" s="86">
        <v>1104</v>
      </c>
      <c r="E69" s="86" t="s">
        <v>969</v>
      </c>
      <c r="F69" s="51" t="s">
        <v>3280</v>
      </c>
    </row>
    <row r="70" spans="1:6" s="86" customFormat="1" x14ac:dyDescent="0.15">
      <c r="A70" s="86" t="s">
        <v>1</v>
      </c>
      <c r="B70" s="86">
        <v>1105</v>
      </c>
      <c r="C70" s="86" t="s">
        <v>2806</v>
      </c>
      <c r="D70" s="86">
        <v>1105</v>
      </c>
      <c r="E70" s="86" t="s">
        <v>969</v>
      </c>
      <c r="F70" s="51" t="s">
        <v>3281</v>
      </c>
    </row>
    <row r="71" spans="1:6" s="86" customFormat="1" x14ac:dyDescent="0.15">
      <c r="A71" s="86" t="s">
        <v>1</v>
      </c>
      <c r="B71" s="86">
        <v>1106</v>
      </c>
      <c r="C71" s="86" t="s">
        <v>2806</v>
      </c>
      <c r="D71" s="86">
        <v>1106</v>
      </c>
      <c r="E71" s="86" t="s">
        <v>969</v>
      </c>
      <c r="F71" s="51" t="s">
        <v>3282</v>
      </c>
    </row>
    <row r="72" spans="1:6" s="86" customFormat="1" x14ac:dyDescent="0.15">
      <c r="A72" s="86" t="s">
        <v>1</v>
      </c>
      <c r="B72" s="86">
        <v>1107</v>
      </c>
      <c r="C72" s="86" t="s">
        <v>2806</v>
      </c>
      <c r="D72" s="86">
        <v>1107</v>
      </c>
      <c r="E72" s="86" t="s">
        <v>969</v>
      </c>
      <c r="F72" s="51" t="s">
        <v>3283</v>
      </c>
    </row>
    <row r="73" spans="1:6" s="86" customFormat="1" x14ac:dyDescent="0.15">
      <c r="A73" s="86" t="s">
        <v>1</v>
      </c>
      <c r="B73" s="86">
        <v>1201</v>
      </c>
      <c r="C73" s="86" t="s">
        <v>2817</v>
      </c>
      <c r="D73" s="86">
        <v>1201</v>
      </c>
      <c r="E73" s="86" t="s">
        <v>969</v>
      </c>
      <c r="F73" s="51" t="s">
        <v>3405</v>
      </c>
    </row>
    <row r="74" spans="1:6" s="86" customFormat="1" x14ac:dyDescent="0.15">
      <c r="A74" s="86" t="s">
        <v>1</v>
      </c>
      <c r="B74" s="86">
        <v>1202</v>
      </c>
      <c r="C74" s="86" t="s">
        <v>2817</v>
      </c>
      <c r="D74" s="86">
        <v>1202</v>
      </c>
      <c r="E74" s="86" t="s">
        <v>969</v>
      </c>
      <c r="F74" s="51" t="s">
        <v>3406</v>
      </c>
    </row>
    <row r="75" spans="1:6" s="86" customFormat="1" x14ac:dyDescent="0.15">
      <c r="A75" s="86" t="s">
        <v>1</v>
      </c>
      <c r="B75" s="86">
        <v>1203</v>
      </c>
      <c r="C75" s="86" t="s">
        <v>2817</v>
      </c>
      <c r="D75" s="86">
        <v>1203</v>
      </c>
      <c r="E75" s="86" t="s">
        <v>969</v>
      </c>
      <c r="F75" s="51" t="s">
        <v>3407</v>
      </c>
    </row>
    <row r="76" spans="1:6" s="86" customFormat="1" x14ac:dyDescent="0.15">
      <c r="A76" s="86" t="s">
        <v>1</v>
      </c>
      <c r="B76" s="86">
        <v>1204</v>
      </c>
      <c r="C76" s="86" t="s">
        <v>2817</v>
      </c>
      <c r="D76" s="86">
        <v>1204</v>
      </c>
      <c r="E76" s="86" t="s">
        <v>969</v>
      </c>
      <c r="F76" s="51" t="s">
        <v>3408</v>
      </c>
    </row>
    <row r="77" spans="1:6" s="86" customFormat="1" x14ac:dyDescent="0.15">
      <c r="A77" s="86" t="s">
        <v>1</v>
      </c>
      <c r="B77" s="86">
        <v>1205</v>
      </c>
      <c r="C77" s="86" t="s">
        <v>2817</v>
      </c>
      <c r="D77" s="86">
        <v>1205</v>
      </c>
      <c r="E77" s="86" t="s">
        <v>969</v>
      </c>
      <c r="F77" s="51" t="s">
        <v>3409</v>
      </c>
    </row>
    <row r="78" spans="1:6" s="86" customFormat="1" x14ac:dyDescent="0.15">
      <c r="A78" s="86" t="s">
        <v>1</v>
      </c>
      <c r="B78" s="86">
        <v>1206</v>
      </c>
      <c r="C78" s="86" t="s">
        <v>2817</v>
      </c>
      <c r="D78" s="86">
        <v>1206</v>
      </c>
      <c r="E78" s="86" t="s">
        <v>969</v>
      </c>
      <c r="F78" s="51" t="s">
        <v>3410</v>
      </c>
    </row>
    <row r="79" spans="1:6" s="86" customFormat="1" x14ac:dyDescent="0.15">
      <c r="A79" s="86" t="s">
        <v>1</v>
      </c>
      <c r="B79" s="86">
        <v>1207</v>
      </c>
      <c r="C79" s="86" t="s">
        <v>2817</v>
      </c>
      <c r="D79" s="86">
        <v>1207</v>
      </c>
      <c r="E79" s="86" t="s">
        <v>969</v>
      </c>
      <c r="F79" s="51" t="s">
        <v>3411</v>
      </c>
    </row>
    <row r="80" spans="1:6" s="86" customFormat="1" x14ac:dyDescent="0.15">
      <c r="A80" s="86" t="s">
        <v>1</v>
      </c>
      <c r="B80" s="86">
        <v>1208</v>
      </c>
      <c r="C80" s="86" t="s">
        <v>2817</v>
      </c>
      <c r="D80" s="86">
        <v>1208</v>
      </c>
      <c r="E80" s="86" t="s">
        <v>969</v>
      </c>
      <c r="F80" s="51" t="s">
        <v>3412</v>
      </c>
    </row>
    <row r="81" spans="1:6" s="86" customFormat="1" x14ac:dyDescent="0.15">
      <c r="A81" s="86" t="s">
        <v>1</v>
      </c>
      <c r="B81" s="86">
        <v>1301</v>
      </c>
      <c r="C81" s="86" t="s">
        <v>2831</v>
      </c>
      <c r="D81" s="86">
        <v>1301</v>
      </c>
      <c r="E81" s="86" t="s">
        <v>969</v>
      </c>
      <c r="F81" s="51" t="s">
        <v>3284</v>
      </c>
    </row>
    <row r="82" spans="1:6" s="86" customFormat="1" x14ac:dyDescent="0.15">
      <c r="A82" s="86" t="s">
        <v>1</v>
      </c>
      <c r="B82" s="86">
        <v>1302</v>
      </c>
      <c r="C82" s="86" t="s">
        <v>2831</v>
      </c>
      <c r="D82" s="86">
        <v>1302</v>
      </c>
      <c r="E82" s="86" t="s">
        <v>969</v>
      </c>
      <c r="F82" s="51" t="s">
        <v>3285</v>
      </c>
    </row>
    <row r="83" spans="1:6" s="86" customFormat="1" x14ac:dyDescent="0.15">
      <c r="A83" s="86" t="s">
        <v>1</v>
      </c>
      <c r="B83" s="86">
        <v>1303</v>
      </c>
      <c r="C83" s="86" t="s">
        <v>2831</v>
      </c>
      <c r="D83" s="86">
        <v>1303</v>
      </c>
      <c r="E83" s="86" t="s">
        <v>969</v>
      </c>
      <c r="F83" s="51" t="s">
        <v>3286</v>
      </c>
    </row>
    <row r="84" spans="1:6" s="86" customFormat="1" x14ac:dyDescent="0.15">
      <c r="A84" s="86" t="s">
        <v>1</v>
      </c>
      <c r="B84" s="86">
        <v>1304</v>
      </c>
      <c r="C84" s="86" t="s">
        <v>2831</v>
      </c>
      <c r="D84" s="86">
        <v>1304</v>
      </c>
      <c r="E84" s="86" t="s">
        <v>969</v>
      </c>
      <c r="F84" s="51" t="s">
        <v>3287</v>
      </c>
    </row>
    <row r="85" spans="1:6" s="86" customFormat="1" x14ac:dyDescent="0.15">
      <c r="A85" s="86" t="s">
        <v>1</v>
      </c>
      <c r="B85" s="86">
        <v>1305</v>
      </c>
      <c r="C85" s="86" t="s">
        <v>2831</v>
      </c>
      <c r="D85" s="86">
        <v>1305</v>
      </c>
      <c r="E85" s="86" t="s">
        <v>969</v>
      </c>
      <c r="F85" s="51" t="s">
        <v>3288</v>
      </c>
    </row>
    <row r="86" spans="1:6" s="86" customFormat="1" x14ac:dyDescent="0.15">
      <c r="A86" s="86" t="s">
        <v>1</v>
      </c>
      <c r="B86" s="86">
        <v>1306</v>
      </c>
      <c r="C86" s="86" t="s">
        <v>2831</v>
      </c>
      <c r="D86" s="86">
        <v>1306</v>
      </c>
      <c r="E86" s="86" t="s">
        <v>969</v>
      </c>
      <c r="F86" s="51" t="s">
        <v>3289</v>
      </c>
    </row>
    <row r="87" spans="1:6" s="86" customFormat="1" x14ac:dyDescent="0.15">
      <c r="A87" s="86" t="s">
        <v>1</v>
      </c>
      <c r="B87" s="86">
        <v>1307</v>
      </c>
      <c r="C87" s="86" t="s">
        <v>2831</v>
      </c>
      <c r="D87" s="86">
        <v>1307</v>
      </c>
      <c r="E87" s="86" t="s">
        <v>969</v>
      </c>
      <c r="F87" s="51" t="s">
        <v>3290</v>
      </c>
    </row>
    <row r="88" spans="1:6" s="86" customFormat="1" x14ac:dyDescent="0.15">
      <c r="A88" s="86" t="s">
        <v>1</v>
      </c>
      <c r="B88" s="86">
        <v>1308</v>
      </c>
      <c r="C88" s="86" t="s">
        <v>2831</v>
      </c>
      <c r="D88" s="86">
        <v>1308</v>
      </c>
      <c r="E88" s="86" t="s">
        <v>969</v>
      </c>
      <c r="F88" s="51" t="s">
        <v>3291</v>
      </c>
    </row>
    <row r="89" spans="1:6" s="86" customFormat="1" x14ac:dyDescent="0.15">
      <c r="A89" s="86" t="s">
        <v>1</v>
      </c>
      <c r="B89" s="86">
        <v>1401</v>
      </c>
      <c r="C89" s="86" t="s">
        <v>3425</v>
      </c>
      <c r="D89" s="86">
        <v>1401</v>
      </c>
      <c r="E89" s="86" t="s">
        <v>969</v>
      </c>
      <c r="F89" s="51" t="s">
        <v>3903</v>
      </c>
    </row>
    <row r="90" spans="1:6" s="86" customFormat="1" x14ac:dyDescent="0.15">
      <c r="A90" s="86" t="s">
        <v>1</v>
      </c>
      <c r="B90" s="86">
        <v>1402</v>
      </c>
      <c r="C90" s="86" t="s">
        <v>3425</v>
      </c>
      <c r="D90" s="86">
        <v>1402</v>
      </c>
      <c r="E90" s="86" t="s">
        <v>969</v>
      </c>
      <c r="F90" s="51" t="s">
        <v>3904</v>
      </c>
    </row>
    <row r="91" spans="1:6" s="86" customFormat="1" x14ac:dyDescent="0.15">
      <c r="A91" s="86" t="s">
        <v>1</v>
      </c>
      <c r="B91" s="86">
        <v>1403</v>
      </c>
      <c r="C91" s="86" t="s">
        <v>3425</v>
      </c>
      <c r="D91" s="86">
        <v>1403</v>
      </c>
      <c r="E91" s="86" t="s">
        <v>969</v>
      </c>
      <c r="F91" s="51" t="s">
        <v>3905</v>
      </c>
    </row>
    <row r="92" spans="1:6" s="86" customFormat="1" x14ac:dyDescent="0.15">
      <c r="A92" s="86" t="s">
        <v>1</v>
      </c>
      <c r="B92" s="86">
        <v>1404</v>
      </c>
      <c r="C92" s="86" t="s">
        <v>3425</v>
      </c>
      <c r="D92" s="86">
        <v>1404</v>
      </c>
      <c r="E92" s="86" t="s">
        <v>969</v>
      </c>
      <c r="F92" s="51" t="s">
        <v>3906</v>
      </c>
    </row>
    <row r="93" spans="1:6" s="86" customFormat="1" x14ac:dyDescent="0.15">
      <c r="A93" s="86" t="s">
        <v>1</v>
      </c>
      <c r="B93" s="86">
        <v>1405</v>
      </c>
      <c r="C93" s="86" t="s">
        <v>3425</v>
      </c>
      <c r="D93" s="86">
        <v>1405</v>
      </c>
      <c r="E93" s="86" t="s">
        <v>969</v>
      </c>
      <c r="F93" s="51" t="s">
        <v>3907</v>
      </c>
    </row>
    <row r="94" spans="1:6" s="86" customFormat="1" x14ac:dyDescent="0.15">
      <c r="A94" s="86" t="s">
        <v>1</v>
      </c>
      <c r="B94" s="86">
        <v>1406</v>
      </c>
      <c r="C94" s="86" t="s">
        <v>3425</v>
      </c>
      <c r="D94" s="86">
        <v>1406</v>
      </c>
      <c r="E94" s="86" t="s">
        <v>969</v>
      </c>
      <c r="F94" s="51" t="s">
        <v>3908</v>
      </c>
    </row>
    <row r="95" spans="1:6" s="86" customFormat="1" x14ac:dyDescent="0.15">
      <c r="A95" s="86" t="s">
        <v>1</v>
      </c>
      <c r="B95" s="86">
        <v>1501</v>
      </c>
      <c r="C95" s="86" t="s">
        <v>3435</v>
      </c>
      <c r="D95" s="86">
        <v>1501</v>
      </c>
      <c r="E95" s="86" t="s">
        <v>969</v>
      </c>
      <c r="F95" s="51" t="s">
        <v>3909</v>
      </c>
    </row>
    <row r="96" spans="1:6" s="86" customFormat="1" x14ac:dyDescent="0.15">
      <c r="A96" s="86" t="s">
        <v>1</v>
      </c>
      <c r="B96" s="86">
        <v>1502</v>
      </c>
      <c r="C96" s="86" t="s">
        <v>3435</v>
      </c>
      <c r="D96" s="86">
        <v>1502</v>
      </c>
      <c r="E96" s="86" t="s">
        <v>969</v>
      </c>
      <c r="F96" s="51" t="s">
        <v>3910</v>
      </c>
    </row>
    <row r="97" spans="1:6" s="86" customFormat="1" x14ac:dyDescent="0.15">
      <c r="A97" s="86" t="s">
        <v>1</v>
      </c>
      <c r="B97" s="86">
        <v>1503</v>
      </c>
      <c r="C97" s="86" t="s">
        <v>3435</v>
      </c>
      <c r="D97" s="86">
        <v>1503</v>
      </c>
      <c r="E97" s="86" t="s">
        <v>969</v>
      </c>
      <c r="F97" s="51" t="s">
        <v>3911</v>
      </c>
    </row>
    <row r="98" spans="1:6" s="86" customFormat="1" x14ac:dyDescent="0.15">
      <c r="A98" s="86" t="s">
        <v>1</v>
      </c>
      <c r="B98" s="86">
        <v>1504</v>
      </c>
      <c r="C98" s="86" t="s">
        <v>3435</v>
      </c>
      <c r="D98" s="86">
        <v>1504</v>
      </c>
      <c r="E98" s="86" t="s">
        <v>969</v>
      </c>
      <c r="F98" s="51" t="s">
        <v>3912</v>
      </c>
    </row>
    <row r="99" spans="1:6" s="86" customFormat="1" x14ac:dyDescent="0.15">
      <c r="A99" s="86" t="s">
        <v>1</v>
      </c>
      <c r="B99" s="86">
        <v>1505</v>
      </c>
      <c r="C99" s="86" t="s">
        <v>3435</v>
      </c>
      <c r="D99" s="86">
        <v>1505</v>
      </c>
      <c r="E99" s="86" t="s">
        <v>969</v>
      </c>
      <c r="F99" s="51" t="s">
        <v>3913</v>
      </c>
    </row>
    <row r="100" spans="1:6" s="86" customFormat="1" x14ac:dyDescent="0.15">
      <c r="A100" s="86" t="s">
        <v>1</v>
      </c>
      <c r="B100" s="86">
        <v>1506</v>
      </c>
      <c r="C100" s="86" t="s">
        <v>3435</v>
      </c>
      <c r="D100" s="86">
        <v>1506</v>
      </c>
      <c r="E100" s="86" t="s">
        <v>969</v>
      </c>
      <c r="F100" s="51" t="s">
        <v>3914</v>
      </c>
    </row>
    <row r="101" spans="1:6" s="86" customFormat="1" x14ac:dyDescent="0.15">
      <c r="A101" s="86" t="s">
        <v>1</v>
      </c>
      <c r="B101" s="86">
        <v>1507</v>
      </c>
      <c r="C101" s="86" t="s">
        <v>3435</v>
      </c>
      <c r="D101" s="86">
        <v>1507</v>
      </c>
      <c r="E101" s="86" t="s">
        <v>969</v>
      </c>
      <c r="F101" s="51" t="s">
        <v>3915</v>
      </c>
    </row>
    <row r="102" spans="1:6" s="86" customFormat="1" x14ac:dyDescent="0.15">
      <c r="A102" s="86" t="s">
        <v>1</v>
      </c>
      <c r="B102" s="86">
        <v>1601</v>
      </c>
      <c r="C102" s="86" t="s">
        <v>3448</v>
      </c>
      <c r="D102" s="86">
        <v>1601</v>
      </c>
      <c r="E102" s="86" t="s">
        <v>969</v>
      </c>
      <c r="F102" s="51" t="s">
        <v>3916</v>
      </c>
    </row>
    <row r="103" spans="1:6" s="86" customFormat="1" x14ac:dyDescent="0.15">
      <c r="A103" s="86" t="s">
        <v>1</v>
      </c>
      <c r="B103" s="86">
        <v>1602</v>
      </c>
      <c r="C103" s="86" t="s">
        <v>3448</v>
      </c>
      <c r="D103" s="86">
        <v>1602</v>
      </c>
      <c r="E103" s="86" t="s">
        <v>969</v>
      </c>
      <c r="F103" s="51" t="s">
        <v>3917</v>
      </c>
    </row>
    <row r="104" spans="1:6" s="86" customFormat="1" x14ac:dyDescent="0.15">
      <c r="A104" s="86" t="s">
        <v>1</v>
      </c>
      <c r="B104" s="86">
        <v>1603</v>
      </c>
      <c r="C104" s="86" t="s">
        <v>3448</v>
      </c>
      <c r="D104" s="86">
        <v>1603</v>
      </c>
      <c r="E104" s="86" t="s">
        <v>969</v>
      </c>
      <c r="F104" s="51" t="s">
        <v>3918</v>
      </c>
    </row>
    <row r="105" spans="1:6" s="86" customFormat="1" x14ac:dyDescent="0.15">
      <c r="A105" s="86" t="s">
        <v>1</v>
      </c>
      <c r="B105" s="86">
        <v>1604</v>
      </c>
      <c r="C105" s="86" t="s">
        <v>3448</v>
      </c>
      <c r="D105" s="86">
        <v>1604</v>
      </c>
      <c r="E105" s="86" t="s">
        <v>969</v>
      </c>
      <c r="F105" s="51" t="s">
        <v>3919</v>
      </c>
    </row>
    <row r="106" spans="1:6" s="86" customFormat="1" x14ac:dyDescent="0.15">
      <c r="A106" s="86" t="s">
        <v>1</v>
      </c>
      <c r="B106" s="86">
        <v>1605</v>
      </c>
      <c r="C106" s="86" t="s">
        <v>3448</v>
      </c>
      <c r="D106" s="86">
        <v>1605</v>
      </c>
      <c r="E106" s="86" t="s">
        <v>969</v>
      </c>
      <c r="F106" s="51" t="s">
        <v>3920</v>
      </c>
    </row>
    <row r="107" spans="1:6" s="86" customFormat="1" x14ac:dyDescent="0.15">
      <c r="A107" s="86" t="s">
        <v>1</v>
      </c>
      <c r="B107" s="86">
        <v>1606</v>
      </c>
      <c r="C107" s="86" t="s">
        <v>3448</v>
      </c>
      <c r="D107" s="86">
        <v>1606</v>
      </c>
      <c r="E107" s="86" t="s">
        <v>969</v>
      </c>
      <c r="F107" s="51" t="s">
        <v>3921</v>
      </c>
    </row>
    <row r="108" spans="1:6" s="86" customFormat="1" x14ac:dyDescent="0.15">
      <c r="A108" s="86" t="s">
        <v>1</v>
      </c>
      <c r="B108" s="86">
        <v>1607</v>
      </c>
      <c r="C108" s="86" t="s">
        <v>3448</v>
      </c>
      <c r="D108" s="86">
        <v>1607</v>
      </c>
      <c r="E108" s="86" t="s">
        <v>969</v>
      </c>
      <c r="F108" s="51" t="s">
        <v>3922</v>
      </c>
    </row>
    <row r="109" spans="1:6" s="86" customFormat="1" x14ac:dyDescent="0.15">
      <c r="A109" s="86" t="s">
        <v>1</v>
      </c>
      <c r="B109" s="86">
        <v>1608</v>
      </c>
      <c r="C109" s="86" t="s">
        <v>3448</v>
      </c>
      <c r="D109" s="86">
        <v>1608</v>
      </c>
      <c r="E109" s="86" t="s">
        <v>969</v>
      </c>
      <c r="F109" s="51" t="s">
        <v>3923</v>
      </c>
    </row>
    <row r="110" spans="1:6" s="86" customFormat="1" x14ac:dyDescent="0.15">
      <c r="A110" s="86" t="s">
        <v>1</v>
      </c>
      <c r="B110" s="86">
        <v>1609</v>
      </c>
      <c r="C110" s="86" t="s">
        <v>3448</v>
      </c>
      <c r="D110" s="86">
        <v>1609</v>
      </c>
      <c r="E110" s="86" t="s">
        <v>969</v>
      </c>
      <c r="F110" s="51" t="s">
        <v>3924</v>
      </c>
    </row>
    <row r="111" spans="1:6" s="86" customFormat="1" x14ac:dyDescent="0.15">
      <c r="A111" s="86" t="s">
        <v>1</v>
      </c>
      <c r="B111" s="86">
        <v>1701</v>
      </c>
      <c r="C111" s="86" t="s">
        <v>3945</v>
      </c>
      <c r="D111" s="86">
        <v>1701</v>
      </c>
      <c r="E111" s="86" t="s">
        <v>969</v>
      </c>
      <c r="F111" s="51" t="s">
        <v>4742</v>
      </c>
    </row>
    <row r="112" spans="1:6" s="86" customFormat="1" x14ac:dyDescent="0.15">
      <c r="A112" s="86" t="s">
        <v>1</v>
      </c>
      <c r="B112" s="86">
        <v>1702</v>
      </c>
      <c r="C112" s="86" t="s">
        <v>3945</v>
      </c>
      <c r="D112" s="86">
        <v>1702</v>
      </c>
      <c r="E112" s="86" t="s">
        <v>969</v>
      </c>
      <c r="F112" s="51" t="s">
        <v>4743</v>
      </c>
    </row>
    <row r="113" spans="1:6" s="86" customFormat="1" x14ac:dyDescent="0.15">
      <c r="A113" s="86" t="s">
        <v>1</v>
      </c>
      <c r="B113" s="86">
        <v>1703</v>
      </c>
      <c r="C113" s="86" t="s">
        <v>3945</v>
      </c>
      <c r="D113" s="86">
        <v>1703</v>
      </c>
      <c r="E113" s="86" t="s">
        <v>969</v>
      </c>
      <c r="F113" s="51" t="s">
        <v>4744</v>
      </c>
    </row>
    <row r="114" spans="1:6" s="86" customFormat="1" x14ac:dyDescent="0.15">
      <c r="A114" s="86" t="s">
        <v>1</v>
      </c>
      <c r="B114" s="86">
        <v>1704</v>
      </c>
      <c r="C114" s="86" t="s">
        <v>3945</v>
      </c>
      <c r="D114" s="86">
        <v>1704</v>
      </c>
      <c r="E114" s="86" t="s">
        <v>969</v>
      </c>
      <c r="F114" s="51" t="s">
        <v>4745</v>
      </c>
    </row>
    <row r="115" spans="1:6" s="86" customFormat="1" x14ac:dyDescent="0.15">
      <c r="A115" s="86" t="s">
        <v>1</v>
      </c>
      <c r="B115" s="86">
        <v>1705</v>
      </c>
      <c r="C115" s="86" t="s">
        <v>3945</v>
      </c>
      <c r="D115" s="86">
        <v>1705</v>
      </c>
      <c r="E115" s="86" t="s">
        <v>969</v>
      </c>
      <c r="F115" s="51" t="s">
        <v>4746</v>
      </c>
    </row>
    <row r="116" spans="1:6" s="86" customFormat="1" x14ac:dyDescent="0.15">
      <c r="A116" s="86" t="s">
        <v>1</v>
      </c>
      <c r="B116" s="86">
        <v>1706</v>
      </c>
      <c r="C116" s="86" t="s">
        <v>3945</v>
      </c>
      <c r="D116" s="86">
        <v>1706</v>
      </c>
      <c r="E116" s="86" t="s">
        <v>969</v>
      </c>
      <c r="F116" s="51" t="s">
        <v>4747</v>
      </c>
    </row>
    <row r="117" spans="1:6" s="86" customFormat="1" x14ac:dyDescent="0.15">
      <c r="A117" s="86" t="s">
        <v>1</v>
      </c>
      <c r="B117" s="86">
        <v>1801</v>
      </c>
      <c r="C117" s="86" t="s">
        <v>3953</v>
      </c>
      <c r="D117" s="86">
        <v>1801</v>
      </c>
      <c r="E117" s="86" t="s">
        <v>969</v>
      </c>
      <c r="F117" s="51" t="s">
        <v>4748</v>
      </c>
    </row>
    <row r="118" spans="1:6" s="86" customFormat="1" x14ac:dyDescent="0.15">
      <c r="A118" s="86" t="s">
        <v>1</v>
      </c>
      <c r="B118" s="86">
        <v>1802</v>
      </c>
      <c r="C118" s="86" t="s">
        <v>3953</v>
      </c>
      <c r="D118" s="86">
        <v>1802</v>
      </c>
      <c r="E118" s="86" t="s">
        <v>969</v>
      </c>
      <c r="F118" s="51" t="s">
        <v>4749</v>
      </c>
    </row>
    <row r="119" spans="1:6" s="86" customFormat="1" x14ac:dyDescent="0.15">
      <c r="A119" s="86" t="s">
        <v>1</v>
      </c>
      <c r="B119" s="86">
        <v>1803</v>
      </c>
      <c r="C119" s="86" t="s">
        <v>3953</v>
      </c>
      <c r="D119" s="86">
        <v>1803</v>
      </c>
      <c r="E119" s="86" t="s">
        <v>969</v>
      </c>
      <c r="F119" s="51" t="s">
        <v>4750</v>
      </c>
    </row>
    <row r="120" spans="1:6" s="86" customFormat="1" x14ac:dyDescent="0.15">
      <c r="A120" s="86" t="s">
        <v>1</v>
      </c>
      <c r="B120" s="86">
        <v>1804</v>
      </c>
      <c r="C120" s="86" t="s">
        <v>3953</v>
      </c>
      <c r="D120" s="86">
        <v>1804</v>
      </c>
      <c r="E120" s="86" t="s">
        <v>969</v>
      </c>
      <c r="F120" s="51" t="s">
        <v>4751</v>
      </c>
    </row>
    <row r="121" spans="1:6" s="86" customFormat="1" x14ac:dyDescent="0.15">
      <c r="A121" s="86" t="s">
        <v>1</v>
      </c>
      <c r="B121" s="86">
        <v>1805</v>
      </c>
      <c r="C121" s="86" t="s">
        <v>3953</v>
      </c>
      <c r="D121" s="86">
        <v>1805</v>
      </c>
      <c r="E121" s="86" t="s">
        <v>969</v>
      </c>
      <c r="F121" s="51" t="s">
        <v>4752</v>
      </c>
    </row>
    <row r="122" spans="1:6" s="86" customFormat="1" x14ac:dyDescent="0.15">
      <c r="A122" s="86" t="s">
        <v>1</v>
      </c>
      <c r="B122" s="86">
        <v>1806</v>
      </c>
      <c r="C122" s="86" t="s">
        <v>3953</v>
      </c>
      <c r="D122" s="86">
        <v>1806</v>
      </c>
      <c r="E122" s="86" t="s">
        <v>969</v>
      </c>
      <c r="F122" s="51" t="s">
        <v>4753</v>
      </c>
    </row>
    <row r="123" spans="1:6" s="86" customFormat="1" x14ac:dyDescent="0.15">
      <c r="A123" s="86" t="s">
        <v>1</v>
      </c>
      <c r="B123" s="86">
        <v>1807</v>
      </c>
      <c r="C123" s="86" t="s">
        <v>3953</v>
      </c>
      <c r="D123" s="86">
        <v>1807</v>
      </c>
      <c r="E123" s="86" t="s">
        <v>969</v>
      </c>
      <c r="F123" s="51" t="s">
        <v>4754</v>
      </c>
    </row>
    <row r="124" spans="1:6" s="86" customFormat="1" x14ac:dyDescent="0.15">
      <c r="A124" s="86" t="s">
        <v>1</v>
      </c>
      <c r="B124" s="86">
        <v>1808</v>
      </c>
      <c r="C124" s="86" t="s">
        <v>3953</v>
      </c>
      <c r="D124" s="86">
        <v>1808</v>
      </c>
      <c r="E124" s="86" t="s">
        <v>969</v>
      </c>
      <c r="F124" s="51" t="s">
        <v>4755</v>
      </c>
    </row>
    <row r="125" spans="1:6" s="86" customFormat="1" x14ac:dyDescent="0.15">
      <c r="A125" s="86" t="s">
        <v>1</v>
      </c>
      <c r="B125" s="86">
        <v>1901</v>
      </c>
      <c r="C125" s="86" t="s">
        <v>3969</v>
      </c>
      <c r="D125" s="86">
        <v>1901</v>
      </c>
      <c r="E125" s="86" t="s">
        <v>969</v>
      </c>
      <c r="F125" s="51" t="s">
        <v>4756</v>
      </c>
    </row>
    <row r="126" spans="1:6" s="86" customFormat="1" x14ac:dyDescent="0.15">
      <c r="A126" s="86" t="s">
        <v>1</v>
      </c>
      <c r="B126" s="86">
        <v>1902</v>
      </c>
      <c r="C126" s="86" t="s">
        <v>3969</v>
      </c>
      <c r="D126" s="86">
        <v>1902</v>
      </c>
      <c r="E126" s="86" t="s">
        <v>969</v>
      </c>
      <c r="F126" s="51" t="s">
        <v>4757</v>
      </c>
    </row>
    <row r="127" spans="1:6" s="86" customFormat="1" x14ac:dyDescent="0.15">
      <c r="A127" s="86" t="s">
        <v>1</v>
      </c>
      <c r="B127" s="86">
        <v>1903</v>
      </c>
      <c r="C127" s="86" t="s">
        <v>3969</v>
      </c>
      <c r="D127" s="86">
        <v>1903</v>
      </c>
      <c r="E127" s="86" t="s">
        <v>969</v>
      </c>
      <c r="F127" s="51" t="s">
        <v>4758</v>
      </c>
    </row>
    <row r="128" spans="1:6" s="86" customFormat="1" x14ac:dyDescent="0.15">
      <c r="A128" s="86" t="s">
        <v>1</v>
      </c>
      <c r="B128" s="86">
        <v>1904</v>
      </c>
      <c r="C128" s="86" t="s">
        <v>3969</v>
      </c>
      <c r="D128" s="86">
        <v>1904</v>
      </c>
      <c r="E128" s="86" t="s">
        <v>969</v>
      </c>
      <c r="F128" s="51" t="s">
        <v>4759</v>
      </c>
    </row>
    <row r="129" spans="1:6" s="86" customFormat="1" x14ac:dyDescent="0.15">
      <c r="A129" s="86" t="s">
        <v>1</v>
      </c>
      <c r="B129" s="86">
        <v>1905</v>
      </c>
      <c r="C129" s="86" t="s">
        <v>3969</v>
      </c>
      <c r="D129" s="86">
        <v>1905</v>
      </c>
      <c r="E129" s="86" t="s">
        <v>969</v>
      </c>
      <c r="F129" s="51" t="s">
        <v>4760</v>
      </c>
    </row>
    <row r="130" spans="1:6" s="86" customFormat="1" x14ac:dyDescent="0.15">
      <c r="A130" s="86" t="s">
        <v>1</v>
      </c>
      <c r="B130" s="86">
        <v>1906</v>
      </c>
      <c r="C130" s="86" t="s">
        <v>3969</v>
      </c>
      <c r="D130" s="86">
        <v>1906</v>
      </c>
      <c r="E130" s="86" t="s">
        <v>969</v>
      </c>
      <c r="F130" s="51" t="s">
        <v>4761</v>
      </c>
    </row>
    <row r="131" spans="1:6" s="86" customFormat="1" x14ac:dyDescent="0.15">
      <c r="A131" s="86" t="s">
        <v>1</v>
      </c>
      <c r="B131" s="86">
        <v>1907</v>
      </c>
      <c r="C131" s="86" t="s">
        <v>3969</v>
      </c>
      <c r="D131" s="86">
        <v>1907</v>
      </c>
      <c r="E131" s="86" t="s">
        <v>969</v>
      </c>
      <c r="F131" s="51" t="s">
        <v>4762</v>
      </c>
    </row>
    <row r="132" spans="1:6" s="86" customFormat="1" x14ac:dyDescent="0.15">
      <c r="A132" s="86" t="s">
        <v>1</v>
      </c>
      <c r="B132" s="86">
        <v>2001</v>
      </c>
      <c r="C132" s="86" t="s">
        <v>3980</v>
      </c>
      <c r="D132" s="86">
        <v>2001</v>
      </c>
      <c r="E132" s="86" t="s">
        <v>969</v>
      </c>
      <c r="F132" s="51" t="s">
        <v>4763</v>
      </c>
    </row>
    <row r="133" spans="1:6" s="86" customFormat="1" x14ac:dyDescent="0.15">
      <c r="A133" s="86" t="s">
        <v>1</v>
      </c>
      <c r="B133" s="86">
        <v>2002</v>
      </c>
      <c r="C133" s="86" t="s">
        <v>3980</v>
      </c>
      <c r="D133" s="86">
        <v>2002</v>
      </c>
      <c r="E133" s="86" t="s">
        <v>969</v>
      </c>
      <c r="F133" s="51" t="s">
        <v>4764</v>
      </c>
    </row>
    <row r="134" spans="1:6" s="86" customFormat="1" x14ac:dyDescent="0.15">
      <c r="A134" s="86" t="s">
        <v>1</v>
      </c>
      <c r="B134" s="86">
        <v>2003</v>
      </c>
      <c r="C134" s="86" t="s">
        <v>3980</v>
      </c>
      <c r="D134" s="86">
        <v>2003</v>
      </c>
      <c r="E134" s="86" t="s">
        <v>969</v>
      </c>
      <c r="F134" s="51" t="s">
        <v>4765</v>
      </c>
    </row>
    <row r="135" spans="1:6" s="86" customFormat="1" x14ac:dyDescent="0.15">
      <c r="A135" s="86" t="s">
        <v>1</v>
      </c>
      <c r="B135" s="86">
        <v>2004</v>
      </c>
      <c r="C135" s="86" t="s">
        <v>3980</v>
      </c>
      <c r="D135" s="86">
        <v>2004</v>
      </c>
      <c r="E135" s="86" t="s">
        <v>969</v>
      </c>
      <c r="F135" s="51" t="s">
        <v>4766</v>
      </c>
    </row>
    <row r="136" spans="1:6" s="86" customFormat="1" x14ac:dyDescent="0.15">
      <c r="A136" s="86" t="s">
        <v>1</v>
      </c>
      <c r="B136" s="86">
        <v>2005</v>
      </c>
      <c r="C136" s="86" t="s">
        <v>3980</v>
      </c>
      <c r="D136" s="86">
        <v>2005</v>
      </c>
      <c r="E136" s="86" t="s">
        <v>969</v>
      </c>
      <c r="F136" s="51" t="s">
        <v>4767</v>
      </c>
    </row>
    <row r="137" spans="1:6" s="86" customFormat="1" x14ac:dyDescent="0.15">
      <c r="A137" s="86" t="s">
        <v>1</v>
      </c>
      <c r="B137" s="86">
        <v>2006</v>
      </c>
      <c r="C137" s="86" t="s">
        <v>3980</v>
      </c>
      <c r="D137" s="86">
        <v>2006</v>
      </c>
      <c r="E137" s="86" t="s">
        <v>969</v>
      </c>
      <c r="F137" s="51" t="s">
        <v>4768</v>
      </c>
    </row>
    <row r="138" spans="1:6" s="86" customFormat="1" x14ac:dyDescent="0.15">
      <c r="A138" s="86" t="s">
        <v>1</v>
      </c>
      <c r="B138" s="86">
        <v>2101</v>
      </c>
      <c r="C138" s="86" t="s">
        <v>4824</v>
      </c>
      <c r="D138" s="86">
        <v>2101</v>
      </c>
      <c r="E138" s="86" t="s">
        <v>969</v>
      </c>
      <c r="F138" s="51" t="s">
        <v>7007</v>
      </c>
    </row>
    <row r="139" spans="1:6" s="86" customFormat="1" x14ac:dyDescent="0.15">
      <c r="A139" s="86" t="s">
        <v>1</v>
      </c>
      <c r="B139" s="86">
        <v>2102</v>
      </c>
      <c r="C139" s="86" t="s">
        <v>4824</v>
      </c>
      <c r="D139" s="86">
        <v>2102</v>
      </c>
      <c r="E139" s="86" t="s">
        <v>969</v>
      </c>
      <c r="F139" s="51" t="s">
        <v>7008</v>
      </c>
    </row>
    <row r="140" spans="1:6" s="86" customFormat="1" x14ac:dyDescent="0.15">
      <c r="A140" s="86" t="s">
        <v>1</v>
      </c>
      <c r="B140" s="86">
        <v>2103</v>
      </c>
      <c r="C140" s="86" t="s">
        <v>4824</v>
      </c>
      <c r="D140" s="86">
        <v>2103</v>
      </c>
      <c r="E140" s="86" t="s">
        <v>969</v>
      </c>
      <c r="F140" s="51" t="s">
        <v>7009</v>
      </c>
    </row>
    <row r="141" spans="1:6" s="86" customFormat="1" x14ac:dyDescent="0.15">
      <c r="A141" s="86" t="s">
        <v>1</v>
      </c>
      <c r="B141" s="86">
        <v>2104</v>
      </c>
      <c r="C141" s="86" t="s">
        <v>4824</v>
      </c>
      <c r="D141" s="86">
        <v>2104</v>
      </c>
      <c r="E141" s="86" t="s">
        <v>969</v>
      </c>
      <c r="F141" s="51" t="s">
        <v>7010</v>
      </c>
    </row>
    <row r="142" spans="1:6" s="86" customFormat="1" x14ac:dyDescent="0.15">
      <c r="A142" s="86" t="s">
        <v>1</v>
      </c>
      <c r="B142" s="86">
        <v>2105</v>
      </c>
      <c r="C142" s="86" t="s">
        <v>4824</v>
      </c>
      <c r="D142" s="86">
        <v>2105</v>
      </c>
      <c r="E142" s="86" t="s">
        <v>969</v>
      </c>
      <c r="F142" s="51" t="s">
        <v>7011</v>
      </c>
    </row>
    <row r="143" spans="1:6" s="86" customFormat="1" x14ac:dyDescent="0.15">
      <c r="A143" s="86" t="s">
        <v>1</v>
      </c>
      <c r="B143" s="86">
        <v>2106</v>
      </c>
      <c r="C143" s="86" t="s">
        <v>4824</v>
      </c>
      <c r="D143" s="86">
        <v>2106</v>
      </c>
      <c r="E143" s="86" t="s">
        <v>969</v>
      </c>
      <c r="F143" s="51" t="s">
        <v>7012</v>
      </c>
    </row>
    <row r="144" spans="1:6" s="86" customFormat="1" x14ac:dyDescent="0.15">
      <c r="A144" s="86" t="s">
        <v>1</v>
      </c>
      <c r="B144" s="86">
        <v>2107</v>
      </c>
      <c r="C144" s="86" t="s">
        <v>4824</v>
      </c>
      <c r="D144" s="86">
        <v>2107</v>
      </c>
      <c r="E144" s="86" t="s">
        <v>969</v>
      </c>
      <c r="F144" s="51" t="s">
        <v>7013</v>
      </c>
    </row>
    <row r="145" spans="1:6" s="86" customFormat="1" x14ac:dyDescent="0.15">
      <c r="A145" s="86" t="s">
        <v>1</v>
      </c>
      <c r="B145" s="86">
        <v>2108</v>
      </c>
      <c r="C145" s="86" t="s">
        <v>4824</v>
      </c>
      <c r="D145" s="86">
        <v>2108</v>
      </c>
      <c r="E145" s="86" t="s">
        <v>969</v>
      </c>
      <c r="F145" s="51" t="s">
        <v>7014</v>
      </c>
    </row>
    <row r="146" spans="1:6" s="86" customFormat="1" x14ac:dyDescent="0.15">
      <c r="A146" s="86" t="s">
        <v>1</v>
      </c>
      <c r="B146" s="86">
        <v>2201</v>
      </c>
      <c r="C146" s="86" t="s">
        <v>4839</v>
      </c>
      <c r="D146" s="86">
        <v>2201</v>
      </c>
      <c r="E146" s="86" t="s">
        <v>969</v>
      </c>
      <c r="F146" s="51" t="s">
        <v>7015</v>
      </c>
    </row>
    <row r="147" spans="1:6" s="86" customFormat="1" x14ac:dyDescent="0.15">
      <c r="A147" s="86" t="s">
        <v>1</v>
      </c>
      <c r="B147" s="86">
        <v>2202</v>
      </c>
      <c r="C147" s="86" t="s">
        <v>4839</v>
      </c>
      <c r="D147" s="86">
        <v>2202</v>
      </c>
      <c r="E147" s="86" t="s">
        <v>969</v>
      </c>
      <c r="F147" s="51" t="s">
        <v>7016</v>
      </c>
    </row>
    <row r="148" spans="1:6" s="86" customFormat="1" x14ac:dyDescent="0.15">
      <c r="A148" s="86" t="s">
        <v>1</v>
      </c>
      <c r="B148" s="86">
        <v>2203</v>
      </c>
      <c r="C148" s="86" t="s">
        <v>4839</v>
      </c>
      <c r="D148" s="86">
        <v>2203</v>
      </c>
      <c r="E148" s="86" t="s">
        <v>969</v>
      </c>
      <c r="F148" s="51" t="s">
        <v>7017</v>
      </c>
    </row>
    <row r="149" spans="1:6" s="86" customFormat="1" x14ac:dyDescent="0.15">
      <c r="A149" s="86" t="s">
        <v>1</v>
      </c>
      <c r="B149" s="86">
        <v>2204</v>
      </c>
      <c r="C149" s="86" t="s">
        <v>4839</v>
      </c>
      <c r="D149" s="86">
        <v>2204</v>
      </c>
      <c r="E149" s="86" t="s">
        <v>969</v>
      </c>
      <c r="F149" s="51" t="s">
        <v>7018</v>
      </c>
    </row>
    <row r="150" spans="1:6" s="86" customFormat="1" x14ac:dyDescent="0.15">
      <c r="A150" s="86" t="s">
        <v>1</v>
      </c>
      <c r="B150" s="86">
        <v>2205</v>
      </c>
      <c r="C150" s="86" t="s">
        <v>4839</v>
      </c>
      <c r="D150" s="86">
        <v>2205</v>
      </c>
      <c r="E150" s="86" t="s">
        <v>969</v>
      </c>
      <c r="F150" s="51" t="s">
        <v>7019</v>
      </c>
    </row>
    <row r="151" spans="1:6" s="86" customFormat="1" x14ac:dyDescent="0.15">
      <c r="A151" s="86" t="s">
        <v>1</v>
      </c>
      <c r="B151" s="86">
        <v>2206</v>
      </c>
      <c r="C151" s="86" t="s">
        <v>4839</v>
      </c>
      <c r="D151" s="86">
        <v>2206</v>
      </c>
      <c r="E151" s="86" t="s">
        <v>969</v>
      </c>
      <c r="F151" s="51" t="s">
        <v>7020</v>
      </c>
    </row>
    <row r="152" spans="1:6" s="86" customFormat="1" x14ac:dyDescent="0.15">
      <c r="A152" s="86" t="s">
        <v>1</v>
      </c>
      <c r="B152" s="86">
        <v>2207</v>
      </c>
      <c r="C152" s="86" t="s">
        <v>4839</v>
      </c>
      <c r="D152" s="86">
        <v>2207</v>
      </c>
      <c r="E152" s="86" t="s">
        <v>969</v>
      </c>
      <c r="F152" s="51" t="s">
        <v>7021</v>
      </c>
    </row>
    <row r="153" spans="1:6" s="86" customFormat="1" x14ac:dyDescent="0.15">
      <c r="A153" s="86" t="s">
        <v>1</v>
      </c>
      <c r="B153" s="86">
        <v>2301</v>
      </c>
      <c r="C153" s="86" t="s">
        <v>4848</v>
      </c>
      <c r="D153" s="86">
        <v>2301</v>
      </c>
      <c r="E153" s="86" t="s">
        <v>969</v>
      </c>
      <c r="F153" s="51" t="s">
        <v>7022</v>
      </c>
    </row>
    <row r="154" spans="1:6" s="86" customFormat="1" x14ac:dyDescent="0.15">
      <c r="A154" s="86" t="s">
        <v>1</v>
      </c>
      <c r="B154" s="86">
        <v>2302</v>
      </c>
      <c r="C154" s="86" t="s">
        <v>4848</v>
      </c>
      <c r="D154" s="86">
        <v>2302</v>
      </c>
      <c r="E154" s="86" t="s">
        <v>969</v>
      </c>
      <c r="F154" s="51" t="s">
        <v>7023</v>
      </c>
    </row>
    <row r="155" spans="1:6" s="86" customFormat="1" x14ac:dyDescent="0.15">
      <c r="A155" s="86" t="s">
        <v>1</v>
      </c>
      <c r="B155" s="86">
        <v>2303</v>
      </c>
      <c r="C155" s="86" t="s">
        <v>4848</v>
      </c>
      <c r="D155" s="86">
        <v>2303</v>
      </c>
      <c r="E155" s="86" t="s">
        <v>969</v>
      </c>
      <c r="F155" s="51" t="s">
        <v>7024</v>
      </c>
    </row>
    <row r="156" spans="1:6" s="86" customFormat="1" x14ac:dyDescent="0.15">
      <c r="A156" s="86" t="s">
        <v>1</v>
      </c>
      <c r="B156" s="86">
        <v>2304</v>
      </c>
      <c r="C156" s="86" t="s">
        <v>4848</v>
      </c>
      <c r="D156" s="86">
        <v>2304</v>
      </c>
      <c r="E156" s="86" t="s">
        <v>969</v>
      </c>
      <c r="F156" s="51" t="s">
        <v>7025</v>
      </c>
    </row>
    <row r="157" spans="1:6" s="86" customFormat="1" x14ac:dyDescent="0.15">
      <c r="A157" s="86" t="s">
        <v>1</v>
      </c>
      <c r="B157" s="86">
        <v>2305</v>
      </c>
      <c r="C157" s="86" t="s">
        <v>4848</v>
      </c>
      <c r="D157" s="86">
        <v>2305</v>
      </c>
      <c r="E157" s="86" t="s">
        <v>969</v>
      </c>
      <c r="F157" s="51" t="s">
        <v>7026</v>
      </c>
    </row>
    <row r="158" spans="1:6" s="86" customFormat="1" x14ac:dyDescent="0.15">
      <c r="A158" s="86" t="s">
        <v>1</v>
      </c>
      <c r="B158" s="86">
        <v>2306</v>
      </c>
      <c r="C158" s="86" t="s">
        <v>4848</v>
      </c>
      <c r="D158" s="86">
        <v>2306</v>
      </c>
      <c r="E158" s="86" t="s">
        <v>969</v>
      </c>
      <c r="F158" s="51" t="s">
        <v>7027</v>
      </c>
    </row>
    <row r="159" spans="1:6" s="86" customFormat="1" x14ac:dyDescent="0.15">
      <c r="A159" s="86" t="s">
        <v>1</v>
      </c>
      <c r="B159" s="86">
        <v>2307</v>
      </c>
      <c r="C159" s="86" t="s">
        <v>4848</v>
      </c>
      <c r="D159" s="86">
        <v>2307</v>
      </c>
      <c r="E159" s="86" t="s">
        <v>969</v>
      </c>
      <c r="F159" s="51" t="s">
        <v>7028</v>
      </c>
    </row>
    <row r="160" spans="1:6" s="86" customFormat="1" x14ac:dyDescent="0.15">
      <c r="A160" s="86" t="s">
        <v>1</v>
      </c>
      <c r="B160" s="86">
        <v>2308</v>
      </c>
      <c r="C160" s="86" t="s">
        <v>4848</v>
      </c>
      <c r="D160" s="86">
        <v>2308</v>
      </c>
      <c r="E160" s="86" t="s">
        <v>969</v>
      </c>
      <c r="F160" s="51" t="s">
        <v>7029</v>
      </c>
    </row>
    <row r="161" spans="1:6" s="86" customFormat="1" x14ac:dyDescent="0.15">
      <c r="A161" s="86" t="s">
        <v>1</v>
      </c>
      <c r="B161" s="86">
        <v>2309</v>
      </c>
      <c r="C161" s="86" t="s">
        <v>4848</v>
      </c>
      <c r="D161" s="86">
        <v>2309</v>
      </c>
      <c r="E161" s="86" t="s">
        <v>969</v>
      </c>
      <c r="F161" s="51" t="s">
        <v>7030</v>
      </c>
    </row>
    <row r="162" spans="1:6" s="86" customFormat="1" x14ac:dyDescent="0.15">
      <c r="A162" s="86" t="s">
        <v>1</v>
      </c>
      <c r="B162" s="86">
        <v>2310</v>
      </c>
      <c r="C162" s="86" t="s">
        <v>4848</v>
      </c>
      <c r="D162" s="86">
        <v>2310</v>
      </c>
      <c r="E162" s="86" t="s">
        <v>969</v>
      </c>
      <c r="F162" s="51" t="s">
        <v>7031</v>
      </c>
    </row>
    <row r="163" spans="1:6" s="86" customFormat="1" x14ac:dyDescent="0.15">
      <c r="A163" s="86" t="s">
        <v>1</v>
      </c>
      <c r="B163" s="86">
        <v>2401</v>
      </c>
      <c r="C163" s="86" t="s">
        <v>4863</v>
      </c>
      <c r="D163" s="86">
        <v>2401</v>
      </c>
      <c r="E163" s="86" t="s">
        <v>969</v>
      </c>
      <c r="F163" s="51" t="s">
        <v>7032</v>
      </c>
    </row>
    <row r="164" spans="1:6" s="86" customFormat="1" x14ac:dyDescent="0.15">
      <c r="A164" s="86" t="s">
        <v>1</v>
      </c>
      <c r="B164" s="86">
        <v>2402</v>
      </c>
      <c r="C164" s="86" t="s">
        <v>4863</v>
      </c>
      <c r="D164" s="86">
        <v>2402</v>
      </c>
      <c r="E164" s="86" t="s">
        <v>969</v>
      </c>
      <c r="F164" s="51" t="s">
        <v>7033</v>
      </c>
    </row>
    <row r="165" spans="1:6" s="86" customFormat="1" x14ac:dyDescent="0.15">
      <c r="A165" s="86" t="s">
        <v>1</v>
      </c>
      <c r="B165" s="86">
        <v>2403</v>
      </c>
      <c r="C165" s="86" t="s">
        <v>4863</v>
      </c>
      <c r="D165" s="86">
        <v>2403</v>
      </c>
      <c r="E165" s="86" t="s">
        <v>969</v>
      </c>
      <c r="F165" s="51" t="s">
        <v>7034</v>
      </c>
    </row>
    <row r="166" spans="1:6" s="86" customFormat="1" x14ac:dyDescent="0.15">
      <c r="A166" s="86" t="s">
        <v>1</v>
      </c>
      <c r="B166" s="86">
        <v>2404</v>
      </c>
      <c r="C166" s="86" t="s">
        <v>4863</v>
      </c>
      <c r="D166" s="86">
        <v>2404</v>
      </c>
      <c r="E166" s="86" t="s">
        <v>969</v>
      </c>
      <c r="F166" s="51" t="s">
        <v>7035</v>
      </c>
    </row>
    <row r="167" spans="1:6" s="86" customFormat="1" x14ac:dyDescent="0.15">
      <c r="A167" s="86" t="s">
        <v>1</v>
      </c>
      <c r="B167" s="86">
        <v>2405</v>
      </c>
      <c r="C167" s="86" t="s">
        <v>4863</v>
      </c>
      <c r="D167" s="86">
        <v>2405</v>
      </c>
      <c r="E167" s="86" t="s">
        <v>969</v>
      </c>
      <c r="F167" s="51" t="s">
        <v>7036</v>
      </c>
    </row>
    <row r="168" spans="1:6" s="86" customFormat="1" x14ac:dyDescent="0.15">
      <c r="A168" s="86" t="s">
        <v>1</v>
      </c>
      <c r="B168" s="86">
        <v>2406</v>
      </c>
      <c r="C168" s="86" t="s">
        <v>4863</v>
      </c>
      <c r="D168" s="86">
        <v>2406</v>
      </c>
      <c r="E168" s="86" t="s">
        <v>969</v>
      </c>
      <c r="F168" s="51" t="s">
        <v>7037</v>
      </c>
    </row>
    <row r="169" spans="1:6" s="86" customFormat="1" x14ac:dyDescent="0.15">
      <c r="A169" s="86" t="s">
        <v>1</v>
      </c>
      <c r="B169" s="86">
        <v>2407</v>
      </c>
      <c r="C169" s="86" t="s">
        <v>4863</v>
      </c>
      <c r="D169" s="86">
        <v>2407</v>
      </c>
      <c r="E169" s="86" t="s">
        <v>969</v>
      </c>
      <c r="F169" s="51" t="s">
        <v>7038</v>
      </c>
    </row>
    <row r="170" spans="1:6" s="86" customFormat="1" x14ac:dyDescent="0.15">
      <c r="A170" s="86" t="s">
        <v>1</v>
      </c>
      <c r="B170" s="86">
        <v>2501</v>
      </c>
      <c r="C170" s="86" t="s">
        <v>4875</v>
      </c>
      <c r="D170" s="86">
        <v>2501</v>
      </c>
      <c r="E170" s="86" t="s">
        <v>969</v>
      </c>
      <c r="F170" s="51" t="s">
        <v>7039</v>
      </c>
    </row>
    <row r="171" spans="1:6" s="86" customFormat="1" x14ac:dyDescent="0.15">
      <c r="A171" s="86" t="s">
        <v>1</v>
      </c>
      <c r="B171" s="86">
        <v>2502</v>
      </c>
      <c r="C171" s="86" t="s">
        <v>4875</v>
      </c>
      <c r="D171" s="86">
        <v>2502</v>
      </c>
      <c r="E171" s="86" t="s">
        <v>969</v>
      </c>
      <c r="F171" s="51" t="s">
        <v>7040</v>
      </c>
    </row>
    <row r="172" spans="1:6" s="86" customFormat="1" x14ac:dyDescent="0.15">
      <c r="A172" s="86" t="s">
        <v>1</v>
      </c>
      <c r="B172" s="86">
        <v>2503</v>
      </c>
      <c r="C172" s="86" t="s">
        <v>4875</v>
      </c>
      <c r="D172" s="86">
        <v>2503</v>
      </c>
      <c r="E172" s="86" t="s">
        <v>969</v>
      </c>
      <c r="F172" s="51" t="s">
        <v>7041</v>
      </c>
    </row>
    <row r="173" spans="1:6" s="86" customFormat="1" x14ac:dyDescent="0.15">
      <c r="A173" s="86" t="s">
        <v>1</v>
      </c>
      <c r="B173" s="86">
        <v>2504</v>
      </c>
      <c r="C173" s="86" t="s">
        <v>4875</v>
      </c>
      <c r="D173" s="86">
        <v>2504</v>
      </c>
      <c r="E173" s="86" t="s">
        <v>969</v>
      </c>
      <c r="F173" s="51" t="s">
        <v>7042</v>
      </c>
    </row>
    <row r="174" spans="1:6" s="86" customFormat="1" x14ac:dyDescent="0.15">
      <c r="A174" s="86" t="s">
        <v>1</v>
      </c>
      <c r="B174" s="86">
        <v>2505</v>
      </c>
      <c r="C174" s="86" t="s">
        <v>4875</v>
      </c>
      <c r="D174" s="86">
        <v>2505</v>
      </c>
      <c r="E174" s="86" t="s">
        <v>969</v>
      </c>
      <c r="F174" s="51" t="s">
        <v>7043</v>
      </c>
    </row>
    <row r="175" spans="1:6" s="86" customFormat="1" x14ac:dyDescent="0.15">
      <c r="A175" s="86" t="s">
        <v>1</v>
      </c>
      <c r="B175" s="86">
        <v>2506</v>
      </c>
      <c r="C175" s="86" t="s">
        <v>4875</v>
      </c>
      <c r="D175" s="86">
        <v>2506</v>
      </c>
      <c r="E175" s="86" t="s">
        <v>969</v>
      </c>
      <c r="F175" s="51" t="s">
        <v>7044</v>
      </c>
    </row>
    <row r="176" spans="1:6" s="86" customFormat="1" x14ac:dyDescent="0.15">
      <c r="A176" s="86" t="s">
        <v>1</v>
      </c>
      <c r="B176" s="86">
        <v>2507</v>
      </c>
      <c r="C176" s="86" t="s">
        <v>4875</v>
      </c>
      <c r="D176" s="86">
        <v>2507</v>
      </c>
      <c r="E176" s="86" t="s">
        <v>969</v>
      </c>
      <c r="F176" s="51" t="s">
        <v>7045</v>
      </c>
    </row>
    <row r="177" spans="1:6" s="86" customFormat="1" x14ac:dyDescent="0.15">
      <c r="A177" s="86" t="s">
        <v>1</v>
      </c>
      <c r="B177" s="86">
        <v>2601</v>
      </c>
      <c r="C177" s="86" t="s">
        <v>4889</v>
      </c>
      <c r="D177" s="86">
        <v>2601</v>
      </c>
      <c r="E177" s="86" t="s">
        <v>969</v>
      </c>
      <c r="F177" s="51" t="s">
        <v>7046</v>
      </c>
    </row>
    <row r="178" spans="1:6" s="86" customFormat="1" x14ac:dyDescent="0.15">
      <c r="A178" s="86" t="s">
        <v>1</v>
      </c>
      <c r="B178" s="86">
        <v>2602</v>
      </c>
      <c r="C178" s="86" t="s">
        <v>4889</v>
      </c>
      <c r="D178" s="86">
        <v>2602</v>
      </c>
      <c r="E178" s="86" t="s">
        <v>969</v>
      </c>
      <c r="F178" s="51" t="s">
        <v>7047</v>
      </c>
    </row>
    <row r="179" spans="1:6" s="86" customFormat="1" x14ac:dyDescent="0.15">
      <c r="A179" s="86" t="s">
        <v>1</v>
      </c>
      <c r="B179" s="86">
        <v>2603</v>
      </c>
      <c r="C179" s="86" t="s">
        <v>4889</v>
      </c>
      <c r="D179" s="86">
        <v>2603</v>
      </c>
      <c r="E179" s="86" t="s">
        <v>969</v>
      </c>
      <c r="F179" s="51" t="s">
        <v>7048</v>
      </c>
    </row>
    <row r="180" spans="1:6" s="86" customFormat="1" x14ac:dyDescent="0.15">
      <c r="A180" s="86" t="s">
        <v>1</v>
      </c>
      <c r="B180" s="86">
        <v>2604</v>
      </c>
      <c r="C180" s="86" t="s">
        <v>4889</v>
      </c>
      <c r="D180" s="86">
        <v>2604</v>
      </c>
      <c r="E180" s="86" t="s">
        <v>969</v>
      </c>
      <c r="F180" s="51" t="s">
        <v>7049</v>
      </c>
    </row>
    <row r="181" spans="1:6" s="86" customFormat="1" x14ac:dyDescent="0.15">
      <c r="A181" s="86" t="s">
        <v>1</v>
      </c>
      <c r="B181" s="86">
        <v>2605</v>
      </c>
      <c r="C181" s="86" t="s">
        <v>4889</v>
      </c>
      <c r="D181" s="86">
        <v>2605</v>
      </c>
      <c r="E181" s="86" t="s">
        <v>969</v>
      </c>
      <c r="F181" s="51" t="s">
        <v>7050</v>
      </c>
    </row>
    <row r="182" spans="1:6" s="86" customFormat="1" x14ac:dyDescent="0.15">
      <c r="A182" s="86" t="s">
        <v>1</v>
      </c>
      <c r="B182" s="86">
        <v>2606</v>
      </c>
      <c r="C182" s="86" t="s">
        <v>4889</v>
      </c>
      <c r="D182" s="86">
        <v>2606</v>
      </c>
      <c r="E182" s="86" t="s">
        <v>969</v>
      </c>
      <c r="F182" s="51" t="s">
        <v>7051</v>
      </c>
    </row>
    <row r="183" spans="1:6" s="86" customFormat="1" x14ac:dyDescent="0.15">
      <c r="A183" s="86" t="s">
        <v>1</v>
      </c>
      <c r="B183" s="86">
        <v>2607</v>
      </c>
      <c r="C183" s="86" t="s">
        <v>4889</v>
      </c>
      <c r="D183" s="86">
        <v>2607</v>
      </c>
      <c r="E183" s="86" t="s">
        <v>969</v>
      </c>
      <c r="F183" s="51" t="s">
        <v>7052</v>
      </c>
    </row>
    <row r="184" spans="1:6" s="86" customFormat="1" x14ac:dyDescent="0.15">
      <c r="A184" s="86" t="s">
        <v>1</v>
      </c>
      <c r="B184" s="86">
        <v>2608</v>
      </c>
      <c r="C184" s="86" t="s">
        <v>4889</v>
      </c>
      <c r="D184" s="86">
        <v>2608</v>
      </c>
      <c r="E184" s="86" t="s">
        <v>969</v>
      </c>
      <c r="F184" s="51" t="s">
        <v>7053</v>
      </c>
    </row>
    <row r="185" spans="1:6" s="86" customFormat="1" x14ac:dyDescent="0.15">
      <c r="A185" s="86" t="s">
        <v>1</v>
      </c>
      <c r="B185" s="86">
        <v>2609</v>
      </c>
      <c r="C185" s="86" t="s">
        <v>4889</v>
      </c>
      <c r="D185" s="86">
        <v>2609</v>
      </c>
      <c r="E185" s="86" t="s">
        <v>969</v>
      </c>
      <c r="F185" s="51" t="s">
        <v>7054</v>
      </c>
    </row>
    <row r="186" spans="1:6" s="86" customFormat="1" x14ac:dyDescent="0.15">
      <c r="A186" s="86" t="s">
        <v>1</v>
      </c>
      <c r="B186" s="86">
        <v>2610</v>
      </c>
      <c r="C186" s="86" t="s">
        <v>4889</v>
      </c>
      <c r="D186" s="86">
        <v>2610</v>
      </c>
      <c r="E186" s="86" t="s">
        <v>969</v>
      </c>
      <c r="F186" s="51" t="s">
        <v>7055</v>
      </c>
    </row>
    <row r="187" spans="1:6" s="86" customFormat="1" x14ac:dyDescent="0.15">
      <c r="A187" s="86" t="s">
        <v>1</v>
      </c>
      <c r="B187" s="86">
        <v>2701</v>
      </c>
      <c r="C187" s="86" t="s">
        <v>4902</v>
      </c>
      <c r="D187" s="86">
        <v>2701</v>
      </c>
      <c r="E187" s="86" t="s">
        <v>969</v>
      </c>
      <c r="F187" s="51" t="s">
        <v>7056</v>
      </c>
    </row>
    <row r="188" spans="1:6" s="86" customFormat="1" x14ac:dyDescent="0.15">
      <c r="A188" s="86" t="s">
        <v>1</v>
      </c>
      <c r="B188" s="86">
        <v>2702</v>
      </c>
      <c r="C188" s="86" t="s">
        <v>4902</v>
      </c>
      <c r="D188" s="86">
        <v>2702</v>
      </c>
      <c r="E188" s="86" t="s">
        <v>969</v>
      </c>
      <c r="F188" s="51" t="s">
        <v>7057</v>
      </c>
    </row>
    <row r="189" spans="1:6" s="86" customFormat="1" x14ac:dyDescent="0.15">
      <c r="A189" s="86" t="s">
        <v>1</v>
      </c>
      <c r="B189" s="86">
        <v>2703</v>
      </c>
      <c r="C189" s="86" t="s">
        <v>4902</v>
      </c>
      <c r="D189" s="86">
        <v>2703</v>
      </c>
      <c r="E189" s="86" t="s">
        <v>969</v>
      </c>
      <c r="F189" s="51" t="s">
        <v>7058</v>
      </c>
    </row>
    <row r="190" spans="1:6" s="86" customFormat="1" x14ac:dyDescent="0.15">
      <c r="A190" s="86" t="s">
        <v>1</v>
      </c>
      <c r="B190" s="86">
        <v>2704</v>
      </c>
      <c r="C190" s="86" t="s">
        <v>4902</v>
      </c>
      <c r="D190" s="86">
        <v>2704</v>
      </c>
      <c r="E190" s="86" t="s">
        <v>969</v>
      </c>
      <c r="F190" s="51" t="s">
        <v>7059</v>
      </c>
    </row>
    <row r="191" spans="1:6" s="86" customFormat="1" x14ac:dyDescent="0.15">
      <c r="A191" s="86" t="s">
        <v>1</v>
      </c>
      <c r="B191" s="86">
        <v>2705</v>
      </c>
      <c r="C191" s="86" t="s">
        <v>4902</v>
      </c>
      <c r="D191" s="86">
        <v>2705</v>
      </c>
      <c r="E191" s="86" t="s">
        <v>969</v>
      </c>
      <c r="F191" s="51" t="s">
        <v>7060</v>
      </c>
    </row>
    <row r="192" spans="1:6" s="86" customFormat="1" x14ac:dyDescent="0.15">
      <c r="A192" s="86" t="s">
        <v>1</v>
      </c>
      <c r="B192" s="86">
        <v>2706</v>
      </c>
      <c r="C192" s="86" t="s">
        <v>4902</v>
      </c>
      <c r="D192" s="86">
        <v>2706</v>
      </c>
      <c r="E192" s="86" t="s">
        <v>969</v>
      </c>
      <c r="F192" s="51" t="s">
        <v>7061</v>
      </c>
    </row>
    <row r="193" spans="1:6" s="86" customFormat="1" x14ac:dyDescent="0.15">
      <c r="A193" s="86" t="s">
        <v>1</v>
      </c>
      <c r="B193" s="86">
        <v>2707</v>
      </c>
      <c r="C193" s="86" t="s">
        <v>4902</v>
      </c>
      <c r="D193" s="86">
        <v>2707</v>
      </c>
      <c r="E193" s="86" t="s">
        <v>969</v>
      </c>
      <c r="F193" s="51" t="s">
        <v>7062</v>
      </c>
    </row>
    <row r="194" spans="1:6" s="86" customFormat="1" x14ac:dyDescent="0.15">
      <c r="A194" s="86" t="s">
        <v>1</v>
      </c>
      <c r="B194" s="86">
        <v>2801</v>
      </c>
      <c r="C194" s="86" t="s">
        <v>4914</v>
      </c>
      <c r="D194" s="86">
        <v>2801</v>
      </c>
      <c r="E194" s="86" t="s">
        <v>969</v>
      </c>
      <c r="F194" s="51" t="s">
        <v>7063</v>
      </c>
    </row>
    <row r="195" spans="1:6" s="86" customFormat="1" x14ac:dyDescent="0.15">
      <c r="A195" s="86" t="s">
        <v>1</v>
      </c>
      <c r="B195" s="86">
        <v>2802</v>
      </c>
      <c r="C195" s="86" t="s">
        <v>4914</v>
      </c>
      <c r="D195" s="86">
        <v>2802</v>
      </c>
      <c r="E195" s="86" t="s">
        <v>969</v>
      </c>
      <c r="F195" s="51" t="s">
        <v>7064</v>
      </c>
    </row>
    <row r="196" spans="1:6" s="86" customFormat="1" x14ac:dyDescent="0.15">
      <c r="A196" s="86" t="s">
        <v>1</v>
      </c>
      <c r="B196" s="86">
        <v>2803</v>
      </c>
      <c r="C196" s="86" t="s">
        <v>4914</v>
      </c>
      <c r="D196" s="86">
        <v>2803</v>
      </c>
      <c r="E196" s="86" t="s">
        <v>969</v>
      </c>
      <c r="F196" s="51" t="s">
        <v>7065</v>
      </c>
    </row>
    <row r="197" spans="1:6" s="86" customFormat="1" x14ac:dyDescent="0.15">
      <c r="A197" s="86" t="s">
        <v>1</v>
      </c>
      <c r="B197" s="86">
        <v>2804</v>
      </c>
      <c r="C197" s="86" t="s">
        <v>4914</v>
      </c>
      <c r="D197" s="86">
        <v>2804</v>
      </c>
      <c r="E197" s="86" t="s">
        <v>969</v>
      </c>
      <c r="F197" s="51" t="s">
        <v>7066</v>
      </c>
    </row>
    <row r="198" spans="1:6" s="86" customFormat="1" x14ac:dyDescent="0.15">
      <c r="A198" s="86" t="s">
        <v>1</v>
      </c>
      <c r="B198" s="86">
        <v>2805</v>
      </c>
      <c r="C198" s="86" t="s">
        <v>4914</v>
      </c>
      <c r="D198" s="86">
        <v>2805</v>
      </c>
      <c r="E198" s="86" t="s">
        <v>969</v>
      </c>
      <c r="F198" s="51" t="s">
        <v>7067</v>
      </c>
    </row>
    <row r="199" spans="1:6" s="86" customFormat="1" x14ac:dyDescent="0.15">
      <c r="A199" s="86" t="s">
        <v>1</v>
      </c>
      <c r="B199" s="86">
        <v>2806</v>
      </c>
      <c r="C199" s="86" t="s">
        <v>4914</v>
      </c>
      <c r="D199" s="86">
        <v>2806</v>
      </c>
      <c r="E199" s="86" t="s">
        <v>969</v>
      </c>
      <c r="F199" s="51" t="s">
        <v>7068</v>
      </c>
    </row>
    <row r="200" spans="1:6" s="86" customFormat="1" x14ac:dyDescent="0.15">
      <c r="A200" s="86" t="s">
        <v>1</v>
      </c>
      <c r="B200" s="86">
        <v>2807</v>
      </c>
      <c r="C200" s="86" t="s">
        <v>4914</v>
      </c>
      <c r="D200" s="86">
        <v>2807</v>
      </c>
      <c r="E200" s="86" t="s">
        <v>969</v>
      </c>
      <c r="F200" s="51" t="s">
        <v>7069</v>
      </c>
    </row>
    <row r="201" spans="1:6" s="86" customFormat="1" x14ac:dyDescent="0.15">
      <c r="A201" s="86" t="s">
        <v>1</v>
      </c>
      <c r="B201" s="86">
        <v>2808</v>
      </c>
      <c r="C201" s="86" t="s">
        <v>4914</v>
      </c>
      <c r="D201" s="86">
        <v>2808</v>
      </c>
      <c r="E201" s="86" t="s">
        <v>969</v>
      </c>
      <c r="F201" s="51" t="s">
        <v>7070</v>
      </c>
    </row>
    <row r="202" spans="1:6" s="86" customFormat="1" x14ac:dyDescent="0.15">
      <c r="A202" s="86" t="s">
        <v>1</v>
      </c>
      <c r="B202" s="86">
        <v>2809</v>
      </c>
      <c r="C202" s="86" t="s">
        <v>4914</v>
      </c>
      <c r="D202" s="86">
        <v>2809</v>
      </c>
      <c r="E202" s="86" t="s">
        <v>969</v>
      </c>
      <c r="F202" s="51" t="s">
        <v>7071</v>
      </c>
    </row>
    <row r="203" spans="1:6" s="86" customFormat="1" x14ac:dyDescent="0.15">
      <c r="A203" s="86" t="s">
        <v>1</v>
      </c>
      <c r="B203" s="86">
        <v>2810</v>
      </c>
      <c r="C203" s="86" t="s">
        <v>4914</v>
      </c>
      <c r="D203" s="86">
        <v>2810</v>
      </c>
      <c r="E203" s="86" t="s">
        <v>969</v>
      </c>
      <c r="F203" s="51" t="s">
        <v>7072</v>
      </c>
    </row>
    <row r="204" spans="1:6" s="86" customFormat="1" x14ac:dyDescent="0.15">
      <c r="A204" s="86" t="s">
        <v>1</v>
      </c>
      <c r="B204" s="86">
        <v>2901</v>
      </c>
      <c r="C204" s="86" t="s">
        <v>4925</v>
      </c>
      <c r="D204" s="86">
        <v>2901</v>
      </c>
      <c r="E204" s="86" t="s">
        <v>969</v>
      </c>
      <c r="F204" s="51" t="s">
        <v>7073</v>
      </c>
    </row>
    <row r="205" spans="1:6" s="86" customFormat="1" x14ac:dyDescent="0.15">
      <c r="A205" s="86" t="s">
        <v>1</v>
      </c>
      <c r="B205" s="86">
        <v>2902</v>
      </c>
      <c r="C205" s="86" t="s">
        <v>4925</v>
      </c>
      <c r="D205" s="86">
        <v>2902</v>
      </c>
      <c r="E205" s="86" t="s">
        <v>969</v>
      </c>
      <c r="F205" s="51" t="s">
        <v>7074</v>
      </c>
    </row>
    <row r="206" spans="1:6" s="86" customFormat="1" x14ac:dyDescent="0.15">
      <c r="A206" s="86" t="s">
        <v>1</v>
      </c>
      <c r="B206" s="86">
        <v>2903</v>
      </c>
      <c r="C206" s="86" t="s">
        <v>4925</v>
      </c>
      <c r="D206" s="86">
        <v>2903</v>
      </c>
      <c r="E206" s="86" t="s">
        <v>969</v>
      </c>
      <c r="F206" s="51" t="s">
        <v>7075</v>
      </c>
    </row>
    <row r="207" spans="1:6" s="86" customFormat="1" x14ac:dyDescent="0.15">
      <c r="A207" s="86" t="s">
        <v>1</v>
      </c>
      <c r="B207" s="86">
        <v>2904</v>
      </c>
      <c r="C207" s="86" t="s">
        <v>4925</v>
      </c>
      <c r="D207" s="86">
        <v>2904</v>
      </c>
      <c r="E207" s="86" t="s">
        <v>969</v>
      </c>
      <c r="F207" s="51" t="s">
        <v>7076</v>
      </c>
    </row>
    <row r="208" spans="1:6" s="86" customFormat="1" x14ac:dyDescent="0.15">
      <c r="A208" s="86" t="s">
        <v>1</v>
      </c>
      <c r="B208" s="86">
        <v>2905</v>
      </c>
      <c r="C208" s="86" t="s">
        <v>4925</v>
      </c>
      <c r="D208" s="86">
        <v>2905</v>
      </c>
      <c r="E208" s="86" t="s">
        <v>969</v>
      </c>
      <c r="F208" s="51" t="s">
        <v>7077</v>
      </c>
    </row>
    <row r="209" spans="1:6" s="86" customFormat="1" x14ac:dyDescent="0.15">
      <c r="A209" s="86" t="s">
        <v>1</v>
      </c>
      <c r="B209" s="86">
        <v>2906</v>
      </c>
      <c r="C209" s="86" t="s">
        <v>4925</v>
      </c>
      <c r="D209" s="86">
        <v>2906</v>
      </c>
      <c r="E209" s="86" t="s">
        <v>969</v>
      </c>
      <c r="F209" s="51" t="s">
        <v>7078</v>
      </c>
    </row>
    <row r="210" spans="1:6" s="86" customFormat="1" x14ac:dyDescent="0.15">
      <c r="A210" s="86" t="s">
        <v>1</v>
      </c>
      <c r="B210" s="86">
        <v>2907</v>
      </c>
      <c r="C210" s="86" t="s">
        <v>4925</v>
      </c>
      <c r="D210" s="86">
        <v>2907</v>
      </c>
      <c r="E210" s="86" t="s">
        <v>969</v>
      </c>
      <c r="F210" s="51" t="s">
        <v>7079</v>
      </c>
    </row>
    <row r="211" spans="1:6" s="86" customFormat="1" x14ac:dyDescent="0.15">
      <c r="A211" s="86" t="s">
        <v>1</v>
      </c>
      <c r="B211" s="86">
        <v>2908</v>
      </c>
      <c r="C211" s="86" t="s">
        <v>4925</v>
      </c>
      <c r="D211" s="86">
        <v>2908</v>
      </c>
      <c r="E211" s="86" t="s">
        <v>969</v>
      </c>
      <c r="F211" s="51" t="s">
        <v>7080</v>
      </c>
    </row>
    <row r="212" spans="1:6" s="86" customFormat="1" x14ac:dyDescent="0.15">
      <c r="A212" s="86" t="s">
        <v>1</v>
      </c>
      <c r="B212" s="86">
        <v>2909</v>
      </c>
      <c r="C212" s="86" t="s">
        <v>4925</v>
      </c>
      <c r="D212" s="86">
        <v>2909</v>
      </c>
      <c r="E212" s="86" t="s">
        <v>969</v>
      </c>
      <c r="F212" s="51" t="s">
        <v>7081</v>
      </c>
    </row>
    <row r="213" spans="1:6" s="86" customFormat="1" x14ac:dyDescent="0.15">
      <c r="A213" s="86" t="s">
        <v>1</v>
      </c>
      <c r="B213" s="86">
        <v>2910</v>
      </c>
      <c r="C213" s="86" t="s">
        <v>4925</v>
      </c>
      <c r="D213" s="86">
        <v>2910</v>
      </c>
      <c r="E213" s="86" t="s">
        <v>969</v>
      </c>
      <c r="F213" s="51" t="s">
        <v>7082</v>
      </c>
    </row>
    <row r="214" spans="1:6" s="86" customFormat="1" x14ac:dyDescent="0.15">
      <c r="A214" s="86" t="s">
        <v>1</v>
      </c>
      <c r="B214" s="86">
        <v>3001</v>
      </c>
      <c r="C214" s="86" t="s">
        <v>4939</v>
      </c>
      <c r="D214" s="86">
        <v>3001</v>
      </c>
      <c r="E214" s="86" t="s">
        <v>969</v>
      </c>
      <c r="F214" s="51" t="s">
        <v>7083</v>
      </c>
    </row>
    <row r="215" spans="1:6" s="86" customFormat="1" x14ac:dyDescent="0.15">
      <c r="A215" s="86" t="s">
        <v>1</v>
      </c>
      <c r="B215" s="86">
        <v>3002</v>
      </c>
      <c r="C215" s="86" t="s">
        <v>4939</v>
      </c>
      <c r="D215" s="86">
        <v>3002</v>
      </c>
      <c r="E215" s="86" t="s">
        <v>969</v>
      </c>
      <c r="F215" s="51" t="s">
        <v>7084</v>
      </c>
    </row>
    <row r="216" spans="1:6" s="86" customFormat="1" x14ac:dyDescent="0.15">
      <c r="A216" s="86" t="s">
        <v>1</v>
      </c>
      <c r="B216" s="86">
        <v>3003</v>
      </c>
      <c r="C216" s="86" t="s">
        <v>4939</v>
      </c>
      <c r="D216" s="86">
        <v>3003</v>
      </c>
      <c r="E216" s="86" t="s">
        <v>969</v>
      </c>
      <c r="F216" s="51" t="s">
        <v>7085</v>
      </c>
    </row>
    <row r="217" spans="1:6" s="86" customFormat="1" x14ac:dyDescent="0.15">
      <c r="A217" s="86" t="s">
        <v>1</v>
      </c>
      <c r="B217" s="86">
        <v>3004</v>
      </c>
      <c r="C217" s="86" t="s">
        <v>4939</v>
      </c>
      <c r="D217" s="86">
        <v>3004</v>
      </c>
      <c r="E217" s="86" t="s">
        <v>969</v>
      </c>
      <c r="F217" s="51" t="s">
        <v>7086</v>
      </c>
    </row>
    <row r="218" spans="1:6" s="86" customFormat="1" x14ac:dyDescent="0.15">
      <c r="A218" s="86" t="s">
        <v>1</v>
      </c>
      <c r="B218" s="86">
        <v>3005</v>
      </c>
      <c r="C218" s="86" t="s">
        <v>4939</v>
      </c>
      <c r="D218" s="86">
        <v>3005</v>
      </c>
      <c r="E218" s="86" t="s">
        <v>969</v>
      </c>
      <c r="F218" s="51" t="s">
        <v>7087</v>
      </c>
    </row>
    <row r="219" spans="1:6" s="86" customFormat="1" x14ac:dyDescent="0.15">
      <c r="A219" s="86" t="s">
        <v>1</v>
      </c>
      <c r="B219" s="86">
        <v>3006</v>
      </c>
      <c r="C219" s="86" t="s">
        <v>4939</v>
      </c>
      <c r="D219" s="86">
        <v>3006</v>
      </c>
      <c r="E219" s="86" t="s">
        <v>969</v>
      </c>
      <c r="F219" s="51" t="s">
        <v>7088</v>
      </c>
    </row>
    <row r="220" spans="1:6" s="86" customFormat="1" x14ac:dyDescent="0.15">
      <c r="A220" s="86" t="s">
        <v>1</v>
      </c>
      <c r="B220" s="86">
        <v>3007</v>
      </c>
      <c r="C220" s="86" t="s">
        <v>4939</v>
      </c>
      <c r="D220" s="86">
        <v>3007</v>
      </c>
      <c r="E220" s="86" t="s">
        <v>969</v>
      </c>
      <c r="F220" s="51" t="s">
        <v>7089</v>
      </c>
    </row>
    <row r="221" spans="1:6" s="86" customFormat="1" x14ac:dyDescent="0.15">
      <c r="F221" s="51"/>
    </row>
    <row r="222" spans="1:6" s="86" customFormat="1" x14ac:dyDescent="0.15">
      <c r="F222" s="51"/>
    </row>
    <row r="223" spans="1:6" s="86" customFormat="1" x14ac:dyDescent="0.15">
      <c r="F223" s="51"/>
    </row>
    <row r="224" spans="1:6" s="86" customFormat="1" x14ac:dyDescent="0.15">
      <c r="F224" s="51"/>
    </row>
    <row r="225" spans="1:6" s="86" customFormat="1" x14ac:dyDescent="0.15">
      <c r="F225" s="51"/>
    </row>
    <row r="226" spans="1:6" x14ac:dyDescent="0.15">
      <c r="B226" s="50"/>
      <c r="C226" s="50"/>
      <c r="D226" s="50"/>
      <c r="E226" s="50"/>
      <c r="F226" s="51"/>
    </row>
    <row r="227" spans="1:6" x14ac:dyDescent="0.15">
      <c r="B227" s="50"/>
      <c r="C227" s="50"/>
      <c r="D227" s="50"/>
      <c r="E227" s="50"/>
      <c r="F227" s="51"/>
    </row>
    <row r="228" spans="1:6" s="74" customFormat="1" x14ac:dyDescent="0.15">
      <c r="B228" s="74" t="s">
        <v>1843</v>
      </c>
      <c r="F228" s="75"/>
    </row>
    <row r="229" spans="1:6" x14ac:dyDescent="0.15">
      <c r="B229" s="50"/>
      <c r="C229" s="50"/>
      <c r="D229" s="50"/>
      <c r="E229" s="50"/>
      <c r="F229" s="51"/>
    </row>
    <row r="230" spans="1:6" s="93" customFormat="1" x14ac:dyDescent="0.15">
      <c r="A230" s="93" t="s">
        <v>1</v>
      </c>
      <c r="B230" s="93">
        <v>50101</v>
      </c>
      <c r="C230" s="93" t="s">
        <v>741</v>
      </c>
      <c r="D230" s="93">
        <v>50101</v>
      </c>
      <c r="E230" s="93" t="s">
        <v>969</v>
      </c>
      <c r="F230" s="94" t="s">
        <v>2658</v>
      </c>
    </row>
    <row r="231" spans="1:6" s="93" customFormat="1" x14ac:dyDescent="0.15">
      <c r="A231" s="93" t="s">
        <v>1</v>
      </c>
      <c r="B231" s="93">
        <v>50102</v>
      </c>
      <c r="C231" s="93" t="s">
        <v>741</v>
      </c>
      <c r="D231" s="93">
        <v>50102</v>
      </c>
      <c r="E231" s="93" t="s">
        <v>969</v>
      </c>
      <c r="F231" s="94" t="s">
        <v>2659</v>
      </c>
    </row>
    <row r="232" spans="1:6" s="93" customFormat="1" x14ac:dyDescent="0.15">
      <c r="A232" s="93" t="s">
        <v>1</v>
      </c>
      <c r="B232" s="93">
        <v>50103</v>
      </c>
      <c r="C232" s="93" t="s">
        <v>741</v>
      </c>
      <c r="D232" s="93">
        <v>50103</v>
      </c>
      <c r="E232" s="93" t="s">
        <v>969</v>
      </c>
      <c r="F232" s="94" t="s">
        <v>1089</v>
      </c>
    </row>
    <row r="233" spans="1:6" x14ac:dyDescent="0.15">
      <c r="A233" s="93" t="s">
        <v>1</v>
      </c>
      <c r="B233" s="95">
        <v>50201</v>
      </c>
      <c r="C233" s="95" t="s">
        <v>770</v>
      </c>
      <c r="D233" s="95">
        <v>50201</v>
      </c>
      <c r="E233" s="95" t="s">
        <v>969</v>
      </c>
      <c r="F233" s="94" t="s">
        <v>2681</v>
      </c>
    </row>
    <row r="234" spans="1:6" x14ac:dyDescent="0.15">
      <c r="A234" s="95" t="s">
        <v>1</v>
      </c>
      <c r="B234" s="95">
        <v>50301</v>
      </c>
      <c r="C234" s="98" t="s">
        <v>788</v>
      </c>
      <c r="D234" s="95">
        <v>50301</v>
      </c>
      <c r="E234" s="95" t="s">
        <v>969</v>
      </c>
      <c r="F234" s="99" t="s">
        <v>2682</v>
      </c>
    </row>
    <row r="235" spans="1:6" x14ac:dyDescent="0.15">
      <c r="A235" s="95" t="s">
        <v>1</v>
      </c>
      <c r="B235" s="95">
        <v>50401</v>
      </c>
      <c r="C235" s="98" t="s">
        <v>795</v>
      </c>
      <c r="D235" s="95">
        <v>50401</v>
      </c>
      <c r="E235" s="95" t="s">
        <v>969</v>
      </c>
      <c r="F235" s="99" t="s">
        <v>2683</v>
      </c>
    </row>
    <row r="236" spans="1:6" x14ac:dyDescent="0.15">
      <c r="A236" s="50" t="s">
        <v>1</v>
      </c>
      <c r="B236" s="95">
        <v>50501</v>
      </c>
      <c r="C236" s="95" t="s">
        <v>2672</v>
      </c>
      <c r="D236" s="95">
        <v>50501</v>
      </c>
      <c r="E236" s="95" t="s">
        <v>969</v>
      </c>
      <c r="F236" s="99" t="s">
        <v>2689</v>
      </c>
    </row>
    <row r="237" spans="1:6" x14ac:dyDescent="0.15">
      <c r="A237" s="50" t="s">
        <v>1</v>
      </c>
      <c r="B237" s="95">
        <v>50601</v>
      </c>
      <c r="C237" s="98" t="s">
        <v>2673</v>
      </c>
      <c r="D237" s="95">
        <v>50601</v>
      </c>
      <c r="E237" s="95" t="s">
        <v>969</v>
      </c>
      <c r="F237" s="99" t="s">
        <v>2692</v>
      </c>
    </row>
    <row r="238" spans="1:6" x14ac:dyDescent="0.15">
      <c r="A238" s="50" t="s">
        <v>1</v>
      </c>
      <c r="B238" s="95">
        <v>50701</v>
      </c>
      <c r="C238" s="98" t="s">
        <v>2684</v>
      </c>
      <c r="D238" s="95">
        <v>50701</v>
      </c>
      <c r="E238" s="95" t="s">
        <v>969</v>
      </c>
      <c r="F238" s="99" t="s">
        <v>2690</v>
      </c>
    </row>
    <row r="239" spans="1:6" x14ac:dyDescent="0.15">
      <c r="A239" s="50" t="s">
        <v>1</v>
      </c>
      <c r="B239" s="95">
        <v>50801</v>
      </c>
      <c r="C239" s="95" t="s">
        <v>2685</v>
      </c>
      <c r="D239" s="95">
        <v>50801</v>
      </c>
      <c r="E239" s="95" t="s">
        <v>969</v>
      </c>
      <c r="F239" s="99" t="s">
        <v>2691</v>
      </c>
    </row>
    <row r="240" spans="1:6" x14ac:dyDescent="0.15">
      <c r="A240" s="50" t="s">
        <v>1</v>
      </c>
      <c r="B240" s="95">
        <v>50901</v>
      </c>
      <c r="C240" s="98" t="s">
        <v>2686</v>
      </c>
      <c r="D240" s="95">
        <v>50901</v>
      </c>
      <c r="E240" s="95" t="s">
        <v>969</v>
      </c>
      <c r="F240" s="99" t="s">
        <v>2693</v>
      </c>
    </row>
    <row r="241" spans="1:6" x14ac:dyDescent="0.15">
      <c r="A241" s="50" t="s">
        <v>1</v>
      </c>
      <c r="B241" s="95">
        <v>51001</v>
      </c>
      <c r="C241" s="98" t="s">
        <v>2687</v>
      </c>
      <c r="D241" s="95">
        <v>51001</v>
      </c>
      <c r="E241" s="95" t="s">
        <v>969</v>
      </c>
      <c r="F241" s="99" t="s">
        <v>2694</v>
      </c>
    </row>
    <row r="242" spans="1:6" x14ac:dyDescent="0.15">
      <c r="A242" s="50" t="s">
        <v>1</v>
      </c>
      <c r="B242" s="95">
        <v>51101</v>
      </c>
      <c r="C242" s="95" t="s">
        <v>834</v>
      </c>
      <c r="D242" s="95">
        <v>51101</v>
      </c>
      <c r="E242" s="95" t="s">
        <v>969</v>
      </c>
      <c r="F242" s="99" t="s">
        <v>2697</v>
      </c>
    </row>
    <row r="243" spans="1:6" x14ac:dyDescent="0.15">
      <c r="B243" s="95">
        <v>51201</v>
      </c>
      <c r="C243" s="98" t="s">
        <v>2688</v>
      </c>
      <c r="D243" s="95">
        <v>51201</v>
      </c>
      <c r="E243" s="95" t="s">
        <v>969</v>
      </c>
      <c r="F243" s="99" t="s">
        <v>2696</v>
      </c>
    </row>
    <row r="244" spans="1:6" s="86" customFormat="1" x14ac:dyDescent="0.15">
      <c r="B244" s="95">
        <v>51301</v>
      </c>
      <c r="C244" s="95" t="s">
        <v>2711</v>
      </c>
      <c r="D244" s="95">
        <v>51301</v>
      </c>
      <c r="E244" s="95" t="s">
        <v>969</v>
      </c>
      <c r="F244" s="99" t="s">
        <v>2698</v>
      </c>
    </row>
    <row r="245" spans="1:6" s="86" customFormat="1" x14ac:dyDescent="0.15">
      <c r="B245" s="95">
        <v>51401</v>
      </c>
      <c r="C245" s="98" t="s">
        <v>2712</v>
      </c>
      <c r="D245" s="95">
        <v>51401</v>
      </c>
      <c r="E245" s="95" t="s">
        <v>969</v>
      </c>
      <c r="F245" s="99" t="s">
        <v>2695</v>
      </c>
    </row>
    <row r="246" spans="1:6" s="86" customFormat="1" x14ac:dyDescent="0.15">
      <c r="B246" s="95">
        <v>51501</v>
      </c>
      <c r="C246" s="95" t="s">
        <v>2713</v>
      </c>
      <c r="D246" s="95">
        <v>51501</v>
      </c>
      <c r="E246" s="95" t="s">
        <v>969</v>
      </c>
      <c r="F246" s="99" t="s">
        <v>2699</v>
      </c>
    </row>
    <row r="247" spans="1:6" s="86" customFormat="1" x14ac:dyDescent="0.15">
      <c r="B247" s="95">
        <v>51601</v>
      </c>
      <c r="C247" s="98" t="s">
        <v>2714</v>
      </c>
      <c r="D247" s="95">
        <v>51601</v>
      </c>
      <c r="E247" s="95" t="s">
        <v>969</v>
      </c>
      <c r="F247" s="99" t="s">
        <v>2700</v>
      </c>
    </row>
    <row r="248" spans="1:6" s="86" customFormat="1" x14ac:dyDescent="0.15">
      <c r="B248" s="95">
        <v>51701</v>
      </c>
      <c r="C248" s="95" t="s">
        <v>2715</v>
      </c>
      <c r="D248" s="95">
        <v>51701</v>
      </c>
      <c r="E248" s="95" t="s">
        <v>969</v>
      </c>
      <c r="F248" s="99" t="s">
        <v>2701</v>
      </c>
    </row>
    <row r="249" spans="1:6" s="86" customFormat="1" x14ac:dyDescent="0.15">
      <c r="B249" s="95">
        <v>51801</v>
      </c>
      <c r="C249" s="98" t="s">
        <v>2716</v>
      </c>
      <c r="D249" s="95">
        <v>51801</v>
      </c>
      <c r="E249" s="95" t="s">
        <v>969</v>
      </c>
      <c r="F249" s="99" t="s">
        <v>2702</v>
      </c>
    </row>
    <row r="250" spans="1:6" s="86" customFormat="1" x14ac:dyDescent="0.15">
      <c r="B250" s="95">
        <v>51901</v>
      </c>
      <c r="C250" s="95" t="s">
        <v>2717</v>
      </c>
      <c r="D250" s="95">
        <v>51901</v>
      </c>
      <c r="E250" s="95" t="s">
        <v>969</v>
      </c>
      <c r="F250" s="99" t="s">
        <v>2703</v>
      </c>
    </row>
    <row r="251" spans="1:6" s="86" customFormat="1" x14ac:dyDescent="0.15">
      <c r="B251" s="95">
        <v>52001</v>
      </c>
      <c r="C251" s="98" t="s">
        <v>2718</v>
      </c>
      <c r="D251" s="95">
        <v>52001</v>
      </c>
      <c r="E251" s="95" t="s">
        <v>969</v>
      </c>
      <c r="F251" s="99" t="s">
        <v>2704</v>
      </c>
    </row>
    <row r="252" spans="1:6" s="86" customFormat="1" x14ac:dyDescent="0.15">
      <c r="B252" s="95">
        <v>52101</v>
      </c>
      <c r="C252" s="95" t="s">
        <v>835</v>
      </c>
      <c r="D252" s="95">
        <v>52101</v>
      </c>
      <c r="E252" s="95" t="s">
        <v>969</v>
      </c>
      <c r="F252" s="99" t="s">
        <v>2705</v>
      </c>
    </row>
    <row r="253" spans="1:6" s="86" customFormat="1" x14ac:dyDescent="0.15">
      <c r="B253" s="95">
        <v>52201</v>
      </c>
      <c r="C253" s="98" t="s">
        <v>2719</v>
      </c>
      <c r="D253" s="95">
        <v>52201</v>
      </c>
      <c r="E253" s="95" t="s">
        <v>969</v>
      </c>
      <c r="F253" s="99" t="s">
        <v>2706</v>
      </c>
    </row>
    <row r="254" spans="1:6" x14ac:dyDescent="0.15">
      <c r="A254" s="86"/>
      <c r="B254" s="95">
        <v>52301</v>
      </c>
      <c r="C254" s="95" t="s">
        <v>2720</v>
      </c>
      <c r="D254" s="95">
        <v>52301</v>
      </c>
      <c r="E254" s="95" t="s">
        <v>969</v>
      </c>
      <c r="F254" s="99" t="s">
        <v>2707</v>
      </c>
    </row>
    <row r="255" spans="1:6" s="86" customFormat="1" x14ac:dyDescent="0.15">
      <c r="B255" s="95">
        <v>52401</v>
      </c>
      <c r="C255" s="98" t="s">
        <v>2721</v>
      </c>
      <c r="D255" s="95">
        <v>52401</v>
      </c>
      <c r="E255" s="95" t="s">
        <v>969</v>
      </c>
      <c r="F255" s="99" t="s">
        <v>2708</v>
      </c>
    </row>
    <row r="256" spans="1:6" s="86" customFormat="1" x14ac:dyDescent="0.15">
      <c r="B256" s="95">
        <v>52501</v>
      </c>
      <c r="C256" s="95" t="s">
        <v>2722</v>
      </c>
      <c r="D256" s="95">
        <v>52501</v>
      </c>
      <c r="E256" s="95" t="s">
        <v>969</v>
      </c>
      <c r="F256" s="99" t="s">
        <v>2709</v>
      </c>
    </row>
    <row r="257" spans="1:6" s="86" customFormat="1" x14ac:dyDescent="0.15">
      <c r="B257" s="95">
        <v>52601</v>
      </c>
      <c r="C257" s="98" t="s">
        <v>2723</v>
      </c>
      <c r="D257" s="95">
        <v>52601</v>
      </c>
      <c r="E257" s="95" t="s">
        <v>969</v>
      </c>
      <c r="F257" s="99" t="s">
        <v>2710</v>
      </c>
    </row>
    <row r="258" spans="1:6" s="86" customFormat="1" x14ac:dyDescent="0.15">
      <c r="B258" s="52"/>
      <c r="C258" s="52"/>
      <c r="D258" s="52"/>
      <c r="E258" s="52"/>
      <c r="F258" s="99"/>
    </row>
    <row r="259" spans="1:6" s="74" customFormat="1" x14ac:dyDescent="0.15">
      <c r="B259" s="74" t="s">
        <v>1842</v>
      </c>
    </row>
    <row r="260" spans="1:6" x14ac:dyDescent="0.15">
      <c r="B260" s="50"/>
      <c r="C260" s="50"/>
      <c r="D260" s="50"/>
      <c r="E260" s="50"/>
      <c r="F260" s="50"/>
    </row>
    <row r="261" spans="1:6" x14ac:dyDescent="0.15">
      <c r="A261" s="50" t="s">
        <v>1</v>
      </c>
      <c r="B261" s="71">
        <v>56011</v>
      </c>
      <c r="C261" s="71">
        <v>5601</v>
      </c>
      <c r="D261" s="71">
        <v>56011</v>
      </c>
      <c r="E261" s="50" t="s">
        <v>969</v>
      </c>
      <c r="F261" s="50" t="s">
        <v>1817</v>
      </c>
    </row>
    <row r="262" spans="1:6" x14ac:dyDescent="0.15">
      <c r="A262" s="50" t="s">
        <v>1</v>
      </c>
      <c r="B262" s="71">
        <v>56012</v>
      </c>
      <c r="C262" s="71">
        <v>5601</v>
      </c>
      <c r="D262" s="71">
        <v>56012</v>
      </c>
      <c r="E262" s="50" t="s">
        <v>969</v>
      </c>
      <c r="F262" s="50" t="s">
        <v>1818</v>
      </c>
    </row>
    <row r="263" spans="1:6" x14ac:dyDescent="0.15">
      <c r="A263" s="50" t="s">
        <v>1</v>
      </c>
      <c r="B263" s="71">
        <v>56013</v>
      </c>
      <c r="C263" s="71">
        <v>5601</v>
      </c>
      <c r="D263" s="71">
        <v>56013</v>
      </c>
      <c r="E263" s="50" t="s">
        <v>969</v>
      </c>
      <c r="F263" s="50" t="s">
        <v>1819</v>
      </c>
    </row>
    <row r="264" spans="1:6" x14ac:dyDescent="0.15">
      <c r="A264" s="50" t="s">
        <v>1</v>
      </c>
      <c r="B264" s="71">
        <v>56021</v>
      </c>
      <c r="C264" s="71">
        <v>5602</v>
      </c>
      <c r="D264" s="71">
        <v>56021</v>
      </c>
      <c r="E264" s="50" t="s">
        <v>969</v>
      </c>
      <c r="F264" s="50" t="s">
        <v>1820</v>
      </c>
    </row>
    <row r="265" spans="1:6" x14ac:dyDescent="0.15">
      <c r="A265" s="50" t="s">
        <v>1</v>
      </c>
      <c r="B265" s="71">
        <v>56022</v>
      </c>
      <c r="C265" s="71">
        <v>5602</v>
      </c>
      <c r="D265" s="71">
        <v>56022</v>
      </c>
      <c r="E265" s="50" t="s">
        <v>969</v>
      </c>
      <c r="F265" s="50" t="s">
        <v>1821</v>
      </c>
    </row>
    <row r="266" spans="1:6" x14ac:dyDescent="0.15">
      <c r="A266" s="50" t="s">
        <v>1</v>
      </c>
      <c r="B266" s="71">
        <v>56023</v>
      </c>
      <c r="C266" s="71">
        <v>5602</v>
      </c>
      <c r="D266" s="71">
        <v>56023</v>
      </c>
      <c r="E266" s="50" t="s">
        <v>969</v>
      </c>
      <c r="F266" s="50" t="s">
        <v>1822</v>
      </c>
    </row>
    <row r="267" spans="1:6" x14ac:dyDescent="0.15">
      <c r="A267" s="50" t="s">
        <v>1</v>
      </c>
      <c r="B267" s="71">
        <v>58011</v>
      </c>
      <c r="C267" s="71">
        <v>5801</v>
      </c>
      <c r="D267" s="71">
        <v>58011</v>
      </c>
      <c r="E267" s="50" t="s">
        <v>969</v>
      </c>
      <c r="F267" s="50" t="s">
        <v>1823</v>
      </c>
    </row>
    <row r="268" spans="1:6" x14ac:dyDescent="0.15">
      <c r="A268" s="50" t="s">
        <v>1</v>
      </c>
      <c r="B268" s="71">
        <v>58012</v>
      </c>
      <c r="C268" s="71">
        <v>5801</v>
      </c>
      <c r="D268" s="71">
        <v>58012</v>
      </c>
      <c r="E268" s="50" t="s">
        <v>969</v>
      </c>
      <c r="F268" s="50" t="s">
        <v>1824</v>
      </c>
    </row>
    <row r="269" spans="1:6" x14ac:dyDescent="0.15">
      <c r="A269" s="50" t="s">
        <v>1</v>
      </c>
      <c r="B269" s="71">
        <v>58021</v>
      </c>
      <c r="C269" s="71">
        <v>5802</v>
      </c>
      <c r="D269" s="71">
        <v>58021</v>
      </c>
      <c r="E269" s="50" t="s">
        <v>969</v>
      </c>
      <c r="F269" s="50" t="s">
        <v>1825</v>
      </c>
    </row>
    <row r="270" spans="1:6" x14ac:dyDescent="0.15">
      <c r="A270" s="50" t="s">
        <v>1</v>
      </c>
      <c r="B270" s="71">
        <v>58022</v>
      </c>
      <c r="C270" s="71">
        <v>5802</v>
      </c>
      <c r="D270" s="71">
        <v>58022</v>
      </c>
      <c r="E270" s="50" t="s">
        <v>969</v>
      </c>
      <c r="F270" s="50" t="s">
        <v>1826</v>
      </c>
    </row>
    <row r="271" spans="1:6" x14ac:dyDescent="0.15">
      <c r="A271" s="50" t="s">
        <v>1</v>
      </c>
      <c r="B271" s="71">
        <v>69011</v>
      </c>
      <c r="C271" s="71">
        <v>6901</v>
      </c>
      <c r="D271" s="71">
        <v>69011</v>
      </c>
      <c r="E271" s="50" t="s">
        <v>969</v>
      </c>
      <c r="F271" s="50" t="s">
        <v>1827</v>
      </c>
    </row>
    <row r="272" spans="1:6" x14ac:dyDescent="0.15">
      <c r="A272" s="50" t="s">
        <v>1</v>
      </c>
      <c r="B272" s="71">
        <v>69012</v>
      </c>
      <c r="C272" s="71">
        <v>6901</v>
      </c>
      <c r="D272" s="71">
        <v>69012</v>
      </c>
      <c r="E272" s="50" t="s">
        <v>969</v>
      </c>
      <c r="F272" s="50" t="s">
        <v>1828</v>
      </c>
    </row>
    <row r="273" spans="1:6" x14ac:dyDescent="0.15">
      <c r="A273" s="50" t="s">
        <v>1</v>
      </c>
      <c r="B273" s="71">
        <v>69021</v>
      </c>
      <c r="C273" s="71">
        <v>6902</v>
      </c>
      <c r="D273" s="71">
        <v>69021</v>
      </c>
      <c r="E273" s="50" t="s">
        <v>969</v>
      </c>
      <c r="F273" s="50" t="s">
        <v>1829</v>
      </c>
    </row>
    <row r="274" spans="1:6" x14ac:dyDescent="0.15">
      <c r="A274" s="50" t="s">
        <v>1</v>
      </c>
      <c r="B274" s="71">
        <v>69022</v>
      </c>
      <c r="C274" s="71">
        <v>6902</v>
      </c>
      <c r="D274" s="71">
        <v>69022</v>
      </c>
      <c r="E274" s="50" t="s">
        <v>969</v>
      </c>
      <c r="F274" s="50" t="s">
        <v>1830</v>
      </c>
    </row>
    <row r="275" spans="1:6" x14ac:dyDescent="0.15">
      <c r="A275" s="50" t="s">
        <v>1</v>
      </c>
      <c r="B275" s="71">
        <v>72011</v>
      </c>
      <c r="C275" s="71">
        <v>7201</v>
      </c>
      <c r="D275" s="71">
        <v>72011</v>
      </c>
      <c r="E275" s="50" t="s">
        <v>969</v>
      </c>
      <c r="F275" s="50" t="s">
        <v>1831</v>
      </c>
    </row>
    <row r="276" spans="1:6" s="53" customFormat="1" x14ac:dyDescent="0.15">
      <c r="A276" s="50" t="s">
        <v>1</v>
      </c>
      <c r="B276" s="71">
        <v>72012</v>
      </c>
      <c r="C276" s="71">
        <v>7201</v>
      </c>
      <c r="D276" s="71">
        <v>72012</v>
      </c>
      <c r="E276" s="50" t="s">
        <v>969</v>
      </c>
      <c r="F276" s="50" t="s">
        <v>1832</v>
      </c>
    </row>
    <row r="277" spans="1:6" s="53" customFormat="1" x14ac:dyDescent="0.15">
      <c r="A277" s="50" t="s">
        <v>1</v>
      </c>
      <c r="B277" s="71">
        <v>72013</v>
      </c>
      <c r="C277" s="71">
        <v>7201</v>
      </c>
      <c r="D277" s="71">
        <v>72013</v>
      </c>
      <c r="E277" s="50" t="s">
        <v>969</v>
      </c>
      <c r="F277" s="50" t="s">
        <v>1833</v>
      </c>
    </row>
    <row r="278" spans="1:6" s="53" customFormat="1" x14ac:dyDescent="0.15">
      <c r="A278" s="50" t="s">
        <v>1</v>
      </c>
      <c r="B278" s="71">
        <v>72021</v>
      </c>
      <c r="C278" s="71">
        <v>7202</v>
      </c>
      <c r="D278" s="71">
        <v>72021</v>
      </c>
      <c r="E278" s="50" t="s">
        <v>969</v>
      </c>
      <c r="F278" s="50" t="s">
        <v>1834</v>
      </c>
    </row>
    <row r="279" spans="1:6" s="53" customFormat="1" x14ac:dyDescent="0.15">
      <c r="A279" s="50" t="s">
        <v>1</v>
      </c>
      <c r="B279" s="71">
        <v>72022</v>
      </c>
      <c r="C279" s="71">
        <v>7202</v>
      </c>
      <c r="D279" s="71">
        <v>72022</v>
      </c>
      <c r="E279" s="50" t="s">
        <v>969</v>
      </c>
      <c r="F279" s="50" t="s">
        <v>1835</v>
      </c>
    </row>
    <row r="280" spans="1:6" s="53" customFormat="1" x14ac:dyDescent="0.15">
      <c r="A280" s="50" t="s">
        <v>1</v>
      </c>
      <c r="B280" s="71">
        <v>73011</v>
      </c>
      <c r="C280" s="71">
        <v>7301</v>
      </c>
      <c r="D280" s="71">
        <v>73011</v>
      </c>
      <c r="E280" s="50" t="s">
        <v>969</v>
      </c>
      <c r="F280" s="50" t="s">
        <v>1836</v>
      </c>
    </row>
    <row r="281" spans="1:6" s="53" customFormat="1" x14ac:dyDescent="0.15">
      <c r="A281" s="50" t="s">
        <v>1</v>
      </c>
      <c r="B281" s="71">
        <v>73012</v>
      </c>
      <c r="C281" s="71">
        <v>7301</v>
      </c>
      <c r="D281" s="71">
        <v>73012</v>
      </c>
      <c r="E281" s="50" t="s">
        <v>969</v>
      </c>
      <c r="F281" s="50" t="s">
        <v>1837</v>
      </c>
    </row>
    <row r="282" spans="1:6" s="53" customFormat="1" x14ac:dyDescent="0.15">
      <c r="A282" s="50" t="s">
        <v>1</v>
      </c>
      <c r="B282" s="71">
        <v>73013</v>
      </c>
      <c r="C282" s="71">
        <v>7301</v>
      </c>
      <c r="D282" s="71">
        <v>73013</v>
      </c>
      <c r="E282" s="50" t="s">
        <v>969</v>
      </c>
      <c r="F282" s="50" t="s">
        <v>1838</v>
      </c>
    </row>
    <row r="283" spans="1:6" s="53" customFormat="1" x14ac:dyDescent="0.15">
      <c r="A283" s="50" t="s">
        <v>1</v>
      </c>
      <c r="B283" s="71">
        <v>73021</v>
      </c>
      <c r="C283" s="71">
        <v>7302</v>
      </c>
      <c r="D283" s="71">
        <v>73021</v>
      </c>
      <c r="E283" s="50" t="s">
        <v>969</v>
      </c>
      <c r="F283" s="50" t="s">
        <v>1839</v>
      </c>
    </row>
    <row r="284" spans="1:6" s="53" customFormat="1" x14ac:dyDescent="0.15">
      <c r="A284" s="50" t="s">
        <v>1</v>
      </c>
      <c r="B284" s="71">
        <v>73022</v>
      </c>
      <c r="C284" s="71">
        <v>7302</v>
      </c>
      <c r="D284" s="71">
        <v>73022</v>
      </c>
      <c r="E284" s="50" t="s">
        <v>969</v>
      </c>
      <c r="F284" s="50" t="s">
        <v>1840</v>
      </c>
    </row>
    <row r="285" spans="1:6" s="53" customFormat="1" x14ac:dyDescent="0.15">
      <c r="A285" s="50" t="s">
        <v>1</v>
      </c>
      <c r="B285" s="71">
        <v>73023</v>
      </c>
      <c r="C285" s="71">
        <v>7302</v>
      </c>
      <c r="D285" s="71">
        <v>73023</v>
      </c>
      <c r="E285" s="50" t="s">
        <v>969</v>
      </c>
      <c r="F285" s="50" t="s">
        <v>1841</v>
      </c>
    </row>
    <row r="286" spans="1:6" s="53" customFormat="1" x14ac:dyDescent="0.15">
      <c r="A286" s="50"/>
      <c r="B286" s="50"/>
      <c r="C286" s="50"/>
      <c r="D286" s="50"/>
      <c r="E286" s="50"/>
      <c r="F286" s="50"/>
    </row>
    <row r="287" spans="1:6" s="53" customFormat="1" x14ac:dyDescent="0.15">
      <c r="A287" s="50"/>
      <c r="B287" s="50"/>
      <c r="C287" s="50"/>
      <c r="D287" s="50"/>
      <c r="E287" s="50"/>
      <c r="F287" s="50"/>
    </row>
    <row r="288" spans="1:6" s="53" customFormat="1" x14ac:dyDescent="0.15">
      <c r="A288" s="50"/>
      <c r="B288" s="50"/>
      <c r="C288" s="50"/>
      <c r="D288" s="50"/>
      <c r="E288" s="50"/>
      <c r="F288" s="50"/>
    </row>
    <row r="289" spans="1:6" s="53" customFormat="1" x14ac:dyDescent="0.15">
      <c r="A289" s="50"/>
      <c r="B289" s="50"/>
      <c r="C289" s="50"/>
      <c r="D289" s="50"/>
      <c r="E289" s="50"/>
      <c r="F289" s="50"/>
    </row>
    <row r="290" spans="1:6" s="53" customFormat="1" x14ac:dyDescent="0.15">
      <c r="A290" s="50"/>
      <c r="B290" s="50"/>
      <c r="C290" s="50"/>
      <c r="D290" s="50"/>
      <c r="E290" s="50"/>
      <c r="F290" s="50"/>
    </row>
    <row r="291" spans="1:6" s="53" customFormat="1" x14ac:dyDescent="0.15">
      <c r="A291" s="50"/>
      <c r="B291" s="50"/>
      <c r="C291" s="50"/>
      <c r="D291" s="50"/>
      <c r="E291" s="50"/>
      <c r="F291" s="50"/>
    </row>
    <row r="292" spans="1:6" s="53" customFormat="1" x14ac:dyDescent="0.15">
      <c r="A292" s="50"/>
      <c r="B292" s="50"/>
      <c r="C292" s="50"/>
      <c r="D292" s="50"/>
      <c r="E292" s="50"/>
      <c r="F292" s="50"/>
    </row>
    <row r="293" spans="1:6" s="53" customFormat="1" x14ac:dyDescent="0.15">
      <c r="A293" s="50"/>
      <c r="B293" s="50"/>
      <c r="C293" s="50"/>
      <c r="D293" s="50"/>
      <c r="E293" s="50"/>
    </row>
    <row r="294" spans="1:6" s="53" customFormat="1" x14ac:dyDescent="0.15">
      <c r="A294" s="50"/>
      <c r="B294" s="50"/>
      <c r="C294" s="50"/>
      <c r="D294" s="50"/>
      <c r="E294" s="50"/>
    </row>
    <row r="295" spans="1:6" s="53" customFormat="1" x14ac:dyDescent="0.15">
      <c r="A295" s="50"/>
      <c r="B295" s="50"/>
      <c r="C295" s="50"/>
      <c r="D295" s="50"/>
      <c r="E295" s="50"/>
    </row>
    <row r="296" spans="1:6" s="53" customFormat="1" x14ac:dyDescent="0.15">
      <c r="A296" s="50"/>
      <c r="B296" s="50"/>
      <c r="C296" s="50"/>
      <c r="D296" s="50"/>
      <c r="E296" s="50"/>
    </row>
    <row r="297" spans="1:6" s="53" customFormat="1" x14ac:dyDescent="0.15">
      <c r="A297" s="50"/>
      <c r="B297" s="50"/>
      <c r="C297" s="50"/>
      <c r="D297" s="50"/>
      <c r="E297" s="50"/>
    </row>
    <row r="298" spans="1:6" s="53" customFormat="1" x14ac:dyDescent="0.15">
      <c r="A298" s="50"/>
      <c r="B298" s="50"/>
      <c r="C298" s="50"/>
      <c r="D298" s="50"/>
      <c r="E298" s="50"/>
    </row>
    <row r="299" spans="1:6" s="53" customFormat="1" x14ac:dyDescent="0.15">
      <c r="A299" s="50"/>
      <c r="B299" s="50"/>
      <c r="C299" s="50"/>
      <c r="D299" s="50"/>
      <c r="E299" s="50"/>
    </row>
    <row r="300" spans="1:6" s="53" customFormat="1" x14ac:dyDescent="0.15">
      <c r="A300" s="50"/>
      <c r="B300" s="50"/>
      <c r="C300" s="50"/>
      <c r="D300" s="50"/>
      <c r="E300" s="50"/>
    </row>
    <row r="301" spans="1:6" s="53" customFormat="1" x14ac:dyDescent="0.15">
      <c r="A301" s="50"/>
      <c r="B301" s="50"/>
      <c r="C301" s="50"/>
      <c r="D301" s="50"/>
      <c r="E301" s="50"/>
    </row>
    <row r="302" spans="1:6" s="53" customFormat="1" x14ac:dyDescent="0.15">
      <c r="A302" s="50"/>
      <c r="B302" s="50"/>
      <c r="C302" s="50"/>
      <c r="D302" s="50"/>
      <c r="E302" s="50"/>
    </row>
    <row r="303" spans="1:6" s="53" customFormat="1" x14ac:dyDescent="0.15">
      <c r="A303" s="50"/>
      <c r="B303" s="50"/>
      <c r="C303" s="50"/>
      <c r="D303" s="50"/>
      <c r="E303" s="50"/>
    </row>
    <row r="304" spans="1:6" s="53" customFormat="1" x14ac:dyDescent="0.15">
      <c r="A304" s="50"/>
      <c r="B304" s="50"/>
      <c r="C304" s="50"/>
      <c r="D304" s="50"/>
      <c r="E304" s="50"/>
    </row>
    <row r="305" spans="1:5" s="53" customFormat="1" x14ac:dyDescent="0.15">
      <c r="A305" s="50"/>
      <c r="B305" s="50"/>
      <c r="C305" s="50"/>
      <c r="D305" s="50"/>
      <c r="E305" s="50"/>
    </row>
    <row r="306" spans="1:5" s="53" customFormat="1" x14ac:dyDescent="0.15">
      <c r="A306" s="50"/>
      <c r="B306" s="50"/>
      <c r="C306" s="50"/>
      <c r="D306" s="50"/>
      <c r="E306" s="50"/>
    </row>
    <row r="307" spans="1:5" s="53" customFormat="1" x14ac:dyDescent="0.15">
      <c r="A307" s="50"/>
      <c r="B307" s="50"/>
      <c r="C307" s="50"/>
      <c r="D307" s="50"/>
      <c r="E307" s="50"/>
    </row>
    <row r="308" spans="1:5" s="53" customFormat="1" x14ac:dyDescent="0.15">
      <c r="A308" s="50"/>
      <c r="B308" s="50"/>
      <c r="C308" s="50"/>
      <c r="D308" s="50"/>
      <c r="E308" s="50"/>
    </row>
    <row r="309" spans="1:5" s="53" customFormat="1" x14ac:dyDescent="0.15">
      <c r="A309" s="50"/>
      <c r="B309" s="50"/>
      <c r="C309" s="50"/>
      <c r="D309" s="50"/>
      <c r="E309" s="50"/>
    </row>
    <row r="310" spans="1:5" s="53" customFormat="1" x14ac:dyDescent="0.15">
      <c r="A310" s="50"/>
      <c r="B310" s="50"/>
      <c r="C310" s="50"/>
      <c r="D310" s="50"/>
      <c r="E310" s="50"/>
    </row>
    <row r="311" spans="1:5" s="53" customFormat="1" x14ac:dyDescent="0.15">
      <c r="A311" s="50"/>
      <c r="B311" s="50"/>
      <c r="C311" s="50"/>
      <c r="D311" s="50"/>
      <c r="E311" s="50"/>
    </row>
    <row r="312" spans="1:5" s="53" customFormat="1" x14ac:dyDescent="0.15">
      <c r="A312" s="50"/>
      <c r="B312" s="50"/>
      <c r="C312" s="50"/>
      <c r="D312" s="50"/>
      <c r="E312" s="50"/>
    </row>
    <row r="313" spans="1:5" s="53" customFormat="1" x14ac:dyDescent="0.15">
      <c r="A313" s="50"/>
      <c r="B313" s="50"/>
      <c r="C313" s="50"/>
      <c r="D313" s="50"/>
      <c r="E313" s="50"/>
    </row>
    <row r="314" spans="1:5" s="53" customFormat="1" x14ac:dyDescent="0.15">
      <c r="A314" s="50"/>
      <c r="B314" s="50"/>
      <c r="C314" s="50"/>
      <c r="D314" s="50"/>
      <c r="E314" s="50"/>
    </row>
    <row r="315" spans="1:5" s="53" customFormat="1" x14ac:dyDescent="0.15">
      <c r="A315" s="50"/>
      <c r="B315" s="50"/>
      <c r="C315" s="50"/>
      <c r="D315" s="50"/>
      <c r="E315" s="50"/>
    </row>
    <row r="316" spans="1:5" s="53" customFormat="1" x14ac:dyDescent="0.15">
      <c r="A316" s="50"/>
      <c r="B316" s="50"/>
      <c r="C316" s="50"/>
      <c r="D316" s="50"/>
      <c r="E316" s="50"/>
    </row>
    <row r="317" spans="1:5" s="53" customFormat="1" x14ac:dyDescent="0.15">
      <c r="A317" s="50"/>
      <c r="B317" s="50"/>
      <c r="C317" s="50"/>
      <c r="D317" s="50"/>
      <c r="E317" s="50"/>
    </row>
    <row r="318" spans="1:5" s="53" customFormat="1" x14ac:dyDescent="0.15">
      <c r="A318" s="50"/>
      <c r="B318" s="50"/>
      <c r="C318" s="50"/>
      <c r="D318" s="50"/>
      <c r="E318" s="50"/>
    </row>
    <row r="319" spans="1:5" s="53" customFormat="1" x14ac:dyDescent="0.15">
      <c r="A319" s="50"/>
      <c r="B319" s="50"/>
      <c r="C319" s="50"/>
      <c r="D319" s="50"/>
      <c r="E319" s="50"/>
    </row>
    <row r="320" spans="1:5" s="53" customFormat="1" x14ac:dyDescent="0.15">
      <c r="A320" s="50"/>
      <c r="B320" s="50"/>
      <c r="C320" s="50"/>
      <c r="D320" s="50"/>
      <c r="E320" s="50"/>
    </row>
    <row r="321" spans="1:6" s="53" customFormat="1" x14ac:dyDescent="0.15">
      <c r="A321" s="50"/>
      <c r="B321" s="50"/>
      <c r="C321" s="50"/>
      <c r="D321" s="50"/>
      <c r="E321" s="50"/>
    </row>
    <row r="322" spans="1:6" s="53" customFormat="1" x14ac:dyDescent="0.15">
      <c r="A322" s="50"/>
      <c r="B322" s="50"/>
      <c r="C322" s="50"/>
      <c r="D322" s="50"/>
      <c r="E322" s="50"/>
    </row>
    <row r="323" spans="1:6" s="53" customFormat="1" x14ac:dyDescent="0.15">
      <c r="A323" s="50"/>
      <c r="B323" s="50"/>
      <c r="C323" s="50"/>
      <c r="D323" s="50"/>
      <c r="E323" s="50"/>
    </row>
    <row r="324" spans="1:6" x14ac:dyDescent="0.15">
      <c r="B324" s="50"/>
      <c r="C324" s="50"/>
      <c r="D324" s="50"/>
      <c r="E324" s="50"/>
      <c r="F324" s="53"/>
    </row>
    <row r="325" spans="1:6" x14ac:dyDescent="0.15">
      <c r="B325" s="50"/>
      <c r="C325" s="50"/>
      <c r="D325" s="50"/>
      <c r="E325" s="50"/>
      <c r="F325" s="53"/>
    </row>
    <row r="326" spans="1:6" x14ac:dyDescent="0.15">
      <c r="B326" s="50"/>
      <c r="C326" s="50"/>
      <c r="D326" s="50"/>
      <c r="E326" s="50"/>
      <c r="F326" s="53"/>
    </row>
    <row r="327" spans="1:6" x14ac:dyDescent="0.15">
      <c r="B327" s="50"/>
      <c r="C327" s="50"/>
      <c r="D327" s="50"/>
      <c r="E327" s="50"/>
      <c r="F327" s="53"/>
    </row>
    <row r="328" spans="1:6" x14ac:dyDescent="0.15">
      <c r="B328" s="50"/>
      <c r="C328" s="50"/>
      <c r="D328" s="50"/>
      <c r="E328" s="50"/>
      <c r="F328" s="53"/>
    </row>
    <row r="329" spans="1:6" x14ac:dyDescent="0.15">
      <c r="B329" s="50"/>
      <c r="C329" s="50"/>
      <c r="D329" s="50"/>
      <c r="E329" s="50"/>
      <c r="F329" s="53"/>
    </row>
    <row r="330" spans="1:6" x14ac:dyDescent="0.15">
      <c r="B330" s="50"/>
      <c r="C330" s="50"/>
      <c r="D330" s="50"/>
      <c r="E330" s="50"/>
      <c r="F330" s="53"/>
    </row>
    <row r="331" spans="1:6" x14ac:dyDescent="0.15">
      <c r="B331" s="50"/>
      <c r="C331" s="50"/>
      <c r="D331" s="50"/>
      <c r="E331" s="50"/>
      <c r="F331" s="53"/>
    </row>
    <row r="332" spans="1:6" x14ac:dyDescent="0.15">
      <c r="B332" s="50"/>
      <c r="C332" s="50"/>
      <c r="D332" s="50"/>
      <c r="E332" s="50"/>
      <c r="F332" s="53"/>
    </row>
    <row r="333" spans="1:6" x14ac:dyDescent="0.15">
      <c r="B333" s="50"/>
      <c r="C333" s="50"/>
      <c r="D333" s="50"/>
      <c r="E333" s="50"/>
      <c r="F333" s="53"/>
    </row>
    <row r="334" spans="1:6" x14ac:dyDescent="0.15">
      <c r="B334" s="50"/>
      <c r="C334" s="50"/>
      <c r="D334" s="50"/>
      <c r="E334" s="50"/>
      <c r="F334" s="53"/>
    </row>
    <row r="335" spans="1:6" x14ac:dyDescent="0.15">
      <c r="B335" s="50"/>
      <c r="C335" s="50"/>
      <c r="D335" s="50"/>
      <c r="E335" s="50"/>
      <c r="F335" s="53"/>
    </row>
    <row r="336" spans="1:6" x14ac:dyDescent="0.15">
      <c r="B336" s="50"/>
      <c r="C336" s="50"/>
      <c r="D336" s="50"/>
      <c r="E336" s="50"/>
      <c r="F336" s="53"/>
    </row>
    <row r="337" spans="2:6" x14ac:dyDescent="0.15">
      <c r="B337" s="50"/>
      <c r="C337" s="50"/>
      <c r="D337" s="50"/>
      <c r="E337" s="50"/>
      <c r="F337" s="53"/>
    </row>
    <row r="338" spans="2:6" x14ac:dyDescent="0.15">
      <c r="B338" s="50"/>
      <c r="C338" s="50"/>
      <c r="D338" s="50"/>
      <c r="E338" s="50"/>
      <c r="F338" s="53"/>
    </row>
    <row r="339" spans="2:6" x14ac:dyDescent="0.15">
      <c r="B339" s="50"/>
      <c r="C339" s="50"/>
      <c r="D339" s="50"/>
      <c r="E339" s="50"/>
      <c r="F339" s="53"/>
    </row>
    <row r="340" spans="2:6" x14ac:dyDescent="0.15">
      <c r="B340" s="50"/>
      <c r="C340" s="50"/>
      <c r="D340" s="50"/>
      <c r="E340" s="50"/>
      <c r="F340" s="53"/>
    </row>
    <row r="341" spans="2:6" x14ac:dyDescent="0.15">
      <c r="B341" s="50"/>
      <c r="C341" s="50"/>
      <c r="D341" s="50"/>
      <c r="E341" s="50"/>
      <c r="F341" s="53"/>
    </row>
    <row r="342" spans="2:6" x14ac:dyDescent="0.15">
      <c r="B342" s="50"/>
      <c r="C342" s="50"/>
      <c r="D342" s="50"/>
      <c r="E342" s="50"/>
      <c r="F342" s="53"/>
    </row>
    <row r="343" spans="2:6" x14ac:dyDescent="0.15">
      <c r="B343" s="50"/>
      <c r="C343" s="50"/>
      <c r="D343" s="50"/>
      <c r="E343" s="50"/>
      <c r="F343" s="53"/>
    </row>
    <row r="344" spans="2:6" x14ac:dyDescent="0.15">
      <c r="B344" s="50"/>
      <c r="C344" s="50"/>
      <c r="D344" s="50"/>
      <c r="E344" s="50"/>
      <c r="F344" s="53"/>
    </row>
    <row r="345" spans="2:6" x14ac:dyDescent="0.15">
      <c r="B345" s="50"/>
      <c r="C345" s="50"/>
      <c r="D345" s="50"/>
      <c r="E345" s="50"/>
      <c r="F345" s="53"/>
    </row>
    <row r="346" spans="2:6" x14ac:dyDescent="0.15">
      <c r="B346" s="50"/>
      <c r="C346" s="50"/>
      <c r="D346" s="50"/>
      <c r="E346" s="50"/>
      <c r="F346" s="53"/>
    </row>
    <row r="347" spans="2:6" x14ac:dyDescent="0.15">
      <c r="B347" s="50"/>
      <c r="C347" s="50"/>
      <c r="D347" s="50"/>
      <c r="E347" s="50"/>
      <c r="F347" s="53"/>
    </row>
    <row r="348" spans="2:6" x14ac:dyDescent="0.15">
      <c r="B348" s="50"/>
      <c r="C348" s="50"/>
      <c r="D348" s="50"/>
      <c r="E348" s="50"/>
      <c r="F348" s="53"/>
    </row>
    <row r="349" spans="2:6" x14ac:dyDescent="0.15">
      <c r="B349" s="50"/>
      <c r="C349" s="50"/>
      <c r="D349" s="50"/>
      <c r="E349" s="50"/>
      <c r="F349" s="53"/>
    </row>
    <row r="350" spans="2:6" x14ac:dyDescent="0.15">
      <c r="B350" s="50"/>
      <c r="C350" s="50"/>
      <c r="D350" s="50"/>
      <c r="E350" s="50"/>
      <c r="F350" s="53"/>
    </row>
    <row r="351" spans="2:6" x14ac:dyDescent="0.15">
      <c r="B351" s="50"/>
      <c r="C351" s="50"/>
      <c r="D351" s="50"/>
      <c r="E351" s="50"/>
      <c r="F351" s="53"/>
    </row>
    <row r="352" spans="2:6" x14ac:dyDescent="0.15">
      <c r="B352" s="50"/>
      <c r="C352" s="50"/>
      <c r="D352" s="50"/>
      <c r="E352" s="50"/>
      <c r="F352" s="53"/>
    </row>
    <row r="353" spans="2:6" x14ac:dyDescent="0.15">
      <c r="B353" s="50"/>
      <c r="C353" s="50"/>
      <c r="D353" s="50"/>
      <c r="E353" s="50"/>
      <c r="F353" s="53"/>
    </row>
    <row r="354" spans="2:6" x14ac:dyDescent="0.15">
      <c r="B354" s="50"/>
      <c r="C354" s="50"/>
      <c r="D354" s="50"/>
      <c r="E354" s="50"/>
      <c r="F354" s="53"/>
    </row>
    <row r="355" spans="2:6" x14ac:dyDescent="0.15">
      <c r="B355" s="50"/>
      <c r="C355" s="50"/>
      <c r="D355" s="50"/>
      <c r="E355" s="50"/>
      <c r="F355" s="53"/>
    </row>
    <row r="356" spans="2:6" x14ac:dyDescent="0.15">
      <c r="B356" s="50"/>
      <c r="C356" s="50"/>
      <c r="D356" s="50"/>
      <c r="E356" s="50"/>
      <c r="F356" s="53"/>
    </row>
    <row r="357" spans="2:6" x14ac:dyDescent="0.15">
      <c r="B357" s="50"/>
      <c r="C357" s="50"/>
      <c r="D357" s="50"/>
      <c r="E357" s="50"/>
      <c r="F357" s="53"/>
    </row>
    <row r="358" spans="2:6" x14ac:dyDescent="0.15">
      <c r="B358" s="50"/>
      <c r="C358" s="50"/>
      <c r="D358" s="50"/>
      <c r="E358" s="50"/>
      <c r="F358" s="53"/>
    </row>
    <row r="359" spans="2:6" x14ac:dyDescent="0.15">
      <c r="B359" s="50"/>
      <c r="C359" s="50"/>
      <c r="D359" s="50"/>
      <c r="E359" s="50"/>
      <c r="F359" s="53"/>
    </row>
    <row r="360" spans="2:6" x14ac:dyDescent="0.15">
      <c r="B360" s="50"/>
      <c r="C360" s="50"/>
      <c r="D360" s="50"/>
      <c r="E360" s="50"/>
      <c r="F360" s="53"/>
    </row>
    <row r="361" spans="2:6" x14ac:dyDescent="0.15">
      <c r="B361" s="50"/>
      <c r="C361" s="50"/>
      <c r="D361" s="50"/>
      <c r="E361" s="50"/>
      <c r="F361" s="53"/>
    </row>
    <row r="362" spans="2:6" x14ac:dyDescent="0.15">
      <c r="B362" s="50"/>
      <c r="C362" s="50"/>
      <c r="D362" s="50"/>
      <c r="E362" s="50"/>
      <c r="F362" s="53"/>
    </row>
    <row r="363" spans="2:6" x14ac:dyDescent="0.15">
      <c r="B363" s="50"/>
      <c r="C363" s="50"/>
      <c r="D363" s="50"/>
      <c r="E363" s="50"/>
      <c r="F363" s="53"/>
    </row>
    <row r="364" spans="2:6" x14ac:dyDescent="0.15">
      <c r="B364" s="50"/>
      <c r="C364" s="50"/>
      <c r="D364" s="50"/>
      <c r="E364" s="50"/>
      <c r="F364" s="53"/>
    </row>
    <row r="365" spans="2:6" x14ac:dyDescent="0.15">
      <c r="B365" s="50"/>
      <c r="C365" s="50"/>
      <c r="D365" s="50"/>
      <c r="E365" s="50"/>
      <c r="F365" s="53"/>
    </row>
    <row r="366" spans="2:6" x14ac:dyDescent="0.15">
      <c r="B366" s="50"/>
      <c r="C366" s="50"/>
      <c r="D366" s="50"/>
      <c r="E366" s="50"/>
      <c r="F366" s="53"/>
    </row>
    <row r="367" spans="2:6" x14ac:dyDescent="0.15">
      <c r="B367" s="50"/>
      <c r="C367" s="50"/>
      <c r="D367" s="50"/>
      <c r="E367" s="50"/>
      <c r="F367" s="53"/>
    </row>
    <row r="368" spans="2:6" x14ac:dyDescent="0.15">
      <c r="B368" s="50"/>
      <c r="C368" s="50"/>
      <c r="D368" s="50"/>
      <c r="E368" s="50"/>
      <c r="F368" s="53"/>
    </row>
    <row r="369" spans="2:6" x14ac:dyDescent="0.15">
      <c r="B369" s="50"/>
      <c r="C369" s="50"/>
      <c r="D369" s="50"/>
      <c r="E369" s="50"/>
      <c r="F369" s="53"/>
    </row>
    <row r="370" spans="2:6" x14ac:dyDescent="0.15">
      <c r="B370" s="50"/>
      <c r="C370" s="50"/>
      <c r="D370" s="50"/>
      <c r="E370" s="50"/>
      <c r="F370" s="53"/>
    </row>
    <row r="371" spans="2:6" x14ac:dyDescent="0.15">
      <c r="B371" s="50"/>
      <c r="C371" s="50"/>
      <c r="D371" s="50"/>
      <c r="E371" s="50"/>
      <c r="F371" s="53"/>
    </row>
    <row r="372" spans="2:6" x14ac:dyDescent="0.15">
      <c r="B372" s="50"/>
      <c r="C372" s="50"/>
      <c r="D372" s="50"/>
      <c r="E372" s="50"/>
      <c r="F372" s="53"/>
    </row>
    <row r="373" spans="2:6" x14ac:dyDescent="0.15">
      <c r="B373" s="50"/>
      <c r="C373" s="50"/>
      <c r="D373" s="50"/>
      <c r="E373" s="50"/>
      <c r="F373" s="53"/>
    </row>
    <row r="374" spans="2:6" x14ac:dyDescent="0.15">
      <c r="B374" s="50"/>
      <c r="C374" s="50"/>
      <c r="D374" s="50"/>
      <c r="E374" s="50"/>
      <c r="F374" s="53"/>
    </row>
    <row r="375" spans="2:6" x14ac:dyDescent="0.15">
      <c r="B375" s="50"/>
      <c r="C375" s="50"/>
      <c r="D375" s="50"/>
      <c r="E375" s="50"/>
      <c r="F375" s="53"/>
    </row>
    <row r="376" spans="2:6" x14ac:dyDescent="0.15">
      <c r="B376" s="50"/>
      <c r="C376" s="50"/>
      <c r="D376" s="50"/>
      <c r="E376" s="50"/>
      <c r="F376" s="53"/>
    </row>
    <row r="377" spans="2:6" x14ac:dyDescent="0.15">
      <c r="B377" s="50"/>
      <c r="C377" s="50"/>
      <c r="D377" s="50"/>
      <c r="E377" s="50"/>
      <c r="F377" s="53"/>
    </row>
    <row r="378" spans="2:6" x14ac:dyDescent="0.15">
      <c r="B378" s="50"/>
      <c r="C378" s="50"/>
      <c r="D378" s="50"/>
      <c r="E378" s="50"/>
      <c r="F378" s="53"/>
    </row>
    <row r="379" spans="2:6" x14ac:dyDescent="0.15">
      <c r="B379" s="50"/>
      <c r="C379" s="50"/>
      <c r="D379" s="50"/>
      <c r="E379" s="50"/>
      <c r="F379" s="53"/>
    </row>
    <row r="380" spans="2:6" x14ac:dyDescent="0.15">
      <c r="B380" s="50"/>
      <c r="C380" s="50"/>
      <c r="D380" s="50"/>
      <c r="E380" s="50"/>
      <c r="F380" s="53"/>
    </row>
    <row r="381" spans="2:6" x14ac:dyDescent="0.15">
      <c r="B381" s="50"/>
      <c r="C381" s="50"/>
      <c r="D381" s="50"/>
      <c r="E381" s="50"/>
      <c r="F381" s="53"/>
    </row>
    <row r="382" spans="2:6" x14ac:dyDescent="0.15">
      <c r="B382" s="50"/>
      <c r="C382" s="50"/>
      <c r="D382" s="50"/>
      <c r="E382" s="50"/>
      <c r="F382" s="53"/>
    </row>
    <row r="383" spans="2:6" x14ac:dyDescent="0.15">
      <c r="B383" s="50"/>
      <c r="C383" s="50"/>
      <c r="D383" s="50"/>
      <c r="E383" s="50"/>
      <c r="F383" s="53"/>
    </row>
    <row r="384" spans="2:6" x14ac:dyDescent="0.15">
      <c r="B384" s="50"/>
      <c r="C384" s="50"/>
      <c r="D384" s="50"/>
      <c r="E384" s="50"/>
      <c r="F384" s="53"/>
    </row>
    <row r="385" spans="2:6" x14ac:dyDescent="0.15">
      <c r="B385" s="50"/>
      <c r="C385" s="50"/>
      <c r="D385" s="50"/>
      <c r="E385" s="50"/>
      <c r="F385" s="53"/>
    </row>
    <row r="386" spans="2:6" x14ac:dyDescent="0.15">
      <c r="B386" s="50"/>
      <c r="C386" s="50"/>
      <c r="D386" s="50"/>
      <c r="E386" s="50"/>
      <c r="F386" s="53"/>
    </row>
    <row r="387" spans="2:6" x14ac:dyDescent="0.15">
      <c r="B387" s="50"/>
      <c r="C387" s="50"/>
      <c r="D387" s="50"/>
      <c r="E387" s="50"/>
      <c r="F387" s="53"/>
    </row>
    <row r="388" spans="2:6" x14ac:dyDescent="0.15">
      <c r="B388" s="50"/>
      <c r="C388" s="50"/>
      <c r="D388" s="50"/>
      <c r="E388" s="50"/>
      <c r="F388" s="53"/>
    </row>
    <row r="389" spans="2:6" x14ac:dyDescent="0.15">
      <c r="B389" s="50"/>
      <c r="C389" s="50"/>
      <c r="D389" s="50"/>
      <c r="E389" s="50"/>
      <c r="F389" s="53"/>
    </row>
    <row r="390" spans="2:6" x14ac:dyDescent="0.15">
      <c r="B390" s="50"/>
      <c r="C390" s="50"/>
      <c r="D390" s="50"/>
      <c r="E390" s="50"/>
      <c r="F390" s="53"/>
    </row>
    <row r="391" spans="2:6" x14ac:dyDescent="0.15">
      <c r="B391" s="50"/>
      <c r="C391" s="50"/>
      <c r="D391" s="50"/>
      <c r="E391" s="50"/>
      <c r="F391" s="53"/>
    </row>
    <row r="392" spans="2:6" x14ac:dyDescent="0.15">
      <c r="B392" s="50"/>
      <c r="C392" s="50"/>
      <c r="D392" s="50"/>
      <c r="E392" s="50"/>
      <c r="F392" s="53"/>
    </row>
    <row r="393" spans="2:6" x14ac:dyDescent="0.15">
      <c r="B393" s="50"/>
      <c r="C393" s="50"/>
      <c r="D393" s="50"/>
      <c r="E393" s="50"/>
      <c r="F393" s="53"/>
    </row>
    <row r="394" spans="2:6" x14ac:dyDescent="0.15">
      <c r="B394" s="50"/>
      <c r="C394" s="50"/>
      <c r="D394" s="50"/>
      <c r="E394" s="50"/>
      <c r="F394" s="53"/>
    </row>
    <row r="395" spans="2:6" x14ac:dyDescent="0.15">
      <c r="B395" s="50"/>
      <c r="C395" s="50"/>
      <c r="D395" s="50"/>
      <c r="E395" s="50"/>
      <c r="F395" s="53"/>
    </row>
    <row r="396" spans="2:6" x14ac:dyDescent="0.15">
      <c r="B396" s="50"/>
      <c r="C396" s="50"/>
      <c r="D396" s="50"/>
      <c r="E396" s="50"/>
      <c r="F396" s="53"/>
    </row>
    <row r="397" spans="2:6" x14ac:dyDescent="0.15">
      <c r="B397" s="50"/>
      <c r="C397" s="50"/>
      <c r="D397" s="50"/>
      <c r="E397" s="50"/>
      <c r="F397" s="53"/>
    </row>
    <row r="398" spans="2:6" x14ac:dyDescent="0.15">
      <c r="B398" s="50"/>
      <c r="C398" s="50"/>
      <c r="D398" s="50"/>
      <c r="E398" s="50"/>
      <c r="F398" s="53"/>
    </row>
    <row r="399" spans="2:6" x14ac:dyDescent="0.15">
      <c r="B399" s="50"/>
      <c r="C399" s="50"/>
      <c r="D399" s="50"/>
      <c r="E399" s="50"/>
      <c r="F399" s="53"/>
    </row>
    <row r="400" spans="2:6" x14ac:dyDescent="0.15">
      <c r="B400" s="50"/>
      <c r="C400" s="50"/>
      <c r="D400" s="50"/>
      <c r="E400" s="50"/>
      <c r="F400" s="53"/>
    </row>
    <row r="401" spans="2:6" x14ac:dyDescent="0.15">
      <c r="B401" s="50"/>
      <c r="C401" s="50"/>
      <c r="D401" s="50"/>
      <c r="E401" s="50"/>
      <c r="F401" s="53"/>
    </row>
    <row r="402" spans="2:6" x14ac:dyDescent="0.15">
      <c r="B402" s="50"/>
      <c r="C402" s="50"/>
      <c r="D402" s="50"/>
      <c r="E402" s="50"/>
      <c r="F402" s="53"/>
    </row>
    <row r="403" spans="2:6" x14ac:dyDescent="0.15">
      <c r="B403" s="50"/>
      <c r="C403" s="50"/>
      <c r="D403" s="50"/>
      <c r="E403" s="50"/>
      <c r="F403" s="53"/>
    </row>
    <row r="404" spans="2:6" x14ac:dyDescent="0.15">
      <c r="B404" s="50"/>
      <c r="C404" s="50"/>
      <c r="D404" s="50"/>
      <c r="E404" s="50"/>
      <c r="F404" s="53"/>
    </row>
    <row r="405" spans="2:6" x14ac:dyDescent="0.15">
      <c r="B405" s="50"/>
      <c r="C405" s="50"/>
      <c r="D405" s="50"/>
      <c r="E405" s="50"/>
      <c r="F405" s="53"/>
    </row>
    <row r="406" spans="2:6" x14ac:dyDescent="0.15">
      <c r="B406" s="50"/>
      <c r="C406" s="50"/>
      <c r="D406" s="50"/>
      <c r="E406" s="50"/>
      <c r="F406" s="53"/>
    </row>
    <row r="407" spans="2:6" x14ac:dyDescent="0.15">
      <c r="B407" s="50"/>
      <c r="C407" s="50"/>
      <c r="D407" s="50"/>
      <c r="E407" s="50"/>
      <c r="F407" s="53"/>
    </row>
    <row r="408" spans="2:6" x14ac:dyDescent="0.15">
      <c r="F408" s="53"/>
    </row>
    <row r="409" spans="2:6" x14ac:dyDescent="0.15">
      <c r="F409" s="53"/>
    </row>
    <row r="410" spans="2:6" x14ac:dyDescent="0.15">
      <c r="F410" s="53"/>
    </row>
    <row r="411" spans="2:6" x14ac:dyDescent="0.15">
      <c r="F411" s="53"/>
    </row>
    <row r="412" spans="2:6" x14ac:dyDescent="0.15">
      <c r="F412" s="53"/>
    </row>
    <row r="413" spans="2:6" x14ac:dyDescent="0.15">
      <c r="F413" s="53"/>
    </row>
    <row r="414" spans="2:6" x14ac:dyDescent="0.15">
      <c r="F414" s="53"/>
    </row>
    <row r="415" spans="2:6" x14ac:dyDescent="0.15">
      <c r="F415" s="53"/>
    </row>
    <row r="416" spans="2:6" x14ac:dyDescent="0.15">
      <c r="F416" s="53"/>
    </row>
    <row r="417" spans="6:6" x14ac:dyDescent="0.15">
      <c r="F417" s="53"/>
    </row>
    <row r="418" spans="6:6" x14ac:dyDescent="0.15">
      <c r="F418" s="53"/>
    </row>
    <row r="419" spans="6:6" x14ac:dyDescent="0.15">
      <c r="F419" s="53"/>
    </row>
    <row r="420" spans="6:6" x14ac:dyDescent="0.15">
      <c r="F420" s="53"/>
    </row>
    <row r="421" spans="6:6" x14ac:dyDescent="0.15">
      <c r="F421" s="53"/>
    </row>
    <row r="422" spans="6:6" x14ac:dyDescent="0.15">
      <c r="F422" s="53"/>
    </row>
    <row r="423" spans="6:6" x14ac:dyDescent="0.15">
      <c r="F423" s="53"/>
    </row>
    <row r="424" spans="6:6" x14ac:dyDescent="0.15">
      <c r="F424" s="53"/>
    </row>
    <row r="425" spans="6:6" x14ac:dyDescent="0.15">
      <c r="F425" s="53"/>
    </row>
    <row r="426" spans="6:6" x14ac:dyDescent="0.15">
      <c r="F426" s="53"/>
    </row>
    <row r="427" spans="6:6" x14ac:dyDescent="0.15">
      <c r="F427" s="53"/>
    </row>
    <row r="428" spans="6:6" x14ac:dyDescent="0.15">
      <c r="F428" s="53"/>
    </row>
    <row r="429" spans="6:6" x14ac:dyDescent="0.15">
      <c r="F429" s="53"/>
    </row>
    <row r="430" spans="6:6" x14ac:dyDescent="0.15">
      <c r="F430" s="53"/>
    </row>
    <row r="431" spans="6:6" x14ac:dyDescent="0.15">
      <c r="F431" s="53"/>
    </row>
    <row r="432" spans="6:6" x14ac:dyDescent="0.15">
      <c r="F432" s="53"/>
    </row>
    <row r="433" spans="6:6" x14ac:dyDescent="0.15">
      <c r="F433" s="53"/>
    </row>
    <row r="434" spans="6:6" x14ac:dyDescent="0.15">
      <c r="F434" s="53"/>
    </row>
    <row r="435" spans="6:6" x14ac:dyDescent="0.15">
      <c r="F435" s="53"/>
    </row>
    <row r="436" spans="6:6" x14ac:dyDescent="0.15">
      <c r="F436" s="53"/>
    </row>
    <row r="437" spans="6:6" x14ac:dyDescent="0.15">
      <c r="F437" s="53"/>
    </row>
    <row r="438" spans="6:6" x14ac:dyDescent="0.15">
      <c r="F438" s="53"/>
    </row>
    <row r="439" spans="6:6" x14ac:dyDescent="0.15">
      <c r="F439" s="53"/>
    </row>
    <row r="440" spans="6:6" x14ac:dyDescent="0.15">
      <c r="F440" s="53"/>
    </row>
    <row r="441" spans="6:6" x14ac:dyDescent="0.15">
      <c r="F441" s="53"/>
    </row>
    <row r="442" spans="6:6" x14ac:dyDescent="0.15">
      <c r="F442" s="53"/>
    </row>
    <row r="443" spans="6:6" x14ac:dyDescent="0.15">
      <c r="F443" s="53"/>
    </row>
    <row r="444" spans="6:6" x14ac:dyDescent="0.15">
      <c r="F444" s="53"/>
    </row>
    <row r="445" spans="6:6" x14ac:dyDescent="0.15">
      <c r="F445" s="53"/>
    </row>
    <row r="446" spans="6:6" x14ac:dyDescent="0.15">
      <c r="F446" s="53"/>
    </row>
    <row r="447" spans="6:6" x14ac:dyDescent="0.15">
      <c r="F447" s="53"/>
    </row>
    <row r="448" spans="6:6" x14ac:dyDescent="0.15">
      <c r="F448" s="53"/>
    </row>
    <row r="449" spans="6:6" x14ac:dyDescent="0.15">
      <c r="F449" s="53"/>
    </row>
    <row r="450" spans="6:6" x14ac:dyDescent="0.15">
      <c r="F450" s="53"/>
    </row>
    <row r="451" spans="6:6" x14ac:dyDescent="0.15">
      <c r="F451" s="53"/>
    </row>
    <row r="452" spans="6:6" x14ac:dyDescent="0.15">
      <c r="F452" s="53"/>
    </row>
    <row r="453" spans="6:6" x14ac:dyDescent="0.15">
      <c r="F453" s="53"/>
    </row>
    <row r="454" spans="6:6" x14ac:dyDescent="0.15">
      <c r="F454" s="53"/>
    </row>
    <row r="455" spans="6:6" x14ac:dyDescent="0.15">
      <c r="F455" s="53"/>
    </row>
    <row r="456" spans="6:6" x14ac:dyDescent="0.15">
      <c r="F456" s="53"/>
    </row>
    <row r="457" spans="6:6" x14ac:dyDescent="0.15">
      <c r="F457" s="53"/>
    </row>
    <row r="458" spans="6:6" x14ac:dyDescent="0.15">
      <c r="F458" s="53"/>
    </row>
    <row r="459" spans="6:6" x14ac:dyDescent="0.15">
      <c r="F459" s="53"/>
    </row>
    <row r="460" spans="6:6" x14ac:dyDescent="0.15">
      <c r="F460" s="53"/>
    </row>
    <row r="461" spans="6:6" x14ac:dyDescent="0.15">
      <c r="F461" s="53"/>
    </row>
    <row r="462" spans="6:6" x14ac:dyDescent="0.15">
      <c r="F462" s="53"/>
    </row>
    <row r="463" spans="6:6" x14ac:dyDescent="0.15">
      <c r="F463" s="53"/>
    </row>
    <row r="464" spans="6:6" x14ac:dyDescent="0.15">
      <c r="F464" s="53"/>
    </row>
    <row r="465" spans="6:6" x14ac:dyDescent="0.15">
      <c r="F465" s="53"/>
    </row>
    <row r="466" spans="6:6" x14ac:dyDescent="0.15">
      <c r="F466" s="53"/>
    </row>
    <row r="467" spans="6:6" x14ac:dyDescent="0.15">
      <c r="F467" s="53"/>
    </row>
    <row r="468" spans="6:6" x14ac:dyDescent="0.15">
      <c r="F468" s="53"/>
    </row>
    <row r="469" spans="6:6" x14ac:dyDescent="0.15">
      <c r="F469" s="53"/>
    </row>
    <row r="470" spans="6:6" x14ac:dyDescent="0.15">
      <c r="F470" s="53"/>
    </row>
    <row r="471" spans="6:6" x14ac:dyDescent="0.15">
      <c r="F471" s="53"/>
    </row>
    <row r="472" spans="6:6" x14ac:dyDescent="0.15">
      <c r="F472" s="53"/>
    </row>
    <row r="473" spans="6:6" x14ac:dyDescent="0.15">
      <c r="F473" s="53"/>
    </row>
  </sheetData>
  <phoneticPr fontId="3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INDEX</vt:lpstr>
      <vt:lpstr>InforUpgrade</vt:lpstr>
      <vt:lpstr>InforStarAward</vt:lpstr>
      <vt:lpstr>InforTrust</vt:lpstr>
      <vt:lpstr>InforLevel</vt:lpstr>
      <vt:lpstr>LevelDialogue</vt:lpstr>
      <vt:lpstr>FightInfo</vt:lpstr>
      <vt:lpstr>FightDialog</vt:lpstr>
      <vt:lpstr>InforProp</vt:lpstr>
      <vt:lpstr>StageNPC</vt:lpstr>
      <vt:lpstr>StageGuide</vt:lpstr>
    </vt:vector>
  </TitlesOfParts>
  <Company>微软中国</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boot</cp:lastModifiedBy>
  <dcterms:created xsi:type="dcterms:W3CDTF">2015-12-31T17:39:00Z</dcterms:created>
  <dcterms:modified xsi:type="dcterms:W3CDTF">2020-03-23T03:45:13Z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2052-9.1.0.5113</vt:lpwstr>
  </property>
</Properties>
</file>